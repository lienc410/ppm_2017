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30675" windowHeight="17175"/>
  </bookViews>
  <sheets>
    <sheet name="Data Set" sheetId="1" r:id="rId1"/>
    <sheet name="Realized Vol" sheetId="2" r:id="rId2"/>
    <sheet name="Yield Curve" sheetId="3" r:id="rId3"/>
    <sheet name="ppm risk premium" sheetId="4" r:id="rId4"/>
  </sheets>
  <definedNames>
    <definedName name="temp" localSheetId="3">'ppm risk premium'!$C$3:$D$259</definedName>
  </definedNames>
  <calcPr calcId="145621"/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" i="1"/>
  <c r="R5" i="4" l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" i="4"/>
  <c r="M40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K21" i="4"/>
  <c r="M21" i="4" s="1"/>
  <c r="K36" i="4"/>
  <c r="K35" i="4" s="1"/>
  <c r="K34" i="4" s="1"/>
  <c r="K40" i="4"/>
  <c r="K39" i="4" s="1"/>
  <c r="K38" i="4" s="1"/>
  <c r="K37" i="4" s="1"/>
  <c r="M37" i="4" s="1"/>
  <c r="K60" i="4"/>
  <c r="K59" i="4" s="1"/>
  <c r="K58" i="4" s="1"/>
  <c r="K57" i="4" s="1"/>
  <c r="K56" i="4" s="1"/>
  <c r="K55" i="4" s="1"/>
  <c r="K54" i="4" s="1"/>
  <c r="K53" i="4" s="1"/>
  <c r="K52" i="4" s="1"/>
  <c r="K51" i="4" s="1"/>
  <c r="K50" i="4" s="1"/>
  <c r="K49" i="4" s="1"/>
  <c r="K48" i="4" s="1"/>
  <c r="K47" i="4" s="1"/>
  <c r="K46" i="4" s="1"/>
  <c r="K45" i="4" s="1"/>
  <c r="K44" i="4" s="1"/>
  <c r="K43" i="4" s="1"/>
  <c r="K42" i="4" s="1"/>
  <c r="K41" i="4" s="1"/>
  <c r="K82" i="4"/>
  <c r="K81" i="4" s="1"/>
  <c r="K80" i="4" s="1"/>
  <c r="K79" i="4" s="1"/>
  <c r="K78" i="4" s="1"/>
  <c r="K77" i="4" s="1"/>
  <c r="K76" i="4" s="1"/>
  <c r="K75" i="4" s="1"/>
  <c r="K74" i="4" s="1"/>
  <c r="K73" i="4" s="1"/>
  <c r="K72" i="4" s="1"/>
  <c r="K71" i="4" s="1"/>
  <c r="K70" i="4" s="1"/>
  <c r="K69" i="4" s="1"/>
  <c r="K68" i="4" s="1"/>
  <c r="K67" i="4" s="1"/>
  <c r="K66" i="4" s="1"/>
  <c r="K65" i="4" s="1"/>
  <c r="K64" i="4" s="1"/>
  <c r="K63" i="4" s="1"/>
  <c r="K62" i="4" s="1"/>
  <c r="K61" i="4" s="1"/>
  <c r="M61" i="4" s="1"/>
  <c r="Q49" i="4" s="1"/>
  <c r="K98" i="4"/>
  <c r="K97" i="4" s="1"/>
  <c r="K96" i="4" s="1"/>
  <c r="K95" i="4" s="1"/>
  <c r="K94" i="4" s="1"/>
  <c r="K93" i="4" s="1"/>
  <c r="K92" i="4" s="1"/>
  <c r="K91" i="4" s="1"/>
  <c r="K90" i="4" s="1"/>
  <c r="K89" i="4" s="1"/>
  <c r="K88" i="4" s="1"/>
  <c r="K87" i="4" s="1"/>
  <c r="K86" i="4" s="1"/>
  <c r="K85" i="4" s="1"/>
  <c r="K84" i="4" s="1"/>
  <c r="K83" i="4" s="1"/>
  <c r="K100" i="4"/>
  <c r="K99" i="4" s="1"/>
  <c r="K122" i="4"/>
  <c r="K121" i="4" s="1"/>
  <c r="K120" i="4" s="1"/>
  <c r="K119" i="4" s="1"/>
  <c r="K118" i="4" s="1"/>
  <c r="K117" i="4" s="1"/>
  <c r="K116" i="4" s="1"/>
  <c r="K115" i="4" s="1"/>
  <c r="K114" i="4" s="1"/>
  <c r="K113" i="4" s="1"/>
  <c r="K112" i="4" s="1"/>
  <c r="K111" i="4" s="1"/>
  <c r="K110" i="4" s="1"/>
  <c r="K109" i="4" s="1"/>
  <c r="K108" i="4" s="1"/>
  <c r="K107" i="4" s="1"/>
  <c r="K106" i="4" s="1"/>
  <c r="K105" i="4" s="1"/>
  <c r="K104" i="4" s="1"/>
  <c r="K103" i="4" s="1"/>
  <c r="K102" i="4" s="1"/>
  <c r="K101" i="4" s="1"/>
  <c r="K143" i="4"/>
  <c r="K142" i="4" s="1"/>
  <c r="K141" i="4" s="1"/>
  <c r="K140" i="4" s="1"/>
  <c r="K139" i="4" s="1"/>
  <c r="K138" i="4" s="1"/>
  <c r="K137" i="4" s="1"/>
  <c r="K136" i="4" s="1"/>
  <c r="K135" i="4" s="1"/>
  <c r="K134" i="4" s="1"/>
  <c r="K133" i="4" s="1"/>
  <c r="K132" i="4" s="1"/>
  <c r="K131" i="4" s="1"/>
  <c r="K130" i="4" s="1"/>
  <c r="K129" i="4" s="1"/>
  <c r="K128" i="4" s="1"/>
  <c r="K127" i="4" s="1"/>
  <c r="K126" i="4" s="1"/>
  <c r="K125" i="4" s="1"/>
  <c r="K124" i="4" s="1"/>
  <c r="K123" i="4" s="1"/>
  <c r="K156" i="4"/>
  <c r="K155" i="4" s="1"/>
  <c r="K154" i="4" s="1"/>
  <c r="K153" i="4" s="1"/>
  <c r="K152" i="4" s="1"/>
  <c r="K151" i="4" s="1"/>
  <c r="K150" i="4" s="1"/>
  <c r="K149" i="4" s="1"/>
  <c r="K148" i="4" s="1"/>
  <c r="K147" i="4" s="1"/>
  <c r="K146" i="4" s="1"/>
  <c r="K145" i="4" s="1"/>
  <c r="K144" i="4" s="1"/>
  <c r="K161" i="4"/>
  <c r="K160" i="4" s="1"/>
  <c r="K159" i="4" s="1"/>
  <c r="K158" i="4" s="1"/>
  <c r="K157" i="4" s="1"/>
  <c r="K162" i="4"/>
  <c r="K164" i="4"/>
  <c r="K163" i="4" s="1"/>
  <c r="K186" i="4"/>
  <c r="K185" i="4" s="1"/>
  <c r="K184" i="4" s="1"/>
  <c r="K183" i="4" s="1"/>
  <c r="K182" i="4" s="1"/>
  <c r="K181" i="4" s="1"/>
  <c r="K180" i="4" s="1"/>
  <c r="K179" i="4" s="1"/>
  <c r="K178" i="4" s="1"/>
  <c r="K177" i="4" s="1"/>
  <c r="K176" i="4" s="1"/>
  <c r="K175" i="4" s="1"/>
  <c r="K174" i="4" s="1"/>
  <c r="K173" i="4" s="1"/>
  <c r="K172" i="4" s="1"/>
  <c r="K171" i="4" s="1"/>
  <c r="K170" i="4" s="1"/>
  <c r="K169" i="4" s="1"/>
  <c r="K168" i="4" s="1"/>
  <c r="K167" i="4" s="1"/>
  <c r="K166" i="4" s="1"/>
  <c r="K165" i="4" s="1"/>
  <c r="K204" i="4"/>
  <c r="K203" i="4" s="1"/>
  <c r="K202" i="4" s="1"/>
  <c r="K201" i="4" s="1"/>
  <c r="K200" i="4" s="1"/>
  <c r="K199" i="4" s="1"/>
  <c r="K198" i="4" s="1"/>
  <c r="K197" i="4" s="1"/>
  <c r="K196" i="4" s="1"/>
  <c r="K195" i="4" s="1"/>
  <c r="K194" i="4" s="1"/>
  <c r="K193" i="4" s="1"/>
  <c r="K192" i="4" s="1"/>
  <c r="K191" i="4" s="1"/>
  <c r="K190" i="4" s="1"/>
  <c r="K189" i="4" s="1"/>
  <c r="K188" i="4" s="1"/>
  <c r="K187" i="4" s="1"/>
  <c r="K207" i="4"/>
  <c r="K206" i="4" s="1"/>
  <c r="K205" i="4" s="1"/>
  <c r="K228" i="4"/>
  <c r="K227" i="4" s="1"/>
  <c r="K226" i="4" s="1"/>
  <c r="K225" i="4" s="1"/>
  <c r="K224" i="4" s="1"/>
  <c r="K223" i="4" s="1"/>
  <c r="K222" i="4" s="1"/>
  <c r="K221" i="4" s="1"/>
  <c r="K220" i="4" s="1"/>
  <c r="K219" i="4" s="1"/>
  <c r="K218" i="4" s="1"/>
  <c r="K217" i="4" s="1"/>
  <c r="K216" i="4" s="1"/>
  <c r="K215" i="4" s="1"/>
  <c r="K214" i="4" s="1"/>
  <c r="K213" i="4" s="1"/>
  <c r="K212" i="4" s="1"/>
  <c r="K211" i="4" s="1"/>
  <c r="K210" i="4" s="1"/>
  <c r="K209" i="4" s="1"/>
  <c r="K208" i="4" s="1"/>
  <c r="K240" i="4"/>
  <c r="K239" i="4" s="1"/>
  <c r="K238" i="4" s="1"/>
  <c r="K237" i="4" s="1"/>
  <c r="K236" i="4" s="1"/>
  <c r="K235" i="4" s="1"/>
  <c r="K234" i="4" s="1"/>
  <c r="K233" i="4" s="1"/>
  <c r="K232" i="4" s="1"/>
  <c r="K231" i="4" s="1"/>
  <c r="K230" i="4" s="1"/>
  <c r="K229" i="4" s="1"/>
  <c r="K248" i="4"/>
  <c r="K247" i="4" s="1"/>
  <c r="K246" i="4" s="1"/>
  <c r="K245" i="4" s="1"/>
  <c r="K244" i="4" s="1"/>
  <c r="K243" i="4" s="1"/>
  <c r="K242" i="4" s="1"/>
  <c r="K241" i="4" s="1"/>
  <c r="K249" i="4"/>
  <c r="K266" i="4"/>
  <c r="K265" i="4" s="1"/>
  <c r="K264" i="4" s="1"/>
  <c r="K263" i="4" s="1"/>
  <c r="K262" i="4" s="1"/>
  <c r="K261" i="4" s="1"/>
  <c r="K260" i="4" s="1"/>
  <c r="K259" i="4" s="1"/>
  <c r="K258" i="4" s="1"/>
  <c r="K257" i="4" s="1"/>
  <c r="K256" i="4" s="1"/>
  <c r="K255" i="4" s="1"/>
  <c r="K254" i="4" s="1"/>
  <c r="K253" i="4" s="1"/>
  <c r="K252" i="4" s="1"/>
  <c r="K251" i="4" s="1"/>
  <c r="K250" i="4" s="1"/>
  <c r="K268" i="4"/>
  <c r="K267" i="4" s="1"/>
  <c r="K269" i="4"/>
  <c r="K270" i="4"/>
  <c r="K289" i="4"/>
  <c r="K288" i="4" s="1"/>
  <c r="K287" i="4" s="1"/>
  <c r="K286" i="4" s="1"/>
  <c r="K285" i="4" s="1"/>
  <c r="K284" i="4" s="1"/>
  <c r="K283" i="4" s="1"/>
  <c r="K282" i="4" s="1"/>
  <c r="K281" i="4" s="1"/>
  <c r="K280" i="4" s="1"/>
  <c r="K279" i="4" s="1"/>
  <c r="K278" i="4" s="1"/>
  <c r="K277" i="4" s="1"/>
  <c r="K276" i="4" s="1"/>
  <c r="K275" i="4" s="1"/>
  <c r="K274" i="4" s="1"/>
  <c r="K273" i="4" s="1"/>
  <c r="K272" i="4" s="1"/>
  <c r="K271" i="4" s="1"/>
  <c r="K308" i="4"/>
  <c r="K307" i="4" s="1"/>
  <c r="K306" i="4" s="1"/>
  <c r="K305" i="4" s="1"/>
  <c r="K304" i="4" s="1"/>
  <c r="K303" i="4" s="1"/>
  <c r="K302" i="4" s="1"/>
  <c r="K301" i="4" s="1"/>
  <c r="K300" i="4" s="1"/>
  <c r="K299" i="4" s="1"/>
  <c r="K298" i="4" s="1"/>
  <c r="K297" i="4" s="1"/>
  <c r="K296" i="4" s="1"/>
  <c r="K295" i="4" s="1"/>
  <c r="K294" i="4" s="1"/>
  <c r="K293" i="4" s="1"/>
  <c r="K292" i="4" s="1"/>
  <c r="K291" i="4" s="1"/>
  <c r="K290" i="4" s="1"/>
  <c r="K309" i="4"/>
  <c r="K310" i="4"/>
  <c r="K328" i="4"/>
  <c r="K327" i="4" s="1"/>
  <c r="K326" i="4" s="1"/>
  <c r="K325" i="4" s="1"/>
  <c r="K324" i="4" s="1"/>
  <c r="K323" i="4" s="1"/>
  <c r="K322" i="4" s="1"/>
  <c r="K321" i="4" s="1"/>
  <c r="K320" i="4" s="1"/>
  <c r="K319" i="4" s="1"/>
  <c r="K318" i="4" s="1"/>
  <c r="K317" i="4" s="1"/>
  <c r="K316" i="4" s="1"/>
  <c r="K315" i="4" s="1"/>
  <c r="K314" i="4" s="1"/>
  <c r="K313" i="4" s="1"/>
  <c r="K312" i="4" s="1"/>
  <c r="K311" i="4" s="1"/>
  <c r="K329" i="4"/>
  <c r="K330" i="4"/>
  <c r="K331" i="4"/>
  <c r="K350" i="4"/>
  <c r="K349" i="4" s="1"/>
  <c r="K348" i="4" s="1"/>
  <c r="K347" i="4" s="1"/>
  <c r="K346" i="4" s="1"/>
  <c r="K345" i="4" s="1"/>
  <c r="K344" i="4" s="1"/>
  <c r="K343" i="4" s="1"/>
  <c r="K342" i="4" s="1"/>
  <c r="K341" i="4" s="1"/>
  <c r="K340" i="4" s="1"/>
  <c r="K339" i="4" s="1"/>
  <c r="K338" i="4" s="1"/>
  <c r="K337" i="4" s="1"/>
  <c r="K336" i="4" s="1"/>
  <c r="K335" i="4" s="1"/>
  <c r="K334" i="4" s="1"/>
  <c r="K333" i="4" s="1"/>
  <c r="K332" i="4" s="1"/>
  <c r="K370" i="4"/>
  <c r="K369" i="4" s="1"/>
  <c r="K368" i="4" s="1"/>
  <c r="K367" i="4" s="1"/>
  <c r="K366" i="4" s="1"/>
  <c r="K365" i="4" s="1"/>
  <c r="K364" i="4" s="1"/>
  <c r="K363" i="4" s="1"/>
  <c r="K362" i="4" s="1"/>
  <c r="K361" i="4" s="1"/>
  <c r="K360" i="4" s="1"/>
  <c r="K359" i="4" s="1"/>
  <c r="K358" i="4" s="1"/>
  <c r="K357" i="4" s="1"/>
  <c r="K356" i="4" s="1"/>
  <c r="K355" i="4" s="1"/>
  <c r="K354" i="4" s="1"/>
  <c r="K353" i="4" s="1"/>
  <c r="K352" i="4" s="1"/>
  <c r="K351" i="4" s="1"/>
  <c r="K372" i="4"/>
  <c r="K371" i="4" s="1"/>
  <c r="K386" i="4"/>
  <c r="K385" i="4" s="1"/>
  <c r="K384" i="4" s="1"/>
  <c r="K383" i="4" s="1"/>
  <c r="K382" i="4" s="1"/>
  <c r="K381" i="4" s="1"/>
  <c r="K380" i="4" s="1"/>
  <c r="K379" i="4" s="1"/>
  <c r="K378" i="4" s="1"/>
  <c r="K377" i="4" s="1"/>
  <c r="K376" i="4" s="1"/>
  <c r="K375" i="4" s="1"/>
  <c r="K374" i="4" s="1"/>
  <c r="K373" i="4" s="1"/>
  <c r="K388" i="4"/>
  <c r="K387" i="4" s="1"/>
  <c r="K392" i="4"/>
  <c r="K391" i="4" s="1"/>
  <c r="K390" i="4" s="1"/>
  <c r="K389" i="4" s="1"/>
  <c r="K412" i="4"/>
  <c r="K411" i="4" s="1"/>
  <c r="K410" i="4" s="1"/>
  <c r="K409" i="4" s="1"/>
  <c r="K408" i="4" s="1"/>
  <c r="K407" i="4" s="1"/>
  <c r="K406" i="4" s="1"/>
  <c r="K405" i="4" s="1"/>
  <c r="K404" i="4" s="1"/>
  <c r="K403" i="4" s="1"/>
  <c r="K402" i="4" s="1"/>
  <c r="K401" i="4" s="1"/>
  <c r="K400" i="4" s="1"/>
  <c r="K399" i="4" s="1"/>
  <c r="K398" i="4" s="1"/>
  <c r="K397" i="4" s="1"/>
  <c r="K396" i="4" s="1"/>
  <c r="K395" i="4" s="1"/>
  <c r="K394" i="4" s="1"/>
  <c r="K393" i="4" s="1"/>
  <c r="K414" i="4"/>
  <c r="K413" i="4" s="1"/>
  <c r="K433" i="4"/>
  <c r="K432" i="4" s="1"/>
  <c r="K431" i="4" s="1"/>
  <c r="K430" i="4" s="1"/>
  <c r="K429" i="4" s="1"/>
  <c r="K428" i="4" s="1"/>
  <c r="K427" i="4" s="1"/>
  <c r="K426" i="4" s="1"/>
  <c r="K425" i="4" s="1"/>
  <c r="K424" i="4" s="1"/>
  <c r="K423" i="4" s="1"/>
  <c r="K422" i="4" s="1"/>
  <c r="K421" i="4" s="1"/>
  <c r="K420" i="4" s="1"/>
  <c r="K419" i="4" s="1"/>
  <c r="K418" i="4" s="1"/>
  <c r="K417" i="4" s="1"/>
  <c r="K416" i="4" s="1"/>
  <c r="K415" i="4" s="1"/>
  <c r="K434" i="4"/>
  <c r="K435" i="4"/>
  <c r="K456" i="4"/>
  <c r="K455" i="4" s="1"/>
  <c r="K454" i="4" s="1"/>
  <c r="K453" i="4" s="1"/>
  <c r="K452" i="4" s="1"/>
  <c r="K451" i="4" s="1"/>
  <c r="K450" i="4" s="1"/>
  <c r="K449" i="4" s="1"/>
  <c r="K448" i="4" s="1"/>
  <c r="K447" i="4" s="1"/>
  <c r="K446" i="4" s="1"/>
  <c r="K445" i="4" s="1"/>
  <c r="K444" i="4" s="1"/>
  <c r="K443" i="4" s="1"/>
  <c r="K442" i="4" s="1"/>
  <c r="K441" i="4" s="1"/>
  <c r="K440" i="4" s="1"/>
  <c r="K439" i="4" s="1"/>
  <c r="K438" i="4" s="1"/>
  <c r="K437" i="4" s="1"/>
  <c r="K436" i="4" s="1"/>
  <c r="K478" i="4"/>
  <c r="K477" i="4" s="1"/>
  <c r="K476" i="4" s="1"/>
  <c r="K475" i="4" s="1"/>
  <c r="K474" i="4" s="1"/>
  <c r="K473" i="4" s="1"/>
  <c r="K472" i="4" s="1"/>
  <c r="K471" i="4" s="1"/>
  <c r="K470" i="4" s="1"/>
  <c r="K469" i="4" s="1"/>
  <c r="K468" i="4" s="1"/>
  <c r="K467" i="4" s="1"/>
  <c r="K466" i="4" s="1"/>
  <c r="K465" i="4" s="1"/>
  <c r="K464" i="4" s="1"/>
  <c r="K463" i="4" s="1"/>
  <c r="K462" i="4" s="1"/>
  <c r="K461" i="4" s="1"/>
  <c r="K460" i="4" s="1"/>
  <c r="K459" i="4" s="1"/>
  <c r="K458" i="4" s="1"/>
  <c r="K457" i="4" s="1"/>
  <c r="K492" i="4"/>
  <c r="K491" i="4" s="1"/>
  <c r="K490" i="4" s="1"/>
  <c r="K489" i="4" s="1"/>
  <c r="K488" i="4" s="1"/>
  <c r="K487" i="4" s="1"/>
  <c r="K486" i="4" s="1"/>
  <c r="K485" i="4" s="1"/>
  <c r="K484" i="4" s="1"/>
  <c r="K483" i="4" s="1"/>
  <c r="K482" i="4" s="1"/>
  <c r="K481" i="4" s="1"/>
  <c r="K480" i="4" s="1"/>
  <c r="K479" i="4" s="1"/>
  <c r="K500" i="4"/>
  <c r="K499" i="4" s="1"/>
  <c r="K498" i="4" s="1"/>
  <c r="K497" i="4" s="1"/>
  <c r="K496" i="4" s="1"/>
  <c r="K495" i="4" s="1"/>
  <c r="K494" i="4" s="1"/>
  <c r="K493" i="4" s="1"/>
  <c r="K520" i="4"/>
  <c r="K519" i="4" s="1"/>
  <c r="K518" i="4" s="1"/>
  <c r="K517" i="4" s="1"/>
  <c r="K516" i="4" s="1"/>
  <c r="K515" i="4" s="1"/>
  <c r="K514" i="4" s="1"/>
  <c r="K513" i="4" s="1"/>
  <c r="K512" i="4" s="1"/>
  <c r="K511" i="4" s="1"/>
  <c r="K510" i="4" s="1"/>
  <c r="K509" i="4" s="1"/>
  <c r="K508" i="4" s="1"/>
  <c r="K507" i="4" s="1"/>
  <c r="K506" i="4" s="1"/>
  <c r="K505" i="4" s="1"/>
  <c r="K504" i="4" s="1"/>
  <c r="K503" i="4" s="1"/>
  <c r="K502" i="4" s="1"/>
  <c r="K501" i="4" s="1"/>
  <c r="K537" i="4"/>
  <c r="K536" i="4" s="1"/>
  <c r="K535" i="4" s="1"/>
  <c r="K534" i="4" s="1"/>
  <c r="K533" i="4" s="1"/>
  <c r="K532" i="4" s="1"/>
  <c r="K531" i="4" s="1"/>
  <c r="K530" i="4" s="1"/>
  <c r="K529" i="4" s="1"/>
  <c r="K528" i="4" s="1"/>
  <c r="K527" i="4" s="1"/>
  <c r="K526" i="4" s="1"/>
  <c r="K525" i="4" s="1"/>
  <c r="K524" i="4" s="1"/>
  <c r="K523" i="4" s="1"/>
  <c r="K522" i="4" s="1"/>
  <c r="K521" i="4" s="1"/>
  <c r="K538" i="4"/>
  <c r="K539" i="4"/>
  <c r="K552" i="4"/>
  <c r="K551" i="4" s="1"/>
  <c r="K550" i="4" s="1"/>
  <c r="K549" i="4" s="1"/>
  <c r="K548" i="4" s="1"/>
  <c r="K547" i="4" s="1"/>
  <c r="K546" i="4" s="1"/>
  <c r="K545" i="4" s="1"/>
  <c r="K544" i="4" s="1"/>
  <c r="K543" i="4" s="1"/>
  <c r="K542" i="4" s="1"/>
  <c r="K541" i="4" s="1"/>
  <c r="K540" i="4" s="1"/>
  <c r="K554" i="4"/>
  <c r="K553" i="4" s="1"/>
  <c r="K556" i="4"/>
  <c r="K555" i="4" s="1"/>
  <c r="K560" i="4"/>
  <c r="K559" i="4" s="1"/>
  <c r="K558" i="4" s="1"/>
  <c r="K557" i="4" s="1"/>
  <c r="K578" i="4"/>
  <c r="K577" i="4" s="1"/>
  <c r="K576" i="4" s="1"/>
  <c r="K575" i="4" s="1"/>
  <c r="K574" i="4" s="1"/>
  <c r="K573" i="4" s="1"/>
  <c r="K572" i="4" s="1"/>
  <c r="K571" i="4" s="1"/>
  <c r="K570" i="4" s="1"/>
  <c r="K569" i="4" s="1"/>
  <c r="K568" i="4" s="1"/>
  <c r="K567" i="4" s="1"/>
  <c r="K566" i="4" s="1"/>
  <c r="K565" i="4" s="1"/>
  <c r="K564" i="4" s="1"/>
  <c r="K563" i="4" s="1"/>
  <c r="K562" i="4" s="1"/>
  <c r="K561" i="4" s="1"/>
  <c r="K580" i="4"/>
  <c r="K579" i="4" s="1"/>
  <c r="K600" i="4"/>
  <c r="K599" i="4" s="1"/>
  <c r="K598" i="4" s="1"/>
  <c r="K597" i="4" s="1"/>
  <c r="K596" i="4" s="1"/>
  <c r="K595" i="4" s="1"/>
  <c r="K594" i="4" s="1"/>
  <c r="K593" i="4" s="1"/>
  <c r="K592" i="4" s="1"/>
  <c r="K591" i="4" s="1"/>
  <c r="K590" i="4" s="1"/>
  <c r="K589" i="4" s="1"/>
  <c r="K588" i="4" s="1"/>
  <c r="K587" i="4" s="1"/>
  <c r="K586" i="4" s="1"/>
  <c r="K585" i="4" s="1"/>
  <c r="K584" i="4" s="1"/>
  <c r="K583" i="4" s="1"/>
  <c r="K582" i="4" s="1"/>
  <c r="K581" i="4" s="1"/>
  <c r="K618" i="4"/>
  <c r="K617" i="4" s="1"/>
  <c r="K616" i="4" s="1"/>
  <c r="K615" i="4" s="1"/>
  <c r="K614" i="4" s="1"/>
  <c r="K613" i="4" s="1"/>
  <c r="K612" i="4" s="1"/>
  <c r="K611" i="4" s="1"/>
  <c r="K610" i="4" s="1"/>
  <c r="K609" i="4" s="1"/>
  <c r="K608" i="4" s="1"/>
  <c r="K607" i="4" s="1"/>
  <c r="K606" i="4" s="1"/>
  <c r="K605" i="4" s="1"/>
  <c r="K604" i="4" s="1"/>
  <c r="K603" i="4" s="1"/>
  <c r="K602" i="4" s="1"/>
  <c r="K601" i="4" s="1"/>
  <c r="K620" i="4"/>
  <c r="K619" i="4" s="1"/>
  <c r="K621" i="4"/>
  <c r="K628" i="4"/>
  <c r="K627" i="4" s="1"/>
  <c r="K626" i="4" s="1"/>
  <c r="K625" i="4" s="1"/>
  <c r="K624" i="4" s="1"/>
  <c r="K623" i="4" s="1"/>
  <c r="K622" i="4" s="1"/>
  <c r="K633" i="4"/>
  <c r="K632" i="4" s="1"/>
  <c r="K631" i="4" s="1"/>
  <c r="K630" i="4" s="1"/>
  <c r="K629" i="4" s="1"/>
  <c r="K640" i="4"/>
  <c r="K639" i="4" s="1"/>
  <c r="K638" i="4" s="1"/>
  <c r="K637" i="4" s="1"/>
  <c r="K636" i="4" s="1"/>
  <c r="K635" i="4" s="1"/>
  <c r="K634" i="4" s="1"/>
  <c r="K658" i="4"/>
  <c r="K657" i="4" s="1"/>
  <c r="K656" i="4" s="1"/>
  <c r="K655" i="4" s="1"/>
  <c r="K654" i="4" s="1"/>
  <c r="K653" i="4" s="1"/>
  <c r="K652" i="4" s="1"/>
  <c r="K651" i="4" s="1"/>
  <c r="K650" i="4" s="1"/>
  <c r="K649" i="4" s="1"/>
  <c r="K648" i="4" s="1"/>
  <c r="K647" i="4" s="1"/>
  <c r="K646" i="4" s="1"/>
  <c r="K645" i="4" s="1"/>
  <c r="K644" i="4" s="1"/>
  <c r="K643" i="4" s="1"/>
  <c r="K642" i="4" s="1"/>
  <c r="K641" i="4" s="1"/>
  <c r="K660" i="4"/>
  <c r="K659" i="4" s="1"/>
  <c r="K662" i="4"/>
  <c r="K661" i="4" s="1"/>
  <c r="K663" i="4"/>
  <c r="K684" i="4"/>
  <c r="K683" i="4" s="1"/>
  <c r="K682" i="4" s="1"/>
  <c r="K681" i="4" s="1"/>
  <c r="K680" i="4" s="1"/>
  <c r="K679" i="4" s="1"/>
  <c r="K678" i="4" s="1"/>
  <c r="K677" i="4" s="1"/>
  <c r="K676" i="4" s="1"/>
  <c r="K675" i="4" s="1"/>
  <c r="K674" i="4" s="1"/>
  <c r="K673" i="4" s="1"/>
  <c r="K672" i="4" s="1"/>
  <c r="K671" i="4" s="1"/>
  <c r="K670" i="4" s="1"/>
  <c r="K669" i="4" s="1"/>
  <c r="K668" i="4" s="1"/>
  <c r="K667" i="4" s="1"/>
  <c r="K666" i="4" s="1"/>
  <c r="K665" i="4" s="1"/>
  <c r="K664" i="4" s="1"/>
  <c r="K705" i="4"/>
  <c r="K704" i="4" s="1"/>
  <c r="K703" i="4" s="1"/>
  <c r="K702" i="4" s="1"/>
  <c r="K701" i="4" s="1"/>
  <c r="K700" i="4" s="1"/>
  <c r="K699" i="4" s="1"/>
  <c r="K698" i="4" s="1"/>
  <c r="K697" i="4" s="1"/>
  <c r="K696" i="4" s="1"/>
  <c r="K695" i="4" s="1"/>
  <c r="K694" i="4" s="1"/>
  <c r="K693" i="4" s="1"/>
  <c r="K692" i="4" s="1"/>
  <c r="K691" i="4" s="1"/>
  <c r="K690" i="4" s="1"/>
  <c r="K689" i="4" s="1"/>
  <c r="K688" i="4" s="1"/>
  <c r="K687" i="4" s="1"/>
  <c r="K686" i="4" s="1"/>
  <c r="K685" i="4" s="1"/>
  <c r="K727" i="4"/>
  <c r="K726" i="4" s="1"/>
  <c r="K725" i="4" s="1"/>
  <c r="K724" i="4" s="1"/>
  <c r="K723" i="4" s="1"/>
  <c r="K722" i="4" s="1"/>
  <c r="K721" i="4" s="1"/>
  <c r="K720" i="4" s="1"/>
  <c r="K719" i="4" s="1"/>
  <c r="K718" i="4" s="1"/>
  <c r="K717" i="4" s="1"/>
  <c r="K716" i="4" s="1"/>
  <c r="K715" i="4" s="1"/>
  <c r="K714" i="4" s="1"/>
  <c r="K713" i="4" s="1"/>
  <c r="K712" i="4" s="1"/>
  <c r="K711" i="4" s="1"/>
  <c r="K710" i="4" s="1"/>
  <c r="K709" i="4" s="1"/>
  <c r="K708" i="4" s="1"/>
  <c r="K707" i="4" s="1"/>
  <c r="K706" i="4" s="1"/>
  <c r="K748" i="4"/>
  <c r="K747" i="4" s="1"/>
  <c r="K746" i="4" s="1"/>
  <c r="K745" i="4" s="1"/>
  <c r="K744" i="4" s="1"/>
  <c r="K743" i="4" s="1"/>
  <c r="K742" i="4" s="1"/>
  <c r="K741" i="4" s="1"/>
  <c r="K740" i="4" s="1"/>
  <c r="K739" i="4" s="1"/>
  <c r="K738" i="4" s="1"/>
  <c r="K737" i="4" s="1"/>
  <c r="K736" i="4" s="1"/>
  <c r="K735" i="4" s="1"/>
  <c r="K734" i="4" s="1"/>
  <c r="K733" i="4" s="1"/>
  <c r="K732" i="4" s="1"/>
  <c r="K731" i="4" s="1"/>
  <c r="K730" i="4" s="1"/>
  <c r="K729" i="4" s="1"/>
  <c r="K728" i="4" s="1"/>
  <c r="K770" i="4"/>
  <c r="K769" i="4" s="1"/>
  <c r="K768" i="4" s="1"/>
  <c r="K767" i="4" s="1"/>
  <c r="K766" i="4" s="1"/>
  <c r="K765" i="4" s="1"/>
  <c r="K764" i="4" s="1"/>
  <c r="K763" i="4" s="1"/>
  <c r="K762" i="4" s="1"/>
  <c r="K761" i="4" s="1"/>
  <c r="K760" i="4" s="1"/>
  <c r="K759" i="4" s="1"/>
  <c r="K758" i="4" s="1"/>
  <c r="K757" i="4" s="1"/>
  <c r="K756" i="4" s="1"/>
  <c r="K755" i="4" s="1"/>
  <c r="K754" i="4" s="1"/>
  <c r="K753" i="4" s="1"/>
  <c r="K752" i="4" s="1"/>
  <c r="K751" i="4" s="1"/>
  <c r="K750" i="4" s="1"/>
  <c r="K749" i="4" s="1"/>
  <c r="K788" i="4"/>
  <c r="K787" i="4" s="1"/>
  <c r="K786" i="4" s="1"/>
  <c r="K785" i="4" s="1"/>
  <c r="K784" i="4" s="1"/>
  <c r="K783" i="4" s="1"/>
  <c r="K782" i="4" s="1"/>
  <c r="K781" i="4" s="1"/>
  <c r="K780" i="4" s="1"/>
  <c r="K779" i="4" s="1"/>
  <c r="K778" i="4" s="1"/>
  <c r="K777" i="4" s="1"/>
  <c r="K776" i="4" s="1"/>
  <c r="K775" i="4" s="1"/>
  <c r="K774" i="4" s="1"/>
  <c r="K773" i="4" s="1"/>
  <c r="K772" i="4" s="1"/>
  <c r="K771" i="4" s="1"/>
  <c r="K789" i="4"/>
  <c r="K790" i="4"/>
  <c r="K810" i="4"/>
  <c r="K809" i="4" s="1"/>
  <c r="K808" i="4" s="1"/>
  <c r="K807" i="4" s="1"/>
  <c r="K806" i="4" s="1"/>
  <c r="K805" i="4" s="1"/>
  <c r="K804" i="4" s="1"/>
  <c r="K803" i="4" s="1"/>
  <c r="K802" i="4" s="1"/>
  <c r="K801" i="4" s="1"/>
  <c r="K800" i="4" s="1"/>
  <c r="K799" i="4" s="1"/>
  <c r="K798" i="4" s="1"/>
  <c r="K797" i="4" s="1"/>
  <c r="K796" i="4" s="1"/>
  <c r="K795" i="4" s="1"/>
  <c r="K794" i="4" s="1"/>
  <c r="K793" i="4" s="1"/>
  <c r="K792" i="4" s="1"/>
  <c r="K791" i="4" s="1"/>
  <c r="K828" i="4"/>
  <c r="K827" i="4" s="1"/>
  <c r="K826" i="4" s="1"/>
  <c r="K825" i="4" s="1"/>
  <c r="K824" i="4" s="1"/>
  <c r="K823" i="4" s="1"/>
  <c r="K822" i="4" s="1"/>
  <c r="K821" i="4" s="1"/>
  <c r="K820" i="4" s="1"/>
  <c r="K819" i="4" s="1"/>
  <c r="K818" i="4" s="1"/>
  <c r="K817" i="4" s="1"/>
  <c r="K816" i="4" s="1"/>
  <c r="K815" i="4" s="1"/>
  <c r="K814" i="4" s="1"/>
  <c r="K813" i="4" s="1"/>
  <c r="K812" i="4" s="1"/>
  <c r="K811" i="4" s="1"/>
  <c r="K829" i="4"/>
  <c r="K830" i="4"/>
  <c r="K831" i="4"/>
  <c r="K850" i="4"/>
  <c r="K849" i="4" s="1"/>
  <c r="K848" i="4" s="1"/>
  <c r="K847" i="4" s="1"/>
  <c r="K846" i="4" s="1"/>
  <c r="K845" i="4" s="1"/>
  <c r="K844" i="4" s="1"/>
  <c r="K843" i="4" s="1"/>
  <c r="K842" i="4" s="1"/>
  <c r="K841" i="4" s="1"/>
  <c r="K840" i="4" s="1"/>
  <c r="K839" i="4" s="1"/>
  <c r="K838" i="4" s="1"/>
  <c r="K837" i="4" s="1"/>
  <c r="K836" i="4" s="1"/>
  <c r="K835" i="4" s="1"/>
  <c r="K834" i="4" s="1"/>
  <c r="K833" i="4" s="1"/>
  <c r="K832" i="4" s="1"/>
  <c r="K851" i="4"/>
  <c r="K871" i="4"/>
  <c r="K870" i="4" s="1"/>
  <c r="K869" i="4" s="1"/>
  <c r="K868" i="4" s="1"/>
  <c r="K867" i="4" s="1"/>
  <c r="K866" i="4" s="1"/>
  <c r="K865" i="4" s="1"/>
  <c r="K864" i="4" s="1"/>
  <c r="K863" i="4" s="1"/>
  <c r="K862" i="4" s="1"/>
  <c r="K861" i="4" s="1"/>
  <c r="K860" i="4" s="1"/>
  <c r="K859" i="4" s="1"/>
  <c r="K858" i="4" s="1"/>
  <c r="K857" i="4" s="1"/>
  <c r="K856" i="4" s="1"/>
  <c r="K855" i="4" s="1"/>
  <c r="K854" i="4" s="1"/>
  <c r="K853" i="4" s="1"/>
  <c r="K852" i="4" s="1"/>
  <c r="K892" i="4"/>
  <c r="K891" i="4" s="1"/>
  <c r="K890" i="4" s="1"/>
  <c r="K889" i="4" s="1"/>
  <c r="K888" i="4" s="1"/>
  <c r="K887" i="4" s="1"/>
  <c r="K886" i="4" s="1"/>
  <c r="K885" i="4" s="1"/>
  <c r="K884" i="4" s="1"/>
  <c r="K883" i="4" s="1"/>
  <c r="K882" i="4" s="1"/>
  <c r="K881" i="4" s="1"/>
  <c r="K880" i="4" s="1"/>
  <c r="K879" i="4" s="1"/>
  <c r="K878" i="4" s="1"/>
  <c r="K877" i="4" s="1"/>
  <c r="K876" i="4" s="1"/>
  <c r="K875" i="4" s="1"/>
  <c r="K874" i="4" s="1"/>
  <c r="K873" i="4" s="1"/>
  <c r="K872" i="4" s="1"/>
  <c r="K914" i="4"/>
  <c r="K913" i="4" s="1"/>
  <c r="K912" i="4" s="1"/>
  <c r="K911" i="4" s="1"/>
  <c r="K910" i="4" s="1"/>
  <c r="K909" i="4" s="1"/>
  <c r="K908" i="4" s="1"/>
  <c r="K907" i="4" s="1"/>
  <c r="K906" i="4" s="1"/>
  <c r="K905" i="4" s="1"/>
  <c r="K904" i="4" s="1"/>
  <c r="K903" i="4" s="1"/>
  <c r="K902" i="4" s="1"/>
  <c r="K901" i="4" s="1"/>
  <c r="K900" i="4" s="1"/>
  <c r="K899" i="4" s="1"/>
  <c r="K898" i="4" s="1"/>
  <c r="K897" i="4" s="1"/>
  <c r="K896" i="4" s="1"/>
  <c r="K895" i="4" s="1"/>
  <c r="K894" i="4" s="1"/>
  <c r="K893" i="4" s="1"/>
  <c r="K915" i="4"/>
  <c r="K932" i="4"/>
  <c r="K931" i="4" s="1"/>
  <c r="K930" i="4" s="1"/>
  <c r="K929" i="4" s="1"/>
  <c r="K928" i="4" s="1"/>
  <c r="K927" i="4" s="1"/>
  <c r="K926" i="4" s="1"/>
  <c r="K925" i="4" s="1"/>
  <c r="K924" i="4" s="1"/>
  <c r="K923" i="4" s="1"/>
  <c r="K922" i="4" s="1"/>
  <c r="K921" i="4" s="1"/>
  <c r="K920" i="4" s="1"/>
  <c r="K919" i="4" s="1"/>
  <c r="K918" i="4" s="1"/>
  <c r="K917" i="4" s="1"/>
  <c r="K916" i="4" s="1"/>
  <c r="K935" i="4"/>
  <c r="K934" i="4" s="1"/>
  <c r="K933" i="4" s="1"/>
  <c r="K956" i="4"/>
  <c r="K955" i="4" s="1"/>
  <c r="K954" i="4" s="1"/>
  <c r="K953" i="4" s="1"/>
  <c r="K952" i="4" s="1"/>
  <c r="K951" i="4" s="1"/>
  <c r="K950" i="4" s="1"/>
  <c r="K949" i="4" s="1"/>
  <c r="K948" i="4" s="1"/>
  <c r="K947" i="4" s="1"/>
  <c r="K946" i="4" s="1"/>
  <c r="K945" i="4" s="1"/>
  <c r="K944" i="4" s="1"/>
  <c r="K943" i="4" s="1"/>
  <c r="K942" i="4" s="1"/>
  <c r="K941" i="4" s="1"/>
  <c r="K940" i="4" s="1"/>
  <c r="K939" i="4" s="1"/>
  <c r="K938" i="4" s="1"/>
  <c r="K937" i="4" s="1"/>
  <c r="K936" i="4" s="1"/>
  <c r="K957" i="4"/>
  <c r="K977" i="4"/>
  <c r="K976" i="4" s="1"/>
  <c r="K975" i="4" s="1"/>
  <c r="K974" i="4" s="1"/>
  <c r="K973" i="4" s="1"/>
  <c r="K972" i="4" s="1"/>
  <c r="K971" i="4" s="1"/>
  <c r="K970" i="4" s="1"/>
  <c r="K969" i="4" s="1"/>
  <c r="K968" i="4" s="1"/>
  <c r="K967" i="4" s="1"/>
  <c r="K966" i="4" s="1"/>
  <c r="K965" i="4" s="1"/>
  <c r="K964" i="4" s="1"/>
  <c r="K963" i="4" s="1"/>
  <c r="K962" i="4" s="1"/>
  <c r="K961" i="4" s="1"/>
  <c r="K960" i="4" s="1"/>
  <c r="K959" i="4" s="1"/>
  <c r="K958" i="4" s="1"/>
  <c r="K978" i="4"/>
  <c r="K993" i="4"/>
  <c r="K992" i="4" s="1"/>
  <c r="K991" i="4" s="1"/>
  <c r="K990" i="4" s="1"/>
  <c r="K989" i="4" s="1"/>
  <c r="K988" i="4" s="1"/>
  <c r="K987" i="4" s="1"/>
  <c r="K986" i="4" s="1"/>
  <c r="K985" i="4" s="1"/>
  <c r="K984" i="4" s="1"/>
  <c r="K983" i="4" s="1"/>
  <c r="K982" i="4" s="1"/>
  <c r="K981" i="4" s="1"/>
  <c r="K980" i="4" s="1"/>
  <c r="K979" i="4" s="1"/>
  <c r="K994" i="4"/>
  <c r="K996" i="4"/>
  <c r="K995" i="4" s="1"/>
  <c r="K997" i="4"/>
  <c r="K998" i="4"/>
  <c r="K1020" i="4"/>
  <c r="K1019" i="4" s="1"/>
  <c r="K1018" i="4" s="1"/>
  <c r="K1017" i="4" s="1"/>
  <c r="K1016" i="4" s="1"/>
  <c r="K1015" i="4" s="1"/>
  <c r="K1014" i="4" s="1"/>
  <c r="K1013" i="4" s="1"/>
  <c r="K1012" i="4" s="1"/>
  <c r="K1011" i="4" s="1"/>
  <c r="K1010" i="4" s="1"/>
  <c r="K1009" i="4" s="1"/>
  <c r="K1008" i="4" s="1"/>
  <c r="K1007" i="4" s="1"/>
  <c r="K1006" i="4" s="1"/>
  <c r="K1005" i="4" s="1"/>
  <c r="K1004" i="4" s="1"/>
  <c r="K1003" i="4" s="1"/>
  <c r="K1002" i="4" s="1"/>
  <c r="K1001" i="4" s="1"/>
  <c r="K1000" i="4" s="1"/>
  <c r="K999" i="4" s="1"/>
  <c r="K1021" i="4"/>
  <c r="K1040" i="4"/>
  <c r="K1039" i="4" s="1"/>
  <c r="K1038" i="4" s="1"/>
  <c r="K1037" i="4" s="1"/>
  <c r="K1036" i="4" s="1"/>
  <c r="K1035" i="4" s="1"/>
  <c r="K1034" i="4" s="1"/>
  <c r="K1033" i="4" s="1"/>
  <c r="K1032" i="4" s="1"/>
  <c r="K1031" i="4" s="1"/>
  <c r="K1030" i="4" s="1"/>
  <c r="K1029" i="4" s="1"/>
  <c r="K1028" i="4" s="1"/>
  <c r="K1027" i="4" s="1"/>
  <c r="K1026" i="4" s="1"/>
  <c r="K1025" i="4" s="1"/>
  <c r="K1024" i="4" s="1"/>
  <c r="K1023" i="4" s="1"/>
  <c r="K1022" i="4" s="1"/>
  <c r="K1060" i="4"/>
  <c r="K1059" i="4" s="1"/>
  <c r="K1058" i="4" s="1"/>
  <c r="K1057" i="4" s="1"/>
  <c r="K1056" i="4" s="1"/>
  <c r="K1055" i="4" s="1"/>
  <c r="K1054" i="4" s="1"/>
  <c r="K1053" i="4" s="1"/>
  <c r="K1052" i="4" s="1"/>
  <c r="K1051" i="4" s="1"/>
  <c r="K1050" i="4" s="1"/>
  <c r="K1049" i="4" s="1"/>
  <c r="K1048" i="4" s="1"/>
  <c r="K1047" i="4" s="1"/>
  <c r="K1046" i="4" s="1"/>
  <c r="K1045" i="4" s="1"/>
  <c r="K1044" i="4" s="1"/>
  <c r="K1043" i="4" s="1"/>
  <c r="K1042" i="4" s="1"/>
  <c r="K1041" i="4" s="1"/>
  <c r="L20" i="4"/>
  <c r="L19" i="4" s="1"/>
  <c r="L18" i="4" s="1"/>
  <c r="L17" i="4" s="1"/>
  <c r="L16" i="4" s="1"/>
  <c r="L15" i="4" s="1"/>
  <c r="L14" i="4" s="1"/>
  <c r="L13" i="4" s="1"/>
  <c r="L12" i="4" s="1"/>
  <c r="L11" i="4" s="1"/>
  <c r="L10" i="4" s="1"/>
  <c r="L9" i="4" s="1"/>
  <c r="L8" i="4" s="1"/>
  <c r="L7" i="4" s="1"/>
  <c r="L6" i="4" s="1"/>
  <c r="L5" i="4" s="1"/>
  <c r="L4" i="4" s="1"/>
  <c r="L21" i="4"/>
  <c r="L39" i="4"/>
  <c r="L38" i="4" s="1"/>
  <c r="L37" i="4" s="1"/>
  <c r="L36" i="4" s="1"/>
  <c r="L35" i="4" s="1"/>
  <c r="L34" i="4" s="1"/>
  <c r="L33" i="4" s="1"/>
  <c r="L32" i="4" s="1"/>
  <c r="L31" i="4" s="1"/>
  <c r="L30" i="4" s="1"/>
  <c r="L29" i="4" s="1"/>
  <c r="L28" i="4" s="1"/>
  <c r="L27" i="4" s="1"/>
  <c r="L26" i="4" s="1"/>
  <c r="L25" i="4" s="1"/>
  <c r="L24" i="4" s="1"/>
  <c r="L23" i="4" s="1"/>
  <c r="L22" i="4" s="1"/>
  <c r="L40" i="4"/>
  <c r="L60" i="4"/>
  <c r="L59" i="4" s="1"/>
  <c r="L58" i="4" s="1"/>
  <c r="L57" i="4" s="1"/>
  <c r="L56" i="4" s="1"/>
  <c r="L79" i="4"/>
  <c r="L78" i="4" s="1"/>
  <c r="L77" i="4" s="1"/>
  <c r="L76" i="4" s="1"/>
  <c r="L75" i="4" s="1"/>
  <c r="L74" i="4" s="1"/>
  <c r="L73" i="4" s="1"/>
  <c r="L72" i="4" s="1"/>
  <c r="L71" i="4" s="1"/>
  <c r="L70" i="4" s="1"/>
  <c r="L69" i="4" s="1"/>
  <c r="L68" i="4" s="1"/>
  <c r="L67" i="4" s="1"/>
  <c r="L66" i="4" s="1"/>
  <c r="L65" i="4" s="1"/>
  <c r="L64" i="4" s="1"/>
  <c r="L63" i="4" s="1"/>
  <c r="L62" i="4" s="1"/>
  <c r="L61" i="4" s="1"/>
  <c r="L80" i="4"/>
  <c r="L82" i="4"/>
  <c r="L81" i="4" s="1"/>
  <c r="L91" i="4"/>
  <c r="L90" i="4" s="1"/>
  <c r="L89" i="4" s="1"/>
  <c r="L88" i="4" s="1"/>
  <c r="L87" i="4" s="1"/>
  <c r="L86" i="4" s="1"/>
  <c r="L85" i="4" s="1"/>
  <c r="L84" i="4" s="1"/>
  <c r="L83" i="4" s="1"/>
  <c r="L95" i="4"/>
  <c r="L94" i="4" s="1"/>
  <c r="L93" i="4" s="1"/>
  <c r="L92" i="4" s="1"/>
  <c r="L99" i="4"/>
  <c r="L98" i="4" s="1"/>
  <c r="L97" i="4" s="1"/>
  <c r="L96" i="4" s="1"/>
  <c r="L100" i="4"/>
  <c r="L120" i="4"/>
  <c r="L119" i="4" s="1"/>
  <c r="L118" i="4" s="1"/>
  <c r="L117" i="4" s="1"/>
  <c r="L116" i="4" s="1"/>
  <c r="L115" i="4" s="1"/>
  <c r="L114" i="4" s="1"/>
  <c r="L113" i="4" s="1"/>
  <c r="L112" i="4" s="1"/>
  <c r="L111" i="4" s="1"/>
  <c r="L110" i="4" s="1"/>
  <c r="L109" i="4" s="1"/>
  <c r="L108" i="4" s="1"/>
  <c r="L107" i="4" s="1"/>
  <c r="L106" i="4" s="1"/>
  <c r="L105" i="4" s="1"/>
  <c r="L104" i="4" s="1"/>
  <c r="L103" i="4" s="1"/>
  <c r="L102" i="4" s="1"/>
  <c r="L101" i="4" s="1"/>
  <c r="L122" i="4"/>
  <c r="L121" i="4" s="1"/>
  <c r="L123" i="4"/>
  <c r="L139" i="4"/>
  <c r="L138" i="4" s="1"/>
  <c r="L137" i="4" s="1"/>
  <c r="L136" i="4" s="1"/>
  <c r="L135" i="4" s="1"/>
  <c r="L134" i="4" s="1"/>
  <c r="L133" i="4" s="1"/>
  <c r="L132" i="4" s="1"/>
  <c r="L131" i="4" s="1"/>
  <c r="L130" i="4" s="1"/>
  <c r="L129" i="4" s="1"/>
  <c r="L128" i="4" s="1"/>
  <c r="L127" i="4" s="1"/>
  <c r="L126" i="4" s="1"/>
  <c r="L125" i="4" s="1"/>
  <c r="L124" i="4" s="1"/>
  <c r="L143" i="4"/>
  <c r="L142" i="4" s="1"/>
  <c r="L141" i="4" s="1"/>
  <c r="L140" i="4" s="1"/>
  <c r="L162" i="4"/>
  <c r="L161" i="4" s="1"/>
  <c r="L160" i="4" s="1"/>
  <c r="L159" i="4" s="1"/>
  <c r="L158" i="4" s="1"/>
  <c r="L157" i="4" s="1"/>
  <c r="L156" i="4" s="1"/>
  <c r="L155" i="4" s="1"/>
  <c r="L154" i="4" s="1"/>
  <c r="L153" i="4" s="1"/>
  <c r="L152" i="4" s="1"/>
  <c r="L151" i="4" s="1"/>
  <c r="L150" i="4" s="1"/>
  <c r="L149" i="4" s="1"/>
  <c r="L148" i="4" s="1"/>
  <c r="L147" i="4" s="1"/>
  <c r="L146" i="4" s="1"/>
  <c r="L145" i="4" s="1"/>
  <c r="L144" i="4" s="1"/>
  <c r="L163" i="4"/>
  <c r="L164" i="4"/>
  <c r="L186" i="4"/>
  <c r="L185" i="4" s="1"/>
  <c r="L184" i="4" s="1"/>
  <c r="L183" i="4" s="1"/>
  <c r="L182" i="4" s="1"/>
  <c r="L181" i="4" s="1"/>
  <c r="L180" i="4" s="1"/>
  <c r="L179" i="4" s="1"/>
  <c r="L178" i="4" s="1"/>
  <c r="L177" i="4" s="1"/>
  <c r="L176" i="4" s="1"/>
  <c r="L175" i="4" s="1"/>
  <c r="L174" i="4" s="1"/>
  <c r="L173" i="4" s="1"/>
  <c r="L172" i="4" s="1"/>
  <c r="L171" i="4" s="1"/>
  <c r="L170" i="4" s="1"/>
  <c r="L169" i="4" s="1"/>
  <c r="L168" i="4" s="1"/>
  <c r="L167" i="4" s="1"/>
  <c r="L166" i="4" s="1"/>
  <c r="L165" i="4" s="1"/>
  <c r="L202" i="4"/>
  <c r="L201" i="4" s="1"/>
  <c r="L200" i="4" s="1"/>
  <c r="L199" i="4" s="1"/>
  <c r="L198" i="4" s="1"/>
  <c r="L197" i="4" s="1"/>
  <c r="L196" i="4" s="1"/>
  <c r="L195" i="4" s="1"/>
  <c r="L194" i="4" s="1"/>
  <c r="L193" i="4" s="1"/>
  <c r="L192" i="4" s="1"/>
  <c r="L191" i="4" s="1"/>
  <c r="L190" i="4" s="1"/>
  <c r="L189" i="4" s="1"/>
  <c r="L188" i="4" s="1"/>
  <c r="L187" i="4" s="1"/>
  <c r="L203" i="4"/>
  <c r="L207" i="4"/>
  <c r="L206" i="4" s="1"/>
  <c r="L205" i="4" s="1"/>
  <c r="L204" i="4" s="1"/>
  <c r="L226" i="4"/>
  <c r="L225" i="4" s="1"/>
  <c r="L224" i="4" s="1"/>
  <c r="L223" i="4" s="1"/>
  <c r="L222" i="4" s="1"/>
  <c r="L221" i="4" s="1"/>
  <c r="L220" i="4" s="1"/>
  <c r="L219" i="4" s="1"/>
  <c r="L218" i="4" s="1"/>
  <c r="L217" i="4" s="1"/>
  <c r="L216" i="4" s="1"/>
  <c r="L215" i="4" s="1"/>
  <c r="L214" i="4" s="1"/>
  <c r="L213" i="4" s="1"/>
  <c r="L212" i="4" s="1"/>
  <c r="L211" i="4" s="1"/>
  <c r="L210" i="4" s="1"/>
  <c r="L209" i="4" s="1"/>
  <c r="L208" i="4" s="1"/>
  <c r="L227" i="4"/>
  <c r="L228" i="4"/>
  <c r="L240" i="4"/>
  <c r="L239" i="4" s="1"/>
  <c r="L238" i="4" s="1"/>
  <c r="L237" i="4" s="1"/>
  <c r="L236" i="4" s="1"/>
  <c r="L235" i="4" s="1"/>
  <c r="L234" i="4" s="1"/>
  <c r="L233" i="4" s="1"/>
  <c r="L232" i="4" s="1"/>
  <c r="L231" i="4" s="1"/>
  <c r="L230" i="4" s="1"/>
  <c r="L229" i="4" s="1"/>
  <c r="L241" i="4"/>
  <c r="L249" i="4"/>
  <c r="L248" i="4" s="1"/>
  <c r="L247" i="4" s="1"/>
  <c r="L246" i="4" s="1"/>
  <c r="L245" i="4" s="1"/>
  <c r="L244" i="4" s="1"/>
  <c r="L243" i="4" s="1"/>
  <c r="L242" i="4" s="1"/>
  <c r="L266" i="4"/>
  <c r="L265" i="4" s="1"/>
  <c r="L264" i="4" s="1"/>
  <c r="L263" i="4" s="1"/>
  <c r="L262" i="4" s="1"/>
  <c r="L261" i="4" s="1"/>
  <c r="L260" i="4" s="1"/>
  <c r="L259" i="4" s="1"/>
  <c r="L258" i="4" s="1"/>
  <c r="L257" i="4" s="1"/>
  <c r="L256" i="4" s="1"/>
  <c r="L255" i="4" s="1"/>
  <c r="L254" i="4" s="1"/>
  <c r="L253" i="4" s="1"/>
  <c r="L252" i="4" s="1"/>
  <c r="L251" i="4" s="1"/>
  <c r="L250" i="4" s="1"/>
  <c r="L267" i="4"/>
  <c r="L270" i="4"/>
  <c r="L269" i="4" s="1"/>
  <c r="L268" i="4" s="1"/>
  <c r="L287" i="4"/>
  <c r="L286" i="4" s="1"/>
  <c r="L285" i="4" s="1"/>
  <c r="L284" i="4" s="1"/>
  <c r="L283" i="4" s="1"/>
  <c r="L282" i="4" s="1"/>
  <c r="L281" i="4" s="1"/>
  <c r="L280" i="4" s="1"/>
  <c r="L279" i="4" s="1"/>
  <c r="L278" i="4" s="1"/>
  <c r="L277" i="4" s="1"/>
  <c r="L276" i="4" s="1"/>
  <c r="L275" i="4" s="1"/>
  <c r="L274" i="4" s="1"/>
  <c r="L273" i="4" s="1"/>
  <c r="L272" i="4" s="1"/>
  <c r="L271" i="4" s="1"/>
  <c r="L288" i="4"/>
  <c r="L289" i="4"/>
  <c r="L290" i="4"/>
  <c r="L307" i="4"/>
  <c r="L306" i="4" s="1"/>
  <c r="L305" i="4" s="1"/>
  <c r="L304" i="4" s="1"/>
  <c r="L303" i="4" s="1"/>
  <c r="L302" i="4" s="1"/>
  <c r="L301" i="4" s="1"/>
  <c r="L300" i="4" s="1"/>
  <c r="L299" i="4" s="1"/>
  <c r="L298" i="4" s="1"/>
  <c r="L297" i="4" s="1"/>
  <c r="L296" i="4" s="1"/>
  <c r="L295" i="4" s="1"/>
  <c r="L294" i="4" s="1"/>
  <c r="L293" i="4" s="1"/>
  <c r="L292" i="4" s="1"/>
  <c r="L291" i="4" s="1"/>
  <c r="L310" i="4"/>
  <c r="L309" i="4" s="1"/>
  <c r="L308" i="4" s="1"/>
  <c r="L328" i="4"/>
  <c r="L327" i="4" s="1"/>
  <c r="L326" i="4" s="1"/>
  <c r="L325" i="4" s="1"/>
  <c r="L324" i="4" s="1"/>
  <c r="L323" i="4" s="1"/>
  <c r="L322" i="4" s="1"/>
  <c r="L321" i="4" s="1"/>
  <c r="L320" i="4" s="1"/>
  <c r="L319" i="4" s="1"/>
  <c r="L318" i="4" s="1"/>
  <c r="L317" i="4" s="1"/>
  <c r="L316" i="4" s="1"/>
  <c r="L315" i="4" s="1"/>
  <c r="L314" i="4" s="1"/>
  <c r="L313" i="4" s="1"/>
  <c r="L312" i="4" s="1"/>
  <c r="L311" i="4" s="1"/>
  <c r="L331" i="4"/>
  <c r="L330" i="4" s="1"/>
  <c r="L329" i="4" s="1"/>
  <c r="L336" i="4"/>
  <c r="L335" i="4" s="1"/>
  <c r="L334" i="4" s="1"/>
  <c r="L333" i="4" s="1"/>
  <c r="L332" i="4" s="1"/>
  <c r="L350" i="4"/>
  <c r="L349" i="4" s="1"/>
  <c r="L348" i="4" s="1"/>
  <c r="L347" i="4" s="1"/>
  <c r="L346" i="4" s="1"/>
  <c r="L345" i="4" s="1"/>
  <c r="L344" i="4" s="1"/>
  <c r="L343" i="4" s="1"/>
  <c r="L342" i="4" s="1"/>
  <c r="L341" i="4" s="1"/>
  <c r="L340" i="4" s="1"/>
  <c r="L339" i="4" s="1"/>
  <c r="L338" i="4" s="1"/>
  <c r="L337" i="4" s="1"/>
  <c r="L371" i="4"/>
  <c r="L370" i="4" s="1"/>
  <c r="L369" i="4" s="1"/>
  <c r="L368" i="4" s="1"/>
  <c r="L367" i="4" s="1"/>
  <c r="L366" i="4" s="1"/>
  <c r="L365" i="4" s="1"/>
  <c r="L364" i="4" s="1"/>
  <c r="L363" i="4" s="1"/>
  <c r="L362" i="4" s="1"/>
  <c r="L361" i="4" s="1"/>
  <c r="L360" i="4" s="1"/>
  <c r="L359" i="4" s="1"/>
  <c r="L358" i="4" s="1"/>
  <c r="L357" i="4" s="1"/>
  <c r="L356" i="4" s="1"/>
  <c r="L355" i="4" s="1"/>
  <c r="L354" i="4" s="1"/>
  <c r="L353" i="4" s="1"/>
  <c r="L352" i="4" s="1"/>
  <c r="L351" i="4" s="1"/>
  <c r="L372" i="4"/>
  <c r="L386" i="4"/>
  <c r="L385" i="4" s="1"/>
  <c r="L384" i="4" s="1"/>
  <c r="L383" i="4" s="1"/>
  <c r="L382" i="4" s="1"/>
  <c r="L381" i="4" s="1"/>
  <c r="L380" i="4" s="1"/>
  <c r="L379" i="4" s="1"/>
  <c r="L378" i="4" s="1"/>
  <c r="L377" i="4" s="1"/>
  <c r="L376" i="4" s="1"/>
  <c r="L375" i="4" s="1"/>
  <c r="L374" i="4" s="1"/>
  <c r="L373" i="4" s="1"/>
  <c r="L387" i="4"/>
  <c r="L391" i="4"/>
  <c r="L390" i="4" s="1"/>
  <c r="L389" i="4" s="1"/>
  <c r="L388" i="4" s="1"/>
  <c r="L392" i="4"/>
  <c r="L414" i="4"/>
  <c r="L413" i="4" s="1"/>
  <c r="L412" i="4" s="1"/>
  <c r="L411" i="4" s="1"/>
  <c r="L410" i="4" s="1"/>
  <c r="L409" i="4" s="1"/>
  <c r="L408" i="4" s="1"/>
  <c r="L407" i="4" s="1"/>
  <c r="L406" i="4" s="1"/>
  <c r="L405" i="4" s="1"/>
  <c r="L404" i="4" s="1"/>
  <c r="L403" i="4" s="1"/>
  <c r="L402" i="4" s="1"/>
  <c r="L401" i="4" s="1"/>
  <c r="L400" i="4" s="1"/>
  <c r="L399" i="4" s="1"/>
  <c r="L398" i="4" s="1"/>
  <c r="L397" i="4" s="1"/>
  <c r="L396" i="4" s="1"/>
  <c r="L395" i="4" s="1"/>
  <c r="L394" i="4" s="1"/>
  <c r="L393" i="4" s="1"/>
  <c r="L424" i="4"/>
  <c r="L423" i="4" s="1"/>
  <c r="L422" i="4" s="1"/>
  <c r="L421" i="4" s="1"/>
  <c r="L420" i="4" s="1"/>
  <c r="L419" i="4" s="1"/>
  <c r="L418" i="4" s="1"/>
  <c r="L417" i="4" s="1"/>
  <c r="L416" i="4" s="1"/>
  <c r="L415" i="4" s="1"/>
  <c r="L435" i="4"/>
  <c r="L434" i="4" s="1"/>
  <c r="L433" i="4" s="1"/>
  <c r="L432" i="4" s="1"/>
  <c r="L431" i="4" s="1"/>
  <c r="L430" i="4" s="1"/>
  <c r="L429" i="4" s="1"/>
  <c r="L428" i="4" s="1"/>
  <c r="L427" i="4" s="1"/>
  <c r="L426" i="4" s="1"/>
  <c r="L425" i="4" s="1"/>
  <c r="L456" i="4"/>
  <c r="L455" i="4" s="1"/>
  <c r="L454" i="4" s="1"/>
  <c r="L453" i="4" s="1"/>
  <c r="L452" i="4" s="1"/>
  <c r="L451" i="4" s="1"/>
  <c r="L450" i="4" s="1"/>
  <c r="L449" i="4" s="1"/>
  <c r="L448" i="4" s="1"/>
  <c r="L447" i="4" s="1"/>
  <c r="L446" i="4" s="1"/>
  <c r="L445" i="4" s="1"/>
  <c r="L444" i="4" s="1"/>
  <c r="L443" i="4" s="1"/>
  <c r="L442" i="4" s="1"/>
  <c r="L441" i="4" s="1"/>
  <c r="L440" i="4" s="1"/>
  <c r="L439" i="4" s="1"/>
  <c r="L438" i="4" s="1"/>
  <c r="L437" i="4" s="1"/>
  <c r="L436" i="4" s="1"/>
  <c r="L473" i="4"/>
  <c r="L472" i="4" s="1"/>
  <c r="L471" i="4" s="1"/>
  <c r="L470" i="4" s="1"/>
  <c r="L469" i="4" s="1"/>
  <c r="L468" i="4" s="1"/>
  <c r="L467" i="4" s="1"/>
  <c r="L466" i="4" s="1"/>
  <c r="L465" i="4" s="1"/>
  <c r="L464" i="4" s="1"/>
  <c r="L463" i="4" s="1"/>
  <c r="L462" i="4" s="1"/>
  <c r="L461" i="4" s="1"/>
  <c r="L460" i="4" s="1"/>
  <c r="L459" i="4" s="1"/>
  <c r="L458" i="4" s="1"/>
  <c r="L457" i="4" s="1"/>
  <c r="L475" i="4"/>
  <c r="L474" i="4" s="1"/>
  <c r="L478" i="4"/>
  <c r="L477" i="4" s="1"/>
  <c r="L476" i="4" s="1"/>
  <c r="L498" i="4"/>
  <c r="L497" i="4" s="1"/>
  <c r="L496" i="4" s="1"/>
  <c r="L495" i="4" s="1"/>
  <c r="L494" i="4" s="1"/>
  <c r="L493" i="4" s="1"/>
  <c r="L492" i="4" s="1"/>
  <c r="L491" i="4" s="1"/>
  <c r="L490" i="4" s="1"/>
  <c r="L489" i="4" s="1"/>
  <c r="L488" i="4" s="1"/>
  <c r="L487" i="4" s="1"/>
  <c r="L486" i="4" s="1"/>
  <c r="L485" i="4" s="1"/>
  <c r="L484" i="4" s="1"/>
  <c r="L483" i="4" s="1"/>
  <c r="L482" i="4" s="1"/>
  <c r="L481" i="4" s="1"/>
  <c r="L480" i="4" s="1"/>
  <c r="L479" i="4" s="1"/>
  <c r="L499" i="4"/>
  <c r="L500" i="4"/>
  <c r="L512" i="4"/>
  <c r="L511" i="4" s="1"/>
  <c r="L510" i="4" s="1"/>
  <c r="L509" i="4" s="1"/>
  <c r="L508" i="4" s="1"/>
  <c r="L507" i="4" s="1"/>
  <c r="L506" i="4" s="1"/>
  <c r="L505" i="4" s="1"/>
  <c r="L504" i="4" s="1"/>
  <c r="L503" i="4" s="1"/>
  <c r="L502" i="4" s="1"/>
  <c r="L501" i="4" s="1"/>
  <c r="L520" i="4"/>
  <c r="L519" i="4" s="1"/>
  <c r="L518" i="4" s="1"/>
  <c r="L517" i="4" s="1"/>
  <c r="L516" i="4" s="1"/>
  <c r="L515" i="4" s="1"/>
  <c r="L514" i="4" s="1"/>
  <c r="L513" i="4" s="1"/>
  <c r="L535" i="4"/>
  <c r="L534" i="4" s="1"/>
  <c r="L533" i="4" s="1"/>
  <c r="L532" i="4" s="1"/>
  <c r="L531" i="4" s="1"/>
  <c r="L530" i="4" s="1"/>
  <c r="L529" i="4" s="1"/>
  <c r="L528" i="4" s="1"/>
  <c r="L527" i="4" s="1"/>
  <c r="L526" i="4" s="1"/>
  <c r="L525" i="4" s="1"/>
  <c r="L524" i="4" s="1"/>
  <c r="L523" i="4" s="1"/>
  <c r="L522" i="4" s="1"/>
  <c r="L521" i="4" s="1"/>
  <c r="L537" i="4"/>
  <c r="L536" i="4" s="1"/>
  <c r="L538" i="4"/>
  <c r="L539" i="4"/>
  <c r="L560" i="4"/>
  <c r="L559" i="4" s="1"/>
  <c r="L558" i="4" s="1"/>
  <c r="L557" i="4" s="1"/>
  <c r="L556" i="4" s="1"/>
  <c r="L555" i="4" s="1"/>
  <c r="L554" i="4" s="1"/>
  <c r="L553" i="4" s="1"/>
  <c r="L552" i="4" s="1"/>
  <c r="L551" i="4" s="1"/>
  <c r="L550" i="4" s="1"/>
  <c r="L549" i="4" s="1"/>
  <c r="L548" i="4" s="1"/>
  <c r="L547" i="4" s="1"/>
  <c r="L546" i="4" s="1"/>
  <c r="L545" i="4" s="1"/>
  <c r="L544" i="4" s="1"/>
  <c r="L543" i="4" s="1"/>
  <c r="L542" i="4" s="1"/>
  <c r="L541" i="4" s="1"/>
  <c r="L540" i="4" s="1"/>
  <c r="L576" i="4"/>
  <c r="L575" i="4" s="1"/>
  <c r="L574" i="4" s="1"/>
  <c r="L573" i="4" s="1"/>
  <c r="L572" i="4" s="1"/>
  <c r="L571" i="4" s="1"/>
  <c r="L570" i="4" s="1"/>
  <c r="L569" i="4" s="1"/>
  <c r="L568" i="4" s="1"/>
  <c r="L567" i="4" s="1"/>
  <c r="L566" i="4" s="1"/>
  <c r="L565" i="4" s="1"/>
  <c r="L564" i="4" s="1"/>
  <c r="L563" i="4" s="1"/>
  <c r="L562" i="4" s="1"/>
  <c r="L561" i="4" s="1"/>
  <c r="L579" i="4"/>
  <c r="L578" i="4" s="1"/>
  <c r="L577" i="4" s="1"/>
  <c r="L580" i="4"/>
  <c r="L596" i="4"/>
  <c r="L595" i="4" s="1"/>
  <c r="L594" i="4" s="1"/>
  <c r="L593" i="4" s="1"/>
  <c r="L592" i="4" s="1"/>
  <c r="L591" i="4" s="1"/>
  <c r="L590" i="4" s="1"/>
  <c r="L589" i="4" s="1"/>
  <c r="L588" i="4" s="1"/>
  <c r="L587" i="4" s="1"/>
  <c r="L586" i="4" s="1"/>
  <c r="L585" i="4" s="1"/>
  <c r="L584" i="4" s="1"/>
  <c r="L583" i="4" s="1"/>
  <c r="L582" i="4" s="1"/>
  <c r="L581" i="4" s="1"/>
  <c r="L600" i="4"/>
  <c r="L599" i="4" s="1"/>
  <c r="L598" i="4" s="1"/>
  <c r="L597" i="4" s="1"/>
  <c r="L620" i="4"/>
  <c r="L619" i="4" s="1"/>
  <c r="L618" i="4" s="1"/>
  <c r="L617" i="4" s="1"/>
  <c r="L616" i="4" s="1"/>
  <c r="L615" i="4" s="1"/>
  <c r="L614" i="4" s="1"/>
  <c r="L613" i="4" s="1"/>
  <c r="L612" i="4" s="1"/>
  <c r="L611" i="4" s="1"/>
  <c r="L610" i="4" s="1"/>
  <c r="L609" i="4" s="1"/>
  <c r="L608" i="4" s="1"/>
  <c r="L607" i="4" s="1"/>
  <c r="L606" i="4" s="1"/>
  <c r="L605" i="4" s="1"/>
  <c r="L604" i="4" s="1"/>
  <c r="L603" i="4" s="1"/>
  <c r="L602" i="4" s="1"/>
  <c r="L601" i="4" s="1"/>
  <c r="L621" i="4"/>
  <c r="L640" i="4"/>
  <c r="L639" i="4" s="1"/>
  <c r="L638" i="4" s="1"/>
  <c r="L637" i="4" s="1"/>
  <c r="L636" i="4" s="1"/>
  <c r="L635" i="4" s="1"/>
  <c r="L634" i="4" s="1"/>
  <c r="L633" i="4" s="1"/>
  <c r="L632" i="4" s="1"/>
  <c r="L631" i="4" s="1"/>
  <c r="L630" i="4" s="1"/>
  <c r="L629" i="4" s="1"/>
  <c r="L628" i="4" s="1"/>
  <c r="L627" i="4" s="1"/>
  <c r="L626" i="4" s="1"/>
  <c r="L625" i="4" s="1"/>
  <c r="L624" i="4" s="1"/>
  <c r="L623" i="4" s="1"/>
  <c r="L622" i="4" s="1"/>
  <c r="L649" i="4"/>
  <c r="L648" i="4" s="1"/>
  <c r="L647" i="4" s="1"/>
  <c r="L646" i="4" s="1"/>
  <c r="L645" i="4" s="1"/>
  <c r="L644" i="4" s="1"/>
  <c r="L643" i="4" s="1"/>
  <c r="L642" i="4" s="1"/>
  <c r="L641" i="4" s="1"/>
  <c r="L659" i="4"/>
  <c r="L658" i="4" s="1"/>
  <c r="L657" i="4" s="1"/>
  <c r="L656" i="4" s="1"/>
  <c r="L655" i="4" s="1"/>
  <c r="L654" i="4" s="1"/>
  <c r="L653" i="4" s="1"/>
  <c r="L652" i="4" s="1"/>
  <c r="L651" i="4" s="1"/>
  <c r="L650" i="4" s="1"/>
  <c r="L663" i="4"/>
  <c r="L662" i="4" s="1"/>
  <c r="L661" i="4" s="1"/>
  <c r="L660" i="4" s="1"/>
  <c r="L684" i="4"/>
  <c r="L683" i="4" s="1"/>
  <c r="L682" i="4" s="1"/>
  <c r="L681" i="4" s="1"/>
  <c r="L680" i="4" s="1"/>
  <c r="L679" i="4" s="1"/>
  <c r="L678" i="4" s="1"/>
  <c r="L677" i="4" s="1"/>
  <c r="L676" i="4" s="1"/>
  <c r="L675" i="4" s="1"/>
  <c r="L674" i="4" s="1"/>
  <c r="L673" i="4" s="1"/>
  <c r="L672" i="4" s="1"/>
  <c r="L671" i="4" s="1"/>
  <c r="L670" i="4" s="1"/>
  <c r="L669" i="4" s="1"/>
  <c r="L668" i="4" s="1"/>
  <c r="L667" i="4" s="1"/>
  <c r="L666" i="4" s="1"/>
  <c r="L665" i="4" s="1"/>
  <c r="L664" i="4" s="1"/>
  <c r="L696" i="4"/>
  <c r="L695" i="4" s="1"/>
  <c r="L694" i="4" s="1"/>
  <c r="L693" i="4" s="1"/>
  <c r="L692" i="4" s="1"/>
  <c r="L691" i="4" s="1"/>
  <c r="L690" i="4" s="1"/>
  <c r="L689" i="4" s="1"/>
  <c r="L688" i="4" s="1"/>
  <c r="L687" i="4" s="1"/>
  <c r="L686" i="4" s="1"/>
  <c r="L685" i="4" s="1"/>
  <c r="L702" i="4"/>
  <c r="L701" i="4" s="1"/>
  <c r="L700" i="4" s="1"/>
  <c r="L699" i="4" s="1"/>
  <c r="L698" i="4" s="1"/>
  <c r="L697" i="4" s="1"/>
  <c r="L704" i="4"/>
  <c r="L703" i="4" s="1"/>
  <c r="L705" i="4"/>
  <c r="L727" i="4"/>
  <c r="L726" i="4" s="1"/>
  <c r="L725" i="4" s="1"/>
  <c r="L724" i="4" s="1"/>
  <c r="L723" i="4" s="1"/>
  <c r="L722" i="4" s="1"/>
  <c r="L721" i="4" s="1"/>
  <c r="L720" i="4" s="1"/>
  <c r="L719" i="4" s="1"/>
  <c r="L718" i="4" s="1"/>
  <c r="L717" i="4" s="1"/>
  <c r="L716" i="4" s="1"/>
  <c r="L715" i="4" s="1"/>
  <c r="L714" i="4" s="1"/>
  <c r="L713" i="4" s="1"/>
  <c r="L712" i="4" s="1"/>
  <c r="L711" i="4" s="1"/>
  <c r="L710" i="4" s="1"/>
  <c r="L709" i="4" s="1"/>
  <c r="L708" i="4" s="1"/>
  <c r="L707" i="4" s="1"/>
  <c r="L706" i="4" s="1"/>
  <c r="L747" i="4"/>
  <c r="L746" i="4" s="1"/>
  <c r="L745" i="4" s="1"/>
  <c r="L744" i="4" s="1"/>
  <c r="L743" i="4" s="1"/>
  <c r="L742" i="4" s="1"/>
  <c r="L741" i="4" s="1"/>
  <c r="L740" i="4" s="1"/>
  <c r="L739" i="4" s="1"/>
  <c r="L738" i="4" s="1"/>
  <c r="L737" i="4" s="1"/>
  <c r="L736" i="4" s="1"/>
  <c r="L735" i="4" s="1"/>
  <c r="L734" i="4" s="1"/>
  <c r="L733" i="4" s="1"/>
  <c r="L732" i="4" s="1"/>
  <c r="L731" i="4" s="1"/>
  <c r="L730" i="4" s="1"/>
  <c r="L729" i="4" s="1"/>
  <c r="L728" i="4" s="1"/>
  <c r="L748" i="4"/>
  <c r="L759" i="4"/>
  <c r="L758" i="4" s="1"/>
  <c r="L757" i="4" s="1"/>
  <c r="L756" i="4" s="1"/>
  <c r="L755" i="4" s="1"/>
  <c r="L754" i="4" s="1"/>
  <c r="L753" i="4" s="1"/>
  <c r="L752" i="4" s="1"/>
  <c r="L751" i="4" s="1"/>
  <c r="L750" i="4" s="1"/>
  <c r="L749" i="4" s="1"/>
  <c r="L768" i="4"/>
  <c r="L767" i="4" s="1"/>
  <c r="L766" i="4" s="1"/>
  <c r="L765" i="4" s="1"/>
  <c r="L764" i="4" s="1"/>
  <c r="L763" i="4" s="1"/>
  <c r="L762" i="4" s="1"/>
  <c r="L761" i="4" s="1"/>
  <c r="L760" i="4" s="1"/>
  <c r="L769" i="4"/>
  <c r="L770" i="4"/>
  <c r="L783" i="4"/>
  <c r="L782" i="4" s="1"/>
  <c r="L781" i="4" s="1"/>
  <c r="L780" i="4" s="1"/>
  <c r="L779" i="4" s="1"/>
  <c r="L778" i="4" s="1"/>
  <c r="L777" i="4" s="1"/>
  <c r="L776" i="4" s="1"/>
  <c r="L775" i="4" s="1"/>
  <c r="L774" i="4" s="1"/>
  <c r="L773" i="4" s="1"/>
  <c r="L772" i="4" s="1"/>
  <c r="L771" i="4" s="1"/>
  <c r="L789" i="4"/>
  <c r="L788" i="4" s="1"/>
  <c r="L787" i="4" s="1"/>
  <c r="L786" i="4" s="1"/>
  <c r="L785" i="4" s="1"/>
  <c r="L784" i="4" s="1"/>
  <c r="L790" i="4"/>
  <c r="L807" i="4"/>
  <c r="L806" i="4" s="1"/>
  <c r="L805" i="4" s="1"/>
  <c r="L804" i="4" s="1"/>
  <c r="L803" i="4" s="1"/>
  <c r="L802" i="4" s="1"/>
  <c r="L801" i="4" s="1"/>
  <c r="L800" i="4" s="1"/>
  <c r="L799" i="4" s="1"/>
  <c r="L798" i="4" s="1"/>
  <c r="L797" i="4" s="1"/>
  <c r="L796" i="4" s="1"/>
  <c r="L795" i="4" s="1"/>
  <c r="L794" i="4" s="1"/>
  <c r="L793" i="4" s="1"/>
  <c r="L792" i="4" s="1"/>
  <c r="L791" i="4" s="1"/>
  <c r="L808" i="4"/>
  <c r="L809" i="4"/>
  <c r="L810" i="4"/>
  <c r="L831" i="4"/>
  <c r="L830" i="4" s="1"/>
  <c r="L829" i="4" s="1"/>
  <c r="L828" i="4" s="1"/>
  <c r="L827" i="4" s="1"/>
  <c r="L826" i="4" s="1"/>
  <c r="L825" i="4" s="1"/>
  <c r="L824" i="4" s="1"/>
  <c r="L823" i="4" s="1"/>
  <c r="L822" i="4" s="1"/>
  <c r="L821" i="4" s="1"/>
  <c r="L820" i="4" s="1"/>
  <c r="L819" i="4" s="1"/>
  <c r="L818" i="4" s="1"/>
  <c r="L817" i="4" s="1"/>
  <c r="L816" i="4" s="1"/>
  <c r="L815" i="4" s="1"/>
  <c r="L814" i="4" s="1"/>
  <c r="L813" i="4" s="1"/>
  <c r="L812" i="4" s="1"/>
  <c r="L811" i="4" s="1"/>
  <c r="L851" i="4"/>
  <c r="L850" i="4" s="1"/>
  <c r="L849" i="4" s="1"/>
  <c r="L848" i="4" s="1"/>
  <c r="L847" i="4" s="1"/>
  <c r="L846" i="4" s="1"/>
  <c r="L845" i="4" s="1"/>
  <c r="L844" i="4" s="1"/>
  <c r="L843" i="4" s="1"/>
  <c r="L842" i="4" s="1"/>
  <c r="L841" i="4" s="1"/>
  <c r="L840" i="4" s="1"/>
  <c r="L839" i="4" s="1"/>
  <c r="L838" i="4" s="1"/>
  <c r="L837" i="4" s="1"/>
  <c r="L836" i="4" s="1"/>
  <c r="L835" i="4" s="1"/>
  <c r="L834" i="4" s="1"/>
  <c r="L833" i="4" s="1"/>
  <c r="L832" i="4" s="1"/>
  <c r="L871" i="4"/>
  <c r="L870" i="4" s="1"/>
  <c r="L869" i="4" s="1"/>
  <c r="L868" i="4" s="1"/>
  <c r="L867" i="4" s="1"/>
  <c r="L866" i="4" s="1"/>
  <c r="L865" i="4" s="1"/>
  <c r="L864" i="4" s="1"/>
  <c r="L863" i="4" s="1"/>
  <c r="L862" i="4" s="1"/>
  <c r="L861" i="4" s="1"/>
  <c r="L860" i="4" s="1"/>
  <c r="L859" i="4" s="1"/>
  <c r="L858" i="4" s="1"/>
  <c r="L857" i="4" s="1"/>
  <c r="L856" i="4" s="1"/>
  <c r="L855" i="4" s="1"/>
  <c r="L854" i="4" s="1"/>
  <c r="L853" i="4" s="1"/>
  <c r="L852" i="4" s="1"/>
  <c r="L891" i="4"/>
  <c r="L890" i="4" s="1"/>
  <c r="L889" i="4" s="1"/>
  <c r="L888" i="4" s="1"/>
  <c r="L887" i="4" s="1"/>
  <c r="L886" i="4" s="1"/>
  <c r="L885" i="4" s="1"/>
  <c r="L884" i="4" s="1"/>
  <c r="L883" i="4" s="1"/>
  <c r="L882" i="4" s="1"/>
  <c r="L881" i="4" s="1"/>
  <c r="L880" i="4" s="1"/>
  <c r="L879" i="4" s="1"/>
  <c r="L878" i="4" s="1"/>
  <c r="L877" i="4" s="1"/>
  <c r="L876" i="4" s="1"/>
  <c r="L875" i="4" s="1"/>
  <c r="L874" i="4" s="1"/>
  <c r="L873" i="4" s="1"/>
  <c r="L872" i="4" s="1"/>
  <c r="L892" i="4"/>
  <c r="L913" i="4"/>
  <c r="L912" i="4" s="1"/>
  <c r="L911" i="4" s="1"/>
  <c r="L910" i="4" s="1"/>
  <c r="L909" i="4" s="1"/>
  <c r="L908" i="4" s="1"/>
  <c r="L907" i="4" s="1"/>
  <c r="L906" i="4" s="1"/>
  <c r="L905" i="4" s="1"/>
  <c r="L904" i="4" s="1"/>
  <c r="L903" i="4" s="1"/>
  <c r="L902" i="4" s="1"/>
  <c r="L901" i="4" s="1"/>
  <c r="L900" i="4" s="1"/>
  <c r="L899" i="4" s="1"/>
  <c r="L898" i="4" s="1"/>
  <c r="L897" i="4" s="1"/>
  <c r="L896" i="4" s="1"/>
  <c r="L895" i="4" s="1"/>
  <c r="L894" i="4" s="1"/>
  <c r="L893" i="4" s="1"/>
  <c r="L915" i="4"/>
  <c r="L914" i="4" s="1"/>
  <c r="L935" i="4"/>
  <c r="L934" i="4" s="1"/>
  <c r="L933" i="4" s="1"/>
  <c r="L932" i="4" s="1"/>
  <c r="L931" i="4" s="1"/>
  <c r="L930" i="4" s="1"/>
  <c r="L929" i="4" s="1"/>
  <c r="L928" i="4" s="1"/>
  <c r="L927" i="4" s="1"/>
  <c r="L926" i="4" s="1"/>
  <c r="L925" i="4" s="1"/>
  <c r="L924" i="4" s="1"/>
  <c r="L923" i="4" s="1"/>
  <c r="L922" i="4" s="1"/>
  <c r="L921" i="4" s="1"/>
  <c r="L920" i="4" s="1"/>
  <c r="L919" i="4" s="1"/>
  <c r="L918" i="4" s="1"/>
  <c r="L917" i="4" s="1"/>
  <c r="L916" i="4" s="1"/>
  <c r="L957" i="4"/>
  <c r="L956" i="4" s="1"/>
  <c r="L955" i="4" s="1"/>
  <c r="L954" i="4" s="1"/>
  <c r="L953" i="4" s="1"/>
  <c r="L952" i="4" s="1"/>
  <c r="L951" i="4" s="1"/>
  <c r="L950" i="4" s="1"/>
  <c r="L949" i="4" s="1"/>
  <c r="L948" i="4" s="1"/>
  <c r="L947" i="4" s="1"/>
  <c r="L946" i="4" s="1"/>
  <c r="L945" i="4" s="1"/>
  <c r="L944" i="4" s="1"/>
  <c r="L943" i="4" s="1"/>
  <c r="L942" i="4" s="1"/>
  <c r="L941" i="4" s="1"/>
  <c r="L940" i="4" s="1"/>
  <c r="L939" i="4" s="1"/>
  <c r="L938" i="4" s="1"/>
  <c r="L937" i="4" s="1"/>
  <c r="L936" i="4" s="1"/>
  <c r="L974" i="4"/>
  <c r="L973" i="4" s="1"/>
  <c r="L972" i="4" s="1"/>
  <c r="L971" i="4" s="1"/>
  <c r="L970" i="4" s="1"/>
  <c r="L969" i="4" s="1"/>
  <c r="L968" i="4" s="1"/>
  <c r="L967" i="4" s="1"/>
  <c r="L966" i="4" s="1"/>
  <c r="L965" i="4" s="1"/>
  <c r="L964" i="4" s="1"/>
  <c r="L963" i="4" s="1"/>
  <c r="L962" i="4" s="1"/>
  <c r="L961" i="4" s="1"/>
  <c r="L960" i="4" s="1"/>
  <c r="L959" i="4" s="1"/>
  <c r="L958" i="4" s="1"/>
  <c r="L978" i="4"/>
  <c r="L977" i="4" s="1"/>
  <c r="L976" i="4" s="1"/>
  <c r="L975" i="4" s="1"/>
  <c r="L998" i="4"/>
  <c r="L997" i="4" s="1"/>
  <c r="L996" i="4" s="1"/>
  <c r="L995" i="4" s="1"/>
  <c r="L994" i="4" s="1"/>
  <c r="L993" i="4" s="1"/>
  <c r="L992" i="4" s="1"/>
  <c r="L991" i="4" s="1"/>
  <c r="L990" i="4" s="1"/>
  <c r="L989" i="4" s="1"/>
  <c r="L988" i="4" s="1"/>
  <c r="L987" i="4" s="1"/>
  <c r="L986" i="4" s="1"/>
  <c r="L985" i="4" s="1"/>
  <c r="L984" i="4" s="1"/>
  <c r="L983" i="4" s="1"/>
  <c r="L982" i="4" s="1"/>
  <c r="L981" i="4" s="1"/>
  <c r="L980" i="4" s="1"/>
  <c r="L979" i="4" s="1"/>
  <c r="L1021" i="4"/>
  <c r="L1020" i="4" s="1"/>
  <c r="L1019" i="4" s="1"/>
  <c r="L1018" i="4" s="1"/>
  <c r="L1017" i="4" s="1"/>
  <c r="L1016" i="4" s="1"/>
  <c r="L1015" i="4" s="1"/>
  <c r="L1014" i="4" s="1"/>
  <c r="L1013" i="4" s="1"/>
  <c r="L1012" i="4" s="1"/>
  <c r="L1011" i="4" s="1"/>
  <c r="L1010" i="4" s="1"/>
  <c r="L1009" i="4" s="1"/>
  <c r="L1008" i="4" s="1"/>
  <c r="L1007" i="4" s="1"/>
  <c r="L1006" i="4" s="1"/>
  <c r="L1005" i="4" s="1"/>
  <c r="L1004" i="4" s="1"/>
  <c r="L1003" i="4" s="1"/>
  <c r="L1002" i="4" s="1"/>
  <c r="L1001" i="4" s="1"/>
  <c r="L1000" i="4" s="1"/>
  <c r="L999" i="4" s="1"/>
  <c r="L1040" i="4"/>
  <c r="L1039" i="4" s="1"/>
  <c r="L1038" i="4" s="1"/>
  <c r="L1037" i="4" s="1"/>
  <c r="L1036" i="4" s="1"/>
  <c r="L1035" i="4" s="1"/>
  <c r="L1034" i="4" s="1"/>
  <c r="L1033" i="4" s="1"/>
  <c r="L1032" i="4" s="1"/>
  <c r="L1031" i="4" s="1"/>
  <c r="L1030" i="4" s="1"/>
  <c r="L1029" i="4" s="1"/>
  <c r="L1028" i="4" s="1"/>
  <c r="L1027" i="4" s="1"/>
  <c r="L1026" i="4" s="1"/>
  <c r="L1025" i="4" s="1"/>
  <c r="L1024" i="4" s="1"/>
  <c r="L1023" i="4" s="1"/>
  <c r="L1022" i="4" s="1"/>
  <c r="L1054" i="4"/>
  <c r="L1053" i="4" s="1"/>
  <c r="L1052" i="4" s="1"/>
  <c r="L1051" i="4" s="1"/>
  <c r="L1050" i="4" s="1"/>
  <c r="L1049" i="4" s="1"/>
  <c r="L1048" i="4" s="1"/>
  <c r="L1047" i="4" s="1"/>
  <c r="L1046" i="4" s="1"/>
  <c r="L1045" i="4" s="1"/>
  <c r="L1044" i="4" s="1"/>
  <c r="L1043" i="4" s="1"/>
  <c r="L1042" i="4" s="1"/>
  <c r="L1041" i="4" s="1"/>
  <c r="L1059" i="4"/>
  <c r="L1058" i="4" s="1"/>
  <c r="L1057" i="4" s="1"/>
  <c r="L1056" i="4" s="1"/>
  <c r="L1055" i="4" s="1"/>
  <c r="L1060" i="4"/>
  <c r="B235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P11" i="4" s="1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4" i="4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K33" i="4" l="1"/>
  <c r="M34" i="4"/>
  <c r="L55" i="4"/>
  <c r="L54" i="4" s="1"/>
  <c r="L53" i="4" s="1"/>
  <c r="L52" i="4" s="1"/>
  <c r="L51" i="4" s="1"/>
  <c r="L50" i="4" s="1"/>
  <c r="L49" i="4" s="1"/>
  <c r="L48" i="4" s="1"/>
  <c r="L47" i="4" s="1"/>
  <c r="L46" i="4" s="1"/>
  <c r="L45" i="4" s="1"/>
  <c r="L44" i="4" s="1"/>
  <c r="L43" i="4" s="1"/>
  <c r="L42" i="4" s="1"/>
  <c r="L41" i="4" s="1"/>
  <c r="M41" i="4" s="1"/>
  <c r="Q50" i="4" s="1"/>
  <c r="M56" i="4"/>
  <c r="M60" i="4"/>
  <c r="M52" i="4"/>
  <c r="M36" i="4"/>
  <c r="M59" i="4"/>
  <c r="M35" i="4"/>
  <c r="M58" i="4"/>
  <c r="M57" i="4"/>
  <c r="M55" i="4"/>
  <c r="M39" i="4"/>
  <c r="M54" i="4"/>
  <c r="M38" i="4"/>
  <c r="K20" i="4"/>
  <c r="P15" i="4"/>
  <c r="P5" i="4"/>
  <c r="P20" i="4"/>
  <c r="P28" i="4"/>
  <c r="P27" i="4"/>
  <c r="P42" i="4"/>
  <c r="P26" i="4"/>
  <c r="P10" i="4"/>
  <c r="P49" i="4"/>
  <c r="P41" i="4"/>
  <c r="P33" i="4"/>
  <c r="P25" i="4"/>
  <c r="P17" i="4"/>
  <c r="P9" i="4"/>
  <c r="P36" i="4"/>
  <c r="P35" i="4"/>
  <c r="P50" i="4"/>
  <c r="P34" i="4"/>
  <c r="P18" i="4"/>
  <c r="P48" i="4"/>
  <c r="P40" i="4"/>
  <c r="P32" i="4"/>
  <c r="P24" i="4"/>
  <c r="P16" i="4"/>
  <c r="P8" i="4"/>
  <c r="P44" i="4"/>
  <c r="P12" i="4"/>
  <c r="P51" i="4"/>
  <c r="P19" i="4"/>
  <c r="P39" i="4"/>
  <c r="P23" i="4"/>
  <c r="P7" i="4"/>
  <c r="P46" i="4"/>
  <c r="P38" i="4"/>
  <c r="P30" i="4"/>
  <c r="P22" i="4"/>
  <c r="P14" i="4"/>
  <c r="P6" i="4"/>
  <c r="P4" i="4"/>
  <c r="P43" i="4"/>
  <c r="P47" i="4"/>
  <c r="P31" i="4"/>
  <c r="P45" i="4"/>
  <c r="P37" i="4"/>
  <c r="P29" i="4"/>
  <c r="P21" i="4"/>
  <c r="P13" i="4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" i="1"/>
  <c r="M53" i="4" l="1"/>
  <c r="M48" i="4"/>
  <c r="M51" i="4"/>
  <c r="M46" i="4"/>
  <c r="M44" i="4"/>
  <c r="M50" i="4"/>
  <c r="M47" i="4"/>
  <c r="K19" i="4"/>
  <c r="M20" i="4"/>
  <c r="M49" i="4"/>
  <c r="M42" i="4"/>
  <c r="M45" i="4"/>
  <c r="M43" i="4"/>
  <c r="K32" i="4"/>
  <c r="M33" i="4"/>
  <c r="K31" i="4" l="1"/>
  <c r="M32" i="4"/>
  <c r="K18" i="4"/>
  <c r="M19" i="4"/>
  <c r="K17" i="4" l="1"/>
  <c r="M18" i="4"/>
  <c r="K30" i="4"/>
  <c r="M31" i="4"/>
  <c r="K16" i="4" l="1"/>
  <c r="M17" i="4"/>
  <c r="K29" i="4"/>
  <c r="M30" i="4"/>
  <c r="K28" i="4" l="1"/>
  <c r="M29" i="4"/>
  <c r="K15" i="4"/>
  <c r="M16" i="4"/>
  <c r="K14" i="4" l="1"/>
  <c r="M15" i="4"/>
  <c r="K27" i="4"/>
  <c r="M28" i="4"/>
  <c r="K13" i="4" l="1"/>
  <c r="M14" i="4"/>
  <c r="K26" i="4"/>
  <c r="M27" i="4"/>
  <c r="K25" i="4" l="1"/>
  <c r="M26" i="4"/>
  <c r="K12" i="4"/>
  <c r="M13" i="4"/>
  <c r="K11" i="4" l="1"/>
  <c r="M12" i="4"/>
  <c r="K24" i="4"/>
  <c r="M25" i="4"/>
  <c r="K23" i="4" l="1"/>
  <c r="M24" i="4"/>
  <c r="K10" i="4"/>
  <c r="M11" i="4"/>
  <c r="K9" i="4" l="1"/>
  <c r="M10" i="4"/>
  <c r="K22" i="4"/>
  <c r="M22" i="4" s="1"/>
  <c r="Q51" i="4" s="1"/>
  <c r="M23" i="4"/>
  <c r="K8" i="4" l="1"/>
  <c r="M9" i="4"/>
  <c r="K7" i="4" l="1"/>
  <c r="M8" i="4"/>
  <c r="K6" i="4" l="1"/>
  <c r="M7" i="4"/>
  <c r="K5" i="4" l="1"/>
  <c r="M6" i="4"/>
  <c r="K4" i="4" l="1"/>
  <c r="M4" i="4" s="1"/>
  <c r="M5" i="4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437" sourceFile="C:\Users\lien.chen\Desktop\temp.txt" comma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<sst xmlns="http://schemas.openxmlformats.org/spreadsheetml/2006/main" count="29" uniqueCount="26">
  <si>
    <t>IOS Index</t>
  </si>
  <si>
    <t>Date</t>
  </si>
  <si>
    <t>OAS</t>
  </si>
  <si>
    <t>IOS + TBA Carry (%)</t>
  </si>
  <si>
    <t>Asof</t>
  </si>
  <si>
    <t>Coupon</t>
  </si>
  <si>
    <t>dy</t>
  </si>
  <si>
    <t>vol1</t>
  </si>
  <si>
    <t>Realized Vol</t>
  </si>
  <si>
    <t>Treasury Yields</t>
  </si>
  <si>
    <t>10-2</t>
  </si>
  <si>
    <t>Yield Curve 10-2</t>
  </si>
  <si>
    <t>asOf</t>
  </si>
  <si>
    <t>AVGWAC</t>
  </si>
  <si>
    <t>Prepayment Risk Premium</t>
  </si>
  <si>
    <t>RawRate</t>
  </si>
  <si>
    <t>Points</t>
  </si>
  <si>
    <t>Rate</t>
  </si>
  <si>
    <t>Avg WAC</t>
  </si>
  <si>
    <t>Survey Rate</t>
  </si>
  <si>
    <t>Accum Rate</t>
  </si>
  <si>
    <t>Count</t>
  </si>
  <si>
    <t>avg. Rate</t>
  </si>
  <si>
    <t>Risk Premium</t>
  </si>
  <si>
    <t>Monthly Hedge Return (%)</t>
  </si>
  <si>
    <t>Px/Coupon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</si>
</sst>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%;[Red]\-0.0%"/>
    <numFmt numFmtId="166" formatCode="#,##0_);[Red]\-#,##0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</fills>
  <borders count="18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0" borderId="0" xfId="0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0" applyNumberFormat="1" applyFont="1" applyBorder="1"/>
    <xf numFmtId="166" fontId="0" fillId="0" borderId="9" xfId="1" applyNumberFormat="1" applyFont="1" applyBorder="1"/>
    <xf numFmtId="0" fontId="0" fillId="0" borderId="9" xfId="0" applyBorder="1"/>
    <xf numFmtId="0" fontId="4" fillId="2" borderId="13" xfId="3" applyFont="1" applyFill="1" applyBorder="1" applyAlignment="1">
      <alignment horizontal="center" wrapText="1"/>
    </xf>
    <xf numFmtId="165" fontId="4" fillId="0" borderId="15" xfId="3" applyNumberFormat="1" applyFont="1" applyBorder="1"/>
    <xf numFmtId="165" fontId="4" fillId="0" borderId="14" xfId="3" applyNumberFormat="1" applyFont="1" applyBorder="1"/>
    <xf numFmtId="165" fontId="4" fillId="0" borderId="16" xfId="3" applyNumberFormat="1" applyFont="1" applyBorder="1"/>
    <xf numFmtId="165" fontId="4" fillId="0" borderId="17" xfId="3" applyNumberFormat="1" applyFont="1" applyBorder="1"/>
    <xf numFmtId="2" fontId="0" fillId="0" borderId="9" xfId="0" applyNumberForma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">
    <cellStyle name="CCM Input" xfId="2"/>
    <cellStyle name="Normal" xfId="0" builtinId="0"/>
    <cellStyle name="Normal 2" xfId="3"/>
    <cellStyle name="Percent" xfId="1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Set'!$D$4</c:f>
              <c:strCache>
                <c:ptCount val="1"/>
                <c:pt idx="0">
                  <c:v>OAS</c:v>
                </c:pt>
              </c:strCache>
            </c:strRef>
          </c:tx>
          <c:marker>
            <c:symbol val="none"/>
          </c:marker>
          <c:cat>
            <c:numRef>
              <c:f>'Data Set'!$B$5:$B$52</c:f>
              <c:numCache>
                <c:formatCode>mm/dd/yy;@</c:formatCode>
                <c:ptCount val="48"/>
                <c:pt idx="0">
                  <c:v>40633</c:v>
                </c:pt>
                <c:pt idx="1">
                  <c:v>40662</c:v>
                </c:pt>
                <c:pt idx="2">
                  <c:v>40694</c:v>
                </c:pt>
                <c:pt idx="3">
                  <c:v>40724</c:v>
                </c:pt>
                <c:pt idx="4">
                  <c:v>40753</c:v>
                </c:pt>
                <c:pt idx="5">
                  <c:v>40786</c:v>
                </c:pt>
                <c:pt idx="6">
                  <c:v>40816</c:v>
                </c:pt>
                <c:pt idx="7">
                  <c:v>40847</c:v>
                </c:pt>
                <c:pt idx="8">
                  <c:v>40877</c:v>
                </c:pt>
                <c:pt idx="9">
                  <c:v>40907</c:v>
                </c:pt>
                <c:pt idx="10">
                  <c:v>40939</c:v>
                </c:pt>
                <c:pt idx="11">
                  <c:v>40968</c:v>
                </c:pt>
                <c:pt idx="12">
                  <c:v>40998</c:v>
                </c:pt>
                <c:pt idx="13">
                  <c:v>41029</c:v>
                </c:pt>
                <c:pt idx="14">
                  <c:v>41060</c:v>
                </c:pt>
                <c:pt idx="15">
                  <c:v>41089</c:v>
                </c:pt>
                <c:pt idx="16">
                  <c:v>41121</c:v>
                </c:pt>
                <c:pt idx="17">
                  <c:v>41152</c:v>
                </c:pt>
                <c:pt idx="18">
                  <c:v>41180</c:v>
                </c:pt>
                <c:pt idx="19">
                  <c:v>41213</c:v>
                </c:pt>
                <c:pt idx="20">
                  <c:v>41243</c:v>
                </c:pt>
                <c:pt idx="21">
                  <c:v>41274</c:v>
                </c:pt>
                <c:pt idx="22">
                  <c:v>41305</c:v>
                </c:pt>
                <c:pt idx="23">
                  <c:v>41333</c:v>
                </c:pt>
                <c:pt idx="24">
                  <c:v>41361</c:v>
                </c:pt>
                <c:pt idx="25">
                  <c:v>41394</c:v>
                </c:pt>
                <c:pt idx="26">
                  <c:v>41425</c:v>
                </c:pt>
                <c:pt idx="27">
                  <c:v>41453</c:v>
                </c:pt>
                <c:pt idx="28">
                  <c:v>41486</c:v>
                </c:pt>
                <c:pt idx="29">
                  <c:v>41516</c:v>
                </c:pt>
                <c:pt idx="30">
                  <c:v>41547</c:v>
                </c:pt>
                <c:pt idx="31">
                  <c:v>41578</c:v>
                </c:pt>
                <c:pt idx="32">
                  <c:v>41607</c:v>
                </c:pt>
                <c:pt idx="33">
                  <c:v>41639</c:v>
                </c:pt>
                <c:pt idx="34">
                  <c:v>41670</c:v>
                </c:pt>
                <c:pt idx="35">
                  <c:v>41698</c:v>
                </c:pt>
                <c:pt idx="36">
                  <c:v>41729</c:v>
                </c:pt>
                <c:pt idx="37">
                  <c:v>41759</c:v>
                </c:pt>
                <c:pt idx="38">
                  <c:v>41789</c:v>
                </c:pt>
                <c:pt idx="39">
                  <c:v>41820</c:v>
                </c:pt>
                <c:pt idx="40">
                  <c:v>41851</c:v>
                </c:pt>
                <c:pt idx="41">
                  <c:v>41880</c:v>
                </c:pt>
                <c:pt idx="42">
                  <c:v>41912</c:v>
                </c:pt>
                <c:pt idx="43">
                  <c:v>41943</c:v>
                </c:pt>
                <c:pt idx="44">
                  <c:v>41971</c:v>
                </c:pt>
                <c:pt idx="45">
                  <c:v>42004</c:v>
                </c:pt>
                <c:pt idx="46">
                  <c:v>42034</c:v>
                </c:pt>
                <c:pt idx="47">
                  <c:v>42062</c:v>
                </c:pt>
              </c:numCache>
            </c:numRef>
          </c:cat>
          <c:val>
            <c:numRef>
              <c:f>'Data Set'!$D$5:$D$52</c:f>
              <c:numCache>
                <c:formatCode>#,##0_);[Red]\-#,##0_)</c:formatCode>
                <c:ptCount val="48"/>
                <c:pt idx="0">
                  <c:v>12.454245092935345</c:v>
                </c:pt>
                <c:pt idx="1">
                  <c:v>-13.523941730477457</c:v>
                </c:pt>
                <c:pt idx="2">
                  <c:v>-39.195910729297935</c:v>
                </c:pt>
                <c:pt idx="3">
                  <c:v>-71.812762532091284</c:v>
                </c:pt>
                <c:pt idx="4">
                  <c:v>14.555567089358632</c:v>
                </c:pt>
                <c:pt idx="5">
                  <c:v>413.1307634556174</c:v>
                </c:pt>
                <c:pt idx="6">
                  <c:v>707.36595401615773</c:v>
                </c:pt>
                <c:pt idx="7">
                  <c:v>688.11426559475387</c:v>
                </c:pt>
                <c:pt idx="8">
                  <c:v>623.10168528876363</c:v>
                </c:pt>
                <c:pt idx="9">
                  <c:v>610.59817697721678</c:v>
                </c:pt>
                <c:pt idx="10">
                  <c:v>465.33199143048387</c:v>
                </c:pt>
                <c:pt idx="11">
                  <c:v>220.00245023070019</c:v>
                </c:pt>
                <c:pt idx="12">
                  <c:v>105.2548909642519</c:v>
                </c:pt>
                <c:pt idx="13">
                  <c:v>167.57420337750975</c:v>
                </c:pt>
                <c:pt idx="14">
                  <c:v>286.25597142369679</c:v>
                </c:pt>
                <c:pt idx="15">
                  <c:v>293.96700252585657</c:v>
                </c:pt>
                <c:pt idx="16">
                  <c:v>171.71550081323352</c:v>
                </c:pt>
                <c:pt idx="17">
                  <c:v>79.354763942629233</c:v>
                </c:pt>
                <c:pt idx="18">
                  <c:v>247.78680771652574</c:v>
                </c:pt>
                <c:pt idx="19">
                  <c:v>309.68943904644351</c:v>
                </c:pt>
                <c:pt idx="20">
                  <c:v>312.18893683514722</c:v>
                </c:pt>
                <c:pt idx="21">
                  <c:v>327.64421827416106</c:v>
                </c:pt>
                <c:pt idx="22">
                  <c:v>428.37292591191772</c:v>
                </c:pt>
                <c:pt idx="23">
                  <c:v>447.98054231586696</c:v>
                </c:pt>
                <c:pt idx="24">
                  <c:v>342.66581343894296</c:v>
                </c:pt>
                <c:pt idx="25">
                  <c:v>522.24020429541497</c:v>
                </c:pt>
                <c:pt idx="26">
                  <c:v>459.7873533470638</c:v>
                </c:pt>
                <c:pt idx="27">
                  <c:v>381.68905385820221</c:v>
                </c:pt>
                <c:pt idx="28">
                  <c:v>333.34538926140164</c:v>
                </c:pt>
                <c:pt idx="29">
                  <c:v>273.22545878341941</c:v>
                </c:pt>
                <c:pt idx="30">
                  <c:v>225.37600805135614</c:v>
                </c:pt>
                <c:pt idx="31">
                  <c:v>233.9023628112142</c:v>
                </c:pt>
                <c:pt idx="32">
                  <c:v>180.5090255081054</c:v>
                </c:pt>
                <c:pt idx="33">
                  <c:v>106.61579764411411</c:v>
                </c:pt>
                <c:pt idx="34">
                  <c:v>94.950156430588521</c:v>
                </c:pt>
                <c:pt idx="35">
                  <c:v>61.235127244121664</c:v>
                </c:pt>
                <c:pt idx="36">
                  <c:v>55.945192208047438</c:v>
                </c:pt>
                <c:pt idx="37">
                  <c:v>41.829857551285244</c:v>
                </c:pt>
                <c:pt idx="38">
                  <c:v>27.53135237199016</c:v>
                </c:pt>
                <c:pt idx="39">
                  <c:v>-6.8831389142531894</c:v>
                </c:pt>
                <c:pt idx="40">
                  <c:v>-9.2666841525615986</c:v>
                </c:pt>
                <c:pt idx="41">
                  <c:v>-5.386986735314931</c:v>
                </c:pt>
                <c:pt idx="42">
                  <c:v>-45.021233160825901</c:v>
                </c:pt>
                <c:pt idx="43">
                  <c:v>-45.98502665383706</c:v>
                </c:pt>
                <c:pt idx="44">
                  <c:v>-67.68150624217175</c:v>
                </c:pt>
                <c:pt idx="45">
                  <c:v>-82.306011671367912</c:v>
                </c:pt>
                <c:pt idx="46">
                  <c:v>64.72540859605499</c:v>
                </c:pt>
                <c:pt idx="47">
                  <c:v>-86.739530977079625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 Set'!$H$4</c:f>
              <c:strCache>
                <c:ptCount val="1"/>
                <c:pt idx="0">
                  <c:v>Prepayment Risk Premium</c:v>
                </c:pt>
              </c:strCache>
            </c:strRef>
          </c:tx>
          <c:marker>
            <c:symbol val="none"/>
          </c:marker>
          <c:cat>
            <c:numRef>
              <c:f>'Data Set'!$B$5:$B$52</c:f>
              <c:numCache>
                <c:formatCode>mm/dd/yy;@</c:formatCode>
                <c:ptCount val="48"/>
                <c:pt idx="0">
                  <c:v>40633</c:v>
                </c:pt>
                <c:pt idx="1">
                  <c:v>40662</c:v>
                </c:pt>
                <c:pt idx="2">
                  <c:v>40694</c:v>
                </c:pt>
                <c:pt idx="3">
                  <c:v>40724</c:v>
                </c:pt>
                <c:pt idx="4">
                  <c:v>40753</c:v>
                </c:pt>
                <c:pt idx="5">
                  <c:v>40786</c:v>
                </c:pt>
                <c:pt idx="6">
                  <c:v>40816</c:v>
                </c:pt>
                <c:pt idx="7">
                  <c:v>40847</c:v>
                </c:pt>
                <c:pt idx="8">
                  <c:v>40877</c:v>
                </c:pt>
                <c:pt idx="9">
                  <c:v>40907</c:v>
                </c:pt>
                <c:pt idx="10">
                  <c:v>40939</c:v>
                </c:pt>
                <c:pt idx="11">
                  <c:v>40968</c:v>
                </c:pt>
                <c:pt idx="12">
                  <c:v>40998</c:v>
                </c:pt>
                <c:pt idx="13">
                  <c:v>41029</c:v>
                </c:pt>
                <c:pt idx="14">
                  <c:v>41060</c:v>
                </c:pt>
                <c:pt idx="15">
                  <c:v>41089</c:v>
                </c:pt>
                <c:pt idx="16">
                  <c:v>41121</c:v>
                </c:pt>
                <c:pt idx="17">
                  <c:v>41152</c:v>
                </c:pt>
                <c:pt idx="18">
                  <c:v>41180</c:v>
                </c:pt>
                <c:pt idx="19">
                  <c:v>41213</c:v>
                </c:pt>
                <c:pt idx="20">
                  <c:v>41243</c:v>
                </c:pt>
                <c:pt idx="21">
                  <c:v>41274</c:v>
                </c:pt>
                <c:pt idx="22">
                  <c:v>41305</c:v>
                </c:pt>
                <c:pt idx="23">
                  <c:v>41333</c:v>
                </c:pt>
                <c:pt idx="24">
                  <c:v>41361</c:v>
                </c:pt>
                <c:pt idx="25">
                  <c:v>41394</c:v>
                </c:pt>
                <c:pt idx="26">
                  <c:v>41425</c:v>
                </c:pt>
                <c:pt idx="27">
                  <c:v>41453</c:v>
                </c:pt>
                <c:pt idx="28">
                  <c:v>41486</c:v>
                </c:pt>
                <c:pt idx="29">
                  <c:v>41516</c:v>
                </c:pt>
                <c:pt idx="30">
                  <c:v>41547</c:v>
                </c:pt>
                <c:pt idx="31">
                  <c:v>41578</c:v>
                </c:pt>
                <c:pt idx="32">
                  <c:v>41607</c:v>
                </c:pt>
                <c:pt idx="33">
                  <c:v>41639</c:v>
                </c:pt>
                <c:pt idx="34">
                  <c:v>41670</c:v>
                </c:pt>
                <c:pt idx="35">
                  <c:v>41698</c:v>
                </c:pt>
                <c:pt idx="36">
                  <c:v>41729</c:v>
                </c:pt>
                <c:pt idx="37">
                  <c:v>41759</c:v>
                </c:pt>
                <c:pt idx="38">
                  <c:v>41789</c:v>
                </c:pt>
                <c:pt idx="39">
                  <c:v>41820</c:v>
                </c:pt>
                <c:pt idx="40">
                  <c:v>41851</c:v>
                </c:pt>
                <c:pt idx="41">
                  <c:v>41880</c:v>
                </c:pt>
                <c:pt idx="42">
                  <c:v>41912</c:v>
                </c:pt>
                <c:pt idx="43">
                  <c:v>41943</c:v>
                </c:pt>
                <c:pt idx="44">
                  <c:v>41971</c:v>
                </c:pt>
                <c:pt idx="45">
                  <c:v>42004</c:v>
                </c:pt>
                <c:pt idx="46">
                  <c:v>42034</c:v>
                </c:pt>
                <c:pt idx="47">
                  <c:v>42062</c:v>
                </c:pt>
              </c:numCache>
            </c:numRef>
          </c:cat>
          <c:val>
            <c:numRef>
              <c:f>'Data Set'!$H$5:$H$52</c:f>
              <c:numCache>
                <c:formatCode>0.00</c:formatCode>
                <c:ptCount val="48"/>
                <c:pt idx="0">
                  <c:v>76.888121881587068</c:v>
                </c:pt>
                <c:pt idx="1">
                  <c:v>76.964595799127977</c:v>
                </c:pt>
                <c:pt idx="2">
                  <c:v>96.692871263197048</c:v>
                </c:pt>
                <c:pt idx="3">
                  <c:v>106.02410442478228</c:v>
                </c:pt>
                <c:pt idx="4">
                  <c:v>102.75983193438405</c:v>
                </c:pt>
                <c:pt idx="5">
                  <c:v>129.361280438422</c:v>
                </c:pt>
                <c:pt idx="6">
                  <c:v>146.66634741429752</c:v>
                </c:pt>
                <c:pt idx="7">
                  <c:v>142.27168645164897</c:v>
                </c:pt>
                <c:pt idx="8">
                  <c:v>148.95810969259102</c:v>
                </c:pt>
                <c:pt idx="9">
                  <c:v>150.69835980232531</c:v>
                </c:pt>
                <c:pt idx="10">
                  <c:v>151.34348559219012</c:v>
                </c:pt>
                <c:pt idx="11">
                  <c:v>147.44671663260308</c:v>
                </c:pt>
                <c:pt idx="12">
                  <c:v>138.46374263983608</c:v>
                </c:pt>
                <c:pt idx="13">
                  <c:v>143.50585584428552</c:v>
                </c:pt>
                <c:pt idx="14">
                  <c:v>150.81796209844066</c:v>
                </c:pt>
                <c:pt idx="15">
                  <c:v>160.22878401483888</c:v>
                </c:pt>
                <c:pt idx="16">
                  <c:v>169.29328493638488</c:v>
                </c:pt>
                <c:pt idx="17">
                  <c:v>160.27837386095229</c:v>
                </c:pt>
                <c:pt idx="18">
                  <c:v>170.96330483249588</c:v>
                </c:pt>
                <c:pt idx="19">
                  <c:v>172.02381312056923</c:v>
                </c:pt>
                <c:pt idx="20">
                  <c:v>171.61715644186094</c:v>
                </c:pt>
                <c:pt idx="21">
                  <c:v>167.12582426292704</c:v>
                </c:pt>
                <c:pt idx="22">
                  <c:v>153.34643549697603</c:v>
                </c:pt>
                <c:pt idx="23">
                  <c:v>137.61312479132414</c:v>
                </c:pt>
                <c:pt idx="24">
                  <c:v>130.44791000097695</c:v>
                </c:pt>
                <c:pt idx="25">
                  <c:v>141.49869075853832</c:v>
                </c:pt>
                <c:pt idx="26">
                  <c:v>121.45344680846594</c:v>
                </c:pt>
                <c:pt idx="27">
                  <c:v>64.439959819904132</c:v>
                </c:pt>
                <c:pt idx="28">
                  <c:v>35.526591021092457</c:v>
                </c:pt>
                <c:pt idx="29">
                  <c:v>24.138352553558473</c:v>
                </c:pt>
                <c:pt idx="30">
                  <c:v>27.490359210332027</c:v>
                </c:pt>
                <c:pt idx="31">
                  <c:v>52.011038191191346</c:v>
                </c:pt>
                <c:pt idx="32">
                  <c:v>43.255411804221126</c:v>
                </c:pt>
                <c:pt idx="33">
                  <c:v>22.549144125868192</c:v>
                </c:pt>
                <c:pt idx="34">
                  <c:v>29.588755426794755</c:v>
                </c:pt>
                <c:pt idx="35">
                  <c:v>37.615742148444475</c:v>
                </c:pt>
                <c:pt idx="36">
                  <c:v>33.681334352013614</c:v>
                </c:pt>
                <c:pt idx="37">
                  <c:v>36.055225847705685</c:v>
                </c:pt>
                <c:pt idx="38">
                  <c:v>52.712148721502587</c:v>
                </c:pt>
                <c:pt idx="39">
                  <c:v>54.035505329734868</c:v>
                </c:pt>
                <c:pt idx="40">
                  <c:v>54.497969561789894</c:v>
                </c:pt>
                <c:pt idx="41">
                  <c:v>56.939967285983784</c:v>
                </c:pt>
                <c:pt idx="42">
                  <c:v>51.898962876166536</c:v>
                </c:pt>
                <c:pt idx="43">
                  <c:v>67.683303063347864</c:v>
                </c:pt>
                <c:pt idx="44">
                  <c:v>68.951384901349627</c:v>
                </c:pt>
                <c:pt idx="45">
                  <c:v>79.240279697681302</c:v>
                </c:pt>
                <c:pt idx="46">
                  <c:v>96.768658666275968</c:v>
                </c:pt>
                <c:pt idx="47">
                  <c:v>89.590632651374719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558784"/>
        <c:axId val="257599360"/>
      </c:lineChart>
      <c:lineChart>
        <c:grouping val="standard"/>
        <c:varyColors val="0"/>
        <c:ser>
          <c:idx val="2"/>
          <c:order val="2"/>
          <c:tx>
            <c:strRef>
              <c:f>'Data Set'!$I$4</c:f>
              <c:strCache>
                <c:ptCount val="1"/>
                <c:pt idx="0">
                  <c:v>Px/Coupon</c:v>
                </c:pt>
              </c:strCache>
            </c:strRef>
          </c:tx>
          <c:marker>
            <c:symbol val="none"/>
          </c:marker>
          <c:val>
            <c:numRef>
              <c:f>'Data Set'!$I$5:$I$52</c:f>
              <c:numCache>
                <c:formatCode>General</c:formatCode>
                <c:ptCount val="48"/>
                <c:pt idx="0">
                  <c:v>5.4040030648877693</c:v>
                </c:pt>
                <c:pt idx="1">
                  <c:v>5.4712822921760953</c:v>
                </c:pt>
                <c:pt idx="2">
                  <c:v>5.4954374413528742</c:v>
                </c:pt>
                <c:pt idx="3">
                  <c:v>6.7509728140678025</c:v>
                </c:pt>
                <c:pt idx="4">
                  <c:v>6.3714749941029423</c:v>
                </c:pt>
                <c:pt idx="5">
                  <c:v>5.1216829246394768</c:v>
                </c:pt>
                <c:pt idx="6">
                  <c:v>4.1836002424530161</c:v>
                </c:pt>
                <c:pt idx="7">
                  <c:v>4.3757311186021903</c:v>
                </c:pt>
                <c:pt idx="8">
                  <c:v>4.3526923479245641</c:v>
                </c:pt>
                <c:pt idx="9">
                  <c:v>4.268197440228704</c:v>
                </c:pt>
                <c:pt idx="10">
                  <c:v>3.9101658579454908</c:v>
                </c:pt>
                <c:pt idx="11">
                  <c:v>4.3387775684171057</c:v>
                </c:pt>
                <c:pt idx="12">
                  <c:v>4.7809667311981299</c:v>
                </c:pt>
                <c:pt idx="13">
                  <c:v>4.5026149552608912</c:v>
                </c:pt>
                <c:pt idx="14">
                  <c:v>3.9686205879018623</c:v>
                </c:pt>
                <c:pt idx="15">
                  <c:v>4.0701737194172329</c:v>
                </c:pt>
                <c:pt idx="16">
                  <c:v>4.0017214526908145</c:v>
                </c:pt>
                <c:pt idx="17">
                  <c:v>4.2638047439403906</c:v>
                </c:pt>
                <c:pt idx="18">
                  <c:v>3.7799193209171662</c:v>
                </c:pt>
                <c:pt idx="19">
                  <c:v>3.8793027423052191</c:v>
                </c:pt>
                <c:pt idx="20">
                  <c:v>3.7290471453530523</c:v>
                </c:pt>
                <c:pt idx="21">
                  <c:v>3.8653117969050417</c:v>
                </c:pt>
                <c:pt idx="22">
                  <c:v>4.208058431704619</c:v>
                </c:pt>
                <c:pt idx="23">
                  <c:v>4.2054727505473597</c:v>
                </c:pt>
                <c:pt idx="24">
                  <c:v>4.9745016401141546</c:v>
                </c:pt>
                <c:pt idx="25">
                  <c:v>4.3627049281356589</c:v>
                </c:pt>
                <c:pt idx="26">
                  <c:v>5.1999190173324816</c:v>
                </c:pt>
                <c:pt idx="27">
                  <c:v>5.7003557284317656</c:v>
                </c:pt>
                <c:pt idx="28">
                  <c:v>6.0487356185456278</c:v>
                </c:pt>
                <c:pt idx="29">
                  <c:v>6.2700111647958483</c:v>
                </c:pt>
                <c:pt idx="30">
                  <c:v>6.2759816228993976</c:v>
                </c:pt>
                <c:pt idx="31">
                  <c:v>6.1292602360882347</c:v>
                </c:pt>
                <c:pt idx="32">
                  <c:v>6.5404073004979626</c:v>
                </c:pt>
                <c:pt idx="33">
                  <c:v>6.884765336643401</c:v>
                </c:pt>
                <c:pt idx="34">
                  <c:v>6.665985352747307</c:v>
                </c:pt>
                <c:pt idx="35">
                  <c:v>6.7696726014987414</c:v>
                </c:pt>
                <c:pt idx="36">
                  <c:v>7.0429305765349453</c:v>
                </c:pt>
                <c:pt idx="37">
                  <c:v>6.9604846465488261</c:v>
                </c:pt>
                <c:pt idx="38">
                  <c:v>6.7333737868900823</c:v>
                </c:pt>
                <c:pt idx="39">
                  <c:v>6.8773467290713715</c:v>
                </c:pt>
                <c:pt idx="40">
                  <c:v>6.9146271838785154</c:v>
                </c:pt>
                <c:pt idx="41">
                  <c:v>6.5894851797296603</c:v>
                </c:pt>
                <c:pt idx="42">
                  <c:v>6.8409775646235733</c:v>
                </c:pt>
                <c:pt idx="43">
                  <c:v>6.572942561560823</c:v>
                </c:pt>
                <c:pt idx="44">
                  <c:v>6.3494890058541902</c:v>
                </c:pt>
                <c:pt idx="45">
                  <c:v>6.1630233812227697</c:v>
                </c:pt>
                <c:pt idx="46">
                  <c:v>5.0038123754053689</c:v>
                </c:pt>
                <c:pt idx="47">
                  <c:v>5.7704760140700566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222208"/>
        <c:axId val="266219520"/>
      </c:lineChart>
      <c:dateAx>
        <c:axId val="257558784"/>
        <c:scaling>
          <c:orientation val="minMax"/>
        </c:scaling>
        <c:delete val="0"/>
        <c:axPos val="b"/>
        <c:numFmt formatCode="mm/dd/yy;@" sourceLinked="1"/>
        <c:majorTickMark val="out"/>
        <c:minorTickMark val="none"/>
        <c:tickLblPos val="low"/>
        <c:crossAx val="257599360"/>
        <c:crosses val="autoZero"/>
        <c:auto val="1"/>
        <c:lblOffset val="100"/>
        <c:baseTimeUnit val="months"/>
      </c:dateAx>
      <c:valAx>
        <c:axId val="2575993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bps</a:t>
                </a:r>
              </a:p>
            </c:rich>
          </c:tx>
          <c:layout/>
          <c:overlay val="0"/>
        </c:title>
        <c:numFmt formatCode="#,##0_);[Red]\-#,##0_)" sourceLinked="1"/>
        <c:majorTickMark val="out"/>
        <c:minorTickMark val="none"/>
        <c:tickLblPos val="nextTo"/>
        <c:crossAx val="257558784"/>
        <c:crosses val="autoZero"/>
        <c:crossBetween val="between"/>
      </c:valAx>
      <c:valAx>
        <c:axId val="2662195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Price/Coupon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66222208"/>
        <c:crosses val="max"/>
        <c:crossBetween val="between"/>
      </c:valAx>
      <c:catAx>
        <c:axId val="266222208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266219520"/>
        <c:crosses val="autoZero"/>
        <c:auto val="1"/>
        <c:lblAlgn val="ctr"/>
        <c:lblOffset val="100"/>
        <c:noMultiLvlLbl val="1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10</xdr:row>
      <xdr:rowOff>33336</xdr:rowOff>
    </xdr:from>
    <xdr:to>
      <xdr:col>28</xdr:col>
      <xdr:colOff>438150</xdr:colOff>
      <xdr:row>34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J52"/>
  <sheetViews>
    <sheetView tabSelected="1" workbookViewId="0">
      <selection activeCell="M5" sqref="M5"/>
    </sheetView>
  </sheetViews>
  <sheetFormatPr defaultRowHeight="15" x14ac:dyDescent="0.25"/>
  <sheetData>
    <row r="3" spans="2:10" x14ac:dyDescent="0.25">
      <c r="B3" s="27" t="s">
        <v>0</v>
      </c>
      <c r="C3" s="28"/>
      <c r="D3" s="28"/>
      <c r="E3" s="29"/>
    </row>
    <row r="4" spans="2:10" ht="45" x14ac:dyDescent="0.25">
      <c r="B4" s="16" t="s">
        <v>1</v>
      </c>
      <c r="C4" s="21" t="s">
        <v>24</v>
      </c>
      <c r="D4" s="16" t="s">
        <v>2</v>
      </c>
      <c r="E4" s="16" t="s">
        <v>3</v>
      </c>
      <c r="F4" s="16" t="s">
        <v>8</v>
      </c>
      <c r="G4" s="16" t="s">
        <v>11</v>
      </c>
      <c r="H4" s="16" t="s">
        <v>14</v>
      </c>
      <c r="I4" s="16" t="s">
        <v>25</v>
      </c>
    </row>
    <row r="5" spans="2:10" x14ac:dyDescent="0.25">
      <c r="B5" s="17">
        <v>40633</v>
      </c>
      <c r="C5" s="22">
        <v>3.2147753175075941E-2</v>
      </c>
      <c r="D5" s="19">
        <v>12.454245092935345</v>
      </c>
      <c r="E5" s="18">
        <v>1.0991113530483746E-2</v>
      </c>
      <c r="F5" s="20">
        <f>VLOOKUP(B5,'Realized Vol'!$A$2:$D$1466,4,0)</f>
        <v>4.9599999999999998E-2</v>
      </c>
      <c r="G5" s="20">
        <f>VLOOKUP(B5,'Yield Curve'!B5:G52,5,0)</f>
        <v>4.5069999999999997</v>
      </c>
      <c r="H5" s="26">
        <f>VLOOKUP(B5,'ppm risk premium'!$O$3:$R$51,4,0)*100</f>
        <v>76.888121881587068</v>
      </c>
      <c r="I5" s="20">
        <v>5.4040030648877693</v>
      </c>
    </row>
    <row r="6" spans="2:10" x14ac:dyDescent="0.25">
      <c r="B6" s="17">
        <v>40662</v>
      </c>
      <c r="C6" s="23">
        <v>3.9945300504856653E-2</v>
      </c>
      <c r="D6" s="19">
        <v>-13.523941730477457</v>
      </c>
      <c r="E6" s="18">
        <v>1.0984369457682011E-2</v>
      </c>
      <c r="F6" s="20">
        <f>VLOOKUP(B6,'Realized Vol'!$A$2:$D$1466,4,0)</f>
        <v>4.0099999999999997E-2</v>
      </c>
      <c r="G6" s="20">
        <f>VLOOKUP(B6,'Yield Curve'!B6:G53,5,0)</f>
        <v>4.4039999999999999</v>
      </c>
      <c r="H6" s="26">
        <f>VLOOKUP(B6,'ppm risk premium'!$O$3:$R$51,4,0)*100</f>
        <v>76.964595799127977</v>
      </c>
      <c r="I6" s="20">
        <v>5.4712822921760953</v>
      </c>
      <c r="J6" s="6"/>
    </row>
    <row r="7" spans="2:10" x14ac:dyDescent="0.25">
      <c r="B7" s="17">
        <v>40694</v>
      </c>
      <c r="C7" s="23">
        <v>3.6836948680963523E-2</v>
      </c>
      <c r="D7" s="19">
        <v>-39.195910729297935</v>
      </c>
      <c r="E7" s="18">
        <v>1.2359978510225116E-2</v>
      </c>
      <c r="F7" s="20">
        <f>VLOOKUP(B7,'Realized Vol'!$A$2:$D$1466,4,0)</f>
        <v>3.2500000000000001E-2</v>
      </c>
      <c r="G7" s="20">
        <f>VLOOKUP(B7,'Yield Curve'!B7:G54,5,0)</f>
        <v>4.2149999999999999</v>
      </c>
      <c r="H7" s="26">
        <f>VLOOKUP(B7,'ppm risk premium'!$O$3:$R$51,4,0)*100</f>
        <v>96.692871263197048</v>
      </c>
      <c r="I7" s="20">
        <v>5.4954374413528742</v>
      </c>
      <c r="J7" s="6"/>
    </row>
    <row r="8" spans="2:10" x14ac:dyDescent="0.25">
      <c r="B8" s="17">
        <v>40724</v>
      </c>
      <c r="C8" s="23">
        <v>-8.9725230837073861E-3</v>
      </c>
      <c r="D8" s="19">
        <v>-71.812762532091284</v>
      </c>
      <c r="E8" s="18">
        <v>1.1611305017469561E-2</v>
      </c>
      <c r="F8" s="20">
        <f>VLOOKUP(B8,'Realized Vol'!$A$2:$D$1466,4,0)</f>
        <v>3.44E-2</v>
      </c>
      <c r="G8" s="20">
        <f>VLOOKUP(B8,'Yield Curve'!B8:G55,5,0)</f>
        <v>4.3819999999999997</v>
      </c>
      <c r="H8" s="26">
        <f>VLOOKUP(B8,'ppm risk premium'!$O$3:$R$51,4,0)*100</f>
        <v>106.02410442478228</v>
      </c>
      <c r="I8" s="20">
        <v>6.7509728140678025</v>
      </c>
      <c r="J8" s="6"/>
    </row>
    <row r="9" spans="2:10" x14ac:dyDescent="0.25">
      <c r="B9" s="17">
        <v>40753</v>
      </c>
      <c r="C9" s="23">
        <v>-7.0542451766380859E-3</v>
      </c>
      <c r="D9" s="19">
        <v>14.555567089358632</v>
      </c>
      <c r="E9" s="18">
        <v>9.4859999077979359E-3</v>
      </c>
      <c r="F9" s="20">
        <f>VLOOKUP(B9,'Realized Vol'!$A$2:$D$1466,4,0)</f>
        <v>0.04</v>
      </c>
      <c r="G9" s="20">
        <f>VLOOKUP(B9,'Yield Curve'!B9:G56,5,0)</f>
        <v>4.133</v>
      </c>
      <c r="H9" s="26">
        <f>VLOOKUP(B9,'ppm risk premium'!$O$3:$R$51,4,0)*100</f>
        <v>102.75983193438405</v>
      </c>
      <c r="I9" s="20">
        <v>6.3714749941029423</v>
      </c>
      <c r="J9" s="6"/>
    </row>
    <row r="10" spans="2:10" x14ac:dyDescent="0.25">
      <c r="B10" s="17">
        <v>40786</v>
      </c>
      <c r="C10" s="23">
        <v>-0.12940148616743233</v>
      </c>
      <c r="D10" s="19">
        <v>413.1307634556174</v>
      </c>
      <c r="E10" s="18">
        <v>9.8897455980434257E-3</v>
      </c>
      <c r="F10" s="20">
        <f>VLOOKUP(B10,'Realized Vol'!$A$2:$D$1466,4,0)</f>
        <v>6.6100000000000006E-2</v>
      </c>
      <c r="G10" s="20">
        <f>VLOOKUP(B10,'Yield Curve'!B10:G57,5,0)</f>
        <v>3.5950000000000002</v>
      </c>
      <c r="H10" s="26">
        <f>VLOOKUP(B10,'ppm risk premium'!$O$3:$R$51,4,0)*100</f>
        <v>129.361280438422</v>
      </c>
      <c r="I10" s="20">
        <v>5.1216829246394768</v>
      </c>
      <c r="J10" s="6"/>
    </row>
    <row r="11" spans="2:10" x14ac:dyDescent="0.25">
      <c r="B11" s="17">
        <v>40816</v>
      </c>
      <c r="C11" s="23">
        <v>-0.1064639937577718</v>
      </c>
      <c r="D11" s="19">
        <v>707.36595401615773</v>
      </c>
      <c r="E11" s="18">
        <v>1.4023413556404364E-2</v>
      </c>
      <c r="F11" s="20">
        <f>VLOOKUP(B11,'Realized Vol'!$A$2:$D$1466,4,0)</f>
        <v>8.0799999999999997E-2</v>
      </c>
      <c r="G11" s="20">
        <f>VLOOKUP(B11,'Yield Curve'!B11:G58,5,0)</f>
        <v>2.92</v>
      </c>
      <c r="H11" s="26">
        <f>VLOOKUP(B11,'ppm risk premium'!$O$3:$R$51,4,0)*100</f>
        <v>146.66634741429752</v>
      </c>
      <c r="I11" s="20">
        <v>4.1836002424530161</v>
      </c>
      <c r="J11" s="6"/>
    </row>
    <row r="12" spans="2:10" x14ac:dyDescent="0.25">
      <c r="B12" s="17">
        <v>40847</v>
      </c>
      <c r="C12" s="23">
        <v>2.3593584560071421E-2</v>
      </c>
      <c r="D12" s="19">
        <v>688.11426559475387</v>
      </c>
      <c r="E12" s="18">
        <v>1.2905991827933823E-2</v>
      </c>
      <c r="F12" s="20">
        <f>VLOOKUP(B12,'Realized Vol'!$A$2:$D$1466,4,0)</f>
        <v>8.43E-2</v>
      </c>
      <c r="G12" s="20">
        <f>VLOOKUP(B12,'Yield Curve'!B12:G59,5,0)</f>
        <v>3.1989999999999998</v>
      </c>
      <c r="H12" s="26">
        <f>VLOOKUP(B12,'ppm risk premium'!$O$3:$R$51,4,0)*100</f>
        <v>142.27168645164897</v>
      </c>
      <c r="I12" s="20">
        <v>4.3757311186021903</v>
      </c>
      <c r="J12" s="6"/>
    </row>
    <row r="13" spans="2:10" x14ac:dyDescent="0.25">
      <c r="B13" s="17">
        <v>40877</v>
      </c>
      <c r="C13" s="23">
        <v>1.4407938862063669E-2</v>
      </c>
      <c r="D13" s="19">
        <v>623.10168528876363</v>
      </c>
      <c r="E13" s="18">
        <v>7.0135917459659249E-3</v>
      </c>
      <c r="F13" s="20">
        <f>VLOOKUP(B13,'Realized Vol'!$A$2:$D$1466,4,0)</f>
        <v>7.1900000000000006E-2</v>
      </c>
      <c r="G13" s="20">
        <f>VLOOKUP(B13,'Yield Curve'!B13:G60,5,0)</f>
        <v>3.0609999999999999</v>
      </c>
      <c r="H13" s="26">
        <f>VLOOKUP(B13,'ppm risk premium'!$O$3:$R$51,4,0)*100</f>
        <v>148.95810969259102</v>
      </c>
      <c r="I13" s="20">
        <v>4.3526923479245641</v>
      </c>
      <c r="J13" s="6"/>
    </row>
    <row r="14" spans="2:10" x14ac:dyDescent="0.25">
      <c r="B14" s="17">
        <v>40907</v>
      </c>
      <c r="C14" s="23">
        <v>5.8326880120871194E-3</v>
      </c>
      <c r="D14" s="19">
        <v>610.59817697721678</v>
      </c>
      <c r="E14" s="18">
        <v>3.9545840537859589E-3</v>
      </c>
      <c r="F14" s="20">
        <f>VLOOKUP(B14,'Realized Vol'!$A$2:$D$1466,4,0)</f>
        <v>5.6099999999999997E-2</v>
      </c>
      <c r="G14" s="20">
        <f>VLOOKUP(B14,'Yield Curve'!B14:G61,5,0)</f>
        <v>2.89</v>
      </c>
      <c r="H14" s="26">
        <f>VLOOKUP(B14,'ppm risk premium'!$O$3:$R$51,4,0)*100</f>
        <v>150.69835980232531</v>
      </c>
      <c r="I14" s="20">
        <v>4.268197440228704</v>
      </c>
      <c r="J14" s="6"/>
    </row>
    <row r="15" spans="2:10" x14ac:dyDescent="0.25">
      <c r="B15" s="17">
        <v>40939</v>
      </c>
      <c r="C15" s="23">
        <v>-3.0247514562330213E-2</v>
      </c>
      <c r="D15" s="19">
        <v>465.33199143048387</v>
      </c>
      <c r="E15" s="18">
        <v>9.3155584712633771E-3</v>
      </c>
      <c r="F15" s="20">
        <f>VLOOKUP(B15,'Realized Vol'!$A$2:$D$1466,4,0)</f>
        <v>4.48E-2</v>
      </c>
      <c r="G15" s="20">
        <f>VLOOKUP(B15,'Yield Curve'!B15:G62,5,0)</f>
        <v>2.9340000000000002</v>
      </c>
      <c r="H15" s="26">
        <f>VLOOKUP(B15,'ppm risk premium'!$O$3:$R$51,4,0)*100</f>
        <v>151.34348559219012</v>
      </c>
      <c r="I15" s="20">
        <v>3.9101658579454908</v>
      </c>
      <c r="J15" s="6"/>
    </row>
    <row r="16" spans="2:10" x14ac:dyDescent="0.25">
      <c r="B16" s="17">
        <v>40968</v>
      </c>
      <c r="C16" s="23">
        <v>0.11557043677865356</v>
      </c>
      <c r="D16" s="19">
        <v>220.00245023070019</v>
      </c>
      <c r="E16" s="18">
        <v>1.7106233225619445E-2</v>
      </c>
      <c r="F16" s="20">
        <f>VLOOKUP(B16,'Realized Vol'!$A$2:$D$1466,4,0)</f>
        <v>4.7E-2</v>
      </c>
      <c r="G16" s="20">
        <f>VLOOKUP(B16,'Yield Curve'!B16:G63,5,0)</f>
        <v>3.0859999999999999</v>
      </c>
      <c r="H16" s="26">
        <f>VLOOKUP(B16,'ppm risk premium'!$O$3:$R$51,4,0)*100</f>
        <v>147.44671663260308</v>
      </c>
      <c r="I16" s="20">
        <v>4.3387775684171057</v>
      </c>
      <c r="J16" s="6"/>
    </row>
    <row r="17" spans="2:10" x14ac:dyDescent="0.25">
      <c r="B17" s="17">
        <v>40998</v>
      </c>
      <c r="C17" s="23">
        <v>7.1400249822738751E-2</v>
      </c>
      <c r="D17" s="19">
        <v>105.2548909642519</v>
      </c>
      <c r="E17" s="18">
        <v>1.0372252911672175E-2</v>
      </c>
      <c r="F17" s="20">
        <f>VLOOKUP(B17,'Realized Vol'!$A$2:$D$1466,4,0)</f>
        <v>5.0500000000000003E-2</v>
      </c>
      <c r="G17" s="20">
        <f>VLOOKUP(B17,'Yield Curve'!B17:G64,5,0)</f>
        <v>3.3490000000000002</v>
      </c>
      <c r="H17" s="26">
        <f>VLOOKUP(B17,'ppm risk premium'!$O$3:$R$51,4,0)*100</f>
        <v>138.46374263983608</v>
      </c>
      <c r="I17" s="20">
        <v>4.7809667311981299</v>
      </c>
      <c r="J17" s="6"/>
    </row>
    <row r="18" spans="2:10" x14ac:dyDescent="0.25">
      <c r="B18" s="17">
        <v>41029</v>
      </c>
      <c r="C18" s="23">
        <v>-2.0065317048366834E-2</v>
      </c>
      <c r="D18" s="19">
        <v>167.57420337750975</v>
      </c>
      <c r="E18" s="18">
        <v>2.4221036505354494E-3</v>
      </c>
      <c r="F18" s="20">
        <f>VLOOKUP(B18,'Realized Vol'!$A$2:$D$1466,4,0)</f>
        <v>5.11E-2</v>
      </c>
      <c r="G18" s="20">
        <f>VLOOKUP(B18,'Yield Curve'!B18:G65,5,0)</f>
        <v>3.109</v>
      </c>
      <c r="H18" s="26">
        <f>VLOOKUP(B18,'ppm risk premium'!$O$3:$R$51,4,0)*100</f>
        <v>143.50585584428552</v>
      </c>
      <c r="I18" s="20">
        <v>4.5026149552608912</v>
      </c>
      <c r="J18" s="6"/>
    </row>
    <row r="19" spans="2:10" x14ac:dyDescent="0.25">
      <c r="B19" s="17">
        <v>41060</v>
      </c>
      <c r="C19" s="23">
        <v>-7.1845658545824878E-2</v>
      </c>
      <c r="D19" s="19">
        <v>286.25597142369679</v>
      </c>
      <c r="E19" s="18">
        <v>8.3669300797166047E-3</v>
      </c>
      <c r="F19" s="20">
        <f>VLOOKUP(B19,'Realized Vol'!$A$2:$D$1466,4,0)</f>
        <v>4.8800000000000003E-2</v>
      </c>
      <c r="G19" s="20">
        <f>VLOOKUP(B19,'Yield Curve'!B19:G66,5,0)</f>
        <v>2.673</v>
      </c>
      <c r="H19" s="26">
        <f>VLOOKUP(B19,'ppm risk premium'!$O$3:$R$51,4,0)*100</f>
        <v>150.81796209844066</v>
      </c>
      <c r="I19" s="20">
        <v>3.9686205879018623</v>
      </c>
      <c r="J19" s="6"/>
    </row>
    <row r="20" spans="2:10" x14ac:dyDescent="0.25">
      <c r="B20" s="17">
        <v>41089</v>
      </c>
      <c r="C20" s="23">
        <v>4.3888393396695452E-2</v>
      </c>
      <c r="D20" s="19">
        <v>293.96700252585657</v>
      </c>
      <c r="E20" s="18">
        <v>1.4315087535371647E-2</v>
      </c>
      <c r="F20" s="20">
        <f>VLOOKUP(B20,'Realized Vol'!$A$2:$D$1466,4,0)</f>
        <v>4.2200000000000001E-2</v>
      </c>
      <c r="G20" s="20">
        <f>VLOOKUP(B20,'Yield Curve'!B20:G67,5,0)</f>
        <v>2.7669999999999999</v>
      </c>
      <c r="H20" s="26">
        <f>VLOOKUP(B20,'ppm risk premium'!$O$3:$R$51,4,0)*100</f>
        <v>160.22878401483888</v>
      </c>
      <c r="I20" s="20">
        <v>4.0701737194172329</v>
      </c>
      <c r="J20" s="6"/>
    </row>
    <row r="21" spans="2:10" x14ac:dyDescent="0.25">
      <c r="B21" s="17">
        <v>41121</v>
      </c>
      <c r="C21" s="23">
        <v>6.2058842757472282E-2</v>
      </c>
      <c r="D21" s="19">
        <v>171.71550081323352</v>
      </c>
      <c r="E21" s="18">
        <v>1.1971428116081347E-2</v>
      </c>
      <c r="F21" s="20">
        <f>VLOOKUP(B21,'Realized Vol'!$A$2:$D$1466,4,0)</f>
        <v>5.2400000000000002E-2</v>
      </c>
      <c r="G21" s="20">
        <f>VLOOKUP(B21,'Yield Curve'!B21:G68,5,0)</f>
        <v>2.577</v>
      </c>
      <c r="H21" s="26">
        <f>VLOOKUP(B21,'ppm risk premium'!$O$3:$R$51,4,0)*100</f>
        <v>169.29328493638488</v>
      </c>
      <c r="I21" s="20">
        <v>4.0017214526908145</v>
      </c>
      <c r="J21" s="6"/>
    </row>
    <row r="22" spans="2:10" x14ac:dyDescent="0.25">
      <c r="B22" s="17">
        <v>41152</v>
      </c>
      <c r="C22" s="23">
        <v>6.0125210413104181E-2</v>
      </c>
      <c r="D22" s="19">
        <v>79.354763942629233</v>
      </c>
      <c r="E22" s="18">
        <v>8.3837741732004697E-3</v>
      </c>
      <c r="F22" s="20">
        <f>VLOOKUP(B22,'Realized Vol'!$A$2:$D$1466,4,0)</f>
        <v>5.6300000000000003E-2</v>
      </c>
      <c r="G22" s="20">
        <f>VLOOKUP(B22,'Yield Curve'!B22:G69,5,0)</f>
        <v>2.6850000000000001</v>
      </c>
      <c r="H22" s="26">
        <f>VLOOKUP(B22,'ppm risk premium'!$O$3:$R$51,4,0)*100</f>
        <v>160.27837386095229</v>
      </c>
      <c r="I22" s="20">
        <v>4.2638047439403906</v>
      </c>
      <c r="J22" s="6"/>
    </row>
    <row r="23" spans="2:10" x14ac:dyDescent="0.25">
      <c r="B23" s="17">
        <v>41180</v>
      </c>
      <c r="C23" s="23">
        <v>-3.9837098241825214E-2</v>
      </c>
      <c r="D23" s="19">
        <v>247.78680771652574</v>
      </c>
      <c r="E23" s="18">
        <v>-2.0653799591469671E-3</v>
      </c>
      <c r="F23" s="20">
        <f>VLOOKUP(B23,'Realized Vol'!$A$2:$D$1466,4,0)</f>
        <v>6.3200000000000006E-2</v>
      </c>
      <c r="G23" s="20">
        <f>VLOOKUP(B23,'Yield Curve'!B23:G70,5,0)</f>
        <v>2.8340000000000001</v>
      </c>
      <c r="H23" s="26">
        <f>VLOOKUP(B23,'ppm risk premium'!$O$3:$R$51,4,0)*100</f>
        <v>170.96330483249588</v>
      </c>
      <c r="I23" s="20">
        <v>3.7799193209171662</v>
      </c>
      <c r="J23" s="6"/>
    </row>
    <row r="24" spans="2:10" x14ac:dyDescent="0.25">
      <c r="B24" s="17">
        <v>41213</v>
      </c>
      <c r="C24" s="23">
        <v>1.5619117433484145E-3</v>
      </c>
      <c r="D24" s="19">
        <v>309.68943904644351</v>
      </c>
      <c r="E24" s="18">
        <v>6.2727320444405654E-3</v>
      </c>
      <c r="F24" s="20">
        <f>VLOOKUP(B24,'Realized Vol'!$A$2:$D$1466,4,0)</f>
        <v>5.9799999999999999E-2</v>
      </c>
      <c r="G24" s="20">
        <f>VLOOKUP(B24,'Yield Curve'!B24:G71,5,0)</f>
        <v>2.851</v>
      </c>
      <c r="H24" s="26">
        <f>VLOOKUP(B24,'ppm risk premium'!$O$3:$R$51,4,0)*100</f>
        <v>172.02381312056923</v>
      </c>
      <c r="I24" s="20">
        <v>3.8793027423052191</v>
      </c>
      <c r="J24" s="6"/>
    </row>
    <row r="25" spans="2:10" x14ac:dyDescent="0.25">
      <c r="B25" s="17">
        <v>41243</v>
      </c>
      <c r="C25" s="23">
        <v>-3.7250678881232228E-2</v>
      </c>
      <c r="D25" s="19">
        <v>312.18893683514722</v>
      </c>
      <c r="E25" s="18">
        <v>-2.8508675740747547E-3</v>
      </c>
      <c r="F25" s="20">
        <f>VLOOKUP(B25,'Realized Vol'!$A$2:$D$1466,4,0)</f>
        <v>6.25E-2</v>
      </c>
      <c r="G25" s="20">
        <f>VLOOKUP(B25,'Yield Curve'!B25:G72,5,0)</f>
        <v>2.7959999999999998</v>
      </c>
      <c r="H25" s="26">
        <f>VLOOKUP(B25,'ppm risk premium'!$O$3:$R$51,4,0)*100</f>
        <v>171.61715644186094</v>
      </c>
      <c r="I25" s="20">
        <v>3.7290471453530523</v>
      </c>
      <c r="J25" s="6"/>
    </row>
    <row r="26" spans="2:10" x14ac:dyDescent="0.25">
      <c r="B26" s="17">
        <v>41274</v>
      </c>
      <c r="C26" s="23">
        <v>2.6619862655127956E-2</v>
      </c>
      <c r="D26" s="19">
        <v>327.64421827416106</v>
      </c>
      <c r="E26" s="18">
        <v>7.0328489174527418E-4</v>
      </c>
      <c r="F26" s="20">
        <f>VLOOKUP(B26,'Realized Vol'!$A$2:$D$1466,4,0)</f>
        <v>5.1799999999999999E-2</v>
      </c>
      <c r="G26" s="20">
        <f>VLOOKUP(B26,'Yield Curve'!B26:G73,5,0)</f>
        <v>2.9340000000000002</v>
      </c>
      <c r="H26" s="26">
        <f>VLOOKUP(B26,'ppm risk premium'!$O$3:$R$51,4,0)*100</f>
        <v>167.12582426292704</v>
      </c>
      <c r="I26" s="20">
        <v>3.8653117969050417</v>
      </c>
      <c r="J26" s="6"/>
    </row>
    <row r="27" spans="2:10" x14ac:dyDescent="0.25">
      <c r="B27" s="17">
        <v>41305</v>
      </c>
      <c r="C27" s="23">
        <v>2.8918724279014381E-2</v>
      </c>
      <c r="D27" s="19">
        <v>428.37292591191772</v>
      </c>
      <c r="E27" s="18">
        <v>-4.5343840325552881E-3</v>
      </c>
      <c r="F27" s="20">
        <f>VLOOKUP(B27,'Realized Vol'!$A$2:$D$1466,4,0)</f>
        <v>4.9299999999999997E-2</v>
      </c>
      <c r="G27" s="20">
        <f>VLOOKUP(B27,'Yield Curve'!B27:G74,5,0)</f>
        <v>3.169</v>
      </c>
      <c r="H27" s="26">
        <f>VLOOKUP(B27,'ppm risk premium'!$O$3:$R$51,4,0)*100</f>
        <v>153.34643549697603</v>
      </c>
      <c r="I27" s="20">
        <v>4.208058431704619</v>
      </c>
      <c r="J27" s="6"/>
    </row>
    <row r="28" spans="2:10" x14ac:dyDescent="0.25">
      <c r="B28" s="17">
        <v>41333</v>
      </c>
      <c r="C28" s="23">
        <v>-1.8837838201561088E-3</v>
      </c>
      <c r="D28" s="19">
        <v>447.98054231586696</v>
      </c>
      <c r="E28" s="18">
        <v>-4.495885154910317E-3</v>
      </c>
      <c r="F28" s="20">
        <f>VLOOKUP(B28,'Realized Vol'!$A$2:$D$1466,4,0)</f>
        <v>3.9100000000000003E-2</v>
      </c>
      <c r="G28" s="20">
        <f>VLOOKUP(B28,'Yield Curve'!B28:G75,5,0)</f>
        <v>3.0939999999999999</v>
      </c>
      <c r="H28" s="26">
        <f>VLOOKUP(B28,'ppm risk premium'!$O$3:$R$51,4,0)*100</f>
        <v>137.61312479132414</v>
      </c>
      <c r="I28" s="20">
        <v>4.2054727505473597</v>
      </c>
      <c r="J28" s="6"/>
    </row>
    <row r="29" spans="2:10" x14ac:dyDescent="0.25">
      <c r="B29" s="17">
        <v>41361</v>
      </c>
      <c r="C29" s="23">
        <v>4.404539566878387E-2</v>
      </c>
      <c r="D29" s="19">
        <v>342.66581343894296</v>
      </c>
      <c r="E29" s="18">
        <v>3.7234474488990624E-3</v>
      </c>
      <c r="F29" s="20">
        <f>VLOOKUP(B29,'Realized Vol'!$A$2:$D$1466,4,0)</f>
        <v>3.9699999999999999E-2</v>
      </c>
      <c r="G29" s="20">
        <f>VLOOKUP(B29,'Yield Curve'!B29:G76,5,0)</f>
        <v>3.1139999999999999</v>
      </c>
      <c r="H29" s="26">
        <f>VLOOKUP(B29,'ppm risk premium'!$O$3:$R$51,4,0)*100</f>
        <v>130.44791000097695</v>
      </c>
      <c r="I29" s="20">
        <v>4.9745016401141546</v>
      </c>
      <c r="J29" s="6"/>
    </row>
    <row r="30" spans="2:10" x14ac:dyDescent="0.25">
      <c r="B30" s="17">
        <v>41394</v>
      </c>
      <c r="C30" s="23">
        <v>-9.0801513932905822E-2</v>
      </c>
      <c r="D30" s="19">
        <v>522.24020429541497</v>
      </c>
      <c r="E30" s="18">
        <v>2.5360137802357468E-3</v>
      </c>
      <c r="F30" s="20">
        <f>VLOOKUP(B30,'Realized Vol'!$A$2:$D$1466,4,0)</f>
        <v>3.4799999999999998E-2</v>
      </c>
      <c r="G30" s="20">
        <f>VLOOKUP(B30,'Yield Curve'!B30:G77,5,0)</f>
        <v>2.8690000000000002</v>
      </c>
      <c r="H30" s="26">
        <f>VLOOKUP(B30,'ppm risk premium'!$O$3:$R$51,4,0)*100</f>
        <v>141.49869075853832</v>
      </c>
      <c r="I30" s="20">
        <v>4.3627049281356589</v>
      </c>
      <c r="J30" s="6"/>
    </row>
    <row r="31" spans="2:10" x14ac:dyDescent="0.25">
      <c r="B31" s="17">
        <v>41425</v>
      </c>
      <c r="C31" s="23">
        <v>7.8437853172549074E-2</v>
      </c>
      <c r="D31" s="19">
        <v>459.7873533470638</v>
      </c>
      <c r="E31" s="18">
        <v>5.1248106918057989E-3</v>
      </c>
      <c r="F31" s="20">
        <f>VLOOKUP(B31,'Realized Vol'!$A$2:$D$1466,4,0)</f>
        <v>4.8800000000000003E-2</v>
      </c>
      <c r="G31" s="20">
        <f>VLOOKUP(B31,'Yield Curve'!B31:G78,5,0)</f>
        <v>3.3039999999999998</v>
      </c>
      <c r="H31" s="26">
        <f>VLOOKUP(B31,'ppm risk premium'!$O$3:$R$51,4,0)*100</f>
        <v>121.45344680846594</v>
      </c>
      <c r="I31" s="20">
        <v>5.1999190173324816</v>
      </c>
      <c r="J31" s="6"/>
    </row>
    <row r="32" spans="2:10" x14ac:dyDescent="0.25">
      <c r="B32" s="17">
        <v>41453</v>
      </c>
      <c r="C32" s="23">
        <v>4.9033764862551232E-2</v>
      </c>
      <c r="D32" s="19">
        <v>381.68905385820221</v>
      </c>
      <c r="E32" s="18">
        <v>-3.5140150239009612E-3</v>
      </c>
      <c r="F32" s="20">
        <f>VLOOKUP(B32,'Realized Vol'!$A$2:$D$1466,4,0)</f>
        <v>5.8999999999999997E-2</v>
      </c>
      <c r="G32" s="20">
        <f>VLOOKUP(B32,'Yield Curve'!B32:G79,5,0)</f>
        <v>3.4980000000000002</v>
      </c>
      <c r="H32" s="26">
        <f>VLOOKUP(B32,'ppm risk premium'!$O$3:$R$51,4,0)*100</f>
        <v>64.439959819904132</v>
      </c>
      <c r="I32" s="20">
        <v>5.7003557284317656</v>
      </c>
      <c r="J32" s="6"/>
    </row>
    <row r="33" spans="2:10" x14ac:dyDescent="0.25">
      <c r="B33" s="17">
        <v>41486</v>
      </c>
      <c r="C33" s="23">
        <v>4.5699741276733673E-2</v>
      </c>
      <c r="D33" s="19">
        <v>333.34538926140164</v>
      </c>
      <c r="E33" s="18">
        <v>-4.4551318867113703E-3</v>
      </c>
      <c r="F33" s="20">
        <f>VLOOKUP(B33,'Realized Vol'!$A$2:$D$1466,4,0)</f>
        <v>7.4300000000000005E-2</v>
      </c>
      <c r="G33" s="20">
        <f>VLOOKUP(B33,'Yield Curve'!B33:G80,5,0)</f>
        <v>3.6429999999999998</v>
      </c>
      <c r="H33" s="26">
        <f>VLOOKUP(B33,'ppm risk premium'!$O$3:$R$51,4,0)*100</f>
        <v>35.526591021092457</v>
      </c>
      <c r="I33" s="20">
        <v>6.0487356185456278</v>
      </c>
      <c r="J33" s="6"/>
    </row>
    <row r="34" spans="2:10" x14ac:dyDescent="0.25">
      <c r="B34" s="17">
        <v>41516</v>
      </c>
      <c r="C34" s="23">
        <v>2.4720201222230634E-2</v>
      </c>
      <c r="D34" s="19">
        <v>273.22545878341941</v>
      </c>
      <c r="E34" s="18">
        <v>-2.4630779528221846E-3</v>
      </c>
      <c r="F34" s="20">
        <f>VLOOKUP(B34,'Realized Vol'!$A$2:$D$1466,4,0)</f>
        <v>7.7399999999999997E-2</v>
      </c>
      <c r="G34" s="20">
        <f>VLOOKUP(B34,'Yield Curve'!B34:G81,5,0)</f>
        <v>3.673</v>
      </c>
      <c r="H34" s="26">
        <f>VLOOKUP(B34,'ppm risk premium'!$O$3:$R$51,4,0)*100</f>
        <v>24.138352553558473</v>
      </c>
      <c r="I34" s="20">
        <v>6.2700111647958483</v>
      </c>
      <c r="J34" s="6"/>
    </row>
    <row r="35" spans="2:10" x14ac:dyDescent="0.25">
      <c r="B35" s="17">
        <v>41547</v>
      </c>
      <c r="C35" s="23">
        <v>1.8592263834684389E-2</v>
      </c>
      <c r="D35" s="19">
        <v>225.37600805135614</v>
      </c>
      <c r="E35" s="18">
        <v>2.4923593019947937E-3</v>
      </c>
      <c r="F35" s="20">
        <f>VLOOKUP(B35,'Realized Vol'!$A$2:$D$1466,4,0)</f>
        <v>6.4399999999999999E-2</v>
      </c>
      <c r="G35" s="20">
        <f>VLOOKUP(B35,'Yield Curve'!B35:G82,5,0)</f>
        <v>3.6869999999999998</v>
      </c>
      <c r="H35" s="26">
        <f>VLOOKUP(B35,'ppm risk premium'!$O$3:$R$51,4,0)*100</f>
        <v>27.490359210332027</v>
      </c>
      <c r="I35" s="20">
        <v>6.2759816228993976</v>
      </c>
      <c r="J35" s="6"/>
    </row>
    <row r="36" spans="2:10" x14ac:dyDescent="0.25">
      <c r="B36" s="17">
        <v>41578</v>
      </c>
      <c r="C36" s="23">
        <v>-6.4166832462646557E-3</v>
      </c>
      <c r="D36" s="19">
        <v>233.9023628112142</v>
      </c>
      <c r="E36" s="18">
        <v>7.6568844511756022E-3</v>
      </c>
      <c r="F36" s="20">
        <f>VLOOKUP(B36,'Realized Vol'!$A$2:$D$1466,4,0)</f>
        <v>5.45E-2</v>
      </c>
      <c r="G36" s="20">
        <f>VLOOKUP(B36,'Yield Curve'!B36:G83,5,0)</f>
        <v>3.6320000000000001</v>
      </c>
      <c r="H36" s="26">
        <f>VLOOKUP(B36,'ppm risk premium'!$O$3:$R$51,4,0)*100</f>
        <v>52.011038191191346</v>
      </c>
      <c r="I36" s="20">
        <v>6.1292602360882347</v>
      </c>
      <c r="J36" s="6"/>
    </row>
    <row r="37" spans="2:10" x14ac:dyDescent="0.25">
      <c r="B37" s="17">
        <v>41607</v>
      </c>
      <c r="C37" s="23">
        <v>4.9738644252027009E-2</v>
      </c>
      <c r="D37" s="19">
        <v>180.5090255081054</v>
      </c>
      <c r="E37" s="18">
        <v>7.7706553488175135E-3</v>
      </c>
      <c r="F37" s="20">
        <f>VLOOKUP(B37,'Realized Vol'!$A$2:$D$1466,4,0)</f>
        <v>4.9000000000000002E-2</v>
      </c>
      <c r="G37" s="20">
        <f>VLOOKUP(B37,'Yield Curve'!B37:G84,5,0)</f>
        <v>3.8109999999999999</v>
      </c>
      <c r="H37" s="26">
        <f>VLOOKUP(B37,'ppm risk premium'!$O$3:$R$51,4,0)*100</f>
        <v>43.255411804221126</v>
      </c>
      <c r="I37" s="20">
        <v>6.5404073004979626</v>
      </c>
      <c r="J37" s="6"/>
    </row>
    <row r="38" spans="2:10" x14ac:dyDescent="0.25">
      <c r="B38" s="17">
        <v>41639</v>
      </c>
      <c r="C38" s="23">
        <v>4.9663667583236766E-2</v>
      </c>
      <c r="D38" s="19">
        <v>106.61579764411411</v>
      </c>
      <c r="E38" s="18">
        <v>7.0536743907776292E-3</v>
      </c>
      <c r="F38" s="20">
        <f>VLOOKUP(B38,'Realized Vol'!$A$2:$D$1466,4,0)</f>
        <v>4.0800000000000003E-2</v>
      </c>
      <c r="G38" s="20">
        <f>VLOOKUP(B38,'Yield Curve'!B38:G85,5,0)</f>
        <v>3.9420000000000002</v>
      </c>
      <c r="H38" s="26">
        <f>VLOOKUP(B38,'ppm risk premium'!$O$3:$R$51,4,0)*100</f>
        <v>22.549144125868192</v>
      </c>
      <c r="I38" s="20">
        <v>6.884765336643401</v>
      </c>
      <c r="J38" s="6"/>
    </row>
    <row r="39" spans="2:10" x14ac:dyDescent="0.25">
      <c r="B39" s="17">
        <v>41670</v>
      </c>
      <c r="C39" s="23">
        <v>-6.0461752700553548E-3</v>
      </c>
      <c r="D39" s="19">
        <v>94.950156430588521</v>
      </c>
      <c r="E39" s="18">
        <v>6.4418591402733514E-3</v>
      </c>
      <c r="F39" s="20">
        <f>VLOOKUP(B39,'Realized Vol'!$A$2:$D$1466,4,0)</f>
        <v>4.19E-2</v>
      </c>
      <c r="G39" s="20">
        <f>VLOOKUP(B39,'Yield Curve'!B39:G86,5,0)</f>
        <v>3.6190000000000002</v>
      </c>
      <c r="H39" s="26">
        <f>VLOOKUP(B39,'ppm risk premium'!$O$3:$R$51,4,0)*100</f>
        <v>29.588755426794755</v>
      </c>
      <c r="I39" s="20">
        <v>6.665985352747307</v>
      </c>
      <c r="J39" s="6"/>
    </row>
    <row r="40" spans="2:10" x14ac:dyDescent="0.25">
      <c r="B40" s="17">
        <v>41698</v>
      </c>
      <c r="C40" s="24">
        <v>2.400831623091218E-2</v>
      </c>
      <c r="D40" s="19">
        <v>61.235127244121664</v>
      </c>
      <c r="E40" s="18">
        <v>9.2566743417696832E-3</v>
      </c>
      <c r="F40" s="20">
        <f>VLOOKUP(B40,'Realized Vol'!$A$2:$D$1466,4,0)</f>
        <v>3.7900000000000003E-2</v>
      </c>
      <c r="G40" s="20">
        <f>VLOOKUP(B40,'Yield Curve'!B40:G87,5,0)</f>
        <v>3.5920000000000001</v>
      </c>
      <c r="H40" s="26">
        <f>VLOOKUP(B40,'ppm risk premium'!$O$3:$R$51,4,0)*100</f>
        <v>37.615742148444475</v>
      </c>
      <c r="I40" s="20">
        <v>6.7696726014987414</v>
      </c>
      <c r="J40" s="6"/>
    </row>
    <row r="41" spans="2:10" x14ac:dyDescent="0.25">
      <c r="B41" s="17">
        <v>41729</v>
      </c>
      <c r="C41" s="23">
        <v>1.6295809607463407E-2</v>
      </c>
      <c r="D41" s="19">
        <v>55.945192208047438</v>
      </c>
      <c r="E41" s="18">
        <v>9.0707922325997566E-3</v>
      </c>
      <c r="F41" s="20">
        <f>VLOOKUP(B41,'Realized Vol'!$A$2:$D$1466,4,0)</f>
        <v>3.7900000000000003E-2</v>
      </c>
      <c r="G41" s="20">
        <f>VLOOKUP(B41,'Yield Curve'!B41:G88,5,0)</f>
        <v>3.5609999999999999</v>
      </c>
      <c r="H41" s="26">
        <f>VLOOKUP(B41,'ppm risk premium'!$O$3:$R$51,4,0)*100</f>
        <v>33.681334352013614</v>
      </c>
      <c r="I41" s="20">
        <v>7.0429305765349453</v>
      </c>
      <c r="J41" s="6"/>
    </row>
    <row r="42" spans="2:10" x14ac:dyDescent="0.25">
      <c r="B42" s="17">
        <v>41759</v>
      </c>
      <c r="C42" s="23">
        <v>6.7848038432565946E-3</v>
      </c>
      <c r="D42" s="19">
        <v>41.829857551285244</v>
      </c>
      <c r="E42" s="18">
        <v>7.2662252048615013E-3</v>
      </c>
      <c r="F42" s="20">
        <f>VLOOKUP(B42,'Realized Vol'!$A$2:$D$1466,4,0)</f>
        <v>3.2800000000000003E-2</v>
      </c>
      <c r="G42" s="20">
        <f>VLOOKUP(B42,'Yield Curve'!B42:G89,5,0)</f>
        <v>3.456</v>
      </c>
      <c r="H42" s="26">
        <f>VLOOKUP(B42,'ppm risk premium'!$O$3:$R$51,4,0)*100</f>
        <v>36.055225847705685</v>
      </c>
      <c r="I42" s="20">
        <v>6.9604846465488261</v>
      </c>
      <c r="J42" s="6"/>
    </row>
    <row r="43" spans="2:10" x14ac:dyDescent="0.25">
      <c r="B43" s="17">
        <v>41789</v>
      </c>
      <c r="C43" s="23">
        <v>-1.0696001897399788E-2</v>
      </c>
      <c r="D43" s="19">
        <v>27.53135237199016</v>
      </c>
      <c r="E43" s="18">
        <v>8.7548162238832074E-3</v>
      </c>
      <c r="F43" s="20">
        <f>VLOOKUP(B43,'Realized Vol'!$A$2:$D$1466,4,0)</f>
        <v>3.2599999999999997E-2</v>
      </c>
      <c r="G43" s="20">
        <f>VLOOKUP(B43,'Yield Curve'!B43:G90,5,0)</f>
        <v>3.3140000000000001</v>
      </c>
      <c r="H43" s="26">
        <f>VLOOKUP(B43,'ppm risk premium'!$O$3:$R$51,4,0)*100</f>
        <v>52.712148721502587</v>
      </c>
      <c r="I43" s="20">
        <v>6.7333737868900823</v>
      </c>
      <c r="J43" s="6"/>
    </row>
    <row r="44" spans="2:10" x14ac:dyDescent="0.25">
      <c r="B44" s="17">
        <v>41820</v>
      </c>
      <c r="C44" s="23">
        <v>2.8037930402820394E-2</v>
      </c>
      <c r="D44" s="19">
        <v>-6.8831389142531894</v>
      </c>
      <c r="E44" s="18">
        <v>8.6109888830040761E-3</v>
      </c>
      <c r="F44" s="20">
        <f>VLOOKUP(B44,'Realized Vol'!$A$2:$D$1466,4,0)</f>
        <v>3.1600000000000003E-2</v>
      </c>
      <c r="G44" s="20">
        <f>VLOOKUP(B44,'Yield Curve'!B44:G91,5,0)</f>
        <v>3.3380000000000001</v>
      </c>
      <c r="H44" s="26">
        <f>VLOOKUP(B44,'ppm risk premium'!$O$3:$R$51,4,0)*100</f>
        <v>54.035505329734868</v>
      </c>
      <c r="I44" s="20">
        <v>6.8773467290713715</v>
      </c>
      <c r="J44" s="6"/>
    </row>
    <row r="45" spans="2:10" x14ac:dyDescent="0.25">
      <c r="B45" s="17">
        <v>41851</v>
      </c>
      <c r="C45" s="23">
        <v>-2.3275452647388219E-3</v>
      </c>
      <c r="D45" s="19">
        <v>-9.2666841525615986</v>
      </c>
      <c r="E45" s="18">
        <v>5.8393975407138761E-3</v>
      </c>
      <c r="F45" s="20">
        <f>VLOOKUP(B45,'Realized Vol'!$A$2:$D$1466,4,0)</f>
        <v>3.32E-2</v>
      </c>
      <c r="G45" s="20">
        <f>VLOOKUP(B45,'Yield Curve'!B45:G92,5,0)</f>
        <v>3.3090000000000002</v>
      </c>
      <c r="H45" s="26">
        <f>VLOOKUP(B45,'ppm risk premium'!$O$3:$R$51,4,0)*100</f>
        <v>54.497969561789894</v>
      </c>
      <c r="I45" s="20">
        <v>6.9146271838785154</v>
      </c>
      <c r="J45" s="6"/>
    </row>
    <row r="46" spans="2:10" x14ac:dyDescent="0.25">
      <c r="B46" s="17">
        <v>41880</v>
      </c>
      <c r="C46" s="23">
        <v>-1.7827173821292213E-2</v>
      </c>
      <c r="D46" s="19">
        <v>-5.386986735314931</v>
      </c>
      <c r="E46" s="18">
        <v>6.1251724135594409E-3</v>
      </c>
      <c r="F46" s="20">
        <f>VLOOKUP(B46,'Realized Vol'!$A$2:$D$1466,4,0)</f>
        <v>2.8199999999999999E-2</v>
      </c>
      <c r="G46" s="20">
        <f>VLOOKUP(B46,'Yield Curve'!B46:G93,5,0)</f>
        <v>3.0840000000000001</v>
      </c>
      <c r="H46" s="26">
        <f>VLOOKUP(B46,'ppm risk premium'!$O$3:$R$51,4,0)*100</f>
        <v>56.939967285983784</v>
      </c>
      <c r="I46" s="20">
        <v>6.5894851797296603</v>
      </c>
      <c r="J46" s="6"/>
    </row>
    <row r="47" spans="2:10" x14ac:dyDescent="0.25">
      <c r="B47" s="17">
        <v>41912</v>
      </c>
      <c r="C47" s="23">
        <v>2.9347490686823095E-2</v>
      </c>
      <c r="D47" s="19">
        <v>-45.021233160825901</v>
      </c>
      <c r="E47" s="18">
        <v>7.8697356644138131E-3</v>
      </c>
      <c r="F47" s="20">
        <f>VLOOKUP(B47,'Realized Vol'!$A$2:$D$1466,4,0)</f>
        <v>2.86E-2</v>
      </c>
      <c r="G47" s="20">
        <f>VLOOKUP(B47,'Yield Curve'!B47:G94,5,0)</f>
        <v>3.21</v>
      </c>
      <c r="H47" s="26">
        <f>VLOOKUP(B47,'ppm risk premium'!$O$3:$R$51,4,0)*100</f>
        <v>51.898962876166536</v>
      </c>
      <c r="I47" s="20">
        <v>6.8409775646235733</v>
      </c>
      <c r="J47" s="6"/>
    </row>
    <row r="48" spans="2:10" x14ac:dyDescent="0.25">
      <c r="B48" s="17">
        <v>41943</v>
      </c>
      <c r="C48" s="23">
        <v>-8.9203972294613632E-3</v>
      </c>
      <c r="D48" s="19">
        <v>-45.98502665383706</v>
      </c>
      <c r="E48" s="18">
        <v>7.7528402645097427E-3</v>
      </c>
      <c r="F48" s="20">
        <f>VLOOKUP(B48,'Realized Vol'!$A$2:$D$1466,4,0)</f>
        <v>3.6299999999999999E-2</v>
      </c>
      <c r="G48" s="20">
        <f>VLOOKUP(B48,'Yield Curve'!B48:G95,5,0)</f>
        <v>3.0579999999999998</v>
      </c>
      <c r="H48" s="26">
        <f>VLOOKUP(B48,'ppm risk premium'!$O$3:$R$51,4,0)*100</f>
        <v>67.683303063347864</v>
      </c>
      <c r="I48" s="20">
        <v>6.572942561560823</v>
      </c>
      <c r="J48" s="6"/>
    </row>
    <row r="49" spans="2:10" x14ac:dyDescent="0.25">
      <c r="B49" s="17">
        <v>41971</v>
      </c>
      <c r="C49" s="23">
        <v>-2.9385887025119993E-3</v>
      </c>
      <c r="D49" s="19">
        <v>-67.68150624217175</v>
      </c>
      <c r="E49" s="18">
        <v>1.0005318206497076E-2</v>
      </c>
      <c r="F49" s="20">
        <f>VLOOKUP(B49,'Realized Vol'!$A$2:$D$1466,4,0)</f>
        <v>3.61E-2</v>
      </c>
      <c r="G49" s="20">
        <f>VLOOKUP(B49,'Yield Curve'!B49:G96,5,0)</f>
        <v>2.9089999999999998</v>
      </c>
      <c r="H49" s="26">
        <f>VLOOKUP(B49,'ppm risk premium'!$O$3:$R$51,4,0)*100</f>
        <v>68.951384901349627</v>
      </c>
      <c r="I49" s="20">
        <v>6.3494890058541902</v>
      </c>
      <c r="J49" s="6"/>
    </row>
    <row r="50" spans="2:10" x14ac:dyDescent="0.25">
      <c r="B50" s="17">
        <v>42004</v>
      </c>
      <c r="C50" s="23">
        <v>-1.5828849942557014E-2</v>
      </c>
      <c r="D50" s="19">
        <v>-82.306011671367912</v>
      </c>
      <c r="E50" s="18">
        <v>1.1149482364602562E-2</v>
      </c>
      <c r="F50" s="20">
        <f>VLOOKUP(B50,'Realized Vol'!$A$2:$D$1466,4,0)</f>
        <v>3.7999999999999999E-2</v>
      </c>
      <c r="G50" s="20">
        <f>VLOOKUP(B50,'Yield Curve'!B50:G97,5,0)</f>
        <v>2.7480000000000002</v>
      </c>
      <c r="H50" s="26">
        <f>VLOOKUP(B50,'ppm risk premium'!$O$3:$R$51,4,0)*100</f>
        <v>79.240279697681302</v>
      </c>
      <c r="I50" s="20">
        <v>6.1630233812227697</v>
      </c>
      <c r="J50" s="6"/>
    </row>
    <row r="51" spans="2:10" x14ac:dyDescent="0.25">
      <c r="B51" s="17">
        <v>42034</v>
      </c>
      <c r="C51" s="23">
        <v>-0.11821020972503633</v>
      </c>
      <c r="D51" s="19">
        <v>64.72540859605499</v>
      </c>
      <c r="E51" s="18">
        <v>1.1037806776258102E-2</v>
      </c>
      <c r="F51" s="20">
        <f>VLOOKUP(B51,'Realized Vol'!$A$2:$D$1466,4,0)</f>
        <v>4.0099999999999997E-2</v>
      </c>
      <c r="G51" s="20">
        <f>VLOOKUP(B51,'Yield Curve'!B51:G98,5,0)</f>
        <v>2.25</v>
      </c>
      <c r="H51" s="26">
        <f>VLOOKUP(B51,'ppm risk premium'!$O$3:$R$51,4,0)*100</f>
        <v>96.768658666275968</v>
      </c>
      <c r="I51" s="20">
        <v>5.0038123754053689</v>
      </c>
      <c r="J51" s="6"/>
    </row>
    <row r="52" spans="2:10" x14ac:dyDescent="0.25">
      <c r="B52" s="17">
        <v>42062</v>
      </c>
      <c r="C52" s="25">
        <v>0.11157648727960534</v>
      </c>
      <c r="D52" s="19">
        <v>-86.739530977079625</v>
      </c>
      <c r="E52" s="18">
        <v>1.6224448600633587E-2</v>
      </c>
      <c r="F52" s="20">
        <f>VLOOKUP(B52,'Realized Vol'!$A$2:$D$1466,4,0)</f>
        <v>4.8800000000000003E-2</v>
      </c>
      <c r="G52" s="20">
        <f>VLOOKUP(B52,'Yield Curve'!B52:G99,5,0)</f>
        <v>2.597</v>
      </c>
      <c r="H52" s="26">
        <f>VLOOKUP(B52,'ppm risk premium'!$O$3:$R$51,4,0)*100</f>
        <v>89.590632651374719</v>
      </c>
      <c r="I52" s="20">
        <v>5.7704760140700566</v>
      </c>
      <c r="J52" s="6"/>
    </row>
  </sheetData>
  <mergeCells count="1">
    <mergeCell ref="B3:E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466"/>
  <sheetViews>
    <sheetView workbookViewId="0">
      <selection activeCell="A10" sqref="A10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4</v>
      </c>
      <c r="B1" t="s">
        <v>5</v>
      </c>
      <c r="C1" t="s">
        <v>6</v>
      </c>
      <c r="D1" t="s">
        <v>7</v>
      </c>
    </row>
    <row r="2" spans="1:4" x14ac:dyDescent="0.25">
      <c r="A2" s="1">
        <v>42074</v>
      </c>
      <c r="B2">
        <v>2.8278353030000001</v>
      </c>
      <c r="C2" s="2">
        <v>-1.8499999999999999E-2</v>
      </c>
      <c r="D2" s="2">
        <v>5.0700000000000002E-2</v>
      </c>
    </row>
    <row r="3" spans="1:4" x14ac:dyDescent="0.25">
      <c r="A3" s="1">
        <v>42073</v>
      </c>
      <c r="B3">
        <v>2.8463503370000001</v>
      </c>
      <c r="C3" s="2">
        <v>-5.5899999999999998E-2</v>
      </c>
      <c r="D3" s="2">
        <v>5.0700000000000002E-2</v>
      </c>
    </row>
    <row r="4" spans="1:4" x14ac:dyDescent="0.25">
      <c r="A4" s="1">
        <v>42072</v>
      </c>
      <c r="B4">
        <v>2.9022275240000002</v>
      </c>
      <c r="C4" s="2">
        <v>-2.81E-2</v>
      </c>
      <c r="D4" s="2">
        <v>5.04E-2</v>
      </c>
    </row>
    <row r="5" spans="1:4" x14ac:dyDescent="0.25">
      <c r="A5" s="1">
        <v>42069</v>
      </c>
      <c r="B5">
        <v>2.9303170110000001</v>
      </c>
      <c r="C5" s="2">
        <v>0.1148</v>
      </c>
      <c r="D5" s="2">
        <v>5.0299999999999997E-2</v>
      </c>
    </row>
    <row r="6" spans="1:4" x14ac:dyDescent="0.25">
      <c r="A6" s="1">
        <v>42068</v>
      </c>
      <c r="B6">
        <v>2.8155615749999998</v>
      </c>
      <c r="C6" s="2">
        <v>-8.6E-3</v>
      </c>
      <c r="D6" s="2">
        <v>4.8399999999999999E-2</v>
      </c>
    </row>
    <row r="7" spans="1:4" x14ac:dyDescent="0.25">
      <c r="A7" s="1">
        <v>42067</v>
      </c>
      <c r="B7">
        <v>2.824183723</v>
      </c>
      <c r="C7" s="2">
        <v>-0.01</v>
      </c>
      <c r="D7" s="2">
        <v>4.8899999999999999E-2</v>
      </c>
    </row>
    <row r="8" spans="1:4" x14ac:dyDescent="0.25">
      <c r="A8" s="1">
        <v>42066</v>
      </c>
      <c r="B8">
        <v>2.83419994</v>
      </c>
      <c r="C8" s="2">
        <v>4.2599999999999999E-2</v>
      </c>
      <c r="D8" s="2">
        <v>4.9000000000000002E-2</v>
      </c>
    </row>
    <row r="9" spans="1:4" x14ac:dyDescent="0.25">
      <c r="A9" s="1">
        <v>42065</v>
      </c>
      <c r="B9">
        <v>2.7916349569999999</v>
      </c>
      <c r="C9" s="2">
        <v>5.5E-2</v>
      </c>
      <c r="D9" s="2">
        <v>4.87E-2</v>
      </c>
    </row>
    <row r="10" spans="1:4" x14ac:dyDescent="0.25">
      <c r="A10" s="1">
        <v>42062</v>
      </c>
      <c r="B10">
        <v>2.736598571</v>
      </c>
      <c r="C10" s="2">
        <v>-2.76E-2</v>
      </c>
      <c r="D10" s="2">
        <v>4.8800000000000003E-2</v>
      </c>
    </row>
    <row r="11" spans="1:4" x14ac:dyDescent="0.25">
      <c r="A11" s="1">
        <v>42061</v>
      </c>
      <c r="B11">
        <v>2.7641939619999998</v>
      </c>
      <c r="C11" s="2">
        <v>3.7999999999999999E-2</v>
      </c>
      <c r="D11" s="2">
        <v>4.8800000000000003E-2</v>
      </c>
    </row>
    <row r="12" spans="1:4" x14ac:dyDescent="0.25">
      <c r="A12" s="1">
        <v>42060</v>
      </c>
      <c r="B12">
        <v>2.726237308</v>
      </c>
      <c r="C12" s="2">
        <v>-1.9400000000000001E-2</v>
      </c>
      <c r="D12" s="2">
        <v>4.87E-2</v>
      </c>
    </row>
    <row r="13" spans="1:4" x14ac:dyDescent="0.25">
      <c r="A13" s="1">
        <v>42059</v>
      </c>
      <c r="B13">
        <v>2.7456841839999999</v>
      </c>
      <c r="C13" s="2">
        <v>-5.9499999999999997E-2</v>
      </c>
      <c r="D13" s="2">
        <v>4.87E-2</v>
      </c>
    </row>
    <row r="14" spans="1:4" x14ac:dyDescent="0.25">
      <c r="A14" s="1">
        <v>42058</v>
      </c>
      <c r="B14">
        <v>2.8051692510000001</v>
      </c>
      <c r="C14" s="2">
        <v>-4.4400000000000002E-2</v>
      </c>
      <c r="D14" s="2">
        <v>4.8599999999999997E-2</v>
      </c>
    </row>
    <row r="15" spans="1:4" x14ac:dyDescent="0.25">
      <c r="A15" s="1">
        <v>42055</v>
      </c>
      <c r="B15">
        <v>2.849534394</v>
      </c>
      <c r="C15" s="2">
        <v>1.8499999999999999E-2</v>
      </c>
      <c r="D15" s="2">
        <v>4.8300000000000003E-2</v>
      </c>
    </row>
    <row r="16" spans="1:4" x14ac:dyDescent="0.25">
      <c r="A16" s="1">
        <v>42054</v>
      </c>
      <c r="B16">
        <v>2.8310816390000002</v>
      </c>
      <c r="C16" s="2">
        <v>2.4400000000000002E-2</v>
      </c>
      <c r="D16" s="2">
        <v>4.8300000000000003E-2</v>
      </c>
    </row>
    <row r="17" spans="1:4" x14ac:dyDescent="0.25">
      <c r="A17" s="1">
        <v>42053</v>
      </c>
      <c r="B17">
        <v>2.8066377519999999</v>
      </c>
      <c r="C17" s="2">
        <v>-5.8099999999999999E-2</v>
      </c>
      <c r="D17" s="2">
        <v>4.82E-2</v>
      </c>
    </row>
    <row r="18" spans="1:4" x14ac:dyDescent="0.25">
      <c r="A18" s="1">
        <v>42052</v>
      </c>
      <c r="B18">
        <v>2.8647464299999998</v>
      </c>
      <c r="C18" s="2">
        <v>0.1208</v>
      </c>
      <c r="D18" s="2">
        <v>4.7800000000000002E-2</v>
      </c>
    </row>
    <row r="19" spans="1:4" x14ac:dyDescent="0.25">
      <c r="A19" s="1">
        <v>42048</v>
      </c>
      <c r="B19">
        <v>2.7439532600000001</v>
      </c>
      <c r="C19" s="2">
        <v>2.2200000000000001E-2</v>
      </c>
      <c r="D19" s="2">
        <v>4.4999999999999998E-2</v>
      </c>
    </row>
    <row r="20" spans="1:4" x14ac:dyDescent="0.25">
      <c r="A20" s="1">
        <v>42047</v>
      </c>
      <c r="B20">
        <v>2.7217472850000002</v>
      </c>
      <c r="C20" s="2">
        <v>-1.7299999999999999E-2</v>
      </c>
      <c r="D20" s="2">
        <v>4.4900000000000002E-2</v>
      </c>
    </row>
    <row r="21" spans="1:4" x14ac:dyDescent="0.25">
      <c r="A21" s="1">
        <v>42046</v>
      </c>
      <c r="B21">
        <v>2.739094465</v>
      </c>
      <c r="C21" s="2">
        <v>-6.0000000000000001E-3</v>
      </c>
      <c r="D21" s="2">
        <v>4.4999999999999998E-2</v>
      </c>
    </row>
    <row r="22" spans="1:4" x14ac:dyDescent="0.25">
      <c r="A22" s="1">
        <v>42045</v>
      </c>
      <c r="B22">
        <v>2.7450619010000001</v>
      </c>
      <c r="C22" s="2">
        <v>5.9400000000000001E-2</v>
      </c>
      <c r="D22" s="2">
        <v>4.4999999999999998E-2</v>
      </c>
    </row>
    <row r="23" spans="1:4" x14ac:dyDescent="0.25">
      <c r="A23" s="1">
        <v>42044</v>
      </c>
      <c r="B23">
        <v>2.6856648239999998</v>
      </c>
      <c r="C23" s="2">
        <v>1.0800000000000001E-2</v>
      </c>
      <c r="D23" s="2">
        <v>4.4200000000000003E-2</v>
      </c>
    </row>
    <row r="24" spans="1:4" x14ac:dyDescent="0.25">
      <c r="A24" s="1">
        <v>42041</v>
      </c>
      <c r="B24">
        <v>2.6748566999999999</v>
      </c>
      <c r="C24" s="2">
        <v>0.11600000000000001</v>
      </c>
      <c r="D24" s="2">
        <v>4.4499999999999998E-2</v>
      </c>
    </row>
    <row r="25" spans="1:4" x14ac:dyDescent="0.25">
      <c r="A25" s="1">
        <v>42040</v>
      </c>
      <c r="B25">
        <v>2.5588939800000001</v>
      </c>
      <c r="C25" s="2">
        <v>-7.3000000000000001E-3</v>
      </c>
      <c r="D25" s="2">
        <v>4.19E-2</v>
      </c>
    </row>
    <row r="26" spans="1:4" x14ac:dyDescent="0.25">
      <c r="A26" s="1">
        <v>42039</v>
      </c>
      <c r="B26">
        <v>2.566204441</v>
      </c>
      <c r="C26" s="2">
        <v>2.76E-2</v>
      </c>
      <c r="D26" s="2">
        <v>4.2000000000000003E-2</v>
      </c>
    </row>
    <row r="27" spans="1:4" x14ac:dyDescent="0.25">
      <c r="A27" s="1">
        <v>42038</v>
      </c>
      <c r="B27">
        <v>2.5386092040000001</v>
      </c>
      <c r="C27" s="2">
        <v>9.0399999999999994E-2</v>
      </c>
      <c r="D27" s="2">
        <v>4.1700000000000001E-2</v>
      </c>
    </row>
    <row r="28" spans="1:4" x14ac:dyDescent="0.25">
      <c r="A28" s="1">
        <v>42037</v>
      </c>
      <c r="B28">
        <v>2.4482414320000001</v>
      </c>
      <c r="C28" s="2">
        <v>-4.4000000000000003E-3</v>
      </c>
      <c r="D28" s="2">
        <v>3.9699999999999999E-2</v>
      </c>
    </row>
    <row r="29" spans="1:4" x14ac:dyDescent="0.25">
      <c r="A29" s="1">
        <v>42034</v>
      </c>
      <c r="B29">
        <v>2.4526687900000002</v>
      </c>
      <c r="C29" s="2">
        <v>-6.0699999999999997E-2</v>
      </c>
      <c r="D29" s="2">
        <v>4.0099999999999997E-2</v>
      </c>
    </row>
    <row r="30" spans="1:4" x14ac:dyDescent="0.25">
      <c r="A30" s="1">
        <v>42033</v>
      </c>
      <c r="B30">
        <v>2.5133603710000001</v>
      </c>
      <c r="C30" s="2">
        <v>5.7999999999999996E-3</v>
      </c>
      <c r="D30" s="2">
        <v>3.9800000000000002E-2</v>
      </c>
    </row>
    <row r="31" spans="1:4" x14ac:dyDescent="0.25">
      <c r="A31" s="1">
        <v>42032</v>
      </c>
      <c r="B31">
        <v>2.5075854880000001</v>
      </c>
      <c r="C31" s="2">
        <v>-7.8100000000000003E-2</v>
      </c>
      <c r="D31" s="2">
        <v>3.9800000000000002E-2</v>
      </c>
    </row>
    <row r="32" spans="1:4" x14ac:dyDescent="0.25">
      <c r="A32" s="1">
        <v>42031</v>
      </c>
      <c r="B32">
        <v>2.5856679159999998</v>
      </c>
      <c r="C32" s="2">
        <v>-1.0800000000000001E-2</v>
      </c>
      <c r="D32" s="2">
        <v>3.9100000000000003E-2</v>
      </c>
    </row>
    <row r="33" spans="1:4" x14ac:dyDescent="0.25">
      <c r="A33" s="1">
        <v>42030</v>
      </c>
      <c r="B33">
        <v>2.5964187920000001</v>
      </c>
      <c r="C33" s="2">
        <v>2.76E-2</v>
      </c>
      <c r="D33" s="2">
        <v>3.9300000000000002E-2</v>
      </c>
    </row>
    <row r="34" spans="1:4" x14ac:dyDescent="0.25">
      <c r="A34" s="1">
        <v>42027</v>
      </c>
      <c r="B34">
        <v>2.5688065849999999</v>
      </c>
      <c r="C34" s="2">
        <v>-4.82E-2</v>
      </c>
      <c r="D34" s="2">
        <v>3.9E-2</v>
      </c>
    </row>
    <row r="35" spans="1:4" x14ac:dyDescent="0.25">
      <c r="A35" s="1">
        <v>42026</v>
      </c>
      <c r="B35">
        <v>2.617020573</v>
      </c>
      <c r="C35" s="2">
        <v>8.5000000000000006E-3</v>
      </c>
      <c r="D35" s="2">
        <v>3.8699999999999998E-2</v>
      </c>
    </row>
    <row r="36" spans="1:4" x14ac:dyDescent="0.25">
      <c r="A36" s="1">
        <v>42025</v>
      </c>
      <c r="B36">
        <v>2.6084944349999999</v>
      </c>
      <c r="C36" s="2">
        <v>5.11E-2</v>
      </c>
      <c r="D36" s="2">
        <v>3.9100000000000003E-2</v>
      </c>
    </row>
    <row r="37" spans="1:4" x14ac:dyDescent="0.25">
      <c r="A37" s="1">
        <v>42024</v>
      </c>
      <c r="B37">
        <v>2.5573717920000001</v>
      </c>
      <c r="C37" s="2">
        <v>1.1900000000000001E-2</v>
      </c>
      <c r="D37" s="2">
        <v>3.85E-2</v>
      </c>
    </row>
    <row r="38" spans="1:4" x14ac:dyDescent="0.25">
      <c r="A38" s="1">
        <v>42020</v>
      </c>
      <c r="B38">
        <v>2.5454794820000002</v>
      </c>
      <c r="C38" s="2">
        <v>9.01E-2</v>
      </c>
      <c r="D38" s="2">
        <v>3.8600000000000002E-2</v>
      </c>
    </row>
    <row r="39" spans="1:4" x14ac:dyDescent="0.25">
      <c r="A39" s="1">
        <v>42019</v>
      </c>
      <c r="B39">
        <v>2.4553295319999999</v>
      </c>
      <c r="C39" s="2">
        <v>-3.5700000000000003E-2</v>
      </c>
      <c r="D39" s="2">
        <v>3.6600000000000001E-2</v>
      </c>
    </row>
    <row r="40" spans="1:4" x14ac:dyDescent="0.25">
      <c r="A40" s="1">
        <v>42018</v>
      </c>
      <c r="B40">
        <v>2.49106608</v>
      </c>
      <c r="C40" s="2">
        <v>-8.8499999999999995E-2</v>
      </c>
      <c r="D40" s="2">
        <v>3.6499999999999998E-2</v>
      </c>
    </row>
    <row r="41" spans="1:4" x14ac:dyDescent="0.25">
      <c r="A41" s="1">
        <v>42017</v>
      </c>
      <c r="B41">
        <v>2.5795437940000001</v>
      </c>
      <c r="C41" s="2">
        <v>-1.41E-2</v>
      </c>
      <c r="D41" s="2">
        <v>3.6999999999999998E-2</v>
      </c>
    </row>
    <row r="42" spans="1:4" x14ac:dyDescent="0.25">
      <c r="A42" s="1">
        <v>42016</v>
      </c>
      <c r="B42">
        <v>2.5936190219999999</v>
      </c>
      <c r="C42" s="2">
        <v>-5.2699999999999997E-2</v>
      </c>
      <c r="D42" s="2">
        <v>3.9600000000000003E-2</v>
      </c>
    </row>
    <row r="43" spans="1:4" x14ac:dyDescent="0.25">
      <c r="A43" s="1">
        <v>42013</v>
      </c>
      <c r="B43">
        <v>2.6462920310000002</v>
      </c>
      <c r="C43" s="2">
        <v>-3.1099999999999999E-2</v>
      </c>
      <c r="D43" s="2">
        <v>4.07E-2</v>
      </c>
    </row>
    <row r="44" spans="1:4" x14ac:dyDescent="0.25">
      <c r="A44" s="1">
        <v>42012</v>
      </c>
      <c r="B44">
        <v>2.6774292059999998</v>
      </c>
      <c r="C44" s="2">
        <v>5.2600000000000001E-2</v>
      </c>
      <c r="D44" s="2">
        <v>4.0599999999999997E-2</v>
      </c>
    </row>
    <row r="45" spans="1:4" x14ac:dyDescent="0.25">
      <c r="A45" s="1">
        <v>42011</v>
      </c>
      <c r="B45">
        <v>2.6248431050000001</v>
      </c>
      <c r="C45" s="2">
        <v>8.5000000000000006E-3</v>
      </c>
      <c r="D45" s="2">
        <v>3.9800000000000002E-2</v>
      </c>
    </row>
    <row r="46" spans="1:4" x14ac:dyDescent="0.25">
      <c r="A46" s="1">
        <v>42010</v>
      </c>
      <c r="B46">
        <v>2.6163645369999999</v>
      </c>
      <c r="C46" s="2">
        <v>-7.9899999999999999E-2</v>
      </c>
      <c r="D46" s="2">
        <v>4.02E-2</v>
      </c>
    </row>
    <row r="47" spans="1:4" x14ac:dyDescent="0.25">
      <c r="A47" s="1">
        <v>42009</v>
      </c>
      <c r="B47">
        <v>2.696270127</v>
      </c>
      <c r="C47" s="2">
        <v>-8.9200000000000002E-2</v>
      </c>
      <c r="D47" s="2">
        <v>3.9800000000000002E-2</v>
      </c>
    </row>
    <row r="48" spans="1:4" x14ac:dyDescent="0.25">
      <c r="A48" s="1">
        <v>42006</v>
      </c>
      <c r="B48">
        <v>2.7854452420000002</v>
      </c>
      <c r="C48" s="2">
        <v>-4.8399999999999999E-2</v>
      </c>
      <c r="D48" s="2">
        <v>3.8300000000000001E-2</v>
      </c>
    </row>
    <row r="49" spans="1:4" x14ac:dyDescent="0.25">
      <c r="A49" s="1">
        <v>42004</v>
      </c>
      <c r="B49">
        <v>2.8338661410000001</v>
      </c>
      <c r="C49" s="2">
        <v>-1.8100000000000002E-2</v>
      </c>
      <c r="D49" s="2">
        <v>3.7999999999999999E-2</v>
      </c>
    </row>
    <row r="50" spans="1:4" x14ac:dyDescent="0.25">
      <c r="A50" s="1">
        <v>42003</v>
      </c>
      <c r="B50">
        <v>2.8519980739999999</v>
      </c>
      <c r="C50" s="2">
        <v>-8.9999999999999993E-3</v>
      </c>
      <c r="D50" s="2">
        <v>3.7999999999999999E-2</v>
      </c>
    </row>
    <row r="51" spans="1:4" x14ac:dyDescent="0.25">
      <c r="A51" s="1">
        <v>42002</v>
      </c>
      <c r="B51">
        <v>2.8609798259999999</v>
      </c>
      <c r="C51" s="2">
        <v>-3.0300000000000001E-2</v>
      </c>
      <c r="D51" s="2">
        <v>3.9600000000000003E-2</v>
      </c>
    </row>
    <row r="52" spans="1:4" x14ac:dyDescent="0.25">
      <c r="A52" s="1">
        <v>41999</v>
      </c>
      <c r="B52">
        <v>2.8912427169999999</v>
      </c>
      <c r="C52" s="2">
        <v>-1.8499999999999999E-2</v>
      </c>
      <c r="D52" s="2">
        <v>3.95E-2</v>
      </c>
    </row>
    <row r="53" spans="1:4" x14ac:dyDescent="0.25">
      <c r="A53" s="1">
        <v>41997</v>
      </c>
      <c r="B53">
        <v>2.90975275</v>
      </c>
      <c r="C53" s="2">
        <v>-5.9999999999999995E-4</v>
      </c>
      <c r="D53" s="2">
        <v>3.9600000000000003E-2</v>
      </c>
    </row>
    <row r="54" spans="1:4" x14ac:dyDescent="0.25">
      <c r="A54" s="1">
        <v>41996</v>
      </c>
      <c r="B54">
        <v>2.9103244039999998</v>
      </c>
      <c r="C54" s="2">
        <v>8.4699999999999998E-2</v>
      </c>
      <c r="D54" s="2">
        <v>3.9699999999999999E-2</v>
      </c>
    </row>
    <row r="55" spans="1:4" x14ac:dyDescent="0.25">
      <c r="A55" s="1">
        <v>41995</v>
      </c>
      <c r="B55">
        <v>2.8256441969999999</v>
      </c>
      <c r="C55" s="2">
        <v>-8.0999999999999996E-3</v>
      </c>
      <c r="D55" s="2">
        <v>3.8199999999999998E-2</v>
      </c>
    </row>
    <row r="56" spans="1:4" x14ac:dyDescent="0.25">
      <c r="A56" s="1">
        <v>41992</v>
      </c>
      <c r="B56">
        <v>2.8337398569999999</v>
      </c>
      <c r="C56" s="2">
        <v>-2.4500000000000001E-2</v>
      </c>
      <c r="D56" s="2">
        <v>3.8399999999999997E-2</v>
      </c>
    </row>
    <row r="57" spans="1:4" x14ac:dyDescent="0.25">
      <c r="A57" s="1">
        <v>41991</v>
      </c>
      <c r="B57">
        <v>2.858230007</v>
      </c>
      <c r="C57" s="2">
        <v>2.1100000000000001E-2</v>
      </c>
      <c r="D57" s="2">
        <v>3.8399999999999997E-2</v>
      </c>
    </row>
    <row r="58" spans="1:4" x14ac:dyDescent="0.25">
      <c r="A58" s="1">
        <v>41990</v>
      </c>
      <c r="B58">
        <v>2.837150131</v>
      </c>
      <c r="C58" s="2">
        <v>4.99E-2</v>
      </c>
      <c r="D58" s="2">
        <v>3.8300000000000001E-2</v>
      </c>
    </row>
    <row r="59" spans="1:4" x14ac:dyDescent="0.25">
      <c r="A59" s="1">
        <v>41989</v>
      </c>
      <c r="B59">
        <v>2.7872489969999998</v>
      </c>
      <c r="C59" s="2">
        <v>-4.19E-2</v>
      </c>
      <c r="D59" s="2">
        <v>3.78E-2</v>
      </c>
    </row>
    <row r="60" spans="1:4" x14ac:dyDescent="0.25">
      <c r="A60" s="1">
        <v>41988</v>
      </c>
      <c r="B60">
        <v>2.8291749930000001</v>
      </c>
      <c r="C60" s="2">
        <v>2.86E-2</v>
      </c>
      <c r="D60" s="2">
        <v>3.7600000000000001E-2</v>
      </c>
    </row>
    <row r="61" spans="1:4" x14ac:dyDescent="0.25">
      <c r="A61" s="1">
        <v>41985</v>
      </c>
      <c r="B61">
        <v>2.8005778019999998</v>
      </c>
      <c r="C61" s="2">
        <v>-6.2899999999999998E-2</v>
      </c>
      <c r="D61" s="2">
        <v>3.7400000000000003E-2</v>
      </c>
    </row>
    <row r="62" spans="1:4" x14ac:dyDescent="0.25">
      <c r="A62" s="1">
        <v>41984</v>
      </c>
      <c r="B62">
        <v>2.86343434</v>
      </c>
      <c r="C62" s="2">
        <v>1.1900000000000001E-2</v>
      </c>
      <c r="D62" s="2">
        <v>3.6700000000000003E-2</v>
      </c>
    </row>
    <row r="63" spans="1:4" x14ac:dyDescent="0.25">
      <c r="A63" s="1">
        <v>41983</v>
      </c>
      <c r="B63">
        <v>2.8515070489999998</v>
      </c>
      <c r="C63" s="2">
        <v>-3.4500000000000003E-2</v>
      </c>
      <c r="D63" s="2">
        <v>3.6700000000000003E-2</v>
      </c>
    </row>
    <row r="64" spans="1:4" x14ac:dyDescent="0.25">
      <c r="A64" s="1">
        <v>41982</v>
      </c>
      <c r="B64">
        <v>2.8860238030000001</v>
      </c>
      <c r="C64" s="2">
        <v>-2.2700000000000001E-2</v>
      </c>
      <c r="D64" s="2">
        <v>3.7600000000000001E-2</v>
      </c>
    </row>
    <row r="65" spans="1:4" x14ac:dyDescent="0.25">
      <c r="A65" s="1">
        <v>41981</v>
      </c>
      <c r="B65">
        <v>2.908758664</v>
      </c>
      <c r="C65" s="2">
        <v>-4.5900000000000003E-2</v>
      </c>
      <c r="D65" s="2">
        <v>3.7499999999999999E-2</v>
      </c>
    </row>
    <row r="66" spans="1:4" x14ac:dyDescent="0.25">
      <c r="A66" s="1">
        <v>41978</v>
      </c>
      <c r="B66">
        <v>2.9546349099999998</v>
      </c>
      <c r="C66" s="2">
        <v>5.21E-2</v>
      </c>
      <c r="D66" s="2">
        <v>3.7499999999999999E-2</v>
      </c>
    </row>
    <row r="67" spans="1:4" x14ac:dyDescent="0.25">
      <c r="A67" s="1">
        <v>41977</v>
      </c>
      <c r="B67">
        <v>2.9025098819999999</v>
      </c>
      <c r="C67" s="2">
        <v>-2.98E-2</v>
      </c>
      <c r="D67" s="2">
        <v>3.6999999999999998E-2</v>
      </c>
    </row>
    <row r="68" spans="1:4" x14ac:dyDescent="0.25">
      <c r="A68" s="1">
        <v>41976</v>
      </c>
      <c r="B68">
        <v>2.9323159670000001</v>
      </c>
      <c r="C68" s="2">
        <v>7.3000000000000001E-3</v>
      </c>
      <c r="D68" s="2">
        <v>3.6900000000000002E-2</v>
      </c>
    </row>
    <row r="69" spans="1:4" x14ac:dyDescent="0.25">
      <c r="A69" s="1">
        <v>41975</v>
      </c>
      <c r="B69">
        <v>2.9250412909999999</v>
      </c>
      <c r="C69" s="2">
        <v>6.2799999999999995E-2</v>
      </c>
      <c r="D69" s="2">
        <v>3.6999999999999998E-2</v>
      </c>
    </row>
    <row r="70" spans="1:4" x14ac:dyDescent="0.25">
      <c r="A70" s="1">
        <v>41974</v>
      </c>
      <c r="B70">
        <v>2.8622800900000001</v>
      </c>
      <c r="C70" s="2">
        <v>1.66E-2</v>
      </c>
      <c r="D70" s="2">
        <v>3.6200000000000003E-2</v>
      </c>
    </row>
    <row r="71" spans="1:4" x14ac:dyDescent="0.25">
      <c r="A71" s="1">
        <v>41971</v>
      </c>
      <c r="B71">
        <v>2.8456852640000001</v>
      </c>
      <c r="C71" s="2">
        <v>-3.8399999999999997E-2</v>
      </c>
      <c r="D71" s="2">
        <v>3.61E-2</v>
      </c>
    </row>
    <row r="72" spans="1:4" x14ac:dyDescent="0.25">
      <c r="A72" s="1">
        <v>41969</v>
      </c>
      <c r="B72">
        <v>2.8840952880000001</v>
      </c>
      <c r="C72" s="2">
        <v>-1.46E-2</v>
      </c>
      <c r="D72" s="2">
        <v>3.6499999999999998E-2</v>
      </c>
    </row>
    <row r="73" spans="1:4" x14ac:dyDescent="0.25">
      <c r="A73" s="1">
        <v>41968</v>
      </c>
      <c r="B73">
        <v>2.898723575</v>
      </c>
      <c r="C73" s="2">
        <v>-5.4699999999999999E-2</v>
      </c>
      <c r="D73" s="2">
        <v>3.6499999999999998E-2</v>
      </c>
    </row>
    <row r="74" spans="1:4" x14ac:dyDescent="0.25">
      <c r="A74" s="1">
        <v>41967</v>
      </c>
      <c r="B74">
        <v>2.9533754289999998</v>
      </c>
      <c r="C74" s="2">
        <v>-1.17E-2</v>
      </c>
      <c r="D74" s="2">
        <v>3.5999999999999997E-2</v>
      </c>
    </row>
    <row r="75" spans="1:4" x14ac:dyDescent="0.25">
      <c r="A75" s="1">
        <v>41964</v>
      </c>
      <c r="B75">
        <v>2.9650307159999998</v>
      </c>
      <c r="C75" s="2">
        <v>-1.7399999999999999E-2</v>
      </c>
      <c r="D75" s="2">
        <v>3.61E-2</v>
      </c>
    </row>
    <row r="76" spans="1:4" x14ac:dyDescent="0.25">
      <c r="A76" s="1">
        <v>41963</v>
      </c>
      <c r="B76">
        <v>2.982454223</v>
      </c>
      <c r="C76" s="2">
        <v>-2.1499999999999998E-2</v>
      </c>
      <c r="D76" s="2">
        <v>3.61E-2</v>
      </c>
    </row>
    <row r="77" spans="1:4" x14ac:dyDescent="0.25">
      <c r="A77" s="1">
        <v>41962</v>
      </c>
      <c r="B77">
        <v>3.0039537950000001</v>
      </c>
      <c r="C77" s="2">
        <v>2.1700000000000001E-2</v>
      </c>
      <c r="D77" s="2">
        <v>3.5999999999999997E-2</v>
      </c>
    </row>
    <row r="78" spans="1:4" x14ac:dyDescent="0.25">
      <c r="A78" s="1">
        <v>41961</v>
      </c>
      <c r="B78">
        <v>2.982257943</v>
      </c>
      <c r="C78" s="2">
        <v>-1.18E-2</v>
      </c>
      <c r="D78" s="2">
        <v>3.5900000000000001E-2</v>
      </c>
    </row>
    <row r="79" spans="1:4" x14ac:dyDescent="0.25">
      <c r="A79" s="1">
        <v>41960</v>
      </c>
      <c r="B79">
        <v>2.9940977329999998</v>
      </c>
      <c r="C79" s="2">
        <v>5.7999999999999996E-3</v>
      </c>
      <c r="D79" s="2">
        <v>3.5999999999999997E-2</v>
      </c>
    </row>
    <row r="80" spans="1:4" x14ac:dyDescent="0.25">
      <c r="A80" s="1">
        <v>41957</v>
      </c>
      <c r="B80">
        <v>2.9883080629999998</v>
      </c>
      <c r="C80" s="2">
        <v>-3.5799999999999998E-2</v>
      </c>
      <c r="D80" s="2">
        <v>3.61E-2</v>
      </c>
    </row>
    <row r="81" spans="1:4" x14ac:dyDescent="0.25">
      <c r="A81" s="1">
        <v>41956</v>
      </c>
      <c r="B81">
        <v>3.0240880309999998</v>
      </c>
      <c r="C81" s="2">
        <v>-1.24E-2</v>
      </c>
      <c r="D81" s="2">
        <v>3.5999999999999997E-2</v>
      </c>
    </row>
    <row r="82" spans="1:4" x14ac:dyDescent="0.25">
      <c r="A82" s="1">
        <v>41955</v>
      </c>
      <c r="B82">
        <v>3.0364843320000001</v>
      </c>
      <c r="C82" s="2">
        <v>1E-4</v>
      </c>
      <c r="D82" s="2">
        <v>3.6499999999999998E-2</v>
      </c>
    </row>
    <row r="83" spans="1:4" x14ac:dyDescent="0.25">
      <c r="A83" s="1">
        <v>41953</v>
      </c>
      <c r="B83">
        <v>3.036336532</v>
      </c>
      <c r="C83" s="2">
        <v>3.5000000000000003E-2</v>
      </c>
      <c r="D83" s="2">
        <v>3.6999999999999998E-2</v>
      </c>
    </row>
    <row r="84" spans="1:4" x14ac:dyDescent="0.25">
      <c r="A84" s="1">
        <v>41950</v>
      </c>
      <c r="B84">
        <v>3.0013609959999998</v>
      </c>
      <c r="C84" s="2">
        <v>-5.0599999999999999E-2</v>
      </c>
      <c r="D84" s="2">
        <v>3.6700000000000003E-2</v>
      </c>
    </row>
    <row r="85" spans="1:4" x14ac:dyDescent="0.25">
      <c r="A85" s="1">
        <v>41949</v>
      </c>
      <c r="B85">
        <v>3.0520108370000001</v>
      </c>
      <c r="C85" s="2">
        <v>7.6E-3</v>
      </c>
      <c r="D85" s="2">
        <v>3.6400000000000002E-2</v>
      </c>
    </row>
    <row r="86" spans="1:4" x14ac:dyDescent="0.25">
      <c r="A86" s="1">
        <v>41948</v>
      </c>
      <c r="B86">
        <v>3.0444494980000001</v>
      </c>
      <c r="C86" s="2">
        <v>2.0000000000000001E-4</v>
      </c>
      <c r="D86" s="2">
        <v>3.6400000000000002E-2</v>
      </c>
    </row>
    <row r="87" spans="1:4" x14ac:dyDescent="0.25">
      <c r="A87" s="1">
        <v>41947</v>
      </c>
      <c r="B87">
        <v>3.0442418</v>
      </c>
      <c r="C87" s="2">
        <v>-3.0000000000000001E-3</v>
      </c>
      <c r="D87" s="2">
        <v>3.6400000000000002E-2</v>
      </c>
    </row>
    <row r="88" spans="1:4" x14ac:dyDescent="0.25">
      <c r="A88" s="1">
        <v>41946</v>
      </c>
      <c r="B88">
        <v>3.0472779210000001</v>
      </c>
      <c r="C88" s="2">
        <v>3.7499999999999999E-2</v>
      </c>
      <c r="D88" s="2">
        <v>3.6400000000000002E-2</v>
      </c>
    </row>
    <row r="89" spans="1:4" x14ac:dyDescent="0.25">
      <c r="A89" s="1">
        <v>41943</v>
      </c>
      <c r="B89">
        <v>3.0097405469999998</v>
      </c>
      <c r="C89" s="2">
        <v>2.1299999999999999E-2</v>
      </c>
      <c r="D89" s="2">
        <v>3.6299999999999999E-2</v>
      </c>
    </row>
    <row r="90" spans="1:4" x14ac:dyDescent="0.25">
      <c r="A90" s="1">
        <v>41942</v>
      </c>
      <c r="B90">
        <v>2.988414197</v>
      </c>
      <c r="C90" s="2">
        <v>-2.07E-2</v>
      </c>
      <c r="D90" s="2">
        <v>3.6200000000000003E-2</v>
      </c>
    </row>
    <row r="91" spans="1:4" x14ac:dyDescent="0.25">
      <c r="A91" s="1">
        <v>41941</v>
      </c>
      <c r="B91">
        <v>3.009098539</v>
      </c>
      <c r="C91" s="2">
        <v>3.5799999999999998E-2</v>
      </c>
      <c r="D91" s="2">
        <v>3.61E-2</v>
      </c>
    </row>
    <row r="92" spans="1:4" x14ac:dyDescent="0.25">
      <c r="A92" s="1">
        <v>41940</v>
      </c>
      <c r="B92">
        <v>2.9732615650000001</v>
      </c>
      <c r="C92" s="2">
        <v>2.2599999999999999E-2</v>
      </c>
      <c r="D92" s="2">
        <v>3.5700000000000003E-2</v>
      </c>
    </row>
    <row r="93" spans="1:4" x14ac:dyDescent="0.25">
      <c r="A93" s="1">
        <v>41939</v>
      </c>
      <c r="B93">
        <v>2.9506305570000002</v>
      </c>
      <c r="C93" s="2">
        <v>-1.6400000000000001E-2</v>
      </c>
      <c r="D93" s="2">
        <v>3.5999999999999997E-2</v>
      </c>
    </row>
    <row r="94" spans="1:4" x14ac:dyDescent="0.25">
      <c r="A94" s="1">
        <v>41936</v>
      </c>
      <c r="B94">
        <v>2.9670641789999999</v>
      </c>
      <c r="C94" s="2">
        <v>1.01E-2</v>
      </c>
      <c r="D94" s="2">
        <v>3.5999999999999997E-2</v>
      </c>
    </row>
    <row r="95" spans="1:4" x14ac:dyDescent="0.25">
      <c r="A95" s="1">
        <v>41935</v>
      </c>
      <c r="B95">
        <v>2.9569729969999998</v>
      </c>
      <c r="C95" s="2">
        <v>4.1399999999999999E-2</v>
      </c>
      <c r="D95" s="2">
        <v>3.7699999999999997E-2</v>
      </c>
    </row>
    <row r="96" spans="1:4" x14ac:dyDescent="0.25">
      <c r="A96" s="1">
        <v>41934</v>
      </c>
      <c r="B96">
        <v>2.9156084</v>
      </c>
      <c r="C96" s="2">
        <v>1.2999999999999999E-2</v>
      </c>
      <c r="D96" s="2">
        <v>3.7400000000000003E-2</v>
      </c>
    </row>
    <row r="97" spans="1:4" x14ac:dyDescent="0.25">
      <c r="A97" s="1">
        <v>41933</v>
      </c>
      <c r="B97">
        <v>2.902605962</v>
      </c>
      <c r="C97" s="2">
        <v>2.0299999999999999E-2</v>
      </c>
      <c r="D97" s="2">
        <v>3.7400000000000003E-2</v>
      </c>
    </row>
    <row r="98" spans="1:4" x14ac:dyDescent="0.25">
      <c r="A98" s="1">
        <v>41932</v>
      </c>
      <c r="B98">
        <v>2.8822827659999999</v>
      </c>
      <c r="C98" s="2">
        <v>-2.6700000000000002E-2</v>
      </c>
      <c r="D98" s="2">
        <v>3.7600000000000001E-2</v>
      </c>
    </row>
    <row r="99" spans="1:4" x14ac:dyDescent="0.25">
      <c r="A99" s="1">
        <v>41929</v>
      </c>
      <c r="B99">
        <v>2.9089681550000002</v>
      </c>
      <c r="C99" s="2">
        <v>1.9E-2</v>
      </c>
      <c r="D99" s="2">
        <v>3.8199999999999998E-2</v>
      </c>
    </row>
    <row r="100" spans="1:4" x14ac:dyDescent="0.25">
      <c r="A100" s="1">
        <v>41928</v>
      </c>
      <c r="B100">
        <v>2.889976967</v>
      </c>
      <c r="C100" s="2">
        <v>8.8700000000000001E-2</v>
      </c>
      <c r="D100" s="2">
        <v>3.8100000000000002E-2</v>
      </c>
    </row>
    <row r="101" spans="1:4" x14ac:dyDescent="0.25">
      <c r="A101" s="1">
        <v>41927</v>
      </c>
      <c r="B101">
        <v>2.8012763490000001</v>
      </c>
      <c r="C101" s="2">
        <v>-0.1144</v>
      </c>
      <c r="D101" s="2">
        <v>3.61E-2</v>
      </c>
    </row>
    <row r="102" spans="1:4" x14ac:dyDescent="0.25">
      <c r="A102" s="1">
        <v>41926</v>
      </c>
      <c r="B102">
        <v>2.915673526</v>
      </c>
      <c r="C102" s="2">
        <v>-9.0800000000000006E-2</v>
      </c>
      <c r="D102" s="2">
        <v>3.32E-2</v>
      </c>
    </row>
    <row r="103" spans="1:4" x14ac:dyDescent="0.25">
      <c r="A103" s="1">
        <v>41922</v>
      </c>
      <c r="B103">
        <v>3.0064713689999998</v>
      </c>
      <c r="C103" s="2">
        <v>-2.8999999999999998E-3</v>
      </c>
      <c r="D103" s="2">
        <v>3.1199999999999999E-2</v>
      </c>
    </row>
    <row r="104" spans="1:4" x14ac:dyDescent="0.25">
      <c r="A104" s="1">
        <v>41921</v>
      </c>
      <c r="B104">
        <v>3.0093512069999999</v>
      </c>
      <c r="C104" s="2">
        <v>2.3999999999999998E-3</v>
      </c>
      <c r="D104" s="2">
        <v>3.1800000000000002E-2</v>
      </c>
    </row>
    <row r="105" spans="1:4" x14ac:dyDescent="0.25">
      <c r="A105" s="1">
        <v>41920</v>
      </c>
      <c r="B105">
        <v>3.0069568879999999</v>
      </c>
      <c r="C105" s="2">
        <v>-5.0200000000000002E-2</v>
      </c>
      <c r="D105" s="2">
        <v>3.1800000000000002E-2</v>
      </c>
    </row>
    <row r="106" spans="1:4" x14ac:dyDescent="0.25">
      <c r="A106" s="1">
        <v>41919</v>
      </c>
      <c r="B106">
        <v>3.0571656680000001</v>
      </c>
      <c r="C106" s="2">
        <v>-6.5799999999999997E-2</v>
      </c>
      <c r="D106" s="2">
        <v>3.1300000000000001E-2</v>
      </c>
    </row>
    <row r="107" spans="1:4" x14ac:dyDescent="0.25">
      <c r="A107" s="1">
        <v>41918</v>
      </c>
      <c r="B107">
        <v>3.122978196</v>
      </c>
      <c r="C107" s="2">
        <v>-1.78E-2</v>
      </c>
      <c r="D107" s="2">
        <v>3.0599999999999999E-2</v>
      </c>
    </row>
    <row r="108" spans="1:4" x14ac:dyDescent="0.25">
      <c r="A108" s="1">
        <v>41915</v>
      </c>
      <c r="B108">
        <v>3.1408024550000002</v>
      </c>
      <c r="C108" s="2">
        <v>4.7000000000000002E-3</v>
      </c>
      <c r="D108" s="2">
        <v>3.0499999999999999E-2</v>
      </c>
    </row>
    <row r="109" spans="1:4" x14ac:dyDescent="0.25">
      <c r="A109" s="1">
        <v>41914</v>
      </c>
      <c r="B109">
        <v>3.1361016859999999</v>
      </c>
      <c r="C109" s="2">
        <v>1.7299999999999999E-2</v>
      </c>
      <c r="D109" s="2">
        <v>3.0599999999999999E-2</v>
      </c>
    </row>
    <row r="110" spans="1:4" x14ac:dyDescent="0.25">
      <c r="A110" s="1">
        <v>41913</v>
      </c>
      <c r="B110">
        <v>3.118786702</v>
      </c>
      <c r="C110" s="2">
        <v>-8.9099999999999999E-2</v>
      </c>
      <c r="D110" s="2">
        <v>3.0499999999999999E-2</v>
      </c>
    </row>
    <row r="111" spans="1:4" x14ac:dyDescent="0.25">
      <c r="A111" s="1">
        <v>41912</v>
      </c>
      <c r="B111">
        <v>3.2078957130000001</v>
      </c>
      <c r="C111" s="2">
        <v>1.52E-2</v>
      </c>
      <c r="D111" s="2">
        <v>2.86E-2</v>
      </c>
    </row>
    <row r="112" spans="1:4" x14ac:dyDescent="0.25">
      <c r="A112" s="1">
        <v>41911</v>
      </c>
      <c r="B112">
        <v>3.1926835360000001</v>
      </c>
      <c r="C112" s="2">
        <v>-2.2499999999999999E-2</v>
      </c>
      <c r="D112" s="2">
        <v>2.86E-2</v>
      </c>
    </row>
    <row r="113" spans="1:4" x14ac:dyDescent="0.25">
      <c r="A113" s="1">
        <v>41908</v>
      </c>
      <c r="B113">
        <v>3.2151684870000001</v>
      </c>
      <c r="C113" s="2">
        <v>1.8499999999999999E-2</v>
      </c>
      <c r="D113" s="2">
        <v>2.86E-2</v>
      </c>
    </row>
    <row r="114" spans="1:4" x14ac:dyDescent="0.25">
      <c r="A114" s="1">
        <v>41907</v>
      </c>
      <c r="B114">
        <v>3.1966747340000001</v>
      </c>
      <c r="C114" s="2">
        <v>-4.3499999999999997E-2</v>
      </c>
      <c r="D114" s="2">
        <v>2.92E-2</v>
      </c>
    </row>
    <row r="115" spans="1:4" x14ac:dyDescent="0.25">
      <c r="A115" s="1">
        <v>41906</v>
      </c>
      <c r="B115">
        <v>3.2402038040000001</v>
      </c>
      <c r="C115" s="2">
        <v>2.5499999999999998E-2</v>
      </c>
      <c r="D115" s="2">
        <v>2.9399999999999999E-2</v>
      </c>
    </row>
    <row r="116" spans="1:4" x14ac:dyDescent="0.25">
      <c r="A116" s="1">
        <v>41905</v>
      </c>
      <c r="B116">
        <v>3.214714844</v>
      </c>
      <c r="C116" s="2">
        <v>-2.5000000000000001E-2</v>
      </c>
      <c r="D116" s="2">
        <v>2.93E-2</v>
      </c>
    </row>
    <row r="117" spans="1:4" x14ac:dyDescent="0.25">
      <c r="A117" s="1">
        <v>41904</v>
      </c>
      <c r="B117">
        <v>3.2397623310000001</v>
      </c>
      <c r="C117" s="2">
        <v>-1.67E-2</v>
      </c>
      <c r="D117" s="2">
        <v>2.9100000000000001E-2</v>
      </c>
    </row>
    <row r="118" spans="1:4" x14ac:dyDescent="0.25">
      <c r="A118" s="1">
        <v>41901</v>
      </c>
      <c r="B118">
        <v>3.256497913</v>
      </c>
      <c r="C118" s="2">
        <v>-4.3700000000000003E-2</v>
      </c>
      <c r="D118" s="2">
        <v>2.92E-2</v>
      </c>
    </row>
    <row r="119" spans="1:4" x14ac:dyDescent="0.25">
      <c r="A119" s="1">
        <v>41900</v>
      </c>
      <c r="B119">
        <v>3.3001731670000001</v>
      </c>
      <c r="C119" s="2">
        <v>1.12E-2</v>
      </c>
      <c r="D119" s="2">
        <v>2.87E-2</v>
      </c>
    </row>
    <row r="120" spans="1:4" x14ac:dyDescent="0.25">
      <c r="A120" s="1">
        <v>41899</v>
      </c>
      <c r="B120">
        <v>3.2889456290000001</v>
      </c>
      <c r="C120" s="2">
        <v>4.8999999999999998E-3</v>
      </c>
      <c r="D120" s="2">
        <v>2.8899999999999999E-2</v>
      </c>
    </row>
    <row r="121" spans="1:4" x14ac:dyDescent="0.25">
      <c r="A121" s="1">
        <v>41898</v>
      </c>
      <c r="B121">
        <v>3.284083023</v>
      </c>
      <c r="C121" s="2">
        <v>2.7000000000000001E-3</v>
      </c>
      <c r="D121" s="2">
        <v>2.8899999999999999E-2</v>
      </c>
    </row>
    <row r="122" spans="1:4" x14ac:dyDescent="0.25">
      <c r="A122" s="1">
        <v>41897</v>
      </c>
      <c r="B122">
        <v>3.2813411060000002</v>
      </c>
      <c r="C122" s="2">
        <v>-0.02</v>
      </c>
      <c r="D122" s="2">
        <v>2.8899999999999999E-2</v>
      </c>
    </row>
    <row r="123" spans="1:4" x14ac:dyDescent="0.25">
      <c r="A123" s="1">
        <v>41894</v>
      </c>
      <c r="B123">
        <v>3.3013053860000001</v>
      </c>
      <c r="C123" s="2">
        <v>6.2799999999999995E-2</v>
      </c>
      <c r="D123" s="2">
        <v>2.8799999999999999E-2</v>
      </c>
    </row>
    <row r="124" spans="1:4" x14ac:dyDescent="0.25">
      <c r="A124" s="1">
        <v>41893</v>
      </c>
      <c r="B124">
        <v>3.2385398599999999</v>
      </c>
      <c r="C124" s="2">
        <v>-1.1000000000000001E-3</v>
      </c>
      <c r="D124" s="2">
        <v>2.81E-2</v>
      </c>
    </row>
    <row r="125" spans="1:4" x14ac:dyDescent="0.25">
      <c r="A125" s="1">
        <v>41892</v>
      </c>
      <c r="B125">
        <v>3.2396650400000002</v>
      </c>
      <c r="C125" s="2">
        <v>3.5400000000000001E-2</v>
      </c>
      <c r="D125" s="2">
        <v>2.9100000000000001E-2</v>
      </c>
    </row>
    <row r="126" spans="1:4" x14ac:dyDescent="0.25">
      <c r="A126" s="1">
        <v>41891</v>
      </c>
      <c r="B126">
        <v>3.2042635430000002</v>
      </c>
      <c r="C126" s="2">
        <v>2.8199999999999999E-2</v>
      </c>
      <c r="D126" s="2">
        <v>2.87E-2</v>
      </c>
    </row>
    <row r="127" spans="1:4" x14ac:dyDescent="0.25">
      <c r="A127" s="1">
        <v>41890</v>
      </c>
      <c r="B127">
        <v>3.1760802520000002</v>
      </c>
      <c r="C127" s="2">
        <v>7.9000000000000008E-3</v>
      </c>
      <c r="D127" s="2">
        <v>2.86E-2</v>
      </c>
    </row>
    <row r="128" spans="1:4" x14ac:dyDescent="0.25">
      <c r="A128" s="1">
        <v>41887</v>
      </c>
      <c r="B128">
        <v>3.168184938</v>
      </c>
      <c r="C128" s="2">
        <v>1.54E-2</v>
      </c>
      <c r="D128" s="2">
        <v>2.9100000000000001E-2</v>
      </c>
    </row>
    <row r="129" spans="1:4" x14ac:dyDescent="0.25">
      <c r="A129" s="1">
        <v>41886</v>
      </c>
      <c r="B129">
        <v>3.1528316909999998</v>
      </c>
      <c r="C129" s="2">
        <v>2.75E-2</v>
      </c>
      <c r="D129" s="2">
        <v>2.9100000000000001E-2</v>
      </c>
    </row>
    <row r="130" spans="1:4" x14ac:dyDescent="0.25">
      <c r="A130" s="1">
        <v>41885</v>
      </c>
      <c r="B130">
        <v>3.1253552920000001</v>
      </c>
      <c r="C130" s="2">
        <v>-8.0999999999999996E-3</v>
      </c>
      <c r="D130" s="2">
        <v>2.9000000000000001E-2</v>
      </c>
    </row>
    <row r="131" spans="1:4" x14ac:dyDescent="0.25">
      <c r="A131" s="1">
        <v>41884</v>
      </c>
      <c r="B131">
        <v>3.133469292</v>
      </c>
      <c r="C131" s="2">
        <v>5.3100000000000001E-2</v>
      </c>
      <c r="D131" s="2">
        <v>2.9000000000000001E-2</v>
      </c>
    </row>
    <row r="132" spans="1:4" x14ac:dyDescent="0.25">
      <c r="A132" s="1">
        <v>41880</v>
      </c>
      <c r="B132">
        <v>3.0803371980000001</v>
      </c>
      <c r="C132" s="2">
        <v>2.2000000000000001E-3</v>
      </c>
      <c r="D132" s="2">
        <v>2.8199999999999999E-2</v>
      </c>
    </row>
    <row r="133" spans="1:4" x14ac:dyDescent="0.25">
      <c r="A133" s="1">
        <v>41879</v>
      </c>
      <c r="B133">
        <v>3.0781225339999998</v>
      </c>
      <c r="C133" s="2">
        <v>-2.07E-2</v>
      </c>
      <c r="D133" s="2">
        <v>2.8299999999999999E-2</v>
      </c>
    </row>
    <row r="134" spans="1:4" x14ac:dyDescent="0.25">
      <c r="A134" s="1">
        <v>41878</v>
      </c>
      <c r="B134">
        <v>3.098870228</v>
      </c>
      <c r="C134" s="2">
        <v>-3.0599999999999999E-2</v>
      </c>
      <c r="D134" s="2">
        <v>2.8299999999999999E-2</v>
      </c>
    </row>
    <row r="135" spans="1:4" x14ac:dyDescent="0.25">
      <c r="A135" s="1">
        <v>41877</v>
      </c>
      <c r="B135">
        <v>3.1294369610000001</v>
      </c>
      <c r="C135" s="2">
        <v>-9.1000000000000004E-3</v>
      </c>
      <c r="D135" s="2">
        <v>2.8899999999999999E-2</v>
      </c>
    </row>
    <row r="136" spans="1:4" x14ac:dyDescent="0.25">
      <c r="A136" s="1">
        <v>41876</v>
      </c>
      <c r="B136">
        <v>3.1385592560000002</v>
      </c>
      <c r="C136" s="2">
        <v>-1.23E-2</v>
      </c>
      <c r="D136" s="2">
        <v>3.0499999999999999E-2</v>
      </c>
    </row>
    <row r="137" spans="1:4" x14ac:dyDescent="0.25">
      <c r="A137" s="1">
        <v>41873</v>
      </c>
      <c r="B137">
        <v>3.1508216359999999</v>
      </c>
      <c r="C137" s="2">
        <v>-6.0000000000000001E-3</v>
      </c>
      <c r="D137" s="2">
        <v>3.0499999999999999E-2</v>
      </c>
    </row>
    <row r="138" spans="1:4" x14ac:dyDescent="0.25">
      <c r="A138" s="1">
        <v>41872</v>
      </c>
      <c r="B138">
        <v>3.156779577</v>
      </c>
      <c r="C138" s="2">
        <v>-2.6100000000000002E-2</v>
      </c>
      <c r="D138" s="2">
        <v>3.0599999999999999E-2</v>
      </c>
    </row>
    <row r="139" spans="1:4" x14ac:dyDescent="0.25">
      <c r="A139" s="1">
        <v>41871</v>
      </c>
      <c r="B139">
        <v>3.1828839680000001</v>
      </c>
      <c r="C139" s="2">
        <v>1.7999999999999999E-2</v>
      </c>
      <c r="D139" s="2">
        <v>3.2599999999999997E-2</v>
      </c>
    </row>
    <row r="140" spans="1:4" x14ac:dyDescent="0.25">
      <c r="A140" s="1">
        <v>41870</v>
      </c>
      <c r="B140">
        <v>3.1648384219999999</v>
      </c>
      <c r="C140" s="2">
        <v>2.4899999999999999E-2</v>
      </c>
      <c r="D140" s="2">
        <v>3.2599999999999997E-2</v>
      </c>
    </row>
    <row r="141" spans="1:4" x14ac:dyDescent="0.25">
      <c r="A141" s="1">
        <v>41869</v>
      </c>
      <c r="B141">
        <v>3.1399786600000001</v>
      </c>
      <c r="C141" s="2">
        <v>4.6399999999999997E-2</v>
      </c>
      <c r="D141" s="2">
        <v>3.2500000000000001E-2</v>
      </c>
    </row>
    <row r="142" spans="1:4" x14ac:dyDescent="0.25">
      <c r="A142" s="1">
        <v>41866</v>
      </c>
      <c r="B142">
        <v>3.0935764219999999</v>
      </c>
      <c r="C142" s="2">
        <v>-4.6399999999999997E-2</v>
      </c>
      <c r="D142" s="2">
        <v>3.1899999999999998E-2</v>
      </c>
    </row>
    <row r="143" spans="1:4" x14ac:dyDescent="0.25">
      <c r="A143" s="1">
        <v>41865</v>
      </c>
      <c r="B143">
        <v>3.1399551639999999</v>
      </c>
      <c r="C143" s="2">
        <v>-2.12E-2</v>
      </c>
      <c r="D143" s="2">
        <v>3.1399999999999997E-2</v>
      </c>
    </row>
    <row r="144" spans="1:4" x14ac:dyDescent="0.25">
      <c r="A144" s="1">
        <v>41864</v>
      </c>
      <c r="B144">
        <v>3.1611594969999999</v>
      </c>
      <c r="C144" s="2">
        <v>-3.1E-2</v>
      </c>
      <c r="D144" s="2">
        <v>3.1600000000000003E-2</v>
      </c>
    </row>
    <row r="145" spans="1:4" x14ac:dyDescent="0.25">
      <c r="A145" s="1">
        <v>41863</v>
      </c>
      <c r="B145">
        <v>3.1921232289999999</v>
      </c>
      <c r="C145" s="2">
        <v>9.4999999999999998E-3</v>
      </c>
      <c r="D145" s="2">
        <v>3.15E-2</v>
      </c>
    </row>
    <row r="146" spans="1:4" x14ac:dyDescent="0.25">
      <c r="A146" s="1">
        <v>41862</v>
      </c>
      <c r="B146">
        <v>3.1826449449999998</v>
      </c>
      <c r="C146" s="2">
        <v>1.0500000000000001E-2</v>
      </c>
      <c r="D146" s="2">
        <v>3.1699999999999999E-2</v>
      </c>
    </row>
    <row r="147" spans="1:4" x14ac:dyDescent="0.25">
      <c r="A147" s="1">
        <v>41859</v>
      </c>
      <c r="B147">
        <v>3.1721768969999999</v>
      </c>
      <c r="C147" s="2">
        <v>-9.1000000000000004E-3</v>
      </c>
      <c r="D147" s="2">
        <v>3.1699999999999999E-2</v>
      </c>
    </row>
    <row r="148" spans="1:4" x14ac:dyDescent="0.25">
      <c r="A148" s="1">
        <v>41858</v>
      </c>
      <c r="B148">
        <v>3.1812952619999999</v>
      </c>
      <c r="C148" s="2">
        <v>-3.5499999999999997E-2</v>
      </c>
      <c r="D148" s="2">
        <v>3.3099999999999997E-2</v>
      </c>
    </row>
    <row r="149" spans="1:4" x14ac:dyDescent="0.25">
      <c r="A149" s="1">
        <v>41857</v>
      </c>
      <c r="B149">
        <v>3.2168042300000002</v>
      </c>
      <c r="C149" s="2">
        <v>5.0000000000000001E-4</v>
      </c>
      <c r="D149" s="2">
        <v>3.3000000000000002E-2</v>
      </c>
    </row>
    <row r="150" spans="1:4" x14ac:dyDescent="0.25">
      <c r="A150" s="1">
        <v>41856</v>
      </c>
      <c r="B150">
        <v>3.216324288</v>
      </c>
      <c r="C150" s="2">
        <v>-1.5E-3</v>
      </c>
      <c r="D150" s="2">
        <v>3.32E-2</v>
      </c>
    </row>
    <row r="151" spans="1:4" x14ac:dyDescent="0.25">
      <c r="A151" s="1">
        <v>41855</v>
      </c>
      <c r="B151">
        <v>3.2178217899999999</v>
      </c>
      <c r="C151" s="2">
        <v>-1.06E-2</v>
      </c>
      <c r="D151" s="2">
        <v>3.3500000000000002E-2</v>
      </c>
    </row>
    <row r="152" spans="1:4" x14ac:dyDescent="0.25">
      <c r="A152" s="1">
        <v>41852</v>
      </c>
      <c r="B152">
        <v>3.2284236380000002</v>
      </c>
      <c r="C152" s="2">
        <v>-4.7699999999999999E-2</v>
      </c>
      <c r="D152" s="2">
        <v>3.3500000000000002E-2</v>
      </c>
    </row>
    <row r="153" spans="1:4" x14ac:dyDescent="0.25">
      <c r="A153" s="1">
        <v>41851</v>
      </c>
      <c r="B153">
        <v>3.2761065930000002</v>
      </c>
      <c r="C153" s="2">
        <v>1.03E-2</v>
      </c>
      <c r="D153" s="2">
        <v>3.32E-2</v>
      </c>
    </row>
    <row r="154" spans="1:4" x14ac:dyDescent="0.25">
      <c r="A154" s="1">
        <v>41850</v>
      </c>
      <c r="B154">
        <v>3.2657922039999998</v>
      </c>
      <c r="C154" s="2">
        <v>8.3400000000000002E-2</v>
      </c>
      <c r="D154" s="2">
        <v>3.3300000000000003E-2</v>
      </c>
    </row>
    <row r="155" spans="1:4" x14ac:dyDescent="0.25">
      <c r="A155" s="1">
        <v>41849</v>
      </c>
      <c r="B155">
        <v>3.1823757600000002</v>
      </c>
      <c r="C155" s="2">
        <v>-2.2599999999999999E-2</v>
      </c>
      <c r="D155" s="2">
        <v>3.15E-2</v>
      </c>
    </row>
    <row r="156" spans="1:4" x14ac:dyDescent="0.25">
      <c r="A156" s="1">
        <v>41848</v>
      </c>
      <c r="B156">
        <v>3.204960201</v>
      </c>
      <c r="C156" s="2">
        <v>1.34E-2</v>
      </c>
      <c r="D156" s="2">
        <v>3.1399999999999997E-2</v>
      </c>
    </row>
    <row r="157" spans="1:4" x14ac:dyDescent="0.25">
      <c r="A157" s="1">
        <v>41845</v>
      </c>
      <c r="B157">
        <v>3.1915306559999999</v>
      </c>
      <c r="C157" s="2">
        <v>-4.4400000000000002E-2</v>
      </c>
      <c r="D157" s="2">
        <v>3.1699999999999999E-2</v>
      </c>
    </row>
    <row r="158" spans="1:4" x14ac:dyDescent="0.25">
      <c r="A158" s="1">
        <v>41844</v>
      </c>
      <c r="B158">
        <v>3.2359256059999999</v>
      </c>
      <c r="C158" s="2">
        <v>5.1499999999999997E-2</v>
      </c>
      <c r="D158" s="2">
        <v>3.1699999999999999E-2</v>
      </c>
    </row>
    <row r="159" spans="1:4" x14ac:dyDescent="0.25">
      <c r="A159" s="1">
        <v>41843</v>
      </c>
      <c r="B159">
        <v>3.1844316680000002</v>
      </c>
      <c r="C159" s="2">
        <v>1.3100000000000001E-2</v>
      </c>
      <c r="D159" s="2">
        <v>3.1099999999999999E-2</v>
      </c>
    </row>
    <row r="160" spans="1:4" x14ac:dyDescent="0.25">
      <c r="A160" s="1">
        <v>41842</v>
      </c>
      <c r="B160">
        <v>3.1713427689999998</v>
      </c>
      <c r="C160" s="2">
        <v>-8.3999999999999995E-3</v>
      </c>
      <c r="D160" s="2">
        <v>3.1099999999999999E-2</v>
      </c>
    </row>
    <row r="161" spans="1:4" x14ac:dyDescent="0.25">
      <c r="A161" s="1">
        <v>41841</v>
      </c>
      <c r="B161">
        <v>3.179728705</v>
      </c>
      <c r="C161" s="2">
        <v>-3.7000000000000002E-3</v>
      </c>
      <c r="D161" s="2">
        <v>3.1199999999999999E-2</v>
      </c>
    </row>
    <row r="162" spans="1:4" x14ac:dyDescent="0.25">
      <c r="A162" s="1">
        <v>41838</v>
      </c>
      <c r="B162">
        <v>3.1834552500000002</v>
      </c>
      <c r="C162" s="2">
        <v>-5.0000000000000001E-4</v>
      </c>
      <c r="D162" s="2">
        <v>3.1199999999999999E-2</v>
      </c>
    </row>
    <row r="163" spans="1:4" x14ac:dyDescent="0.25">
      <c r="A163" s="1">
        <v>41837</v>
      </c>
      <c r="B163">
        <v>3.183999016</v>
      </c>
      <c r="C163" s="2">
        <v>-5.1900000000000002E-2</v>
      </c>
      <c r="D163" s="2">
        <v>3.1600000000000003E-2</v>
      </c>
    </row>
    <row r="164" spans="1:4" x14ac:dyDescent="0.25">
      <c r="A164" s="1">
        <v>41836</v>
      </c>
      <c r="B164">
        <v>3.2358797159999999</v>
      </c>
      <c r="C164" s="2">
        <v>3.0999999999999999E-3</v>
      </c>
      <c r="D164" s="2">
        <v>3.1E-2</v>
      </c>
    </row>
    <row r="165" spans="1:4" x14ac:dyDescent="0.25">
      <c r="A165" s="1">
        <v>41835</v>
      </c>
      <c r="B165">
        <v>3.2327612769999998</v>
      </c>
      <c r="C165" s="2">
        <v>8.8999999999999999E-3</v>
      </c>
      <c r="D165" s="2">
        <v>3.1E-2</v>
      </c>
    </row>
    <row r="166" spans="1:4" x14ac:dyDescent="0.25">
      <c r="A166" s="1">
        <v>41834</v>
      </c>
      <c r="B166">
        <v>3.2238128129999999</v>
      </c>
      <c r="C166" s="2">
        <v>3.6400000000000002E-2</v>
      </c>
      <c r="D166" s="2">
        <v>3.2000000000000001E-2</v>
      </c>
    </row>
    <row r="167" spans="1:4" x14ac:dyDescent="0.25">
      <c r="A167" s="1">
        <v>41831</v>
      </c>
      <c r="B167">
        <v>3.1874045930000001</v>
      </c>
      <c r="C167" s="2">
        <v>-1.3599999999999999E-2</v>
      </c>
      <c r="D167" s="2">
        <v>3.1600000000000003E-2</v>
      </c>
    </row>
    <row r="168" spans="1:4" x14ac:dyDescent="0.25">
      <c r="A168" s="1">
        <v>41830</v>
      </c>
      <c r="B168">
        <v>3.200986447</v>
      </c>
      <c r="C168" s="2">
        <v>-1.7500000000000002E-2</v>
      </c>
      <c r="D168" s="2">
        <v>3.1600000000000003E-2</v>
      </c>
    </row>
    <row r="169" spans="1:4" x14ac:dyDescent="0.25">
      <c r="A169" s="1">
        <v>41829</v>
      </c>
      <c r="B169">
        <v>3.218508457</v>
      </c>
      <c r="C169" s="2">
        <v>-1.44E-2</v>
      </c>
      <c r="D169" s="2">
        <v>3.1699999999999999E-2</v>
      </c>
    </row>
    <row r="170" spans="1:4" x14ac:dyDescent="0.25">
      <c r="A170" s="1">
        <v>41828</v>
      </c>
      <c r="B170">
        <v>3.2329417249999999</v>
      </c>
      <c r="C170" s="2">
        <v>-3.3500000000000002E-2</v>
      </c>
      <c r="D170" s="2">
        <v>3.1699999999999999E-2</v>
      </c>
    </row>
    <row r="171" spans="1:4" x14ac:dyDescent="0.25">
      <c r="A171" s="1">
        <v>41827</v>
      </c>
      <c r="B171">
        <v>3.266475926</v>
      </c>
      <c r="C171" s="2">
        <v>-1.52E-2</v>
      </c>
      <c r="D171" s="2">
        <v>3.2300000000000002E-2</v>
      </c>
    </row>
    <row r="172" spans="1:4" x14ac:dyDescent="0.25">
      <c r="A172" s="1">
        <v>41823</v>
      </c>
      <c r="B172">
        <v>3.2816971850000001</v>
      </c>
      <c r="C172" s="2">
        <v>2.3599999999999999E-2</v>
      </c>
      <c r="D172" s="2">
        <v>3.2199999999999999E-2</v>
      </c>
    </row>
    <row r="173" spans="1:4" x14ac:dyDescent="0.25">
      <c r="A173" s="1">
        <v>41822</v>
      </c>
      <c r="B173">
        <v>3.2580485750000001</v>
      </c>
      <c r="C173" s="2">
        <v>4.7300000000000002E-2</v>
      </c>
      <c r="D173" s="2">
        <v>3.2199999999999999E-2</v>
      </c>
    </row>
    <row r="174" spans="1:4" x14ac:dyDescent="0.25">
      <c r="A174" s="1">
        <v>41821</v>
      </c>
      <c r="B174">
        <v>3.2107808200000001</v>
      </c>
      <c r="C174" s="2">
        <v>5.0700000000000002E-2</v>
      </c>
      <c r="D174" s="2">
        <v>3.1800000000000002E-2</v>
      </c>
    </row>
    <row r="175" spans="1:4" x14ac:dyDescent="0.25">
      <c r="A175" s="1">
        <v>41820</v>
      </c>
      <c r="B175">
        <v>3.16005862</v>
      </c>
      <c r="C175" s="2">
        <v>-1.23E-2</v>
      </c>
      <c r="D175" s="2">
        <v>3.1600000000000003E-2</v>
      </c>
    </row>
    <row r="176" spans="1:4" x14ac:dyDescent="0.25">
      <c r="A176" s="1">
        <v>41817</v>
      </c>
      <c r="B176">
        <v>3.1723768259999998</v>
      </c>
      <c r="C176" s="2">
        <v>1.9E-3</v>
      </c>
      <c r="D176" s="2">
        <v>3.1699999999999999E-2</v>
      </c>
    </row>
    <row r="177" spans="1:4" x14ac:dyDescent="0.25">
      <c r="A177" s="1">
        <v>41816</v>
      </c>
      <c r="B177">
        <v>3.1705026479999998</v>
      </c>
      <c r="C177" s="2">
        <v>-2.4400000000000002E-2</v>
      </c>
      <c r="D177" s="2">
        <v>3.2099999999999997E-2</v>
      </c>
    </row>
    <row r="178" spans="1:4" x14ac:dyDescent="0.25">
      <c r="A178" s="1">
        <v>41815</v>
      </c>
      <c r="B178">
        <v>3.19489738</v>
      </c>
      <c r="C178" s="2">
        <v>-2.3199999999999998E-2</v>
      </c>
      <c r="D178" s="2">
        <v>3.2199999999999999E-2</v>
      </c>
    </row>
    <row r="179" spans="1:4" x14ac:dyDescent="0.25">
      <c r="A179" s="1">
        <v>41814</v>
      </c>
      <c r="B179">
        <v>3.2180523989999998</v>
      </c>
      <c r="C179" s="2">
        <v>-2.4E-2</v>
      </c>
      <c r="D179" s="2">
        <v>3.2199999999999999E-2</v>
      </c>
    </row>
    <row r="180" spans="1:4" x14ac:dyDescent="0.25">
      <c r="A180" s="1">
        <v>41813</v>
      </c>
      <c r="B180">
        <v>3.2420059349999999</v>
      </c>
      <c r="C180" s="2">
        <v>3.3E-3</v>
      </c>
      <c r="D180" s="2">
        <v>3.2300000000000002E-2</v>
      </c>
    </row>
    <row r="181" spans="1:4" x14ac:dyDescent="0.25">
      <c r="A181" s="1">
        <v>41810</v>
      </c>
      <c r="B181">
        <v>3.2387092669999999</v>
      </c>
      <c r="C181" s="2">
        <v>-2E-3</v>
      </c>
      <c r="D181" s="2">
        <v>3.2399999999999998E-2</v>
      </c>
    </row>
    <row r="182" spans="1:4" x14ac:dyDescent="0.25">
      <c r="A182" s="1">
        <v>41809</v>
      </c>
      <c r="B182">
        <v>3.2406996480000001</v>
      </c>
      <c r="C182" s="2">
        <v>-1.4800000000000001E-2</v>
      </c>
      <c r="D182" s="2">
        <v>3.2599999999999997E-2</v>
      </c>
    </row>
    <row r="183" spans="1:4" x14ac:dyDescent="0.25">
      <c r="A183" s="1">
        <v>41808</v>
      </c>
      <c r="B183">
        <v>3.2554507350000002</v>
      </c>
      <c r="C183" s="2">
        <v>-4.0099999999999997E-2</v>
      </c>
      <c r="D183" s="2">
        <v>3.2500000000000001E-2</v>
      </c>
    </row>
    <row r="184" spans="1:4" x14ac:dyDescent="0.25">
      <c r="A184" s="1">
        <v>41807</v>
      </c>
      <c r="B184">
        <v>3.295523701</v>
      </c>
      <c r="C184" s="2">
        <v>5.5300000000000002E-2</v>
      </c>
      <c r="D184" s="2">
        <v>3.2199999999999999E-2</v>
      </c>
    </row>
    <row r="185" spans="1:4" x14ac:dyDescent="0.25">
      <c r="A185" s="1">
        <v>41806</v>
      </c>
      <c r="B185">
        <v>3.2401980090000002</v>
      </c>
      <c r="C185" s="2">
        <v>-1.2999999999999999E-2</v>
      </c>
      <c r="D185" s="2">
        <v>3.15E-2</v>
      </c>
    </row>
    <row r="186" spans="1:4" x14ac:dyDescent="0.25">
      <c r="A186" s="1">
        <v>41803</v>
      </c>
      <c r="B186">
        <v>3.2532056159999998</v>
      </c>
      <c r="C186" s="2">
        <v>1.6400000000000001E-2</v>
      </c>
      <c r="D186" s="2">
        <v>3.1600000000000003E-2</v>
      </c>
    </row>
    <row r="187" spans="1:4" x14ac:dyDescent="0.25">
      <c r="A187" s="1">
        <v>41802</v>
      </c>
      <c r="B187">
        <v>3.2368252540000002</v>
      </c>
      <c r="C187" s="2">
        <v>-4.6800000000000001E-2</v>
      </c>
      <c r="D187" s="2">
        <v>3.32E-2</v>
      </c>
    </row>
    <row r="188" spans="1:4" x14ac:dyDescent="0.25">
      <c r="A188" s="1">
        <v>41801</v>
      </c>
      <c r="B188">
        <v>3.283596792</v>
      </c>
      <c r="C188" s="2">
        <v>-2.8E-3</v>
      </c>
      <c r="D188" s="2">
        <v>3.2800000000000003E-2</v>
      </c>
    </row>
    <row r="189" spans="1:4" x14ac:dyDescent="0.25">
      <c r="A189" s="1">
        <v>41800</v>
      </c>
      <c r="B189">
        <v>3.2863723440000001</v>
      </c>
      <c r="C189" s="2">
        <v>2.1600000000000001E-2</v>
      </c>
      <c r="D189" s="2">
        <v>3.3599999999999998E-2</v>
      </c>
    </row>
    <row r="190" spans="1:4" x14ac:dyDescent="0.25">
      <c r="A190" s="1">
        <v>41799</v>
      </c>
      <c r="B190">
        <v>3.2647835349999998</v>
      </c>
      <c r="C190" s="2">
        <v>1.52E-2</v>
      </c>
      <c r="D190" s="2">
        <v>3.3500000000000002E-2</v>
      </c>
    </row>
    <row r="191" spans="1:4" x14ac:dyDescent="0.25">
      <c r="A191" s="1">
        <v>41796</v>
      </c>
      <c r="B191">
        <v>3.2495337759999998</v>
      </c>
      <c r="C191" s="2">
        <v>1.18E-2</v>
      </c>
      <c r="D191" s="2">
        <v>3.4299999999999997E-2</v>
      </c>
    </row>
    <row r="192" spans="1:4" x14ac:dyDescent="0.25">
      <c r="A192" s="1">
        <v>41795</v>
      </c>
      <c r="B192">
        <v>3.2377628110000001</v>
      </c>
      <c r="C192" s="2">
        <v>-2.58E-2</v>
      </c>
      <c r="D192" s="2">
        <v>3.4500000000000003E-2</v>
      </c>
    </row>
    <row r="193" spans="1:4" x14ac:dyDescent="0.25">
      <c r="A193" s="1">
        <v>41794</v>
      </c>
      <c r="B193">
        <v>3.2635254659999999</v>
      </c>
      <c r="C193" s="2">
        <v>4.1000000000000003E-3</v>
      </c>
      <c r="D193" s="2">
        <v>3.44E-2</v>
      </c>
    </row>
    <row r="194" spans="1:4" x14ac:dyDescent="0.25">
      <c r="A194" s="1">
        <v>41793</v>
      </c>
      <c r="B194">
        <v>3.2594551209999998</v>
      </c>
      <c r="C194" s="2">
        <v>5.1700000000000003E-2</v>
      </c>
      <c r="D194" s="2">
        <v>3.44E-2</v>
      </c>
    </row>
    <row r="195" spans="1:4" x14ac:dyDescent="0.25">
      <c r="A195" s="1">
        <v>41792</v>
      </c>
      <c r="B195">
        <v>3.2077358230000002</v>
      </c>
      <c r="C195" s="2">
        <v>7.4999999999999997E-2</v>
      </c>
      <c r="D195" s="2">
        <v>3.4099999999999998E-2</v>
      </c>
    </row>
    <row r="196" spans="1:4" x14ac:dyDescent="0.25">
      <c r="A196" s="1">
        <v>41789</v>
      </c>
      <c r="B196">
        <v>3.132717049</v>
      </c>
      <c r="C196" s="2">
        <v>9.1000000000000004E-3</v>
      </c>
      <c r="D196" s="2">
        <v>3.2599999999999997E-2</v>
      </c>
    </row>
    <row r="197" spans="1:4" x14ac:dyDescent="0.25">
      <c r="A197" s="1">
        <v>41788</v>
      </c>
      <c r="B197">
        <v>3.1236000380000002</v>
      </c>
      <c r="C197" s="2">
        <v>2.7E-2</v>
      </c>
      <c r="D197" s="2">
        <v>3.2599999999999997E-2</v>
      </c>
    </row>
    <row r="198" spans="1:4" x14ac:dyDescent="0.25">
      <c r="A198" s="1">
        <v>41787</v>
      </c>
      <c r="B198">
        <v>3.096582454</v>
      </c>
      <c r="C198" s="2">
        <v>-8.9800000000000005E-2</v>
      </c>
      <c r="D198" s="2">
        <v>3.39E-2</v>
      </c>
    </row>
    <row r="199" spans="1:4" x14ac:dyDescent="0.25">
      <c r="A199" s="1">
        <v>41786</v>
      </c>
      <c r="B199">
        <v>3.1863361499999998</v>
      </c>
      <c r="C199" s="2">
        <v>-1.9900000000000001E-2</v>
      </c>
      <c r="D199" s="2">
        <v>3.2099999999999997E-2</v>
      </c>
    </row>
    <row r="200" spans="1:4" x14ac:dyDescent="0.25">
      <c r="A200" s="1">
        <v>41782</v>
      </c>
      <c r="B200">
        <v>3.2062850310000002</v>
      </c>
      <c r="C200" s="2">
        <v>-8.0999999999999996E-3</v>
      </c>
      <c r="D200" s="2">
        <v>3.2099999999999997E-2</v>
      </c>
    </row>
    <row r="201" spans="1:4" x14ac:dyDescent="0.25">
      <c r="A201" s="1">
        <v>41781</v>
      </c>
      <c r="B201">
        <v>3.214431211</v>
      </c>
      <c r="C201" s="2">
        <v>1.41E-2</v>
      </c>
      <c r="D201" s="2">
        <v>3.2199999999999999E-2</v>
      </c>
    </row>
    <row r="202" spans="1:4" x14ac:dyDescent="0.25">
      <c r="A202" s="1">
        <v>41780</v>
      </c>
      <c r="B202">
        <v>3.2003729320000001</v>
      </c>
      <c r="C202" s="2">
        <v>9.7000000000000003E-3</v>
      </c>
      <c r="D202" s="2">
        <v>3.2199999999999999E-2</v>
      </c>
    </row>
    <row r="203" spans="1:4" x14ac:dyDescent="0.25">
      <c r="A203" s="1">
        <v>41779</v>
      </c>
      <c r="B203">
        <v>3.1906249350000002</v>
      </c>
      <c r="C203" s="2">
        <v>-3.4299999999999997E-2</v>
      </c>
      <c r="D203" s="2">
        <v>3.2800000000000003E-2</v>
      </c>
    </row>
    <row r="204" spans="1:4" x14ac:dyDescent="0.25">
      <c r="A204" s="1">
        <v>41778</v>
      </c>
      <c r="B204">
        <v>3.2249711809999999</v>
      </c>
      <c r="C204" s="2">
        <v>1.78E-2</v>
      </c>
      <c r="D204" s="2">
        <v>3.2599999999999997E-2</v>
      </c>
    </row>
    <row r="205" spans="1:4" x14ac:dyDescent="0.25">
      <c r="A205" s="1">
        <v>41775</v>
      </c>
      <c r="B205">
        <v>3.2071722939999998</v>
      </c>
      <c r="C205" s="2">
        <v>2.7699999999999999E-2</v>
      </c>
      <c r="D205" s="2">
        <v>3.2500000000000001E-2</v>
      </c>
    </row>
    <row r="206" spans="1:4" x14ac:dyDescent="0.25">
      <c r="A206" s="1">
        <v>41774</v>
      </c>
      <c r="B206">
        <v>3.1795097729999999</v>
      </c>
      <c r="C206" s="2">
        <v>-1.7600000000000001E-2</v>
      </c>
      <c r="D206" s="2">
        <v>3.2399999999999998E-2</v>
      </c>
    </row>
    <row r="207" spans="1:4" x14ac:dyDescent="0.25">
      <c r="A207" s="1">
        <v>41773</v>
      </c>
      <c r="B207">
        <v>3.1970892270000002</v>
      </c>
      <c r="C207" s="2">
        <v>-7.5700000000000003E-2</v>
      </c>
      <c r="D207" s="2">
        <v>3.2500000000000001E-2</v>
      </c>
    </row>
    <row r="208" spans="1:4" x14ac:dyDescent="0.25">
      <c r="A208" s="1">
        <v>41772</v>
      </c>
      <c r="B208">
        <v>3.2728026620000001</v>
      </c>
      <c r="C208" s="2">
        <v>-2.29E-2</v>
      </c>
      <c r="D208" s="2">
        <v>3.1199999999999999E-2</v>
      </c>
    </row>
    <row r="209" spans="1:4" x14ac:dyDescent="0.25">
      <c r="A209" s="1">
        <v>41771</v>
      </c>
      <c r="B209">
        <v>3.2957313799999999</v>
      </c>
      <c r="C209" s="2">
        <v>2.7799999999999998E-2</v>
      </c>
      <c r="D209" s="2">
        <v>3.1300000000000001E-2</v>
      </c>
    </row>
    <row r="210" spans="1:4" x14ac:dyDescent="0.25">
      <c r="A210" s="1">
        <v>41768</v>
      </c>
      <c r="B210">
        <v>3.2679344160000001</v>
      </c>
      <c r="C210" s="2">
        <v>3.7699999999999997E-2</v>
      </c>
      <c r="D210" s="2">
        <v>3.1399999999999997E-2</v>
      </c>
    </row>
    <row r="211" spans="1:4" x14ac:dyDescent="0.25">
      <c r="A211" s="1">
        <v>41767</v>
      </c>
      <c r="B211">
        <v>3.2302009300000001</v>
      </c>
      <c r="C211" s="2">
        <v>-6.4000000000000003E-3</v>
      </c>
      <c r="D211" s="2">
        <v>3.1699999999999999E-2</v>
      </c>
    </row>
    <row r="212" spans="1:4" x14ac:dyDescent="0.25">
      <c r="A212" s="1">
        <v>41766</v>
      </c>
      <c r="B212">
        <v>3.2365593110000002</v>
      </c>
      <c r="C212" s="2">
        <v>-3.1099999999999999E-2</v>
      </c>
      <c r="D212" s="2">
        <v>3.2199999999999999E-2</v>
      </c>
    </row>
    <row r="213" spans="1:4" x14ac:dyDescent="0.25">
      <c r="A213" s="1">
        <v>41765</v>
      </c>
      <c r="B213">
        <v>3.2676928759999999</v>
      </c>
      <c r="C213" s="2">
        <v>-2.0799999999999999E-2</v>
      </c>
      <c r="D213" s="2">
        <v>3.2000000000000001E-2</v>
      </c>
    </row>
    <row r="214" spans="1:4" x14ac:dyDescent="0.25">
      <c r="A214" s="1">
        <v>41764</v>
      </c>
      <c r="B214">
        <v>3.2884994189999999</v>
      </c>
      <c r="C214" s="2">
        <v>1.2699999999999999E-2</v>
      </c>
      <c r="D214" s="2">
        <v>3.2199999999999999E-2</v>
      </c>
    </row>
    <row r="215" spans="1:4" x14ac:dyDescent="0.25">
      <c r="A215" s="1">
        <v>41761</v>
      </c>
      <c r="B215">
        <v>3.2758212279999999</v>
      </c>
      <c r="C215" s="2">
        <v>-1.17E-2</v>
      </c>
      <c r="D215" s="2">
        <v>3.2300000000000002E-2</v>
      </c>
    </row>
    <row r="216" spans="1:4" x14ac:dyDescent="0.25">
      <c r="A216" s="1">
        <v>41760</v>
      </c>
      <c r="B216">
        <v>3.2875255330000002</v>
      </c>
      <c r="C216" s="2">
        <v>-3.9899999999999998E-2</v>
      </c>
      <c r="D216" s="2">
        <v>3.2800000000000003E-2</v>
      </c>
    </row>
    <row r="217" spans="1:4" x14ac:dyDescent="0.25">
      <c r="A217" s="1">
        <v>41759</v>
      </c>
      <c r="B217">
        <v>3.3274269649999999</v>
      </c>
      <c r="C217" s="2">
        <v>-4.5900000000000003E-2</v>
      </c>
      <c r="D217" s="2">
        <v>3.2800000000000003E-2</v>
      </c>
    </row>
    <row r="218" spans="1:4" x14ac:dyDescent="0.25">
      <c r="A218" s="1">
        <v>41758</v>
      </c>
      <c r="B218">
        <v>3.3733743390000002</v>
      </c>
      <c r="C218" s="2">
        <v>2.1899999999999999E-2</v>
      </c>
      <c r="D218" s="2">
        <v>3.3500000000000002E-2</v>
      </c>
    </row>
    <row r="219" spans="1:4" x14ac:dyDescent="0.25">
      <c r="A219" s="1">
        <v>41757</v>
      </c>
      <c r="B219">
        <v>3.3514611410000001</v>
      </c>
      <c r="C219" s="2">
        <v>7.4000000000000003E-3</v>
      </c>
      <c r="D219" s="2">
        <v>3.3700000000000001E-2</v>
      </c>
    </row>
    <row r="220" spans="1:4" x14ac:dyDescent="0.25">
      <c r="A220" s="1">
        <v>41754</v>
      </c>
      <c r="B220">
        <v>3.3440723289999998</v>
      </c>
      <c r="C220" s="2">
        <v>-2.12E-2</v>
      </c>
      <c r="D220" s="2">
        <v>3.3700000000000001E-2</v>
      </c>
    </row>
    <row r="221" spans="1:4" x14ac:dyDescent="0.25">
      <c r="A221" s="1">
        <v>41753</v>
      </c>
      <c r="B221">
        <v>3.3653149180000002</v>
      </c>
      <c r="C221" s="2">
        <v>-5.8999999999999999E-3</v>
      </c>
      <c r="D221" s="2">
        <v>3.4299999999999997E-2</v>
      </c>
    </row>
    <row r="222" spans="1:4" x14ac:dyDescent="0.25">
      <c r="A222" s="1">
        <v>41752</v>
      </c>
      <c r="B222">
        <v>3.3712594560000002</v>
      </c>
      <c r="C222" s="2">
        <v>-4.4600000000000001E-2</v>
      </c>
      <c r="D222" s="2">
        <v>3.4299999999999997E-2</v>
      </c>
    </row>
    <row r="223" spans="1:4" x14ac:dyDescent="0.25">
      <c r="A223" s="1">
        <v>41751</v>
      </c>
      <c r="B223">
        <v>3.4158115499999999</v>
      </c>
      <c r="C223" s="2">
        <v>-5.7000000000000002E-3</v>
      </c>
      <c r="D223" s="2">
        <v>3.4200000000000001E-2</v>
      </c>
    </row>
    <row r="224" spans="1:4" x14ac:dyDescent="0.25">
      <c r="A224" s="1">
        <v>41750</v>
      </c>
      <c r="B224">
        <v>3.4214944699999998</v>
      </c>
      <c r="C224" s="2">
        <v>1.35E-2</v>
      </c>
      <c r="D224" s="2">
        <v>3.4700000000000002E-2</v>
      </c>
    </row>
    <row r="225" spans="1:4" x14ac:dyDescent="0.25">
      <c r="A225" s="1">
        <v>41746</v>
      </c>
      <c r="B225">
        <v>3.4080209319999999</v>
      </c>
      <c r="C225" s="2">
        <v>5.7200000000000001E-2</v>
      </c>
      <c r="D225" s="2">
        <v>3.5400000000000001E-2</v>
      </c>
    </row>
    <row r="226" spans="1:4" x14ac:dyDescent="0.25">
      <c r="A226" s="1">
        <v>41745</v>
      </c>
      <c r="B226">
        <v>3.3508010220000002</v>
      </c>
      <c r="C226" s="2">
        <v>1.29E-2</v>
      </c>
      <c r="D226" s="2">
        <v>3.5200000000000002E-2</v>
      </c>
    </row>
    <row r="227" spans="1:4" x14ac:dyDescent="0.25">
      <c r="A227" s="1">
        <v>41744</v>
      </c>
      <c r="B227">
        <v>3.3379312959999998</v>
      </c>
      <c r="C227" s="2">
        <v>-2.8999999999999998E-3</v>
      </c>
      <c r="D227" s="2">
        <v>3.5200000000000002E-2</v>
      </c>
    </row>
    <row r="228" spans="1:4" x14ac:dyDescent="0.25">
      <c r="A228" s="1">
        <v>41743</v>
      </c>
      <c r="B228">
        <v>3.340827242</v>
      </c>
      <c r="C228" s="2">
        <v>2.47E-2</v>
      </c>
      <c r="D228" s="2">
        <v>3.5299999999999998E-2</v>
      </c>
    </row>
    <row r="229" spans="1:4" x14ac:dyDescent="0.25">
      <c r="A229" s="1">
        <v>41740</v>
      </c>
      <c r="B229">
        <v>3.3161727650000001</v>
      </c>
      <c r="C229" s="2">
        <v>5.9999999999999995E-4</v>
      </c>
      <c r="D229" s="2">
        <v>3.5400000000000001E-2</v>
      </c>
    </row>
    <row r="230" spans="1:4" x14ac:dyDescent="0.25">
      <c r="A230" s="1">
        <v>41739</v>
      </c>
      <c r="B230">
        <v>3.3155243250000002</v>
      </c>
      <c r="C230" s="2">
        <v>-5.96E-2</v>
      </c>
      <c r="D230" s="2">
        <v>3.5400000000000001E-2</v>
      </c>
    </row>
    <row r="231" spans="1:4" x14ac:dyDescent="0.25">
      <c r="A231" s="1">
        <v>41738</v>
      </c>
      <c r="B231">
        <v>3.3750941769999998</v>
      </c>
      <c r="C231" s="2">
        <v>1.9E-3</v>
      </c>
      <c r="D231" s="2">
        <v>3.5400000000000001E-2</v>
      </c>
    </row>
    <row r="232" spans="1:4" x14ac:dyDescent="0.25">
      <c r="A232" s="1">
        <v>41737</v>
      </c>
      <c r="B232">
        <v>3.3731827619999999</v>
      </c>
      <c r="C232" s="2">
        <v>-2.1899999999999999E-2</v>
      </c>
      <c r="D232" s="2">
        <v>3.5900000000000001E-2</v>
      </c>
    </row>
    <row r="233" spans="1:4" x14ac:dyDescent="0.25">
      <c r="A233" s="1">
        <v>41736</v>
      </c>
      <c r="B233">
        <v>3.3950962790000001</v>
      </c>
      <c r="C233" s="2">
        <v>-3.4500000000000003E-2</v>
      </c>
      <c r="D233" s="2">
        <v>3.8100000000000002E-2</v>
      </c>
    </row>
    <row r="234" spans="1:4" x14ac:dyDescent="0.25">
      <c r="A234" s="1">
        <v>41733</v>
      </c>
      <c r="B234">
        <v>3.4295560530000002</v>
      </c>
      <c r="C234" s="2">
        <v>-5.45E-2</v>
      </c>
      <c r="D234" s="2">
        <v>3.7999999999999999E-2</v>
      </c>
    </row>
    <row r="235" spans="1:4" x14ac:dyDescent="0.25">
      <c r="A235" s="1">
        <v>41732</v>
      </c>
      <c r="B235">
        <v>3.4840318130000001</v>
      </c>
      <c r="C235" s="2">
        <v>-2.2599999999999999E-2</v>
      </c>
      <c r="D235" s="2">
        <v>3.8100000000000002E-2</v>
      </c>
    </row>
    <row r="236" spans="1:4" x14ac:dyDescent="0.25">
      <c r="A236" s="1">
        <v>41731</v>
      </c>
      <c r="B236">
        <v>3.506626942</v>
      </c>
      <c r="C236" s="2">
        <v>3.39E-2</v>
      </c>
      <c r="D236" s="2">
        <v>3.8199999999999998E-2</v>
      </c>
    </row>
    <row r="237" spans="1:4" x14ac:dyDescent="0.25">
      <c r="A237" s="1">
        <v>41730</v>
      </c>
      <c r="B237">
        <v>3.4727016329999998</v>
      </c>
      <c r="C237" s="2">
        <v>2.58E-2</v>
      </c>
      <c r="D237" s="2">
        <v>3.8100000000000002E-2</v>
      </c>
    </row>
    <row r="238" spans="1:4" x14ac:dyDescent="0.25">
      <c r="A238" s="1">
        <v>41729</v>
      </c>
      <c r="B238">
        <v>3.4468593510000001</v>
      </c>
      <c r="C238" s="2">
        <v>1.6199999999999999E-2</v>
      </c>
      <c r="D238" s="2">
        <v>3.7900000000000003E-2</v>
      </c>
    </row>
    <row r="239" spans="1:4" x14ac:dyDescent="0.25">
      <c r="A239" s="1">
        <v>41726</v>
      </c>
      <c r="B239">
        <v>3.4306094279999999</v>
      </c>
      <c r="C239" s="2">
        <v>2.53E-2</v>
      </c>
      <c r="D239" s="2">
        <v>3.78E-2</v>
      </c>
    </row>
    <row r="240" spans="1:4" x14ac:dyDescent="0.25">
      <c r="A240" s="1">
        <v>41725</v>
      </c>
      <c r="B240">
        <v>3.4052671980000002</v>
      </c>
      <c r="C240" s="2">
        <v>-1.6500000000000001E-2</v>
      </c>
      <c r="D240" s="2">
        <v>3.78E-2</v>
      </c>
    </row>
    <row r="241" spans="1:4" x14ac:dyDescent="0.25">
      <c r="A241" s="1">
        <v>41724</v>
      </c>
      <c r="B241">
        <v>3.4217405539999999</v>
      </c>
      <c r="C241" s="2">
        <v>-3.0200000000000001E-2</v>
      </c>
      <c r="D241" s="2">
        <v>3.7900000000000003E-2</v>
      </c>
    </row>
    <row r="242" spans="1:4" x14ac:dyDescent="0.25">
      <c r="A242" s="1">
        <v>41723</v>
      </c>
      <c r="B242">
        <v>3.4519694259999998</v>
      </c>
      <c r="C242" s="2">
        <v>-6.9999999999999999E-4</v>
      </c>
      <c r="D242" s="2">
        <v>3.78E-2</v>
      </c>
    </row>
    <row r="243" spans="1:4" x14ac:dyDescent="0.25">
      <c r="A243" s="1">
        <v>41722</v>
      </c>
      <c r="B243">
        <v>3.4526675490000001</v>
      </c>
      <c r="C243" s="2">
        <v>2.9999999999999997E-4</v>
      </c>
      <c r="D243" s="2">
        <v>3.78E-2</v>
      </c>
    </row>
    <row r="244" spans="1:4" x14ac:dyDescent="0.25">
      <c r="A244" s="1">
        <v>41719</v>
      </c>
      <c r="B244">
        <v>3.452353622</v>
      </c>
      <c r="C244" s="2">
        <v>-3.3500000000000002E-2</v>
      </c>
      <c r="D244" s="2">
        <v>3.8899999999999997E-2</v>
      </c>
    </row>
    <row r="245" spans="1:4" x14ac:dyDescent="0.25">
      <c r="A245" s="1">
        <v>41718</v>
      </c>
      <c r="B245">
        <v>3.4858096999999999</v>
      </c>
      <c r="C245" s="2">
        <v>1.34E-2</v>
      </c>
      <c r="D245" s="2">
        <v>3.8699999999999998E-2</v>
      </c>
    </row>
    <row r="246" spans="1:4" x14ac:dyDescent="0.25">
      <c r="A246" s="1">
        <v>41717</v>
      </c>
      <c r="B246">
        <v>3.47240963</v>
      </c>
      <c r="C246" s="2">
        <v>7.8200000000000006E-2</v>
      </c>
      <c r="D246" s="2">
        <v>3.9699999999999999E-2</v>
      </c>
    </row>
    <row r="247" spans="1:4" x14ac:dyDescent="0.25">
      <c r="A247" s="1">
        <v>41716</v>
      </c>
      <c r="B247">
        <v>3.3942283450000001</v>
      </c>
      <c r="C247" s="2">
        <v>-2.3199999999999998E-2</v>
      </c>
      <c r="D247" s="2">
        <v>3.8800000000000001E-2</v>
      </c>
    </row>
    <row r="248" spans="1:4" x14ac:dyDescent="0.25">
      <c r="A248" s="1">
        <v>41715</v>
      </c>
      <c r="B248">
        <v>3.4174617230000002</v>
      </c>
      <c r="C248" s="2">
        <v>5.3999999999999999E-2</v>
      </c>
      <c r="D248" s="2">
        <v>3.9100000000000003E-2</v>
      </c>
    </row>
    <row r="249" spans="1:4" x14ac:dyDescent="0.25">
      <c r="A249" s="1">
        <v>41712</v>
      </c>
      <c r="B249">
        <v>3.36348753</v>
      </c>
      <c r="C249" s="2">
        <v>1.4999999999999999E-2</v>
      </c>
      <c r="D249" s="2">
        <v>3.8600000000000002E-2</v>
      </c>
    </row>
    <row r="250" spans="1:4" x14ac:dyDescent="0.25">
      <c r="A250" s="1">
        <v>41711</v>
      </c>
      <c r="B250">
        <v>3.3484387600000001</v>
      </c>
      <c r="C250" s="2">
        <v>-6.0199999999999997E-2</v>
      </c>
      <c r="D250" s="2">
        <v>3.8600000000000002E-2</v>
      </c>
    </row>
    <row r="251" spans="1:4" x14ac:dyDescent="0.25">
      <c r="A251" s="1">
        <v>41710</v>
      </c>
      <c r="B251">
        <v>3.408589337</v>
      </c>
      <c r="C251" s="2">
        <v>-3.5299999999999998E-2</v>
      </c>
      <c r="D251" s="2">
        <v>3.7900000000000003E-2</v>
      </c>
    </row>
    <row r="252" spans="1:4" x14ac:dyDescent="0.25">
      <c r="A252" s="1">
        <v>41709</v>
      </c>
      <c r="B252">
        <v>3.4438493659999998</v>
      </c>
      <c r="C252" s="2">
        <v>-2.7000000000000001E-3</v>
      </c>
      <c r="D252" s="2">
        <v>3.78E-2</v>
      </c>
    </row>
    <row r="253" spans="1:4" x14ac:dyDescent="0.25">
      <c r="A253" s="1">
        <v>41708</v>
      </c>
      <c r="B253">
        <v>3.44656714</v>
      </c>
      <c r="C253" s="2">
        <v>-1.4800000000000001E-2</v>
      </c>
      <c r="D253" s="2">
        <v>3.8399999999999997E-2</v>
      </c>
    </row>
    <row r="254" spans="1:4" x14ac:dyDescent="0.25">
      <c r="A254" s="1">
        <v>41705</v>
      </c>
      <c r="B254">
        <v>3.4613667709999998</v>
      </c>
      <c r="C254" s="2">
        <v>3.7699999999999997E-2</v>
      </c>
      <c r="D254" s="2">
        <v>3.8699999999999998E-2</v>
      </c>
    </row>
    <row r="255" spans="1:4" x14ac:dyDescent="0.25">
      <c r="A255" s="1">
        <v>41704</v>
      </c>
      <c r="B255">
        <v>3.4237035730000001</v>
      </c>
      <c r="C255" s="2">
        <v>2.2200000000000001E-2</v>
      </c>
      <c r="D255" s="2">
        <v>3.85E-2</v>
      </c>
    </row>
    <row r="256" spans="1:4" x14ac:dyDescent="0.25">
      <c r="A256" s="1">
        <v>41703</v>
      </c>
      <c r="B256">
        <v>3.401518512</v>
      </c>
      <c r="C256" s="2">
        <v>3.2000000000000002E-3</v>
      </c>
      <c r="D256" s="2">
        <v>3.8399999999999997E-2</v>
      </c>
    </row>
    <row r="257" spans="1:4" x14ac:dyDescent="0.25">
      <c r="A257" s="1">
        <v>41702</v>
      </c>
      <c r="B257">
        <v>3.398313259</v>
      </c>
      <c r="C257" s="2">
        <v>7.2999999999999995E-2</v>
      </c>
      <c r="D257" s="2">
        <v>3.85E-2</v>
      </c>
    </row>
    <row r="258" spans="1:4" x14ac:dyDescent="0.25">
      <c r="A258" s="1">
        <v>41701</v>
      </c>
      <c r="B258">
        <v>3.3252988179999998</v>
      </c>
      <c r="C258" s="2">
        <v>-2.6200000000000001E-2</v>
      </c>
      <c r="D258" s="2">
        <v>3.7999999999999999E-2</v>
      </c>
    </row>
    <row r="259" spans="1:4" x14ac:dyDescent="0.25">
      <c r="A259" s="1">
        <v>41698</v>
      </c>
      <c r="B259">
        <v>3.3514861850000002</v>
      </c>
      <c r="C259" s="2">
        <v>1.4500000000000001E-2</v>
      </c>
      <c r="D259" s="2">
        <v>3.7900000000000003E-2</v>
      </c>
    </row>
    <row r="260" spans="1:4" x14ac:dyDescent="0.25">
      <c r="A260" s="1">
        <v>41697</v>
      </c>
      <c r="B260">
        <v>3.3370205660000001</v>
      </c>
      <c r="C260" s="2">
        <v>-2.4799999999999999E-2</v>
      </c>
      <c r="D260" s="2">
        <v>3.8899999999999997E-2</v>
      </c>
    </row>
    <row r="261" spans="1:4" x14ac:dyDescent="0.25">
      <c r="A261" s="1">
        <v>41696</v>
      </c>
      <c r="B261">
        <v>3.3618556169999998</v>
      </c>
      <c r="C261" s="2">
        <v>-1.44E-2</v>
      </c>
      <c r="D261" s="2">
        <v>3.8800000000000001E-2</v>
      </c>
    </row>
    <row r="262" spans="1:4" x14ac:dyDescent="0.25">
      <c r="A262" s="1">
        <v>41695</v>
      </c>
      <c r="B262">
        <v>3.3762483730000001</v>
      </c>
      <c r="C262" s="2">
        <v>-5.3600000000000002E-2</v>
      </c>
      <c r="D262" s="2">
        <v>3.9199999999999999E-2</v>
      </c>
    </row>
    <row r="263" spans="1:4" x14ac:dyDescent="0.25">
      <c r="A263" s="1">
        <v>41694</v>
      </c>
      <c r="B263">
        <v>3.4298763220000001</v>
      </c>
      <c r="C263" s="2">
        <v>6.1000000000000004E-3</v>
      </c>
      <c r="D263" s="2">
        <v>3.8600000000000002E-2</v>
      </c>
    </row>
    <row r="264" spans="1:4" x14ac:dyDescent="0.25">
      <c r="A264" s="1">
        <v>41691</v>
      </c>
      <c r="B264">
        <v>3.4238152469999998</v>
      </c>
      <c r="C264" s="2">
        <v>-1.72E-2</v>
      </c>
      <c r="D264" s="2">
        <v>3.8600000000000002E-2</v>
      </c>
    </row>
    <row r="265" spans="1:4" x14ac:dyDescent="0.25">
      <c r="A265" s="1">
        <v>41690</v>
      </c>
      <c r="B265">
        <v>3.4409874970000001</v>
      </c>
      <c r="C265" s="2">
        <v>2.01E-2</v>
      </c>
      <c r="D265" s="2">
        <v>3.8600000000000002E-2</v>
      </c>
    </row>
    <row r="266" spans="1:4" x14ac:dyDescent="0.25">
      <c r="A266" s="1">
        <v>41689</v>
      </c>
      <c r="B266">
        <v>3.4208462339999999</v>
      </c>
      <c r="C266" s="2">
        <v>1.8599999999999998E-2</v>
      </c>
      <c r="D266" s="2">
        <v>3.85E-2</v>
      </c>
    </row>
    <row r="267" spans="1:4" x14ac:dyDescent="0.25">
      <c r="A267" s="1">
        <v>41688</v>
      </c>
      <c r="B267">
        <v>3.4022510540000002</v>
      </c>
      <c r="C267" s="2">
        <v>-2.18E-2</v>
      </c>
      <c r="D267" s="2">
        <v>3.95E-2</v>
      </c>
    </row>
    <row r="268" spans="1:4" x14ac:dyDescent="0.25">
      <c r="A268" s="1">
        <v>41684</v>
      </c>
      <c r="B268">
        <v>3.4240468750000002</v>
      </c>
      <c r="C268" s="2">
        <v>2.7699999999999999E-2</v>
      </c>
      <c r="D268" s="2">
        <v>3.9600000000000003E-2</v>
      </c>
    </row>
    <row r="269" spans="1:4" x14ac:dyDescent="0.25">
      <c r="A269" s="1">
        <v>41683</v>
      </c>
      <c r="B269">
        <v>3.396382059</v>
      </c>
      <c r="C269" s="2">
        <v>-4.0399999999999998E-2</v>
      </c>
      <c r="D269" s="2">
        <v>3.9800000000000002E-2</v>
      </c>
    </row>
    <row r="270" spans="1:4" x14ac:dyDescent="0.25">
      <c r="A270" s="1">
        <v>41682</v>
      </c>
      <c r="B270">
        <v>3.4367814239999999</v>
      </c>
      <c r="C270" s="2">
        <v>4.9399999999999999E-2</v>
      </c>
      <c r="D270" s="2">
        <v>3.9399999999999998E-2</v>
      </c>
    </row>
    <row r="271" spans="1:4" x14ac:dyDescent="0.25">
      <c r="A271" s="1">
        <v>41681</v>
      </c>
      <c r="B271">
        <v>3.3874003689999999</v>
      </c>
      <c r="C271" s="2">
        <v>3.9800000000000002E-2</v>
      </c>
      <c r="D271" s="2">
        <v>3.95E-2</v>
      </c>
    </row>
    <row r="272" spans="1:4" x14ac:dyDescent="0.25">
      <c r="A272" s="1">
        <v>41680</v>
      </c>
      <c r="B272">
        <v>3.347610543</v>
      </c>
      <c r="C272" s="2">
        <v>4.5999999999999999E-3</v>
      </c>
      <c r="D272" s="2">
        <v>3.95E-2</v>
      </c>
    </row>
    <row r="273" spans="1:4" x14ac:dyDescent="0.25">
      <c r="A273" s="1">
        <v>41677</v>
      </c>
      <c r="B273">
        <v>3.343001702</v>
      </c>
      <c r="C273" s="2">
        <v>-3.6900000000000002E-2</v>
      </c>
      <c r="D273" s="2">
        <v>3.95E-2</v>
      </c>
    </row>
    <row r="274" spans="1:4" x14ac:dyDescent="0.25">
      <c r="A274" s="1">
        <v>41676</v>
      </c>
      <c r="B274">
        <v>3.379929647</v>
      </c>
      <c r="C274" s="2">
        <v>2.1499999999999998E-2</v>
      </c>
      <c r="D274" s="2">
        <v>4.2500000000000003E-2</v>
      </c>
    </row>
    <row r="275" spans="1:4" x14ac:dyDescent="0.25">
      <c r="A275" s="1">
        <v>41675</v>
      </c>
      <c r="B275">
        <v>3.3584090080000002</v>
      </c>
      <c r="C275" s="2">
        <v>4.7199999999999999E-2</v>
      </c>
      <c r="D275" s="2">
        <v>4.24E-2</v>
      </c>
    </row>
    <row r="276" spans="1:4" x14ac:dyDescent="0.25">
      <c r="A276" s="1">
        <v>41674</v>
      </c>
      <c r="B276">
        <v>3.3111616480000001</v>
      </c>
      <c r="C276" s="2">
        <v>4.0099999999999997E-2</v>
      </c>
      <c r="D276" s="2">
        <v>4.2000000000000003E-2</v>
      </c>
    </row>
    <row r="277" spans="1:4" x14ac:dyDescent="0.25">
      <c r="A277" s="1">
        <v>41673</v>
      </c>
      <c r="B277">
        <v>3.271099204</v>
      </c>
      <c r="C277" s="2">
        <v>-6.9599999999999995E-2</v>
      </c>
      <c r="D277" s="2">
        <v>4.2799999999999998E-2</v>
      </c>
    </row>
    <row r="278" spans="1:4" x14ac:dyDescent="0.25">
      <c r="A278" s="1">
        <v>41670</v>
      </c>
      <c r="B278">
        <v>3.340675257</v>
      </c>
      <c r="C278" s="2">
        <v>-3.0300000000000001E-2</v>
      </c>
      <c r="D278" s="2">
        <v>4.19E-2</v>
      </c>
    </row>
    <row r="279" spans="1:4" x14ac:dyDescent="0.25">
      <c r="A279" s="1">
        <v>41669</v>
      </c>
      <c r="B279">
        <v>3.371025087</v>
      </c>
      <c r="C279" s="2">
        <v>9.9000000000000008E-3</v>
      </c>
      <c r="D279" s="2">
        <v>4.2799999999999998E-2</v>
      </c>
    </row>
    <row r="280" spans="1:4" x14ac:dyDescent="0.25">
      <c r="A280" s="1">
        <v>41668</v>
      </c>
      <c r="B280">
        <v>3.3611475089999998</v>
      </c>
      <c r="C280" s="2">
        <v>-5.3499999999999999E-2</v>
      </c>
      <c r="D280" s="2">
        <v>4.2900000000000001E-2</v>
      </c>
    </row>
    <row r="281" spans="1:4" x14ac:dyDescent="0.25">
      <c r="A281" s="1">
        <v>41667</v>
      </c>
      <c r="B281">
        <v>3.414669913</v>
      </c>
      <c r="C281" s="2">
        <v>-1.0200000000000001E-2</v>
      </c>
      <c r="D281" s="2">
        <v>4.2200000000000001E-2</v>
      </c>
    </row>
    <row r="282" spans="1:4" x14ac:dyDescent="0.25">
      <c r="A282" s="1">
        <v>41666</v>
      </c>
      <c r="B282">
        <v>3.4248929819999998</v>
      </c>
      <c r="C282" s="2">
        <v>4.2700000000000002E-2</v>
      </c>
      <c r="D282" s="2">
        <v>4.2200000000000001E-2</v>
      </c>
    </row>
    <row r="283" spans="1:4" x14ac:dyDescent="0.25">
      <c r="A283" s="1">
        <v>41663</v>
      </c>
      <c r="B283">
        <v>3.3821795350000001</v>
      </c>
      <c r="C283" s="2">
        <v>-4.3799999999999999E-2</v>
      </c>
      <c r="D283" s="2">
        <v>4.19E-2</v>
      </c>
    </row>
    <row r="284" spans="1:4" x14ac:dyDescent="0.25">
      <c r="A284" s="1">
        <v>41662</v>
      </c>
      <c r="B284">
        <v>3.425984878</v>
      </c>
      <c r="C284" s="2">
        <v>-5.5300000000000002E-2</v>
      </c>
      <c r="D284" s="2">
        <v>4.1599999999999998E-2</v>
      </c>
    </row>
    <row r="285" spans="1:4" x14ac:dyDescent="0.25">
      <c r="A285" s="1">
        <v>41661</v>
      </c>
      <c r="B285">
        <v>3.4813003409999999</v>
      </c>
      <c r="C285" s="2">
        <v>5.0700000000000002E-2</v>
      </c>
      <c r="D285" s="2">
        <v>4.0899999999999999E-2</v>
      </c>
    </row>
    <row r="286" spans="1:4" x14ac:dyDescent="0.25">
      <c r="A286" s="1">
        <v>41660</v>
      </c>
      <c r="B286">
        <v>3.4306167460000001</v>
      </c>
      <c r="C286" s="2">
        <v>-6.4999999999999997E-3</v>
      </c>
      <c r="D286" s="2">
        <v>4.0800000000000003E-2</v>
      </c>
    </row>
    <row r="287" spans="1:4" x14ac:dyDescent="0.25">
      <c r="A287" s="1">
        <v>41656</v>
      </c>
      <c r="B287">
        <v>3.4370844049999998</v>
      </c>
      <c r="C287" s="2">
        <v>-0.02</v>
      </c>
      <c r="D287" s="2">
        <v>4.2799999999999998E-2</v>
      </c>
    </row>
    <row r="288" spans="1:4" x14ac:dyDescent="0.25">
      <c r="A288" s="1">
        <v>41655</v>
      </c>
      <c r="B288">
        <v>3.4570560239999999</v>
      </c>
      <c r="C288" s="2">
        <v>-3.7699999999999997E-2</v>
      </c>
      <c r="D288" s="2">
        <v>4.2799999999999998E-2</v>
      </c>
    </row>
    <row r="289" spans="1:4" x14ac:dyDescent="0.25">
      <c r="A289" s="1">
        <v>41654</v>
      </c>
      <c r="B289">
        <v>3.4947799470000001</v>
      </c>
      <c r="C289" s="2">
        <v>1.14E-2</v>
      </c>
      <c r="D289" s="2">
        <v>4.24E-2</v>
      </c>
    </row>
    <row r="290" spans="1:4" x14ac:dyDescent="0.25">
      <c r="A290" s="1">
        <v>41653</v>
      </c>
      <c r="B290">
        <v>3.4834111889999999</v>
      </c>
      <c r="C290" s="2">
        <v>5.7000000000000002E-2</v>
      </c>
      <c r="D290" s="2">
        <v>4.41E-2</v>
      </c>
    </row>
    <row r="291" spans="1:4" x14ac:dyDescent="0.25">
      <c r="A291" s="1">
        <v>41652</v>
      </c>
      <c r="B291">
        <v>3.4264575979999998</v>
      </c>
      <c r="C291" s="2">
        <v>-4.5400000000000003E-2</v>
      </c>
      <c r="D291" s="2">
        <v>4.3900000000000002E-2</v>
      </c>
    </row>
    <row r="292" spans="1:4" x14ac:dyDescent="0.25">
      <c r="A292" s="1">
        <v>41649</v>
      </c>
      <c r="B292">
        <v>3.4718387270000002</v>
      </c>
      <c r="C292" s="2">
        <v>-0.1031</v>
      </c>
      <c r="D292" s="2">
        <v>4.3799999999999999E-2</v>
      </c>
    </row>
    <row r="293" spans="1:4" x14ac:dyDescent="0.25">
      <c r="A293" s="1">
        <v>41648</v>
      </c>
      <c r="B293">
        <v>3.5749416799999998</v>
      </c>
      <c r="C293" s="2">
        <v>-2.1399999999999999E-2</v>
      </c>
      <c r="D293" s="2">
        <v>4.1599999999999998E-2</v>
      </c>
    </row>
    <row r="294" spans="1:4" x14ac:dyDescent="0.25">
      <c r="A294" s="1">
        <v>41647</v>
      </c>
      <c r="B294">
        <v>3.5963712540000001</v>
      </c>
      <c r="C294" s="2">
        <v>5.3499999999999999E-2</v>
      </c>
      <c r="D294" s="2">
        <v>4.1500000000000002E-2</v>
      </c>
    </row>
    <row r="295" spans="1:4" x14ac:dyDescent="0.25">
      <c r="A295" s="1">
        <v>41646</v>
      </c>
      <c r="B295">
        <v>3.5428500409999999</v>
      </c>
      <c r="C295" s="2">
        <v>-3.3500000000000002E-2</v>
      </c>
      <c r="D295" s="2">
        <v>4.1000000000000002E-2</v>
      </c>
    </row>
    <row r="296" spans="1:4" x14ac:dyDescent="0.25">
      <c r="A296" s="1">
        <v>41645</v>
      </c>
      <c r="B296">
        <v>3.5763485949999998</v>
      </c>
      <c r="C296" s="2">
        <v>-2.69E-2</v>
      </c>
      <c r="D296" s="2">
        <v>4.07E-2</v>
      </c>
    </row>
    <row r="297" spans="1:4" x14ac:dyDescent="0.25">
      <c r="A297" s="1">
        <v>41642</v>
      </c>
      <c r="B297">
        <v>3.6032550849999998</v>
      </c>
      <c r="C297" s="2">
        <v>3.5999999999999999E-3</v>
      </c>
      <c r="D297" s="2">
        <v>4.0500000000000001E-2</v>
      </c>
    </row>
    <row r="298" spans="1:4" x14ac:dyDescent="0.25">
      <c r="A298" s="1">
        <v>41641</v>
      </c>
      <c r="B298">
        <v>3.5996964230000001</v>
      </c>
      <c r="C298" s="2">
        <v>6.7000000000000002E-3</v>
      </c>
      <c r="D298" s="2">
        <v>4.0599999999999997E-2</v>
      </c>
    </row>
    <row r="299" spans="1:4" x14ac:dyDescent="0.25">
      <c r="A299" s="1">
        <v>41639</v>
      </c>
      <c r="B299">
        <v>3.5930254960000001</v>
      </c>
      <c r="C299" s="2">
        <v>1.84E-2</v>
      </c>
      <c r="D299" s="2">
        <v>4.0800000000000003E-2</v>
      </c>
    </row>
    <row r="300" spans="1:4" x14ac:dyDescent="0.25">
      <c r="A300" s="1">
        <v>41638</v>
      </c>
      <c r="B300">
        <v>3.574674339</v>
      </c>
      <c r="C300" s="2">
        <v>-3.4700000000000002E-2</v>
      </c>
      <c r="D300" s="2">
        <v>4.0800000000000003E-2</v>
      </c>
    </row>
    <row r="301" spans="1:4" x14ac:dyDescent="0.25">
      <c r="A301" s="1">
        <v>41635</v>
      </c>
      <c r="B301">
        <v>3.6093804660000002</v>
      </c>
      <c r="C301" s="2">
        <v>-1.6999999999999999E-3</v>
      </c>
      <c r="D301" s="2">
        <v>4.0500000000000001E-2</v>
      </c>
    </row>
    <row r="302" spans="1:4" x14ac:dyDescent="0.25">
      <c r="A302" s="1">
        <v>41634</v>
      </c>
      <c r="B302">
        <v>3.6110841840000001</v>
      </c>
      <c r="C302" s="2">
        <v>1E-3</v>
      </c>
      <c r="D302" s="2">
        <v>4.0500000000000001E-2</v>
      </c>
    </row>
    <row r="303" spans="1:4" x14ac:dyDescent="0.25">
      <c r="A303" s="1">
        <v>41632</v>
      </c>
      <c r="B303">
        <v>3.6100621369999999</v>
      </c>
      <c r="C303" s="2">
        <v>6.7799999999999999E-2</v>
      </c>
      <c r="D303" s="2">
        <v>4.07E-2</v>
      </c>
    </row>
    <row r="304" spans="1:4" x14ac:dyDescent="0.25">
      <c r="A304" s="1">
        <v>41631</v>
      </c>
      <c r="B304">
        <v>3.542252049</v>
      </c>
      <c r="C304" s="2">
        <v>2.1499999999999998E-2</v>
      </c>
      <c r="D304" s="2">
        <v>0.04</v>
      </c>
    </row>
    <row r="305" spans="1:4" x14ac:dyDescent="0.25">
      <c r="A305" s="1">
        <v>41628</v>
      </c>
      <c r="B305">
        <v>3.5207189290000001</v>
      </c>
      <c r="C305" s="2">
        <v>-6.8699999999999997E-2</v>
      </c>
      <c r="D305" s="2">
        <v>4.0399999999999998E-2</v>
      </c>
    </row>
    <row r="306" spans="1:4" x14ac:dyDescent="0.25">
      <c r="A306" s="1">
        <v>41627</v>
      </c>
      <c r="B306">
        <v>3.5894558660000002</v>
      </c>
      <c r="C306" s="2">
        <v>4.7199999999999999E-2</v>
      </c>
      <c r="D306" s="2">
        <v>4.02E-2</v>
      </c>
    </row>
    <row r="307" spans="1:4" x14ac:dyDescent="0.25">
      <c r="A307" s="1">
        <v>41626</v>
      </c>
      <c r="B307">
        <v>3.5422755370000001</v>
      </c>
      <c r="C307" s="2">
        <v>4.24E-2</v>
      </c>
      <c r="D307" s="2">
        <v>0.04</v>
      </c>
    </row>
    <row r="308" spans="1:4" x14ac:dyDescent="0.25">
      <c r="A308" s="1">
        <v>41625</v>
      </c>
      <c r="B308">
        <v>3.4998898139999999</v>
      </c>
      <c r="C308" s="2">
        <v>-3.0800000000000001E-2</v>
      </c>
      <c r="D308" s="2">
        <v>3.9699999999999999E-2</v>
      </c>
    </row>
    <row r="309" spans="1:4" x14ac:dyDescent="0.25">
      <c r="A309" s="1">
        <v>41624</v>
      </c>
      <c r="B309">
        <v>3.5307245319999998</v>
      </c>
      <c r="C309" s="2">
        <v>1.6000000000000001E-3</v>
      </c>
      <c r="D309" s="2">
        <v>3.95E-2</v>
      </c>
    </row>
    <row r="310" spans="1:4" x14ac:dyDescent="0.25">
      <c r="A310" s="1">
        <v>41621</v>
      </c>
      <c r="B310">
        <v>3.5290996890000002</v>
      </c>
      <c r="C310" s="2">
        <v>-1.37E-2</v>
      </c>
      <c r="D310" s="2">
        <v>4.6100000000000002E-2</v>
      </c>
    </row>
    <row r="311" spans="1:4" x14ac:dyDescent="0.25">
      <c r="A311" s="1">
        <v>41620</v>
      </c>
      <c r="B311">
        <v>3.5427546790000002</v>
      </c>
      <c r="C311" s="2">
        <v>2.7099999999999999E-2</v>
      </c>
      <c r="D311" s="2">
        <v>4.6100000000000002E-2</v>
      </c>
    </row>
    <row r="312" spans="1:4" x14ac:dyDescent="0.25">
      <c r="A312" s="1">
        <v>41619</v>
      </c>
      <c r="B312">
        <v>3.5156873219999998</v>
      </c>
      <c r="C312" s="2">
        <v>5.0900000000000001E-2</v>
      </c>
      <c r="D312" s="2">
        <v>4.6300000000000001E-2</v>
      </c>
    </row>
    <row r="313" spans="1:4" x14ac:dyDescent="0.25">
      <c r="A313" s="1">
        <v>41618</v>
      </c>
      <c r="B313">
        <v>3.4647632779999999</v>
      </c>
      <c r="C313" s="2">
        <v>-3.9699999999999999E-2</v>
      </c>
      <c r="D313" s="2">
        <v>4.58E-2</v>
      </c>
    </row>
    <row r="314" spans="1:4" x14ac:dyDescent="0.25">
      <c r="A314" s="1">
        <v>41617</v>
      </c>
      <c r="B314">
        <v>3.5044888950000002</v>
      </c>
      <c r="C314" s="2">
        <v>-3.1300000000000001E-2</v>
      </c>
      <c r="D314" s="2">
        <v>4.5600000000000002E-2</v>
      </c>
    </row>
    <row r="315" spans="1:4" x14ac:dyDescent="0.25">
      <c r="A315" s="1">
        <v>41614</v>
      </c>
      <c r="B315">
        <v>3.5357721710000001</v>
      </c>
      <c r="C315" s="2">
        <v>-1.6400000000000001E-2</v>
      </c>
      <c r="D315" s="2">
        <v>4.5600000000000002E-2</v>
      </c>
    </row>
    <row r="316" spans="1:4" x14ac:dyDescent="0.25">
      <c r="A316" s="1">
        <v>41613</v>
      </c>
      <c r="B316">
        <v>3.552129361</v>
      </c>
      <c r="C316" s="2">
        <v>1.4200000000000001E-2</v>
      </c>
      <c r="D316" s="2">
        <v>4.6199999999999998E-2</v>
      </c>
    </row>
    <row r="317" spans="1:4" x14ac:dyDescent="0.25">
      <c r="A317" s="1">
        <v>41612</v>
      </c>
      <c r="B317">
        <v>3.5379611980000001</v>
      </c>
      <c r="C317" s="2">
        <v>5.5899999999999998E-2</v>
      </c>
      <c r="D317" s="2">
        <v>4.7E-2</v>
      </c>
    </row>
    <row r="318" spans="1:4" x14ac:dyDescent="0.25">
      <c r="A318" s="1">
        <v>41611</v>
      </c>
      <c r="B318">
        <v>3.4820134459999998</v>
      </c>
      <c r="C318" s="2">
        <v>-8.0000000000000004E-4</v>
      </c>
      <c r="D318" s="2">
        <v>4.7E-2</v>
      </c>
    </row>
    <row r="319" spans="1:4" x14ac:dyDescent="0.25">
      <c r="A319" s="1">
        <v>41610</v>
      </c>
      <c r="B319">
        <v>3.4827849350000002</v>
      </c>
      <c r="C319" s="2">
        <v>6.7599999999999993E-2</v>
      </c>
      <c r="D319" s="2">
        <v>4.9200000000000001E-2</v>
      </c>
    </row>
    <row r="320" spans="1:4" x14ac:dyDescent="0.25">
      <c r="A320" s="1">
        <v>41607</v>
      </c>
      <c r="B320">
        <v>3.4152065149999999</v>
      </c>
      <c r="C320" s="2">
        <v>3.3E-3</v>
      </c>
      <c r="D320" s="2">
        <v>4.9000000000000002E-2</v>
      </c>
    </row>
    <row r="321" spans="1:4" x14ac:dyDescent="0.25">
      <c r="A321" s="1">
        <v>41605</v>
      </c>
      <c r="B321">
        <v>3.4118650289999999</v>
      </c>
      <c r="C321" s="2">
        <v>4.6199999999999998E-2</v>
      </c>
      <c r="D321" s="2">
        <v>5.0900000000000001E-2</v>
      </c>
    </row>
    <row r="322" spans="1:4" x14ac:dyDescent="0.25">
      <c r="A322" s="1">
        <v>41604</v>
      </c>
      <c r="B322">
        <v>3.3656755970000001</v>
      </c>
      <c r="C322" s="2">
        <v>-1.29E-2</v>
      </c>
      <c r="D322" s="2">
        <v>5.0500000000000003E-2</v>
      </c>
    </row>
    <row r="323" spans="1:4" x14ac:dyDescent="0.25">
      <c r="A323" s="1">
        <v>41603</v>
      </c>
      <c r="B323">
        <v>3.3786024669999999</v>
      </c>
      <c r="C323" s="2">
        <v>2E-3</v>
      </c>
      <c r="D323" s="2">
        <v>5.0900000000000001E-2</v>
      </c>
    </row>
    <row r="324" spans="1:4" x14ac:dyDescent="0.25">
      <c r="A324" s="1">
        <v>41600</v>
      </c>
      <c r="B324">
        <v>3.3765717479999999</v>
      </c>
      <c r="C324" s="2">
        <v>-1.37E-2</v>
      </c>
      <c r="D324" s="2">
        <v>5.1700000000000003E-2</v>
      </c>
    </row>
    <row r="325" spans="1:4" x14ac:dyDescent="0.25">
      <c r="A325" s="1">
        <v>41599</v>
      </c>
      <c r="B325">
        <v>3.390224157</v>
      </c>
      <c r="C325" s="2">
        <v>-5.1999999999999998E-3</v>
      </c>
      <c r="D325" s="2">
        <v>5.2400000000000002E-2</v>
      </c>
    </row>
    <row r="326" spans="1:4" x14ac:dyDescent="0.25">
      <c r="A326" s="1">
        <v>41598</v>
      </c>
      <c r="B326">
        <v>3.3953888640000001</v>
      </c>
      <c r="C326" s="2">
        <v>7.0499999999999993E-2</v>
      </c>
      <c r="D326" s="2">
        <v>5.2600000000000001E-2</v>
      </c>
    </row>
    <row r="327" spans="1:4" x14ac:dyDescent="0.25">
      <c r="A327" s="1">
        <v>41597</v>
      </c>
      <c r="B327">
        <v>3.3249162800000001</v>
      </c>
      <c r="C327" s="2">
        <v>3.5700000000000003E-2</v>
      </c>
      <c r="D327" s="2">
        <v>5.3400000000000003E-2</v>
      </c>
    </row>
    <row r="328" spans="1:4" x14ac:dyDescent="0.25">
      <c r="A328" s="1">
        <v>41596</v>
      </c>
      <c r="B328">
        <v>3.2892170950000001</v>
      </c>
      <c r="C328" s="2">
        <v>-3.8300000000000001E-2</v>
      </c>
      <c r="D328" s="2">
        <v>5.3400000000000003E-2</v>
      </c>
    </row>
    <row r="329" spans="1:4" x14ac:dyDescent="0.25">
      <c r="A329" s="1">
        <v>41593</v>
      </c>
      <c r="B329">
        <v>3.3274975260000001</v>
      </c>
      <c r="C329" s="2">
        <v>-6.8999999999999999E-3</v>
      </c>
      <c r="D329" s="2">
        <v>5.3600000000000002E-2</v>
      </c>
    </row>
    <row r="330" spans="1:4" x14ac:dyDescent="0.25">
      <c r="A330" s="1">
        <v>41592</v>
      </c>
      <c r="B330">
        <v>3.3344023229999999</v>
      </c>
      <c r="C330" s="2">
        <v>-5.1900000000000002E-2</v>
      </c>
      <c r="D330" s="2">
        <v>5.45E-2</v>
      </c>
    </row>
    <row r="331" spans="1:4" x14ac:dyDescent="0.25">
      <c r="A331" s="1">
        <v>41591</v>
      </c>
      <c r="B331">
        <v>3.3863287909999999</v>
      </c>
      <c r="C331" s="2">
        <v>-3.7600000000000001E-2</v>
      </c>
      <c r="D331" s="2">
        <v>5.5199999999999999E-2</v>
      </c>
    </row>
    <row r="332" spans="1:4" x14ac:dyDescent="0.25">
      <c r="A332" s="1">
        <v>41590</v>
      </c>
      <c r="B332">
        <v>3.4239423640000002</v>
      </c>
      <c r="C332" s="2">
        <v>5.4000000000000003E-3</v>
      </c>
      <c r="D332" s="2">
        <v>5.6399999999999999E-2</v>
      </c>
    </row>
    <row r="333" spans="1:4" x14ac:dyDescent="0.25">
      <c r="A333" s="1">
        <v>41586</v>
      </c>
      <c r="B333">
        <v>3.4185329480000002</v>
      </c>
      <c r="C333" s="2">
        <v>0.127</v>
      </c>
      <c r="D333" s="2">
        <v>5.6899999999999999E-2</v>
      </c>
    </row>
    <row r="334" spans="1:4" x14ac:dyDescent="0.25">
      <c r="A334" s="1">
        <v>41585</v>
      </c>
      <c r="B334">
        <v>3.2915305730000002</v>
      </c>
      <c r="C334" s="2">
        <v>-8.2000000000000007E-3</v>
      </c>
      <c r="D334" s="2">
        <v>5.4399999999999997E-2</v>
      </c>
    </row>
    <row r="335" spans="1:4" x14ac:dyDescent="0.25">
      <c r="A335" s="1">
        <v>41584</v>
      </c>
      <c r="B335">
        <v>3.2997347910000001</v>
      </c>
      <c r="C335" s="2">
        <v>-1.23E-2</v>
      </c>
      <c r="D335" s="2">
        <v>5.6099999999999997E-2</v>
      </c>
    </row>
    <row r="336" spans="1:4" x14ac:dyDescent="0.25">
      <c r="A336" s="1">
        <v>41583</v>
      </c>
      <c r="B336">
        <v>3.3120088079999999</v>
      </c>
      <c r="C336" s="2">
        <v>7.3300000000000004E-2</v>
      </c>
      <c r="D336" s="2">
        <v>5.6099999999999997E-2</v>
      </c>
    </row>
    <row r="337" spans="1:4" x14ac:dyDescent="0.25">
      <c r="A337" s="1">
        <v>41582</v>
      </c>
      <c r="B337">
        <v>3.2387584519999999</v>
      </c>
      <c r="C337" s="2">
        <v>-2.0500000000000001E-2</v>
      </c>
      <c r="D337" s="2">
        <v>5.5300000000000002E-2</v>
      </c>
    </row>
    <row r="338" spans="1:4" x14ac:dyDescent="0.25">
      <c r="A338" s="1">
        <v>41579</v>
      </c>
      <c r="B338">
        <v>3.259283092</v>
      </c>
      <c r="C338" s="2">
        <v>7.8899999999999998E-2</v>
      </c>
      <c r="D338" s="2">
        <v>5.5399999999999998E-2</v>
      </c>
    </row>
    <row r="339" spans="1:4" x14ac:dyDescent="0.25">
      <c r="A339" s="1">
        <v>41578</v>
      </c>
      <c r="B339">
        <v>3.180356588</v>
      </c>
      <c r="C339" s="2">
        <v>1.9199999999999998E-2</v>
      </c>
      <c r="D339" s="2">
        <v>5.45E-2</v>
      </c>
    </row>
    <row r="340" spans="1:4" x14ac:dyDescent="0.25">
      <c r="A340" s="1">
        <v>41577</v>
      </c>
      <c r="B340">
        <v>3.1611386440000002</v>
      </c>
      <c r="C340" s="2">
        <v>6.7999999999999996E-3</v>
      </c>
      <c r="D340" s="2">
        <v>5.45E-2</v>
      </c>
    </row>
    <row r="341" spans="1:4" x14ac:dyDescent="0.25">
      <c r="A341" s="1">
        <v>41576</v>
      </c>
      <c r="B341">
        <v>3.154323744</v>
      </c>
      <c r="C341" s="2">
        <v>-5.0000000000000001E-3</v>
      </c>
      <c r="D341" s="2">
        <v>5.45E-2</v>
      </c>
    </row>
    <row r="342" spans="1:4" x14ac:dyDescent="0.25">
      <c r="A342" s="1">
        <v>41575</v>
      </c>
      <c r="B342">
        <v>3.1593236619999998</v>
      </c>
      <c r="C342" s="2">
        <v>7.1999999999999998E-3</v>
      </c>
      <c r="D342" s="2">
        <v>5.6899999999999999E-2</v>
      </c>
    </row>
    <row r="343" spans="1:4" x14ac:dyDescent="0.25">
      <c r="A343" s="1">
        <v>41572</v>
      </c>
      <c r="B343">
        <v>3.1521212859999999</v>
      </c>
      <c r="C343" s="2">
        <v>-2.5100000000000001E-2</v>
      </c>
      <c r="D343" s="2">
        <v>5.9299999999999999E-2</v>
      </c>
    </row>
    <row r="344" spans="1:4" x14ac:dyDescent="0.25">
      <c r="A344" s="1">
        <v>41571</v>
      </c>
      <c r="B344">
        <v>3.1772287210000001</v>
      </c>
      <c r="C344" s="2">
        <v>2.3099999999999999E-2</v>
      </c>
      <c r="D344" s="2">
        <v>5.9200000000000003E-2</v>
      </c>
    </row>
    <row r="345" spans="1:4" x14ac:dyDescent="0.25">
      <c r="A345" s="1">
        <v>41570</v>
      </c>
      <c r="B345">
        <v>3.1541714939999999</v>
      </c>
      <c r="C345" s="2">
        <v>-2.9499999999999998E-2</v>
      </c>
      <c r="D345" s="2">
        <v>5.9200000000000003E-2</v>
      </c>
    </row>
    <row r="346" spans="1:4" x14ac:dyDescent="0.25">
      <c r="A346" s="1">
        <v>41569</v>
      </c>
      <c r="B346">
        <v>3.1836596460000002</v>
      </c>
      <c r="C346" s="2">
        <v>-9.7299999999999998E-2</v>
      </c>
      <c r="D346" s="2">
        <v>5.9200000000000003E-2</v>
      </c>
    </row>
    <row r="347" spans="1:4" x14ac:dyDescent="0.25">
      <c r="A347" s="1">
        <v>41568</v>
      </c>
      <c r="B347">
        <v>3.280953351</v>
      </c>
      <c r="C347" s="2">
        <v>2.24E-2</v>
      </c>
      <c r="D347" s="2">
        <v>5.8200000000000002E-2</v>
      </c>
    </row>
    <row r="348" spans="1:4" x14ac:dyDescent="0.25">
      <c r="A348" s="1">
        <v>41565</v>
      </c>
      <c r="B348">
        <v>3.258567572</v>
      </c>
      <c r="C348" s="2">
        <v>4.0000000000000001E-3</v>
      </c>
      <c r="D348" s="2">
        <v>5.8099999999999999E-2</v>
      </c>
    </row>
    <row r="349" spans="1:4" x14ac:dyDescent="0.25">
      <c r="A349" s="1">
        <v>41564</v>
      </c>
      <c r="B349">
        <v>3.254614911</v>
      </c>
      <c r="C349" s="2">
        <v>-9.0700000000000003E-2</v>
      </c>
      <c r="D349" s="2">
        <v>5.8799999999999998E-2</v>
      </c>
    </row>
    <row r="350" spans="1:4" x14ac:dyDescent="0.25">
      <c r="A350" s="1">
        <v>41563</v>
      </c>
      <c r="B350">
        <v>3.345330363</v>
      </c>
      <c r="C350" s="2">
        <v>-4.4400000000000002E-2</v>
      </c>
      <c r="D350" s="2">
        <v>5.7799999999999997E-2</v>
      </c>
    </row>
    <row r="351" spans="1:4" x14ac:dyDescent="0.25">
      <c r="A351" s="1">
        <v>41562</v>
      </c>
      <c r="B351">
        <v>3.3897329960000002</v>
      </c>
      <c r="C351" s="2">
        <v>4.0899999999999999E-2</v>
      </c>
      <c r="D351" s="2">
        <v>5.7599999999999998E-2</v>
      </c>
    </row>
    <row r="352" spans="1:4" x14ac:dyDescent="0.25">
      <c r="A352" s="1">
        <v>41558</v>
      </c>
      <c r="B352">
        <v>3.3488826949999999</v>
      </c>
      <c r="C352" s="2">
        <v>3.0000000000000001E-3</v>
      </c>
      <c r="D352" s="2">
        <v>5.7799999999999997E-2</v>
      </c>
    </row>
    <row r="353" spans="1:4" x14ac:dyDescent="0.25">
      <c r="A353" s="1">
        <v>41557</v>
      </c>
      <c r="B353">
        <v>3.3459270719999998</v>
      </c>
      <c r="C353" s="2">
        <v>1.47E-2</v>
      </c>
      <c r="D353" s="2">
        <v>5.8099999999999999E-2</v>
      </c>
    </row>
    <row r="354" spans="1:4" x14ac:dyDescent="0.25">
      <c r="A354" s="1">
        <v>41556</v>
      </c>
      <c r="B354">
        <v>3.3312145700000002</v>
      </c>
      <c r="C354" s="2">
        <v>2.2000000000000001E-3</v>
      </c>
      <c r="D354" s="2">
        <v>5.8400000000000001E-2</v>
      </c>
    </row>
    <row r="355" spans="1:4" x14ac:dyDescent="0.25">
      <c r="A355" s="1">
        <v>41555</v>
      </c>
      <c r="B355">
        <v>3.3290054109999998</v>
      </c>
      <c r="C355" s="2">
        <v>1.38E-2</v>
      </c>
      <c r="D355" s="2">
        <v>5.8400000000000001E-2</v>
      </c>
    </row>
    <row r="356" spans="1:4" x14ac:dyDescent="0.25">
      <c r="A356" s="1">
        <v>41554</v>
      </c>
      <c r="B356">
        <v>3.3152163429999999</v>
      </c>
      <c r="C356" s="2">
        <v>8.0000000000000004E-4</v>
      </c>
      <c r="D356" s="2">
        <v>5.8999999999999997E-2</v>
      </c>
    </row>
    <row r="357" spans="1:4" x14ac:dyDescent="0.25">
      <c r="A357" s="1">
        <v>41551</v>
      </c>
      <c r="B357">
        <v>3.314390462</v>
      </c>
      <c r="C357" s="2">
        <v>2.93E-2</v>
      </c>
      <c r="D357" s="2">
        <v>5.91E-2</v>
      </c>
    </row>
    <row r="358" spans="1:4" x14ac:dyDescent="0.25">
      <c r="A358" s="1">
        <v>41550</v>
      </c>
      <c r="B358">
        <v>3.2850779330000002</v>
      </c>
      <c r="C358" s="2">
        <v>-2.2800000000000001E-2</v>
      </c>
      <c r="D358" s="2">
        <v>6.0699999999999997E-2</v>
      </c>
    </row>
    <row r="359" spans="1:4" x14ac:dyDescent="0.25">
      <c r="A359" s="1">
        <v>41549</v>
      </c>
      <c r="B359">
        <v>3.3078730300000001</v>
      </c>
      <c r="C359" s="2">
        <v>-7.6E-3</v>
      </c>
      <c r="D359" s="2">
        <v>6.2100000000000002E-2</v>
      </c>
    </row>
    <row r="360" spans="1:4" x14ac:dyDescent="0.25">
      <c r="A360" s="1">
        <v>41548</v>
      </c>
      <c r="B360">
        <v>3.3154421329999999</v>
      </c>
      <c r="C360" s="2">
        <v>2.0199999999999999E-2</v>
      </c>
      <c r="D360" s="2">
        <v>6.25E-2</v>
      </c>
    </row>
    <row r="361" spans="1:4" x14ac:dyDescent="0.25">
      <c r="A361" s="1">
        <v>41547</v>
      </c>
      <c r="B361">
        <v>3.2952489840000001</v>
      </c>
      <c r="C361" s="2">
        <v>4.0000000000000002E-4</v>
      </c>
      <c r="D361" s="2">
        <v>6.4399999999999999E-2</v>
      </c>
    </row>
    <row r="362" spans="1:4" x14ac:dyDescent="0.25">
      <c r="A362" s="1">
        <v>41544</v>
      </c>
      <c r="B362">
        <v>3.294887122</v>
      </c>
      <c r="C362" s="2">
        <v>-2.8500000000000001E-2</v>
      </c>
      <c r="D362" s="2">
        <v>7.5899999999999995E-2</v>
      </c>
    </row>
    <row r="363" spans="1:4" x14ac:dyDescent="0.25">
      <c r="A363" s="1">
        <v>41543</v>
      </c>
      <c r="B363">
        <v>3.3233487720000001</v>
      </c>
      <c r="C363" s="2">
        <v>2.7199999999999998E-2</v>
      </c>
      <c r="D363" s="2">
        <v>7.6200000000000004E-2</v>
      </c>
    </row>
    <row r="364" spans="1:4" x14ac:dyDescent="0.25">
      <c r="A364" s="1">
        <v>41542</v>
      </c>
      <c r="B364">
        <v>3.2961562020000001</v>
      </c>
      <c r="C364" s="2">
        <v>-4.4499999999999998E-2</v>
      </c>
      <c r="D364" s="2">
        <v>7.6100000000000001E-2</v>
      </c>
    </row>
    <row r="365" spans="1:4" x14ac:dyDescent="0.25">
      <c r="A365" s="1">
        <v>41541</v>
      </c>
      <c r="B365">
        <v>3.340691954</v>
      </c>
      <c r="C365" s="2">
        <v>-6.2199999999999998E-2</v>
      </c>
      <c r="D365" s="2">
        <v>7.5899999999999995E-2</v>
      </c>
    </row>
    <row r="366" spans="1:4" x14ac:dyDescent="0.25">
      <c r="A366" s="1">
        <v>41540</v>
      </c>
      <c r="B366">
        <v>3.4029034600000001</v>
      </c>
      <c r="C366" s="2">
        <v>-2.87E-2</v>
      </c>
      <c r="D366" s="2">
        <v>7.5499999999999998E-2</v>
      </c>
    </row>
    <row r="367" spans="1:4" x14ac:dyDescent="0.25">
      <c r="A367" s="1">
        <v>41537</v>
      </c>
      <c r="B367">
        <v>3.4316077389999999</v>
      </c>
      <c r="C367" s="2">
        <v>8.0999999999999996E-3</v>
      </c>
      <c r="D367" s="2">
        <v>7.7100000000000002E-2</v>
      </c>
    </row>
    <row r="368" spans="1:4" x14ac:dyDescent="0.25">
      <c r="A368" s="1">
        <v>41536</v>
      </c>
      <c r="B368">
        <v>3.42348147</v>
      </c>
      <c r="C368" s="2">
        <v>1.9400000000000001E-2</v>
      </c>
      <c r="D368" s="2">
        <v>7.7399999999999997E-2</v>
      </c>
    </row>
    <row r="369" spans="1:4" x14ac:dyDescent="0.25">
      <c r="A369" s="1">
        <v>41535</v>
      </c>
      <c r="B369">
        <v>3.404107518</v>
      </c>
      <c r="C369" s="2">
        <v>-0.1822</v>
      </c>
      <c r="D369" s="2">
        <v>7.7299999999999994E-2</v>
      </c>
    </row>
    <row r="370" spans="1:4" x14ac:dyDescent="0.25">
      <c r="A370" s="1">
        <v>41534</v>
      </c>
      <c r="B370">
        <v>3.5862960099999999</v>
      </c>
      <c r="C370" s="2">
        <v>-1.8700000000000001E-2</v>
      </c>
      <c r="D370" s="2">
        <v>7.3899999999999993E-2</v>
      </c>
    </row>
    <row r="371" spans="1:4" x14ac:dyDescent="0.25">
      <c r="A371" s="1">
        <v>41533</v>
      </c>
      <c r="B371">
        <v>3.6050291040000002</v>
      </c>
      <c r="C371" s="2">
        <v>-4.5699999999999998E-2</v>
      </c>
      <c r="D371" s="2">
        <v>7.6499999999999999E-2</v>
      </c>
    </row>
    <row r="372" spans="1:4" x14ac:dyDescent="0.25">
      <c r="A372" s="1">
        <v>41530</v>
      </c>
      <c r="B372">
        <v>3.6507335940000001</v>
      </c>
      <c r="C372" s="2">
        <v>-1.5599999999999999E-2</v>
      </c>
      <c r="D372" s="2">
        <v>7.8299999999999995E-2</v>
      </c>
    </row>
    <row r="373" spans="1:4" x14ac:dyDescent="0.25">
      <c r="A373" s="1">
        <v>41529</v>
      </c>
      <c r="B373">
        <v>3.6662950350000001</v>
      </c>
      <c r="C373" s="2">
        <v>-8.9999999999999998E-4</v>
      </c>
      <c r="D373" s="2">
        <v>8.0199999999999994E-2</v>
      </c>
    </row>
    <row r="374" spans="1:4" x14ac:dyDescent="0.25">
      <c r="A374" s="1">
        <v>41528</v>
      </c>
      <c r="B374">
        <v>3.6671792060000001</v>
      </c>
      <c r="C374" s="2">
        <v>-3.5400000000000001E-2</v>
      </c>
      <c r="D374" s="2">
        <v>8.0199999999999994E-2</v>
      </c>
    </row>
    <row r="375" spans="1:4" x14ac:dyDescent="0.25">
      <c r="A375" s="1">
        <v>41527</v>
      </c>
      <c r="B375">
        <v>3.7025570650000001</v>
      </c>
      <c r="C375" s="2">
        <v>5.3100000000000001E-2</v>
      </c>
      <c r="D375" s="2">
        <v>8.0100000000000005E-2</v>
      </c>
    </row>
    <row r="376" spans="1:4" x14ac:dyDescent="0.25">
      <c r="A376" s="1">
        <v>41526</v>
      </c>
      <c r="B376">
        <v>3.649491732</v>
      </c>
      <c r="C376" s="2">
        <v>-7.17E-2</v>
      </c>
      <c r="D376" s="2">
        <v>8.0199999999999994E-2</v>
      </c>
    </row>
    <row r="377" spans="1:4" x14ac:dyDescent="0.25">
      <c r="A377" s="1">
        <v>41523</v>
      </c>
      <c r="B377">
        <v>3.7212376859999998</v>
      </c>
      <c r="C377" s="2">
        <v>-6.5500000000000003E-2</v>
      </c>
      <c r="D377" s="2">
        <v>7.9799999999999996E-2</v>
      </c>
    </row>
    <row r="378" spans="1:4" x14ac:dyDescent="0.25">
      <c r="A378" s="1">
        <v>41522</v>
      </c>
      <c r="B378">
        <v>3.7866951059999998</v>
      </c>
      <c r="C378" s="2">
        <v>0.1071</v>
      </c>
      <c r="D378" s="2">
        <v>7.9200000000000007E-2</v>
      </c>
    </row>
    <row r="379" spans="1:4" x14ac:dyDescent="0.25">
      <c r="A379" s="1">
        <v>41521</v>
      </c>
      <c r="B379">
        <v>3.6795741620000002</v>
      </c>
      <c r="C379" s="2">
        <v>5.6500000000000002E-2</v>
      </c>
      <c r="D379" s="2">
        <v>7.8399999999999997E-2</v>
      </c>
    </row>
    <row r="380" spans="1:4" x14ac:dyDescent="0.25">
      <c r="A380" s="1">
        <v>41520</v>
      </c>
      <c r="B380">
        <v>3.6230343629999999</v>
      </c>
      <c r="C380" s="2">
        <v>0.10489999999999999</v>
      </c>
      <c r="D380" s="2">
        <v>7.8200000000000006E-2</v>
      </c>
    </row>
    <row r="381" spans="1:4" x14ac:dyDescent="0.25">
      <c r="A381" s="1">
        <v>41516</v>
      </c>
      <c r="B381">
        <v>3.518108287</v>
      </c>
      <c r="C381" s="2">
        <v>1.6999999999999999E-3</v>
      </c>
      <c r="D381" s="2">
        <v>7.7399999999999997E-2</v>
      </c>
    </row>
    <row r="382" spans="1:4" x14ac:dyDescent="0.25">
      <c r="A382" s="1">
        <v>41515</v>
      </c>
      <c r="B382">
        <v>3.5163998209999998</v>
      </c>
      <c r="C382" s="2">
        <v>-4.8099999999999997E-2</v>
      </c>
      <c r="D382" s="2">
        <v>7.7700000000000005E-2</v>
      </c>
    </row>
    <row r="383" spans="1:4" x14ac:dyDescent="0.25">
      <c r="A383" s="1">
        <v>41514</v>
      </c>
      <c r="B383">
        <v>3.564521563</v>
      </c>
      <c r="C383" s="2">
        <v>6.9500000000000006E-2</v>
      </c>
      <c r="D383" s="2">
        <v>7.7399999999999997E-2</v>
      </c>
    </row>
    <row r="384" spans="1:4" x14ac:dyDescent="0.25">
      <c r="A384" s="1">
        <v>41513</v>
      </c>
      <c r="B384">
        <v>3.4950120679999999</v>
      </c>
      <c r="C384" s="2">
        <v>-6.9900000000000004E-2</v>
      </c>
      <c r="D384" s="2">
        <v>7.6999999999999999E-2</v>
      </c>
    </row>
    <row r="385" spans="1:4" x14ac:dyDescent="0.25">
      <c r="A385" s="1">
        <v>41512</v>
      </c>
      <c r="B385">
        <v>3.5649427409999999</v>
      </c>
      <c r="C385" s="2">
        <v>-3.6499999999999998E-2</v>
      </c>
      <c r="D385" s="2">
        <v>7.6300000000000007E-2</v>
      </c>
    </row>
    <row r="386" spans="1:4" x14ac:dyDescent="0.25">
      <c r="A386" s="1">
        <v>41509</v>
      </c>
      <c r="B386">
        <v>3.601459175</v>
      </c>
      <c r="C386" s="2">
        <v>-0.1087</v>
      </c>
      <c r="D386" s="2">
        <v>7.6300000000000007E-2</v>
      </c>
    </row>
    <row r="387" spans="1:4" x14ac:dyDescent="0.25">
      <c r="A387" s="1">
        <v>41508</v>
      </c>
      <c r="B387">
        <v>3.7101937920000001</v>
      </c>
      <c r="C387" s="2">
        <v>3.5499999999999997E-2</v>
      </c>
      <c r="D387" s="2">
        <v>7.4700000000000003E-2</v>
      </c>
    </row>
    <row r="388" spans="1:4" x14ac:dyDescent="0.25">
      <c r="A388" s="1">
        <v>41507</v>
      </c>
      <c r="B388">
        <v>3.6746442969999999</v>
      </c>
      <c r="C388" s="2">
        <v>4.3999999999999997E-2</v>
      </c>
      <c r="D388" s="2">
        <v>7.4800000000000005E-2</v>
      </c>
    </row>
    <row r="389" spans="1:4" x14ac:dyDescent="0.25">
      <c r="A389" s="1">
        <v>41506</v>
      </c>
      <c r="B389">
        <v>3.630683034</v>
      </c>
      <c r="C389" s="2">
        <v>-8.0399999999999999E-2</v>
      </c>
      <c r="D389" s="2">
        <v>7.6200000000000004E-2</v>
      </c>
    </row>
    <row r="390" spans="1:4" x14ac:dyDescent="0.25">
      <c r="A390" s="1">
        <v>41505</v>
      </c>
      <c r="B390">
        <v>3.7110478410000001</v>
      </c>
      <c r="C390" s="2">
        <v>7.6799999999999993E-2</v>
      </c>
      <c r="D390" s="2">
        <v>7.5300000000000006E-2</v>
      </c>
    </row>
    <row r="391" spans="1:4" x14ac:dyDescent="0.25">
      <c r="A391" s="1">
        <v>41502</v>
      </c>
      <c r="B391">
        <v>3.634228528</v>
      </c>
      <c r="C391" s="2">
        <v>9.1800000000000007E-2</v>
      </c>
      <c r="D391" s="2">
        <v>7.4899999999999994E-2</v>
      </c>
    </row>
    <row r="392" spans="1:4" x14ac:dyDescent="0.25">
      <c r="A392" s="1">
        <v>41501</v>
      </c>
      <c r="B392">
        <v>3.5424603239999999</v>
      </c>
      <c r="C392" s="2">
        <v>5.8400000000000001E-2</v>
      </c>
      <c r="D392" s="2">
        <v>7.5600000000000001E-2</v>
      </c>
    </row>
    <row r="393" spans="1:4" x14ac:dyDescent="0.25">
      <c r="A393" s="1">
        <v>41500</v>
      </c>
      <c r="B393">
        <v>3.4840884879999998</v>
      </c>
      <c r="C393" s="2">
        <v>-2.5000000000000001E-3</v>
      </c>
      <c r="D393" s="2">
        <v>7.5800000000000006E-2</v>
      </c>
    </row>
    <row r="394" spans="1:4" x14ac:dyDescent="0.25">
      <c r="A394" s="1">
        <v>41499</v>
      </c>
      <c r="B394">
        <v>3.4865976989999998</v>
      </c>
      <c r="C394" s="2">
        <v>0.1027</v>
      </c>
      <c r="D394" s="2">
        <v>7.5800000000000006E-2</v>
      </c>
    </row>
    <row r="395" spans="1:4" x14ac:dyDescent="0.25">
      <c r="A395" s="1">
        <v>41498</v>
      </c>
      <c r="B395">
        <v>3.3838838999999998</v>
      </c>
      <c r="C395" s="2">
        <v>1.9900000000000001E-2</v>
      </c>
      <c r="D395" s="2">
        <v>7.6200000000000004E-2</v>
      </c>
    </row>
    <row r="396" spans="1:4" x14ac:dyDescent="0.25">
      <c r="A396" s="1">
        <v>41495</v>
      </c>
      <c r="B396">
        <v>3.363950913</v>
      </c>
      <c r="C396" s="2">
        <v>-1.7500000000000002E-2</v>
      </c>
      <c r="D396" s="2">
        <v>7.7499999999999999E-2</v>
      </c>
    </row>
    <row r="397" spans="1:4" x14ac:dyDescent="0.25">
      <c r="A397" s="1">
        <v>41494</v>
      </c>
      <c r="B397">
        <v>3.381487903</v>
      </c>
      <c r="C397" s="2">
        <v>-2.8000000000000001E-2</v>
      </c>
      <c r="D397" s="2">
        <v>7.7399999999999997E-2</v>
      </c>
    </row>
    <row r="398" spans="1:4" x14ac:dyDescent="0.25">
      <c r="A398" s="1">
        <v>41493</v>
      </c>
      <c r="B398">
        <v>3.4095293469999999</v>
      </c>
      <c r="C398" s="2">
        <v>-3.3599999999999998E-2</v>
      </c>
      <c r="D398" s="2">
        <v>7.7399999999999997E-2</v>
      </c>
    </row>
    <row r="399" spans="1:4" x14ac:dyDescent="0.25">
      <c r="A399" s="1">
        <v>41492</v>
      </c>
      <c r="B399">
        <v>3.4430869369999999</v>
      </c>
      <c r="C399" s="2">
        <v>2.53E-2</v>
      </c>
      <c r="D399" s="2">
        <v>7.7200000000000005E-2</v>
      </c>
    </row>
    <row r="400" spans="1:4" x14ac:dyDescent="0.25">
      <c r="A400" s="1">
        <v>41491</v>
      </c>
      <c r="B400">
        <v>3.4178117989999999</v>
      </c>
      <c r="C400" s="2">
        <v>1.4200000000000001E-2</v>
      </c>
      <c r="D400" s="2">
        <v>7.7799999999999994E-2</v>
      </c>
    </row>
    <row r="401" spans="1:4" x14ac:dyDescent="0.25">
      <c r="A401" s="1">
        <v>41488</v>
      </c>
      <c r="B401">
        <v>3.403566251</v>
      </c>
      <c r="C401" s="2">
        <v>-0.1293</v>
      </c>
      <c r="D401" s="2">
        <v>7.7799999999999994E-2</v>
      </c>
    </row>
    <row r="402" spans="1:4" x14ac:dyDescent="0.25">
      <c r="A402" s="1">
        <v>41487</v>
      </c>
      <c r="B402">
        <v>3.5328707549999998</v>
      </c>
      <c r="C402" s="2">
        <v>0.12330000000000001</v>
      </c>
      <c r="D402" s="2">
        <v>7.5600000000000001E-2</v>
      </c>
    </row>
    <row r="403" spans="1:4" x14ac:dyDescent="0.25">
      <c r="A403" s="1">
        <v>41486</v>
      </c>
      <c r="B403">
        <v>3.4095392659999999</v>
      </c>
      <c r="C403" s="2">
        <v>-1.9099999999999999E-2</v>
      </c>
      <c r="D403" s="2">
        <v>7.4300000000000005E-2</v>
      </c>
    </row>
    <row r="404" spans="1:4" x14ac:dyDescent="0.25">
      <c r="A404" s="1">
        <v>41485</v>
      </c>
      <c r="B404">
        <v>3.4285967570000002</v>
      </c>
      <c r="C404" s="2">
        <v>2.2499999999999999E-2</v>
      </c>
      <c r="D404" s="2">
        <v>7.4099999999999999E-2</v>
      </c>
    </row>
    <row r="405" spans="1:4" x14ac:dyDescent="0.25">
      <c r="A405" s="1">
        <v>41484</v>
      </c>
      <c r="B405">
        <v>3.4061464309999998</v>
      </c>
      <c r="C405" s="2">
        <v>1.0800000000000001E-2</v>
      </c>
      <c r="D405" s="2">
        <v>7.5200000000000003E-2</v>
      </c>
    </row>
    <row r="406" spans="1:4" x14ac:dyDescent="0.25">
      <c r="A406" s="1">
        <v>41481</v>
      </c>
      <c r="B406">
        <v>3.395320608</v>
      </c>
      <c r="C406" s="2">
        <v>-4.5499999999999999E-2</v>
      </c>
      <c r="D406" s="2">
        <v>7.5200000000000003E-2</v>
      </c>
    </row>
    <row r="407" spans="1:4" x14ac:dyDescent="0.25">
      <c r="A407" s="1">
        <v>41480</v>
      </c>
      <c r="B407">
        <v>3.4407863920000001</v>
      </c>
      <c r="C407" s="2">
        <v>1.11E-2</v>
      </c>
      <c r="D407" s="2">
        <v>7.5200000000000003E-2</v>
      </c>
    </row>
    <row r="408" spans="1:4" x14ac:dyDescent="0.25">
      <c r="A408" s="1">
        <v>41479</v>
      </c>
      <c r="B408">
        <v>3.429675595</v>
      </c>
      <c r="C408" s="2">
        <v>6.5799999999999997E-2</v>
      </c>
      <c r="D408" s="2">
        <v>7.5300000000000006E-2</v>
      </c>
    </row>
    <row r="409" spans="1:4" x14ac:dyDescent="0.25">
      <c r="A409" s="1">
        <v>41478</v>
      </c>
      <c r="B409">
        <v>3.363905054</v>
      </c>
      <c r="C409" s="2">
        <v>4.1799999999999997E-2</v>
      </c>
      <c r="D409" s="2">
        <v>7.51E-2</v>
      </c>
    </row>
    <row r="410" spans="1:4" x14ac:dyDescent="0.25">
      <c r="A410" s="1">
        <v>41477</v>
      </c>
      <c r="B410">
        <v>3.3220828710000001</v>
      </c>
      <c r="C410" s="2">
        <v>-9.2999999999999992E-3</v>
      </c>
      <c r="D410" s="2">
        <v>7.5600000000000001E-2</v>
      </c>
    </row>
    <row r="411" spans="1:4" x14ac:dyDescent="0.25">
      <c r="A411" s="1">
        <v>41474</v>
      </c>
      <c r="B411">
        <v>3.3313912760000002</v>
      </c>
      <c r="C411" s="2">
        <v>-5.7500000000000002E-2</v>
      </c>
      <c r="D411" s="2">
        <v>7.5499999999999998E-2</v>
      </c>
    </row>
    <row r="412" spans="1:4" x14ac:dyDescent="0.25">
      <c r="A412" s="1">
        <v>41473</v>
      </c>
      <c r="B412">
        <v>3.3888475580000001</v>
      </c>
      <c r="C412" s="2">
        <v>4.4999999999999998E-2</v>
      </c>
      <c r="D412" s="2">
        <v>7.4999999999999997E-2</v>
      </c>
    </row>
    <row r="413" spans="1:4" x14ac:dyDescent="0.25">
      <c r="A413" s="1">
        <v>41472</v>
      </c>
      <c r="B413">
        <v>3.343865836</v>
      </c>
      <c r="C413" s="2">
        <v>-4.7600000000000003E-2</v>
      </c>
      <c r="D413" s="2">
        <v>7.4899999999999994E-2</v>
      </c>
    </row>
    <row r="414" spans="1:4" x14ac:dyDescent="0.25">
      <c r="A414" s="1">
        <v>41471</v>
      </c>
      <c r="B414">
        <v>3.3914708519999999</v>
      </c>
      <c r="C414" s="2">
        <v>-1.3599999999999999E-2</v>
      </c>
      <c r="D414" s="2">
        <v>7.4499999999999997E-2</v>
      </c>
    </row>
    <row r="415" spans="1:4" x14ac:dyDescent="0.25">
      <c r="A415" s="1">
        <v>41470</v>
      </c>
      <c r="B415">
        <v>3.4050328589999999</v>
      </c>
      <c r="C415" s="2">
        <v>-6.9800000000000001E-2</v>
      </c>
      <c r="D415" s="2">
        <v>7.4399999999999994E-2</v>
      </c>
    </row>
    <row r="416" spans="1:4" x14ac:dyDescent="0.25">
      <c r="A416" s="1">
        <v>41467</v>
      </c>
      <c r="B416">
        <v>3.4748173659999999</v>
      </c>
      <c r="C416" s="2">
        <v>6.7999999999999996E-3</v>
      </c>
      <c r="D416" s="2">
        <v>7.3700000000000002E-2</v>
      </c>
    </row>
    <row r="417" spans="1:4" x14ac:dyDescent="0.25">
      <c r="A417" s="1">
        <v>41466</v>
      </c>
      <c r="B417">
        <v>3.4679725509999999</v>
      </c>
      <c r="C417" s="2">
        <v>-0.1174</v>
      </c>
      <c r="D417" s="2">
        <v>7.3800000000000004E-2</v>
      </c>
    </row>
    <row r="418" spans="1:4" x14ac:dyDescent="0.25">
      <c r="A418" s="1">
        <v>41465</v>
      </c>
      <c r="B418">
        <v>3.5853720579999999</v>
      </c>
      <c r="C418" s="2">
        <v>9.74E-2</v>
      </c>
      <c r="D418" s="2">
        <v>7.1599999999999997E-2</v>
      </c>
    </row>
    <row r="419" spans="1:4" x14ac:dyDescent="0.25">
      <c r="A419" s="1">
        <v>41464</v>
      </c>
      <c r="B419">
        <v>3.4880159979999998</v>
      </c>
      <c r="C419" s="2">
        <v>-5.6599999999999998E-2</v>
      </c>
      <c r="D419" s="2">
        <v>7.1099999999999997E-2</v>
      </c>
    </row>
    <row r="420" spans="1:4" x14ac:dyDescent="0.25">
      <c r="A420" s="1">
        <v>41463</v>
      </c>
      <c r="B420">
        <v>3.5446391610000001</v>
      </c>
      <c r="C420" s="2">
        <v>-0.12859999999999999</v>
      </c>
      <c r="D420" s="2">
        <v>7.1199999999999999E-2</v>
      </c>
    </row>
    <row r="421" spans="1:4" x14ac:dyDescent="0.25">
      <c r="A421" s="1">
        <v>41460</v>
      </c>
      <c r="B421">
        <v>3.6732513529999999</v>
      </c>
      <c r="C421" s="2">
        <v>0.30430000000000001</v>
      </c>
      <c r="D421" s="2">
        <v>6.8900000000000003E-2</v>
      </c>
    </row>
    <row r="422" spans="1:4" x14ac:dyDescent="0.25">
      <c r="A422" s="1">
        <v>41458</v>
      </c>
      <c r="B422">
        <v>3.3689245040000002</v>
      </c>
      <c r="C422" s="2">
        <v>5.7099999999999998E-2</v>
      </c>
      <c r="D422" s="2">
        <v>5.8000000000000003E-2</v>
      </c>
    </row>
    <row r="423" spans="1:4" x14ac:dyDescent="0.25">
      <c r="A423" s="1">
        <v>41457</v>
      </c>
      <c r="B423">
        <v>3.31181825</v>
      </c>
      <c r="C423" s="2">
        <v>1.3899999999999999E-2</v>
      </c>
      <c r="D423" s="2">
        <v>5.7799999999999997E-2</v>
      </c>
    </row>
    <row r="424" spans="1:4" x14ac:dyDescent="0.25">
      <c r="A424" s="1">
        <v>41456</v>
      </c>
      <c r="B424">
        <v>3.297946177</v>
      </c>
      <c r="C424" s="2">
        <v>-1.15E-2</v>
      </c>
      <c r="D424" s="2">
        <v>5.8099999999999999E-2</v>
      </c>
    </row>
    <row r="425" spans="1:4" x14ac:dyDescent="0.25">
      <c r="A425" s="1">
        <v>41453</v>
      </c>
      <c r="B425">
        <v>3.3094496740000001</v>
      </c>
      <c r="C425" s="2">
        <v>-1.12E-2</v>
      </c>
      <c r="D425" s="2">
        <v>5.8999999999999997E-2</v>
      </c>
    </row>
    <row r="426" spans="1:4" x14ac:dyDescent="0.25">
      <c r="A426" s="1">
        <v>41452</v>
      </c>
      <c r="B426">
        <v>3.3206581310000001</v>
      </c>
      <c r="C426" s="2">
        <v>-0.1221</v>
      </c>
      <c r="D426" s="2">
        <v>6.0100000000000001E-2</v>
      </c>
    </row>
    <row r="427" spans="1:4" x14ac:dyDescent="0.25">
      <c r="A427" s="1">
        <v>41451</v>
      </c>
      <c r="B427">
        <v>3.4427483950000002</v>
      </c>
      <c r="C427" s="2">
        <v>-5.5199999999999999E-2</v>
      </c>
      <c r="D427" s="2">
        <v>5.79E-2</v>
      </c>
    </row>
    <row r="428" spans="1:4" x14ac:dyDescent="0.25">
      <c r="A428" s="1">
        <v>41450</v>
      </c>
      <c r="B428">
        <v>3.497907359</v>
      </c>
      <c r="C428" s="2">
        <v>1.3599999999999999E-2</v>
      </c>
      <c r="D428" s="2">
        <v>5.7200000000000001E-2</v>
      </c>
    </row>
    <row r="429" spans="1:4" x14ac:dyDescent="0.25">
      <c r="A429" s="1">
        <v>41449</v>
      </c>
      <c r="B429">
        <v>3.484282125</v>
      </c>
      <c r="C429" s="2">
        <v>5.5199999999999999E-2</v>
      </c>
      <c r="D429" s="2">
        <v>5.74E-2</v>
      </c>
    </row>
    <row r="430" spans="1:4" x14ac:dyDescent="0.25">
      <c r="A430" s="1">
        <v>41446</v>
      </c>
      <c r="B430">
        <v>3.4290560330000002</v>
      </c>
      <c r="C430" s="2">
        <v>0.15590000000000001</v>
      </c>
      <c r="D430" s="2">
        <v>5.7200000000000001E-2</v>
      </c>
    </row>
    <row r="431" spans="1:4" x14ac:dyDescent="0.25">
      <c r="A431" s="1">
        <v>41445</v>
      </c>
      <c r="B431">
        <v>3.2731873239999998</v>
      </c>
      <c r="C431" s="2">
        <v>0.14580000000000001</v>
      </c>
      <c r="D431" s="2">
        <v>5.4300000000000001E-2</v>
      </c>
    </row>
    <row r="432" spans="1:4" x14ac:dyDescent="0.25">
      <c r="A432" s="1">
        <v>41444</v>
      </c>
      <c r="B432">
        <v>3.1273804100000002</v>
      </c>
      <c r="C432" s="2">
        <v>0.1452</v>
      </c>
      <c r="D432" s="2">
        <v>5.1400000000000001E-2</v>
      </c>
    </row>
    <row r="433" spans="1:4" x14ac:dyDescent="0.25">
      <c r="A433" s="1">
        <v>41443</v>
      </c>
      <c r="B433">
        <v>2.9821306490000001</v>
      </c>
      <c r="C433" s="2">
        <v>-1.6999999999999999E-3</v>
      </c>
      <c r="D433" s="2">
        <v>4.8099999999999997E-2</v>
      </c>
    </row>
    <row r="434" spans="1:4" x14ac:dyDescent="0.25">
      <c r="A434" s="1">
        <v>41442</v>
      </c>
      <c r="B434">
        <v>2.983851831</v>
      </c>
      <c r="C434" s="2">
        <v>5.0999999999999997E-2</v>
      </c>
      <c r="D434" s="2">
        <v>4.8399999999999999E-2</v>
      </c>
    </row>
    <row r="435" spans="1:4" x14ac:dyDescent="0.25">
      <c r="A435" s="1">
        <v>41439</v>
      </c>
      <c r="B435">
        <v>2.932824074</v>
      </c>
      <c r="C435" s="2">
        <v>-3.7699999999999997E-2</v>
      </c>
      <c r="D435" s="2">
        <v>4.8099999999999997E-2</v>
      </c>
    </row>
    <row r="436" spans="1:4" x14ac:dyDescent="0.25">
      <c r="A436" s="1">
        <v>41438</v>
      </c>
      <c r="B436">
        <v>2.9705177159999998</v>
      </c>
      <c r="C436" s="2">
        <v>-4.6800000000000001E-2</v>
      </c>
      <c r="D436" s="2">
        <v>4.8000000000000001E-2</v>
      </c>
    </row>
    <row r="437" spans="1:4" x14ac:dyDescent="0.25">
      <c r="A437" s="1">
        <v>41437</v>
      </c>
      <c r="B437">
        <v>3.0172986000000002</v>
      </c>
      <c r="C437" s="2">
        <v>2.87E-2</v>
      </c>
      <c r="D437" s="2">
        <v>4.7699999999999999E-2</v>
      </c>
    </row>
    <row r="438" spans="1:4" x14ac:dyDescent="0.25">
      <c r="A438" s="1">
        <v>41436</v>
      </c>
      <c r="B438">
        <v>2.988623794</v>
      </c>
      <c r="C438" s="2">
        <v>-3.0099999999999998E-2</v>
      </c>
      <c r="D438" s="2">
        <v>4.7899999999999998E-2</v>
      </c>
    </row>
    <row r="439" spans="1:4" x14ac:dyDescent="0.25">
      <c r="A439" s="1">
        <v>41435</v>
      </c>
      <c r="B439">
        <v>3.018750329</v>
      </c>
      <c r="C439" s="2">
        <v>2.5600000000000001E-2</v>
      </c>
      <c r="D439" s="2">
        <v>4.8000000000000001E-2</v>
      </c>
    </row>
    <row r="440" spans="1:4" x14ac:dyDescent="0.25">
      <c r="A440" s="1">
        <v>41432</v>
      </c>
      <c r="B440">
        <v>2.993115999</v>
      </c>
      <c r="C440" s="2">
        <v>5.67E-2</v>
      </c>
      <c r="D440" s="2">
        <v>4.7899999999999998E-2</v>
      </c>
    </row>
    <row r="441" spans="1:4" x14ac:dyDescent="0.25">
      <c r="A441" s="1">
        <v>41431</v>
      </c>
      <c r="B441">
        <v>2.9363931750000001</v>
      </c>
      <c r="C441" s="2">
        <v>-3.73E-2</v>
      </c>
      <c r="D441" s="2">
        <v>4.7500000000000001E-2</v>
      </c>
    </row>
    <row r="442" spans="1:4" x14ac:dyDescent="0.25">
      <c r="A442" s="1">
        <v>41430</v>
      </c>
      <c r="B442">
        <v>2.9737219850000001</v>
      </c>
      <c r="C442" s="2">
        <v>-1.6E-2</v>
      </c>
      <c r="D442" s="2">
        <v>4.7399999999999998E-2</v>
      </c>
    </row>
    <row r="443" spans="1:4" x14ac:dyDescent="0.25">
      <c r="A443" s="1">
        <v>41429</v>
      </c>
      <c r="B443">
        <v>2.989735767</v>
      </c>
      <c r="C443" s="2">
        <v>2.9399999999999999E-2</v>
      </c>
      <c r="D443" s="2">
        <v>4.7399999999999998E-2</v>
      </c>
    </row>
    <row r="444" spans="1:4" x14ac:dyDescent="0.25">
      <c r="A444" s="1">
        <v>41428</v>
      </c>
      <c r="B444">
        <v>2.9603245309999999</v>
      </c>
      <c r="C444" s="2">
        <v>3.0000000000000001E-3</v>
      </c>
      <c r="D444" s="2">
        <v>4.8300000000000003E-2</v>
      </c>
    </row>
    <row r="445" spans="1:4" x14ac:dyDescent="0.25">
      <c r="A445" s="1">
        <v>41425</v>
      </c>
      <c r="B445">
        <v>2.9573134959999998</v>
      </c>
      <c r="C445" s="2">
        <v>5.2699999999999997E-2</v>
      </c>
      <c r="D445" s="2">
        <v>4.8800000000000003E-2</v>
      </c>
    </row>
    <row r="446" spans="1:4" x14ac:dyDescent="0.25">
      <c r="A446" s="1">
        <v>41424</v>
      </c>
      <c r="B446">
        <v>2.904645441</v>
      </c>
      <c r="C446" s="2">
        <v>-1.4999999999999999E-2</v>
      </c>
      <c r="D446" s="2">
        <v>4.8800000000000003E-2</v>
      </c>
    </row>
    <row r="447" spans="1:4" x14ac:dyDescent="0.25">
      <c r="A447" s="1">
        <v>41423</v>
      </c>
      <c r="B447">
        <v>2.9196928049999999</v>
      </c>
      <c r="C447" s="2">
        <v>-2.4299999999999999E-2</v>
      </c>
      <c r="D447" s="2">
        <v>4.87E-2</v>
      </c>
    </row>
    <row r="448" spans="1:4" x14ac:dyDescent="0.25">
      <c r="A448" s="1">
        <v>41422</v>
      </c>
      <c r="B448">
        <v>2.9439593780000002</v>
      </c>
      <c r="C448" s="2">
        <v>0.129</v>
      </c>
      <c r="D448" s="2">
        <v>4.8599999999999997E-2</v>
      </c>
    </row>
    <row r="449" spans="1:4" x14ac:dyDescent="0.25">
      <c r="A449" s="1">
        <v>41418</v>
      </c>
      <c r="B449">
        <v>2.8149731760000001</v>
      </c>
      <c r="C449" s="2">
        <v>-6.8999999999999999E-3</v>
      </c>
      <c r="D449" s="2">
        <v>4.5900000000000003E-2</v>
      </c>
    </row>
    <row r="450" spans="1:4" x14ac:dyDescent="0.25">
      <c r="A450" s="1">
        <v>41417</v>
      </c>
      <c r="B450">
        <v>2.821907446</v>
      </c>
      <c r="C450" s="2">
        <v>3.3500000000000002E-2</v>
      </c>
      <c r="D450" s="2">
        <v>4.6100000000000002E-2</v>
      </c>
    </row>
    <row r="451" spans="1:4" x14ac:dyDescent="0.25">
      <c r="A451" s="1">
        <v>41416</v>
      </c>
      <c r="B451">
        <v>2.7884399819999999</v>
      </c>
      <c r="C451" s="2">
        <v>0.1239</v>
      </c>
      <c r="D451" s="2">
        <v>4.6100000000000002E-2</v>
      </c>
    </row>
    <row r="452" spans="1:4" x14ac:dyDescent="0.25">
      <c r="A452" s="1">
        <v>41415</v>
      </c>
      <c r="B452">
        <v>2.6645260639999999</v>
      </c>
      <c r="C452" s="2">
        <v>-4.8399999999999999E-2</v>
      </c>
      <c r="D452" s="2">
        <v>4.3400000000000001E-2</v>
      </c>
    </row>
    <row r="453" spans="1:4" x14ac:dyDescent="0.25">
      <c r="A453" s="1">
        <v>41414</v>
      </c>
      <c r="B453">
        <v>2.7128835420000001</v>
      </c>
      <c r="C453" s="2">
        <v>2.7099999999999999E-2</v>
      </c>
      <c r="D453" s="2">
        <v>4.3900000000000002E-2</v>
      </c>
    </row>
    <row r="454" spans="1:4" x14ac:dyDescent="0.25">
      <c r="A454" s="1">
        <v>41411</v>
      </c>
      <c r="B454">
        <v>2.6858134279999999</v>
      </c>
      <c r="C454" s="2">
        <v>0.12189999999999999</v>
      </c>
      <c r="D454" s="2">
        <v>4.3700000000000003E-2</v>
      </c>
    </row>
    <row r="455" spans="1:4" x14ac:dyDescent="0.25">
      <c r="A455" s="1">
        <v>41410</v>
      </c>
      <c r="B455">
        <v>2.5638774739999999</v>
      </c>
      <c r="C455" s="2">
        <v>-9.8000000000000004E-2</v>
      </c>
      <c r="D455" s="2">
        <v>4.0800000000000003E-2</v>
      </c>
    </row>
    <row r="456" spans="1:4" x14ac:dyDescent="0.25">
      <c r="A456" s="1">
        <v>41409</v>
      </c>
      <c r="B456">
        <v>2.6618664129999998</v>
      </c>
      <c r="C456" s="2">
        <v>-8.9999999999999998E-4</v>
      </c>
      <c r="D456" s="2">
        <v>3.8699999999999998E-2</v>
      </c>
    </row>
    <row r="457" spans="1:4" x14ac:dyDescent="0.25">
      <c r="A457" s="1">
        <v>41408</v>
      </c>
      <c r="B457">
        <v>2.6627244929999998</v>
      </c>
      <c r="C457" s="2">
        <v>4.1700000000000001E-2</v>
      </c>
      <c r="D457" s="2">
        <v>3.8800000000000001E-2</v>
      </c>
    </row>
    <row r="458" spans="1:4" x14ac:dyDescent="0.25">
      <c r="A458" s="1">
        <v>41407</v>
      </c>
      <c r="B458">
        <v>2.6209995679999998</v>
      </c>
      <c r="C458" s="2">
        <v>3.4099999999999998E-2</v>
      </c>
      <c r="D458" s="2">
        <v>3.85E-2</v>
      </c>
    </row>
    <row r="459" spans="1:4" x14ac:dyDescent="0.25">
      <c r="A459" s="1">
        <v>41404</v>
      </c>
      <c r="B459">
        <v>2.5868571180000002</v>
      </c>
      <c r="C459" s="2">
        <v>9.0200000000000002E-2</v>
      </c>
      <c r="D459" s="2">
        <v>3.8600000000000002E-2</v>
      </c>
    </row>
    <row r="460" spans="1:4" x14ac:dyDescent="0.25">
      <c r="A460" s="1">
        <v>41403</v>
      </c>
      <c r="B460">
        <v>2.496654903</v>
      </c>
      <c r="C460" s="2">
        <v>2.4199999999999999E-2</v>
      </c>
      <c r="D460" s="2">
        <v>3.73E-2</v>
      </c>
    </row>
    <row r="461" spans="1:4" x14ac:dyDescent="0.25">
      <c r="A461" s="1">
        <v>41402</v>
      </c>
      <c r="B461">
        <v>2.472445344</v>
      </c>
      <c r="C461" s="2">
        <v>-1.6500000000000001E-2</v>
      </c>
      <c r="D461" s="2">
        <v>3.7499999999999999E-2</v>
      </c>
    </row>
    <row r="462" spans="1:4" x14ac:dyDescent="0.25">
      <c r="A462" s="1">
        <v>41401</v>
      </c>
      <c r="B462">
        <v>2.4889429870000002</v>
      </c>
      <c r="C462" s="2">
        <v>1.6500000000000001E-2</v>
      </c>
      <c r="D462" s="2">
        <v>3.7499999999999999E-2</v>
      </c>
    </row>
    <row r="463" spans="1:4" x14ac:dyDescent="0.25">
      <c r="A463" s="1">
        <v>41400</v>
      </c>
      <c r="B463">
        <v>2.472403173</v>
      </c>
      <c r="C463" s="2">
        <v>1.6299999999999999E-2</v>
      </c>
      <c r="D463" s="2">
        <v>3.7600000000000001E-2</v>
      </c>
    </row>
    <row r="464" spans="1:4" x14ac:dyDescent="0.25">
      <c r="A464" s="1">
        <v>41397</v>
      </c>
      <c r="B464">
        <v>2.4561501209999999</v>
      </c>
      <c r="C464" s="2">
        <v>0.114</v>
      </c>
      <c r="D464" s="2">
        <v>3.7499999999999999E-2</v>
      </c>
    </row>
    <row r="465" spans="1:4" x14ac:dyDescent="0.25">
      <c r="A465" s="1">
        <v>41396</v>
      </c>
      <c r="B465">
        <v>2.342103679</v>
      </c>
      <c r="C465" s="2">
        <v>3.1699999999999999E-2</v>
      </c>
      <c r="D465" s="2">
        <v>3.4599999999999999E-2</v>
      </c>
    </row>
    <row r="466" spans="1:4" x14ac:dyDescent="0.25">
      <c r="A466" s="1">
        <v>41395</v>
      </c>
      <c r="B466">
        <v>2.310355967</v>
      </c>
      <c r="C466" s="2">
        <v>-4.3200000000000002E-2</v>
      </c>
      <c r="D466" s="2">
        <v>3.49E-2</v>
      </c>
    </row>
    <row r="467" spans="1:4" x14ac:dyDescent="0.25">
      <c r="A467" s="1">
        <v>41394</v>
      </c>
      <c r="B467">
        <v>2.3535373910000001</v>
      </c>
      <c r="C467" s="2">
        <v>-2.0899999999999998E-2</v>
      </c>
      <c r="D467" s="2">
        <v>3.4799999999999998E-2</v>
      </c>
    </row>
    <row r="468" spans="1:4" x14ac:dyDescent="0.25">
      <c r="A468" s="1">
        <v>41393</v>
      </c>
      <c r="B468">
        <v>2.3744792079999999</v>
      </c>
      <c r="C468" s="2">
        <v>-5.0000000000000001E-3</v>
      </c>
      <c r="D468" s="2">
        <v>3.4799999999999998E-2</v>
      </c>
    </row>
    <row r="469" spans="1:4" x14ac:dyDescent="0.25">
      <c r="A469" s="1">
        <v>41390</v>
      </c>
      <c r="B469">
        <v>2.3795080679999998</v>
      </c>
      <c r="C469" s="2">
        <v>-5.28E-2</v>
      </c>
      <c r="D469" s="2">
        <v>3.4799999999999998E-2</v>
      </c>
    </row>
    <row r="470" spans="1:4" x14ac:dyDescent="0.25">
      <c r="A470" s="1">
        <v>41389</v>
      </c>
      <c r="B470">
        <v>2.4323453279999998</v>
      </c>
      <c r="C470" s="2">
        <v>0</v>
      </c>
      <c r="D470" s="2">
        <v>3.4299999999999997E-2</v>
      </c>
    </row>
    <row r="471" spans="1:4" x14ac:dyDescent="0.25">
      <c r="A471" s="1">
        <v>41388</v>
      </c>
      <c r="B471">
        <v>2.432388365</v>
      </c>
      <c r="C471" s="2">
        <v>-5.1000000000000004E-3</v>
      </c>
      <c r="D471" s="2">
        <v>3.44E-2</v>
      </c>
    </row>
    <row r="472" spans="1:4" x14ac:dyDescent="0.25">
      <c r="A472" s="1">
        <v>41387</v>
      </c>
      <c r="B472">
        <v>2.437532343</v>
      </c>
      <c r="C472" s="2">
        <v>-8.6E-3</v>
      </c>
      <c r="D472" s="2">
        <v>3.4700000000000002E-2</v>
      </c>
    </row>
    <row r="473" spans="1:4" x14ac:dyDescent="0.25">
      <c r="A473" s="1">
        <v>41386</v>
      </c>
      <c r="B473">
        <v>2.4460987780000001</v>
      </c>
      <c r="C473" s="2">
        <v>-1.6999999999999999E-3</v>
      </c>
      <c r="D473" s="2">
        <v>3.9100000000000003E-2</v>
      </c>
    </row>
    <row r="474" spans="1:4" x14ac:dyDescent="0.25">
      <c r="A474" s="1">
        <v>41383</v>
      </c>
      <c r="B474">
        <v>2.447829263</v>
      </c>
      <c r="C474" s="2">
        <v>1.5900000000000001E-2</v>
      </c>
      <c r="D474" s="2">
        <v>3.9199999999999999E-2</v>
      </c>
    </row>
    <row r="475" spans="1:4" x14ac:dyDescent="0.25">
      <c r="A475" s="1">
        <v>41382</v>
      </c>
      <c r="B475">
        <v>2.431921102</v>
      </c>
      <c r="C475" s="2">
        <v>-1.8100000000000002E-2</v>
      </c>
      <c r="D475" s="2">
        <v>3.9100000000000003E-2</v>
      </c>
    </row>
    <row r="476" spans="1:4" x14ac:dyDescent="0.25">
      <c r="A476" s="1">
        <v>41381</v>
      </c>
      <c r="B476">
        <v>2.4500518769999999</v>
      </c>
      <c r="C476" s="2">
        <v>-4.5999999999999999E-3</v>
      </c>
      <c r="D476" s="2">
        <v>3.9100000000000003E-2</v>
      </c>
    </row>
    <row r="477" spans="1:4" x14ac:dyDescent="0.25">
      <c r="A477" s="1">
        <v>41380</v>
      </c>
      <c r="B477">
        <v>2.4546502910000001</v>
      </c>
      <c r="C477" s="2">
        <v>2.4E-2</v>
      </c>
      <c r="D477" s="2">
        <v>3.9100000000000003E-2</v>
      </c>
    </row>
    <row r="478" spans="1:4" x14ac:dyDescent="0.25">
      <c r="A478" s="1">
        <v>41379</v>
      </c>
      <c r="B478">
        <v>2.4306597889999999</v>
      </c>
      <c r="C478" s="2">
        <v>-2.2599999999999999E-2</v>
      </c>
      <c r="D478" s="2">
        <v>4.02E-2</v>
      </c>
    </row>
    <row r="479" spans="1:4" x14ac:dyDescent="0.25">
      <c r="A479" s="1">
        <v>41376</v>
      </c>
      <c r="B479">
        <v>2.4532379479999999</v>
      </c>
      <c r="C479" s="2">
        <v>-6.4799999999999996E-2</v>
      </c>
      <c r="D479" s="2">
        <v>0.04</v>
      </c>
    </row>
    <row r="480" spans="1:4" x14ac:dyDescent="0.25">
      <c r="A480" s="1">
        <v>41375</v>
      </c>
      <c r="B480">
        <v>2.518076062</v>
      </c>
      <c r="C480" s="2">
        <v>-2.6700000000000002E-2</v>
      </c>
      <c r="D480" s="2">
        <v>3.9100000000000003E-2</v>
      </c>
    </row>
    <row r="481" spans="1:4" x14ac:dyDescent="0.25">
      <c r="A481" s="1">
        <v>41374</v>
      </c>
      <c r="B481">
        <v>2.5447918359999999</v>
      </c>
      <c r="C481" s="2">
        <v>5.5399999999999998E-2</v>
      </c>
      <c r="D481" s="2">
        <v>3.8899999999999997E-2</v>
      </c>
    </row>
    <row r="482" spans="1:4" x14ac:dyDescent="0.25">
      <c r="A482" s="1">
        <v>41373</v>
      </c>
      <c r="B482">
        <v>2.4893778179999999</v>
      </c>
      <c r="C482" s="2">
        <v>1.24E-2</v>
      </c>
      <c r="D482" s="2">
        <v>3.85E-2</v>
      </c>
    </row>
    <row r="483" spans="1:4" x14ac:dyDescent="0.25">
      <c r="A483" s="1">
        <v>41372</v>
      </c>
      <c r="B483">
        <v>2.4769497820000002</v>
      </c>
      <c r="C483" s="2">
        <v>5.96E-2</v>
      </c>
      <c r="D483" s="2">
        <v>3.8899999999999997E-2</v>
      </c>
    </row>
    <row r="484" spans="1:4" x14ac:dyDescent="0.25">
      <c r="A484" s="1">
        <v>41369</v>
      </c>
      <c r="B484">
        <v>2.4173832769999999</v>
      </c>
      <c r="C484" s="2">
        <v>-6.8500000000000005E-2</v>
      </c>
      <c r="D484" s="2">
        <v>3.85E-2</v>
      </c>
    </row>
    <row r="485" spans="1:4" x14ac:dyDescent="0.25">
      <c r="A485" s="1">
        <v>41368</v>
      </c>
      <c r="B485">
        <v>2.4858731000000001</v>
      </c>
      <c r="C485" s="2">
        <v>-7.8799999999999995E-2</v>
      </c>
      <c r="D485" s="2">
        <v>3.7600000000000001E-2</v>
      </c>
    </row>
    <row r="486" spans="1:4" x14ac:dyDescent="0.25">
      <c r="A486" s="1">
        <v>41367</v>
      </c>
      <c r="B486">
        <v>2.5647186739999999</v>
      </c>
      <c r="C486" s="2">
        <v>-4.5499999999999999E-2</v>
      </c>
      <c r="D486" s="2">
        <v>3.6600000000000001E-2</v>
      </c>
    </row>
    <row r="487" spans="1:4" x14ac:dyDescent="0.25">
      <c r="A487" s="1">
        <v>41366</v>
      </c>
      <c r="B487">
        <v>2.610199122</v>
      </c>
      <c r="C487" s="2">
        <v>1.5100000000000001E-2</v>
      </c>
      <c r="D487" s="2">
        <v>3.61E-2</v>
      </c>
    </row>
    <row r="488" spans="1:4" x14ac:dyDescent="0.25">
      <c r="A488" s="1">
        <v>41365</v>
      </c>
      <c r="B488">
        <v>2.5951295559999998</v>
      </c>
      <c r="C488" s="2">
        <v>-1.9199999999999998E-2</v>
      </c>
      <c r="D488" s="2">
        <v>3.9100000000000003E-2</v>
      </c>
    </row>
    <row r="489" spans="1:4" x14ac:dyDescent="0.25">
      <c r="A489" s="1">
        <v>41361</v>
      </c>
      <c r="B489">
        <v>2.6143335780000001</v>
      </c>
      <c r="C489" s="2">
        <v>6.3E-3</v>
      </c>
      <c r="D489" s="2">
        <v>3.9699999999999999E-2</v>
      </c>
    </row>
    <row r="490" spans="1:4" x14ac:dyDescent="0.25">
      <c r="A490" s="1">
        <v>41360</v>
      </c>
      <c r="B490">
        <v>2.6080685309999998</v>
      </c>
      <c r="C490" s="2">
        <v>-3.4500000000000003E-2</v>
      </c>
      <c r="D490" s="2">
        <v>3.9699999999999999E-2</v>
      </c>
    </row>
    <row r="491" spans="1:4" x14ac:dyDescent="0.25">
      <c r="A491" s="1">
        <v>41359</v>
      </c>
      <c r="B491">
        <v>2.6425583509999999</v>
      </c>
      <c r="C491" s="2">
        <v>3.0999999999999999E-3</v>
      </c>
      <c r="D491" s="2">
        <v>3.9300000000000002E-2</v>
      </c>
    </row>
    <row r="492" spans="1:4" x14ac:dyDescent="0.25">
      <c r="A492" s="1">
        <v>41358</v>
      </c>
      <c r="B492">
        <v>2.6394759319999999</v>
      </c>
      <c r="C492" s="2">
        <v>-2E-3</v>
      </c>
      <c r="D492" s="2">
        <v>3.9699999999999999E-2</v>
      </c>
    </row>
    <row r="493" spans="1:4" x14ac:dyDescent="0.25">
      <c r="A493" s="1">
        <v>41355</v>
      </c>
      <c r="B493">
        <v>2.641484459</v>
      </c>
      <c r="C493" s="2">
        <v>-3.4799999999999998E-2</v>
      </c>
      <c r="D493" s="2">
        <v>3.9899999999999998E-2</v>
      </c>
    </row>
    <row r="494" spans="1:4" x14ac:dyDescent="0.25">
      <c r="A494" s="1">
        <v>41354</v>
      </c>
      <c r="B494">
        <v>2.6762749110000001</v>
      </c>
      <c r="C494" s="2">
        <v>2.93E-2</v>
      </c>
      <c r="D494" s="2">
        <v>3.95E-2</v>
      </c>
    </row>
    <row r="495" spans="1:4" x14ac:dyDescent="0.25">
      <c r="A495" s="1">
        <v>41353</v>
      </c>
      <c r="B495">
        <v>2.6469827010000002</v>
      </c>
      <c r="C495" s="2">
        <v>4.0099999999999997E-2</v>
      </c>
      <c r="D495" s="2">
        <v>3.9899999999999998E-2</v>
      </c>
    </row>
    <row r="496" spans="1:4" x14ac:dyDescent="0.25">
      <c r="A496" s="1">
        <v>41352</v>
      </c>
      <c r="B496">
        <v>2.6068633019999998</v>
      </c>
      <c r="C496" s="2">
        <v>-2.2800000000000001E-2</v>
      </c>
      <c r="D496" s="2">
        <v>3.9899999999999998E-2</v>
      </c>
    </row>
    <row r="497" spans="1:4" x14ac:dyDescent="0.25">
      <c r="A497" s="1">
        <v>41351</v>
      </c>
      <c r="B497">
        <v>2.6296268139999999</v>
      </c>
      <c r="C497" s="2">
        <v>-3.4700000000000002E-2</v>
      </c>
      <c r="D497" s="2">
        <v>4.0300000000000002E-2</v>
      </c>
    </row>
    <row r="498" spans="1:4" x14ac:dyDescent="0.25">
      <c r="A498" s="1">
        <v>41348</v>
      </c>
      <c r="B498">
        <v>2.664336327</v>
      </c>
      <c r="C498" s="2">
        <v>-4.1099999999999998E-2</v>
      </c>
      <c r="D498" s="2">
        <v>4.07E-2</v>
      </c>
    </row>
    <row r="499" spans="1:4" x14ac:dyDescent="0.25">
      <c r="A499" s="1">
        <v>41347</v>
      </c>
      <c r="B499">
        <v>2.7054585790000001</v>
      </c>
      <c r="C499" s="2">
        <v>5.0000000000000001E-3</v>
      </c>
      <c r="D499" s="2">
        <v>4.02E-2</v>
      </c>
    </row>
    <row r="500" spans="1:4" x14ac:dyDescent="0.25">
      <c r="A500" s="1">
        <v>41346</v>
      </c>
      <c r="B500">
        <v>2.700438675</v>
      </c>
      <c r="C500" s="2">
        <v>-6.0000000000000001E-3</v>
      </c>
      <c r="D500" s="2">
        <v>4.02E-2</v>
      </c>
    </row>
    <row r="501" spans="1:4" x14ac:dyDescent="0.25">
      <c r="A501" s="1">
        <v>41345</v>
      </c>
      <c r="B501">
        <v>2.7064552879999999</v>
      </c>
      <c r="C501" s="2">
        <v>-3.3500000000000002E-2</v>
      </c>
      <c r="D501" s="2">
        <v>4.02E-2</v>
      </c>
    </row>
    <row r="502" spans="1:4" x14ac:dyDescent="0.25">
      <c r="A502" s="1">
        <v>41344</v>
      </c>
      <c r="B502">
        <v>2.7399845790000001</v>
      </c>
      <c r="C502" s="2">
        <v>-1.1900000000000001E-2</v>
      </c>
      <c r="D502" s="2">
        <v>0.04</v>
      </c>
    </row>
    <row r="503" spans="1:4" x14ac:dyDescent="0.25">
      <c r="A503" s="1">
        <v>41341</v>
      </c>
      <c r="B503">
        <v>2.7519155240000002</v>
      </c>
      <c r="C503" s="2">
        <v>7.8600000000000003E-2</v>
      </c>
      <c r="D503" s="2">
        <v>0.04</v>
      </c>
    </row>
    <row r="504" spans="1:4" x14ac:dyDescent="0.25">
      <c r="A504" s="1">
        <v>41340</v>
      </c>
      <c r="B504">
        <v>2.6733074910000001</v>
      </c>
      <c r="C504" s="2">
        <v>6.08E-2</v>
      </c>
      <c r="D504" s="2">
        <v>3.95E-2</v>
      </c>
    </row>
    <row r="505" spans="1:4" x14ac:dyDescent="0.25">
      <c r="A505" s="1">
        <v>41339</v>
      </c>
      <c r="B505">
        <v>2.6125524229999999</v>
      </c>
      <c r="C505" s="2">
        <v>5.1799999999999999E-2</v>
      </c>
      <c r="D505" s="2">
        <v>3.9399999999999998E-2</v>
      </c>
    </row>
    <row r="506" spans="1:4" x14ac:dyDescent="0.25">
      <c r="A506" s="1">
        <v>41338</v>
      </c>
      <c r="B506">
        <v>2.5607564580000002</v>
      </c>
      <c r="C506" s="2">
        <v>1.4999999999999999E-2</v>
      </c>
      <c r="D506" s="2">
        <v>3.9100000000000003E-2</v>
      </c>
    </row>
    <row r="507" spans="1:4" x14ac:dyDescent="0.25">
      <c r="A507" s="1">
        <v>41337</v>
      </c>
      <c r="B507">
        <v>2.545776005</v>
      </c>
      <c r="C507" s="2">
        <v>1.5800000000000002E-2</v>
      </c>
      <c r="D507" s="2">
        <v>3.9100000000000003E-2</v>
      </c>
    </row>
    <row r="508" spans="1:4" x14ac:dyDescent="0.25">
      <c r="A508" s="1">
        <v>41334</v>
      </c>
      <c r="B508">
        <v>2.52993004</v>
      </c>
      <c r="C508" s="2">
        <v>-1.49E-2</v>
      </c>
      <c r="D508" s="2">
        <v>3.9199999999999999E-2</v>
      </c>
    </row>
    <row r="509" spans="1:4" x14ac:dyDescent="0.25">
      <c r="A509" s="1">
        <v>41333</v>
      </c>
      <c r="B509">
        <v>2.544837432</v>
      </c>
      <c r="C509" s="2">
        <v>-2.8400000000000002E-2</v>
      </c>
      <c r="D509" s="2">
        <v>3.9100000000000003E-2</v>
      </c>
    </row>
    <row r="510" spans="1:4" x14ac:dyDescent="0.25">
      <c r="A510" s="1">
        <v>41332</v>
      </c>
      <c r="B510">
        <v>2.5732198820000001</v>
      </c>
      <c r="C510" s="2">
        <v>3.4299999999999997E-2</v>
      </c>
      <c r="D510" s="2">
        <v>3.8800000000000001E-2</v>
      </c>
    </row>
    <row r="511" spans="1:4" x14ac:dyDescent="0.25">
      <c r="A511" s="1">
        <v>41331</v>
      </c>
      <c r="B511">
        <v>2.5389569449999998</v>
      </c>
      <c r="C511" s="2">
        <v>-1.89E-2</v>
      </c>
      <c r="D511" s="2">
        <v>3.8699999999999998E-2</v>
      </c>
    </row>
    <row r="512" spans="1:4" x14ac:dyDescent="0.25">
      <c r="A512" s="1">
        <v>41330</v>
      </c>
      <c r="B512">
        <v>2.557858843</v>
      </c>
      <c r="C512" s="2">
        <v>-6.7299999999999999E-2</v>
      </c>
      <c r="D512" s="2">
        <v>3.8600000000000002E-2</v>
      </c>
    </row>
    <row r="513" spans="1:4" x14ac:dyDescent="0.25">
      <c r="A513" s="1">
        <v>41327</v>
      </c>
      <c r="B513">
        <v>2.625139903</v>
      </c>
      <c r="C513" s="2">
        <v>-5.9999999999999995E-4</v>
      </c>
      <c r="D513" s="2">
        <v>3.9399999999999998E-2</v>
      </c>
    </row>
    <row r="514" spans="1:4" x14ac:dyDescent="0.25">
      <c r="A514" s="1">
        <v>41326</v>
      </c>
      <c r="B514">
        <v>2.6257405349999998</v>
      </c>
      <c r="C514" s="2">
        <v>-1.2200000000000001E-2</v>
      </c>
      <c r="D514" s="2">
        <v>4.0599999999999997E-2</v>
      </c>
    </row>
    <row r="515" spans="1:4" x14ac:dyDescent="0.25">
      <c r="A515" s="1">
        <v>41325</v>
      </c>
      <c r="B515">
        <v>2.637969499</v>
      </c>
      <c r="C515" s="2">
        <v>-1E-4</v>
      </c>
      <c r="D515" s="2">
        <v>4.0500000000000001E-2</v>
      </c>
    </row>
    <row r="516" spans="1:4" x14ac:dyDescent="0.25">
      <c r="A516" s="1">
        <v>41324</v>
      </c>
      <c r="B516">
        <v>2.6380211949999999</v>
      </c>
      <c r="C516" s="2">
        <v>1.72E-2</v>
      </c>
      <c r="D516" s="2">
        <v>4.0899999999999999E-2</v>
      </c>
    </row>
    <row r="517" spans="1:4" x14ac:dyDescent="0.25">
      <c r="A517" s="1">
        <v>41320</v>
      </c>
      <c r="B517">
        <v>2.6207856729999999</v>
      </c>
      <c r="C517" s="2">
        <v>1.2200000000000001E-2</v>
      </c>
      <c r="D517" s="2">
        <v>4.1700000000000001E-2</v>
      </c>
    </row>
    <row r="518" spans="1:4" x14ac:dyDescent="0.25">
      <c r="A518" s="1">
        <v>41319</v>
      </c>
      <c r="B518">
        <v>2.6085491790000002</v>
      </c>
      <c r="C518" s="2">
        <v>-4.5199999999999997E-2</v>
      </c>
      <c r="D518" s="2">
        <v>4.1799999999999997E-2</v>
      </c>
    </row>
    <row r="519" spans="1:4" x14ac:dyDescent="0.25">
      <c r="A519" s="1">
        <v>41318</v>
      </c>
      <c r="B519">
        <v>2.6537197369999999</v>
      </c>
      <c r="C519" s="2">
        <v>4.6699999999999998E-2</v>
      </c>
      <c r="D519" s="2">
        <v>4.2099999999999999E-2</v>
      </c>
    </row>
    <row r="520" spans="1:4" x14ac:dyDescent="0.25">
      <c r="A520" s="1">
        <v>41317</v>
      </c>
      <c r="B520">
        <v>2.6070118409999998</v>
      </c>
      <c r="C520" s="2">
        <v>4.1700000000000001E-2</v>
      </c>
      <c r="D520" s="2">
        <v>4.2299999999999997E-2</v>
      </c>
    </row>
    <row r="521" spans="1:4" x14ac:dyDescent="0.25">
      <c r="A521" s="1">
        <v>41316</v>
      </c>
      <c r="B521">
        <v>2.5653084650000002</v>
      </c>
      <c r="C521" s="2">
        <v>-7.9000000000000008E-3</v>
      </c>
      <c r="D521" s="2">
        <v>4.24E-2</v>
      </c>
    </row>
    <row r="522" spans="1:4" x14ac:dyDescent="0.25">
      <c r="A522" s="1">
        <v>41313</v>
      </c>
      <c r="B522">
        <v>2.5731755490000001</v>
      </c>
      <c r="C522" s="2">
        <v>2.18E-2</v>
      </c>
      <c r="D522" s="2">
        <v>4.24E-2</v>
      </c>
    </row>
    <row r="523" spans="1:4" x14ac:dyDescent="0.25">
      <c r="A523" s="1">
        <v>41312</v>
      </c>
      <c r="B523">
        <v>2.5513624899999998</v>
      </c>
      <c r="C523" s="2">
        <v>-8.0999999999999996E-3</v>
      </c>
      <c r="D523" s="2">
        <v>4.24E-2</v>
      </c>
    </row>
    <row r="524" spans="1:4" x14ac:dyDescent="0.25">
      <c r="A524" s="1">
        <v>41311</v>
      </c>
      <c r="B524">
        <v>2.5594320750000001</v>
      </c>
      <c r="C524" s="2">
        <v>-4.1099999999999998E-2</v>
      </c>
      <c r="D524" s="2">
        <v>4.2799999999999998E-2</v>
      </c>
    </row>
    <row r="525" spans="1:4" x14ac:dyDescent="0.25">
      <c r="A525" s="1">
        <v>41310</v>
      </c>
      <c r="B525">
        <v>2.6005196499999998</v>
      </c>
      <c r="C525" s="2">
        <v>4.4900000000000002E-2</v>
      </c>
      <c r="D525" s="2">
        <v>4.7399999999999998E-2</v>
      </c>
    </row>
    <row r="526" spans="1:4" x14ac:dyDescent="0.25">
      <c r="A526" s="1">
        <v>41309</v>
      </c>
      <c r="B526">
        <v>2.5556270130000001</v>
      </c>
      <c r="C526" s="2">
        <v>-3.5799999999999998E-2</v>
      </c>
      <c r="D526" s="2">
        <v>4.8800000000000003E-2</v>
      </c>
    </row>
    <row r="527" spans="1:4" x14ac:dyDescent="0.25">
      <c r="A527" s="1">
        <v>41306</v>
      </c>
      <c r="B527">
        <v>2.5914055359999999</v>
      </c>
      <c r="C527" s="2">
        <v>1.7600000000000001E-2</v>
      </c>
      <c r="D527" s="2">
        <v>4.9000000000000002E-2</v>
      </c>
    </row>
    <row r="528" spans="1:4" x14ac:dyDescent="0.25">
      <c r="A528" s="1">
        <v>41305</v>
      </c>
      <c r="B528">
        <v>2.5737675910000002</v>
      </c>
      <c r="C528" s="2">
        <v>-3.5000000000000001E-3</v>
      </c>
      <c r="D528" s="2">
        <v>4.9299999999999997E-2</v>
      </c>
    </row>
    <row r="529" spans="1:4" x14ac:dyDescent="0.25">
      <c r="A529" s="1">
        <v>41304</v>
      </c>
      <c r="B529">
        <v>2.5772925230000001</v>
      </c>
      <c r="C529" s="2">
        <v>1.7500000000000002E-2</v>
      </c>
      <c r="D529" s="2">
        <v>5.04E-2</v>
      </c>
    </row>
    <row r="530" spans="1:4" x14ac:dyDescent="0.25">
      <c r="A530" s="1">
        <v>41303</v>
      </c>
      <c r="B530">
        <v>2.5598092540000001</v>
      </c>
      <c r="C530" s="2">
        <v>2.0500000000000001E-2</v>
      </c>
      <c r="D530" s="2">
        <v>5.0700000000000002E-2</v>
      </c>
    </row>
    <row r="531" spans="1:4" x14ac:dyDescent="0.25">
      <c r="A531" s="1">
        <v>41302</v>
      </c>
      <c r="B531">
        <v>2.5393282300000002</v>
      </c>
      <c r="C531" s="2">
        <v>3.4000000000000002E-2</v>
      </c>
      <c r="D531" s="2">
        <v>5.0900000000000001E-2</v>
      </c>
    </row>
    <row r="532" spans="1:4" x14ac:dyDescent="0.25">
      <c r="A532" s="1">
        <v>41299</v>
      </c>
      <c r="B532">
        <v>2.505318495</v>
      </c>
      <c r="C532" s="2">
        <v>0.13789999999999999</v>
      </c>
      <c r="D532" s="2">
        <v>5.1700000000000003E-2</v>
      </c>
    </row>
    <row r="533" spans="1:4" x14ac:dyDescent="0.25">
      <c r="A533" s="1">
        <v>41298</v>
      </c>
      <c r="B533">
        <v>2.3674188940000001</v>
      </c>
      <c r="C533" s="2">
        <v>2.41E-2</v>
      </c>
      <c r="D533" s="2">
        <v>4.9000000000000002E-2</v>
      </c>
    </row>
    <row r="534" spans="1:4" x14ac:dyDescent="0.25">
      <c r="A534" s="1">
        <v>41297</v>
      </c>
      <c r="B534">
        <v>2.3433125330000002</v>
      </c>
      <c r="C534" s="2">
        <v>-8.8999999999999999E-3</v>
      </c>
      <c r="D534" s="2">
        <v>4.9200000000000001E-2</v>
      </c>
    </row>
    <row r="535" spans="1:4" x14ac:dyDescent="0.25">
      <c r="A535" s="1">
        <v>41296</v>
      </c>
      <c r="B535">
        <v>2.352207742</v>
      </c>
      <c r="C535" s="2">
        <v>1.9E-3</v>
      </c>
      <c r="D535" s="2">
        <v>4.9200000000000001E-2</v>
      </c>
    </row>
    <row r="536" spans="1:4" x14ac:dyDescent="0.25">
      <c r="A536" s="1">
        <v>41292</v>
      </c>
      <c r="B536">
        <v>2.3502791670000001</v>
      </c>
      <c r="C536" s="2">
        <v>-1.8599999999999998E-2</v>
      </c>
      <c r="D536" s="2">
        <v>4.9399999999999999E-2</v>
      </c>
    </row>
    <row r="537" spans="1:4" x14ac:dyDescent="0.25">
      <c r="A537" s="1">
        <v>41291</v>
      </c>
      <c r="B537">
        <v>2.3689111619999998</v>
      </c>
      <c r="C537" s="2">
        <v>7.4499999999999997E-2</v>
      </c>
      <c r="D537" s="2">
        <v>5.0099999999999999E-2</v>
      </c>
    </row>
    <row r="538" spans="1:4" x14ac:dyDescent="0.25">
      <c r="A538" s="1">
        <v>41290</v>
      </c>
      <c r="B538">
        <v>2.2944098290000001</v>
      </c>
      <c r="C538" s="2">
        <v>5.9999999999999995E-4</v>
      </c>
      <c r="D538" s="2">
        <v>4.9399999999999999E-2</v>
      </c>
    </row>
    <row r="539" spans="1:4" x14ac:dyDescent="0.25">
      <c r="A539" s="1">
        <v>41289</v>
      </c>
      <c r="B539">
        <v>2.2938425269999998</v>
      </c>
      <c r="C539" s="2">
        <v>1.54E-2</v>
      </c>
      <c r="D539" s="2">
        <v>5.1299999999999998E-2</v>
      </c>
    </row>
    <row r="540" spans="1:4" x14ac:dyDescent="0.25">
      <c r="A540" s="1">
        <v>41288</v>
      </c>
      <c r="B540">
        <v>2.2784009909999998</v>
      </c>
      <c r="C540" s="2">
        <v>-3.3E-3</v>
      </c>
      <c r="D540" s="2">
        <v>5.16E-2</v>
      </c>
    </row>
    <row r="541" spans="1:4" x14ac:dyDescent="0.25">
      <c r="A541" s="1">
        <v>41285</v>
      </c>
      <c r="B541">
        <v>2.2816853969999999</v>
      </c>
      <c r="C541" s="2">
        <v>-2.41E-2</v>
      </c>
      <c r="D541" s="2">
        <v>5.1700000000000003E-2</v>
      </c>
    </row>
    <row r="542" spans="1:4" x14ac:dyDescent="0.25">
      <c r="A542" s="1">
        <v>41284</v>
      </c>
      <c r="B542">
        <v>2.3058062239999999</v>
      </c>
      <c r="C542" s="2">
        <v>5.16E-2</v>
      </c>
      <c r="D542" s="2">
        <v>5.16E-2</v>
      </c>
    </row>
    <row r="543" spans="1:4" x14ac:dyDescent="0.25">
      <c r="A543" s="1">
        <v>41283</v>
      </c>
      <c r="B543">
        <v>2.254237738</v>
      </c>
      <c r="C543" s="2">
        <v>-3.3000000000000002E-2</v>
      </c>
      <c r="D543" s="2">
        <v>5.1499999999999997E-2</v>
      </c>
    </row>
    <row r="544" spans="1:4" x14ac:dyDescent="0.25">
      <c r="A544" s="1">
        <v>41282</v>
      </c>
      <c r="B544">
        <v>2.2872202210000001</v>
      </c>
      <c r="C544" s="2">
        <v>-2.5999999999999999E-2</v>
      </c>
      <c r="D544" s="2">
        <v>5.1900000000000002E-2</v>
      </c>
    </row>
    <row r="545" spans="1:4" x14ac:dyDescent="0.25">
      <c r="A545" s="1">
        <v>41281</v>
      </c>
      <c r="B545">
        <v>2.3132421540000001</v>
      </c>
      <c r="C545" s="2">
        <v>-4.5100000000000001E-2</v>
      </c>
      <c r="D545" s="2">
        <v>5.1700000000000003E-2</v>
      </c>
    </row>
    <row r="546" spans="1:4" x14ac:dyDescent="0.25">
      <c r="A546" s="1">
        <v>41278</v>
      </c>
      <c r="B546">
        <v>2.3583903099999999</v>
      </c>
      <c r="C546" s="2">
        <v>1.95E-2</v>
      </c>
      <c r="D546" s="2">
        <v>5.1499999999999997E-2</v>
      </c>
    </row>
    <row r="547" spans="1:4" x14ac:dyDescent="0.25">
      <c r="A547" s="1">
        <v>41277</v>
      </c>
      <c r="B547">
        <v>2.3389352730000001</v>
      </c>
      <c r="C547" s="2">
        <v>0.121</v>
      </c>
      <c r="D547" s="2">
        <v>5.2699999999999997E-2</v>
      </c>
    </row>
    <row r="548" spans="1:4" x14ac:dyDescent="0.25">
      <c r="A548" s="1">
        <v>41276</v>
      </c>
      <c r="B548">
        <v>2.2179772299999998</v>
      </c>
      <c r="C548" s="2">
        <v>6.6199999999999995E-2</v>
      </c>
      <c r="D548" s="2">
        <v>5.1299999999999998E-2</v>
      </c>
    </row>
    <row r="549" spans="1:4" x14ac:dyDescent="0.25">
      <c r="A549" s="1">
        <v>41274</v>
      </c>
      <c r="B549">
        <v>2.1517307109999999</v>
      </c>
      <c r="C549" s="2">
        <v>1.1599999999999999E-2</v>
      </c>
      <c r="D549" s="2">
        <v>5.1799999999999999E-2</v>
      </c>
    </row>
    <row r="550" spans="1:4" x14ac:dyDescent="0.25">
      <c r="A550" s="1">
        <v>41271</v>
      </c>
      <c r="B550">
        <v>2.1401763219999999</v>
      </c>
      <c r="C550" s="2">
        <v>1.7899999999999999E-2</v>
      </c>
      <c r="D550" s="2">
        <v>5.2400000000000002E-2</v>
      </c>
    </row>
    <row r="551" spans="1:4" x14ac:dyDescent="0.25">
      <c r="A551" s="1">
        <v>41270</v>
      </c>
      <c r="B551">
        <v>2.1222776699999999</v>
      </c>
      <c r="C551" s="2">
        <v>-3.5200000000000002E-2</v>
      </c>
      <c r="D551" s="2">
        <v>5.2400000000000002E-2</v>
      </c>
    </row>
    <row r="552" spans="1:4" x14ac:dyDescent="0.25">
      <c r="A552" s="1">
        <v>41269</v>
      </c>
      <c r="B552">
        <v>2.1575085509999998</v>
      </c>
      <c r="C552" s="2">
        <v>-2.07E-2</v>
      </c>
      <c r="D552" s="2">
        <v>5.3100000000000001E-2</v>
      </c>
    </row>
    <row r="553" spans="1:4" x14ac:dyDescent="0.25">
      <c r="A553" s="1">
        <v>41267</v>
      </c>
      <c r="B553">
        <v>2.1781660180000002</v>
      </c>
      <c r="C553" s="2">
        <v>2.86E-2</v>
      </c>
      <c r="D553" s="2">
        <v>5.2999999999999999E-2</v>
      </c>
    </row>
    <row r="554" spans="1:4" x14ac:dyDescent="0.25">
      <c r="A554" s="1">
        <v>41264</v>
      </c>
      <c r="B554">
        <v>2.1495740790000002</v>
      </c>
      <c r="C554" s="2">
        <v>-3.9699999999999999E-2</v>
      </c>
      <c r="D554" s="2">
        <v>5.3600000000000002E-2</v>
      </c>
    </row>
    <row r="555" spans="1:4" x14ac:dyDescent="0.25">
      <c r="A555" s="1">
        <v>41263</v>
      </c>
      <c r="B555">
        <v>2.1892792750000001</v>
      </c>
      <c r="C555" s="2">
        <v>-1.9E-2</v>
      </c>
      <c r="D555" s="2">
        <v>5.3800000000000001E-2</v>
      </c>
    </row>
    <row r="556" spans="1:4" x14ac:dyDescent="0.25">
      <c r="A556" s="1">
        <v>41262</v>
      </c>
      <c r="B556">
        <v>2.2082579610000002</v>
      </c>
      <c r="C556" s="2">
        <v>-4.6699999999999998E-2</v>
      </c>
      <c r="D556" s="2">
        <v>5.4600000000000003E-2</v>
      </c>
    </row>
    <row r="557" spans="1:4" x14ac:dyDescent="0.25">
      <c r="A557" s="1">
        <v>41261</v>
      </c>
      <c r="B557">
        <v>2.2549632119999998</v>
      </c>
      <c r="C557" s="2">
        <v>6.8900000000000003E-2</v>
      </c>
      <c r="D557" s="2">
        <v>5.45E-2</v>
      </c>
    </row>
    <row r="558" spans="1:4" x14ac:dyDescent="0.25">
      <c r="A558" s="1">
        <v>41260</v>
      </c>
      <c r="B558">
        <v>2.1860869429999998</v>
      </c>
      <c r="C558" s="2">
        <v>1.14E-2</v>
      </c>
      <c r="D558" s="2">
        <v>5.4300000000000001E-2</v>
      </c>
    </row>
    <row r="559" spans="1:4" x14ac:dyDescent="0.25">
      <c r="A559" s="1">
        <v>41257</v>
      </c>
      <c r="B559">
        <v>2.1747058080000001</v>
      </c>
      <c r="C559" s="2">
        <v>-4.7999999999999996E-3</v>
      </c>
      <c r="D559" s="2">
        <v>5.4300000000000001E-2</v>
      </c>
    </row>
    <row r="560" spans="1:4" x14ac:dyDescent="0.25">
      <c r="A560" s="1">
        <v>41256</v>
      </c>
      <c r="B560">
        <v>2.1795432959999999</v>
      </c>
      <c r="C560" s="2">
        <v>9.7000000000000003E-3</v>
      </c>
      <c r="D560" s="2">
        <v>5.4300000000000001E-2</v>
      </c>
    </row>
    <row r="561" spans="1:4" x14ac:dyDescent="0.25">
      <c r="A561" s="1">
        <v>41255</v>
      </c>
      <c r="B561">
        <v>2.1698452449999999</v>
      </c>
      <c r="C561" s="2">
        <v>4.41E-2</v>
      </c>
      <c r="D561" s="2">
        <v>5.4899999999999997E-2</v>
      </c>
    </row>
    <row r="562" spans="1:4" x14ac:dyDescent="0.25">
      <c r="A562" s="1">
        <v>41254</v>
      </c>
      <c r="B562">
        <v>2.1257047070000001</v>
      </c>
      <c r="C562" s="2">
        <v>-5.9999999999999995E-4</v>
      </c>
      <c r="D562" s="2">
        <v>6.1699999999999998E-2</v>
      </c>
    </row>
    <row r="563" spans="1:4" x14ac:dyDescent="0.25">
      <c r="A563" s="1">
        <v>41253</v>
      </c>
      <c r="B563">
        <v>2.1263199579999998</v>
      </c>
      <c r="C563" s="2">
        <v>-0.04</v>
      </c>
      <c r="D563" s="2">
        <v>6.1899999999999997E-2</v>
      </c>
    </row>
    <row r="564" spans="1:4" x14ac:dyDescent="0.25">
      <c r="A564" s="1">
        <v>41250</v>
      </c>
      <c r="B564">
        <v>2.1663327489999999</v>
      </c>
      <c r="C564" s="2">
        <v>5.8099999999999999E-2</v>
      </c>
      <c r="D564" s="2">
        <v>6.1800000000000001E-2</v>
      </c>
    </row>
    <row r="565" spans="1:4" x14ac:dyDescent="0.25">
      <c r="A565" s="1">
        <v>41249</v>
      </c>
      <c r="B565">
        <v>2.1082736280000001</v>
      </c>
      <c r="C565" s="2">
        <v>2.8299999999999999E-2</v>
      </c>
      <c r="D565" s="2">
        <v>6.13E-2</v>
      </c>
    </row>
    <row r="566" spans="1:4" x14ac:dyDescent="0.25">
      <c r="A566" s="1">
        <v>41248</v>
      </c>
      <c r="B566">
        <v>2.0799414920000001</v>
      </c>
      <c r="C566" s="2">
        <v>1.21E-2</v>
      </c>
      <c r="D566" s="2">
        <v>6.1899999999999997E-2</v>
      </c>
    </row>
    <row r="567" spans="1:4" x14ac:dyDescent="0.25">
      <c r="A567" s="1">
        <v>41247</v>
      </c>
      <c r="B567">
        <v>2.0678302369999999</v>
      </c>
      <c r="C567" s="2">
        <v>-1.84E-2</v>
      </c>
      <c r="D567" s="2">
        <v>6.25E-2</v>
      </c>
    </row>
    <row r="568" spans="1:4" x14ac:dyDescent="0.25">
      <c r="A568" s="1">
        <v>41246</v>
      </c>
      <c r="B568">
        <v>2.086222571</v>
      </c>
      <c r="C568" s="2">
        <v>1.37E-2</v>
      </c>
      <c r="D568" s="2">
        <v>6.25E-2</v>
      </c>
    </row>
    <row r="569" spans="1:4" x14ac:dyDescent="0.25">
      <c r="A569" s="1">
        <v>41243</v>
      </c>
      <c r="B569">
        <v>2.0725335490000001</v>
      </c>
      <c r="C569" s="2">
        <v>1E-4</v>
      </c>
      <c r="D569" s="2">
        <v>6.25E-2</v>
      </c>
    </row>
    <row r="570" spans="1:4" x14ac:dyDescent="0.25">
      <c r="A570" s="1">
        <v>41242</v>
      </c>
      <c r="B570">
        <v>2.072443861</v>
      </c>
      <c r="C570" s="2">
        <v>2.1499999999999998E-2</v>
      </c>
      <c r="D570" s="2">
        <v>6.3E-2</v>
      </c>
    </row>
    <row r="571" spans="1:4" x14ac:dyDescent="0.25">
      <c r="A571" s="1">
        <v>41241</v>
      </c>
      <c r="B571">
        <v>2.0509742580000001</v>
      </c>
      <c r="C571" s="2">
        <v>6.8999999999999999E-3</v>
      </c>
      <c r="D571" s="2">
        <v>6.3E-2</v>
      </c>
    </row>
    <row r="572" spans="1:4" x14ac:dyDescent="0.25">
      <c r="A572" s="1">
        <v>41240</v>
      </c>
      <c r="B572">
        <v>2.0440489529999999</v>
      </c>
      <c r="C572" s="2">
        <v>-8.8800000000000004E-2</v>
      </c>
      <c r="D572" s="2">
        <v>6.3500000000000001E-2</v>
      </c>
    </row>
    <row r="573" spans="1:4" x14ac:dyDescent="0.25">
      <c r="A573" s="1">
        <v>41239</v>
      </c>
      <c r="B573">
        <v>2.1328988729999998</v>
      </c>
      <c r="C573" s="2">
        <v>-6.8400000000000002E-2</v>
      </c>
      <c r="D573" s="2">
        <v>6.2600000000000003E-2</v>
      </c>
    </row>
    <row r="574" spans="1:4" x14ac:dyDescent="0.25">
      <c r="A574" s="1">
        <v>41236</v>
      </c>
      <c r="B574">
        <v>2.2012643189999999</v>
      </c>
      <c r="C574" s="2">
        <v>8.6999999999999994E-3</v>
      </c>
      <c r="D574" s="2">
        <v>6.2199999999999998E-2</v>
      </c>
    </row>
    <row r="575" spans="1:4" x14ac:dyDescent="0.25">
      <c r="A575" s="1">
        <v>41234</v>
      </c>
      <c r="B575">
        <v>2.1925425330000001</v>
      </c>
      <c r="C575" s="2">
        <v>5.0500000000000003E-2</v>
      </c>
      <c r="D575" s="2">
        <v>6.2399999999999997E-2</v>
      </c>
    </row>
    <row r="576" spans="1:4" x14ac:dyDescent="0.25">
      <c r="A576" s="1">
        <v>41233</v>
      </c>
      <c r="B576">
        <v>2.1420411800000001</v>
      </c>
      <c r="C576" s="2">
        <v>7.2099999999999997E-2</v>
      </c>
      <c r="D576" s="2">
        <v>6.25E-2</v>
      </c>
    </row>
    <row r="577" spans="1:4" x14ac:dyDescent="0.25">
      <c r="A577" s="1">
        <v>41232</v>
      </c>
      <c r="B577">
        <v>2.0699676939999998</v>
      </c>
      <c r="C577" s="2">
        <v>3.39E-2</v>
      </c>
      <c r="D577" s="2">
        <v>6.3100000000000003E-2</v>
      </c>
    </row>
    <row r="578" spans="1:4" x14ac:dyDescent="0.25">
      <c r="A578" s="1">
        <v>41229</v>
      </c>
      <c r="B578">
        <v>2.0361071289999999</v>
      </c>
      <c r="C578" s="2">
        <v>-5.62E-2</v>
      </c>
      <c r="D578" s="2">
        <v>6.2899999999999998E-2</v>
      </c>
    </row>
    <row r="579" spans="1:4" x14ac:dyDescent="0.25">
      <c r="A579" s="1">
        <v>41228</v>
      </c>
      <c r="B579">
        <v>2.0923386430000002</v>
      </c>
      <c r="C579" s="2">
        <v>-4.2000000000000003E-2</v>
      </c>
      <c r="D579" s="2">
        <v>6.2600000000000003E-2</v>
      </c>
    </row>
    <row r="580" spans="1:4" x14ac:dyDescent="0.25">
      <c r="A580" s="1">
        <v>41227</v>
      </c>
      <c r="B580">
        <v>2.13435408</v>
      </c>
      <c r="C580" s="2">
        <v>5.1400000000000001E-2</v>
      </c>
      <c r="D580" s="2">
        <v>6.2600000000000003E-2</v>
      </c>
    </row>
    <row r="581" spans="1:4" x14ac:dyDescent="0.25">
      <c r="A581" s="1">
        <v>41226</v>
      </c>
      <c r="B581">
        <v>2.0829778989999999</v>
      </c>
      <c r="C581" s="2">
        <v>2.3400000000000001E-2</v>
      </c>
      <c r="D581" s="2">
        <v>6.2300000000000001E-2</v>
      </c>
    </row>
    <row r="582" spans="1:4" x14ac:dyDescent="0.25">
      <c r="A582" s="1">
        <v>41222</v>
      </c>
      <c r="B582">
        <v>2.0595956649999998</v>
      </c>
      <c r="C582" s="2">
        <v>0.01</v>
      </c>
      <c r="D582" s="2">
        <v>6.4899999999999999E-2</v>
      </c>
    </row>
    <row r="583" spans="1:4" x14ac:dyDescent="0.25">
      <c r="A583" s="1">
        <v>41221</v>
      </c>
      <c r="B583">
        <v>2.04956432</v>
      </c>
      <c r="C583" s="2">
        <v>-4.24E-2</v>
      </c>
      <c r="D583" s="2">
        <v>6.5600000000000006E-2</v>
      </c>
    </row>
    <row r="584" spans="1:4" x14ac:dyDescent="0.25">
      <c r="A584" s="1">
        <v>41220</v>
      </c>
      <c r="B584">
        <v>2.0919724579999999</v>
      </c>
      <c r="C584" s="2">
        <v>-0.15690000000000001</v>
      </c>
      <c r="D584" s="2">
        <v>6.5500000000000003E-2</v>
      </c>
    </row>
    <row r="585" spans="1:4" x14ac:dyDescent="0.25">
      <c r="A585" s="1">
        <v>41219</v>
      </c>
      <c r="B585">
        <v>2.2488911269999998</v>
      </c>
      <c r="C585" s="2">
        <v>0.1009</v>
      </c>
      <c r="D585" s="2">
        <v>6.2399999999999997E-2</v>
      </c>
    </row>
    <row r="586" spans="1:4" x14ac:dyDescent="0.25">
      <c r="A586" s="1">
        <v>41218</v>
      </c>
      <c r="B586">
        <v>2.1479421520000002</v>
      </c>
      <c r="C586" s="2">
        <v>-4.7E-2</v>
      </c>
      <c r="D586" s="2">
        <v>6.0900000000000003E-2</v>
      </c>
    </row>
    <row r="587" spans="1:4" x14ac:dyDescent="0.25">
      <c r="A587" s="1">
        <v>41215</v>
      </c>
      <c r="B587">
        <v>2.1949310629999998</v>
      </c>
      <c r="C587" s="2">
        <v>-3.7499999999999999E-2</v>
      </c>
      <c r="D587" s="2">
        <v>6.0699999999999997E-2</v>
      </c>
    </row>
    <row r="588" spans="1:4" x14ac:dyDescent="0.25">
      <c r="A588" s="1">
        <v>41214</v>
      </c>
      <c r="B588">
        <v>2.2324289689999999</v>
      </c>
      <c r="C588" s="2">
        <v>9.01E-2</v>
      </c>
      <c r="D588" s="2">
        <v>6.0999999999999999E-2</v>
      </c>
    </row>
    <row r="589" spans="1:4" x14ac:dyDescent="0.25">
      <c r="A589" s="1">
        <v>41213</v>
      </c>
      <c r="B589">
        <v>2.1423497450000002</v>
      </c>
      <c r="C589" s="2">
        <v>-3.3500000000000002E-2</v>
      </c>
      <c r="D589" s="2">
        <v>5.9799999999999999E-2</v>
      </c>
    </row>
    <row r="590" spans="1:4" x14ac:dyDescent="0.25">
      <c r="A590" s="1">
        <v>41211</v>
      </c>
      <c r="B590">
        <v>2.1758632000000002</v>
      </c>
      <c r="C590" s="2">
        <v>-3.04E-2</v>
      </c>
      <c r="D590" s="2">
        <v>6.0900000000000003E-2</v>
      </c>
    </row>
    <row r="591" spans="1:4" x14ac:dyDescent="0.25">
      <c r="A591" s="1">
        <v>41208</v>
      </c>
      <c r="B591">
        <v>2.2062412810000001</v>
      </c>
      <c r="C591" s="2">
        <v>-7.1300000000000002E-2</v>
      </c>
      <c r="D591" s="2">
        <v>6.0900000000000003E-2</v>
      </c>
    </row>
    <row r="592" spans="1:4" x14ac:dyDescent="0.25">
      <c r="A592" s="1">
        <v>41207</v>
      </c>
      <c r="B592">
        <v>2.2775343260000001</v>
      </c>
      <c r="C592" s="2">
        <v>5.2499999999999998E-2</v>
      </c>
      <c r="D592" s="2">
        <v>6.0600000000000001E-2</v>
      </c>
    </row>
    <row r="593" spans="1:4" x14ac:dyDescent="0.25">
      <c r="A593" s="1">
        <v>41206</v>
      </c>
      <c r="B593">
        <v>2.225015129</v>
      </c>
      <c r="C593" s="2">
        <v>3.6700000000000003E-2</v>
      </c>
      <c r="D593" s="2">
        <v>6.0199999999999997E-2</v>
      </c>
    </row>
    <row r="594" spans="1:4" x14ac:dyDescent="0.25">
      <c r="A594" s="1">
        <v>41205</v>
      </c>
      <c r="B594">
        <v>2.1883122199999998</v>
      </c>
      <c r="C594" s="2">
        <v>-1.6500000000000001E-2</v>
      </c>
      <c r="D594" s="2">
        <v>6.2300000000000001E-2</v>
      </c>
    </row>
    <row r="595" spans="1:4" x14ac:dyDescent="0.25">
      <c r="A595" s="1">
        <v>41204</v>
      </c>
      <c r="B595">
        <v>2.2048003729999999</v>
      </c>
      <c r="C595" s="2">
        <v>3.3300000000000003E-2</v>
      </c>
      <c r="D595" s="2">
        <v>6.6699999999999995E-2</v>
      </c>
    </row>
    <row r="596" spans="1:4" x14ac:dyDescent="0.25">
      <c r="A596" s="1">
        <v>41201</v>
      </c>
      <c r="B596">
        <v>2.1714906410000001</v>
      </c>
      <c r="C596" s="2">
        <v>-6.6500000000000004E-2</v>
      </c>
      <c r="D596" s="2">
        <v>6.6699999999999995E-2</v>
      </c>
    </row>
    <row r="597" spans="1:4" x14ac:dyDescent="0.25">
      <c r="A597" s="1">
        <v>41200</v>
      </c>
      <c r="B597">
        <v>2.2380406009999998</v>
      </c>
      <c r="C597" s="2">
        <v>3.8100000000000002E-2</v>
      </c>
      <c r="D597" s="2">
        <v>6.6100000000000006E-2</v>
      </c>
    </row>
    <row r="598" spans="1:4" x14ac:dyDescent="0.25">
      <c r="A598" s="1">
        <v>41199</v>
      </c>
      <c r="B598">
        <v>2.1999397260000002</v>
      </c>
      <c r="C598" s="2">
        <v>0.1096</v>
      </c>
      <c r="D598" s="2">
        <v>6.6100000000000006E-2</v>
      </c>
    </row>
    <row r="599" spans="1:4" x14ac:dyDescent="0.25">
      <c r="A599" s="1">
        <v>41198</v>
      </c>
      <c r="B599">
        <v>2.0903131149999998</v>
      </c>
      <c r="C599" s="2">
        <v>4.6899999999999997E-2</v>
      </c>
      <c r="D599" s="2">
        <v>6.4699999999999994E-2</v>
      </c>
    </row>
    <row r="600" spans="1:4" x14ac:dyDescent="0.25">
      <c r="A600" s="1">
        <v>41197</v>
      </c>
      <c r="B600">
        <v>2.0433983499999999</v>
      </c>
      <c r="C600" s="2">
        <v>2.8500000000000001E-2</v>
      </c>
      <c r="D600" s="2">
        <v>6.4899999999999999E-2</v>
      </c>
    </row>
    <row r="601" spans="1:4" x14ac:dyDescent="0.25">
      <c r="A601" s="1">
        <v>41194</v>
      </c>
      <c r="B601">
        <v>2.014870578</v>
      </c>
      <c r="C601" s="2">
        <v>-3.8999999999999998E-3</v>
      </c>
      <c r="D601" s="2">
        <v>6.4799999999999996E-2</v>
      </c>
    </row>
    <row r="602" spans="1:4" x14ac:dyDescent="0.25">
      <c r="A602" s="1">
        <v>41193</v>
      </c>
      <c r="B602">
        <v>2.018815064</v>
      </c>
      <c r="C602" s="2">
        <v>-3.7900000000000003E-2</v>
      </c>
      <c r="D602" s="2">
        <v>6.5199999999999994E-2</v>
      </c>
    </row>
    <row r="603" spans="1:4" x14ac:dyDescent="0.25">
      <c r="A603" s="1">
        <v>41192</v>
      </c>
      <c r="B603">
        <v>2.056698403</v>
      </c>
      <c r="C603" s="2">
        <v>-5.5500000000000001E-2</v>
      </c>
      <c r="D603" s="2">
        <v>6.5299999999999997E-2</v>
      </c>
    </row>
    <row r="604" spans="1:4" x14ac:dyDescent="0.25">
      <c r="A604" s="1">
        <v>41191</v>
      </c>
      <c r="B604">
        <v>2.1121992039999999</v>
      </c>
      <c r="C604" s="2">
        <v>1.23E-2</v>
      </c>
      <c r="D604" s="2">
        <v>6.54E-2</v>
      </c>
    </row>
    <row r="605" spans="1:4" x14ac:dyDescent="0.25">
      <c r="A605" s="1">
        <v>41187</v>
      </c>
      <c r="B605">
        <v>2.0999165139999998</v>
      </c>
      <c r="C605" s="2">
        <v>3.4000000000000002E-2</v>
      </c>
      <c r="D605" s="2">
        <v>6.5799999999999997E-2</v>
      </c>
    </row>
    <row r="606" spans="1:4" x14ac:dyDescent="0.25">
      <c r="A606" s="1">
        <v>41186</v>
      </c>
      <c r="B606">
        <v>2.0658821660000002</v>
      </c>
      <c r="C606" s="2">
        <v>9.1399999999999995E-2</v>
      </c>
      <c r="D606" s="2">
        <v>6.5600000000000006E-2</v>
      </c>
    </row>
    <row r="607" spans="1:4" x14ac:dyDescent="0.25">
      <c r="A607" s="1">
        <v>41185</v>
      </c>
      <c r="B607">
        <v>1.974444624</v>
      </c>
      <c r="C607" s="2">
        <v>7.5200000000000003E-2</v>
      </c>
      <c r="D607" s="2">
        <v>6.4399999999999999E-2</v>
      </c>
    </row>
    <row r="608" spans="1:4" x14ac:dyDescent="0.25">
      <c r="A608" s="1">
        <v>41184</v>
      </c>
      <c r="B608">
        <v>1.8992686999999999</v>
      </c>
      <c r="C608" s="2">
        <v>-7.9799999999999996E-2</v>
      </c>
      <c r="D608" s="2">
        <v>6.3500000000000001E-2</v>
      </c>
    </row>
    <row r="609" spans="1:4" x14ac:dyDescent="0.25">
      <c r="A609" s="1">
        <v>41183</v>
      </c>
      <c r="B609">
        <v>1.9791061700000001</v>
      </c>
      <c r="C609" s="2">
        <v>-6.08E-2</v>
      </c>
      <c r="D609" s="2">
        <v>6.2799999999999995E-2</v>
      </c>
    </row>
    <row r="610" spans="1:4" x14ac:dyDescent="0.25">
      <c r="A610" s="1">
        <v>41180</v>
      </c>
      <c r="B610">
        <v>2.0399140400000002</v>
      </c>
      <c r="C610" s="2">
        <v>-1.11E-2</v>
      </c>
      <c r="D610" s="2">
        <v>6.3200000000000006E-2</v>
      </c>
    </row>
    <row r="611" spans="1:4" x14ac:dyDescent="0.25">
      <c r="A611" s="1">
        <v>41179</v>
      </c>
      <c r="B611">
        <v>2.050974933</v>
      </c>
      <c r="C611" s="2">
        <v>7.7299999999999994E-2</v>
      </c>
      <c r="D611" s="2">
        <v>6.3200000000000006E-2</v>
      </c>
    </row>
    <row r="612" spans="1:4" x14ac:dyDescent="0.25">
      <c r="A612" s="1">
        <v>41178</v>
      </c>
      <c r="B612">
        <v>1.9736635579999999</v>
      </c>
      <c r="C612" s="2">
        <v>-5.8999999999999999E-3</v>
      </c>
      <c r="D612" s="2">
        <v>6.25E-2</v>
      </c>
    </row>
    <row r="613" spans="1:4" x14ac:dyDescent="0.25">
      <c r="A613" s="1">
        <v>41177</v>
      </c>
      <c r="B613">
        <v>1.979556232</v>
      </c>
      <c r="C613" s="2">
        <v>-6.3799999999999996E-2</v>
      </c>
      <c r="D613" s="2">
        <v>6.3100000000000003E-2</v>
      </c>
    </row>
    <row r="614" spans="1:4" x14ac:dyDescent="0.25">
      <c r="A614" s="1">
        <v>41176</v>
      </c>
      <c r="B614">
        <v>2.043347077</v>
      </c>
      <c r="C614" s="2">
        <v>-5.3400000000000003E-2</v>
      </c>
      <c r="D614" s="2">
        <v>6.3600000000000004E-2</v>
      </c>
    </row>
    <row r="615" spans="1:4" x14ac:dyDescent="0.25">
      <c r="A615" s="1">
        <v>41173</v>
      </c>
      <c r="B615">
        <v>2.0967004829999998</v>
      </c>
      <c r="C615" s="2">
        <v>-7.3200000000000001E-2</v>
      </c>
      <c r="D615" s="2">
        <v>6.3500000000000001E-2</v>
      </c>
    </row>
    <row r="616" spans="1:4" x14ac:dyDescent="0.25">
      <c r="A616" s="1">
        <v>41172</v>
      </c>
      <c r="B616">
        <v>2.1699341950000002</v>
      </c>
      <c r="C616" s="2">
        <v>-4.0899999999999999E-2</v>
      </c>
      <c r="D616" s="2">
        <v>6.3E-2</v>
      </c>
    </row>
    <row r="617" spans="1:4" x14ac:dyDescent="0.25">
      <c r="A617" s="1">
        <v>41171</v>
      </c>
      <c r="B617">
        <v>2.2108565859999998</v>
      </c>
      <c r="C617" s="2">
        <v>-5.8500000000000003E-2</v>
      </c>
      <c r="D617" s="2">
        <v>6.3100000000000003E-2</v>
      </c>
    </row>
    <row r="618" spans="1:4" x14ac:dyDescent="0.25">
      <c r="A618" s="1">
        <v>41170</v>
      </c>
      <c r="B618">
        <v>2.269398619</v>
      </c>
      <c r="C618" s="2">
        <v>-1.18E-2</v>
      </c>
      <c r="D618" s="2">
        <v>6.3600000000000004E-2</v>
      </c>
    </row>
    <row r="619" spans="1:4" x14ac:dyDescent="0.25">
      <c r="A619" s="1">
        <v>41169</v>
      </c>
      <c r="B619">
        <v>2.2811650729999999</v>
      </c>
      <c r="C619" s="2">
        <v>1.3100000000000001E-2</v>
      </c>
      <c r="D619" s="2">
        <v>6.4100000000000004E-2</v>
      </c>
    </row>
    <row r="620" spans="1:4" x14ac:dyDescent="0.25">
      <c r="A620" s="1">
        <v>41166</v>
      </c>
      <c r="B620">
        <v>2.2680491659999999</v>
      </c>
      <c r="C620" s="2">
        <v>6.2E-2</v>
      </c>
      <c r="D620" s="2">
        <v>6.4100000000000004E-2</v>
      </c>
    </row>
    <row r="621" spans="1:4" x14ac:dyDescent="0.25">
      <c r="A621" s="1">
        <v>41165</v>
      </c>
      <c r="B621">
        <v>2.2060134699999998</v>
      </c>
      <c r="C621" s="2">
        <v>-0.22320000000000001</v>
      </c>
      <c r="D621" s="2">
        <v>6.3799999999999996E-2</v>
      </c>
    </row>
    <row r="622" spans="1:4" x14ac:dyDescent="0.25">
      <c r="A622" s="1">
        <v>41164</v>
      </c>
      <c r="B622">
        <v>2.429216625</v>
      </c>
      <c r="C622" s="2">
        <v>3.5499999999999997E-2</v>
      </c>
      <c r="D622" s="2">
        <v>5.7200000000000001E-2</v>
      </c>
    </row>
    <row r="623" spans="1:4" x14ac:dyDescent="0.25">
      <c r="A623" s="1">
        <v>41163</v>
      </c>
      <c r="B623">
        <v>2.3937114949999998</v>
      </c>
      <c r="C623" s="2">
        <v>1.5900000000000001E-2</v>
      </c>
      <c r="D623" s="2">
        <v>5.7000000000000002E-2</v>
      </c>
    </row>
    <row r="624" spans="1:4" x14ac:dyDescent="0.25">
      <c r="A624" s="1">
        <v>41162</v>
      </c>
      <c r="B624">
        <v>2.3778465569999998</v>
      </c>
      <c r="C624" s="2">
        <v>4.0000000000000001E-3</v>
      </c>
      <c r="D624" s="2">
        <v>5.6899999999999999E-2</v>
      </c>
    </row>
    <row r="625" spans="1:4" x14ac:dyDescent="0.25">
      <c r="A625" s="1">
        <v>41159</v>
      </c>
      <c r="B625">
        <v>2.373837188</v>
      </c>
      <c r="C625" s="2">
        <v>-8.2199999999999995E-2</v>
      </c>
      <c r="D625" s="2">
        <v>5.7000000000000002E-2</v>
      </c>
    </row>
    <row r="626" spans="1:4" x14ac:dyDescent="0.25">
      <c r="A626" s="1">
        <v>41158</v>
      </c>
      <c r="B626">
        <v>2.4560721349999999</v>
      </c>
      <c r="C626" s="2">
        <v>6.08E-2</v>
      </c>
      <c r="D626" s="2">
        <v>5.6300000000000003E-2</v>
      </c>
    </row>
    <row r="627" spans="1:4" x14ac:dyDescent="0.25">
      <c r="A627" s="1">
        <v>41157</v>
      </c>
      <c r="B627">
        <v>2.3952760710000001</v>
      </c>
      <c r="C627" s="2">
        <v>1.11E-2</v>
      </c>
      <c r="D627" s="2">
        <v>5.62E-2</v>
      </c>
    </row>
    <row r="628" spans="1:4" x14ac:dyDescent="0.25">
      <c r="A628" s="1">
        <v>41156</v>
      </c>
      <c r="B628">
        <v>2.384166934</v>
      </c>
      <c r="C628" s="2">
        <v>1.52E-2</v>
      </c>
      <c r="D628" s="2">
        <v>5.6399999999999999E-2</v>
      </c>
    </row>
    <row r="629" spans="1:4" x14ac:dyDescent="0.25">
      <c r="A629" s="1">
        <v>41152</v>
      </c>
      <c r="B629">
        <v>2.3689486739999999</v>
      </c>
      <c r="C629" s="2">
        <v>-6.4799999999999996E-2</v>
      </c>
      <c r="D629" s="2">
        <v>5.6300000000000003E-2</v>
      </c>
    </row>
    <row r="630" spans="1:4" x14ac:dyDescent="0.25">
      <c r="A630" s="1">
        <v>41151</v>
      </c>
      <c r="B630">
        <v>2.4337082730000001</v>
      </c>
      <c r="C630" s="2">
        <v>-3.5099999999999999E-2</v>
      </c>
      <c r="D630" s="2">
        <v>5.5800000000000002E-2</v>
      </c>
    </row>
    <row r="631" spans="1:4" x14ac:dyDescent="0.25">
      <c r="A631" s="1">
        <v>41150</v>
      </c>
      <c r="B631">
        <v>2.468784045</v>
      </c>
      <c r="C631" s="2">
        <v>5.7700000000000001E-2</v>
      </c>
      <c r="D631" s="2">
        <v>5.5899999999999998E-2</v>
      </c>
    </row>
    <row r="632" spans="1:4" x14ac:dyDescent="0.25">
      <c r="A632" s="1">
        <v>41149</v>
      </c>
      <c r="B632">
        <v>2.4110384200000001</v>
      </c>
      <c r="C632" s="2">
        <v>-2.9700000000000001E-2</v>
      </c>
      <c r="D632" s="2">
        <v>5.5800000000000002E-2</v>
      </c>
    </row>
    <row r="633" spans="1:4" x14ac:dyDescent="0.25">
      <c r="A633" s="1">
        <v>41148</v>
      </c>
      <c r="B633">
        <v>2.44075263</v>
      </c>
      <c r="C633" s="2">
        <v>-3.5299999999999998E-2</v>
      </c>
      <c r="D633" s="2">
        <v>5.7000000000000002E-2</v>
      </c>
    </row>
    <row r="634" spans="1:4" x14ac:dyDescent="0.25">
      <c r="A634" s="1">
        <v>41145</v>
      </c>
      <c r="B634">
        <v>2.4760934639999999</v>
      </c>
      <c r="C634" s="2">
        <v>3.1399999999999997E-2</v>
      </c>
      <c r="D634" s="2">
        <v>5.8700000000000002E-2</v>
      </c>
    </row>
    <row r="635" spans="1:4" x14ac:dyDescent="0.25">
      <c r="A635" s="1">
        <v>41144</v>
      </c>
      <c r="B635">
        <v>2.4447051609999999</v>
      </c>
      <c r="C635" s="2">
        <v>-6.7400000000000002E-2</v>
      </c>
      <c r="D635" s="2">
        <v>5.8700000000000002E-2</v>
      </c>
    </row>
    <row r="636" spans="1:4" x14ac:dyDescent="0.25">
      <c r="A636" s="1">
        <v>41143</v>
      </c>
      <c r="B636">
        <v>2.5120707640000002</v>
      </c>
      <c r="C636" s="2">
        <v>-0.1138</v>
      </c>
      <c r="D636" s="2">
        <v>5.91E-2</v>
      </c>
    </row>
    <row r="637" spans="1:4" x14ac:dyDescent="0.25">
      <c r="A637" s="1">
        <v>41142</v>
      </c>
      <c r="B637">
        <v>2.625891416</v>
      </c>
      <c r="C637" s="2">
        <v>7.1999999999999998E-3</v>
      </c>
      <c r="D637" s="2">
        <v>5.7299999999999997E-2</v>
      </c>
    </row>
    <row r="638" spans="1:4" x14ac:dyDescent="0.25">
      <c r="A638" s="1">
        <v>41141</v>
      </c>
      <c r="B638">
        <v>2.6186769860000001</v>
      </c>
      <c r="C638" s="2">
        <v>-2.0400000000000001E-2</v>
      </c>
      <c r="D638" s="2">
        <v>5.7299999999999997E-2</v>
      </c>
    </row>
    <row r="639" spans="1:4" x14ac:dyDescent="0.25">
      <c r="A639" s="1">
        <v>41138</v>
      </c>
      <c r="B639">
        <v>2.6390371039999998</v>
      </c>
      <c r="C639" s="2">
        <v>-3.1199999999999999E-2</v>
      </c>
      <c r="D639" s="2">
        <v>5.74E-2</v>
      </c>
    </row>
    <row r="640" spans="1:4" x14ac:dyDescent="0.25">
      <c r="A640" s="1">
        <v>41137</v>
      </c>
      <c r="B640">
        <v>2.6701943250000002</v>
      </c>
      <c r="C640" s="2">
        <v>3.2099999999999997E-2</v>
      </c>
      <c r="D640" s="2">
        <v>5.74E-2</v>
      </c>
    </row>
    <row r="641" spans="1:4" x14ac:dyDescent="0.25">
      <c r="A641" s="1">
        <v>41136</v>
      </c>
      <c r="B641">
        <v>2.638133566</v>
      </c>
      <c r="C641" s="2">
        <v>0.13489999999999999</v>
      </c>
      <c r="D641" s="2">
        <v>5.7500000000000002E-2</v>
      </c>
    </row>
    <row r="642" spans="1:4" x14ac:dyDescent="0.25">
      <c r="A642" s="1">
        <v>41135</v>
      </c>
      <c r="B642">
        <v>2.5032104639999999</v>
      </c>
      <c r="C642" s="2">
        <v>7.0599999999999996E-2</v>
      </c>
      <c r="D642" s="2">
        <v>5.5100000000000003E-2</v>
      </c>
    </row>
    <row r="643" spans="1:4" x14ac:dyDescent="0.25">
      <c r="A643" s="1">
        <v>41134</v>
      </c>
      <c r="B643">
        <v>2.4326197879999998</v>
      </c>
      <c r="C643" s="2">
        <v>-4.7000000000000002E-3</v>
      </c>
      <c r="D643" s="2">
        <v>5.4300000000000001E-2</v>
      </c>
    </row>
    <row r="644" spans="1:4" x14ac:dyDescent="0.25">
      <c r="A644" s="1">
        <v>41131</v>
      </c>
      <c r="B644">
        <v>2.4373468809999999</v>
      </c>
      <c r="C644" s="2">
        <v>-1.9800000000000002E-2</v>
      </c>
      <c r="D644" s="2">
        <v>5.4899999999999997E-2</v>
      </c>
    </row>
    <row r="645" spans="1:4" x14ac:dyDescent="0.25">
      <c r="A645" s="1">
        <v>41130</v>
      </c>
      <c r="B645">
        <v>2.4571707410000001</v>
      </c>
      <c r="C645" s="2">
        <v>3.3E-3</v>
      </c>
      <c r="D645" s="2">
        <v>5.5E-2</v>
      </c>
    </row>
    <row r="646" spans="1:4" x14ac:dyDescent="0.25">
      <c r="A646" s="1">
        <v>41129</v>
      </c>
      <c r="B646">
        <v>2.4538777839999999</v>
      </c>
      <c r="C646" s="2">
        <v>-1.0999999999999999E-2</v>
      </c>
      <c r="D646" s="2">
        <v>5.5E-2</v>
      </c>
    </row>
    <row r="647" spans="1:4" x14ac:dyDescent="0.25">
      <c r="A647" s="1">
        <v>41128</v>
      </c>
      <c r="B647">
        <v>2.464827981</v>
      </c>
      <c r="C647" s="2">
        <v>5.4600000000000003E-2</v>
      </c>
      <c r="D647" s="2">
        <v>5.5100000000000003E-2</v>
      </c>
    </row>
    <row r="648" spans="1:4" x14ac:dyDescent="0.25">
      <c r="A648" s="1">
        <v>41127</v>
      </c>
      <c r="B648">
        <v>2.4102554459999999</v>
      </c>
      <c r="C648" s="2">
        <v>-1.6500000000000001E-2</v>
      </c>
      <c r="D648" s="2">
        <v>5.45E-2</v>
      </c>
    </row>
    <row r="649" spans="1:4" x14ac:dyDescent="0.25">
      <c r="A649" s="1">
        <v>41124</v>
      </c>
      <c r="B649">
        <v>2.4267540940000001</v>
      </c>
      <c r="C649" s="2">
        <v>9.0200000000000002E-2</v>
      </c>
      <c r="D649" s="2">
        <v>5.45E-2</v>
      </c>
    </row>
    <row r="650" spans="1:4" x14ac:dyDescent="0.25">
      <c r="A650" s="1">
        <v>41123</v>
      </c>
      <c r="B650">
        <v>2.3365718910000002</v>
      </c>
      <c r="C650" s="2">
        <v>-2.93E-2</v>
      </c>
      <c r="D650" s="2">
        <v>5.2999999999999999E-2</v>
      </c>
    </row>
    <row r="651" spans="1:4" x14ac:dyDescent="0.25">
      <c r="A651" s="1">
        <v>41122</v>
      </c>
      <c r="B651">
        <v>2.3658814100000001</v>
      </c>
      <c r="C651" s="2">
        <v>5.1299999999999998E-2</v>
      </c>
      <c r="D651" s="2">
        <v>5.2900000000000003E-2</v>
      </c>
    </row>
    <row r="652" spans="1:4" x14ac:dyDescent="0.25">
      <c r="A652" s="1">
        <v>41121</v>
      </c>
      <c r="B652">
        <v>2.3145960730000001</v>
      </c>
      <c r="C652" s="2">
        <v>-2.1899999999999999E-2</v>
      </c>
      <c r="D652" s="2">
        <v>5.2400000000000002E-2</v>
      </c>
    </row>
    <row r="653" spans="1:4" x14ac:dyDescent="0.25">
      <c r="A653" s="1">
        <v>41120</v>
      </c>
      <c r="B653">
        <v>2.3365107530000002</v>
      </c>
      <c r="C653" s="2">
        <v>-0.13200000000000001</v>
      </c>
      <c r="D653" s="2">
        <v>5.2499999999999998E-2</v>
      </c>
    </row>
    <row r="654" spans="1:4" x14ac:dyDescent="0.25">
      <c r="A654" s="1">
        <v>41117</v>
      </c>
      <c r="B654">
        <v>2.4685368269999999</v>
      </c>
      <c r="C654" s="2">
        <v>0.1807</v>
      </c>
      <c r="D654" s="2">
        <v>0.05</v>
      </c>
    </row>
    <row r="655" spans="1:4" x14ac:dyDescent="0.25">
      <c r="A655" s="1">
        <v>41116</v>
      </c>
      <c r="B655">
        <v>2.2877898550000002</v>
      </c>
      <c r="C655" s="2">
        <v>2.4400000000000002E-2</v>
      </c>
      <c r="D655" s="2">
        <v>4.3499999999999997E-2</v>
      </c>
    </row>
    <row r="656" spans="1:4" x14ac:dyDescent="0.25">
      <c r="A656" s="1">
        <v>41115</v>
      </c>
      <c r="B656">
        <v>2.263368024</v>
      </c>
      <c r="C656" s="2">
        <v>1.6199999999999999E-2</v>
      </c>
      <c r="D656" s="2">
        <v>4.36E-2</v>
      </c>
    </row>
    <row r="657" spans="1:4" x14ac:dyDescent="0.25">
      <c r="A657" s="1">
        <v>41114</v>
      </c>
      <c r="B657">
        <v>2.24717799</v>
      </c>
      <c r="C657" s="2">
        <v>-3.0099999999999998E-2</v>
      </c>
      <c r="D657" s="2">
        <v>4.3499999999999997E-2</v>
      </c>
    </row>
    <row r="658" spans="1:4" x14ac:dyDescent="0.25">
      <c r="A658" s="1">
        <v>41113</v>
      </c>
      <c r="B658">
        <v>2.2772318569999999</v>
      </c>
      <c r="C658" s="2">
        <v>-4.7699999999999999E-2</v>
      </c>
      <c r="D658" s="2">
        <v>4.3400000000000001E-2</v>
      </c>
    </row>
    <row r="659" spans="1:4" x14ac:dyDescent="0.25">
      <c r="A659" s="1">
        <v>41110</v>
      </c>
      <c r="B659">
        <v>2.3249603790000002</v>
      </c>
      <c r="C659" s="2">
        <v>-6.8199999999999997E-2</v>
      </c>
      <c r="D659" s="2">
        <v>4.3200000000000002E-2</v>
      </c>
    </row>
    <row r="660" spans="1:4" x14ac:dyDescent="0.25">
      <c r="A660" s="1">
        <v>41109</v>
      </c>
      <c r="B660">
        <v>2.3931217440000001</v>
      </c>
      <c r="C660" s="2">
        <v>1.7299999999999999E-2</v>
      </c>
      <c r="D660" s="2">
        <v>4.2700000000000002E-2</v>
      </c>
    </row>
    <row r="661" spans="1:4" x14ac:dyDescent="0.25">
      <c r="A661" s="1">
        <v>41108</v>
      </c>
      <c r="B661">
        <v>2.3758504230000002</v>
      </c>
      <c r="C661" s="2">
        <v>-6.0199999999999997E-2</v>
      </c>
      <c r="D661" s="2">
        <v>4.2900000000000001E-2</v>
      </c>
    </row>
    <row r="662" spans="1:4" x14ac:dyDescent="0.25">
      <c r="A662" s="1">
        <v>41107</v>
      </c>
      <c r="B662">
        <v>2.4360959179999999</v>
      </c>
      <c r="C662" s="2">
        <v>3.9300000000000002E-2</v>
      </c>
      <c r="D662" s="2">
        <v>4.24E-2</v>
      </c>
    </row>
    <row r="663" spans="1:4" x14ac:dyDescent="0.25">
      <c r="A663" s="1">
        <v>41106</v>
      </c>
      <c r="B663">
        <v>2.3968423720000001</v>
      </c>
      <c r="C663" s="2">
        <v>-6.1699999999999998E-2</v>
      </c>
      <c r="D663" s="2">
        <v>4.2099999999999999E-2</v>
      </c>
    </row>
    <row r="664" spans="1:4" x14ac:dyDescent="0.25">
      <c r="A664" s="1">
        <v>41103</v>
      </c>
      <c r="B664">
        <v>2.4585025300000001</v>
      </c>
      <c r="C664" s="2">
        <v>5.5100000000000003E-2</v>
      </c>
      <c r="D664" s="2">
        <v>4.1799999999999997E-2</v>
      </c>
    </row>
    <row r="665" spans="1:4" x14ac:dyDescent="0.25">
      <c r="A665" s="1">
        <v>41102</v>
      </c>
      <c r="B665">
        <v>2.4034266469999999</v>
      </c>
      <c r="C665" s="2">
        <v>-8.2000000000000007E-3</v>
      </c>
      <c r="D665" s="2">
        <v>4.1000000000000002E-2</v>
      </c>
    </row>
    <row r="666" spans="1:4" x14ac:dyDescent="0.25">
      <c r="A666" s="1">
        <v>41101</v>
      </c>
      <c r="B666">
        <v>2.4116172709999999</v>
      </c>
      <c r="C666" s="2">
        <v>-1.14E-2</v>
      </c>
      <c r="D666" s="2">
        <v>4.1500000000000002E-2</v>
      </c>
    </row>
    <row r="667" spans="1:4" x14ac:dyDescent="0.25">
      <c r="A667" s="1">
        <v>41100</v>
      </c>
      <c r="B667">
        <v>2.4230298189999999</v>
      </c>
      <c r="C667" s="2">
        <v>-2.6200000000000001E-2</v>
      </c>
      <c r="D667" s="2">
        <v>4.1500000000000002E-2</v>
      </c>
    </row>
    <row r="668" spans="1:4" x14ac:dyDescent="0.25">
      <c r="A668" s="1">
        <v>41099</v>
      </c>
      <c r="B668">
        <v>2.4491972099999999</v>
      </c>
      <c r="C668" s="2">
        <v>-2.75E-2</v>
      </c>
      <c r="D668" s="2">
        <v>4.1599999999999998E-2</v>
      </c>
    </row>
    <row r="669" spans="1:4" x14ac:dyDescent="0.25">
      <c r="A669" s="1">
        <v>41096</v>
      </c>
      <c r="B669">
        <v>2.4766480460000002</v>
      </c>
      <c r="C669" s="2">
        <v>-7.9699999999999993E-2</v>
      </c>
      <c r="D669" s="2">
        <v>4.19E-2</v>
      </c>
    </row>
    <row r="670" spans="1:4" x14ac:dyDescent="0.25">
      <c r="A670" s="1">
        <v>41095</v>
      </c>
      <c r="B670">
        <v>2.556379513</v>
      </c>
      <c r="C670" s="2">
        <v>-2.69E-2</v>
      </c>
      <c r="D670" s="2">
        <v>4.1000000000000002E-2</v>
      </c>
    </row>
    <row r="671" spans="1:4" x14ac:dyDescent="0.25">
      <c r="A671" s="1">
        <v>41093</v>
      </c>
      <c r="B671">
        <v>2.5832822040000001</v>
      </c>
      <c r="C671" s="2">
        <v>3.7999999999999999E-2</v>
      </c>
      <c r="D671" s="2">
        <v>4.0899999999999999E-2</v>
      </c>
    </row>
    <row r="672" spans="1:4" x14ac:dyDescent="0.25">
      <c r="A672" s="1">
        <v>41092</v>
      </c>
      <c r="B672">
        <v>2.5453184420000001</v>
      </c>
      <c r="C672" s="2">
        <v>-7.8399999999999997E-2</v>
      </c>
      <c r="D672" s="2">
        <v>4.0500000000000001E-2</v>
      </c>
    </row>
    <row r="673" spans="1:4" x14ac:dyDescent="0.25">
      <c r="A673" s="1">
        <v>41089</v>
      </c>
      <c r="B673">
        <v>2.6237188549999999</v>
      </c>
      <c r="C673" s="2">
        <v>7.2800000000000004E-2</v>
      </c>
      <c r="D673" s="2">
        <v>4.2200000000000001E-2</v>
      </c>
    </row>
    <row r="674" spans="1:4" x14ac:dyDescent="0.25">
      <c r="A674" s="1">
        <v>41088</v>
      </c>
      <c r="B674">
        <v>2.5509636040000001</v>
      </c>
      <c r="C674" s="2">
        <v>-3.7699999999999997E-2</v>
      </c>
      <c r="D674" s="2">
        <v>4.1300000000000003E-2</v>
      </c>
    </row>
    <row r="675" spans="1:4" x14ac:dyDescent="0.25">
      <c r="A675" s="1">
        <v>41087</v>
      </c>
      <c r="B675">
        <v>2.5886723749999998</v>
      </c>
      <c r="C675" s="2">
        <v>-2.7699999999999999E-2</v>
      </c>
      <c r="D675" s="2">
        <v>4.1599999999999998E-2</v>
      </c>
    </row>
    <row r="676" spans="1:4" x14ac:dyDescent="0.25">
      <c r="A676" s="1">
        <v>41086</v>
      </c>
      <c r="B676">
        <v>2.616387215</v>
      </c>
      <c r="C676" s="2">
        <v>3.7900000000000003E-2</v>
      </c>
      <c r="D676" s="2">
        <v>4.48E-2</v>
      </c>
    </row>
    <row r="677" spans="1:4" x14ac:dyDescent="0.25">
      <c r="A677" s="1">
        <v>41085</v>
      </c>
      <c r="B677">
        <v>2.5785006130000001</v>
      </c>
      <c r="C677" s="2">
        <v>-8.9700000000000002E-2</v>
      </c>
      <c r="D677" s="2">
        <v>4.4400000000000002E-2</v>
      </c>
    </row>
    <row r="678" spans="1:4" x14ac:dyDescent="0.25">
      <c r="A678" s="1">
        <v>41082</v>
      </c>
      <c r="B678">
        <v>2.6681925280000001</v>
      </c>
      <c r="C678" s="2">
        <v>5.4100000000000002E-2</v>
      </c>
      <c r="D678" s="2">
        <v>4.36E-2</v>
      </c>
    </row>
    <row r="679" spans="1:4" x14ac:dyDescent="0.25">
      <c r="A679" s="1">
        <v>41081</v>
      </c>
      <c r="B679">
        <v>2.6140453369999999</v>
      </c>
      <c r="C679" s="2">
        <v>-2.8199999999999999E-2</v>
      </c>
      <c r="D679" s="2">
        <v>4.3099999999999999E-2</v>
      </c>
    </row>
    <row r="680" spans="1:4" x14ac:dyDescent="0.25">
      <c r="A680" s="1">
        <v>41080</v>
      </c>
      <c r="B680">
        <v>2.6422120109999998</v>
      </c>
      <c r="C680" s="2">
        <v>4.3299999999999998E-2</v>
      </c>
      <c r="D680" s="2">
        <v>4.3099999999999999E-2</v>
      </c>
    </row>
    <row r="681" spans="1:4" x14ac:dyDescent="0.25">
      <c r="A681" s="1">
        <v>41079</v>
      </c>
      <c r="B681">
        <v>2.5989008120000001</v>
      </c>
      <c r="C681" s="2">
        <v>3.8E-3</v>
      </c>
      <c r="D681" s="2">
        <v>4.36E-2</v>
      </c>
    </row>
    <row r="682" spans="1:4" x14ac:dyDescent="0.25">
      <c r="A682" s="1">
        <v>41078</v>
      </c>
      <c r="B682">
        <v>2.5951502870000001</v>
      </c>
      <c r="C682" s="2">
        <v>-1.84E-2</v>
      </c>
      <c r="D682" s="2">
        <v>4.3499999999999997E-2</v>
      </c>
    </row>
    <row r="683" spans="1:4" x14ac:dyDescent="0.25">
      <c r="A683" s="1">
        <v>41075</v>
      </c>
      <c r="B683">
        <v>2.6135481550000002</v>
      </c>
      <c r="C683" s="2">
        <v>-1.7399999999999999E-2</v>
      </c>
      <c r="D683" s="2">
        <v>4.36E-2</v>
      </c>
    </row>
    <row r="684" spans="1:4" x14ac:dyDescent="0.25">
      <c r="A684" s="1">
        <v>41074</v>
      </c>
      <c r="B684">
        <v>2.6309387800000001</v>
      </c>
      <c r="C684" s="2">
        <v>-2.1600000000000001E-2</v>
      </c>
      <c r="D684" s="2">
        <v>4.36E-2</v>
      </c>
    </row>
    <row r="685" spans="1:4" x14ac:dyDescent="0.25">
      <c r="A685" s="1">
        <v>41073</v>
      </c>
      <c r="B685">
        <v>2.6525646200000002</v>
      </c>
      <c r="C685" s="2">
        <v>-4.3400000000000001E-2</v>
      </c>
      <c r="D685" s="2">
        <v>4.4600000000000001E-2</v>
      </c>
    </row>
    <row r="686" spans="1:4" x14ac:dyDescent="0.25">
      <c r="A686" s="1">
        <v>41072</v>
      </c>
      <c r="B686">
        <v>2.6959588929999998</v>
      </c>
      <c r="C686" s="2">
        <v>5.6099999999999997E-2</v>
      </c>
      <c r="D686" s="2">
        <v>4.4400000000000002E-2</v>
      </c>
    </row>
    <row r="687" spans="1:4" x14ac:dyDescent="0.25">
      <c r="A687" s="1">
        <v>41071</v>
      </c>
      <c r="B687">
        <v>2.6398968960000002</v>
      </c>
      <c r="C687" s="2">
        <v>-3.9199999999999999E-2</v>
      </c>
      <c r="D687" s="2">
        <v>4.6100000000000002E-2</v>
      </c>
    </row>
    <row r="688" spans="1:4" x14ac:dyDescent="0.25">
      <c r="A688" s="1">
        <v>41068</v>
      </c>
      <c r="B688">
        <v>2.6791053539999998</v>
      </c>
      <c r="C688" s="2">
        <v>1.5E-3</v>
      </c>
      <c r="D688" s="2">
        <v>4.5999999999999999E-2</v>
      </c>
    </row>
    <row r="689" spans="1:4" x14ac:dyDescent="0.25">
      <c r="A689" s="1">
        <v>41067</v>
      </c>
      <c r="B689">
        <v>2.6775785559999998</v>
      </c>
      <c r="C689" s="2">
        <v>-2.9399999999999999E-2</v>
      </c>
      <c r="D689" s="2">
        <v>4.5999999999999999E-2</v>
      </c>
    </row>
    <row r="690" spans="1:4" x14ac:dyDescent="0.25">
      <c r="A690" s="1">
        <v>41066</v>
      </c>
      <c r="B690">
        <v>2.7069899300000002</v>
      </c>
      <c r="C690" s="2">
        <v>3.4799999999999998E-2</v>
      </c>
      <c r="D690" s="2">
        <v>5.1799999999999999E-2</v>
      </c>
    </row>
    <row r="691" spans="1:4" x14ac:dyDescent="0.25">
      <c r="A691" s="1">
        <v>41065</v>
      </c>
      <c r="B691">
        <v>2.6721590220000002</v>
      </c>
      <c r="C691" s="2">
        <v>4.99E-2</v>
      </c>
      <c r="D691" s="2">
        <v>5.2600000000000001E-2</v>
      </c>
    </row>
    <row r="692" spans="1:4" x14ac:dyDescent="0.25">
      <c r="A692" s="1">
        <v>41064</v>
      </c>
      <c r="B692">
        <v>2.6222560549999998</v>
      </c>
      <c r="C692" s="2">
        <v>9.0700000000000003E-2</v>
      </c>
      <c r="D692" s="2">
        <v>5.21E-2</v>
      </c>
    </row>
    <row r="693" spans="1:4" x14ac:dyDescent="0.25">
      <c r="A693" s="1">
        <v>41061</v>
      </c>
      <c r="B693">
        <v>2.5315862029999998</v>
      </c>
      <c r="C693" s="2">
        <v>-0.1148</v>
      </c>
      <c r="D693" s="2">
        <v>5.0599999999999999E-2</v>
      </c>
    </row>
    <row r="694" spans="1:4" x14ac:dyDescent="0.25">
      <c r="A694" s="1">
        <v>41060</v>
      </c>
      <c r="B694">
        <v>2.646390529</v>
      </c>
      <c r="C694" s="2">
        <v>-3.85E-2</v>
      </c>
      <c r="D694" s="2">
        <v>4.8800000000000003E-2</v>
      </c>
    </row>
    <row r="695" spans="1:4" x14ac:dyDescent="0.25">
      <c r="A695" s="1">
        <v>41059</v>
      </c>
      <c r="B695">
        <v>2.6848642620000001</v>
      </c>
      <c r="C695" s="2">
        <v>-8.6599999999999996E-2</v>
      </c>
      <c r="D695" s="2">
        <v>4.8800000000000003E-2</v>
      </c>
    </row>
    <row r="696" spans="1:4" x14ac:dyDescent="0.25">
      <c r="A696" s="1">
        <v>41058</v>
      </c>
      <c r="B696">
        <v>2.7714878459999999</v>
      </c>
      <c r="C696" s="2">
        <v>8.0000000000000002E-3</v>
      </c>
      <c r="D696" s="2">
        <v>4.7800000000000002E-2</v>
      </c>
    </row>
    <row r="697" spans="1:4" x14ac:dyDescent="0.25">
      <c r="A697" s="1">
        <v>41054</v>
      </c>
      <c r="B697">
        <v>2.7634534959999999</v>
      </c>
      <c r="C697" s="2">
        <v>2.8999999999999998E-3</v>
      </c>
      <c r="D697" s="2">
        <v>4.7800000000000002E-2</v>
      </c>
    </row>
    <row r="698" spans="1:4" x14ac:dyDescent="0.25">
      <c r="A698" s="1">
        <v>41053</v>
      </c>
      <c r="B698">
        <v>2.760542187</v>
      </c>
      <c r="C698" s="2">
        <v>2.5499999999999998E-2</v>
      </c>
      <c r="D698" s="2">
        <v>4.8000000000000001E-2</v>
      </c>
    </row>
    <row r="699" spans="1:4" x14ac:dyDescent="0.25">
      <c r="A699" s="1">
        <v>41052</v>
      </c>
      <c r="B699">
        <v>2.7350812470000001</v>
      </c>
      <c r="C699" s="2">
        <v>-3.4599999999999999E-2</v>
      </c>
      <c r="D699" s="2">
        <v>4.8300000000000003E-2</v>
      </c>
    </row>
    <row r="700" spans="1:4" x14ac:dyDescent="0.25">
      <c r="A700" s="1">
        <v>41051</v>
      </c>
      <c r="B700">
        <v>2.7696935850000002</v>
      </c>
      <c r="C700" s="2">
        <v>3.61E-2</v>
      </c>
      <c r="D700" s="2">
        <v>4.9000000000000002E-2</v>
      </c>
    </row>
    <row r="701" spans="1:4" x14ac:dyDescent="0.25">
      <c r="A701" s="1">
        <v>41050</v>
      </c>
      <c r="B701">
        <v>2.7335701060000002</v>
      </c>
      <c r="C701" s="2">
        <v>5.5599999999999997E-2</v>
      </c>
      <c r="D701" s="2">
        <v>4.8800000000000003E-2</v>
      </c>
    </row>
    <row r="702" spans="1:4" x14ac:dyDescent="0.25">
      <c r="A702" s="1">
        <v>41047</v>
      </c>
      <c r="B702">
        <v>2.6779720660000002</v>
      </c>
      <c r="C702" s="2">
        <v>6.1000000000000004E-3</v>
      </c>
      <c r="D702" s="2">
        <v>4.8300000000000003E-2</v>
      </c>
    </row>
    <row r="703" spans="1:4" x14ac:dyDescent="0.25">
      <c r="A703" s="1">
        <v>41046</v>
      </c>
      <c r="B703">
        <v>2.6718406859999999</v>
      </c>
      <c r="C703" s="2">
        <v>-6.83E-2</v>
      </c>
      <c r="D703" s="2">
        <v>4.8399999999999999E-2</v>
      </c>
    </row>
    <row r="704" spans="1:4" x14ac:dyDescent="0.25">
      <c r="A704" s="1">
        <v>41045</v>
      </c>
      <c r="B704">
        <v>2.7401286979999999</v>
      </c>
      <c r="C704" s="2">
        <v>-2.9600000000000001E-2</v>
      </c>
      <c r="D704" s="2">
        <v>4.7800000000000002E-2</v>
      </c>
    </row>
    <row r="705" spans="1:4" x14ac:dyDescent="0.25">
      <c r="A705" s="1">
        <v>41044</v>
      </c>
      <c r="B705">
        <v>2.7697091880000002</v>
      </c>
      <c r="C705" s="2">
        <v>-4.3E-3</v>
      </c>
      <c r="D705" s="2">
        <v>4.8099999999999997E-2</v>
      </c>
    </row>
    <row r="706" spans="1:4" x14ac:dyDescent="0.25">
      <c r="A706" s="1">
        <v>41043</v>
      </c>
      <c r="B706">
        <v>2.7739749119999999</v>
      </c>
      <c r="C706" s="2">
        <v>-3.1300000000000001E-2</v>
      </c>
      <c r="D706" s="2">
        <v>4.87E-2</v>
      </c>
    </row>
    <row r="707" spans="1:4" x14ac:dyDescent="0.25">
      <c r="A707" s="1">
        <v>41040</v>
      </c>
      <c r="B707">
        <v>2.8052772080000001</v>
      </c>
      <c r="C707" s="2">
        <v>-1.9300000000000001E-2</v>
      </c>
      <c r="D707" s="2">
        <v>4.87E-2</v>
      </c>
    </row>
    <row r="708" spans="1:4" x14ac:dyDescent="0.25">
      <c r="A708" s="1">
        <v>41039</v>
      </c>
      <c r="B708">
        <v>2.8246078639999999</v>
      </c>
      <c r="C708" s="2">
        <v>-8.2000000000000007E-3</v>
      </c>
      <c r="D708" s="2">
        <v>4.9099999999999998E-2</v>
      </c>
    </row>
    <row r="709" spans="1:4" x14ac:dyDescent="0.25">
      <c r="A709" s="1">
        <v>41038</v>
      </c>
      <c r="B709">
        <v>2.8327642979999998</v>
      </c>
      <c r="C709" s="2">
        <v>-1.29E-2</v>
      </c>
      <c r="D709" s="2">
        <v>4.9099999999999998E-2</v>
      </c>
    </row>
    <row r="710" spans="1:4" x14ac:dyDescent="0.25">
      <c r="A710" s="1">
        <v>41037</v>
      </c>
      <c r="B710">
        <v>2.8457023220000002</v>
      </c>
      <c r="C710" s="2">
        <v>-1.2800000000000001E-2</v>
      </c>
      <c r="D710" s="2">
        <v>4.9500000000000002E-2</v>
      </c>
    </row>
    <row r="711" spans="1:4" x14ac:dyDescent="0.25">
      <c r="A711" s="1">
        <v>41036</v>
      </c>
      <c r="B711">
        <v>2.8584736940000002</v>
      </c>
      <c r="C711" s="2">
        <v>7.6E-3</v>
      </c>
      <c r="D711" s="2">
        <v>4.9500000000000002E-2</v>
      </c>
    </row>
    <row r="712" spans="1:4" x14ac:dyDescent="0.25">
      <c r="A712" s="1">
        <v>41033</v>
      </c>
      <c r="B712">
        <v>2.8508681239999998</v>
      </c>
      <c r="C712" s="2">
        <v>-3.15E-2</v>
      </c>
      <c r="D712" s="2">
        <v>4.9700000000000001E-2</v>
      </c>
    </row>
    <row r="713" spans="1:4" x14ac:dyDescent="0.25">
      <c r="A713" s="1">
        <v>41032</v>
      </c>
      <c r="B713">
        <v>2.8823346380000001</v>
      </c>
      <c r="C713" s="2">
        <v>8.9999999999999993E-3</v>
      </c>
      <c r="D713" s="2">
        <v>5.0599999999999999E-2</v>
      </c>
    </row>
    <row r="714" spans="1:4" x14ac:dyDescent="0.25">
      <c r="A714" s="1">
        <v>41031</v>
      </c>
      <c r="B714">
        <v>2.873380955</v>
      </c>
      <c r="C714" s="2">
        <v>-1.7500000000000002E-2</v>
      </c>
      <c r="D714" s="2">
        <v>5.0700000000000002E-2</v>
      </c>
    </row>
    <row r="715" spans="1:4" x14ac:dyDescent="0.25">
      <c r="A715" s="1">
        <v>41030</v>
      </c>
      <c r="B715">
        <v>2.8908484319999999</v>
      </c>
      <c r="C715" s="2">
        <v>3.2300000000000002E-2</v>
      </c>
      <c r="D715" s="2">
        <v>5.0799999999999998E-2</v>
      </c>
    </row>
    <row r="716" spans="1:4" x14ac:dyDescent="0.25">
      <c r="A716" s="1">
        <v>41029</v>
      </c>
      <c r="B716">
        <v>2.8585941720000001</v>
      </c>
      <c r="C716" s="2">
        <v>-1.3100000000000001E-2</v>
      </c>
      <c r="D716" s="2">
        <v>5.11E-2</v>
      </c>
    </row>
    <row r="717" spans="1:4" x14ac:dyDescent="0.25">
      <c r="A717" s="1">
        <v>41026</v>
      </c>
      <c r="B717">
        <v>2.8716721170000001</v>
      </c>
      <c r="C717" s="2">
        <v>-2.07E-2</v>
      </c>
      <c r="D717" s="2">
        <v>5.2400000000000002E-2</v>
      </c>
    </row>
    <row r="718" spans="1:4" x14ac:dyDescent="0.25">
      <c r="A718" s="1">
        <v>41025</v>
      </c>
      <c r="B718">
        <v>2.8924009740000001</v>
      </c>
      <c r="C718" s="2">
        <v>-0.03</v>
      </c>
      <c r="D718" s="2">
        <v>5.2900000000000003E-2</v>
      </c>
    </row>
    <row r="719" spans="1:4" x14ac:dyDescent="0.25">
      <c r="A719" s="1">
        <v>41024</v>
      </c>
      <c r="B719">
        <v>2.9224114609999998</v>
      </c>
      <c r="C719" s="2">
        <v>2.1399999999999999E-2</v>
      </c>
      <c r="D719" s="2">
        <v>5.2699999999999997E-2</v>
      </c>
    </row>
    <row r="720" spans="1:4" x14ac:dyDescent="0.25">
      <c r="A720" s="1">
        <v>41023</v>
      </c>
      <c r="B720">
        <v>2.9009701200000002</v>
      </c>
      <c r="C720" s="2">
        <v>3.0200000000000001E-2</v>
      </c>
      <c r="D720" s="2">
        <v>5.2900000000000003E-2</v>
      </c>
    </row>
    <row r="721" spans="1:4" x14ac:dyDescent="0.25">
      <c r="A721" s="1">
        <v>41022</v>
      </c>
      <c r="B721">
        <v>2.8708141509999998</v>
      </c>
      <c r="C721" s="2">
        <v>-3.2500000000000001E-2</v>
      </c>
      <c r="D721" s="2">
        <v>5.2699999999999997E-2</v>
      </c>
    </row>
    <row r="722" spans="1:4" x14ac:dyDescent="0.25">
      <c r="A722" s="1">
        <v>41019</v>
      </c>
      <c r="B722">
        <v>2.903351362</v>
      </c>
      <c r="C722" s="2">
        <v>1.5900000000000001E-2</v>
      </c>
      <c r="D722" s="2">
        <v>5.28E-2</v>
      </c>
    </row>
    <row r="723" spans="1:4" x14ac:dyDescent="0.25">
      <c r="A723" s="1">
        <v>41018</v>
      </c>
      <c r="B723">
        <v>2.887439026</v>
      </c>
      <c r="C723" s="2">
        <v>-4.2999999999999997E-2</v>
      </c>
      <c r="D723" s="2">
        <v>5.33E-2</v>
      </c>
    </row>
    <row r="724" spans="1:4" x14ac:dyDescent="0.25">
      <c r="A724" s="1">
        <v>41017</v>
      </c>
      <c r="B724">
        <v>2.9304565340000002</v>
      </c>
      <c r="C724" s="2">
        <v>-2.6599999999999999E-2</v>
      </c>
      <c r="D724" s="2">
        <v>5.3499999999999999E-2</v>
      </c>
    </row>
    <row r="725" spans="1:4" x14ac:dyDescent="0.25">
      <c r="A725" s="1">
        <v>41016</v>
      </c>
      <c r="B725">
        <v>2.9570995390000001</v>
      </c>
      <c r="C725" s="2">
        <v>3.9E-2</v>
      </c>
      <c r="D725" s="2">
        <v>5.3400000000000003E-2</v>
      </c>
    </row>
    <row r="726" spans="1:4" x14ac:dyDescent="0.25">
      <c r="A726" s="1">
        <v>41015</v>
      </c>
      <c r="B726">
        <v>2.9180832159999999</v>
      </c>
      <c r="C726" s="2">
        <v>-1.4200000000000001E-2</v>
      </c>
      <c r="D726" s="2">
        <v>5.3199999999999997E-2</v>
      </c>
    </row>
    <row r="727" spans="1:4" x14ac:dyDescent="0.25">
      <c r="A727" s="1">
        <v>41012</v>
      </c>
      <c r="B727">
        <v>2.9322657510000001</v>
      </c>
      <c r="C727" s="2">
        <v>-3.5200000000000002E-2</v>
      </c>
      <c r="D727" s="2">
        <v>5.3199999999999997E-2</v>
      </c>
    </row>
    <row r="728" spans="1:4" x14ac:dyDescent="0.25">
      <c r="A728" s="1">
        <v>41011</v>
      </c>
      <c r="B728">
        <v>2.9674500240000001</v>
      </c>
      <c r="C728" s="2">
        <v>3.6700000000000003E-2</v>
      </c>
      <c r="D728" s="2">
        <v>5.3600000000000002E-2</v>
      </c>
    </row>
    <row r="729" spans="1:4" x14ac:dyDescent="0.25">
      <c r="A729" s="1">
        <v>41010</v>
      </c>
      <c r="B729">
        <v>2.9307831449999999</v>
      </c>
      <c r="C729" s="2">
        <v>1.9800000000000002E-2</v>
      </c>
      <c r="D729" s="2">
        <v>5.3600000000000002E-2</v>
      </c>
    </row>
    <row r="730" spans="1:4" x14ac:dyDescent="0.25">
      <c r="A730" s="1">
        <v>41009</v>
      </c>
      <c r="B730">
        <v>2.91098524</v>
      </c>
      <c r="C730" s="2">
        <v>-5.0000000000000001E-4</v>
      </c>
      <c r="D730" s="2">
        <v>5.3900000000000003E-2</v>
      </c>
    </row>
    <row r="731" spans="1:4" x14ac:dyDescent="0.25">
      <c r="A731" s="1">
        <v>41008</v>
      </c>
      <c r="B731">
        <v>2.911516115</v>
      </c>
      <c r="C731" s="2">
        <v>-1.9199999999999998E-2</v>
      </c>
      <c r="D731" s="2">
        <v>5.4100000000000002E-2</v>
      </c>
    </row>
    <row r="732" spans="1:4" x14ac:dyDescent="0.25">
      <c r="A732" s="1">
        <v>41005</v>
      </c>
      <c r="B732">
        <v>2.9307220749999998</v>
      </c>
      <c r="C732" s="2">
        <v>-0.1232</v>
      </c>
      <c r="D732" s="2">
        <v>5.4199999999999998E-2</v>
      </c>
    </row>
    <row r="733" spans="1:4" x14ac:dyDescent="0.25">
      <c r="A733" s="1">
        <v>41004</v>
      </c>
      <c r="B733">
        <v>3.0539631360000001</v>
      </c>
      <c r="C733" s="2">
        <v>-5.4800000000000001E-2</v>
      </c>
      <c r="D733" s="2">
        <v>5.1900000000000002E-2</v>
      </c>
    </row>
    <row r="734" spans="1:4" x14ac:dyDescent="0.25">
      <c r="A734" s="1">
        <v>41003</v>
      </c>
      <c r="B734">
        <v>3.1087985499999999</v>
      </c>
      <c r="C734" s="2">
        <v>-5.6099999999999997E-2</v>
      </c>
      <c r="D734" s="2">
        <v>5.16E-2</v>
      </c>
    </row>
    <row r="735" spans="1:4" x14ac:dyDescent="0.25">
      <c r="A735" s="1">
        <v>41002</v>
      </c>
      <c r="B735">
        <v>3.164915846</v>
      </c>
      <c r="C735" s="2">
        <v>0.12</v>
      </c>
      <c r="D735" s="2">
        <v>5.11E-2</v>
      </c>
    </row>
    <row r="736" spans="1:4" x14ac:dyDescent="0.25">
      <c r="A736" s="1">
        <v>41001</v>
      </c>
      <c r="B736">
        <v>3.0449639550000001</v>
      </c>
      <c r="C736" s="2">
        <v>-2.1999999999999999E-2</v>
      </c>
      <c r="D736" s="2">
        <v>4.9299999999999997E-2</v>
      </c>
    </row>
    <row r="737" spans="1:4" x14ac:dyDescent="0.25">
      <c r="A737" s="1">
        <v>40998</v>
      </c>
      <c r="B737">
        <v>3.0669215749999998</v>
      </c>
      <c r="C737" s="2">
        <v>4.4999999999999998E-2</v>
      </c>
      <c r="D737" s="2">
        <v>5.0500000000000003E-2</v>
      </c>
    </row>
    <row r="738" spans="1:4" x14ac:dyDescent="0.25">
      <c r="A738" s="1">
        <v>40997</v>
      </c>
      <c r="B738">
        <v>3.021960365</v>
      </c>
      <c r="C738" s="2">
        <v>-3.49E-2</v>
      </c>
      <c r="D738" s="2">
        <v>5.0200000000000002E-2</v>
      </c>
    </row>
    <row r="739" spans="1:4" x14ac:dyDescent="0.25">
      <c r="A739" s="1">
        <v>40996</v>
      </c>
      <c r="B739">
        <v>3.056843888</v>
      </c>
      <c r="C739" s="2">
        <v>1.6899999999999998E-2</v>
      </c>
      <c r="D739" s="2">
        <v>5.0099999999999999E-2</v>
      </c>
    </row>
    <row r="740" spans="1:4" x14ac:dyDescent="0.25">
      <c r="A740" s="1">
        <v>40995</v>
      </c>
      <c r="B740">
        <v>3.0399029770000001</v>
      </c>
      <c r="C740" s="2">
        <v>-7.8399999999999997E-2</v>
      </c>
      <c r="D740" s="2">
        <v>5.0099999999999999E-2</v>
      </c>
    </row>
    <row r="741" spans="1:4" x14ac:dyDescent="0.25">
      <c r="A741" s="1">
        <v>40994</v>
      </c>
      <c r="B741">
        <v>3.118277231</v>
      </c>
      <c r="C741" s="2">
        <v>-1.4200000000000001E-2</v>
      </c>
      <c r="D741" s="2">
        <v>4.9099999999999998E-2</v>
      </c>
    </row>
    <row r="742" spans="1:4" x14ac:dyDescent="0.25">
      <c r="A742" s="1">
        <v>40991</v>
      </c>
      <c r="B742">
        <v>3.13244919</v>
      </c>
      <c r="C742" s="2">
        <v>-2.46E-2</v>
      </c>
      <c r="D742" s="2">
        <v>5.0900000000000001E-2</v>
      </c>
    </row>
    <row r="743" spans="1:4" x14ac:dyDescent="0.25">
      <c r="A743" s="1">
        <v>40990</v>
      </c>
      <c r="B743">
        <v>3.1570833299999999</v>
      </c>
      <c r="C743" s="2">
        <v>-2.0000000000000001E-4</v>
      </c>
      <c r="D743" s="2">
        <v>5.0799999999999998E-2</v>
      </c>
    </row>
    <row r="744" spans="1:4" x14ac:dyDescent="0.25">
      <c r="A744" s="1">
        <v>40989</v>
      </c>
      <c r="B744">
        <v>3.1573196700000001</v>
      </c>
      <c r="C744" s="2">
        <v>-8.4099999999999994E-2</v>
      </c>
      <c r="D744" s="2">
        <v>5.1799999999999999E-2</v>
      </c>
    </row>
    <row r="745" spans="1:4" x14ac:dyDescent="0.25">
      <c r="A745" s="1">
        <v>40988</v>
      </c>
      <c r="B745">
        <v>3.2414402920000001</v>
      </c>
      <c r="C745" s="2">
        <v>5.1000000000000004E-3</v>
      </c>
      <c r="D745" s="2">
        <v>5.0599999999999999E-2</v>
      </c>
    </row>
    <row r="746" spans="1:4" x14ac:dyDescent="0.25">
      <c r="A746" s="1">
        <v>40987</v>
      </c>
      <c r="B746">
        <v>3.2363757670000002</v>
      </c>
      <c r="C746" s="2">
        <v>0.10539999999999999</v>
      </c>
      <c r="D746" s="2">
        <v>5.0799999999999998E-2</v>
      </c>
    </row>
    <row r="747" spans="1:4" x14ac:dyDescent="0.25">
      <c r="A747" s="1">
        <v>40984</v>
      </c>
      <c r="B747">
        <v>3.1309519510000001</v>
      </c>
      <c r="C747" s="2">
        <v>-2.8000000000000001E-2</v>
      </c>
      <c r="D747" s="2">
        <v>0.05</v>
      </c>
    </row>
    <row r="748" spans="1:4" x14ac:dyDescent="0.25">
      <c r="A748" s="1">
        <v>40983</v>
      </c>
      <c r="B748">
        <v>3.158955856</v>
      </c>
      <c r="C748" s="2">
        <v>-1.06E-2</v>
      </c>
      <c r="D748" s="2">
        <v>4.9799999999999997E-2</v>
      </c>
    </row>
    <row r="749" spans="1:4" x14ac:dyDescent="0.25">
      <c r="A749" s="1">
        <v>40982</v>
      </c>
      <c r="B749">
        <v>3.1695853610000002</v>
      </c>
      <c r="C749" s="2">
        <v>0.1782</v>
      </c>
      <c r="D749" s="2">
        <v>5.0299999999999997E-2</v>
      </c>
    </row>
    <row r="750" spans="1:4" x14ac:dyDescent="0.25">
      <c r="A750" s="1">
        <v>40981</v>
      </c>
      <c r="B750">
        <v>2.9914012419999998</v>
      </c>
      <c r="C750" s="2">
        <v>7.5200000000000003E-2</v>
      </c>
      <c r="D750" s="2">
        <v>4.4999999999999998E-2</v>
      </c>
    </row>
    <row r="751" spans="1:4" x14ac:dyDescent="0.25">
      <c r="A751" s="1">
        <v>40980</v>
      </c>
      <c r="B751">
        <v>2.9162427900000001</v>
      </c>
      <c r="C751" s="2">
        <v>-5.7000000000000002E-3</v>
      </c>
      <c r="D751" s="2">
        <v>4.48E-2</v>
      </c>
    </row>
    <row r="752" spans="1:4" x14ac:dyDescent="0.25">
      <c r="A752" s="1">
        <v>40977</v>
      </c>
      <c r="B752">
        <v>2.9219507349999998</v>
      </c>
      <c r="C752" s="2">
        <v>-1.17E-2</v>
      </c>
      <c r="D752" s="2">
        <v>4.5199999999999997E-2</v>
      </c>
    </row>
    <row r="753" spans="1:4" x14ac:dyDescent="0.25">
      <c r="A753" s="1">
        <v>40976</v>
      </c>
      <c r="B753">
        <v>2.9336402800000001</v>
      </c>
      <c r="C753" s="2">
        <v>3.4000000000000002E-2</v>
      </c>
      <c r="D753" s="2">
        <v>4.5199999999999997E-2</v>
      </c>
    </row>
    <row r="754" spans="1:4" x14ac:dyDescent="0.25">
      <c r="A754" s="1">
        <v>40975</v>
      </c>
      <c r="B754">
        <v>2.8996218580000002</v>
      </c>
      <c r="C754" s="2">
        <v>3.4599999999999999E-2</v>
      </c>
      <c r="D754" s="2">
        <v>4.6100000000000002E-2</v>
      </c>
    </row>
    <row r="755" spans="1:4" x14ac:dyDescent="0.25">
      <c r="A755" s="1">
        <v>40974</v>
      </c>
      <c r="B755">
        <v>2.8650613840000001</v>
      </c>
      <c r="C755" s="2">
        <v>-3.5700000000000003E-2</v>
      </c>
      <c r="D755" s="2">
        <v>4.5999999999999999E-2</v>
      </c>
    </row>
    <row r="756" spans="1:4" x14ac:dyDescent="0.25">
      <c r="A756" s="1">
        <v>40973</v>
      </c>
      <c r="B756">
        <v>2.9007707639999998</v>
      </c>
      <c r="C756" s="2">
        <v>0.01</v>
      </c>
      <c r="D756" s="2">
        <v>4.6899999999999997E-2</v>
      </c>
    </row>
    <row r="757" spans="1:4" x14ac:dyDescent="0.25">
      <c r="A757" s="1">
        <v>40970</v>
      </c>
      <c r="B757">
        <v>2.8908030060000001</v>
      </c>
      <c r="C757" s="2">
        <v>-3.7900000000000003E-2</v>
      </c>
      <c r="D757" s="2">
        <v>4.6899999999999997E-2</v>
      </c>
    </row>
    <row r="758" spans="1:4" x14ac:dyDescent="0.25">
      <c r="A758" s="1">
        <v>40969</v>
      </c>
      <c r="B758">
        <v>2.9287236029999999</v>
      </c>
      <c r="C758" s="2">
        <v>4.7E-2</v>
      </c>
      <c r="D758" s="2">
        <v>4.6800000000000001E-2</v>
      </c>
    </row>
    <row r="759" spans="1:4" x14ac:dyDescent="0.25">
      <c r="A759" s="1">
        <v>40968</v>
      </c>
      <c r="B759">
        <v>2.8817315460000001</v>
      </c>
      <c r="C759" s="2">
        <v>7.1499999999999994E-2</v>
      </c>
      <c r="D759" s="2">
        <v>4.7E-2</v>
      </c>
    </row>
    <row r="760" spans="1:4" x14ac:dyDescent="0.25">
      <c r="A760" s="1">
        <v>40967</v>
      </c>
      <c r="B760">
        <v>2.810196168</v>
      </c>
      <c r="C760" s="2">
        <v>-1.03E-2</v>
      </c>
      <c r="D760" s="2">
        <v>4.6199999999999998E-2</v>
      </c>
    </row>
    <row r="761" spans="1:4" x14ac:dyDescent="0.25">
      <c r="A761" s="1">
        <v>40966</v>
      </c>
      <c r="B761">
        <v>2.820539052</v>
      </c>
      <c r="C761" s="2">
        <v>-2.63E-2</v>
      </c>
      <c r="D761" s="2">
        <v>4.6199999999999998E-2</v>
      </c>
    </row>
    <row r="762" spans="1:4" x14ac:dyDescent="0.25">
      <c r="A762" s="1">
        <v>40963</v>
      </c>
      <c r="B762">
        <v>2.8468470780000001</v>
      </c>
      <c r="C762" s="2">
        <v>1.2E-2</v>
      </c>
      <c r="D762" s="2">
        <v>4.6100000000000002E-2</v>
      </c>
    </row>
    <row r="763" spans="1:4" x14ac:dyDescent="0.25">
      <c r="A763" s="1">
        <v>40962</v>
      </c>
      <c r="B763">
        <v>2.8348328359999999</v>
      </c>
      <c r="C763" s="2">
        <v>-3.8300000000000001E-2</v>
      </c>
      <c r="D763" s="2">
        <v>4.6199999999999998E-2</v>
      </c>
    </row>
    <row r="764" spans="1:4" x14ac:dyDescent="0.25">
      <c r="A764" s="1">
        <v>40961</v>
      </c>
      <c r="B764">
        <v>2.873131393</v>
      </c>
      <c r="C764" s="2">
        <v>-0.05</v>
      </c>
      <c r="D764" s="2">
        <v>4.7199999999999999E-2</v>
      </c>
    </row>
    <row r="765" spans="1:4" x14ac:dyDescent="0.25">
      <c r="A765" s="1">
        <v>40960</v>
      </c>
      <c r="B765">
        <v>2.923155999</v>
      </c>
      <c r="C765" s="2">
        <v>5.4800000000000001E-2</v>
      </c>
      <c r="D765" s="2">
        <v>4.6800000000000001E-2</v>
      </c>
    </row>
    <row r="766" spans="1:4" x14ac:dyDescent="0.25">
      <c r="A766" s="1">
        <v>40956</v>
      </c>
      <c r="B766">
        <v>2.8683607059999998</v>
      </c>
      <c r="C766" s="2">
        <v>3.6700000000000003E-2</v>
      </c>
      <c r="D766" s="2">
        <v>4.6399999999999997E-2</v>
      </c>
    </row>
    <row r="767" spans="1:4" x14ac:dyDescent="0.25">
      <c r="A767" s="1">
        <v>40955</v>
      </c>
      <c r="B767">
        <v>2.831673061</v>
      </c>
      <c r="C767" s="2">
        <v>4.9500000000000002E-2</v>
      </c>
      <c r="D767" s="2">
        <v>4.6199999999999998E-2</v>
      </c>
    </row>
    <row r="768" spans="1:4" x14ac:dyDescent="0.25">
      <c r="A768" s="1">
        <v>40954</v>
      </c>
      <c r="B768">
        <v>2.782211872</v>
      </c>
      <c r="C768" s="2">
        <v>1.54E-2</v>
      </c>
      <c r="D768" s="2">
        <v>4.6199999999999998E-2</v>
      </c>
    </row>
    <row r="769" spans="1:4" x14ac:dyDescent="0.25">
      <c r="A769" s="1">
        <v>40953</v>
      </c>
      <c r="B769">
        <v>2.766814637</v>
      </c>
      <c r="C769" s="2">
        <v>-5.0700000000000002E-2</v>
      </c>
      <c r="D769" s="2">
        <v>4.6300000000000001E-2</v>
      </c>
    </row>
    <row r="770" spans="1:4" x14ac:dyDescent="0.25">
      <c r="A770" s="1">
        <v>40952</v>
      </c>
      <c r="B770">
        <v>2.817485472</v>
      </c>
      <c r="C770" s="2">
        <v>7.7000000000000002E-3</v>
      </c>
      <c r="D770" s="2">
        <v>4.5999999999999999E-2</v>
      </c>
    </row>
    <row r="771" spans="1:4" x14ac:dyDescent="0.25">
      <c r="A771" s="1">
        <v>40949</v>
      </c>
      <c r="B771">
        <v>2.8097489690000002</v>
      </c>
      <c r="C771" s="2">
        <v>-3.61E-2</v>
      </c>
      <c r="D771" s="2">
        <v>4.6100000000000002E-2</v>
      </c>
    </row>
    <row r="772" spans="1:4" x14ac:dyDescent="0.25">
      <c r="A772" s="1">
        <v>40948</v>
      </c>
      <c r="B772">
        <v>2.8458544400000001</v>
      </c>
      <c r="C772" s="2">
        <v>7.8799999999999995E-2</v>
      </c>
      <c r="D772" s="2">
        <v>4.5900000000000003E-2</v>
      </c>
    </row>
    <row r="773" spans="1:4" x14ac:dyDescent="0.25">
      <c r="A773" s="1">
        <v>40947</v>
      </c>
      <c r="B773">
        <v>2.7670306949999999</v>
      </c>
      <c r="C773" s="2">
        <v>-2.76E-2</v>
      </c>
      <c r="D773" s="2">
        <v>4.53E-2</v>
      </c>
    </row>
    <row r="774" spans="1:4" x14ac:dyDescent="0.25">
      <c r="A774" s="1">
        <v>40946</v>
      </c>
      <c r="B774">
        <v>2.7946021129999998</v>
      </c>
      <c r="C774" s="2">
        <v>3.3300000000000003E-2</v>
      </c>
      <c r="D774" s="2">
        <v>4.5600000000000002E-2</v>
      </c>
    </row>
    <row r="775" spans="1:4" x14ac:dyDescent="0.25">
      <c r="A775" s="1">
        <v>40945</v>
      </c>
      <c r="B775">
        <v>2.7613284340000002</v>
      </c>
      <c r="C775" s="2">
        <v>-4.8800000000000003E-2</v>
      </c>
      <c r="D775" s="2">
        <v>4.6600000000000003E-2</v>
      </c>
    </row>
    <row r="776" spans="1:4" x14ac:dyDescent="0.25">
      <c r="A776" s="1">
        <v>40942</v>
      </c>
      <c r="B776">
        <v>2.8101423090000002</v>
      </c>
      <c r="C776" s="2">
        <v>9.3700000000000006E-2</v>
      </c>
      <c r="D776" s="2">
        <v>4.6300000000000001E-2</v>
      </c>
    </row>
    <row r="777" spans="1:4" x14ac:dyDescent="0.25">
      <c r="A777" s="1">
        <v>40941</v>
      </c>
      <c r="B777">
        <v>2.716402515</v>
      </c>
      <c r="C777" s="2">
        <v>-5.6500000000000002E-2</v>
      </c>
      <c r="D777" s="2">
        <v>4.4699999999999997E-2</v>
      </c>
    </row>
    <row r="778" spans="1:4" x14ac:dyDescent="0.25">
      <c r="A778" s="1">
        <v>40940</v>
      </c>
      <c r="B778">
        <v>2.7729430430000002</v>
      </c>
      <c r="C778" s="2">
        <v>-3.3999999999999998E-3</v>
      </c>
      <c r="D778" s="2">
        <v>4.4699999999999997E-2</v>
      </c>
    </row>
    <row r="779" spans="1:4" x14ac:dyDescent="0.25">
      <c r="A779" s="1">
        <v>40939</v>
      </c>
      <c r="B779">
        <v>2.776295271</v>
      </c>
      <c r="C779" s="2">
        <v>-3.27E-2</v>
      </c>
      <c r="D779" s="2">
        <v>4.48E-2</v>
      </c>
    </row>
    <row r="780" spans="1:4" x14ac:dyDescent="0.25">
      <c r="A780" s="1">
        <v>40938</v>
      </c>
      <c r="B780">
        <v>2.8089477139999999</v>
      </c>
      <c r="C780" s="2">
        <v>6.9999999999999999E-4</v>
      </c>
      <c r="D780" s="2">
        <v>4.7199999999999999E-2</v>
      </c>
    </row>
    <row r="781" spans="1:4" x14ac:dyDescent="0.25">
      <c r="A781" s="1">
        <v>40935</v>
      </c>
      <c r="B781">
        <v>2.8082441729999998</v>
      </c>
      <c r="C781" s="2">
        <v>-3.5299999999999998E-2</v>
      </c>
      <c r="D781" s="2">
        <v>4.9000000000000002E-2</v>
      </c>
    </row>
    <row r="782" spans="1:4" x14ac:dyDescent="0.25">
      <c r="A782" s="1">
        <v>40934</v>
      </c>
      <c r="B782">
        <v>2.84358384</v>
      </c>
      <c r="C782" s="2">
        <v>-6.1600000000000002E-2</v>
      </c>
      <c r="D782" s="2">
        <v>4.9700000000000001E-2</v>
      </c>
    </row>
    <row r="783" spans="1:4" x14ac:dyDescent="0.25">
      <c r="A783" s="1">
        <v>40933</v>
      </c>
      <c r="B783">
        <v>2.9051562780000002</v>
      </c>
      <c r="C783" s="2">
        <v>-5.4699999999999999E-2</v>
      </c>
      <c r="D783" s="2">
        <v>5.1999999999999998E-2</v>
      </c>
    </row>
    <row r="784" spans="1:4" x14ac:dyDescent="0.25">
      <c r="A784" s="1">
        <v>40932</v>
      </c>
      <c r="B784">
        <v>2.9598808879999998</v>
      </c>
      <c r="C784" s="2">
        <v>-1.2699999999999999E-2</v>
      </c>
      <c r="D784" s="2">
        <v>5.2200000000000003E-2</v>
      </c>
    </row>
    <row r="785" spans="1:4" x14ac:dyDescent="0.25">
      <c r="A785" s="1">
        <v>40931</v>
      </c>
      <c r="B785">
        <v>2.972564142</v>
      </c>
      <c r="C785" s="2">
        <v>-3.5000000000000001E-3</v>
      </c>
      <c r="D785" s="2">
        <v>5.3600000000000002E-2</v>
      </c>
    </row>
    <row r="786" spans="1:4" x14ac:dyDescent="0.25">
      <c r="A786" s="1">
        <v>40928</v>
      </c>
      <c r="B786">
        <v>2.9761108759999999</v>
      </c>
      <c r="C786" s="2">
        <v>1.1299999999999999E-2</v>
      </c>
      <c r="D786" s="2">
        <v>5.3800000000000001E-2</v>
      </c>
    </row>
    <row r="787" spans="1:4" x14ac:dyDescent="0.25">
      <c r="A787" s="1">
        <v>40927</v>
      </c>
      <c r="B787">
        <v>2.9647668249999999</v>
      </c>
      <c r="C787" s="2">
        <v>6.1800000000000001E-2</v>
      </c>
      <c r="D787" s="2">
        <v>5.3800000000000001E-2</v>
      </c>
    </row>
    <row r="788" spans="1:4" x14ac:dyDescent="0.25">
      <c r="A788" s="1">
        <v>40926</v>
      </c>
      <c r="B788">
        <v>2.9029521950000001</v>
      </c>
      <c r="C788" s="2">
        <v>4.0300000000000002E-2</v>
      </c>
      <c r="D788" s="2">
        <v>5.3199999999999997E-2</v>
      </c>
    </row>
    <row r="789" spans="1:4" x14ac:dyDescent="0.25">
      <c r="A789" s="1">
        <v>40925</v>
      </c>
      <c r="B789">
        <v>2.8626414160000002</v>
      </c>
      <c r="C789" s="2">
        <v>4.6300000000000001E-2</v>
      </c>
      <c r="D789" s="2">
        <v>5.2900000000000003E-2</v>
      </c>
    </row>
    <row r="790" spans="1:4" x14ac:dyDescent="0.25">
      <c r="A790" s="1">
        <v>40921</v>
      </c>
      <c r="B790">
        <v>2.8163054170000001</v>
      </c>
      <c r="C790" s="2">
        <v>-3.5999999999999997E-2</v>
      </c>
      <c r="D790" s="2">
        <v>5.2400000000000002E-2</v>
      </c>
    </row>
    <row r="791" spans="1:4" x14ac:dyDescent="0.25">
      <c r="A791" s="1">
        <v>40920</v>
      </c>
      <c r="B791">
        <v>2.8523399170000001</v>
      </c>
      <c r="C791" s="2">
        <v>-3.1399999999999997E-2</v>
      </c>
      <c r="D791" s="2">
        <v>5.2900000000000003E-2</v>
      </c>
    </row>
    <row r="792" spans="1:4" x14ac:dyDescent="0.25">
      <c r="A792" s="1">
        <v>40919</v>
      </c>
      <c r="B792">
        <v>2.883772021</v>
      </c>
      <c r="C792" s="2">
        <v>-3.4000000000000002E-2</v>
      </c>
      <c r="D792" s="2">
        <v>5.3499999999999999E-2</v>
      </c>
    </row>
    <row r="793" spans="1:4" x14ac:dyDescent="0.25">
      <c r="A793" s="1">
        <v>40918</v>
      </c>
      <c r="B793">
        <v>2.9177878150000001</v>
      </c>
      <c r="C793" s="2">
        <v>4.2099999999999999E-2</v>
      </c>
      <c r="D793" s="2">
        <v>5.3400000000000003E-2</v>
      </c>
    </row>
    <row r="794" spans="1:4" x14ac:dyDescent="0.25">
      <c r="A794" s="1">
        <v>40917</v>
      </c>
      <c r="B794">
        <v>2.8757178049999998</v>
      </c>
      <c r="C794" s="2">
        <v>1.83E-2</v>
      </c>
      <c r="D794" s="2">
        <v>5.3199999999999997E-2</v>
      </c>
    </row>
    <row r="795" spans="1:4" x14ac:dyDescent="0.25">
      <c r="A795" s="1">
        <v>40914</v>
      </c>
      <c r="B795">
        <v>2.8573772590000002</v>
      </c>
      <c r="C795" s="2">
        <v>-5.2699999999999997E-2</v>
      </c>
      <c r="D795" s="2">
        <v>5.33E-2</v>
      </c>
    </row>
    <row r="796" spans="1:4" x14ac:dyDescent="0.25">
      <c r="A796" s="1">
        <v>40913</v>
      </c>
      <c r="B796">
        <v>2.9101103890000002</v>
      </c>
      <c r="C796" s="2">
        <v>-8.5599999999999996E-2</v>
      </c>
      <c r="D796" s="2">
        <v>5.4699999999999999E-2</v>
      </c>
    </row>
    <row r="797" spans="1:4" x14ac:dyDescent="0.25">
      <c r="A797" s="1">
        <v>40912</v>
      </c>
      <c r="B797">
        <v>2.9957030869999999</v>
      </c>
      <c r="C797" s="2">
        <v>3.5000000000000001E-3</v>
      </c>
      <c r="D797" s="2">
        <v>5.4399999999999997E-2</v>
      </c>
    </row>
    <row r="798" spans="1:4" x14ac:dyDescent="0.25">
      <c r="A798" s="1">
        <v>40911</v>
      </c>
      <c r="B798">
        <v>2.9922052049999999</v>
      </c>
      <c r="C798" s="2">
        <v>-2.47E-2</v>
      </c>
      <c r="D798" s="2">
        <v>5.5300000000000002E-2</v>
      </c>
    </row>
    <row r="799" spans="1:4" x14ac:dyDescent="0.25">
      <c r="A799" s="1">
        <v>40907</v>
      </c>
      <c r="B799">
        <v>3.016900857</v>
      </c>
      <c r="C799" s="2">
        <v>-1.2E-2</v>
      </c>
      <c r="D799" s="2">
        <v>5.6099999999999997E-2</v>
      </c>
    </row>
    <row r="800" spans="1:4" x14ac:dyDescent="0.25">
      <c r="A800" s="1">
        <v>40906</v>
      </c>
      <c r="B800">
        <v>3.0288835629999999</v>
      </c>
      <c r="C800" s="2">
        <v>-1.9400000000000001E-2</v>
      </c>
      <c r="D800" s="2">
        <v>5.6899999999999999E-2</v>
      </c>
    </row>
    <row r="801" spans="1:4" x14ac:dyDescent="0.25">
      <c r="A801" s="1">
        <v>40905</v>
      </c>
      <c r="B801">
        <v>3.0482411279999999</v>
      </c>
      <c r="C801" s="2">
        <v>-0.1043</v>
      </c>
      <c r="D801" s="2">
        <v>5.7099999999999998E-2</v>
      </c>
    </row>
    <row r="802" spans="1:4" x14ac:dyDescent="0.25">
      <c r="A802" s="1">
        <v>40904</v>
      </c>
      <c r="B802">
        <v>3.1525411390000002</v>
      </c>
      <c r="C802" s="2">
        <v>-1.7999999999999999E-2</v>
      </c>
      <c r="D802" s="2">
        <v>5.6500000000000002E-2</v>
      </c>
    </row>
    <row r="803" spans="1:4" x14ac:dyDescent="0.25">
      <c r="A803" s="1">
        <v>40900</v>
      </c>
      <c r="B803">
        <v>3.1705040960000002</v>
      </c>
      <c r="C803" s="2">
        <v>7.4800000000000005E-2</v>
      </c>
      <c r="D803" s="2">
        <v>5.6599999999999998E-2</v>
      </c>
    </row>
    <row r="804" spans="1:4" x14ac:dyDescent="0.25">
      <c r="A804" s="1">
        <v>40899</v>
      </c>
      <c r="B804">
        <v>3.0957276010000001</v>
      </c>
      <c r="C804" s="2">
        <v>-1.0500000000000001E-2</v>
      </c>
      <c r="D804" s="2">
        <v>5.79E-2</v>
      </c>
    </row>
    <row r="805" spans="1:4" x14ac:dyDescent="0.25">
      <c r="A805" s="1">
        <v>40898</v>
      </c>
      <c r="B805">
        <v>3.106206603</v>
      </c>
      <c r="C805" s="2">
        <v>3.7900000000000003E-2</v>
      </c>
      <c r="D805" s="2">
        <v>5.91E-2</v>
      </c>
    </row>
    <row r="806" spans="1:4" x14ac:dyDescent="0.25">
      <c r="A806" s="1">
        <v>40897</v>
      </c>
      <c r="B806">
        <v>3.0682671269999999</v>
      </c>
      <c r="C806" s="2">
        <v>7.8799999999999995E-2</v>
      </c>
      <c r="D806" s="2">
        <v>6.1100000000000002E-2</v>
      </c>
    </row>
    <row r="807" spans="1:4" x14ac:dyDescent="0.25">
      <c r="A807" s="1">
        <v>40896</v>
      </c>
      <c r="B807">
        <v>2.9894475749999998</v>
      </c>
      <c r="C807" s="2">
        <v>-1.1599999999999999E-2</v>
      </c>
      <c r="D807" s="2">
        <v>6.4199999999999993E-2</v>
      </c>
    </row>
    <row r="808" spans="1:4" x14ac:dyDescent="0.25">
      <c r="A808" s="1">
        <v>40893</v>
      </c>
      <c r="B808">
        <v>3.0010367850000002</v>
      </c>
      <c r="C808" s="2">
        <v>-5.0200000000000002E-2</v>
      </c>
      <c r="D808" s="2">
        <v>7.1199999999999999E-2</v>
      </c>
    </row>
    <row r="809" spans="1:4" x14ac:dyDescent="0.25">
      <c r="A809" s="1">
        <v>40892</v>
      </c>
      <c r="B809">
        <v>3.0512455690000002</v>
      </c>
      <c r="C809" s="2">
        <v>4.1300000000000003E-2</v>
      </c>
      <c r="D809" s="2">
        <v>7.0999999999999994E-2</v>
      </c>
    </row>
    <row r="810" spans="1:4" x14ac:dyDescent="0.25">
      <c r="A810" s="1">
        <v>40891</v>
      </c>
      <c r="B810">
        <v>3.0099010380000002</v>
      </c>
      <c r="C810" s="2">
        <v>-7.3700000000000002E-2</v>
      </c>
      <c r="D810" s="2">
        <v>7.2099999999999997E-2</v>
      </c>
    </row>
    <row r="811" spans="1:4" x14ac:dyDescent="0.25">
      <c r="A811" s="1">
        <v>40890</v>
      </c>
      <c r="B811">
        <v>3.08360097</v>
      </c>
      <c r="C811" s="2">
        <v>-4.4600000000000001E-2</v>
      </c>
      <c r="D811" s="2">
        <v>7.1499999999999994E-2</v>
      </c>
    </row>
    <row r="812" spans="1:4" x14ac:dyDescent="0.25">
      <c r="A812" s="1">
        <v>40889</v>
      </c>
      <c r="B812">
        <v>3.1281859120000002</v>
      </c>
      <c r="C812" s="2">
        <v>-8.5000000000000006E-3</v>
      </c>
      <c r="D812" s="2">
        <v>7.1599999999999997E-2</v>
      </c>
    </row>
    <row r="813" spans="1:4" x14ac:dyDescent="0.25">
      <c r="A813" s="1">
        <v>40886</v>
      </c>
      <c r="B813">
        <v>3.1366850770000001</v>
      </c>
      <c r="C813" s="2">
        <v>7.85E-2</v>
      </c>
      <c r="D813" s="2">
        <v>7.1599999999999997E-2</v>
      </c>
    </row>
    <row r="814" spans="1:4" x14ac:dyDescent="0.25">
      <c r="A814" s="1">
        <v>40885</v>
      </c>
      <c r="B814">
        <v>3.0582086359999998</v>
      </c>
      <c r="C814" s="2">
        <v>-3.1899999999999998E-2</v>
      </c>
      <c r="D814" s="2">
        <v>7.0999999999999994E-2</v>
      </c>
    </row>
    <row r="815" spans="1:4" x14ac:dyDescent="0.25">
      <c r="A815" s="1">
        <v>40884</v>
      </c>
      <c r="B815">
        <v>3.0901166560000002</v>
      </c>
      <c r="C815" s="2">
        <v>-8.0100000000000005E-2</v>
      </c>
      <c r="D815" s="2">
        <v>7.1199999999999999E-2</v>
      </c>
    </row>
    <row r="816" spans="1:4" x14ac:dyDescent="0.25">
      <c r="A816" s="1">
        <v>40883</v>
      </c>
      <c r="B816">
        <v>3.170194838</v>
      </c>
      <c r="C816" s="2">
        <v>1.37E-2</v>
      </c>
      <c r="D816" s="2">
        <v>7.0999999999999994E-2</v>
      </c>
    </row>
    <row r="817" spans="1:4" x14ac:dyDescent="0.25">
      <c r="A817" s="1">
        <v>40882</v>
      </c>
      <c r="B817">
        <v>3.1564944609999999</v>
      </c>
      <c r="C817" s="2">
        <v>1.3599999999999999E-2</v>
      </c>
      <c r="D817" s="2">
        <v>7.1099999999999997E-2</v>
      </c>
    </row>
    <row r="818" spans="1:4" x14ac:dyDescent="0.25">
      <c r="A818" s="1">
        <v>40879</v>
      </c>
      <c r="B818">
        <v>3.1429302990000001</v>
      </c>
      <c r="C818" s="2">
        <v>-6.6299999999999998E-2</v>
      </c>
      <c r="D818" s="2">
        <v>7.1400000000000005E-2</v>
      </c>
    </row>
    <row r="819" spans="1:4" x14ac:dyDescent="0.25">
      <c r="A819" s="1">
        <v>40878</v>
      </c>
      <c r="B819">
        <v>3.2092148159999998</v>
      </c>
      <c r="C819" s="2">
        <v>3.2199999999999999E-2</v>
      </c>
      <c r="D819" s="2">
        <v>7.0900000000000005E-2</v>
      </c>
    </row>
    <row r="820" spans="1:4" x14ac:dyDescent="0.25">
      <c r="A820" s="1">
        <v>40877</v>
      </c>
      <c r="B820">
        <v>3.1770193189999998</v>
      </c>
      <c r="C820" s="2">
        <v>-4.5999999999999999E-3</v>
      </c>
      <c r="D820" s="2">
        <v>7.1900000000000006E-2</v>
      </c>
    </row>
    <row r="821" spans="1:4" x14ac:dyDescent="0.25">
      <c r="A821" s="1">
        <v>40876</v>
      </c>
      <c r="B821">
        <v>3.1816053549999999</v>
      </c>
      <c r="C821" s="2">
        <v>-6.3E-3</v>
      </c>
      <c r="D821" s="2">
        <v>7.2300000000000003E-2</v>
      </c>
    </row>
    <row r="822" spans="1:4" x14ac:dyDescent="0.25">
      <c r="A822" s="1">
        <v>40875</v>
      </c>
      <c r="B822">
        <v>3.1879027130000002</v>
      </c>
      <c r="C822" s="2">
        <v>-3.4700000000000002E-2</v>
      </c>
      <c r="D822" s="2">
        <v>7.2900000000000006E-2</v>
      </c>
    </row>
    <row r="823" spans="1:4" x14ac:dyDescent="0.25">
      <c r="A823" s="1">
        <v>40872</v>
      </c>
      <c r="B823">
        <v>3.2226255570000002</v>
      </c>
      <c r="C823" s="2">
        <v>7.7499999999999999E-2</v>
      </c>
      <c r="D823" s="2">
        <v>7.3499999999999996E-2</v>
      </c>
    </row>
    <row r="824" spans="1:4" x14ac:dyDescent="0.25">
      <c r="A824" s="1">
        <v>40870</v>
      </c>
      <c r="B824">
        <v>3.1451663239999998</v>
      </c>
      <c r="C824" s="2">
        <v>1E-3</v>
      </c>
      <c r="D824" s="2">
        <v>7.3700000000000002E-2</v>
      </c>
    </row>
    <row r="825" spans="1:4" x14ac:dyDescent="0.25">
      <c r="A825" s="1">
        <v>40869</v>
      </c>
      <c r="B825">
        <v>3.144168037</v>
      </c>
      <c r="C825" s="2">
        <v>-3.2500000000000001E-2</v>
      </c>
      <c r="D825" s="2">
        <v>7.3899999999999993E-2</v>
      </c>
    </row>
    <row r="826" spans="1:4" x14ac:dyDescent="0.25">
      <c r="A826" s="1">
        <v>40868</v>
      </c>
      <c r="B826">
        <v>3.1766805050000002</v>
      </c>
      <c r="C826" s="2">
        <v>-3.6700000000000003E-2</v>
      </c>
      <c r="D826" s="2">
        <v>7.46E-2</v>
      </c>
    </row>
    <row r="827" spans="1:4" x14ac:dyDescent="0.25">
      <c r="A827" s="1">
        <v>40865</v>
      </c>
      <c r="B827">
        <v>3.2133365380000001</v>
      </c>
      <c r="C827" s="2">
        <v>4.9599999999999998E-2</v>
      </c>
      <c r="D827" s="2">
        <v>7.4800000000000005E-2</v>
      </c>
    </row>
    <row r="828" spans="1:4" x14ac:dyDescent="0.25">
      <c r="A828" s="1">
        <v>40864</v>
      </c>
      <c r="B828">
        <v>3.1637028119999999</v>
      </c>
      <c r="C828" s="2">
        <v>-3.7699999999999997E-2</v>
      </c>
      <c r="D828" s="2">
        <v>7.4999999999999997E-2</v>
      </c>
    </row>
    <row r="829" spans="1:4" x14ac:dyDescent="0.25">
      <c r="A829" s="1">
        <v>40863</v>
      </c>
      <c r="B829">
        <v>3.2014386949999998</v>
      </c>
      <c r="C829" s="2">
        <v>-1.78E-2</v>
      </c>
      <c r="D829" s="2">
        <v>7.4899999999999994E-2</v>
      </c>
    </row>
    <row r="830" spans="1:4" x14ac:dyDescent="0.25">
      <c r="A830" s="1">
        <v>40862</v>
      </c>
      <c r="B830">
        <v>3.2192384700000001</v>
      </c>
      <c r="C830" s="2">
        <v>2.5999999999999999E-2</v>
      </c>
      <c r="D830" s="2">
        <v>7.4999999999999997E-2</v>
      </c>
    </row>
    <row r="831" spans="1:4" x14ac:dyDescent="0.25">
      <c r="A831" s="1">
        <v>40861</v>
      </c>
      <c r="B831">
        <v>3.1932759719999999</v>
      </c>
      <c r="C831" s="2">
        <v>-3.5999999999999999E-3</v>
      </c>
      <c r="D831" s="2">
        <v>7.4999999999999997E-2</v>
      </c>
    </row>
    <row r="832" spans="1:4" x14ac:dyDescent="0.25">
      <c r="A832" s="1">
        <v>40857</v>
      </c>
      <c r="B832">
        <v>3.1968294830000001</v>
      </c>
      <c r="C832" s="2">
        <v>5.6000000000000001E-2</v>
      </c>
      <c r="D832" s="2">
        <v>7.51E-2</v>
      </c>
    </row>
    <row r="833" spans="1:4" x14ac:dyDescent="0.25">
      <c r="A833" s="1">
        <v>40856</v>
      </c>
      <c r="B833">
        <v>3.1408308389999999</v>
      </c>
      <c r="C833" s="2">
        <v>-5.0700000000000002E-2</v>
      </c>
      <c r="D833" s="2">
        <v>7.5300000000000006E-2</v>
      </c>
    </row>
    <row r="834" spans="1:4" x14ac:dyDescent="0.25">
      <c r="A834" s="1">
        <v>40855</v>
      </c>
      <c r="B834">
        <v>3.1915310429999999</v>
      </c>
      <c r="C834" s="2">
        <v>7.6200000000000004E-2</v>
      </c>
      <c r="D834" s="2">
        <v>7.5499999999999998E-2</v>
      </c>
    </row>
    <row r="835" spans="1:4" x14ac:dyDescent="0.25">
      <c r="A835" s="1">
        <v>40854</v>
      </c>
      <c r="B835">
        <v>3.1153555050000001</v>
      </c>
      <c r="C835" s="2">
        <v>-3.0599999999999999E-2</v>
      </c>
      <c r="D835" s="2">
        <v>7.5200000000000003E-2</v>
      </c>
    </row>
    <row r="836" spans="1:4" x14ac:dyDescent="0.25">
      <c r="A836" s="1">
        <v>40851</v>
      </c>
      <c r="B836">
        <v>3.1459189470000002</v>
      </c>
      <c r="C836" s="2">
        <v>-4.07E-2</v>
      </c>
      <c r="D836" s="2">
        <v>7.7499999999999999E-2</v>
      </c>
    </row>
    <row r="837" spans="1:4" x14ac:dyDescent="0.25">
      <c r="A837" s="1">
        <v>40850</v>
      </c>
      <c r="B837">
        <v>3.1865900219999999</v>
      </c>
      <c r="C837" s="2">
        <v>4.6199999999999998E-2</v>
      </c>
      <c r="D837" s="2">
        <v>7.9000000000000001E-2</v>
      </c>
    </row>
    <row r="838" spans="1:4" x14ac:dyDescent="0.25">
      <c r="A838" s="1">
        <v>40849</v>
      </c>
      <c r="B838">
        <v>3.1403563459999999</v>
      </c>
      <c r="C838" s="2">
        <v>1.24E-2</v>
      </c>
      <c r="D838" s="2">
        <v>8.1500000000000003E-2</v>
      </c>
    </row>
    <row r="839" spans="1:4" x14ac:dyDescent="0.25">
      <c r="A839" s="1">
        <v>40848</v>
      </c>
      <c r="B839">
        <v>3.1279977149999998</v>
      </c>
      <c r="C839" s="2">
        <v>-0.1236</v>
      </c>
      <c r="D839" s="2">
        <v>8.2799999999999999E-2</v>
      </c>
    </row>
    <row r="840" spans="1:4" x14ac:dyDescent="0.25">
      <c r="A840" s="1">
        <v>40847</v>
      </c>
      <c r="B840">
        <v>3.251576998</v>
      </c>
      <c r="C840" s="2">
        <v>-0.1086</v>
      </c>
      <c r="D840" s="2">
        <v>8.43E-2</v>
      </c>
    </row>
    <row r="841" spans="1:4" x14ac:dyDescent="0.25">
      <c r="A841" s="1">
        <v>40844</v>
      </c>
      <c r="B841">
        <v>3.3602109059999998</v>
      </c>
      <c r="C841" s="2">
        <v>-8.0699999999999994E-2</v>
      </c>
      <c r="D841" s="2">
        <v>8.48E-2</v>
      </c>
    </row>
    <row r="842" spans="1:4" x14ac:dyDescent="0.25">
      <c r="A842" s="1">
        <v>40843</v>
      </c>
      <c r="B842">
        <v>3.440916262</v>
      </c>
      <c r="C842" s="2">
        <v>0.1191</v>
      </c>
      <c r="D842" s="2">
        <v>8.43E-2</v>
      </c>
    </row>
    <row r="843" spans="1:4" x14ac:dyDescent="0.25">
      <c r="A843" s="1">
        <v>40842</v>
      </c>
      <c r="B843">
        <v>3.3217981769999998</v>
      </c>
      <c r="C843" s="2">
        <v>5.7099999999999998E-2</v>
      </c>
      <c r="D843" s="2">
        <v>8.3799999999999999E-2</v>
      </c>
    </row>
    <row r="844" spans="1:4" x14ac:dyDescent="0.25">
      <c r="A844" s="1">
        <v>40841</v>
      </c>
      <c r="B844">
        <v>3.2646650909999999</v>
      </c>
      <c r="C844" s="2">
        <v>-9.8799999999999999E-2</v>
      </c>
      <c r="D844" s="2">
        <v>8.3500000000000005E-2</v>
      </c>
    </row>
    <row r="845" spans="1:4" x14ac:dyDescent="0.25">
      <c r="A845" s="1">
        <v>40840</v>
      </c>
      <c r="B845">
        <v>3.3634960669999998</v>
      </c>
      <c r="C845" s="2">
        <v>3.2800000000000003E-2</v>
      </c>
      <c r="D845" s="2">
        <v>8.4000000000000005E-2</v>
      </c>
    </row>
    <row r="846" spans="1:4" x14ac:dyDescent="0.25">
      <c r="A846" s="1">
        <v>40837</v>
      </c>
      <c r="B846">
        <v>3.3306571570000001</v>
      </c>
      <c r="C846" s="2">
        <v>3.7000000000000002E-3</v>
      </c>
      <c r="D846" s="2">
        <v>8.3900000000000002E-2</v>
      </c>
    </row>
    <row r="847" spans="1:4" x14ac:dyDescent="0.25">
      <c r="A847" s="1">
        <v>40836</v>
      </c>
      <c r="B847">
        <v>3.3269877499999998</v>
      </c>
      <c r="C847" s="2">
        <v>2.53E-2</v>
      </c>
      <c r="D847" s="2">
        <v>8.4199999999999997E-2</v>
      </c>
    </row>
    <row r="848" spans="1:4" x14ac:dyDescent="0.25">
      <c r="A848" s="1">
        <v>40835</v>
      </c>
      <c r="B848">
        <v>3.3017117850000002</v>
      </c>
      <c r="C848" s="2">
        <v>8.0000000000000002E-3</v>
      </c>
      <c r="D848" s="2">
        <v>8.4099999999999994E-2</v>
      </c>
    </row>
    <row r="849" spans="1:4" x14ac:dyDescent="0.25">
      <c r="A849" s="1">
        <v>40834</v>
      </c>
      <c r="B849">
        <v>3.2937414949999999</v>
      </c>
      <c r="C849" s="2">
        <v>-4.4000000000000003E-3</v>
      </c>
      <c r="D849" s="2">
        <v>8.43E-2</v>
      </c>
    </row>
    <row r="850" spans="1:4" x14ac:dyDescent="0.25">
      <c r="A850" s="1">
        <v>40833</v>
      </c>
      <c r="B850">
        <v>3.2981436529999999</v>
      </c>
      <c r="C850" s="2">
        <v>-6.6299999999999998E-2</v>
      </c>
      <c r="D850" s="2">
        <v>8.43E-2</v>
      </c>
    </row>
    <row r="851" spans="1:4" x14ac:dyDescent="0.25">
      <c r="A851" s="1">
        <v>40830</v>
      </c>
      <c r="B851">
        <v>3.364455441</v>
      </c>
      <c r="C851" s="2">
        <v>5.7700000000000001E-2</v>
      </c>
      <c r="D851" s="2">
        <v>8.4199999999999997E-2</v>
      </c>
    </row>
    <row r="852" spans="1:4" x14ac:dyDescent="0.25">
      <c r="A852" s="1">
        <v>40829</v>
      </c>
      <c r="B852">
        <v>3.3067216510000002</v>
      </c>
      <c r="C852" s="2">
        <v>-3.1099999999999999E-2</v>
      </c>
      <c r="D852" s="2">
        <v>8.3799999999999999E-2</v>
      </c>
    </row>
    <row r="853" spans="1:4" x14ac:dyDescent="0.25">
      <c r="A853" s="1">
        <v>40828</v>
      </c>
      <c r="B853">
        <v>3.3378096660000001</v>
      </c>
      <c r="C853" s="2">
        <v>2.1000000000000001E-2</v>
      </c>
      <c r="D853" s="2">
        <v>8.3699999999999997E-2</v>
      </c>
    </row>
    <row r="854" spans="1:4" x14ac:dyDescent="0.25">
      <c r="A854" s="1">
        <v>40827</v>
      </c>
      <c r="B854">
        <v>3.3168034789999998</v>
      </c>
      <c r="C854" s="2">
        <v>3.4000000000000002E-2</v>
      </c>
      <c r="D854" s="2">
        <v>8.3799999999999999E-2</v>
      </c>
    </row>
    <row r="855" spans="1:4" x14ac:dyDescent="0.25">
      <c r="A855" s="1">
        <v>40823</v>
      </c>
      <c r="B855">
        <v>3.2827632040000001</v>
      </c>
      <c r="C855" s="2">
        <v>9.6799999999999997E-2</v>
      </c>
      <c r="D855" s="2">
        <v>8.3599999999999994E-2</v>
      </c>
    </row>
    <row r="856" spans="1:4" x14ac:dyDescent="0.25">
      <c r="A856" s="1">
        <v>40822</v>
      </c>
      <c r="B856">
        <v>3.1859593749999999</v>
      </c>
      <c r="C856" s="2">
        <v>6.7599999999999993E-2</v>
      </c>
      <c r="D856" s="2">
        <v>8.2600000000000007E-2</v>
      </c>
    </row>
    <row r="857" spans="1:4" x14ac:dyDescent="0.25">
      <c r="A857" s="1">
        <v>40821</v>
      </c>
      <c r="B857">
        <v>3.1183780730000001</v>
      </c>
      <c r="C857" s="2">
        <v>7.5600000000000001E-2</v>
      </c>
      <c r="D857" s="2">
        <v>8.2000000000000003E-2</v>
      </c>
    </row>
    <row r="858" spans="1:4" x14ac:dyDescent="0.25">
      <c r="A858" s="1">
        <v>40820</v>
      </c>
      <c r="B858">
        <v>3.04281559</v>
      </c>
      <c r="C858" s="2">
        <v>7.6999999999999999E-2</v>
      </c>
      <c r="D858" s="2">
        <v>8.1199999999999994E-2</v>
      </c>
    </row>
    <row r="859" spans="1:4" x14ac:dyDescent="0.25">
      <c r="A859" s="1">
        <v>40819</v>
      </c>
      <c r="B859">
        <v>2.9658180500000002</v>
      </c>
      <c r="C859" s="2">
        <v>-7.2700000000000001E-2</v>
      </c>
      <c r="D859" s="2">
        <v>8.0399999999999999E-2</v>
      </c>
    </row>
    <row r="860" spans="1:4" x14ac:dyDescent="0.25">
      <c r="A860" s="1">
        <v>40816</v>
      </c>
      <c r="B860">
        <v>3.0385261529999998</v>
      </c>
      <c r="C860" s="2">
        <v>-4.2500000000000003E-2</v>
      </c>
      <c r="D860" s="2">
        <v>8.0799999999999997E-2</v>
      </c>
    </row>
    <row r="861" spans="1:4" x14ac:dyDescent="0.25">
      <c r="A861" s="1">
        <v>40815</v>
      </c>
      <c r="B861">
        <v>3.0810284669999999</v>
      </c>
      <c r="C861" s="2">
        <v>-8.2699999999999996E-2</v>
      </c>
      <c r="D861" s="2">
        <v>8.1199999999999994E-2</v>
      </c>
    </row>
    <row r="862" spans="1:4" x14ac:dyDescent="0.25">
      <c r="A862" s="1">
        <v>40814</v>
      </c>
      <c r="B862">
        <v>3.1637333289999998</v>
      </c>
      <c r="C862" s="2">
        <v>-2.7900000000000001E-2</v>
      </c>
      <c r="D862" s="2">
        <v>8.0699999999999994E-2</v>
      </c>
    </row>
    <row r="863" spans="1:4" x14ac:dyDescent="0.25">
      <c r="A863" s="1">
        <v>40813</v>
      </c>
      <c r="B863">
        <v>3.1916257950000002</v>
      </c>
      <c r="C863" s="2">
        <v>0.12089999999999999</v>
      </c>
      <c r="D863" s="2">
        <v>8.0799999999999997E-2</v>
      </c>
    </row>
    <row r="864" spans="1:4" x14ac:dyDescent="0.25">
      <c r="A864" s="1">
        <v>40812</v>
      </c>
      <c r="B864">
        <v>3.0707186110000002</v>
      </c>
      <c r="C864" s="2">
        <v>9.1899999999999996E-2</v>
      </c>
      <c r="D864" s="2">
        <v>7.9000000000000001E-2</v>
      </c>
    </row>
    <row r="865" spans="1:4" x14ac:dyDescent="0.25">
      <c r="A865" s="1">
        <v>40809</v>
      </c>
      <c r="B865">
        <v>2.978796107</v>
      </c>
      <c r="C865" s="2">
        <v>0.12740000000000001</v>
      </c>
      <c r="D865" s="2">
        <v>7.8E-2</v>
      </c>
    </row>
    <row r="866" spans="1:4" x14ac:dyDescent="0.25">
      <c r="A866" s="1">
        <v>40808</v>
      </c>
      <c r="B866">
        <v>2.8513672379999999</v>
      </c>
      <c r="C866" s="2">
        <v>-0.16800000000000001</v>
      </c>
      <c r="D866" s="2">
        <v>7.5899999999999995E-2</v>
      </c>
    </row>
    <row r="867" spans="1:4" x14ac:dyDescent="0.25">
      <c r="A867" s="1">
        <v>40807</v>
      </c>
      <c r="B867">
        <v>3.0193449970000001</v>
      </c>
      <c r="C867" s="2">
        <v>-0.2399</v>
      </c>
      <c r="D867" s="2">
        <v>7.4300000000000005E-2</v>
      </c>
    </row>
    <row r="868" spans="1:4" x14ac:dyDescent="0.25">
      <c r="A868" s="1">
        <v>40806</v>
      </c>
      <c r="B868">
        <v>3.2592625339999999</v>
      </c>
      <c r="C868" s="2">
        <v>2.1100000000000001E-2</v>
      </c>
      <c r="D868" s="2">
        <v>6.8599999999999994E-2</v>
      </c>
    </row>
    <row r="869" spans="1:4" x14ac:dyDescent="0.25">
      <c r="A869" s="1">
        <v>40805</v>
      </c>
      <c r="B869">
        <v>3.238141197</v>
      </c>
      <c r="C869" s="2">
        <v>-0.1087</v>
      </c>
      <c r="D869" s="2">
        <v>6.8400000000000002E-2</v>
      </c>
    </row>
    <row r="870" spans="1:4" x14ac:dyDescent="0.25">
      <c r="A870" s="1">
        <v>40802</v>
      </c>
      <c r="B870">
        <v>3.3468903559999998</v>
      </c>
      <c r="C870" s="2">
        <v>-4.0000000000000002E-4</v>
      </c>
      <c r="D870" s="2">
        <v>6.7599999999999993E-2</v>
      </c>
    </row>
    <row r="871" spans="1:4" x14ac:dyDescent="0.25">
      <c r="A871" s="1">
        <v>40801</v>
      </c>
      <c r="B871">
        <v>3.3472561380000001</v>
      </c>
      <c r="C871" s="2">
        <v>4.6800000000000001E-2</v>
      </c>
      <c r="D871" s="2">
        <v>6.7699999999999996E-2</v>
      </c>
    </row>
    <row r="872" spans="1:4" x14ac:dyDescent="0.25">
      <c r="A872" s="1">
        <v>40800</v>
      </c>
      <c r="B872">
        <v>3.3005008889999998</v>
      </c>
      <c r="C872" s="2">
        <v>-5.9999999999999995E-4</v>
      </c>
      <c r="D872" s="2">
        <v>6.7299999999999999E-2</v>
      </c>
    </row>
    <row r="873" spans="1:4" x14ac:dyDescent="0.25">
      <c r="A873" s="1">
        <v>40799</v>
      </c>
      <c r="B873">
        <v>3.301118309</v>
      </c>
      <c r="C873" s="2">
        <v>3.5000000000000003E-2</v>
      </c>
      <c r="D873" s="2">
        <v>6.7400000000000002E-2</v>
      </c>
    </row>
    <row r="874" spans="1:4" x14ac:dyDescent="0.25">
      <c r="A874" s="1">
        <v>40798</v>
      </c>
      <c r="B874">
        <v>3.2661047449999998</v>
      </c>
      <c r="C874" s="2">
        <v>4.82E-2</v>
      </c>
      <c r="D874" s="2">
        <v>6.7299999999999999E-2</v>
      </c>
    </row>
    <row r="875" spans="1:4" x14ac:dyDescent="0.25">
      <c r="A875" s="1">
        <v>40795</v>
      </c>
      <c r="B875">
        <v>3.2179153939999998</v>
      </c>
      <c r="C875" s="2">
        <v>-6.7100000000000007E-2</v>
      </c>
      <c r="D875" s="2">
        <v>6.6799999999999998E-2</v>
      </c>
    </row>
    <row r="876" spans="1:4" x14ac:dyDescent="0.25">
      <c r="A876" s="1">
        <v>40794</v>
      </c>
      <c r="B876">
        <v>3.2850540929999998</v>
      </c>
      <c r="C876" s="2">
        <v>-3.1099999999999999E-2</v>
      </c>
      <c r="D876" s="2">
        <v>6.6900000000000001E-2</v>
      </c>
    </row>
    <row r="877" spans="1:4" x14ac:dyDescent="0.25">
      <c r="A877" s="1">
        <v>40793</v>
      </c>
      <c r="B877">
        <v>3.3161398379999998</v>
      </c>
      <c r="C877" s="2">
        <v>5.3100000000000001E-2</v>
      </c>
      <c r="D877" s="2">
        <v>6.7599999999999993E-2</v>
      </c>
    </row>
    <row r="878" spans="1:4" x14ac:dyDescent="0.25">
      <c r="A878" s="1">
        <v>40792</v>
      </c>
      <c r="B878">
        <v>3.2630175220000002</v>
      </c>
      <c r="C878" s="2">
        <v>-4.0000000000000002E-4</v>
      </c>
      <c r="D878" s="2">
        <v>6.7199999999999996E-2</v>
      </c>
    </row>
    <row r="879" spans="1:4" x14ac:dyDescent="0.25">
      <c r="A879" s="1">
        <v>40788</v>
      </c>
      <c r="B879">
        <v>3.263422721</v>
      </c>
      <c r="C879" s="2">
        <v>-0.1002</v>
      </c>
      <c r="D879" s="2">
        <v>6.7199999999999996E-2</v>
      </c>
    </row>
    <row r="880" spans="1:4" x14ac:dyDescent="0.25">
      <c r="A880" s="1">
        <v>40787</v>
      </c>
      <c r="B880">
        <v>3.3636197659999998</v>
      </c>
      <c r="C880" s="2">
        <v>-6.3799999999999996E-2</v>
      </c>
      <c r="D880" s="2">
        <v>6.6400000000000001E-2</v>
      </c>
    </row>
    <row r="881" spans="1:4" x14ac:dyDescent="0.25">
      <c r="A881" s="1">
        <v>40786</v>
      </c>
      <c r="B881">
        <v>3.4273948029999999</v>
      </c>
      <c r="C881" s="2">
        <v>6.8500000000000005E-2</v>
      </c>
      <c r="D881" s="2">
        <v>6.6100000000000006E-2</v>
      </c>
    </row>
    <row r="882" spans="1:4" x14ac:dyDescent="0.25">
      <c r="A882" s="1">
        <v>40785</v>
      </c>
      <c r="B882">
        <v>3.3588973609999999</v>
      </c>
      <c r="C882" s="2">
        <v>-8.1199999999999994E-2</v>
      </c>
      <c r="D882" s="2">
        <v>6.54E-2</v>
      </c>
    </row>
    <row r="883" spans="1:4" x14ac:dyDescent="0.25">
      <c r="A883" s="1">
        <v>40784</v>
      </c>
      <c r="B883">
        <v>3.4400742210000002</v>
      </c>
      <c r="C883" s="2">
        <v>8.7400000000000005E-2</v>
      </c>
      <c r="D883" s="2">
        <v>6.4699999999999994E-2</v>
      </c>
    </row>
    <row r="884" spans="1:4" x14ac:dyDescent="0.25">
      <c r="A884" s="1">
        <v>40781</v>
      </c>
      <c r="B884">
        <v>3.3526932070000002</v>
      </c>
      <c r="C884" s="2">
        <v>-3.95E-2</v>
      </c>
      <c r="D884" s="2">
        <v>6.3500000000000001E-2</v>
      </c>
    </row>
    <row r="885" spans="1:4" x14ac:dyDescent="0.25">
      <c r="A885" s="1">
        <v>40780</v>
      </c>
      <c r="B885">
        <v>3.3922014869999999</v>
      </c>
      <c r="C885" s="2">
        <v>8.4000000000000005E-2</v>
      </c>
      <c r="D885" s="2">
        <v>6.3899999999999998E-2</v>
      </c>
    </row>
    <row r="886" spans="1:4" x14ac:dyDescent="0.25">
      <c r="A886" s="1">
        <v>40779</v>
      </c>
      <c r="B886">
        <v>3.3081684070000001</v>
      </c>
      <c r="C886" s="2">
        <v>-5.6800000000000003E-2</v>
      </c>
      <c r="D886" s="2">
        <v>6.3200000000000006E-2</v>
      </c>
    </row>
    <row r="887" spans="1:4" x14ac:dyDescent="0.25">
      <c r="A887" s="1">
        <v>40778</v>
      </c>
      <c r="B887">
        <v>3.3649434029999998</v>
      </c>
      <c r="C887" s="2">
        <v>6.1199999999999997E-2</v>
      </c>
      <c r="D887" s="2">
        <v>6.2899999999999998E-2</v>
      </c>
    </row>
    <row r="888" spans="1:4" x14ac:dyDescent="0.25">
      <c r="A888" s="1">
        <v>40777</v>
      </c>
      <c r="B888">
        <v>3.303790529</v>
      </c>
      <c r="C888" s="2">
        <v>0.02</v>
      </c>
      <c r="D888" s="2">
        <v>6.2399999999999997E-2</v>
      </c>
    </row>
    <row r="889" spans="1:4" x14ac:dyDescent="0.25">
      <c r="A889" s="1">
        <v>40774</v>
      </c>
      <c r="B889">
        <v>3.2837852750000001</v>
      </c>
      <c r="C889" s="2">
        <v>3.4500000000000003E-2</v>
      </c>
      <c r="D889" s="2">
        <v>6.2700000000000006E-2</v>
      </c>
    </row>
    <row r="890" spans="1:4" x14ac:dyDescent="0.25">
      <c r="A890" s="1">
        <v>40773</v>
      </c>
      <c r="B890">
        <v>3.2492398869999999</v>
      </c>
      <c r="C890" s="2">
        <v>-2.01E-2</v>
      </c>
      <c r="D890" s="2">
        <v>6.25E-2</v>
      </c>
    </row>
    <row r="891" spans="1:4" x14ac:dyDescent="0.25">
      <c r="A891" s="1">
        <v>40772</v>
      </c>
      <c r="B891">
        <v>3.2693273430000001</v>
      </c>
      <c r="C891" s="2">
        <v>-4.2500000000000003E-2</v>
      </c>
      <c r="D891" s="2">
        <v>6.2399999999999997E-2</v>
      </c>
    </row>
    <row r="892" spans="1:4" x14ac:dyDescent="0.25">
      <c r="A892" s="1">
        <v>40771</v>
      </c>
      <c r="B892">
        <v>3.3118241290000001</v>
      </c>
      <c r="C892" s="2">
        <v>-6.9800000000000001E-2</v>
      </c>
      <c r="D892" s="2">
        <v>6.2300000000000001E-2</v>
      </c>
    </row>
    <row r="893" spans="1:4" x14ac:dyDescent="0.25">
      <c r="A893" s="1">
        <v>40770</v>
      </c>
      <c r="B893">
        <v>3.3816169309999999</v>
      </c>
      <c r="C893" s="2">
        <v>6.4899999999999999E-2</v>
      </c>
      <c r="D893" s="2">
        <v>6.1899999999999997E-2</v>
      </c>
    </row>
    <row r="894" spans="1:4" x14ac:dyDescent="0.25">
      <c r="A894" s="1">
        <v>40767</v>
      </c>
      <c r="B894">
        <v>3.3167051860000001</v>
      </c>
      <c r="C894" s="2">
        <v>-5.96E-2</v>
      </c>
      <c r="D894" s="2">
        <v>6.1100000000000002E-2</v>
      </c>
    </row>
    <row r="895" spans="1:4" x14ac:dyDescent="0.25">
      <c r="A895" s="1">
        <v>40766</v>
      </c>
      <c r="B895">
        <v>3.3763418019999998</v>
      </c>
      <c r="C895" s="2">
        <v>0.14349999999999999</v>
      </c>
      <c r="D895" s="2">
        <v>6.1199999999999997E-2</v>
      </c>
    </row>
    <row r="896" spans="1:4" x14ac:dyDescent="0.25">
      <c r="A896" s="1">
        <v>40765</v>
      </c>
      <c r="B896">
        <v>3.2328090550000002</v>
      </c>
      <c r="C896" s="2">
        <v>-0.12870000000000001</v>
      </c>
      <c r="D896" s="2">
        <v>5.7799999999999997E-2</v>
      </c>
    </row>
    <row r="897" spans="1:4" x14ac:dyDescent="0.25">
      <c r="A897" s="1">
        <v>40764</v>
      </c>
      <c r="B897">
        <v>3.3615209510000001</v>
      </c>
      <c r="C897" s="2">
        <v>-0.1658</v>
      </c>
      <c r="D897" s="2">
        <v>5.57E-2</v>
      </c>
    </row>
    <row r="898" spans="1:4" x14ac:dyDescent="0.25">
      <c r="A898" s="1">
        <v>40763</v>
      </c>
      <c r="B898">
        <v>3.5272994180000001</v>
      </c>
      <c r="C898" s="2">
        <v>-0.1221</v>
      </c>
      <c r="D898" s="2">
        <v>5.1900000000000002E-2</v>
      </c>
    </row>
    <row r="899" spans="1:4" x14ac:dyDescent="0.25">
      <c r="A899" s="1">
        <v>40760</v>
      </c>
      <c r="B899">
        <v>3.6494432990000001</v>
      </c>
      <c r="C899" s="2">
        <v>0.1628</v>
      </c>
      <c r="D899" s="2">
        <v>4.9799999999999997E-2</v>
      </c>
    </row>
    <row r="900" spans="1:4" x14ac:dyDescent="0.25">
      <c r="A900" s="1">
        <v>40759</v>
      </c>
      <c r="B900">
        <v>3.4866024420000001</v>
      </c>
      <c r="C900" s="2">
        <v>-0.12839999999999999</v>
      </c>
      <c r="D900" s="2">
        <v>4.4699999999999997E-2</v>
      </c>
    </row>
    <row r="901" spans="1:4" x14ac:dyDescent="0.25">
      <c r="A901" s="1">
        <v>40758</v>
      </c>
      <c r="B901">
        <v>3.6149890220000001</v>
      </c>
      <c r="C901" s="2">
        <v>-4.2099999999999999E-2</v>
      </c>
      <c r="D901" s="2">
        <v>4.2299999999999997E-2</v>
      </c>
    </row>
    <row r="902" spans="1:4" x14ac:dyDescent="0.25">
      <c r="A902" s="1">
        <v>40757</v>
      </c>
      <c r="B902">
        <v>3.657086976</v>
      </c>
      <c r="C902" s="2">
        <v>-0.1074</v>
      </c>
      <c r="D902" s="2">
        <v>4.2099999999999999E-2</v>
      </c>
    </row>
    <row r="903" spans="1:4" x14ac:dyDescent="0.25">
      <c r="A903" s="1">
        <v>40756</v>
      </c>
      <c r="B903">
        <v>3.7644681059999998</v>
      </c>
      <c r="C903" s="2">
        <v>-4.4400000000000002E-2</v>
      </c>
      <c r="D903" s="2">
        <v>3.9899999999999998E-2</v>
      </c>
    </row>
    <row r="904" spans="1:4" x14ac:dyDescent="0.25">
      <c r="A904" s="1">
        <v>40753</v>
      </c>
      <c r="B904">
        <v>3.808823866</v>
      </c>
      <c r="C904" s="2">
        <v>-0.1236</v>
      </c>
      <c r="D904" s="2">
        <v>0.04</v>
      </c>
    </row>
    <row r="905" spans="1:4" x14ac:dyDescent="0.25">
      <c r="A905" s="1">
        <v>40752</v>
      </c>
      <c r="B905">
        <v>3.9324314810000001</v>
      </c>
      <c r="C905" s="2">
        <v>-4.1599999999999998E-2</v>
      </c>
      <c r="D905" s="2">
        <v>3.6999999999999998E-2</v>
      </c>
    </row>
    <row r="906" spans="1:4" x14ac:dyDescent="0.25">
      <c r="A906" s="1">
        <v>40751</v>
      </c>
      <c r="B906">
        <v>3.974026254</v>
      </c>
      <c r="C906" s="2">
        <v>4.2200000000000001E-2</v>
      </c>
      <c r="D906" s="2">
        <v>3.6799999999999999E-2</v>
      </c>
    </row>
    <row r="907" spans="1:4" x14ac:dyDescent="0.25">
      <c r="A907" s="1">
        <v>40750</v>
      </c>
      <c r="B907">
        <v>3.9318005540000001</v>
      </c>
      <c r="C907" s="2">
        <v>-2.87E-2</v>
      </c>
      <c r="D907" s="2">
        <v>3.6400000000000002E-2</v>
      </c>
    </row>
    <row r="908" spans="1:4" x14ac:dyDescent="0.25">
      <c r="A908" s="1">
        <v>40749</v>
      </c>
      <c r="B908">
        <v>3.9604705889999998</v>
      </c>
      <c r="C908" s="2">
        <v>3.4799999999999998E-2</v>
      </c>
      <c r="D908" s="2">
        <v>3.6299999999999999E-2</v>
      </c>
    </row>
    <row r="909" spans="1:4" x14ac:dyDescent="0.25">
      <c r="A909" s="1">
        <v>40746</v>
      </c>
      <c r="B909">
        <v>3.925664899</v>
      </c>
      <c r="C909" s="2">
        <v>-2.4799999999999999E-2</v>
      </c>
      <c r="D909" s="2">
        <v>3.6799999999999999E-2</v>
      </c>
    </row>
    <row r="910" spans="1:4" x14ac:dyDescent="0.25">
      <c r="A910" s="1">
        <v>40745</v>
      </c>
      <c r="B910">
        <v>3.9504320960000001</v>
      </c>
      <c r="C910" s="2">
        <v>3.5700000000000003E-2</v>
      </c>
      <c r="D910" s="2">
        <v>3.6900000000000002E-2</v>
      </c>
    </row>
    <row r="911" spans="1:4" x14ac:dyDescent="0.25">
      <c r="A911" s="1">
        <v>40744</v>
      </c>
      <c r="B911">
        <v>3.9147234389999999</v>
      </c>
      <c r="C911" s="2">
        <v>1.18E-2</v>
      </c>
      <c r="D911" s="2">
        <v>3.6700000000000003E-2</v>
      </c>
    </row>
    <row r="912" spans="1:4" x14ac:dyDescent="0.25">
      <c r="A912" s="1">
        <v>40743</v>
      </c>
      <c r="B912">
        <v>3.9028989279999999</v>
      </c>
      <c r="C912" s="2">
        <v>-1.14E-2</v>
      </c>
      <c r="D912" s="2">
        <v>3.6799999999999999E-2</v>
      </c>
    </row>
    <row r="913" spans="1:4" x14ac:dyDescent="0.25">
      <c r="A913" s="1">
        <v>40742</v>
      </c>
      <c r="B913">
        <v>3.9143080459999999</v>
      </c>
      <c r="C913" s="2">
        <v>3.1399999999999997E-2</v>
      </c>
      <c r="D913" s="2">
        <v>3.6799999999999999E-2</v>
      </c>
    </row>
    <row r="914" spans="1:4" x14ac:dyDescent="0.25">
      <c r="A914" s="1">
        <v>40739</v>
      </c>
      <c r="B914">
        <v>3.8829277040000001</v>
      </c>
      <c r="C914" s="2">
        <v>-1.5599999999999999E-2</v>
      </c>
      <c r="D914" s="2">
        <v>3.6799999999999999E-2</v>
      </c>
    </row>
    <row r="915" spans="1:4" x14ac:dyDescent="0.25">
      <c r="A915" s="1">
        <v>40738</v>
      </c>
      <c r="B915">
        <v>3.8985405219999998</v>
      </c>
      <c r="C915" s="2">
        <v>3.4200000000000001E-2</v>
      </c>
      <c r="D915" s="2">
        <v>3.6799999999999999E-2</v>
      </c>
    </row>
    <row r="916" spans="1:4" x14ac:dyDescent="0.25">
      <c r="A916" s="1">
        <v>40737</v>
      </c>
      <c r="B916">
        <v>3.8643242729999998</v>
      </c>
      <c r="C916" s="2">
        <v>-3.5099999999999999E-2</v>
      </c>
      <c r="D916" s="2">
        <v>3.6600000000000001E-2</v>
      </c>
    </row>
    <row r="917" spans="1:4" x14ac:dyDescent="0.25">
      <c r="A917" s="1">
        <v>40736</v>
      </c>
      <c r="B917">
        <v>3.8994081949999999</v>
      </c>
      <c r="C917" s="2">
        <v>-1.3100000000000001E-2</v>
      </c>
      <c r="D917" s="2">
        <v>3.73E-2</v>
      </c>
    </row>
    <row r="918" spans="1:4" x14ac:dyDescent="0.25">
      <c r="A918" s="1">
        <v>40735</v>
      </c>
      <c r="B918">
        <v>3.9124758150000001</v>
      </c>
      <c r="C918" s="2">
        <v>-4.36E-2</v>
      </c>
      <c r="D918" s="2">
        <v>3.73E-2</v>
      </c>
    </row>
    <row r="919" spans="1:4" x14ac:dyDescent="0.25">
      <c r="A919" s="1">
        <v>40732</v>
      </c>
      <c r="B919">
        <v>3.9560446410000001</v>
      </c>
      <c r="C919" s="2">
        <v>-9.9299999999999999E-2</v>
      </c>
      <c r="D919" s="2">
        <v>3.6999999999999998E-2</v>
      </c>
    </row>
    <row r="920" spans="1:4" x14ac:dyDescent="0.25">
      <c r="A920" s="1">
        <v>40731</v>
      </c>
      <c r="B920">
        <v>4.0552994130000002</v>
      </c>
      <c r="C920" s="2">
        <v>5.4600000000000003E-2</v>
      </c>
      <c r="D920" s="2">
        <v>3.5499999999999997E-2</v>
      </c>
    </row>
    <row r="921" spans="1:4" x14ac:dyDescent="0.25">
      <c r="A921" s="1">
        <v>40730</v>
      </c>
      <c r="B921">
        <v>4.000748465</v>
      </c>
      <c r="C921" s="2">
        <v>-1.0200000000000001E-2</v>
      </c>
      <c r="D921" s="2">
        <v>3.4599999999999999E-2</v>
      </c>
    </row>
    <row r="922" spans="1:4" x14ac:dyDescent="0.25">
      <c r="A922" s="1">
        <v>40729</v>
      </c>
      <c r="B922">
        <v>4.0109296580000002</v>
      </c>
      <c r="C922" s="2">
        <v>-3.8600000000000002E-2</v>
      </c>
      <c r="D922" s="2">
        <v>3.4599999999999999E-2</v>
      </c>
    </row>
    <row r="923" spans="1:4" x14ac:dyDescent="0.25">
      <c r="A923" s="1">
        <v>40725</v>
      </c>
      <c r="B923">
        <v>4.0494899599999998</v>
      </c>
      <c r="C923" s="2">
        <v>2.8500000000000001E-2</v>
      </c>
      <c r="D923" s="2">
        <v>3.44E-2</v>
      </c>
    </row>
    <row r="924" spans="1:4" x14ac:dyDescent="0.25">
      <c r="A924" s="1">
        <v>40724</v>
      </c>
      <c r="B924">
        <v>4.0210177979999999</v>
      </c>
      <c r="C924" s="2">
        <v>3.1E-2</v>
      </c>
      <c r="D924" s="2">
        <v>3.44E-2</v>
      </c>
    </row>
    <row r="925" spans="1:4" x14ac:dyDescent="0.25">
      <c r="A925" s="1">
        <v>40723</v>
      </c>
      <c r="B925">
        <v>3.9900665759999998</v>
      </c>
      <c r="C925" s="2">
        <v>2.5499999999999998E-2</v>
      </c>
      <c r="D925" s="2">
        <v>3.5000000000000003E-2</v>
      </c>
    </row>
    <row r="926" spans="1:4" x14ac:dyDescent="0.25">
      <c r="A926" s="1">
        <v>40722</v>
      </c>
      <c r="B926">
        <v>3.9645862140000001</v>
      </c>
      <c r="C926" s="2">
        <v>7.9399999999999998E-2</v>
      </c>
      <c r="D926" s="2">
        <v>3.4799999999999998E-2</v>
      </c>
    </row>
    <row r="927" spans="1:4" x14ac:dyDescent="0.25">
      <c r="A927" s="1">
        <v>40721</v>
      </c>
      <c r="B927">
        <v>3.8851464889999998</v>
      </c>
      <c r="C927" s="2">
        <v>4.3799999999999999E-2</v>
      </c>
      <c r="D927" s="2">
        <v>3.3000000000000002E-2</v>
      </c>
    </row>
    <row r="928" spans="1:4" x14ac:dyDescent="0.25">
      <c r="A928" s="1">
        <v>40718</v>
      </c>
      <c r="B928">
        <v>3.8413126800000001</v>
      </c>
      <c r="C928" s="2">
        <v>-1E-3</v>
      </c>
      <c r="D928" s="2">
        <v>3.2399999999999998E-2</v>
      </c>
    </row>
    <row r="929" spans="1:4" x14ac:dyDescent="0.25">
      <c r="A929" s="1">
        <v>40717</v>
      </c>
      <c r="B929">
        <v>3.8423332019999998</v>
      </c>
      <c r="C929" s="2">
        <v>-6.8000000000000005E-2</v>
      </c>
      <c r="D929" s="2">
        <v>3.2599999999999997E-2</v>
      </c>
    </row>
    <row r="930" spans="1:4" x14ac:dyDescent="0.25">
      <c r="A930" s="1">
        <v>40716</v>
      </c>
      <c r="B930">
        <v>3.9103100550000001</v>
      </c>
      <c r="C930" s="2">
        <v>-2.3E-2</v>
      </c>
      <c r="D930" s="2">
        <v>3.2199999999999999E-2</v>
      </c>
    </row>
    <row r="931" spans="1:4" x14ac:dyDescent="0.25">
      <c r="A931" s="1">
        <v>40715</v>
      </c>
      <c r="B931">
        <v>3.933352803</v>
      </c>
      <c r="C931" s="2">
        <v>7.3000000000000001E-3</v>
      </c>
      <c r="D931" s="2">
        <v>3.2099999999999997E-2</v>
      </c>
    </row>
    <row r="932" spans="1:4" x14ac:dyDescent="0.25">
      <c r="A932" s="1">
        <v>40714</v>
      </c>
      <c r="B932">
        <v>3.9260526520000001</v>
      </c>
      <c r="C932" s="2">
        <v>2.06E-2</v>
      </c>
      <c r="D932" s="2">
        <v>3.2399999999999998E-2</v>
      </c>
    </row>
    <row r="933" spans="1:4" x14ac:dyDescent="0.25">
      <c r="A933" s="1">
        <v>40711</v>
      </c>
      <c r="B933">
        <v>3.9054668229999998</v>
      </c>
      <c r="C933" s="2">
        <v>2.1299999999999999E-2</v>
      </c>
      <c r="D933" s="2">
        <v>3.2399999999999998E-2</v>
      </c>
    </row>
    <row r="934" spans="1:4" x14ac:dyDescent="0.25">
      <c r="A934" s="1">
        <v>40710</v>
      </c>
      <c r="B934">
        <v>3.8841647369999999</v>
      </c>
      <c r="C934" s="2">
        <v>-2.1700000000000001E-2</v>
      </c>
      <c r="D934" s="2">
        <v>3.2399999999999998E-2</v>
      </c>
    </row>
    <row r="935" spans="1:4" x14ac:dyDescent="0.25">
      <c r="A935" s="1">
        <v>40709</v>
      </c>
      <c r="B935">
        <v>3.905904246</v>
      </c>
      <c r="C935" s="2">
        <v>-6.9400000000000003E-2</v>
      </c>
      <c r="D935" s="2">
        <v>3.2599999999999997E-2</v>
      </c>
    </row>
    <row r="936" spans="1:4" x14ac:dyDescent="0.25">
      <c r="A936" s="1">
        <v>40708</v>
      </c>
      <c r="B936">
        <v>3.9753443750000002</v>
      </c>
      <c r="C936" s="2">
        <v>6.8599999999999994E-2</v>
      </c>
      <c r="D936" s="2">
        <v>3.2199999999999999E-2</v>
      </c>
    </row>
    <row r="937" spans="1:4" x14ac:dyDescent="0.25">
      <c r="A937" s="1">
        <v>40707</v>
      </c>
      <c r="B937">
        <v>3.9067873130000002</v>
      </c>
      <c r="C937" s="2">
        <v>9.7999999999999997E-3</v>
      </c>
      <c r="D937" s="2">
        <v>3.09E-2</v>
      </c>
    </row>
    <row r="938" spans="1:4" x14ac:dyDescent="0.25">
      <c r="A938" s="1">
        <v>40704</v>
      </c>
      <c r="B938">
        <v>3.896963172</v>
      </c>
      <c r="C938" s="2">
        <v>8.9999999999999998E-4</v>
      </c>
      <c r="D938" s="2">
        <v>3.1E-2</v>
      </c>
    </row>
    <row r="939" spans="1:4" x14ac:dyDescent="0.25">
      <c r="A939" s="1">
        <v>40703</v>
      </c>
      <c r="B939">
        <v>3.8960475699999999</v>
      </c>
      <c r="C939" s="2">
        <v>3.9399999999999998E-2</v>
      </c>
      <c r="D939" s="2">
        <v>3.3099999999999997E-2</v>
      </c>
    </row>
    <row r="940" spans="1:4" x14ac:dyDescent="0.25">
      <c r="A940" s="1">
        <v>40702</v>
      </c>
      <c r="B940">
        <v>3.8566823600000002</v>
      </c>
      <c r="C940" s="2">
        <v>-3.9100000000000003E-2</v>
      </c>
      <c r="D940" s="2">
        <v>3.2599999999999997E-2</v>
      </c>
    </row>
    <row r="941" spans="1:4" x14ac:dyDescent="0.25">
      <c r="A941" s="1">
        <v>40701</v>
      </c>
      <c r="B941">
        <v>3.895814444</v>
      </c>
      <c r="C941" s="2">
        <v>-4.8999999999999998E-3</v>
      </c>
      <c r="D941" s="2">
        <v>3.2500000000000001E-2</v>
      </c>
    </row>
    <row r="942" spans="1:4" x14ac:dyDescent="0.25">
      <c r="A942" s="1">
        <v>40700</v>
      </c>
      <c r="B942">
        <v>3.9007146690000001</v>
      </c>
      <c r="C942" s="2">
        <v>7.4000000000000003E-3</v>
      </c>
      <c r="D942" s="2">
        <v>3.2599999999999997E-2</v>
      </c>
    </row>
    <row r="943" spans="1:4" x14ac:dyDescent="0.25">
      <c r="A943" s="1">
        <v>40697</v>
      </c>
      <c r="B943">
        <v>3.893283582</v>
      </c>
      <c r="C943" s="2">
        <v>-2.06E-2</v>
      </c>
      <c r="D943" s="2">
        <v>3.3099999999999997E-2</v>
      </c>
    </row>
    <row r="944" spans="1:4" x14ac:dyDescent="0.25">
      <c r="A944" s="1">
        <v>40696</v>
      </c>
      <c r="B944">
        <v>3.9138663440000001</v>
      </c>
      <c r="C944" s="2">
        <v>5.04E-2</v>
      </c>
      <c r="D944" s="2">
        <v>3.3799999999999997E-2</v>
      </c>
    </row>
    <row r="945" spans="1:4" x14ac:dyDescent="0.25">
      <c r="A945" s="1">
        <v>40695</v>
      </c>
      <c r="B945">
        <v>3.863494244</v>
      </c>
      <c r="C945" s="2">
        <v>-6.8900000000000003E-2</v>
      </c>
      <c r="D945" s="2">
        <v>3.3500000000000002E-2</v>
      </c>
    </row>
    <row r="946" spans="1:4" x14ac:dyDescent="0.25">
      <c r="A946" s="1">
        <v>40694</v>
      </c>
      <c r="B946">
        <v>3.9323542709999999</v>
      </c>
      <c r="C946" s="2">
        <v>-1.6999999999999999E-3</v>
      </c>
      <c r="D946" s="2">
        <v>3.2500000000000001E-2</v>
      </c>
    </row>
    <row r="947" spans="1:4" x14ac:dyDescent="0.25">
      <c r="A947" s="1">
        <v>40690</v>
      </c>
      <c r="B947">
        <v>3.9340132470000002</v>
      </c>
      <c r="C947" s="2">
        <v>2.29E-2</v>
      </c>
      <c r="D947" s="2">
        <v>3.4299999999999997E-2</v>
      </c>
    </row>
    <row r="948" spans="1:4" x14ac:dyDescent="0.25">
      <c r="A948" s="1">
        <v>40689</v>
      </c>
      <c r="B948">
        <v>3.9110937730000002</v>
      </c>
      <c r="C948" s="2">
        <v>-7.1499999999999994E-2</v>
      </c>
      <c r="D948" s="2">
        <v>3.5799999999999998E-2</v>
      </c>
    </row>
    <row r="949" spans="1:4" x14ac:dyDescent="0.25">
      <c r="A949" s="1">
        <v>40688</v>
      </c>
      <c r="B949">
        <v>3.982640242</v>
      </c>
      <c r="C949" s="2">
        <v>-1.4E-3</v>
      </c>
      <c r="D949" s="2">
        <v>3.5299999999999998E-2</v>
      </c>
    </row>
    <row r="950" spans="1:4" x14ac:dyDescent="0.25">
      <c r="A950" s="1">
        <v>40687</v>
      </c>
      <c r="B950">
        <v>3.9840068190000002</v>
      </c>
      <c r="C950" s="2">
        <v>-1.21E-2</v>
      </c>
      <c r="D950" s="2">
        <v>3.5299999999999998E-2</v>
      </c>
    </row>
    <row r="951" spans="1:4" x14ac:dyDescent="0.25">
      <c r="A951" s="1">
        <v>40686</v>
      </c>
      <c r="B951">
        <v>3.9961535029999999</v>
      </c>
      <c r="C951" s="2">
        <v>3.3E-3</v>
      </c>
      <c r="D951" s="2">
        <v>3.5299999999999998E-2</v>
      </c>
    </row>
    <row r="952" spans="1:4" x14ac:dyDescent="0.25">
      <c r="A952" s="1">
        <v>40683</v>
      </c>
      <c r="B952">
        <v>3.9928413439999999</v>
      </c>
      <c r="C952" s="2">
        <v>-1.2800000000000001E-2</v>
      </c>
      <c r="D952" s="2">
        <v>3.5299999999999998E-2</v>
      </c>
    </row>
    <row r="953" spans="1:4" x14ac:dyDescent="0.25">
      <c r="A953" s="1">
        <v>40682</v>
      </c>
      <c r="B953">
        <v>4.0056577920000001</v>
      </c>
      <c r="C953" s="2">
        <v>7.4999999999999997E-3</v>
      </c>
      <c r="D953" s="2">
        <v>3.5700000000000003E-2</v>
      </c>
    </row>
    <row r="954" spans="1:4" x14ac:dyDescent="0.25">
      <c r="A954" s="1">
        <v>40681</v>
      </c>
      <c r="B954">
        <v>3.9981747410000001</v>
      </c>
      <c r="C954" s="2">
        <v>4.2000000000000003E-2</v>
      </c>
      <c r="D954" s="2">
        <v>3.5700000000000003E-2</v>
      </c>
    </row>
    <row r="955" spans="1:4" x14ac:dyDescent="0.25">
      <c r="A955" s="1">
        <v>40680</v>
      </c>
      <c r="B955">
        <v>3.9561973949999998</v>
      </c>
      <c r="C955" s="2">
        <v>-1.52E-2</v>
      </c>
      <c r="D955" s="2">
        <v>3.5999999999999997E-2</v>
      </c>
    </row>
    <row r="956" spans="1:4" x14ac:dyDescent="0.25">
      <c r="A956" s="1">
        <v>40679</v>
      </c>
      <c r="B956">
        <v>3.9714462689999999</v>
      </c>
      <c r="C956" s="2">
        <v>-1.72E-2</v>
      </c>
      <c r="D956" s="2">
        <v>3.61E-2</v>
      </c>
    </row>
    <row r="957" spans="1:4" x14ac:dyDescent="0.25">
      <c r="A957" s="1">
        <v>40676</v>
      </c>
      <c r="B957">
        <v>3.9886222220000001</v>
      </c>
      <c r="C957" s="2">
        <v>-1.66E-2</v>
      </c>
      <c r="D957" s="2">
        <v>3.6499999999999998E-2</v>
      </c>
    </row>
    <row r="958" spans="1:4" x14ac:dyDescent="0.25">
      <c r="A958" s="1">
        <v>40675</v>
      </c>
      <c r="B958">
        <v>4.0052084319999999</v>
      </c>
      <c r="C958" s="2">
        <v>2.2599999999999999E-2</v>
      </c>
      <c r="D958" s="2">
        <v>3.6600000000000001E-2</v>
      </c>
    </row>
    <row r="959" spans="1:4" x14ac:dyDescent="0.25">
      <c r="A959" s="1">
        <v>40674</v>
      </c>
      <c r="B959">
        <v>3.982652517</v>
      </c>
      <c r="C959" s="2">
        <v>-2.75E-2</v>
      </c>
      <c r="D959" s="2">
        <v>3.6400000000000002E-2</v>
      </c>
    </row>
    <row r="960" spans="1:4" x14ac:dyDescent="0.25">
      <c r="A960" s="1">
        <v>40673</v>
      </c>
      <c r="B960">
        <v>4.0101740980000002</v>
      </c>
      <c r="C960" s="2">
        <v>4.2999999999999997E-2</v>
      </c>
      <c r="D960" s="2">
        <v>3.6499999999999998E-2</v>
      </c>
    </row>
    <row r="961" spans="1:4" x14ac:dyDescent="0.25">
      <c r="A961" s="1">
        <v>40672</v>
      </c>
      <c r="B961">
        <v>3.9671840170000001</v>
      </c>
      <c r="C961" s="2">
        <v>-1.3899999999999999E-2</v>
      </c>
      <c r="D961" s="2">
        <v>3.6700000000000003E-2</v>
      </c>
    </row>
    <row r="962" spans="1:4" x14ac:dyDescent="0.25">
      <c r="A962" s="1">
        <v>40669</v>
      </c>
      <c r="B962">
        <v>3.981036923</v>
      </c>
      <c r="C962" s="2">
        <v>-8.6999999999999994E-3</v>
      </c>
      <c r="D962" s="2">
        <v>3.7499999999999999E-2</v>
      </c>
    </row>
    <row r="963" spans="1:4" x14ac:dyDescent="0.25">
      <c r="A963" s="1">
        <v>40668</v>
      </c>
      <c r="B963">
        <v>3.989742685</v>
      </c>
      <c r="C963" s="2">
        <v>-5.0500000000000003E-2</v>
      </c>
      <c r="D963" s="2">
        <v>3.7600000000000001E-2</v>
      </c>
    </row>
    <row r="964" spans="1:4" x14ac:dyDescent="0.25">
      <c r="A964" s="1">
        <v>40667</v>
      </c>
      <c r="B964">
        <v>4.0402883420000002</v>
      </c>
      <c r="C964" s="2">
        <v>-3.09E-2</v>
      </c>
      <c r="D964" s="2">
        <v>3.8699999999999998E-2</v>
      </c>
    </row>
    <row r="965" spans="1:4" x14ac:dyDescent="0.25">
      <c r="A965" s="1">
        <v>40666</v>
      </c>
      <c r="B965">
        <v>4.0711736759999999</v>
      </c>
      <c r="C965" s="2">
        <v>-3.0599999999999999E-2</v>
      </c>
      <c r="D965" s="2">
        <v>3.8699999999999998E-2</v>
      </c>
    </row>
    <row r="966" spans="1:4" x14ac:dyDescent="0.25">
      <c r="A966" s="1">
        <v>40665</v>
      </c>
      <c r="B966">
        <v>4.1017392560000001</v>
      </c>
      <c r="C966" s="2">
        <v>1.06E-2</v>
      </c>
      <c r="D966" s="2">
        <v>3.9699999999999999E-2</v>
      </c>
    </row>
    <row r="967" spans="1:4" x14ac:dyDescent="0.25">
      <c r="A967" s="1">
        <v>40662</v>
      </c>
      <c r="B967">
        <v>4.0911415079999998</v>
      </c>
      <c r="C967" s="2">
        <v>-1.7399999999999999E-2</v>
      </c>
      <c r="D967" s="2">
        <v>4.0099999999999997E-2</v>
      </c>
    </row>
    <row r="968" spans="1:4" x14ac:dyDescent="0.25">
      <c r="A968" s="1">
        <v>40661</v>
      </c>
      <c r="B968">
        <v>4.1085299629999996</v>
      </c>
      <c r="C968" s="2">
        <v>-6.5199999999999994E-2</v>
      </c>
      <c r="D968" s="2">
        <v>4.07E-2</v>
      </c>
    </row>
    <row r="969" spans="1:4" x14ac:dyDescent="0.25">
      <c r="A969" s="1">
        <v>40660</v>
      </c>
      <c r="B969">
        <v>4.1737753599999996</v>
      </c>
      <c r="C969" s="2">
        <v>2.5000000000000001E-2</v>
      </c>
      <c r="D969" s="2">
        <v>4.0599999999999997E-2</v>
      </c>
    </row>
    <row r="970" spans="1:4" x14ac:dyDescent="0.25">
      <c r="A970" s="1">
        <v>40659</v>
      </c>
      <c r="B970">
        <v>4.1488060129999997</v>
      </c>
      <c r="C970" s="2">
        <v>-3.1E-2</v>
      </c>
      <c r="D970" s="2">
        <v>4.0599999999999997E-2</v>
      </c>
    </row>
    <row r="971" spans="1:4" x14ac:dyDescent="0.25">
      <c r="A971" s="1">
        <v>40658</v>
      </c>
      <c r="B971">
        <v>4.1798117350000004</v>
      </c>
      <c r="C971" s="2">
        <v>-3.2099999999999997E-2</v>
      </c>
      <c r="D971" s="2">
        <v>4.0500000000000001E-2</v>
      </c>
    </row>
    <row r="972" spans="1:4" x14ac:dyDescent="0.25">
      <c r="A972" s="1">
        <v>40654</v>
      </c>
      <c r="B972">
        <v>4.211880195</v>
      </c>
      <c r="C972" s="2">
        <v>1.6999999999999999E-3</v>
      </c>
      <c r="D972" s="2">
        <v>4.0899999999999999E-2</v>
      </c>
    </row>
    <row r="973" spans="1:4" x14ac:dyDescent="0.25">
      <c r="A973" s="1">
        <v>40653</v>
      </c>
      <c r="B973">
        <v>4.2102300149999996</v>
      </c>
      <c r="C973" s="2">
        <v>2.9700000000000001E-2</v>
      </c>
      <c r="D973" s="2">
        <v>4.2200000000000001E-2</v>
      </c>
    </row>
    <row r="974" spans="1:4" x14ac:dyDescent="0.25">
      <c r="A974" s="1">
        <v>40652</v>
      </c>
      <c r="B974">
        <v>4.1805597150000002</v>
      </c>
      <c r="C974" s="2">
        <v>-1.15E-2</v>
      </c>
      <c r="D974" s="2">
        <v>4.2500000000000003E-2</v>
      </c>
    </row>
    <row r="975" spans="1:4" x14ac:dyDescent="0.25">
      <c r="A975" s="1">
        <v>40651</v>
      </c>
      <c r="B975">
        <v>4.1920950829999999</v>
      </c>
      <c r="C975" s="2">
        <v>-3.3300000000000003E-2</v>
      </c>
      <c r="D975" s="2">
        <v>4.2500000000000003E-2</v>
      </c>
    </row>
    <row r="976" spans="1:4" x14ac:dyDescent="0.25">
      <c r="A976" s="1">
        <v>40648</v>
      </c>
      <c r="B976">
        <v>4.2253488910000003</v>
      </c>
      <c r="C976" s="2">
        <v>-6.8199999999999997E-2</v>
      </c>
      <c r="D976" s="2">
        <v>4.2500000000000003E-2</v>
      </c>
    </row>
    <row r="977" spans="1:4" x14ac:dyDescent="0.25">
      <c r="A977" s="1">
        <v>40647</v>
      </c>
      <c r="B977">
        <v>4.2935055689999997</v>
      </c>
      <c r="C977" s="2">
        <v>6.6E-3</v>
      </c>
      <c r="D977" s="2">
        <v>4.3499999999999997E-2</v>
      </c>
    </row>
    <row r="978" spans="1:4" x14ac:dyDescent="0.25">
      <c r="A978" s="1">
        <v>40646</v>
      </c>
      <c r="B978">
        <v>4.2868662029999998</v>
      </c>
      <c r="C978" s="2">
        <v>-1.9300000000000001E-2</v>
      </c>
      <c r="D978" s="2">
        <v>4.3700000000000003E-2</v>
      </c>
    </row>
    <row r="979" spans="1:4" x14ac:dyDescent="0.25">
      <c r="A979" s="1">
        <v>40645</v>
      </c>
      <c r="B979">
        <v>4.3061162059999996</v>
      </c>
      <c r="C979" s="2">
        <v>-5.1200000000000002E-2</v>
      </c>
      <c r="D979" s="2">
        <v>4.41E-2</v>
      </c>
    </row>
    <row r="980" spans="1:4" x14ac:dyDescent="0.25">
      <c r="A980" s="1">
        <v>40644</v>
      </c>
      <c r="B980">
        <v>4.3573317349999998</v>
      </c>
      <c r="C980" s="2">
        <v>-4.8999999999999998E-3</v>
      </c>
      <c r="D980" s="2">
        <v>4.3499999999999997E-2</v>
      </c>
    </row>
    <row r="981" spans="1:4" x14ac:dyDescent="0.25">
      <c r="A981" s="1">
        <v>40641</v>
      </c>
      <c r="B981">
        <v>4.3622076139999999</v>
      </c>
      <c r="C981" s="2">
        <v>8.8000000000000005E-3</v>
      </c>
      <c r="D981" s="2">
        <v>4.4200000000000003E-2</v>
      </c>
    </row>
    <row r="982" spans="1:4" x14ac:dyDescent="0.25">
      <c r="A982" s="1">
        <v>40640</v>
      </c>
      <c r="B982">
        <v>4.3534210839999998</v>
      </c>
      <c r="C982" s="2">
        <v>-4.7999999999999996E-3</v>
      </c>
      <c r="D982" s="2">
        <v>4.4200000000000003E-2</v>
      </c>
    </row>
    <row r="983" spans="1:4" x14ac:dyDescent="0.25">
      <c r="A983" s="1">
        <v>40639</v>
      </c>
      <c r="B983">
        <v>4.3581821129999998</v>
      </c>
      <c r="C983" s="2">
        <v>3.1399999999999997E-2</v>
      </c>
      <c r="D983" s="2">
        <v>4.4699999999999997E-2</v>
      </c>
    </row>
    <row r="984" spans="1:4" x14ac:dyDescent="0.25">
      <c r="A984" s="1">
        <v>40638</v>
      </c>
      <c r="B984">
        <v>4.3268293599999996</v>
      </c>
      <c r="C984" s="2">
        <v>5.6099999999999997E-2</v>
      </c>
      <c r="D984" s="2">
        <v>4.4699999999999997E-2</v>
      </c>
    </row>
    <row r="985" spans="1:4" x14ac:dyDescent="0.25">
      <c r="A985" s="1">
        <v>40637</v>
      </c>
      <c r="B985">
        <v>4.2707131450000002</v>
      </c>
      <c r="C985" s="2">
        <v>-1.8E-3</v>
      </c>
      <c r="D985" s="2">
        <v>4.5999999999999999E-2</v>
      </c>
    </row>
    <row r="986" spans="1:4" x14ac:dyDescent="0.25">
      <c r="A986" s="1">
        <v>40634</v>
      </c>
      <c r="B986">
        <v>4.2725182080000002</v>
      </c>
      <c r="C986" s="2">
        <v>9.2999999999999992E-3</v>
      </c>
      <c r="D986" s="2">
        <v>4.65E-2</v>
      </c>
    </row>
    <row r="987" spans="1:4" x14ac:dyDescent="0.25">
      <c r="A987" s="1">
        <v>40633</v>
      </c>
      <c r="B987">
        <v>4.2632122030000001</v>
      </c>
      <c r="C987" s="2">
        <v>-5.5999999999999999E-3</v>
      </c>
      <c r="D987" s="2">
        <v>4.9599999999999998E-2</v>
      </c>
    </row>
    <row r="988" spans="1:4" x14ac:dyDescent="0.25">
      <c r="A988" s="1">
        <v>40632</v>
      </c>
      <c r="B988">
        <v>4.2688328000000002</v>
      </c>
      <c r="C988" s="2">
        <v>-3.4299999999999997E-2</v>
      </c>
      <c r="D988" s="2">
        <v>4.9599999999999998E-2</v>
      </c>
    </row>
    <row r="989" spans="1:4" x14ac:dyDescent="0.25">
      <c r="A989" s="1">
        <v>40631</v>
      </c>
      <c r="B989">
        <v>4.3031579689999999</v>
      </c>
      <c r="C989" s="2">
        <v>4.0099999999999997E-2</v>
      </c>
      <c r="D989" s="2">
        <v>4.9399999999999999E-2</v>
      </c>
    </row>
    <row r="990" spans="1:4" x14ac:dyDescent="0.25">
      <c r="A990" s="1">
        <v>40630</v>
      </c>
      <c r="B990">
        <v>4.2631006280000001</v>
      </c>
      <c r="C990" s="2">
        <v>2.3E-3</v>
      </c>
      <c r="D990" s="2">
        <v>5.04E-2</v>
      </c>
    </row>
    <row r="991" spans="1:4" x14ac:dyDescent="0.25">
      <c r="A991" s="1">
        <v>40627</v>
      </c>
      <c r="B991">
        <v>4.2607943290000003</v>
      </c>
      <c r="C991" s="2">
        <v>3.2300000000000002E-2</v>
      </c>
      <c r="D991" s="2">
        <v>5.04E-2</v>
      </c>
    </row>
    <row r="992" spans="1:4" x14ac:dyDescent="0.25">
      <c r="A992" s="1">
        <v>40626</v>
      </c>
      <c r="B992">
        <v>4.2285399369999999</v>
      </c>
      <c r="C992" s="2">
        <v>1.9300000000000001E-2</v>
      </c>
      <c r="D992" s="2">
        <v>5.4100000000000002E-2</v>
      </c>
    </row>
    <row r="993" spans="1:4" x14ac:dyDescent="0.25">
      <c r="A993" s="1">
        <v>40625</v>
      </c>
      <c r="B993">
        <v>4.2092705659999998</v>
      </c>
      <c r="C993" s="2">
        <v>1.9900000000000001E-2</v>
      </c>
      <c r="D993" s="2">
        <v>5.6099999999999997E-2</v>
      </c>
    </row>
    <row r="994" spans="1:4" x14ac:dyDescent="0.25">
      <c r="A994" s="1">
        <v>40624</v>
      </c>
      <c r="B994">
        <v>4.189359863</v>
      </c>
      <c r="C994" s="2">
        <v>2.5999999999999999E-2</v>
      </c>
      <c r="D994" s="2">
        <v>5.6099999999999997E-2</v>
      </c>
    </row>
    <row r="995" spans="1:4" x14ac:dyDescent="0.25">
      <c r="A995" s="1">
        <v>40623</v>
      </c>
      <c r="B995">
        <v>4.1633848420000001</v>
      </c>
      <c r="C995" s="2">
        <v>5.2200000000000003E-2</v>
      </c>
      <c r="D995" s="2">
        <v>5.6300000000000003E-2</v>
      </c>
    </row>
    <row r="996" spans="1:4" x14ac:dyDescent="0.25">
      <c r="A996" s="1">
        <v>40620</v>
      </c>
      <c r="B996">
        <v>4.1111783879999999</v>
      </c>
      <c r="C996" s="2">
        <v>3.8999999999999998E-3</v>
      </c>
      <c r="D996" s="2">
        <v>5.5899999999999998E-2</v>
      </c>
    </row>
    <row r="997" spans="1:4" x14ac:dyDescent="0.25">
      <c r="A997" s="1">
        <v>40619</v>
      </c>
      <c r="B997">
        <v>4.1072423459999996</v>
      </c>
      <c r="C997" s="2">
        <v>2.5600000000000001E-2</v>
      </c>
      <c r="D997" s="2">
        <v>5.6099999999999997E-2</v>
      </c>
    </row>
    <row r="998" spans="1:4" x14ac:dyDescent="0.25">
      <c r="A998" s="1">
        <v>40618</v>
      </c>
      <c r="B998">
        <v>4.0816167710000002</v>
      </c>
      <c r="C998" s="2">
        <v>-9.1399999999999995E-2</v>
      </c>
      <c r="D998" s="2">
        <v>5.6300000000000003E-2</v>
      </c>
    </row>
    <row r="999" spans="1:4" x14ac:dyDescent="0.25">
      <c r="A999" s="1">
        <v>40617</v>
      </c>
      <c r="B999">
        <v>4.1729690000000002</v>
      </c>
      <c r="C999" s="2">
        <v>-6.6E-3</v>
      </c>
      <c r="D999" s="2">
        <v>6.0199999999999997E-2</v>
      </c>
    </row>
    <row r="1000" spans="1:4" x14ac:dyDescent="0.25">
      <c r="A1000" s="1">
        <v>40616</v>
      </c>
      <c r="B1000">
        <v>4.1795306520000004</v>
      </c>
      <c r="C1000" s="2">
        <v>-3.4500000000000003E-2</v>
      </c>
      <c r="D1000" s="2">
        <v>6.0299999999999999E-2</v>
      </c>
    </row>
    <row r="1001" spans="1:4" x14ac:dyDescent="0.25">
      <c r="A1001" s="1">
        <v>40613</v>
      </c>
      <c r="B1001">
        <v>4.2139949989999996</v>
      </c>
      <c r="C1001" s="2">
        <v>1.5599999999999999E-2</v>
      </c>
      <c r="D1001" s="2">
        <v>6.1499999999999999E-2</v>
      </c>
    </row>
    <row r="1002" spans="1:4" x14ac:dyDescent="0.25">
      <c r="A1002" s="1">
        <v>40612</v>
      </c>
      <c r="B1002">
        <v>4.1984052859999998</v>
      </c>
      <c r="C1002" s="2">
        <v>-0.05</v>
      </c>
      <c r="D1002" s="2">
        <v>6.5699999999999995E-2</v>
      </c>
    </row>
    <row r="1003" spans="1:4" x14ac:dyDescent="0.25">
      <c r="A1003" s="1">
        <v>40611</v>
      </c>
      <c r="B1003">
        <v>4.2484409489999999</v>
      </c>
      <c r="C1003" s="2">
        <v>-6.3700000000000007E-2</v>
      </c>
      <c r="D1003" s="2">
        <v>6.54E-2</v>
      </c>
    </row>
    <row r="1004" spans="1:4" x14ac:dyDescent="0.25">
      <c r="A1004" s="1">
        <v>40610</v>
      </c>
      <c r="B1004">
        <v>4.3121099540000003</v>
      </c>
      <c r="C1004" s="2">
        <v>3.6400000000000002E-2</v>
      </c>
      <c r="D1004" s="2">
        <v>6.5500000000000003E-2</v>
      </c>
    </row>
    <row r="1005" spans="1:4" x14ac:dyDescent="0.25">
      <c r="A1005" s="1">
        <v>40609</v>
      </c>
      <c r="B1005">
        <v>4.275725166</v>
      </c>
      <c r="C1005" s="2">
        <v>9.9000000000000008E-3</v>
      </c>
      <c r="D1005" s="2">
        <v>6.5699999999999995E-2</v>
      </c>
    </row>
    <row r="1006" spans="1:4" x14ac:dyDescent="0.25">
      <c r="A1006" s="1">
        <v>40606</v>
      </c>
      <c r="B1006">
        <v>4.2658188570000002</v>
      </c>
      <c r="C1006" s="2">
        <v>-9.01E-2</v>
      </c>
      <c r="D1006" s="2">
        <v>6.6000000000000003E-2</v>
      </c>
    </row>
    <row r="1007" spans="1:4" x14ac:dyDescent="0.25">
      <c r="A1007" s="1">
        <v>40605</v>
      </c>
      <c r="B1007">
        <v>4.3559011649999997</v>
      </c>
      <c r="C1007" s="2">
        <v>7.6799999999999993E-2</v>
      </c>
      <c r="D1007" s="2">
        <v>6.9699999999999998E-2</v>
      </c>
    </row>
    <row r="1008" spans="1:4" x14ac:dyDescent="0.25">
      <c r="A1008" s="1">
        <v>40604</v>
      </c>
      <c r="B1008">
        <v>4.2791501509999996</v>
      </c>
      <c r="C1008" s="2">
        <v>4.2500000000000003E-2</v>
      </c>
      <c r="D1008" s="2">
        <v>7.0400000000000004E-2</v>
      </c>
    </row>
    <row r="1009" spans="1:4" x14ac:dyDescent="0.25">
      <c r="A1009" s="1">
        <v>40603</v>
      </c>
      <c r="B1009">
        <v>4.2366916110000004</v>
      </c>
      <c r="C1009" s="2">
        <v>5.8999999999999999E-3</v>
      </c>
      <c r="D1009" s="2">
        <v>7.0199999999999999E-2</v>
      </c>
    </row>
    <row r="1010" spans="1:4" x14ac:dyDescent="0.25">
      <c r="A1010" s="1">
        <v>40602</v>
      </c>
      <c r="B1010">
        <v>4.2308322399999998</v>
      </c>
      <c r="C1010" s="2">
        <v>-1.8800000000000001E-2</v>
      </c>
      <c r="D1010" s="2">
        <v>7.0300000000000001E-2</v>
      </c>
    </row>
    <row r="1011" spans="1:4" x14ac:dyDescent="0.25">
      <c r="A1011" s="1">
        <v>40599</v>
      </c>
      <c r="B1011">
        <v>4.2496689830000003</v>
      </c>
      <c r="C1011" s="2">
        <v>-1.4E-2</v>
      </c>
      <c r="D1011" s="2">
        <v>7.2800000000000004E-2</v>
      </c>
    </row>
    <row r="1012" spans="1:4" x14ac:dyDescent="0.25">
      <c r="A1012" s="1">
        <v>40598</v>
      </c>
      <c r="B1012">
        <v>4.2636232080000003</v>
      </c>
      <c r="C1012" s="2">
        <v>-4.3200000000000002E-2</v>
      </c>
      <c r="D1012" s="2">
        <v>7.2800000000000004E-2</v>
      </c>
    </row>
    <row r="1013" spans="1:4" x14ac:dyDescent="0.25">
      <c r="A1013" s="1">
        <v>40597</v>
      </c>
      <c r="B1013">
        <v>4.306860307</v>
      </c>
      <c r="C1013" s="2">
        <v>6.8999999999999999E-3</v>
      </c>
      <c r="D1013" s="2">
        <v>7.2900000000000006E-2</v>
      </c>
    </row>
    <row r="1014" spans="1:4" x14ac:dyDescent="0.25">
      <c r="A1014" s="1">
        <v>40596</v>
      </c>
      <c r="B1014">
        <v>4.2999787869999997</v>
      </c>
      <c r="C1014" s="2">
        <v>-6.6400000000000001E-2</v>
      </c>
      <c r="D1014" s="2">
        <v>7.3099999999999998E-2</v>
      </c>
    </row>
    <row r="1015" spans="1:4" x14ac:dyDescent="0.25">
      <c r="A1015" s="1">
        <v>40592</v>
      </c>
      <c r="B1015">
        <v>4.3663894000000001</v>
      </c>
      <c r="C1015" s="2">
        <v>1.5900000000000001E-2</v>
      </c>
      <c r="D1015" s="2">
        <v>7.4700000000000003E-2</v>
      </c>
    </row>
    <row r="1016" spans="1:4" x14ac:dyDescent="0.25">
      <c r="A1016" s="1">
        <v>40591</v>
      </c>
      <c r="B1016">
        <v>4.3504406979999999</v>
      </c>
      <c r="C1016" s="2">
        <v>-4.8500000000000001E-2</v>
      </c>
      <c r="D1016" s="2">
        <v>7.4899999999999994E-2</v>
      </c>
    </row>
    <row r="1017" spans="1:4" x14ac:dyDescent="0.25">
      <c r="A1017" s="1">
        <v>40590</v>
      </c>
      <c r="B1017">
        <v>4.398962043</v>
      </c>
      <c r="C1017" s="2">
        <v>1.3899999999999999E-2</v>
      </c>
      <c r="D1017" s="2">
        <v>7.4800000000000005E-2</v>
      </c>
    </row>
    <row r="1018" spans="1:4" x14ac:dyDescent="0.25">
      <c r="A1018" s="1">
        <v>40589</v>
      </c>
      <c r="B1018">
        <v>4.3851093390000004</v>
      </c>
      <c r="C1018" s="2">
        <v>-8.0000000000000002E-3</v>
      </c>
      <c r="D1018" s="2">
        <v>7.4800000000000005E-2</v>
      </c>
    </row>
    <row r="1019" spans="1:4" x14ac:dyDescent="0.25">
      <c r="A1019" s="1">
        <v>40588</v>
      </c>
      <c r="B1019">
        <v>4.3931467670000002</v>
      </c>
      <c r="C1019" s="2">
        <v>-4.1200000000000001E-2</v>
      </c>
      <c r="D1019" s="2">
        <v>7.4800000000000005E-2</v>
      </c>
    </row>
    <row r="1020" spans="1:4" x14ac:dyDescent="0.25">
      <c r="A1020" s="1">
        <v>40585</v>
      </c>
      <c r="B1020">
        <v>4.4343090040000002</v>
      </c>
      <c r="C1020" s="2">
        <v>-6.6900000000000001E-2</v>
      </c>
      <c r="D1020" s="2">
        <v>7.4499999999999997E-2</v>
      </c>
    </row>
    <row r="1021" spans="1:4" x14ac:dyDescent="0.25">
      <c r="A1021" s="1">
        <v>40584</v>
      </c>
      <c r="B1021">
        <v>4.5012486389999999</v>
      </c>
      <c r="C1021" s="2">
        <v>4.8300000000000003E-2</v>
      </c>
      <c r="D1021" s="2">
        <v>7.3800000000000004E-2</v>
      </c>
    </row>
    <row r="1022" spans="1:4" x14ac:dyDescent="0.25">
      <c r="A1022" s="1">
        <v>40583</v>
      </c>
      <c r="B1022">
        <v>4.4529420359999996</v>
      </c>
      <c r="C1022" s="2">
        <v>-3.4200000000000001E-2</v>
      </c>
      <c r="D1022" s="2">
        <v>7.5200000000000003E-2</v>
      </c>
    </row>
    <row r="1023" spans="1:4" x14ac:dyDescent="0.25">
      <c r="A1023" s="1">
        <v>40582</v>
      </c>
      <c r="B1023">
        <v>4.4871263560000001</v>
      </c>
      <c r="C1023" s="2">
        <v>7.51E-2</v>
      </c>
      <c r="D1023" s="2">
        <v>7.6100000000000001E-2</v>
      </c>
    </row>
    <row r="1024" spans="1:4" x14ac:dyDescent="0.25">
      <c r="A1024" s="1">
        <v>40581</v>
      </c>
      <c r="B1024">
        <v>4.4120235680000004</v>
      </c>
      <c r="C1024" s="2">
        <v>1.7299999999999999E-2</v>
      </c>
      <c r="D1024" s="2">
        <v>7.5800000000000006E-2</v>
      </c>
    </row>
    <row r="1025" spans="1:4" x14ac:dyDescent="0.25">
      <c r="A1025" s="1">
        <v>40578</v>
      </c>
      <c r="B1025">
        <v>4.3946942709999997</v>
      </c>
      <c r="C1025" s="2">
        <v>6.7900000000000002E-2</v>
      </c>
      <c r="D1025" s="2">
        <v>7.6600000000000001E-2</v>
      </c>
    </row>
    <row r="1026" spans="1:4" x14ac:dyDescent="0.25">
      <c r="A1026" s="1">
        <v>40577</v>
      </c>
      <c r="B1026">
        <v>4.3267547750000004</v>
      </c>
      <c r="C1026" s="2">
        <v>4.3099999999999999E-2</v>
      </c>
      <c r="D1026" s="2">
        <v>7.6399999999999996E-2</v>
      </c>
    </row>
    <row r="1027" spans="1:4" x14ac:dyDescent="0.25">
      <c r="A1027" s="1">
        <v>40576</v>
      </c>
      <c r="B1027">
        <v>4.2836977950000001</v>
      </c>
      <c r="C1027" s="2">
        <v>5.0700000000000002E-2</v>
      </c>
      <c r="D1027" s="2">
        <v>7.6600000000000001E-2</v>
      </c>
    </row>
    <row r="1028" spans="1:4" x14ac:dyDescent="0.25">
      <c r="A1028" s="1">
        <v>40575</v>
      </c>
      <c r="B1028">
        <v>4.2330193850000004</v>
      </c>
      <c r="C1028" s="2">
        <v>5.9499999999999997E-2</v>
      </c>
      <c r="D1028" s="2">
        <v>7.7600000000000002E-2</v>
      </c>
    </row>
    <row r="1029" spans="1:4" x14ac:dyDescent="0.25">
      <c r="A1029" s="1">
        <v>40574</v>
      </c>
      <c r="B1029">
        <v>4.1734715509999996</v>
      </c>
      <c r="C1029" s="2">
        <v>2.4799999999999999E-2</v>
      </c>
      <c r="D1029" s="2">
        <v>7.7499999999999999E-2</v>
      </c>
    </row>
    <row r="1030" spans="1:4" x14ac:dyDescent="0.25">
      <c r="A1030" s="1">
        <v>40571</v>
      </c>
      <c r="B1030">
        <v>4.1486356200000003</v>
      </c>
      <c r="C1030" s="2">
        <v>-3.0099999999999998E-2</v>
      </c>
      <c r="D1030" s="2">
        <v>7.7899999999999997E-2</v>
      </c>
    </row>
    <row r="1031" spans="1:4" x14ac:dyDescent="0.25">
      <c r="A1031" s="1">
        <v>40570</v>
      </c>
      <c r="B1031">
        <v>4.1787721749999998</v>
      </c>
      <c r="C1031" s="2">
        <v>-5.1400000000000001E-2</v>
      </c>
      <c r="D1031" s="2">
        <v>7.7799999999999994E-2</v>
      </c>
    </row>
    <row r="1032" spans="1:4" x14ac:dyDescent="0.25">
      <c r="A1032" s="1">
        <v>40569</v>
      </c>
      <c r="B1032">
        <v>4.2301753990000002</v>
      </c>
      <c r="C1032" s="2">
        <v>8.1699999999999995E-2</v>
      </c>
      <c r="D1032" s="2">
        <v>7.7600000000000002E-2</v>
      </c>
    </row>
    <row r="1033" spans="1:4" x14ac:dyDescent="0.25">
      <c r="A1033" s="1">
        <v>40568</v>
      </c>
      <c r="B1033">
        <v>4.1484976419999997</v>
      </c>
      <c r="C1033" s="2">
        <v>-4.7100000000000003E-2</v>
      </c>
      <c r="D1033" s="2">
        <v>7.7700000000000005E-2</v>
      </c>
    </row>
    <row r="1034" spans="1:4" x14ac:dyDescent="0.25">
      <c r="A1034" s="1">
        <v>40567</v>
      </c>
      <c r="B1034">
        <v>4.1956447040000002</v>
      </c>
      <c r="C1034" s="2">
        <v>1.35E-2</v>
      </c>
      <c r="D1034" s="2">
        <v>7.7499999999999999E-2</v>
      </c>
    </row>
    <row r="1035" spans="1:4" x14ac:dyDescent="0.25">
      <c r="A1035" s="1">
        <v>40564</v>
      </c>
      <c r="B1035">
        <v>4.1821146169999999</v>
      </c>
      <c r="C1035" s="2">
        <v>-3.4099999999999998E-2</v>
      </c>
      <c r="D1035" s="2">
        <v>7.7899999999999997E-2</v>
      </c>
    </row>
    <row r="1036" spans="1:4" x14ac:dyDescent="0.25">
      <c r="A1036" s="1">
        <v>40563</v>
      </c>
      <c r="B1036">
        <v>4.2162328950000001</v>
      </c>
      <c r="C1036" s="2">
        <v>0.1011</v>
      </c>
      <c r="D1036" s="2">
        <v>7.7799999999999994E-2</v>
      </c>
    </row>
    <row r="1037" spans="1:4" x14ac:dyDescent="0.25">
      <c r="A1037" s="1">
        <v>40562</v>
      </c>
      <c r="B1037">
        <v>4.1151242569999997</v>
      </c>
      <c r="C1037" s="2">
        <v>-2.6100000000000002E-2</v>
      </c>
      <c r="D1037" s="2">
        <v>7.6999999999999999E-2</v>
      </c>
    </row>
    <row r="1038" spans="1:4" x14ac:dyDescent="0.25">
      <c r="A1038" s="1">
        <v>40561</v>
      </c>
      <c r="B1038">
        <v>4.1412372020000001</v>
      </c>
      <c r="C1038" s="2">
        <v>5.5399999999999998E-2</v>
      </c>
      <c r="D1038" s="2">
        <v>7.6899999999999996E-2</v>
      </c>
    </row>
    <row r="1039" spans="1:4" x14ac:dyDescent="0.25">
      <c r="A1039" s="1">
        <v>40557</v>
      </c>
      <c r="B1039">
        <v>4.0858523120000001</v>
      </c>
      <c r="C1039" s="2">
        <v>1.3100000000000001E-2</v>
      </c>
      <c r="D1039" s="2">
        <v>7.6799999999999993E-2</v>
      </c>
    </row>
    <row r="1040" spans="1:4" x14ac:dyDescent="0.25">
      <c r="A1040" s="1">
        <v>40556</v>
      </c>
      <c r="B1040">
        <v>4.0727672760000004</v>
      </c>
      <c r="C1040" s="2">
        <v>-5.4800000000000001E-2</v>
      </c>
      <c r="D1040" s="2">
        <v>7.6999999999999999E-2</v>
      </c>
    </row>
    <row r="1041" spans="1:4" x14ac:dyDescent="0.25">
      <c r="A1041" s="1">
        <v>40555</v>
      </c>
      <c r="B1041">
        <v>4.1275516730000001</v>
      </c>
      <c r="C1041" s="2">
        <v>-2.8999999999999998E-3</v>
      </c>
      <c r="D1041" s="2">
        <v>7.7299999999999994E-2</v>
      </c>
    </row>
    <row r="1042" spans="1:4" x14ac:dyDescent="0.25">
      <c r="A1042" s="1">
        <v>40554</v>
      </c>
      <c r="B1042">
        <v>4.1304635689999998</v>
      </c>
      <c r="C1042" s="2">
        <v>5.4199999999999998E-2</v>
      </c>
      <c r="D1042" s="2">
        <v>7.7899999999999997E-2</v>
      </c>
    </row>
    <row r="1043" spans="1:4" x14ac:dyDescent="0.25">
      <c r="A1043" s="1">
        <v>40553</v>
      </c>
      <c r="B1043">
        <v>4.0762960780000004</v>
      </c>
      <c r="C1043" s="2">
        <v>-2.58E-2</v>
      </c>
      <c r="D1043" s="2">
        <v>7.7799999999999994E-2</v>
      </c>
    </row>
    <row r="1044" spans="1:4" x14ac:dyDescent="0.25">
      <c r="A1044" s="1">
        <v>40550</v>
      </c>
      <c r="B1044">
        <v>4.1021104270000004</v>
      </c>
      <c r="C1044" s="2">
        <v>-9.8000000000000004E-2</v>
      </c>
      <c r="D1044" s="2">
        <v>7.7799999999999994E-2</v>
      </c>
    </row>
    <row r="1045" spans="1:4" x14ac:dyDescent="0.25">
      <c r="A1045" s="1">
        <v>40549</v>
      </c>
      <c r="B1045">
        <v>4.2000787129999999</v>
      </c>
      <c r="C1045" s="2">
        <v>-4.6899999999999997E-2</v>
      </c>
      <c r="D1045" s="2">
        <v>7.6499999999999999E-2</v>
      </c>
    </row>
    <row r="1046" spans="1:4" x14ac:dyDescent="0.25">
      <c r="A1046" s="1">
        <v>40548</v>
      </c>
      <c r="B1046">
        <v>4.2469378689999999</v>
      </c>
      <c r="C1046" s="2">
        <v>0.1346</v>
      </c>
      <c r="D1046" s="2">
        <v>7.6100000000000001E-2</v>
      </c>
    </row>
    <row r="1047" spans="1:4" x14ac:dyDescent="0.25">
      <c r="A1047" s="1">
        <v>40547</v>
      </c>
      <c r="B1047">
        <v>4.1122999570000003</v>
      </c>
      <c r="C1047" s="2">
        <v>-7.1000000000000004E-3</v>
      </c>
      <c r="D1047" s="2">
        <v>7.4800000000000005E-2</v>
      </c>
    </row>
    <row r="1048" spans="1:4" x14ac:dyDescent="0.25">
      <c r="A1048" s="1">
        <v>40546</v>
      </c>
      <c r="B1048">
        <v>4.1193669560000004</v>
      </c>
      <c r="C1048" s="2">
        <v>1.3599999999999999E-2</v>
      </c>
      <c r="D1048" s="2">
        <v>7.5700000000000003E-2</v>
      </c>
    </row>
    <row r="1049" spans="1:4" x14ac:dyDescent="0.25">
      <c r="A1049" s="1">
        <v>40543</v>
      </c>
      <c r="B1049">
        <v>4.1057743709999999</v>
      </c>
      <c r="C1049" s="2">
        <v>-8.3000000000000004E-2</v>
      </c>
      <c r="D1049" s="2">
        <v>7.5700000000000003E-2</v>
      </c>
    </row>
    <row r="1050" spans="1:4" x14ac:dyDescent="0.25">
      <c r="A1050" s="1">
        <v>40542</v>
      </c>
      <c r="B1050">
        <v>4.1887844369999998</v>
      </c>
      <c r="C1050" s="2">
        <v>1.7600000000000001E-2</v>
      </c>
      <c r="D1050" s="2">
        <v>7.51E-2</v>
      </c>
    </row>
    <row r="1051" spans="1:4" x14ac:dyDescent="0.25">
      <c r="A1051" s="1">
        <v>40541</v>
      </c>
      <c r="B1051">
        <v>4.1712027049999998</v>
      </c>
      <c r="C1051" s="2">
        <v>-0.15559999999999999</v>
      </c>
      <c r="D1051" s="2">
        <v>7.51E-2</v>
      </c>
    </row>
    <row r="1052" spans="1:4" x14ac:dyDescent="0.25">
      <c r="A1052" s="1">
        <v>40540</v>
      </c>
      <c r="B1052">
        <v>4.3267789140000001</v>
      </c>
      <c r="C1052" s="2">
        <v>0.1139</v>
      </c>
      <c r="D1052" s="2">
        <v>7.1800000000000003E-2</v>
      </c>
    </row>
    <row r="1053" spans="1:4" x14ac:dyDescent="0.25">
      <c r="A1053" s="1">
        <v>40539</v>
      </c>
      <c r="B1053">
        <v>4.2128404719999999</v>
      </c>
      <c r="C1053" s="2">
        <v>-1.37E-2</v>
      </c>
      <c r="D1053" s="2">
        <v>7.0999999999999994E-2</v>
      </c>
    </row>
    <row r="1054" spans="1:4" x14ac:dyDescent="0.25">
      <c r="A1054" s="1">
        <v>40535</v>
      </c>
      <c r="B1054">
        <v>4.2265070800000002</v>
      </c>
      <c r="C1054" s="2">
        <v>4.8000000000000001E-2</v>
      </c>
      <c r="D1054" s="2">
        <v>7.1199999999999999E-2</v>
      </c>
    </row>
    <row r="1055" spans="1:4" x14ac:dyDescent="0.25">
      <c r="A1055" s="1">
        <v>40534</v>
      </c>
      <c r="B1055">
        <v>4.1785023609999996</v>
      </c>
      <c r="C1055" s="2">
        <v>3.7000000000000002E-3</v>
      </c>
      <c r="D1055" s="2">
        <v>7.2400000000000006E-2</v>
      </c>
    </row>
    <row r="1056" spans="1:4" x14ac:dyDescent="0.25">
      <c r="A1056" s="1">
        <v>40533</v>
      </c>
      <c r="B1056">
        <v>4.1747769850000003</v>
      </c>
      <c r="C1056" s="2">
        <v>-3.5799999999999998E-2</v>
      </c>
      <c r="D1056" s="2">
        <v>7.2800000000000004E-2</v>
      </c>
    </row>
    <row r="1057" spans="1:4" x14ac:dyDescent="0.25">
      <c r="A1057" s="1">
        <v>40532</v>
      </c>
      <c r="B1057">
        <v>4.2106190229999996</v>
      </c>
      <c r="C1057" s="2">
        <v>4.36E-2</v>
      </c>
      <c r="D1057" s="2">
        <v>7.2499999999999995E-2</v>
      </c>
    </row>
    <row r="1058" spans="1:4" x14ac:dyDescent="0.25">
      <c r="A1058" s="1">
        <v>40529</v>
      </c>
      <c r="B1058">
        <v>4.167020172</v>
      </c>
      <c r="C1058" s="2">
        <v>-0.18940000000000001</v>
      </c>
      <c r="D1058" s="2">
        <v>7.2700000000000001E-2</v>
      </c>
    </row>
    <row r="1059" spans="1:4" x14ac:dyDescent="0.25">
      <c r="A1059" s="1">
        <v>40528</v>
      </c>
      <c r="B1059">
        <v>4.3563887499999998</v>
      </c>
      <c r="C1059" s="2">
        <v>-2.7699999999999999E-2</v>
      </c>
      <c r="D1059" s="2">
        <v>7.0099999999999996E-2</v>
      </c>
    </row>
    <row r="1060" spans="1:4" x14ac:dyDescent="0.25">
      <c r="A1060" s="1">
        <v>40527</v>
      </c>
      <c r="B1060">
        <v>4.3841234939999998</v>
      </c>
      <c r="C1060" s="2">
        <v>9.6600000000000005E-2</v>
      </c>
      <c r="D1060" s="2">
        <v>7.0800000000000002E-2</v>
      </c>
    </row>
    <row r="1061" spans="1:4" x14ac:dyDescent="0.25">
      <c r="A1061" s="1">
        <v>40526</v>
      </c>
      <c r="B1061">
        <v>4.2874791959999996</v>
      </c>
      <c r="C1061" s="2">
        <v>0.17849999999999999</v>
      </c>
      <c r="D1061" s="2">
        <v>7.0000000000000007E-2</v>
      </c>
    </row>
    <row r="1062" spans="1:4" x14ac:dyDescent="0.25">
      <c r="A1062" s="1">
        <v>40525</v>
      </c>
      <c r="B1062">
        <v>4.1089742640000004</v>
      </c>
      <c r="C1062" s="2">
        <v>-1.9400000000000001E-2</v>
      </c>
      <c r="D1062" s="2">
        <v>6.6699999999999995E-2</v>
      </c>
    </row>
    <row r="1063" spans="1:4" x14ac:dyDescent="0.25">
      <c r="A1063" s="1">
        <v>40522</v>
      </c>
      <c r="B1063">
        <v>4.1283648409999998</v>
      </c>
      <c r="C1063" s="2">
        <v>7.2300000000000003E-2</v>
      </c>
      <c r="D1063" s="2">
        <v>6.7100000000000007E-2</v>
      </c>
    </row>
    <row r="1064" spans="1:4" x14ac:dyDescent="0.25">
      <c r="A1064" s="1">
        <v>40521</v>
      </c>
      <c r="B1064">
        <v>4.0560725560000002</v>
      </c>
      <c r="C1064" s="2">
        <v>-4.9299999999999997E-2</v>
      </c>
      <c r="D1064" s="2">
        <v>6.7199999999999996E-2</v>
      </c>
    </row>
    <row r="1065" spans="1:4" x14ac:dyDescent="0.25">
      <c r="A1065" s="1">
        <v>40520</v>
      </c>
      <c r="B1065">
        <v>4.1053911510000001</v>
      </c>
      <c r="C1065" s="2">
        <v>5.0299999999999997E-2</v>
      </c>
      <c r="D1065" s="2">
        <v>6.83E-2</v>
      </c>
    </row>
    <row r="1066" spans="1:4" x14ac:dyDescent="0.25">
      <c r="A1066" s="1">
        <v>40519</v>
      </c>
      <c r="B1066">
        <v>4.0550663980000001</v>
      </c>
      <c r="C1066" s="2">
        <v>0.20399999999999999</v>
      </c>
      <c r="D1066" s="2">
        <v>7.8299999999999995E-2</v>
      </c>
    </row>
    <row r="1067" spans="1:4" x14ac:dyDescent="0.25">
      <c r="A1067" s="1">
        <v>40518</v>
      </c>
      <c r="B1067">
        <v>3.8510282189999998</v>
      </c>
      <c r="C1067" s="2">
        <v>-9.35E-2</v>
      </c>
      <c r="D1067" s="2">
        <v>8.9599999999999999E-2</v>
      </c>
    </row>
    <row r="1068" spans="1:4" x14ac:dyDescent="0.25">
      <c r="A1068" s="1">
        <v>40515</v>
      </c>
      <c r="B1068">
        <v>3.9445680219999999</v>
      </c>
      <c r="C1068" s="2">
        <v>-1.4800000000000001E-2</v>
      </c>
      <c r="D1068" s="2">
        <v>8.8800000000000004E-2</v>
      </c>
    </row>
    <row r="1069" spans="1:4" x14ac:dyDescent="0.25">
      <c r="A1069" s="1">
        <v>40514</v>
      </c>
      <c r="B1069">
        <v>3.9593986970000001</v>
      </c>
      <c r="C1069" s="2">
        <v>2.5000000000000001E-2</v>
      </c>
      <c r="D1069" s="2">
        <v>0.11650000000000001</v>
      </c>
    </row>
    <row r="1070" spans="1:4" x14ac:dyDescent="0.25">
      <c r="A1070" s="1">
        <v>40513</v>
      </c>
      <c r="B1070">
        <v>3.9343682449999999</v>
      </c>
      <c r="C1070" s="2">
        <v>0.15459999999999999</v>
      </c>
      <c r="D1070" s="2">
        <v>0.1171</v>
      </c>
    </row>
    <row r="1071" spans="1:4" x14ac:dyDescent="0.25">
      <c r="A1071" s="1">
        <v>40512</v>
      </c>
      <c r="B1071">
        <v>3.7797245529999999</v>
      </c>
      <c r="C1071" s="2">
        <v>9.2999999999999992E-3</v>
      </c>
      <c r="D1071" s="2">
        <v>0.1158</v>
      </c>
    </row>
    <row r="1072" spans="1:4" x14ac:dyDescent="0.25">
      <c r="A1072" s="1">
        <v>40511</v>
      </c>
      <c r="B1072">
        <v>3.7704506219999998</v>
      </c>
      <c r="C1072" s="2">
        <v>-5.2299999999999999E-2</v>
      </c>
      <c r="D1072" s="2">
        <v>0.11650000000000001</v>
      </c>
    </row>
    <row r="1073" spans="1:4" x14ac:dyDescent="0.25">
      <c r="A1073" s="1">
        <v>40508</v>
      </c>
      <c r="B1073">
        <v>3.8227318170000002</v>
      </c>
      <c r="C1073" s="2">
        <v>-3.1E-2</v>
      </c>
      <c r="D1073" s="2">
        <v>0.1177</v>
      </c>
    </row>
    <row r="1074" spans="1:4" x14ac:dyDescent="0.25">
      <c r="A1074" s="1">
        <v>40506</v>
      </c>
      <c r="B1074">
        <v>3.8537113330000001</v>
      </c>
      <c r="C1074" s="2">
        <v>0.15190000000000001</v>
      </c>
      <c r="D1074" s="2">
        <v>0.1188</v>
      </c>
    </row>
    <row r="1075" spans="1:4" x14ac:dyDescent="0.25">
      <c r="A1075" s="1">
        <v>40505</v>
      </c>
      <c r="B1075">
        <v>3.7018504289999998</v>
      </c>
      <c r="C1075" s="2">
        <v>-2.58E-2</v>
      </c>
      <c r="D1075" s="2">
        <v>0.11899999999999999</v>
      </c>
    </row>
    <row r="1076" spans="1:4" x14ac:dyDescent="0.25">
      <c r="A1076" s="1">
        <v>40504</v>
      </c>
      <c r="B1076">
        <v>3.7276148600000001</v>
      </c>
      <c r="C1076" s="2">
        <v>-3.8100000000000002E-2</v>
      </c>
      <c r="D1076" s="2">
        <v>0.1192</v>
      </c>
    </row>
    <row r="1077" spans="1:4" x14ac:dyDescent="0.25">
      <c r="A1077" s="1">
        <v>40501</v>
      </c>
      <c r="B1077">
        <v>3.7656964980000001</v>
      </c>
      <c r="C1077" s="2">
        <v>1.5299999999999999E-2</v>
      </c>
      <c r="D1077" s="2">
        <v>0.1191</v>
      </c>
    </row>
    <row r="1078" spans="1:4" x14ac:dyDescent="0.25">
      <c r="A1078" s="1">
        <v>40500</v>
      </c>
      <c r="B1078">
        <v>3.7504056729999999</v>
      </c>
      <c r="C1078" s="2">
        <v>3.1099999999999999E-2</v>
      </c>
      <c r="D1078" s="2">
        <v>0.11940000000000001</v>
      </c>
    </row>
    <row r="1079" spans="1:4" x14ac:dyDescent="0.25">
      <c r="A1079" s="1">
        <v>40499</v>
      </c>
      <c r="B1079">
        <v>3.7192905700000001</v>
      </c>
      <c r="C1079" s="2">
        <v>-2.3999999999999998E-3</v>
      </c>
      <c r="D1079" s="2">
        <v>0.11940000000000001</v>
      </c>
    </row>
    <row r="1080" spans="1:4" x14ac:dyDescent="0.25">
      <c r="A1080" s="1">
        <v>40498</v>
      </c>
      <c r="B1080">
        <v>3.7216750580000002</v>
      </c>
      <c r="C1080" s="2">
        <v>-1.4200000000000001E-2</v>
      </c>
      <c r="D1080" s="2">
        <v>0.1202</v>
      </c>
    </row>
    <row r="1081" spans="1:4" x14ac:dyDescent="0.25">
      <c r="A1081" s="1">
        <v>40497</v>
      </c>
      <c r="B1081">
        <v>3.73584242</v>
      </c>
      <c r="C1081" s="2">
        <v>0.12740000000000001</v>
      </c>
      <c r="D1081" s="2">
        <v>0.1216</v>
      </c>
    </row>
    <row r="1082" spans="1:4" x14ac:dyDescent="0.25">
      <c r="A1082" s="1">
        <v>40494</v>
      </c>
      <c r="B1082">
        <v>3.6084692170000001</v>
      </c>
      <c r="C1082" s="2">
        <v>0.12089999999999999</v>
      </c>
      <c r="D1082" s="2">
        <v>0.1206</v>
      </c>
    </row>
    <row r="1083" spans="1:4" x14ac:dyDescent="0.25">
      <c r="A1083" s="1">
        <v>40492</v>
      </c>
      <c r="B1083">
        <v>3.4875216569999998</v>
      </c>
      <c r="C1083" s="2">
        <v>-1.2999999999999999E-2</v>
      </c>
      <c r="D1083" s="2">
        <v>0.1202</v>
      </c>
    </row>
    <row r="1084" spans="1:4" x14ac:dyDescent="0.25">
      <c r="A1084" s="1">
        <v>40491</v>
      </c>
      <c r="B1084">
        <v>3.500508382</v>
      </c>
      <c r="C1084" s="2">
        <v>9.8599999999999993E-2</v>
      </c>
      <c r="D1084" s="2">
        <v>0.1207</v>
      </c>
    </row>
    <row r="1085" spans="1:4" x14ac:dyDescent="0.25">
      <c r="A1085" s="1">
        <v>40490</v>
      </c>
      <c r="B1085">
        <v>3.40193251</v>
      </c>
      <c r="C1085" s="2">
        <v>3.7499999999999999E-2</v>
      </c>
      <c r="D1085" s="2">
        <v>0.1203</v>
      </c>
    </row>
    <row r="1086" spans="1:4" x14ac:dyDescent="0.25">
      <c r="A1086" s="1">
        <v>40487</v>
      </c>
      <c r="B1086">
        <v>3.3644785650000002</v>
      </c>
      <c r="C1086" s="2">
        <v>7.1199999999999999E-2</v>
      </c>
      <c r="D1086" s="2">
        <v>0.12089999999999999</v>
      </c>
    </row>
    <row r="1087" spans="1:4" x14ac:dyDescent="0.25">
      <c r="A1087" s="1">
        <v>40486</v>
      </c>
      <c r="B1087">
        <v>3.293279933</v>
      </c>
      <c r="C1087" s="2">
        <v>-8.5599999999999996E-2</v>
      </c>
      <c r="D1087" s="2">
        <v>0.1211</v>
      </c>
    </row>
    <row r="1088" spans="1:4" x14ac:dyDescent="0.25">
      <c r="A1088" s="1">
        <v>40485</v>
      </c>
      <c r="B1088">
        <v>3.3788755450000001</v>
      </c>
      <c r="C1088" s="2">
        <v>-1.54E-2</v>
      </c>
      <c r="D1088" s="2">
        <v>0.1207</v>
      </c>
    </row>
    <row r="1089" spans="1:4" x14ac:dyDescent="0.25">
      <c r="A1089" s="1">
        <v>40484</v>
      </c>
      <c r="B1089">
        <v>3.3942292140000001</v>
      </c>
      <c r="C1089" s="2">
        <v>-4.9500000000000002E-2</v>
      </c>
      <c r="D1089" s="2">
        <v>0.1207</v>
      </c>
    </row>
    <row r="1090" spans="1:4" x14ac:dyDescent="0.25">
      <c r="A1090" s="1">
        <v>40483</v>
      </c>
      <c r="B1090">
        <v>3.4437756410000002</v>
      </c>
      <c r="C1090" s="2">
        <v>4.5900000000000003E-2</v>
      </c>
      <c r="D1090" s="2">
        <v>0.1208</v>
      </c>
    </row>
    <row r="1091" spans="1:4" x14ac:dyDescent="0.25">
      <c r="A1091" s="1">
        <v>40480</v>
      </c>
      <c r="B1091">
        <v>3.3978435459999998</v>
      </c>
      <c r="C1091" s="2">
        <v>-3.7100000000000001E-2</v>
      </c>
      <c r="D1091" s="2">
        <v>0.1207</v>
      </c>
    </row>
    <row r="1092" spans="1:4" x14ac:dyDescent="0.25">
      <c r="A1092" s="1">
        <v>40479</v>
      </c>
      <c r="B1092">
        <v>3.4349602049999999</v>
      </c>
      <c r="C1092" s="2">
        <v>-6.2300000000000001E-2</v>
      </c>
      <c r="D1092" s="2">
        <v>0.12089999999999999</v>
      </c>
    </row>
    <row r="1093" spans="1:4" x14ac:dyDescent="0.25">
      <c r="A1093" s="1">
        <v>40478</v>
      </c>
      <c r="B1093">
        <v>3.4972821590000001</v>
      </c>
      <c r="C1093" s="2">
        <v>5.0299999999999997E-2</v>
      </c>
      <c r="D1093" s="2">
        <v>0.1208</v>
      </c>
    </row>
    <row r="1094" spans="1:4" x14ac:dyDescent="0.25">
      <c r="A1094" s="1">
        <v>40477</v>
      </c>
      <c r="B1094">
        <v>3.447019455</v>
      </c>
      <c r="C1094" s="2">
        <v>7.3200000000000001E-2</v>
      </c>
      <c r="D1094" s="2">
        <v>0.1211</v>
      </c>
    </row>
    <row r="1095" spans="1:4" x14ac:dyDescent="0.25">
      <c r="A1095" s="1">
        <v>40476</v>
      </c>
      <c r="B1095">
        <v>3.3738531589999998</v>
      </c>
      <c r="C1095" s="2">
        <v>5.5800000000000002E-2</v>
      </c>
      <c r="D1095" s="2">
        <v>0.121</v>
      </c>
    </row>
    <row r="1096" spans="1:4" x14ac:dyDescent="0.25">
      <c r="A1096" s="1">
        <v>40473</v>
      </c>
      <c r="B1096">
        <v>3.318081244</v>
      </c>
      <c r="C1096" s="2">
        <v>2.5600000000000001E-2</v>
      </c>
      <c r="D1096" s="2">
        <v>0.1208</v>
      </c>
    </row>
    <row r="1097" spans="1:4" x14ac:dyDescent="0.25">
      <c r="A1097" s="1">
        <v>40472</v>
      </c>
      <c r="B1097">
        <v>3.2924323329999998</v>
      </c>
      <c r="C1097" s="2">
        <v>3.73E-2</v>
      </c>
      <c r="D1097" s="2">
        <v>0.1208</v>
      </c>
    </row>
    <row r="1098" spans="1:4" x14ac:dyDescent="0.25">
      <c r="A1098" s="1">
        <v>40471</v>
      </c>
      <c r="B1098">
        <v>3.2551499979999998</v>
      </c>
      <c r="C1098" s="2">
        <v>-1.47E-2</v>
      </c>
      <c r="D1098" s="2">
        <v>0.1207</v>
      </c>
    </row>
    <row r="1099" spans="1:4" x14ac:dyDescent="0.25">
      <c r="A1099" s="1">
        <v>40470</v>
      </c>
      <c r="B1099">
        <v>3.2698607389999998</v>
      </c>
      <c r="C1099" s="2">
        <v>-3.0099999999999998E-2</v>
      </c>
      <c r="D1099" s="2">
        <v>0.1207</v>
      </c>
    </row>
    <row r="1100" spans="1:4" x14ac:dyDescent="0.25">
      <c r="A1100" s="1">
        <v>40469</v>
      </c>
      <c r="B1100">
        <v>3.2999393389999998</v>
      </c>
      <c r="C1100" s="2">
        <v>-7.5399999999999995E-2</v>
      </c>
      <c r="D1100" s="2">
        <v>0.1208</v>
      </c>
    </row>
    <row r="1101" spans="1:4" x14ac:dyDescent="0.25">
      <c r="A1101" s="1">
        <v>40466</v>
      </c>
      <c r="B1101">
        <v>3.3753713869999999</v>
      </c>
      <c r="C1101" s="2">
        <v>9.0399999999999994E-2</v>
      </c>
      <c r="D1101" s="2">
        <v>0.1205</v>
      </c>
    </row>
    <row r="1102" spans="1:4" x14ac:dyDescent="0.25">
      <c r="A1102" s="1">
        <v>40465</v>
      </c>
      <c r="B1102">
        <v>3.2849236579999999</v>
      </c>
      <c r="C1102" s="2">
        <v>2.3099999999999999E-2</v>
      </c>
      <c r="D1102" s="2">
        <v>0.1201</v>
      </c>
    </row>
    <row r="1103" spans="1:4" x14ac:dyDescent="0.25">
      <c r="A1103" s="1">
        <v>40464</v>
      </c>
      <c r="B1103">
        <v>3.2618668739999999</v>
      </c>
      <c r="C1103" s="2">
        <v>-2.3800000000000002E-2</v>
      </c>
      <c r="D1103" s="2">
        <v>0.1201</v>
      </c>
    </row>
    <row r="1104" spans="1:4" x14ac:dyDescent="0.25">
      <c r="A1104" s="1">
        <v>40463</v>
      </c>
      <c r="B1104">
        <v>3.2856849289999999</v>
      </c>
      <c r="C1104" s="2">
        <v>5.5199999999999999E-2</v>
      </c>
      <c r="D1104" s="2">
        <v>0.12039999999999999</v>
      </c>
    </row>
    <row r="1105" spans="1:4" x14ac:dyDescent="0.25">
      <c r="A1105" s="1">
        <v>40459</v>
      </c>
      <c r="B1105">
        <v>3.23045976</v>
      </c>
      <c r="C1105" s="2">
        <v>6.7999999999999996E-3</v>
      </c>
      <c r="D1105" s="2">
        <v>0.1201</v>
      </c>
    </row>
    <row r="1106" spans="1:4" x14ac:dyDescent="0.25">
      <c r="A1106" s="1">
        <v>40458</v>
      </c>
      <c r="B1106">
        <v>3.223654126</v>
      </c>
      <c r="C1106" s="2">
        <v>-3.9100000000000003E-2</v>
      </c>
      <c r="D1106" s="2">
        <v>0.1206</v>
      </c>
    </row>
    <row r="1107" spans="1:4" x14ac:dyDescent="0.25">
      <c r="A1107" s="1">
        <v>40457</v>
      </c>
      <c r="B1107">
        <v>3.2627915449999998</v>
      </c>
      <c r="C1107" s="2">
        <v>-7.3800000000000004E-2</v>
      </c>
      <c r="D1107" s="2">
        <v>0.1206</v>
      </c>
    </row>
    <row r="1108" spans="1:4" x14ac:dyDescent="0.25">
      <c r="A1108" s="1">
        <v>40456</v>
      </c>
      <c r="B1108">
        <v>3.33658834</v>
      </c>
      <c r="C1108" s="2">
        <v>1E-3</v>
      </c>
      <c r="D1108" s="2">
        <v>0.1205</v>
      </c>
    </row>
    <row r="1109" spans="1:4" x14ac:dyDescent="0.25">
      <c r="A1109" s="1">
        <v>40455</v>
      </c>
      <c r="B1109">
        <v>3.335574942</v>
      </c>
      <c r="C1109" s="2">
        <v>-5.3100000000000001E-2</v>
      </c>
      <c r="D1109" s="2">
        <v>0.1205</v>
      </c>
    </row>
    <row r="1110" spans="1:4" x14ac:dyDescent="0.25">
      <c r="A1110" s="1">
        <v>40452</v>
      </c>
      <c r="B1110">
        <v>3.3887067719999999</v>
      </c>
      <c r="C1110" s="2">
        <v>5.0000000000000001E-3</v>
      </c>
      <c r="D1110" s="2">
        <v>0.1203</v>
      </c>
    </row>
    <row r="1111" spans="1:4" x14ac:dyDescent="0.25">
      <c r="A1111" s="1">
        <v>40451</v>
      </c>
      <c r="B1111">
        <v>3.3837525300000002</v>
      </c>
      <c r="C1111" s="2">
        <v>5.7000000000000002E-3</v>
      </c>
      <c r="D1111" s="2">
        <v>0.1203</v>
      </c>
    </row>
    <row r="1112" spans="1:4" x14ac:dyDescent="0.25">
      <c r="A1112" s="1">
        <v>40450</v>
      </c>
      <c r="B1112">
        <v>3.3780590589999999</v>
      </c>
      <c r="C1112" s="2">
        <v>6.54E-2</v>
      </c>
      <c r="D1112" s="2">
        <v>0.1206</v>
      </c>
    </row>
    <row r="1113" spans="1:4" x14ac:dyDescent="0.25">
      <c r="A1113" s="1">
        <v>40449</v>
      </c>
      <c r="B1113">
        <v>3.3126574849999999</v>
      </c>
      <c r="C1113" s="2">
        <v>-4.19E-2</v>
      </c>
      <c r="D1113" s="2">
        <v>0.1207</v>
      </c>
    </row>
    <row r="1114" spans="1:4" x14ac:dyDescent="0.25">
      <c r="A1114" s="1">
        <v>40448</v>
      </c>
      <c r="B1114">
        <v>3.3545487540000001</v>
      </c>
      <c r="C1114" s="2">
        <v>-9.3200000000000005E-2</v>
      </c>
      <c r="D1114" s="2">
        <v>0.1207</v>
      </c>
    </row>
    <row r="1115" spans="1:4" x14ac:dyDescent="0.25">
      <c r="A1115" s="1">
        <v>40445</v>
      </c>
      <c r="B1115">
        <v>3.447794494</v>
      </c>
      <c r="C1115" s="2">
        <v>6.6500000000000004E-2</v>
      </c>
      <c r="D1115" s="2">
        <v>0.1202</v>
      </c>
    </row>
    <row r="1116" spans="1:4" x14ac:dyDescent="0.25">
      <c r="A1116" s="1">
        <v>40444</v>
      </c>
      <c r="B1116">
        <v>3.3812572319999998</v>
      </c>
      <c r="C1116" s="2">
        <v>3.2599999999999997E-2</v>
      </c>
      <c r="D1116" s="2">
        <v>0.1198</v>
      </c>
    </row>
    <row r="1117" spans="1:4" x14ac:dyDescent="0.25">
      <c r="A1117" s="1">
        <v>40443</v>
      </c>
      <c r="B1117">
        <v>3.348615412</v>
      </c>
      <c r="C1117" s="2">
        <v>-3.3099999999999997E-2</v>
      </c>
      <c r="D1117" s="2">
        <v>0.1198</v>
      </c>
    </row>
    <row r="1118" spans="1:4" x14ac:dyDescent="0.25">
      <c r="A1118" s="1">
        <v>40442</v>
      </c>
      <c r="B1118">
        <v>3.3816928009999998</v>
      </c>
      <c r="C1118" s="2">
        <v>-0.12559999999999999</v>
      </c>
      <c r="D1118" s="2">
        <v>0.12039999999999999</v>
      </c>
    </row>
    <row r="1119" spans="1:4" x14ac:dyDescent="0.25">
      <c r="A1119" s="1">
        <v>40441</v>
      </c>
      <c r="B1119">
        <v>3.5072902680000002</v>
      </c>
      <c r="C1119" s="2">
        <v>-7.3899999999999993E-2</v>
      </c>
      <c r="D1119" s="2">
        <v>0.1195</v>
      </c>
    </row>
    <row r="1120" spans="1:4" x14ac:dyDescent="0.25">
      <c r="A1120" s="1">
        <v>40438</v>
      </c>
      <c r="B1120">
        <v>3.5812170939999999</v>
      </c>
      <c r="C1120" s="2">
        <v>3.5999999999999997E-2</v>
      </c>
      <c r="D1120" s="2">
        <v>0.1196</v>
      </c>
    </row>
    <row r="1121" spans="1:4" x14ac:dyDescent="0.25">
      <c r="A1121" s="1">
        <v>40437</v>
      </c>
      <c r="B1121">
        <v>3.5452565069999999</v>
      </c>
      <c r="C1121" s="2">
        <v>4.53E-2</v>
      </c>
      <c r="D1121" s="2">
        <v>0.1196</v>
      </c>
    </row>
    <row r="1122" spans="1:4" x14ac:dyDescent="0.25">
      <c r="A1122" s="1">
        <v>40436</v>
      </c>
      <c r="B1122">
        <v>3.4999897209999999</v>
      </c>
      <c r="C1122" s="2">
        <v>7.5899999999999995E-2</v>
      </c>
      <c r="D1122" s="2">
        <v>0.1198</v>
      </c>
    </row>
    <row r="1123" spans="1:4" x14ac:dyDescent="0.25">
      <c r="A1123" s="1">
        <v>40435</v>
      </c>
      <c r="B1123">
        <v>3.424039761</v>
      </c>
      <c r="C1123" s="2">
        <v>-5.8599999999999999E-2</v>
      </c>
      <c r="D1123" s="2">
        <v>0.1193</v>
      </c>
    </row>
    <row r="1124" spans="1:4" x14ac:dyDescent="0.25">
      <c r="A1124" s="1">
        <v>40434</v>
      </c>
      <c r="B1124">
        <v>3.4826570669999999</v>
      </c>
      <c r="C1124" s="2">
        <v>-9.98E-2</v>
      </c>
      <c r="D1124" s="2">
        <v>0.1191</v>
      </c>
    </row>
    <row r="1125" spans="1:4" x14ac:dyDescent="0.25">
      <c r="A1125" s="1">
        <v>40431</v>
      </c>
      <c r="B1125">
        <v>3.5824167330000001</v>
      </c>
      <c r="C1125" s="2">
        <v>0.30819999999999997</v>
      </c>
      <c r="D1125" s="2">
        <v>0.11899999999999999</v>
      </c>
    </row>
    <row r="1126" spans="1:4" x14ac:dyDescent="0.25">
      <c r="A1126" s="1">
        <v>40430</v>
      </c>
      <c r="B1126">
        <v>3.2742341910000001</v>
      </c>
      <c r="C1126" s="2">
        <v>0.39879999999999999</v>
      </c>
      <c r="D1126" s="2">
        <v>0.1115</v>
      </c>
    </row>
    <row r="1127" spans="1:4" x14ac:dyDescent="0.25">
      <c r="A1127" s="1">
        <v>40429</v>
      </c>
      <c r="B1127">
        <v>2.875472239</v>
      </c>
      <c r="C1127" s="2">
        <v>-4.24E-2</v>
      </c>
      <c r="D1127" s="2">
        <v>9.7799999999999998E-2</v>
      </c>
    </row>
    <row r="1128" spans="1:4" x14ac:dyDescent="0.25">
      <c r="A1128" s="1">
        <v>40428</v>
      </c>
      <c r="B1128">
        <v>2.9178438089999998</v>
      </c>
      <c r="C1128" s="2">
        <v>-0.56810000000000005</v>
      </c>
      <c r="D1128" s="2">
        <v>9.7799999999999998E-2</v>
      </c>
    </row>
    <row r="1129" spans="1:4" x14ac:dyDescent="0.25">
      <c r="A1129" s="1">
        <v>40424</v>
      </c>
      <c r="B1129">
        <v>3.4859467629999998</v>
      </c>
      <c r="C1129" s="2">
        <v>9.69E-2</v>
      </c>
      <c r="D1129" s="2">
        <v>6.6799999999999998E-2</v>
      </c>
    </row>
    <row r="1130" spans="1:4" x14ac:dyDescent="0.25">
      <c r="A1130" s="1">
        <v>40423</v>
      </c>
      <c r="B1130">
        <v>3.3890510310000002</v>
      </c>
      <c r="C1130" s="2">
        <v>6.4199999999999993E-2</v>
      </c>
      <c r="D1130" s="2">
        <v>6.7199999999999996E-2</v>
      </c>
    </row>
    <row r="1131" spans="1:4" x14ac:dyDescent="0.25">
      <c r="A1131" s="1">
        <v>40422</v>
      </c>
      <c r="B1131">
        <v>3.3248137189999998</v>
      </c>
      <c r="C1131" s="2">
        <v>0.1089</v>
      </c>
      <c r="D1131" s="2">
        <v>6.6500000000000004E-2</v>
      </c>
    </row>
    <row r="1132" spans="1:4" x14ac:dyDescent="0.25">
      <c r="A1132" s="1">
        <v>40421</v>
      </c>
      <c r="B1132">
        <v>3.2159138189999998</v>
      </c>
      <c r="C1132" s="2">
        <v>-0.1351</v>
      </c>
      <c r="D1132" s="2">
        <v>6.4699999999999994E-2</v>
      </c>
    </row>
    <row r="1133" spans="1:4" x14ac:dyDescent="0.25">
      <c r="A1133" s="1">
        <v>40420</v>
      </c>
      <c r="B1133">
        <v>3.3509813049999999</v>
      </c>
      <c r="C1133" s="2">
        <v>-0.1227</v>
      </c>
      <c r="D1133" s="2">
        <v>6.2700000000000006E-2</v>
      </c>
    </row>
    <row r="1134" spans="1:4" x14ac:dyDescent="0.25">
      <c r="A1134" s="1">
        <v>40417</v>
      </c>
      <c r="B1134">
        <v>3.473637606</v>
      </c>
      <c r="C1134" s="2">
        <v>0.1588</v>
      </c>
      <c r="D1134" s="2">
        <v>6.3600000000000004E-2</v>
      </c>
    </row>
    <row r="1135" spans="1:4" x14ac:dyDescent="0.25">
      <c r="A1135" s="1">
        <v>40416</v>
      </c>
      <c r="B1135">
        <v>3.3148411860000002</v>
      </c>
      <c r="C1135" s="2">
        <v>-6.2700000000000006E-2</v>
      </c>
      <c r="D1135" s="2">
        <v>5.96E-2</v>
      </c>
    </row>
    <row r="1136" spans="1:4" x14ac:dyDescent="0.25">
      <c r="A1136" s="1">
        <v>40415</v>
      </c>
      <c r="B1136">
        <v>3.377566796</v>
      </c>
      <c r="C1136" s="2">
        <v>1.2699999999999999E-2</v>
      </c>
      <c r="D1136" s="2">
        <v>5.9499999999999997E-2</v>
      </c>
    </row>
    <row r="1137" spans="1:4" x14ac:dyDescent="0.25">
      <c r="A1137" s="1">
        <v>40414</v>
      </c>
      <c r="B1137">
        <v>3.3648256920000001</v>
      </c>
      <c r="C1137" s="2">
        <v>-6.3399999999999998E-2</v>
      </c>
      <c r="D1137" s="2">
        <v>5.9400000000000001E-2</v>
      </c>
    </row>
    <row r="1138" spans="1:4" x14ac:dyDescent="0.25">
      <c r="A1138" s="1">
        <v>40413</v>
      </c>
      <c r="B1138">
        <v>3.428190066</v>
      </c>
      <c r="C1138" s="2">
        <v>2.3E-3</v>
      </c>
      <c r="D1138" s="2">
        <v>5.8999999999999997E-2</v>
      </c>
    </row>
    <row r="1139" spans="1:4" x14ac:dyDescent="0.25">
      <c r="A1139" s="1">
        <v>40410</v>
      </c>
      <c r="B1139">
        <v>3.4259342820000001</v>
      </c>
      <c r="C1139" s="2">
        <v>0.1113</v>
      </c>
      <c r="D1139" s="2">
        <v>6.0699999999999997E-2</v>
      </c>
    </row>
    <row r="1140" spans="1:4" x14ac:dyDescent="0.25">
      <c r="A1140" s="1">
        <v>40409</v>
      </c>
      <c r="B1140">
        <v>3.314654064</v>
      </c>
      <c r="C1140" s="2">
        <v>-0.13669999999999999</v>
      </c>
      <c r="D1140" s="2">
        <v>5.8700000000000002E-2</v>
      </c>
    </row>
    <row r="1141" spans="1:4" x14ac:dyDescent="0.25">
      <c r="A1141" s="1">
        <v>40408</v>
      </c>
      <c r="B1141">
        <v>3.4513058660000002</v>
      </c>
      <c r="C1141" s="2">
        <v>4.8599999999999997E-2</v>
      </c>
      <c r="D1141" s="2">
        <v>5.67E-2</v>
      </c>
    </row>
    <row r="1142" spans="1:4" x14ac:dyDescent="0.25">
      <c r="A1142" s="1">
        <v>40407</v>
      </c>
      <c r="B1142">
        <v>3.4027398980000001</v>
      </c>
      <c r="C1142" s="2">
        <v>9.2999999999999999E-2</v>
      </c>
      <c r="D1142" s="2">
        <v>5.7200000000000001E-2</v>
      </c>
    </row>
    <row r="1143" spans="1:4" x14ac:dyDescent="0.25">
      <c r="A1143" s="1">
        <v>40406</v>
      </c>
      <c r="B1143">
        <v>3.3097577739999999</v>
      </c>
      <c r="C1143" s="2">
        <v>-8.0199999999999994E-2</v>
      </c>
      <c r="D1143" s="2">
        <v>5.5500000000000001E-2</v>
      </c>
    </row>
    <row r="1144" spans="1:4" x14ac:dyDescent="0.25">
      <c r="A1144" s="1">
        <v>40403</v>
      </c>
      <c r="B1144">
        <v>3.3899712399999999</v>
      </c>
      <c r="C1144" s="2">
        <v>-6.4799999999999996E-2</v>
      </c>
      <c r="D1144" s="2">
        <v>5.5300000000000002E-2</v>
      </c>
    </row>
    <row r="1145" spans="1:4" x14ac:dyDescent="0.25">
      <c r="A1145" s="1">
        <v>40402</v>
      </c>
      <c r="B1145">
        <v>3.454727401</v>
      </c>
      <c r="C1145" s="2">
        <v>9.6199999999999994E-2</v>
      </c>
      <c r="D1145" s="2">
        <v>5.4899999999999997E-2</v>
      </c>
    </row>
    <row r="1146" spans="1:4" x14ac:dyDescent="0.25">
      <c r="A1146" s="1">
        <v>40401</v>
      </c>
      <c r="B1146">
        <v>3.35854987</v>
      </c>
      <c r="C1146" s="2">
        <v>-9.5699999999999993E-2</v>
      </c>
      <c r="D1146" s="2">
        <v>5.33E-2</v>
      </c>
    </row>
    <row r="1147" spans="1:4" x14ac:dyDescent="0.25">
      <c r="A1147" s="1">
        <v>40400</v>
      </c>
      <c r="B1147">
        <v>3.4542970340000001</v>
      </c>
      <c r="C1147" s="2">
        <v>-3.7499999999999999E-2</v>
      </c>
      <c r="D1147" s="2">
        <v>5.2200000000000003E-2</v>
      </c>
    </row>
    <row r="1148" spans="1:4" x14ac:dyDescent="0.25">
      <c r="A1148" s="1">
        <v>40399</v>
      </c>
      <c r="B1148">
        <v>3.4918044849999998</v>
      </c>
      <c r="C1148" s="2">
        <v>2.2000000000000001E-3</v>
      </c>
      <c r="D1148" s="2">
        <v>5.3100000000000001E-2</v>
      </c>
    </row>
    <row r="1149" spans="1:4" x14ac:dyDescent="0.25">
      <c r="A1149" s="1">
        <v>40396</v>
      </c>
      <c r="B1149">
        <v>3.4895808719999999</v>
      </c>
      <c r="C1149" s="2">
        <v>-6.3799999999999996E-2</v>
      </c>
      <c r="D1149" s="2">
        <v>5.2999999999999999E-2</v>
      </c>
    </row>
    <row r="1150" spans="1:4" x14ac:dyDescent="0.25">
      <c r="A1150" s="1">
        <v>40395</v>
      </c>
      <c r="B1150">
        <v>3.5533724109999998</v>
      </c>
      <c r="C1150" s="2">
        <v>-2.8299999999999999E-2</v>
      </c>
      <c r="D1150" s="2">
        <v>5.2699999999999997E-2</v>
      </c>
    </row>
    <row r="1151" spans="1:4" x14ac:dyDescent="0.25">
      <c r="A1151" s="1">
        <v>40394</v>
      </c>
      <c r="B1151">
        <v>3.5817037310000002</v>
      </c>
      <c r="C1151" s="2">
        <v>5.8599999999999999E-2</v>
      </c>
      <c r="D1151" s="2">
        <v>5.2699999999999997E-2</v>
      </c>
    </row>
    <row r="1152" spans="1:4" x14ac:dyDescent="0.25">
      <c r="A1152" s="1">
        <v>40393</v>
      </c>
      <c r="B1152">
        <v>3.5231448520000002</v>
      </c>
      <c r="C1152" s="2">
        <v>-4.9599999999999998E-2</v>
      </c>
      <c r="D1152" s="2">
        <v>5.2499999999999998E-2</v>
      </c>
    </row>
    <row r="1153" spans="1:4" x14ac:dyDescent="0.25">
      <c r="A1153" s="1">
        <v>40392</v>
      </c>
      <c r="B1153">
        <v>3.5726968879999998</v>
      </c>
      <c r="C1153" s="2">
        <v>8.3000000000000004E-2</v>
      </c>
      <c r="D1153" s="2">
        <v>5.2699999999999997E-2</v>
      </c>
    </row>
    <row r="1154" spans="1:4" x14ac:dyDescent="0.25">
      <c r="A1154" s="1">
        <v>40389</v>
      </c>
      <c r="B1154">
        <v>3.4896878920000001</v>
      </c>
      <c r="C1154" s="2">
        <v>-6.6600000000000006E-2</v>
      </c>
      <c r="D1154" s="2">
        <v>5.28E-2</v>
      </c>
    </row>
    <row r="1155" spans="1:4" x14ac:dyDescent="0.25">
      <c r="A1155" s="1">
        <v>40388</v>
      </c>
      <c r="B1155">
        <v>3.5563108510000001</v>
      </c>
      <c r="C1155" s="2">
        <v>-1.49E-2</v>
      </c>
      <c r="D1155" s="2">
        <v>5.2499999999999998E-2</v>
      </c>
    </row>
    <row r="1156" spans="1:4" x14ac:dyDescent="0.25">
      <c r="A1156" s="1">
        <v>40387</v>
      </c>
      <c r="B1156">
        <v>3.571244579</v>
      </c>
      <c r="C1156" s="2">
        <v>-4.8800000000000003E-2</v>
      </c>
      <c r="D1156" s="2">
        <v>5.28E-2</v>
      </c>
    </row>
    <row r="1157" spans="1:4" x14ac:dyDescent="0.25">
      <c r="A1157" s="1">
        <v>40386</v>
      </c>
      <c r="B1157">
        <v>3.619995866</v>
      </c>
      <c r="C1157" s="2">
        <v>-2.9999999999999997E-4</v>
      </c>
      <c r="D1157" s="2">
        <v>5.3100000000000001E-2</v>
      </c>
    </row>
    <row r="1158" spans="1:4" x14ac:dyDescent="0.25">
      <c r="A1158" s="1">
        <v>40385</v>
      </c>
      <c r="B1158">
        <v>3.6202969509999998</v>
      </c>
      <c r="C1158" s="2">
        <v>1.6999999999999999E-3</v>
      </c>
      <c r="D1158" s="2">
        <v>5.3100000000000001E-2</v>
      </c>
    </row>
    <row r="1159" spans="1:4" x14ac:dyDescent="0.25">
      <c r="A1159" s="1">
        <v>40382</v>
      </c>
      <c r="B1159">
        <v>3.6186192570000002</v>
      </c>
      <c r="C1159" s="2">
        <v>4.4200000000000003E-2</v>
      </c>
      <c r="D1159" s="2">
        <v>5.3199999999999997E-2</v>
      </c>
    </row>
    <row r="1160" spans="1:4" x14ac:dyDescent="0.25">
      <c r="A1160" s="1">
        <v>40381</v>
      </c>
      <c r="B1160">
        <v>3.5744549499999998</v>
      </c>
      <c r="C1160" s="2">
        <v>6.6E-3</v>
      </c>
      <c r="D1160" s="2">
        <v>5.3400000000000003E-2</v>
      </c>
    </row>
    <row r="1161" spans="1:4" x14ac:dyDescent="0.25">
      <c r="A1161" s="1">
        <v>40380</v>
      </c>
      <c r="B1161">
        <v>3.5678680749999998</v>
      </c>
      <c r="C1161" s="2">
        <v>-6.8099999999999994E-2</v>
      </c>
      <c r="D1161" s="2">
        <v>5.3999999999999999E-2</v>
      </c>
    </row>
    <row r="1162" spans="1:4" x14ac:dyDescent="0.25">
      <c r="A1162" s="1">
        <v>40379</v>
      </c>
      <c r="B1162">
        <v>3.635925039</v>
      </c>
      <c r="C1162" s="2">
        <v>-2.1499999999999998E-2</v>
      </c>
      <c r="D1162" s="2">
        <v>5.3499999999999999E-2</v>
      </c>
    </row>
    <row r="1163" spans="1:4" x14ac:dyDescent="0.25">
      <c r="A1163" s="1">
        <v>40378</v>
      </c>
      <c r="B1163">
        <v>3.6574122729999998</v>
      </c>
      <c r="C1163" s="2">
        <v>5.9700000000000003E-2</v>
      </c>
      <c r="D1163" s="2">
        <v>5.3699999999999998E-2</v>
      </c>
    </row>
    <row r="1164" spans="1:4" x14ac:dyDescent="0.25">
      <c r="A1164" s="1">
        <v>40375</v>
      </c>
      <c r="B1164">
        <v>3.5977339669999999</v>
      </c>
      <c r="C1164" s="2">
        <v>-1.4500000000000001E-2</v>
      </c>
      <c r="D1164" s="2">
        <v>5.3400000000000003E-2</v>
      </c>
    </row>
    <row r="1165" spans="1:4" x14ac:dyDescent="0.25">
      <c r="A1165" s="1">
        <v>40374</v>
      </c>
      <c r="B1165">
        <v>3.6122546820000001</v>
      </c>
      <c r="C1165" s="2">
        <v>-8.8200000000000001E-2</v>
      </c>
      <c r="D1165" s="2">
        <v>5.3600000000000002E-2</v>
      </c>
    </row>
    <row r="1166" spans="1:4" x14ac:dyDescent="0.25">
      <c r="A1166" s="1">
        <v>40373</v>
      </c>
      <c r="B1166">
        <v>3.7004314250000001</v>
      </c>
      <c r="C1166" s="2">
        <v>-5.2600000000000001E-2</v>
      </c>
      <c r="D1166" s="2">
        <v>5.2699999999999997E-2</v>
      </c>
    </row>
    <row r="1167" spans="1:4" x14ac:dyDescent="0.25">
      <c r="A1167" s="1">
        <v>40372</v>
      </c>
      <c r="B1167">
        <v>3.7530610599999998</v>
      </c>
      <c r="C1167" s="2">
        <v>3.9100000000000003E-2</v>
      </c>
      <c r="D1167" s="2">
        <v>5.2999999999999999E-2</v>
      </c>
    </row>
    <row r="1168" spans="1:4" x14ac:dyDescent="0.25">
      <c r="A1168" s="1">
        <v>40371</v>
      </c>
      <c r="B1168">
        <v>3.7139520789999998</v>
      </c>
      <c r="C1168" s="2">
        <v>-1.8E-3</v>
      </c>
      <c r="D1168" s="2">
        <v>5.2900000000000003E-2</v>
      </c>
    </row>
    <row r="1169" spans="1:4" x14ac:dyDescent="0.25">
      <c r="A1169" s="1">
        <v>40368</v>
      </c>
      <c r="B1169">
        <v>3.7157547740000001</v>
      </c>
      <c r="C1169" s="2">
        <v>4.1000000000000003E-3</v>
      </c>
      <c r="D1169" s="2">
        <v>5.2900000000000003E-2</v>
      </c>
    </row>
    <row r="1170" spans="1:4" x14ac:dyDescent="0.25">
      <c r="A1170" s="1">
        <v>40367</v>
      </c>
      <c r="B1170">
        <v>3.7116847380000002</v>
      </c>
      <c r="C1170" s="2">
        <v>1.3299999999999999E-2</v>
      </c>
      <c r="D1170" s="2">
        <v>5.3499999999999999E-2</v>
      </c>
    </row>
    <row r="1171" spans="1:4" x14ac:dyDescent="0.25">
      <c r="A1171" s="1">
        <v>40366</v>
      </c>
      <c r="B1171">
        <v>3.6983718739999998</v>
      </c>
      <c r="C1171" s="2">
        <v>6.3200000000000006E-2</v>
      </c>
      <c r="D1171" s="2">
        <v>5.3400000000000003E-2</v>
      </c>
    </row>
    <row r="1172" spans="1:4" x14ac:dyDescent="0.25">
      <c r="A1172" s="1">
        <v>40365</v>
      </c>
      <c r="B1172">
        <v>3.635134909</v>
      </c>
      <c r="C1172" s="2">
        <v>-8.1799999999999998E-2</v>
      </c>
      <c r="D1172" s="2">
        <v>5.3100000000000001E-2</v>
      </c>
    </row>
    <row r="1173" spans="1:4" x14ac:dyDescent="0.25">
      <c r="A1173" s="1">
        <v>40361</v>
      </c>
      <c r="B1173">
        <v>3.7169645720000002</v>
      </c>
      <c r="C1173" s="2">
        <v>2.3199999999999998E-2</v>
      </c>
      <c r="D1173" s="2">
        <v>5.2400000000000002E-2</v>
      </c>
    </row>
    <row r="1174" spans="1:4" x14ac:dyDescent="0.25">
      <c r="A1174" s="1">
        <v>40360</v>
      </c>
      <c r="B1174">
        <v>3.6937861700000001</v>
      </c>
      <c r="C1174" s="2">
        <v>-3.0800000000000001E-2</v>
      </c>
      <c r="D1174" s="2">
        <v>5.2400000000000002E-2</v>
      </c>
    </row>
    <row r="1175" spans="1:4" x14ac:dyDescent="0.25">
      <c r="A1175" s="1">
        <v>40359</v>
      </c>
      <c r="B1175">
        <v>3.7245864329999998</v>
      </c>
      <c r="C1175" s="2">
        <v>-6.9999999999999999E-4</v>
      </c>
      <c r="D1175" s="2">
        <v>5.3699999999999998E-2</v>
      </c>
    </row>
    <row r="1176" spans="1:4" x14ac:dyDescent="0.25">
      <c r="A1176" s="1">
        <v>40358</v>
      </c>
      <c r="B1176">
        <v>3.7253294239999999</v>
      </c>
      <c r="C1176" s="2">
        <v>-3.6200000000000003E-2</v>
      </c>
      <c r="D1176" s="2">
        <v>5.3699999999999998E-2</v>
      </c>
    </row>
    <row r="1177" spans="1:4" x14ac:dyDescent="0.25">
      <c r="A1177" s="1">
        <v>40357</v>
      </c>
      <c r="B1177">
        <v>3.7615715340000002</v>
      </c>
      <c r="C1177" s="2">
        <v>-0.10299999999999999</v>
      </c>
      <c r="D1177" s="2">
        <v>5.6399999999999999E-2</v>
      </c>
    </row>
    <row r="1178" spans="1:4" x14ac:dyDescent="0.25">
      <c r="A1178" s="1">
        <v>40354</v>
      </c>
      <c r="B1178">
        <v>3.8645789380000002</v>
      </c>
      <c r="C1178" s="2">
        <v>-4.36E-2</v>
      </c>
      <c r="D1178" s="2">
        <v>5.5800000000000002E-2</v>
      </c>
    </row>
    <row r="1179" spans="1:4" x14ac:dyDescent="0.25">
      <c r="A1179" s="1">
        <v>40353</v>
      </c>
      <c r="B1179">
        <v>3.9081396700000002</v>
      </c>
      <c r="C1179" s="2">
        <v>7.7200000000000005E-2</v>
      </c>
      <c r="D1179" s="2">
        <v>5.57E-2</v>
      </c>
    </row>
    <row r="1180" spans="1:4" x14ac:dyDescent="0.25">
      <c r="A1180" s="1">
        <v>40352</v>
      </c>
      <c r="B1180">
        <v>3.8309205209999999</v>
      </c>
      <c r="C1180" s="2">
        <v>-4.3999999999999997E-2</v>
      </c>
      <c r="D1180" s="2">
        <v>5.4800000000000001E-2</v>
      </c>
    </row>
    <row r="1181" spans="1:4" x14ac:dyDescent="0.25">
      <c r="A1181" s="1">
        <v>40351</v>
      </c>
      <c r="B1181">
        <v>3.874923436</v>
      </c>
      <c r="C1181" s="2">
        <v>-8.0100000000000005E-2</v>
      </c>
      <c r="D1181" s="2">
        <v>5.4600000000000003E-2</v>
      </c>
    </row>
    <row r="1182" spans="1:4" x14ac:dyDescent="0.25">
      <c r="A1182" s="1">
        <v>40350</v>
      </c>
      <c r="B1182">
        <v>3.955042637</v>
      </c>
      <c r="C1182" s="2">
        <v>-1.54E-2</v>
      </c>
      <c r="D1182" s="2">
        <v>5.4100000000000002E-2</v>
      </c>
    </row>
    <row r="1183" spans="1:4" x14ac:dyDescent="0.25">
      <c r="A1183" s="1">
        <v>40347</v>
      </c>
      <c r="B1183">
        <v>3.9704372320000001</v>
      </c>
      <c r="C1183" s="2">
        <v>2.2000000000000001E-3</v>
      </c>
      <c r="D1183" s="2">
        <v>5.4899999999999997E-2</v>
      </c>
    </row>
    <row r="1184" spans="1:4" x14ac:dyDescent="0.25">
      <c r="A1184" s="1">
        <v>40346</v>
      </c>
      <c r="B1184">
        <v>3.9681915619999999</v>
      </c>
      <c r="C1184" s="2">
        <v>-8.6699999999999999E-2</v>
      </c>
      <c r="D1184" s="2">
        <v>5.7299999999999997E-2</v>
      </c>
    </row>
    <row r="1185" spans="1:4" x14ac:dyDescent="0.25">
      <c r="A1185" s="1">
        <v>40345</v>
      </c>
      <c r="B1185">
        <v>4.0548762189999996</v>
      </c>
      <c r="C1185" s="2">
        <v>-2.07E-2</v>
      </c>
      <c r="D1185" s="2">
        <v>5.6300000000000003E-2</v>
      </c>
    </row>
    <row r="1186" spans="1:4" x14ac:dyDescent="0.25">
      <c r="A1186" s="1">
        <v>40344</v>
      </c>
      <c r="B1186">
        <v>4.0755435440000003</v>
      </c>
      <c r="C1186" s="2">
        <v>3.6700000000000003E-2</v>
      </c>
      <c r="D1186" s="2">
        <v>5.6399999999999999E-2</v>
      </c>
    </row>
    <row r="1187" spans="1:4" x14ac:dyDescent="0.25">
      <c r="A1187" s="1">
        <v>40343</v>
      </c>
      <c r="B1187">
        <v>4.0388489600000002</v>
      </c>
      <c r="C1187" s="2">
        <v>1.6799999999999999E-2</v>
      </c>
      <c r="D1187" s="2">
        <v>5.6300000000000003E-2</v>
      </c>
    </row>
    <row r="1188" spans="1:4" x14ac:dyDescent="0.25">
      <c r="A1188" s="1">
        <v>40340</v>
      </c>
      <c r="B1188">
        <v>4.0220452409999998</v>
      </c>
      <c r="C1188" s="2">
        <v>-8.4500000000000006E-2</v>
      </c>
      <c r="D1188" s="2">
        <v>5.6399999999999999E-2</v>
      </c>
    </row>
    <row r="1189" spans="1:4" x14ac:dyDescent="0.25">
      <c r="A1189" s="1">
        <v>40339</v>
      </c>
      <c r="B1189">
        <v>4.1065329889999997</v>
      </c>
      <c r="C1189" s="2">
        <v>0.1123</v>
      </c>
      <c r="D1189" s="2">
        <v>5.5500000000000001E-2</v>
      </c>
    </row>
    <row r="1190" spans="1:4" x14ac:dyDescent="0.25">
      <c r="A1190" s="1">
        <v>40338</v>
      </c>
      <c r="B1190">
        <v>3.9942499800000002</v>
      </c>
      <c r="C1190" s="2">
        <v>-5.3E-3</v>
      </c>
      <c r="D1190" s="2">
        <v>5.3400000000000003E-2</v>
      </c>
    </row>
    <row r="1191" spans="1:4" x14ac:dyDescent="0.25">
      <c r="A1191" s="1">
        <v>40337</v>
      </c>
      <c r="B1191">
        <v>3.999581879</v>
      </c>
      <c r="C1191" s="2">
        <v>-3.2599999999999997E-2</v>
      </c>
      <c r="D1191" s="2">
        <v>5.3400000000000003E-2</v>
      </c>
    </row>
    <row r="1192" spans="1:4" x14ac:dyDescent="0.25">
      <c r="A1192" s="1">
        <v>40336</v>
      </c>
      <c r="B1192">
        <v>4.0322223619999997</v>
      </c>
      <c r="C1192" s="2">
        <v>-6.3E-3</v>
      </c>
      <c r="D1192" s="2">
        <v>5.3400000000000003E-2</v>
      </c>
    </row>
    <row r="1193" spans="1:4" x14ac:dyDescent="0.25">
      <c r="A1193" s="1">
        <v>40333</v>
      </c>
      <c r="B1193">
        <v>4.0385004289999999</v>
      </c>
      <c r="C1193" s="2">
        <v>-0.14910000000000001</v>
      </c>
      <c r="D1193" s="2">
        <v>5.3400000000000003E-2</v>
      </c>
    </row>
    <row r="1194" spans="1:4" x14ac:dyDescent="0.25">
      <c r="A1194" s="1">
        <v>40332</v>
      </c>
      <c r="B1194">
        <v>4.187579607</v>
      </c>
      <c r="C1194" s="2">
        <v>1.09E-2</v>
      </c>
      <c r="D1194" s="2">
        <v>0.05</v>
      </c>
    </row>
    <row r="1195" spans="1:4" x14ac:dyDescent="0.25">
      <c r="A1195" s="1">
        <v>40331</v>
      </c>
      <c r="B1195">
        <v>4.1766757620000003</v>
      </c>
      <c r="C1195" s="2">
        <v>2.5600000000000001E-2</v>
      </c>
      <c r="D1195" s="2">
        <v>5.0099999999999999E-2</v>
      </c>
    </row>
    <row r="1196" spans="1:4" x14ac:dyDescent="0.25">
      <c r="A1196" s="1">
        <v>40330</v>
      </c>
      <c r="B1196">
        <v>4.1510729309999999</v>
      </c>
      <c r="C1196" s="2">
        <v>-3.7000000000000002E-3</v>
      </c>
      <c r="D1196" s="2">
        <v>0.05</v>
      </c>
    </row>
    <row r="1197" spans="1:4" x14ac:dyDescent="0.25">
      <c r="A1197" s="1">
        <v>40326</v>
      </c>
      <c r="B1197">
        <v>4.1547377509999999</v>
      </c>
      <c r="C1197" s="2">
        <v>-2.69E-2</v>
      </c>
      <c r="D1197" s="2">
        <v>5.04E-2</v>
      </c>
    </row>
    <row r="1198" spans="1:4" x14ac:dyDescent="0.25">
      <c r="A1198" s="1">
        <v>40325</v>
      </c>
      <c r="B1198">
        <v>4.1816156790000001</v>
      </c>
      <c r="C1198" s="2">
        <v>9.6699999999999994E-2</v>
      </c>
      <c r="D1198" s="2">
        <v>5.0299999999999997E-2</v>
      </c>
    </row>
    <row r="1199" spans="1:4" x14ac:dyDescent="0.25">
      <c r="A1199" s="1">
        <v>40324</v>
      </c>
      <c r="B1199">
        <v>4.0848766630000002</v>
      </c>
      <c r="C1199" s="2">
        <v>2.6700000000000002E-2</v>
      </c>
      <c r="D1199" s="2">
        <v>4.87E-2</v>
      </c>
    </row>
    <row r="1200" spans="1:4" x14ac:dyDescent="0.25">
      <c r="A1200" s="1">
        <v>40323</v>
      </c>
      <c r="B1200">
        <v>4.058215015</v>
      </c>
      <c r="C1200" s="2">
        <v>-5.5300000000000002E-2</v>
      </c>
      <c r="D1200" s="2">
        <v>4.8599999999999997E-2</v>
      </c>
    </row>
    <row r="1201" spans="1:4" x14ac:dyDescent="0.25">
      <c r="A1201" s="1">
        <v>40322</v>
      </c>
      <c r="B1201">
        <v>4.1135457000000004</v>
      </c>
      <c r="C1201" s="2">
        <v>7.0099999999999996E-2</v>
      </c>
      <c r="D1201" s="2">
        <v>4.8399999999999999E-2</v>
      </c>
    </row>
    <row r="1202" spans="1:4" x14ac:dyDescent="0.25">
      <c r="A1202" s="1">
        <v>40319</v>
      </c>
      <c r="B1202">
        <v>4.0434395749999998</v>
      </c>
      <c r="C1202" s="2">
        <v>-1.6899999999999998E-2</v>
      </c>
      <c r="D1202" s="2">
        <v>4.8099999999999997E-2</v>
      </c>
    </row>
    <row r="1203" spans="1:4" x14ac:dyDescent="0.25">
      <c r="A1203" s="1">
        <v>40318</v>
      </c>
      <c r="B1203">
        <v>4.060302171</v>
      </c>
      <c r="C1203" s="2">
        <v>-6.7500000000000004E-2</v>
      </c>
      <c r="D1203" s="2">
        <v>4.8300000000000003E-2</v>
      </c>
    </row>
    <row r="1204" spans="1:4" x14ac:dyDescent="0.25">
      <c r="A1204" s="1">
        <v>40317</v>
      </c>
      <c r="B1204">
        <v>4.127773994</v>
      </c>
      <c r="C1204" s="2">
        <v>-8.8000000000000005E-3</v>
      </c>
      <c r="D1204" s="2">
        <v>4.7600000000000003E-2</v>
      </c>
    </row>
    <row r="1205" spans="1:4" x14ac:dyDescent="0.25">
      <c r="A1205" s="1">
        <v>40316</v>
      </c>
      <c r="B1205">
        <v>4.1366014419999999</v>
      </c>
      <c r="C1205" s="2">
        <v>-5.3600000000000002E-2</v>
      </c>
      <c r="D1205" s="2">
        <v>4.8399999999999999E-2</v>
      </c>
    </row>
    <row r="1206" spans="1:4" x14ac:dyDescent="0.25">
      <c r="A1206" s="1">
        <v>40315</v>
      </c>
      <c r="B1206">
        <v>4.1901624919999998</v>
      </c>
      <c r="C1206" s="2">
        <v>-1.6999999999999999E-3</v>
      </c>
      <c r="D1206" s="2">
        <v>4.8000000000000001E-2</v>
      </c>
    </row>
    <row r="1207" spans="1:4" x14ac:dyDescent="0.25">
      <c r="A1207" s="1">
        <v>40312</v>
      </c>
      <c r="B1207">
        <v>4.1918495189999998</v>
      </c>
      <c r="C1207" s="2">
        <v>-9.06E-2</v>
      </c>
      <c r="D1207" s="2">
        <v>4.8099999999999997E-2</v>
      </c>
    </row>
    <row r="1208" spans="1:4" x14ac:dyDescent="0.25">
      <c r="A1208" s="1">
        <v>40311</v>
      </c>
      <c r="B1208">
        <v>4.2824920449999997</v>
      </c>
      <c r="C1208" s="2">
        <v>-1.0200000000000001E-2</v>
      </c>
      <c r="D1208" s="2">
        <v>4.7899999999999998E-2</v>
      </c>
    </row>
    <row r="1209" spans="1:4" x14ac:dyDescent="0.25">
      <c r="A1209" s="1">
        <v>40310</v>
      </c>
      <c r="B1209">
        <v>4.2926723190000002</v>
      </c>
      <c r="C1209" s="2">
        <v>6.3E-3</v>
      </c>
      <c r="D1209" s="2">
        <v>4.87E-2</v>
      </c>
    </row>
    <row r="1210" spans="1:4" x14ac:dyDescent="0.25">
      <c r="A1210" s="1">
        <v>40309</v>
      </c>
      <c r="B1210">
        <v>4.2863821250000003</v>
      </c>
      <c r="C1210" s="2">
        <v>-2.53E-2</v>
      </c>
      <c r="D1210" s="2">
        <v>4.8800000000000003E-2</v>
      </c>
    </row>
    <row r="1211" spans="1:4" x14ac:dyDescent="0.25">
      <c r="A1211" s="1">
        <v>40308</v>
      </c>
      <c r="B1211">
        <v>4.3116514739999996</v>
      </c>
      <c r="C1211" s="2">
        <v>5.33E-2</v>
      </c>
      <c r="D1211" s="2">
        <v>4.9200000000000001E-2</v>
      </c>
    </row>
    <row r="1212" spans="1:4" x14ac:dyDescent="0.25">
      <c r="A1212" s="1">
        <v>40305</v>
      </c>
      <c r="B1212">
        <v>4.2583811689999997</v>
      </c>
      <c r="C1212" s="2">
        <v>3.5799999999999998E-2</v>
      </c>
      <c r="D1212" s="2">
        <v>4.8599999999999997E-2</v>
      </c>
    </row>
    <row r="1213" spans="1:4" x14ac:dyDescent="0.25">
      <c r="A1213" s="1">
        <v>40304</v>
      </c>
      <c r="B1213">
        <v>4.2225645969999999</v>
      </c>
      <c r="C1213" s="2">
        <v>-0.11260000000000001</v>
      </c>
      <c r="D1213" s="2">
        <v>4.87E-2</v>
      </c>
    </row>
    <row r="1214" spans="1:4" x14ac:dyDescent="0.25">
      <c r="A1214" s="1">
        <v>40303</v>
      </c>
      <c r="B1214">
        <v>4.3351595229999997</v>
      </c>
      <c r="C1214" s="2">
        <v>-4.53E-2</v>
      </c>
      <c r="D1214" s="2">
        <v>4.6699999999999998E-2</v>
      </c>
    </row>
    <row r="1215" spans="1:4" x14ac:dyDescent="0.25">
      <c r="A1215" s="1">
        <v>40302</v>
      </c>
      <c r="B1215">
        <v>4.380436467</v>
      </c>
      <c r="C1215" s="2">
        <v>-5.2600000000000001E-2</v>
      </c>
      <c r="D1215" s="2">
        <v>4.6899999999999997E-2</v>
      </c>
    </row>
    <row r="1216" spans="1:4" x14ac:dyDescent="0.25">
      <c r="A1216" s="1">
        <v>40301</v>
      </c>
      <c r="B1216">
        <v>4.4330227290000002</v>
      </c>
      <c r="C1216" s="2">
        <v>4.2299999999999997E-2</v>
      </c>
      <c r="D1216" s="2">
        <v>4.6800000000000001E-2</v>
      </c>
    </row>
    <row r="1217" spans="1:4" x14ac:dyDescent="0.25">
      <c r="A1217" s="1">
        <v>40298</v>
      </c>
      <c r="B1217">
        <v>4.3907036030000004</v>
      </c>
      <c r="C1217" s="2">
        <v>-3.2500000000000001E-2</v>
      </c>
      <c r="D1217" s="2">
        <v>4.7399999999999998E-2</v>
      </c>
    </row>
    <row r="1218" spans="1:4" x14ac:dyDescent="0.25">
      <c r="A1218" s="1">
        <v>40297</v>
      </c>
      <c r="B1218">
        <v>4.4231720780000003</v>
      </c>
      <c r="C1218" s="2">
        <v>-4.2099999999999999E-2</v>
      </c>
      <c r="D1218" s="2">
        <v>4.7399999999999998E-2</v>
      </c>
    </row>
    <row r="1219" spans="1:4" x14ac:dyDescent="0.25">
      <c r="A1219" s="1">
        <v>40296</v>
      </c>
      <c r="B1219">
        <v>4.4652868469999998</v>
      </c>
      <c r="C1219" s="2">
        <v>5.5500000000000001E-2</v>
      </c>
      <c r="D1219" s="2">
        <v>4.7100000000000003E-2</v>
      </c>
    </row>
    <row r="1220" spans="1:4" x14ac:dyDescent="0.25">
      <c r="A1220" s="1">
        <v>40295</v>
      </c>
      <c r="B1220">
        <v>4.4098221090000003</v>
      </c>
      <c r="C1220" s="2">
        <v>-7.7100000000000002E-2</v>
      </c>
      <c r="D1220" s="2">
        <v>4.6699999999999998E-2</v>
      </c>
    </row>
    <row r="1221" spans="1:4" x14ac:dyDescent="0.25">
      <c r="A1221" s="1">
        <v>40294</v>
      </c>
      <c r="B1221">
        <v>4.486970737</v>
      </c>
      <c r="C1221" s="2">
        <v>-9.5999999999999992E-3</v>
      </c>
      <c r="D1221" s="2">
        <v>4.5900000000000003E-2</v>
      </c>
    </row>
    <row r="1222" spans="1:4" x14ac:dyDescent="0.25">
      <c r="A1222" s="1">
        <v>40291</v>
      </c>
      <c r="B1222">
        <v>4.496575633</v>
      </c>
      <c r="C1222" s="2">
        <v>2.29E-2</v>
      </c>
      <c r="D1222" s="2">
        <v>4.5900000000000003E-2</v>
      </c>
    </row>
    <row r="1223" spans="1:4" x14ac:dyDescent="0.25">
      <c r="A1223" s="1">
        <v>40290</v>
      </c>
      <c r="B1223">
        <v>4.4736805889999998</v>
      </c>
      <c r="C1223" s="2">
        <v>4.4999999999999998E-2</v>
      </c>
      <c r="D1223" s="2">
        <v>4.5900000000000003E-2</v>
      </c>
    </row>
    <row r="1224" spans="1:4" x14ac:dyDescent="0.25">
      <c r="A1224" s="1">
        <v>40289</v>
      </c>
      <c r="B1224">
        <v>4.4287040050000002</v>
      </c>
      <c r="C1224" s="2">
        <v>-4.2999999999999997E-2</v>
      </c>
      <c r="D1224" s="2">
        <v>4.5499999999999999E-2</v>
      </c>
    </row>
    <row r="1225" spans="1:4" x14ac:dyDescent="0.25">
      <c r="A1225" s="1">
        <v>40288</v>
      </c>
      <c r="B1225">
        <v>4.471680847</v>
      </c>
      <c r="C1225" s="2">
        <v>6.8999999999999999E-3</v>
      </c>
      <c r="D1225" s="2">
        <v>4.5400000000000003E-2</v>
      </c>
    </row>
    <row r="1226" spans="1:4" x14ac:dyDescent="0.25">
      <c r="A1226" s="1">
        <v>40287</v>
      </c>
      <c r="B1226">
        <v>4.4647730179999998</v>
      </c>
      <c r="C1226" s="2">
        <v>4.36E-2</v>
      </c>
      <c r="D1226" s="2">
        <v>4.5400000000000003E-2</v>
      </c>
    </row>
    <row r="1227" spans="1:4" x14ac:dyDescent="0.25">
      <c r="A1227" s="1">
        <v>40284</v>
      </c>
      <c r="B1227">
        <v>4.4211523880000003</v>
      </c>
      <c r="C1227" s="2">
        <v>-5.7799999999999997E-2</v>
      </c>
      <c r="D1227" s="2">
        <v>4.53E-2</v>
      </c>
    </row>
    <row r="1228" spans="1:4" x14ac:dyDescent="0.25">
      <c r="A1228" s="1">
        <v>40283</v>
      </c>
      <c r="B1228">
        <v>4.4789537619999997</v>
      </c>
      <c r="C1228" s="2">
        <v>-7.4999999999999997E-3</v>
      </c>
      <c r="D1228" s="2">
        <v>4.48E-2</v>
      </c>
    </row>
    <row r="1229" spans="1:4" x14ac:dyDescent="0.25">
      <c r="A1229" s="1">
        <v>40282</v>
      </c>
      <c r="B1229">
        <v>4.4864108280000004</v>
      </c>
      <c r="C1229" s="2">
        <v>4.99E-2</v>
      </c>
      <c r="D1229" s="2">
        <v>4.4999999999999998E-2</v>
      </c>
    </row>
    <row r="1230" spans="1:4" x14ac:dyDescent="0.25">
      <c r="A1230" s="1">
        <v>40281</v>
      </c>
      <c r="B1230">
        <v>4.4364873779999998</v>
      </c>
      <c r="C1230" s="2">
        <v>-2.4199999999999999E-2</v>
      </c>
      <c r="D1230" s="2">
        <v>4.5199999999999997E-2</v>
      </c>
    </row>
    <row r="1231" spans="1:4" x14ac:dyDescent="0.25">
      <c r="A1231" s="1">
        <v>40280</v>
      </c>
      <c r="B1231">
        <v>4.4606771329999999</v>
      </c>
      <c r="C1231" s="2">
        <v>-8.0799999999999997E-2</v>
      </c>
      <c r="D1231" s="2">
        <v>4.5199999999999997E-2</v>
      </c>
    </row>
    <row r="1232" spans="1:4" x14ac:dyDescent="0.25">
      <c r="A1232" s="1">
        <v>40277</v>
      </c>
      <c r="B1232">
        <v>4.5414983690000001</v>
      </c>
      <c r="C1232" s="2">
        <v>-1.32E-2</v>
      </c>
      <c r="D1232" s="2">
        <v>4.4299999999999999E-2</v>
      </c>
    </row>
    <row r="1233" spans="1:4" x14ac:dyDescent="0.25">
      <c r="A1233" s="1">
        <v>40276</v>
      </c>
      <c r="B1233">
        <v>4.5547050369999997</v>
      </c>
      <c r="C1233" s="2">
        <v>2.0799999999999999E-2</v>
      </c>
      <c r="D1233" s="2">
        <v>4.5499999999999999E-2</v>
      </c>
    </row>
    <row r="1234" spans="1:4" x14ac:dyDescent="0.25">
      <c r="A1234" s="1">
        <v>40275</v>
      </c>
      <c r="B1234">
        <v>4.5339139020000001</v>
      </c>
      <c r="C1234" s="2">
        <v>-0.1057</v>
      </c>
      <c r="D1234" s="2">
        <v>4.5499999999999999E-2</v>
      </c>
    </row>
    <row r="1235" spans="1:4" x14ac:dyDescent="0.25">
      <c r="A1235" s="1">
        <v>40274</v>
      </c>
      <c r="B1235">
        <v>4.6396609639999999</v>
      </c>
      <c r="C1235" s="2">
        <v>-3.5299999999999998E-2</v>
      </c>
      <c r="D1235" s="2">
        <v>4.3299999999999998E-2</v>
      </c>
    </row>
    <row r="1236" spans="1:4" x14ac:dyDescent="0.25">
      <c r="A1236" s="1">
        <v>40273</v>
      </c>
      <c r="B1236">
        <v>4.6749268739999996</v>
      </c>
      <c r="C1236" s="2">
        <v>0.11990000000000001</v>
      </c>
      <c r="D1236" s="2">
        <v>4.3200000000000002E-2</v>
      </c>
    </row>
    <row r="1237" spans="1:4" x14ac:dyDescent="0.25">
      <c r="A1237" s="1">
        <v>40269</v>
      </c>
      <c r="B1237">
        <v>4.5550104649999996</v>
      </c>
      <c r="C1237" s="2">
        <v>5.1700000000000003E-2</v>
      </c>
      <c r="D1237" s="2">
        <v>4.0599999999999997E-2</v>
      </c>
    </row>
    <row r="1238" spans="1:4" x14ac:dyDescent="0.25">
      <c r="A1238" s="1">
        <v>40268</v>
      </c>
      <c r="B1238">
        <v>4.5033140720000002</v>
      </c>
      <c r="C1238" s="2">
        <v>1.34E-2</v>
      </c>
      <c r="D1238" s="2">
        <v>4.2000000000000003E-2</v>
      </c>
    </row>
    <row r="1239" spans="1:4" x14ac:dyDescent="0.25">
      <c r="A1239" s="1">
        <v>40267</v>
      </c>
      <c r="B1239">
        <v>4.4898920530000002</v>
      </c>
      <c r="C1239" s="2">
        <v>3.0599999999999999E-2</v>
      </c>
      <c r="D1239" s="2">
        <v>4.2099999999999999E-2</v>
      </c>
    </row>
    <row r="1240" spans="1:4" x14ac:dyDescent="0.25">
      <c r="A1240" s="1">
        <v>40266</v>
      </c>
      <c r="B1240">
        <v>4.4592769240000001</v>
      </c>
      <c r="C1240" s="2">
        <v>2.5000000000000001E-3</v>
      </c>
      <c r="D1240" s="2">
        <v>4.2200000000000001E-2</v>
      </c>
    </row>
    <row r="1241" spans="1:4" x14ac:dyDescent="0.25">
      <c r="A1241" s="1">
        <v>40263</v>
      </c>
      <c r="B1241">
        <v>4.4567860110000002</v>
      </c>
      <c r="C1241" s="2">
        <v>-5.3999999999999999E-2</v>
      </c>
      <c r="D1241" s="2">
        <v>4.24E-2</v>
      </c>
    </row>
    <row r="1242" spans="1:4" x14ac:dyDescent="0.25">
      <c r="A1242" s="1">
        <v>40262</v>
      </c>
      <c r="B1242">
        <v>4.5108071169999997</v>
      </c>
      <c r="C1242" s="2">
        <v>6.2700000000000006E-2</v>
      </c>
      <c r="D1242" s="2">
        <v>4.2200000000000001E-2</v>
      </c>
    </row>
    <row r="1243" spans="1:4" x14ac:dyDescent="0.25">
      <c r="A1243" s="1">
        <v>40261</v>
      </c>
      <c r="B1243">
        <v>4.4480693809999998</v>
      </c>
      <c r="C1243" s="2">
        <v>0.1192</v>
      </c>
      <c r="D1243" s="2">
        <v>4.19E-2</v>
      </c>
    </row>
    <row r="1244" spans="1:4" x14ac:dyDescent="0.25">
      <c r="A1244" s="1">
        <v>40260</v>
      </c>
      <c r="B1244">
        <v>4.3288813939999997</v>
      </c>
      <c r="C1244" s="2">
        <v>2.3999999999999998E-3</v>
      </c>
      <c r="D1244" s="2">
        <v>3.9399999999999998E-2</v>
      </c>
    </row>
    <row r="1245" spans="1:4" x14ac:dyDescent="0.25">
      <c r="A1245" s="1">
        <v>40259</v>
      </c>
      <c r="B1245">
        <v>4.3264666920000003</v>
      </c>
      <c r="C1245" s="2">
        <v>-2.9499999999999998E-2</v>
      </c>
      <c r="D1245" s="2">
        <v>3.9399999999999998E-2</v>
      </c>
    </row>
    <row r="1246" spans="1:4" x14ac:dyDescent="0.25">
      <c r="A1246" s="1">
        <v>40256</v>
      </c>
      <c r="B1246">
        <v>4.3559191149999998</v>
      </c>
      <c r="C1246" s="2">
        <v>2.35E-2</v>
      </c>
      <c r="D1246" s="2">
        <v>4.0500000000000001E-2</v>
      </c>
    </row>
    <row r="1247" spans="1:4" x14ac:dyDescent="0.25">
      <c r="A1247" s="1">
        <v>40255</v>
      </c>
      <c r="B1247">
        <v>4.3324190329999999</v>
      </c>
      <c r="C1247" s="2">
        <v>3.6400000000000002E-2</v>
      </c>
      <c r="D1247" s="2">
        <v>4.4699999999999997E-2</v>
      </c>
    </row>
    <row r="1248" spans="1:4" x14ac:dyDescent="0.25">
      <c r="A1248" s="1">
        <v>40254</v>
      </c>
      <c r="B1248">
        <v>4.2959930860000002</v>
      </c>
      <c r="C1248" s="2">
        <v>-2.07E-2</v>
      </c>
      <c r="D1248" s="2">
        <v>4.5199999999999997E-2</v>
      </c>
    </row>
    <row r="1249" spans="1:4" x14ac:dyDescent="0.25">
      <c r="A1249" s="1">
        <v>40253</v>
      </c>
      <c r="B1249">
        <v>4.3166556720000004</v>
      </c>
      <c r="C1249" s="2">
        <v>-2.23E-2</v>
      </c>
      <c r="D1249" s="2">
        <v>4.8099999999999997E-2</v>
      </c>
    </row>
    <row r="1250" spans="1:4" x14ac:dyDescent="0.25">
      <c r="A1250" s="1">
        <v>40252</v>
      </c>
      <c r="B1250">
        <v>4.3389433329999996</v>
      </c>
      <c r="C1250" s="2">
        <v>-4.4999999999999997E-3</v>
      </c>
      <c r="D1250" s="2">
        <v>4.82E-2</v>
      </c>
    </row>
    <row r="1251" spans="1:4" x14ac:dyDescent="0.25">
      <c r="A1251" s="1">
        <v>40249</v>
      </c>
      <c r="B1251">
        <v>4.3434277440000004</v>
      </c>
      <c r="C1251" s="2">
        <v>1.7600000000000001E-2</v>
      </c>
      <c r="D1251" s="2">
        <v>4.9000000000000002E-2</v>
      </c>
    </row>
    <row r="1252" spans="1:4" x14ac:dyDescent="0.25">
      <c r="A1252" s="1">
        <v>40248</v>
      </c>
      <c r="B1252">
        <v>4.3258467009999997</v>
      </c>
      <c r="C1252" s="2">
        <v>8.6E-3</v>
      </c>
      <c r="D1252" s="2">
        <v>4.9200000000000001E-2</v>
      </c>
    </row>
    <row r="1253" spans="1:4" x14ac:dyDescent="0.25">
      <c r="A1253" s="1">
        <v>40247</v>
      </c>
      <c r="B1253">
        <v>4.3172642310000002</v>
      </c>
      <c r="C1253" s="2">
        <v>8.6E-3</v>
      </c>
      <c r="D1253" s="2">
        <v>4.9200000000000001E-2</v>
      </c>
    </row>
    <row r="1254" spans="1:4" x14ac:dyDescent="0.25">
      <c r="A1254" s="1">
        <v>40246</v>
      </c>
      <c r="B1254">
        <v>4.3086396970000003</v>
      </c>
      <c r="C1254" s="2">
        <v>-3.4000000000000002E-2</v>
      </c>
      <c r="D1254" s="2">
        <v>4.9399999999999999E-2</v>
      </c>
    </row>
    <row r="1255" spans="1:4" x14ac:dyDescent="0.25">
      <c r="A1255" s="1">
        <v>40245</v>
      </c>
      <c r="B1255">
        <v>4.342601599</v>
      </c>
      <c r="C1255" s="2">
        <v>1.6199999999999999E-2</v>
      </c>
      <c r="D1255" s="2">
        <v>4.9399999999999999E-2</v>
      </c>
    </row>
    <row r="1256" spans="1:4" x14ac:dyDescent="0.25">
      <c r="A1256" s="1">
        <v>40242</v>
      </c>
      <c r="B1256">
        <v>4.3264407509999998</v>
      </c>
      <c r="C1256" s="2">
        <v>4.2900000000000001E-2</v>
      </c>
      <c r="D1256" s="2">
        <v>4.9799999999999997E-2</v>
      </c>
    </row>
    <row r="1257" spans="1:4" x14ac:dyDescent="0.25">
      <c r="A1257" s="1">
        <v>40241</v>
      </c>
      <c r="B1257">
        <v>4.2835440629999999</v>
      </c>
      <c r="C1257" s="2">
        <v>-2.4E-2</v>
      </c>
      <c r="D1257" s="2">
        <v>4.99E-2</v>
      </c>
    </row>
    <row r="1258" spans="1:4" x14ac:dyDescent="0.25">
      <c r="A1258" s="1">
        <v>40240</v>
      </c>
      <c r="B1258">
        <v>4.3075702509999996</v>
      </c>
      <c r="C1258" s="2">
        <v>-2.6800000000000001E-2</v>
      </c>
      <c r="D1258" s="2">
        <v>5.0700000000000002E-2</v>
      </c>
    </row>
    <row r="1259" spans="1:4" x14ac:dyDescent="0.25">
      <c r="A1259" s="1">
        <v>40239</v>
      </c>
      <c r="B1259">
        <v>4.3343658310000004</v>
      </c>
      <c r="C1259" s="2">
        <v>6.0000000000000001E-3</v>
      </c>
      <c r="D1259" s="2">
        <v>5.1200000000000002E-2</v>
      </c>
    </row>
    <row r="1260" spans="1:4" x14ac:dyDescent="0.25">
      <c r="A1260" s="1">
        <v>40238</v>
      </c>
      <c r="B1260">
        <v>4.328366817</v>
      </c>
      <c r="C1260" s="2">
        <v>3.7600000000000001E-2</v>
      </c>
      <c r="D1260" s="2">
        <v>5.1700000000000003E-2</v>
      </c>
    </row>
    <row r="1261" spans="1:4" x14ac:dyDescent="0.25">
      <c r="A1261" s="1">
        <v>40235</v>
      </c>
      <c r="B1261">
        <v>4.2907489969999997</v>
      </c>
      <c r="C1261" s="2">
        <v>-6.3399999999999998E-2</v>
      </c>
      <c r="D1261" s="2">
        <v>5.2900000000000003E-2</v>
      </c>
    </row>
    <row r="1262" spans="1:4" x14ac:dyDescent="0.25">
      <c r="A1262" s="1">
        <v>40234</v>
      </c>
      <c r="B1262">
        <v>4.3541837130000003</v>
      </c>
      <c r="C1262" s="2">
        <v>-4.1700000000000001E-2</v>
      </c>
      <c r="D1262" s="2">
        <v>5.21E-2</v>
      </c>
    </row>
    <row r="1263" spans="1:4" x14ac:dyDescent="0.25">
      <c r="A1263" s="1">
        <v>40233</v>
      </c>
      <c r="B1263">
        <v>4.395847914</v>
      </c>
      <c r="C1263" s="2">
        <v>4.4000000000000003E-3</v>
      </c>
      <c r="D1263" s="2">
        <v>5.21E-2</v>
      </c>
    </row>
    <row r="1264" spans="1:4" x14ac:dyDescent="0.25">
      <c r="A1264" s="1">
        <v>40232</v>
      </c>
      <c r="B1264">
        <v>4.3914373800000002</v>
      </c>
      <c r="C1264" s="2">
        <v>-7.0999999999999994E-2</v>
      </c>
      <c r="D1264" s="2">
        <v>5.2200000000000003E-2</v>
      </c>
    </row>
    <row r="1265" spans="1:4" x14ac:dyDescent="0.25">
      <c r="A1265" s="1">
        <v>40231</v>
      </c>
      <c r="B1265">
        <v>4.4624514289999997</v>
      </c>
      <c r="C1265" s="2">
        <v>-2.3900000000000001E-2</v>
      </c>
      <c r="D1265" s="2">
        <v>5.2499999999999998E-2</v>
      </c>
    </row>
    <row r="1266" spans="1:4" x14ac:dyDescent="0.25">
      <c r="A1266" s="1">
        <v>40228</v>
      </c>
      <c r="B1266">
        <v>4.4863054910000004</v>
      </c>
      <c r="C1266" s="2">
        <v>1.8100000000000002E-2</v>
      </c>
      <c r="D1266" s="2">
        <v>5.2499999999999998E-2</v>
      </c>
    </row>
    <row r="1267" spans="1:4" x14ac:dyDescent="0.25">
      <c r="A1267" s="1">
        <v>40227</v>
      </c>
      <c r="B1267">
        <v>4.4681580490000004</v>
      </c>
      <c r="C1267" s="2">
        <v>7.6799999999999993E-2</v>
      </c>
      <c r="D1267" s="2">
        <v>5.2600000000000001E-2</v>
      </c>
    </row>
    <row r="1268" spans="1:4" x14ac:dyDescent="0.25">
      <c r="A1268" s="1">
        <v>40226</v>
      </c>
      <c r="B1268">
        <v>4.3913966240000004</v>
      </c>
      <c r="C1268" s="2">
        <v>6.8099999999999994E-2</v>
      </c>
      <c r="D1268" s="2">
        <v>5.1799999999999999E-2</v>
      </c>
    </row>
    <row r="1269" spans="1:4" x14ac:dyDescent="0.25">
      <c r="A1269" s="1">
        <v>40225</v>
      </c>
      <c r="B1269">
        <v>4.3232740569999999</v>
      </c>
      <c r="C1269" s="2">
        <v>-2.2800000000000001E-2</v>
      </c>
      <c r="D1269" s="2">
        <v>5.1400000000000001E-2</v>
      </c>
    </row>
    <row r="1270" spans="1:4" x14ac:dyDescent="0.25">
      <c r="A1270" s="1">
        <v>40221</v>
      </c>
      <c r="B1270">
        <v>4.3460644029999997</v>
      </c>
      <c r="C1270" s="2">
        <v>-5.2699999999999997E-2</v>
      </c>
      <c r="D1270" s="2">
        <v>5.1799999999999999E-2</v>
      </c>
    </row>
    <row r="1271" spans="1:4" x14ac:dyDescent="0.25">
      <c r="A1271" s="1">
        <v>40220</v>
      </c>
      <c r="B1271">
        <v>4.3987903910000004</v>
      </c>
      <c r="C1271" s="2">
        <v>-7.6E-3</v>
      </c>
      <c r="D1271" s="2">
        <v>5.2900000000000003E-2</v>
      </c>
    </row>
    <row r="1272" spans="1:4" x14ac:dyDescent="0.25">
      <c r="A1272" s="1">
        <v>40219</v>
      </c>
      <c r="B1272">
        <v>4.4063561990000002</v>
      </c>
      <c r="C1272" s="2">
        <v>4.1000000000000002E-2</v>
      </c>
      <c r="D1272" s="2">
        <v>5.3999999999999999E-2</v>
      </c>
    </row>
    <row r="1273" spans="1:4" x14ac:dyDescent="0.25">
      <c r="A1273" s="1">
        <v>40218</v>
      </c>
      <c r="B1273">
        <v>4.3653171840000002</v>
      </c>
      <c r="C1273" s="2">
        <v>3.3300000000000003E-2</v>
      </c>
      <c r="D1273" s="2">
        <v>5.4100000000000002E-2</v>
      </c>
    </row>
    <row r="1274" spans="1:4" x14ac:dyDescent="0.25">
      <c r="A1274" s="1">
        <v>40217</v>
      </c>
      <c r="B1274">
        <v>4.3320366689999998</v>
      </c>
      <c r="C1274" s="2">
        <v>5.5399999999999998E-2</v>
      </c>
      <c r="D1274" s="2">
        <v>5.4100000000000002E-2</v>
      </c>
    </row>
    <row r="1275" spans="1:4" x14ac:dyDescent="0.25">
      <c r="A1275" s="1">
        <v>40214</v>
      </c>
      <c r="B1275">
        <v>4.2765994909999998</v>
      </c>
      <c r="C1275" s="2">
        <v>-4.7300000000000002E-2</v>
      </c>
      <c r="D1275" s="2">
        <v>5.3699999999999998E-2</v>
      </c>
    </row>
    <row r="1276" spans="1:4" x14ac:dyDescent="0.25">
      <c r="A1276" s="1">
        <v>40213</v>
      </c>
      <c r="B1276">
        <v>4.3238522350000004</v>
      </c>
      <c r="C1276" s="2">
        <v>-7.0900000000000005E-2</v>
      </c>
      <c r="D1276" s="2">
        <v>5.3699999999999998E-2</v>
      </c>
    </row>
    <row r="1277" spans="1:4" x14ac:dyDescent="0.25">
      <c r="A1277" s="1">
        <v>40212</v>
      </c>
      <c r="B1277">
        <v>4.3947791030000003</v>
      </c>
      <c r="C1277" s="2">
        <v>3.2899999999999999E-2</v>
      </c>
      <c r="D1277" s="2">
        <v>5.3400000000000003E-2</v>
      </c>
    </row>
    <row r="1278" spans="1:4" x14ac:dyDescent="0.25">
      <c r="A1278" s="1">
        <v>40211</v>
      </c>
      <c r="B1278">
        <v>4.3619253359999997</v>
      </c>
      <c r="C1278" s="2">
        <v>-2.1100000000000001E-2</v>
      </c>
      <c r="D1278" s="2">
        <v>5.33E-2</v>
      </c>
    </row>
    <row r="1279" spans="1:4" x14ac:dyDescent="0.25">
      <c r="A1279" s="1">
        <v>40210</v>
      </c>
      <c r="B1279">
        <v>4.3830379439999998</v>
      </c>
      <c r="C1279" s="2">
        <v>2.1000000000000001E-2</v>
      </c>
      <c r="D1279" s="2">
        <v>5.3400000000000003E-2</v>
      </c>
    </row>
    <row r="1280" spans="1:4" x14ac:dyDescent="0.25">
      <c r="A1280" s="1">
        <v>40207</v>
      </c>
      <c r="B1280">
        <v>4.3620296969999997</v>
      </c>
      <c r="C1280" s="2">
        <v>-4.1500000000000002E-2</v>
      </c>
      <c r="D1280" s="2">
        <v>5.3699999999999998E-2</v>
      </c>
    </row>
    <row r="1281" spans="1:4" x14ac:dyDescent="0.25">
      <c r="A1281" s="1">
        <v>40206</v>
      </c>
      <c r="B1281">
        <v>4.4035449760000001</v>
      </c>
      <c r="C1281" s="2">
        <v>1.6400000000000001E-2</v>
      </c>
      <c r="D1281" s="2">
        <v>5.4199999999999998E-2</v>
      </c>
    </row>
    <row r="1282" spans="1:4" x14ac:dyDescent="0.25">
      <c r="A1282" s="1">
        <v>40205</v>
      </c>
      <c r="B1282">
        <v>4.3871320689999997</v>
      </c>
      <c r="C1282" s="2">
        <v>1.6299999999999999E-2</v>
      </c>
      <c r="D1282" s="2">
        <v>5.4699999999999999E-2</v>
      </c>
    </row>
    <row r="1283" spans="1:4" x14ac:dyDescent="0.25">
      <c r="A1283" s="1">
        <v>40204</v>
      </c>
      <c r="B1283">
        <v>4.370822457</v>
      </c>
      <c r="C1283" s="2">
        <v>-0.01</v>
      </c>
      <c r="D1283" s="2">
        <v>5.5899999999999998E-2</v>
      </c>
    </row>
    <row r="1284" spans="1:4" x14ac:dyDescent="0.25">
      <c r="A1284" s="1">
        <v>40203</v>
      </c>
      <c r="B1284">
        <v>4.3808133439999999</v>
      </c>
      <c r="C1284" s="2">
        <v>3.5499999999999997E-2</v>
      </c>
      <c r="D1284" s="2">
        <v>5.6800000000000003E-2</v>
      </c>
    </row>
    <row r="1285" spans="1:4" x14ac:dyDescent="0.25">
      <c r="A1285" s="1">
        <v>40200</v>
      </c>
      <c r="B1285">
        <v>4.3453136560000001</v>
      </c>
      <c r="C1285" s="2">
        <v>1.01E-2</v>
      </c>
      <c r="D1285" s="2">
        <v>5.7299999999999997E-2</v>
      </c>
    </row>
    <row r="1286" spans="1:4" x14ac:dyDescent="0.25">
      <c r="A1286" s="1">
        <v>40199</v>
      </c>
      <c r="B1286">
        <v>4.3351721960000003</v>
      </c>
      <c r="C1286" s="2">
        <v>-3.2599999999999997E-2</v>
      </c>
      <c r="D1286" s="2">
        <v>5.7500000000000002E-2</v>
      </c>
    </row>
    <row r="1287" spans="1:4" x14ac:dyDescent="0.25">
      <c r="A1287" s="1">
        <v>40198</v>
      </c>
      <c r="B1287">
        <v>4.3677855259999996</v>
      </c>
      <c r="C1287" s="2">
        <v>-3.4200000000000001E-2</v>
      </c>
      <c r="D1287" s="2">
        <v>5.74E-2</v>
      </c>
    </row>
    <row r="1288" spans="1:4" x14ac:dyDescent="0.25">
      <c r="A1288" s="1">
        <v>40197</v>
      </c>
      <c r="B1288">
        <v>4.4019710270000001</v>
      </c>
      <c r="C1288" s="2">
        <v>3.2300000000000002E-2</v>
      </c>
      <c r="D1288" s="2">
        <v>5.7500000000000002E-2</v>
      </c>
    </row>
    <row r="1289" spans="1:4" x14ac:dyDescent="0.25">
      <c r="A1289" s="1">
        <v>40193</v>
      </c>
      <c r="B1289">
        <v>4.3696707019999996</v>
      </c>
      <c r="C1289" s="2">
        <v>-5.6899999999999999E-2</v>
      </c>
      <c r="D1289" s="2">
        <v>5.7599999999999998E-2</v>
      </c>
    </row>
    <row r="1290" spans="1:4" x14ac:dyDescent="0.25">
      <c r="A1290" s="1">
        <v>40192</v>
      </c>
      <c r="B1290">
        <v>4.4265935059999997</v>
      </c>
      <c r="C1290" s="2">
        <v>-2.76E-2</v>
      </c>
      <c r="D1290" s="2">
        <v>5.7099999999999998E-2</v>
      </c>
    </row>
    <row r="1291" spans="1:4" x14ac:dyDescent="0.25">
      <c r="A1291" s="1">
        <v>40191</v>
      </c>
      <c r="B1291">
        <v>4.4541497039999998</v>
      </c>
      <c r="C1291" s="2">
        <v>4.5400000000000003E-2</v>
      </c>
      <c r="D1291" s="2">
        <v>5.7299999999999997E-2</v>
      </c>
    </row>
    <row r="1292" spans="1:4" x14ac:dyDescent="0.25">
      <c r="A1292" s="1">
        <v>40190</v>
      </c>
      <c r="B1292">
        <v>4.4087647030000001</v>
      </c>
      <c r="C1292" s="2">
        <v>-8.0100000000000005E-2</v>
      </c>
      <c r="D1292" s="2">
        <v>5.79E-2</v>
      </c>
    </row>
    <row r="1293" spans="1:4" x14ac:dyDescent="0.25">
      <c r="A1293" s="1">
        <v>40189</v>
      </c>
      <c r="B1293">
        <v>4.4888752270000003</v>
      </c>
      <c r="C1293" s="2">
        <v>-1.0699999999999999E-2</v>
      </c>
      <c r="D1293" s="2">
        <v>5.8299999999999998E-2</v>
      </c>
    </row>
    <row r="1294" spans="1:4" x14ac:dyDescent="0.25">
      <c r="A1294" s="1">
        <v>40186</v>
      </c>
      <c r="B1294">
        <v>4.4995349730000003</v>
      </c>
      <c r="C1294" s="2">
        <v>-5.4999999999999997E-3</v>
      </c>
      <c r="D1294" s="2">
        <v>5.8500000000000003E-2</v>
      </c>
    </row>
    <row r="1295" spans="1:4" x14ac:dyDescent="0.25">
      <c r="A1295" s="1">
        <v>40185</v>
      </c>
      <c r="B1295">
        <v>4.5050354209999997</v>
      </c>
      <c r="C1295" s="2">
        <v>2.93E-2</v>
      </c>
      <c r="D1295" s="2">
        <v>6.0699999999999997E-2</v>
      </c>
    </row>
    <row r="1296" spans="1:4" x14ac:dyDescent="0.25">
      <c r="A1296" s="1">
        <v>40184</v>
      </c>
      <c r="B1296">
        <v>4.4757415060000003</v>
      </c>
      <c r="C1296" s="2">
        <v>3.9100000000000003E-2</v>
      </c>
      <c r="D1296" s="2">
        <v>6.0699999999999997E-2</v>
      </c>
    </row>
    <row r="1297" spans="1:4" x14ac:dyDescent="0.25">
      <c r="A1297" s="1">
        <v>40183</v>
      </c>
      <c r="B1297">
        <v>4.4366588450000002</v>
      </c>
      <c r="C1297" s="2">
        <v>-9.5899999999999999E-2</v>
      </c>
      <c r="D1297" s="2">
        <v>6.0999999999999999E-2</v>
      </c>
    </row>
    <row r="1298" spans="1:4" x14ac:dyDescent="0.25">
      <c r="A1298" s="1">
        <v>40182</v>
      </c>
      <c r="B1298">
        <v>4.5325306760000004</v>
      </c>
      <c r="C1298" s="2">
        <v>-2.6700000000000002E-2</v>
      </c>
      <c r="D1298" s="2">
        <v>5.9499999999999997E-2</v>
      </c>
    </row>
    <row r="1299" spans="1:4" x14ac:dyDescent="0.25">
      <c r="A1299" s="1">
        <v>40178</v>
      </c>
      <c r="B1299">
        <v>4.5592481359999999</v>
      </c>
      <c r="C1299" s="2">
        <v>3.6499999999999998E-2</v>
      </c>
      <c r="D1299" s="2">
        <v>5.9400000000000001E-2</v>
      </c>
    </row>
    <row r="1300" spans="1:4" x14ac:dyDescent="0.25">
      <c r="A1300" s="1">
        <v>40177</v>
      </c>
      <c r="B1300">
        <v>4.5227658880000003</v>
      </c>
      <c r="C1300" s="2">
        <v>-3.3500000000000002E-2</v>
      </c>
      <c r="D1300" s="2">
        <v>5.9299999999999999E-2</v>
      </c>
    </row>
    <row r="1301" spans="1:4" x14ac:dyDescent="0.25">
      <c r="A1301" s="1">
        <v>40176</v>
      </c>
      <c r="B1301">
        <v>4.5562322289999999</v>
      </c>
      <c r="C1301" s="2">
        <v>-4.0500000000000001E-2</v>
      </c>
      <c r="D1301" s="2">
        <v>6.13E-2</v>
      </c>
    </row>
    <row r="1302" spans="1:4" x14ac:dyDescent="0.25">
      <c r="A1302" s="1">
        <v>40175</v>
      </c>
      <c r="B1302">
        <v>4.596777576</v>
      </c>
      <c r="C1302" s="2">
        <v>5.0099999999999999E-2</v>
      </c>
      <c r="D1302" s="2">
        <v>6.1100000000000002E-2</v>
      </c>
    </row>
    <row r="1303" spans="1:4" x14ac:dyDescent="0.25">
      <c r="A1303" s="1">
        <v>40171</v>
      </c>
      <c r="B1303">
        <v>4.5466749340000003</v>
      </c>
      <c r="C1303" s="2">
        <v>5.0700000000000002E-2</v>
      </c>
      <c r="D1303" s="2">
        <v>6.08E-2</v>
      </c>
    </row>
    <row r="1304" spans="1:4" x14ac:dyDescent="0.25">
      <c r="A1304" s="1">
        <v>40170</v>
      </c>
      <c r="B1304">
        <v>4.4959394469999996</v>
      </c>
      <c r="C1304" s="2">
        <v>1.0500000000000001E-2</v>
      </c>
      <c r="D1304" s="2">
        <v>6.0999999999999999E-2</v>
      </c>
    </row>
    <row r="1305" spans="1:4" x14ac:dyDescent="0.25">
      <c r="A1305" s="1">
        <v>40169</v>
      </c>
      <c r="B1305">
        <v>4.4853991730000002</v>
      </c>
      <c r="C1305" s="2">
        <v>7.5399999999999995E-2</v>
      </c>
      <c r="D1305" s="2">
        <v>6.1199999999999997E-2</v>
      </c>
    </row>
    <row r="1306" spans="1:4" x14ac:dyDescent="0.25">
      <c r="A1306" s="1">
        <v>40168</v>
      </c>
      <c r="B1306">
        <v>4.4100417759999999</v>
      </c>
      <c r="C1306" s="2">
        <v>0.14710000000000001</v>
      </c>
      <c r="D1306" s="2">
        <v>6.1100000000000002E-2</v>
      </c>
    </row>
    <row r="1307" spans="1:4" x14ac:dyDescent="0.25">
      <c r="A1307" s="1">
        <v>40165</v>
      </c>
      <c r="B1307">
        <v>4.2629090219999997</v>
      </c>
      <c r="C1307" s="2">
        <v>6.4699999999999994E-2</v>
      </c>
      <c r="D1307" s="2">
        <v>5.8000000000000003E-2</v>
      </c>
    </row>
    <row r="1308" spans="1:4" x14ac:dyDescent="0.25">
      <c r="A1308" s="1">
        <v>40164</v>
      </c>
      <c r="B1308">
        <v>4.1982238260000004</v>
      </c>
      <c r="C1308" s="2">
        <v>-0.12670000000000001</v>
      </c>
      <c r="D1308" s="2">
        <v>5.7500000000000002E-2</v>
      </c>
    </row>
    <row r="1309" spans="1:4" x14ac:dyDescent="0.25">
      <c r="A1309" s="1">
        <v>40163</v>
      </c>
      <c r="B1309">
        <v>4.3249234909999998</v>
      </c>
      <c r="C1309" s="2">
        <v>-2.9100000000000001E-2</v>
      </c>
      <c r="D1309" s="2">
        <v>5.5199999999999999E-2</v>
      </c>
    </row>
    <row r="1310" spans="1:4" x14ac:dyDescent="0.25">
      <c r="A1310" s="1">
        <v>40162</v>
      </c>
      <c r="B1310">
        <v>4.3540719279999998</v>
      </c>
      <c r="C1310" s="2">
        <v>7.0900000000000005E-2</v>
      </c>
      <c r="D1310" s="2">
        <v>5.6000000000000001E-2</v>
      </c>
    </row>
    <row r="1311" spans="1:4" x14ac:dyDescent="0.25">
      <c r="A1311" s="1">
        <v>40161</v>
      </c>
      <c r="B1311">
        <v>4.2831681289999999</v>
      </c>
      <c r="C1311" s="2">
        <v>3.61E-2</v>
      </c>
      <c r="D1311" s="2">
        <v>5.6099999999999997E-2</v>
      </c>
    </row>
    <row r="1312" spans="1:4" x14ac:dyDescent="0.25">
      <c r="A1312" s="1">
        <v>40158</v>
      </c>
      <c r="B1312">
        <v>4.2470922169999996</v>
      </c>
      <c r="C1312" s="2">
        <v>2.1899999999999999E-2</v>
      </c>
      <c r="D1312" s="2">
        <v>5.5899999999999998E-2</v>
      </c>
    </row>
    <row r="1313" spans="1:4" x14ac:dyDescent="0.25">
      <c r="A1313" s="1">
        <v>40157</v>
      </c>
      <c r="B1313">
        <v>4.2251526469999998</v>
      </c>
      <c r="C1313" s="2">
        <v>3.3500000000000002E-2</v>
      </c>
      <c r="D1313" s="2">
        <v>5.6000000000000001E-2</v>
      </c>
    </row>
    <row r="1314" spans="1:4" x14ac:dyDescent="0.25">
      <c r="A1314" s="1">
        <v>40156</v>
      </c>
      <c r="B1314">
        <v>4.1916747689999996</v>
      </c>
      <c r="C1314" s="2">
        <v>4.1200000000000001E-2</v>
      </c>
      <c r="D1314" s="2">
        <v>5.6599999999999998E-2</v>
      </c>
    </row>
    <row r="1315" spans="1:4" x14ac:dyDescent="0.25">
      <c r="A1315" s="1">
        <v>40155</v>
      </c>
      <c r="B1315">
        <v>4.1504263229999996</v>
      </c>
      <c r="C1315" s="2">
        <v>-4.4200000000000003E-2</v>
      </c>
      <c r="D1315" s="2">
        <v>5.6300000000000003E-2</v>
      </c>
    </row>
    <row r="1316" spans="1:4" x14ac:dyDescent="0.25">
      <c r="A1316" s="1">
        <v>40154</v>
      </c>
      <c r="B1316">
        <v>4.1946030539999999</v>
      </c>
      <c r="C1316" s="2">
        <v>-4.9700000000000001E-2</v>
      </c>
      <c r="D1316" s="2">
        <v>5.79E-2</v>
      </c>
    </row>
    <row r="1317" spans="1:4" x14ac:dyDescent="0.25">
      <c r="A1317" s="1">
        <v>40151</v>
      </c>
      <c r="B1317">
        <v>4.2443083819999998</v>
      </c>
      <c r="C1317" s="2">
        <v>7.4899999999999994E-2</v>
      </c>
      <c r="D1317" s="2">
        <v>5.7599999999999998E-2</v>
      </c>
    </row>
    <row r="1318" spans="1:4" x14ac:dyDescent="0.25">
      <c r="A1318" s="1">
        <v>40150</v>
      </c>
      <c r="B1318">
        <v>4.1694309450000002</v>
      </c>
      <c r="C1318" s="2">
        <v>6.2899999999999998E-2</v>
      </c>
      <c r="D1318" s="2">
        <v>5.67E-2</v>
      </c>
    </row>
    <row r="1319" spans="1:4" x14ac:dyDescent="0.25">
      <c r="A1319" s="1">
        <v>40149</v>
      </c>
      <c r="B1319">
        <v>4.1065098070000001</v>
      </c>
      <c r="C1319" s="2">
        <v>6.2899999999999998E-2</v>
      </c>
      <c r="D1319" s="2">
        <v>5.67E-2</v>
      </c>
    </row>
    <row r="1320" spans="1:4" x14ac:dyDescent="0.25">
      <c r="A1320" s="1">
        <v>40148</v>
      </c>
      <c r="B1320">
        <v>4.0436498009999999</v>
      </c>
      <c r="C1320" s="2">
        <v>9.4700000000000006E-2</v>
      </c>
      <c r="D1320" s="2">
        <v>5.6399999999999999E-2</v>
      </c>
    </row>
    <row r="1321" spans="1:4" x14ac:dyDescent="0.25">
      <c r="A1321" s="1">
        <v>40147</v>
      </c>
      <c r="B1321">
        <v>3.9489986240000001</v>
      </c>
      <c r="C1321" s="2">
        <v>-4.8999999999999998E-3</v>
      </c>
      <c r="D1321" s="2">
        <v>5.5899999999999998E-2</v>
      </c>
    </row>
    <row r="1322" spans="1:4" x14ac:dyDescent="0.25">
      <c r="A1322" s="1">
        <v>40144</v>
      </c>
      <c r="B1322">
        <v>3.9539461259999999</v>
      </c>
      <c r="C1322" s="2">
        <v>-4.3499999999999997E-2</v>
      </c>
      <c r="D1322" s="2">
        <v>5.5899999999999998E-2</v>
      </c>
    </row>
    <row r="1323" spans="1:4" x14ac:dyDescent="0.25">
      <c r="A1323" s="1">
        <v>40142</v>
      </c>
      <c r="B1323">
        <v>3.9974521109999999</v>
      </c>
      <c r="C1323" s="2">
        <v>-1.01E-2</v>
      </c>
      <c r="D1323" s="2">
        <v>5.6099999999999997E-2</v>
      </c>
    </row>
    <row r="1324" spans="1:4" x14ac:dyDescent="0.25">
      <c r="A1324" s="1">
        <v>40141</v>
      </c>
      <c r="B1324">
        <v>4.007567635</v>
      </c>
      <c r="C1324" s="2">
        <v>-8.1600000000000006E-2</v>
      </c>
      <c r="D1324" s="2">
        <v>5.6099999999999997E-2</v>
      </c>
    </row>
    <row r="1325" spans="1:4" x14ac:dyDescent="0.25">
      <c r="A1325" s="1">
        <v>40140</v>
      </c>
      <c r="B1325">
        <v>4.0891366739999997</v>
      </c>
      <c r="C1325" s="2">
        <v>-2.4899999999999999E-2</v>
      </c>
      <c r="D1325" s="2">
        <v>5.5500000000000001E-2</v>
      </c>
    </row>
    <row r="1326" spans="1:4" x14ac:dyDescent="0.25">
      <c r="A1326" s="1">
        <v>40137</v>
      </c>
      <c r="B1326">
        <v>4.1140697739999998</v>
      </c>
      <c r="C1326" s="2">
        <v>-2.8000000000000001E-2</v>
      </c>
      <c r="D1326" s="2">
        <v>5.5399999999999998E-2</v>
      </c>
    </row>
    <row r="1327" spans="1:4" x14ac:dyDescent="0.25">
      <c r="A1327" s="1">
        <v>40136</v>
      </c>
      <c r="B1327">
        <v>4.1420321820000003</v>
      </c>
      <c r="C1327" s="2">
        <v>9.7999999999999997E-3</v>
      </c>
      <c r="D1327" s="2">
        <v>5.5399999999999998E-2</v>
      </c>
    </row>
    <row r="1328" spans="1:4" x14ac:dyDescent="0.25">
      <c r="A1328" s="1">
        <v>40135</v>
      </c>
      <c r="B1328">
        <v>4.1321940860000002</v>
      </c>
      <c r="C1328" s="2">
        <v>4.8599999999999997E-2</v>
      </c>
      <c r="D1328" s="2">
        <v>5.5500000000000001E-2</v>
      </c>
    </row>
    <row r="1329" spans="1:4" x14ac:dyDescent="0.25">
      <c r="A1329" s="1">
        <v>40134</v>
      </c>
      <c r="B1329">
        <v>4.0836397040000003</v>
      </c>
      <c r="C1329" s="2">
        <v>5.6000000000000001E-2</v>
      </c>
      <c r="D1329" s="2">
        <v>5.6000000000000001E-2</v>
      </c>
    </row>
    <row r="1330" spans="1:4" x14ac:dyDescent="0.25">
      <c r="A1330" s="1">
        <v>40133</v>
      </c>
      <c r="B1330">
        <v>4.0276416529999999</v>
      </c>
      <c r="C1330" s="2">
        <v>-9.8299999999999998E-2</v>
      </c>
      <c r="D1330" s="2">
        <v>5.5500000000000001E-2</v>
      </c>
    </row>
    <row r="1331" spans="1:4" x14ac:dyDescent="0.25">
      <c r="A1331" s="1">
        <v>40130</v>
      </c>
      <c r="B1331">
        <v>4.1259829789999998</v>
      </c>
      <c r="C1331" s="2">
        <v>-7.9500000000000001E-2</v>
      </c>
      <c r="D1331" s="2">
        <v>5.4300000000000001E-2</v>
      </c>
    </row>
    <row r="1332" spans="1:4" x14ac:dyDescent="0.25">
      <c r="A1332" s="1">
        <v>40129</v>
      </c>
      <c r="B1332">
        <v>4.2054852130000002</v>
      </c>
      <c r="C1332" s="2">
        <v>-4.4600000000000001E-2</v>
      </c>
      <c r="D1332" s="2">
        <v>5.3800000000000001E-2</v>
      </c>
    </row>
    <row r="1333" spans="1:4" x14ac:dyDescent="0.25">
      <c r="A1333" s="1">
        <v>40127</v>
      </c>
      <c r="B1333">
        <v>4.2500557880000001</v>
      </c>
      <c r="C1333" s="2">
        <v>-2.7099999999999999E-2</v>
      </c>
      <c r="D1333" s="2">
        <v>5.3600000000000002E-2</v>
      </c>
    </row>
    <row r="1334" spans="1:4" x14ac:dyDescent="0.25">
      <c r="A1334" s="1">
        <v>40126</v>
      </c>
      <c r="B1334">
        <v>4.2771826510000004</v>
      </c>
      <c r="C1334" s="2">
        <v>-1.6E-2</v>
      </c>
      <c r="D1334" s="2">
        <v>5.3699999999999998E-2</v>
      </c>
    </row>
    <row r="1335" spans="1:4" x14ac:dyDescent="0.25">
      <c r="A1335" s="1">
        <v>40123</v>
      </c>
      <c r="B1335">
        <v>4.2931767609999998</v>
      </c>
      <c r="C1335" s="2">
        <v>-4.7100000000000003E-2</v>
      </c>
      <c r="D1335" s="2">
        <v>5.5300000000000002E-2</v>
      </c>
    </row>
    <row r="1336" spans="1:4" x14ac:dyDescent="0.25">
      <c r="A1336" s="1">
        <v>40122</v>
      </c>
      <c r="B1336">
        <v>4.3402733470000001</v>
      </c>
      <c r="C1336" s="2">
        <v>-5.6899999999999999E-2</v>
      </c>
      <c r="D1336" s="2">
        <v>5.5100000000000003E-2</v>
      </c>
    </row>
    <row r="1337" spans="1:4" x14ac:dyDescent="0.25">
      <c r="A1337" s="1">
        <v>40121</v>
      </c>
      <c r="B1337">
        <v>4.3972220460000004</v>
      </c>
      <c r="C1337" s="2">
        <v>2.3800000000000002E-2</v>
      </c>
      <c r="D1337" s="2">
        <v>5.5300000000000002E-2</v>
      </c>
    </row>
    <row r="1338" spans="1:4" x14ac:dyDescent="0.25">
      <c r="A1338" s="1">
        <v>40120</v>
      </c>
      <c r="B1338">
        <v>4.3734081959999997</v>
      </c>
      <c r="C1338" s="2">
        <v>3.2599999999999997E-2</v>
      </c>
      <c r="D1338" s="2">
        <v>5.67E-2</v>
      </c>
    </row>
    <row r="1339" spans="1:4" x14ac:dyDescent="0.25">
      <c r="A1339" s="1">
        <v>40119</v>
      </c>
      <c r="B1339">
        <v>4.3408438370000004</v>
      </c>
      <c r="C1339" s="2">
        <v>5.11E-2</v>
      </c>
      <c r="D1339" s="2">
        <v>5.8000000000000003E-2</v>
      </c>
    </row>
    <row r="1340" spans="1:4" x14ac:dyDescent="0.25">
      <c r="A1340" s="1">
        <v>40116</v>
      </c>
      <c r="B1340">
        <v>4.2897391909999998</v>
      </c>
      <c r="C1340" s="2">
        <v>-6.5799999999999997E-2</v>
      </c>
      <c r="D1340" s="2">
        <v>5.7599999999999998E-2</v>
      </c>
    </row>
    <row r="1341" spans="1:4" x14ac:dyDescent="0.25">
      <c r="A1341" s="1">
        <v>40115</v>
      </c>
      <c r="B1341">
        <v>4.3555541279999996</v>
      </c>
      <c r="C1341" s="2">
        <v>6.2300000000000001E-2</v>
      </c>
      <c r="D1341" s="2">
        <v>5.91E-2</v>
      </c>
    </row>
    <row r="1342" spans="1:4" x14ac:dyDescent="0.25">
      <c r="A1342" s="1">
        <v>40114</v>
      </c>
      <c r="B1342">
        <v>4.2932098029999999</v>
      </c>
      <c r="C1342" s="2">
        <v>-8.8499999999999995E-2</v>
      </c>
      <c r="D1342" s="2">
        <v>5.8999999999999997E-2</v>
      </c>
    </row>
    <row r="1343" spans="1:4" x14ac:dyDescent="0.25">
      <c r="A1343" s="1">
        <v>40113</v>
      </c>
      <c r="B1343">
        <v>4.3816960790000001</v>
      </c>
      <c r="C1343" s="2">
        <v>-7.7299999999999994E-2</v>
      </c>
      <c r="D1343" s="2">
        <v>6.0199999999999997E-2</v>
      </c>
    </row>
    <row r="1344" spans="1:4" x14ac:dyDescent="0.25">
      <c r="A1344" s="1">
        <v>40112</v>
      </c>
      <c r="B1344">
        <v>4.4589642630000004</v>
      </c>
      <c r="C1344" s="2">
        <v>7.0699999999999999E-2</v>
      </c>
      <c r="D1344" s="2">
        <v>6.2199999999999998E-2</v>
      </c>
    </row>
    <row r="1345" spans="1:4" x14ac:dyDescent="0.25">
      <c r="A1345" s="1">
        <v>40109</v>
      </c>
      <c r="B1345">
        <v>4.3882623079999998</v>
      </c>
      <c r="C1345" s="2">
        <v>3.9399999999999998E-2</v>
      </c>
      <c r="D1345" s="2">
        <v>6.1499999999999999E-2</v>
      </c>
    </row>
    <row r="1346" spans="1:4" x14ac:dyDescent="0.25">
      <c r="A1346" s="1">
        <v>40108</v>
      </c>
      <c r="B1346">
        <v>4.3488818560000002</v>
      </c>
      <c r="C1346" s="2">
        <v>-3.0000000000000001E-3</v>
      </c>
      <c r="D1346" s="2">
        <v>6.1499999999999999E-2</v>
      </c>
    </row>
    <row r="1347" spans="1:4" x14ac:dyDescent="0.25">
      <c r="A1347" s="1">
        <v>40107</v>
      </c>
      <c r="B1347">
        <v>4.3519072220000004</v>
      </c>
      <c r="C1347" s="2">
        <v>4.6800000000000001E-2</v>
      </c>
      <c r="D1347" s="2">
        <v>6.1800000000000001E-2</v>
      </c>
    </row>
    <row r="1348" spans="1:4" x14ac:dyDescent="0.25">
      <c r="A1348" s="1">
        <v>40106</v>
      </c>
      <c r="B1348">
        <v>4.3050974399999999</v>
      </c>
      <c r="C1348" s="2">
        <v>-3.7199999999999997E-2</v>
      </c>
      <c r="D1348" s="2">
        <v>6.1600000000000002E-2</v>
      </c>
    </row>
    <row r="1349" spans="1:4" x14ac:dyDescent="0.25">
      <c r="A1349" s="1">
        <v>40105</v>
      </c>
      <c r="B1349">
        <v>4.3423147819999999</v>
      </c>
      <c r="C1349" s="2">
        <v>-1.5800000000000002E-2</v>
      </c>
      <c r="D1349" s="2">
        <v>6.1899999999999997E-2</v>
      </c>
    </row>
    <row r="1350" spans="1:4" x14ac:dyDescent="0.25">
      <c r="A1350" s="1">
        <v>40102</v>
      </c>
      <c r="B1350">
        <v>4.3581461370000003</v>
      </c>
      <c r="C1350" s="2">
        <v>-4.2200000000000001E-2</v>
      </c>
      <c r="D1350" s="2">
        <v>6.6100000000000006E-2</v>
      </c>
    </row>
    <row r="1351" spans="1:4" x14ac:dyDescent="0.25">
      <c r="A1351" s="1">
        <v>40101</v>
      </c>
      <c r="B1351">
        <v>4.4003888929999997</v>
      </c>
      <c r="C1351" s="2">
        <v>7.7399999999999997E-2</v>
      </c>
      <c r="D1351" s="2">
        <v>6.6199999999999995E-2</v>
      </c>
    </row>
    <row r="1352" spans="1:4" x14ac:dyDescent="0.25">
      <c r="A1352" s="1">
        <v>40100</v>
      </c>
      <c r="B1352">
        <v>4.3229656820000004</v>
      </c>
      <c r="C1352" s="2">
        <v>0.104</v>
      </c>
      <c r="D1352" s="2">
        <v>6.7299999999999999E-2</v>
      </c>
    </row>
    <row r="1353" spans="1:4" x14ac:dyDescent="0.25">
      <c r="A1353" s="1">
        <v>40099</v>
      </c>
      <c r="B1353">
        <v>4.2189338879999996</v>
      </c>
      <c r="C1353" s="2">
        <v>-3.2599999999999997E-2</v>
      </c>
      <c r="D1353" s="2">
        <v>6.6199999999999995E-2</v>
      </c>
    </row>
    <row r="1354" spans="1:4" x14ac:dyDescent="0.25">
      <c r="A1354" s="1">
        <v>40095</v>
      </c>
      <c r="B1354">
        <v>4.2515713159999997</v>
      </c>
      <c r="C1354" s="2">
        <v>0.13</v>
      </c>
      <c r="D1354" s="2">
        <v>6.6600000000000006E-2</v>
      </c>
    </row>
    <row r="1355" spans="1:4" x14ac:dyDescent="0.25">
      <c r="A1355" s="1">
        <v>40094</v>
      </c>
      <c r="B1355">
        <v>4.1215548039999996</v>
      </c>
      <c r="C1355" s="2">
        <v>2.9899999999999999E-2</v>
      </c>
      <c r="D1355" s="2">
        <v>6.4699999999999994E-2</v>
      </c>
    </row>
    <row r="1356" spans="1:4" x14ac:dyDescent="0.25">
      <c r="A1356" s="1">
        <v>40093</v>
      </c>
      <c r="B1356">
        <v>4.0916476399999997</v>
      </c>
      <c r="C1356" s="2">
        <v>-4.9500000000000002E-2</v>
      </c>
      <c r="D1356" s="2">
        <v>6.8599999999999994E-2</v>
      </c>
    </row>
    <row r="1357" spans="1:4" x14ac:dyDescent="0.25">
      <c r="A1357" s="1">
        <v>40092</v>
      </c>
      <c r="B1357">
        <v>4.1411248919999997</v>
      </c>
      <c r="C1357" s="2">
        <v>9.1999999999999998E-3</v>
      </c>
      <c r="D1357" s="2">
        <v>6.9099999999999995E-2</v>
      </c>
    </row>
    <row r="1358" spans="1:4" x14ac:dyDescent="0.25">
      <c r="A1358" s="1">
        <v>40091</v>
      </c>
      <c r="B1358">
        <v>4.1319658500000003</v>
      </c>
      <c r="C1358" s="2">
        <v>2.5700000000000001E-2</v>
      </c>
      <c r="D1358" s="2">
        <v>6.9699999999999998E-2</v>
      </c>
    </row>
    <row r="1359" spans="1:4" x14ac:dyDescent="0.25">
      <c r="A1359" s="1">
        <v>40088</v>
      </c>
      <c r="B1359">
        <v>4.106280377</v>
      </c>
      <c r="C1359" s="2">
        <v>2.5999999999999999E-3</v>
      </c>
      <c r="D1359" s="2">
        <v>7.0699999999999999E-2</v>
      </c>
    </row>
    <row r="1360" spans="1:4" x14ac:dyDescent="0.25">
      <c r="A1360" s="1">
        <v>40087</v>
      </c>
      <c r="B1360">
        <v>4.1036651209999997</v>
      </c>
      <c r="C1360" s="2">
        <v>-0.121</v>
      </c>
      <c r="D1360" s="2">
        <v>7.2099999999999997E-2</v>
      </c>
    </row>
    <row r="1361" spans="1:4" x14ac:dyDescent="0.25">
      <c r="A1361" s="1">
        <v>40086</v>
      </c>
      <c r="B1361">
        <v>4.224670615</v>
      </c>
      <c r="C1361" s="2">
        <v>1.61E-2</v>
      </c>
      <c r="D1361" s="2">
        <v>7.2900000000000006E-2</v>
      </c>
    </row>
    <row r="1362" spans="1:4" x14ac:dyDescent="0.25">
      <c r="A1362" s="1">
        <v>40085</v>
      </c>
      <c r="B1362">
        <v>4.2086190060000002</v>
      </c>
      <c r="C1362" s="2">
        <v>-7.1999999999999998E-3</v>
      </c>
      <c r="D1362" s="2">
        <v>7.2999999999999995E-2</v>
      </c>
    </row>
    <row r="1363" spans="1:4" x14ac:dyDescent="0.25">
      <c r="A1363" s="1">
        <v>40084</v>
      </c>
      <c r="B1363">
        <v>4.2157690739999998</v>
      </c>
      <c r="C1363" s="2">
        <v>-5.3600000000000002E-2</v>
      </c>
      <c r="D1363" s="2">
        <v>7.2999999999999995E-2</v>
      </c>
    </row>
    <row r="1364" spans="1:4" x14ac:dyDescent="0.25">
      <c r="A1364" s="1">
        <v>40081</v>
      </c>
      <c r="B1364">
        <v>4.2693829929999998</v>
      </c>
      <c r="C1364" s="2">
        <v>-3.8399999999999997E-2</v>
      </c>
      <c r="D1364" s="2">
        <v>7.2800000000000004E-2</v>
      </c>
    </row>
    <row r="1365" spans="1:4" x14ac:dyDescent="0.25">
      <c r="A1365" s="1">
        <v>40080</v>
      </c>
      <c r="B1365">
        <v>4.3077555519999997</v>
      </c>
      <c r="C1365" s="2">
        <v>-6.6900000000000001E-2</v>
      </c>
      <c r="D1365" s="2">
        <v>7.2800000000000004E-2</v>
      </c>
    </row>
    <row r="1366" spans="1:4" x14ac:dyDescent="0.25">
      <c r="A1366" s="1">
        <v>40079</v>
      </c>
      <c r="B1366">
        <v>4.3746957230000003</v>
      </c>
      <c r="C1366" s="2">
        <v>-1.12E-2</v>
      </c>
      <c r="D1366" s="2">
        <v>7.2599999999999998E-2</v>
      </c>
    </row>
    <row r="1367" spans="1:4" x14ac:dyDescent="0.25">
      <c r="A1367" s="1">
        <v>40078</v>
      </c>
      <c r="B1367">
        <v>4.3858952469999997</v>
      </c>
      <c r="C1367" s="2">
        <v>-2.76E-2</v>
      </c>
      <c r="D1367" s="2">
        <v>7.2599999999999998E-2</v>
      </c>
    </row>
    <row r="1368" spans="1:4" x14ac:dyDescent="0.25">
      <c r="A1368" s="1">
        <v>40077</v>
      </c>
      <c r="B1368">
        <v>4.4135306740000004</v>
      </c>
      <c r="C1368" s="2">
        <v>2.63E-2</v>
      </c>
      <c r="D1368" s="2">
        <v>7.2599999999999998E-2</v>
      </c>
    </row>
    <row r="1369" spans="1:4" x14ac:dyDescent="0.25">
      <c r="A1369" s="1">
        <v>40074</v>
      </c>
      <c r="B1369">
        <v>4.3872450489999997</v>
      </c>
      <c r="C1369" s="2">
        <v>7.6600000000000001E-2</v>
      </c>
      <c r="D1369" s="2">
        <v>7.5700000000000003E-2</v>
      </c>
    </row>
    <row r="1370" spans="1:4" x14ac:dyDescent="0.25">
      <c r="A1370" s="1">
        <v>40073</v>
      </c>
      <c r="B1370">
        <v>4.3106149819999997</v>
      </c>
      <c r="C1370" s="2">
        <v>-7.6899999999999996E-2</v>
      </c>
      <c r="D1370" s="2">
        <v>7.4999999999999997E-2</v>
      </c>
    </row>
    <row r="1371" spans="1:4" x14ac:dyDescent="0.25">
      <c r="A1371" s="1">
        <v>40072</v>
      </c>
      <c r="B1371">
        <v>4.3875037639999999</v>
      </c>
      <c r="C1371" s="2">
        <v>-4.7999999999999996E-3</v>
      </c>
      <c r="D1371" s="2">
        <v>7.4499999999999997E-2</v>
      </c>
    </row>
    <row r="1372" spans="1:4" x14ac:dyDescent="0.25">
      <c r="A1372" s="1">
        <v>40071</v>
      </c>
      <c r="B1372">
        <v>4.3923528330000003</v>
      </c>
      <c r="C1372" s="2">
        <v>3.56E-2</v>
      </c>
      <c r="D1372" s="2">
        <v>7.5300000000000006E-2</v>
      </c>
    </row>
    <row r="1373" spans="1:4" x14ac:dyDescent="0.25">
      <c r="A1373" s="1">
        <v>40070</v>
      </c>
      <c r="B1373">
        <v>4.356715576</v>
      </c>
      <c r="C1373" s="2">
        <v>6.7299999999999999E-2</v>
      </c>
      <c r="D1373" s="2">
        <v>7.5499999999999998E-2</v>
      </c>
    </row>
    <row r="1374" spans="1:4" x14ac:dyDescent="0.25">
      <c r="A1374" s="1">
        <v>40067</v>
      </c>
      <c r="B1374">
        <v>4.289392973</v>
      </c>
      <c r="C1374" s="2">
        <v>4.4000000000000003E-3</v>
      </c>
      <c r="D1374" s="2">
        <v>8.5900000000000004E-2</v>
      </c>
    </row>
    <row r="1375" spans="1:4" x14ac:dyDescent="0.25">
      <c r="A1375" s="1">
        <v>40066</v>
      </c>
      <c r="B1375">
        <v>4.2849705599999997</v>
      </c>
      <c r="C1375" s="2">
        <v>-0.1149</v>
      </c>
      <c r="D1375" s="2">
        <v>8.6699999999999999E-2</v>
      </c>
    </row>
    <row r="1376" spans="1:4" x14ac:dyDescent="0.25">
      <c r="A1376" s="1">
        <v>40065</v>
      </c>
      <c r="B1376">
        <v>4.3998633849999997</v>
      </c>
      <c r="C1376" s="2">
        <v>-1.4800000000000001E-2</v>
      </c>
      <c r="D1376" s="2">
        <v>8.5900000000000004E-2</v>
      </c>
    </row>
    <row r="1377" spans="1:4" x14ac:dyDescent="0.25">
      <c r="A1377" s="1">
        <v>40064</v>
      </c>
      <c r="B1377">
        <v>4.4147056239999998</v>
      </c>
      <c r="C1377" s="2">
        <v>-8.9999999999999993E-3</v>
      </c>
      <c r="D1377" s="2">
        <v>8.7300000000000003E-2</v>
      </c>
    </row>
    <row r="1378" spans="1:4" x14ac:dyDescent="0.25">
      <c r="A1378" s="1">
        <v>40060</v>
      </c>
      <c r="B1378">
        <v>4.4236895250000003</v>
      </c>
      <c r="C1378" s="2">
        <v>6.1699999999999998E-2</v>
      </c>
      <c r="D1378" s="2">
        <v>8.8800000000000004E-2</v>
      </c>
    </row>
    <row r="1379" spans="1:4" x14ac:dyDescent="0.25">
      <c r="A1379" s="1">
        <v>40059</v>
      </c>
      <c r="B1379">
        <v>4.3619708279999996</v>
      </c>
      <c r="C1379" s="2">
        <v>4.7300000000000002E-2</v>
      </c>
      <c r="D1379" s="2">
        <v>8.8800000000000004E-2</v>
      </c>
    </row>
    <row r="1380" spans="1:4" x14ac:dyDescent="0.25">
      <c r="A1380" s="1">
        <v>40058</v>
      </c>
      <c r="B1380">
        <v>4.314694201</v>
      </c>
      <c r="C1380" s="2">
        <v>-8.7099999999999997E-2</v>
      </c>
      <c r="D1380" s="2">
        <v>8.9399999999999993E-2</v>
      </c>
    </row>
    <row r="1381" spans="1:4" x14ac:dyDescent="0.25">
      <c r="A1381" s="1">
        <v>40057</v>
      </c>
      <c r="B1381">
        <v>4.4018032229999999</v>
      </c>
      <c r="C1381" s="2">
        <v>-0.02</v>
      </c>
      <c r="D1381" s="2">
        <v>8.8999999999999996E-2</v>
      </c>
    </row>
    <row r="1382" spans="1:4" x14ac:dyDescent="0.25">
      <c r="A1382" s="1">
        <v>40056</v>
      </c>
      <c r="B1382">
        <v>4.4218428469999997</v>
      </c>
      <c r="C1382" s="2">
        <v>-6.2199999999999998E-2</v>
      </c>
      <c r="D1382" s="2">
        <v>9.0300000000000005E-2</v>
      </c>
    </row>
    <row r="1383" spans="1:4" x14ac:dyDescent="0.25">
      <c r="A1383" s="1">
        <v>40053</v>
      </c>
      <c r="B1383">
        <v>4.4840186360000001</v>
      </c>
      <c r="C1383" s="2">
        <v>-5.3E-3</v>
      </c>
      <c r="D1383" s="2">
        <v>9.35E-2</v>
      </c>
    </row>
    <row r="1384" spans="1:4" x14ac:dyDescent="0.25">
      <c r="A1384" s="1">
        <v>40052</v>
      </c>
      <c r="B1384">
        <v>4.4893181220000002</v>
      </c>
      <c r="C1384" s="2">
        <v>2.6800000000000001E-2</v>
      </c>
      <c r="D1384" s="2">
        <v>9.69E-2</v>
      </c>
    </row>
    <row r="1385" spans="1:4" x14ac:dyDescent="0.25">
      <c r="A1385" s="1">
        <v>40051</v>
      </c>
      <c r="B1385">
        <v>4.4625044530000002</v>
      </c>
      <c r="C1385" s="2">
        <v>-4.3E-3</v>
      </c>
      <c r="D1385" s="2">
        <v>9.7299999999999998E-2</v>
      </c>
    </row>
    <row r="1386" spans="1:4" x14ac:dyDescent="0.25">
      <c r="A1386" s="1">
        <v>40050</v>
      </c>
      <c r="B1386">
        <v>4.4667812710000003</v>
      </c>
      <c r="C1386" s="2">
        <v>-2.29E-2</v>
      </c>
      <c r="D1386" s="2">
        <v>9.7500000000000003E-2</v>
      </c>
    </row>
    <row r="1387" spans="1:4" x14ac:dyDescent="0.25">
      <c r="A1387" s="1">
        <v>40049</v>
      </c>
      <c r="B1387">
        <v>4.4896940069999998</v>
      </c>
      <c r="C1387" s="2">
        <v>-3.2099999999999997E-2</v>
      </c>
      <c r="D1387" s="2">
        <v>0.1055</v>
      </c>
    </row>
    <row r="1388" spans="1:4" x14ac:dyDescent="0.25">
      <c r="A1388" s="1">
        <v>40046</v>
      </c>
      <c r="B1388">
        <v>4.5218268259999999</v>
      </c>
      <c r="C1388" s="2">
        <v>7.4999999999999997E-2</v>
      </c>
      <c r="D1388" s="2">
        <v>0.1147</v>
      </c>
    </row>
    <row r="1389" spans="1:4" x14ac:dyDescent="0.25">
      <c r="A1389" s="1">
        <v>40045</v>
      </c>
      <c r="B1389">
        <v>4.4468130329999997</v>
      </c>
      <c r="C1389" s="2">
        <v>-3.04E-2</v>
      </c>
      <c r="D1389" s="2">
        <v>0.11600000000000001</v>
      </c>
    </row>
    <row r="1390" spans="1:4" x14ac:dyDescent="0.25">
      <c r="A1390" s="1">
        <v>40044</v>
      </c>
      <c r="B1390">
        <v>4.4772482199999999</v>
      </c>
      <c r="C1390" s="2">
        <v>-3.1399999999999997E-2</v>
      </c>
      <c r="D1390" s="2">
        <v>0.125</v>
      </c>
    </row>
    <row r="1391" spans="1:4" x14ac:dyDescent="0.25">
      <c r="A1391" s="1">
        <v>40043</v>
      </c>
      <c r="B1391">
        <v>4.5086621779999998</v>
      </c>
      <c r="C1391" s="2">
        <v>4.2500000000000003E-2</v>
      </c>
      <c r="D1391" s="2">
        <v>0.12509999999999999</v>
      </c>
    </row>
    <row r="1392" spans="1:4" x14ac:dyDescent="0.25">
      <c r="A1392" s="1">
        <v>40042</v>
      </c>
      <c r="B1392">
        <v>4.4661577059999997</v>
      </c>
      <c r="C1392" s="2">
        <v>-2.4400000000000002E-2</v>
      </c>
      <c r="D1392" s="2">
        <v>0.12529999999999999</v>
      </c>
    </row>
    <row r="1393" spans="1:4" x14ac:dyDescent="0.25">
      <c r="A1393" s="1">
        <v>40039</v>
      </c>
      <c r="B1393">
        <v>4.490576806</v>
      </c>
      <c r="C1393" s="2">
        <v>-3.6499999999999998E-2</v>
      </c>
      <c r="D1393" s="2">
        <v>0.12570000000000001</v>
      </c>
    </row>
    <row r="1394" spans="1:4" x14ac:dyDescent="0.25">
      <c r="A1394" s="1">
        <v>40038</v>
      </c>
      <c r="B1394">
        <v>4.5270636919999996</v>
      </c>
      <c r="C1394" s="2">
        <v>-0.10920000000000001</v>
      </c>
      <c r="D1394" s="2">
        <v>0.12570000000000001</v>
      </c>
    </row>
    <row r="1395" spans="1:4" x14ac:dyDescent="0.25">
      <c r="A1395" s="1">
        <v>40037</v>
      </c>
      <c r="B1395">
        <v>4.6362809010000001</v>
      </c>
      <c r="C1395" s="2">
        <v>8.8999999999999999E-3</v>
      </c>
      <c r="D1395" s="2">
        <v>0.12479999999999999</v>
      </c>
    </row>
    <row r="1396" spans="1:4" x14ac:dyDescent="0.25">
      <c r="A1396" s="1">
        <v>40036</v>
      </c>
      <c r="B1396">
        <v>4.6274021599999999</v>
      </c>
      <c r="C1396" s="2">
        <v>-6.6699999999999995E-2</v>
      </c>
      <c r="D1396" s="2">
        <v>0.1249</v>
      </c>
    </row>
    <row r="1397" spans="1:4" x14ac:dyDescent="0.25">
      <c r="A1397" s="1">
        <v>40035</v>
      </c>
      <c r="B1397">
        <v>4.69414204</v>
      </c>
      <c r="C1397" s="2">
        <v>-0.1082</v>
      </c>
      <c r="D1397" s="2">
        <v>0.1245</v>
      </c>
    </row>
    <row r="1398" spans="1:4" x14ac:dyDescent="0.25">
      <c r="A1398" s="1">
        <v>40032</v>
      </c>
      <c r="B1398">
        <v>4.8023291339999998</v>
      </c>
      <c r="C1398" s="2">
        <v>9.35E-2</v>
      </c>
      <c r="D1398" s="2">
        <v>0.1235</v>
      </c>
    </row>
    <row r="1399" spans="1:4" x14ac:dyDescent="0.25">
      <c r="A1399" s="1">
        <v>40031</v>
      </c>
      <c r="B1399">
        <v>4.708820469</v>
      </c>
      <c r="C1399" s="2">
        <v>1.7100000000000001E-2</v>
      </c>
      <c r="D1399" s="2">
        <v>0.12330000000000001</v>
      </c>
    </row>
    <row r="1400" spans="1:4" x14ac:dyDescent="0.25">
      <c r="A1400" s="1">
        <v>40030</v>
      </c>
      <c r="B1400">
        <v>4.6917043869999997</v>
      </c>
      <c r="C1400" s="2">
        <v>0.1135</v>
      </c>
      <c r="D1400" s="2">
        <v>0.12330000000000001</v>
      </c>
    </row>
    <row r="1401" spans="1:4" x14ac:dyDescent="0.25">
      <c r="A1401" s="1">
        <v>40029</v>
      </c>
      <c r="B1401">
        <v>4.5781811389999998</v>
      </c>
      <c r="C1401" s="2">
        <v>5.8200000000000002E-2</v>
      </c>
      <c r="D1401" s="2">
        <v>0.1239</v>
      </c>
    </row>
    <row r="1402" spans="1:4" x14ac:dyDescent="0.25">
      <c r="A1402" s="1">
        <v>40028</v>
      </c>
      <c r="B1402">
        <v>4.5200238309999996</v>
      </c>
      <c r="C1402" s="2">
        <v>0.1234</v>
      </c>
      <c r="D1402" s="2">
        <v>0.12379999999999999</v>
      </c>
    </row>
    <row r="1403" spans="1:4" x14ac:dyDescent="0.25">
      <c r="A1403" s="1">
        <v>40025</v>
      </c>
      <c r="B1403">
        <v>4.39661802</v>
      </c>
      <c r="C1403" s="2">
        <v>-0.14449999999999999</v>
      </c>
      <c r="D1403" s="2">
        <v>0.1237</v>
      </c>
    </row>
    <row r="1404" spans="1:4" x14ac:dyDescent="0.25">
      <c r="A1404" s="1">
        <v>40024</v>
      </c>
      <c r="B1404">
        <v>4.5411144180000003</v>
      </c>
      <c r="C1404" s="2">
        <v>-4.4999999999999997E-3</v>
      </c>
      <c r="D1404" s="2">
        <v>0.1222</v>
      </c>
    </row>
    <row r="1405" spans="1:4" x14ac:dyDescent="0.25">
      <c r="A1405" s="1">
        <v>40023</v>
      </c>
      <c r="B1405">
        <v>4.5456448079999996</v>
      </c>
      <c r="C1405" s="2">
        <v>-4.24E-2</v>
      </c>
      <c r="D1405" s="2">
        <v>0.12239999999999999</v>
      </c>
    </row>
    <row r="1406" spans="1:4" x14ac:dyDescent="0.25">
      <c r="A1406" s="1">
        <v>40022</v>
      </c>
      <c r="B1406">
        <v>4.5880604060000003</v>
      </c>
      <c r="C1406" s="2">
        <v>-5.0599999999999999E-2</v>
      </c>
      <c r="D1406" s="2">
        <v>0.1225</v>
      </c>
    </row>
    <row r="1407" spans="1:4" x14ac:dyDescent="0.25">
      <c r="A1407" s="1">
        <v>40021</v>
      </c>
      <c r="B1407">
        <v>4.6386392159999996</v>
      </c>
      <c r="C1407" s="2">
        <v>2.9000000000000001E-2</v>
      </c>
      <c r="D1407">
        <v>6.2773999999999998E-3</v>
      </c>
    </row>
    <row r="1408" spans="1:4" x14ac:dyDescent="0.25">
      <c r="A1408" s="1">
        <v>40018</v>
      </c>
      <c r="B1408">
        <v>4.6096118239999999</v>
      </c>
      <c r="C1408" s="2">
        <v>-6.1800000000000001E-2</v>
      </c>
      <c r="D1408">
        <v>-1.3309161999999999E-2</v>
      </c>
    </row>
    <row r="1409" spans="1:4" x14ac:dyDescent="0.25">
      <c r="A1409" s="1">
        <v>40017</v>
      </c>
      <c r="B1409">
        <v>4.6713719720000002</v>
      </c>
      <c r="C1409" s="2">
        <v>0.17549999999999999</v>
      </c>
      <c r="D1409">
        <v>3.8298634999999998E-2</v>
      </c>
    </row>
    <row r="1410" spans="1:4" x14ac:dyDescent="0.25">
      <c r="A1410" s="1">
        <v>40016</v>
      </c>
      <c r="B1410">
        <v>4.4958474329999998</v>
      </c>
      <c r="C1410" s="2">
        <v>5.0799999999999998E-2</v>
      </c>
      <c r="D1410">
        <v>1.1361604000000001E-2</v>
      </c>
    </row>
    <row r="1411" spans="1:4" x14ac:dyDescent="0.25">
      <c r="A1411" s="1">
        <v>40015</v>
      </c>
      <c r="B1411">
        <v>4.4450564750000003</v>
      </c>
      <c r="C1411" s="2">
        <v>-0.1234</v>
      </c>
      <c r="D1411">
        <v>-2.7373229999999998E-2</v>
      </c>
    </row>
    <row r="1412" spans="1:4" x14ac:dyDescent="0.25">
      <c r="A1412" s="1">
        <v>40014</v>
      </c>
      <c r="B1412">
        <v>4.5684126559999996</v>
      </c>
      <c r="C1412" s="2">
        <v>-6.2100000000000002E-2</v>
      </c>
      <c r="D1412">
        <v>-1.3495590999999999E-2</v>
      </c>
    </row>
    <row r="1413" spans="1:4" x14ac:dyDescent="0.25">
      <c r="A1413" s="1">
        <v>40011</v>
      </c>
      <c r="B1413">
        <v>4.6304839869999999</v>
      </c>
      <c r="C1413" s="2">
        <v>5.8299999999999998E-2</v>
      </c>
      <c r="D1413">
        <v>1.2678661000000001E-2</v>
      </c>
    </row>
    <row r="1414" spans="1:4" x14ac:dyDescent="0.25">
      <c r="A1414" s="1">
        <v>40010</v>
      </c>
      <c r="B1414">
        <v>4.5721462539999997</v>
      </c>
      <c r="C1414" s="2">
        <v>-7.3300000000000004E-2</v>
      </c>
      <c r="D1414">
        <v>-1.5896839999999999E-2</v>
      </c>
    </row>
    <row r="1415" spans="1:4" x14ac:dyDescent="0.25">
      <c r="A1415" s="1">
        <v>40009</v>
      </c>
      <c r="B1415">
        <v>4.6454097169999997</v>
      </c>
      <c r="C1415" s="2">
        <v>0.17030000000000001</v>
      </c>
      <c r="D1415">
        <v>3.7356739999999999E-2</v>
      </c>
    </row>
    <row r="1416" spans="1:4" x14ac:dyDescent="0.25">
      <c r="A1416" s="1">
        <v>40008</v>
      </c>
      <c r="B1416">
        <v>4.4750737589999998</v>
      </c>
      <c r="C1416" s="2">
        <v>7.0800000000000002E-2</v>
      </c>
      <c r="D1416">
        <v>1.5949979E-2</v>
      </c>
    </row>
    <row r="1417" spans="1:4" x14ac:dyDescent="0.25">
      <c r="A1417" s="1">
        <v>40007</v>
      </c>
      <c r="B1417">
        <v>4.4042626450000002</v>
      </c>
      <c r="C1417" s="2">
        <v>7.0000000000000007E-2</v>
      </c>
      <c r="D1417">
        <v>1.6020696000000001E-2</v>
      </c>
    </row>
    <row r="1418" spans="1:4" x14ac:dyDescent="0.25">
      <c r="A1418" s="1">
        <v>40004</v>
      </c>
      <c r="B1418">
        <v>4.3342654889999999</v>
      </c>
      <c r="C1418" s="2">
        <v>-9.9199999999999997E-2</v>
      </c>
      <c r="D1418">
        <v>-2.2628235999999999E-2</v>
      </c>
    </row>
    <row r="1419" spans="1:4" x14ac:dyDescent="0.25">
      <c r="A1419" s="1">
        <v>40003</v>
      </c>
      <c r="B1419">
        <v>4.4334603389999998</v>
      </c>
      <c r="C1419" s="2">
        <v>0.1043</v>
      </c>
      <c r="D1419">
        <v>2.3803675999999999E-2</v>
      </c>
    </row>
    <row r="1420" spans="1:4" x14ac:dyDescent="0.25">
      <c r="A1420" s="1">
        <v>40002</v>
      </c>
      <c r="B1420">
        <v>4.3291738100000003</v>
      </c>
      <c r="C1420" s="2">
        <v>-0.14729999999999999</v>
      </c>
      <c r="D1420">
        <v>-3.3463604000000001E-2</v>
      </c>
    </row>
    <row r="1421" spans="1:4" x14ac:dyDescent="0.25">
      <c r="A1421" s="1">
        <v>40001</v>
      </c>
      <c r="B1421">
        <v>4.4764947670000002</v>
      </c>
      <c r="C1421" s="2">
        <v>-3.6700000000000003E-2</v>
      </c>
      <c r="D1421">
        <v>-8.1682939999999996E-3</v>
      </c>
    </row>
    <row r="1422" spans="1:4" x14ac:dyDescent="0.25">
      <c r="A1422" s="1">
        <v>40000</v>
      </c>
      <c r="B1422">
        <v>4.5132098359999997</v>
      </c>
      <c r="C1422" s="2">
        <v>8.0000000000000004E-4</v>
      </c>
      <c r="D1422">
        <v>1.8309399999999999E-4</v>
      </c>
    </row>
    <row r="1423" spans="1:4" x14ac:dyDescent="0.25">
      <c r="A1423" s="1">
        <v>39996</v>
      </c>
      <c r="B1423">
        <v>4.5123835679999997</v>
      </c>
      <c r="C1423" s="2">
        <v>-3.9600000000000003E-2</v>
      </c>
      <c r="D1423">
        <v>-8.7396390000000004E-3</v>
      </c>
    </row>
    <row r="1424" spans="1:4" x14ac:dyDescent="0.25">
      <c r="A1424" s="1">
        <v>39995</v>
      </c>
      <c r="B1424">
        <v>4.5519930039999998</v>
      </c>
      <c r="C1424" s="2">
        <v>-3.1699999999999999E-2</v>
      </c>
      <c r="D1424">
        <v>-6.9397740000000001E-3</v>
      </c>
    </row>
    <row r="1425" spans="1:4" x14ac:dyDescent="0.25">
      <c r="A1425" s="1">
        <v>39994</v>
      </c>
      <c r="B1425">
        <v>4.5836926719999997</v>
      </c>
      <c r="C1425" s="2">
        <v>4.5499999999999999E-2</v>
      </c>
      <c r="D1425">
        <v>9.9678040000000002E-3</v>
      </c>
    </row>
    <row r="1426" spans="1:4" x14ac:dyDescent="0.25">
      <c r="A1426" s="1">
        <v>39993</v>
      </c>
      <c r="B1426">
        <v>4.5382302790000004</v>
      </c>
      <c r="C1426" s="2">
        <v>8.6E-3</v>
      </c>
      <c r="D1426">
        <v>1.8975909999999999E-3</v>
      </c>
    </row>
    <row r="1427" spans="1:4" x14ac:dyDescent="0.25">
      <c r="A1427" s="1">
        <v>39990</v>
      </c>
      <c r="B1427">
        <v>4.5296267400000003</v>
      </c>
      <c r="C1427" s="2">
        <v>-2.7699999999999999E-2</v>
      </c>
      <c r="D1427">
        <v>-6.1028760000000001E-3</v>
      </c>
    </row>
    <row r="1428" spans="1:4" x14ac:dyDescent="0.25">
      <c r="A1428" s="1">
        <v>39989</v>
      </c>
      <c r="B1428">
        <v>4.5573550159999998</v>
      </c>
      <c r="C1428" s="2">
        <v>-0.17219999999999999</v>
      </c>
      <c r="D1428">
        <v>-3.7082153E-2</v>
      </c>
    </row>
    <row r="1429" spans="1:4" x14ac:dyDescent="0.25">
      <c r="A1429" s="1">
        <v>39988</v>
      </c>
      <c r="B1429">
        <v>4.7295240209999996</v>
      </c>
      <c r="C1429" s="2">
        <v>1.24E-2</v>
      </c>
      <c r="D1429">
        <v>2.6161579999999999E-3</v>
      </c>
    </row>
    <row r="1430" spans="1:4" x14ac:dyDescent="0.25">
      <c r="A1430" s="1">
        <v>39987</v>
      </c>
      <c r="B1430">
        <v>4.717167012</v>
      </c>
      <c r="C1430" s="2">
        <v>1.0200000000000001E-2</v>
      </c>
      <c r="D1430">
        <v>2.1749769999999998E-3</v>
      </c>
    </row>
    <row r="1431" spans="1:4" x14ac:dyDescent="0.25">
      <c r="A1431" s="1">
        <v>39986</v>
      </c>
      <c r="B1431">
        <v>4.70691843</v>
      </c>
      <c r="C1431" s="2">
        <v>-9.2799999999999994E-2</v>
      </c>
      <c r="D1431">
        <v>-1.9533729999999999E-2</v>
      </c>
    </row>
    <row r="1432" spans="1:4" x14ac:dyDescent="0.25">
      <c r="A1432" s="1">
        <v>39983</v>
      </c>
      <c r="B1432">
        <v>4.7997659820000003</v>
      </c>
      <c r="C1432" s="2">
        <v>-6.9800000000000001E-2</v>
      </c>
      <c r="D1432">
        <v>-1.4429518000000001E-2</v>
      </c>
    </row>
    <row r="1433" spans="1:4" x14ac:dyDescent="0.25">
      <c r="A1433" s="1">
        <v>39982</v>
      </c>
      <c r="B1433">
        <v>4.8695263850000003</v>
      </c>
      <c r="C1433" s="2">
        <v>0.31619999999999998</v>
      </c>
      <c r="D1433">
        <v>6.7128794000000006E-2</v>
      </c>
    </row>
    <row r="1434" spans="1:4" x14ac:dyDescent="0.25">
      <c r="A1434" s="1">
        <v>39981</v>
      </c>
      <c r="B1434">
        <v>4.5533712240000002</v>
      </c>
      <c r="C1434" s="2">
        <v>-9.8100000000000007E-2</v>
      </c>
      <c r="D1434">
        <v>-2.1307468999999999E-2</v>
      </c>
    </row>
    <row r="1435" spans="1:4" x14ac:dyDescent="0.25">
      <c r="A1435" s="1">
        <v>39980</v>
      </c>
      <c r="B1435">
        <v>4.6514330529999999</v>
      </c>
      <c r="C1435" s="2">
        <v>-6.4399999999999999E-2</v>
      </c>
      <c r="D1435">
        <v>-1.3754672000000001E-2</v>
      </c>
    </row>
    <row r="1436" spans="1:4" x14ac:dyDescent="0.25">
      <c r="A1436" s="1">
        <v>39979</v>
      </c>
      <c r="B1436">
        <v>4.7158540200000001</v>
      </c>
      <c r="C1436" s="2">
        <v>-0.1273</v>
      </c>
      <c r="D1436">
        <v>-2.6632390999999998E-2</v>
      </c>
    </row>
    <row r="1437" spans="1:4" x14ac:dyDescent="0.25">
      <c r="A1437" s="1">
        <v>39976</v>
      </c>
      <c r="B1437">
        <v>4.8431358729999996</v>
      </c>
      <c r="C1437" s="2">
        <v>-0.1303</v>
      </c>
      <c r="D1437">
        <v>-2.6540385999999999E-2</v>
      </c>
    </row>
    <row r="1438" spans="1:4" x14ac:dyDescent="0.25">
      <c r="A1438" s="1">
        <v>39975</v>
      </c>
      <c r="B1438">
        <v>4.9733954929999999</v>
      </c>
      <c r="C1438" s="2">
        <v>-8.4599999999999995E-2</v>
      </c>
      <c r="D1438">
        <v>-1.6874502999999999E-2</v>
      </c>
    </row>
    <row r="1439" spans="1:4" x14ac:dyDescent="0.25">
      <c r="A1439" s="1">
        <v>39974</v>
      </c>
      <c r="B1439">
        <v>5.0580311570000003</v>
      </c>
      <c r="C1439" s="2">
        <v>8.9899999999999994E-2</v>
      </c>
      <c r="D1439">
        <v>1.7941921E-2</v>
      </c>
    </row>
    <row r="1440" spans="1:4" x14ac:dyDescent="0.25">
      <c r="A1440" s="1">
        <v>39973</v>
      </c>
      <c r="B1440">
        <v>4.9680896329999999</v>
      </c>
      <c r="C1440" s="2">
        <v>-5.2900000000000003E-2</v>
      </c>
      <c r="D1440">
        <v>-1.0598764E-2</v>
      </c>
    </row>
    <row r="1441" spans="1:4" x14ac:dyDescent="0.25">
      <c r="A1441" s="1">
        <v>39972</v>
      </c>
      <c r="B1441">
        <v>5.0210252750000004</v>
      </c>
      <c r="C1441" s="2">
        <v>0.1077</v>
      </c>
      <c r="D1441">
        <v>2.1676971E-2</v>
      </c>
    </row>
    <row r="1442" spans="1:4" x14ac:dyDescent="0.25">
      <c r="A1442" s="1">
        <v>39969</v>
      </c>
      <c r="B1442">
        <v>4.9133558439999998</v>
      </c>
      <c r="C1442" s="2">
        <v>0.18859999999999999</v>
      </c>
      <c r="D1442">
        <v>3.9137788E-2</v>
      </c>
    </row>
    <row r="1443" spans="1:4" x14ac:dyDescent="0.25">
      <c r="A1443" s="1">
        <v>39968</v>
      </c>
      <c r="B1443">
        <v>4.7247724050000004</v>
      </c>
      <c r="C1443" s="2">
        <v>0.19309999999999999</v>
      </c>
      <c r="D1443">
        <v>4.1730391999999998E-2</v>
      </c>
    </row>
    <row r="1444" spans="1:4" x14ac:dyDescent="0.25">
      <c r="A1444" s="1">
        <v>39967</v>
      </c>
      <c r="B1444">
        <v>4.5316630870000001</v>
      </c>
      <c r="C1444" s="2">
        <v>-7.22E-2</v>
      </c>
      <c r="D1444">
        <v>-1.5799839E-2</v>
      </c>
    </row>
    <row r="1445" spans="1:4" x14ac:dyDescent="0.25">
      <c r="A1445" s="1">
        <v>39966</v>
      </c>
      <c r="B1445">
        <v>4.6038312570000004</v>
      </c>
      <c r="C1445" s="2">
        <v>-5.3400000000000003E-2</v>
      </c>
      <c r="D1445">
        <v>-1.1522416000000001E-2</v>
      </c>
    </row>
    <row r="1446" spans="1:4" x14ac:dyDescent="0.25">
      <c r="A1446" s="1">
        <v>39965</v>
      </c>
      <c r="B1446">
        <v>4.6571853089999999</v>
      </c>
      <c r="C1446" s="2">
        <v>0.30890000000000001</v>
      </c>
      <c r="D1446">
        <v>6.8626747000000002E-2</v>
      </c>
    </row>
    <row r="1447" spans="1:4" x14ac:dyDescent="0.25">
      <c r="A1447" s="1">
        <v>39962</v>
      </c>
      <c r="B1447">
        <v>4.3482980170000003</v>
      </c>
      <c r="C1447" s="2">
        <v>-0.34870000000000001</v>
      </c>
      <c r="D1447">
        <v>-7.7142534999999998E-2</v>
      </c>
    </row>
    <row r="1448" spans="1:4" x14ac:dyDescent="0.25">
      <c r="A1448" s="1">
        <v>39961</v>
      </c>
      <c r="B1448">
        <v>4.6970142590000004</v>
      </c>
      <c r="C1448" s="2">
        <v>0.15090000000000001</v>
      </c>
      <c r="D1448">
        <v>3.2651578000000001E-2</v>
      </c>
    </row>
    <row r="1449" spans="1:4" x14ac:dyDescent="0.25">
      <c r="A1449" s="1">
        <v>39960</v>
      </c>
      <c r="B1449">
        <v>4.5461261029999998</v>
      </c>
      <c r="C1449" s="2">
        <v>0.36130000000000001</v>
      </c>
      <c r="D1449">
        <v>8.2816720999999996E-2</v>
      </c>
    </row>
    <row r="1450" spans="1:4" x14ac:dyDescent="0.25">
      <c r="A1450" s="1">
        <v>39959</v>
      </c>
      <c r="B1450">
        <v>4.184799291</v>
      </c>
      <c r="C1450" s="2">
        <v>5.8000000000000003E-2</v>
      </c>
      <c r="D1450">
        <v>1.3958597E-2</v>
      </c>
    </row>
    <row r="1451" spans="1:4" x14ac:dyDescent="0.25">
      <c r="A1451" s="1">
        <v>39955</v>
      </c>
      <c r="B1451">
        <v>4.1267911599999998</v>
      </c>
      <c r="C1451" s="2">
        <v>6.4299999999999996E-2</v>
      </c>
      <c r="D1451">
        <v>1.5702718000000001E-2</v>
      </c>
    </row>
    <row r="1452" spans="1:4" x14ac:dyDescent="0.25">
      <c r="A1452" s="1">
        <v>39954</v>
      </c>
      <c r="B1452">
        <v>4.0624954510000002</v>
      </c>
      <c r="C1452" s="2">
        <v>9.6600000000000005E-2</v>
      </c>
      <c r="D1452">
        <v>2.4066675999999999E-2</v>
      </c>
    </row>
    <row r="1453" spans="1:4" x14ac:dyDescent="0.25">
      <c r="A1453" s="1">
        <v>39953</v>
      </c>
      <c r="B1453">
        <v>3.9658918179999998</v>
      </c>
      <c r="C1453" s="2">
        <v>-3.61E-2</v>
      </c>
      <c r="D1453">
        <v>-9.0491149999999999E-3</v>
      </c>
    </row>
    <row r="1454" spans="1:4" x14ac:dyDescent="0.25">
      <c r="A1454" s="1">
        <v>39952</v>
      </c>
      <c r="B1454">
        <v>4.0019424969999999</v>
      </c>
      <c r="C1454" s="2">
        <v>2.8999999999999998E-3</v>
      </c>
      <c r="D1454">
        <v>7.2968499999999999E-4</v>
      </c>
    </row>
    <row r="1455" spans="1:4" x14ac:dyDescent="0.25">
      <c r="A1455" s="1">
        <v>39951</v>
      </c>
      <c r="B1455">
        <v>3.999023405</v>
      </c>
      <c r="C1455" s="2">
        <v>5.0700000000000002E-2</v>
      </c>
      <c r="D1455">
        <v>1.2749665E-2</v>
      </c>
    </row>
    <row r="1456" spans="1:4" x14ac:dyDescent="0.25">
      <c r="A1456" s="1">
        <v>39948</v>
      </c>
      <c r="B1456">
        <v>3.9483608480000001</v>
      </c>
      <c r="C1456" s="2">
        <v>1.0699999999999999E-2</v>
      </c>
      <c r="D1456">
        <v>2.7013610000000002E-3</v>
      </c>
    </row>
    <row r="1457" spans="1:4" x14ac:dyDescent="0.25">
      <c r="A1457" s="1">
        <v>39947</v>
      </c>
      <c r="B1457">
        <v>3.9377092920000001</v>
      </c>
      <c r="C1457" s="2">
        <v>3.3E-3</v>
      </c>
      <c r="D1457">
        <v>8.3157100000000002E-4</v>
      </c>
    </row>
    <row r="1458" spans="1:4" x14ac:dyDescent="0.25">
      <c r="A1458" s="1">
        <v>39946</v>
      </c>
      <c r="B1458">
        <v>3.934436169</v>
      </c>
      <c r="C1458" s="2">
        <v>-4.9200000000000001E-2</v>
      </c>
      <c r="D1458">
        <v>-1.243344E-2</v>
      </c>
    </row>
    <row r="1459" spans="1:4" x14ac:dyDescent="0.25">
      <c r="A1459" s="1">
        <v>39945</v>
      </c>
      <c r="B1459">
        <v>3.9836601219999999</v>
      </c>
      <c r="C1459" s="2">
        <v>-1.5800000000000002E-2</v>
      </c>
      <c r="D1459">
        <v>-3.9659839999999997E-3</v>
      </c>
    </row>
    <row r="1460" spans="1:4" x14ac:dyDescent="0.25">
      <c r="A1460" s="1">
        <v>39944</v>
      </c>
      <c r="B1460">
        <v>3.9994906239999999</v>
      </c>
      <c r="C1460" s="2">
        <v>-0.1298</v>
      </c>
      <c r="D1460">
        <v>-3.1931709000000003E-2</v>
      </c>
    </row>
    <row r="1461" spans="1:4" x14ac:dyDescent="0.25">
      <c r="A1461" s="1">
        <v>39941</v>
      </c>
      <c r="B1461">
        <v>4.1292620800000002</v>
      </c>
      <c r="C1461" s="2">
        <v>4.3799999999999999E-2</v>
      </c>
      <c r="D1461">
        <v>1.0674372E-2</v>
      </c>
    </row>
    <row r="1462" spans="1:4" x14ac:dyDescent="0.25">
      <c r="A1462" s="1">
        <v>39940</v>
      </c>
      <c r="B1462">
        <v>4.0854192149999999</v>
      </c>
      <c r="C1462" s="2">
        <v>0.1173</v>
      </c>
      <c r="D1462">
        <v>2.9128869000000002E-2</v>
      </c>
    </row>
    <row r="1463" spans="1:4" x14ac:dyDescent="0.25">
      <c r="A1463" s="1">
        <v>39939</v>
      </c>
      <c r="B1463">
        <v>3.968132089</v>
      </c>
      <c r="C1463" s="2">
        <v>-1.5800000000000002E-2</v>
      </c>
      <c r="D1463">
        <v>-3.9834509999999998E-3</v>
      </c>
    </row>
    <row r="1464" spans="1:4" x14ac:dyDescent="0.25">
      <c r="A1464" s="1">
        <v>39938</v>
      </c>
      <c r="B1464">
        <v>3.9839704739999999</v>
      </c>
      <c r="C1464" s="2">
        <v>-5.4300000000000001E-2</v>
      </c>
      <c r="D1464">
        <v>-1.3538741E-2</v>
      </c>
    </row>
    <row r="1465" spans="1:4" x14ac:dyDescent="0.25">
      <c r="A1465" s="1">
        <v>39937</v>
      </c>
      <c r="B1465">
        <v>4.0382751959999998</v>
      </c>
      <c r="C1465" s="2">
        <v>-4.7600000000000003E-2</v>
      </c>
      <c r="D1465">
        <v>-1.1721064999999999E-2</v>
      </c>
    </row>
    <row r="1466" spans="1:4" x14ac:dyDescent="0.25">
      <c r="A1466" s="1">
        <v>39934</v>
      </c>
      <c r="B1466">
        <v>4.085886565</v>
      </c>
      <c r="C1466" s="2">
        <v>4.0858999999999996</v>
      </c>
      <c r="D1466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2"/>
  <sheetViews>
    <sheetView workbookViewId="0">
      <selection activeCell="S24" sqref="S24"/>
    </sheetView>
  </sheetViews>
  <sheetFormatPr defaultRowHeight="15" x14ac:dyDescent="0.25"/>
  <sheetData>
    <row r="3" spans="2:7" x14ac:dyDescent="0.25">
      <c r="C3" s="30" t="s">
        <v>9</v>
      </c>
      <c r="D3" s="31"/>
      <c r="E3" s="31"/>
      <c r="F3" s="32"/>
    </row>
    <row r="4" spans="2:7" x14ac:dyDescent="0.25">
      <c r="B4" s="3" t="s">
        <v>1</v>
      </c>
      <c r="C4" s="10">
        <v>2</v>
      </c>
      <c r="D4" s="11">
        <v>5</v>
      </c>
      <c r="E4" s="11">
        <v>10</v>
      </c>
      <c r="F4" s="12">
        <v>30</v>
      </c>
      <c r="G4" s="14" t="s">
        <v>10</v>
      </c>
    </row>
    <row r="5" spans="2:7" x14ac:dyDescent="0.25">
      <c r="B5" s="4">
        <v>40633</v>
      </c>
      <c r="C5" s="8">
        <v>0.78600000000000003</v>
      </c>
      <c r="D5" s="7">
        <v>2.2229999999999999</v>
      </c>
      <c r="E5" s="7">
        <v>3.45</v>
      </c>
      <c r="F5" s="9">
        <v>4.5069999999999997</v>
      </c>
      <c r="G5" s="15">
        <f>E5-C5</f>
        <v>2.6640000000000001</v>
      </c>
    </row>
    <row r="6" spans="2:7" x14ac:dyDescent="0.25">
      <c r="B6" s="4">
        <v>40662</v>
      </c>
      <c r="C6" s="8">
        <v>0.60499999999999998</v>
      </c>
      <c r="D6" s="7">
        <v>1.97</v>
      </c>
      <c r="E6" s="7">
        <v>3.2919999999999998</v>
      </c>
      <c r="F6" s="9">
        <v>4.4039999999999999</v>
      </c>
      <c r="G6" s="15">
        <f t="shared" ref="G6:G52" si="0">E6-C6</f>
        <v>2.6869999999999998</v>
      </c>
    </row>
    <row r="7" spans="2:7" x14ac:dyDescent="0.25">
      <c r="B7" s="4">
        <v>40694</v>
      </c>
      <c r="C7" s="8">
        <v>0.46500000000000002</v>
      </c>
      <c r="D7" s="7">
        <v>1.6859999999999999</v>
      </c>
      <c r="E7" s="7">
        <v>3.05</v>
      </c>
      <c r="F7" s="9">
        <v>4.2149999999999999</v>
      </c>
      <c r="G7" s="15">
        <f t="shared" si="0"/>
        <v>2.585</v>
      </c>
    </row>
    <row r="8" spans="2:7" x14ac:dyDescent="0.25">
      <c r="B8" s="4">
        <v>40724</v>
      </c>
      <c r="C8" s="8">
        <v>0.45800000000000002</v>
      </c>
      <c r="D8" s="7">
        <v>1.754</v>
      </c>
      <c r="E8" s="7">
        <v>3.1579999999999999</v>
      </c>
      <c r="F8" s="9">
        <v>4.3819999999999997</v>
      </c>
      <c r="G8" s="15">
        <f t="shared" si="0"/>
        <v>2.6999999999999997</v>
      </c>
    </row>
    <row r="9" spans="2:7" x14ac:dyDescent="0.25">
      <c r="B9" s="4">
        <v>40753</v>
      </c>
      <c r="C9" s="8">
        <v>0.36299999999999999</v>
      </c>
      <c r="D9" s="7">
        <v>1.369</v>
      </c>
      <c r="E9" s="7">
        <v>2.802</v>
      </c>
      <c r="F9" s="9">
        <v>4.133</v>
      </c>
      <c r="G9" s="15">
        <f t="shared" si="0"/>
        <v>2.4390000000000001</v>
      </c>
    </row>
    <row r="10" spans="2:7" x14ac:dyDescent="0.25">
      <c r="B10" s="4">
        <v>40786</v>
      </c>
      <c r="C10" s="8">
        <v>0.2</v>
      </c>
      <c r="D10" s="7">
        <v>0.95</v>
      </c>
      <c r="E10" s="7">
        <v>2.222</v>
      </c>
      <c r="F10" s="9">
        <v>3.5950000000000002</v>
      </c>
      <c r="G10" s="15">
        <f t="shared" si="0"/>
        <v>2.0219999999999998</v>
      </c>
    </row>
    <row r="11" spans="2:7" x14ac:dyDescent="0.25">
      <c r="B11" s="4">
        <v>40816</v>
      </c>
      <c r="C11" s="8">
        <v>0.251</v>
      </c>
      <c r="D11" s="7">
        <v>0.96299999999999997</v>
      </c>
      <c r="E11" s="7">
        <v>1.9239999999999999</v>
      </c>
      <c r="F11" s="9">
        <v>2.92</v>
      </c>
      <c r="G11" s="15">
        <f t="shared" si="0"/>
        <v>1.673</v>
      </c>
    </row>
    <row r="12" spans="2:7" x14ac:dyDescent="0.25">
      <c r="B12" s="4">
        <v>40847</v>
      </c>
      <c r="C12" s="8">
        <v>0.25800000000000001</v>
      </c>
      <c r="D12" s="7">
        <v>1.006</v>
      </c>
      <c r="E12" s="7">
        <v>2.1659999999999999</v>
      </c>
      <c r="F12" s="9">
        <v>3.1989999999999998</v>
      </c>
      <c r="G12" s="15">
        <f t="shared" si="0"/>
        <v>1.9079999999999999</v>
      </c>
    </row>
    <row r="13" spans="2:7" x14ac:dyDescent="0.25">
      <c r="B13" s="4">
        <v>40877</v>
      </c>
      <c r="C13" s="8">
        <v>0.254</v>
      </c>
      <c r="D13" s="7">
        <v>0.94899999999999995</v>
      </c>
      <c r="E13" s="7">
        <v>2.0630000000000002</v>
      </c>
      <c r="F13" s="9">
        <v>3.0609999999999999</v>
      </c>
      <c r="G13" s="15">
        <f t="shared" si="0"/>
        <v>1.8090000000000002</v>
      </c>
    </row>
    <row r="14" spans="2:7" x14ac:dyDescent="0.25">
      <c r="B14" s="4">
        <v>40907</v>
      </c>
      <c r="C14" s="8">
        <v>0.247</v>
      </c>
      <c r="D14" s="7">
        <v>0.83699999999999997</v>
      </c>
      <c r="E14" s="7">
        <v>1.8759999999999999</v>
      </c>
      <c r="F14" s="9">
        <v>2.89</v>
      </c>
      <c r="G14" s="15">
        <f t="shared" si="0"/>
        <v>1.629</v>
      </c>
    </row>
    <row r="15" spans="2:7" x14ac:dyDescent="0.25">
      <c r="B15" s="4">
        <v>40939</v>
      </c>
      <c r="C15" s="8">
        <v>0.215</v>
      </c>
      <c r="D15" s="7">
        <v>0.70899999999999996</v>
      </c>
      <c r="E15" s="7">
        <v>1.7989999999999999</v>
      </c>
      <c r="F15" s="9">
        <v>2.9340000000000002</v>
      </c>
      <c r="G15" s="15">
        <f t="shared" si="0"/>
        <v>1.5839999999999999</v>
      </c>
    </row>
    <row r="16" spans="2:7" x14ac:dyDescent="0.25">
      <c r="B16" s="4">
        <v>40968</v>
      </c>
      <c r="C16" s="8">
        <v>0.30099999999999999</v>
      </c>
      <c r="D16" s="7">
        <v>0.873</v>
      </c>
      <c r="E16" s="7">
        <v>1.9790000000000001</v>
      </c>
      <c r="F16" s="9">
        <v>3.0859999999999999</v>
      </c>
      <c r="G16" s="15">
        <f t="shared" si="0"/>
        <v>1.6780000000000002</v>
      </c>
    </row>
    <row r="17" spans="2:7" x14ac:dyDescent="0.25">
      <c r="B17" s="4">
        <v>40998</v>
      </c>
      <c r="C17" s="8">
        <v>0.34</v>
      </c>
      <c r="D17" s="7">
        <v>1.04</v>
      </c>
      <c r="E17" s="7">
        <v>2.2160000000000002</v>
      </c>
      <c r="F17" s="9">
        <v>3.3490000000000002</v>
      </c>
      <c r="G17" s="15">
        <f t="shared" si="0"/>
        <v>1.8760000000000001</v>
      </c>
    </row>
    <row r="18" spans="2:7" x14ac:dyDescent="0.25">
      <c r="B18" s="4">
        <v>41029</v>
      </c>
      <c r="C18" s="8">
        <v>0.26200000000000001</v>
      </c>
      <c r="D18" s="7">
        <v>0.80900000000000005</v>
      </c>
      <c r="E18" s="7">
        <v>1.917</v>
      </c>
      <c r="F18" s="9">
        <v>3.109</v>
      </c>
      <c r="G18" s="15">
        <f t="shared" si="0"/>
        <v>1.655</v>
      </c>
    </row>
    <row r="19" spans="2:7" x14ac:dyDescent="0.25">
      <c r="B19" s="4">
        <v>41060</v>
      </c>
      <c r="C19" s="8">
        <v>0.26200000000000001</v>
      </c>
      <c r="D19" s="7">
        <v>0.67300000000000004</v>
      </c>
      <c r="E19" s="7">
        <v>1.5780000000000001</v>
      </c>
      <c r="F19" s="9">
        <v>2.673</v>
      </c>
      <c r="G19" s="15">
        <f t="shared" si="0"/>
        <v>1.3160000000000001</v>
      </c>
    </row>
    <row r="20" spans="2:7" x14ac:dyDescent="0.25">
      <c r="B20" s="4">
        <v>41089</v>
      </c>
      <c r="C20" s="8">
        <v>0.313</v>
      </c>
      <c r="D20" s="7">
        <v>0.72899999999999998</v>
      </c>
      <c r="E20" s="7">
        <v>1.659</v>
      </c>
      <c r="F20" s="9">
        <v>2.7669999999999999</v>
      </c>
      <c r="G20" s="15">
        <f t="shared" si="0"/>
        <v>1.3460000000000001</v>
      </c>
    </row>
    <row r="21" spans="2:7" x14ac:dyDescent="0.25">
      <c r="B21" s="4">
        <v>41121</v>
      </c>
      <c r="C21" s="8">
        <v>0.219</v>
      </c>
      <c r="D21" s="7">
        <v>0.59699999999999998</v>
      </c>
      <c r="E21" s="7">
        <v>1.49</v>
      </c>
      <c r="F21" s="9">
        <v>2.577</v>
      </c>
      <c r="G21" s="15">
        <f t="shared" si="0"/>
        <v>1.2709999999999999</v>
      </c>
    </row>
    <row r="22" spans="2:7" x14ac:dyDescent="0.25">
      <c r="B22" s="4">
        <v>41152</v>
      </c>
      <c r="C22" s="8">
        <v>0.22600000000000001</v>
      </c>
      <c r="D22" s="7">
        <v>0.59499999999999997</v>
      </c>
      <c r="E22" s="7">
        <v>1.5640000000000001</v>
      </c>
      <c r="F22" s="9">
        <v>2.6850000000000001</v>
      </c>
      <c r="G22" s="15">
        <f t="shared" si="0"/>
        <v>1.3380000000000001</v>
      </c>
    </row>
    <row r="23" spans="2:7" x14ac:dyDescent="0.25">
      <c r="B23" s="4">
        <v>41180</v>
      </c>
      <c r="C23" s="8">
        <v>0.23400000000000001</v>
      </c>
      <c r="D23" s="7">
        <v>0.63</v>
      </c>
      <c r="E23" s="7">
        <v>1.639</v>
      </c>
      <c r="F23" s="9">
        <v>2.8340000000000001</v>
      </c>
      <c r="G23" s="15">
        <f t="shared" si="0"/>
        <v>1.405</v>
      </c>
    </row>
    <row r="24" spans="2:7" x14ac:dyDescent="0.25">
      <c r="B24" s="4">
        <v>41213</v>
      </c>
      <c r="C24" s="8">
        <v>0.28100000000000003</v>
      </c>
      <c r="D24" s="7">
        <v>0.71299999999999997</v>
      </c>
      <c r="E24" s="7">
        <v>1.6859999999999999</v>
      </c>
      <c r="F24" s="9">
        <v>2.851</v>
      </c>
      <c r="G24" s="15">
        <f t="shared" si="0"/>
        <v>1.4049999999999998</v>
      </c>
    </row>
    <row r="25" spans="2:7" x14ac:dyDescent="0.25">
      <c r="B25" s="4">
        <v>41243</v>
      </c>
      <c r="C25" s="8">
        <v>0.25</v>
      </c>
      <c r="D25" s="7">
        <v>0.61399999999999999</v>
      </c>
      <c r="E25" s="7">
        <v>1.61</v>
      </c>
      <c r="F25" s="9">
        <v>2.7959999999999998</v>
      </c>
      <c r="G25" s="15">
        <f t="shared" si="0"/>
        <v>1.36</v>
      </c>
    </row>
    <row r="26" spans="2:7" x14ac:dyDescent="0.25">
      <c r="B26" s="4">
        <v>41274</v>
      </c>
      <c r="C26" s="8">
        <v>0.247</v>
      </c>
      <c r="D26" s="7">
        <v>0.71299999999999997</v>
      </c>
      <c r="E26" s="7">
        <v>1.7390000000000001</v>
      </c>
      <c r="F26" s="9">
        <v>2.9340000000000002</v>
      </c>
      <c r="G26" s="15">
        <f t="shared" si="0"/>
        <v>1.492</v>
      </c>
    </row>
    <row r="27" spans="2:7" x14ac:dyDescent="0.25">
      <c r="B27" s="4">
        <v>41305</v>
      </c>
      <c r="C27" s="8">
        <v>0.26600000000000001</v>
      </c>
      <c r="D27" s="7">
        <v>0.88</v>
      </c>
      <c r="E27" s="7">
        <v>1.984</v>
      </c>
      <c r="F27" s="9">
        <v>3.169</v>
      </c>
      <c r="G27" s="15">
        <f t="shared" si="0"/>
        <v>1.718</v>
      </c>
    </row>
    <row r="28" spans="2:7" x14ac:dyDescent="0.25">
      <c r="B28" s="4">
        <v>41333</v>
      </c>
      <c r="C28" s="8">
        <v>0.23799999999999999</v>
      </c>
      <c r="D28" s="7">
        <v>0.76800000000000002</v>
      </c>
      <c r="E28" s="7">
        <v>1.8879999999999999</v>
      </c>
      <c r="F28" s="9">
        <v>3.0939999999999999</v>
      </c>
      <c r="G28" s="15">
        <f t="shared" si="0"/>
        <v>1.65</v>
      </c>
    </row>
    <row r="29" spans="2:7" x14ac:dyDescent="0.25">
      <c r="B29" s="4">
        <v>41361</v>
      </c>
      <c r="C29" s="8">
        <v>0.25</v>
      </c>
      <c r="D29" s="7">
        <v>0.77600000000000002</v>
      </c>
      <c r="E29" s="7">
        <v>1.859</v>
      </c>
      <c r="F29" s="9">
        <v>3.1139999999999999</v>
      </c>
      <c r="G29" s="15">
        <f t="shared" si="0"/>
        <v>1.609</v>
      </c>
    </row>
    <row r="30" spans="2:7" x14ac:dyDescent="0.25">
      <c r="B30" s="4">
        <v>41394</v>
      </c>
      <c r="C30" s="8">
        <v>0.20899999999999999</v>
      </c>
      <c r="D30" s="7">
        <v>0.67600000000000005</v>
      </c>
      <c r="E30" s="7">
        <v>1.673</v>
      </c>
      <c r="F30" s="9">
        <v>2.8690000000000002</v>
      </c>
      <c r="G30" s="15">
        <f t="shared" si="0"/>
        <v>1.464</v>
      </c>
    </row>
    <row r="31" spans="2:7" x14ac:dyDescent="0.25">
      <c r="B31" s="4">
        <v>41425</v>
      </c>
      <c r="C31" s="8">
        <v>0.30499999999999999</v>
      </c>
      <c r="D31" s="7">
        <v>1.048</v>
      </c>
      <c r="E31" s="7">
        <v>2.1619999999999999</v>
      </c>
      <c r="F31" s="9">
        <v>3.3039999999999998</v>
      </c>
      <c r="G31" s="15">
        <f t="shared" si="0"/>
        <v>1.857</v>
      </c>
    </row>
    <row r="32" spans="2:7" x14ac:dyDescent="0.25">
      <c r="B32" s="4">
        <v>41453</v>
      </c>
      <c r="C32" s="8">
        <v>0.34699999999999998</v>
      </c>
      <c r="D32" s="7">
        <v>1.385</v>
      </c>
      <c r="E32" s="7">
        <v>2.4780000000000002</v>
      </c>
      <c r="F32" s="9">
        <v>3.4980000000000002</v>
      </c>
      <c r="G32" s="15">
        <f t="shared" si="0"/>
        <v>2.1310000000000002</v>
      </c>
    </row>
    <row r="33" spans="2:7" x14ac:dyDescent="0.25">
      <c r="B33" s="4">
        <v>41486</v>
      </c>
      <c r="C33" s="8">
        <v>0.30499999999999999</v>
      </c>
      <c r="D33" s="7">
        <v>1.3859999999999999</v>
      </c>
      <c r="E33" s="7">
        <v>2.5880000000000001</v>
      </c>
      <c r="F33" s="9">
        <v>3.6429999999999998</v>
      </c>
      <c r="G33" s="15">
        <f t="shared" si="0"/>
        <v>2.2829999999999999</v>
      </c>
    </row>
    <row r="34" spans="2:7" x14ac:dyDescent="0.25">
      <c r="B34" s="4">
        <v>41516</v>
      </c>
      <c r="C34" s="8">
        <v>0.38300000000000001</v>
      </c>
      <c r="D34" s="7">
        <v>1.599</v>
      </c>
      <c r="E34" s="7">
        <v>2.7490000000000001</v>
      </c>
      <c r="F34" s="9">
        <v>3.673</v>
      </c>
      <c r="G34" s="15">
        <f t="shared" si="0"/>
        <v>2.3660000000000001</v>
      </c>
    </row>
    <row r="35" spans="2:7" x14ac:dyDescent="0.25">
      <c r="B35" s="4">
        <v>41547</v>
      </c>
      <c r="C35" s="8">
        <v>0.32100000000000001</v>
      </c>
      <c r="D35" s="7">
        <v>1.389</v>
      </c>
      <c r="E35" s="7">
        <v>2.6150000000000002</v>
      </c>
      <c r="F35" s="9">
        <v>3.6869999999999998</v>
      </c>
      <c r="G35" s="15">
        <f t="shared" si="0"/>
        <v>2.294</v>
      </c>
    </row>
    <row r="36" spans="2:7" x14ac:dyDescent="0.25">
      <c r="B36" s="4">
        <v>41578</v>
      </c>
      <c r="C36" s="8">
        <v>0.30499999999999999</v>
      </c>
      <c r="D36" s="7">
        <v>1.3120000000000001</v>
      </c>
      <c r="E36" s="7">
        <v>2.5409999999999999</v>
      </c>
      <c r="F36" s="9">
        <v>3.6320000000000001</v>
      </c>
      <c r="G36" s="15">
        <f t="shared" si="0"/>
        <v>2.2359999999999998</v>
      </c>
    </row>
    <row r="37" spans="2:7" x14ac:dyDescent="0.25">
      <c r="B37" s="4">
        <v>41607</v>
      </c>
      <c r="C37" s="8">
        <v>0.27900000000000003</v>
      </c>
      <c r="D37" s="7">
        <v>1.3640000000000001</v>
      </c>
      <c r="E37" s="7">
        <v>2.7429999999999999</v>
      </c>
      <c r="F37" s="9">
        <v>3.8109999999999999</v>
      </c>
      <c r="G37" s="15">
        <f t="shared" si="0"/>
        <v>2.464</v>
      </c>
    </row>
    <row r="38" spans="2:7" x14ac:dyDescent="0.25">
      <c r="B38" s="4">
        <v>41639</v>
      </c>
      <c r="C38" s="8">
        <v>0.38</v>
      </c>
      <c r="D38" s="7">
        <v>1.7330000000000001</v>
      </c>
      <c r="E38" s="7">
        <v>3.0059999999999998</v>
      </c>
      <c r="F38" s="9">
        <v>3.9420000000000002</v>
      </c>
      <c r="G38" s="15">
        <f t="shared" si="0"/>
        <v>2.6259999999999999</v>
      </c>
    </row>
    <row r="39" spans="2:7" x14ac:dyDescent="0.25">
      <c r="B39" s="4">
        <v>41670</v>
      </c>
      <c r="C39" s="8">
        <v>0.33600000000000002</v>
      </c>
      <c r="D39" s="7">
        <v>1.51</v>
      </c>
      <c r="E39" s="7">
        <v>2.6619999999999999</v>
      </c>
      <c r="F39" s="9">
        <v>3.6190000000000002</v>
      </c>
      <c r="G39" s="15">
        <f t="shared" si="0"/>
        <v>2.3260000000000001</v>
      </c>
    </row>
    <row r="40" spans="2:7" x14ac:dyDescent="0.25">
      <c r="B40" s="4">
        <v>41698</v>
      </c>
      <c r="C40" s="8">
        <v>0.32500000000000001</v>
      </c>
      <c r="D40" s="7">
        <v>1.51</v>
      </c>
      <c r="E40" s="7">
        <v>2.657</v>
      </c>
      <c r="F40" s="9">
        <v>3.5920000000000001</v>
      </c>
      <c r="G40" s="15">
        <f t="shared" si="0"/>
        <v>2.3319999999999999</v>
      </c>
    </row>
    <row r="41" spans="2:7" x14ac:dyDescent="0.25">
      <c r="B41" s="4">
        <v>41729</v>
      </c>
      <c r="C41" s="8">
        <v>0.42599999999999999</v>
      </c>
      <c r="D41" s="7">
        <v>1.73</v>
      </c>
      <c r="E41" s="7">
        <v>2.7229999999999999</v>
      </c>
      <c r="F41" s="9">
        <v>3.5609999999999999</v>
      </c>
      <c r="G41" s="15">
        <f t="shared" si="0"/>
        <v>2.2969999999999997</v>
      </c>
    </row>
    <row r="42" spans="2:7" x14ac:dyDescent="0.25">
      <c r="B42" s="4">
        <v>41759</v>
      </c>
      <c r="C42" s="8">
        <v>0.41399999999999998</v>
      </c>
      <c r="D42" s="7">
        <v>1.679</v>
      </c>
      <c r="E42" s="7">
        <v>2.6459999999999999</v>
      </c>
      <c r="F42" s="9">
        <v>3.456</v>
      </c>
      <c r="G42" s="15">
        <f t="shared" si="0"/>
        <v>2.2319999999999998</v>
      </c>
    </row>
    <row r="43" spans="2:7" x14ac:dyDescent="0.25">
      <c r="B43" s="4">
        <v>41789</v>
      </c>
      <c r="C43" s="8">
        <v>0.36699999999999999</v>
      </c>
      <c r="D43" s="7">
        <v>1.528</v>
      </c>
      <c r="E43" s="7">
        <v>2.4550000000000001</v>
      </c>
      <c r="F43" s="9">
        <v>3.3140000000000001</v>
      </c>
      <c r="G43" s="15">
        <f t="shared" si="0"/>
        <v>2.0880000000000001</v>
      </c>
    </row>
    <row r="44" spans="2:7" x14ac:dyDescent="0.25">
      <c r="B44" s="4">
        <v>41820</v>
      </c>
      <c r="C44" s="8">
        <v>0.45300000000000001</v>
      </c>
      <c r="D44" s="7">
        <v>1.623</v>
      </c>
      <c r="E44" s="7">
        <v>2.5139999999999998</v>
      </c>
      <c r="F44" s="9">
        <v>3.3380000000000001</v>
      </c>
      <c r="G44" s="15">
        <f t="shared" si="0"/>
        <v>2.0609999999999999</v>
      </c>
    </row>
    <row r="45" spans="2:7" x14ac:dyDescent="0.25">
      <c r="B45" s="4">
        <v>41851</v>
      </c>
      <c r="C45" s="8">
        <v>0.53100000000000003</v>
      </c>
      <c r="D45" s="7">
        <v>1.7609999999999999</v>
      </c>
      <c r="E45" s="7">
        <v>2.5539999999999998</v>
      </c>
      <c r="F45" s="9">
        <v>3.3090000000000002</v>
      </c>
      <c r="G45" s="15">
        <f t="shared" si="0"/>
        <v>2.0229999999999997</v>
      </c>
    </row>
    <row r="46" spans="2:7" x14ac:dyDescent="0.25">
      <c r="B46" s="4">
        <v>41880</v>
      </c>
      <c r="C46" s="8">
        <v>0.48799999999999999</v>
      </c>
      <c r="D46" s="7">
        <v>1.625</v>
      </c>
      <c r="E46" s="7">
        <v>2.343</v>
      </c>
      <c r="F46" s="9">
        <v>3.0840000000000001</v>
      </c>
      <c r="G46" s="15">
        <f t="shared" si="0"/>
        <v>1.855</v>
      </c>
    </row>
    <row r="47" spans="2:7" x14ac:dyDescent="0.25">
      <c r="B47" s="4">
        <v>41912</v>
      </c>
      <c r="C47" s="8">
        <v>0.58699999999999997</v>
      </c>
      <c r="D47" s="7">
        <v>1.778</v>
      </c>
      <c r="E47" s="7">
        <v>2.5059999999999998</v>
      </c>
      <c r="F47" s="9">
        <v>3.21</v>
      </c>
      <c r="G47" s="15">
        <f t="shared" si="0"/>
        <v>1.9189999999999998</v>
      </c>
    </row>
    <row r="48" spans="2:7" x14ac:dyDescent="0.25">
      <c r="B48" s="4">
        <v>41943</v>
      </c>
      <c r="C48" s="8">
        <v>0.49299999999999999</v>
      </c>
      <c r="D48" s="7">
        <v>1.611</v>
      </c>
      <c r="E48" s="7">
        <v>2.3319999999999999</v>
      </c>
      <c r="F48" s="9">
        <v>3.0579999999999998</v>
      </c>
      <c r="G48" s="15">
        <f t="shared" si="0"/>
        <v>1.839</v>
      </c>
    </row>
    <row r="49" spans="2:7" x14ac:dyDescent="0.25">
      <c r="B49" s="4">
        <v>41971</v>
      </c>
      <c r="C49" s="8">
        <v>0.48799999999999999</v>
      </c>
      <c r="D49" s="7">
        <v>1.508</v>
      </c>
      <c r="E49" s="7">
        <v>2.1920000000000002</v>
      </c>
      <c r="F49" s="9">
        <v>2.9089999999999998</v>
      </c>
      <c r="G49" s="15">
        <f t="shared" si="0"/>
        <v>1.7040000000000002</v>
      </c>
    </row>
    <row r="50" spans="2:7" x14ac:dyDescent="0.25">
      <c r="B50" s="4">
        <v>42004</v>
      </c>
      <c r="C50" s="8">
        <v>0.67200000000000004</v>
      </c>
      <c r="D50" s="7">
        <v>1.653</v>
      </c>
      <c r="E50" s="7">
        <v>2.17</v>
      </c>
      <c r="F50" s="9">
        <v>2.7480000000000002</v>
      </c>
      <c r="G50" s="15">
        <f t="shared" si="0"/>
        <v>1.4979999999999998</v>
      </c>
    </row>
    <row r="51" spans="2:7" x14ac:dyDescent="0.25">
      <c r="B51" s="4">
        <v>42034</v>
      </c>
      <c r="C51" s="8">
        <v>0.46500000000000002</v>
      </c>
      <c r="D51" s="7">
        <v>1.1850000000000001</v>
      </c>
      <c r="E51" s="7">
        <v>1.673</v>
      </c>
      <c r="F51" s="9">
        <v>2.25</v>
      </c>
      <c r="G51" s="15">
        <f t="shared" si="0"/>
        <v>1.208</v>
      </c>
    </row>
    <row r="52" spans="2:7" x14ac:dyDescent="0.25">
      <c r="B52" s="5">
        <v>42062</v>
      </c>
      <c r="C52" s="8">
        <v>0.622</v>
      </c>
      <c r="D52" s="7">
        <v>1.4990000000000001</v>
      </c>
      <c r="E52" s="7">
        <v>1.998</v>
      </c>
      <c r="F52" s="9">
        <v>2.597</v>
      </c>
      <c r="G52" s="15">
        <f t="shared" si="0"/>
        <v>1.3759999999999999</v>
      </c>
    </row>
  </sheetData>
  <mergeCells count="1"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3:R1061"/>
  <sheetViews>
    <sheetView workbookViewId="0">
      <selection activeCell="R4" sqref="R4"/>
    </sheetView>
  </sheetViews>
  <sheetFormatPr defaultRowHeight="15" x14ac:dyDescent="0.25"/>
  <cols>
    <col min="2" max="2" width="10.7109375" style="6" bestFit="1" customWidth="1"/>
    <col min="3" max="3" width="9.7109375" bestFit="1" customWidth="1"/>
    <col min="4" max="4" width="12" bestFit="1" customWidth="1"/>
    <col min="7" max="7" width="10.7109375" bestFit="1" customWidth="1"/>
    <col min="12" max="13" width="9.140625" style="6"/>
  </cols>
  <sheetData>
    <row r="3" spans="2:18" x14ac:dyDescent="0.25">
      <c r="C3" t="s">
        <v>12</v>
      </c>
      <c r="D3" t="s">
        <v>13</v>
      </c>
      <c r="G3" t="s">
        <v>12</v>
      </c>
      <c r="H3" t="s">
        <v>15</v>
      </c>
      <c r="I3" t="s">
        <v>16</v>
      </c>
      <c r="J3" t="s">
        <v>17</v>
      </c>
      <c r="K3" t="s">
        <v>20</v>
      </c>
      <c r="L3" s="6" t="s">
        <v>21</v>
      </c>
      <c r="M3" s="6" t="s">
        <v>22</v>
      </c>
      <c r="O3" s="16" t="s">
        <v>1</v>
      </c>
      <c r="P3" t="s">
        <v>18</v>
      </c>
      <c r="Q3" t="s">
        <v>19</v>
      </c>
      <c r="R3" t="s">
        <v>23</v>
      </c>
    </row>
    <row r="4" spans="2:18" x14ac:dyDescent="0.25">
      <c r="B4" s="13">
        <f>WORKDAY(C4,-1,)</f>
        <v>36922</v>
      </c>
      <c r="C4" s="13">
        <v>36923</v>
      </c>
      <c r="D4" s="15">
        <v>7.5672076678487699</v>
      </c>
      <c r="G4" s="13">
        <v>42088</v>
      </c>
      <c r="H4" s="15">
        <v>3.69</v>
      </c>
      <c r="I4" s="15">
        <v>0.6</v>
      </c>
      <c r="J4" s="15">
        <v>3.59</v>
      </c>
      <c r="K4" s="15">
        <f t="shared" ref="K4:K67" si="0">IF(MONTH(G4)=MONTH(G5),J4+K5,J4)</f>
        <v>66.100000000000009</v>
      </c>
      <c r="L4" s="15">
        <f t="shared" ref="L4:L67" si="1">IF(MONTH(G4)=MONTH(G5),L5+1,1)</f>
        <v>18</v>
      </c>
      <c r="M4" s="15">
        <f>K4/L4</f>
        <v>3.6722222222222225</v>
      </c>
      <c r="O4" s="17">
        <v>40633</v>
      </c>
      <c r="P4" s="15">
        <f>VLOOKUP(O4,$B$4:$D$259,3,0)</f>
        <v>5.5269246970767396</v>
      </c>
      <c r="Q4" s="15">
        <f>VLOOKUP(O4,$G$4:$M$1060,7,0)</f>
        <v>4.7580434782608689</v>
      </c>
      <c r="R4" s="15">
        <f>P4-Q4</f>
        <v>0.76888121881587068</v>
      </c>
    </row>
    <row r="5" spans="2:18" x14ac:dyDescent="0.25">
      <c r="B5" s="13">
        <f t="shared" ref="B5:B68" si="2">WORKDAY(C5,-1,)</f>
        <v>36950</v>
      </c>
      <c r="C5" s="13">
        <v>36951</v>
      </c>
      <c r="D5" s="15">
        <v>7.55073609775779</v>
      </c>
      <c r="G5" s="13">
        <v>42087</v>
      </c>
      <c r="H5" s="15">
        <v>3.69</v>
      </c>
      <c r="I5" s="15">
        <v>0.6</v>
      </c>
      <c r="J5" s="15">
        <v>3.59</v>
      </c>
      <c r="K5" s="15">
        <f t="shared" si="0"/>
        <v>62.510000000000005</v>
      </c>
      <c r="L5" s="15">
        <f t="shared" si="1"/>
        <v>17</v>
      </c>
      <c r="M5" s="15">
        <f t="shared" ref="M5:M68" si="3">K5/L5</f>
        <v>3.6770588235294119</v>
      </c>
      <c r="O5" s="17">
        <v>40662</v>
      </c>
      <c r="P5" s="15">
        <f t="shared" ref="P5:P51" si="4">VLOOKUP(O5,$B$4:$D$259,3,0)</f>
        <v>5.51689595799128</v>
      </c>
      <c r="Q5" s="15">
        <f t="shared" ref="Q5:Q51" si="5">VLOOKUP(O5,$G$4:$M$1060,7,0)</f>
        <v>4.7472500000000002</v>
      </c>
      <c r="R5" s="15">
        <f t="shared" ref="R5:R51" si="6">P5-Q5</f>
        <v>0.76964595799127977</v>
      </c>
    </row>
    <row r="6" spans="2:18" x14ac:dyDescent="0.25">
      <c r="B6" s="13">
        <f t="shared" si="2"/>
        <v>36980</v>
      </c>
      <c r="C6" s="13">
        <v>36982</v>
      </c>
      <c r="D6" s="15">
        <v>7.5247913018060899</v>
      </c>
      <c r="G6" s="13">
        <v>42086</v>
      </c>
      <c r="H6" s="15">
        <v>3.69</v>
      </c>
      <c r="I6" s="15">
        <v>0.6</v>
      </c>
      <c r="J6" s="15">
        <v>3.59</v>
      </c>
      <c r="K6" s="15">
        <f t="shared" si="0"/>
        <v>58.92</v>
      </c>
      <c r="L6" s="15">
        <f t="shared" si="1"/>
        <v>16</v>
      </c>
      <c r="M6" s="15">
        <f t="shared" si="3"/>
        <v>3.6825000000000001</v>
      </c>
      <c r="O6" s="17">
        <v>40694</v>
      </c>
      <c r="P6" s="15">
        <f t="shared" si="4"/>
        <v>5.5064525221557803</v>
      </c>
      <c r="Q6" s="15">
        <f t="shared" si="5"/>
        <v>4.5395238095238097</v>
      </c>
      <c r="R6" s="15">
        <f t="shared" si="6"/>
        <v>0.96692871263197055</v>
      </c>
    </row>
    <row r="7" spans="2:18" x14ac:dyDescent="0.25">
      <c r="B7" s="13">
        <f t="shared" si="2"/>
        <v>37011</v>
      </c>
      <c r="C7" s="13">
        <v>37012</v>
      </c>
      <c r="D7" s="15">
        <v>7.4992216353381096</v>
      </c>
      <c r="G7" s="13">
        <v>42083</v>
      </c>
      <c r="H7" s="15">
        <v>3.69</v>
      </c>
      <c r="I7" s="15">
        <v>0.6</v>
      </c>
      <c r="J7" s="15">
        <v>3.59</v>
      </c>
      <c r="K7" s="15">
        <f t="shared" si="0"/>
        <v>55.33</v>
      </c>
      <c r="L7" s="15">
        <f t="shared" si="1"/>
        <v>15</v>
      </c>
      <c r="M7" s="15">
        <f t="shared" si="3"/>
        <v>3.6886666666666668</v>
      </c>
      <c r="O7" s="17">
        <v>40724</v>
      </c>
      <c r="P7" s="15">
        <f t="shared" si="4"/>
        <v>5.4966046806114601</v>
      </c>
      <c r="Q7" s="15">
        <f t="shared" si="5"/>
        <v>4.4363636363636374</v>
      </c>
      <c r="R7" s="15">
        <f t="shared" si="6"/>
        <v>1.0602410442478227</v>
      </c>
    </row>
    <row r="8" spans="2:18" x14ac:dyDescent="0.25">
      <c r="B8" s="13">
        <f t="shared" si="2"/>
        <v>37042</v>
      </c>
      <c r="C8" s="13">
        <v>37043</v>
      </c>
      <c r="D8" s="15">
        <v>7.4751311307147201</v>
      </c>
      <c r="G8" s="13">
        <v>42082</v>
      </c>
      <c r="H8" s="15">
        <v>3.69</v>
      </c>
      <c r="I8" s="15">
        <v>0.6</v>
      </c>
      <c r="J8" s="15">
        <v>3.59</v>
      </c>
      <c r="K8" s="15">
        <f t="shared" si="0"/>
        <v>51.739999999999995</v>
      </c>
      <c r="L8" s="15">
        <f t="shared" si="1"/>
        <v>14</v>
      </c>
      <c r="M8" s="15">
        <f t="shared" si="3"/>
        <v>3.6957142857142853</v>
      </c>
      <c r="O8" s="17">
        <v>40753</v>
      </c>
      <c r="P8" s="15">
        <f t="shared" si="4"/>
        <v>5.4853483193438404</v>
      </c>
      <c r="Q8" s="15">
        <f t="shared" si="5"/>
        <v>4.4577499999999999</v>
      </c>
      <c r="R8" s="15">
        <f t="shared" si="6"/>
        <v>1.0275983193438405</v>
      </c>
    </row>
    <row r="9" spans="2:18" x14ac:dyDescent="0.25">
      <c r="B9" s="13">
        <f t="shared" si="2"/>
        <v>37071</v>
      </c>
      <c r="C9" s="13">
        <v>37073</v>
      </c>
      <c r="D9" s="15">
        <v>7.4576310311595</v>
      </c>
      <c r="G9" s="13">
        <v>42081</v>
      </c>
      <c r="H9" s="15">
        <v>3.78</v>
      </c>
      <c r="I9" s="15">
        <v>0.6</v>
      </c>
      <c r="J9" s="15">
        <v>3.68</v>
      </c>
      <c r="K9" s="15">
        <f t="shared" si="0"/>
        <v>48.149999999999991</v>
      </c>
      <c r="L9" s="15">
        <f t="shared" si="1"/>
        <v>13</v>
      </c>
      <c r="M9" s="15">
        <f t="shared" si="3"/>
        <v>3.7038461538461531</v>
      </c>
      <c r="O9" s="17">
        <v>40786</v>
      </c>
      <c r="P9" s="15">
        <f t="shared" si="4"/>
        <v>5.4705693261233499</v>
      </c>
      <c r="Q9" s="15">
        <f t="shared" si="5"/>
        <v>4.1769565217391298</v>
      </c>
      <c r="R9" s="15">
        <f t="shared" si="6"/>
        <v>1.2936128043842201</v>
      </c>
    </row>
    <row r="10" spans="2:18" x14ac:dyDescent="0.25">
      <c r="B10" s="13">
        <f t="shared" si="2"/>
        <v>37103</v>
      </c>
      <c r="C10" s="13">
        <v>37104</v>
      </c>
      <c r="D10" s="15">
        <v>7.4436498896780803</v>
      </c>
      <c r="G10" s="13">
        <v>42080</v>
      </c>
      <c r="H10" s="15">
        <v>3.78</v>
      </c>
      <c r="I10" s="15">
        <v>0.6</v>
      </c>
      <c r="J10" s="15">
        <v>3.68</v>
      </c>
      <c r="K10" s="15">
        <f t="shared" si="0"/>
        <v>44.469999999999992</v>
      </c>
      <c r="L10" s="15">
        <f t="shared" si="1"/>
        <v>12</v>
      </c>
      <c r="M10" s="15">
        <f t="shared" si="3"/>
        <v>3.7058333333333326</v>
      </c>
      <c r="O10" s="17">
        <v>40816</v>
      </c>
      <c r="P10" s="15">
        <f t="shared" si="4"/>
        <v>5.4564253789048802</v>
      </c>
      <c r="Q10" s="15">
        <f t="shared" si="5"/>
        <v>3.9897619047619051</v>
      </c>
      <c r="R10" s="15">
        <f t="shared" si="6"/>
        <v>1.4666634741429752</v>
      </c>
    </row>
    <row r="11" spans="2:18" x14ac:dyDescent="0.25">
      <c r="B11" s="13">
        <f t="shared" si="2"/>
        <v>37134</v>
      </c>
      <c r="C11" s="13">
        <v>37135</v>
      </c>
      <c r="D11" s="15">
        <v>7.4274568059626596</v>
      </c>
      <c r="G11" s="13">
        <v>42079</v>
      </c>
      <c r="H11" s="15">
        <v>3.78</v>
      </c>
      <c r="I11" s="15">
        <v>0.6</v>
      </c>
      <c r="J11" s="15">
        <v>3.68</v>
      </c>
      <c r="K11" s="15">
        <f t="shared" si="0"/>
        <v>40.789999999999992</v>
      </c>
      <c r="L11" s="15">
        <f t="shared" si="1"/>
        <v>11</v>
      </c>
      <c r="M11" s="15">
        <f t="shared" si="3"/>
        <v>3.7081818181818176</v>
      </c>
      <c r="O11" s="17">
        <v>40847</v>
      </c>
      <c r="P11" s="15">
        <f t="shared" si="4"/>
        <v>5.4364668645164897</v>
      </c>
      <c r="Q11" s="15">
        <f t="shared" si="5"/>
        <v>4.0137499999999999</v>
      </c>
      <c r="R11" s="15">
        <f t="shared" si="6"/>
        <v>1.4227168645164898</v>
      </c>
    </row>
    <row r="12" spans="2:18" x14ac:dyDescent="0.25">
      <c r="B12" s="13">
        <f t="shared" si="2"/>
        <v>37162</v>
      </c>
      <c r="C12" s="13">
        <v>37165</v>
      </c>
      <c r="D12" s="15">
        <v>7.4102585036555704</v>
      </c>
      <c r="G12" s="13">
        <v>42076</v>
      </c>
      <c r="H12" s="15">
        <v>3.78</v>
      </c>
      <c r="I12" s="15">
        <v>0.6</v>
      </c>
      <c r="J12" s="15">
        <v>3.68</v>
      </c>
      <c r="K12" s="15">
        <f t="shared" si="0"/>
        <v>37.109999999999992</v>
      </c>
      <c r="L12" s="15">
        <f t="shared" si="1"/>
        <v>10</v>
      </c>
      <c r="M12" s="15">
        <f t="shared" si="3"/>
        <v>3.7109999999999994</v>
      </c>
      <c r="O12" s="17">
        <v>40877</v>
      </c>
      <c r="P12" s="15">
        <f t="shared" si="4"/>
        <v>5.4070810969259098</v>
      </c>
      <c r="Q12" s="15">
        <f t="shared" si="5"/>
        <v>3.9174999999999995</v>
      </c>
      <c r="R12" s="15">
        <f t="shared" si="6"/>
        <v>1.4895810969259102</v>
      </c>
    </row>
    <row r="13" spans="2:18" x14ac:dyDescent="0.25">
      <c r="B13" s="13">
        <f t="shared" si="2"/>
        <v>37195</v>
      </c>
      <c r="C13" s="13">
        <v>37196</v>
      </c>
      <c r="D13" s="15">
        <v>7.3806635187928498</v>
      </c>
      <c r="G13" s="13">
        <v>42075</v>
      </c>
      <c r="H13" s="15">
        <v>3.78</v>
      </c>
      <c r="I13" s="15">
        <v>0.6</v>
      </c>
      <c r="J13" s="15">
        <v>3.68</v>
      </c>
      <c r="K13" s="15">
        <f t="shared" si="0"/>
        <v>33.429999999999993</v>
      </c>
      <c r="L13" s="15">
        <f t="shared" si="1"/>
        <v>9</v>
      </c>
      <c r="M13" s="15">
        <f t="shared" si="3"/>
        <v>3.7144444444444438</v>
      </c>
      <c r="O13" s="17">
        <v>40907</v>
      </c>
      <c r="P13" s="15">
        <f t="shared" si="4"/>
        <v>5.3841264551661103</v>
      </c>
      <c r="Q13" s="15">
        <f t="shared" si="5"/>
        <v>3.8771428571428572</v>
      </c>
      <c r="R13" s="15">
        <f t="shared" si="6"/>
        <v>1.5069835980232531</v>
      </c>
    </row>
    <row r="14" spans="2:18" x14ac:dyDescent="0.25">
      <c r="B14" s="13">
        <f t="shared" si="2"/>
        <v>37225</v>
      </c>
      <c r="C14" s="13">
        <v>37226</v>
      </c>
      <c r="D14" s="15">
        <v>7.3401035174219604</v>
      </c>
      <c r="G14" s="13">
        <v>42074</v>
      </c>
      <c r="H14" s="15">
        <v>3.86</v>
      </c>
      <c r="I14" s="15">
        <v>0.6</v>
      </c>
      <c r="J14" s="15">
        <v>3.76</v>
      </c>
      <c r="K14" s="15">
        <f t="shared" si="0"/>
        <v>29.749999999999993</v>
      </c>
      <c r="L14" s="15">
        <f t="shared" si="1"/>
        <v>8</v>
      </c>
      <c r="M14" s="15">
        <f t="shared" si="3"/>
        <v>3.7187499999999991</v>
      </c>
      <c r="O14" s="17">
        <v>40939</v>
      </c>
      <c r="P14" s="15">
        <f t="shared" si="4"/>
        <v>5.3594348559218998</v>
      </c>
      <c r="Q14" s="15">
        <f t="shared" si="5"/>
        <v>3.8459999999999988</v>
      </c>
      <c r="R14" s="15">
        <f t="shared" si="6"/>
        <v>1.5134348559219011</v>
      </c>
    </row>
    <row r="15" spans="2:18" x14ac:dyDescent="0.25">
      <c r="B15" s="13">
        <f t="shared" si="2"/>
        <v>37256</v>
      </c>
      <c r="C15" s="13">
        <v>37257</v>
      </c>
      <c r="D15" s="15">
        <v>7.3028699366002598</v>
      </c>
      <c r="G15" s="13">
        <v>42073</v>
      </c>
      <c r="H15" s="15">
        <v>3.86</v>
      </c>
      <c r="I15" s="15">
        <v>0.6</v>
      </c>
      <c r="J15" s="15">
        <v>3.76</v>
      </c>
      <c r="K15" s="15">
        <f t="shared" si="0"/>
        <v>25.989999999999995</v>
      </c>
      <c r="L15" s="15">
        <f t="shared" si="1"/>
        <v>7</v>
      </c>
      <c r="M15" s="15">
        <f t="shared" si="3"/>
        <v>3.7128571428571422</v>
      </c>
      <c r="O15" s="17">
        <v>40968</v>
      </c>
      <c r="P15" s="15">
        <f t="shared" si="4"/>
        <v>5.3179671663260297</v>
      </c>
      <c r="Q15" s="15">
        <f t="shared" si="5"/>
        <v>3.8434999999999988</v>
      </c>
      <c r="R15" s="15">
        <f t="shared" si="6"/>
        <v>1.4744671663260309</v>
      </c>
    </row>
    <row r="16" spans="2:18" x14ac:dyDescent="0.25">
      <c r="B16" s="13">
        <f t="shared" si="2"/>
        <v>37287</v>
      </c>
      <c r="C16" s="13">
        <v>37288</v>
      </c>
      <c r="D16" s="15">
        <v>7.2763754914515202</v>
      </c>
      <c r="G16" s="13">
        <v>42072</v>
      </c>
      <c r="H16" s="15">
        <v>3.86</v>
      </c>
      <c r="I16" s="15">
        <v>0.6</v>
      </c>
      <c r="J16" s="15">
        <v>3.76</v>
      </c>
      <c r="K16" s="15">
        <f t="shared" si="0"/>
        <v>22.229999999999997</v>
      </c>
      <c r="L16" s="15">
        <f t="shared" si="1"/>
        <v>6</v>
      </c>
      <c r="M16" s="15">
        <f t="shared" si="3"/>
        <v>3.7049999999999996</v>
      </c>
      <c r="O16" s="17">
        <v>40998</v>
      </c>
      <c r="P16" s="15">
        <f t="shared" si="4"/>
        <v>5.2953192445801802</v>
      </c>
      <c r="Q16" s="15">
        <f t="shared" si="5"/>
        <v>3.9106818181818195</v>
      </c>
      <c r="R16" s="15">
        <f t="shared" si="6"/>
        <v>1.3846374263983607</v>
      </c>
    </row>
    <row r="17" spans="2:18" x14ac:dyDescent="0.25">
      <c r="B17" s="13">
        <f t="shared" si="2"/>
        <v>37315</v>
      </c>
      <c r="C17" s="13">
        <v>37316</v>
      </c>
      <c r="D17" s="15">
        <v>7.2569339081341901</v>
      </c>
      <c r="G17" s="13">
        <v>42069</v>
      </c>
      <c r="H17" s="15">
        <v>3.86</v>
      </c>
      <c r="I17" s="15">
        <v>0.6</v>
      </c>
      <c r="J17" s="15">
        <v>3.76</v>
      </c>
      <c r="K17" s="15">
        <f t="shared" si="0"/>
        <v>18.47</v>
      </c>
      <c r="L17" s="15">
        <f t="shared" si="1"/>
        <v>5</v>
      </c>
      <c r="M17" s="15">
        <f t="shared" si="3"/>
        <v>3.694</v>
      </c>
      <c r="O17" s="17">
        <v>41029</v>
      </c>
      <c r="P17" s="15">
        <f t="shared" si="4"/>
        <v>5.2629157012999999</v>
      </c>
      <c r="Q17" s="15">
        <f t="shared" si="5"/>
        <v>3.8278571428571446</v>
      </c>
      <c r="R17" s="15">
        <f t="shared" si="6"/>
        <v>1.4350585584428552</v>
      </c>
    </row>
    <row r="18" spans="2:18" x14ac:dyDescent="0.25">
      <c r="B18" s="13">
        <f t="shared" si="2"/>
        <v>37344</v>
      </c>
      <c r="C18" s="13">
        <v>37347</v>
      </c>
      <c r="D18" s="15">
        <v>7.2396231504910498</v>
      </c>
      <c r="G18" s="13">
        <v>42068</v>
      </c>
      <c r="H18" s="15">
        <v>3.86</v>
      </c>
      <c r="I18" s="15">
        <v>0.6</v>
      </c>
      <c r="J18" s="15">
        <v>3.76</v>
      </c>
      <c r="K18" s="15">
        <f t="shared" si="0"/>
        <v>14.709999999999999</v>
      </c>
      <c r="L18" s="15">
        <f t="shared" si="1"/>
        <v>4</v>
      </c>
      <c r="M18" s="15">
        <f t="shared" si="3"/>
        <v>3.6774999999999998</v>
      </c>
      <c r="O18" s="17">
        <v>41060</v>
      </c>
      <c r="P18" s="15">
        <f t="shared" si="4"/>
        <v>5.2343159846207703</v>
      </c>
      <c r="Q18" s="15">
        <f t="shared" si="5"/>
        <v>3.7261363636363636</v>
      </c>
      <c r="R18" s="15">
        <f t="shared" si="6"/>
        <v>1.5081796209844067</v>
      </c>
    </row>
    <row r="19" spans="2:18" x14ac:dyDescent="0.25">
      <c r="B19" s="13">
        <f t="shared" si="2"/>
        <v>37376</v>
      </c>
      <c r="C19" s="13">
        <v>37377</v>
      </c>
      <c r="D19" s="15">
        <v>7.2269564299105404</v>
      </c>
      <c r="G19" s="13">
        <v>42067</v>
      </c>
      <c r="H19" s="15">
        <v>3.75</v>
      </c>
      <c r="I19" s="15">
        <v>0.6</v>
      </c>
      <c r="J19" s="15">
        <v>3.65</v>
      </c>
      <c r="K19" s="15">
        <f t="shared" si="0"/>
        <v>10.95</v>
      </c>
      <c r="L19" s="15">
        <f t="shared" si="1"/>
        <v>3</v>
      </c>
      <c r="M19" s="15">
        <f t="shared" si="3"/>
        <v>3.65</v>
      </c>
      <c r="O19" s="17">
        <v>41089</v>
      </c>
      <c r="P19" s="15">
        <f t="shared" si="4"/>
        <v>5.1996687925293399</v>
      </c>
      <c r="Q19" s="15">
        <f t="shared" si="5"/>
        <v>3.5973809523809512</v>
      </c>
      <c r="R19" s="15">
        <f t="shared" si="6"/>
        <v>1.6022878401483887</v>
      </c>
    </row>
    <row r="20" spans="2:18" x14ac:dyDescent="0.25">
      <c r="B20" s="13">
        <f t="shared" si="2"/>
        <v>37407</v>
      </c>
      <c r="C20" s="13">
        <v>37408</v>
      </c>
      <c r="D20" s="15">
        <v>7.2160068963509003</v>
      </c>
      <c r="G20" s="13">
        <v>42066</v>
      </c>
      <c r="H20" s="15">
        <v>3.75</v>
      </c>
      <c r="I20" s="15">
        <v>0.6</v>
      </c>
      <c r="J20" s="15">
        <v>3.65</v>
      </c>
      <c r="K20" s="15">
        <f t="shared" si="0"/>
        <v>7.3</v>
      </c>
      <c r="L20" s="15">
        <f t="shared" si="1"/>
        <v>2</v>
      </c>
      <c r="M20" s="15">
        <f t="shared" si="3"/>
        <v>3.65</v>
      </c>
      <c r="O20" s="17">
        <v>41121</v>
      </c>
      <c r="P20" s="15">
        <f t="shared" si="4"/>
        <v>5.1603138017447998</v>
      </c>
      <c r="Q20" s="15">
        <f t="shared" si="5"/>
        <v>3.4673809523809509</v>
      </c>
      <c r="R20" s="15">
        <f t="shared" si="6"/>
        <v>1.6929328493638489</v>
      </c>
    </row>
    <row r="21" spans="2:18" x14ac:dyDescent="0.25">
      <c r="B21" s="13">
        <f t="shared" si="2"/>
        <v>37435</v>
      </c>
      <c r="C21" s="13">
        <v>37438</v>
      </c>
      <c r="D21" s="15">
        <v>7.2034993165370702</v>
      </c>
      <c r="G21" s="13">
        <v>42065</v>
      </c>
      <c r="H21" s="15">
        <v>3.75</v>
      </c>
      <c r="I21" s="15">
        <v>0.6</v>
      </c>
      <c r="J21" s="15">
        <v>3.65</v>
      </c>
      <c r="K21" s="15">
        <f t="shared" si="0"/>
        <v>3.65</v>
      </c>
      <c r="L21" s="15">
        <f t="shared" si="1"/>
        <v>1</v>
      </c>
      <c r="M21" s="15">
        <f t="shared" si="3"/>
        <v>3.65</v>
      </c>
      <c r="O21" s="17">
        <v>41152</v>
      </c>
      <c r="P21" s="15">
        <f t="shared" si="4"/>
        <v>5.1180011299138704</v>
      </c>
      <c r="Q21" s="15">
        <f t="shared" si="5"/>
        <v>3.5152173913043474</v>
      </c>
      <c r="R21" s="15">
        <f t="shared" si="6"/>
        <v>1.6027837386095229</v>
      </c>
    </row>
    <row r="22" spans="2:18" x14ac:dyDescent="0.25">
      <c r="B22" s="13">
        <f t="shared" si="2"/>
        <v>37468</v>
      </c>
      <c r="C22" s="13">
        <v>37469</v>
      </c>
      <c r="D22" s="15">
        <v>7.1857147743439498</v>
      </c>
      <c r="G22" s="13">
        <v>42062</v>
      </c>
      <c r="H22" s="15">
        <v>3.75</v>
      </c>
      <c r="I22" s="15">
        <v>0.6</v>
      </c>
      <c r="J22" s="15">
        <v>3.65</v>
      </c>
      <c r="K22" s="15">
        <f t="shared" si="0"/>
        <v>68.935000000000016</v>
      </c>
      <c r="L22" s="15">
        <f t="shared" si="1"/>
        <v>19</v>
      </c>
      <c r="M22" s="15">
        <f t="shared" si="3"/>
        <v>3.6281578947368431</v>
      </c>
      <c r="O22" s="17">
        <v>41180</v>
      </c>
      <c r="P22" s="15">
        <f t="shared" si="4"/>
        <v>5.08700146937759</v>
      </c>
      <c r="Q22" s="15">
        <f t="shared" si="5"/>
        <v>3.3773684210526311</v>
      </c>
      <c r="R22" s="15">
        <f t="shared" si="6"/>
        <v>1.7096330483249589</v>
      </c>
    </row>
    <row r="23" spans="2:18" x14ac:dyDescent="0.25">
      <c r="B23" s="13">
        <f t="shared" si="2"/>
        <v>37498</v>
      </c>
      <c r="C23" s="13">
        <v>37500</v>
      </c>
      <c r="D23" s="15">
        <v>7.1562991500090698</v>
      </c>
      <c r="G23" s="13">
        <v>42061</v>
      </c>
      <c r="H23" s="15">
        <v>3.75</v>
      </c>
      <c r="I23" s="15">
        <v>0.6</v>
      </c>
      <c r="J23" s="15">
        <v>3.65</v>
      </c>
      <c r="K23" s="15">
        <f t="shared" si="0"/>
        <v>65.285000000000011</v>
      </c>
      <c r="L23" s="15">
        <f t="shared" si="1"/>
        <v>18</v>
      </c>
      <c r="M23" s="15">
        <f t="shared" si="3"/>
        <v>3.6269444444444452</v>
      </c>
      <c r="O23" s="17">
        <v>41213</v>
      </c>
      <c r="P23" s="15">
        <f t="shared" si="4"/>
        <v>5.0273809883485496</v>
      </c>
      <c r="Q23" s="15">
        <f t="shared" si="5"/>
        <v>3.3071428571428574</v>
      </c>
      <c r="R23" s="15">
        <f t="shared" si="6"/>
        <v>1.7202381312056922</v>
      </c>
    </row>
    <row r="24" spans="2:18" x14ac:dyDescent="0.25">
      <c r="B24" s="13">
        <f t="shared" si="2"/>
        <v>37529</v>
      </c>
      <c r="C24" s="13">
        <v>37530</v>
      </c>
      <c r="D24" s="15">
        <v>7.1159290973596301</v>
      </c>
      <c r="G24" s="13">
        <v>42060</v>
      </c>
      <c r="H24" s="15">
        <v>3.8</v>
      </c>
      <c r="I24" s="15">
        <v>0.6</v>
      </c>
      <c r="J24" s="15">
        <v>3.7</v>
      </c>
      <c r="K24" s="15">
        <f t="shared" si="0"/>
        <v>61.635000000000005</v>
      </c>
      <c r="L24" s="15">
        <f t="shared" si="1"/>
        <v>17</v>
      </c>
      <c r="M24" s="15">
        <f t="shared" si="3"/>
        <v>3.625588235294118</v>
      </c>
      <c r="O24" s="17">
        <v>41243</v>
      </c>
      <c r="P24" s="15">
        <f t="shared" si="4"/>
        <v>4.98967156441861</v>
      </c>
      <c r="Q24" s="15">
        <f t="shared" si="5"/>
        <v>3.2735000000000007</v>
      </c>
      <c r="R24" s="15">
        <f t="shared" si="6"/>
        <v>1.7161715644186093</v>
      </c>
    </row>
    <row r="25" spans="2:18" x14ac:dyDescent="0.25">
      <c r="B25" s="13">
        <f t="shared" si="2"/>
        <v>37560</v>
      </c>
      <c r="C25" s="13">
        <v>37561</v>
      </c>
      <c r="D25" s="15">
        <v>7.0649126448338704</v>
      </c>
      <c r="G25" s="13">
        <v>42059</v>
      </c>
      <c r="H25" s="15">
        <v>3.8</v>
      </c>
      <c r="I25" s="15">
        <v>0.6</v>
      </c>
      <c r="J25" s="15">
        <v>3.7</v>
      </c>
      <c r="K25" s="15">
        <f t="shared" si="0"/>
        <v>57.935000000000002</v>
      </c>
      <c r="L25" s="15">
        <f t="shared" si="1"/>
        <v>16</v>
      </c>
      <c r="M25" s="15">
        <f t="shared" si="3"/>
        <v>3.6209375000000001</v>
      </c>
      <c r="O25" s="17">
        <v>41274</v>
      </c>
      <c r="P25" s="15">
        <f t="shared" si="4"/>
        <v>4.9407582426292702</v>
      </c>
      <c r="Q25" s="15">
        <f t="shared" si="5"/>
        <v>3.2694999999999999</v>
      </c>
      <c r="R25" s="15">
        <f t="shared" si="6"/>
        <v>1.6712582426292704</v>
      </c>
    </row>
    <row r="26" spans="2:18" x14ac:dyDescent="0.25">
      <c r="B26" s="13">
        <f t="shared" si="2"/>
        <v>37589</v>
      </c>
      <c r="C26" s="13">
        <v>37591</v>
      </c>
      <c r="D26" s="15">
        <v>7.0105721975785604</v>
      </c>
      <c r="G26" s="13">
        <v>42058</v>
      </c>
      <c r="H26" s="15">
        <v>3.8</v>
      </c>
      <c r="I26" s="15">
        <v>0.6</v>
      </c>
      <c r="J26" s="15">
        <v>3.7</v>
      </c>
      <c r="K26" s="15">
        <f t="shared" si="0"/>
        <v>54.234999999999999</v>
      </c>
      <c r="L26" s="15">
        <f t="shared" si="1"/>
        <v>15</v>
      </c>
      <c r="M26" s="15">
        <f t="shared" si="3"/>
        <v>3.6156666666666668</v>
      </c>
      <c r="O26" s="17">
        <v>41305</v>
      </c>
      <c r="P26" s="15">
        <f t="shared" si="4"/>
        <v>4.8929881644935698</v>
      </c>
      <c r="Q26" s="15">
        <f t="shared" si="5"/>
        <v>3.3595238095238096</v>
      </c>
      <c r="R26" s="15">
        <f t="shared" si="6"/>
        <v>1.5334643549697602</v>
      </c>
    </row>
    <row r="27" spans="2:18" x14ac:dyDescent="0.25">
      <c r="B27" s="13">
        <f t="shared" si="2"/>
        <v>37621</v>
      </c>
      <c r="C27" s="13">
        <v>37622</v>
      </c>
      <c r="D27" s="15">
        <v>6.9465510304239899</v>
      </c>
      <c r="G27" s="13">
        <v>42055</v>
      </c>
      <c r="H27" s="15">
        <v>3.8</v>
      </c>
      <c r="I27" s="15">
        <v>0.6</v>
      </c>
      <c r="J27" s="15">
        <v>3.7</v>
      </c>
      <c r="K27" s="15">
        <f t="shared" si="0"/>
        <v>50.534999999999997</v>
      </c>
      <c r="L27" s="15">
        <f t="shared" si="1"/>
        <v>14</v>
      </c>
      <c r="M27" s="15">
        <f t="shared" si="3"/>
        <v>3.6096428571428567</v>
      </c>
      <c r="O27" s="17">
        <v>41333</v>
      </c>
      <c r="P27" s="15">
        <f t="shared" si="4"/>
        <v>4.8553417742290303</v>
      </c>
      <c r="Q27" s="15">
        <f t="shared" si="5"/>
        <v>3.4792105263157889</v>
      </c>
      <c r="R27" s="15">
        <f t="shared" si="6"/>
        <v>1.3761312479132415</v>
      </c>
    </row>
    <row r="28" spans="2:18" x14ac:dyDescent="0.25">
      <c r="B28" s="13">
        <f t="shared" si="2"/>
        <v>37652</v>
      </c>
      <c r="C28" s="13">
        <v>37653</v>
      </c>
      <c r="D28" s="15">
        <v>6.89024865015055</v>
      </c>
      <c r="G28" s="13">
        <v>42054</v>
      </c>
      <c r="H28" s="15">
        <v>3.8</v>
      </c>
      <c r="I28" s="15">
        <v>0.6</v>
      </c>
      <c r="J28" s="15">
        <v>3.7</v>
      </c>
      <c r="K28" s="15">
        <f t="shared" si="0"/>
        <v>46.834999999999994</v>
      </c>
      <c r="L28" s="15">
        <f t="shared" si="1"/>
        <v>13</v>
      </c>
      <c r="M28" s="15">
        <f t="shared" si="3"/>
        <v>3.6026923076923074</v>
      </c>
      <c r="O28" s="17">
        <v>41361</v>
      </c>
      <c r="P28" s="15">
        <f t="shared" si="4"/>
        <v>4.8154791000097701</v>
      </c>
      <c r="Q28" s="15">
        <f t="shared" si="5"/>
        <v>3.5110000000000006</v>
      </c>
      <c r="R28" s="15">
        <f t="shared" si="6"/>
        <v>1.3044791000097695</v>
      </c>
    </row>
    <row r="29" spans="2:18" x14ac:dyDescent="0.25">
      <c r="B29" s="13">
        <f t="shared" si="2"/>
        <v>37680</v>
      </c>
      <c r="C29" s="13">
        <v>37681</v>
      </c>
      <c r="D29" s="15">
        <v>6.8334412158562099</v>
      </c>
      <c r="G29" s="13">
        <v>42053</v>
      </c>
      <c r="H29" s="15">
        <v>3.76</v>
      </c>
      <c r="I29" s="15">
        <v>0.6</v>
      </c>
      <c r="J29" s="15">
        <v>3.66</v>
      </c>
      <c r="K29" s="15">
        <f t="shared" si="0"/>
        <v>43.134999999999991</v>
      </c>
      <c r="L29" s="15">
        <f t="shared" si="1"/>
        <v>12</v>
      </c>
      <c r="M29" s="15">
        <f t="shared" si="3"/>
        <v>3.5945833333333326</v>
      </c>
      <c r="O29" s="17">
        <v>41394</v>
      </c>
      <c r="P29" s="15">
        <f t="shared" si="4"/>
        <v>4.7738505439490204</v>
      </c>
      <c r="Q29" s="15">
        <f t="shared" si="5"/>
        <v>3.3588636363636373</v>
      </c>
      <c r="R29" s="15">
        <f t="shared" si="6"/>
        <v>1.4149869075853831</v>
      </c>
    </row>
    <row r="30" spans="2:18" x14ac:dyDescent="0.25">
      <c r="B30" s="13">
        <f t="shared" si="2"/>
        <v>37711</v>
      </c>
      <c r="C30" s="13">
        <v>37712</v>
      </c>
      <c r="D30" s="15">
        <v>6.76316386439425</v>
      </c>
      <c r="G30" s="13">
        <v>42052</v>
      </c>
      <c r="H30" s="15">
        <v>3.76</v>
      </c>
      <c r="I30" s="15">
        <v>0.6</v>
      </c>
      <c r="J30" s="15">
        <v>3.66</v>
      </c>
      <c r="K30" s="15">
        <f t="shared" si="0"/>
        <v>39.474999999999994</v>
      </c>
      <c r="L30" s="15">
        <f t="shared" si="1"/>
        <v>11</v>
      </c>
      <c r="M30" s="15">
        <f t="shared" si="3"/>
        <v>3.588636363636363</v>
      </c>
      <c r="O30" s="17">
        <v>41425</v>
      </c>
      <c r="P30" s="15">
        <f t="shared" si="4"/>
        <v>4.73544355899375</v>
      </c>
      <c r="Q30" s="15">
        <f t="shared" si="5"/>
        <v>3.5209090909090905</v>
      </c>
      <c r="R30" s="15">
        <f t="shared" si="6"/>
        <v>1.2145344680846595</v>
      </c>
    </row>
    <row r="31" spans="2:18" x14ac:dyDescent="0.25">
      <c r="B31" s="13">
        <f t="shared" si="2"/>
        <v>37741</v>
      </c>
      <c r="C31" s="13">
        <v>37742</v>
      </c>
      <c r="D31" s="15">
        <v>6.6956151701594102</v>
      </c>
      <c r="G31" s="13">
        <v>42048</v>
      </c>
      <c r="H31" s="15">
        <v>3.76</v>
      </c>
      <c r="I31" s="15">
        <v>0.6</v>
      </c>
      <c r="J31" s="15">
        <v>3.66</v>
      </c>
      <c r="K31" s="15">
        <f t="shared" si="0"/>
        <v>35.814999999999998</v>
      </c>
      <c r="L31" s="15">
        <f t="shared" si="1"/>
        <v>10</v>
      </c>
      <c r="M31" s="15">
        <f t="shared" si="3"/>
        <v>3.5814999999999997</v>
      </c>
      <c r="O31" s="17">
        <v>41453</v>
      </c>
      <c r="P31" s="15">
        <f t="shared" si="4"/>
        <v>4.6979710267704702</v>
      </c>
      <c r="Q31" s="15">
        <f t="shared" si="5"/>
        <v>4.0535714285714288</v>
      </c>
      <c r="R31" s="15">
        <f t="shared" si="6"/>
        <v>0.64439959819904136</v>
      </c>
    </row>
    <row r="32" spans="2:18" x14ac:dyDescent="0.25">
      <c r="B32" s="13">
        <f t="shared" si="2"/>
        <v>37771</v>
      </c>
      <c r="C32" s="13">
        <v>37773</v>
      </c>
      <c r="D32" s="15">
        <v>6.6218022465641804</v>
      </c>
      <c r="G32" s="13">
        <v>42047</v>
      </c>
      <c r="H32" s="15">
        <v>3.76</v>
      </c>
      <c r="I32" s="15">
        <v>0.6</v>
      </c>
      <c r="J32" s="15">
        <v>3.66</v>
      </c>
      <c r="K32" s="15">
        <f t="shared" si="0"/>
        <v>32.155000000000001</v>
      </c>
      <c r="L32" s="15">
        <f t="shared" si="1"/>
        <v>9</v>
      </c>
      <c r="M32" s="15">
        <f t="shared" si="3"/>
        <v>3.5727777777777781</v>
      </c>
      <c r="O32" s="17">
        <v>41486</v>
      </c>
      <c r="P32" s="15">
        <f t="shared" si="4"/>
        <v>4.6705040054490201</v>
      </c>
      <c r="Q32" s="15">
        <f t="shared" si="5"/>
        <v>4.3152380952380955</v>
      </c>
      <c r="R32" s="15">
        <f t="shared" si="6"/>
        <v>0.35526591021092457</v>
      </c>
    </row>
    <row r="33" spans="2:18" x14ac:dyDescent="0.25">
      <c r="B33" s="13">
        <f t="shared" si="2"/>
        <v>37802</v>
      </c>
      <c r="C33" s="13">
        <v>37803</v>
      </c>
      <c r="D33" s="15">
        <v>6.5425053781685296</v>
      </c>
      <c r="G33" s="13">
        <v>42046</v>
      </c>
      <c r="H33" s="15">
        <v>3.69</v>
      </c>
      <c r="I33" s="15">
        <v>0.6</v>
      </c>
      <c r="J33" s="15">
        <v>3.59</v>
      </c>
      <c r="K33" s="15">
        <f t="shared" si="0"/>
        <v>28.495000000000001</v>
      </c>
      <c r="L33" s="15">
        <f t="shared" si="1"/>
        <v>8</v>
      </c>
      <c r="M33" s="15">
        <f t="shared" si="3"/>
        <v>3.5618750000000001</v>
      </c>
      <c r="O33" s="17">
        <v>41516</v>
      </c>
      <c r="P33" s="15">
        <f t="shared" si="4"/>
        <v>4.6534289800810402</v>
      </c>
      <c r="Q33" s="15">
        <f t="shared" si="5"/>
        <v>4.4120454545454555</v>
      </c>
      <c r="R33" s="15">
        <f t="shared" si="6"/>
        <v>0.24138352553558473</v>
      </c>
    </row>
    <row r="34" spans="2:18" x14ac:dyDescent="0.25">
      <c r="B34" s="13">
        <f t="shared" si="2"/>
        <v>37833</v>
      </c>
      <c r="C34" s="13">
        <v>37834</v>
      </c>
      <c r="D34" s="15">
        <v>6.4590147589846296</v>
      </c>
      <c r="G34" s="13">
        <v>42045</v>
      </c>
      <c r="H34" s="15">
        <v>3.69</v>
      </c>
      <c r="I34" s="15">
        <v>0.6</v>
      </c>
      <c r="J34" s="15">
        <v>3.59</v>
      </c>
      <c r="K34" s="15">
        <f t="shared" si="0"/>
        <v>24.905000000000001</v>
      </c>
      <c r="L34" s="15">
        <f t="shared" si="1"/>
        <v>7</v>
      </c>
      <c r="M34" s="15">
        <f t="shared" si="3"/>
        <v>3.5578571428571428</v>
      </c>
      <c r="O34" s="17">
        <v>41547</v>
      </c>
      <c r="P34" s="15">
        <f t="shared" si="4"/>
        <v>4.6436535921033197</v>
      </c>
      <c r="Q34" s="15">
        <f t="shared" si="5"/>
        <v>4.3687499999999995</v>
      </c>
      <c r="R34" s="15">
        <f t="shared" si="6"/>
        <v>0.27490359210332027</v>
      </c>
    </row>
    <row r="35" spans="2:18" x14ac:dyDescent="0.25">
      <c r="B35" s="13">
        <f t="shared" si="2"/>
        <v>37862</v>
      </c>
      <c r="C35" s="13">
        <v>37865</v>
      </c>
      <c r="D35" s="15">
        <v>6.3792497475485499</v>
      </c>
      <c r="G35" s="13">
        <v>42044</v>
      </c>
      <c r="H35" s="15">
        <v>3.69</v>
      </c>
      <c r="I35" s="15">
        <v>0.6</v>
      </c>
      <c r="J35" s="15">
        <v>3.59</v>
      </c>
      <c r="K35" s="15">
        <f t="shared" si="0"/>
        <v>21.315000000000001</v>
      </c>
      <c r="L35" s="15">
        <f t="shared" si="1"/>
        <v>6</v>
      </c>
      <c r="M35" s="15">
        <f t="shared" si="3"/>
        <v>3.5525000000000002</v>
      </c>
      <c r="O35" s="17">
        <v>41578</v>
      </c>
      <c r="P35" s="15">
        <f t="shared" si="4"/>
        <v>4.6346558364573696</v>
      </c>
      <c r="Q35" s="15">
        <f t="shared" si="5"/>
        <v>4.1145454545454561</v>
      </c>
      <c r="R35" s="15">
        <f t="shared" si="6"/>
        <v>0.5201103819119135</v>
      </c>
    </row>
    <row r="36" spans="2:18" x14ac:dyDescent="0.25">
      <c r="B36" s="13">
        <f t="shared" si="2"/>
        <v>37894</v>
      </c>
      <c r="C36" s="13">
        <v>37895</v>
      </c>
      <c r="D36" s="15">
        <v>6.3344524264485704</v>
      </c>
      <c r="G36" s="13">
        <v>42041</v>
      </c>
      <c r="H36" s="15">
        <v>3.69</v>
      </c>
      <c r="I36" s="15">
        <v>0.6</v>
      </c>
      <c r="J36" s="15">
        <v>3.59</v>
      </c>
      <c r="K36" s="15">
        <f t="shared" si="0"/>
        <v>17.725000000000001</v>
      </c>
      <c r="L36" s="15">
        <f t="shared" si="1"/>
        <v>5</v>
      </c>
      <c r="M36" s="15">
        <f t="shared" si="3"/>
        <v>3.5450000000000004</v>
      </c>
      <c r="O36" s="17">
        <v>41607</v>
      </c>
      <c r="P36" s="15">
        <f t="shared" si="4"/>
        <v>4.6259751706737902</v>
      </c>
      <c r="Q36" s="15">
        <f t="shared" si="5"/>
        <v>4.1934210526315789</v>
      </c>
      <c r="R36" s="15">
        <f t="shared" si="6"/>
        <v>0.43255411804221122</v>
      </c>
    </row>
    <row r="37" spans="2:18" x14ac:dyDescent="0.25">
      <c r="B37" s="13">
        <f t="shared" si="2"/>
        <v>37925</v>
      </c>
      <c r="C37" s="13">
        <v>37926</v>
      </c>
      <c r="D37" s="15">
        <v>6.3046085393757201</v>
      </c>
      <c r="G37" s="13">
        <v>42040</v>
      </c>
      <c r="H37" s="15">
        <v>3.69</v>
      </c>
      <c r="I37" s="15">
        <v>0.6</v>
      </c>
      <c r="J37" s="15">
        <v>3.59</v>
      </c>
      <c r="K37" s="15">
        <f t="shared" si="0"/>
        <v>14.135</v>
      </c>
      <c r="L37" s="15">
        <f t="shared" si="1"/>
        <v>4</v>
      </c>
      <c r="M37" s="15">
        <f t="shared" si="3"/>
        <v>3.5337499999999999</v>
      </c>
      <c r="O37" s="17">
        <v>41639</v>
      </c>
      <c r="P37" s="15">
        <f t="shared" si="4"/>
        <v>4.61811048887773</v>
      </c>
      <c r="Q37" s="15">
        <f t="shared" si="5"/>
        <v>4.3926190476190481</v>
      </c>
      <c r="R37" s="15">
        <f t="shared" si="6"/>
        <v>0.22549144125868192</v>
      </c>
    </row>
    <row r="38" spans="2:18" x14ac:dyDescent="0.25">
      <c r="B38" s="13">
        <f t="shared" si="2"/>
        <v>37953</v>
      </c>
      <c r="C38" s="13">
        <v>37956</v>
      </c>
      <c r="D38" s="15">
        <v>6.2819200874416596</v>
      </c>
      <c r="G38" s="13">
        <v>42039</v>
      </c>
      <c r="H38" s="15">
        <v>3.59</v>
      </c>
      <c r="I38" s="15">
        <v>0.7</v>
      </c>
      <c r="J38" s="15">
        <v>3.5150000000000001</v>
      </c>
      <c r="K38" s="15">
        <f t="shared" si="0"/>
        <v>10.545</v>
      </c>
      <c r="L38" s="15">
        <f t="shared" si="1"/>
        <v>3</v>
      </c>
      <c r="M38" s="15">
        <f t="shared" si="3"/>
        <v>3.5150000000000001</v>
      </c>
      <c r="O38" s="17">
        <v>41670</v>
      </c>
      <c r="P38" s="15">
        <f t="shared" si="4"/>
        <v>4.6123161256965197</v>
      </c>
      <c r="Q38" s="15">
        <f t="shared" si="5"/>
        <v>4.3164285714285722</v>
      </c>
      <c r="R38" s="15">
        <f t="shared" si="6"/>
        <v>0.29588755426794755</v>
      </c>
    </row>
    <row r="39" spans="2:18" x14ac:dyDescent="0.25">
      <c r="B39" s="13">
        <f t="shared" si="2"/>
        <v>37986</v>
      </c>
      <c r="C39" s="13">
        <v>37987</v>
      </c>
      <c r="D39" s="15">
        <v>6.2645109377955901</v>
      </c>
      <c r="G39" s="13">
        <v>42038</v>
      </c>
      <c r="H39" s="15">
        <v>3.59</v>
      </c>
      <c r="I39" s="15">
        <v>0.7</v>
      </c>
      <c r="J39" s="15">
        <v>3.5150000000000001</v>
      </c>
      <c r="K39" s="15">
        <f t="shared" si="0"/>
        <v>7.03</v>
      </c>
      <c r="L39" s="15">
        <f t="shared" si="1"/>
        <v>2</v>
      </c>
      <c r="M39" s="15">
        <f t="shared" si="3"/>
        <v>3.5150000000000001</v>
      </c>
      <c r="O39" s="17">
        <v>41698</v>
      </c>
      <c r="P39" s="15">
        <f t="shared" si="4"/>
        <v>4.6074732109581298</v>
      </c>
      <c r="Q39" s="15">
        <f t="shared" si="5"/>
        <v>4.231315789473685</v>
      </c>
      <c r="R39" s="15">
        <f t="shared" si="6"/>
        <v>0.37615742148444475</v>
      </c>
    </row>
    <row r="40" spans="2:18" x14ac:dyDescent="0.25">
      <c r="B40" s="13">
        <f t="shared" si="2"/>
        <v>38016</v>
      </c>
      <c r="C40" s="13">
        <v>38018</v>
      </c>
      <c r="D40" s="15">
        <v>6.2474025795140804</v>
      </c>
      <c r="G40" s="13">
        <v>42037</v>
      </c>
      <c r="H40" s="15">
        <v>3.59</v>
      </c>
      <c r="I40" s="15">
        <v>0.7</v>
      </c>
      <c r="J40" s="15">
        <v>3.5150000000000001</v>
      </c>
      <c r="K40" s="15">
        <f t="shared" si="0"/>
        <v>3.5150000000000001</v>
      </c>
      <c r="L40" s="15">
        <f t="shared" si="1"/>
        <v>1</v>
      </c>
      <c r="M40" s="15">
        <f t="shared" si="3"/>
        <v>3.5150000000000001</v>
      </c>
      <c r="O40" s="17">
        <v>41729</v>
      </c>
      <c r="P40" s="15">
        <f t="shared" si="4"/>
        <v>4.6020514387582301</v>
      </c>
      <c r="Q40" s="15">
        <f t="shared" si="5"/>
        <v>4.2652380952380939</v>
      </c>
      <c r="R40" s="15">
        <f t="shared" si="6"/>
        <v>0.33681334352013614</v>
      </c>
    </row>
    <row r="41" spans="2:18" x14ac:dyDescent="0.25">
      <c r="B41" s="13">
        <f t="shared" si="2"/>
        <v>38044</v>
      </c>
      <c r="C41" s="13">
        <v>38047</v>
      </c>
      <c r="D41" s="15">
        <v>6.2293176772732002</v>
      </c>
      <c r="G41" s="13">
        <v>42034</v>
      </c>
      <c r="H41" s="15">
        <v>3.59</v>
      </c>
      <c r="I41" s="15">
        <v>0.7</v>
      </c>
      <c r="J41" s="15">
        <v>3.5150000000000001</v>
      </c>
      <c r="K41" s="15">
        <f t="shared" si="0"/>
        <v>71.37</v>
      </c>
      <c r="L41" s="15">
        <f t="shared" si="1"/>
        <v>20</v>
      </c>
      <c r="M41" s="15">
        <f t="shared" si="3"/>
        <v>3.5685000000000002</v>
      </c>
      <c r="O41" s="17">
        <v>41759</v>
      </c>
      <c r="P41" s="15">
        <f t="shared" si="4"/>
        <v>4.5969808299056298</v>
      </c>
      <c r="Q41" s="15">
        <f t="shared" si="5"/>
        <v>4.236428571428573</v>
      </c>
      <c r="R41" s="15">
        <f t="shared" si="6"/>
        <v>0.36055225847705685</v>
      </c>
    </row>
    <row r="42" spans="2:18" x14ac:dyDescent="0.25">
      <c r="B42" s="13">
        <f t="shared" si="2"/>
        <v>38077</v>
      </c>
      <c r="C42" s="13">
        <v>38078</v>
      </c>
      <c r="D42" s="15">
        <v>6.2021392027685698</v>
      </c>
      <c r="G42" s="13">
        <v>42033</v>
      </c>
      <c r="H42" s="15">
        <v>3.59</v>
      </c>
      <c r="I42" s="15">
        <v>0.7</v>
      </c>
      <c r="J42" s="15">
        <v>3.5150000000000001</v>
      </c>
      <c r="K42" s="15">
        <f t="shared" si="0"/>
        <v>67.855000000000004</v>
      </c>
      <c r="L42" s="15">
        <f t="shared" si="1"/>
        <v>19</v>
      </c>
      <c r="M42" s="15">
        <f t="shared" si="3"/>
        <v>3.5713157894736844</v>
      </c>
      <c r="O42" s="17">
        <v>41789</v>
      </c>
      <c r="P42" s="15">
        <f t="shared" si="4"/>
        <v>4.5918833919769302</v>
      </c>
      <c r="Q42" s="15">
        <f t="shared" si="5"/>
        <v>4.0647619047619044</v>
      </c>
      <c r="R42" s="15">
        <f t="shared" si="6"/>
        <v>0.52712148721502583</v>
      </c>
    </row>
    <row r="43" spans="2:18" x14ac:dyDescent="0.25">
      <c r="B43" s="13">
        <f t="shared" si="2"/>
        <v>38107</v>
      </c>
      <c r="C43" s="13">
        <v>38108</v>
      </c>
      <c r="D43" s="15">
        <v>6.1755950636347503</v>
      </c>
      <c r="G43" s="13">
        <v>42032</v>
      </c>
      <c r="H43" s="15">
        <v>3.66</v>
      </c>
      <c r="I43" s="15">
        <v>0.6</v>
      </c>
      <c r="J43" s="15">
        <v>3.56</v>
      </c>
      <c r="K43" s="15">
        <f t="shared" si="0"/>
        <v>64.34</v>
      </c>
      <c r="L43" s="15">
        <f t="shared" si="1"/>
        <v>18</v>
      </c>
      <c r="M43" s="15">
        <f t="shared" si="3"/>
        <v>3.5744444444444445</v>
      </c>
      <c r="O43" s="17">
        <v>41820</v>
      </c>
      <c r="P43" s="15">
        <f t="shared" si="4"/>
        <v>4.5858312437735398</v>
      </c>
      <c r="Q43" s="15">
        <f t="shared" si="5"/>
        <v>4.0454761904761911</v>
      </c>
      <c r="R43" s="15">
        <f t="shared" si="6"/>
        <v>0.54035505329734868</v>
      </c>
    </row>
    <row r="44" spans="2:18" x14ac:dyDescent="0.25">
      <c r="B44" s="13">
        <f t="shared" si="2"/>
        <v>38138</v>
      </c>
      <c r="C44" s="13">
        <v>38139</v>
      </c>
      <c r="D44" s="15">
        <v>6.1558719757116096</v>
      </c>
      <c r="G44" s="13">
        <v>42031</v>
      </c>
      <c r="H44" s="15">
        <v>3.66</v>
      </c>
      <c r="I44" s="15">
        <v>0.6</v>
      </c>
      <c r="J44" s="15">
        <v>3.56</v>
      </c>
      <c r="K44" s="15">
        <f t="shared" si="0"/>
        <v>60.78</v>
      </c>
      <c r="L44" s="15">
        <f t="shared" si="1"/>
        <v>17</v>
      </c>
      <c r="M44" s="15">
        <f t="shared" si="3"/>
        <v>3.5752941176470587</v>
      </c>
      <c r="O44" s="17">
        <v>41851</v>
      </c>
      <c r="P44" s="15">
        <f t="shared" si="4"/>
        <v>4.5792978774360797</v>
      </c>
      <c r="Q44" s="15">
        <f t="shared" si="5"/>
        <v>4.0343181818181808</v>
      </c>
      <c r="R44" s="15">
        <f t="shared" si="6"/>
        <v>0.54497969561789894</v>
      </c>
    </row>
    <row r="45" spans="2:18" x14ac:dyDescent="0.25">
      <c r="B45" s="13">
        <f t="shared" si="2"/>
        <v>38168</v>
      </c>
      <c r="C45" s="13">
        <v>38169</v>
      </c>
      <c r="D45" s="15">
        <v>6.1467065942020804</v>
      </c>
      <c r="G45" s="13">
        <v>42030</v>
      </c>
      <c r="H45" s="15">
        <v>3.66</v>
      </c>
      <c r="I45" s="15">
        <v>0.6</v>
      </c>
      <c r="J45" s="15">
        <v>3.56</v>
      </c>
      <c r="K45" s="15">
        <f t="shared" si="0"/>
        <v>57.22</v>
      </c>
      <c r="L45" s="15">
        <f t="shared" si="1"/>
        <v>16</v>
      </c>
      <c r="M45" s="15">
        <f t="shared" si="3"/>
        <v>3.5762499999999999</v>
      </c>
      <c r="O45" s="17">
        <v>41880</v>
      </c>
      <c r="P45" s="15">
        <f t="shared" si="4"/>
        <v>4.5722568157169796</v>
      </c>
      <c r="Q45" s="15">
        <f t="shared" si="5"/>
        <v>4.0028571428571418</v>
      </c>
      <c r="R45" s="15">
        <f t="shared" si="6"/>
        <v>0.56939967285983784</v>
      </c>
    </row>
    <row r="46" spans="2:18" x14ac:dyDescent="0.25">
      <c r="B46" s="13">
        <f t="shared" si="2"/>
        <v>38198</v>
      </c>
      <c r="C46" s="13">
        <v>38200</v>
      </c>
      <c r="D46" s="15">
        <v>6.1421875026844299</v>
      </c>
      <c r="G46" s="13">
        <v>42027</v>
      </c>
      <c r="H46" s="15">
        <v>3.66</v>
      </c>
      <c r="I46" s="15">
        <v>0.6</v>
      </c>
      <c r="J46" s="15">
        <v>3.56</v>
      </c>
      <c r="K46" s="15">
        <f t="shared" si="0"/>
        <v>53.66</v>
      </c>
      <c r="L46" s="15">
        <f t="shared" si="1"/>
        <v>15</v>
      </c>
      <c r="M46" s="15">
        <f t="shared" si="3"/>
        <v>3.5773333333333333</v>
      </c>
      <c r="O46" s="17">
        <v>41912</v>
      </c>
      <c r="P46" s="15">
        <f t="shared" si="4"/>
        <v>4.56589439066643</v>
      </c>
      <c r="Q46" s="15">
        <f t="shared" si="5"/>
        <v>4.0469047619047647</v>
      </c>
      <c r="R46" s="15">
        <f t="shared" si="6"/>
        <v>0.51898962876166532</v>
      </c>
    </row>
    <row r="47" spans="2:18" x14ac:dyDescent="0.25">
      <c r="B47" s="13">
        <f t="shared" si="2"/>
        <v>38230</v>
      </c>
      <c r="C47" s="13">
        <v>38231</v>
      </c>
      <c r="D47" s="15">
        <v>6.1360962416500202</v>
      </c>
      <c r="G47" s="13">
        <v>42026</v>
      </c>
      <c r="H47" s="15">
        <v>3.66</v>
      </c>
      <c r="I47" s="15">
        <v>0.6</v>
      </c>
      <c r="J47" s="15">
        <v>3.56</v>
      </c>
      <c r="K47" s="15">
        <f t="shared" si="0"/>
        <v>50.099999999999994</v>
      </c>
      <c r="L47" s="15">
        <f t="shared" si="1"/>
        <v>14</v>
      </c>
      <c r="M47" s="15">
        <f t="shared" si="3"/>
        <v>3.5785714285714283</v>
      </c>
      <c r="O47" s="17">
        <v>41943</v>
      </c>
      <c r="P47" s="15">
        <f t="shared" si="4"/>
        <v>4.5602421215425704</v>
      </c>
      <c r="Q47" s="15">
        <f t="shared" si="5"/>
        <v>3.8834090909090917</v>
      </c>
      <c r="R47" s="15">
        <f t="shared" si="6"/>
        <v>0.67683303063347866</v>
      </c>
    </row>
    <row r="48" spans="2:18" x14ac:dyDescent="0.25">
      <c r="B48" s="13">
        <f t="shared" si="2"/>
        <v>38260</v>
      </c>
      <c r="C48" s="13">
        <v>38261</v>
      </c>
      <c r="D48" s="15">
        <v>6.1283198780861303</v>
      </c>
      <c r="G48" s="13">
        <v>42025</v>
      </c>
      <c r="H48" s="15">
        <v>3.63</v>
      </c>
      <c r="I48" s="15">
        <v>0.7</v>
      </c>
      <c r="J48" s="15">
        <v>3.5550000000000002</v>
      </c>
      <c r="K48" s="15">
        <f t="shared" si="0"/>
        <v>46.539999999999992</v>
      </c>
      <c r="L48" s="15">
        <f t="shared" si="1"/>
        <v>13</v>
      </c>
      <c r="M48" s="15">
        <f t="shared" si="3"/>
        <v>3.5799999999999992</v>
      </c>
      <c r="O48" s="17">
        <v>41971</v>
      </c>
      <c r="P48" s="15">
        <f t="shared" si="4"/>
        <v>4.5528471823468299</v>
      </c>
      <c r="Q48" s="15">
        <f t="shared" si="5"/>
        <v>3.8633333333333337</v>
      </c>
      <c r="R48" s="15">
        <f t="shared" si="6"/>
        <v>0.68951384901349622</v>
      </c>
    </row>
    <row r="49" spans="2:18" x14ac:dyDescent="0.25">
      <c r="B49" s="13">
        <f t="shared" si="2"/>
        <v>38289</v>
      </c>
      <c r="C49" s="13">
        <v>38292</v>
      </c>
      <c r="D49" s="15">
        <v>6.1183808171805696</v>
      </c>
      <c r="G49" s="13">
        <v>42024</v>
      </c>
      <c r="H49" s="15">
        <v>3.63</v>
      </c>
      <c r="I49" s="15">
        <v>0.7</v>
      </c>
      <c r="J49" s="15">
        <v>3.5550000000000002</v>
      </c>
      <c r="K49" s="15">
        <f t="shared" si="0"/>
        <v>42.984999999999992</v>
      </c>
      <c r="L49" s="15">
        <f t="shared" si="1"/>
        <v>12</v>
      </c>
      <c r="M49" s="15">
        <f t="shared" si="3"/>
        <v>3.5820833333333328</v>
      </c>
      <c r="O49" s="17">
        <v>42004</v>
      </c>
      <c r="P49" s="15">
        <f t="shared" si="4"/>
        <v>4.5446755242495396</v>
      </c>
      <c r="Q49" s="15">
        <f t="shared" si="5"/>
        <v>3.7522727272727265</v>
      </c>
      <c r="R49" s="15">
        <f t="shared" si="6"/>
        <v>0.79240279697681304</v>
      </c>
    </row>
    <row r="50" spans="2:18" x14ac:dyDescent="0.25">
      <c r="B50" s="13">
        <f t="shared" si="2"/>
        <v>38321</v>
      </c>
      <c r="C50" s="13">
        <v>38322</v>
      </c>
      <c r="D50" s="15">
        <v>6.1080721751256499</v>
      </c>
      <c r="G50" s="13">
        <v>42020</v>
      </c>
      <c r="H50" s="15">
        <v>3.63</v>
      </c>
      <c r="I50" s="15">
        <v>0.7</v>
      </c>
      <c r="J50" s="15">
        <v>3.5550000000000002</v>
      </c>
      <c r="K50" s="15">
        <f t="shared" si="0"/>
        <v>39.429999999999993</v>
      </c>
      <c r="L50" s="15">
        <f t="shared" si="1"/>
        <v>11</v>
      </c>
      <c r="M50" s="15">
        <f t="shared" si="3"/>
        <v>3.584545454545454</v>
      </c>
      <c r="O50" s="17">
        <v>42034</v>
      </c>
      <c r="P50" s="15">
        <f t="shared" si="4"/>
        <v>4.53618658666276</v>
      </c>
      <c r="Q50" s="15">
        <f t="shared" si="5"/>
        <v>3.5685000000000002</v>
      </c>
      <c r="R50" s="15">
        <f t="shared" si="6"/>
        <v>0.96768658666275975</v>
      </c>
    </row>
    <row r="51" spans="2:18" x14ac:dyDescent="0.25">
      <c r="B51" s="13">
        <f t="shared" si="2"/>
        <v>38352</v>
      </c>
      <c r="C51" s="13">
        <v>38353</v>
      </c>
      <c r="D51" s="15">
        <v>6.0967223586045796</v>
      </c>
      <c r="G51" s="13">
        <v>42019</v>
      </c>
      <c r="H51" s="15">
        <v>3.63</v>
      </c>
      <c r="I51" s="15">
        <v>0.7</v>
      </c>
      <c r="J51" s="15">
        <v>3.5550000000000002</v>
      </c>
      <c r="K51" s="15">
        <f t="shared" si="0"/>
        <v>35.874999999999993</v>
      </c>
      <c r="L51" s="15">
        <f t="shared" si="1"/>
        <v>10</v>
      </c>
      <c r="M51" s="15">
        <f t="shared" si="3"/>
        <v>3.5874999999999995</v>
      </c>
      <c r="O51" s="17">
        <v>42062</v>
      </c>
      <c r="P51" s="15">
        <f t="shared" si="4"/>
        <v>4.5240642212505904</v>
      </c>
      <c r="Q51" s="15">
        <f t="shared" si="5"/>
        <v>3.6281578947368431</v>
      </c>
      <c r="R51" s="15">
        <f t="shared" si="6"/>
        <v>0.89590632651374724</v>
      </c>
    </row>
    <row r="52" spans="2:18" x14ac:dyDescent="0.25">
      <c r="B52" s="13">
        <f t="shared" si="2"/>
        <v>38383</v>
      </c>
      <c r="C52" s="13">
        <v>38384</v>
      </c>
      <c r="D52" s="15">
        <v>6.0882423130064396</v>
      </c>
      <c r="G52" s="13">
        <v>42018</v>
      </c>
      <c r="H52" s="15">
        <v>3.66</v>
      </c>
      <c r="I52" s="15">
        <v>0.6</v>
      </c>
      <c r="J52" s="15">
        <v>3.56</v>
      </c>
      <c r="K52" s="15">
        <f t="shared" si="0"/>
        <v>32.319999999999993</v>
      </c>
      <c r="L52" s="15">
        <f t="shared" si="1"/>
        <v>9</v>
      </c>
      <c r="M52" s="15">
        <f t="shared" si="3"/>
        <v>3.5911111111111103</v>
      </c>
    </row>
    <row r="53" spans="2:18" x14ac:dyDescent="0.25">
      <c r="B53" s="13">
        <f t="shared" si="2"/>
        <v>38411</v>
      </c>
      <c r="C53" s="13">
        <v>38412</v>
      </c>
      <c r="D53" s="15">
        <v>6.0785938874519898</v>
      </c>
      <c r="G53" s="13">
        <v>42017</v>
      </c>
      <c r="H53" s="15">
        <v>3.66</v>
      </c>
      <c r="I53" s="15">
        <v>0.6</v>
      </c>
      <c r="J53" s="15">
        <v>3.56</v>
      </c>
      <c r="K53" s="15">
        <f t="shared" si="0"/>
        <v>28.759999999999994</v>
      </c>
      <c r="L53" s="15">
        <f t="shared" si="1"/>
        <v>8</v>
      </c>
      <c r="M53" s="15">
        <f t="shared" si="3"/>
        <v>3.5949999999999993</v>
      </c>
    </row>
    <row r="54" spans="2:18" x14ac:dyDescent="0.25">
      <c r="B54" s="13">
        <f t="shared" si="2"/>
        <v>38442</v>
      </c>
      <c r="C54" s="13">
        <v>38443</v>
      </c>
      <c r="D54" s="15">
        <v>6.0668000832245799</v>
      </c>
      <c r="G54" s="13">
        <v>42016</v>
      </c>
      <c r="H54" s="15">
        <v>3.66</v>
      </c>
      <c r="I54" s="15">
        <v>0.6</v>
      </c>
      <c r="J54" s="15">
        <v>3.56</v>
      </c>
      <c r="K54" s="15">
        <f t="shared" si="0"/>
        <v>25.199999999999996</v>
      </c>
      <c r="L54" s="15">
        <f t="shared" si="1"/>
        <v>7</v>
      </c>
      <c r="M54" s="15">
        <f t="shared" si="3"/>
        <v>3.5999999999999992</v>
      </c>
    </row>
    <row r="55" spans="2:18" x14ac:dyDescent="0.25">
      <c r="B55" s="13">
        <f t="shared" si="2"/>
        <v>38471</v>
      </c>
      <c r="C55" s="13">
        <v>38473</v>
      </c>
      <c r="D55" s="15">
        <v>6.0593567559784596</v>
      </c>
      <c r="G55" s="13">
        <v>42013</v>
      </c>
      <c r="H55" s="15">
        <v>3.66</v>
      </c>
      <c r="I55" s="15">
        <v>0.6</v>
      </c>
      <c r="J55" s="15">
        <v>3.56</v>
      </c>
      <c r="K55" s="15">
        <f t="shared" si="0"/>
        <v>21.639999999999997</v>
      </c>
      <c r="L55" s="15">
        <f t="shared" si="1"/>
        <v>6</v>
      </c>
      <c r="M55" s="15">
        <f t="shared" si="3"/>
        <v>3.606666666666666</v>
      </c>
    </row>
    <row r="56" spans="2:18" x14ac:dyDescent="0.25">
      <c r="B56" s="13">
        <f t="shared" si="2"/>
        <v>38503</v>
      </c>
      <c r="C56" s="13">
        <v>38504</v>
      </c>
      <c r="D56" s="15">
        <v>6.0534152973953503</v>
      </c>
      <c r="G56" s="13">
        <v>42012</v>
      </c>
      <c r="H56" s="15">
        <v>3.66</v>
      </c>
      <c r="I56" s="15">
        <v>0.6</v>
      </c>
      <c r="J56" s="15">
        <v>3.56</v>
      </c>
      <c r="K56" s="15">
        <f t="shared" si="0"/>
        <v>18.079999999999998</v>
      </c>
      <c r="L56" s="15">
        <f t="shared" si="1"/>
        <v>5</v>
      </c>
      <c r="M56" s="15">
        <f t="shared" si="3"/>
        <v>3.6159999999999997</v>
      </c>
    </row>
    <row r="57" spans="2:18" x14ac:dyDescent="0.25">
      <c r="B57" s="13">
        <f t="shared" si="2"/>
        <v>38533</v>
      </c>
      <c r="C57" s="13">
        <v>38534</v>
      </c>
      <c r="D57" s="15">
        <v>6.0442837025672098</v>
      </c>
      <c r="G57" s="13">
        <v>42011</v>
      </c>
      <c r="H57" s="15">
        <v>3.73</v>
      </c>
      <c r="I57" s="15">
        <v>0.6</v>
      </c>
      <c r="J57" s="15">
        <v>3.63</v>
      </c>
      <c r="K57" s="15">
        <f t="shared" si="0"/>
        <v>14.52</v>
      </c>
      <c r="L57" s="15">
        <f t="shared" si="1"/>
        <v>4</v>
      </c>
      <c r="M57" s="15">
        <f t="shared" si="3"/>
        <v>3.63</v>
      </c>
    </row>
    <row r="58" spans="2:18" x14ac:dyDescent="0.25">
      <c r="B58" s="13">
        <f t="shared" si="2"/>
        <v>38562</v>
      </c>
      <c r="C58" s="13">
        <v>38565</v>
      </c>
      <c r="D58" s="15">
        <v>6.0330389042446102</v>
      </c>
      <c r="G58" s="13">
        <v>42010</v>
      </c>
      <c r="H58" s="15">
        <v>3.73</v>
      </c>
      <c r="I58" s="15">
        <v>0.6</v>
      </c>
      <c r="J58" s="15">
        <v>3.63</v>
      </c>
      <c r="K58" s="15">
        <f t="shared" si="0"/>
        <v>10.89</v>
      </c>
      <c r="L58" s="15">
        <f t="shared" si="1"/>
        <v>3</v>
      </c>
      <c r="M58" s="15">
        <f t="shared" si="3"/>
        <v>3.6300000000000003</v>
      </c>
    </row>
    <row r="59" spans="2:18" x14ac:dyDescent="0.25">
      <c r="B59" s="13">
        <f t="shared" si="2"/>
        <v>38595</v>
      </c>
      <c r="C59" s="13">
        <v>38596</v>
      </c>
      <c r="D59" s="15">
        <v>6.0224193008816798</v>
      </c>
      <c r="G59" s="13">
        <v>42009</v>
      </c>
      <c r="H59" s="15">
        <v>3.73</v>
      </c>
      <c r="I59" s="15">
        <v>0.6</v>
      </c>
      <c r="J59" s="15">
        <v>3.63</v>
      </c>
      <c r="K59" s="15">
        <f t="shared" si="0"/>
        <v>7.26</v>
      </c>
      <c r="L59" s="15">
        <f t="shared" si="1"/>
        <v>2</v>
      </c>
      <c r="M59" s="15">
        <f t="shared" si="3"/>
        <v>3.63</v>
      </c>
    </row>
    <row r="60" spans="2:18" x14ac:dyDescent="0.25">
      <c r="B60" s="13">
        <f t="shared" si="2"/>
        <v>38625</v>
      </c>
      <c r="C60" s="13">
        <v>38626</v>
      </c>
      <c r="D60" s="15">
        <v>6.0150666133711299</v>
      </c>
      <c r="G60" s="13">
        <v>42006</v>
      </c>
      <c r="H60" s="15">
        <v>3.73</v>
      </c>
      <c r="I60" s="15">
        <v>0.6</v>
      </c>
      <c r="J60" s="15">
        <v>3.63</v>
      </c>
      <c r="K60" s="15">
        <f t="shared" si="0"/>
        <v>3.63</v>
      </c>
      <c r="L60" s="15">
        <f t="shared" si="1"/>
        <v>1</v>
      </c>
      <c r="M60" s="15">
        <f t="shared" si="3"/>
        <v>3.63</v>
      </c>
    </row>
    <row r="61" spans="2:18" x14ac:dyDescent="0.25">
      <c r="B61" s="13">
        <f t="shared" si="2"/>
        <v>38656</v>
      </c>
      <c r="C61" s="13">
        <v>38657</v>
      </c>
      <c r="D61" s="15">
        <v>6.0095922398203498</v>
      </c>
      <c r="G61" s="13">
        <v>42004</v>
      </c>
      <c r="H61" s="15">
        <v>3.87</v>
      </c>
      <c r="I61" s="15">
        <v>0.6</v>
      </c>
      <c r="J61" s="15">
        <v>3.77</v>
      </c>
      <c r="K61" s="15">
        <f t="shared" si="0"/>
        <v>82.549999999999983</v>
      </c>
      <c r="L61" s="15">
        <f t="shared" si="1"/>
        <v>22</v>
      </c>
      <c r="M61" s="15">
        <f t="shared" si="3"/>
        <v>3.7522727272727265</v>
      </c>
    </row>
    <row r="62" spans="2:18" x14ac:dyDescent="0.25">
      <c r="B62" s="13">
        <f t="shared" si="2"/>
        <v>38686</v>
      </c>
      <c r="C62" s="13">
        <v>38687</v>
      </c>
      <c r="D62" s="15">
        <v>6.00810374146503</v>
      </c>
      <c r="G62" s="13">
        <v>42002</v>
      </c>
      <c r="H62" s="15">
        <v>3.87</v>
      </c>
      <c r="I62" s="15">
        <v>0.6</v>
      </c>
      <c r="J62" s="15">
        <v>3.77</v>
      </c>
      <c r="K62" s="15">
        <f t="shared" si="0"/>
        <v>78.779999999999987</v>
      </c>
      <c r="L62" s="15">
        <f t="shared" si="1"/>
        <v>21</v>
      </c>
      <c r="M62" s="15">
        <f t="shared" si="3"/>
        <v>3.7514285714285709</v>
      </c>
    </row>
    <row r="63" spans="2:18" x14ac:dyDescent="0.25">
      <c r="B63" s="13">
        <f t="shared" si="2"/>
        <v>38716</v>
      </c>
      <c r="C63" s="13">
        <v>38718</v>
      </c>
      <c r="D63" s="15">
        <v>6.0114448276697701</v>
      </c>
      <c r="G63" s="13">
        <v>41999</v>
      </c>
      <c r="H63" s="15">
        <v>3.87</v>
      </c>
      <c r="I63" s="15">
        <v>0.6</v>
      </c>
      <c r="J63" s="15">
        <v>3.77</v>
      </c>
      <c r="K63" s="15">
        <f t="shared" si="0"/>
        <v>75.009999999999991</v>
      </c>
      <c r="L63" s="15">
        <f t="shared" si="1"/>
        <v>20</v>
      </c>
      <c r="M63" s="15">
        <f t="shared" si="3"/>
        <v>3.7504999999999997</v>
      </c>
    </row>
    <row r="64" spans="2:18" x14ac:dyDescent="0.25">
      <c r="B64" s="13">
        <f t="shared" si="2"/>
        <v>38748</v>
      </c>
      <c r="C64" s="13">
        <v>38749</v>
      </c>
      <c r="D64" s="15">
        <v>6.0154132596131404</v>
      </c>
      <c r="G64" s="13">
        <v>41997</v>
      </c>
      <c r="H64" s="15">
        <v>3.87</v>
      </c>
      <c r="I64" s="15">
        <v>0.6</v>
      </c>
      <c r="J64" s="15">
        <v>3.77</v>
      </c>
      <c r="K64" s="15">
        <f t="shared" si="0"/>
        <v>71.239999999999995</v>
      </c>
      <c r="L64" s="15">
        <f t="shared" si="1"/>
        <v>19</v>
      </c>
      <c r="M64" s="15">
        <f t="shared" si="3"/>
        <v>3.7494736842105261</v>
      </c>
    </row>
    <row r="65" spans="2:13" x14ac:dyDescent="0.25">
      <c r="B65" s="13">
        <f t="shared" si="2"/>
        <v>38776</v>
      </c>
      <c r="C65" s="13">
        <v>38777</v>
      </c>
      <c r="D65" s="15">
        <v>6.0200183295153602</v>
      </c>
      <c r="G65" s="13">
        <v>41996</v>
      </c>
      <c r="H65" s="15">
        <v>3.83</v>
      </c>
      <c r="I65" s="15">
        <v>0.6</v>
      </c>
      <c r="J65" s="15">
        <v>3.73</v>
      </c>
      <c r="K65" s="15">
        <f t="shared" si="0"/>
        <v>67.47</v>
      </c>
      <c r="L65" s="15">
        <f t="shared" si="1"/>
        <v>18</v>
      </c>
      <c r="M65" s="15">
        <f t="shared" si="3"/>
        <v>3.7483333333333331</v>
      </c>
    </row>
    <row r="66" spans="2:13" x14ac:dyDescent="0.25">
      <c r="B66" s="13">
        <f t="shared" si="2"/>
        <v>38807</v>
      </c>
      <c r="C66" s="13">
        <v>38808</v>
      </c>
      <c r="D66" s="15">
        <v>6.0247026465371096</v>
      </c>
      <c r="G66" s="13">
        <v>41995</v>
      </c>
      <c r="H66" s="15">
        <v>3.83</v>
      </c>
      <c r="I66" s="15">
        <v>0.6</v>
      </c>
      <c r="J66" s="15">
        <v>3.73</v>
      </c>
      <c r="K66" s="15">
        <f t="shared" si="0"/>
        <v>63.74</v>
      </c>
      <c r="L66" s="15">
        <f t="shared" si="1"/>
        <v>17</v>
      </c>
      <c r="M66" s="15">
        <f t="shared" si="3"/>
        <v>3.7494117647058824</v>
      </c>
    </row>
    <row r="67" spans="2:13" x14ac:dyDescent="0.25">
      <c r="B67" s="13">
        <f t="shared" si="2"/>
        <v>38835</v>
      </c>
      <c r="C67" s="13">
        <v>38838</v>
      </c>
      <c r="D67" s="15">
        <v>6.0321812195439097</v>
      </c>
      <c r="G67" s="13">
        <v>41992</v>
      </c>
      <c r="H67" s="15">
        <v>3.83</v>
      </c>
      <c r="I67" s="15">
        <v>0.6</v>
      </c>
      <c r="J67" s="15">
        <v>3.73</v>
      </c>
      <c r="K67" s="15">
        <f t="shared" si="0"/>
        <v>60.010000000000005</v>
      </c>
      <c r="L67" s="15">
        <f t="shared" si="1"/>
        <v>16</v>
      </c>
      <c r="M67" s="15">
        <f t="shared" si="3"/>
        <v>3.7506250000000003</v>
      </c>
    </row>
    <row r="68" spans="2:13" x14ac:dyDescent="0.25">
      <c r="B68" s="13">
        <f t="shared" si="2"/>
        <v>38868</v>
      </c>
      <c r="C68" s="13">
        <v>38869</v>
      </c>
      <c r="D68" s="15">
        <v>6.0428022320421197</v>
      </c>
      <c r="G68" s="13">
        <v>41991</v>
      </c>
      <c r="H68" s="15">
        <v>3.83</v>
      </c>
      <c r="I68" s="15">
        <v>0.6</v>
      </c>
      <c r="J68" s="15">
        <v>3.73</v>
      </c>
      <c r="K68" s="15">
        <f t="shared" ref="K68:K131" si="7">IF(MONTH(G68)=MONTH(G69),J68+K69,J68)</f>
        <v>56.280000000000008</v>
      </c>
      <c r="L68" s="15">
        <f t="shared" ref="L68:L131" si="8">IF(MONTH(G68)=MONTH(G69),L69+1,1)</f>
        <v>15</v>
      </c>
      <c r="M68" s="15">
        <f t="shared" si="3"/>
        <v>3.7520000000000007</v>
      </c>
    </row>
    <row r="69" spans="2:13" x14ac:dyDescent="0.25">
      <c r="B69" s="13">
        <f t="shared" ref="B69:B132" si="9">WORKDAY(C69,-1,)</f>
        <v>38898</v>
      </c>
      <c r="C69" s="13">
        <v>38899</v>
      </c>
      <c r="D69" s="15">
        <v>6.0550007104116101</v>
      </c>
      <c r="G69" s="13">
        <v>41990</v>
      </c>
      <c r="H69" s="15">
        <v>3.8</v>
      </c>
      <c r="I69" s="15">
        <v>0.6</v>
      </c>
      <c r="J69" s="15">
        <v>3.7</v>
      </c>
      <c r="K69" s="15">
        <f t="shared" si="7"/>
        <v>52.550000000000011</v>
      </c>
      <c r="L69" s="15">
        <f t="shared" si="8"/>
        <v>14</v>
      </c>
      <c r="M69" s="15">
        <f t="shared" ref="M69:M132" si="10">K69/L69</f>
        <v>3.7535714285714294</v>
      </c>
    </row>
    <row r="70" spans="2:13" x14ac:dyDescent="0.25">
      <c r="B70" s="13">
        <f t="shared" si="9"/>
        <v>38929</v>
      </c>
      <c r="C70" s="13">
        <v>38930</v>
      </c>
      <c r="D70" s="15">
        <v>6.0697856531146401</v>
      </c>
      <c r="G70" s="13">
        <v>41990</v>
      </c>
      <c r="H70" s="15">
        <v>3.83</v>
      </c>
      <c r="I70" s="15">
        <v>0.6</v>
      </c>
      <c r="J70" s="15">
        <v>3.73</v>
      </c>
      <c r="K70" s="15">
        <f t="shared" si="7"/>
        <v>48.850000000000009</v>
      </c>
      <c r="L70" s="15">
        <f t="shared" si="8"/>
        <v>13</v>
      </c>
      <c r="M70" s="15">
        <f t="shared" si="10"/>
        <v>3.7576923076923086</v>
      </c>
    </row>
    <row r="71" spans="2:13" x14ac:dyDescent="0.25">
      <c r="B71" s="13">
        <f t="shared" si="9"/>
        <v>38960</v>
      </c>
      <c r="C71" s="13">
        <v>38961</v>
      </c>
      <c r="D71" s="15">
        <v>6.0837266053371</v>
      </c>
      <c r="G71" s="13">
        <v>41989</v>
      </c>
      <c r="H71" s="15">
        <v>3.8</v>
      </c>
      <c r="I71" s="15">
        <v>0.6</v>
      </c>
      <c r="J71" s="15">
        <v>3.7</v>
      </c>
      <c r="K71" s="15">
        <f t="shared" si="7"/>
        <v>45.120000000000012</v>
      </c>
      <c r="L71" s="15">
        <f t="shared" si="8"/>
        <v>12</v>
      </c>
      <c r="M71" s="15">
        <f t="shared" si="10"/>
        <v>3.7600000000000011</v>
      </c>
    </row>
    <row r="72" spans="2:13" x14ac:dyDescent="0.25">
      <c r="B72" s="13">
        <f t="shared" si="9"/>
        <v>38989</v>
      </c>
      <c r="C72" s="13">
        <v>38991</v>
      </c>
      <c r="D72" s="15">
        <v>6.0967656028976602</v>
      </c>
      <c r="G72" s="13">
        <v>41988</v>
      </c>
      <c r="H72" s="15">
        <v>3.8</v>
      </c>
      <c r="I72" s="15">
        <v>0.6</v>
      </c>
      <c r="J72" s="15">
        <v>3.7</v>
      </c>
      <c r="K72" s="15">
        <f t="shared" si="7"/>
        <v>41.420000000000009</v>
      </c>
      <c r="L72" s="15">
        <f t="shared" si="8"/>
        <v>11</v>
      </c>
      <c r="M72" s="15">
        <f t="shared" si="10"/>
        <v>3.7654545454545461</v>
      </c>
    </row>
    <row r="73" spans="2:13" x14ac:dyDescent="0.25">
      <c r="B73" s="13">
        <f t="shared" si="9"/>
        <v>39021</v>
      </c>
      <c r="C73" s="13">
        <v>39022</v>
      </c>
      <c r="D73" s="15">
        <v>6.1050261156587302</v>
      </c>
      <c r="G73" s="13">
        <v>41985</v>
      </c>
      <c r="H73" s="15">
        <v>3.8</v>
      </c>
      <c r="I73" s="15">
        <v>0.6</v>
      </c>
      <c r="J73" s="15">
        <v>3.7</v>
      </c>
      <c r="K73" s="15">
        <f t="shared" si="7"/>
        <v>37.720000000000006</v>
      </c>
      <c r="L73" s="15">
        <f t="shared" si="8"/>
        <v>10</v>
      </c>
      <c r="M73" s="15">
        <f t="shared" si="10"/>
        <v>3.7720000000000007</v>
      </c>
    </row>
    <row r="74" spans="2:13" x14ac:dyDescent="0.25">
      <c r="B74" s="13">
        <f t="shared" si="9"/>
        <v>39051</v>
      </c>
      <c r="C74" s="13">
        <v>39052</v>
      </c>
      <c r="D74" s="15">
        <v>6.11158368669102</v>
      </c>
      <c r="G74" s="13">
        <v>41984</v>
      </c>
      <c r="H74" s="15">
        <v>3.8</v>
      </c>
      <c r="I74" s="15">
        <v>0.6</v>
      </c>
      <c r="J74" s="15">
        <v>3.7</v>
      </c>
      <c r="K74" s="15">
        <f t="shared" si="7"/>
        <v>34.020000000000003</v>
      </c>
      <c r="L74" s="15">
        <f t="shared" si="8"/>
        <v>9</v>
      </c>
      <c r="M74" s="15">
        <f t="shared" si="10"/>
        <v>3.7800000000000002</v>
      </c>
    </row>
    <row r="75" spans="2:13" x14ac:dyDescent="0.25">
      <c r="B75" s="13">
        <f t="shared" si="9"/>
        <v>39080</v>
      </c>
      <c r="C75" s="13">
        <v>39083</v>
      </c>
      <c r="D75" s="15">
        <v>6.1151773281207404</v>
      </c>
      <c r="G75" s="13">
        <v>41983</v>
      </c>
      <c r="H75" s="15">
        <v>3.93</v>
      </c>
      <c r="I75" s="15">
        <v>0.5</v>
      </c>
      <c r="J75" s="15">
        <v>3.8050000000000002</v>
      </c>
      <c r="K75" s="15">
        <f t="shared" si="7"/>
        <v>30.32</v>
      </c>
      <c r="L75" s="15">
        <f t="shared" si="8"/>
        <v>8</v>
      </c>
      <c r="M75" s="15">
        <f t="shared" si="10"/>
        <v>3.79</v>
      </c>
    </row>
    <row r="76" spans="2:13" x14ac:dyDescent="0.25">
      <c r="B76" s="13">
        <f t="shared" si="9"/>
        <v>39113</v>
      </c>
      <c r="C76" s="13">
        <v>39114</v>
      </c>
      <c r="D76" s="15">
        <v>6.1174359987783404</v>
      </c>
      <c r="G76" s="13">
        <v>41982</v>
      </c>
      <c r="H76" s="15">
        <v>3.93</v>
      </c>
      <c r="I76" s="15">
        <v>0.5</v>
      </c>
      <c r="J76" s="15">
        <v>3.8050000000000002</v>
      </c>
      <c r="K76" s="15">
        <f t="shared" si="7"/>
        <v>26.515000000000001</v>
      </c>
      <c r="L76" s="15">
        <f t="shared" si="8"/>
        <v>7</v>
      </c>
      <c r="M76" s="15">
        <f t="shared" si="10"/>
        <v>3.7878571428571428</v>
      </c>
    </row>
    <row r="77" spans="2:13" x14ac:dyDescent="0.25">
      <c r="B77" s="13">
        <f t="shared" si="9"/>
        <v>39141</v>
      </c>
      <c r="C77" s="13">
        <v>39142</v>
      </c>
      <c r="D77" s="15">
        <v>6.1208978214506899</v>
      </c>
      <c r="G77" s="13">
        <v>41981</v>
      </c>
      <c r="H77" s="15">
        <v>3.93</v>
      </c>
      <c r="I77" s="15">
        <v>0.5</v>
      </c>
      <c r="J77" s="15">
        <v>3.8050000000000002</v>
      </c>
      <c r="K77" s="15">
        <f t="shared" si="7"/>
        <v>22.71</v>
      </c>
      <c r="L77" s="15">
        <f t="shared" si="8"/>
        <v>6</v>
      </c>
      <c r="M77" s="15">
        <f t="shared" si="10"/>
        <v>3.7850000000000001</v>
      </c>
    </row>
    <row r="78" spans="2:13" x14ac:dyDescent="0.25">
      <c r="B78" s="13">
        <f t="shared" si="9"/>
        <v>39171</v>
      </c>
      <c r="C78" s="13">
        <v>39173</v>
      </c>
      <c r="D78" s="15">
        <v>6.1248802423649904</v>
      </c>
      <c r="G78" s="13">
        <v>41978</v>
      </c>
      <c r="H78" s="15">
        <v>3.93</v>
      </c>
      <c r="I78" s="15">
        <v>0.5</v>
      </c>
      <c r="J78" s="15">
        <v>3.8050000000000002</v>
      </c>
      <c r="K78" s="15">
        <f t="shared" si="7"/>
        <v>18.905000000000001</v>
      </c>
      <c r="L78" s="15">
        <f t="shared" si="8"/>
        <v>5</v>
      </c>
      <c r="M78" s="15">
        <f t="shared" si="10"/>
        <v>3.7810000000000001</v>
      </c>
    </row>
    <row r="79" spans="2:13" x14ac:dyDescent="0.25">
      <c r="B79" s="13">
        <f t="shared" si="9"/>
        <v>39202</v>
      </c>
      <c r="C79" s="13">
        <v>39203</v>
      </c>
      <c r="D79" s="15">
        <v>6.1283038205221798</v>
      </c>
      <c r="G79" s="13">
        <v>41977</v>
      </c>
      <c r="H79" s="15">
        <v>3.93</v>
      </c>
      <c r="I79" s="15">
        <v>0.5</v>
      </c>
      <c r="J79" s="15">
        <v>3.8050000000000002</v>
      </c>
      <c r="K79" s="15">
        <f t="shared" si="7"/>
        <v>15.1</v>
      </c>
      <c r="L79" s="15">
        <f t="shared" si="8"/>
        <v>4</v>
      </c>
      <c r="M79" s="15">
        <f t="shared" si="10"/>
        <v>3.7749999999999999</v>
      </c>
    </row>
    <row r="80" spans="2:13" x14ac:dyDescent="0.25">
      <c r="B80" s="13">
        <f t="shared" si="9"/>
        <v>39233</v>
      </c>
      <c r="C80" s="13">
        <v>39234</v>
      </c>
      <c r="D80" s="15">
        <v>6.1330324127615699</v>
      </c>
      <c r="G80" s="13">
        <v>41976</v>
      </c>
      <c r="H80" s="15">
        <v>3.89</v>
      </c>
      <c r="I80" s="15">
        <v>0.5</v>
      </c>
      <c r="J80" s="15">
        <v>3.7650000000000001</v>
      </c>
      <c r="K80" s="15">
        <f t="shared" si="7"/>
        <v>11.295</v>
      </c>
      <c r="L80" s="15">
        <f t="shared" si="8"/>
        <v>3</v>
      </c>
      <c r="M80" s="15">
        <f t="shared" si="10"/>
        <v>3.7650000000000001</v>
      </c>
    </row>
    <row r="81" spans="2:13" x14ac:dyDescent="0.25">
      <c r="B81" s="13">
        <f t="shared" si="9"/>
        <v>39262</v>
      </c>
      <c r="C81" s="13">
        <v>39264</v>
      </c>
      <c r="D81" s="15">
        <v>6.1419055944067704</v>
      </c>
      <c r="G81" s="13">
        <v>41975</v>
      </c>
      <c r="H81" s="15">
        <v>3.89</v>
      </c>
      <c r="I81" s="15">
        <v>0.5</v>
      </c>
      <c r="J81" s="15">
        <v>3.7650000000000001</v>
      </c>
      <c r="K81" s="15">
        <f t="shared" si="7"/>
        <v>7.53</v>
      </c>
      <c r="L81" s="15">
        <f t="shared" si="8"/>
        <v>2</v>
      </c>
      <c r="M81" s="15">
        <f t="shared" si="10"/>
        <v>3.7650000000000001</v>
      </c>
    </row>
    <row r="82" spans="2:13" x14ac:dyDescent="0.25">
      <c r="B82" s="13">
        <f t="shared" si="9"/>
        <v>39294</v>
      </c>
      <c r="C82" s="13">
        <v>39295</v>
      </c>
      <c r="D82" s="15">
        <v>6.1541075963807197</v>
      </c>
      <c r="G82" s="13">
        <v>41974</v>
      </c>
      <c r="H82" s="15">
        <v>3.89</v>
      </c>
      <c r="I82" s="15">
        <v>0.5</v>
      </c>
      <c r="J82" s="15">
        <v>3.7650000000000001</v>
      </c>
      <c r="K82" s="15">
        <f t="shared" si="7"/>
        <v>3.7650000000000001</v>
      </c>
      <c r="L82" s="15">
        <f t="shared" si="8"/>
        <v>1</v>
      </c>
      <c r="M82" s="15">
        <f t="shared" si="10"/>
        <v>3.7650000000000001</v>
      </c>
    </row>
    <row r="83" spans="2:13" x14ac:dyDescent="0.25">
      <c r="B83" s="13">
        <f t="shared" si="9"/>
        <v>39325</v>
      </c>
      <c r="C83" s="13">
        <v>39326</v>
      </c>
      <c r="D83" s="15">
        <v>6.1699407294909898</v>
      </c>
      <c r="G83" s="13">
        <v>41971</v>
      </c>
      <c r="H83" s="15">
        <v>3.89</v>
      </c>
      <c r="I83" s="15">
        <v>0.5</v>
      </c>
      <c r="J83" s="15">
        <v>3.7650000000000001</v>
      </c>
      <c r="K83" s="15">
        <f t="shared" si="7"/>
        <v>69.540000000000006</v>
      </c>
      <c r="L83" s="15">
        <f t="shared" si="8"/>
        <v>18</v>
      </c>
      <c r="M83" s="15">
        <f t="shared" si="10"/>
        <v>3.8633333333333337</v>
      </c>
    </row>
    <row r="84" spans="2:13" x14ac:dyDescent="0.25">
      <c r="B84" s="13">
        <f t="shared" si="9"/>
        <v>39353</v>
      </c>
      <c r="C84" s="13">
        <v>39356</v>
      </c>
      <c r="D84" s="15">
        <v>6.1835135173344398</v>
      </c>
      <c r="G84" s="13">
        <v>41968</v>
      </c>
      <c r="H84" s="15">
        <v>3.97</v>
      </c>
      <c r="I84" s="15">
        <v>0.5</v>
      </c>
      <c r="J84" s="15">
        <v>3.8450000000000002</v>
      </c>
      <c r="K84" s="15">
        <f t="shared" si="7"/>
        <v>65.775000000000006</v>
      </c>
      <c r="L84" s="15">
        <f t="shared" si="8"/>
        <v>17</v>
      </c>
      <c r="M84" s="15">
        <f t="shared" si="10"/>
        <v>3.869117647058824</v>
      </c>
    </row>
    <row r="85" spans="2:13" x14ac:dyDescent="0.25">
      <c r="B85" s="13">
        <f t="shared" si="9"/>
        <v>39386</v>
      </c>
      <c r="C85" s="13">
        <v>39387</v>
      </c>
      <c r="D85" s="15">
        <v>6.1936750967948901</v>
      </c>
      <c r="G85" s="13">
        <v>41967</v>
      </c>
      <c r="H85" s="15">
        <v>3.97</v>
      </c>
      <c r="I85" s="15">
        <v>0.5</v>
      </c>
      <c r="J85" s="15">
        <v>3.8450000000000002</v>
      </c>
      <c r="K85" s="15">
        <f t="shared" si="7"/>
        <v>61.93</v>
      </c>
      <c r="L85" s="15">
        <f t="shared" si="8"/>
        <v>16</v>
      </c>
      <c r="M85" s="15">
        <f t="shared" si="10"/>
        <v>3.870625</v>
      </c>
    </row>
    <row r="86" spans="2:13" x14ac:dyDescent="0.25">
      <c r="B86" s="13">
        <f t="shared" si="9"/>
        <v>39416</v>
      </c>
      <c r="C86" s="13">
        <v>39417</v>
      </c>
      <c r="D86" s="15">
        <v>6.2022670055416604</v>
      </c>
      <c r="G86" s="13">
        <v>41964</v>
      </c>
      <c r="H86" s="15">
        <v>3.97</v>
      </c>
      <c r="I86" s="15">
        <v>0.5</v>
      </c>
      <c r="J86" s="15">
        <v>3.8450000000000002</v>
      </c>
      <c r="K86" s="15">
        <f t="shared" si="7"/>
        <v>58.085000000000001</v>
      </c>
      <c r="L86" s="15">
        <f t="shared" si="8"/>
        <v>15</v>
      </c>
      <c r="M86" s="15">
        <f t="shared" si="10"/>
        <v>3.8723333333333332</v>
      </c>
    </row>
    <row r="87" spans="2:13" x14ac:dyDescent="0.25">
      <c r="B87" s="13">
        <f t="shared" si="9"/>
        <v>39447</v>
      </c>
      <c r="C87" s="13">
        <v>39448</v>
      </c>
      <c r="D87" s="15">
        <v>6.2057051806566497</v>
      </c>
      <c r="G87" s="13">
        <v>41963</v>
      </c>
      <c r="H87" s="15">
        <v>3.97</v>
      </c>
      <c r="I87" s="15">
        <v>0.5</v>
      </c>
      <c r="J87" s="15">
        <v>3.8450000000000002</v>
      </c>
      <c r="K87" s="15">
        <f t="shared" si="7"/>
        <v>54.24</v>
      </c>
      <c r="L87" s="15">
        <f t="shared" si="8"/>
        <v>14</v>
      </c>
      <c r="M87" s="15">
        <f t="shared" si="10"/>
        <v>3.8742857142857146</v>
      </c>
    </row>
    <row r="88" spans="2:13" x14ac:dyDescent="0.25">
      <c r="B88" s="13">
        <f t="shared" si="9"/>
        <v>39478</v>
      </c>
      <c r="C88" s="13">
        <v>39479</v>
      </c>
      <c r="D88" s="15">
        <v>6.2021993835017097</v>
      </c>
      <c r="G88" s="13">
        <v>41962</v>
      </c>
      <c r="H88" s="15">
        <v>3.99</v>
      </c>
      <c r="I88" s="15">
        <v>0.5</v>
      </c>
      <c r="J88" s="15">
        <v>3.8650000000000002</v>
      </c>
      <c r="K88" s="15">
        <f t="shared" si="7"/>
        <v>50.395000000000003</v>
      </c>
      <c r="L88" s="15">
        <f t="shared" si="8"/>
        <v>13</v>
      </c>
      <c r="M88" s="15">
        <f t="shared" si="10"/>
        <v>3.8765384615384617</v>
      </c>
    </row>
    <row r="89" spans="2:13" x14ac:dyDescent="0.25">
      <c r="B89" s="13">
        <f t="shared" si="9"/>
        <v>39507</v>
      </c>
      <c r="C89" s="13">
        <v>39508</v>
      </c>
      <c r="D89" s="15">
        <v>6.1930936320383498</v>
      </c>
      <c r="G89" s="13">
        <v>41962</v>
      </c>
      <c r="H89" s="15">
        <v>3.97</v>
      </c>
      <c r="I89" s="15">
        <v>0.5</v>
      </c>
      <c r="J89" s="15">
        <v>3.8450000000000002</v>
      </c>
      <c r="K89" s="15">
        <f t="shared" si="7"/>
        <v>46.53</v>
      </c>
      <c r="L89" s="15">
        <f t="shared" si="8"/>
        <v>12</v>
      </c>
      <c r="M89" s="15">
        <f t="shared" si="10"/>
        <v>3.8774999999999999</v>
      </c>
    </row>
    <row r="90" spans="2:13" x14ac:dyDescent="0.25">
      <c r="B90" s="13">
        <f t="shared" si="9"/>
        <v>39538</v>
      </c>
      <c r="C90" s="13">
        <v>39539</v>
      </c>
      <c r="D90" s="15">
        <v>6.1848396466282702</v>
      </c>
      <c r="G90" s="13">
        <v>41961</v>
      </c>
      <c r="H90" s="15">
        <v>3.99</v>
      </c>
      <c r="I90" s="15">
        <v>0.5</v>
      </c>
      <c r="J90" s="15">
        <v>3.8650000000000002</v>
      </c>
      <c r="K90" s="15">
        <f t="shared" si="7"/>
        <v>42.685000000000002</v>
      </c>
      <c r="L90" s="15">
        <f t="shared" si="8"/>
        <v>11</v>
      </c>
      <c r="M90" s="15">
        <f t="shared" si="10"/>
        <v>3.8804545454545458</v>
      </c>
    </row>
    <row r="91" spans="2:13" x14ac:dyDescent="0.25">
      <c r="B91" s="13">
        <f t="shared" si="9"/>
        <v>39568</v>
      </c>
      <c r="C91" s="13">
        <v>39569</v>
      </c>
      <c r="D91" s="15">
        <v>6.1782766844115304</v>
      </c>
      <c r="G91" s="13">
        <v>41960</v>
      </c>
      <c r="H91" s="15">
        <v>3.99</v>
      </c>
      <c r="I91" s="15">
        <v>0.5</v>
      </c>
      <c r="J91" s="15">
        <v>3.8650000000000002</v>
      </c>
      <c r="K91" s="15">
        <f t="shared" si="7"/>
        <v>38.82</v>
      </c>
      <c r="L91" s="15">
        <f t="shared" si="8"/>
        <v>10</v>
      </c>
      <c r="M91" s="15">
        <f t="shared" si="10"/>
        <v>3.8820000000000001</v>
      </c>
    </row>
    <row r="92" spans="2:13" x14ac:dyDescent="0.25">
      <c r="B92" s="13">
        <f t="shared" si="9"/>
        <v>39598</v>
      </c>
      <c r="C92" s="13">
        <v>39600</v>
      </c>
      <c r="D92" s="15">
        <v>6.1726451947693297</v>
      </c>
      <c r="G92" s="13">
        <v>41957</v>
      </c>
      <c r="H92" s="15">
        <v>3.99</v>
      </c>
      <c r="I92" s="15">
        <v>0.5</v>
      </c>
      <c r="J92" s="15">
        <v>3.8650000000000002</v>
      </c>
      <c r="K92" s="15">
        <f t="shared" si="7"/>
        <v>34.954999999999998</v>
      </c>
      <c r="L92" s="15">
        <f t="shared" si="8"/>
        <v>9</v>
      </c>
      <c r="M92" s="15">
        <f t="shared" si="10"/>
        <v>3.8838888888888885</v>
      </c>
    </row>
    <row r="93" spans="2:13" x14ac:dyDescent="0.25">
      <c r="B93" s="13">
        <f t="shared" si="9"/>
        <v>39629</v>
      </c>
      <c r="C93" s="13">
        <v>39630</v>
      </c>
      <c r="D93" s="15">
        <v>6.17054883921847</v>
      </c>
      <c r="G93" s="13">
        <v>41956</v>
      </c>
      <c r="H93" s="15">
        <v>3.99</v>
      </c>
      <c r="I93" s="15">
        <v>0.5</v>
      </c>
      <c r="J93" s="15">
        <v>3.8650000000000002</v>
      </c>
      <c r="K93" s="15">
        <f t="shared" si="7"/>
        <v>31.089999999999996</v>
      </c>
      <c r="L93" s="15">
        <f t="shared" si="8"/>
        <v>8</v>
      </c>
      <c r="M93" s="15">
        <f t="shared" si="10"/>
        <v>3.8862499999999995</v>
      </c>
    </row>
    <row r="94" spans="2:13" x14ac:dyDescent="0.25">
      <c r="B94" s="13">
        <f t="shared" si="9"/>
        <v>39660</v>
      </c>
      <c r="C94" s="13">
        <v>39661</v>
      </c>
      <c r="D94" s="15">
        <v>6.1715895277030999</v>
      </c>
      <c r="G94" s="13">
        <v>41955</v>
      </c>
      <c r="H94" s="15">
        <v>4.01</v>
      </c>
      <c r="I94" s="15">
        <v>0.5</v>
      </c>
      <c r="J94" s="15">
        <v>3.8849999999999998</v>
      </c>
      <c r="K94" s="15">
        <f t="shared" si="7"/>
        <v>27.224999999999994</v>
      </c>
      <c r="L94" s="15">
        <f t="shared" si="8"/>
        <v>7</v>
      </c>
      <c r="M94" s="15">
        <f t="shared" si="10"/>
        <v>3.8892857142857133</v>
      </c>
    </row>
    <row r="95" spans="2:13" x14ac:dyDescent="0.25">
      <c r="B95" s="13">
        <f t="shared" si="9"/>
        <v>39689</v>
      </c>
      <c r="C95" s="13">
        <v>39692</v>
      </c>
      <c r="D95" s="15">
        <v>6.1752963107168899</v>
      </c>
      <c r="G95" s="13">
        <v>41953</v>
      </c>
      <c r="H95" s="15">
        <v>4.01</v>
      </c>
      <c r="I95" s="15">
        <v>0.5</v>
      </c>
      <c r="J95" s="15">
        <v>3.8849999999999998</v>
      </c>
      <c r="K95" s="15">
        <f t="shared" si="7"/>
        <v>23.339999999999996</v>
      </c>
      <c r="L95" s="15">
        <f t="shared" si="8"/>
        <v>6</v>
      </c>
      <c r="M95" s="15">
        <f t="shared" si="10"/>
        <v>3.8899999999999992</v>
      </c>
    </row>
    <row r="96" spans="2:13" x14ac:dyDescent="0.25">
      <c r="B96" s="13">
        <f t="shared" si="9"/>
        <v>39721</v>
      </c>
      <c r="C96" s="13">
        <v>39722</v>
      </c>
      <c r="D96" s="15">
        <v>6.17650144811582</v>
      </c>
      <c r="G96" s="13">
        <v>41950</v>
      </c>
      <c r="H96" s="15">
        <v>4.01</v>
      </c>
      <c r="I96" s="15">
        <v>0.5</v>
      </c>
      <c r="J96" s="15">
        <v>3.8849999999999998</v>
      </c>
      <c r="K96" s="15">
        <f t="shared" si="7"/>
        <v>19.454999999999998</v>
      </c>
      <c r="L96" s="15">
        <f t="shared" si="8"/>
        <v>5</v>
      </c>
      <c r="M96" s="15">
        <f t="shared" si="10"/>
        <v>3.8909999999999996</v>
      </c>
    </row>
    <row r="97" spans="2:13" x14ac:dyDescent="0.25">
      <c r="B97" s="13">
        <f t="shared" si="9"/>
        <v>39752</v>
      </c>
      <c r="C97" s="13">
        <v>39753</v>
      </c>
      <c r="D97" s="15">
        <v>6.1748878016905904</v>
      </c>
      <c r="G97" s="13">
        <v>41949</v>
      </c>
      <c r="H97" s="15">
        <v>4.01</v>
      </c>
      <c r="I97" s="15">
        <v>0.5</v>
      </c>
      <c r="J97" s="15">
        <v>3.8849999999999998</v>
      </c>
      <c r="K97" s="15">
        <f t="shared" si="7"/>
        <v>15.57</v>
      </c>
      <c r="L97" s="15">
        <f t="shared" si="8"/>
        <v>4</v>
      </c>
      <c r="M97" s="15">
        <f t="shared" si="10"/>
        <v>3.8925000000000001</v>
      </c>
    </row>
    <row r="98" spans="2:13" x14ac:dyDescent="0.25">
      <c r="B98" s="13">
        <f t="shared" si="9"/>
        <v>39780</v>
      </c>
      <c r="C98" s="13">
        <v>39783</v>
      </c>
      <c r="D98" s="15">
        <v>6.1702958742138998</v>
      </c>
      <c r="G98" s="13">
        <v>41948</v>
      </c>
      <c r="H98" s="15">
        <v>4.0199999999999996</v>
      </c>
      <c r="I98" s="15">
        <v>0.5</v>
      </c>
      <c r="J98" s="15">
        <v>3.895</v>
      </c>
      <c r="K98" s="15">
        <f t="shared" si="7"/>
        <v>11.685</v>
      </c>
      <c r="L98" s="15">
        <f t="shared" si="8"/>
        <v>3</v>
      </c>
      <c r="M98" s="15">
        <f t="shared" si="10"/>
        <v>3.895</v>
      </c>
    </row>
    <row r="99" spans="2:13" x14ac:dyDescent="0.25">
      <c r="B99" s="13">
        <f t="shared" si="9"/>
        <v>40329</v>
      </c>
      <c r="C99" s="13">
        <v>40330</v>
      </c>
      <c r="D99" s="15">
        <v>5.74038261403612</v>
      </c>
      <c r="G99" s="13">
        <v>41947</v>
      </c>
      <c r="H99" s="15">
        <v>4.0199999999999996</v>
      </c>
      <c r="I99" s="15">
        <v>0.5</v>
      </c>
      <c r="J99" s="15">
        <v>3.895</v>
      </c>
      <c r="K99" s="15">
        <f t="shared" si="7"/>
        <v>7.79</v>
      </c>
      <c r="L99" s="15">
        <f t="shared" si="8"/>
        <v>2</v>
      </c>
      <c r="M99" s="15">
        <f t="shared" si="10"/>
        <v>3.895</v>
      </c>
    </row>
    <row r="100" spans="2:13" x14ac:dyDescent="0.25">
      <c r="B100" s="13">
        <f t="shared" si="9"/>
        <v>39813</v>
      </c>
      <c r="C100" s="13">
        <v>39814</v>
      </c>
      <c r="D100" s="15">
        <v>6.1646201319513603</v>
      </c>
      <c r="G100" s="13">
        <v>41946</v>
      </c>
      <c r="H100" s="15">
        <v>4.0199999999999996</v>
      </c>
      <c r="I100" s="15">
        <v>0.5</v>
      </c>
      <c r="J100" s="15">
        <v>3.895</v>
      </c>
      <c r="K100" s="15">
        <f t="shared" si="7"/>
        <v>3.895</v>
      </c>
      <c r="L100" s="15">
        <f t="shared" si="8"/>
        <v>1</v>
      </c>
      <c r="M100" s="15">
        <f t="shared" si="10"/>
        <v>3.895</v>
      </c>
    </row>
    <row r="101" spans="2:13" x14ac:dyDescent="0.25">
      <c r="B101" s="13">
        <f t="shared" si="9"/>
        <v>39843</v>
      </c>
      <c r="C101" s="13">
        <v>39845</v>
      </c>
      <c r="D101" s="15">
        <v>6.1416460306786798</v>
      </c>
      <c r="G101" s="13">
        <v>41943</v>
      </c>
      <c r="H101" s="15">
        <v>4.0199999999999996</v>
      </c>
      <c r="I101" s="15">
        <v>0.5</v>
      </c>
      <c r="J101" s="15">
        <v>3.895</v>
      </c>
      <c r="K101" s="15">
        <f t="shared" si="7"/>
        <v>85.435000000000016</v>
      </c>
      <c r="L101" s="15">
        <f t="shared" si="8"/>
        <v>22</v>
      </c>
      <c r="M101" s="15">
        <f t="shared" si="10"/>
        <v>3.8834090909090917</v>
      </c>
    </row>
    <row r="102" spans="2:13" x14ac:dyDescent="0.25">
      <c r="B102" s="13">
        <f t="shared" si="9"/>
        <v>39871</v>
      </c>
      <c r="C102" s="13">
        <v>39873</v>
      </c>
      <c r="D102" s="15">
        <v>6.0941745852813298</v>
      </c>
      <c r="G102" s="13">
        <v>41942</v>
      </c>
      <c r="H102" s="15">
        <v>4.0199999999999996</v>
      </c>
      <c r="I102" s="15">
        <v>0.5</v>
      </c>
      <c r="J102" s="15">
        <v>3.895</v>
      </c>
      <c r="K102" s="15">
        <f t="shared" si="7"/>
        <v>81.54000000000002</v>
      </c>
      <c r="L102" s="15">
        <f t="shared" si="8"/>
        <v>21</v>
      </c>
      <c r="M102" s="15">
        <f t="shared" si="10"/>
        <v>3.8828571428571439</v>
      </c>
    </row>
    <row r="103" spans="2:13" x14ac:dyDescent="0.25">
      <c r="B103" s="13">
        <f t="shared" si="9"/>
        <v>39903</v>
      </c>
      <c r="C103" s="13">
        <v>39904</v>
      </c>
      <c r="D103" s="15">
        <v>6.0659289653431303</v>
      </c>
      <c r="G103" s="13">
        <v>41941</v>
      </c>
      <c r="H103" s="15">
        <v>3.98</v>
      </c>
      <c r="I103" s="15">
        <v>0.5</v>
      </c>
      <c r="J103" s="15">
        <v>3.855</v>
      </c>
      <c r="K103" s="15">
        <f t="shared" si="7"/>
        <v>77.645000000000024</v>
      </c>
      <c r="L103" s="15">
        <f t="shared" si="8"/>
        <v>20</v>
      </c>
      <c r="M103" s="15">
        <f t="shared" si="10"/>
        <v>3.8822500000000013</v>
      </c>
    </row>
    <row r="104" spans="2:13" x14ac:dyDescent="0.25">
      <c r="B104" s="13">
        <f t="shared" si="9"/>
        <v>39933</v>
      </c>
      <c r="C104" s="13">
        <v>39934</v>
      </c>
      <c r="D104" s="15">
        <v>6.0295570630048099</v>
      </c>
      <c r="G104" s="13">
        <v>41940</v>
      </c>
      <c r="H104" s="15">
        <v>3.98</v>
      </c>
      <c r="I104" s="15">
        <v>0.5</v>
      </c>
      <c r="J104" s="15">
        <v>3.855</v>
      </c>
      <c r="K104" s="15">
        <f t="shared" si="7"/>
        <v>73.79000000000002</v>
      </c>
      <c r="L104" s="15">
        <f t="shared" si="8"/>
        <v>19</v>
      </c>
      <c r="M104" s="15">
        <f t="shared" si="10"/>
        <v>3.883684210526317</v>
      </c>
    </row>
    <row r="105" spans="2:13" x14ac:dyDescent="0.25">
      <c r="B105" s="13">
        <f t="shared" si="9"/>
        <v>39962</v>
      </c>
      <c r="C105" s="13">
        <v>39965</v>
      </c>
      <c r="D105" s="15">
        <v>5.9842586230380101</v>
      </c>
      <c r="G105" s="13">
        <v>41939</v>
      </c>
      <c r="H105" s="15">
        <v>3.98</v>
      </c>
      <c r="I105" s="15">
        <v>0.5</v>
      </c>
      <c r="J105" s="15">
        <v>3.855</v>
      </c>
      <c r="K105" s="15">
        <f t="shared" si="7"/>
        <v>69.935000000000016</v>
      </c>
      <c r="L105" s="15">
        <f t="shared" si="8"/>
        <v>18</v>
      </c>
      <c r="M105" s="15">
        <f t="shared" si="10"/>
        <v>3.8852777777777785</v>
      </c>
    </row>
    <row r="106" spans="2:13" x14ac:dyDescent="0.25">
      <c r="B106" s="13">
        <f t="shared" si="9"/>
        <v>39994</v>
      </c>
      <c r="C106" s="13">
        <v>39995</v>
      </c>
      <c r="D106" s="15">
        <v>5.9459184821418702</v>
      </c>
      <c r="G106" s="13">
        <v>41936</v>
      </c>
      <c r="H106" s="15">
        <v>3.98</v>
      </c>
      <c r="I106" s="15">
        <v>0.5</v>
      </c>
      <c r="J106" s="15">
        <v>3.855</v>
      </c>
      <c r="K106" s="15">
        <f t="shared" si="7"/>
        <v>66.080000000000013</v>
      </c>
      <c r="L106" s="15">
        <f t="shared" si="8"/>
        <v>17</v>
      </c>
      <c r="M106" s="15">
        <f t="shared" si="10"/>
        <v>3.8870588235294123</v>
      </c>
    </row>
    <row r="107" spans="2:13" x14ac:dyDescent="0.25">
      <c r="B107" s="13">
        <f t="shared" si="9"/>
        <v>40025</v>
      </c>
      <c r="C107" s="13">
        <v>40026</v>
      </c>
      <c r="D107" s="15">
        <v>5.9206737443856197</v>
      </c>
      <c r="G107" s="13">
        <v>41935</v>
      </c>
      <c r="H107" s="15">
        <v>3.98</v>
      </c>
      <c r="I107" s="15">
        <v>0.5</v>
      </c>
      <c r="J107" s="15">
        <v>3.855</v>
      </c>
      <c r="K107" s="15">
        <f t="shared" si="7"/>
        <v>62.225000000000009</v>
      </c>
      <c r="L107" s="15">
        <f t="shared" si="8"/>
        <v>16</v>
      </c>
      <c r="M107" s="15">
        <f t="shared" si="10"/>
        <v>3.8890625000000005</v>
      </c>
    </row>
    <row r="108" spans="2:13" x14ac:dyDescent="0.25">
      <c r="B108" s="13">
        <f t="shared" si="9"/>
        <v>40056</v>
      </c>
      <c r="C108" s="13">
        <v>40057</v>
      </c>
      <c r="D108" s="15">
        <v>5.9020652824616802</v>
      </c>
      <c r="G108" s="13">
        <v>41934</v>
      </c>
      <c r="H108" s="15">
        <v>3.92</v>
      </c>
      <c r="I108" s="15">
        <v>0.5</v>
      </c>
      <c r="J108" s="15">
        <v>3.7949999999999999</v>
      </c>
      <c r="K108" s="15">
        <f t="shared" si="7"/>
        <v>58.370000000000012</v>
      </c>
      <c r="L108" s="15">
        <f t="shared" si="8"/>
        <v>15</v>
      </c>
      <c r="M108" s="15">
        <f t="shared" si="10"/>
        <v>3.8913333333333342</v>
      </c>
    </row>
    <row r="109" spans="2:13" x14ac:dyDescent="0.25">
      <c r="B109" s="13">
        <f t="shared" si="9"/>
        <v>40086</v>
      </c>
      <c r="C109" s="13">
        <v>40087</v>
      </c>
      <c r="D109" s="15">
        <v>5.8884242763485304</v>
      </c>
      <c r="G109" s="13">
        <v>41933</v>
      </c>
      <c r="H109" s="15">
        <v>3.92</v>
      </c>
      <c r="I109" s="15">
        <v>0.5</v>
      </c>
      <c r="J109" s="15">
        <v>3.7949999999999999</v>
      </c>
      <c r="K109" s="15">
        <f t="shared" si="7"/>
        <v>54.57500000000001</v>
      </c>
      <c r="L109" s="15">
        <f t="shared" si="8"/>
        <v>14</v>
      </c>
      <c r="M109" s="15">
        <f t="shared" si="10"/>
        <v>3.8982142857142863</v>
      </c>
    </row>
    <row r="110" spans="2:13" x14ac:dyDescent="0.25">
      <c r="B110" s="13">
        <f t="shared" si="9"/>
        <v>40116</v>
      </c>
      <c r="C110" s="13">
        <v>40118</v>
      </c>
      <c r="D110" s="15">
        <v>5.87372266521011</v>
      </c>
      <c r="G110" s="13">
        <v>41932</v>
      </c>
      <c r="H110" s="15">
        <v>3.92</v>
      </c>
      <c r="I110" s="15">
        <v>0.5</v>
      </c>
      <c r="J110" s="15">
        <v>3.7949999999999999</v>
      </c>
      <c r="K110" s="15">
        <f t="shared" si="7"/>
        <v>50.780000000000008</v>
      </c>
      <c r="L110" s="15">
        <f t="shared" si="8"/>
        <v>13</v>
      </c>
      <c r="M110" s="15">
        <f t="shared" si="10"/>
        <v>3.9061538461538468</v>
      </c>
    </row>
    <row r="111" spans="2:13" x14ac:dyDescent="0.25">
      <c r="B111" s="13">
        <f t="shared" si="9"/>
        <v>40147</v>
      </c>
      <c r="C111" s="13">
        <v>40148</v>
      </c>
      <c r="D111" s="15">
        <v>5.8570059579039597</v>
      </c>
      <c r="G111" s="13">
        <v>41929</v>
      </c>
      <c r="H111" s="15">
        <v>3.92</v>
      </c>
      <c r="I111" s="15">
        <v>0.5</v>
      </c>
      <c r="J111" s="15">
        <v>3.7949999999999999</v>
      </c>
      <c r="K111" s="15">
        <f t="shared" si="7"/>
        <v>46.985000000000007</v>
      </c>
      <c r="L111" s="15">
        <f t="shared" si="8"/>
        <v>12</v>
      </c>
      <c r="M111" s="15">
        <f t="shared" si="10"/>
        <v>3.9154166666666672</v>
      </c>
    </row>
    <row r="112" spans="2:13" x14ac:dyDescent="0.25">
      <c r="B112" s="13">
        <f t="shared" si="9"/>
        <v>40298</v>
      </c>
      <c r="C112" s="13">
        <v>40299</v>
      </c>
      <c r="D112" s="15">
        <v>5.7574014669319897</v>
      </c>
      <c r="G112" s="13">
        <v>41928</v>
      </c>
      <c r="H112" s="15">
        <v>3.92</v>
      </c>
      <c r="I112" s="15">
        <v>0.5</v>
      </c>
      <c r="J112" s="15">
        <v>3.7949999999999999</v>
      </c>
      <c r="K112" s="15">
        <f t="shared" si="7"/>
        <v>43.190000000000005</v>
      </c>
      <c r="L112" s="15">
        <f t="shared" si="8"/>
        <v>11</v>
      </c>
      <c r="M112" s="15">
        <f t="shared" si="10"/>
        <v>3.9263636363636367</v>
      </c>
    </row>
    <row r="113" spans="2:13" x14ac:dyDescent="0.25">
      <c r="B113" s="13">
        <f t="shared" si="9"/>
        <v>40235</v>
      </c>
      <c r="C113" s="13">
        <v>40238</v>
      </c>
      <c r="D113" s="15">
        <v>5.8119794794187101</v>
      </c>
      <c r="G113" s="13">
        <v>41927</v>
      </c>
      <c r="H113" s="15">
        <v>3.97</v>
      </c>
      <c r="I113" s="15">
        <v>0.5</v>
      </c>
      <c r="J113" s="15">
        <v>3.8450000000000002</v>
      </c>
      <c r="K113" s="15">
        <f t="shared" si="7"/>
        <v>39.395000000000003</v>
      </c>
      <c r="L113" s="15">
        <f t="shared" si="8"/>
        <v>10</v>
      </c>
      <c r="M113" s="15">
        <f t="shared" si="10"/>
        <v>3.9395000000000002</v>
      </c>
    </row>
    <row r="114" spans="2:13" x14ac:dyDescent="0.25">
      <c r="B114" s="13">
        <f t="shared" si="9"/>
        <v>34334</v>
      </c>
      <c r="C114" s="13">
        <v>34335</v>
      </c>
      <c r="D114" s="15">
        <v>8.4205052659075896</v>
      </c>
      <c r="G114" s="13">
        <v>41926</v>
      </c>
      <c r="H114" s="15">
        <v>3.97</v>
      </c>
      <c r="I114" s="15">
        <v>0.5</v>
      </c>
      <c r="J114" s="15">
        <v>3.8450000000000002</v>
      </c>
      <c r="K114" s="15">
        <f t="shared" si="7"/>
        <v>35.550000000000004</v>
      </c>
      <c r="L114" s="15">
        <f t="shared" si="8"/>
        <v>9</v>
      </c>
      <c r="M114" s="15">
        <f t="shared" si="10"/>
        <v>3.9500000000000006</v>
      </c>
    </row>
    <row r="115" spans="2:13" x14ac:dyDescent="0.25">
      <c r="B115" s="13">
        <f t="shared" si="9"/>
        <v>34365</v>
      </c>
      <c r="C115" s="13">
        <v>34366</v>
      </c>
      <c r="D115" s="15">
        <v>8.3582193899169894</v>
      </c>
      <c r="G115" s="13">
        <v>41922</v>
      </c>
      <c r="H115" s="15">
        <v>3.97</v>
      </c>
      <c r="I115" s="15">
        <v>0.5</v>
      </c>
      <c r="J115" s="15">
        <v>3.8450000000000002</v>
      </c>
      <c r="K115" s="15">
        <f t="shared" si="7"/>
        <v>31.705000000000002</v>
      </c>
      <c r="L115" s="15">
        <f t="shared" si="8"/>
        <v>8</v>
      </c>
      <c r="M115" s="15">
        <f t="shared" si="10"/>
        <v>3.9631250000000002</v>
      </c>
    </row>
    <row r="116" spans="2:13" x14ac:dyDescent="0.25">
      <c r="B116" s="13">
        <f t="shared" si="9"/>
        <v>34393</v>
      </c>
      <c r="C116" s="13">
        <v>34394</v>
      </c>
      <c r="D116" s="15">
        <v>8.3121316924845097</v>
      </c>
      <c r="G116" s="13">
        <v>41921</v>
      </c>
      <c r="H116" s="15">
        <v>3.97</v>
      </c>
      <c r="I116" s="15">
        <v>0.5</v>
      </c>
      <c r="J116" s="15">
        <v>3.8450000000000002</v>
      </c>
      <c r="K116" s="15">
        <f t="shared" si="7"/>
        <v>27.860000000000003</v>
      </c>
      <c r="L116" s="15">
        <f t="shared" si="8"/>
        <v>7</v>
      </c>
      <c r="M116" s="15">
        <f t="shared" si="10"/>
        <v>3.9800000000000004</v>
      </c>
    </row>
    <row r="117" spans="2:13" x14ac:dyDescent="0.25">
      <c r="B117" s="13">
        <f t="shared" si="9"/>
        <v>34424</v>
      </c>
      <c r="C117" s="13">
        <v>34425</v>
      </c>
      <c r="D117" s="15">
        <v>8.2663948972063697</v>
      </c>
      <c r="G117" s="13">
        <v>41920</v>
      </c>
      <c r="H117" s="15">
        <v>4.12</v>
      </c>
      <c r="I117" s="15">
        <v>0.5</v>
      </c>
      <c r="J117" s="15">
        <v>3.9950000000000001</v>
      </c>
      <c r="K117" s="15">
        <f t="shared" si="7"/>
        <v>24.015000000000004</v>
      </c>
      <c r="L117" s="15">
        <f t="shared" si="8"/>
        <v>6</v>
      </c>
      <c r="M117" s="15">
        <f t="shared" si="10"/>
        <v>4.0025000000000004</v>
      </c>
    </row>
    <row r="118" spans="2:13" x14ac:dyDescent="0.25">
      <c r="B118" s="13">
        <f t="shared" si="9"/>
        <v>34453</v>
      </c>
      <c r="C118" s="13">
        <v>34455</v>
      </c>
      <c r="D118" s="15">
        <v>8.2362761538218603</v>
      </c>
      <c r="G118" s="13">
        <v>41919</v>
      </c>
      <c r="H118" s="15">
        <v>4.12</v>
      </c>
      <c r="I118" s="15">
        <v>0.5</v>
      </c>
      <c r="J118" s="15">
        <v>3.9950000000000001</v>
      </c>
      <c r="K118" s="15">
        <f t="shared" si="7"/>
        <v>20.020000000000003</v>
      </c>
      <c r="L118" s="15">
        <f t="shared" si="8"/>
        <v>5</v>
      </c>
      <c r="M118" s="15">
        <f t="shared" si="10"/>
        <v>4.0040000000000004</v>
      </c>
    </row>
    <row r="119" spans="2:13" x14ac:dyDescent="0.25">
      <c r="B119" s="13">
        <f t="shared" si="9"/>
        <v>34485</v>
      </c>
      <c r="C119" s="13">
        <v>34486</v>
      </c>
      <c r="D119" s="15">
        <v>8.2217767583119201</v>
      </c>
      <c r="G119" s="13">
        <v>41918</v>
      </c>
      <c r="H119" s="15">
        <v>4.12</v>
      </c>
      <c r="I119" s="15">
        <v>0.5</v>
      </c>
      <c r="J119" s="15">
        <v>3.9950000000000001</v>
      </c>
      <c r="K119" s="15">
        <f t="shared" si="7"/>
        <v>16.025000000000002</v>
      </c>
      <c r="L119" s="15">
        <f t="shared" si="8"/>
        <v>4</v>
      </c>
      <c r="M119" s="15">
        <f t="shared" si="10"/>
        <v>4.0062500000000005</v>
      </c>
    </row>
    <row r="120" spans="2:13" x14ac:dyDescent="0.25">
      <c r="B120" s="13">
        <f t="shared" si="9"/>
        <v>34515</v>
      </c>
      <c r="C120" s="13">
        <v>34516</v>
      </c>
      <c r="D120" s="15">
        <v>8.2167262441025297</v>
      </c>
      <c r="G120" s="13">
        <v>41915</v>
      </c>
      <c r="H120" s="15">
        <v>4.12</v>
      </c>
      <c r="I120" s="15">
        <v>0.5</v>
      </c>
      <c r="J120" s="15">
        <v>3.9950000000000001</v>
      </c>
      <c r="K120" s="15">
        <f t="shared" si="7"/>
        <v>12.030000000000001</v>
      </c>
      <c r="L120" s="15">
        <f t="shared" si="8"/>
        <v>3</v>
      </c>
      <c r="M120" s="15">
        <f t="shared" si="10"/>
        <v>4.0100000000000007</v>
      </c>
    </row>
    <row r="121" spans="2:13" x14ac:dyDescent="0.25">
      <c r="B121" s="13">
        <f t="shared" si="9"/>
        <v>34544</v>
      </c>
      <c r="C121" s="13">
        <v>34547</v>
      </c>
      <c r="D121" s="15">
        <v>8.2148615693187903</v>
      </c>
      <c r="G121" s="13">
        <v>41914</v>
      </c>
      <c r="H121" s="15">
        <v>4.12</v>
      </c>
      <c r="I121" s="15">
        <v>0.5</v>
      </c>
      <c r="J121" s="15">
        <v>3.9950000000000001</v>
      </c>
      <c r="K121" s="15">
        <f t="shared" si="7"/>
        <v>8.0350000000000001</v>
      </c>
      <c r="L121" s="15">
        <f t="shared" si="8"/>
        <v>2</v>
      </c>
      <c r="M121" s="15">
        <f t="shared" si="10"/>
        <v>4.0175000000000001</v>
      </c>
    </row>
    <row r="122" spans="2:13" x14ac:dyDescent="0.25">
      <c r="B122" s="13">
        <f t="shared" si="9"/>
        <v>34577</v>
      </c>
      <c r="C122" s="13">
        <v>34578</v>
      </c>
      <c r="D122" s="15">
        <v>8.2140530170325992</v>
      </c>
      <c r="G122" s="13">
        <v>41913</v>
      </c>
      <c r="H122" s="15">
        <v>4.1900000000000004</v>
      </c>
      <c r="I122" s="15">
        <v>0.4</v>
      </c>
      <c r="J122" s="15">
        <v>4.04</v>
      </c>
      <c r="K122" s="15">
        <f t="shared" si="7"/>
        <v>4.04</v>
      </c>
      <c r="L122" s="15">
        <f t="shared" si="8"/>
        <v>1</v>
      </c>
      <c r="M122" s="15">
        <f t="shared" si="10"/>
        <v>4.04</v>
      </c>
    </row>
    <row r="123" spans="2:13" x14ac:dyDescent="0.25">
      <c r="B123" s="13">
        <f t="shared" si="9"/>
        <v>34607</v>
      </c>
      <c r="C123" s="13">
        <v>34608</v>
      </c>
      <c r="D123" s="15">
        <v>8.2146633475349695</v>
      </c>
      <c r="G123" s="13">
        <v>41912</v>
      </c>
      <c r="H123" s="15">
        <v>4.1900000000000004</v>
      </c>
      <c r="I123" s="15">
        <v>0.4</v>
      </c>
      <c r="J123" s="15">
        <v>4.04</v>
      </c>
      <c r="K123" s="15">
        <f t="shared" si="7"/>
        <v>84.985000000000056</v>
      </c>
      <c r="L123" s="15">
        <f t="shared" si="8"/>
        <v>21</v>
      </c>
      <c r="M123" s="15">
        <f t="shared" si="10"/>
        <v>4.0469047619047647</v>
      </c>
    </row>
    <row r="124" spans="2:13" x14ac:dyDescent="0.25">
      <c r="B124" s="13">
        <f t="shared" si="9"/>
        <v>34638</v>
      </c>
      <c r="C124" s="13">
        <v>34639</v>
      </c>
      <c r="D124" s="15">
        <v>8.2197433009495899</v>
      </c>
      <c r="G124" s="13">
        <v>41911</v>
      </c>
      <c r="H124" s="15">
        <v>4.1900000000000004</v>
      </c>
      <c r="I124" s="15">
        <v>0.4</v>
      </c>
      <c r="J124" s="15">
        <v>4.04</v>
      </c>
      <c r="K124" s="15">
        <f t="shared" si="7"/>
        <v>80.94500000000005</v>
      </c>
      <c r="L124" s="15">
        <f t="shared" si="8"/>
        <v>20</v>
      </c>
      <c r="M124" s="15">
        <f t="shared" si="10"/>
        <v>4.0472500000000027</v>
      </c>
    </row>
    <row r="125" spans="2:13" x14ac:dyDescent="0.25">
      <c r="B125" s="13">
        <f t="shared" si="9"/>
        <v>34668</v>
      </c>
      <c r="C125" s="13">
        <v>34669</v>
      </c>
      <c r="D125" s="15">
        <v>8.2264533449518904</v>
      </c>
      <c r="G125" s="13">
        <v>41908</v>
      </c>
      <c r="H125" s="15">
        <v>4.1900000000000004</v>
      </c>
      <c r="I125" s="15">
        <v>0.4</v>
      </c>
      <c r="J125" s="15">
        <v>4.04</v>
      </c>
      <c r="K125" s="15">
        <f t="shared" si="7"/>
        <v>76.905000000000044</v>
      </c>
      <c r="L125" s="15">
        <f t="shared" si="8"/>
        <v>19</v>
      </c>
      <c r="M125" s="15">
        <f t="shared" si="10"/>
        <v>4.0476315789473709</v>
      </c>
    </row>
    <row r="126" spans="2:13" x14ac:dyDescent="0.25">
      <c r="B126" s="13">
        <f t="shared" si="9"/>
        <v>34698</v>
      </c>
      <c r="C126" s="13">
        <v>34700</v>
      </c>
      <c r="D126" s="15">
        <v>8.23275962022994</v>
      </c>
      <c r="G126" s="13">
        <v>41907</v>
      </c>
      <c r="H126" s="15">
        <v>4.1900000000000004</v>
      </c>
      <c r="I126" s="15">
        <v>0.4</v>
      </c>
      <c r="J126" s="15">
        <v>4.04</v>
      </c>
      <c r="K126" s="15">
        <f t="shared" si="7"/>
        <v>72.865000000000038</v>
      </c>
      <c r="L126" s="15">
        <f t="shared" si="8"/>
        <v>18</v>
      </c>
      <c r="M126" s="15">
        <f t="shared" si="10"/>
        <v>4.0480555555555577</v>
      </c>
    </row>
    <row r="127" spans="2:13" x14ac:dyDescent="0.25">
      <c r="B127" s="13">
        <f t="shared" si="9"/>
        <v>34730</v>
      </c>
      <c r="C127" s="13">
        <v>34731</v>
      </c>
      <c r="D127" s="15">
        <v>8.2385757623650697</v>
      </c>
      <c r="G127" s="13">
        <v>41906</v>
      </c>
      <c r="H127" s="15">
        <v>4.2</v>
      </c>
      <c r="I127" s="15">
        <v>0.5</v>
      </c>
      <c r="J127" s="15">
        <v>4.0750000000000002</v>
      </c>
      <c r="K127" s="15">
        <f t="shared" si="7"/>
        <v>68.825000000000031</v>
      </c>
      <c r="L127" s="15">
        <f t="shared" si="8"/>
        <v>17</v>
      </c>
      <c r="M127" s="15">
        <f t="shared" si="10"/>
        <v>4.0485294117647079</v>
      </c>
    </row>
    <row r="128" spans="2:13" x14ac:dyDescent="0.25">
      <c r="B128" s="13">
        <f t="shared" si="9"/>
        <v>34758</v>
      </c>
      <c r="C128" s="13">
        <v>34759</v>
      </c>
      <c r="D128" s="15">
        <v>8.2420843433986395</v>
      </c>
      <c r="G128" s="13">
        <v>41905</v>
      </c>
      <c r="H128" s="15">
        <v>4.2</v>
      </c>
      <c r="I128" s="15">
        <v>0.5</v>
      </c>
      <c r="J128" s="15">
        <v>4.0750000000000002</v>
      </c>
      <c r="K128" s="15">
        <f t="shared" si="7"/>
        <v>64.750000000000028</v>
      </c>
      <c r="L128" s="15">
        <f t="shared" si="8"/>
        <v>16</v>
      </c>
      <c r="M128" s="15">
        <f t="shared" si="10"/>
        <v>4.0468750000000018</v>
      </c>
    </row>
    <row r="129" spans="2:13" x14ac:dyDescent="0.25">
      <c r="B129" s="13">
        <f t="shared" si="9"/>
        <v>34789</v>
      </c>
      <c r="C129" s="13">
        <v>34790</v>
      </c>
      <c r="D129" s="15">
        <v>8.2470580977929693</v>
      </c>
      <c r="G129" s="13">
        <v>41904</v>
      </c>
      <c r="H129" s="15">
        <v>4.2</v>
      </c>
      <c r="I129" s="15">
        <v>0.5</v>
      </c>
      <c r="J129" s="15">
        <v>4.0750000000000002</v>
      </c>
      <c r="K129" s="15">
        <f t="shared" si="7"/>
        <v>60.675000000000026</v>
      </c>
      <c r="L129" s="15">
        <f t="shared" si="8"/>
        <v>15</v>
      </c>
      <c r="M129" s="15">
        <f t="shared" si="10"/>
        <v>4.0450000000000017</v>
      </c>
    </row>
    <row r="130" spans="2:13" x14ac:dyDescent="0.25">
      <c r="B130" s="13">
        <f t="shared" si="9"/>
        <v>34817</v>
      </c>
      <c r="C130" s="13">
        <v>34820</v>
      </c>
      <c r="D130" s="15">
        <v>8.2518091429982494</v>
      </c>
      <c r="G130" s="13">
        <v>41901</v>
      </c>
      <c r="H130" s="15">
        <v>4.2</v>
      </c>
      <c r="I130" s="15">
        <v>0.5</v>
      </c>
      <c r="J130" s="15">
        <v>4.0750000000000002</v>
      </c>
      <c r="K130" s="15">
        <f t="shared" si="7"/>
        <v>56.600000000000023</v>
      </c>
      <c r="L130" s="15">
        <f t="shared" si="8"/>
        <v>14</v>
      </c>
      <c r="M130" s="15">
        <f t="shared" si="10"/>
        <v>4.0428571428571445</v>
      </c>
    </row>
    <row r="131" spans="2:13" x14ac:dyDescent="0.25">
      <c r="B131" s="13">
        <f t="shared" si="9"/>
        <v>34850</v>
      </c>
      <c r="C131" s="13">
        <v>34851</v>
      </c>
      <c r="D131" s="15">
        <v>8.2540363033744004</v>
      </c>
      <c r="G131" s="13">
        <v>41900</v>
      </c>
      <c r="H131" s="15">
        <v>4.2</v>
      </c>
      <c r="I131" s="15">
        <v>0.5</v>
      </c>
      <c r="J131" s="15">
        <v>4.0750000000000002</v>
      </c>
      <c r="K131" s="15">
        <f t="shared" si="7"/>
        <v>52.52500000000002</v>
      </c>
      <c r="L131" s="15">
        <f t="shared" si="8"/>
        <v>13</v>
      </c>
      <c r="M131" s="15">
        <f t="shared" si="10"/>
        <v>4.0403846153846166</v>
      </c>
    </row>
    <row r="132" spans="2:13" x14ac:dyDescent="0.25">
      <c r="B132" s="13">
        <f t="shared" si="9"/>
        <v>34880</v>
      </c>
      <c r="C132" s="13">
        <v>34881</v>
      </c>
      <c r="D132" s="15">
        <v>8.2495432651499403</v>
      </c>
      <c r="G132" s="13">
        <v>41899</v>
      </c>
      <c r="H132" s="15">
        <v>4.2300000000000004</v>
      </c>
      <c r="I132" s="15">
        <v>0.5</v>
      </c>
      <c r="J132" s="15">
        <v>4.1050000000000004</v>
      </c>
      <c r="K132" s="15">
        <f t="shared" ref="K132:K195" si="11">IF(MONTH(G132)=MONTH(G133),J132+K133,J132)</f>
        <v>48.450000000000017</v>
      </c>
      <c r="L132" s="15">
        <f t="shared" ref="L132:L195" si="12">IF(MONTH(G132)=MONTH(G133),L133+1,1)</f>
        <v>12</v>
      </c>
      <c r="M132" s="15">
        <f t="shared" si="10"/>
        <v>4.0375000000000014</v>
      </c>
    </row>
    <row r="133" spans="2:13" x14ac:dyDescent="0.25">
      <c r="B133" s="13">
        <f t="shared" ref="B133:B196" si="13">WORKDAY(C133,-1,)</f>
        <v>34911</v>
      </c>
      <c r="C133" s="13">
        <v>34912</v>
      </c>
      <c r="D133" s="15">
        <v>8.2373980883445892</v>
      </c>
      <c r="G133" s="13">
        <v>41898</v>
      </c>
      <c r="H133" s="15">
        <v>4.2300000000000004</v>
      </c>
      <c r="I133" s="15">
        <v>0.5</v>
      </c>
      <c r="J133" s="15">
        <v>4.1050000000000004</v>
      </c>
      <c r="K133" s="15">
        <f t="shared" si="11"/>
        <v>44.345000000000013</v>
      </c>
      <c r="L133" s="15">
        <f t="shared" si="12"/>
        <v>11</v>
      </c>
      <c r="M133" s="15">
        <f t="shared" ref="M133:M196" si="14">K133/L133</f>
        <v>4.0313636363636371</v>
      </c>
    </row>
    <row r="134" spans="2:13" x14ac:dyDescent="0.25">
      <c r="B134" s="13">
        <f t="shared" si="13"/>
        <v>34942</v>
      </c>
      <c r="C134" s="13">
        <v>34943</v>
      </c>
      <c r="D134" s="15">
        <v>8.2246710407407093</v>
      </c>
      <c r="G134" s="13">
        <v>41897</v>
      </c>
      <c r="H134" s="15">
        <v>4.2300000000000004</v>
      </c>
      <c r="I134" s="15">
        <v>0.5</v>
      </c>
      <c r="J134" s="15">
        <v>4.1050000000000004</v>
      </c>
      <c r="K134" s="15">
        <f t="shared" si="11"/>
        <v>40.240000000000009</v>
      </c>
      <c r="L134" s="15">
        <f t="shared" si="12"/>
        <v>10</v>
      </c>
      <c r="M134" s="15">
        <f t="shared" si="14"/>
        <v>4.0240000000000009</v>
      </c>
    </row>
    <row r="135" spans="2:13" x14ac:dyDescent="0.25">
      <c r="B135" s="13">
        <f t="shared" si="13"/>
        <v>34971</v>
      </c>
      <c r="C135" s="13">
        <v>34973</v>
      </c>
      <c r="D135" s="15">
        <v>8.2147088187470398</v>
      </c>
      <c r="G135" s="13">
        <v>41894</v>
      </c>
      <c r="H135" s="15">
        <v>4.2300000000000004</v>
      </c>
      <c r="I135" s="15">
        <v>0.5</v>
      </c>
      <c r="J135" s="15">
        <v>4.1050000000000004</v>
      </c>
      <c r="K135" s="15">
        <f t="shared" si="11"/>
        <v>36.135000000000005</v>
      </c>
      <c r="L135" s="15">
        <f t="shared" si="12"/>
        <v>9</v>
      </c>
      <c r="M135" s="15">
        <f t="shared" si="14"/>
        <v>4.0150000000000006</v>
      </c>
    </row>
    <row r="136" spans="2:13" x14ac:dyDescent="0.25">
      <c r="B136" s="13">
        <f t="shared" si="13"/>
        <v>35003</v>
      </c>
      <c r="C136" s="13">
        <v>35004</v>
      </c>
      <c r="D136" s="15">
        <v>8.2028633813301806</v>
      </c>
      <c r="G136" s="13">
        <v>41893</v>
      </c>
      <c r="H136" s="15">
        <v>4.2300000000000004</v>
      </c>
      <c r="I136" s="15">
        <v>0.5</v>
      </c>
      <c r="J136" s="15">
        <v>4.1050000000000004</v>
      </c>
      <c r="K136" s="15">
        <f t="shared" si="11"/>
        <v>32.03</v>
      </c>
      <c r="L136" s="15">
        <f t="shared" si="12"/>
        <v>8</v>
      </c>
      <c r="M136" s="15">
        <f t="shared" si="14"/>
        <v>4.0037500000000001</v>
      </c>
    </row>
    <row r="137" spans="2:13" x14ac:dyDescent="0.25">
      <c r="B137" s="13">
        <f t="shared" si="13"/>
        <v>35033</v>
      </c>
      <c r="C137" s="13">
        <v>35034</v>
      </c>
      <c r="D137" s="15">
        <v>8.1876020349072096</v>
      </c>
      <c r="G137" s="13">
        <v>41892</v>
      </c>
      <c r="H137" s="15">
        <v>4.12</v>
      </c>
      <c r="I137" s="15">
        <v>0.5</v>
      </c>
      <c r="J137" s="15">
        <v>3.9950000000000001</v>
      </c>
      <c r="K137" s="15">
        <f t="shared" si="11"/>
        <v>27.925000000000004</v>
      </c>
      <c r="L137" s="15">
        <f t="shared" si="12"/>
        <v>7</v>
      </c>
      <c r="M137" s="15">
        <f t="shared" si="14"/>
        <v>3.9892857142857148</v>
      </c>
    </row>
    <row r="138" spans="2:13" x14ac:dyDescent="0.25">
      <c r="B138" s="13">
        <f t="shared" si="13"/>
        <v>35062</v>
      </c>
      <c r="C138" s="13">
        <v>35065</v>
      </c>
      <c r="D138" s="15">
        <v>8.1711165786410405</v>
      </c>
      <c r="G138" s="13">
        <v>41891</v>
      </c>
      <c r="H138" s="15">
        <v>4.12</v>
      </c>
      <c r="I138" s="15">
        <v>0.5</v>
      </c>
      <c r="J138" s="15">
        <v>3.9950000000000001</v>
      </c>
      <c r="K138" s="15">
        <f t="shared" si="11"/>
        <v>23.930000000000003</v>
      </c>
      <c r="L138" s="15">
        <f t="shared" si="12"/>
        <v>6</v>
      </c>
      <c r="M138" s="15">
        <f t="shared" si="14"/>
        <v>3.9883333333333337</v>
      </c>
    </row>
    <row r="139" spans="2:13" x14ac:dyDescent="0.25">
      <c r="B139" s="13">
        <f t="shared" si="13"/>
        <v>35095</v>
      </c>
      <c r="C139" s="13">
        <v>35096</v>
      </c>
      <c r="D139" s="15">
        <v>8.1512713104782897</v>
      </c>
      <c r="G139" s="13">
        <v>41890</v>
      </c>
      <c r="H139" s="15">
        <v>4.12</v>
      </c>
      <c r="I139" s="15">
        <v>0.5</v>
      </c>
      <c r="J139" s="15">
        <v>3.9950000000000001</v>
      </c>
      <c r="K139" s="15">
        <f t="shared" si="11"/>
        <v>19.935000000000002</v>
      </c>
      <c r="L139" s="15">
        <f t="shared" si="12"/>
        <v>5</v>
      </c>
      <c r="M139" s="15">
        <f t="shared" si="14"/>
        <v>3.9870000000000005</v>
      </c>
    </row>
    <row r="140" spans="2:13" x14ac:dyDescent="0.25">
      <c r="B140" s="13">
        <f t="shared" si="13"/>
        <v>35124</v>
      </c>
      <c r="C140" s="13">
        <v>35125</v>
      </c>
      <c r="D140" s="15">
        <v>8.1274231837145994</v>
      </c>
      <c r="G140" s="13">
        <v>41887</v>
      </c>
      <c r="H140" s="15">
        <v>4.12</v>
      </c>
      <c r="I140" s="15">
        <v>0.5</v>
      </c>
      <c r="J140" s="15">
        <v>3.9950000000000001</v>
      </c>
      <c r="K140" s="15">
        <f t="shared" si="11"/>
        <v>15.940000000000001</v>
      </c>
      <c r="L140" s="15">
        <f t="shared" si="12"/>
        <v>4</v>
      </c>
      <c r="M140" s="15">
        <f t="shared" si="14"/>
        <v>3.9850000000000003</v>
      </c>
    </row>
    <row r="141" spans="2:13" x14ac:dyDescent="0.25">
      <c r="B141" s="13">
        <f t="shared" si="13"/>
        <v>35153</v>
      </c>
      <c r="C141" s="13">
        <v>35156</v>
      </c>
      <c r="D141" s="15">
        <v>8.1049924404683207</v>
      </c>
      <c r="G141" s="13">
        <v>41886</v>
      </c>
      <c r="H141" s="15">
        <v>4.12</v>
      </c>
      <c r="I141" s="15">
        <v>0.5</v>
      </c>
      <c r="J141" s="15">
        <v>3.9950000000000001</v>
      </c>
      <c r="K141" s="15">
        <f t="shared" si="11"/>
        <v>11.945</v>
      </c>
      <c r="L141" s="15">
        <f t="shared" si="12"/>
        <v>3</v>
      </c>
      <c r="M141" s="15">
        <f t="shared" si="14"/>
        <v>3.9816666666666669</v>
      </c>
    </row>
    <row r="142" spans="2:13" x14ac:dyDescent="0.25">
      <c r="B142" s="13">
        <f t="shared" si="13"/>
        <v>35185</v>
      </c>
      <c r="C142" s="13">
        <v>35186</v>
      </c>
      <c r="D142" s="15">
        <v>8.0904136506117297</v>
      </c>
      <c r="G142" s="13">
        <v>41885</v>
      </c>
      <c r="H142" s="15">
        <v>4.0999999999999996</v>
      </c>
      <c r="I142" s="15">
        <v>0.5</v>
      </c>
      <c r="J142" s="15">
        <v>3.9750000000000001</v>
      </c>
      <c r="K142" s="15">
        <f t="shared" si="11"/>
        <v>7.95</v>
      </c>
      <c r="L142" s="15">
        <f t="shared" si="12"/>
        <v>2</v>
      </c>
      <c r="M142" s="15">
        <f t="shared" si="14"/>
        <v>3.9750000000000001</v>
      </c>
    </row>
    <row r="143" spans="2:13" x14ac:dyDescent="0.25">
      <c r="B143" s="13">
        <f t="shared" si="13"/>
        <v>35216</v>
      </c>
      <c r="C143" s="13">
        <v>35217</v>
      </c>
      <c r="D143" s="15">
        <v>8.0841832422707895</v>
      </c>
      <c r="G143" s="13">
        <v>41884</v>
      </c>
      <c r="H143" s="15">
        <v>4.0999999999999996</v>
      </c>
      <c r="I143" s="15">
        <v>0.5</v>
      </c>
      <c r="J143" s="15">
        <v>3.9750000000000001</v>
      </c>
      <c r="K143" s="15">
        <f t="shared" si="11"/>
        <v>3.9750000000000001</v>
      </c>
      <c r="L143" s="15">
        <f t="shared" si="12"/>
        <v>1</v>
      </c>
      <c r="M143" s="15">
        <f t="shared" si="14"/>
        <v>3.9750000000000001</v>
      </c>
    </row>
    <row r="144" spans="2:13" x14ac:dyDescent="0.25">
      <c r="B144" s="13">
        <f t="shared" si="13"/>
        <v>35244</v>
      </c>
      <c r="C144" s="13">
        <v>35247</v>
      </c>
      <c r="D144" s="15">
        <v>8.0829929403002101</v>
      </c>
      <c r="G144" s="13">
        <v>41880</v>
      </c>
      <c r="H144" s="15">
        <v>4.0999999999999996</v>
      </c>
      <c r="I144" s="15">
        <v>0.5</v>
      </c>
      <c r="J144" s="15">
        <v>3.9750000000000001</v>
      </c>
      <c r="K144" s="15">
        <f t="shared" si="11"/>
        <v>84.059999999999974</v>
      </c>
      <c r="L144" s="15">
        <f t="shared" si="12"/>
        <v>21</v>
      </c>
      <c r="M144" s="15">
        <f t="shared" si="14"/>
        <v>4.0028571428571418</v>
      </c>
    </row>
    <row r="145" spans="2:13" x14ac:dyDescent="0.25">
      <c r="B145" s="13">
        <f t="shared" si="13"/>
        <v>35277</v>
      </c>
      <c r="C145" s="13">
        <v>35278</v>
      </c>
      <c r="D145" s="15">
        <v>8.0841885463758203</v>
      </c>
      <c r="G145" s="13">
        <v>41879</v>
      </c>
      <c r="H145" s="15">
        <v>4.0999999999999996</v>
      </c>
      <c r="I145" s="15">
        <v>0.5</v>
      </c>
      <c r="J145" s="15">
        <v>3.9750000000000001</v>
      </c>
      <c r="K145" s="15">
        <f t="shared" si="11"/>
        <v>80.08499999999998</v>
      </c>
      <c r="L145" s="15">
        <f t="shared" si="12"/>
        <v>20</v>
      </c>
      <c r="M145" s="15">
        <f t="shared" si="14"/>
        <v>4.004249999999999</v>
      </c>
    </row>
    <row r="146" spans="2:13" x14ac:dyDescent="0.25">
      <c r="B146" s="13">
        <f t="shared" si="13"/>
        <v>35307</v>
      </c>
      <c r="C146" s="13">
        <v>35309</v>
      </c>
      <c r="D146" s="15">
        <v>8.0877681077936998</v>
      </c>
      <c r="G146" s="13">
        <v>41878</v>
      </c>
      <c r="H146" s="15">
        <v>4.0999999999999996</v>
      </c>
      <c r="I146" s="15">
        <v>0.5</v>
      </c>
      <c r="J146" s="15">
        <v>3.9750000000000001</v>
      </c>
      <c r="K146" s="15">
        <f t="shared" si="11"/>
        <v>76.109999999999985</v>
      </c>
      <c r="L146" s="15">
        <f t="shared" si="12"/>
        <v>19</v>
      </c>
      <c r="M146" s="15">
        <f t="shared" si="14"/>
        <v>4.0057894736842101</v>
      </c>
    </row>
    <row r="147" spans="2:13" x14ac:dyDescent="0.25">
      <c r="B147" s="13">
        <f t="shared" si="13"/>
        <v>35338</v>
      </c>
      <c r="C147" s="13">
        <v>35339</v>
      </c>
      <c r="D147" s="15">
        <v>8.0886018301222595</v>
      </c>
      <c r="G147" s="13">
        <v>41877</v>
      </c>
      <c r="H147" s="15">
        <v>4.0999999999999996</v>
      </c>
      <c r="I147" s="15">
        <v>0.5</v>
      </c>
      <c r="J147" s="15">
        <v>3.9750000000000001</v>
      </c>
      <c r="K147" s="15">
        <f t="shared" si="11"/>
        <v>72.134999999999991</v>
      </c>
      <c r="L147" s="15">
        <f t="shared" si="12"/>
        <v>18</v>
      </c>
      <c r="M147" s="15">
        <f t="shared" si="14"/>
        <v>4.0074999999999994</v>
      </c>
    </row>
    <row r="148" spans="2:13" x14ac:dyDescent="0.25">
      <c r="B148" s="13">
        <f t="shared" si="13"/>
        <v>35369</v>
      </c>
      <c r="C148" s="13">
        <v>35370</v>
      </c>
      <c r="D148" s="15">
        <v>8.0889297010211898</v>
      </c>
      <c r="G148" s="13">
        <v>41876</v>
      </c>
      <c r="H148" s="15">
        <v>4.0999999999999996</v>
      </c>
      <c r="I148" s="15">
        <v>0.5</v>
      </c>
      <c r="J148" s="15">
        <v>3.9750000000000001</v>
      </c>
      <c r="K148" s="15">
        <f t="shared" si="11"/>
        <v>68.16</v>
      </c>
      <c r="L148" s="15">
        <f t="shared" si="12"/>
        <v>17</v>
      </c>
      <c r="M148" s="15">
        <f t="shared" si="14"/>
        <v>4.0094117647058818</v>
      </c>
    </row>
    <row r="149" spans="2:13" x14ac:dyDescent="0.25">
      <c r="B149" s="13">
        <f t="shared" si="13"/>
        <v>35398</v>
      </c>
      <c r="C149" s="13">
        <v>35400</v>
      </c>
      <c r="D149" s="15">
        <v>8.0873620934182995</v>
      </c>
      <c r="G149" s="13">
        <v>41873</v>
      </c>
      <c r="H149" s="15">
        <v>4.0999999999999996</v>
      </c>
      <c r="I149" s="15">
        <v>0.5</v>
      </c>
      <c r="J149" s="15">
        <v>3.9750000000000001</v>
      </c>
      <c r="K149" s="15">
        <f t="shared" si="11"/>
        <v>64.185000000000002</v>
      </c>
      <c r="L149" s="15">
        <f t="shared" si="12"/>
        <v>16</v>
      </c>
      <c r="M149" s="15">
        <f t="shared" si="14"/>
        <v>4.0115625000000001</v>
      </c>
    </row>
    <row r="150" spans="2:13" x14ac:dyDescent="0.25">
      <c r="B150" s="13">
        <f t="shared" si="13"/>
        <v>35430</v>
      </c>
      <c r="C150" s="13">
        <v>35431</v>
      </c>
      <c r="D150" s="15">
        <v>8.0825292023912692</v>
      </c>
      <c r="G150" s="13">
        <v>41872</v>
      </c>
      <c r="H150" s="15">
        <v>4.0999999999999996</v>
      </c>
      <c r="I150" s="15">
        <v>0.5</v>
      </c>
      <c r="J150" s="15">
        <v>3.9750000000000001</v>
      </c>
      <c r="K150" s="15">
        <f t="shared" si="11"/>
        <v>60.210000000000008</v>
      </c>
      <c r="L150" s="15">
        <f t="shared" si="12"/>
        <v>15</v>
      </c>
      <c r="M150" s="15">
        <f t="shared" si="14"/>
        <v>4.0140000000000002</v>
      </c>
    </row>
    <row r="151" spans="2:13" x14ac:dyDescent="0.25">
      <c r="B151" s="13">
        <f t="shared" si="13"/>
        <v>35461</v>
      </c>
      <c r="C151" s="13">
        <v>35462</v>
      </c>
      <c r="D151" s="15">
        <v>8.0774040648105103</v>
      </c>
      <c r="G151" s="13">
        <v>41871</v>
      </c>
      <c r="H151" s="15">
        <v>4.0999999999999996</v>
      </c>
      <c r="I151" s="15">
        <v>0.5</v>
      </c>
      <c r="J151" s="15">
        <v>3.9750000000000001</v>
      </c>
      <c r="K151" s="15">
        <f t="shared" si="11"/>
        <v>56.235000000000007</v>
      </c>
      <c r="L151" s="15">
        <f t="shared" si="12"/>
        <v>14</v>
      </c>
      <c r="M151" s="15">
        <f t="shared" si="14"/>
        <v>4.0167857142857146</v>
      </c>
    </row>
    <row r="152" spans="2:13" x14ac:dyDescent="0.25">
      <c r="B152" s="13">
        <f t="shared" si="13"/>
        <v>35489</v>
      </c>
      <c r="C152" s="13">
        <v>35490</v>
      </c>
      <c r="D152" s="15">
        <v>8.0735178715643201</v>
      </c>
      <c r="G152" s="13">
        <v>41870</v>
      </c>
      <c r="H152" s="15">
        <v>4.0999999999999996</v>
      </c>
      <c r="I152" s="15">
        <v>0.5</v>
      </c>
      <c r="J152" s="15">
        <v>3.9750000000000001</v>
      </c>
      <c r="K152" s="15">
        <f t="shared" si="11"/>
        <v>52.260000000000005</v>
      </c>
      <c r="L152" s="15">
        <f t="shared" si="12"/>
        <v>13</v>
      </c>
      <c r="M152" s="15">
        <f t="shared" si="14"/>
        <v>4.0200000000000005</v>
      </c>
    </row>
    <row r="153" spans="2:13" x14ac:dyDescent="0.25">
      <c r="B153" s="13">
        <f t="shared" si="13"/>
        <v>35520</v>
      </c>
      <c r="C153" s="13">
        <v>35521</v>
      </c>
      <c r="D153" s="15">
        <v>8.0696033799975702</v>
      </c>
      <c r="G153" s="13">
        <v>41869</v>
      </c>
      <c r="H153" s="15">
        <v>4.0999999999999996</v>
      </c>
      <c r="I153" s="15">
        <v>0.5</v>
      </c>
      <c r="J153" s="15">
        <v>3.9750000000000001</v>
      </c>
      <c r="K153" s="15">
        <f t="shared" si="11"/>
        <v>48.285000000000004</v>
      </c>
      <c r="L153" s="15">
        <f t="shared" si="12"/>
        <v>12</v>
      </c>
      <c r="M153" s="15">
        <f t="shared" si="14"/>
        <v>4.0237500000000006</v>
      </c>
    </row>
    <row r="154" spans="2:13" x14ac:dyDescent="0.25">
      <c r="B154" s="13">
        <f t="shared" si="13"/>
        <v>35550</v>
      </c>
      <c r="C154" s="13">
        <v>35551</v>
      </c>
      <c r="D154" s="15">
        <v>8.0670902971413891</v>
      </c>
      <c r="G154" s="13">
        <v>41866</v>
      </c>
      <c r="H154" s="15">
        <v>4.0999999999999996</v>
      </c>
      <c r="I154" s="15">
        <v>0.5</v>
      </c>
      <c r="J154" s="15">
        <v>3.9750000000000001</v>
      </c>
      <c r="K154" s="15">
        <f t="shared" si="11"/>
        <v>44.31</v>
      </c>
      <c r="L154" s="15">
        <f t="shared" si="12"/>
        <v>11</v>
      </c>
      <c r="M154" s="15">
        <f t="shared" si="14"/>
        <v>4.0281818181818183</v>
      </c>
    </row>
    <row r="155" spans="2:13" x14ac:dyDescent="0.25">
      <c r="B155" s="13">
        <f t="shared" si="13"/>
        <v>35580</v>
      </c>
      <c r="C155" s="13">
        <v>35582</v>
      </c>
      <c r="D155" s="15">
        <v>8.0664511246862194</v>
      </c>
      <c r="G155" s="13">
        <v>41865</v>
      </c>
      <c r="H155" s="15">
        <v>4.0999999999999996</v>
      </c>
      <c r="I155" s="15">
        <v>0.5</v>
      </c>
      <c r="J155" s="15">
        <v>3.9750000000000001</v>
      </c>
      <c r="K155" s="15">
        <f t="shared" si="11"/>
        <v>40.335000000000001</v>
      </c>
      <c r="L155" s="15">
        <f t="shared" si="12"/>
        <v>10</v>
      </c>
      <c r="M155" s="15">
        <f t="shared" si="14"/>
        <v>4.0335000000000001</v>
      </c>
    </row>
    <row r="156" spans="2:13" x14ac:dyDescent="0.25">
      <c r="B156" s="13">
        <f t="shared" si="13"/>
        <v>35611</v>
      </c>
      <c r="C156" s="13">
        <v>35612</v>
      </c>
      <c r="D156" s="15">
        <v>8.0655126131371695</v>
      </c>
      <c r="G156" s="13">
        <v>41864</v>
      </c>
      <c r="H156" s="15">
        <v>4.12</v>
      </c>
      <c r="I156" s="15">
        <v>0.6</v>
      </c>
      <c r="J156" s="15">
        <v>4.0199999999999996</v>
      </c>
      <c r="K156" s="15">
        <f t="shared" si="11"/>
        <v>36.36</v>
      </c>
      <c r="L156" s="15">
        <f t="shared" si="12"/>
        <v>9</v>
      </c>
      <c r="M156" s="15">
        <f t="shared" si="14"/>
        <v>4.04</v>
      </c>
    </row>
    <row r="157" spans="2:13" x14ac:dyDescent="0.25">
      <c r="B157" s="13">
        <f t="shared" si="13"/>
        <v>35642</v>
      </c>
      <c r="C157" s="13">
        <v>35643</v>
      </c>
      <c r="D157" s="15">
        <v>8.0614786803101008</v>
      </c>
      <c r="G157" s="13">
        <v>41863</v>
      </c>
      <c r="H157" s="15">
        <v>4.12</v>
      </c>
      <c r="I157" s="15">
        <v>0.6</v>
      </c>
      <c r="J157" s="15">
        <v>4.0199999999999996</v>
      </c>
      <c r="K157" s="15">
        <f t="shared" si="11"/>
        <v>32.340000000000003</v>
      </c>
      <c r="L157" s="15">
        <f t="shared" si="12"/>
        <v>8</v>
      </c>
      <c r="M157" s="15">
        <f t="shared" si="14"/>
        <v>4.0425000000000004</v>
      </c>
    </row>
    <row r="158" spans="2:13" x14ac:dyDescent="0.25">
      <c r="B158" s="13">
        <f t="shared" si="13"/>
        <v>35671</v>
      </c>
      <c r="C158" s="13">
        <v>35674</v>
      </c>
      <c r="D158" s="15">
        <v>8.05374715081118</v>
      </c>
      <c r="G158" s="13">
        <v>41862</v>
      </c>
      <c r="H158" s="15">
        <v>4.12</v>
      </c>
      <c r="I158" s="15">
        <v>0.6</v>
      </c>
      <c r="J158" s="15">
        <v>4.0199999999999996</v>
      </c>
      <c r="K158" s="15">
        <f t="shared" si="11"/>
        <v>28.32</v>
      </c>
      <c r="L158" s="15">
        <f t="shared" si="12"/>
        <v>7</v>
      </c>
      <c r="M158" s="15">
        <f t="shared" si="14"/>
        <v>4.0457142857142854</v>
      </c>
    </row>
    <row r="159" spans="2:13" x14ac:dyDescent="0.25">
      <c r="B159" s="13">
        <f t="shared" si="13"/>
        <v>35703</v>
      </c>
      <c r="C159" s="13">
        <v>35704</v>
      </c>
      <c r="D159" s="15">
        <v>8.0433350462232394</v>
      </c>
      <c r="G159" s="13">
        <v>41859</v>
      </c>
      <c r="H159" s="15">
        <v>4.12</v>
      </c>
      <c r="I159" s="15">
        <v>0.6</v>
      </c>
      <c r="J159" s="15">
        <v>4.0199999999999996</v>
      </c>
      <c r="K159" s="15">
        <f t="shared" si="11"/>
        <v>24.3</v>
      </c>
      <c r="L159" s="15">
        <f t="shared" si="12"/>
        <v>6</v>
      </c>
      <c r="M159" s="15">
        <f t="shared" si="14"/>
        <v>4.05</v>
      </c>
    </row>
    <row r="160" spans="2:13" x14ac:dyDescent="0.25">
      <c r="B160" s="13">
        <f t="shared" si="13"/>
        <v>35734</v>
      </c>
      <c r="C160" s="13">
        <v>35735</v>
      </c>
      <c r="D160" s="15">
        <v>8.0312505301911994</v>
      </c>
      <c r="G160" s="13">
        <v>41858</v>
      </c>
      <c r="H160" s="15">
        <v>4.12</v>
      </c>
      <c r="I160" s="15">
        <v>0.6</v>
      </c>
      <c r="J160" s="15">
        <v>4.0199999999999996</v>
      </c>
      <c r="K160" s="15">
        <f t="shared" si="11"/>
        <v>20.28</v>
      </c>
      <c r="L160" s="15">
        <f t="shared" si="12"/>
        <v>5</v>
      </c>
      <c r="M160" s="15">
        <f t="shared" si="14"/>
        <v>4.056</v>
      </c>
    </row>
    <row r="161" spans="2:13" x14ac:dyDescent="0.25">
      <c r="B161" s="13">
        <f t="shared" si="13"/>
        <v>35762</v>
      </c>
      <c r="C161" s="13">
        <v>35765</v>
      </c>
      <c r="D161" s="15">
        <v>8.0168982544408696</v>
      </c>
      <c r="G161" s="13">
        <v>41857</v>
      </c>
      <c r="H161" s="15">
        <v>4.1399999999999997</v>
      </c>
      <c r="I161" s="15">
        <v>0.7</v>
      </c>
      <c r="J161" s="15">
        <v>4.0650000000000004</v>
      </c>
      <c r="K161" s="15">
        <f t="shared" si="11"/>
        <v>16.260000000000002</v>
      </c>
      <c r="L161" s="15">
        <f t="shared" si="12"/>
        <v>4</v>
      </c>
      <c r="M161" s="15">
        <f t="shared" si="14"/>
        <v>4.0650000000000004</v>
      </c>
    </row>
    <row r="162" spans="2:13" x14ac:dyDescent="0.25">
      <c r="B162" s="13">
        <f t="shared" si="13"/>
        <v>35795</v>
      </c>
      <c r="C162" s="13">
        <v>35796</v>
      </c>
      <c r="D162" s="15">
        <v>7.9997066256292397</v>
      </c>
      <c r="G162" s="13">
        <v>41856</v>
      </c>
      <c r="H162" s="15">
        <v>4.1399999999999997</v>
      </c>
      <c r="I162" s="15">
        <v>0.7</v>
      </c>
      <c r="J162" s="15">
        <v>4.0650000000000004</v>
      </c>
      <c r="K162" s="15">
        <f t="shared" si="11"/>
        <v>12.195</v>
      </c>
      <c r="L162" s="15">
        <f t="shared" si="12"/>
        <v>3</v>
      </c>
      <c r="M162" s="15">
        <f t="shared" si="14"/>
        <v>4.0650000000000004</v>
      </c>
    </row>
    <row r="163" spans="2:13" x14ac:dyDescent="0.25">
      <c r="B163" s="13">
        <f t="shared" si="13"/>
        <v>35825</v>
      </c>
      <c r="C163" s="13">
        <v>35827</v>
      </c>
      <c r="D163" s="15">
        <v>7.9803201067185503</v>
      </c>
      <c r="G163" s="13">
        <v>41855</v>
      </c>
      <c r="H163" s="15">
        <v>4.1399999999999997</v>
      </c>
      <c r="I163" s="15">
        <v>0.7</v>
      </c>
      <c r="J163" s="15">
        <v>4.0650000000000004</v>
      </c>
      <c r="K163" s="15">
        <f t="shared" si="11"/>
        <v>8.1300000000000008</v>
      </c>
      <c r="L163" s="15">
        <f t="shared" si="12"/>
        <v>2</v>
      </c>
      <c r="M163" s="15">
        <f t="shared" si="14"/>
        <v>4.0650000000000004</v>
      </c>
    </row>
    <row r="164" spans="2:13" x14ac:dyDescent="0.25">
      <c r="B164" s="13">
        <f t="shared" si="13"/>
        <v>35853</v>
      </c>
      <c r="C164" s="13">
        <v>35855</v>
      </c>
      <c r="D164" s="15">
        <v>7.9485791833034698</v>
      </c>
      <c r="G164" s="13">
        <v>41852</v>
      </c>
      <c r="H164" s="15">
        <v>4.1399999999999997</v>
      </c>
      <c r="I164" s="15">
        <v>0.7</v>
      </c>
      <c r="J164" s="15">
        <v>4.0650000000000004</v>
      </c>
      <c r="K164" s="15">
        <f t="shared" si="11"/>
        <v>4.0650000000000004</v>
      </c>
      <c r="L164" s="15">
        <f t="shared" si="12"/>
        <v>1</v>
      </c>
      <c r="M164" s="15">
        <f t="shared" si="14"/>
        <v>4.0650000000000004</v>
      </c>
    </row>
    <row r="165" spans="2:13" x14ac:dyDescent="0.25">
      <c r="B165" s="13">
        <f t="shared" si="13"/>
        <v>35885</v>
      </c>
      <c r="C165" s="13">
        <v>35886</v>
      </c>
      <c r="D165" s="15">
        <v>7.9091342123585902</v>
      </c>
      <c r="G165" s="13">
        <v>41851</v>
      </c>
      <c r="H165" s="15">
        <v>4.1399999999999997</v>
      </c>
      <c r="I165" s="15">
        <v>0.7</v>
      </c>
      <c r="J165" s="15">
        <v>4.0650000000000004</v>
      </c>
      <c r="K165" s="15">
        <f t="shared" si="11"/>
        <v>88.754999999999981</v>
      </c>
      <c r="L165" s="15">
        <f t="shared" si="12"/>
        <v>22</v>
      </c>
      <c r="M165" s="15">
        <f t="shared" si="14"/>
        <v>4.0343181818181808</v>
      </c>
    </row>
    <row r="166" spans="2:13" x14ac:dyDescent="0.25">
      <c r="B166" s="13">
        <f t="shared" si="13"/>
        <v>35915</v>
      </c>
      <c r="C166" s="13">
        <v>35916</v>
      </c>
      <c r="D166" s="15">
        <v>7.8732501348460797</v>
      </c>
      <c r="G166" s="13">
        <v>41850</v>
      </c>
      <c r="H166" s="15">
        <v>4.12</v>
      </c>
      <c r="I166" s="15">
        <v>0.6</v>
      </c>
      <c r="J166" s="15">
        <v>4.0199999999999996</v>
      </c>
      <c r="K166" s="15">
        <f t="shared" si="11"/>
        <v>84.689999999999984</v>
      </c>
      <c r="L166" s="15">
        <f t="shared" si="12"/>
        <v>21</v>
      </c>
      <c r="M166" s="15">
        <f t="shared" si="14"/>
        <v>4.032857142857142</v>
      </c>
    </row>
    <row r="167" spans="2:13" x14ac:dyDescent="0.25">
      <c r="B167" s="13">
        <f t="shared" si="13"/>
        <v>35944</v>
      </c>
      <c r="C167" s="13">
        <v>35947</v>
      </c>
      <c r="D167" s="15">
        <v>7.8409685491637902</v>
      </c>
      <c r="G167" s="13">
        <v>41849</v>
      </c>
      <c r="H167" s="15">
        <v>4.12</v>
      </c>
      <c r="I167" s="15">
        <v>0.6</v>
      </c>
      <c r="J167" s="15">
        <v>4.0199999999999996</v>
      </c>
      <c r="K167" s="15">
        <f t="shared" si="11"/>
        <v>80.669999999999987</v>
      </c>
      <c r="L167" s="15">
        <f t="shared" si="12"/>
        <v>20</v>
      </c>
      <c r="M167" s="15">
        <f t="shared" si="14"/>
        <v>4.0334999999999992</v>
      </c>
    </row>
    <row r="168" spans="2:13" x14ac:dyDescent="0.25">
      <c r="B168" s="13">
        <f t="shared" si="13"/>
        <v>35976</v>
      </c>
      <c r="C168" s="13">
        <v>35977</v>
      </c>
      <c r="D168" s="15">
        <v>7.8081378821182703</v>
      </c>
      <c r="G168" s="13">
        <v>41848</v>
      </c>
      <c r="H168" s="15">
        <v>4.12</v>
      </c>
      <c r="I168" s="15">
        <v>0.6</v>
      </c>
      <c r="J168" s="15">
        <v>4.0199999999999996</v>
      </c>
      <c r="K168" s="15">
        <f t="shared" si="11"/>
        <v>76.649999999999991</v>
      </c>
      <c r="L168" s="15">
        <f t="shared" si="12"/>
        <v>19</v>
      </c>
      <c r="M168" s="15">
        <f t="shared" si="14"/>
        <v>4.034210526315789</v>
      </c>
    </row>
    <row r="169" spans="2:13" x14ac:dyDescent="0.25">
      <c r="B169" s="13">
        <f t="shared" si="13"/>
        <v>36007</v>
      </c>
      <c r="C169" s="13">
        <v>36008</v>
      </c>
      <c r="D169" s="15">
        <v>7.77620795447001</v>
      </c>
      <c r="G169" s="13">
        <v>41845</v>
      </c>
      <c r="H169" s="15">
        <v>4.12</v>
      </c>
      <c r="I169" s="15">
        <v>0.6</v>
      </c>
      <c r="J169" s="15">
        <v>4.0199999999999996</v>
      </c>
      <c r="K169" s="15">
        <f t="shared" si="11"/>
        <v>72.63</v>
      </c>
      <c r="L169" s="15">
        <f t="shared" si="12"/>
        <v>18</v>
      </c>
      <c r="M169" s="15">
        <f t="shared" si="14"/>
        <v>4.0350000000000001</v>
      </c>
    </row>
    <row r="170" spans="2:13" x14ac:dyDescent="0.25">
      <c r="B170" s="13">
        <f t="shared" si="13"/>
        <v>36038</v>
      </c>
      <c r="C170" s="13">
        <v>36039</v>
      </c>
      <c r="D170" s="15">
        <v>7.7431594941262798</v>
      </c>
      <c r="G170" s="13">
        <v>41844</v>
      </c>
      <c r="H170" s="15">
        <v>4.12</v>
      </c>
      <c r="I170" s="15">
        <v>0.6</v>
      </c>
      <c r="J170" s="15">
        <v>4.0199999999999996</v>
      </c>
      <c r="K170" s="15">
        <f t="shared" si="11"/>
        <v>68.61</v>
      </c>
      <c r="L170" s="15">
        <f t="shared" si="12"/>
        <v>17</v>
      </c>
      <c r="M170" s="15">
        <f t="shared" si="14"/>
        <v>4.0358823529411767</v>
      </c>
    </row>
    <row r="171" spans="2:13" x14ac:dyDescent="0.25">
      <c r="B171" s="13">
        <f t="shared" si="13"/>
        <v>36068</v>
      </c>
      <c r="C171" s="13">
        <v>36069</v>
      </c>
      <c r="D171" s="15">
        <v>7.7096326766398597</v>
      </c>
      <c r="G171" s="13">
        <v>41843</v>
      </c>
      <c r="H171" s="15">
        <v>4.13</v>
      </c>
      <c r="I171" s="15">
        <v>0.6</v>
      </c>
      <c r="J171" s="15">
        <v>4.03</v>
      </c>
      <c r="K171" s="15">
        <f t="shared" si="11"/>
        <v>64.59</v>
      </c>
      <c r="L171" s="15">
        <f t="shared" si="12"/>
        <v>16</v>
      </c>
      <c r="M171" s="15">
        <f t="shared" si="14"/>
        <v>4.0368750000000002</v>
      </c>
    </row>
    <row r="172" spans="2:13" x14ac:dyDescent="0.25">
      <c r="B172" s="13">
        <f t="shared" si="13"/>
        <v>36098</v>
      </c>
      <c r="C172" s="13">
        <v>36100</v>
      </c>
      <c r="D172" s="15">
        <v>7.6690404267619199</v>
      </c>
      <c r="G172" s="13">
        <v>41842</v>
      </c>
      <c r="H172" s="15">
        <v>4.13</v>
      </c>
      <c r="I172" s="15">
        <v>0.6</v>
      </c>
      <c r="J172" s="15">
        <v>4.03</v>
      </c>
      <c r="K172" s="15">
        <f t="shared" si="11"/>
        <v>60.560000000000009</v>
      </c>
      <c r="L172" s="15">
        <f t="shared" si="12"/>
        <v>15</v>
      </c>
      <c r="M172" s="15">
        <f t="shared" si="14"/>
        <v>4.0373333333333337</v>
      </c>
    </row>
    <row r="173" spans="2:13" x14ac:dyDescent="0.25">
      <c r="B173" s="13">
        <f t="shared" si="13"/>
        <v>36129</v>
      </c>
      <c r="C173" s="13">
        <v>36130</v>
      </c>
      <c r="D173" s="15">
        <v>7.6166725827848198</v>
      </c>
      <c r="G173" s="13">
        <v>41841</v>
      </c>
      <c r="H173" s="15">
        <v>4.13</v>
      </c>
      <c r="I173" s="15">
        <v>0.6</v>
      </c>
      <c r="J173" s="15">
        <v>4.03</v>
      </c>
      <c r="K173" s="15">
        <f t="shared" si="11"/>
        <v>56.530000000000008</v>
      </c>
      <c r="L173" s="15">
        <f t="shared" si="12"/>
        <v>14</v>
      </c>
      <c r="M173" s="15">
        <f t="shared" si="14"/>
        <v>4.0378571428571437</v>
      </c>
    </row>
    <row r="174" spans="2:13" x14ac:dyDescent="0.25">
      <c r="B174" s="13">
        <f t="shared" si="13"/>
        <v>36160</v>
      </c>
      <c r="C174" s="13">
        <v>36161</v>
      </c>
      <c r="D174" s="15">
        <v>7.56636232920075</v>
      </c>
      <c r="G174" s="13">
        <v>41838</v>
      </c>
      <c r="H174" s="15">
        <v>4.13</v>
      </c>
      <c r="I174" s="15">
        <v>0.6</v>
      </c>
      <c r="J174" s="15">
        <v>4.03</v>
      </c>
      <c r="K174" s="15">
        <f t="shared" si="11"/>
        <v>52.500000000000007</v>
      </c>
      <c r="L174" s="15">
        <f t="shared" si="12"/>
        <v>13</v>
      </c>
      <c r="M174" s="15">
        <f t="shared" si="14"/>
        <v>4.0384615384615392</v>
      </c>
    </row>
    <row r="175" spans="2:13" x14ac:dyDescent="0.25">
      <c r="B175" s="13">
        <f t="shared" si="13"/>
        <v>36189</v>
      </c>
      <c r="C175" s="13">
        <v>36192</v>
      </c>
      <c r="D175" s="15">
        <v>7.52729769138067</v>
      </c>
      <c r="G175" s="13">
        <v>41837</v>
      </c>
      <c r="H175" s="15">
        <v>4.13</v>
      </c>
      <c r="I175" s="15">
        <v>0.6</v>
      </c>
      <c r="J175" s="15">
        <v>4.03</v>
      </c>
      <c r="K175" s="15">
        <f t="shared" si="11"/>
        <v>48.470000000000006</v>
      </c>
      <c r="L175" s="15">
        <f t="shared" si="12"/>
        <v>12</v>
      </c>
      <c r="M175" s="15">
        <f t="shared" si="14"/>
        <v>4.0391666666666675</v>
      </c>
    </row>
    <row r="176" spans="2:13" x14ac:dyDescent="0.25">
      <c r="B176" s="13">
        <f t="shared" si="13"/>
        <v>36217</v>
      </c>
      <c r="C176" s="13">
        <v>36220</v>
      </c>
      <c r="D176" s="15">
        <v>7.4945471518839897</v>
      </c>
      <c r="G176" s="13">
        <v>41836</v>
      </c>
      <c r="H176" s="15">
        <v>4.13</v>
      </c>
      <c r="I176" s="15">
        <v>0.6</v>
      </c>
      <c r="J176" s="15">
        <v>4.03</v>
      </c>
      <c r="K176" s="15">
        <f t="shared" si="11"/>
        <v>44.440000000000005</v>
      </c>
      <c r="L176" s="15">
        <f t="shared" si="12"/>
        <v>11</v>
      </c>
      <c r="M176" s="15">
        <f t="shared" si="14"/>
        <v>4.04</v>
      </c>
    </row>
    <row r="177" spans="2:13" x14ac:dyDescent="0.25">
      <c r="B177" s="13">
        <f t="shared" si="13"/>
        <v>36250</v>
      </c>
      <c r="C177" s="13">
        <v>36251</v>
      </c>
      <c r="D177" s="15">
        <v>7.46584351301565</v>
      </c>
      <c r="G177" s="13">
        <v>41835</v>
      </c>
      <c r="H177" s="15">
        <v>4.13</v>
      </c>
      <c r="I177" s="15">
        <v>0.6</v>
      </c>
      <c r="J177" s="15">
        <v>4.03</v>
      </c>
      <c r="K177" s="15">
        <f t="shared" si="11"/>
        <v>40.410000000000004</v>
      </c>
      <c r="L177" s="15">
        <f t="shared" si="12"/>
        <v>10</v>
      </c>
      <c r="M177" s="15">
        <f t="shared" si="14"/>
        <v>4.0410000000000004</v>
      </c>
    </row>
    <row r="178" spans="2:13" x14ac:dyDescent="0.25">
      <c r="B178" s="13">
        <f t="shared" si="13"/>
        <v>36280</v>
      </c>
      <c r="C178" s="13">
        <v>36281</v>
      </c>
      <c r="D178" s="15">
        <v>7.4441522318998299</v>
      </c>
      <c r="G178" s="13">
        <v>41834</v>
      </c>
      <c r="H178" s="15">
        <v>4.13</v>
      </c>
      <c r="I178" s="15">
        <v>0.6</v>
      </c>
      <c r="J178" s="15">
        <v>4.03</v>
      </c>
      <c r="K178" s="15">
        <f t="shared" si="11"/>
        <v>36.380000000000003</v>
      </c>
      <c r="L178" s="15">
        <f t="shared" si="12"/>
        <v>9</v>
      </c>
      <c r="M178" s="15">
        <f t="shared" si="14"/>
        <v>4.0422222222222226</v>
      </c>
    </row>
    <row r="179" spans="2:13" x14ac:dyDescent="0.25">
      <c r="B179" s="13">
        <f t="shared" si="13"/>
        <v>36311</v>
      </c>
      <c r="C179" s="13">
        <v>36312</v>
      </c>
      <c r="D179" s="15">
        <v>7.4255880456726899</v>
      </c>
      <c r="G179" s="13">
        <v>41831</v>
      </c>
      <c r="H179" s="15">
        <v>4.13</v>
      </c>
      <c r="I179" s="15">
        <v>0.6</v>
      </c>
      <c r="J179" s="15">
        <v>4.03</v>
      </c>
      <c r="K179" s="15">
        <f t="shared" si="11"/>
        <v>32.35</v>
      </c>
      <c r="L179" s="15">
        <f t="shared" si="12"/>
        <v>8</v>
      </c>
      <c r="M179" s="15">
        <f t="shared" si="14"/>
        <v>4.0437500000000002</v>
      </c>
    </row>
    <row r="180" spans="2:13" x14ac:dyDescent="0.25">
      <c r="B180" s="13">
        <f t="shared" si="13"/>
        <v>36341</v>
      </c>
      <c r="C180" s="13">
        <v>36342</v>
      </c>
      <c r="D180" s="15">
        <v>7.4127033466040499</v>
      </c>
      <c r="G180" s="13">
        <v>41830</v>
      </c>
      <c r="H180" s="15">
        <v>4.13</v>
      </c>
      <c r="I180" s="15">
        <v>0.6</v>
      </c>
      <c r="J180" s="15">
        <v>4.03</v>
      </c>
      <c r="K180" s="15">
        <f t="shared" si="11"/>
        <v>28.32</v>
      </c>
      <c r="L180" s="15">
        <f t="shared" si="12"/>
        <v>7</v>
      </c>
      <c r="M180" s="15">
        <f t="shared" si="14"/>
        <v>4.0457142857142854</v>
      </c>
    </row>
    <row r="181" spans="2:13" x14ac:dyDescent="0.25">
      <c r="B181" s="13">
        <f t="shared" si="13"/>
        <v>36371</v>
      </c>
      <c r="C181" s="13">
        <v>36373</v>
      </c>
      <c r="D181" s="15">
        <v>7.4095902251755899</v>
      </c>
      <c r="G181" s="13">
        <v>41829</v>
      </c>
      <c r="H181" s="15">
        <v>4.1500000000000004</v>
      </c>
      <c r="I181" s="15">
        <v>0.7</v>
      </c>
      <c r="J181" s="15">
        <v>4.0750000000000002</v>
      </c>
      <c r="K181" s="15">
        <f t="shared" si="11"/>
        <v>24.29</v>
      </c>
      <c r="L181" s="15">
        <f t="shared" si="12"/>
        <v>6</v>
      </c>
      <c r="M181" s="15">
        <f t="shared" si="14"/>
        <v>4.0483333333333329</v>
      </c>
    </row>
    <row r="182" spans="2:13" x14ac:dyDescent="0.25">
      <c r="B182" s="13">
        <f t="shared" si="13"/>
        <v>36403</v>
      </c>
      <c r="C182" s="13">
        <v>36404</v>
      </c>
      <c r="D182" s="15">
        <v>7.4125988659590796</v>
      </c>
      <c r="G182" s="13">
        <v>41828</v>
      </c>
      <c r="H182" s="15">
        <v>4.1500000000000004</v>
      </c>
      <c r="I182" s="15">
        <v>0.7</v>
      </c>
      <c r="J182" s="15">
        <v>4.0750000000000002</v>
      </c>
      <c r="K182" s="15">
        <f t="shared" si="11"/>
        <v>20.215</v>
      </c>
      <c r="L182" s="15">
        <f t="shared" si="12"/>
        <v>5</v>
      </c>
      <c r="M182" s="15">
        <f t="shared" si="14"/>
        <v>4.0430000000000001</v>
      </c>
    </row>
    <row r="183" spans="2:13" x14ac:dyDescent="0.25">
      <c r="B183" s="13">
        <f t="shared" si="13"/>
        <v>36433</v>
      </c>
      <c r="C183" s="13">
        <v>36434</v>
      </c>
      <c r="D183" s="15">
        <v>7.4170138337306897</v>
      </c>
      <c r="G183" s="13">
        <v>41827</v>
      </c>
      <c r="H183" s="15">
        <v>4.1500000000000004</v>
      </c>
      <c r="I183" s="15">
        <v>0.7</v>
      </c>
      <c r="J183" s="15">
        <v>4.0750000000000002</v>
      </c>
      <c r="K183" s="15">
        <f t="shared" si="11"/>
        <v>16.14</v>
      </c>
      <c r="L183" s="15">
        <f t="shared" si="12"/>
        <v>4</v>
      </c>
      <c r="M183" s="15">
        <f t="shared" si="14"/>
        <v>4.0350000000000001</v>
      </c>
    </row>
    <row r="184" spans="2:13" x14ac:dyDescent="0.25">
      <c r="B184" s="13">
        <f t="shared" si="13"/>
        <v>36462</v>
      </c>
      <c r="C184" s="13">
        <v>36465</v>
      </c>
      <c r="D184" s="15">
        <v>7.4220899726854297</v>
      </c>
      <c r="G184" s="13">
        <v>41823</v>
      </c>
      <c r="H184" s="15">
        <v>4.1500000000000004</v>
      </c>
      <c r="I184" s="15">
        <v>0.7</v>
      </c>
      <c r="J184" s="15">
        <v>4.0750000000000002</v>
      </c>
      <c r="K184" s="15">
        <f t="shared" si="11"/>
        <v>12.065000000000001</v>
      </c>
      <c r="L184" s="15">
        <f t="shared" si="12"/>
        <v>3</v>
      </c>
      <c r="M184" s="15">
        <f t="shared" si="14"/>
        <v>4.0216666666666674</v>
      </c>
    </row>
    <row r="185" spans="2:13" x14ac:dyDescent="0.25">
      <c r="B185" s="13">
        <f t="shared" si="13"/>
        <v>36494</v>
      </c>
      <c r="C185" s="13">
        <v>36495</v>
      </c>
      <c r="D185" s="15">
        <v>7.4272840359167098</v>
      </c>
      <c r="G185" s="13">
        <v>41822</v>
      </c>
      <c r="H185" s="15">
        <v>4.12</v>
      </c>
      <c r="I185" s="15">
        <v>0.5</v>
      </c>
      <c r="J185" s="15">
        <v>3.9950000000000001</v>
      </c>
      <c r="K185" s="15">
        <f t="shared" si="11"/>
        <v>7.99</v>
      </c>
      <c r="L185" s="15">
        <f t="shared" si="12"/>
        <v>2</v>
      </c>
      <c r="M185" s="15">
        <f t="shared" si="14"/>
        <v>3.9950000000000001</v>
      </c>
    </row>
    <row r="186" spans="2:13" x14ac:dyDescent="0.25">
      <c r="B186" s="13">
        <f t="shared" si="13"/>
        <v>36525</v>
      </c>
      <c r="C186" s="13">
        <v>36526</v>
      </c>
      <c r="D186" s="15">
        <v>7.4327729206536102</v>
      </c>
      <c r="G186" s="13">
        <v>41821</v>
      </c>
      <c r="H186" s="15">
        <v>4.12</v>
      </c>
      <c r="I186" s="15">
        <v>0.5</v>
      </c>
      <c r="J186" s="15">
        <v>3.9950000000000001</v>
      </c>
      <c r="K186" s="15">
        <f t="shared" si="11"/>
        <v>3.9950000000000001</v>
      </c>
      <c r="L186" s="15">
        <f t="shared" si="12"/>
        <v>1</v>
      </c>
      <c r="M186" s="15">
        <f t="shared" si="14"/>
        <v>3.9950000000000001</v>
      </c>
    </row>
    <row r="187" spans="2:13" x14ac:dyDescent="0.25">
      <c r="B187" s="13">
        <f t="shared" si="13"/>
        <v>36556</v>
      </c>
      <c r="C187" s="13">
        <v>36557</v>
      </c>
      <c r="D187" s="15">
        <v>7.4400957197323496</v>
      </c>
      <c r="G187" s="13">
        <v>41820</v>
      </c>
      <c r="H187" s="15">
        <v>4.12</v>
      </c>
      <c r="I187" s="15">
        <v>0.5</v>
      </c>
      <c r="J187" s="15">
        <v>3.9950000000000001</v>
      </c>
      <c r="K187" s="15">
        <f t="shared" si="11"/>
        <v>84.955000000000013</v>
      </c>
      <c r="L187" s="15">
        <f t="shared" si="12"/>
        <v>21</v>
      </c>
      <c r="M187" s="15">
        <f t="shared" si="14"/>
        <v>4.0454761904761911</v>
      </c>
    </row>
    <row r="188" spans="2:13" x14ac:dyDescent="0.25">
      <c r="B188" s="13">
        <f t="shared" si="13"/>
        <v>36585</v>
      </c>
      <c r="C188" s="13">
        <v>36586</v>
      </c>
      <c r="D188" s="15">
        <v>7.4486291993832099</v>
      </c>
      <c r="G188" s="13">
        <v>41817</v>
      </c>
      <c r="H188" s="15">
        <v>4.12</v>
      </c>
      <c r="I188" s="15">
        <v>0.5</v>
      </c>
      <c r="J188" s="15">
        <v>3.9950000000000001</v>
      </c>
      <c r="K188" s="15">
        <f t="shared" si="11"/>
        <v>80.960000000000008</v>
      </c>
      <c r="L188" s="15">
        <f t="shared" si="12"/>
        <v>20</v>
      </c>
      <c r="M188" s="15">
        <f t="shared" si="14"/>
        <v>4.048</v>
      </c>
    </row>
    <row r="189" spans="2:13" x14ac:dyDescent="0.25">
      <c r="B189" s="13">
        <f t="shared" si="13"/>
        <v>36616</v>
      </c>
      <c r="C189" s="13">
        <v>36617</v>
      </c>
      <c r="D189" s="15">
        <v>7.4607988464454698</v>
      </c>
      <c r="G189" s="13">
        <v>41816</v>
      </c>
      <c r="H189" s="15">
        <v>4.12</v>
      </c>
      <c r="I189" s="15">
        <v>0.5</v>
      </c>
      <c r="J189" s="15">
        <v>3.9950000000000001</v>
      </c>
      <c r="K189" s="15">
        <f t="shared" si="11"/>
        <v>76.965000000000003</v>
      </c>
      <c r="L189" s="15">
        <f t="shared" si="12"/>
        <v>19</v>
      </c>
      <c r="M189" s="15">
        <f t="shared" si="14"/>
        <v>4.0507894736842109</v>
      </c>
    </row>
    <row r="190" spans="2:13" x14ac:dyDescent="0.25">
      <c r="B190" s="13">
        <f t="shared" si="13"/>
        <v>36644</v>
      </c>
      <c r="C190" s="13">
        <v>36647</v>
      </c>
      <c r="D190" s="15">
        <v>7.4732020786550697</v>
      </c>
      <c r="G190" s="13">
        <v>41815</v>
      </c>
      <c r="H190" s="15">
        <v>4.1399999999999997</v>
      </c>
      <c r="I190" s="15">
        <v>0.5</v>
      </c>
      <c r="J190" s="15">
        <v>4.0149999999999997</v>
      </c>
      <c r="K190" s="15">
        <f t="shared" si="11"/>
        <v>72.97</v>
      </c>
      <c r="L190" s="15">
        <f t="shared" si="12"/>
        <v>18</v>
      </c>
      <c r="M190" s="15">
        <f t="shared" si="14"/>
        <v>4.0538888888888884</v>
      </c>
    </row>
    <row r="191" spans="2:13" x14ac:dyDescent="0.25">
      <c r="B191" s="13">
        <f t="shared" si="13"/>
        <v>36677</v>
      </c>
      <c r="C191" s="13">
        <v>36678</v>
      </c>
      <c r="D191" s="15">
        <v>7.48712179286031</v>
      </c>
      <c r="G191" s="13">
        <v>41814</v>
      </c>
      <c r="H191" s="15">
        <v>4.1399999999999997</v>
      </c>
      <c r="I191" s="15">
        <v>0.5</v>
      </c>
      <c r="J191" s="15">
        <v>4.0149999999999997</v>
      </c>
      <c r="K191" s="15">
        <f t="shared" si="11"/>
        <v>68.954999999999998</v>
      </c>
      <c r="L191" s="15">
        <f t="shared" si="12"/>
        <v>17</v>
      </c>
      <c r="M191" s="15">
        <f t="shared" si="14"/>
        <v>4.0561764705882348</v>
      </c>
    </row>
    <row r="192" spans="2:13" x14ac:dyDescent="0.25">
      <c r="B192" s="13">
        <f t="shared" si="13"/>
        <v>36707</v>
      </c>
      <c r="C192" s="13">
        <v>36708</v>
      </c>
      <c r="D192" s="15">
        <v>7.5040146726364698</v>
      </c>
      <c r="G192" s="13">
        <v>41813</v>
      </c>
      <c r="H192" s="15">
        <v>4.1399999999999997</v>
      </c>
      <c r="I192" s="15">
        <v>0.5</v>
      </c>
      <c r="J192" s="15">
        <v>4.0149999999999997</v>
      </c>
      <c r="K192" s="15">
        <f t="shared" si="11"/>
        <v>64.94</v>
      </c>
      <c r="L192" s="15">
        <f t="shared" si="12"/>
        <v>16</v>
      </c>
      <c r="M192" s="15">
        <f t="shared" si="14"/>
        <v>4.0587499999999999</v>
      </c>
    </row>
    <row r="193" spans="2:13" x14ac:dyDescent="0.25">
      <c r="B193" s="13">
        <f t="shared" si="13"/>
        <v>36738</v>
      </c>
      <c r="C193" s="13">
        <v>36739</v>
      </c>
      <c r="D193" s="15">
        <v>7.5216530258550698</v>
      </c>
      <c r="G193" s="13">
        <v>41810</v>
      </c>
      <c r="H193" s="15">
        <v>4.1399999999999997</v>
      </c>
      <c r="I193" s="15">
        <v>0.5</v>
      </c>
      <c r="J193" s="15">
        <v>4.0149999999999997</v>
      </c>
      <c r="K193" s="15">
        <f t="shared" si="11"/>
        <v>60.925000000000004</v>
      </c>
      <c r="L193" s="15">
        <f t="shared" si="12"/>
        <v>15</v>
      </c>
      <c r="M193" s="15">
        <f t="shared" si="14"/>
        <v>4.0616666666666665</v>
      </c>
    </row>
    <row r="194" spans="2:13" x14ac:dyDescent="0.25">
      <c r="B194" s="13">
        <f t="shared" si="13"/>
        <v>36769</v>
      </c>
      <c r="C194" s="13">
        <v>36770</v>
      </c>
      <c r="D194" s="15">
        <v>7.5354422685922398</v>
      </c>
      <c r="G194" s="13">
        <v>41809</v>
      </c>
      <c r="H194" s="15">
        <v>4.1399999999999997</v>
      </c>
      <c r="I194" s="15">
        <v>0.5</v>
      </c>
      <c r="J194" s="15">
        <v>4.0149999999999997</v>
      </c>
      <c r="K194" s="15">
        <f t="shared" si="11"/>
        <v>56.910000000000004</v>
      </c>
      <c r="L194" s="15">
        <f t="shared" si="12"/>
        <v>14</v>
      </c>
      <c r="M194" s="15">
        <f t="shared" si="14"/>
        <v>4.0650000000000004</v>
      </c>
    </row>
    <row r="195" spans="2:13" x14ac:dyDescent="0.25">
      <c r="B195" s="13">
        <f t="shared" si="13"/>
        <v>36798</v>
      </c>
      <c r="C195" s="13">
        <v>36800</v>
      </c>
      <c r="D195" s="15">
        <v>7.5487930983438503</v>
      </c>
      <c r="G195" s="13">
        <v>41808</v>
      </c>
      <c r="H195" s="15">
        <v>4.17</v>
      </c>
      <c r="I195" s="15">
        <v>0.6</v>
      </c>
      <c r="J195" s="15">
        <v>4.07</v>
      </c>
      <c r="K195" s="15">
        <f t="shared" si="11"/>
        <v>52.895000000000003</v>
      </c>
      <c r="L195" s="15">
        <f t="shared" si="12"/>
        <v>13</v>
      </c>
      <c r="M195" s="15">
        <f t="shared" si="14"/>
        <v>4.0688461538461542</v>
      </c>
    </row>
    <row r="196" spans="2:13" x14ac:dyDescent="0.25">
      <c r="B196" s="13">
        <f t="shared" si="13"/>
        <v>36830</v>
      </c>
      <c r="C196" s="13">
        <v>36831</v>
      </c>
      <c r="D196" s="15">
        <v>7.5589205010841898</v>
      </c>
      <c r="G196" s="13">
        <v>41807</v>
      </c>
      <c r="H196" s="15">
        <v>4.17</v>
      </c>
      <c r="I196" s="15">
        <v>0.6</v>
      </c>
      <c r="J196" s="15">
        <v>4.07</v>
      </c>
      <c r="K196" s="15">
        <f t="shared" ref="K196:K259" si="15">IF(MONTH(G196)=MONTH(G197),J196+K197,J196)</f>
        <v>48.825000000000003</v>
      </c>
      <c r="L196" s="15">
        <f t="shared" ref="L196:L259" si="16">IF(MONTH(G196)=MONTH(G197),L197+1,1)</f>
        <v>12</v>
      </c>
      <c r="M196" s="15">
        <f t="shared" si="14"/>
        <v>4.0687500000000005</v>
      </c>
    </row>
    <row r="197" spans="2:13" x14ac:dyDescent="0.25">
      <c r="B197" s="13">
        <f t="shared" ref="B197:B259" si="17">WORKDAY(C197,-1,)</f>
        <v>36860</v>
      </c>
      <c r="C197" s="13">
        <v>36861</v>
      </c>
      <c r="D197" s="15">
        <v>7.5666187030211596</v>
      </c>
      <c r="G197" s="13">
        <v>41806</v>
      </c>
      <c r="H197" s="15">
        <v>4.17</v>
      </c>
      <c r="I197" s="15">
        <v>0.6</v>
      </c>
      <c r="J197" s="15">
        <v>4.07</v>
      </c>
      <c r="K197" s="15">
        <f t="shared" si="15"/>
        <v>44.755000000000003</v>
      </c>
      <c r="L197" s="15">
        <f t="shared" si="16"/>
        <v>11</v>
      </c>
      <c r="M197" s="15">
        <f t="shared" ref="M197:M260" si="18">K197/L197</f>
        <v>4.0686363636363643</v>
      </c>
    </row>
    <row r="198" spans="2:13" x14ac:dyDescent="0.25">
      <c r="B198" s="13">
        <f t="shared" si="17"/>
        <v>36889</v>
      </c>
      <c r="C198" s="13">
        <v>36892</v>
      </c>
      <c r="D198" s="15">
        <v>7.5724879062711903</v>
      </c>
      <c r="G198" s="13">
        <v>41803</v>
      </c>
      <c r="H198" s="15">
        <v>4.17</v>
      </c>
      <c r="I198" s="15">
        <v>0.6</v>
      </c>
      <c r="J198" s="15">
        <v>4.07</v>
      </c>
      <c r="K198" s="15">
        <f t="shared" si="15"/>
        <v>40.685000000000002</v>
      </c>
      <c r="L198" s="15">
        <f t="shared" si="16"/>
        <v>10</v>
      </c>
      <c r="M198" s="15">
        <f t="shared" si="18"/>
        <v>4.0685000000000002</v>
      </c>
    </row>
    <row r="199" spans="2:13" x14ac:dyDescent="0.25">
      <c r="B199" s="13">
        <f t="shared" si="17"/>
        <v>40178</v>
      </c>
      <c r="C199" s="13">
        <v>40179</v>
      </c>
      <c r="D199" s="15">
        <v>5.8412259886338997</v>
      </c>
      <c r="G199" s="13">
        <v>41802</v>
      </c>
      <c r="H199" s="15">
        <v>4.17</v>
      </c>
      <c r="I199" s="15">
        <v>0.6</v>
      </c>
      <c r="J199" s="15">
        <v>4.07</v>
      </c>
      <c r="K199" s="15">
        <f t="shared" si="15"/>
        <v>36.615000000000002</v>
      </c>
      <c r="L199" s="15">
        <f t="shared" si="16"/>
        <v>9</v>
      </c>
      <c r="M199" s="15">
        <f t="shared" si="18"/>
        <v>4.0683333333333334</v>
      </c>
    </row>
    <row r="200" spans="2:13" x14ac:dyDescent="0.25">
      <c r="B200" s="13">
        <f t="shared" si="17"/>
        <v>40207</v>
      </c>
      <c r="C200" s="13">
        <v>40210</v>
      </c>
      <c r="D200" s="15">
        <v>5.8256235615266396</v>
      </c>
      <c r="G200" s="13">
        <v>41801</v>
      </c>
      <c r="H200" s="15">
        <v>4.2</v>
      </c>
      <c r="I200" s="15">
        <v>0.6</v>
      </c>
      <c r="J200" s="15">
        <v>4.0999999999999996</v>
      </c>
      <c r="K200" s="15">
        <f t="shared" si="15"/>
        <v>32.545000000000002</v>
      </c>
      <c r="L200" s="15">
        <f t="shared" si="16"/>
        <v>8</v>
      </c>
      <c r="M200" s="15">
        <f t="shared" si="18"/>
        <v>4.0681250000000002</v>
      </c>
    </row>
    <row r="201" spans="2:13" x14ac:dyDescent="0.25">
      <c r="B201" s="13">
        <f t="shared" si="17"/>
        <v>40268</v>
      </c>
      <c r="C201" s="13">
        <v>40269</v>
      </c>
      <c r="D201" s="15">
        <v>5.7816058373302299</v>
      </c>
      <c r="G201" s="13">
        <v>41800</v>
      </c>
      <c r="H201" s="15">
        <v>4.2</v>
      </c>
      <c r="I201" s="15">
        <v>0.6</v>
      </c>
      <c r="J201" s="15">
        <v>4.0999999999999996</v>
      </c>
      <c r="K201" s="15">
        <f t="shared" si="15"/>
        <v>28.445</v>
      </c>
      <c r="L201" s="15">
        <f t="shared" si="16"/>
        <v>7</v>
      </c>
      <c r="M201" s="15">
        <f t="shared" si="18"/>
        <v>4.0635714285714286</v>
      </c>
    </row>
    <row r="202" spans="2:13" x14ac:dyDescent="0.25">
      <c r="B202" s="13">
        <f t="shared" si="17"/>
        <v>40359</v>
      </c>
      <c r="C202" s="13">
        <v>40360</v>
      </c>
      <c r="D202" s="15">
        <v>5.7262137777287299</v>
      </c>
      <c r="G202" s="13">
        <v>41799</v>
      </c>
      <c r="H202" s="15">
        <v>4.2</v>
      </c>
      <c r="I202" s="15">
        <v>0.6</v>
      </c>
      <c r="J202" s="15">
        <v>4.0999999999999996</v>
      </c>
      <c r="K202" s="15">
        <f t="shared" si="15"/>
        <v>24.344999999999999</v>
      </c>
      <c r="L202" s="15">
        <f t="shared" si="16"/>
        <v>6</v>
      </c>
      <c r="M202" s="15">
        <f t="shared" si="18"/>
        <v>4.0575000000000001</v>
      </c>
    </row>
    <row r="203" spans="2:13" x14ac:dyDescent="0.25">
      <c r="B203" s="13">
        <f t="shared" si="17"/>
        <v>40389</v>
      </c>
      <c r="C203" s="13">
        <v>40391</v>
      </c>
      <c r="D203" s="15">
        <v>5.7099766814081203</v>
      </c>
      <c r="G203" s="13">
        <v>41796</v>
      </c>
      <c r="H203" s="15">
        <v>4.2</v>
      </c>
      <c r="I203" s="15">
        <v>0.6</v>
      </c>
      <c r="J203" s="15">
        <v>4.0999999999999996</v>
      </c>
      <c r="K203" s="15">
        <f t="shared" si="15"/>
        <v>20.244999999999997</v>
      </c>
      <c r="L203" s="15">
        <f t="shared" si="16"/>
        <v>5</v>
      </c>
      <c r="M203" s="15">
        <f t="shared" si="18"/>
        <v>4.0489999999999995</v>
      </c>
    </row>
    <row r="204" spans="2:13" x14ac:dyDescent="0.25">
      <c r="B204" s="13">
        <f t="shared" si="17"/>
        <v>40421</v>
      </c>
      <c r="C204" s="13">
        <v>40422</v>
      </c>
      <c r="D204" s="15">
        <v>5.6844642521451503</v>
      </c>
      <c r="G204" s="13">
        <v>41795</v>
      </c>
      <c r="H204" s="15">
        <v>4.2</v>
      </c>
      <c r="I204" s="15">
        <v>0.6</v>
      </c>
      <c r="J204" s="15">
        <v>4.0999999999999996</v>
      </c>
      <c r="K204" s="15">
        <f t="shared" si="15"/>
        <v>16.144999999999996</v>
      </c>
      <c r="L204" s="15">
        <f t="shared" si="16"/>
        <v>4</v>
      </c>
      <c r="M204" s="15">
        <f t="shared" si="18"/>
        <v>4.036249999999999</v>
      </c>
    </row>
    <row r="205" spans="2:13" x14ac:dyDescent="0.25">
      <c r="B205" s="13">
        <f t="shared" si="17"/>
        <v>40451</v>
      </c>
      <c r="C205" s="13">
        <v>40452</v>
      </c>
      <c r="D205" s="15">
        <v>5.6590403305137604</v>
      </c>
      <c r="G205" s="13">
        <v>41794</v>
      </c>
      <c r="H205" s="15">
        <v>4.1399999999999997</v>
      </c>
      <c r="I205" s="15">
        <v>0.5</v>
      </c>
      <c r="J205" s="15">
        <v>4.0149999999999997</v>
      </c>
      <c r="K205" s="15">
        <f t="shared" si="15"/>
        <v>12.044999999999998</v>
      </c>
      <c r="L205" s="15">
        <f t="shared" si="16"/>
        <v>3</v>
      </c>
      <c r="M205" s="15">
        <f t="shared" si="18"/>
        <v>4.0149999999999997</v>
      </c>
    </row>
    <row r="206" spans="2:13" x14ac:dyDescent="0.25">
      <c r="B206" s="13">
        <f t="shared" si="17"/>
        <v>40480</v>
      </c>
      <c r="C206" s="13">
        <v>40483</v>
      </c>
      <c r="D206" s="15">
        <v>5.6324669288986797</v>
      </c>
      <c r="G206" s="13">
        <v>41793</v>
      </c>
      <c r="H206" s="15">
        <v>4.1399999999999997</v>
      </c>
      <c r="I206" s="15">
        <v>0.5</v>
      </c>
      <c r="J206" s="15">
        <v>4.0149999999999997</v>
      </c>
      <c r="K206" s="15">
        <f t="shared" si="15"/>
        <v>8.0299999999999994</v>
      </c>
      <c r="L206" s="15">
        <f t="shared" si="16"/>
        <v>2</v>
      </c>
      <c r="M206" s="15">
        <f t="shared" si="18"/>
        <v>4.0149999999999997</v>
      </c>
    </row>
    <row r="207" spans="2:13" x14ac:dyDescent="0.25">
      <c r="B207" s="13">
        <f t="shared" si="17"/>
        <v>40512</v>
      </c>
      <c r="C207" s="13">
        <v>40513</v>
      </c>
      <c r="D207" s="15">
        <v>5.6013602514067697</v>
      </c>
      <c r="G207" s="13">
        <v>41792</v>
      </c>
      <c r="H207" s="15">
        <v>4.1399999999999997</v>
      </c>
      <c r="I207" s="15">
        <v>0.5</v>
      </c>
      <c r="J207" s="15">
        <v>4.0149999999999997</v>
      </c>
      <c r="K207" s="15">
        <f t="shared" si="15"/>
        <v>4.0149999999999997</v>
      </c>
      <c r="L207" s="15">
        <f t="shared" si="16"/>
        <v>1</v>
      </c>
      <c r="M207" s="15">
        <f t="shared" si="18"/>
        <v>4.0149999999999997</v>
      </c>
    </row>
    <row r="208" spans="2:13" x14ac:dyDescent="0.25">
      <c r="B208" s="13">
        <f t="shared" si="17"/>
        <v>40543</v>
      </c>
      <c r="C208" s="13">
        <v>40544</v>
      </c>
      <c r="D208" s="15">
        <v>5.5763436778925604</v>
      </c>
      <c r="G208" s="13">
        <v>41789</v>
      </c>
      <c r="H208" s="15">
        <v>4.1399999999999997</v>
      </c>
      <c r="I208" s="15">
        <v>0.5</v>
      </c>
      <c r="J208" s="15">
        <v>4.0149999999999997</v>
      </c>
      <c r="K208" s="15">
        <f t="shared" si="15"/>
        <v>85.359999999999985</v>
      </c>
      <c r="L208" s="15">
        <f t="shared" si="16"/>
        <v>21</v>
      </c>
      <c r="M208" s="15">
        <f t="shared" si="18"/>
        <v>4.0647619047619044</v>
      </c>
    </row>
    <row r="209" spans="2:13" x14ac:dyDescent="0.25">
      <c r="B209" s="13">
        <f t="shared" si="17"/>
        <v>40574</v>
      </c>
      <c r="C209" s="13">
        <v>40575</v>
      </c>
      <c r="D209" s="15">
        <v>5.5560536064770298</v>
      </c>
      <c r="G209" s="13">
        <v>41788</v>
      </c>
      <c r="H209" s="15">
        <v>4.1399999999999997</v>
      </c>
      <c r="I209" s="15">
        <v>0.5</v>
      </c>
      <c r="J209" s="15">
        <v>4.0149999999999997</v>
      </c>
      <c r="K209" s="15">
        <f t="shared" si="15"/>
        <v>81.344999999999985</v>
      </c>
      <c r="L209" s="15">
        <f t="shared" si="16"/>
        <v>20</v>
      </c>
      <c r="M209" s="15">
        <f t="shared" si="18"/>
        <v>4.0672499999999996</v>
      </c>
    </row>
    <row r="210" spans="2:13" x14ac:dyDescent="0.25">
      <c r="B210" s="13">
        <f t="shared" si="17"/>
        <v>40602</v>
      </c>
      <c r="C210" s="13">
        <v>40603</v>
      </c>
      <c r="D210" s="15">
        <v>5.5386980924786497</v>
      </c>
      <c r="G210" s="13">
        <v>41787</v>
      </c>
      <c r="H210" s="15">
        <v>4.12</v>
      </c>
      <c r="I210" s="15">
        <v>0.6</v>
      </c>
      <c r="J210" s="15">
        <v>4.0199999999999996</v>
      </c>
      <c r="K210" s="15">
        <f t="shared" si="15"/>
        <v>77.329999999999984</v>
      </c>
      <c r="L210" s="15">
        <f t="shared" si="16"/>
        <v>19</v>
      </c>
      <c r="M210" s="15">
        <f t="shared" si="18"/>
        <v>4.0699999999999994</v>
      </c>
    </row>
    <row r="211" spans="2:13" x14ac:dyDescent="0.25">
      <c r="B211" s="13">
        <f t="shared" si="17"/>
        <v>40633</v>
      </c>
      <c r="C211" s="13">
        <v>40634</v>
      </c>
      <c r="D211" s="15">
        <v>5.5269246970767396</v>
      </c>
      <c r="G211" s="13">
        <v>41786</v>
      </c>
      <c r="H211" s="15">
        <v>4.12</v>
      </c>
      <c r="I211" s="15">
        <v>0.6</v>
      </c>
      <c r="J211" s="15">
        <v>4.0199999999999996</v>
      </c>
      <c r="K211" s="15">
        <f t="shared" si="15"/>
        <v>73.309999999999988</v>
      </c>
      <c r="L211" s="15">
        <f t="shared" si="16"/>
        <v>18</v>
      </c>
      <c r="M211" s="15">
        <f t="shared" si="18"/>
        <v>4.0727777777777767</v>
      </c>
    </row>
    <row r="212" spans="2:13" x14ac:dyDescent="0.25">
      <c r="B212" s="13">
        <f t="shared" si="17"/>
        <v>40662</v>
      </c>
      <c r="C212" s="13">
        <v>40664</v>
      </c>
      <c r="D212" s="15">
        <v>5.51689595799128</v>
      </c>
      <c r="G212" s="13">
        <v>41782</v>
      </c>
      <c r="H212" s="15">
        <v>4.12</v>
      </c>
      <c r="I212" s="15">
        <v>0.6</v>
      </c>
      <c r="J212" s="15">
        <v>4.0199999999999996</v>
      </c>
      <c r="K212" s="15">
        <f t="shared" si="15"/>
        <v>69.289999999999992</v>
      </c>
      <c r="L212" s="15">
        <f t="shared" si="16"/>
        <v>17</v>
      </c>
      <c r="M212" s="15">
        <f t="shared" si="18"/>
        <v>4.0758823529411758</v>
      </c>
    </row>
    <row r="213" spans="2:13" x14ac:dyDescent="0.25">
      <c r="B213" s="13">
        <f t="shared" si="17"/>
        <v>40694</v>
      </c>
      <c r="C213" s="13">
        <v>40695</v>
      </c>
      <c r="D213" s="15">
        <v>5.5064525221557803</v>
      </c>
      <c r="G213" s="13">
        <v>41781</v>
      </c>
      <c r="H213" s="15">
        <v>4.12</v>
      </c>
      <c r="I213" s="15">
        <v>0.6</v>
      </c>
      <c r="J213" s="15">
        <v>4.0199999999999996</v>
      </c>
      <c r="K213" s="15">
        <f t="shared" si="15"/>
        <v>65.27</v>
      </c>
      <c r="L213" s="15">
        <f t="shared" si="16"/>
        <v>16</v>
      </c>
      <c r="M213" s="15">
        <f t="shared" si="18"/>
        <v>4.0793749999999998</v>
      </c>
    </row>
    <row r="214" spans="2:13" x14ac:dyDescent="0.25">
      <c r="B214" s="13">
        <f t="shared" si="17"/>
        <v>40724</v>
      </c>
      <c r="C214" s="13">
        <v>40725</v>
      </c>
      <c r="D214" s="15">
        <v>5.4966046806114601</v>
      </c>
      <c r="G214" s="13">
        <v>41780</v>
      </c>
      <c r="H214" s="15">
        <v>4.1399999999999997</v>
      </c>
      <c r="I214" s="15">
        <v>0.6</v>
      </c>
      <c r="J214" s="15">
        <v>4.04</v>
      </c>
      <c r="K214" s="15">
        <f t="shared" si="15"/>
        <v>61.25</v>
      </c>
      <c r="L214" s="15">
        <f t="shared" si="16"/>
        <v>15</v>
      </c>
      <c r="M214" s="15">
        <f t="shared" si="18"/>
        <v>4.083333333333333</v>
      </c>
    </row>
    <row r="215" spans="2:13" x14ac:dyDescent="0.25">
      <c r="B215" s="13">
        <f t="shared" si="17"/>
        <v>40753</v>
      </c>
      <c r="C215" s="13">
        <v>40756</v>
      </c>
      <c r="D215" s="15">
        <v>5.4853483193438404</v>
      </c>
      <c r="G215" s="13">
        <v>41779</v>
      </c>
      <c r="H215" s="15">
        <v>4.1399999999999997</v>
      </c>
      <c r="I215" s="15">
        <v>0.6</v>
      </c>
      <c r="J215" s="15">
        <v>4.04</v>
      </c>
      <c r="K215" s="15">
        <f t="shared" si="15"/>
        <v>57.21</v>
      </c>
      <c r="L215" s="15">
        <f t="shared" si="16"/>
        <v>14</v>
      </c>
      <c r="M215" s="15">
        <f t="shared" si="18"/>
        <v>4.0864285714285717</v>
      </c>
    </row>
    <row r="216" spans="2:13" x14ac:dyDescent="0.25">
      <c r="B216" s="13">
        <f t="shared" si="17"/>
        <v>40786</v>
      </c>
      <c r="C216" s="13">
        <v>40787</v>
      </c>
      <c r="D216" s="15">
        <v>5.4705693261233499</v>
      </c>
      <c r="G216" s="13">
        <v>41778</v>
      </c>
      <c r="H216" s="15">
        <v>4.1399999999999997</v>
      </c>
      <c r="I216" s="15">
        <v>0.6</v>
      </c>
      <c r="J216" s="15">
        <v>4.04</v>
      </c>
      <c r="K216" s="15">
        <f t="shared" si="15"/>
        <v>53.17</v>
      </c>
      <c r="L216" s="15">
        <f t="shared" si="16"/>
        <v>13</v>
      </c>
      <c r="M216" s="15">
        <f t="shared" si="18"/>
        <v>4.09</v>
      </c>
    </row>
    <row r="217" spans="2:13" x14ac:dyDescent="0.25">
      <c r="B217" s="13">
        <f t="shared" si="17"/>
        <v>40816</v>
      </c>
      <c r="C217" s="13">
        <v>40817</v>
      </c>
      <c r="D217" s="15">
        <v>5.4564253789048802</v>
      </c>
      <c r="G217" s="13">
        <v>41775</v>
      </c>
      <c r="H217" s="15">
        <v>4.1399999999999997</v>
      </c>
      <c r="I217" s="15">
        <v>0.6</v>
      </c>
      <c r="J217" s="15">
        <v>4.04</v>
      </c>
      <c r="K217" s="15">
        <f t="shared" si="15"/>
        <v>49.13</v>
      </c>
      <c r="L217" s="15">
        <f t="shared" si="16"/>
        <v>12</v>
      </c>
      <c r="M217" s="15">
        <f t="shared" si="18"/>
        <v>4.0941666666666672</v>
      </c>
    </row>
    <row r="218" spans="2:13" x14ac:dyDescent="0.25">
      <c r="B218" s="13">
        <f t="shared" si="17"/>
        <v>40847</v>
      </c>
      <c r="C218" s="13">
        <v>40848</v>
      </c>
      <c r="D218" s="15">
        <v>5.4364668645164897</v>
      </c>
      <c r="G218" s="13">
        <v>41774</v>
      </c>
      <c r="H218" s="15">
        <v>4.1399999999999997</v>
      </c>
      <c r="I218" s="15">
        <v>0.6</v>
      </c>
      <c r="J218" s="15">
        <v>4.04</v>
      </c>
      <c r="K218" s="15">
        <f t="shared" si="15"/>
        <v>45.09</v>
      </c>
      <c r="L218" s="15">
        <f t="shared" si="16"/>
        <v>11</v>
      </c>
      <c r="M218" s="15">
        <f t="shared" si="18"/>
        <v>4.0990909090909096</v>
      </c>
    </row>
    <row r="219" spans="2:13" x14ac:dyDescent="0.25">
      <c r="B219" s="13">
        <f t="shared" si="17"/>
        <v>40877</v>
      </c>
      <c r="C219" s="13">
        <v>40878</v>
      </c>
      <c r="D219" s="15">
        <v>5.4070810969259098</v>
      </c>
      <c r="G219" s="13">
        <v>41773</v>
      </c>
      <c r="H219" s="15">
        <v>4.2</v>
      </c>
      <c r="I219" s="15">
        <v>0.6</v>
      </c>
      <c r="J219" s="15">
        <v>4.0999999999999996</v>
      </c>
      <c r="K219" s="15">
        <f t="shared" si="15"/>
        <v>41.050000000000004</v>
      </c>
      <c r="L219" s="15">
        <f t="shared" si="16"/>
        <v>10</v>
      </c>
      <c r="M219" s="15">
        <f t="shared" si="18"/>
        <v>4.1050000000000004</v>
      </c>
    </row>
    <row r="220" spans="2:13" x14ac:dyDescent="0.25">
      <c r="B220" s="13">
        <f t="shared" si="17"/>
        <v>40907</v>
      </c>
      <c r="C220" s="13">
        <v>40909</v>
      </c>
      <c r="D220" s="15">
        <v>5.3841264551661103</v>
      </c>
      <c r="G220" s="13">
        <v>41772</v>
      </c>
      <c r="H220" s="15">
        <v>4.2</v>
      </c>
      <c r="I220" s="15">
        <v>0.6</v>
      </c>
      <c r="J220" s="15">
        <v>4.0999999999999996</v>
      </c>
      <c r="K220" s="15">
        <f t="shared" si="15"/>
        <v>36.950000000000003</v>
      </c>
      <c r="L220" s="15">
        <f t="shared" si="16"/>
        <v>9</v>
      </c>
      <c r="M220" s="15">
        <f t="shared" si="18"/>
        <v>4.1055555555555561</v>
      </c>
    </row>
    <row r="221" spans="2:13" x14ac:dyDescent="0.25">
      <c r="B221" s="13">
        <f t="shared" si="17"/>
        <v>40939</v>
      </c>
      <c r="C221" s="13">
        <v>40940</v>
      </c>
      <c r="D221" s="15">
        <v>5.3594348559218998</v>
      </c>
      <c r="G221" s="13">
        <v>41771</v>
      </c>
      <c r="H221" s="15">
        <v>4.2</v>
      </c>
      <c r="I221" s="15">
        <v>0.6</v>
      </c>
      <c r="J221" s="15">
        <v>4.0999999999999996</v>
      </c>
      <c r="K221" s="15">
        <f t="shared" si="15"/>
        <v>32.85</v>
      </c>
      <c r="L221" s="15">
        <f t="shared" si="16"/>
        <v>8</v>
      </c>
      <c r="M221" s="15">
        <f t="shared" si="18"/>
        <v>4.1062500000000002</v>
      </c>
    </row>
    <row r="222" spans="2:13" x14ac:dyDescent="0.25">
      <c r="B222" s="13">
        <f t="shared" si="17"/>
        <v>40968</v>
      </c>
      <c r="C222" s="13">
        <v>40969</v>
      </c>
      <c r="D222" s="15">
        <v>5.3179671663260297</v>
      </c>
      <c r="G222" s="13">
        <v>41768</v>
      </c>
      <c r="H222" s="15">
        <v>4.2</v>
      </c>
      <c r="I222" s="15">
        <v>0.6</v>
      </c>
      <c r="J222" s="15">
        <v>4.0999999999999996</v>
      </c>
      <c r="K222" s="15">
        <f t="shared" si="15"/>
        <v>28.75</v>
      </c>
      <c r="L222" s="15">
        <f t="shared" si="16"/>
        <v>7</v>
      </c>
      <c r="M222" s="15">
        <f t="shared" si="18"/>
        <v>4.1071428571428568</v>
      </c>
    </row>
    <row r="223" spans="2:13" x14ac:dyDescent="0.25">
      <c r="B223" s="13">
        <f t="shared" si="17"/>
        <v>40998</v>
      </c>
      <c r="C223" s="13">
        <v>41000</v>
      </c>
      <c r="D223" s="15">
        <v>5.2953192445801802</v>
      </c>
      <c r="G223" s="13">
        <v>41767</v>
      </c>
      <c r="H223" s="15">
        <v>4.2</v>
      </c>
      <c r="I223" s="15">
        <v>0.6</v>
      </c>
      <c r="J223" s="15">
        <v>4.0999999999999996</v>
      </c>
      <c r="K223" s="15">
        <f t="shared" si="15"/>
        <v>24.65</v>
      </c>
      <c r="L223" s="15">
        <f t="shared" si="16"/>
        <v>6</v>
      </c>
      <c r="M223" s="15">
        <f t="shared" si="18"/>
        <v>4.1083333333333334</v>
      </c>
    </row>
    <row r="224" spans="2:13" x14ac:dyDescent="0.25">
      <c r="B224" s="13">
        <f t="shared" si="17"/>
        <v>41029</v>
      </c>
      <c r="C224" s="13">
        <v>41030</v>
      </c>
      <c r="D224" s="15">
        <v>5.2629157012999999</v>
      </c>
      <c r="G224" s="13">
        <v>41766</v>
      </c>
      <c r="H224" s="15">
        <v>4.21</v>
      </c>
      <c r="I224" s="15">
        <v>0.6</v>
      </c>
      <c r="J224" s="15">
        <v>4.1100000000000003</v>
      </c>
      <c r="K224" s="15">
        <f t="shared" si="15"/>
        <v>20.55</v>
      </c>
      <c r="L224" s="15">
        <f t="shared" si="16"/>
        <v>5</v>
      </c>
      <c r="M224" s="15">
        <f t="shared" si="18"/>
        <v>4.1100000000000003</v>
      </c>
    </row>
    <row r="225" spans="2:13" x14ac:dyDescent="0.25">
      <c r="B225" s="13">
        <f t="shared" si="17"/>
        <v>41060</v>
      </c>
      <c r="C225" s="13">
        <v>41061</v>
      </c>
      <c r="D225" s="15">
        <v>5.2343159846207703</v>
      </c>
      <c r="G225" s="13">
        <v>41765</v>
      </c>
      <c r="H225" s="15">
        <v>4.21</v>
      </c>
      <c r="I225" s="15">
        <v>0.6</v>
      </c>
      <c r="J225" s="15">
        <v>4.1100000000000003</v>
      </c>
      <c r="K225" s="15">
        <f t="shared" si="15"/>
        <v>16.440000000000001</v>
      </c>
      <c r="L225" s="15">
        <f t="shared" si="16"/>
        <v>4</v>
      </c>
      <c r="M225" s="15">
        <f t="shared" si="18"/>
        <v>4.1100000000000003</v>
      </c>
    </row>
    <row r="226" spans="2:13" x14ac:dyDescent="0.25">
      <c r="B226" s="13">
        <f t="shared" si="17"/>
        <v>41089</v>
      </c>
      <c r="C226" s="13">
        <v>41091</v>
      </c>
      <c r="D226" s="15">
        <v>5.1996687925293399</v>
      </c>
      <c r="G226" s="13">
        <v>41764</v>
      </c>
      <c r="H226" s="15">
        <v>4.21</v>
      </c>
      <c r="I226" s="15">
        <v>0.6</v>
      </c>
      <c r="J226" s="15">
        <v>4.1100000000000003</v>
      </c>
      <c r="K226" s="15">
        <f t="shared" si="15"/>
        <v>12.330000000000002</v>
      </c>
      <c r="L226" s="15">
        <f t="shared" si="16"/>
        <v>3</v>
      </c>
      <c r="M226" s="15">
        <f t="shared" si="18"/>
        <v>4.1100000000000003</v>
      </c>
    </row>
    <row r="227" spans="2:13" x14ac:dyDescent="0.25">
      <c r="B227" s="13">
        <f t="shared" si="17"/>
        <v>41121</v>
      </c>
      <c r="C227" s="13">
        <v>41122</v>
      </c>
      <c r="D227" s="15">
        <v>5.1603138017447998</v>
      </c>
      <c r="G227" s="13">
        <v>41761</v>
      </c>
      <c r="H227" s="15">
        <v>4.21</v>
      </c>
      <c r="I227" s="15">
        <v>0.6</v>
      </c>
      <c r="J227" s="15">
        <v>4.1100000000000003</v>
      </c>
      <c r="K227" s="15">
        <f t="shared" si="15"/>
        <v>8.2200000000000006</v>
      </c>
      <c r="L227" s="15">
        <f t="shared" si="16"/>
        <v>2</v>
      </c>
      <c r="M227" s="15">
        <f t="shared" si="18"/>
        <v>4.1100000000000003</v>
      </c>
    </row>
    <row r="228" spans="2:13" x14ac:dyDescent="0.25">
      <c r="B228" s="13">
        <f t="shared" si="17"/>
        <v>41152</v>
      </c>
      <c r="C228" s="13">
        <v>41153</v>
      </c>
      <c r="D228" s="15">
        <v>5.1180011299138704</v>
      </c>
      <c r="G228" s="13">
        <v>41760</v>
      </c>
      <c r="H228" s="15">
        <v>4.21</v>
      </c>
      <c r="I228" s="15">
        <v>0.6</v>
      </c>
      <c r="J228" s="15">
        <v>4.1100000000000003</v>
      </c>
      <c r="K228" s="15">
        <f t="shared" si="15"/>
        <v>4.1100000000000003</v>
      </c>
      <c r="L228" s="15">
        <f t="shared" si="16"/>
        <v>1</v>
      </c>
      <c r="M228" s="15">
        <f t="shared" si="18"/>
        <v>4.1100000000000003</v>
      </c>
    </row>
    <row r="229" spans="2:13" x14ac:dyDescent="0.25">
      <c r="B229" s="13">
        <f t="shared" si="17"/>
        <v>41180</v>
      </c>
      <c r="C229" s="13">
        <v>41183</v>
      </c>
      <c r="D229" s="15">
        <v>5.08700146937759</v>
      </c>
      <c r="G229" s="13">
        <v>41759</v>
      </c>
      <c r="H229" s="15">
        <v>4.29</v>
      </c>
      <c r="I229" s="15">
        <v>0.7</v>
      </c>
      <c r="J229" s="15">
        <v>4.2149999999999999</v>
      </c>
      <c r="K229" s="15">
        <f t="shared" si="15"/>
        <v>88.965000000000032</v>
      </c>
      <c r="L229" s="15">
        <f t="shared" si="16"/>
        <v>21</v>
      </c>
      <c r="M229" s="15">
        <f t="shared" si="18"/>
        <v>4.236428571428573</v>
      </c>
    </row>
    <row r="230" spans="2:13" x14ac:dyDescent="0.25">
      <c r="B230" s="13">
        <f t="shared" si="17"/>
        <v>41213</v>
      </c>
      <c r="C230" s="13">
        <v>41214</v>
      </c>
      <c r="D230" s="15">
        <v>5.0273809883485496</v>
      </c>
      <c r="G230" s="13">
        <v>41758</v>
      </c>
      <c r="H230" s="15">
        <v>4.29</v>
      </c>
      <c r="I230" s="15">
        <v>0.7</v>
      </c>
      <c r="J230" s="15">
        <v>4.2149999999999999</v>
      </c>
      <c r="K230" s="15">
        <f t="shared" si="15"/>
        <v>84.750000000000028</v>
      </c>
      <c r="L230" s="15">
        <f t="shared" si="16"/>
        <v>20</v>
      </c>
      <c r="M230" s="15">
        <f t="shared" si="18"/>
        <v>4.2375000000000016</v>
      </c>
    </row>
    <row r="231" spans="2:13" x14ac:dyDescent="0.25">
      <c r="B231" s="13">
        <f t="shared" si="17"/>
        <v>41243</v>
      </c>
      <c r="C231" s="13">
        <v>41244</v>
      </c>
      <c r="D231" s="15">
        <v>4.98967156441861</v>
      </c>
      <c r="G231" s="13">
        <v>41757</v>
      </c>
      <c r="H231" s="15">
        <v>4.29</v>
      </c>
      <c r="I231" s="15">
        <v>0.7</v>
      </c>
      <c r="J231" s="15">
        <v>4.2149999999999999</v>
      </c>
      <c r="K231" s="15">
        <f t="shared" si="15"/>
        <v>80.535000000000025</v>
      </c>
      <c r="L231" s="15">
        <f t="shared" si="16"/>
        <v>19</v>
      </c>
      <c r="M231" s="15">
        <f t="shared" si="18"/>
        <v>4.2386842105263174</v>
      </c>
    </row>
    <row r="232" spans="2:13" x14ac:dyDescent="0.25">
      <c r="B232" s="13">
        <f t="shared" si="17"/>
        <v>41274</v>
      </c>
      <c r="C232" s="13">
        <v>41275</v>
      </c>
      <c r="D232" s="15">
        <v>4.9407582426292702</v>
      </c>
      <c r="G232" s="13">
        <v>41754</v>
      </c>
      <c r="H232" s="15">
        <v>4.29</v>
      </c>
      <c r="I232" s="15">
        <v>0.7</v>
      </c>
      <c r="J232" s="15">
        <v>4.2149999999999999</v>
      </c>
      <c r="K232" s="15">
        <f t="shared" si="15"/>
        <v>76.320000000000022</v>
      </c>
      <c r="L232" s="15">
        <f t="shared" si="16"/>
        <v>18</v>
      </c>
      <c r="M232" s="15">
        <f t="shared" si="18"/>
        <v>4.2400000000000011</v>
      </c>
    </row>
    <row r="233" spans="2:13" x14ac:dyDescent="0.25">
      <c r="B233" s="13">
        <f t="shared" si="17"/>
        <v>41305</v>
      </c>
      <c r="C233" s="13">
        <v>41306</v>
      </c>
      <c r="D233" s="15">
        <v>4.8929881644935698</v>
      </c>
      <c r="G233" s="13">
        <v>41753</v>
      </c>
      <c r="H233" s="15">
        <v>4.29</v>
      </c>
      <c r="I233" s="15">
        <v>0.7</v>
      </c>
      <c r="J233" s="15">
        <v>4.2149999999999999</v>
      </c>
      <c r="K233" s="15">
        <f t="shared" si="15"/>
        <v>72.105000000000018</v>
      </c>
      <c r="L233" s="15">
        <f t="shared" si="16"/>
        <v>17</v>
      </c>
      <c r="M233" s="15">
        <f t="shared" si="18"/>
        <v>4.2414705882352948</v>
      </c>
    </row>
    <row r="234" spans="2:13" x14ac:dyDescent="0.25">
      <c r="B234" s="13">
        <f t="shared" si="17"/>
        <v>41333</v>
      </c>
      <c r="C234" s="13">
        <v>41334</v>
      </c>
      <c r="D234" s="15">
        <v>4.8553417742290303</v>
      </c>
      <c r="G234" s="13">
        <v>41752</v>
      </c>
      <c r="H234" s="15">
        <v>4.33</v>
      </c>
      <c r="I234" s="15">
        <v>0.6</v>
      </c>
      <c r="J234" s="15">
        <v>4.2300000000000004</v>
      </c>
      <c r="K234" s="15">
        <f t="shared" si="15"/>
        <v>67.890000000000015</v>
      </c>
      <c r="L234" s="15">
        <f t="shared" si="16"/>
        <v>16</v>
      </c>
      <c r="M234" s="15">
        <f t="shared" si="18"/>
        <v>4.2431250000000009</v>
      </c>
    </row>
    <row r="235" spans="2:13" x14ac:dyDescent="0.25">
      <c r="B235" s="13">
        <f>WORKDAY(C235,-2,)</f>
        <v>41361</v>
      </c>
      <c r="C235" s="13">
        <v>41365</v>
      </c>
      <c r="D235" s="15">
        <v>4.8154791000097701</v>
      </c>
      <c r="G235" s="13">
        <v>41751</v>
      </c>
      <c r="H235" s="15">
        <v>4.33</v>
      </c>
      <c r="I235" s="15">
        <v>0.6</v>
      </c>
      <c r="J235" s="15">
        <v>4.2300000000000004</v>
      </c>
      <c r="K235" s="15">
        <f t="shared" si="15"/>
        <v>63.660000000000011</v>
      </c>
      <c r="L235" s="15">
        <f t="shared" si="16"/>
        <v>15</v>
      </c>
      <c r="M235" s="15">
        <f t="shared" si="18"/>
        <v>4.2440000000000007</v>
      </c>
    </row>
    <row r="236" spans="2:13" x14ac:dyDescent="0.25">
      <c r="B236" s="13">
        <f t="shared" si="17"/>
        <v>41394</v>
      </c>
      <c r="C236" s="13">
        <v>41395</v>
      </c>
      <c r="D236" s="15">
        <v>4.7738505439490204</v>
      </c>
      <c r="G236" s="13">
        <v>41750</v>
      </c>
      <c r="H236" s="15">
        <v>4.33</v>
      </c>
      <c r="I236" s="15">
        <v>0.6</v>
      </c>
      <c r="J236" s="15">
        <v>4.2300000000000004</v>
      </c>
      <c r="K236" s="15">
        <f t="shared" si="15"/>
        <v>59.430000000000007</v>
      </c>
      <c r="L236" s="15">
        <f t="shared" si="16"/>
        <v>14</v>
      </c>
      <c r="M236" s="15">
        <f t="shared" si="18"/>
        <v>4.2450000000000001</v>
      </c>
    </row>
    <row r="237" spans="2:13" x14ac:dyDescent="0.25">
      <c r="B237" s="13">
        <f t="shared" si="17"/>
        <v>41425</v>
      </c>
      <c r="C237" s="13">
        <v>41426</v>
      </c>
      <c r="D237" s="15">
        <v>4.73544355899375</v>
      </c>
      <c r="G237" s="13">
        <v>41746</v>
      </c>
      <c r="H237" s="15">
        <v>4.33</v>
      </c>
      <c r="I237" s="15">
        <v>0.6</v>
      </c>
      <c r="J237" s="15">
        <v>4.2300000000000004</v>
      </c>
      <c r="K237" s="15">
        <f t="shared" si="15"/>
        <v>55.2</v>
      </c>
      <c r="L237" s="15">
        <f t="shared" si="16"/>
        <v>13</v>
      </c>
      <c r="M237" s="15">
        <f t="shared" si="18"/>
        <v>4.2461538461538462</v>
      </c>
    </row>
    <row r="238" spans="2:13" x14ac:dyDescent="0.25">
      <c r="B238" s="13">
        <f t="shared" si="17"/>
        <v>41453</v>
      </c>
      <c r="C238" s="13">
        <v>41456</v>
      </c>
      <c r="D238" s="15">
        <v>4.6979710267704702</v>
      </c>
      <c r="G238" s="13">
        <v>41745</v>
      </c>
      <c r="H238" s="15">
        <v>4.2699999999999996</v>
      </c>
      <c r="I238" s="15">
        <v>0.7</v>
      </c>
      <c r="J238" s="15">
        <v>4.1950000000000003</v>
      </c>
      <c r="K238" s="15">
        <f t="shared" si="15"/>
        <v>50.97</v>
      </c>
      <c r="L238" s="15">
        <f t="shared" si="16"/>
        <v>12</v>
      </c>
      <c r="M238" s="15">
        <f t="shared" si="18"/>
        <v>4.2474999999999996</v>
      </c>
    </row>
    <row r="239" spans="2:13" x14ac:dyDescent="0.25">
      <c r="B239" s="13">
        <f t="shared" si="17"/>
        <v>41486</v>
      </c>
      <c r="C239" s="13">
        <v>41487</v>
      </c>
      <c r="D239" s="15">
        <v>4.6705040054490201</v>
      </c>
      <c r="G239" s="13">
        <v>41744</v>
      </c>
      <c r="H239" s="15">
        <v>4.2699999999999996</v>
      </c>
      <c r="I239" s="15">
        <v>0.7</v>
      </c>
      <c r="J239" s="15">
        <v>4.1950000000000003</v>
      </c>
      <c r="K239" s="15">
        <f t="shared" si="15"/>
        <v>46.774999999999999</v>
      </c>
      <c r="L239" s="15">
        <f t="shared" si="16"/>
        <v>11</v>
      </c>
      <c r="M239" s="15">
        <f t="shared" si="18"/>
        <v>4.252272727272727</v>
      </c>
    </row>
    <row r="240" spans="2:13" x14ac:dyDescent="0.25">
      <c r="B240" s="13">
        <f t="shared" si="17"/>
        <v>41516</v>
      </c>
      <c r="C240" s="13">
        <v>41518</v>
      </c>
      <c r="D240" s="15">
        <v>4.6534289800810402</v>
      </c>
      <c r="G240" s="13">
        <v>41743</v>
      </c>
      <c r="H240" s="15">
        <v>4.2699999999999996</v>
      </c>
      <c r="I240" s="15">
        <v>0.7</v>
      </c>
      <c r="J240" s="15">
        <v>4.1950000000000003</v>
      </c>
      <c r="K240" s="15">
        <f t="shared" si="15"/>
        <v>42.58</v>
      </c>
      <c r="L240" s="15">
        <f t="shared" si="16"/>
        <v>10</v>
      </c>
      <c r="M240" s="15">
        <f t="shared" si="18"/>
        <v>4.258</v>
      </c>
    </row>
    <row r="241" spans="2:13" x14ac:dyDescent="0.25">
      <c r="B241" s="13">
        <f t="shared" si="17"/>
        <v>41547</v>
      </c>
      <c r="C241" s="13">
        <v>41548</v>
      </c>
      <c r="D241" s="15">
        <v>4.6436535921033197</v>
      </c>
      <c r="G241" s="13">
        <v>41740</v>
      </c>
      <c r="H241" s="15">
        <v>4.2699999999999996</v>
      </c>
      <c r="I241" s="15">
        <v>0.7</v>
      </c>
      <c r="J241" s="15">
        <v>4.1950000000000003</v>
      </c>
      <c r="K241" s="15">
        <f t="shared" si="15"/>
        <v>38.384999999999998</v>
      </c>
      <c r="L241" s="15">
        <f t="shared" si="16"/>
        <v>9</v>
      </c>
      <c r="M241" s="15">
        <f t="shared" si="18"/>
        <v>4.2649999999999997</v>
      </c>
    </row>
    <row r="242" spans="2:13" x14ac:dyDescent="0.25">
      <c r="B242" s="13">
        <f t="shared" si="17"/>
        <v>41578</v>
      </c>
      <c r="C242" s="13">
        <v>41579</v>
      </c>
      <c r="D242" s="15">
        <v>4.6346558364573696</v>
      </c>
      <c r="G242" s="13">
        <v>41739</v>
      </c>
      <c r="H242" s="15">
        <v>4.2699999999999996</v>
      </c>
      <c r="I242" s="15">
        <v>0.7</v>
      </c>
      <c r="J242" s="15">
        <v>4.1950000000000003</v>
      </c>
      <c r="K242" s="15">
        <f t="shared" si="15"/>
        <v>34.19</v>
      </c>
      <c r="L242" s="15">
        <f t="shared" si="16"/>
        <v>8</v>
      </c>
      <c r="M242" s="15">
        <f t="shared" si="18"/>
        <v>4.2737499999999997</v>
      </c>
    </row>
    <row r="243" spans="2:13" x14ac:dyDescent="0.25">
      <c r="B243" s="13">
        <f t="shared" si="17"/>
        <v>41607</v>
      </c>
      <c r="C243" s="13">
        <v>41609</v>
      </c>
      <c r="D243" s="15">
        <v>4.6259751706737902</v>
      </c>
      <c r="G243" s="13">
        <v>41738</v>
      </c>
      <c r="H243" s="15">
        <v>4.34</v>
      </c>
      <c r="I243" s="15">
        <v>0.7</v>
      </c>
      <c r="J243" s="15">
        <v>4.2649999999999997</v>
      </c>
      <c r="K243" s="15">
        <f t="shared" si="15"/>
        <v>29.995000000000001</v>
      </c>
      <c r="L243" s="15">
        <f t="shared" si="16"/>
        <v>7</v>
      </c>
      <c r="M243" s="15">
        <f t="shared" si="18"/>
        <v>4.2850000000000001</v>
      </c>
    </row>
    <row r="244" spans="2:13" x14ac:dyDescent="0.25">
      <c r="B244" s="13">
        <f t="shared" si="17"/>
        <v>41639</v>
      </c>
      <c r="C244" s="13">
        <v>41640</v>
      </c>
      <c r="D244" s="15">
        <v>4.61811048887773</v>
      </c>
      <c r="G244" s="13">
        <v>41737</v>
      </c>
      <c r="H244" s="15">
        <v>4.34</v>
      </c>
      <c r="I244" s="15">
        <v>0.7</v>
      </c>
      <c r="J244" s="15">
        <v>4.2649999999999997</v>
      </c>
      <c r="K244" s="15">
        <f t="shared" si="15"/>
        <v>25.73</v>
      </c>
      <c r="L244" s="15">
        <f t="shared" si="16"/>
        <v>6</v>
      </c>
      <c r="M244" s="15">
        <f t="shared" si="18"/>
        <v>4.2883333333333331</v>
      </c>
    </row>
    <row r="245" spans="2:13" x14ac:dyDescent="0.25">
      <c r="B245" s="13">
        <f t="shared" si="17"/>
        <v>41670</v>
      </c>
      <c r="C245" s="13">
        <v>41671</v>
      </c>
      <c r="D245" s="15">
        <v>4.6123161256965197</v>
      </c>
      <c r="G245" s="13">
        <v>41736</v>
      </c>
      <c r="H245" s="15">
        <v>4.34</v>
      </c>
      <c r="I245" s="15">
        <v>0.7</v>
      </c>
      <c r="J245" s="15">
        <v>4.2649999999999997</v>
      </c>
      <c r="K245" s="15">
        <f t="shared" si="15"/>
        <v>21.465</v>
      </c>
      <c r="L245" s="15">
        <f t="shared" si="16"/>
        <v>5</v>
      </c>
      <c r="M245" s="15">
        <f t="shared" si="18"/>
        <v>4.2930000000000001</v>
      </c>
    </row>
    <row r="246" spans="2:13" x14ac:dyDescent="0.25">
      <c r="B246" s="13">
        <f t="shared" si="17"/>
        <v>41698</v>
      </c>
      <c r="C246" s="13">
        <v>41699</v>
      </c>
      <c r="D246" s="15">
        <v>4.6074732109581298</v>
      </c>
      <c r="G246" s="13">
        <v>41733</v>
      </c>
      <c r="H246" s="15">
        <v>4.34</v>
      </c>
      <c r="I246" s="15">
        <v>0.7</v>
      </c>
      <c r="J246" s="15">
        <v>4.2649999999999997</v>
      </c>
      <c r="K246" s="15">
        <f t="shared" si="15"/>
        <v>17.2</v>
      </c>
      <c r="L246" s="15">
        <f t="shared" si="16"/>
        <v>4</v>
      </c>
      <c r="M246" s="15">
        <f t="shared" si="18"/>
        <v>4.3</v>
      </c>
    </row>
    <row r="247" spans="2:13" x14ac:dyDescent="0.25">
      <c r="B247" s="13">
        <f t="shared" si="17"/>
        <v>41729</v>
      </c>
      <c r="C247" s="13">
        <v>41730</v>
      </c>
      <c r="D247" s="15">
        <v>4.6020514387582301</v>
      </c>
      <c r="G247" s="13">
        <v>41732</v>
      </c>
      <c r="H247" s="15">
        <v>4.34</v>
      </c>
      <c r="I247" s="15">
        <v>0.7</v>
      </c>
      <c r="J247" s="15">
        <v>4.2649999999999997</v>
      </c>
      <c r="K247" s="15">
        <f t="shared" si="15"/>
        <v>12.934999999999999</v>
      </c>
      <c r="L247" s="15">
        <f t="shared" si="16"/>
        <v>3</v>
      </c>
      <c r="M247" s="15">
        <f t="shared" si="18"/>
        <v>4.3116666666666665</v>
      </c>
    </row>
    <row r="248" spans="2:13" x14ac:dyDescent="0.25">
      <c r="B248" s="13">
        <f t="shared" si="17"/>
        <v>41759</v>
      </c>
      <c r="C248" s="13">
        <v>41760</v>
      </c>
      <c r="D248" s="15">
        <v>4.5969808299056298</v>
      </c>
      <c r="G248" s="13">
        <v>41731</v>
      </c>
      <c r="H248" s="15">
        <v>4.41</v>
      </c>
      <c r="I248" s="15">
        <v>0.7</v>
      </c>
      <c r="J248" s="15">
        <v>4.335</v>
      </c>
      <c r="K248" s="15">
        <f t="shared" si="15"/>
        <v>8.67</v>
      </c>
      <c r="L248" s="15">
        <f t="shared" si="16"/>
        <v>2</v>
      </c>
      <c r="M248" s="15">
        <f t="shared" si="18"/>
        <v>4.335</v>
      </c>
    </row>
    <row r="249" spans="2:13" x14ac:dyDescent="0.25">
      <c r="B249" s="13">
        <f t="shared" si="17"/>
        <v>41789</v>
      </c>
      <c r="C249" s="13">
        <v>41791</v>
      </c>
      <c r="D249" s="15">
        <v>4.5918833919769302</v>
      </c>
      <c r="G249" s="13">
        <v>41730</v>
      </c>
      <c r="H249" s="15">
        <v>4.41</v>
      </c>
      <c r="I249" s="15">
        <v>0.7</v>
      </c>
      <c r="J249" s="15">
        <v>4.335</v>
      </c>
      <c r="K249" s="15">
        <f t="shared" si="15"/>
        <v>4.335</v>
      </c>
      <c r="L249" s="15">
        <f t="shared" si="16"/>
        <v>1</v>
      </c>
      <c r="M249" s="15">
        <f t="shared" si="18"/>
        <v>4.335</v>
      </c>
    </row>
    <row r="250" spans="2:13" x14ac:dyDescent="0.25">
      <c r="B250" s="13">
        <f t="shared" si="17"/>
        <v>41820</v>
      </c>
      <c r="C250" s="13">
        <v>41821</v>
      </c>
      <c r="D250" s="15">
        <v>4.5858312437735398</v>
      </c>
      <c r="G250" s="13">
        <v>41729</v>
      </c>
      <c r="H250" s="15">
        <v>4.41</v>
      </c>
      <c r="I250" s="15">
        <v>0.7</v>
      </c>
      <c r="J250" s="15">
        <v>4.335</v>
      </c>
      <c r="K250" s="15">
        <f t="shared" si="15"/>
        <v>89.569999999999965</v>
      </c>
      <c r="L250" s="15">
        <f t="shared" si="16"/>
        <v>21</v>
      </c>
      <c r="M250" s="15">
        <f t="shared" si="18"/>
        <v>4.2652380952380939</v>
      </c>
    </row>
    <row r="251" spans="2:13" x14ac:dyDescent="0.25">
      <c r="B251" s="13">
        <f t="shared" si="17"/>
        <v>41851</v>
      </c>
      <c r="C251" s="13">
        <v>41852</v>
      </c>
      <c r="D251" s="15">
        <v>4.5792978774360797</v>
      </c>
      <c r="G251" s="13">
        <v>41726</v>
      </c>
      <c r="H251" s="15">
        <v>4.41</v>
      </c>
      <c r="I251" s="15">
        <v>0.7</v>
      </c>
      <c r="J251" s="15">
        <v>4.335</v>
      </c>
      <c r="K251" s="15">
        <f t="shared" si="15"/>
        <v>85.234999999999971</v>
      </c>
      <c r="L251" s="15">
        <f t="shared" si="16"/>
        <v>20</v>
      </c>
      <c r="M251" s="15">
        <f t="shared" si="18"/>
        <v>4.2617499999999984</v>
      </c>
    </row>
    <row r="252" spans="2:13" x14ac:dyDescent="0.25">
      <c r="B252" s="13">
        <f t="shared" si="17"/>
        <v>41880</v>
      </c>
      <c r="C252" s="13">
        <v>41883</v>
      </c>
      <c r="D252" s="15">
        <v>4.5722568157169796</v>
      </c>
      <c r="G252" s="13">
        <v>41725</v>
      </c>
      <c r="H252" s="15">
        <v>4.41</v>
      </c>
      <c r="I252" s="15">
        <v>0.7</v>
      </c>
      <c r="J252" s="15">
        <v>4.335</v>
      </c>
      <c r="K252" s="15">
        <f t="shared" si="15"/>
        <v>80.899999999999977</v>
      </c>
      <c r="L252" s="15">
        <f t="shared" si="16"/>
        <v>19</v>
      </c>
      <c r="M252" s="15">
        <f t="shared" si="18"/>
        <v>4.2578947368421041</v>
      </c>
    </row>
    <row r="253" spans="2:13" x14ac:dyDescent="0.25">
      <c r="B253" s="13">
        <f t="shared" si="17"/>
        <v>41912</v>
      </c>
      <c r="C253" s="13">
        <v>41913</v>
      </c>
      <c r="D253" s="15">
        <v>4.56589439066643</v>
      </c>
      <c r="G253" s="13">
        <v>41724</v>
      </c>
      <c r="H253" s="15">
        <v>4.4000000000000004</v>
      </c>
      <c r="I253" s="15">
        <v>0.6</v>
      </c>
      <c r="J253" s="15">
        <v>4.3</v>
      </c>
      <c r="K253" s="15">
        <f t="shared" si="15"/>
        <v>76.564999999999984</v>
      </c>
      <c r="L253" s="15">
        <f t="shared" si="16"/>
        <v>18</v>
      </c>
      <c r="M253" s="15">
        <f t="shared" si="18"/>
        <v>4.2536111111111099</v>
      </c>
    </row>
    <row r="254" spans="2:13" x14ac:dyDescent="0.25">
      <c r="B254" s="13">
        <f t="shared" si="17"/>
        <v>41943</v>
      </c>
      <c r="C254" s="13">
        <v>41944</v>
      </c>
      <c r="D254" s="15">
        <v>4.5602421215425704</v>
      </c>
      <c r="G254" s="13">
        <v>41723</v>
      </c>
      <c r="H254" s="15">
        <v>4.4000000000000004</v>
      </c>
      <c r="I254" s="15">
        <v>0.6</v>
      </c>
      <c r="J254" s="15">
        <v>4.3</v>
      </c>
      <c r="K254" s="15">
        <f t="shared" si="15"/>
        <v>72.264999999999986</v>
      </c>
      <c r="L254" s="15">
        <f t="shared" si="16"/>
        <v>17</v>
      </c>
      <c r="M254" s="15">
        <f t="shared" si="18"/>
        <v>4.2508823529411757</v>
      </c>
    </row>
    <row r="255" spans="2:13" x14ac:dyDescent="0.25">
      <c r="B255" s="13">
        <f t="shared" si="17"/>
        <v>41971</v>
      </c>
      <c r="C255" s="13">
        <v>41974</v>
      </c>
      <c r="D255" s="15">
        <v>4.5528471823468299</v>
      </c>
      <c r="G255" s="13">
        <v>41722</v>
      </c>
      <c r="H255" s="15">
        <v>4.4000000000000004</v>
      </c>
      <c r="I255" s="15">
        <v>0.6</v>
      </c>
      <c r="J255" s="15">
        <v>4.3</v>
      </c>
      <c r="K255" s="15">
        <f t="shared" si="15"/>
        <v>67.964999999999989</v>
      </c>
      <c r="L255" s="15">
        <f t="shared" si="16"/>
        <v>16</v>
      </c>
      <c r="M255" s="15">
        <f t="shared" si="18"/>
        <v>4.2478124999999993</v>
      </c>
    </row>
    <row r="256" spans="2:13" x14ac:dyDescent="0.25">
      <c r="B256" s="13">
        <f t="shared" si="17"/>
        <v>42004</v>
      </c>
      <c r="C256" s="13">
        <v>42005</v>
      </c>
      <c r="D256" s="15">
        <v>4.5446755242495396</v>
      </c>
      <c r="G256" s="13">
        <v>41719</v>
      </c>
      <c r="H256" s="15">
        <v>4.4000000000000004</v>
      </c>
      <c r="I256" s="15">
        <v>0.6</v>
      </c>
      <c r="J256" s="15">
        <v>4.3</v>
      </c>
      <c r="K256" s="15">
        <f t="shared" si="15"/>
        <v>63.664999999999985</v>
      </c>
      <c r="L256" s="15">
        <f t="shared" si="16"/>
        <v>15</v>
      </c>
      <c r="M256" s="15">
        <f t="shared" si="18"/>
        <v>4.2443333333333326</v>
      </c>
    </row>
    <row r="257" spans="2:13" x14ac:dyDescent="0.25">
      <c r="B257" s="13">
        <f t="shared" si="17"/>
        <v>42034</v>
      </c>
      <c r="C257" s="13">
        <v>42036</v>
      </c>
      <c r="D257" s="15">
        <v>4.53618658666276</v>
      </c>
      <c r="G257" s="13">
        <v>41718</v>
      </c>
      <c r="H257" s="15">
        <v>4.4000000000000004</v>
      </c>
      <c r="I257" s="15">
        <v>0.6</v>
      </c>
      <c r="J257" s="15">
        <v>4.3</v>
      </c>
      <c r="K257" s="15">
        <f t="shared" si="15"/>
        <v>59.364999999999988</v>
      </c>
      <c r="L257" s="15">
        <f t="shared" si="16"/>
        <v>14</v>
      </c>
      <c r="M257" s="15">
        <f t="shared" si="18"/>
        <v>4.2403571428571416</v>
      </c>
    </row>
    <row r="258" spans="2:13" x14ac:dyDescent="0.25">
      <c r="B258" s="13">
        <f t="shared" si="17"/>
        <v>42062</v>
      </c>
      <c r="C258" s="13">
        <v>42064</v>
      </c>
      <c r="D258" s="15">
        <v>4.5240642212505904</v>
      </c>
      <c r="G258" s="13">
        <v>41717</v>
      </c>
      <c r="H258" s="15">
        <v>4.32</v>
      </c>
      <c r="I258" s="15">
        <v>0.6</v>
      </c>
      <c r="J258" s="15">
        <v>4.22</v>
      </c>
      <c r="K258" s="15">
        <f t="shared" si="15"/>
        <v>55.064999999999991</v>
      </c>
      <c r="L258" s="15">
        <f t="shared" si="16"/>
        <v>13</v>
      </c>
      <c r="M258" s="15">
        <f t="shared" si="18"/>
        <v>4.2357692307692298</v>
      </c>
    </row>
    <row r="259" spans="2:13" x14ac:dyDescent="0.25">
      <c r="B259" s="13">
        <f t="shared" si="17"/>
        <v>42094</v>
      </c>
      <c r="C259" s="13">
        <v>42095</v>
      </c>
      <c r="D259" s="15">
        <v>4.0711306745504396</v>
      </c>
      <c r="G259" s="13">
        <v>41716</v>
      </c>
      <c r="H259" s="15">
        <v>4.32</v>
      </c>
      <c r="I259" s="15">
        <v>0.6</v>
      </c>
      <c r="J259" s="15">
        <v>4.22</v>
      </c>
      <c r="K259" s="15">
        <f t="shared" si="15"/>
        <v>50.844999999999992</v>
      </c>
      <c r="L259" s="15">
        <f t="shared" si="16"/>
        <v>12</v>
      </c>
      <c r="M259" s="15">
        <f t="shared" si="18"/>
        <v>4.2370833333333326</v>
      </c>
    </row>
    <row r="260" spans="2:13" x14ac:dyDescent="0.25">
      <c r="G260" s="13">
        <v>41715</v>
      </c>
      <c r="H260" s="15">
        <v>4.32</v>
      </c>
      <c r="I260" s="15">
        <v>0.6</v>
      </c>
      <c r="J260" s="15">
        <v>4.22</v>
      </c>
      <c r="K260" s="15">
        <f t="shared" ref="K260:K323" si="19">IF(MONTH(G260)=MONTH(G261),J260+K261,J260)</f>
        <v>46.624999999999993</v>
      </c>
      <c r="L260" s="15">
        <f t="shared" ref="L260:L323" si="20">IF(MONTH(G260)=MONTH(G261),L261+1,1)</f>
        <v>11</v>
      </c>
      <c r="M260" s="15">
        <f t="shared" si="18"/>
        <v>4.2386363636363633</v>
      </c>
    </row>
    <row r="261" spans="2:13" x14ac:dyDescent="0.25">
      <c r="G261" s="13">
        <v>41712</v>
      </c>
      <c r="H261" s="15">
        <v>4.32</v>
      </c>
      <c r="I261" s="15">
        <v>0.6</v>
      </c>
      <c r="J261" s="15">
        <v>4.22</v>
      </c>
      <c r="K261" s="15">
        <f t="shared" si="19"/>
        <v>42.404999999999994</v>
      </c>
      <c r="L261" s="15">
        <f t="shared" si="20"/>
        <v>10</v>
      </c>
      <c r="M261" s="15">
        <f t="shared" ref="M261:M324" si="21">K261/L261</f>
        <v>4.240499999999999</v>
      </c>
    </row>
    <row r="262" spans="2:13" x14ac:dyDescent="0.25">
      <c r="G262" s="13">
        <v>41711</v>
      </c>
      <c r="H262" s="15">
        <v>4.32</v>
      </c>
      <c r="I262" s="15">
        <v>0.6</v>
      </c>
      <c r="J262" s="15">
        <v>4.22</v>
      </c>
      <c r="K262" s="15">
        <f t="shared" si="19"/>
        <v>38.184999999999995</v>
      </c>
      <c r="L262" s="15">
        <f t="shared" si="20"/>
        <v>9</v>
      </c>
      <c r="M262" s="15">
        <f t="shared" si="21"/>
        <v>4.2427777777777775</v>
      </c>
    </row>
    <row r="263" spans="2:13" x14ac:dyDescent="0.25">
      <c r="G263" s="13">
        <v>41710</v>
      </c>
      <c r="H263" s="15">
        <v>4.37</v>
      </c>
      <c r="I263" s="15">
        <v>0.6</v>
      </c>
      <c r="J263" s="15">
        <v>4.2699999999999996</v>
      </c>
      <c r="K263" s="15">
        <f t="shared" si="19"/>
        <v>33.964999999999996</v>
      </c>
      <c r="L263" s="15">
        <f t="shared" si="20"/>
        <v>8</v>
      </c>
      <c r="M263" s="15">
        <f t="shared" si="21"/>
        <v>4.2456249999999995</v>
      </c>
    </row>
    <row r="264" spans="2:13" x14ac:dyDescent="0.25">
      <c r="G264" s="13">
        <v>41709</v>
      </c>
      <c r="H264" s="15">
        <v>4.37</v>
      </c>
      <c r="I264" s="15">
        <v>0.6</v>
      </c>
      <c r="J264" s="15">
        <v>4.2699999999999996</v>
      </c>
      <c r="K264" s="15">
        <f t="shared" si="19"/>
        <v>29.694999999999997</v>
      </c>
      <c r="L264" s="15">
        <f t="shared" si="20"/>
        <v>7</v>
      </c>
      <c r="M264" s="15">
        <f t="shared" si="21"/>
        <v>4.2421428571428565</v>
      </c>
    </row>
    <row r="265" spans="2:13" x14ac:dyDescent="0.25">
      <c r="G265" s="13">
        <v>41708</v>
      </c>
      <c r="H265" s="15">
        <v>4.37</v>
      </c>
      <c r="I265" s="15">
        <v>0.6</v>
      </c>
      <c r="J265" s="15">
        <v>4.2699999999999996</v>
      </c>
      <c r="K265" s="15">
        <f t="shared" si="19"/>
        <v>25.424999999999997</v>
      </c>
      <c r="L265" s="15">
        <f t="shared" si="20"/>
        <v>6</v>
      </c>
      <c r="M265" s="15">
        <f t="shared" si="21"/>
        <v>4.2374999999999998</v>
      </c>
    </row>
    <row r="266" spans="2:13" x14ac:dyDescent="0.25">
      <c r="G266" s="13">
        <v>41705</v>
      </c>
      <c r="H266" s="15">
        <v>4.37</v>
      </c>
      <c r="I266" s="15">
        <v>0.6</v>
      </c>
      <c r="J266" s="15">
        <v>4.2699999999999996</v>
      </c>
      <c r="K266" s="15">
        <f t="shared" si="19"/>
        <v>21.154999999999998</v>
      </c>
      <c r="L266" s="15">
        <f t="shared" si="20"/>
        <v>5</v>
      </c>
      <c r="M266" s="15">
        <f t="shared" si="21"/>
        <v>4.2309999999999999</v>
      </c>
    </row>
    <row r="267" spans="2:13" x14ac:dyDescent="0.25">
      <c r="G267" s="13">
        <v>41704</v>
      </c>
      <c r="H267" s="15">
        <v>4.37</v>
      </c>
      <c r="I267" s="15">
        <v>0.6</v>
      </c>
      <c r="J267" s="15">
        <v>4.2699999999999996</v>
      </c>
      <c r="K267" s="15">
        <f t="shared" si="19"/>
        <v>16.884999999999998</v>
      </c>
      <c r="L267" s="15">
        <f t="shared" si="20"/>
        <v>4</v>
      </c>
      <c r="M267" s="15">
        <f t="shared" si="21"/>
        <v>4.2212499999999995</v>
      </c>
    </row>
    <row r="268" spans="2:13" x14ac:dyDescent="0.25">
      <c r="G268" s="13">
        <v>41703</v>
      </c>
      <c r="H268" s="15">
        <v>4.28</v>
      </c>
      <c r="I268" s="15">
        <v>0.7</v>
      </c>
      <c r="J268" s="15">
        <v>4.2050000000000001</v>
      </c>
      <c r="K268" s="15">
        <f t="shared" si="19"/>
        <v>12.615</v>
      </c>
      <c r="L268" s="15">
        <f t="shared" si="20"/>
        <v>3</v>
      </c>
      <c r="M268" s="15">
        <f t="shared" si="21"/>
        <v>4.2050000000000001</v>
      </c>
    </row>
    <row r="269" spans="2:13" x14ac:dyDescent="0.25">
      <c r="G269" s="13">
        <v>41702</v>
      </c>
      <c r="H269" s="15">
        <v>4.28</v>
      </c>
      <c r="I269" s="15">
        <v>0.7</v>
      </c>
      <c r="J269" s="15">
        <v>4.2050000000000001</v>
      </c>
      <c r="K269" s="15">
        <f t="shared" si="19"/>
        <v>8.41</v>
      </c>
      <c r="L269" s="15">
        <f t="shared" si="20"/>
        <v>2</v>
      </c>
      <c r="M269" s="15">
        <f t="shared" si="21"/>
        <v>4.2050000000000001</v>
      </c>
    </row>
    <row r="270" spans="2:13" x14ac:dyDescent="0.25">
      <c r="G270" s="13">
        <v>41701</v>
      </c>
      <c r="H270" s="15">
        <v>4.28</v>
      </c>
      <c r="I270" s="15">
        <v>0.7</v>
      </c>
      <c r="J270" s="15">
        <v>4.2050000000000001</v>
      </c>
      <c r="K270" s="15">
        <f t="shared" si="19"/>
        <v>4.2050000000000001</v>
      </c>
      <c r="L270" s="15">
        <f t="shared" si="20"/>
        <v>1</v>
      </c>
      <c r="M270" s="15">
        <f t="shared" si="21"/>
        <v>4.2050000000000001</v>
      </c>
    </row>
    <row r="271" spans="2:13" x14ac:dyDescent="0.25">
      <c r="G271" s="13">
        <v>41698</v>
      </c>
      <c r="H271" s="15">
        <v>4.28</v>
      </c>
      <c r="I271" s="15">
        <v>0.7</v>
      </c>
      <c r="J271" s="15">
        <v>4.2050000000000001</v>
      </c>
      <c r="K271" s="15">
        <f t="shared" si="19"/>
        <v>80.39500000000001</v>
      </c>
      <c r="L271" s="15">
        <f t="shared" si="20"/>
        <v>19</v>
      </c>
      <c r="M271" s="15">
        <f t="shared" si="21"/>
        <v>4.231315789473685</v>
      </c>
    </row>
    <row r="272" spans="2:13" x14ac:dyDescent="0.25">
      <c r="G272" s="13">
        <v>41697</v>
      </c>
      <c r="H272" s="15">
        <v>4.28</v>
      </c>
      <c r="I272" s="15">
        <v>0.7</v>
      </c>
      <c r="J272" s="15">
        <v>4.2050000000000001</v>
      </c>
      <c r="K272" s="15">
        <f t="shared" si="19"/>
        <v>76.190000000000012</v>
      </c>
      <c r="L272" s="15">
        <f t="shared" si="20"/>
        <v>18</v>
      </c>
      <c r="M272" s="15">
        <f t="shared" si="21"/>
        <v>4.2327777777777786</v>
      </c>
    </row>
    <row r="273" spans="7:13" x14ac:dyDescent="0.25">
      <c r="G273" s="13">
        <v>41696</v>
      </c>
      <c r="H273" s="15">
        <v>4.37</v>
      </c>
      <c r="I273" s="15">
        <v>0.7</v>
      </c>
      <c r="J273" s="15">
        <v>4.2949999999999999</v>
      </c>
      <c r="K273" s="15">
        <f t="shared" si="19"/>
        <v>71.985000000000014</v>
      </c>
      <c r="L273" s="15">
        <f t="shared" si="20"/>
        <v>17</v>
      </c>
      <c r="M273" s="15">
        <f t="shared" si="21"/>
        <v>4.2344117647058832</v>
      </c>
    </row>
    <row r="274" spans="7:13" x14ac:dyDescent="0.25">
      <c r="G274" s="13">
        <v>41695</v>
      </c>
      <c r="H274" s="15">
        <v>4.37</v>
      </c>
      <c r="I274" s="15">
        <v>0.7</v>
      </c>
      <c r="J274" s="15">
        <v>4.2949999999999999</v>
      </c>
      <c r="K274" s="15">
        <f t="shared" si="19"/>
        <v>67.690000000000012</v>
      </c>
      <c r="L274" s="15">
        <f t="shared" si="20"/>
        <v>16</v>
      </c>
      <c r="M274" s="15">
        <f t="shared" si="21"/>
        <v>4.2306250000000007</v>
      </c>
    </row>
    <row r="275" spans="7:13" x14ac:dyDescent="0.25">
      <c r="G275" s="13">
        <v>41694</v>
      </c>
      <c r="H275" s="15">
        <v>4.37</v>
      </c>
      <c r="I275" s="15">
        <v>0.7</v>
      </c>
      <c r="J275" s="15">
        <v>4.2949999999999999</v>
      </c>
      <c r="K275" s="15">
        <f t="shared" si="19"/>
        <v>63.39500000000001</v>
      </c>
      <c r="L275" s="15">
        <f t="shared" si="20"/>
        <v>15</v>
      </c>
      <c r="M275" s="15">
        <f t="shared" si="21"/>
        <v>4.2263333333333337</v>
      </c>
    </row>
    <row r="276" spans="7:13" x14ac:dyDescent="0.25">
      <c r="G276" s="13">
        <v>41691</v>
      </c>
      <c r="H276" s="15">
        <v>4.37</v>
      </c>
      <c r="I276" s="15">
        <v>0.7</v>
      </c>
      <c r="J276" s="15">
        <v>4.2949999999999999</v>
      </c>
      <c r="K276" s="15">
        <f t="shared" si="19"/>
        <v>59.100000000000009</v>
      </c>
      <c r="L276" s="15">
        <f t="shared" si="20"/>
        <v>14</v>
      </c>
      <c r="M276" s="15">
        <f t="shared" si="21"/>
        <v>4.2214285714285724</v>
      </c>
    </row>
    <row r="277" spans="7:13" x14ac:dyDescent="0.25">
      <c r="G277" s="13">
        <v>41690</v>
      </c>
      <c r="H277" s="15">
        <v>4.37</v>
      </c>
      <c r="I277" s="15">
        <v>0.7</v>
      </c>
      <c r="J277" s="15">
        <v>4.2949999999999999</v>
      </c>
      <c r="K277" s="15">
        <f t="shared" si="19"/>
        <v>54.805000000000007</v>
      </c>
      <c r="L277" s="15">
        <f t="shared" si="20"/>
        <v>13</v>
      </c>
      <c r="M277" s="15">
        <f t="shared" si="21"/>
        <v>4.2157692307692312</v>
      </c>
    </row>
    <row r="278" spans="7:13" x14ac:dyDescent="0.25">
      <c r="G278" s="13">
        <v>41689</v>
      </c>
      <c r="H278" s="15">
        <v>4.33</v>
      </c>
      <c r="I278" s="15">
        <v>0.7</v>
      </c>
      <c r="J278" s="15">
        <v>4.2549999999999999</v>
      </c>
      <c r="K278" s="15">
        <f t="shared" si="19"/>
        <v>50.510000000000005</v>
      </c>
      <c r="L278" s="15">
        <f t="shared" si="20"/>
        <v>12</v>
      </c>
      <c r="M278" s="15">
        <f t="shared" si="21"/>
        <v>4.2091666666666674</v>
      </c>
    </row>
    <row r="279" spans="7:13" x14ac:dyDescent="0.25">
      <c r="G279" s="13">
        <v>41688</v>
      </c>
      <c r="H279" s="15">
        <v>4.33</v>
      </c>
      <c r="I279" s="15">
        <v>0.7</v>
      </c>
      <c r="J279" s="15">
        <v>4.2549999999999999</v>
      </c>
      <c r="K279" s="15">
        <f t="shared" si="19"/>
        <v>46.255000000000003</v>
      </c>
      <c r="L279" s="15">
        <f t="shared" si="20"/>
        <v>11</v>
      </c>
      <c r="M279" s="15">
        <f t="shared" si="21"/>
        <v>4.2050000000000001</v>
      </c>
    </row>
    <row r="280" spans="7:13" x14ac:dyDescent="0.25">
      <c r="G280" s="13">
        <v>41684</v>
      </c>
      <c r="H280" s="15">
        <v>4.33</v>
      </c>
      <c r="I280" s="15">
        <v>0.7</v>
      </c>
      <c r="J280" s="15">
        <v>4.2549999999999999</v>
      </c>
      <c r="K280" s="15">
        <f t="shared" si="19"/>
        <v>42</v>
      </c>
      <c r="L280" s="15">
        <f t="shared" si="20"/>
        <v>10</v>
      </c>
      <c r="M280" s="15">
        <f t="shared" si="21"/>
        <v>4.2</v>
      </c>
    </row>
    <row r="281" spans="7:13" x14ac:dyDescent="0.25">
      <c r="G281" s="13">
        <v>41683</v>
      </c>
      <c r="H281" s="15">
        <v>4.33</v>
      </c>
      <c r="I281" s="15">
        <v>0.7</v>
      </c>
      <c r="J281" s="15">
        <v>4.2549999999999999</v>
      </c>
      <c r="K281" s="15">
        <f t="shared" si="19"/>
        <v>37.744999999999997</v>
      </c>
      <c r="L281" s="15">
        <f t="shared" si="20"/>
        <v>9</v>
      </c>
      <c r="M281" s="15">
        <f t="shared" si="21"/>
        <v>4.193888888888889</v>
      </c>
    </row>
    <row r="282" spans="7:13" x14ac:dyDescent="0.25">
      <c r="G282" s="13">
        <v>41682</v>
      </c>
      <c r="H282" s="15">
        <v>4.28</v>
      </c>
      <c r="I282" s="15">
        <v>0.7</v>
      </c>
      <c r="J282" s="15">
        <v>4.2050000000000001</v>
      </c>
      <c r="K282" s="15">
        <f t="shared" si="19"/>
        <v>33.489999999999995</v>
      </c>
      <c r="L282" s="15">
        <f t="shared" si="20"/>
        <v>8</v>
      </c>
      <c r="M282" s="15">
        <f t="shared" si="21"/>
        <v>4.1862499999999994</v>
      </c>
    </row>
    <row r="283" spans="7:13" x14ac:dyDescent="0.25">
      <c r="G283" s="13">
        <v>41681</v>
      </c>
      <c r="H283" s="15">
        <v>4.28</v>
      </c>
      <c r="I283" s="15">
        <v>0.7</v>
      </c>
      <c r="J283" s="15">
        <v>4.2050000000000001</v>
      </c>
      <c r="K283" s="15">
        <f t="shared" si="19"/>
        <v>29.284999999999997</v>
      </c>
      <c r="L283" s="15">
        <f t="shared" si="20"/>
        <v>7</v>
      </c>
      <c r="M283" s="15">
        <f t="shared" si="21"/>
        <v>4.1835714285714278</v>
      </c>
    </row>
    <row r="284" spans="7:13" x14ac:dyDescent="0.25">
      <c r="G284" s="13">
        <v>41680</v>
      </c>
      <c r="H284" s="15">
        <v>4.28</v>
      </c>
      <c r="I284" s="15">
        <v>0.7</v>
      </c>
      <c r="J284" s="15">
        <v>4.2050000000000001</v>
      </c>
      <c r="K284" s="15">
        <f t="shared" si="19"/>
        <v>25.08</v>
      </c>
      <c r="L284" s="15">
        <f t="shared" si="20"/>
        <v>6</v>
      </c>
      <c r="M284" s="15">
        <f t="shared" si="21"/>
        <v>4.18</v>
      </c>
    </row>
    <row r="285" spans="7:13" x14ac:dyDescent="0.25">
      <c r="G285" s="13">
        <v>41677</v>
      </c>
      <c r="H285" s="15">
        <v>4.28</v>
      </c>
      <c r="I285" s="15">
        <v>0.7</v>
      </c>
      <c r="J285" s="15">
        <v>4.2050000000000001</v>
      </c>
      <c r="K285" s="15">
        <f t="shared" si="19"/>
        <v>20.875</v>
      </c>
      <c r="L285" s="15">
        <f t="shared" si="20"/>
        <v>5</v>
      </c>
      <c r="M285" s="15">
        <f t="shared" si="21"/>
        <v>4.1749999999999998</v>
      </c>
    </row>
    <row r="286" spans="7:13" x14ac:dyDescent="0.25">
      <c r="G286" s="13">
        <v>41676</v>
      </c>
      <c r="H286" s="15">
        <v>4.28</v>
      </c>
      <c r="I286" s="15">
        <v>0.7</v>
      </c>
      <c r="J286" s="15">
        <v>4.2050000000000001</v>
      </c>
      <c r="K286" s="15">
        <f t="shared" si="19"/>
        <v>16.670000000000002</v>
      </c>
      <c r="L286" s="15">
        <f t="shared" si="20"/>
        <v>4</v>
      </c>
      <c r="M286" s="15">
        <f t="shared" si="21"/>
        <v>4.1675000000000004</v>
      </c>
    </row>
    <row r="287" spans="7:13" x14ac:dyDescent="0.25">
      <c r="G287" s="13">
        <v>41675</v>
      </c>
      <c r="H287" s="15">
        <v>4.2300000000000004</v>
      </c>
      <c r="I287" s="15">
        <v>0.7</v>
      </c>
      <c r="J287" s="15">
        <v>4.1550000000000002</v>
      </c>
      <c r="K287" s="15">
        <f t="shared" si="19"/>
        <v>12.465</v>
      </c>
      <c r="L287" s="15">
        <f t="shared" si="20"/>
        <v>3</v>
      </c>
      <c r="M287" s="15">
        <f t="shared" si="21"/>
        <v>4.1550000000000002</v>
      </c>
    </row>
    <row r="288" spans="7:13" x14ac:dyDescent="0.25">
      <c r="G288" s="13">
        <v>41674</v>
      </c>
      <c r="H288" s="15">
        <v>4.2300000000000004</v>
      </c>
      <c r="I288" s="15">
        <v>0.7</v>
      </c>
      <c r="J288" s="15">
        <v>4.1550000000000002</v>
      </c>
      <c r="K288" s="15">
        <f t="shared" si="19"/>
        <v>8.31</v>
      </c>
      <c r="L288" s="15">
        <f t="shared" si="20"/>
        <v>2</v>
      </c>
      <c r="M288" s="15">
        <f t="shared" si="21"/>
        <v>4.1550000000000002</v>
      </c>
    </row>
    <row r="289" spans="7:13" x14ac:dyDescent="0.25">
      <c r="G289" s="13">
        <v>41673</v>
      </c>
      <c r="H289" s="15">
        <v>4.2300000000000004</v>
      </c>
      <c r="I289" s="15">
        <v>0.7</v>
      </c>
      <c r="J289" s="15">
        <v>4.1550000000000002</v>
      </c>
      <c r="K289" s="15">
        <f t="shared" si="19"/>
        <v>4.1550000000000002</v>
      </c>
      <c r="L289" s="15">
        <f t="shared" si="20"/>
        <v>1</v>
      </c>
      <c r="M289" s="15">
        <f t="shared" si="21"/>
        <v>4.1550000000000002</v>
      </c>
    </row>
    <row r="290" spans="7:13" x14ac:dyDescent="0.25">
      <c r="G290" s="13">
        <v>41670</v>
      </c>
      <c r="H290" s="15">
        <v>4.2300000000000004</v>
      </c>
      <c r="I290" s="15">
        <v>0.7</v>
      </c>
      <c r="J290" s="15">
        <v>4.1550000000000002</v>
      </c>
      <c r="K290" s="15">
        <f t="shared" si="19"/>
        <v>90.64500000000001</v>
      </c>
      <c r="L290" s="15">
        <f t="shared" si="20"/>
        <v>21</v>
      </c>
      <c r="M290" s="15">
        <f t="shared" si="21"/>
        <v>4.3164285714285722</v>
      </c>
    </row>
    <row r="291" spans="7:13" x14ac:dyDescent="0.25">
      <c r="G291" s="13">
        <v>41669</v>
      </c>
      <c r="H291" s="15">
        <v>4.2300000000000004</v>
      </c>
      <c r="I291" s="15">
        <v>0.7</v>
      </c>
      <c r="J291" s="15">
        <v>4.1550000000000002</v>
      </c>
      <c r="K291" s="15">
        <f t="shared" si="19"/>
        <v>86.490000000000009</v>
      </c>
      <c r="L291" s="15">
        <f t="shared" si="20"/>
        <v>20</v>
      </c>
      <c r="M291" s="15">
        <f t="shared" si="21"/>
        <v>4.3245000000000005</v>
      </c>
    </row>
    <row r="292" spans="7:13" x14ac:dyDescent="0.25">
      <c r="G292" s="13">
        <v>41668</v>
      </c>
      <c r="H292" s="15">
        <v>4.32</v>
      </c>
      <c r="I292" s="15">
        <v>0.7</v>
      </c>
      <c r="J292" s="15">
        <v>4.2450000000000001</v>
      </c>
      <c r="K292" s="15">
        <f t="shared" si="19"/>
        <v>82.335000000000008</v>
      </c>
      <c r="L292" s="15">
        <f t="shared" si="20"/>
        <v>19</v>
      </c>
      <c r="M292" s="15">
        <f t="shared" si="21"/>
        <v>4.3334210526315795</v>
      </c>
    </row>
    <row r="293" spans="7:13" x14ac:dyDescent="0.25">
      <c r="G293" s="13">
        <v>41667</v>
      </c>
      <c r="H293" s="15">
        <v>4.32</v>
      </c>
      <c r="I293" s="15">
        <v>0.7</v>
      </c>
      <c r="J293" s="15">
        <v>4.2450000000000001</v>
      </c>
      <c r="K293" s="15">
        <f t="shared" si="19"/>
        <v>78.09</v>
      </c>
      <c r="L293" s="15">
        <f t="shared" si="20"/>
        <v>18</v>
      </c>
      <c r="M293" s="15">
        <f t="shared" si="21"/>
        <v>4.3383333333333338</v>
      </c>
    </row>
    <row r="294" spans="7:13" x14ac:dyDescent="0.25">
      <c r="G294" s="13">
        <v>41666</v>
      </c>
      <c r="H294" s="15">
        <v>4.32</v>
      </c>
      <c r="I294" s="15">
        <v>0.7</v>
      </c>
      <c r="J294" s="15">
        <v>4.2450000000000001</v>
      </c>
      <c r="K294" s="15">
        <f t="shared" si="19"/>
        <v>73.844999999999999</v>
      </c>
      <c r="L294" s="15">
        <f t="shared" si="20"/>
        <v>17</v>
      </c>
      <c r="M294" s="15">
        <f t="shared" si="21"/>
        <v>4.3438235294117646</v>
      </c>
    </row>
    <row r="295" spans="7:13" x14ac:dyDescent="0.25">
      <c r="G295" s="13">
        <v>41663</v>
      </c>
      <c r="H295" s="15">
        <v>4.32</v>
      </c>
      <c r="I295" s="15">
        <v>0.7</v>
      </c>
      <c r="J295" s="15">
        <v>4.2450000000000001</v>
      </c>
      <c r="K295" s="15">
        <f t="shared" si="19"/>
        <v>69.599999999999994</v>
      </c>
      <c r="L295" s="15">
        <f t="shared" si="20"/>
        <v>16</v>
      </c>
      <c r="M295" s="15">
        <f t="shared" si="21"/>
        <v>4.3499999999999996</v>
      </c>
    </row>
    <row r="296" spans="7:13" x14ac:dyDescent="0.25">
      <c r="G296" s="13">
        <v>41662</v>
      </c>
      <c r="H296" s="15">
        <v>4.32</v>
      </c>
      <c r="I296" s="15">
        <v>0.7</v>
      </c>
      <c r="J296" s="15">
        <v>4.2450000000000001</v>
      </c>
      <c r="K296" s="15">
        <f t="shared" si="19"/>
        <v>65.35499999999999</v>
      </c>
      <c r="L296" s="15">
        <f t="shared" si="20"/>
        <v>15</v>
      </c>
      <c r="M296" s="15">
        <f t="shared" si="21"/>
        <v>4.3569999999999993</v>
      </c>
    </row>
    <row r="297" spans="7:13" x14ac:dyDescent="0.25">
      <c r="G297" s="13">
        <v>41661</v>
      </c>
      <c r="H297" s="15">
        <v>4.3899999999999997</v>
      </c>
      <c r="I297" s="15">
        <v>0.7</v>
      </c>
      <c r="J297" s="15">
        <v>4.3150000000000004</v>
      </c>
      <c r="K297" s="15">
        <f t="shared" si="19"/>
        <v>61.109999999999992</v>
      </c>
      <c r="L297" s="15">
        <f t="shared" si="20"/>
        <v>14</v>
      </c>
      <c r="M297" s="15">
        <f t="shared" si="21"/>
        <v>4.3649999999999993</v>
      </c>
    </row>
    <row r="298" spans="7:13" x14ac:dyDescent="0.25">
      <c r="G298" s="13">
        <v>41660</v>
      </c>
      <c r="H298" s="15">
        <v>4.3899999999999997</v>
      </c>
      <c r="I298" s="15">
        <v>0.7</v>
      </c>
      <c r="J298" s="15">
        <v>4.3150000000000004</v>
      </c>
      <c r="K298" s="15">
        <f t="shared" si="19"/>
        <v>56.794999999999995</v>
      </c>
      <c r="L298" s="15">
        <f t="shared" si="20"/>
        <v>13</v>
      </c>
      <c r="M298" s="15">
        <f t="shared" si="21"/>
        <v>4.3688461538461532</v>
      </c>
    </row>
    <row r="299" spans="7:13" x14ac:dyDescent="0.25">
      <c r="G299" s="13">
        <v>41656</v>
      </c>
      <c r="H299" s="15">
        <v>4.3899999999999997</v>
      </c>
      <c r="I299" s="15">
        <v>0.7</v>
      </c>
      <c r="J299" s="15">
        <v>4.3150000000000004</v>
      </c>
      <c r="K299" s="15">
        <f t="shared" si="19"/>
        <v>52.48</v>
      </c>
      <c r="L299" s="15">
        <f t="shared" si="20"/>
        <v>12</v>
      </c>
      <c r="M299" s="15">
        <f t="shared" si="21"/>
        <v>4.3733333333333331</v>
      </c>
    </row>
    <row r="300" spans="7:13" x14ac:dyDescent="0.25">
      <c r="G300" s="13">
        <v>41655</v>
      </c>
      <c r="H300" s="15">
        <v>4.3899999999999997</v>
      </c>
      <c r="I300" s="15">
        <v>0.7</v>
      </c>
      <c r="J300" s="15">
        <v>4.3150000000000004</v>
      </c>
      <c r="K300" s="15">
        <f t="shared" si="19"/>
        <v>48.164999999999999</v>
      </c>
      <c r="L300" s="15">
        <f t="shared" si="20"/>
        <v>11</v>
      </c>
      <c r="M300" s="15">
        <f t="shared" si="21"/>
        <v>4.3786363636363639</v>
      </c>
    </row>
    <row r="301" spans="7:13" x14ac:dyDescent="0.25">
      <c r="G301" s="13">
        <v>41654</v>
      </c>
      <c r="H301" s="15">
        <v>4.41</v>
      </c>
      <c r="I301" s="15">
        <v>0.7</v>
      </c>
      <c r="J301" s="15">
        <v>4.335</v>
      </c>
      <c r="K301" s="15">
        <f t="shared" si="19"/>
        <v>43.85</v>
      </c>
      <c r="L301" s="15">
        <f t="shared" si="20"/>
        <v>10</v>
      </c>
      <c r="M301" s="15">
        <f t="shared" si="21"/>
        <v>4.3849999999999998</v>
      </c>
    </row>
    <row r="302" spans="7:13" x14ac:dyDescent="0.25">
      <c r="G302" s="13">
        <v>41653</v>
      </c>
      <c r="H302" s="15">
        <v>4.41</v>
      </c>
      <c r="I302" s="15">
        <v>0.7</v>
      </c>
      <c r="J302" s="15">
        <v>4.335</v>
      </c>
      <c r="K302" s="15">
        <f t="shared" si="19"/>
        <v>39.515000000000001</v>
      </c>
      <c r="L302" s="15">
        <f t="shared" si="20"/>
        <v>9</v>
      </c>
      <c r="M302" s="15">
        <f t="shared" si="21"/>
        <v>4.3905555555555553</v>
      </c>
    </row>
    <row r="303" spans="7:13" x14ac:dyDescent="0.25">
      <c r="G303" s="13">
        <v>41652</v>
      </c>
      <c r="H303" s="15">
        <v>4.41</v>
      </c>
      <c r="I303" s="15">
        <v>0.7</v>
      </c>
      <c r="J303" s="15">
        <v>4.335</v>
      </c>
      <c r="K303" s="15">
        <f t="shared" si="19"/>
        <v>35.18</v>
      </c>
      <c r="L303" s="15">
        <f t="shared" si="20"/>
        <v>8</v>
      </c>
      <c r="M303" s="15">
        <f t="shared" si="21"/>
        <v>4.3975</v>
      </c>
    </row>
    <row r="304" spans="7:13" x14ac:dyDescent="0.25">
      <c r="G304" s="13">
        <v>41649</v>
      </c>
      <c r="H304" s="15">
        <v>4.41</v>
      </c>
      <c r="I304" s="15">
        <v>0.7</v>
      </c>
      <c r="J304" s="15">
        <v>4.335</v>
      </c>
      <c r="K304" s="15">
        <f t="shared" si="19"/>
        <v>30.844999999999999</v>
      </c>
      <c r="L304" s="15">
        <f t="shared" si="20"/>
        <v>7</v>
      </c>
      <c r="M304" s="15">
        <f t="shared" si="21"/>
        <v>4.4064285714285711</v>
      </c>
    </row>
    <row r="305" spans="7:13" x14ac:dyDescent="0.25">
      <c r="G305" s="13">
        <v>41648</v>
      </c>
      <c r="H305" s="15">
        <v>4.41</v>
      </c>
      <c r="I305" s="15">
        <v>0.7</v>
      </c>
      <c r="J305" s="15">
        <v>4.335</v>
      </c>
      <c r="K305" s="15">
        <f t="shared" si="19"/>
        <v>26.509999999999998</v>
      </c>
      <c r="L305" s="15">
        <f t="shared" si="20"/>
        <v>6</v>
      </c>
      <c r="M305" s="15">
        <f t="shared" si="21"/>
        <v>4.418333333333333</v>
      </c>
    </row>
    <row r="306" spans="7:13" x14ac:dyDescent="0.25">
      <c r="G306" s="13">
        <v>41647</v>
      </c>
      <c r="H306" s="15">
        <v>4.51</v>
      </c>
      <c r="I306" s="15">
        <v>0.7</v>
      </c>
      <c r="J306" s="15">
        <v>4.4349999999999996</v>
      </c>
      <c r="K306" s="15">
        <f t="shared" si="19"/>
        <v>22.174999999999997</v>
      </c>
      <c r="L306" s="15">
        <f t="shared" si="20"/>
        <v>5</v>
      </c>
      <c r="M306" s="15">
        <f t="shared" si="21"/>
        <v>4.4349999999999996</v>
      </c>
    </row>
    <row r="307" spans="7:13" x14ac:dyDescent="0.25">
      <c r="G307" s="13">
        <v>41646</v>
      </c>
      <c r="H307" s="15">
        <v>4.51</v>
      </c>
      <c r="I307" s="15">
        <v>0.7</v>
      </c>
      <c r="J307" s="15">
        <v>4.4349999999999996</v>
      </c>
      <c r="K307" s="15">
        <f t="shared" si="19"/>
        <v>17.739999999999998</v>
      </c>
      <c r="L307" s="15">
        <f t="shared" si="20"/>
        <v>4</v>
      </c>
      <c r="M307" s="15">
        <f t="shared" si="21"/>
        <v>4.4349999999999996</v>
      </c>
    </row>
    <row r="308" spans="7:13" x14ac:dyDescent="0.25">
      <c r="G308" s="13">
        <v>41645</v>
      </c>
      <c r="H308" s="15">
        <v>4.51</v>
      </c>
      <c r="I308" s="15">
        <v>0.7</v>
      </c>
      <c r="J308" s="15">
        <v>4.4349999999999996</v>
      </c>
      <c r="K308" s="15">
        <f t="shared" si="19"/>
        <v>13.305</v>
      </c>
      <c r="L308" s="15">
        <f t="shared" si="20"/>
        <v>3</v>
      </c>
      <c r="M308" s="15">
        <f t="shared" si="21"/>
        <v>4.4349999999999996</v>
      </c>
    </row>
    <row r="309" spans="7:13" x14ac:dyDescent="0.25">
      <c r="G309" s="13">
        <v>41642</v>
      </c>
      <c r="H309" s="15">
        <v>4.51</v>
      </c>
      <c r="I309" s="15">
        <v>0.7</v>
      </c>
      <c r="J309" s="15">
        <v>4.4349999999999996</v>
      </c>
      <c r="K309" s="15">
        <f t="shared" si="19"/>
        <v>8.8699999999999992</v>
      </c>
      <c r="L309" s="15">
        <f t="shared" si="20"/>
        <v>2</v>
      </c>
      <c r="M309" s="15">
        <f t="shared" si="21"/>
        <v>4.4349999999999996</v>
      </c>
    </row>
    <row r="310" spans="7:13" x14ac:dyDescent="0.25">
      <c r="G310" s="13">
        <v>41641</v>
      </c>
      <c r="H310" s="15">
        <v>4.51</v>
      </c>
      <c r="I310" s="15">
        <v>0.7</v>
      </c>
      <c r="J310" s="15">
        <v>4.4349999999999996</v>
      </c>
      <c r="K310" s="15">
        <f t="shared" si="19"/>
        <v>4.4349999999999996</v>
      </c>
      <c r="L310" s="15">
        <f t="shared" si="20"/>
        <v>1</v>
      </c>
      <c r="M310" s="15">
        <f t="shared" si="21"/>
        <v>4.4349999999999996</v>
      </c>
    </row>
    <row r="311" spans="7:13" x14ac:dyDescent="0.25">
      <c r="G311" s="13">
        <v>41639</v>
      </c>
      <c r="H311" s="15">
        <v>4.53</v>
      </c>
      <c r="I311" s="15">
        <v>0.8</v>
      </c>
      <c r="J311" s="15">
        <v>4.4800000000000004</v>
      </c>
      <c r="K311" s="15">
        <f t="shared" si="19"/>
        <v>92.245000000000005</v>
      </c>
      <c r="L311" s="15">
        <f t="shared" si="20"/>
        <v>21</v>
      </c>
      <c r="M311" s="15">
        <f t="shared" si="21"/>
        <v>4.3926190476190481</v>
      </c>
    </row>
    <row r="312" spans="7:13" x14ac:dyDescent="0.25">
      <c r="G312" s="13">
        <v>41638</v>
      </c>
      <c r="H312" s="15">
        <v>4.53</v>
      </c>
      <c r="I312" s="15">
        <v>0.8</v>
      </c>
      <c r="J312" s="15">
        <v>4.4800000000000004</v>
      </c>
      <c r="K312" s="15">
        <f t="shared" si="19"/>
        <v>87.765000000000001</v>
      </c>
      <c r="L312" s="15">
        <f t="shared" si="20"/>
        <v>20</v>
      </c>
      <c r="M312" s="15">
        <f t="shared" si="21"/>
        <v>4.3882500000000002</v>
      </c>
    </row>
    <row r="313" spans="7:13" x14ac:dyDescent="0.25">
      <c r="G313" s="13">
        <v>41635</v>
      </c>
      <c r="H313" s="15">
        <v>4.53</v>
      </c>
      <c r="I313" s="15">
        <v>0.8</v>
      </c>
      <c r="J313" s="15">
        <v>4.4800000000000004</v>
      </c>
      <c r="K313" s="15">
        <f t="shared" si="19"/>
        <v>83.284999999999997</v>
      </c>
      <c r="L313" s="15">
        <f t="shared" si="20"/>
        <v>19</v>
      </c>
      <c r="M313" s="15">
        <f t="shared" si="21"/>
        <v>4.3834210526315784</v>
      </c>
    </row>
    <row r="314" spans="7:13" x14ac:dyDescent="0.25">
      <c r="G314" s="13">
        <v>41634</v>
      </c>
      <c r="H314" s="15">
        <v>4.53</v>
      </c>
      <c r="I314" s="15">
        <v>0.8</v>
      </c>
      <c r="J314" s="15">
        <v>4.4800000000000004</v>
      </c>
      <c r="K314" s="15">
        <f t="shared" si="19"/>
        <v>78.804999999999993</v>
      </c>
      <c r="L314" s="15">
        <f t="shared" si="20"/>
        <v>18</v>
      </c>
      <c r="M314" s="15">
        <f t="shared" si="21"/>
        <v>4.3780555555555551</v>
      </c>
    </row>
    <row r="315" spans="7:13" x14ac:dyDescent="0.25">
      <c r="G315" s="13">
        <v>41632</v>
      </c>
      <c r="H315" s="15">
        <v>4.4800000000000004</v>
      </c>
      <c r="I315" s="15">
        <v>0.7</v>
      </c>
      <c r="J315" s="15">
        <v>4.4050000000000002</v>
      </c>
      <c r="K315" s="15">
        <f t="shared" si="19"/>
        <v>74.324999999999989</v>
      </c>
      <c r="L315" s="15">
        <f t="shared" si="20"/>
        <v>17</v>
      </c>
      <c r="M315" s="15">
        <f t="shared" si="21"/>
        <v>4.3720588235294109</v>
      </c>
    </row>
    <row r="316" spans="7:13" x14ac:dyDescent="0.25">
      <c r="G316" s="13">
        <v>41631</v>
      </c>
      <c r="H316" s="15">
        <v>4.4800000000000004</v>
      </c>
      <c r="I316" s="15">
        <v>0.7</v>
      </c>
      <c r="J316" s="15">
        <v>4.4050000000000002</v>
      </c>
      <c r="K316" s="15">
        <f t="shared" si="19"/>
        <v>69.919999999999987</v>
      </c>
      <c r="L316" s="15">
        <f t="shared" si="20"/>
        <v>16</v>
      </c>
      <c r="M316" s="15">
        <f t="shared" si="21"/>
        <v>4.3699999999999992</v>
      </c>
    </row>
    <row r="317" spans="7:13" x14ac:dyDescent="0.25">
      <c r="G317" s="13">
        <v>41628</v>
      </c>
      <c r="H317" s="15">
        <v>4.4800000000000004</v>
      </c>
      <c r="I317" s="15">
        <v>0.7</v>
      </c>
      <c r="J317" s="15">
        <v>4.4050000000000002</v>
      </c>
      <c r="K317" s="15">
        <f t="shared" si="19"/>
        <v>65.514999999999986</v>
      </c>
      <c r="L317" s="15">
        <f t="shared" si="20"/>
        <v>15</v>
      </c>
      <c r="M317" s="15">
        <f t="shared" si="21"/>
        <v>4.3676666666666657</v>
      </c>
    </row>
    <row r="318" spans="7:13" x14ac:dyDescent="0.25">
      <c r="G318" s="13">
        <v>41627</v>
      </c>
      <c r="H318" s="15">
        <v>4.4800000000000004</v>
      </c>
      <c r="I318" s="15">
        <v>0.7</v>
      </c>
      <c r="J318" s="15">
        <v>4.4050000000000002</v>
      </c>
      <c r="K318" s="15">
        <f t="shared" si="19"/>
        <v>61.109999999999985</v>
      </c>
      <c r="L318" s="15">
        <f t="shared" si="20"/>
        <v>14</v>
      </c>
      <c r="M318" s="15">
        <f t="shared" si="21"/>
        <v>4.3649999999999993</v>
      </c>
    </row>
    <row r="319" spans="7:13" x14ac:dyDescent="0.25">
      <c r="G319" s="13">
        <v>41626</v>
      </c>
      <c r="H319" s="15">
        <v>4.47</v>
      </c>
      <c r="I319" s="15">
        <v>0.7</v>
      </c>
      <c r="J319" s="15">
        <v>4.3949999999999996</v>
      </c>
      <c r="K319" s="15">
        <f t="shared" si="19"/>
        <v>56.704999999999984</v>
      </c>
      <c r="L319" s="15">
        <f t="shared" si="20"/>
        <v>13</v>
      </c>
      <c r="M319" s="15">
        <f t="shared" si="21"/>
        <v>4.3619230769230759</v>
      </c>
    </row>
    <row r="320" spans="7:13" x14ac:dyDescent="0.25">
      <c r="G320" s="13">
        <v>41625</v>
      </c>
      <c r="H320" s="15">
        <v>4.47</v>
      </c>
      <c r="I320" s="15">
        <v>0.7</v>
      </c>
      <c r="J320" s="15">
        <v>4.3949999999999996</v>
      </c>
      <c r="K320" s="15">
        <f t="shared" si="19"/>
        <v>52.309999999999988</v>
      </c>
      <c r="L320" s="15">
        <f t="shared" si="20"/>
        <v>12</v>
      </c>
      <c r="M320" s="15">
        <f t="shared" si="21"/>
        <v>4.359166666666666</v>
      </c>
    </row>
    <row r="321" spans="7:13" x14ac:dyDescent="0.25">
      <c r="G321" s="13">
        <v>41624</v>
      </c>
      <c r="H321" s="15">
        <v>4.47</v>
      </c>
      <c r="I321" s="15">
        <v>0.7</v>
      </c>
      <c r="J321" s="15">
        <v>4.3949999999999996</v>
      </c>
      <c r="K321" s="15">
        <f t="shared" si="19"/>
        <v>47.914999999999992</v>
      </c>
      <c r="L321" s="15">
        <f t="shared" si="20"/>
        <v>11</v>
      </c>
      <c r="M321" s="15">
        <f t="shared" si="21"/>
        <v>4.3559090909090905</v>
      </c>
    </row>
    <row r="322" spans="7:13" x14ac:dyDescent="0.25">
      <c r="G322" s="13">
        <v>41621</v>
      </c>
      <c r="H322" s="15">
        <v>4.47</v>
      </c>
      <c r="I322" s="15">
        <v>0.7</v>
      </c>
      <c r="J322" s="15">
        <v>4.3949999999999996</v>
      </c>
      <c r="K322" s="15">
        <f t="shared" si="19"/>
        <v>43.519999999999996</v>
      </c>
      <c r="L322" s="15">
        <f t="shared" si="20"/>
        <v>10</v>
      </c>
      <c r="M322" s="15">
        <f t="shared" si="21"/>
        <v>4.3519999999999994</v>
      </c>
    </row>
    <row r="323" spans="7:13" x14ac:dyDescent="0.25">
      <c r="G323" s="13">
        <v>41620</v>
      </c>
      <c r="H323" s="15">
        <v>4.47</v>
      </c>
      <c r="I323" s="15">
        <v>0.7</v>
      </c>
      <c r="J323" s="15">
        <v>4.3949999999999996</v>
      </c>
      <c r="K323" s="15">
        <f t="shared" si="19"/>
        <v>39.125</v>
      </c>
      <c r="L323" s="15">
        <f t="shared" si="20"/>
        <v>9</v>
      </c>
      <c r="M323" s="15">
        <f t="shared" si="21"/>
        <v>4.3472222222222223</v>
      </c>
    </row>
    <row r="324" spans="7:13" x14ac:dyDescent="0.25">
      <c r="G324" s="13">
        <v>41619</v>
      </c>
      <c r="H324" s="15">
        <v>4.42</v>
      </c>
      <c r="I324" s="15">
        <v>0.7</v>
      </c>
      <c r="J324" s="15">
        <v>4.3449999999999998</v>
      </c>
      <c r="K324" s="15">
        <f t="shared" ref="K324:K387" si="22">IF(MONTH(G324)=MONTH(G325),J324+K325,J324)</f>
        <v>34.729999999999997</v>
      </c>
      <c r="L324" s="15">
        <f t="shared" ref="L324:L387" si="23">IF(MONTH(G324)=MONTH(G325),L325+1,1)</f>
        <v>8</v>
      </c>
      <c r="M324" s="15">
        <f t="shared" si="21"/>
        <v>4.3412499999999996</v>
      </c>
    </row>
    <row r="325" spans="7:13" x14ac:dyDescent="0.25">
      <c r="G325" s="13">
        <v>41618</v>
      </c>
      <c r="H325" s="15">
        <v>4.42</v>
      </c>
      <c r="I325" s="15">
        <v>0.7</v>
      </c>
      <c r="J325" s="15">
        <v>4.3449999999999998</v>
      </c>
      <c r="K325" s="15">
        <f t="shared" si="22"/>
        <v>30.384999999999994</v>
      </c>
      <c r="L325" s="15">
        <f t="shared" si="23"/>
        <v>7</v>
      </c>
      <c r="M325" s="15">
        <f t="shared" ref="M325:M388" si="24">K325/L325</f>
        <v>4.3407142857142853</v>
      </c>
    </row>
    <row r="326" spans="7:13" x14ac:dyDescent="0.25">
      <c r="G326" s="13">
        <v>41617</v>
      </c>
      <c r="H326" s="15">
        <v>4.42</v>
      </c>
      <c r="I326" s="15">
        <v>0.7</v>
      </c>
      <c r="J326" s="15">
        <v>4.3449999999999998</v>
      </c>
      <c r="K326" s="15">
        <f t="shared" si="22"/>
        <v>26.039999999999996</v>
      </c>
      <c r="L326" s="15">
        <f t="shared" si="23"/>
        <v>6</v>
      </c>
      <c r="M326" s="15">
        <f t="shared" si="24"/>
        <v>4.339999999999999</v>
      </c>
    </row>
    <row r="327" spans="7:13" x14ac:dyDescent="0.25">
      <c r="G327" s="13">
        <v>41614</v>
      </c>
      <c r="H327" s="15">
        <v>4.42</v>
      </c>
      <c r="I327" s="15">
        <v>0.7</v>
      </c>
      <c r="J327" s="15">
        <v>4.3449999999999998</v>
      </c>
      <c r="K327" s="15">
        <f t="shared" si="22"/>
        <v>21.694999999999997</v>
      </c>
      <c r="L327" s="15">
        <f t="shared" si="23"/>
        <v>5</v>
      </c>
      <c r="M327" s="15">
        <f t="shared" si="24"/>
        <v>4.3389999999999995</v>
      </c>
    </row>
    <row r="328" spans="7:13" x14ac:dyDescent="0.25">
      <c r="G328" s="13">
        <v>41613</v>
      </c>
      <c r="H328" s="15">
        <v>4.42</v>
      </c>
      <c r="I328" s="15">
        <v>0.7</v>
      </c>
      <c r="J328" s="15">
        <v>4.3449999999999998</v>
      </c>
      <c r="K328" s="15">
        <f t="shared" si="22"/>
        <v>17.349999999999998</v>
      </c>
      <c r="L328" s="15">
        <f t="shared" si="23"/>
        <v>4</v>
      </c>
      <c r="M328" s="15">
        <f t="shared" si="24"/>
        <v>4.3374999999999995</v>
      </c>
    </row>
    <row r="329" spans="7:13" x14ac:dyDescent="0.25">
      <c r="G329" s="13">
        <v>41612</v>
      </c>
      <c r="H329" s="15">
        <v>4.46</v>
      </c>
      <c r="I329" s="15">
        <v>0.5</v>
      </c>
      <c r="J329" s="15">
        <v>4.335</v>
      </c>
      <c r="K329" s="15">
        <f t="shared" si="22"/>
        <v>13.004999999999999</v>
      </c>
      <c r="L329" s="15">
        <f t="shared" si="23"/>
        <v>3</v>
      </c>
      <c r="M329" s="15">
        <f t="shared" si="24"/>
        <v>4.335</v>
      </c>
    </row>
    <row r="330" spans="7:13" x14ac:dyDescent="0.25">
      <c r="G330" s="13">
        <v>41611</v>
      </c>
      <c r="H330" s="15">
        <v>4.46</v>
      </c>
      <c r="I330" s="15">
        <v>0.5</v>
      </c>
      <c r="J330" s="15">
        <v>4.335</v>
      </c>
      <c r="K330" s="15">
        <f t="shared" si="22"/>
        <v>8.67</v>
      </c>
      <c r="L330" s="15">
        <f t="shared" si="23"/>
        <v>2</v>
      </c>
      <c r="M330" s="15">
        <f t="shared" si="24"/>
        <v>4.335</v>
      </c>
    </row>
    <row r="331" spans="7:13" x14ac:dyDescent="0.25">
      <c r="G331" s="13">
        <v>41610</v>
      </c>
      <c r="H331" s="15">
        <v>4.46</v>
      </c>
      <c r="I331" s="15">
        <v>0.5</v>
      </c>
      <c r="J331" s="15">
        <v>4.335</v>
      </c>
      <c r="K331" s="15">
        <f t="shared" si="22"/>
        <v>4.335</v>
      </c>
      <c r="L331" s="15">
        <f t="shared" si="23"/>
        <v>1</v>
      </c>
      <c r="M331" s="15">
        <f t="shared" si="24"/>
        <v>4.335</v>
      </c>
    </row>
    <row r="332" spans="7:13" x14ac:dyDescent="0.25">
      <c r="G332" s="13">
        <v>41607</v>
      </c>
      <c r="H332" s="15">
        <v>4.46</v>
      </c>
      <c r="I332" s="15">
        <v>0.5</v>
      </c>
      <c r="J332" s="15">
        <v>4.335</v>
      </c>
      <c r="K332" s="15">
        <f t="shared" si="22"/>
        <v>79.674999999999997</v>
      </c>
      <c r="L332" s="15">
        <f t="shared" si="23"/>
        <v>19</v>
      </c>
      <c r="M332" s="15">
        <f t="shared" si="24"/>
        <v>4.1934210526315789</v>
      </c>
    </row>
    <row r="333" spans="7:13" x14ac:dyDescent="0.25">
      <c r="G333" s="13">
        <v>41604</v>
      </c>
      <c r="H333" s="15">
        <v>4.29</v>
      </c>
      <c r="I333" s="15">
        <v>0.7</v>
      </c>
      <c r="J333" s="15">
        <v>4.2149999999999999</v>
      </c>
      <c r="K333" s="15">
        <f t="shared" si="22"/>
        <v>75.34</v>
      </c>
      <c r="L333" s="15">
        <f t="shared" si="23"/>
        <v>18</v>
      </c>
      <c r="M333" s="15">
        <f t="shared" si="24"/>
        <v>4.1855555555555561</v>
      </c>
    </row>
    <row r="334" spans="7:13" x14ac:dyDescent="0.25">
      <c r="G334" s="13">
        <v>41603</v>
      </c>
      <c r="H334" s="15">
        <v>4.29</v>
      </c>
      <c r="I334" s="15">
        <v>0.7</v>
      </c>
      <c r="J334" s="15">
        <v>4.2149999999999999</v>
      </c>
      <c r="K334" s="15">
        <f t="shared" si="22"/>
        <v>71.125</v>
      </c>
      <c r="L334" s="15">
        <f t="shared" si="23"/>
        <v>17</v>
      </c>
      <c r="M334" s="15">
        <f t="shared" si="24"/>
        <v>4.1838235294117645</v>
      </c>
    </row>
    <row r="335" spans="7:13" x14ac:dyDescent="0.25">
      <c r="G335" s="13">
        <v>41600</v>
      </c>
      <c r="H335" s="15">
        <v>4.29</v>
      </c>
      <c r="I335" s="15">
        <v>0.7</v>
      </c>
      <c r="J335" s="15">
        <v>4.2149999999999999</v>
      </c>
      <c r="K335" s="15">
        <f t="shared" si="22"/>
        <v>66.91</v>
      </c>
      <c r="L335" s="15">
        <f t="shared" si="23"/>
        <v>16</v>
      </c>
      <c r="M335" s="15">
        <f t="shared" si="24"/>
        <v>4.1818749999999998</v>
      </c>
    </row>
    <row r="336" spans="7:13" x14ac:dyDescent="0.25">
      <c r="G336" s="13">
        <v>41599</v>
      </c>
      <c r="H336" s="15">
        <v>4.29</v>
      </c>
      <c r="I336" s="15">
        <v>0.7</v>
      </c>
      <c r="J336" s="15">
        <v>4.2149999999999999</v>
      </c>
      <c r="K336" s="15">
        <f t="shared" si="22"/>
        <v>62.694999999999993</v>
      </c>
      <c r="L336" s="15">
        <f t="shared" si="23"/>
        <v>15</v>
      </c>
      <c r="M336" s="15">
        <f t="shared" si="24"/>
        <v>4.179666666666666</v>
      </c>
    </row>
    <row r="337" spans="7:13" x14ac:dyDescent="0.25">
      <c r="G337" s="13">
        <v>41598</v>
      </c>
      <c r="H337" s="15">
        <v>4.29</v>
      </c>
      <c r="I337" s="15">
        <v>0.7</v>
      </c>
      <c r="J337" s="15">
        <v>4.2149999999999999</v>
      </c>
      <c r="K337" s="15">
        <f t="shared" si="22"/>
        <v>58.47999999999999</v>
      </c>
      <c r="L337" s="15">
        <f t="shared" si="23"/>
        <v>14</v>
      </c>
      <c r="M337" s="15">
        <f t="shared" si="24"/>
        <v>4.1771428571428562</v>
      </c>
    </row>
    <row r="338" spans="7:13" x14ac:dyDescent="0.25">
      <c r="G338" s="13">
        <v>41598</v>
      </c>
      <c r="H338" s="15">
        <v>4.22</v>
      </c>
      <c r="I338" s="15">
        <v>0.7</v>
      </c>
      <c r="J338" s="15">
        <v>4.1449999999999996</v>
      </c>
      <c r="K338" s="15">
        <f t="shared" si="22"/>
        <v>54.264999999999986</v>
      </c>
      <c r="L338" s="15">
        <f t="shared" si="23"/>
        <v>13</v>
      </c>
      <c r="M338" s="15">
        <f t="shared" si="24"/>
        <v>4.1742307692307685</v>
      </c>
    </row>
    <row r="339" spans="7:13" x14ac:dyDescent="0.25">
      <c r="G339" s="13">
        <v>41597</v>
      </c>
      <c r="H339" s="15">
        <v>4.22</v>
      </c>
      <c r="I339" s="15">
        <v>0.7</v>
      </c>
      <c r="J339" s="15">
        <v>4.1449999999999996</v>
      </c>
      <c r="K339" s="15">
        <f t="shared" si="22"/>
        <v>50.11999999999999</v>
      </c>
      <c r="L339" s="15">
        <f t="shared" si="23"/>
        <v>12</v>
      </c>
      <c r="M339" s="15">
        <f t="shared" si="24"/>
        <v>4.1766666666666659</v>
      </c>
    </row>
    <row r="340" spans="7:13" x14ac:dyDescent="0.25">
      <c r="G340" s="13">
        <v>41596</v>
      </c>
      <c r="H340" s="15">
        <v>4.22</v>
      </c>
      <c r="I340" s="15">
        <v>0.7</v>
      </c>
      <c r="J340" s="15">
        <v>4.1449999999999996</v>
      </c>
      <c r="K340" s="15">
        <f t="shared" si="22"/>
        <v>45.974999999999994</v>
      </c>
      <c r="L340" s="15">
        <f t="shared" si="23"/>
        <v>11</v>
      </c>
      <c r="M340" s="15">
        <f t="shared" si="24"/>
        <v>4.1795454545454538</v>
      </c>
    </row>
    <row r="341" spans="7:13" x14ac:dyDescent="0.25">
      <c r="G341" s="13">
        <v>41593</v>
      </c>
      <c r="H341" s="15">
        <v>4.22</v>
      </c>
      <c r="I341" s="15">
        <v>0.7</v>
      </c>
      <c r="J341" s="15">
        <v>4.1449999999999996</v>
      </c>
      <c r="K341" s="15">
        <f t="shared" si="22"/>
        <v>41.83</v>
      </c>
      <c r="L341" s="15">
        <f t="shared" si="23"/>
        <v>10</v>
      </c>
      <c r="M341" s="15">
        <f t="shared" si="24"/>
        <v>4.1829999999999998</v>
      </c>
    </row>
    <row r="342" spans="7:13" x14ac:dyDescent="0.25">
      <c r="G342" s="13">
        <v>41592</v>
      </c>
      <c r="H342" s="15">
        <v>4.22</v>
      </c>
      <c r="I342" s="15">
        <v>0.7</v>
      </c>
      <c r="J342" s="15">
        <v>4.1449999999999996</v>
      </c>
      <c r="K342" s="15">
        <f t="shared" si="22"/>
        <v>37.685000000000002</v>
      </c>
      <c r="L342" s="15">
        <f t="shared" si="23"/>
        <v>9</v>
      </c>
      <c r="M342" s="15">
        <f t="shared" si="24"/>
        <v>4.1872222222222222</v>
      </c>
    </row>
    <row r="343" spans="7:13" x14ac:dyDescent="0.25">
      <c r="G343" s="13">
        <v>41591</v>
      </c>
      <c r="H343" s="15">
        <v>4.3499999999999996</v>
      </c>
      <c r="I343" s="15">
        <v>0.7</v>
      </c>
      <c r="J343" s="15">
        <v>4.2750000000000004</v>
      </c>
      <c r="K343" s="15">
        <f t="shared" si="22"/>
        <v>33.54</v>
      </c>
      <c r="L343" s="15">
        <f t="shared" si="23"/>
        <v>8</v>
      </c>
      <c r="M343" s="15">
        <f t="shared" si="24"/>
        <v>4.1924999999999999</v>
      </c>
    </row>
    <row r="344" spans="7:13" x14ac:dyDescent="0.25">
      <c r="G344" s="13">
        <v>41590</v>
      </c>
      <c r="H344" s="15">
        <v>4.3499999999999996</v>
      </c>
      <c r="I344" s="15">
        <v>0.7</v>
      </c>
      <c r="J344" s="15">
        <v>4.2750000000000004</v>
      </c>
      <c r="K344" s="15">
        <f t="shared" si="22"/>
        <v>29.265000000000001</v>
      </c>
      <c r="L344" s="15">
        <f t="shared" si="23"/>
        <v>7</v>
      </c>
      <c r="M344" s="15">
        <f t="shared" si="24"/>
        <v>4.180714285714286</v>
      </c>
    </row>
    <row r="345" spans="7:13" x14ac:dyDescent="0.25">
      <c r="G345" s="13">
        <v>41586</v>
      </c>
      <c r="H345" s="15">
        <v>4.3499999999999996</v>
      </c>
      <c r="I345" s="15">
        <v>0.7</v>
      </c>
      <c r="J345" s="15">
        <v>4.2750000000000004</v>
      </c>
      <c r="K345" s="15">
        <f t="shared" si="22"/>
        <v>24.990000000000002</v>
      </c>
      <c r="L345" s="15">
        <f t="shared" si="23"/>
        <v>6</v>
      </c>
      <c r="M345" s="15">
        <f t="shared" si="24"/>
        <v>4.165</v>
      </c>
    </row>
    <row r="346" spans="7:13" x14ac:dyDescent="0.25">
      <c r="G346" s="13">
        <v>41585</v>
      </c>
      <c r="H346" s="15">
        <v>4.3499999999999996</v>
      </c>
      <c r="I346" s="15">
        <v>0.7</v>
      </c>
      <c r="J346" s="15">
        <v>4.2750000000000004</v>
      </c>
      <c r="K346" s="15">
        <f t="shared" si="22"/>
        <v>20.715000000000003</v>
      </c>
      <c r="L346" s="15">
        <f t="shared" si="23"/>
        <v>5</v>
      </c>
      <c r="M346" s="15">
        <f t="shared" si="24"/>
        <v>4.1430000000000007</v>
      </c>
    </row>
    <row r="347" spans="7:13" x14ac:dyDescent="0.25">
      <c r="G347" s="13">
        <v>41584</v>
      </c>
      <c r="H347" s="15">
        <v>4.16</v>
      </c>
      <c r="I347" s="15">
        <v>0.8</v>
      </c>
      <c r="J347" s="15">
        <v>4.1100000000000003</v>
      </c>
      <c r="K347" s="15">
        <f t="shared" si="22"/>
        <v>16.440000000000001</v>
      </c>
      <c r="L347" s="15">
        <f t="shared" si="23"/>
        <v>4</v>
      </c>
      <c r="M347" s="15">
        <f t="shared" si="24"/>
        <v>4.1100000000000003</v>
      </c>
    </row>
    <row r="348" spans="7:13" x14ac:dyDescent="0.25">
      <c r="G348" s="13">
        <v>41583</v>
      </c>
      <c r="H348" s="15">
        <v>4.16</v>
      </c>
      <c r="I348" s="15">
        <v>0.8</v>
      </c>
      <c r="J348" s="15">
        <v>4.1100000000000003</v>
      </c>
      <c r="K348" s="15">
        <f t="shared" si="22"/>
        <v>12.330000000000002</v>
      </c>
      <c r="L348" s="15">
        <f t="shared" si="23"/>
        <v>3</v>
      </c>
      <c r="M348" s="15">
        <f t="shared" si="24"/>
        <v>4.1100000000000003</v>
      </c>
    </row>
    <row r="349" spans="7:13" x14ac:dyDescent="0.25">
      <c r="G349" s="13">
        <v>41582</v>
      </c>
      <c r="H349" s="15">
        <v>4.16</v>
      </c>
      <c r="I349" s="15">
        <v>0.8</v>
      </c>
      <c r="J349" s="15">
        <v>4.1100000000000003</v>
      </c>
      <c r="K349" s="15">
        <f t="shared" si="22"/>
        <v>8.2200000000000006</v>
      </c>
      <c r="L349" s="15">
        <f t="shared" si="23"/>
        <v>2</v>
      </c>
      <c r="M349" s="15">
        <f t="shared" si="24"/>
        <v>4.1100000000000003</v>
      </c>
    </row>
    <row r="350" spans="7:13" x14ac:dyDescent="0.25">
      <c r="G350" s="13">
        <v>41579</v>
      </c>
      <c r="H350" s="15">
        <v>4.16</v>
      </c>
      <c r="I350" s="15">
        <v>0.8</v>
      </c>
      <c r="J350" s="15">
        <v>4.1100000000000003</v>
      </c>
      <c r="K350" s="15">
        <f t="shared" si="22"/>
        <v>4.1100000000000003</v>
      </c>
      <c r="L350" s="15">
        <f t="shared" si="23"/>
        <v>1</v>
      </c>
      <c r="M350" s="15">
        <f t="shared" si="24"/>
        <v>4.1100000000000003</v>
      </c>
    </row>
    <row r="351" spans="7:13" x14ac:dyDescent="0.25">
      <c r="G351" s="13">
        <v>41578</v>
      </c>
      <c r="H351" s="15">
        <v>4.16</v>
      </c>
      <c r="I351" s="15">
        <v>0.8</v>
      </c>
      <c r="J351" s="15">
        <v>4.1100000000000003</v>
      </c>
      <c r="K351" s="15">
        <f t="shared" si="22"/>
        <v>90.520000000000024</v>
      </c>
      <c r="L351" s="15">
        <f t="shared" si="23"/>
        <v>22</v>
      </c>
      <c r="M351" s="15">
        <f t="shared" si="24"/>
        <v>4.1145454545454561</v>
      </c>
    </row>
    <row r="352" spans="7:13" x14ac:dyDescent="0.25">
      <c r="G352" s="13">
        <v>41577</v>
      </c>
      <c r="H352" s="15">
        <v>4.0999999999999996</v>
      </c>
      <c r="I352" s="15">
        <v>0.7</v>
      </c>
      <c r="J352" s="15">
        <v>4.0250000000000004</v>
      </c>
      <c r="K352" s="15">
        <f t="shared" si="22"/>
        <v>86.410000000000025</v>
      </c>
      <c r="L352" s="15">
        <f t="shared" si="23"/>
        <v>21</v>
      </c>
      <c r="M352" s="15">
        <f t="shared" si="24"/>
        <v>4.114761904761906</v>
      </c>
    </row>
    <row r="353" spans="7:13" x14ac:dyDescent="0.25">
      <c r="G353" s="13">
        <v>41576</v>
      </c>
      <c r="H353" s="15">
        <v>4.0999999999999996</v>
      </c>
      <c r="I353" s="15">
        <v>0.7</v>
      </c>
      <c r="J353" s="15">
        <v>4.0250000000000004</v>
      </c>
      <c r="K353" s="15">
        <f t="shared" si="22"/>
        <v>82.385000000000019</v>
      </c>
      <c r="L353" s="15">
        <f t="shared" si="23"/>
        <v>20</v>
      </c>
      <c r="M353" s="15">
        <f t="shared" si="24"/>
        <v>4.119250000000001</v>
      </c>
    </row>
    <row r="354" spans="7:13" x14ac:dyDescent="0.25">
      <c r="G354" s="13">
        <v>41575</v>
      </c>
      <c r="H354" s="15">
        <v>4.0999999999999996</v>
      </c>
      <c r="I354" s="15">
        <v>0.7</v>
      </c>
      <c r="J354" s="15">
        <v>4.0250000000000004</v>
      </c>
      <c r="K354" s="15">
        <f t="shared" si="22"/>
        <v>78.360000000000014</v>
      </c>
      <c r="L354" s="15">
        <f t="shared" si="23"/>
        <v>19</v>
      </c>
      <c r="M354" s="15">
        <f t="shared" si="24"/>
        <v>4.1242105263157898</v>
      </c>
    </row>
    <row r="355" spans="7:13" x14ac:dyDescent="0.25">
      <c r="G355" s="13">
        <v>41572</v>
      </c>
      <c r="H355" s="15">
        <v>4.0999999999999996</v>
      </c>
      <c r="I355" s="15">
        <v>0.7</v>
      </c>
      <c r="J355" s="15">
        <v>4.0250000000000004</v>
      </c>
      <c r="K355" s="15">
        <f t="shared" si="22"/>
        <v>74.335000000000008</v>
      </c>
      <c r="L355" s="15">
        <f t="shared" si="23"/>
        <v>18</v>
      </c>
      <c r="M355" s="15">
        <f t="shared" si="24"/>
        <v>4.129722222222223</v>
      </c>
    </row>
    <row r="356" spans="7:13" x14ac:dyDescent="0.25">
      <c r="G356" s="13">
        <v>41571</v>
      </c>
      <c r="H356" s="15">
        <v>4.0999999999999996</v>
      </c>
      <c r="I356" s="15">
        <v>0.7</v>
      </c>
      <c r="J356" s="15">
        <v>4.0250000000000004</v>
      </c>
      <c r="K356" s="15">
        <f t="shared" si="22"/>
        <v>70.31</v>
      </c>
      <c r="L356" s="15">
        <f t="shared" si="23"/>
        <v>17</v>
      </c>
      <c r="M356" s="15">
        <f t="shared" si="24"/>
        <v>4.1358823529411763</v>
      </c>
    </row>
    <row r="357" spans="7:13" x14ac:dyDescent="0.25">
      <c r="G357" s="13">
        <v>41570</v>
      </c>
      <c r="H357" s="15">
        <v>4.13</v>
      </c>
      <c r="I357" s="15">
        <v>0.8</v>
      </c>
      <c r="J357" s="15">
        <v>4.08</v>
      </c>
      <c r="K357" s="15">
        <f t="shared" si="22"/>
        <v>66.284999999999997</v>
      </c>
      <c r="L357" s="15">
        <f t="shared" si="23"/>
        <v>16</v>
      </c>
      <c r="M357" s="15">
        <f t="shared" si="24"/>
        <v>4.1428124999999998</v>
      </c>
    </row>
    <row r="358" spans="7:13" x14ac:dyDescent="0.25">
      <c r="G358" s="13">
        <v>41569</v>
      </c>
      <c r="H358" s="15">
        <v>4.13</v>
      </c>
      <c r="I358" s="15">
        <v>0.8</v>
      </c>
      <c r="J358" s="15">
        <v>4.08</v>
      </c>
      <c r="K358" s="15">
        <f t="shared" si="22"/>
        <v>62.204999999999991</v>
      </c>
      <c r="L358" s="15">
        <f t="shared" si="23"/>
        <v>15</v>
      </c>
      <c r="M358" s="15">
        <f t="shared" si="24"/>
        <v>4.1469999999999994</v>
      </c>
    </row>
    <row r="359" spans="7:13" x14ac:dyDescent="0.25">
      <c r="G359" s="13">
        <v>41568</v>
      </c>
      <c r="H359" s="15">
        <v>4.13</v>
      </c>
      <c r="I359" s="15">
        <v>0.8</v>
      </c>
      <c r="J359" s="15">
        <v>4.08</v>
      </c>
      <c r="K359" s="15">
        <f t="shared" si="22"/>
        <v>58.124999999999993</v>
      </c>
      <c r="L359" s="15">
        <f t="shared" si="23"/>
        <v>14</v>
      </c>
      <c r="M359" s="15">
        <f t="shared" si="24"/>
        <v>4.1517857142857135</v>
      </c>
    </row>
    <row r="360" spans="7:13" x14ac:dyDescent="0.25">
      <c r="G360" s="13">
        <v>41565</v>
      </c>
      <c r="H360" s="15">
        <v>4.13</v>
      </c>
      <c r="I360" s="15">
        <v>0.8</v>
      </c>
      <c r="J360" s="15">
        <v>4.08</v>
      </c>
      <c r="K360" s="15">
        <f t="shared" si="22"/>
        <v>54.044999999999995</v>
      </c>
      <c r="L360" s="15">
        <f t="shared" si="23"/>
        <v>13</v>
      </c>
      <c r="M360" s="15">
        <f t="shared" si="24"/>
        <v>4.1573076923076915</v>
      </c>
    </row>
    <row r="361" spans="7:13" x14ac:dyDescent="0.25">
      <c r="G361" s="13">
        <v>41564</v>
      </c>
      <c r="H361" s="15">
        <v>4.13</v>
      </c>
      <c r="I361" s="15">
        <v>0.8</v>
      </c>
      <c r="J361" s="15">
        <v>4.08</v>
      </c>
      <c r="K361" s="15">
        <f t="shared" si="22"/>
        <v>49.964999999999996</v>
      </c>
      <c r="L361" s="15">
        <f t="shared" si="23"/>
        <v>12</v>
      </c>
      <c r="M361" s="15">
        <f t="shared" si="24"/>
        <v>4.1637499999999994</v>
      </c>
    </row>
    <row r="362" spans="7:13" x14ac:dyDescent="0.25">
      <c r="G362" s="13">
        <v>41563</v>
      </c>
      <c r="H362" s="15">
        <v>4.28</v>
      </c>
      <c r="I362" s="15">
        <v>0.7</v>
      </c>
      <c r="J362" s="15">
        <v>4.2050000000000001</v>
      </c>
      <c r="K362" s="15">
        <f t="shared" si="22"/>
        <v>45.884999999999998</v>
      </c>
      <c r="L362" s="15">
        <f t="shared" si="23"/>
        <v>11</v>
      </c>
      <c r="M362" s="15">
        <f t="shared" si="24"/>
        <v>4.1713636363636359</v>
      </c>
    </row>
    <row r="363" spans="7:13" x14ac:dyDescent="0.25">
      <c r="G363" s="13">
        <v>41562</v>
      </c>
      <c r="H363" s="15">
        <v>4.28</v>
      </c>
      <c r="I363" s="15">
        <v>0.7</v>
      </c>
      <c r="J363" s="15">
        <v>4.2050000000000001</v>
      </c>
      <c r="K363" s="15">
        <f t="shared" si="22"/>
        <v>41.68</v>
      </c>
      <c r="L363" s="15">
        <f t="shared" si="23"/>
        <v>10</v>
      </c>
      <c r="M363" s="15">
        <f t="shared" si="24"/>
        <v>4.1680000000000001</v>
      </c>
    </row>
    <row r="364" spans="7:13" x14ac:dyDescent="0.25">
      <c r="G364" s="13">
        <v>41558</v>
      </c>
      <c r="H364" s="15">
        <v>4.28</v>
      </c>
      <c r="I364" s="15">
        <v>0.7</v>
      </c>
      <c r="J364" s="15">
        <v>4.2050000000000001</v>
      </c>
      <c r="K364" s="15">
        <f t="shared" si="22"/>
        <v>37.475000000000001</v>
      </c>
      <c r="L364" s="15">
        <f t="shared" si="23"/>
        <v>9</v>
      </c>
      <c r="M364" s="15">
        <f t="shared" si="24"/>
        <v>4.1638888888888888</v>
      </c>
    </row>
    <row r="365" spans="7:13" x14ac:dyDescent="0.25">
      <c r="G365" s="13">
        <v>41557</v>
      </c>
      <c r="H365" s="15">
        <v>4.28</v>
      </c>
      <c r="I365" s="15">
        <v>0.7</v>
      </c>
      <c r="J365" s="15">
        <v>4.2050000000000001</v>
      </c>
      <c r="K365" s="15">
        <f t="shared" si="22"/>
        <v>33.270000000000003</v>
      </c>
      <c r="L365" s="15">
        <f t="shared" si="23"/>
        <v>8</v>
      </c>
      <c r="M365" s="15">
        <f t="shared" si="24"/>
        <v>4.1587500000000004</v>
      </c>
    </row>
    <row r="366" spans="7:13" x14ac:dyDescent="0.25">
      <c r="G366" s="13">
        <v>41556</v>
      </c>
      <c r="H366" s="15">
        <v>4.2300000000000004</v>
      </c>
      <c r="I366" s="15">
        <v>0.7</v>
      </c>
      <c r="J366" s="15">
        <v>4.1550000000000002</v>
      </c>
      <c r="K366" s="15">
        <f t="shared" si="22"/>
        <v>29.065000000000005</v>
      </c>
      <c r="L366" s="15">
        <f t="shared" si="23"/>
        <v>7</v>
      </c>
      <c r="M366" s="15">
        <f t="shared" si="24"/>
        <v>4.1521428571428576</v>
      </c>
    </row>
    <row r="367" spans="7:13" x14ac:dyDescent="0.25">
      <c r="G367" s="13">
        <v>41555</v>
      </c>
      <c r="H367" s="15">
        <v>4.2300000000000004</v>
      </c>
      <c r="I367" s="15">
        <v>0.7</v>
      </c>
      <c r="J367" s="15">
        <v>4.1550000000000002</v>
      </c>
      <c r="K367" s="15">
        <f t="shared" si="22"/>
        <v>24.910000000000004</v>
      </c>
      <c r="L367" s="15">
        <f t="shared" si="23"/>
        <v>6</v>
      </c>
      <c r="M367" s="15">
        <f t="shared" si="24"/>
        <v>4.1516666666666673</v>
      </c>
    </row>
    <row r="368" spans="7:13" x14ac:dyDescent="0.25">
      <c r="G368" s="13">
        <v>41554</v>
      </c>
      <c r="H368" s="15">
        <v>4.2300000000000004</v>
      </c>
      <c r="I368" s="15">
        <v>0.7</v>
      </c>
      <c r="J368" s="15">
        <v>4.1550000000000002</v>
      </c>
      <c r="K368" s="15">
        <f t="shared" si="22"/>
        <v>20.755000000000003</v>
      </c>
      <c r="L368" s="15">
        <f t="shared" si="23"/>
        <v>5</v>
      </c>
      <c r="M368" s="15">
        <f t="shared" si="24"/>
        <v>4.1510000000000007</v>
      </c>
    </row>
    <row r="369" spans="7:13" x14ac:dyDescent="0.25">
      <c r="G369" s="13">
        <v>41551</v>
      </c>
      <c r="H369" s="15">
        <v>4.2300000000000004</v>
      </c>
      <c r="I369" s="15">
        <v>0.7</v>
      </c>
      <c r="J369" s="15">
        <v>4.1550000000000002</v>
      </c>
      <c r="K369" s="15">
        <f t="shared" si="22"/>
        <v>16.600000000000001</v>
      </c>
      <c r="L369" s="15">
        <f t="shared" si="23"/>
        <v>4</v>
      </c>
      <c r="M369" s="15">
        <f t="shared" si="24"/>
        <v>4.1500000000000004</v>
      </c>
    </row>
    <row r="370" spans="7:13" x14ac:dyDescent="0.25">
      <c r="G370" s="13">
        <v>41550</v>
      </c>
      <c r="H370" s="15">
        <v>4.2300000000000004</v>
      </c>
      <c r="I370" s="15">
        <v>0.7</v>
      </c>
      <c r="J370" s="15">
        <v>4.1550000000000002</v>
      </c>
      <c r="K370" s="15">
        <f t="shared" si="22"/>
        <v>12.445</v>
      </c>
      <c r="L370" s="15">
        <f t="shared" si="23"/>
        <v>3</v>
      </c>
      <c r="M370" s="15">
        <f t="shared" si="24"/>
        <v>4.1483333333333334</v>
      </c>
    </row>
    <row r="371" spans="7:13" x14ac:dyDescent="0.25">
      <c r="G371" s="13">
        <v>41549</v>
      </c>
      <c r="H371" s="15">
        <v>4.22</v>
      </c>
      <c r="I371" s="15">
        <v>0.7</v>
      </c>
      <c r="J371" s="15">
        <v>4.1449999999999996</v>
      </c>
      <c r="K371" s="15">
        <f t="shared" si="22"/>
        <v>8.2899999999999991</v>
      </c>
      <c r="L371" s="15">
        <f t="shared" si="23"/>
        <v>2</v>
      </c>
      <c r="M371" s="15">
        <f t="shared" si="24"/>
        <v>4.1449999999999996</v>
      </c>
    </row>
    <row r="372" spans="7:13" x14ac:dyDescent="0.25">
      <c r="G372" s="13">
        <v>41548</v>
      </c>
      <c r="H372" s="15">
        <v>4.22</v>
      </c>
      <c r="I372" s="15">
        <v>0.7</v>
      </c>
      <c r="J372" s="15">
        <v>4.1449999999999996</v>
      </c>
      <c r="K372" s="15">
        <f t="shared" si="22"/>
        <v>4.1449999999999996</v>
      </c>
      <c r="L372" s="15">
        <f t="shared" si="23"/>
        <v>1</v>
      </c>
      <c r="M372" s="15">
        <f t="shared" si="24"/>
        <v>4.1449999999999996</v>
      </c>
    </row>
    <row r="373" spans="7:13" x14ac:dyDescent="0.25">
      <c r="G373" s="13">
        <v>41547</v>
      </c>
      <c r="H373" s="15">
        <v>4.22</v>
      </c>
      <c r="I373" s="15">
        <v>0.7</v>
      </c>
      <c r="J373" s="15">
        <v>4.1449999999999996</v>
      </c>
      <c r="K373" s="15">
        <f t="shared" si="22"/>
        <v>87.374999999999986</v>
      </c>
      <c r="L373" s="15">
        <f t="shared" si="23"/>
        <v>20</v>
      </c>
      <c r="M373" s="15">
        <f t="shared" si="24"/>
        <v>4.3687499999999995</v>
      </c>
    </row>
    <row r="374" spans="7:13" x14ac:dyDescent="0.25">
      <c r="G374" s="13">
        <v>41544</v>
      </c>
      <c r="H374" s="15">
        <v>4.22</v>
      </c>
      <c r="I374" s="15">
        <v>0.7</v>
      </c>
      <c r="J374" s="15">
        <v>4.1449999999999996</v>
      </c>
      <c r="K374" s="15">
        <f t="shared" si="22"/>
        <v>83.22999999999999</v>
      </c>
      <c r="L374" s="15">
        <f t="shared" si="23"/>
        <v>19</v>
      </c>
      <c r="M374" s="15">
        <f t="shared" si="24"/>
        <v>4.3805263157894734</v>
      </c>
    </row>
    <row r="375" spans="7:13" x14ac:dyDescent="0.25">
      <c r="G375" s="13">
        <v>41543</v>
      </c>
      <c r="H375" s="15">
        <v>4.22</v>
      </c>
      <c r="I375" s="15">
        <v>0.7</v>
      </c>
      <c r="J375" s="15">
        <v>4.1449999999999996</v>
      </c>
      <c r="K375" s="15">
        <f t="shared" si="22"/>
        <v>79.084999999999994</v>
      </c>
      <c r="L375" s="15">
        <f t="shared" si="23"/>
        <v>18</v>
      </c>
      <c r="M375" s="15">
        <f t="shared" si="24"/>
        <v>4.3936111111111105</v>
      </c>
    </row>
    <row r="376" spans="7:13" x14ac:dyDescent="0.25">
      <c r="G376" s="13">
        <v>41542</v>
      </c>
      <c r="H376" s="15">
        <v>4.32</v>
      </c>
      <c r="I376" s="15">
        <v>0.7</v>
      </c>
      <c r="J376" s="15">
        <v>4.2450000000000001</v>
      </c>
      <c r="K376" s="15">
        <f t="shared" si="22"/>
        <v>74.94</v>
      </c>
      <c r="L376" s="15">
        <f t="shared" si="23"/>
        <v>17</v>
      </c>
      <c r="M376" s="15">
        <f t="shared" si="24"/>
        <v>4.408235294117647</v>
      </c>
    </row>
    <row r="377" spans="7:13" x14ac:dyDescent="0.25">
      <c r="G377" s="13">
        <v>41541</v>
      </c>
      <c r="H377" s="15">
        <v>4.32</v>
      </c>
      <c r="I377" s="15">
        <v>0.7</v>
      </c>
      <c r="J377" s="15">
        <v>4.2450000000000001</v>
      </c>
      <c r="K377" s="15">
        <f t="shared" si="22"/>
        <v>70.694999999999993</v>
      </c>
      <c r="L377" s="15">
        <f t="shared" si="23"/>
        <v>16</v>
      </c>
      <c r="M377" s="15">
        <f t="shared" si="24"/>
        <v>4.4184374999999996</v>
      </c>
    </row>
    <row r="378" spans="7:13" x14ac:dyDescent="0.25">
      <c r="G378" s="13">
        <v>41540</v>
      </c>
      <c r="H378" s="15">
        <v>4.32</v>
      </c>
      <c r="I378" s="15">
        <v>0.7</v>
      </c>
      <c r="J378" s="15">
        <v>4.2450000000000001</v>
      </c>
      <c r="K378" s="15">
        <f t="shared" si="22"/>
        <v>66.449999999999989</v>
      </c>
      <c r="L378" s="15">
        <f t="shared" si="23"/>
        <v>15</v>
      </c>
      <c r="M378" s="15">
        <f t="shared" si="24"/>
        <v>4.4299999999999988</v>
      </c>
    </row>
    <row r="379" spans="7:13" x14ac:dyDescent="0.25">
      <c r="G379" s="13">
        <v>41537</v>
      </c>
      <c r="H379" s="15">
        <v>4.32</v>
      </c>
      <c r="I379" s="15">
        <v>0.7</v>
      </c>
      <c r="J379" s="15">
        <v>4.2450000000000001</v>
      </c>
      <c r="K379" s="15">
        <f t="shared" si="22"/>
        <v>62.204999999999984</v>
      </c>
      <c r="L379" s="15">
        <f t="shared" si="23"/>
        <v>14</v>
      </c>
      <c r="M379" s="15">
        <f t="shared" si="24"/>
        <v>4.4432142857142845</v>
      </c>
    </row>
    <row r="380" spans="7:13" x14ac:dyDescent="0.25">
      <c r="G380" s="13">
        <v>41536</v>
      </c>
      <c r="H380" s="15">
        <v>4.32</v>
      </c>
      <c r="I380" s="15">
        <v>0.7</v>
      </c>
      <c r="J380" s="15">
        <v>4.2450000000000001</v>
      </c>
      <c r="K380" s="15">
        <f t="shared" si="22"/>
        <v>57.959999999999987</v>
      </c>
      <c r="L380" s="15">
        <f t="shared" si="23"/>
        <v>13</v>
      </c>
      <c r="M380" s="15">
        <f t="shared" si="24"/>
        <v>4.4584615384615374</v>
      </c>
    </row>
    <row r="381" spans="7:13" x14ac:dyDescent="0.25">
      <c r="G381" s="13">
        <v>41535</v>
      </c>
      <c r="H381" s="15">
        <v>4.5</v>
      </c>
      <c r="I381" s="15">
        <v>0.7</v>
      </c>
      <c r="J381" s="15">
        <v>4.4249999999999998</v>
      </c>
      <c r="K381" s="15">
        <f t="shared" si="22"/>
        <v>53.714999999999989</v>
      </c>
      <c r="L381" s="15">
        <f t="shared" si="23"/>
        <v>12</v>
      </c>
      <c r="M381" s="15">
        <f t="shared" si="24"/>
        <v>4.4762499999999994</v>
      </c>
    </row>
    <row r="382" spans="7:13" x14ac:dyDescent="0.25">
      <c r="G382" s="13">
        <v>41534</v>
      </c>
      <c r="H382" s="15">
        <v>4.5</v>
      </c>
      <c r="I382" s="15">
        <v>0.7</v>
      </c>
      <c r="J382" s="15">
        <v>4.4249999999999998</v>
      </c>
      <c r="K382" s="15">
        <f t="shared" si="22"/>
        <v>49.289999999999992</v>
      </c>
      <c r="L382" s="15">
        <f t="shared" si="23"/>
        <v>11</v>
      </c>
      <c r="M382" s="15">
        <f t="shared" si="24"/>
        <v>4.4809090909090905</v>
      </c>
    </row>
    <row r="383" spans="7:13" x14ac:dyDescent="0.25">
      <c r="G383" s="13">
        <v>41533</v>
      </c>
      <c r="H383" s="15">
        <v>4.5</v>
      </c>
      <c r="I383" s="15">
        <v>0.7</v>
      </c>
      <c r="J383" s="15">
        <v>4.4249999999999998</v>
      </c>
      <c r="K383" s="15">
        <f t="shared" si="22"/>
        <v>44.864999999999995</v>
      </c>
      <c r="L383" s="15">
        <f t="shared" si="23"/>
        <v>10</v>
      </c>
      <c r="M383" s="15">
        <f t="shared" si="24"/>
        <v>4.4864999999999995</v>
      </c>
    </row>
    <row r="384" spans="7:13" x14ac:dyDescent="0.25">
      <c r="G384" s="13">
        <v>41530</v>
      </c>
      <c r="H384" s="15">
        <v>4.5</v>
      </c>
      <c r="I384" s="15">
        <v>0.7</v>
      </c>
      <c r="J384" s="15">
        <v>4.4249999999999998</v>
      </c>
      <c r="K384" s="15">
        <f t="shared" si="22"/>
        <v>40.44</v>
      </c>
      <c r="L384" s="15">
        <f t="shared" si="23"/>
        <v>9</v>
      </c>
      <c r="M384" s="15">
        <f t="shared" si="24"/>
        <v>4.4933333333333332</v>
      </c>
    </row>
    <row r="385" spans="7:13" x14ac:dyDescent="0.25">
      <c r="G385" s="13">
        <v>41529</v>
      </c>
      <c r="H385" s="15">
        <v>4.5</v>
      </c>
      <c r="I385" s="15">
        <v>0.7</v>
      </c>
      <c r="J385" s="15">
        <v>4.4249999999999998</v>
      </c>
      <c r="K385" s="15">
        <f t="shared" si="22"/>
        <v>36.015000000000001</v>
      </c>
      <c r="L385" s="15">
        <f t="shared" si="23"/>
        <v>8</v>
      </c>
      <c r="M385" s="15">
        <f t="shared" si="24"/>
        <v>4.5018750000000001</v>
      </c>
    </row>
    <row r="386" spans="7:13" x14ac:dyDescent="0.25">
      <c r="G386" s="13">
        <v>41528</v>
      </c>
      <c r="H386" s="15">
        <v>4.57</v>
      </c>
      <c r="I386" s="15">
        <v>0.8</v>
      </c>
      <c r="J386" s="15">
        <v>4.5199999999999996</v>
      </c>
      <c r="K386" s="15">
        <f t="shared" si="22"/>
        <v>31.59</v>
      </c>
      <c r="L386" s="15">
        <f t="shared" si="23"/>
        <v>7</v>
      </c>
      <c r="M386" s="15">
        <f t="shared" si="24"/>
        <v>4.5128571428571425</v>
      </c>
    </row>
    <row r="387" spans="7:13" x14ac:dyDescent="0.25">
      <c r="G387" s="13">
        <v>41527</v>
      </c>
      <c r="H387" s="15">
        <v>4.57</v>
      </c>
      <c r="I387" s="15">
        <v>0.8</v>
      </c>
      <c r="J387" s="15">
        <v>4.5199999999999996</v>
      </c>
      <c r="K387" s="15">
        <f t="shared" si="22"/>
        <v>27.07</v>
      </c>
      <c r="L387" s="15">
        <f t="shared" si="23"/>
        <v>6</v>
      </c>
      <c r="M387" s="15">
        <f t="shared" si="24"/>
        <v>4.5116666666666667</v>
      </c>
    </row>
    <row r="388" spans="7:13" x14ac:dyDescent="0.25">
      <c r="G388" s="13">
        <v>41526</v>
      </c>
      <c r="H388" s="15">
        <v>4.57</v>
      </c>
      <c r="I388" s="15">
        <v>0.8</v>
      </c>
      <c r="J388" s="15">
        <v>4.5199999999999996</v>
      </c>
      <c r="K388" s="15">
        <f t="shared" ref="K388:K451" si="25">IF(MONTH(G388)=MONTH(G389),J388+K389,J388)</f>
        <v>22.55</v>
      </c>
      <c r="L388" s="15">
        <f t="shared" ref="L388:L451" si="26">IF(MONTH(G388)=MONTH(G389),L389+1,1)</f>
        <v>5</v>
      </c>
      <c r="M388" s="15">
        <f t="shared" si="24"/>
        <v>4.51</v>
      </c>
    </row>
    <row r="389" spans="7:13" x14ac:dyDescent="0.25">
      <c r="G389" s="13">
        <v>41523</v>
      </c>
      <c r="H389" s="15">
        <v>4.57</v>
      </c>
      <c r="I389" s="15">
        <v>0.8</v>
      </c>
      <c r="J389" s="15">
        <v>4.5199999999999996</v>
      </c>
      <c r="K389" s="15">
        <f t="shared" si="25"/>
        <v>18.03</v>
      </c>
      <c r="L389" s="15">
        <f t="shared" si="26"/>
        <v>4</v>
      </c>
      <c r="M389" s="15">
        <f t="shared" ref="M389:M452" si="27">K389/L389</f>
        <v>4.5075000000000003</v>
      </c>
    </row>
    <row r="390" spans="7:13" x14ac:dyDescent="0.25">
      <c r="G390" s="13">
        <v>41522</v>
      </c>
      <c r="H390" s="15">
        <v>4.57</v>
      </c>
      <c r="I390" s="15">
        <v>0.8</v>
      </c>
      <c r="J390" s="15">
        <v>4.5199999999999996</v>
      </c>
      <c r="K390" s="15">
        <f t="shared" si="25"/>
        <v>13.51</v>
      </c>
      <c r="L390" s="15">
        <f t="shared" si="26"/>
        <v>3</v>
      </c>
      <c r="M390" s="15">
        <f t="shared" si="27"/>
        <v>4.503333333333333</v>
      </c>
    </row>
    <row r="391" spans="7:13" x14ac:dyDescent="0.25">
      <c r="G391" s="13">
        <v>41521</v>
      </c>
      <c r="H391" s="15">
        <v>4.57</v>
      </c>
      <c r="I391" s="15">
        <v>0.7</v>
      </c>
      <c r="J391" s="15">
        <v>4.4950000000000001</v>
      </c>
      <c r="K391" s="15">
        <f t="shared" si="25"/>
        <v>8.99</v>
      </c>
      <c r="L391" s="15">
        <f t="shared" si="26"/>
        <v>2</v>
      </c>
      <c r="M391" s="15">
        <f t="shared" si="27"/>
        <v>4.4950000000000001</v>
      </c>
    </row>
    <row r="392" spans="7:13" x14ac:dyDescent="0.25">
      <c r="G392" s="13">
        <v>41520</v>
      </c>
      <c r="H392" s="15">
        <v>4.57</v>
      </c>
      <c r="I392" s="15">
        <v>0.7</v>
      </c>
      <c r="J392" s="15">
        <v>4.4950000000000001</v>
      </c>
      <c r="K392" s="15">
        <f t="shared" si="25"/>
        <v>4.4950000000000001</v>
      </c>
      <c r="L392" s="15">
        <f t="shared" si="26"/>
        <v>1</v>
      </c>
      <c r="M392" s="15">
        <f t="shared" si="27"/>
        <v>4.4950000000000001</v>
      </c>
    </row>
    <row r="393" spans="7:13" x14ac:dyDescent="0.25">
      <c r="G393" s="13">
        <v>41516</v>
      </c>
      <c r="H393" s="15">
        <v>4.57</v>
      </c>
      <c r="I393" s="15">
        <v>0.7</v>
      </c>
      <c r="J393" s="15">
        <v>4.4950000000000001</v>
      </c>
      <c r="K393" s="15">
        <f t="shared" si="25"/>
        <v>97.065000000000026</v>
      </c>
      <c r="L393" s="15">
        <f t="shared" si="26"/>
        <v>22</v>
      </c>
      <c r="M393" s="15">
        <f t="shared" si="27"/>
        <v>4.4120454545454555</v>
      </c>
    </row>
    <row r="394" spans="7:13" x14ac:dyDescent="0.25">
      <c r="G394" s="13">
        <v>41515</v>
      </c>
      <c r="H394" s="15">
        <v>4.57</v>
      </c>
      <c r="I394" s="15">
        <v>0.7</v>
      </c>
      <c r="J394" s="15">
        <v>4.4950000000000001</v>
      </c>
      <c r="K394" s="15">
        <f t="shared" si="25"/>
        <v>92.570000000000022</v>
      </c>
      <c r="L394" s="15">
        <f t="shared" si="26"/>
        <v>21</v>
      </c>
      <c r="M394" s="15">
        <f t="shared" si="27"/>
        <v>4.408095238095239</v>
      </c>
    </row>
    <row r="395" spans="7:13" x14ac:dyDescent="0.25">
      <c r="G395" s="13">
        <v>41514</v>
      </c>
      <c r="H395" s="15">
        <v>4.51</v>
      </c>
      <c r="I395" s="15">
        <v>0.7</v>
      </c>
      <c r="J395" s="15">
        <v>4.4349999999999996</v>
      </c>
      <c r="K395" s="15">
        <f t="shared" si="25"/>
        <v>88.075000000000017</v>
      </c>
      <c r="L395" s="15">
        <f t="shared" si="26"/>
        <v>20</v>
      </c>
      <c r="M395" s="15">
        <f t="shared" si="27"/>
        <v>4.4037500000000005</v>
      </c>
    </row>
    <row r="396" spans="7:13" x14ac:dyDescent="0.25">
      <c r="G396" s="13">
        <v>41513</v>
      </c>
      <c r="H396" s="15">
        <v>4.51</v>
      </c>
      <c r="I396" s="15">
        <v>0.7</v>
      </c>
      <c r="J396" s="15">
        <v>4.4349999999999996</v>
      </c>
      <c r="K396" s="15">
        <f t="shared" si="25"/>
        <v>83.640000000000015</v>
      </c>
      <c r="L396" s="15">
        <f t="shared" si="26"/>
        <v>19</v>
      </c>
      <c r="M396" s="15">
        <f t="shared" si="27"/>
        <v>4.4021052631578952</v>
      </c>
    </row>
    <row r="397" spans="7:13" x14ac:dyDescent="0.25">
      <c r="G397" s="13">
        <v>41512</v>
      </c>
      <c r="H397" s="15">
        <v>4.51</v>
      </c>
      <c r="I397" s="15">
        <v>0.7</v>
      </c>
      <c r="J397" s="15">
        <v>4.4349999999999996</v>
      </c>
      <c r="K397" s="15">
        <f t="shared" si="25"/>
        <v>79.205000000000013</v>
      </c>
      <c r="L397" s="15">
        <f t="shared" si="26"/>
        <v>18</v>
      </c>
      <c r="M397" s="15">
        <f t="shared" si="27"/>
        <v>4.4002777777777782</v>
      </c>
    </row>
    <row r="398" spans="7:13" x14ac:dyDescent="0.25">
      <c r="G398" s="13">
        <v>41509</v>
      </c>
      <c r="H398" s="15">
        <v>4.51</v>
      </c>
      <c r="I398" s="15">
        <v>0.7</v>
      </c>
      <c r="J398" s="15">
        <v>4.4349999999999996</v>
      </c>
      <c r="K398" s="15">
        <f t="shared" si="25"/>
        <v>74.77000000000001</v>
      </c>
      <c r="L398" s="15">
        <f t="shared" si="26"/>
        <v>17</v>
      </c>
      <c r="M398" s="15">
        <f t="shared" si="27"/>
        <v>4.3982352941176472</v>
      </c>
    </row>
    <row r="399" spans="7:13" x14ac:dyDescent="0.25">
      <c r="G399" s="13">
        <v>41508</v>
      </c>
      <c r="H399" s="15">
        <v>4.51</v>
      </c>
      <c r="I399" s="15">
        <v>0.7</v>
      </c>
      <c r="J399" s="15">
        <v>4.4349999999999996</v>
      </c>
      <c r="K399" s="15">
        <f t="shared" si="25"/>
        <v>70.335000000000008</v>
      </c>
      <c r="L399" s="15">
        <f t="shared" si="26"/>
        <v>16</v>
      </c>
      <c r="M399" s="15">
        <f t="shared" si="27"/>
        <v>4.3959375000000005</v>
      </c>
    </row>
    <row r="400" spans="7:13" x14ac:dyDescent="0.25">
      <c r="G400" s="13">
        <v>41507</v>
      </c>
      <c r="H400" s="15">
        <v>4.58</v>
      </c>
      <c r="I400" s="15">
        <v>0.8</v>
      </c>
      <c r="J400" s="15">
        <v>4.53</v>
      </c>
      <c r="K400" s="15">
        <f t="shared" si="25"/>
        <v>65.900000000000006</v>
      </c>
      <c r="L400" s="15">
        <f t="shared" si="26"/>
        <v>15</v>
      </c>
      <c r="M400" s="15">
        <f t="shared" si="27"/>
        <v>4.3933333333333335</v>
      </c>
    </row>
    <row r="401" spans="7:13" x14ac:dyDescent="0.25">
      <c r="G401" s="13">
        <v>41506</v>
      </c>
      <c r="H401" s="15">
        <v>4.58</v>
      </c>
      <c r="I401" s="15">
        <v>0.8</v>
      </c>
      <c r="J401" s="15">
        <v>4.53</v>
      </c>
      <c r="K401" s="15">
        <f t="shared" si="25"/>
        <v>61.370000000000012</v>
      </c>
      <c r="L401" s="15">
        <f t="shared" si="26"/>
        <v>14</v>
      </c>
      <c r="M401" s="15">
        <f t="shared" si="27"/>
        <v>4.3835714285714298</v>
      </c>
    </row>
    <row r="402" spans="7:13" x14ac:dyDescent="0.25">
      <c r="G402" s="13">
        <v>41505</v>
      </c>
      <c r="H402" s="15">
        <v>4.58</v>
      </c>
      <c r="I402" s="15">
        <v>0.8</v>
      </c>
      <c r="J402" s="15">
        <v>4.53</v>
      </c>
      <c r="K402" s="15">
        <f t="shared" si="25"/>
        <v>56.840000000000011</v>
      </c>
      <c r="L402" s="15">
        <f t="shared" si="26"/>
        <v>13</v>
      </c>
      <c r="M402" s="15">
        <f t="shared" si="27"/>
        <v>4.3723076923076931</v>
      </c>
    </row>
    <row r="403" spans="7:13" x14ac:dyDescent="0.25">
      <c r="G403" s="13">
        <v>41502</v>
      </c>
      <c r="H403" s="15">
        <v>4.58</v>
      </c>
      <c r="I403" s="15">
        <v>0.8</v>
      </c>
      <c r="J403" s="15">
        <v>4.53</v>
      </c>
      <c r="K403" s="15">
        <f t="shared" si="25"/>
        <v>52.310000000000009</v>
      </c>
      <c r="L403" s="15">
        <f t="shared" si="26"/>
        <v>12</v>
      </c>
      <c r="M403" s="15">
        <f t="shared" si="27"/>
        <v>4.3591666666666677</v>
      </c>
    </row>
    <row r="404" spans="7:13" x14ac:dyDescent="0.25">
      <c r="G404" s="13">
        <v>41501</v>
      </c>
      <c r="H404" s="15">
        <v>4.58</v>
      </c>
      <c r="I404" s="15">
        <v>0.8</v>
      </c>
      <c r="J404" s="15">
        <v>4.53</v>
      </c>
      <c r="K404" s="15">
        <f t="shared" si="25"/>
        <v>47.780000000000008</v>
      </c>
      <c r="L404" s="15">
        <f t="shared" si="26"/>
        <v>11</v>
      </c>
      <c r="M404" s="15">
        <f t="shared" si="27"/>
        <v>4.3436363636363646</v>
      </c>
    </row>
    <row r="405" spans="7:13" x14ac:dyDescent="0.25">
      <c r="G405" s="13">
        <v>41500</v>
      </c>
      <c r="H405" s="15">
        <v>4.4000000000000004</v>
      </c>
      <c r="I405" s="15">
        <v>0.7</v>
      </c>
      <c r="J405" s="15">
        <v>4.3250000000000002</v>
      </c>
      <c r="K405" s="15">
        <f t="shared" si="25"/>
        <v>43.250000000000007</v>
      </c>
      <c r="L405" s="15">
        <f t="shared" si="26"/>
        <v>10</v>
      </c>
      <c r="M405" s="15">
        <f t="shared" si="27"/>
        <v>4.3250000000000011</v>
      </c>
    </row>
    <row r="406" spans="7:13" x14ac:dyDescent="0.25">
      <c r="G406" s="13">
        <v>41499</v>
      </c>
      <c r="H406" s="15">
        <v>4.4000000000000004</v>
      </c>
      <c r="I406" s="15">
        <v>0.7</v>
      </c>
      <c r="J406" s="15">
        <v>4.3250000000000002</v>
      </c>
      <c r="K406" s="15">
        <f t="shared" si="25"/>
        <v>38.925000000000004</v>
      </c>
      <c r="L406" s="15">
        <f t="shared" si="26"/>
        <v>9</v>
      </c>
      <c r="M406" s="15">
        <f t="shared" si="27"/>
        <v>4.3250000000000002</v>
      </c>
    </row>
    <row r="407" spans="7:13" x14ac:dyDescent="0.25">
      <c r="G407" s="13">
        <v>41498</v>
      </c>
      <c r="H407" s="15">
        <v>4.4000000000000004</v>
      </c>
      <c r="I407" s="15">
        <v>0.7</v>
      </c>
      <c r="J407" s="15">
        <v>4.3250000000000002</v>
      </c>
      <c r="K407" s="15">
        <f t="shared" si="25"/>
        <v>34.6</v>
      </c>
      <c r="L407" s="15">
        <f t="shared" si="26"/>
        <v>8</v>
      </c>
      <c r="M407" s="15">
        <f t="shared" si="27"/>
        <v>4.3250000000000002</v>
      </c>
    </row>
    <row r="408" spans="7:13" x14ac:dyDescent="0.25">
      <c r="G408" s="13">
        <v>41495</v>
      </c>
      <c r="H408" s="15">
        <v>4.4000000000000004</v>
      </c>
      <c r="I408" s="15">
        <v>0.7</v>
      </c>
      <c r="J408" s="15">
        <v>4.3250000000000002</v>
      </c>
      <c r="K408" s="15">
        <f t="shared" si="25"/>
        <v>30.274999999999999</v>
      </c>
      <c r="L408" s="15">
        <f t="shared" si="26"/>
        <v>7</v>
      </c>
      <c r="M408" s="15">
        <f t="shared" si="27"/>
        <v>4.3250000000000002</v>
      </c>
    </row>
    <row r="409" spans="7:13" x14ac:dyDescent="0.25">
      <c r="G409" s="13">
        <v>41494</v>
      </c>
      <c r="H409" s="15">
        <v>4.4000000000000004</v>
      </c>
      <c r="I409" s="15">
        <v>0.7</v>
      </c>
      <c r="J409" s="15">
        <v>4.3250000000000002</v>
      </c>
      <c r="K409" s="15">
        <f t="shared" si="25"/>
        <v>25.95</v>
      </c>
      <c r="L409" s="15">
        <f t="shared" si="26"/>
        <v>6</v>
      </c>
      <c r="M409" s="15">
        <f t="shared" si="27"/>
        <v>4.3250000000000002</v>
      </c>
    </row>
    <row r="410" spans="7:13" x14ac:dyDescent="0.25">
      <c r="G410" s="13">
        <v>41493</v>
      </c>
      <c r="H410" s="15">
        <v>4.4000000000000004</v>
      </c>
      <c r="I410" s="15">
        <v>0.7</v>
      </c>
      <c r="J410" s="15">
        <v>4.3250000000000002</v>
      </c>
      <c r="K410" s="15">
        <f t="shared" si="25"/>
        <v>21.625</v>
      </c>
      <c r="L410" s="15">
        <f t="shared" si="26"/>
        <v>5</v>
      </c>
      <c r="M410" s="15">
        <f t="shared" si="27"/>
        <v>4.3250000000000002</v>
      </c>
    </row>
    <row r="411" spans="7:13" x14ac:dyDescent="0.25">
      <c r="G411" s="13">
        <v>41492</v>
      </c>
      <c r="H411" s="15">
        <v>4.4000000000000004</v>
      </c>
      <c r="I411" s="15">
        <v>0.7</v>
      </c>
      <c r="J411" s="15">
        <v>4.3250000000000002</v>
      </c>
      <c r="K411" s="15">
        <f t="shared" si="25"/>
        <v>17.3</v>
      </c>
      <c r="L411" s="15">
        <f t="shared" si="26"/>
        <v>4</v>
      </c>
      <c r="M411" s="15">
        <f t="shared" si="27"/>
        <v>4.3250000000000002</v>
      </c>
    </row>
    <row r="412" spans="7:13" x14ac:dyDescent="0.25">
      <c r="G412" s="13">
        <v>41491</v>
      </c>
      <c r="H412" s="15">
        <v>4.4000000000000004</v>
      </c>
      <c r="I412" s="15">
        <v>0.7</v>
      </c>
      <c r="J412" s="15">
        <v>4.3250000000000002</v>
      </c>
      <c r="K412" s="15">
        <f t="shared" si="25"/>
        <v>12.975000000000001</v>
      </c>
      <c r="L412" s="15">
        <f t="shared" si="26"/>
        <v>3</v>
      </c>
      <c r="M412" s="15">
        <f t="shared" si="27"/>
        <v>4.3250000000000002</v>
      </c>
    </row>
    <row r="413" spans="7:13" x14ac:dyDescent="0.25">
      <c r="G413" s="13">
        <v>41488</v>
      </c>
      <c r="H413" s="15">
        <v>4.4000000000000004</v>
      </c>
      <c r="I413" s="15">
        <v>0.7</v>
      </c>
      <c r="J413" s="15">
        <v>4.3250000000000002</v>
      </c>
      <c r="K413" s="15">
        <f t="shared" si="25"/>
        <v>8.65</v>
      </c>
      <c r="L413" s="15">
        <f t="shared" si="26"/>
        <v>2</v>
      </c>
      <c r="M413" s="15">
        <f t="shared" si="27"/>
        <v>4.3250000000000002</v>
      </c>
    </row>
    <row r="414" spans="7:13" x14ac:dyDescent="0.25">
      <c r="G414" s="13">
        <v>41487</v>
      </c>
      <c r="H414" s="15">
        <v>4.4000000000000004</v>
      </c>
      <c r="I414" s="15">
        <v>0.7</v>
      </c>
      <c r="J414" s="15">
        <v>4.3250000000000002</v>
      </c>
      <c r="K414" s="15">
        <f t="shared" si="25"/>
        <v>4.3250000000000002</v>
      </c>
      <c r="L414" s="15">
        <f t="shared" si="26"/>
        <v>1</v>
      </c>
      <c r="M414" s="15">
        <f t="shared" si="27"/>
        <v>4.3250000000000002</v>
      </c>
    </row>
    <row r="415" spans="7:13" x14ac:dyDescent="0.25">
      <c r="G415" s="13">
        <v>41486</v>
      </c>
      <c r="H415" s="15">
        <v>4.3899999999999997</v>
      </c>
      <c r="I415" s="15">
        <v>0.7</v>
      </c>
      <c r="J415" s="15">
        <v>4.3150000000000004</v>
      </c>
      <c r="K415" s="15">
        <f t="shared" si="25"/>
        <v>90.62</v>
      </c>
      <c r="L415" s="15">
        <f t="shared" si="26"/>
        <v>21</v>
      </c>
      <c r="M415" s="15">
        <f t="shared" si="27"/>
        <v>4.3152380952380955</v>
      </c>
    </row>
    <row r="416" spans="7:13" x14ac:dyDescent="0.25">
      <c r="G416" s="13">
        <v>41485</v>
      </c>
      <c r="H416" s="15">
        <v>4.3899999999999997</v>
      </c>
      <c r="I416" s="15">
        <v>0.7</v>
      </c>
      <c r="J416" s="15">
        <v>4.3150000000000004</v>
      </c>
      <c r="K416" s="15">
        <f t="shared" si="25"/>
        <v>86.305000000000007</v>
      </c>
      <c r="L416" s="15">
        <f t="shared" si="26"/>
        <v>20</v>
      </c>
      <c r="M416" s="15">
        <f t="shared" si="27"/>
        <v>4.3152500000000007</v>
      </c>
    </row>
    <row r="417" spans="7:13" x14ac:dyDescent="0.25">
      <c r="G417" s="13">
        <v>41484</v>
      </c>
      <c r="H417" s="15">
        <v>4.3899999999999997</v>
      </c>
      <c r="I417" s="15">
        <v>0.7</v>
      </c>
      <c r="J417" s="15">
        <v>4.3150000000000004</v>
      </c>
      <c r="K417" s="15">
        <f t="shared" si="25"/>
        <v>81.990000000000009</v>
      </c>
      <c r="L417" s="15">
        <f t="shared" si="26"/>
        <v>19</v>
      </c>
      <c r="M417" s="15">
        <f t="shared" si="27"/>
        <v>4.3152631578947371</v>
      </c>
    </row>
    <row r="418" spans="7:13" x14ac:dyDescent="0.25">
      <c r="G418" s="13">
        <v>41481</v>
      </c>
      <c r="H418" s="15">
        <v>4.3899999999999997</v>
      </c>
      <c r="I418" s="15">
        <v>0.7</v>
      </c>
      <c r="J418" s="15">
        <v>4.3150000000000004</v>
      </c>
      <c r="K418" s="15">
        <f t="shared" si="25"/>
        <v>77.675000000000011</v>
      </c>
      <c r="L418" s="15">
        <f t="shared" si="26"/>
        <v>18</v>
      </c>
      <c r="M418" s="15">
        <f t="shared" si="27"/>
        <v>4.3152777777777782</v>
      </c>
    </row>
    <row r="419" spans="7:13" x14ac:dyDescent="0.25">
      <c r="G419" s="13">
        <v>41480</v>
      </c>
      <c r="H419" s="15">
        <v>4.3899999999999997</v>
      </c>
      <c r="I419" s="15">
        <v>0.7</v>
      </c>
      <c r="J419" s="15">
        <v>4.3150000000000004</v>
      </c>
      <c r="K419" s="15">
        <f t="shared" si="25"/>
        <v>73.360000000000014</v>
      </c>
      <c r="L419" s="15">
        <f t="shared" si="26"/>
        <v>17</v>
      </c>
      <c r="M419" s="15">
        <f t="shared" si="27"/>
        <v>4.3152941176470598</v>
      </c>
    </row>
    <row r="420" spans="7:13" x14ac:dyDescent="0.25">
      <c r="G420" s="13">
        <v>41479</v>
      </c>
      <c r="H420" s="15">
        <v>4.3099999999999996</v>
      </c>
      <c r="I420" s="15">
        <v>0.8</v>
      </c>
      <c r="J420" s="15">
        <v>4.26</v>
      </c>
      <c r="K420" s="15">
        <f t="shared" si="25"/>
        <v>69.045000000000016</v>
      </c>
      <c r="L420" s="15">
        <f t="shared" si="26"/>
        <v>16</v>
      </c>
      <c r="M420" s="15">
        <f t="shared" si="27"/>
        <v>4.315312500000001</v>
      </c>
    </row>
    <row r="421" spans="7:13" x14ac:dyDescent="0.25">
      <c r="G421" s="13">
        <v>41478</v>
      </c>
      <c r="H421" s="15">
        <v>4.3099999999999996</v>
      </c>
      <c r="I421" s="15">
        <v>0.8</v>
      </c>
      <c r="J421" s="15">
        <v>4.26</v>
      </c>
      <c r="K421" s="15">
        <f t="shared" si="25"/>
        <v>64.785000000000011</v>
      </c>
      <c r="L421" s="15">
        <f t="shared" si="26"/>
        <v>15</v>
      </c>
      <c r="M421" s="15">
        <f t="shared" si="27"/>
        <v>4.3190000000000008</v>
      </c>
    </row>
    <row r="422" spans="7:13" x14ac:dyDescent="0.25">
      <c r="G422" s="13">
        <v>41477</v>
      </c>
      <c r="H422" s="15">
        <v>4.3099999999999996</v>
      </c>
      <c r="I422" s="15">
        <v>0.8</v>
      </c>
      <c r="J422" s="15">
        <v>4.26</v>
      </c>
      <c r="K422" s="15">
        <f t="shared" si="25"/>
        <v>60.525000000000006</v>
      </c>
      <c r="L422" s="15">
        <f t="shared" si="26"/>
        <v>14</v>
      </c>
      <c r="M422" s="15">
        <f t="shared" si="27"/>
        <v>4.3232142857142861</v>
      </c>
    </row>
    <row r="423" spans="7:13" x14ac:dyDescent="0.25">
      <c r="G423" s="13">
        <v>41474</v>
      </c>
      <c r="H423" s="15">
        <v>4.3099999999999996</v>
      </c>
      <c r="I423" s="15">
        <v>0.8</v>
      </c>
      <c r="J423" s="15">
        <v>4.26</v>
      </c>
      <c r="K423" s="15">
        <f t="shared" si="25"/>
        <v>56.265000000000008</v>
      </c>
      <c r="L423" s="15">
        <f t="shared" si="26"/>
        <v>13</v>
      </c>
      <c r="M423" s="15">
        <f t="shared" si="27"/>
        <v>4.3280769230769236</v>
      </c>
    </row>
    <row r="424" spans="7:13" x14ac:dyDescent="0.25">
      <c r="G424" s="13">
        <v>41473</v>
      </c>
      <c r="H424" s="15">
        <v>4.3099999999999996</v>
      </c>
      <c r="I424" s="15">
        <v>0.8</v>
      </c>
      <c r="J424" s="15">
        <v>4.26</v>
      </c>
      <c r="K424" s="15">
        <f t="shared" si="25"/>
        <v>52.00500000000001</v>
      </c>
      <c r="L424" s="15">
        <f t="shared" si="26"/>
        <v>12</v>
      </c>
      <c r="M424" s="15">
        <f t="shared" si="27"/>
        <v>4.3337500000000011</v>
      </c>
    </row>
    <row r="425" spans="7:13" x14ac:dyDescent="0.25">
      <c r="G425" s="13">
        <v>41472</v>
      </c>
      <c r="H425" s="15">
        <v>4.37</v>
      </c>
      <c r="I425" s="15">
        <v>0.7</v>
      </c>
      <c r="J425" s="15">
        <v>4.2949999999999999</v>
      </c>
      <c r="K425" s="15">
        <f t="shared" si="25"/>
        <v>47.745000000000012</v>
      </c>
      <c r="L425" s="15">
        <f t="shared" si="26"/>
        <v>11</v>
      </c>
      <c r="M425" s="15">
        <f t="shared" si="27"/>
        <v>4.3404545454545467</v>
      </c>
    </row>
    <row r="426" spans="7:13" x14ac:dyDescent="0.25">
      <c r="G426" s="13">
        <v>41471</v>
      </c>
      <c r="H426" s="15">
        <v>4.37</v>
      </c>
      <c r="I426" s="15">
        <v>0.7</v>
      </c>
      <c r="J426" s="15">
        <v>4.2949999999999999</v>
      </c>
      <c r="K426" s="15">
        <f t="shared" si="25"/>
        <v>43.45000000000001</v>
      </c>
      <c r="L426" s="15">
        <f t="shared" si="26"/>
        <v>10</v>
      </c>
      <c r="M426" s="15">
        <f t="shared" si="27"/>
        <v>4.3450000000000006</v>
      </c>
    </row>
    <row r="427" spans="7:13" x14ac:dyDescent="0.25">
      <c r="G427" s="13">
        <v>41470</v>
      </c>
      <c r="H427" s="15">
        <v>4.37</v>
      </c>
      <c r="I427" s="15">
        <v>0.7</v>
      </c>
      <c r="J427" s="15">
        <v>4.2949999999999999</v>
      </c>
      <c r="K427" s="15">
        <f t="shared" si="25"/>
        <v>39.155000000000008</v>
      </c>
      <c r="L427" s="15">
        <f t="shared" si="26"/>
        <v>9</v>
      </c>
      <c r="M427" s="15">
        <f t="shared" si="27"/>
        <v>4.3505555555555562</v>
      </c>
    </row>
    <row r="428" spans="7:13" x14ac:dyDescent="0.25">
      <c r="G428" s="13">
        <v>41467</v>
      </c>
      <c r="H428" s="15">
        <v>4.37</v>
      </c>
      <c r="I428" s="15">
        <v>0.7</v>
      </c>
      <c r="J428" s="15">
        <v>4.2949999999999999</v>
      </c>
      <c r="K428" s="15">
        <f t="shared" si="25"/>
        <v>34.860000000000007</v>
      </c>
      <c r="L428" s="15">
        <f t="shared" si="26"/>
        <v>8</v>
      </c>
      <c r="M428" s="15">
        <f t="shared" si="27"/>
        <v>4.3575000000000008</v>
      </c>
    </row>
    <row r="429" spans="7:13" x14ac:dyDescent="0.25">
      <c r="G429" s="13">
        <v>41466</v>
      </c>
      <c r="H429" s="15">
        <v>4.37</v>
      </c>
      <c r="I429" s="15">
        <v>0.7</v>
      </c>
      <c r="J429" s="15">
        <v>4.2949999999999999</v>
      </c>
      <c r="K429" s="15">
        <f t="shared" si="25"/>
        <v>30.565000000000005</v>
      </c>
      <c r="L429" s="15">
        <f t="shared" si="26"/>
        <v>7</v>
      </c>
      <c r="M429" s="15">
        <f t="shared" si="27"/>
        <v>4.366428571428572</v>
      </c>
    </row>
    <row r="430" spans="7:13" x14ac:dyDescent="0.25">
      <c r="G430" s="13">
        <v>41465</v>
      </c>
      <c r="H430" s="15">
        <v>4.51</v>
      </c>
      <c r="I430" s="15">
        <v>0.8</v>
      </c>
      <c r="J430" s="15">
        <v>4.46</v>
      </c>
      <c r="K430" s="15">
        <f t="shared" si="25"/>
        <v>26.270000000000003</v>
      </c>
      <c r="L430" s="15">
        <f t="shared" si="26"/>
        <v>6</v>
      </c>
      <c r="M430" s="15">
        <f t="shared" si="27"/>
        <v>4.3783333333333339</v>
      </c>
    </row>
    <row r="431" spans="7:13" x14ac:dyDescent="0.25">
      <c r="G431" s="13">
        <v>41464</v>
      </c>
      <c r="H431" s="15">
        <v>4.51</v>
      </c>
      <c r="I431" s="15">
        <v>0.8</v>
      </c>
      <c r="J431" s="15">
        <v>4.46</v>
      </c>
      <c r="K431" s="15">
        <f t="shared" si="25"/>
        <v>21.810000000000002</v>
      </c>
      <c r="L431" s="15">
        <f t="shared" si="26"/>
        <v>5</v>
      </c>
      <c r="M431" s="15">
        <f t="shared" si="27"/>
        <v>4.3620000000000001</v>
      </c>
    </row>
    <row r="432" spans="7:13" x14ac:dyDescent="0.25">
      <c r="G432" s="13">
        <v>41463</v>
      </c>
      <c r="H432" s="15">
        <v>4.51</v>
      </c>
      <c r="I432" s="15">
        <v>0.8</v>
      </c>
      <c r="J432" s="15">
        <v>4.46</v>
      </c>
      <c r="K432" s="15">
        <f t="shared" si="25"/>
        <v>17.350000000000001</v>
      </c>
      <c r="L432" s="15">
        <f t="shared" si="26"/>
        <v>4</v>
      </c>
      <c r="M432" s="15">
        <f t="shared" si="27"/>
        <v>4.3375000000000004</v>
      </c>
    </row>
    <row r="433" spans="7:13" x14ac:dyDescent="0.25">
      <c r="G433" s="13">
        <v>41460</v>
      </c>
      <c r="H433" s="15">
        <v>4.51</v>
      </c>
      <c r="I433" s="15">
        <v>0.8</v>
      </c>
      <c r="J433" s="15">
        <v>4.46</v>
      </c>
      <c r="K433" s="15">
        <f t="shared" si="25"/>
        <v>12.89</v>
      </c>
      <c r="L433" s="15">
        <f t="shared" si="26"/>
        <v>3</v>
      </c>
      <c r="M433" s="15">
        <f t="shared" si="27"/>
        <v>4.2966666666666669</v>
      </c>
    </row>
    <row r="434" spans="7:13" x14ac:dyDescent="0.25">
      <c r="G434" s="13">
        <v>41457</v>
      </c>
      <c r="H434" s="15">
        <v>4.29</v>
      </c>
      <c r="I434" s="15">
        <v>0.7</v>
      </c>
      <c r="J434" s="15">
        <v>4.2149999999999999</v>
      </c>
      <c r="K434" s="15">
        <f t="shared" si="25"/>
        <v>8.43</v>
      </c>
      <c r="L434" s="15">
        <f t="shared" si="26"/>
        <v>2</v>
      </c>
      <c r="M434" s="15">
        <f t="shared" si="27"/>
        <v>4.2149999999999999</v>
      </c>
    </row>
    <row r="435" spans="7:13" x14ac:dyDescent="0.25">
      <c r="G435" s="13">
        <v>41456</v>
      </c>
      <c r="H435" s="15">
        <v>4.29</v>
      </c>
      <c r="I435" s="15">
        <v>0.7</v>
      </c>
      <c r="J435" s="15">
        <v>4.2149999999999999</v>
      </c>
      <c r="K435" s="15">
        <f t="shared" si="25"/>
        <v>4.2149999999999999</v>
      </c>
      <c r="L435" s="15">
        <f t="shared" si="26"/>
        <v>1</v>
      </c>
      <c r="M435" s="15">
        <f t="shared" si="27"/>
        <v>4.2149999999999999</v>
      </c>
    </row>
    <row r="436" spans="7:13" x14ac:dyDescent="0.25">
      <c r="G436" s="13">
        <v>41453</v>
      </c>
      <c r="H436" s="15">
        <v>4.29</v>
      </c>
      <c r="I436" s="15">
        <v>0.7</v>
      </c>
      <c r="J436" s="15">
        <v>4.2149999999999999</v>
      </c>
      <c r="K436" s="15">
        <f t="shared" si="25"/>
        <v>85.125000000000014</v>
      </c>
      <c r="L436" s="15">
        <f t="shared" si="26"/>
        <v>21</v>
      </c>
      <c r="M436" s="15">
        <f t="shared" si="27"/>
        <v>4.0535714285714288</v>
      </c>
    </row>
    <row r="437" spans="7:13" x14ac:dyDescent="0.25">
      <c r="G437" s="13">
        <v>41452</v>
      </c>
      <c r="H437" s="15">
        <v>4.29</v>
      </c>
      <c r="I437" s="15">
        <v>0.7</v>
      </c>
      <c r="J437" s="15">
        <v>4.2149999999999999</v>
      </c>
      <c r="K437" s="15">
        <f t="shared" si="25"/>
        <v>80.910000000000011</v>
      </c>
      <c r="L437" s="15">
        <f t="shared" si="26"/>
        <v>20</v>
      </c>
      <c r="M437" s="15">
        <f t="shared" si="27"/>
        <v>4.0455000000000005</v>
      </c>
    </row>
    <row r="438" spans="7:13" x14ac:dyDescent="0.25">
      <c r="G438" s="13">
        <v>41451</v>
      </c>
      <c r="H438" s="15">
        <v>4.29</v>
      </c>
      <c r="I438" s="15">
        <v>0.7</v>
      </c>
      <c r="J438" s="15">
        <v>4.2149999999999999</v>
      </c>
      <c r="K438" s="15">
        <f t="shared" si="25"/>
        <v>76.695000000000007</v>
      </c>
      <c r="L438" s="15">
        <f t="shared" si="26"/>
        <v>19</v>
      </c>
      <c r="M438" s="15">
        <f t="shared" si="27"/>
        <v>4.0365789473684215</v>
      </c>
    </row>
    <row r="439" spans="7:13" x14ac:dyDescent="0.25">
      <c r="G439" s="13">
        <v>41451</v>
      </c>
      <c r="H439" s="15">
        <v>4.46</v>
      </c>
      <c r="I439" s="15">
        <v>0.8</v>
      </c>
      <c r="J439" s="15">
        <v>4.41</v>
      </c>
      <c r="K439" s="15">
        <f t="shared" si="25"/>
        <v>72.48</v>
      </c>
      <c r="L439" s="15">
        <f t="shared" si="26"/>
        <v>18</v>
      </c>
      <c r="M439" s="15">
        <f t="shared" si="27"/>
        <v>4.0266666666666673</v>
      </c>
    </row>
    <row r="440" spans="7:13" x14ac:dyDescent="0.25">
      <c r="G440" s="13">
        <v>41450</v>
      </c>
      <c r="H440" s="15">
        <v>4.46</v>
      </c>
      <c r="I440" s="15">
        <v>0.8</v>
      </c>
      <c r="J440" s="15">
        <v>4.41</v>
      </c>
      <c r="K440" s="15">
        <f t="shared" si="25"/>
        <v>68.070000000000007</v>
      </c>
      <c r="L440" s="15">
        <f t="shared" si="26"/>
        <v>17</v>
      </c>
      <c r="M440" s="15">
        <f t="shared" si="27"/>
        <v>4.0041176470588242</v>
      </c>
    </row>
    <row r="441" spans="7:13" x14ac:dyDescent="0.25">
      <c r="G441" s="13">
        <v>41449</v>
      </c>
      <c r="H441" s="15">
        <v>4.46</v>
      </c>
      <c r="I441" s="15">
        <v>0.8</v>
      </c>
      <c r="J441" s="15">
        <v>4.41</v>
      </c>
      <c r="K441" s="15">
        <f t="shared" si="25"/>
        <v>63.660000000000011</v>
      </c>
      <c r="L441" s="15">
        <f t="shared" si="26"/>
        <v>16</v>
      </c>
      <c r="M441" s="15">
        <f t="shared" si="27"/>
        <v>3.9787500000000007</v>
      </c>
    </row>
    <row r="442" spans="7:13" x14ac:dyDescent="0.25">
      <c r="G442" s="13">
        <v>41446</v>
      </c>
      <c r="H442" s="15">
        <v>4.46</v>
      </c>
      <c r="I442" s="15">
        <v>0.8</v>
      </c>
      <c r="J442" s="15">
        <v>4.41</v>
      </c>
      <c r="K442" s="15">
        <f t="shared" si="25"/>
        <v>59.250000000000014</v>
      </c>
      <c r="L442" s="15">
        <f t="shared" si="26"/>
        <v>15</v>
      </c>
      <c r="M442" s="15">
        <f t="shared" si="27"/>
        <v>3.9500000000000011</v>
      </c>
    </row>
    <row r="443" spans="7:13" x14ac:dyDescent="0.25">
      <c r="G443" s="13">
        <v>41445</v>
      </c>
      <c r="H443" s="15">
        <v>4.46</v>
      </c>
      <c r="I443" s="15">
        <v>0.8</v>
      </c>
      <c r="J443" s="15">
        <v>4.41</v>
      </c>
      <c r="K443" s="15">
        <f t="shared" si="25"/>
        <v>54.840000000000018</v>
      </c>
      <c r="L443" s="15">
        <f t="shared" si="26"/>
        <v>14</v>
      </c>
      <c r="M443" s="15">
        <f t="shared" si="27"/>
        <v>3.9171428571428586</v>
      </c>
    </row>
    <row r="444" spans="7:13" x14ac:dyDescent="0.25">
      <c r="G444" s="13">
        <v>41444</v>
      </c>
      <c r="H444" s="15">
        <v>3.93</v>
      </c>
      <c r="I444" s="15">
        <v>0.8</v>
      </c>
      <c r="J444" s="15">
        <v>3.88</v>
      </c>
      <c r="K444" s="15">
        <f t="shared" si="25"/>
        <v>50.430000000000014</v>
      </c>
      <c r="L444" s="15">
        <f t="shared" si="26"/>
        <v>13</v>
      </c>
      <c r="M444" s="15">
        <f t="shared" si="27"/>
        <v>3.8792307692307704</v>
      </c>
    </row>
    <row r="445" spans="7:13" x14ac:dyDescent="0.25">
      <c r="G445" s="13">
        <v>41443</v>
      </c>
      <c r="H445" s="15">
        <v>3.93</v>
      </c>
      <c r="I445" s="15">
        <v>0.8</v>
      </c>
      <c r="J445" s="15">
        <v>3.88</v>
      </c>
      <c r="K445" s="15">
        <f t="shared" si="25"/>
        <v>46.550000000000011</v>
      </c>
      <c r="L445" s="15">
        <f t="shared" si="26"/>
        <v>12</v>
      </c>
      <c r="M445" s="15">
        <f t="shared" si="27"/>
        <v>3.8791666666666678</v>
      </c>
    </row>
    <row r="446" spans="7:13" x14ac:dyDescent="0.25">
      <c r="G446" s="13">
        <v>41442</v>
      </c>
      <c r="H446" s="15">
        <v>3.93</v>
      </c>
      <c r="I446" s="15">
        <v>0.8</v>
      </c>
      <c r="J446" s="15">
        <v>3.88</v>
      </c>
      <c r="K446" s="15">
        <f t="shared" si="25"/>
        <v>42.670000000000009</v>
      </c>
      <c r="L446" s="15">
        <f t="shared" si="26"/>
        <v>11</v>
      </c>
      <c r="M446" s="15">
        <f t="shared" si="27"/>
        <v>3.8790909090909098</v>
      </c>
    </row>
    <row r="447" spans="7:13" x14ac:dyDescent="0.25">
      <c r="G447" s="13">
        <v>41439</v>
      </c>
      <c r="H447" s="15">
        <v>3.93</v>
      </c>
      <c r="I447" s="15">
        <v>0.8</v>
      </c>
      <c r="J447" s="15">
        <v>3.88</v>
      </c>
      <c r="K447" s="15">
        <f t="shared" si="25"/>
        <v>38.790000000000006</v>
      </c>
      <c r="L447" s="15">
        <f t="shared" si="26"/>
        <v>10</v>
      </c>
      <c r="M447" s="15">
        <f t="shared" si="27"/>
        <v>3.8790000000000004</v>
      </c>
    </row>
    <row r="448" spans="7:13" x14ac:dyDescent="0.25">
      <c r="G448" s="13">
        <v>41438</v>
      </c>
      <c r="H448" s="15">
        <v>3.93</v>
      </c>
      <c r="I448" s="15">
        <v>0.8</v>
      </c>
      <c r="J448" s="15">
        <v>3.88</v>
      </c>
      <c r="K448" s="15">
        <f t="shared" si="25"/>
        <v>34.910000000000004</v>
      </c>
      <c r="L448" s="15">
        <f t="shared" si="26"/>
        <v>9</v>
      </c>
      <c r="M448" s="15">
        <f t="shared" si="27"/>
        <v>3.8788888888888895</v>
      </c>
    </row>
    <row r="449" spans="7:13" x14ac:dyDescent="0.25">
      <c r="G449" s="13">
        <v>41437</v>
      </c>
      <c r="H449" s="15">
        <v>3.98</v>
      </c>
      <c r="I449" s="15">
        <v>0.7</v>
      </c>
      <c r="J449" s="15">
        <v>3.9049999999999998</v>
      </c>
      <c r="K449" s="15">
        <f t="shared" si="25"/>
        <v>31.03</v>
      </c>
      <c r="L449" s="15">
        <f t="shared" si="26"/>
        <v>8</v>
      </c>
      <c r="M449" s="15">
        <f t="shared" si="27"/>
        <v>3.8787500000000001</v>
      </c>
    </row>
    <row r="450" spans="7:13" x14ac:dyDescent="0.25">
      <c r="G450" s="13">
        <v>41436</v>
      </c>
      <c r="H450" s="15">
        <v>3.98</v>
      </c>
      <c r="I450" s="15">
        <v>0.7</v>
      </c>
      <c r="J450" s="15">
        <v>3.9049999999999998</v>
      </c>
      <c r="K450" s="15">
        <f t="shared" si="25"/>
        <v>27.125</v>
      </c>
      <c r="L450" s="15">
        <f t="shared" si="26"/>
        <v>7</v>
      </c>
      <c r="M450" s="15">
        <f t="shared" si="27"/>
        <v>3.875</v>
      </c>
    </row>
    <row r="451" spans="7:13" x14ac:dyDescent="0.25">
      <c r="G451" s="13">
        <v>41435</v>
      </c>
      <c r="H451" s="15">
        <v>3.98</v>
      </c>
      <c r="I451" s="15">
        <v>0.7</v>
      </c>
      <c r="J451" s="15">
        <v>3.9049999999999998</v>
      </c>
      <c r="K451" s="15">
        <f t="shared" si="25"/>
        <v>23.22</v>
      </c>
      <c r="L451" s="15">
        <f t="shared" si="26"/>
        <v>6</v>
      </c>
      <c r="M451" s="15">
        <f t="shared" si="27"/>
        <v>3.8699999999999997</v>
      </c>
    </row>
    <row r="452" spans="7:13" x14ac:dyDescent="0.25">
      <c r="G452" s="13">
        <v>41432</v>
      </c>
      <c r="H452" s="15">
        <v>3.98</v>
      </c>
      <c r="I452" s="15">
        <v>0.7</v>
      </c>
      <c r="J452" s="15">
        <v>3.9049999999999998</v>
      </c>
      <c r="K452" s="15">
        <f t="shared" ref="K452:K515" si="28">IF(MONTH(G452)=MONTH(G453),J452+K453,J452)</f>
        <v>19.314999999999998</v>
      </c>
      <c r="L452" s="15">
        <f t="shared" ref="L452:L515" si="29">IF(MONTH(G452)=MONTH(G453),L453+1,1)</f>
        <v>5</v>
      </c>
      <c r="M452" s="15">
        <f t="shared" si="27"/>
        <v>3.8629999999999995</v>
      </c>
    </row>
    <row r="453" spans="7:13" x14ac:dyDescent="0.25">
      <c r="G453" s="13">
        <v>41431</v>
      </c>
      <c r="H453" s="15">
        <v>3.98</v>
      </c>
      <c r="I453" s="15">
        <v>0.7</v>
      </c>
      <c r="J453" s="15">
        <v>3.9049999999999998</v>
      </c>
      <c r="K453" s="15">
        <f t="shared" si="28"/>
        <v>15.409999999999998</v>
      </c>
      <c r="L453" s="15">
        <f t="shared" si="29"/>
        <v>4</v>
      </c>
      <c r="M453" s="15">
        <f t="shared" ref="M453:M516" si="30">K453/L453</f>
        <v>3.8524999999999996</v>
      </c>
    </row>
    <row r="454" spans="7:13" x14ac:dyDescent="0.25">
      <c r="G454" s="13">
        <v>41430</v>
      </c>
      <c r="H454" s="15">
        <v>3.91</v>
      </c>
      <c r="I454" s="15">
        <v>0.7</v>
      </c>
      <c r="J454" s="15">
        <v>3.835</v>
      </c>
      <c r="K454" s="15">
        <f t="shared" si="28"/>
        <v>11.504999999999999</v>
      </c>
      <c r="L454" s="15">
        <f t="shared" si="29"/>
        <v>3</v>
      </c>
      <c r="M454" s="15">
        <f t="shared" si="30"/>
        <v>3.8349999999999995</v>
      </c>
    </row>
    <row r="455" spans="7:13" x14ac:dyDescent="0.25">
      <c r="G455" s="13">
        <v>41429</v>
      </c>
      <c r="H455" s="15">
        <v>3.91</v>
      </c>
      <c r="I455" s="15">
        <v>0.7</v>
      </c>
      <c r="J455" s="15">
        <v>3.835</v>
      </c>
      <c r="K455" s="15">
        <f t="shared" si="28"/>
        <v>7.67</v>
      </c>
      <c r="L455" s="15">
        <f t="shared" si="29"/>
        <v>2</v>
      </c>
      <c r="M455" s="15">
        <f t="shared" si="30"/>
        <v>3.835</v>
      </c>
    </row>
    <row r="456" spans="7:13" x14ac:dyDescent="0.25">
      <c r="G456" s="13">
        <v>41428</v>
      </c>
      <c r="H456" s="15">
        <v>3.91</v>
      </c>
      <c r="I456" s="15">
        <v>0.7</v>
      </c>
      <c r="J456" s="15">
        <v>3.835</v>
      </c>
      <c r="K456" s="15">
        <f t="shared" si="28"/>
        <v>3.835</v>
      </c>
      <c r="L456" s="15">
        <f t="shared" si="29"/>
        <v>1</v>
      </c>
      <c r="M456" s="15">
        <f t="shared" si="30"/>
        <v>3.835</v>
      </c>
    </row>
    <row r="457" spans="7:13" x14ac:dyDescent="0.25">
      <c r="G457" s="13">
        <v>41425</v>
      </c>
      <c r="H457" s="15">
        <v>3.91</v>
      </c>
      <c r="I457" s="15">
        <v>0.7</v>
      </c>
      <c r="J457" s="15">
        <v>3.835</v>
      </c>
      <c r="K457" s="15">
        <f t="shared" si="28"/>
        <v>77.459999999999994</v>
      </c>
      <c r="L457" s="15">
        <f t="shared" si="29"/>
        <v>22</v>
      </c>
      <c r="M457" s="15">
        <f t="shared" si="30"/>
        <v>3.5209090909090905</v>
      </c>
    </row>
    <row r="458" spans="7:13" x14ac:dyDescent="0.25">
      <c r="G458" s="13">
        <v>41424</v>
      </c>
      <c r="H458" s="15">
        <v>3.91</v>
      </c>
      <c r="I458" s="15">
        <v>0.7</v>
      </c>
      <c r="J458" s="15">
        <v>3.835</v>
      </c>
      <c r="K458" s="15">
        <f t="shared" si="28"/>
        <v>73.625</v>
      </c>
      <c r="L458" s="15">
        <f t="shared" si="29"/>
        <v>21</v>
      </c>
      <c r="M458" s="15">
        <f t="shared" si="30"/>
        <v>3.5059523809523809</v>
      </c>
    </row>
    <row r="459" spans="7:13" x14ac:dyDescent="0.25">
      <c r="G459" s="13">
        <v>41423</v>
      </c>
      <c r="H459" s="15">
        <v>3.81</v>
      </c>
      <c r="I459" s="15">
        <v>0.8</v>
      </c>
      <c r="J459" s="15">
        <v>3.76</v>
      </c>
      <c r="K459" s="15">
        <f t="shared" si="28"/>
        <v>69.790000000000006</v>
      </c>
      <c r="L459" s="15">
        <f t="shared" si="29"/>
        <v>20</v>
      </c>
      <c r="M459" s="15">
        <f t="shared" si="30"/>
        <v>3.4895000000000005</v>
      </c>
    </row>
    <row r="460" spans="7:13" x14ac:dyDescent="0.25">
      <c r="G460" s="13">
        <v>41422</v>
      </c>
      <c r="H460" s="15">
        <v>3.81</v>
      </c>
      <c r="I460" s="15">
        <v>0.8</v>
      </c>
      <c r="J460" s="15">
        <v>3.76</v>
      </c>
      <c r="K460" s="15">
        <f t="shared" si="28"/>
        <v>66.03</v>
      </c>
      <c r="L460" s="15">
        <f t="shared" si="29"/>
        <v>19</v>
      </c>
      <c r="M460" s="15">
        <f t="shared" si="30"/>
        <v>3.4752631578947368</v>
      </c>
    </row>
    <row r="461" spans="7:13" x14ac:dyDescent="0.25">
      <c r="G461" s="13">
        <v>41418</v>
      </c>
      <c r="H461" s="15">
        <v>3.81</v>
      </c>
      <c r="I461" s="15">
        <v>0.8</v>
      </c>
      <c r="J461" s="15">
        <v>3.76</v>
      </c>
      <c r="K461" s="15">
        <f t="shared" si="28"/>
        <v>62.269999999999996</v>
      </c>
      <c r="L461" s="15">
        <f t="shared" si="29"/>
        <v>18</v>
      </c>
      <c r="M461" s="15">
        <f t="shared" si="30"/>
        <v>3.4594444444444443</v>
      </c>
    </row>
    <row r="462" spans="7:13" x14ac:dyDescent="0.25">
      <c r="G462" s="13">
        <v>41417</v>
      </c>
      <c r="H462" s="15">
        <v>3.81</v>
      </c>
      <c r="I462" s="15">
        <v>0.8</v>
      </c>
      <c r="J462" s="15">
        <v>3.76</v>
      </c>
      <c r="K462" s="15">
        <f t="shared" si="28"/>
        <v>58.51</v>
      </c>
      <c r="L462" s="15">
        <f t="shared" si="29"/>
        <v>17</v>
      </c>
      <c r="M462" s="15">
        <f t="shared" si="30"/>
        <v>3.4417647058823526</v>
      </c>
    </row>
    <row r="463" spans="7:13" x14ac:dyDescent="0.25">
      <c r="G463" s="13">
        <v>41416</v>
      </c>
      <c r="H463" s="15">
        <v>3.59</v>
      </c>
      <c r="I463" s="15">
        <v>0.7</v>
      </c>
      <c r="J463" s="15">
        <v>3.5150000000000001</v>
      </c>
      <c r="K463" s="15">
        <f t="shared" si="28"/>
        <v>54.75</v>
      </c>
      <c r="L463" s="15">
        <f t="shared" si="29"/>
        <v>16</v>
      </c>
      <c r="M463" s="15">
        <f t="shared" si="30"/>
        <v>3.421875</v>
      </c>
    </row>
    <row r="464" spans="7:13" x14ac:dyDescent="0.25">
      <c r="G464" s="13">
        <v>41415</v>
      </c>
      <c r="H464" s="15">
        <v>3.59</v>
      </c>
      <c r="I464" s="15">
        <v>0.7</v>
      </c>
      <c r="J464" s="15">
        <v>3.5150000000000001</v>
      </c>
      <c r="K464" s="15">
        <f t="shared" si="28"/>
        <v>51.234999999999999</v>
      </c>
      <c r="L464" s="15">
        <f t="shared" si="29"/>
        <v>15</v>
      </c>
      <c r="M464" s="15">
        <f t="shared" si="30"/>
        <v>3.4156666666666666</v>
      </c>
    </row>
    <row r="465" spans="7:13" x14ac:dyDescent="0.25">
      <c r="G465" s="13">
        <v>41414</v>
      </c>
      <c r="H465" s="15">
        <v>3.59</v>
      </c>
      <c r="I465" s="15">
        <v>0.7</v>
      </c>
      <c r="J465" s="15">
        <v>3.5150000000000001</v>
      </c>
      <c r="K465" s="15">
        <f t="shared" si="28"/>
        <v>47.72</v>
      </c>
      <c r="L465" s="15">
        <f t="shared" si="29"/>
        <v>14</v>
      </c>
      <c r="M465" s="15">
        <f t="shared" si="30"/>
        <v>3.4085714285714284</v>
      </c>
    </row>
    <row r="466" spans="7:13" x14ac:dyDescent="0.25">
      <c r="G466" s="13">
        <v>41411</v>
      </c>
      <c r="H466" s="15">
        <v>3.59</v>
      </c>
      <c r="I466" s="15">
        <v>0.7</v>
      </c>
      <c r="J466" s="15">
        <v>3.5150000000000001</v>
      </c>
      <c r="K466" s="15">
        <f t="shared" si="28"/>
        <v>44.204999999999998</v>
      </c>
      <c r="L466" s="15">
        <f t="shared" si="29"/>
        <v>13</v>
      </c>
      <c r="M466" s="15">
        <f t="shared" si="30"/>
        <v>3.4003846153846151</v>
      </c>
    </row>
    <row r="467" spans="7:13" x14ac:dyDescent="0.25">
      <c r="G467" s="13">
        <v>41410</v>
      </c>
      <c r="H467" s="15">
        <v>3.59</v>
      </c>
      <c r="I467" s="15">
        <v>0.7</v>
      </c>
      <c r="J467" s="15">
        <v>3.5150000000000001</v>
      </c>
      <c r="K467" s="15">
        <f t="shared" si="28"/>
        <v>40.69</v>
      </c>
      <c r="L467" s="15">
        <f t="shared" si="29"/>
        <v>12</v>
      </c>
      <c r="M467" s="15">
        <f t="shared" si="30"/>
        <v>3.3908333333333331</v>
      </c>
    </row>
    <row r="468" spans="7:13" x14ac:dyDescent="0.25">
      <c r="G468" s="13">
        <v>41409</v>
      </c>
      <c r="H468" s="15">
        <v>3.51</v>
      </c>
      <c r="I468" s="15">
        <v>0.7</v>
      </c>
      <c r="J468" s="15">
        <v>3.4350000000000001</v>
      </c>
      <c r="K468" s="15">
        <f t="shared" si="28"/>
        <v>37.174999999999997</v>
      </c>
      <c r="L468" s="15">
        <f t="shared" si="29"/>
        <v>11</v>
      </c>
      <c r="M468" s="15">
        <f t="shared" si="30"/>
        <v>3.3795454545454544</v>
      </c>
    </row>
    <row r="469" spans="7:13" x14ac:dyDescent="0.25">
      <c r="G469" s="13">
        <v>41408</v>
      </c>
      <c r="H469" s="15">
        <v>3.51</v>
      </c>
      <c r="I469" s="15">
        <v>0.7</v>
      </c>
      <c r="J469" s="15">
        <v>3.4350000000000001</v>
      </c>
      <c r="K469" s="15">
        <f t="shared" si="28"/>
        <v>33.739999999999995</v>
      </c>
      <c r="L469" s="15">
        <f t="shared" si="29"/>
        <v>10</v>
      </c>
      <c r="M469" s="15">
        <f t="shared" si="30"/>
        <v>3.3739999999999997</v>
      </c>
    </row>
    <row r="470" spans="7:13" x14ac:dyDescent="0.25">
      <c r="G470" s="13">
        <v>41407</v>
      </c>
      <c r="H470" s="15">
        <v>3.51</v>
      </c>
      <c r="I470" s="15">
        <v>0.7</v>
      </c>
      <c r="J470" s="15">
        <v>3.4350000000000001</v>
      </c>
      <c r="K470" s="15">
        <f t="shared" si="28"/>
        <v>30.304999999999996</v>
      </c>
      <c r="L470" s="15">
        <f t="shared" si="29"/>
        <v>9</v>
      </c>
      <c r="M470" s="15">
        <f t="shared" si="30"/>
        <v>3.3672222222222219</v>
      </c>
    </row>
    <row r="471" spans="7:13" x14ac:dyDescent="0.25">
      <c r="G471" s="13">
        <v>41404</v>
      </c>
      <c r="H471" s="15">
        <v>3.51</v>
      </c>
      <c r="I471" s="15">
        <v>0.7</v>
      </c>
      <c r="J471" s="15">
        <v>3.4350000000000001</v>
      </c>
      <c r="K471" s="15">
        <f t="shared" si="28"/>
        <v>26.869999999999997</v>
      </c>
      <c r="L471" s="15">
        <f t="shared" si="29"/>
        <v>8</v>
      </c>
      <c r="M471" s="15">
        <f t="shared" si="30"/>
        <v>3.3587499999999997</v>
      </c>
    </row>
    <row r="472" spans="7:13" x14ac:dyDescent="0.25">
      <c r="G472" s="13">
        <v>41403</v>
      </c>
      <c r="H472" s="15">
        <v>3.51</v>
      </c>
      <c r="I472" s="15">
        <v>0.7</v>
      </c>
      <c r="J472" s="15">
        <v>3.4350000000000001</v>
      </c>
      <c r="K472" s="15">
        <f t="shared" si="28"/>
        <v>23.434999999999999</v>
      </c>
      <c r="L472" s="15">
        <f t="shared" si="29"/>
        <v>7</v>
      </c>
      <c r="M472" s="15">
        <f t="shared" si="30"/>
        <v>3.3478571428571429</v>
      </c>
    </row>
    <row r="473" spans="7:13" x14ac:dyDescent="0.25">
      <c r="G473" s="13">
        <v>41402</v>
      </c>
      <c r="H473" s="15">
        <v>3.42</v>
      </c>
      <c r="I473" s="15">
        <v>0.7</v>
      </c>
      <c r="J473" s="15">
        <v>3.3450000000000002</v>
      </c>
      <c r="K473" s="15">
        <f t="shared" si="28"/>
        <v>20</v>
      </c>
      <c r="L473" s="15">
        <f t="shared" si="29"/>
        <v>6</v>
      </c>
      <c r="M473" s="15">
        <f t="shared" si="30"/>
        <v>3.3333333333333335</v>
      </c>
    </row>
    <row r="474" spans="7:13" x14ac:dyDescent="0.25">
      <c r="G474" s="13">
        <v>41401</v>
      </c>
      <c r="H474" s="15">
        <v>3.42</v>
      </c>
      <c r="I474" s="15">
        <v>0.7</v>
      </c>
      <c r="J474" s="15">
        <v>3.3450000000000002</v>
      </c>
      <c r="K474" s="15">
        <f t="shared" si="28"/>
        <v>16.655000000000001</v>
      </c>
      <c r="L474" s="15">
        <f t="shared" si="29"/>
        <v>5</v>
      </c>
      <c r="M474" s="15">
        <f t="shared" si="30"/>
        <v>3.3310000000000004</v>
      </c>
    </row>
    <row r="475" spans="7:13" x14ac:dyDescent="0.25">
      <c r="G475" s="13">
        <v>41400</v>
      </c>
      <c r="H475" s="15">
        <v>3.42</v>
      </c>
      <c r="I475" s="15">
        <v>0.7</v>
      </c>
      <c r="J475" s="15">
        <v>3.3450000000000002</v>
      </c>
      <c r="K475" s="15">
        <f t="shared" si="28"/>
        <v>13.31</v>
      </c>
      <c r="L475" s="15">
        <f t="shared" si="29"/>
        <v>4</v>
      </c>
      <c r="M475" s="15">
        <f t="shared" si="30"/>
        <v>3.3275000000000001</v>
      </c>
    </row>
    <row r="476" spans="7:13" x14ac:dyDescent="0.25">
      <c r="G476" s="13">
        <v>41397</v>
      </c>
      <c r="H476" s="15">
        <v>3.42</v>
      </c>
      <c r="I476" s="15">
        <v>0.7</v>
      </c>
      <c r="J476" s="15">
        <v>3.3450000000000002</v>
      </c>
      <c r="K476" s="15">
        <f t="shared" si="28"/>
        <v>9.9649999999999999</v>
      </c>
      <c r="L476" s="15">
        <f t="shared" si="29"/>
        <v>3</v>
      </c>
      <c r="M476" s="15">
        <f t="shared" si="30"/>
        <v>3.3216666666666668</v>
      </c>
    </row>
    <row r="477" spans="7:13" x14ac:dyDescent="0.25">
      <c r="G477" s="13">
        <v>41396</v>
      </c>
      <c r="H477" s="15">
        <v>3.42</v>
      </c>
      <c r="I477" s="15">
        <v>0.7</v>
      </c>
      <c r="J477" s="15">
        <v>3.3450000000000002</v>
      </c>
      <c r="K477" s="15">
        <f t="shared" si="28"/>
        <v>6.62</v>
      </c>
      <c r="L477" s="15">
        <f t="shared" si="29"/>
        <v>2</v>
      </c>
      <c r="M477" s="15">
        <f t="shared" si="30"/>
        <v>3.31</v>
      </c>
    </row>
    <row r="478" spans="7:13" x14ac:dyDescent="0.25">
      <c r="G478" s="13">
        <v>41395</v>
      </c>
      <c r="H478" s="15">
        <v>3.35</v>
      </c>
      <c r="I478" s="15">
        <v>0.7</v>
      </c>
      <c r="J478" s="15">
        <v>3.2749999999999999</v>
      </c>
      <c r="K478" s="15">
        <f t="shared" si="28"/>
        <v>3.2749999999999999</v>
      </c>
      <c r="L478" s="15">
        <f t="shared" si="29"/>
        <v>1</v>
      </c>
      <c r="M478" s="15">
        <f t="shared" si="30"/>
        <v>3.2749999999999999</v>
      </c>
    </row>
    <row r="479" spans="7:13" x14ac:dyDescent="0.25">
      <c r="G479" s="13">
        <v>41394</v>
      </c>
      <c r="H479" s="15">
        <v>3.35</v>
      </c>
      <c r="I479" s="15">
        <v>0.7</v>
      </c>
      <c r="J479" s="15">
        <v>3.2749999999999999</v>
      </c>
      <c r="K479" s="15">
        <f t="shared" si="28"/>
        <v>73.895000000000024</v>
      </c>
      <c r="L479" s="15">
        <f t="shared" si="29"/>
        <v>22</v>
      </c>
      <c r="M479" s="15">
        <f t="shared" si="30"/>
        <v>3.3588636363636373</v>
      </c>
    </row>
    <row r="480" spans="7:13" x14ac:dyDescent="0.25">
      <c r="G480" s="13">
        <v>41393</v>
      </c>
      <c r="H480" s="15">
        <v>3.35</v>
      </c>
      <c r="I480" s="15">
        <v>0.7</v>
      </c>
      <c r="J480" s="15">
        <v>3.2749999999999999</v>
      </c>
      <c r="K480" s="15">
        <f t="shared" si="28"/>
        <v>70.620000000000019</v>
      </c>
      <c r="L480" s="15">
        <f t="shared" si="29"/>
        <v>21</v>
      </c>
      <c r="M480" s="15">
        <f t="shared" si="30"/>
        <v>3.3628571428571439</v>
      </c>
    </row>
    <row r="481" spans="7:13" x14ac:dyDescent="0.25">
      <c r="G481" s="13">
        <v>41390</v>
      </c>
      <c r="H481" s="15">
        <v>3.35</v>
      </c>
      <c r="I481" s="15">
        <v>0.7</v>
      </c>
      <c r="J481" s="15">
        <v>3.2749999999999999</v>
      </c>
      <c r="K481" s="15">
        <f t="shared" si="28"/>
        <v>67.345000000000013</v>
      </c>
      <c r="L481" s="15">
        <f t="shared" si="29"/>
        <v>20</v>
      </c>
      <c r="M481" s="15">
        <f t="shared" si="30"/>
        <v>3.3672500000000007</v>
      </c>
    </row>
    <row r="482" spans="7:13" x14ac:dyDescent="0.25">
      <c r="G482" s="13">
        <v>41389</v>
      </c>
      <c r="H482" s="15">
        <v>3.35</v>
      </c>
      <c r="I482" s="15">
        <v>0.7</v>
      </c>
      <c r="J482" s="15">
        <v>3.2749999999999999</v>
      </c>
      <c r="K482" s="15">
        <f t="shared" si="28"/>
        <v>64.070000000000007</v>
      </c>
      <c r="L482" s="15">
        <f t="shared" si="29"/>
        <v>19</v>
      </c>
      <c r="M482" s="15">
        <f t="shared" si="30"/>
        <v>3.3721052631578949</v>
      </c>
    </row>
    <row r="483" spans="7:13" x14ac:dyDescent="0.25">
      <c r="G483" s="13">
        <v>41388</v>
      </c>
      <c r="H483" s="15">
        <v>3.4</v>
      </c>
      <c r="I483" s="15">
        <v>0.8</v>
      </c>
      <c r="J483" s="15">
        <v>3.35</v>
      </c>
      <c r="K483" s="15">
        <f t="shared" si="28"/>
        <v>60.795000000000009</v>
      </c>
      <c r="L483" s="15">
        <f t="shared" si="29"/>
        <v>18</v>
      </c>
      <c r="M483" s="15">
        <f t="shared" si="30"/>
        <v>3.3775000000000004</v>
      </c>
    </row>
    <row r="484" spans="7:13" x14ac:dyDescent="0.25">
      <c r="G484" s="13">
        <v>41387</v>
      </c>
      <c r="H484" s="15">
        <v>3.4</v>
      </c>
      <c r="I484" s="15">
        <v>0.8</v>
      </c>
      <c r="J484" s="15">
        <v>3.35</v>
      </c>
      <c r="K484" s="15">
        <f t="shared" si="28"/>
        <v>57.445000000000007</v>
      </c>
      <c r="L484" s="15">
        <f t="shared" si="29"/>
        <v>17</v>
      </c>
      <c r="M484" s="15">
        <f t="shared" si="30"/>
        <v>3.3791176470588238</v>
      </c>
    </row>
    <row r="485" spans="7:13" x14ac:dyDescent="0.25">
      <c r="G485" s="13">
        <v>41386</v>
      </c>
      <c r="H485" s="15">
        <v>3.4</v>
      </c>
      <c r="I485" s="15">
        <v>0.8</v>
      </c>
      <c r="J485" s="15">
        <v>3.35</v>
      </c>
      <c r="K485" s="15">
        <f t="shared" si="28"/>
        <v>54.095000000000006</v>
      </c>
      <c r="L485" s="15">
        <f t="shared" si="29"/>
        <v>16</v>
      </c>
      <c r="M485" s="15">
        <f t="shared" si="30"/>
        <v>3.3809375000000004</v>
      </c>
    </row>
    <row r="486" spans="7:13" x14ac:dyDescent="0.25">
      <c r="G486" s="13">
        <v>41383</v>
      </c>
      <c r="H486" s="15">
        <v>3.4</v>
      </c>
      <c r="I486" s="15">
        <v>0.8</v>
      </c>
      <c r="J486" s="15">
        <v>3.35</v>
      </c>
      <c r="K486" s="15">
        <f t="shared" si="28"/>
        <v>50.745000000000005</v>
      </c>
      <c r="L486" s="15">
        <f t="shared" si="29"/>
        <v>15</v>
      </c>
      <c r="M486" s="15">
        <f t="shared" si="30"/>
        <v>3.3830000000000005</v>
      </c>
    </row>
    <row r="487" spans="7:13" x14ac:dyDescent="0.25">
      <c r="G487" s="13">
        <v>41382</v>
      </c>
      <c r="H487" s="15">
        <v>3.4</v>
      </c>
      <c r="I487" s="15">
        <v>0.8</v>
      </c>
      <c r="J487" s="15">
        <v>3.35</v>
      </c>
      <c r="K487" s="15">
        <f t="shared" si="28"/>
        <v>47.395000000000003</v>
      </c>
      <c r="L487" s="15">
        <f t="shared" si="29"/>
        <v>14</v>
      </c>
      <c r="M487" s="15">
        <f t="shared" si="30"/>
        <v>3.385357142857143</v>
      </c>
    </row>
    <row r="488" spans="7:13" x14ac:dyDescent="0.25">
      <c r="G488" s="13">
        <v>41381</v>
      </c>
      <c r="H488" s="15">
        <v>3.41</v>
      </c>
      <c r="I488" s="15">
        <v>0.7</v>
      </c>
      <c r="J488" s="15">
        <v>3.335</v>
      </c>
      <c r="K488" s="15">
        <f t="shared" si="28"/>
        <v>44.045000000000002</v>
      </c>
      <c r="L488" s="15">
        <f t="shared" si="29"/>
        <v>13</v>
      </c>
      <c r="M488" s="15">
        <f t="shared" si="30"/>
        <v>3.3880769230769232</v>
      </c>
    </row>
    <row r="489" spans="7:13" x14ac:dyDescent="0.25">
      <c r="G489" s="13">
        <v>41380</v>
      </c>
      <c r="H489" s="15">
        <v>3.41</v>
      </c>
      <c r="I489" s="15">
        <v>0.7</v>
      </c>
      <c r="J489" s="15">
        <v>3.335</v>
      </c>
      <c r="K489" s="15">
        <f t="shared" si="28"/>
        <v>40.71</v>
      </c>
      <c r="L489" s="15">
        <f t="shared" si="29"/>
        <v>12</v>
      </c>
      <c r="M489" s="15">
        <f t="shared" si="30"/>
        <v>3.3925000000000001</v>
      </c>
    </row>
    <row r="490" spans="7:13" x14ac:dyDescent="0.25">
      <c r="G490" s="13">
        <v>41379</v>
      </c>
      <c r="H490" s="15">
        <v>3.41</v>
      </c>
      <c r="I490" s="15">
        <v>0.7</v>
      </c>
      <c r="J490" s="15">
        <v>3.335</v>
      </c>
      <c r="K490" s="15">
        <f t="shared" si="28"/>
        <v>37.375</v>
      </c>
      <c r="L490" s="15">
        <f t="shared" si="29"/>
        <v>11</v>
      </c>
      <c r="M490" s="15">
        <f t="shared" si="30"/>
        <v>3.3977272727272729</v>
      </c>
    </row>
    <row r="491" spans="7:13" x14ac:dyDescent="0.25">
      <c r="G491" s="13">
        <v>41376</v>
      </c>
      <c r="H491" s="15">
        <v>3.41</v>
      </c>
      <c r="I491" s="15">
        <v>0.7</v>
      </c>
      <c r="J491" s="15">
        <v>3.335</v>
      </c>
      <c r="K491" s="15">
        <f t="shared" si="28"/>
        <v>34.04</v>
      </c>
      <c r="L491" s="15">
        <f t="shared" si="29"/>
        <v>10</v>
      </c>
      <c r="M491" s="15">
        <f t="shared" si="30"/>
        <v>3.4039999999999999</v>
      </c>
    </row>
    <row r="492" spans="7:13" x14ac:dyDescent="0.25">
      <c r="G492" s="13">
        <v>41375</v>
      </c>
      <c r="H492" s="15">
        <v>3.41</v>
      </c>
      <c r="I492" s="15">
        <v>0.7</v>
      </c>
      <c r="J492" s="15">
        <v>3.335</v>
      </c>
      <c r="K492" s="15">
        <f t="shared" si="28"/>
        <v>30.704999999999998</v>
      </c>
      <c r="L492" s="15">
        <f t="shared" si="29"/>
        <v>9</v>
      </c>
      <c r="M492" s="15">
        <f t="shared" si="30"/>
        <v>3.4116666666666666</v>
      </c>
    </row>
    <row r="493" spans="7:13" x14ac:dyDescent="0.25">
      <c r="G493" s="13">
        <v>41374</v>
      </c>
      <c r="H493" s="15">
        <v>3.43</v>
      </c>
      <c r="I493" s="15">
        <v>0.8</v>
      </c>
      <c r="J493" s="15">
        <v>3.38</v>
      </c>
      <c r="K493" s="15">
        <f t="shared" si="28"/>
        <v>27.369999999999997</v>
      </c>
      <c r="L493" s="15">
        <f t="shared" si="29"/>
        <v>8</v>
      </c>
      <c r="M493" s="15">
        <f t="shared" si="30"/>
        <v>3.4212499999999997</v>
      </c>
    </row>
    <row r="494" spans="7:13" x14ac:dyDescent="0.25">
      <c r="G494" s="13">
        <v>41373</v>
      </c>
      <c r="H494" s="15">
        <v>3.43</v>
      </c>
      <c r="I494" s="15">
        <v>0.8</v>
      </c>
      <c r="J494" s="15">
        <v>3.38</v>
      </c>
      <c r="K494" s="15">
        <f t="shared" si="28"/>
        <v>23.99</v>
      </c>
      <c r="L494" s="15">
        <f t="shared" si="29"/>
        <v>7</v>
      </c>
      <c r="M494" s="15">
        <f t="shared" si="30"/>
        <v>3.427142857142857</v>
      </c>
    </row>
    <row r="495" spans="7:13" x14ac:dyDescent="0.25">
      <c r="G495" s="13">
        <v>41372</v>
      </c>
      <c r="H495" s="15">
        <v>3.43</v>
      </c>
      <c r="I495" s="15">
        <v>0.8</v>
      </c>
      <c r="J495" s="15">
        <v>3.38</v>
      </c>
      <c r="K495" s="15">
        <f t="shared" si="28"/>
        <v>20.61</v>
      </c>
      <c r="L495" s="15">
        <f t="shared" si="29"/>
        <v>6</v>
      </c>
      <c r="M495" s="15">
        <f t="shared" si="30"/>
        <v>3.4350000000000001</v>
      </c>
    </row>
    <row r="496" spans="7:13" x14ac:dyDescent="0.25">
      <c r="G496" s="13">
        <v>41369</v>
      </c>
      <c r="H496" s="15">
        <v>3.43</v>
      </c>
      <c r="I496" s="15">
        <v>0.8</v>
      </c>
      <c r="J496" s="15">
        <v>3.38</v>
      </c>
      <c r="K496" s="15">
        <f t="shared" si="28"/>
        <v>17.23</v>
      </c>
      <c r="L496" s="15">
        <f t="shared" si="29"/>
        <v>5</v>
      </c>
      <c r="M496" s="15">
        <f t="shared" si="30"/>
        <v>3.4460000000000002</v>
      </c>
    </row>
    <row r="497" spans="7:13" x14ac:dyDescent="0.25">
      <c r="G497" s="13">
        <v>41368</v>
      </c>
      <c r="H497" s="15">
        <v>3.43</v>
      </c>
      <c r="I497" s="15">
        <v>0.8</v>
      </c>
      <c r="J497" s="15">
        <v>3.38</v>
      </c>
      <c r="K497" s="15">
        <f t="shared" si="28"/>
        <v>13.850000000000001</v>
      </c>
      <c r="L497" s="15">
        <f t="shared" si="29"/>
        <v>4</v>
      </c>
      <c r="M497" s="15">
        <f t="shared" si="30"/>
        <v>3.4625000000000004</v>
      </c>
    </row>
    <row r="498" spans="7:13" x14ac:dyDescent="0.25">
      <c r="G498" s="13">
        <v>41367</v>
      </c>
      <c r="H498" s="15">
        <v>3.54</v>
      </c>
      <c r="I498" s="15">
        <v>0.8</v>
      </c>
      <c r="J498" s="15">
        <v>3.49</v>
      </c>
      <c r="K498" s="15">
        <f t="shared" si="28"/>
        <v>10.47</v>
      </c>
      <c r="L498" s="15">
        <f t="shared" si="29"/>
        <v>3</v>
      </c>
      <c r="M498" s="15">
        <f t="shared" si="30"/>
        <v>3.49</v>
      </c>
    </row>
    <row r="499" spans="7:13" x14ac:dyDescent="0.25">
      <c r="G499" s="13">
        <v>41366</v>
      </c>
      <c r="H499" s="15">
        <v>3.54</v>
      </c>
      <c r="I499" s="15">
        <v>0.8</v>
      </c>
      <c r="J499" s="15">
        <v>3.49</v>
      </c>
      <c r="K499" s="15">
        <f t="shared" si="28"/>
        <v>6.98</v>
      </c>
      <c r="L499" s="15">
        <f t="shared" si="29"/>
        <v>2</v>
      </c>
      <c r="M499" s="15">
        <f t="shared" si="30"/>
        <v>3.49</v>
      </c>
    </row>
    <row r="500" spans="7:13" x14ac:dyDescent="0.25">
      <c r="G500" s="13">
        <v>41365</v>
      </c>
      <c r="H500" s="15">
        <v>3.54</v>
      </c>
      <c r="I500" s="15">
        <v>0.8</v>
      </c>
      <c r="J500" s="15">
        <v>3.49</v>
      </c>
      <c r="K500" s="15">
        <f t="shared" si="28"/>
        <v>3.49</v>
      </c>
      <c r="L500" s="15">
        <f t="shared" si="29"/>
        <v>1</v>
      </c>
      <c r="M500" s="15">
        <f t="shared" si="30"/>
        <v>3.49</v>
      </c>
    </row>
    <row r="501" spans="7:13" x14ac:dyDescent="0.25">
      <c r="G501" s="13">
        <v>41361</v>
      </c>
      <c r="H501" s="15">
        <v>3.54</v>
      </c>
      <c r="I501" s="15">
        <v>0.8</v>
      </c>
      <c r="J501" s="15">
        <v>3.49</v>
      </c>
      <c r="K501" s="15">
        <f t="shared" si="28"/>
        <v>70.220000000000013</v>
      </c>
      <c r="L501" s="15">
        <f t="shared" si="29"/>
        <v>20</v>
      </c>
      <c r="M501" s="15">
        <f t="shared" si="30"/>
        <v>3.5110000000000006</v>
      </c>
    </row>
    <row r="502" spans="7:13" x14ac:dyDescent="0.25">
      <c r="G502" s="13">
        <v>41360</v>
      </c>
      <c r="H502" s="15">
        <v>3.57</v>
      </c>
      <c r="I502" s="15">
        <v>0.8</v>
      </c>
      <c r="J502" s="15">
        <v>3.52</v>
      </c>
      <c r="K502" s="15">
        <f t="shared" si="28"/>
        <v>66.730000000000018</v>
      </c>
      <c r="L502" s="15">
        <f t="shared" si="29"/>
        <v>19</v>
      </c>
      <c r="M502" s="15">
        <f t="shared" si="30"/>
        <v>3.5121052631578955</v>
      </c>
    </row>
    <row r="503" spans="7:13" x14ac:dyDescent="0.25">
      <c r="G503" s="13">
        <v>41359</v>
      </c>
      <c r="H503" s="15">
        <v>3.57</v>
      </c>
      <c r="I503" s="15">
        <v>0.8</v>
      </c>
      <c r="J503" s="15">
        <v>3.52</v>
      </c>
      <c r="K503" s="15">
        <f t="shared" si="28"/>
        <v>63.210000000000015</v>
      </c>
      <c r="L503" s="15">
        <f t="shared" si="29"/>
        <v>18</v>
      </c>
      <c r="M503" s="15">
        <f t="shared" si="30"/>
        <v>3.5116666666666676</v>
      </c>
    </row>
    <row r="504" spans="7:13" x14ac:dyDescent="0.25">
      <c r="G504" s="13">
        <v>41358</v>
      </c>
      <c r="H504" s="15">
        <v>3.57</v>
      </c>
      <c r="I504" s="15">
        <v>0.8</v>
      </c>
      <c r="J504" s="15">
        <v>3.52</v>
      </c>
      <c r="K504" s="15">
        <f t="shared" si="28"/>
        <v>59.690000000000012</v>
      </c>
      <c r="L504" s="15">
        <f t="shared" si="29"/>
        <v>17</v>
      </c>
      <c r="M504" s="15">
        <f t="shared" si="30"/>
        <v>3.5111764705882358</v>
      </c>
    </row>
    <row r="505" spans="7:13" x14ac:dyDescent="0.25">
      <c r="G505" s="13">
        <v>41355</v>
      </c>
      <c r="H505" s="15">
        <v>3.57</v>
      </c>
      <c r="I505" s="15">
        <v>0.8</v>
      </c>
      <c r="J505" s="15">
        <v>3.52</v>
      </c>
      <c r="K505" s="15">
        <f t="shared" si="28"/>
        <v>56.170000000000009</v>
      </c>
      <c r="L505" s="15">
        <f t="shared" si="29"/>
        <v>16</v>
      </c>
      <c r="M505" s="15">
        <f t="shared" si="30"/>
        <v>3.5106250000000006</v>
      </c>
    </row>
    <row r="506" spans="7:13" x14ac:dyDescent="0.25">
      <c r="G506" s="13">
        <v>41354</v>
      </c>
      <c r="H506" s="15">
        <v>3.57</v>
      </c>
      <c r="I506" s="15">
        <v>0.8</v>
      </c>
      <c r="J506" s="15">
        <v>3.52</v>
      </c>
      <c r="K506" s="15">
        <f t="shared" si="28"/>
        <v>52.650000000000006</v>
      </c>
      <c r="L506" s="15">
        <f t="shared" si="29"/>
        <v>15</v>
      </c>
      <c r="M506" s="15">
        <f t="shared" si="30"/>
        <v>3.5100000000000002</v>
      </c>
    </row>
    <row r="507" spans="7:13" x14ac:dyDescent="0.25">
      <c r="G507" s="13">
        <v>41353</v>
      </c>
      <c r="H507" s="15">
        <v>3.54</v>
      </c>
      <c r="I507" s="15">
        <v>0.8</v>
      </c>
      <c r="J507" s="15">
        <v>3.49</v>
      </c>
      <c r="K507" s="15">
        <f t="shared" si="28"/>
        <v>49.13</v>
      </c>
      <c r="L507" s="15">
        <f t="shared" si="29"/>
        <v>14</v>
      </c>
      <c r="M507" s="15">
        <f t="shared" si="30"/>
        <v>3.5092857142857143</v>
      </c>
    </row>
    <row r="508" spans="7:13" x14ac:dyDescent="0.25">
      <c r="G508" s="13">
        <v>41352</v>
      </c>
      <c r="H508" s="15">
        <v>3.54</v>
      </c>
      <c r="I508" s="15">
        <v>0.8</v>
      </c>
      <c r="J508" s="15">
        <v>3.49</v>
      </c>
      <c r="K508" s="15">
        <f t="shared" si="28"/>
        <v>45.64</v>
      </c>
      <c r="L508" s="15">
        <f t="shared" si="29"/>
        <v>13</v>
      </c>
      <c r="M508" s="15">
        <f t="shared" si="30"/>
        <v>3.5107692307692306</v>
      </c>
    </row>
    <row r="509" spans="7:13" x14ac:dyDescent="0.25">
      <c r="G509" s="13">
        <v>41351</v>
      </c>
      <c r="H509" s="15">
        <v>3.54</v>
      </c>
      <c r="I509" s="15">
        <v>0.8</v>
      </c>
      <c r="J509" s="15">
        <v>3.49</v>
      </c>
      <c r="K509" s="15">
        <f t="shared" si="28"/>
        <v>42.15</v>
      </c>
      <c r="L509" s="15">
        <f t="shared" si="29"/>
        <v>12</v>
      </c>
      <c r="M509" s="15">
        <f t="shared" si="30"/>
        <v>3.5124999999999997</v>
      </c>
    </row>
    <row r="510" spans="7:13" x14ac:dyDescent="0.25">
      <c r="G510" s="13">
        <v>41348</v>
      </c>
      <c r="H510" s="15">
        <v>3.54</v>
      </c>
      <c r="I510" s="15">
        <v>0.8</v>
      </c>
      <c r="J510" s="15">
        <v>3.49</v>
      </c>
      <c r="K510" s="15">
        <f t="shared" si="28"/>
        <v>38.659999999999997</v>
      </c>
      <c r="L510" s="15">
        <f t="shared" si="29"/>
        <v>11</v>
      </c>
      <c r="M510" s="15">
        <f t="shared" si="30"/>
        <v>3.5145454545454542</v>
      </c>
    </row>
    <row r="511" spans="7:13" x14ac:dyDescent="0.25">
      <c r="G511" s="13">
        <v>41347</v>
      </c>
      <c r="H511" s="15">
        <v>3.54</v>
      </c>
      <c r="I511" s="15">
        <v>0.8</v>
      </c>
      <c r="J511" s="15">
        <v>3.49</v>
      </c>
      <c r="K511" s="15">
        <f t="shared" si="28"/>
        <v>35.169999999999995</v>
      </c>
      <c r="L511" s="15">
        <f t="shared" si="29"/>
        <v>10</v>
      </c>
      <c r="M511" s="15">
        <f t="shared" si="30"/>
        <v>3.5169999999999995</v>
      </c>
    </row>
    <row r="512" spans="7:13" x14ac:dyDescent="0.25">
      <c r="G512" s="13">
        <v>41346</v>
      </c>
      <c r="H512" s="15">
        <v>3.63</v>
      </c>
      <c r="I512" s="15">
        <v>0.8</v>
      </c>
      <c r="J512" s="15">
        <v>3.58</v>
      </c>
      <c r="K512" s="15">
        <f t="shared" si="28"/>
        <v>31.679999999999993</v>
      </c>
      <c r="L512" s="15">
        <f t="shared" si="29"/>
        <v>9</v>
      </c>
      <c r="M512" s="15">
        <f t="shared" si="30"/>
        <v>3.5199999999999991</v>
      </c>
    </row>
    <row r="513" spans="7:13" x14ac:dyDescent="0.25">
      <c r="G513" s="13">
        <v>41345</v>
      </c>
      <c r="H513" s="15">
        <v>3.63</v>
      </c>
      <c r="I513" s="15">
        <v>0.8</v>
      </c>
      <c r="J513" s="15">
        <v>3.58</v>
      </c>
      <c r="K513" s="15">
        <f t="shared" si="28"/>
        <v>28.099999999999994</v>
      </c>
      <c r="L513" s="15">
        <f t="shared" si="29"/>
        <v>8</v>
      </c>
      <c r="M513" s="15">
        <f t="shared" si="30"/>
        <v>3.5124999999999993</v>
      </c>
    </row>
    <row r="514" spans="7:13" x14ac:dyDescent="0.25">
      <c r="G514" s="13">
        <v>41344</v>
      </c>
      <c r="H514" s="15">
        <v>3.63</v>
      </c>
      <c r="I514" s="15">
        <v>0.8</v>
      </c>
      <c r="J514" s="15">
        <v>3.58</v>
      </c>
      <c r="K514" s="15">
        <f t="shared" si="28"/>
        <v>24.519999999999996</v>
      </c>
      <c r="L514" s="15">
        <f t="shared" si="29"/>
        <v>7</v>
      </c>
      <c r="M514" s="15">
        <f t="shared" si="30"/>
        <v>3.5028571428571422</v>
      </c>
    </row>
    <row r="515" spans="7:13" x14ac:dyDescent="0.25">
      <c r="G515" s="13">
        <v>41341</v>
      </c>
      <c r="H515" s="15">
        <v>3.63</v>
      </c>
      <c r="I515" s="15">
        <v>0.8</v>
      </c>
      <c r="J515" s="15">
        <v>3.58</v>
      </c>
      <c r="K515" s="15">
        <f t="shared" si="28"/>
        <v>20.939999999999998</v>
      </c>
      <c r="L515" s="15">
        <f t="shared" si="29"/>
        <v>6</v>
      </c>
      <c r="M515" s="15">
        <f t="shared" si="30"/>
        <v>3.4899999999999998</v>
      </c>
    </row>
    <row r="516" spans="7:13" x14ac:dyDescent="0.25">
      <c r="G516" s="13">
        <v>41340</v>
      </c>
      <c r="H516" s="15">
        <v>3.63</v>
      </c>
      <c r="I516" s="15">
        <v>0.8</v>
      </c>
      <c r="J516" s="15">
        <v>3.58</v>
      </c>
      <c r="K516" s="15">
        <f t="shared" ref="K516:K579" si="31">IF(MONTH(G516)=MONTH(G517),J516+K517,J516)</f>
        <v>17.36</v>
      </c>
      <c r="L516" s="15">
        <f t="shared" ref="L516:L579" si="32">IF(MONTH(G516)=MONTH(G517),L517+1,1)</f>
        <v>5</v>
      </c>
      <c r="M516" s="15">
        <f t="shared" si="30"/>
        <v>3.472</v>
      </c>
    </row>
    <row r="517" spans="7:13" x14ac:dyDescent="0.25">
      <c r="G517" s="13">
        <v>41339</v>
      </c>
      <c r="H517" s="15">
        <v>3.52</v>
      </c>
      <c r="I517" s="15">
        <v>0.7</v>
      </c>
      <c r="J517" s="15">
        <v>3.4449999999999998</v>
      </c>
      <c r="K517" s="15">
        <f t="shared" si="31"/>
        <v>13.78</v>
      </c>
      <c r="L517" s="15">
        <f t="shared" si="32"/>
        <v>4</v>
      </c>
      <c r="M517" s="15">
        <f t="shared" ref="M517:M580" si="33">K517/L517</f>
        <v>3.4449999999999998</v>
      </c>
    </row>
    <row r="518" spans="7:13" x14ac:dyDescent="0.25">
      <c r="G518" s="13">
        <v>41338</v>
      </c>
      <c r="H518" s="15">
        <v>3.52</v>
      </c>
      <c r="I518" s="15">
        <v>0.7</v>
      </c>
      <c r="J518" s="15">
        <v>3.4449999999999998</v>
      </c>
      <c r="K518" s="15">
        <f t="shared" si="31"/>
        <v>10.334999999999999</v>
      </c>
      <c r="L518" s="15">
        <f t="shared" si="32"/>
        <v>3</v>
      </c>
      <c r="M518" s="15">
        <f t="shared" si="33"/>
        <v>3.4449999999999998</v>
      </c>
    </row>
    <row r="519" spans="7:13" x14ac:dyDescent="0.25">
      <c r="G519" s="13">
        <v>41337</v>
      </c>
      <c r="H519" s="15">
        <v>3.52</v>
      </c>
      <c r="I519" s="15">
        <v>0.7</v>
      </c>
      <c r="J519" s="15">
        <v>3.4449999999999998</v>
      </c>
      <c r="K519" s="15">
        <f t="shared" si="31"/>
        <v>6.89</v>
      </c>
      <c r="L519" s="15">
        <f t="shared" si="32"/>
        <v>2</v>
      </c>
      <c r="M519" s="15">
        <f t="shared" si="33"/>
        <v>3.4449999999999998</v>
      </c>
    </row>
    <row r="520" spans="7:13" x14ac:dyDescent="0.25">
      <c r="G520" s="13">
        <v>41334</v>
      </c>
      <c r="H520" s="15">
        <v>3.52</v>
      </c>
      <c r="I520" s="15">
        <v>0.7</v>
      </c>
      <c r="J520" s="15">
        <v>3.4449999999999998</v>
      </c>
      <c r="K520" s="15">
        <f t="shared" si="31"/>
        <v>3.4449999999999998</v>
      </c>
      <c r="L520" s="15">
        <f t="shared" si="32"/>
        <v>1</v>
      </c>
      <c r="M520" s="15">
        <f t="shared" si="33"/>
        <v>3.4449999999999998</v>
      </c>
    </row>
    <row r="521" spans="7:13" x14ac:dyDescent="0.25">
      <c r="G521" s="13">
        <v>41333</v>
      </c>
      <c r="H521" s="15">
        <v>3.52</v>
      </c>
      <c r="I521" s="15">
        <v>0.7</v>
      </c>
      <c r="J521" s="15">
        <v>3.4449999999999998</v>
      </c>
      <c r="K521" s="15">
        <f t="shared" si="31"/>
        <v>66.10499999999999</v>
      </c>
      <c r="L521" s="15">
        <f t="shared" si="32"/>
        <v>19</v>
      </c>
      <c r="M521" s="15">
        <f t="shared" si="33"/>
        <v>3.4792105263157889</v>
      </c>
    </row>
    <row r="522" spans="7:13" x14ac:dyDescent="0.25">
      <c r="G522" s="13">
        <v>41332</v>
      </c>
      <c r="H522" s="15">
        <v>3.51</v>
      </c>
      <c r="I522" s="15">
        <v>0.8</v>
      </c>
      <c r="J522" s="15">
        <v>3.46</v>
      </c>
      <c r="K522" s="15">
        <f t="shared" si="31"/>
        <v>62.66</v>
      </c>
      <c r="L522" s="15">
        <f t="shared" si="32"/>
        <v>18</v>
      </c>
      <c r="M522" s="15">
        <f t="shared" si="33"/>
        <v>3.4811111111111108</v>
      </c>
    </row>
    <row r="523" spans="7:13" x14ac:dyDescent="0.25">
      <c r="G523" s="13">
        <v>41331</v>
      </c>
      <c r="H523" s="15">
        <v>3.51</v>
      </c>
      <c r="I523" s="15">
        <v>0.8</v>
      </c>
      <c r="J523" s="15">
        <v>3.46</v>
      </c>
      <c r="K523" s="15">
        <f t="shared" si="31"/>
        <v>59.199999999999996</v>
      </c>
      <c r="L523" s="15">
        <f t="shared" si="32"/>
        <v>17</v>
      </c>
      <c r="M523" s="15">
        <f t="shared" si="33"/>
        <v>3.4823529411764702</v>
      </c>
    </row>
    <row r="524" spans="7:13" x14ac:dyDescent="0.25">
      <c r="G524" s="13">
        <v>41330</v>
      </c>
      <c r="H524" s="15">
        <v>3.51</v>
      </c>
      <c r="I524" s="15">
        <v>0.8</v>
      </c>
      <c r="J524" s="15">
        <v>3.46</v>
      </c>
      <c r="K524" s="15">
        <f t="shared" si="31"/>
        <v>55.739999999999995</v>
      </c>
      <c r="L524" s="15">
        <f t="shared" si="32"/>
        <v>16</v>
      </c>
      <c r="M524" s="15">
        <f t="shared" si="33"/>
        <v>3.4837499999999997</v>
      </c>
    </row>
    <row r="525" spans="7:13" x14ac:dyDescent="0.25">
      <c r="G525" s="13">
        <v>41327</v>
      </c>
      <c r="H525" s="15">
        <v>3.51</v>
      </c>
      <c r="I525" s="15">
        <v>0.8</v>
      </c>
      <c r="J525" s="15">
        <v>3.46</v>
      </c>
      <c r="K525" s="15">
        <f t="shared" si="31"/>
        <v>52.279999999999994</v>
      </c>
      <c r="L525" s="15">
        <f t="shared" si="32"/>
        <v>15</v>
      </c>
      <c r="M525" s="15">
        <f t="shared" si="33"/>
        <v>3.4853333333333327</v>
      </c>
    </row>
    <row r="526" spans="7:13" x14ac:dyDescent="0.25">
      <c r="G526" s="13">
        <v>41326</v>
      </c>
      <c r="H526" s="15">
        <v>3.51</v>
      </c>
      <c r="I526" s="15">
        <v>0.8</v>
      </c>
      <c r="J526" s="15">
        <v>3.46</v>
      </c>
      <c r="K526" s="15">
        <f t="shared" si="31"/>
        <v>48.819999999999993</v>
      </c>
      <c r="L526" s="15">
        <f t="shared" si="32"/>
        <v>14</v>
      </c>
      <c r="M526" s="15">
        <f t="shared" si="33"/>
        <v>3.4871428571428567</v>
      </c>
    </row>
    <row r="527" spans="7:13" x14ac:dyDescent="0.25">
      <c r="G527" s="13">
        <v>41325</v>
      </c>
      <c r="H527" s="15">
        <v>3.56</v>
      </c>
      <c r="I527" s="15">
        <v>0.8</v>
      </c>
      <c r="J527" s="15">
        <v>3.51</v>
      </c>
      <c r="K527" s="15">
        <f t="shared" si="31"/>
        <v>45.359999999999992</v>
      </c>
      <c r="L527" s="15">
        <f t="shared" si="32"/>
        <v>13</v>
      </c>
      <c r="M527" s="15">
        <f t="shared" si="33"/>
        <v>3.4892307692307685</v>
      </c>
    </row>
    <row r="528" spans="7:13" x14ac:dyDescent="0.25">
      <c r="G528" s="13">
        <v>41324</v>
      </c>
      <c r="H528" s="15">
        <v>3.56</v>
      </c>
      <c r="I528" s="15">
        <v>0.8</v>
      </c>
      <c r="J528" s="15">
        <v>3.51</v>
      </c>
      <c r="K528" s="15">
        <f t="shared" si="31"/>
        <v>41.849999999999994</v>
      </c>
      <c r="L528" s="15">
        <f t="shared" si="32"/>
        <v>12</v>
      </c>
      <c r="M528" s="15">
        <f t="shared" si="33"/>
        <v>3.4874999999999994</v>
      </c>
    </row>
    <row r="529" spans="7:13" x14ac:dyDescent="0.25">
      <c r="G529" s="13">
        <v>41320</v>
      </c>
      <c r="H529" s="15">
        <v>3.56</v>
      </c>
      <c r="I529" s="15">
        <v>0.8</v>
      </c>
      <c r="J529" s="15">
        <v>3.51</v>
      </c>
      <c r="K529" s="15">
        <f t="shared" si="31"/>
        <v>38.339999999999996</v>
      </c>
      <c r="L529" s="15">
        <f t="shared" si="32"/>
        <v>11</v>
      </c>
      <c r="M529" s="15">
        <f t="shared" si="33"/>
        <v>3.4854545454545449</v>
      </c>
    </row>
    <row r="530" spans="7:13" x14ac:dyDescent="0.25">
      <c r="G530" s="13">
        <v>41319</v>
      </c>
      <c r="H530" s="15">
        <v>3.56</v>
      </c>
      <c r="I530" s="15">
        <v>0.8</v>
      </c>
      <c r="J530" s="15">
        <v>3.51</v>
      </c>
      <c r="K530" s="15">
        <f t="shared" si="31"/>
        <v>34.83</v>
      </c>
      <c r="L530" s="15">
        <f t="shared" si="32"/>
        <v>10</v>
      </c>
      <c r="M530" s="15">
        <f t="shared" si="33"/>
        <v>3.4829999999999997</v>
      </c>
    </row>
    <row r="531" spans="7:13" x14ac:dyDescent="0.25">
      <c r="G531" s="13">
        <v>41318</v>
      </c>
      <c r="H531" s="15">
        <v>3.53</v>
      </c>
      <c r="I531" s="15">
        <v>0.8</v>
      </c>
      <c r="J531" s="15">
        <v>3.48</v>
      </c>
      <c r="K531" s="15">
        <f t="shared" si="31"/>
        <v>31.32</v>
      </c>
      <c r="L531" s="15">
        <f t="shared" si="32"/>
        <v>9</v>
      </c>
      <c r="M531" s="15">
        <f t="shared" si="33"/>
        <v>3.48</v>
      </c>
    </row>
    <row r="532" spans="7:13" x14ac:dyDescent="0.25">
      <c r="G532" s="13">
        <v>41317</v>
      </c>
      <c r="H532" s="15">
        <v>3.53</v>
      </c>
      <c r="I532" s="15">
        <v>0.8</v>
      </c>
      <c r="J532" s="15">
        <v>3.48</v>
      </c>
      <c r="K532" s="15">
        <f t="shared" si="31"/>
        <v>27.84</v>
      </c>
      <c r="L532" s="15">
        <f t="shared" si="32"/>
        <v>8</v>
      </c>
      <c r="M532" s="15">
        <f t="shared" si="33"/>
        <v>3.48</v>
      </c>
    </row>
    <row r="533" spans="7:13" x14ac:dyDescent="0.25">
      <c r="G533" s="13">
        <v>41316</v>
      </c>
      <c r="H533" s="15">
        <v>3.53</v>
      </c>
      <c r="I533" s="15">
        <v>0.8</v>
      </c>
      <c r="J533" s="15">
        <v>3.48</v>
      </c>
      <c r="K533" s="15">
        <f t="shared" si="31"/>
        <v>24.36</v>
      </c>
      <c r="L533" s="15">
        <f t="shared" si="32"/>
        <v>7</v>
      </c>
      <c r="M533" s="15">
        <f t="shared" si="33"/>
        <v>3.48</v>
      </c>
    </row>
    <row r="534" spans="7:13" x14ac:dyDescent="0.25">
      <c r="G534" s="13">
        <v>41313</v>
      </c>
      <c r="H534" s="15">
        <v>3.53</v>
      </c>
      <c r="I534" s="15">
        <v>0.8</v>
      </c>
      <c r="J534" s="15">
        <v>3.48</v>
      </c>
      <c r="K534" s="15">
        <f t="shared" si="31"/>
        <v>20.88</v>
      </c>
      <c r="L534" s="15">
        <f t="shared" si="32"/>
        <v>6</v>
      </c>
      <c r="M534" s="15">
        <f t="shared" si="33"/>
        <v>3.48</v>
      </c>
    </row>
    <row r="535" spans="7:13" x14ac:dyDescent="0.25">
      <c r="G535" s="13">
        <v>41312</v>
      </c>
      <c r="H535" s="15">
        <v>3.53</v>
      </c>
      <c r="I535" s="15">
        <v>0.8</v>
      </c>
      <c r="J535" s="15">
        <v>3.48</v>
      </c>
      <c r="K535" s="15">
        <f t="shared" si="31"/>
        <v>17.399999999999999</v>
      </c>
      <c r="L535" s="15">
        <f t="shared" si="32"/>
        <v>5</v>
      </c>
      <c r="M535" s="15">
        <f t="shared" si="33"/>
        <v>3.4799999999999995</v>
      </c>
    </row>
    <row r="536" spans="7:13" x14ac:dyDescent="0.25">
      <c r="G536" s="13">
        <v>41311</v>
      </c>
      <c r="H536" s="15">
        <v>3.53</v>
      </c>
      <c r="I536" s="15">
        <v>0.8</v>
      </c>
      <c r="J536" s="15">
        <v>3.48</v>
      </c>
      <c r="K536" s="15">
        <f t="shared" si="31"/>
        <v>13.92</v>
      </c>
      <c r="L536" s="15">
        <f t="shared" si="32"/>
        <v>4</v>
      </c>
      <c r="M536" s="15">
        <f t="shared" si="33"/>
        <v>3.48</v>
      </c>
    </row>
    <row r="537" spans="7:13" x14ac:dyDescent="0.25">
      <c r="G537" s="13">
        <v>41310</v>
      </c>
      <c r="H537" s="15">
        <v>3.53</v>
      </c>
      <c r="I537" s="15">
        <v>0.8</v>
      </c>
      <c r="J537" s="15">
        <v>3.48</v>
      </c>
      <c r="K537" s="15">
        <f t="shared" si="31"/>
        <v>10.44</v>
      </c>
      <c r="L537" s="15">
        <f t="shared" si="32"/>
        <v>3</v>
      </c>
      <c r="M537" s="15">
        <f t="shared" si="33"/>
        <v>3.48</v>
      </c>
    </row>
    <row r="538" spans="7:13" x14ac:dyDescent="0.25">
      <c r="G538" s="13">
        <v>41309</v>
      </c>
      <c r="H538" s="15">
        <v>3.53</v>
      </c>
      <c r="I538" s="15">
        <v>0.8</v>
      </c>
      <c r="J538" s="15">
        <v>3.48</v>
      </c>
      <c r="K538" s="15">
        <f t="shared" si="31"/>
        <v>6.96</v>
      </c>
      <c r="L538" s="15">
        <f t="shared" si="32"/>
        <v>2</v>
      </c>
      <c r="M538" s="15">
        <f t="shared" si="33"/>
        <v>3.48</v>
      </c>
    </row>
    <row r="539" spans="7:13" x14ac:dyDescent="0.25">
      <c r="G539" s="13">
        <v>41306</v>
      </c>
      <c r="H539" s="15">
        <v>3.53</v>
      </c>
      <c r="I539" s="15">
        <v>0.8</v>
      </c>
      <c r="J539" s="15">
        <v>3.48</v>
      </c>
      <c r="K539" s="15">
        <f t="shared" si="31"/>
        <v>3.48</v>
      </c>
      <c r="L539" s="15">
        <f t="shared" si="32"/>
        <v>1</v>
      </c>
      <c r="M539" s="15">
        <f t="shared" si="33"/>
        <v>3.48</v>
      </c>
    </row>
    <row r="540" spans="7:13" x14ac:dyDescent="0.25">
      <c r="G540" s="13">
        <v>41305</v>
      </c>
      <c r="H540" s="15">
        <v>3.53</v>
      </c>
      <c r="I540" s="15">
        <v>0.8</v>
      </c>
      <c r="J540" s="15">
        <v>3.48</v>
      </c>
      <c r="K540" s="15">
        <f t="shared" si="31"/>
        <v>70.55</v>
      </c>
      <c r="L540" s="15">
        <f t="shared" si="32"/>
        <v>21</v>
      </c>
      <c r="M540" s="15">
        <f t="shared" si="33"/>
        <v>3.3595238095238096</v>
      </c>
    </row>
    <row r="541" spans="7:13" x14ac:dyDescent="0.25">
      <c r="G541" s="13">
        <v>41304</v>
      </c>
      <c r="H541" s="15">
        <v>3.53</v>
      </c>
      <c r="I541" s="15">
        <v>0.7</v>
      </c>
      <c r="J541" s="15">
        <v>3.4550000000000001</v>
      </c>
      <c r="K541" s="15">
        <f t="shared" si="31"/>
        <v>67.069999999999993</v>
      </c>
      <c r="L541" s="15">
        <f t="shared" si="32"/>
        <v>20</v>
      </c>
      <c r="M541" s="15">
        <f t="shared" si="33"/>
        <v>3.3534999999999995</v>
      </c>
    </row>
    <row r="542" spans="7:13" x14ac:dyDescent="0.25">
      <c r="G542" s="13">
        <v>41303</v>
      </c>
      <c r="H542" s="15">
        <v>3.53</v>
      </c>
      <c r="I542" s="15">
        <v>0.7</v>
      </c>
      <c r="J542" s="15">
        <v>3.4550000000000001</v>
      </c>
      <c r="K542" s="15">
        <f t="shared" si="31"/>
        <v>63.614999999999988</v>
      </c>
      <c r="L542" s="15">
        <f t="shared" si="32"/>
        <v>19</v>
      </c>
      <c r="M542" s="15">
        <f t="shared" si="33"/>
        <v>3.3481578947368416</v>
      </c>
    </row>
    <row r="543" spans="7:13" x14ac:dyDescent="0.25">
      <c r="G543" s="13">
        <v>41302</v>
      </c>
      <c r="H543" s="15">
        <v>3.53</v>
      </c>
      <c r="I543" s="15">
        <v>0.7</v>
      </c>
      <c r="J543" s="15">
        <v>3.4550000000000001</v>
      </c>
      <c r="K543" s="15">
        <f t="shared" si="31"/>
        <v>60.159999999999989</v>
      </c>
      <c r="L543" s="15">
        <f t="shared" si="32"/>
        <v>18</v>
      </c>
      <c r="M543" s="15">
        <f t="shared" si="33"/>
        <v>3.3422222222222215</v>
      </c>
    </row>
    <row r="544" spans="7:13" x14ac:dyDescent="0.25">
      <c r="G544" s="13">
        <v>41299</v>
      </c>
      <c r="H544" s="15">
        <v>3.53</v>
      </c>
      <c r="I544" s="15">
        <v>0.7</v>
      </c>
      <c r="J544" s="15">
        <v>3.4550000000000001</v>
      </c>
      <c r="K544" s="15">
        <f t="shared" si="31"/>
        <v>56.704999999999991</v>
      </c>
      <c r="L544" s="15">
        <f t="shared" si="32"/>
        <v>17</v>
      </c>
      <c r="M544" s="15">
        <f t="shared" si="33"/>
        <v>3.3355882352941171</v>
      </c>
    </row>
    <row r="545" spans="7:13" x14ac:dyDescent="0.25">
      <c r="G545" s="13">
        <v>41298</v>
      </c>
      <c r="H545" s="15">
        <v>3.53</v>
      </c>
      <c r="I545" s="15">
        <v>0.7</v>
      </c>
      <c r="J545" s="15">
        <v>3.4550000000000001</v>
      </c>
      <c r="K545" s="15">
        <f t="shared" si="31"/>
        <v>53.249999999999993</v>
      </c>
      <c r="L545" s="15">
        <f t="shared" si="32"/>
        <v>16</v>
      </c>
      <c r="M545" s="15">
        <f t="shared" si="33"/>
        <v>3.3281249999999996</v>
      </c>
    </row>
    <row r="546" spans="7:13" x14ac:dyDescent="0.25">
      <c r="G546" s="13">
        <v>41297</v>
      </c>
      <c r="H546" s="15">
        <v>3.42</v>
      </c>
      <c r="I546" s="15">
        <v>0.7</v>
      </c>
      <c r="J546" s="15">
        <v>3.3450000000000002</v>
      </c>
      <c r="K546" s="15">
        <f t="shared" si="31"/>
        <v>49.794999999999995</v>
      </c>
      <c r="L546" s="15">
        <f t="shared" si="32"/>
        <v>15</v>
      </c>
      <c r="M546" s="15">
        <f t="shared" si="33"/>
        <v>3.3196666666666661</v>
      </c>
    </row>
    <row r="547" spans="7:13" x14ac:dyDescent="0.25">
      <c r="G547" s="13">
        <v>41296</v>
      </c>
      <c r="H547" s="15">
        <v>3.42</v>
      </c>
      <c r="I547" s="15">
        <v>0.7</v>
      </c>
      <c r="J547" s="15">
        <v>3.3450000000000002</v>
      </c>
      <c r="K547" s="15">
        <f t="shared" si="31"/>
        <v>46.449999999999996</v>
      </c>
      <c r="L547" s="15">
        <f t="shared" si="32"/>
        <v>14</v>
      </c>
      <c r="M547" s="15">
        <f t="shared" si="33"/>
        <v>3.3178571428571426</v>
      </c>
    </row>
    <row r="548" spans="7:13" x14ac:dyDescent="0.25">
      <c r="G548" s="13">
        <v>41292</v>
      </c>
      <c r="H548" s="15">
        <v>3.42</v>
      </c>
      <c r="I548" s="15">
        <v>0.7</v>
      </c>
      <c r="J548" s="15">
        <v>3.3450000000000002</v>
      </c>
      <c r="K548" s="15">
        <f t="shared" si="31"/>
        <v>43.104999999999997</v>
      </c>
      <c r="L548" s="15">
        <f t="shared" si="32"/>
        <v>13</v>
      </c>
      <c r="M548" s="15">
        <f t="shared" si="33"/>
        <v>3.3157692307692304</v>
      </c>
    </row>
    <row r="549" spans="7:13" x14ac:dyDescent="0.25">
      <c r="G549" s="13">
        <v>41291</v>
      </c>
      <c r="H549" s="15">
        <v>3.42</v>
      </c>
      <c r="I549" s="15">
        <v>0.7</v>
      </c>
      <c r="J549" s="15">
        <v>3.3450000000000002</v>
      </c>
      <c r="K549" s="15">
        <f t="shared" si="31"/>
        <v>39.76</v>
      </c>
      <c r="L549" s="15">
        <f t="shared" si="32"/>
        <v>12</v>
      </c>
      <c r="M549" s="15">
        <f t="shared" si="33"/>
        <v>3.313333333333333</v>
      </c>
    </row>
    <row r="550" spans="7:13" x14ac:dyDescent="0.25">
      <c r="G550" s="13">
        <v>41290</v>
      </c>
      <c r="H550" s="15">
        <v>3.38</v>
      </c>
      <c r="I550" s="15">
        <v>0.7</v>
      </c>
      <c r="J550" s="15">
        <v>3.3050000000000002</v>
      </c>
      <c r="K550" s="15">
        <f t="shared" si="31"/>
        <v>36.414999999999999</v>
      </c>
      <c r="L550" s="15">
        <f t="shared" si="32"/>
        <v>11</v>
      </c>
      <c r="M550" s="15">
        <f t="shared" si="33"/>
        <v>3.3104545454545455</v>
      </c>
    </row>
    <row r="551" spans="7:13" x14ac:dyDescent="0.25">
      <c r="G551" s="13">
        <v>41289</v>
      </c>
      <c r="H551" s="15">
        <v>3.38</v>
      </c>
      <c r="I551" s="15">
        <v>0.7</v>
      </c>
      <c r="J551" s="15">
        <v>3.3050000000000002</v>
      </c>
      <c r="K551" s="15">
        <f t="shared" si="31"/>
        <v>33.11</v>
      </c>
      <c r="L551" s="15">
        <f t="shared" si="32"/>
        <v>10</v>
      </c>
      <c r="M551" s="15">
        <f t="shared" si="33"/>
        <v>3.3109999999999999</v>
      </c>
    </row>
    <row r="552" spans="7:13" x14ac:dyDescent="0.25">
      <c r="G552" s="13">
        <v>41288</v>
      </c>
      <c r="H552" s="15">
        <v>3.38</v>
      </c>
      <c r="I552" s="15">
        <v>0.7</v>
      </c>
      <c r="J552" s="15">
        <v>3.3050000000000002</v>
      </c>
      <c r="K552" s="15">
        <f t="shared" si="31"/>
        <v>29.804999999999996</v>
      </c>
      <c r="L552" s="15">
        <f t="shared" si="32"/>
        <v>9</v>
      </c>
      <c r="M552" s="15">
        <f t="shared" si="33"/>
        <v>3.3116666666666661</v>
      </c>
    </row>
    <row r="553" spans="7:13" x14ac:dyDescent="0.25">
      <c r="G553" s="13">
        <v>41285</v>
      </c>
      <c r="H553" s="15">
        <v>3.38</v>
      </c>
      <c r="I553" s="15">
        <v>0.7</v>
      </c>
      <c r="J553" s="15">
        <v>3.3050000000000002</v>
      </c>
      <c r="K553" s="15">
        <f t="shared" si="31"/>
        <v>26.499999999999996</v>
      </c>
      <c r="L553" s="15">
        <f t="shared" si="32"/>
        <v>8</v>
      </c>
      <c r="M553" s="15">
        <f t="shared" si="33"/>
        <v>3.3124999999999996</v>
      </c>
    </row>
    <row r="554" spans="7:13" x14ac:dyDescent="0.25">
      <c r="G554" s="13">
        <v>41284</v>
      </c>
      <c r="H554" s="15">
        <v>3.38</v>
      </c>
      <c r="I554" s="15">
        <v>0.7</v>
      </c>
      <c r="J554" s="15">
        <v>3.3050000000000002</v>
      </c>
      <c r="K554" s="15">
        <f t="shared" si="31"/>
        <v>23.194999999999997</v>
      </c>
      <c r="L554" s="15">
        <f t="shared" si="32"/>
        <v>7</v>
      </c>
      <c r="M554" s="15">
        <f t="shared" si="33"/>
        <v>3.3135714285714282</v>
      </c>
    </row>
    <row r="555" spans="7:13" x14ac:dyDescent="0.25">
      <c r="G555" s="13">
        <v>41283</v>
      </c>
      <c r="H555" s="15">
        <v>3.4</v>
      </c>
      <c r="I555" s="15">
        <v>0.7</v>
      </c>
      <c r="J555" s="15">
        <v>3.3250000000000002</v>
      </c>
      <c r="K555" s="15">
        <f t="shared" si="31"/>
        <v>19.889999999999997</v>
      </c>
      <c r="L555" s="15">
        <f t="shared" si="32"/>
        <v>6</v>
      </c>
      <c r="M555" s="15">
        <f t="shared" si="33"/>
        <v>3.3149999999999995</v>
      </c>
    </row>
    <row r="556" spans="7:13" x14ac:dyDescent="0.25">
      <c r="G556" s="13">
        <v>41282</v>
      </c>
      <c r="H556" s="15">
        <v>3.4</v>
      </c>
      <c r="I556" s="15">
        <v>0.7</v>
      </c>
      <c r="J556" s="15">
        <v>3.3250000000000002</v>
      </c>
      <c r="K556" s="15">
        <f t="shared" si="31"/>
        <v>16.564999999999998</v>
      </c>
      <c r="L556" s="15">
        <f t="shared" si="32"/>
        <v>5</v>
      </c>
      <c r="M556" s="15">
        <f t="shared" si="33"/>
        <v>3.3129999999999997</v>
      </c>
    </row>
    <row r="557" spans="7:13" x14ac:dyDescent="0.25">
      <c r="G557" s="13">
        <v>41281</v>
      </c>
      <c r="H557" s="15">
        <v>3.4</v>
      </c>
      <c r="I557" s="15">
        <v>0.7</v>
      </c>
      <c r="J557" s="15">
        <v>3.3250000000000002</v>
      </c>
      <c r="K557" s="15">
        <f t="shared" si="31"/>
        <v>13.239999999999998</v>
      </c>
      <c r="L557" s="15">
        <f t="shared" si="32"/>
        <v>4</v>
      </c>
      <c r="M557" s="15">
        <f t="shared" si="33"/>
        <v>3.3099999999999996</v>
      </c>
    </row>
    <row r="558" spans="7:13" x14ac:dyDescent="0.25">
      <c r="G558" s="13">
        <v>41278</v>
      </c>
      <c r="H558" s="15">
        <v>3.4</v>
      </c>
      <c r="I558" s="15">
        <v>0.7</v>
      </c>
      <c r="J558" s="15">
        <v>3.3250000000000002</v>
      </c>
      <c r="K558" s="15">
        <f t="shared" si="31"/>
        <v>9.9149999999999991</v>
      </c>
      <c r="L558" s="15">
        <f t="shared" si="32"/>
        <v>3</v>
      </c>
      <c r="M558" s="15">
        <f t="shared" si="33"/>
        <v>3.3049999999999997</v>
      </c>
    </row>
    <row r="559" spans="7:13" x14ac:dyDescent="0.25">
      <c r="G559" s="13">
        <v>41277</v>
      </c>
      <c r="H559" s="15">
        <v>3.4</v>
      </c>
      <c r="I559" s="15">
        <v>0.7</v>
      </c>
      <c r="J559" s="15">
        <v>3.3250000000000002</v>
      </c>
      <c r="K559" s="15">
        <f t="shared" si="31"/>
        <v>6.59</v>
      </c>
      <c r="L559" s="15">
        <f t="shared" si="32"/>
        <v>2</v>
      </c>
      <c r="M559" s="15">
        <f t="shared" si="33"/>
        <v>3.2949999999999999</v>
      </c>
    </row>
    <row r="560" spans="7:13" x14ac:dyDescent="0.25">
      <c r="G560" s="13">
        <v>41276</v>
      </c>
      <c r="H560" s="15">
        <v>3.34</v>
      </c>
      <c r="I560" s="15">
        <v>0.7</v>
      </c>
      <c r="J560" s="15">
        <v>3.2650000000000001</v>
      </c>
      <c r="K560" s="15">
        <f t="shared" si="31"/>
        <v>3.2650000000000001</v>
      </c>
      <c r="L560" s="15">
        <f t="shared" si="32"/>
        <v>1</v>
      </c>
      <c r="M560" s="15">
        <f t="shared" si="33"/>
        <v>3.2650000000000001</v>
      </c>
    </row>
    <row r="561" spans="7:13" x14ac:dyDescent="0.25">
      <c r="G561" s="13">
        <v>41274</v>
      </c>
      <c r="H561" s="15">
        <v>3.34</v>
      </c>
      <c r="I561" s="15">
        <v>0.7</v>
      </c>
      <c r="J561" s="15">
        <v>3.2650000000000001</v>
      </c>
      <c r="K561" s="15">
        <f t="shared" si="31"/>
        <v>65.39</v>
      </c>
      <c r="L561" s="15">
        <f t="shared" si="32"/>
        <v>20</v>
      </c>
      <c r="M561" s="15">
        <f t="shared" si="33"/>
        <v>3.2694999999999999</v>
      </c>
    </row>
    <row r="562" spans="7:13" x14ac:dyDescent="0.25">
      <c r="G562" s="13">
        <v>41271</v>
      </c>
      <c r="H562" s="15">
        <v>3.34</v>
      </c>
      <c r="I562" s="15">
        <v>0.7</v>
      </c>
      <c r="J562" s="15">
        <v>3.2650000000000001</v>
      </c>
      <c r="K562" s="15">
        <f t="shared" si="31"/>
        <v>62.125000000000007</v>
      </c>
      <c r="L562" s="15">
        <f t="shared" si="32"/>
        <v>19</v>
      </c>
      <c r="M562" s="15">
        <f t="shared" si="33"/>
        <v>3.2697368421052637</v>
      </c>
    </row>
    <row r="563" spans="7:13" x14ac:dyDescent="0.25">
      <c r="G563" s="13">
        <v>41270</v>
      </c>
      <c r="H563" s="15">
        <v>3.34</v>
      </c>
      <c r="I563" s="15">
        <v>0.7</v>
      </c>
      <c r="J563" s="15">
        <v>3.2650000000000001</v>
      </c>
      <c r="K563" s="15">
        <f t="shared" si="31"/>
        <v>58.860000000000007</v>
      </c>
      <c r="L563" s="15">
        <f t="shared" si="32"/>
        <v>18</v>
      </c>
      <c r="M563" s="15">
        <f t="shared" si="33"/>
        <v>3.2700000000000005</v>
      </c>
    </row>
    <row r="564" spans="7:13" x14ac:dyDescent="0.25">
      <c r="G564" s="13">
        <v>41269</v>
      </c>
      <c r="H564" s="15">
        <v>3.35</v>
      </c>
      <c r="I564" s="15">
        <v>0.7</v>
      </c>
      <c r="J564" s="15">
        <v>3.2749999999999999</v>
      </c>
      <c r="K564" s="15">
        <f t="shared" si="31"/>
        <v>55.595000000000006</v>
      </c>
      <c r="L564" s="15">
        <f t="shared" si="32"/>
        <v>17</v>
      </c>
      <c r="M564" s="15">
        <f t="shared" si="33"/>
        <v>3.270294117647059</v>
      </c>
    </row>
    <row r="565" spans="7:13" x14ac:dyDescent="0.25">
      <c r="G565" s="13">
        <v>41267</v>
      </c>
      <c r="H565" s="15">
        <v>3.35</v>
      </c>
      <c r="I565" s="15">
        <v>0.7</v>
      </c>
      <c r="J565" s="15">
        <v>3.2749999999999999</v>
      </c>
      <c r="K565" s="15">
        <f t="shared" si="31"/>
        <v>52.320000000000007</v>
      </c>
      <c r="L565" s="15">
        <f t="shared" si="32"/>
        <v>16</v>
      </c>
      <c r="M565" s="15">
        <f t="shared" si="33"/>
        <v>3.2700000000000005</v>
      </c>
    </row>
    <row r="566" spans="7:13" x14ac:dyDescent="0.25">
      <c r="G566" s="13">
        <v>41264</v>
      </c>
      <c r="H566" s="15">
        <v>3.35</v>
      </c>
      <c r="I566" s="15">
        <v>0.7</v>
      </c>
      <c r="J566" s="15">
        <v>3.2749999999999999</v>
      </c>
      <c r="K566" s="15">
        <f t="shared" si="31"/>
        <v>49.045000000000009</v>
      </c>
      <c r="L566" s="15">
        <f t="shared" si="32"/>
        <v>15</v>
      </c>
      <c r="M566" s="15">
        <f t="shared" si="33"/>
        <v>3.2696666666666672</v>
      </c>
    </row>
    <row r="567" spans="7:13" x14ac:dyDescent="0.25">
      <c r="G567" s="13">
        <v>41263</v>
      </c>
      <c r="H567" s="15">
        <v>3.35</v>
      </c>
      <c r="I567" s="15">
        <v>0.7</v>
      </c>
      <c r="J567" s="15">
        <v>3.2749999999999999</v>
      </c>
      <c r="K567" s="15">
        <f t="shared" si="31"/>
        <v>45.77000000000001</v>
      </c>
      <c r="L567" s="15">
        <f t="shared" si="32"/>
        <v>14</v>
      </c>
      <c r="M567" s="15">
        <f t="shared" si="33"/>
        <v>3.269285714285715</v>
      </c>
    </row>
    <row r="568" spans="7:13" x14ac:dyDescent="0.25">
      <c r="G568" s="13">
        <v>41262</v>
      </c>
      <c r="H568" s="15">
        <v>3.37</v>
      </c>
      <c r="I568" s="15">
        <v>0.7</v>
      </c>
      <c r="J568" s="15">
        <v>3.2949999999999999</v>
      </c>
      <c r="K568" s="15">
        <f t="shared" si="31"/>
        <v>42.495000000000012</v>
      </c>
      <c r="L568" s="15">
        <f t="shared" si="32"/>
        <v>13</v>
      </c>
      <c r="M568" s="15">
        <f t="shared" si="33"/>
        <v>3.2688461538461548</v>
      </c>
    </row>
    <row r="569" spans="7:13" x14ac:dyDescent="0.25">
      <c r="G569" s="13">
        <v>41261</v>
      </c>
      <c r="H569" s="15">
        <v>3.37</v>
      </c>
      <c r="I569" s="15">
        <v>0.7</v>
      </c>
      <c r="J569" s="15">
        <v>3.2949999999999999</v>
      </c>
      <c r="K569" s="15">
        <f t="shared" si="31"/>
        <v>39.20000000000001</v>
      </c>
      <c r="L569" s="15">
        <f t="shared" si="32"/>
        <v>12</v>
      </c>
      <c r="M569" s="15">
        <f t="shared" si="33"/>
        <v>3.2666666666666675</v>
      </c>
    </row>
    <row r="570" spans="7:13" x14ac:dyDescent="0.25">
      <c r="G570" s="13">
        <v>41260</v>
      </c>
      <c r="H570" s="15">
        <v>3.37</v>
      </c>
      <c r="I570" s="15">
        <v>0.7</v>
      </c>
      <c r="J570" s="15">
        <v>3.2949999999999999</v>
      </c>
      <c r="K570" s="15">
        <f t="shared" si="31"/>
        <v>35.905000000000008</v>
      </c>
      <c r="L570" s="15">
        <f t="shared" si="32"/>
        <v>11</v>
      </c>
      <c r="M570" s="15">
        <f t="shared" si="33"/>
        <v>3.26409090909091</v>
      </c>
    </row>
    <row r="571" spans="7:13" x14ac:dyDescent="0.25">
      <c r="G571" s="13">
        <v>41257</v>
      </c>
      <c r="H571" s="15">
        <v>3.37</v>
      </c>
      <c r="I571" s="15">
        <v>0.7</v>
      </c>
      <c r="J571" s="15">
        <v>3.2949999999999999</v>
      </c>
      <c r="K571" s="15">
        <f t="shared" si="31"/>
        <v>32.610000000000007</v>
      </c>
      <c r="L571" s="15">
        <f t="shared" si="32"/>
        <v>10</v>
      </c>
      <c r="M571" s="15">
        <f t="shared" si="33"/>
        <v>3.2610000000000006</v>
      </c>
    </row>
    <row r="572" spans="7:13" x14ac:dyDescent="0.25">
      <c r="G572" s="13">
        <v>41256</v>
      </c>
      <c r="H572" s="15">
        <v>3.37</v>
      </c>
      <c r="I572" s="15">
        <v>0.7</v>
      </c>
      <c r="J572" s="15">
        <v>3.2949999999999999</v>
      </c>
      <c r="K572" s="15">
        <f t="shared" si="31"/>
        <v>29.315000000000005</v>
      </c>
      <c r="L572" s="15">
        <f t="shared" si="32"/>
        <v>9</v>
      </c>
      <c r="M572" s="15">
        <f t="shared" si="33"/>
        <v>3.2572222222222229</v>
      </c>
    </row>
    <row r="573" spans="7:13" x14ac:dyDescent="0.25">
      <c r="G573" s="13">
        <v>41255</v>
      </c>
      <c r="H573" s="15">
        <v>3.32</v>
      </c>
      <c r="I573" s="15">
        <v>0.7</v>
      </c>
      <c r="J573" s="15">
        <v>3.2450000000000001</v>
      </c>
      <c r="K573" s="15">
        <f t="shared" si="31"/>
        <v>26.020000000000003</v>
      </c>
      <c r="L573" s="15">
        <f t="shared" si="32"/>
        <v>8</v>
      </c>
      <c r="M573" s="15">
        <f t="shared" si="33"/>
        <v>3.2525000000000004</v>
      </c>
    </row>
    <row r="574" spans="7:13" x14ac:dyDescent="0.25">
      <c r="G574" s="13">
        <v>41254</v>
      </c>
      <c r="H574" s="15">
        <v>3.32</v>
      </c>
      <c r="I574" s="15">
        <v>0.7</v>
      </c>
      <c r="J574" s="15">
        <v>3.2450000000000001</v>
      </c>
      <c r="K574" s="15">
        <f t="shared" si="31"/>
        <v>22.775000000000002</v>
      </c>
      <c r="L574" s="15">
        <f t="shared" si="32"/>
        <v>7</v>
      </c>
      <c r="M574" s="15">
        <f t="shared" si="33"/>
        <v>3.253571428571429</v>
      </c>
    </row>
    <row r="575" spans="7:13" x14ac:dyDescent="0.25">
      <c r="G575" s="13">
        <v>41253</v>
      </c>
      <c r="H575" s="15">
        <v>3.32</v>
      </c>
      <c r="I575" s="15">
        <v>0.7</v>
      </c>
      <c r="J575" s="15">
        <v>3.2450000000000001</v>
      </c>
      <c r="K575" s="15">
        <f t="shared" si="31"/>
        <v>19.53</v>
      </c>
      <c r="L575" s="15">
        <f t="shared" si="32"/>
        <v>6</v>
      </c>
      <c r="M575" s="15">
        <f t="shared" si="33"/>
        <v>3.2550000000000003</v>
      </c>
    </row>
    <row r="576" spans="7:13" x14ac:dyDescent="0.25">
      <c r="G576" s="13">
        <v>41250</v>
      </c>
      <c r="H576" s="15">
        <v>3.32</v>
      </c>
      <c r="I576" s="15">
        <v>0.7</v>
      </c>
      <c r="J576" s="15">
        <v>3.2450000000000001</v>
      </c>
      <c r="K576" s="15">
        <f t="shared" si="31"/>
        <v>16.285</v>
      </c>
      <c r="L576" s="15">
        <f t="shared" si="32"/>
        <v>5</v>
      </c>
      <c r="M576" s="15">
        <f t="shared" si="33"/>
        <v>3.2570000000000001</v>
      </c>
    </row>
    <row r="577" spans="7:13" x14ac:dyDescent="0.25">
      <c r="G577" s="13">
        <v>41249</v>
      </c>
      <c r="H577" s="15">
        <v>3.32</v>
      </c>
      <c r="I577" s="15">
        <v>0.7</v>
      </c>
      <c r="J577" s="15">
        <v>3.2450000000000001</v>
      </c>
      <c r="K577" s="15">
        <f t="shared" si="31"/>
        <v>13.04</v>
      </c>
      <c r="L577" s="15">
        <f t="shared" si="32"/>
        <v>4</v>
      </c>
      <c r="M577" s="15">
        <f t="shared" si="33"/>
        <v>3.26</v>
      </c>
    </row>
    <row r="578" spans="7:13" x14ac:dyDescent="0.25">
      <c r="G578" s="13">
        <v>41248</v>
      </c>
      <c r="H578" s="15">
        <v>3.34</v>
      </c>
      <c r="I578" s="15">
        <v>0.7</v>
      </c>
      <c r="J578" s="15">
        <v>3.2650000000000001</v>
      </c>
      <c r="K578" s="15">
        <f t="shared" si="31"/>
        <v>9.7949999999999999</v>
      </c>
      <c r="L578" s="15">
        <f t="shared" si="32"/>
        <v>3</v>
      </c>
      <c r="M578" s="15">
        <f t="shared" si="33"/>
        <v>3.2650000000000001</v>
      </c>
    </row>
    <row r="579" spans="7:13" x14ac:dyDescent="0.25">
      <c r="G579" s="13">
        <v>41247</v>
      </c>
      <c r="H579" s="15">
        <v>3.34</v>
      </c>
      <c r="I579" s="15">
        <v>0.7</v>
      </c>
      <c r="J579" s="15">
        <v>3.2650000000000001</v>
      </c>
      <c r="K579" s="15">
        <f t="shared" si="31"/>
        <v>6.53</v>
      </c>
      <c r="L579" s="15">
        <f t="shared" si="32"/>
        <v>2</v>
      </c>
      <c r="M579" s="15">
        <f t="shared" si="33"/>
        <v>3.2650000000000001</v>
      </c>
    </row>
    <row r="580" spans="7:13" x14ac:dyDescent="0.25">
      <c r="G580" s="13">
        <v>41246</v>
      </c>
      <c r="H580" s="15">
        <v>3.34</v>
      </c>
      <c r="I580" s="15">
        <v>0.7</v>
      </c>
      <c r="J580" s="15">
        <v>3.2650000000000001</v>
      </c>
      <c r="K580" s="15">
        <f t="shared" ref="K580:K643" si="34">IF(MONTH(G580)=MONTH(G581),J580+K581,J580)</f>
        <v>3.2650000000000001</v>
      </c>
      <c r="L580" s="15">
        <f t="shared" ref="L580:L643" si="35">IF(MONTH(G580)=MONTH(G581),L581+1,1)</f>
        <v>1</v>
      </c>
      <c r="M580" s="15">
        <f t="shared" si="33"/>
        <v>3.2650000000000001</v>
      </c>
    </row>
    <row r="581" spans="7:13" x14ac:dyDescent="0.25">
      <c r="G581" s="13">
        <v>41243</v>
      </c>
      <c r="H581" s="15">
        <v>3.34</v>
      </c>
      <c r="I581" s="15">
        <v>0.7</v>
      </c>
      <c r="J581" s="15">
        <v>3.2650000000000001</v>
      </c>
      <c r="K581" s="15">
        <f t="shared" si="34"/>
        <v>65.470000000000013</v>
      </c>
      <c r="L581" s="15">
        <f t="shared" si="35"/>
        <v>20</v>
      </c>
      <c r="M581" s="15">
        <f t="shared" ref="M581:M644" si="36">K581/L581</f>
        <v>3.2735000000000007</v>
      </c>
    </row>
    <row r="582" spans="7:13" x14ac:dyDescent="0.25">
      <c r="G582" s="13">
        <v>41242</v>
      </c>
      <c r="H582" s="15">
        <v>3.34</v>
      </c>
      <c r="I582" s="15">
        <v>0.7</v>
      </c>
      <c r="J582" s="15">
        <v>3.2650000000000001</v>
      </c>
      <c r="K582" s="15">
        <f t="shared" si="34"/>
        <v>62.205000000000013</v>
      </c>
      <c r="L582" s="15">
        <f t="shared" si="35"/>
        <v>19</v>
      </c>
      <c r="M582" s="15">
        <f t="shared" si="36"/>
        <v>3.2739473684210534</v>
      </c>
    </row>
    <row r="583" spans="7:13" x14ac:dyDescent="0.25">
      <c r="G583" s="13">
        <v>41241</v>
      </c>
      <c r="H583" s="15">
        <v>3.32</v>
      </c>
      <c r="I583" s="15">
        <v>0.8</v>
      </c>
      <c r="J583" s="15">
        <v>3.27</v>
      </c>
      <c r="K583" s="15">
        <f t="shared" si="34"/>
        <v>58.940000000000012</v>
      </c>
      <c r="L583" s="15">
        <f t="shared" si="35"/>
        <v>18</v>
      </c>
      <c r="M583" s="15">
        <f t="shared" si="36"/>
        <v>3.2744444444444452</v>
      </c>
    </row>
    <row r="584" spans="7:13" x14ac:dyDescent="0.25">
      <c r="G584" s="13">
        <v>41240</v>
      </c>
      <c r="H584" s="15">
        <v>3.32</v>
      </c>
      <c r="I584" s="15">
        <v>0.8</v>
      </c>
      <c r="J584" s="15">
        <v>3.27</v>
      </c>
      <c r="K584" s="15">
        <f t="shared" si="34"/>
        <v>55.670000000000009</v>
      </c>
      <c r="L584" s="15">
        <f t="shared" si="35"/>
        <v>17</v>
      </c>
      <c r="M584" s="15">
        <f t="shared" si="36"/>
        <v>3.2747058823529418</v>
      </c>
    </row>
    <row r="585" spans="7:13" x14ac:dyDescent="0.25">
      <c r="G585" s="13">
        <v>41239</v>
      </c>
      <c r="H585" s="15">
        <v>3.32</v>
      </c>
      <c r="I585" s="15">
        <v>0.8</v>
      </c>
      <c r="J585" s="15">
        <v>3.27</v>
      </c>
      <c r="K585" s="15">
        <f t="shared" si="34"/>
        <v>52.400000000000006</v>
      </c>
      <c r="L585" s="15">
        <f t="shared" si="35"/>
        <v>16</v>
      </c>
      <c r="M585" s="15">
        <f t="shared" si="36"/>
        <v>3.2750000000000004</v>
      </c>
    </row>
    <row r="586" spans="7:13" x14ac:dyDescent="0.25">
      <c r="G586" s="13">
        <v>41236</v>
      </c>
      <c r="H586" s="15">
        <v>3.32</v>
      </c>
      <c r="I586" s="15">
        <v>0.8</v>
      </c>
      <c r="J586" s="15">
        <v>3.27</v>
      </c>
      <c r="K586" s="15">
        <f t="shared" si="34"/>
        <v>49.13</v>
      </c>
      <c r="L586" s="15">
        <f t="shared" si="35"/>
        <v>15</v>
      </c>
      <c r="M586" s="15">
        <f t="shared" si="36"/>
        <v>3.2753333333333337</v>
      </c>
    </row>
    <row r="587" spans="7:13" x14ac:dyDescent="0.25">
      <c r="G587" s="13">
        <v>41233</v>
      </c>
      <c r="H587" s="15">
        <v>3.31</v>
      </c>
      <c r="I587" s="15">
        <v>0.7</v>
      </c>
      <c r="J587" s="15">
        <v>3.2349999999999999</v>
      </c>
      <c r="K587" s="15">
        <f t="shared" si="34"/>
        <v>45.86</v>
      </c>
      <c r="L587" s="15">
        <f t="shared" si="35"/>
        <v>14</v>
      </c>
      <c r="M587" s="15">
        <f t="shared" si="36"/>
        <v>3.2757142857142858</v>
      </c>
    </row>
    <row r="588" spans="7:13" x14ac:dyDescent="0.25">
      <c r="G588" s="13">
        <v>41232</v>
      </c>
      <c r="H588" s="15">
        <v>3.31</v>
      </c>
      <c r="I588" s="15">
        <v>0.7</v>
      </c>
      <c r="J588" s="15">
        <v>3.2349999999999999</v>
      </c>
      <c r="K588" s="15">
        <f t="shared" si="34"/>
        <v>42.625</v>
      </c>
      <c r="L588" s="15">
        <f t="shared" si="35"/>
        <v>13</v>
      </c>
      <c r="M588" s="15">
        <f t="shared" si="36"/>
        <v>3.2788461538461537</v>
      </c>
    </row>
    <row r="589" spans="7:13" x14ac:dyDescent="0.25">
      <c r="G589" s="13">
        <v>41229</v>
      </c>
      <c r="H589" s="15">
        <v>3.31</v>
      </c>
      <c r="I589" s="15">
        <v>0.7</v>
      </c>
      <c r="J589" s="15">
        <v>3.2349999999999999</v>
      </c>
      <c r="K589" s="15">
        <f t="shared" si="34"/>
        <v>39.39</v>
      </c>
      <c r="L589" s="15">
        <f t="shared" si="35"/>
        <v>12</v>
      </c>
      <c r="M589" s="15">
        <f t="shared" si="36"/>
        <v>3.2825000000000002</v>
      </c>
    </row>
    <row r="590" spans="7:13" x14ac:dyDescent="0.25">
      <c r="G590" s="13">
        <v>41228</v>
      </c>
      <c r="H590" s="15">
        <v>3.31</v>
      </c>
      <c r="I590" s="15">
        <v>0.7</v>
      </c>
      <c r="J590" s="15">
        <v>3.2349999999999999</v>
      </c>
      <c r="K590" s="15">
        <f t="shared" si="34"/>
        <v>36.155000000000001</v>
      </c>
      <c r="L590" s="15">
        <f t="shared" si="35"/>
        <v>11</v>
      </c>
      <c r="M590" s="15">
        <f t="shared" si="36"/>
        <v>3.2868181818181821</v>
      </c>
    </row>
    <row r="591" spans="7:13" x14ac:dyDescent="0.25">
      <c r="G591" s="13">
        <v>41227</v>
      </c>
      <c r="H591" s="15">
        <v>3.31</v>
      </c>
      <c r="I591" s="15">
        <v>0.7</v>
      </c>
      <c r="J591" s="15">
        <v>3.2349999999999999</v>
      </c>
      <c r="K591" s="15">
        <f t="shared" si="34"/>
        <v>32.92</v>
      </c>
      <c r="L591" s="15">
        <f t="shared" si="35"/>
        <v>10</v>
      </c>
      <c r="M591" s="15">
        <f t="shared" si="36"/>
        <v>3.2920000000000003</v>
      </c>
    </row>
    <row r="592" spans="7:13" x14ac:dyDescent="0.25">
      <c r="G592" s="13">
        <v>41227</v>
      </c>
      <c r="H592" s="15">
        <v>3.34</v>
      </c>
      <c r="I592" s="15">
        <v>0.7</v>
      </c>
      <c r="J592" s="15">
        <v>3.2650000000000001</v>
      </c>
      <c r="K592" s="15">
        <f t="shared" si="34"/>
        <v>29.685000000000002</v>
      </c>
      <c r="L592" s="15">
        <f t="shared" si="35"/>
        <v>9</v>
      </c>
      <c r="M592" s="15">
        <f t="shared" si="36"/>
        <v>3.2983333333333338</v>
      </c>
    </row>
    <row r="593" spans="7:13" x14ac:dyDescent="0.25">
      <c r="G593" s="13">
        <v>41226</v>
      </c>
      <c r="H593" s="15">
        <v>3.34</v>
      </c>
      <c r="I593" s="15">
        <v>0.7</v>
      </c>
      <c r="J593" s="15">
        <v>3.2650000000000001</v>
      </c>
      <c r="K593" s="15">
        <f t="shared" si="34"/>
        <v>26.42</v>
      </c>
      <c r="L593" s="15">
        <f t="shared" si="35"/>
        <v>8</v>
      </c>
      <c r="M593" s="15">
        <f t="shared" si="36"/>
        <v>3.3025000000000002</v>
      </c>
    </row>
    <row r="594" spans="7:13" x14ac:dyDescent="0.25">
      <c r="G594" s="13">
        <v>41222</v>
      </c>
      <c r="H594" s="15">
        <v>3.34</v>
      </c>
      <c r="I594" s="15">
        <v>0.7</v>
      </c>
      <c r="J594" s="15">
        <v>3.2650000000000001</v>
      </c>
      <c r="K594" s="15">
        <f t="shared" si="34"/>
        <v>23.155000000000001</v>
      </c>
      <c r="L594" s="15">
        <f t="shared" si="35"/>
        <v>7</v>
      </c>
      <c r="M594" s="15">
        <f t="shared" si="36"/>
        <v>3.3078571428571428</v>
      </c>
    </row>
    <row r="595" spans="7:13" x14ac:dyDescent="0.25">
      <c r="G595" s="13">
        <v>41221</v>
      </c>
      <c r="H595" s="15">
        <v>3.34</v>
      </c>
      <c r="I595" s="15">
        <v>0.7</v>
      </c>
      <c r="J595" s="15">
        <v>3.2650000000000001</v>
      </c>
      <c r="K595" s="15">
        <f t="shared" si="34"/>
        <v>19.89</v>
      </c>
      <c r="L595" s="15">
        <f t="shared" si="35"/>
        <v>6</v>
      </c>
      <c r="M595" s="15">
        <f t="shared" si="36"/>
        <v>3.3149999999999999</v>
      </c>
    </row>
    <row r="596" spans="7:13" x14ac:dyDescent="0.25">
      <c r="G596" s="13">
        <v>41220</v>
      </c>
      <c r="H596" s="15">
        <v>3.4</v>
      </c>
      <c r="I596" s="15">
        <v>0.7</v>
      </c>
      <c r="J596" s="15">
        <v>3.3250000000000002</v>
      </c>
      <c r="K596" s="15">
        <f t="shared" si="34"/>
        <v>16.625</v>
      </c>
      <c r="L596" s="15">
        <f t="shared" si="35"/>
        <v>5</v>
      </c>
      <c r="M596" s="15">
        <f t="shared" si="36"/>
        <v>3.3250000000000002</v>
      </c>
    </row>
    <row r="597" spans="7:13" x14ac:dyDescent="0.25">
      <c r="G597" s="13">
        <v>41219</v>
      </c>
      <c r="H597" s="15">
        <v>3.4</v>
      </c>
      <c r="I597" s="15">
        <v>0.7</v>
      </c>
      <c r="J597" s="15">
        <v>3.3250000000000002</v>
      </c>
      <c r="K597" s="15">
        <f t="shared" si="34"/>
        <v>13.3</v>
      </c>
      <c r="L597" s="15">
        <f t="shared" si="35"/>
        <v>4</v>
      </c>
      <c r="M597" s="15">
        <f t="shared" si="36"/>
        <v>3.3250000000000002</v>
      </c>
    </row>
    <row r="598" spans="7:13" x14ac:dyDescent="0.25">
      <c r="G598" s="13">
        <v>41218</v>
      </c>
      <c r="H598" s="15">
        <v>3.4</v>
      </c>
      <c r="I598" s="15">
        <v>0.7</v>
      </c>
      <c r="J598" s="15">
        <v>3.3250000000000002</v>
      </c>
      <c r="K598" s="15">
        <f t="shared" si="34"/>
        <v>9.9750000000000014</v>
      </c>
      <c r="L598" s="15">
        <f t="shared" si="35"/>
        <v>3</v>
      </c>
      <c r="M598" s="15">
        <f t="shared" si="36"/>
        <v>3.3250000000000006</v>
      </c>
    </row>
    <row r="599" spans="7:13" x14ac:dyDescent="0.25">
      <c r="G599" s="13">
        <v>41215</v>
      </c>
      <c r="H599" s="15">
        <v>3.4</v>
      </c>
      <c r="I599" s="15">
        <v>0.7</v>
      </c>
      <c r="J599" s="15">
        <v>3.3250000000000002</v>
      </c>
      <c r="K599" s="15">
        <f t="shared" si="34"/>
        <v>6.65</v>
      </c>
      <c r="L599" s="15">
        <f t="shared" si="35"/>
        <v>2</v>
      </c>
      <c r="M599" s="15">
        <f t="shared" si="36"/>
        <v>3.3250000000000002</v>
      </c>
    </row>
    <row r="600" spans="7:13" x14ac:dyDescent="0.25">
      <c r="G600" s="13">
        <v>41214</v>
      </c>
      <c r="H600" s="15">
        <v>3.4</v>
      </c>
      <c r="I600" s="15">
        <v>0.7</v>
      </c>
      <c r="J600" s="15">
        <v>3.3250000000000002</v>
      </c>
      <c r="K600" s="15">
        <f t="shared" si="34"/>
        <v>3.3250000000000002</v>
      </c>
      <c r="L600" s="15">
        <f t="shared" si="35"/>
        <v>1</v>
      </c>
      <c r="M600" s="15">
        <f t="shared" si="36"/>
        <v>3.3250000000000002</v>
      </c>
    </row>
    <row r="601" spans="7:13" x14ac:dyDescent="0.25">
      <c r="G601" s="13">
        <v>41213</v>
      </c>
      <c r="H601" s="15">
        <v>3.39</v>
      </c>
      <c r="I601" s="15">
        <v>0.7</v>
      </c>
      <c r="J601" s="15">
        <v>3.3149999999999999</v>
      </c>
      <c r="K601" s="15">
        <f t="shared" si="34"/>
        <v>69.45</v>
      </c>
      <c r="L601" s="15">
        <f t="shared" si="35"/>
        <v>21</v>
      </c>
      <c r="M601" s="15">
        <f t="shared" si="36"/>
        <v>3.3071428571428574</v>
      </c>
    </row>
    <row r="602" spans="7:13" x14ac:dyDescent="0.25">
      <c r="G602" s="13">
        <v>41211</v>
      </c>
      <c r="H602" s="15">
        <v>3.39</v>
      </c>
      <c r="I602" s="15">
        <v>0.7</v>
      </c>
      <c r="J602" s="15">
        <v>3.3149999999999999</v>
      </c>
      <c r="K602" s="15">
        <f t="shared" si="34"/>
        <v>66.135000000000005</v>
      </c>
      <c r="L602" s="15">
        <f t="shared" si="35"/>
        <v>20</v>
      </c>
      <c r="M602" s="15">
        <f t="shared" si="36"/>
        <v>3.3067500000000001</v>
      </c>
    </row>
    <row r="603" spans="7:13" x14ac:dyDescent="0.25">
      <c r="G603" s="13">
        <v>41208</v>
      </c>
      <c r="H603" s="15">
        <v>3.39</v>
      </c>
      <c r="I603" s="15">
        <v>0.7</v>
      </c>
      <c r="J603" s="15">
        <v>3.3149999999999999</v>
      </c>
      <c r="K603" s="15">
        <f t="shared" si="34"/>
        <v>62.820000000000007</v>
      </c>
      <c r="L603" s="15">
        <f t="shared" si="35"/>
        <v>19</v>
      </c>
      <c r="M603" s="15">
        <f t="shared" si="36"/>
        <v>3.3063157894736848</v>
      </c>
    </row>
    <row r="604" spans="7:13" x14ac:dyDescent="0.25">
      <c r="G604" s="13">
        <v>41207</v>
      </c>
      <c r="H604" s="15">
        <v>3.39</v>
      </c>
      <c r="I604" s="15">
        <v>0.7</v>
      </c>
      <c r="J604" s="15">
        <v>3.3149999999999999</v>
      </c>
      <c r="K604" s="15">
        <f t="shared" si="34"/>
        <v>59.50500000000001</v>
      </c>
      <c r="L604" s="15">
        <f t="shared" si="35"/>
        <v>18</v>
      </c>
      <c r="M604" s="15">
        <f t="shared" si="36"/>
        <v>3.3058333333333341</v>
      </c>
    </row>
    <row r="605" spans="7:13" x14ac:dyDescent="0.25">
      <c r="G605" s="13">
        <v>41206</v>
      </c>
      <c r="H605" s="15">
        <v>3.41</v>
      </c>
      <c r="I605" s="15">
        <v>0.7</v>
      </c>
      <c r="J605" s="15">
        <v>3.335</v>
      </c>
      <c r="K605" s="15">
        <f t="shared" si="34"/>
        <v>56.190000000000012</v>
      </c>
      <c r="L605" s="15">
        <f t="shared" si="35"/>
        <v>17</v>
      </c>
      <c r="M605" s="15">
        <f t="shared" si="36"/>
        <v>3.3052941176470596</v>
      </c>
    </row>
    <row r="606" spans="7:13" x14ac:dyDescent="0.25">
      <c r="G606" s="13">
        <v>41205</v>
      </c>
      <c r="H606" s="15">
        <v>3.41</v>
      </c>
      <c r="I606" s="15">
        <v>0.7</v>
      </c>
      <c r="J606" s="15">
        <v>3.335</v>
      </c>
      <c r="K606" s="15">
        <f t="shared" si="34"/>
        <v>52.855000000000011</v>
      </c>
      <c r="L606" s="15">
        <f t="shared" si="35"/>
        <v>16</v>
      </c>
      <c r="M606" s="15">
        <f t="shared" si="36"/>
        <v>3.3034375000000007</v>
      </c>
    </row>
    <row r="607" spans="7:13" x14ac:dyDescent="0.25">
      <c r="G607" s="13">
        <v>41204</v>
      </c>
      <c r="H607" s="15">
        <v>3.41</v>
      </c>
      <c r="I607" s="15">
        <v>0.7</v>
      </c>
      <c r="J607" s="15">
        <v>3.335</v>
      </c>
      <c r="K607" s="15">
        <f t="shared" si="34"/>
        <v>49.52000000000001</v>
      </c>
      <c r="L607" s="15">
        <f t="shared" si="35"/>
        <v>15</v>
      </c>
      <c r="M607" s="15">
        <f t="shared" si="36"/>
        <v>3.3013333333333339</v>
      </c>
    </row>
    <row r="608" spans="7:13" x14ac:dyDescent="0.25">
      <c r="G608" s="13">
        <v>41201</v>
      </c>
      <c r="H608" s="15">
        <v>3.41</v>
      </c>
      <c r="I608" s="15">
        <v>0.7</v>
      </c>
      <c r="J608" s="15">
        <v>3.335</v>
      </c>
      <c r="K608" s="15">
        <f t="shared" si="34"/>
        <v>46.185000000000009</v>
      </c>
      <c r="L608" s="15">
        <f t="shared" si="35"/>
        <v>14</v>
      </c>
      <c r="M608" s="15">
        <f t="shared" si="36"/>
        <v>3.2989285714285721</v>
      </c>
    </row>
    <row r="609" spans="7:13" x14ac:dyDescent="0.25">
      <c r="G609" s="13">
        <v>41200</v>
      </c>
      <c r="H609" s="15">
        <v>3.41</v>
      </c>
      <c r="I609" s="15">
        <v>0.7</v>
      </c>
      <c r="J609" s="15">
        <v>3.335</v>
      </c>
      <c r="K609" s="15">
        <f t="shared" si="34"/>
        <v>42.850000000000009</v>
      </c>
      <c r="L609" s="15">
        <f t="shared" si="35"/>
        <v>13</v>
      </c>
      <c r="M609" s="15">
        <f t="shared" si="36"/>
        <v>3.2961538461538469</v>
      </c>
    </row>
    <row r="610" spans="7:13" x14ac:dyDescent="0.25">
      <c r="G610" s="13">
        <v>41199</v>
      </c>
      <c r="H610" s="15">
        <v>3.37</v>
      </c>
      <c r="I610" s="15">
        <v>0.7</v>
      </c>
      <c r="J610" s="15">
        <v>3.2949999999999999</v>
      </c>
      <c r="K610" s="15">
        <f t="shared" si="34"/>
        <v>39.515000000000008</v>
      </c>
      <c r="L610" s="15">
        <f t="shared" si="35"/>
        <v>12</v>
      </c>
      <c r="M610" s="15">
        <f t="shared" si="36"/>
        <v>3.2929166666666672</v>
      </c>
    </row>
    <row r="611" spans="7:13" x14ac:dyDescent="0.25">
      <c r="G611" s="13">
        <v>41198</v>
      </c>
      <c r="H611" s="15">
        <v>3.37</v>
      </c>
      <c r="I611" s="15">
        <v>0.7</v>
      </c>
      <c r="J611" s="15">
        <v>3.2949999999999999</v>
      </c>
      <c r="K611" s="15">
        <f t="shared" si="34"/>
        <v>36.220000000000006</v>
      </c>
      <c r="L611" s="15">
        <f t="shared" si="35"/>
        <v>11</v>
      </c>
      <c r="M611" s="15">
        <f t="shared" si="36"/>
        <v>3.2927272727272734</v>
      </c>
    </row>
    <row r="612" spans="7:13" x14ac:dyDescent="0.25">
      <c r="G612" s="13">
        <v>41197</v>
      </c>
      <c r="H612" s="15">
        <v>3.37</v>
      </c>
      <c r="I612" s="15">
        <v>0.7</v>
      </c>
      <c r="J612" s="15">
        <v>3.2949999999999999</v>
      </c>
      <c r="K612" s="15">
        <f t="shared" si="34"/>
        <v>32.925000000000004</v>
      </c>
      <c r="L612" s="15">
        <f t="shared" si="35"/>
        <v>10</v>
      </c>
      <c r="M612" s="15">
        <f t="shared" si="36"/>
        <v>3.2925000000000004</v>
      </c>
    </row>
    <row r="613" spans="7:13" x14ac:dyDescent="0.25">
      <c r="G613" s="13">
        <v>41194</v>
      </c>
      <c r="H613" s="15">
        <v>3.37</v>
      </c>
      <c r="I613" s="15">
        <v>0.7</v>
      </c>
      <c r="J613" s="15">
        <v>3.2949999999999999</v>
      </c>
      <c r="K613" s="15">
        <f t="shared" si="34"/>
        <v>29.630000000000003</v>
      </c>
      <c r="L613" s="15">
        <f t="shared" si="35"/>
        <v>9</v>
      </c>
      <c r="M613" s="15">
        <f t="shared" si="36"/>
        <v>3.2922222222222226</v>
      </c>
    </row>
    <row r="614" spans="7:13" x14ac:dyDescent="0.25">
      <c r="G614" s="13">
        <v>41193</v>
      </c>
      <c r="H614" s="15">
        <v>3.37</v>
      </c>
      <c r="I614" s="15">
        <v>0.7</v>
      </c>
      <c r="J614" s="15">
        <v>3.2949999999999999</v>
      </c>
      <c r="K614" s="15">
        <f t="shared" si="34"/>
        <v>26.335000000000001</v>
      </c>
      <c r="L614" s="15">
        <f t="shared" si="35"/>
        <v>8</v>
      </c>
      <c r="M614" s="15">
        <f t="shared" si="36"/>
        <v>3.2918750000000001</v>
      </c>
    </row>
    <row r="615" spans="7:13" x14ac:dyDescent="0.25">
      <c r="G615" s="13">
        <v>41192</v>
      </c>
      <c r="H615" s="15">
        <v>3.39</v>
      </c>
      <c r="I615" s="15">
        <v>0.7</v>
      </c>
      <c r="J615" s="15">
        <v>3.3149999999999999</v>
      </c>
      <c r="K615" s="15">
        <f t="shared" si="34"/>
        <v>23.040000000000003</v>
      </c>
      <c r="L615" s="15">
        <f t="shared" si="35"/>
        <v>7</v>
      </c>
      <c r="M615" s="15">
        <f t="shared" si="36"/>
        <v>3.2914285714285718</v>
      </c>
    </row>
    <row r="616" spans="7:13" x14ac:dyDescent="0.25">
      <c r="G616" s="13">
        <v>41191</v>
      </c>
      <c r="H616" s="15">
        <v>3.39</v>
      </c>
      <c r="I616" s="15">
        <v>0.7</v>
      </c>
      <c r="J616" s="15">
        <v>3.3149999999999999</v>
      </c>
      <c r="K616" s="15">
        <f t="shared" si="34"/>
        <v>19.725000000000001</v>
      </c>
      <c r="L616" s="15">
        <f t="shared" si="35"/>
        <v>6</v>
      </c>
      <c r="M616" s="15">
        <f t="shared" si="36"/>
        <v>3.2875000000000001</v>
      </c>
    </row>
    <row r="617" spans="7:13" x14ac:dyDescent="0.25">
      <c r="G617" s="13">
        <v>41187</v>
      </c>
      <c r="H617" s="15">
        <v>3.39</v>
      </c>
      <c r="I617" s="15">
        <v>0.7</v>
      </c>
      <c r="J617" s="15">
        <v>3.3149999999999999</v>
      </c>
      <c r="K617" s="15">
        <f t="shared" si="34"/>
        <v>16.41</v>
      </c>
      <c r="L617" s="15">
        <f t="shared" si="35"/>
        <v>5</v>
      </c>
      <c r="M617" s="15">
        <f t="shared" si="36"/>
        <v>3.282</v>
      </c>
    </row>
    <row r="618" spans="7:13" x14ac:dyDescent="0.25">
      <c r="G618" s="13">
        <v>41186</v>
      </c>
      <c r="H618" s="15">
        <v>3.39</v>
      </c>
      <c r="I618" s="15">
        <v>0.7</v>
      </c>
      <c r="J618" s="15">
        <v>3.3149999999999999</v>
      </c>
      <c r="K618" s="15">
        <f t="shared" si="34"/>
        <v>13.094999999999999</v>
      </c>
      <c r="L618" s="15">
        <f t="shared" si="35"/>
        <v>4</v>
      </c>
      <c r="M618" s="15">
        <f t="shared" si="36"/>
        <v>3.2737499999999997</v>
      </c>
    </row>
    <row r="619" spans="7:13" x14ac:dyDescent="0.25">
      <c r="G619" s="13">
        <v>41185</v>
      </c>
      <c r="H619" s="15">
        <v>3.36</v>
      </c>
      <c r="I619" s="15">
        <v>0.6</v>
      </c>
      <c r="J619" s="15">
        <v>3.26</v>
      </c>
      <c r="K619" s="15">
        <f t="shared" si="34"/>
        <v>9.7799999999999994</v>
      </c>
      <c r="L619" s="15">
        <f t="shared" si="35"/>
        <v>3</v>
      </c>
      <c r="M619" s="15">
        <f t="shared" si="36"/>
        <v>3.26</v>
      </c>
    </row>
    <row r="620" spans="7:13" x14ac:dyDescent="0.25">
      <c r="G620" s="13">
        <v>41184</v>
      </c>
      <c r="H620" s="15">
        <v>3.36</v>
      </c>
      <c r="I620" s="15">
        <v>0.6</v>
      </c>
      <c r="J620" s="15">
        <v>3.26</v>
      </c>
      <c r="K620" s="15">
        <f t="shared" si="34"/>
        <v>6.52</v>
      </c>
      <c r="L620" s="15">
        <f t="shared" si="35"/>
        <v>2</v>
      </c>
      <c r="M620" s="15">
        <f t="shared" si="36"/>
        <v>3.26</v>
      </c>
    </row>
    <row r="621" spans="7:13" x14ac:dyDescent="0.25">
      <c r="G621" s="13">
        <v>41183</v>
      </c>
      <c r="H621" s="15">
        <v>3.36</v>
      </c>
      <c r="I621" s="15">
        <v>0.6</v>
      </c>
      <c r="J621" s="15">
        <v>3.26</v>
      </c>
      <c r="K621" s="15">
        <f t="shared" si="34"/>
        <v>3.26</v>
      </c>
      <c r="L621" s="15">
        <f t="shared" si="35"/>
        <v>1</v>
      </c>
      <c r="M621" s="15">
        <f t="shared" si="36"/>
        <v>3.26</v>
      </c>
    </row>
    <row r="622" spans="7:13" x14ac:dyDescent="0.25">
      <c r="G622" s="13">
        <v>41180</v>
      </c>
      <c r="H622" s="15">
        <v>3.36</v>
      </c>
      <c r="I622" s="15">
        <v>0.6</v>
      </c>
      <c r="J622" s="15">
        <v>3.26</v>
      </c>
      <c r="K622" s="15">
        <f t="shared" si="34"/>
        <v>64.169999999999987</v>
      </c>
      <c r="L622" s="15">
        <f t="shared" si="35"/>
        <v>19</v>
      </c>
      <c r="M622" s="15">
        <f t="shared" si="36"/>
        <v>3.3773684210526311</v>
      </c>
    </row>
    <row r="623" spans="7:13" x14ac:dyDescent="0.25">
      <c r="G623" s="13">
        <v>41179</v>
      </c>
      <c r="H623" s="15">
        <v>3.36</v>
      </c>
      <c r="I623" s="15">
        <v>0.6</v>
      </c>
      <c r="J623" s="15">
        <v>3.26</v>
      </c>
      <c r="K623" s="15">
        <f t="shared" si="34"/>
        <v>60.909999999999982</v>
      </c>
      <c r="L623" s="15">
        <f t="shared" si="35"/>
        <v>18</v>
      </c>
      <c r="M623" s="15">
        <f t="shared" si="36"/>
        <v>3.3838888888888881</v>
      </c>
    </row>
    <row r="624" spans="7:13" x14ac:dyDescent="0.25">
      <c r="G624" s="13">
        <v>41178</v>
      </c>
      <c r="H624" s="15">
        <v>3.4</v>
      </c>
      <c r="I624" s="15">
        <v>0.6</v>
      </c>
      <c r="J624" s="15">
        <v>3.3</v>
      </c>
      <c r="K624" s="15">
        <f t="shared" si="34"/>
        <v>57.649999999999984</v>
      </c>
      <c r="L624" s="15">
        <f t="shared" si="35"/>
        <v>17</v>
      </c>
      <c r="M624" s="15">
        <f t="shared" si="36"/>
        <v>3.3911764705882343</v>
      </c>
    </row>
    <row r="625" spans="7:13" x14ac:dyDescent="0.25">
      <c r="G625" s="13">
        <v>41177</v>
      </c>
      <c r="H625" s="15">
        <v>3.4</v>
      </c>
      <c r="I625" s="15">
        <v>0.6</v>
      </c>
      <c r="J625" s="15">
        <v>3.3</v>
      </c>
      <c r="K625" s="15">
        <f t="shared" si="34"/>
        <v>54.349999999999987</v>
      </c>
      <c r="L625" s="15">
        <f t="shared" si="35"/>
        <v>16</v>
      </c>
      <c r="M625" s="15">
        <f t="shared" si="36"/>
        <v>3.3968749999999992</v>
      </c>
    </row>
    <row r="626" spans="7:13" x14ac:dyDescent="0.25">
      <c r="G626" s="13">
        <v>41176</v>
      </c>
      <c r="H626" s="15">
        <v>3.4</v>
      </c>
      <c r="I626" s="15">
        <v>0.6</v>
      </c>
      <c r="J626" s="15">
        <v>3.3</v>
      </c>
      <c r="K626" s="15">
        <f t="shared" si="34"/>
        <v>51.04999999999999</v>
      </c>
      <c r="L626" s="15">
        <f t="shared" si="35"/>
        <v>15</v>
      </c>
      <c r="M626" s="15">
        <f t="shared" si="36"/>
        <v>3.4033333333333329</v>
      </c>
    </row>
    <row r="627" spans="7:13" x14ac:dyDescent="0.25">
      <c r="G627" s="13">
        <v>41173</v>
      </c>
      <c r="H627" s="15">
        <v>3.4</v>
      </c>
      <c r="I627" s="15">
        <v>0.6</v>
      </c>
      <c r="J627" s="15">
        <v>3.3</v>
      </c>
      <c r="K627" s="15">
        <f t="shared" si="34"/>
        <v>47.749999999999993</v>
      </c>
      <c r="L627" s="15">
        <f t="shared" si="35"/>
        <v>14</v>
      </c>
      <c r="M627" s="15">
        <f t="shared" si="36"/>
        <v>3.4107142857142851</v>
      </c>
    </row>
    <row r="628" spans="7:13" x14ac:dyDescent="0.25">
      <c r="G628" s="13">
        <v>41172</v>
      </c>
      <c r="H628" s="15">
        <v>3.4</v>
      </c>
      <c r="I628" s="15">
        <v>0.6</v>
      </c>
      <c r="J628" s="15">
        <v>3.3</v>
      </c>
      <c r="K628" s="15">
        <f t="shared" si="34"/>
        <v>44.449999999999996</v>
      </c>
      <c r="L628" s="15">
        <f t="shared" si="35"/>
        <v>13</v>
      </c>
      <c r="M628" s="15">
        <f t="shared" si="36"/>
        <v>3.4192307692307691</v>
      </c>
    </row>
    <row r="629" spans="7:13" x14ac:dyDescent="0.25">
      <c r="G629" s="13">
        <v>41171</v>
      </c>
      <c r="H629" s="15">
        <v>3.49</v>
      </c>
      <c r="I629" s="15">
        <v>0.6</v>
      </c>
      <c r="J629" s="15">
        <v>3.39</v>
      </c>
      <c r="K629" s="15">
        <f t="shared" si="34"/>
        <v>41.15</v>
      </c>
      <c r="L629" s="15">
        <f t="shared" si="35"/>
        <v>12</v>
      </c>
      <c r="M629" s="15">
        <f t="shared" si="36"/>
        <v>3.4291666666666667</v>
      </c>
    </row>
    <row r="630" spans="7:13" x14ac:dyDescent="0.25">
      <c r="G630" s="13">
        <v>41170</v>
      </c>
      <c r="H630" s="15">
        <v>3.49</v>
      </c>
      <c r="I630" s="15">
        <v>0.6</v>
      </c>
      <c r="J630" s="15">
        <v>3.39</v>
      </c>
      <c r="K630" s="15">
        <f t="shared" si="34"/>
        <v>37.76</v>
      </c>
      <c r="L630" s="15">
        <f t="shared" si="35"/>
        <v>11</v>
      </c>
      <c r="M630" s="15">
        <f t="shared" si="36"/>
        <v>3.4327272727272726</v>
      </c>
    </row>
    <row r="631" spans="7:13" x14ac:dyDescent="0.25">
      <c r="G631" s="13">
        <v>41169</v>
      </c>
      <c r="H631" s="15">
        <v>3.49</v>
      </c>
      <c r="I631" s="15">
        <v>0.6</v>
      </c>
      <c r="J631" s="15">
        <v>3.39</v>
      </c>
      <c r="K631" s="15">
        <f t="shared" si="34"/>
        <v>34.369999999999997</v>
      </c>
      <c r="L631" s="15">
        <f t="shared" si="35"/>
        <v>10</v>
      </c>
      <c r="M631" s="15">
        <f t="shared" si="36"/>
        <v>3.4369999999999998</v>
      </c>
    </row>
    <row r="632" spans="7:13" x14ac:dyDescent="0.25">
      <c r="G632" s="13">
        <v>41166</v>
      </c>
      <c r="H632" s="15">
        <v>3.49</v>
      </c>
      <c r="I632" s="15">
        <v>0.6</v>
      </c>
      <c r="J632" s="15">
        <v>3.39</v>
      </c>
      <c r="K632" s="15">
        <f t="shared" si="34"/>
        <v>30.98</v>
      </c>
      <c r="L632" s="15">
        <f t="shared" si="35"/>
        <v>9</v>
      </c>
      <c r="M632" s="15">
        <f t="shared" si="36"/>
        <v>3.4422222222222221</v>
      </c>
    </row>
    <row r="633" spans="7:13" x14ac:dyDescent="0.25">
      <c r="G633" s="13">
        <v>41165</v>
      </c>
      <c r="H633" s="15">
        <v>3.49</v>
      </c>
      <c r="I633" s="15">
        <v>0.6</v>
      </c>
      <c r="J633" s="15">
        <v>3.39</v>
      </c>
      <c r="K633" s="15">
        <f t="shared" si="34"/>
        <v>27.59</v>
      </c>
      <c r="L633" s="15">
        <f t="shared" si="35"/>
        <v>8</v>
      </c>
      <c r="M633" s="15">
        <f t="shared" si="36"/>
        <v>3.44875</v>
      </c>
    </row>
    <row r="634" spans="7:13" x14ac:dyDescent="0.25">
      <c r="G634" s="13">
        <v>41164</v>
      </c>
      <c r="H634" s="15">
        <v>3.55</v>
      </c>
      <c r="I634" s="15">
        <v>0.6</v>
      </c>
      <c r="J634" s="15">
        <v>3.45</v>
      </c>
      <c r="K634" s="15">
        <f t="shared" si="34"/>
        <v>24.2</v>
      </c>
      <c r="L634" s="15">
        <f t="shared" si="35"/>
        <v>7</v>
      </c>
      <c r="M634" s="15">
        <f t="shared" si="36"/>
        <v>3.4571428571428569</v>
      </c>
    </row>
    <row r="635" spans="7:13" x14ac:dyDescent="0.25">
      <c r="G635" s="13">
        <v>41163</v>
      </c>
      <c r="H635" s="15">
        <v>3.55</v>
      </c>
      <c r="I635" s="15">
        <v>0.6</v>
      </c>
      <c r="J635" s="15">
        <v>3.45</v>
      </c>
      <c r="K635" s="15">
        <f t="shared" si="34"/>
        <v>20.75</v>
      </c>
      <c r="L635" s="15">
        <f t="shared" si="35"/>
        <v>6</v>
      </c>
      <c r="M635" s="15">
        <f t="shared" si="36"/>
        <v>3.4583333333333335</v>
      </c>
    </row>
    <row r="636" spans="7:13" x14ac:dyDescent="0.25">
      <c r="G636" s="13">
        <v>41162</v>
      </c>
      <c r="H636" s="15">
        <v>3.55</v>
      </c>
      <c r="I636" s="15">
        <v>0.6</v>
      </c>
      <c r="J636" s="15">
        <v>3.45</v>
      </c>
      <c r="K636" s="15">
        <f t="shared" si="34"/>
        <v>17.3</v>
      </c>
      <c r="L636" s="15">
        <f t="shared" si="35"/>
        <v>5</v>
      </c>
      <c r="M636" s="15">
        <f t="shared" si="36"/>
        <v>3.46</v>
      </c>
    </row>
    <row r="637" spans="7:13" x14ac:dyDescent="0.25">
      <c r="G637" s="13">
        <v>41159</v>
      </c>
      <c r="H637" s="15">
        <v>3.55</v>
      </c>
      <c r="I637" s="15">
        <v>0.6</v>
      </c>
      <c r="J637" s="15">
        <v>3.45</v>
      </c>
      <c r="K637" s="15">
        <f t="shared" si="34"/>
        <v>13.850000000000001</v>
      </c>
      <c r="L637" s="15">
        <f t="shared" si="35"/>
        <v>4</v>
      </c>
      <c r="M637" s="15">
        <f t="shared" si="36"/>
        <v>3.4625000000000004</v>
      </c>
    </row>
    <row r="638" spans="7:13" x14ac:dyDescent="0.25">
      <c r="G638" s="13">
        <v>41158</v>
      </c>
      <c r="H638" s="15">
        <v>3.55</v>
      </c>
      <c r="I638" s="15">
        <v>0.6</v>
      </c>
      <c r="J638" s="15">
        <v>3.45</v>
      </c>
      <c r="K638" s="15">
        <f t="shared" si="34"/>
        <v>10.4</v>
      </c>
      <c r="L638" s="15">
        <f t="shared" si="35"/>
        <v>3</v>
      </c>
      <c r="M638" s="15">
        <f t="shared" si="36"/>
        <v>3.4666666666666668</v>
      </c>
    </row>
    <row r="639" spans="7:13" x14ac:dyDescent="0.25">
      <c r="G639" s="13">
        <v>41157</v>
      </c>
      <c r="H639" s="15">
        <v>3.55</v>
      </c>
      <c r="I639" s="15">
        <v>0.7</v>
      </c>
      <c r="J639" s="15">
        <v>3.4750000000000001</v>
      </c>
      <c r="K639" s="15">
        <f t="shared" si="34"/>
        <v>6.95</v>
      </c>
      <c r="L639" s="15">
        <f t="shared" si="35"/>
        <v>2</v>
      </c>
      <c r="M639" s="15">
        <f t="shared" si="36"/>
        <v>3.4750000000000001</v>
      </c>
    </row>
    <row r="640" spans="7:13" x14ac:dyDescent="0.25">
      <c r="G640" s="13">
        <v>41156</v>
      </c>
      <c r="H640" s="15">
        <v>3.55</v>
      </c>
      <c r="I640" s="15">
        <v>0.7</v>
      </c>
      <c r="J640" s="15">
        <v>3.4750000000000001</v>
      </c>
      <c r="K640" s="15">
        <f t="shared" si="34"/>
        <v>3.4750000000000001</v>
      </c>
      <c r="L640" s="15">
        <f t="shared" si="35"/>
        <v>1</v>
      </c>
      <c r="M640" s="15">
        <f t="shared" si="36"/>
        <v>3.4750000000000001</v>
      </c>
    </row>
    <row r="641" spans="7:13" x14ac:dyDescent="0.25">
      <c r="G641" s="13">
        <v>41152</v>
      </c>
      <c r="H641" s="15">
        <v>3.55</v>
      </c>
      <c r="I641" s="15">
        <v>0.7</v>
      </c>
      <c r="J641" s="15">
        <v>3.4750000000000001</v>
      </c>
      <c r="K641" s="15">
        <f t="shared" si="34"/>
        <v>80.849999999999994</v>
      </c>
      <c r="L641" s="15">
        <f t="shared" si="35"/>
        <v>23</v>
      </c>
      <c r="M641" s="15">
        <f t="shared" si="36"/>
        <v>3.5152173913043474</v>
      </c>
    </row>
    <row r="642" spans="7:13" x14ac:dyDescent="0.25">
      <c r="G642" s="13">
        <v>41151</v>
      </c>
      <c r="H642" s="15">
        <v>3.55</v>
      </c>
      <c r="I642" s="15">
        <v>0.7</v>
      </c>
      <c r="J642" s="15">
        <v>3.4750000000000001</v>
      </c>
      <c r="K642" s="15">
        <f t="shared" si="34"/>
        <v>77.375</v>
      </c>
      <c r="L642" s="15">
        <f t="shared" si="35"/>
        <v>22</v>
      </c>
      <c r="M642" s="15">
        <f t="shared" si="36"/>
        <v>3.5170454545454546</v>
      </c>
    </row>
    <row r="643" spans="7:13" x14ac:dyDescent="0.25">
      <c r="G643" s="13">
        <v>41150</v>
      </c>
      <c r="H643" s="15">
        <v>3.59</v>
      </c>
      <c r="I643" s="15">
        <v>0.6</v>
      </c>
      <c r="J643" s="15">
        <v>3.49</v>
      </c>
      <c r="K643" s="15">
        <f t="shared" si="34"/>
        <v>73.900000000000006</v>
      </c>
      <c r="L643" s="15">
        <f t="shared" si="35"/>
        <v>21</v>
      </c>
      <c r="M643" s="15">
        <f t="shared" si="36"/>
        <v>3.5190476190476194</v>
      </c>
    </row>
    <row r="644" spans="7:13" x14ac:dyDescent="0.25">
      <c r="G644" s="13">
        <v>41149</v>
      </c>
      <c r="H644" s="15">
        <v>3.59</v>
      </c>
      <c r="I644" s="15">
        <v>0.6</v>
      </c>
      <c r="J644" s="15">
        <v>3.49</v>
      </c>
      <c r="K644" s="15">
        <f t="shared" ref="K644:K707" si="37">IF(MONTH(G644)=MONTH(G645),J644+K645,J644)</f>
        <v>70.410000000000011</v>
      </c>
      <c r="L644" s="15">
        <f t="shared" ref="L644:L707" si="38">IF(MONTH(G644)=MONTH(G645),L645+1,1)</f>
        <v>20</v>
      </c>
      <c r="M644" s="15">
        <f t="shared" si="36"/>
        <v>3.5205000000000006</v>
      </c>
    </row>
    <row r="645" spans="7:13" x14ac:dyDescent="0.25">
      <c r="G645" s="13">
        <v>41148</v>
      </c>
      <c r="H645" s="15">
        <v>3.59</v>
      </c>
      <c r="I645" s="15">
        <v>0.6</v>
      </c>
      <c r="J645" s="15">
        <v>3.49</v>
      </c>
      <c r="K645" s="15">
        <f t="shared" si="37"/>
        <v>66.920000000000016</v>
      </c>
      <c r="L645" s="15">
        <f t="shared" si="38"/>
        <v>19</v>
      </c>
      <c r="M645" s="15">
        <f t="shared" ref="M645:M708" si="39">K645/L645</f>
        <v>3.5221052631578957</v>
      </c>
    </row>
    <row r="646" spans="7:13" x14ac:dyDescent="0.25">
      <c r="G646" s="13">
        <v>41145</v>
      </c>
      <c r="H646" s="15">
        <v>3.59</v>
      </c>
      <c r="I646" s="15">
        <v>0.6</v>
      </c>
      <c r="J646" s="15">
        <v>3.49</v>
      </c>
      <c r="K646" s="15">
        <f t="shared" si="37"/>
        <v>63.430000000000014</v>
      </c>
      <c r="L646" s="15">
        <f t="shared" si="38"/>
        <v>18</v>
      </c>
      <c r="M646" s="15">
        <f t="shared" si="39"/>
        <v>3.5238888888888895</v>
      </c>
    </row>
    <row r="647" spans="7:13" x14ac:dyDescent="0.25">
      <c r="G647" s="13">
        <v>41144</v>
      </c>
      <c r="H647" s="15">
        <v>3.59</v>
      </c>
      <c r="I647" s="15">
        <v>0.6</v>
      </c>
      <c r="J647" s="15">
        <v>3.49</v>
      </c>
      <c r="K647" s="15">
        <f t="shared" si="37"/>
        <v>59.940000000000012</v>
      </c>
      <c r="L647" s="15">
        <f t="shared" si="38"/>
        <v>17</v>
      </c>
      <c r="M647" s="15">
        <f t="shared" si="39"/>
        <v>3.5258823529411774</v>
      </c>
    </row>
    <row r="648" spans="7:13" x14ac:dyDescent="0.25">
      <c r="G648" s="13">
        <v>41143</v>
      </c>
      <c r="H648" s="15">
        <v>3.66</v>
      </c>
      <c r="I648" s="15">
        <v>0.7</v>
      </c>
      <c r="J648" s="15">
        <v>3.585</v>
      </c>
      <c r="K648" s="15">
        <f t="shared" si="37"/>
        <v>56.45000000000001</v>
      </c>
      <c r="L648" s="15">
        <f t="shared" si="38"/>
        <v>16</v>
      </c>
      <c r="M648" s="15">
        <f t="shared" si="39"/>
        <v>3.5281250000000006</v>
      </c>
    </row>
    <row r="649" spans="7:13" x14ac:dyDescent="0.25">
      <c r="G649" s="13">
        <v>41142</v>
      </c>
      <c r="H649" s="15">
        <v>3.66</v>
      </c>
      <c r="I649" s="15">
        <v>0.7</v>
      </c>
      <c r="J649" s="15">
        <v>3.585</v>
      </c>
      <c r="K649" s="15">
        <f t="shared" si="37"/>
        <v>52.865000000000009</v>
      </c>
      <c r="L649" s="15">
        <f t="shared" si="38"/>
        <v>15</v>
      </c>
      <c r="M649" s="15">
        <f t="shared" si="39"/>
        <v>3.5243333333333338</v>
      </c>
    </row>
    <row r="650" spans="7:13" x14ac:dyDescent="0.25">
      <c r="G650" s="13">
        <v>41141</v>
      </c>
      <c r="H650" s="15">
        <v>3.66</v>
      </c>
      <c r="I650" s="15">
        <v>0.7</v>
      </c>
      <c r="J650" s="15">
        <v>3.585</v>
      </c>
      <c r="K650" s="15">
        <f t="shared" si="37"/>
        <v>49.280000000000008</v>
      </c>
      <c r="L650" s="15">
        <f t="shared" si="38"/>
        <v>14</v>
      </c>
      <c r="M650" s="15">
        <f t="shared" si="39"/>
        <v>3.5200000000000005</v>
      </c>
    </row>
    <row r="651" spans="7:13" x14ac:dyDescent="0.25">
      <c r="G651" s="13">
        <v>41138</v>
      </c>
      <c r="H651" s="15">
        <v>3.66</v>
      </c>
      <c r="I651" s="15">
        <v>0.7</v>
      </c>
      <c r="J651" s="15">
        <v>3.585</v>
      </c>
      <c r="K651" s="15">
        <f t="shared" si="37"/>
        <v>45.695000000000007</v>
      </c>
      <c r="L651" s="15">
        <f t="shared" si="38"/>
        <v>13</v>
      </c>
      <c r="M651" s="15">
        <f t="shared" si="39"/>
        <v>3.5150000000000006</v>
      </c>
    </row>
    <row r="652" spans="7:13" x14ac:dyDescent="0.25">
      <c r="G652" s="13">
        <v>41137</v>
      </c>
      <c r="H652" s="15">
        <v>3.66</v>
      </c>
      <c r="I652" s="15">
        <v>0.7</v>
      </c>
      <c r="J652" s="15">
        <v>3.585</v>
      </c>
      <c r="K652" s="15">
        <f t="shared" si="37"/>
        <v>42.110000000000007</v>
      </c>
      <c r="L652" s="15">
        <f t="shared" si="38"/>
        <v>12</v>
      </c>
      <c r="M652" s="15">
        <f t="shared" si="39"/>
        <v>3.5091666666666672</v>
      </c>
    </row>
    <row r="653" spans="7:13" x14ac:dyDescent="0.25">
      <c r="G653" s="13">
        <v>41136</v>
      </c>
      <c r="H653" s="15">
        <v>3.62</v>
      </c>
      <c r="I653" s="15">
        <v>0.6</v>
      </c>
      <c r="J653" s="15">
        <v>3.52</v>
      </c>
      <c r="K653" s="15">
        <f t="shared" si="37"/>
        <v>38.525000000000006</v>
      </c>
      <c r="L653" s="15">
        <f t="shared" si="38"/>
        <v>11</v>
      </c>
      <c r="M653" s="15">
        <f t="shared" si="39"/>
        <v>3.5022727272727279</v>
      </c>
    </row>
    <row r="654" spans="7:13" x14ac:dyDescent="0.25">
      <c r="G654" s="13">
        <v>41135</v>
      </c>
      <c r="H654" s="15">
        <v>3.62</v>
      </c>
      <c r="I654" s="15">
        <v>0.6</v>
      </c>
      <c r="J654" s="15">
        <v>3.52</v>
      </c>
      <c r="K654" s="15">
        <f t="shared" si="37"/>
        <v>35.005000000000003</v>
      </c>
      <c r="L654" s="15">
        <f t="shared" si="38"/>
        <v>10</v>
      </c>
      <c r="M654" s="15">
        <f t="shared" si="39"/>
        <v>3.5005000000000002</v>
      </c>
    </row>
    <row r="655" spans="7:13" x14ac:dyDescent="0.25">
      <c r="G655" s="13">
        <v>41134</v>
      </c>
      <c r="H655" s="15">
        <v>3.62</v>
      </c>
      <c r="I655" s="15">
        <v>0.6</v>
      </c>
      <c r="J655" s="15">
        <v>3.52</v>
      </c>
      <c r="K655" s="15">
        <f t="shared" si="37"/>
        <v>31.485000000000003</v>
      </c>
      <c r="L655" s="15">
        <f t="shared" si="38"/>
        <v>9</v>
      </c>
      <c r="M655" s="15">
        <f t="shared" si="39"/>
        <v>3.4983333333333335</v>
      </c>
    </row>
    <row r="656" spans="7:13" x14ac:dyDescent="0.25">
      <c r="G656" s="13">
        <v>41131</v>
      </c>
      <c r="H656" s="15">
        <v>3.62</v>
      </c>
      <c r="I656" s="15">
        <v>0.6</v>
      </c>
      <c r="J656" s="15">
        <v>3.52</v>
      </c>
      <c r="K656" s="15">
        <f t="shared" si="37"/>
        <v>27.965000000000003</v>
      </c>
      <c r="L656" s="15">
        <f t="shared" si="38"/>
        <v>8</v>
      </c>
      <c r="M656" s="15">
        <f t="shared" si="39"/>
        <v>3.4956250000000004</v>
      </c>
    </row>
    <row r="657" spans="7:13" x14ac:dyDescent="0.25">
      <c r="G657" s="13">
        <v>41130</v>
      </c>
      <c r="H657" s="15">
        <v>3.62</v>
      </c>
      <c r="I657" s="15">
        <v>0.6</v>
      </c>
      <c r="J657" s="15">
        <v>3.52</v>
      </c>
      <c r="K657" s="15">
        <f t="shared" si="37"/>
        <v>24.445000000000004</v>
      </c>
      <c r="L657" s="15">
        <f t="shared" si="38"/>
        <v>7</v>
      </c>
      <c r="M657" s="15">
        <f t="shared" si="39"/>
        <v>3.4921428571428579</v>
      </c>
    </row>
    <row r="658" spans="7:13" x14ac:dyDescent="0.25">
      <c r="G658" s="13">
        <v>41129</v>
      </c>
      <c r="H658" s="15">
        <v>3.59</v>
      </c>
      <c r="I658" s="15">
        <v>0.6</v>
      </c>
      <c r="J658" s="15">
        <v>3.49</v>
      </c>
      <c r="K658" s="15">
        <f t="shared" si="37"/>
        <v>20.925000000000004</v>
      </c>
      <c r="L658" s="15">
        <f t="shared" si="38"/>
        <v>6</v>
      </c>
      <c r="M658" s="15">
        <f t="shared" si="39"/>
        <v>3.4875000000000007</v>
      </c>
    </row>
    <row r="659" spans="7:13" x14ac:dyDescent="0.25">
      <c r="G659" s="13">
        <v>41128</v>
      </c>
      <c r="H659" s="15">
        <v>3.59</v>
      </c>
      <c r="I659" s="15">
        <v>0.6</v>
      </c>
      <c r="J659" s="15">
        <v>3.49</v>
      </c>
      <c r="K659" s="15">
        <f t="shared" si="37"/>
        <v>17.435000000000002</v>
      </c>
      <c r="L659" s="15">
        <f t="shared" si="38"/>
        <v>5</v>
      </c>
      <c r="M659" s="15">
        <f t="shared" si="39"/>
        <v>3.4870000000000005</v>
      </c>
    </row>
    <row r="660" spans="7:13" x14ac:dyDescent="0.25">
      <c r="G660" s="13">
        <v>41127</v>
      </c>
      <c r="H660" s="15">
        <v>3.59</v>
      </c>
      <c r="I660" s="15">
        <v>0.6</v>
      </c>
      <c r="J660" s="15">
        <v>3.49</v>
      </c>
      <c r="K660" s="15">
        <f t="shared" si="37"/>
        <v>13.945</v>
      </c>
      <c r="L660" s="15">
        <f t="shared" si="38"/>
        <v>4</v>
      </c>
      <c r="M660" s="15">
        <f t="shared" si="39"/>
        <v>3.4862500000000001</v>
      </c>
    </row>
    <row r="661" spans="7:13" x14ac:dyDescent="0.25">
      <c r="G661" s="13">
        <v>41124</v>
      </c>
      <c r="H661" s="15">
        <v>3.59</v>
      </c>
      <c r="I661" s="15">
        <v>0.6</v>
      </c>
      <c r="J661" s="15">
        <v>3.49</v>
      </c>
      <c r="K661" s="15">
        <f t="shared" si="37"/>
        <v>10.455</v>
      </c>
      <c r="L661" s="15">
        <f t="shared" si="38"/>
        <v>3</v>
      </c>
      <c r="M661" s="15">
        <f t="shared" si="39"/>
        <v>3.4849999999999999</v>
      </c>
    </row>
    <row r="662" spans="7:13" x14ac:dyDescent="0.25">
      <c r="G662" s="13">
        <v>41123</v>
      </c>
      <c r="H662" s="15">
        <v>3.59</v>
      </c>
      <c r="I662" s="15">
        <v>0.6</v>
      </c>
      <c r="J662" s="15">
        <v>3.49</v>
      </c>
      <c r="K662" s="15">
        <f t="shared" si="37"/>
        <v>6.9649999999999999</v>
      </c>
      <c r="L662" s="15">
        <f t="shared" si="38"/>
        <v>2</v>
      </c>
      <c r="M662" s="15">
        <f t="shared" si="39"/>
        <v>3.4824999999999999</v>
      </c>
    </row>
    <row r="663" spans="7:13" x14ac:dyDescent="0.25">
      <c r="G663" s="13">
        <v>41122</v>
      </c>
      <c r="H663" s="15">
        <v>3.55</v>
      </c>
      <c r="I663" s="15">
        <v>0.7</v>
      </c>
      <c r="J663" s="15">
        <v>3.4750000000000001</v>
      </c>
      <c r="K663" s="15">
        <f t="shared" si="37"/>
        <v>3.4750000000000001</v>
      </c>
      <c r="L663" s="15">
        <f t="shared" si="38"/>
        <v>1</v>
      </c>
      <c r="M663" s="15">
        <f t="shared" si="39"/>
        <v>3.4750000000000001</v>
      </c>
    </row>
    <row r="664" spans="7:13" x14ac:dyDescent="0.25">
      <c r="G664" s="13">
        <v>41121</v>
      </c>
      <c r="H664" s="15">
        <v>3.55</v>
      </c>
      <c r="I664" s="15">
        <v>0.7</v>
      </c>
      <c r="J664" s="15">
        <v>3.4750000000000001</v>
      </c>
      <c r="K664" s="15">
        <f t="shared" si="37"/>
        <v>72.814999999999969</v>
      </c>
      <c r="L664" s="15">
        <f t="shared" si="38"/>
        <v>21</v>
      </c>
      <c r="M664" s="15">
        <f t="shared" si="39"/>
        <v>3.4673809523809509</v>
      </c>
    </row>
    <row r="665" spans="7:13" x14ac:dyDescent="0.25">
      <c r="G665" s="13">
        <v>41120</v>
      </c>
      <c r="H665" s="15">
        <v>3.55</v>
      </c>
      <c r="I665" s="15">
        <v>0.7</v>
      </c>
      <c r="J665" s="15">
        <v>3.4750000000000001</v>
      </c>
      <c r="K665" s="15">
        <f t="shared" si="37"/>
        <v>69.339999999999975</v>
      </c>
      <c r="L665" s="15">
        <f t="shared" si="38"/>
        <v>20</v>
      </c>
      <c r="M665" s="15">
        <f t="shared" si="39"/>
        <v>3.4669999999999987</v>
      </c>
    </row>
    <row r="666" spans="7:13" x14ac:dyDescent="0.25">
      <c r="G666" s="13">
        <v>41117</v>
      </c>
      <c r="H666" s="15">
        <v>3.55</v>
      </c>
      <c r="I666" s="15">
        <v>0.7</v>
      </c>
      <c r="J666" s="15">
        <v>3.4750000000000001</v>
      </c>
      <c r="K666" s="15">
        <f t="shared" si="37"/>
        <v>65.864999999999981</v>
      </c>
      <c r="L666" s="15">
        <f t="shared" si="38"/>
        <v>19</v>
      </c>
      <c r="M666" s="15">
        <f t="shared" si="39"/>
        <v>3.4665789473684199</v>
      </c>
    </row>
    <row r="667" spans="7:13" x14ac:dyDescent="0.25">
      <c r="G667" s="13">
        <v>41116</v>
      </c>
      <c r="H667" s="15">
        <v>3.55</v>
      </c>
      <c r="I667" s="15">
        <v>0.7</v>
      </c>
      <c r="J667" s="15">
        <v>3.4750000000000001</v>
      </c>
      <c r="K667" s="15">
        <f t="shared" si="37"/>
        <v>62.389999999999986</v>
      </c>
      <c r="L667" s="15">
        <f t="shared" si="38"/>
        <v>18</v>
      </c>
      <c r="M667" s="15">
        <f t="shared" si="39"/>
        <v>3.4661111111111103</v>
      </c>
    </row>
    <row r="668" spans="7:13" x14ac:dyDescent="0.25">
      <c r="G668" s="13">
        <v>41115</v>
      </c>
      <c r="H668" s="15">
        <v>3.49</v>
      </c>
      <c r="I668" s="15">
        <v>0.7</v>
      </c>
      <c r="J668" s="15">
        <v>3.415</v>
      </c>
      <c r="K668" s="15">
        <f t="shared" si="37"/>
        <v>58.914999999999985</v>
      </c>
      <c r="L668" s="15">
        <f t="shared" si="38"/>
        <v>17</v>
      </c>
      <c r="M668" s="15">
        <f t="shared" si="39"/>
        <v>3.465588235294117</v>
      </c>
    </row>
    <row r="669" spans="7:13" x14ac:dyDescent="0.25">
      <c r="G669" s="13">
        <v>41114</v>
      </c>
      <c r="H669" s="15">
        <v>3.49</v>
      </c>
      <c r="I669" s="15">
        <v>0.7</v>
      </c>
      <c r="J669" s="15">
        <v>3.415</v>
      </c>
      <c r="K669" s="15">
        <f t="shared" si="37"/>
        <v>55.499999999999986</v>
      </c>
      <c r="L669" s="15">
        <f t="shared" si="38"/>
        <v>16</v>
      </c>
      <c r="M669" s="15">
        <f t="shared" si="39"/>
        <v>3.4687499999999991</v>
      </c>
    </row>
    <row r="670" spans="7:13" x14ac:dyDescent="0.25">
      <c r="G670" s="13">
        <v>41113</v>
      </c>
      <c r="H670" s="15">
        <v>3.49</v>
      </c>
      <c r="I670" s="15">
        <v>0.7</v>
      </c>
      <c r="J670" s="15">
        <v>3.415</v>
      </c>
      <c r="K670" s="15">
        <f t="shared" si="37"/>
        <v>52.084999999999987</v>
      </c>
      <c r="L670" s="15">
        <f t="shared" si="38"/>
        <v>15</v>
      </c>
      <c r="M670" s="15">
        <f t="shared" si="39"/>
        <v>3.4723333333333324</v>
      </c>
    </row>
    <row r="671" spans="7:13" x14ac:dyDescent="0.25">
      <c r="G671" s="13">
        <v>41110</v>
      </c>
      <c r="H671" s="15">
        <v>3.49</v>
      </c>
      <c r="I671" s="15">
        <v>0.7</v>
      </c>
      <c r="J671" s="15">
        <v>3.415</v>
      </c>
      <c r="K671" s="15">
        <f t="shared" si="37"/>
        <v>48.669999999999987</v>
      </c>
      <c r="L671" s="15">
        <f t="shared" si="38"/>
        <v>14</v>
      </c>
      <c r="M671" s="15">
        <f t="shared" si="39"/>
        <v>3.4764285714285705</v>
      </c>
    </row>
    <row r="672" spans="7:13" x14ac:dyDescent="0.25">
      <c r="G672" s="13">
        <v>41109</v>
      </c>
      <c r="H672" s="15">
        <v>3.49</v>
      </c>
      <c r="I672" s="15">
        <v>0.7</v>
      </c>
      <c r="J672" s="15">
        <v>3.415</v>
      </c>
      <c r="K672" s="15">
        <f t="shared" si="37"/>
        <v>45.254999999999988</v>
      </c>
      <c r="L672" s="15">
        <f t="shared" si="38"/>
        <v>13</v>
      </c>
      <c r="M672" s="15">
        <f t="shared" si="39"/>
        <v>3.4811538461538452</v>
      </c>
    </row>
    <row r="673" spans="7:13" x14ac:dyDescent="0.25">
      <c r="G673" s="13">
        <v>41108</v>
      </c>
      <c r="H673" s="15">
        <v>3.53</v>
      </c>
      <c r="I673" s="15">
        <v>0.7</v>
      </c>
      <c r="J673" s="15">
        <v>3.4550000000000001</v>
      </c>
      <c r="K673" s="15">
        <f t="shared" si="37"/>
        <v>41.839999999999989</v>
      </c>
      <c r="L673" s="15">
        <f t="shared" si="38"/>
        <v>12</v>
      </c>
      <c r="M673" s="15">
        <f t="shared" si="39"/>
        <v>3.4866666666666659</v>
      </c>
    </row>
    <row r="674" spans="7:13" x14ac:dyDescent="0.25">
      <c r="G674" s="13">
        <v>41107</v>
      </c>
      <c r="H674" s="15">
        <v>3.53</v>
      </c>
      <c r="I674" s="15">
        <v>0.7</v>
      </c>
      <c r="J674" s="15">
        <v>3.4550000000000001</v>
      </c>
      <c r="K674" s="15">
        <f t="shared" si="37"/>
        <v>38.384999999999991</v>
      </c>
      <c r="L674" s="15">
        <f t="shared" si="38"/>
        <v>11</v>
      </c>
      <c r="M674" s="15">
        <f t="shared" si="39"/>
        <v>3.4895454545454538</v>
      </c>
    </row>
    <row r="675" spans="7:13" x14ac:dyDescent="0.25">
      <c r="G675" s="13">
        <v>41106</v>
      </c>
      <c r="H675" s="15">
        <v>3.53</v>
      </c>
      <c r="I675" s="15">
        <v>0.7</v>
      </c>
      <c r="J675" s="15">
        <v>3.4550000000000001</v>
      </c>
      <c r="K675" s="15">
        <f t="shared" si="37"/>
        <v>34.929999999999993</v>
      </c>
      <c r="L675" s="15">
        <f t="shared" si="38"/>
        <v>10</v>
      </c>
      <c r="M675" s="15">
        <f t="shared" si="39"/>
        <v>3.4929999999999994</v>
      </c>
    </row>
    <row r="676" spans="7:13" x14ac:dyDescent="0.25">
      <c r="G676" s="13">
        <v>41103</v>
      </c>
      <c r="H676" s="15">
        <v>3.53</v>
      </c>
      <c r="I676" s="15">
        <v>0.7</v>
      </c>
      <c r="J676" s="15">
        <v>3.4550000000000001</v>
      </c>
      <c r="K676" s="15">
        <f t="shared" si="37"/>
        <v>31.474999999999994</v>
      </c>
      <c r="L676" s="15">
        <f t="shared" si="38"/>
        <v>9</v>
      </c>
      <c r="M676" s="15">
        <f t="shared" si="39"/>
        <v>3.4972222222222218</v>
      </c>
    </row>
    <row r="677" spans="7:13" x14ac:dyDescent="0.25">
      <c r="G677" s="13">
        <v>41102</v>
      </c>
      <c r="H677" s="15">
        <v>3.53</v>
      </c>
      <c r="I677" s="15">
        <v>0.7</v>
      </c>
      <c r="J677" s="15">
        <v>3.4550000000000001</v>
      </c>
      <c r="K677" s="15">
        <f t="shared" si="37"/>
        <v>28.019999999999996</v>
      </c>
      <c r="L677" s="15">
        <f t="shared" si="38"/>
        <v>8</v>
      </c>
      <c r="M677" s="15">
        <f t="shared" si="39"/>
        <v>3.5024999999999995</v>
      </c>
    </row>
    <row r="678" spans="7:13" x14ac:dyDescent="0.25">
      <c r="G678" s="13">
        <v>41101</v>
      </c>
      <c r="H678" s="15">
        <v>3.56</v>
      </c>
      <c r="I678" s="15">
        <v>0.7</v>
      </c>
      <c r="J678" s="15">
        <v>3.4849999999999999</v>
      </c>
      <c r="K678" s="15">
        <f t="shared" si="37"/>
        <v>24.564999999999998</v>
      </c>
      <c r="L678" s="15">
        <f t="shared" si="38"/>
        <v>7</v>
      </c>
      <c r="M678" s="15">
        <f t="shared" si="39"/>
        <v>3.5092857142857139</v>
      </c>
    </row>
    <row r="679" spans="7:13" x14ac:dyDescent="0.25">
      <c r="G679" s="13">
        <v>41100</v>
      </c>
      <c r="H679" s="15">
        <v>3.56</v>
      </c>
      <c r="I679" s="15">
        <v>0.7</v>
      </c>
      <c r="J679" s="15">
        <v>3.4849999999999999</v>
      </c>
      <c r="K679" s="15">
        <f t="shared" si="37"/>
        <v>21.08</v>
      </c>
      <c r="L679" s="15">
        <f t="shared" si="38"/>
        <v>6</v>
      </c>
      <c r="M679" s="15">
        <f t="shared" si="39"/>
        <v>3.5133333333333332</v>
      </c>
    </row>
    <row r="680" spans="7:13" x14ac:dyDescent="0.25">
      <c r="G680" s="13">
        <v>41099</v>
      </c>
      <c r="H680" s="15">
        <v>3.56</v>
      </c>
      <c r="I680" s="15">
        <v>0.7</v>
      </c>
      <c r="J680" s="15">
        <v>3.4849999999999999</v>
      </c>
      <c r="K680" s="15">
        <f t="shared" si="37"/>
        <v>17.594999999999999</v>
      </c>
      <c r="L680" s="15">
        <f t="shared" si="38"/>
        <v>5</v>
      </c>
      <c r="M680" s="15">
        <f t="shared" si="39"/>
        <v>3.5189999999999997</v>
      </c>
    </row>
    <row r="681" spans="7:13" x14ac:dyDescent="0.25">
      <c r="G681" s="13">
        <v>41096</v>
      </c>
      <c r="H681" s="15">
        <v>3.56</v>
      </c>
      <c r="I681" s="15">
        <v>0.7</v>
      </c>
      <c r="J681" s="15">
        <v>3.4849999999999999</v>
      </c>
      <c r="K681" s="15">
        <f t="shared" si="37"/>
        <v>14.11</v>
      </c>
      <c r="L681" s="15">
        <f t="shared" si="38"/>
        <v>4</v>
      </c>
      <c r="M681" s="15">
        <f t="shared" si="39"/>
        <v>3.5274999999999999</v>
      </c>
    </row>
    <row r="682" spans="7:13" x14ac:dyDescent="0.25">
      <c r="G682" s="13">
        <v>41095</v>
      </c>
      <c r="H682" s="15">
        <v>3.56</v>
      </c>
      <c r="I682" s="15">
        <v>0.7</v>
      </c>
      <c r="J682" s="15">
        <v>3.4849999999999999</v>
      </c>
      <c r="K682" s="15">
        <f t="shared" si="37"/>
        <v>10.625</v>
      </c>
      <c r="L682" s="15">
        <f t="shared" si="38"/>
        <v>3</v>
      </c>
      <c r="M682" s="15">
        <f t="shared" si="39"/>
        <v>3.5416666666666665</v>
      </c>
    </row>
    <row r="683" spans="7:13" x14ac:dyDescent="0.25">
      <c r="G683" s="13">
        <v>41093</v>
      </c>
      <c r="H683" s="15">
        <v>3.62</v>
      </c>
      <c r="I683" s="15">
        <v>0.8</v>
      </c>
      <c r="J683" s="15">
        <v>3.57</v>
      </c>
      <c r="K683" s="15">
        <f t="shared" si="37"/>
        <v>7.14</v>
      </c>
      <c r="L683" s="15">
        <f t="shared" si="38"/>
        <v>2</v>
      </c>
      <c r="M683" s="15">
        <f t="shared" si="39"/>
        <v>3.57</v>
      </c>
    </row>
    <row r="684" spans="7:13" x14ac:dyDescent="0.25">
      <c r="G684" s="13">
        <v>41092</v>
      </c>
      <c r="H684" s="15">
        <v>3.62</v>
      </c>
      <c r="I684" s="15">
        <v>0.8</v>
      </c>
      <c r="J684" s="15">
        <v>3.57</v>
      </c>
      <c r="K684" s="15">
        <f t="shared" si="37"/>
        <v>3.57</v>
      </c>
      <c r="L684" s="15">
        <f t="shared" si="38"/>
        <v>1</v>
      </c>
      <c r="M684" s="15">
        <f t="shared" si="39"/>
        <v>3.57</v>
      </c>
    </row>
    <row r="685" spans="7:13" x14ac:dyDescent="0.25">
      <c r="G685" s="13">
        <v>41089</v>
      </c>
      <c r="H685" s="15">
        <v>3.62</v>
      </c>
      <c r="I685" s="15">
        <v>0.8</v>
      </c>
      <c r="J685" s="15">
        <v>3.57</v>
      </c>
      <c r="K685" s="15">
        <f t="shared" si="37"/>
        <v>75.544999999999973</v>
      </c>
      <c r="L685" s="15">
        <f t="shared" si="38"/>
        <v>21</v>
      </c>
      <c r="M685" s="15">
        <f t="shared" si="39"/>
        <v>3.5973809523809512</v>
      </c>
    </row>
    <row r="686" spans="7:13" x14ac:dyDescent="0.25">
      <c r="G686" s="13">
        <v>41088</v>
      </c>
      <c r="H686" s="15">
        <v>3.62</v>
      </c>
      <c r="I686" s="15">
        <v>0.8</v>
      </c>
      <c r="J686" s="15">
        <v>3.57</v>
      </c>
      <c r="K686" s="15">
        <f t="shared" si="37"/>
        <v>71.97499999999998</v>
      </c>
      <c r="L686" s="15">
        <f t="shared" si="38"/>
        <v>20</v>
      </c>
      <c r="M686" s="15">
        <f t="shared" si="39"/>
        <v>3.598749999999999</v>
      </c>
    </row>
    <row r="687" spans="7:13" x14ac:dyDescent="0.25">
      <c r="G687" s="13">
        <v>41087</v>
      </c>
      <c r="H687" s="15">
        <v>3.66</v>
      </c>
      <c r="I687" s="15">
        <v>0.7</v>
      </c>
      <c r="J687" s="15">
        <v>3.585</v>
      </c>
      <c r="K687" s="15">
        <f t="shared" si="37"/>
        <v>68.404999999999987</v>
      </c>
      <c r="L687" s="15">
        <f t="shared" si="38"/>
        <v>19</v>
      </c>
      <c r="M687" s="15">
        <f t="shared" si="39"/>
        <v>3.6002631578947359</v>
      </c>
    </row>
    <row r="688" spans="7:13" x14ac:dyDescent="0.25">
      <c r="G688" s="13">
        <v>41086</v>
      </c>
      <c r="H688" s="15">
        <v>3.66</v>
      </c>
      <c r="I688" s="15">
        <v>0.7</v>
      </c>
      <c r="J688" s="15">
        <v>3.585</v>
      </c>
      <c r="K688" s="15">
        <f t="shared" si="37"/>
        <v>64.819999999999993</v>
      </c>
      <c r="L688" s="15">
        <f t="shared" si="38"/>
        <v>18</v>
      </c>
      <c r="M688" s="15">
        <f t="shared" si="39"/>
        <v>3.6011111111111109</v>
      </c>
    </row>
    <row r="689" spans="7:13" x14ac:dyDescent="0.25">
      <c r="G689" s="13">
        <v>41085</v>
      </c>
      <c r="H689" s="15">
        <v>3.66</v>
      </c>
      <c r="I689" s="15">
        <v>0.7</v>
      </c>
      <c r="J689" s="15">
        <v>3.585</v>
      </c>
      <c r="K689" s="15">
        <f t="shared" si="37"/>
        <v>61.234999999999999</v>
      </c>
      <c r="L689" s="15">
        <f t="shared" si="38"/>
        <v>17</v>
      </c>
      <c r="M689" s="15">
        <f t="shared" si="39"/>
        <v>3.6020588235294118</v>
      </c>
    </row>
    <row r="690" spans="7:13" x14ac:dyDescent="0.25">
      <c r="G690" s="13">
        <v>41082</v>
      </c>
      <c r="H690" s="15">
        <v>3.66</v>
      </c>
      <c r="I690" s="15">
        <v>0.7</v>
      </c>
      <c r="J690" s="15">
        <v>3.585</v>
      </c>
      <c r="K690" s="15">
        <f t="shared" si="37"/>
        <v>57.65</v>
      </c>
      <c r="L690" s="15">
        <f t="shared" si="38"/>
        <v>16</v>
      </c>
      <c r="M690" s="15">
        <f t="shared" si="39"/>
        <v>3.6031249999999999</v>
      </c>
    </row>
    <row r="691" spans="7:13" x14ac:dyDescent="0.25">
      <c r="G691" s="13">
        <v>41081</v>
      </c>
      <c r="H691" s="15">
        <v>3.66</v>
      </c>
      <c r="I691" s="15">
        <v>0.7</v>
      </c>
      <c r="J691" s="15">
        <v>3.585</v>
      </c>
      <c r="K691" s="15">
        <f t="shared" si="37"/>
        <v>54.064999999999998</v>
      </c>
      <c r="L691" s="15">
        <f t="shared" si="38"/>
        <v>15</v>
      </c>
      <c r="M691" s="15">
        <f t="shared" si="39"/>
        <v>3.6043333333333334</v>
      </c>
    </row>
    <row r="692" spans="7:13" x14ac:dyDescent="0.25">
      <c r="G692" s="13">
        <v>41080</v>
      </c>
      <c r="H692" s="15">
        <v>3.66</v>
      </c>
      <c r="I692" s="15">
        <v>0.7</v>
      </c>
      <c r="J692" s="15">
        <v>3.585</v>
      </c>
      <c r="K692" s="15">
        <f t="shared" si="37"/>
        <v>50.48</v>
      </c>
      <c r="L692" s="15">
        <f t="shared" si="38"/>
        <v>14</v>
      </c>
      <c r="M692" s="15">
        <f t="shared" si="39"/>
        <v>3.6057142857142854</v>
      </c>
    </row>
    <row r="693" spans="7:13" x14ac:dyDescent="0.25">
      <c r="G693" s="13">
        <v>41079</v>
      </c>
      <c r="H693" s="15">
        <v>3.66</v>
      </c>
      <c r="I693" s="15">
        <v>0.7</v>
      </c>
      <c r="J693" s="15">
        <v>3.585</v>
      </c>
      <c r="K693" s="15">
        <f t="shared" si="37"/>
        <v>46.894999999999996</v>
      </c>
      <c r="L693" s="15">
        <f t="shared" si="38"/>
        <v>13</v>
      </c>
      <c r="M693" s="15">
        <f t="shared" si="39"/>
        <v>3.6073076923076921</v>
      </c>
    </row>
    <row r="694" spans="7:13" x14ac:dyDescent="0.25">
      <c r="G694" s="13">
        <v>41078</v>
      </c>
      <c r="H694" s="15">
        <v>3.66</v>
      </c>
      <c r="I694" s="15">
        <v>0.7</v>
      </c>
      <c r="J694" s="15">
        <v>3.585</v>
      </c>
      <c r="K694" s="15">
        <f t="shared" si="37"/>
        <v>43.309999999999995</v>
      </c>
      <c r="L694" s="15">
        <f t="shared" si="38"/>
        <v>12</v>
      </c>
      <c r="M694" s="15">
        <f t="shared" si="39"/>
        <v>3.6091666666666664</v>
      </c>
    </row>
    <row r="695" spans="7:13" x14ac:dyDescent="0.25">
      <c r="G695" s="13">
        <v>41075</v>
      </c>
      <c r="H695" s="15">
        <v>3.66</v>
      </c>
      <c r="I695" s="15">
        <v>0.7</v>
      </c>
      <c r="J695" s="15">
        <v>3.585</v>
      </c>
      <c r="K695" s="15">
        <f t="shared" si="37"/>
        <v>39.724999999999994</v>
      </c>
      <c r="L695" s="15">
        <f t="shared" si="38"/>
        <v>11</v>
      </c>
      <c r="M695" s="15">
        <f t="shared" si="39"/>
        <v>3.6113636363636359</v>
      </c>
    </row>
    <row r="696" spans="7:13" x14ac:dyDescent="0.25">
      <c r="G696" s="13">
        <v>41074</v>
      </c>
      <c r="H696" s="15">
        <v>3.66</v>
      </c>
      <c r="I696" s="15">
        <v>0.7</v>
      </c>
      <c r="J696" s="15">
        <v>3.585</v>
      </c>
      <c r="K696" s="15">
        <f t="shared" si="37"/>
        <v>36.139999999999993</v>
      </c>
      <c r="L696" s="15">
        <f t="shared" si="38"/>
        <v>10</v>
      </c>
      <c r="M696" s="15">
        <f t="shared" si="39"/>
        <v>3.6139999999999994</v>
      </c>
    </row>
    <row r="697" spans="7:13" x14ac:dyDescent="0.25">
      <c r="G697" s="13">
        <v>41073</v>
      </c>
      <c r="H697" s="15">
        <v>3.71</v>
      </c>
      <c r="I697" s="15">
        <v>0.7</v>
      </c>
      <c r="J697" s="15">
        <v>3.6349999999999998</v>
      </c>
      <c r="K697" s="15">
        <f t="shared" si="37"/>
        <v>32.554999999999993</v>
      </c>
      <c r="L697" s="15">
        <f t="shared" si="38"/>
        <v>9</v>
      </c>
      <c r="M697" s="15">
        <f t="shared" si="39"/>
        <v>3.6172222222222215</v>
      </c>
    </row>
    <row r="698" spans="7:13" x14ac:dyDescent="0.25">
      <c r="G698" s="13">
        <v>41072</v>
      </c>
      <c r="H698" s="15">
        <v>3.71</v>
      </c>
      <c r="I698" s="15">
        <v>0.7</v>
      </c>
      <c r="J698" s="15">
        <v>3.6349999999999998</v>
      </c>
      <c r="K698" s="15">
        <f t="shared" si="37"/>
        <v>28.919999999999995</v>
      </c>
      <c r="L698" s="15">
        <f t="shared" si="38"/>
        <v>8</v>
      </c>
      <c r="M698" s="15">
        <f t="shared" si="39"/>
        <v>3.6149999999999993</v>
      </c>
    </row>
    <row r="699" spans="7:13" x14ac:dyDescent="0.25">
      <c r="G699" s="13">
        <v>41071</v>
      </c>
      <c r="H699" s="15">
        <v>3.71</v>
      </c>
      <c r="I699" s="15">
        <v>0.7</v>
      </c>
      <c r="J699" s="15">
        <v>3.6349999999999998</v>
      </c>
      <c r="K699" s="15">
        <f t="shared" si="37"/>
        <v>25.284999999999997</v>
      </c>
      <c r="L699" s="15">
        <f t="shared" si="38"/>
        <v>7</v>
      </c>
      <c r="M699" s="15">
        <f t="shared" si="39"/>
        <v>3.6121428571428567</v>
      </c>
    </row>
    <row r="700" spans="7:13" x14ac:dyDescent="0.25">
      <c r="G700" s="13">
        <v>41068</v>
      </c>
      <c r="H700" s="15">
        <v>3.71</v>
      </c>
      <c r="I700" s="15">
        <v>0.7</v>
      </c>
      <c r="J700" s="15">
        <v>3.6349999999999998</v>
      </c>
      <c r="K700" s="15">
        <f t="shared" si="37"/>
        <v>21.65</v>
      </c>
      <c r="L700" s="15">
        <f t="shared" si="38"/>
        <v>6</v>
      </c>
      <c r="M700" s="15">
        <f t="shared" si="39"/>
        <v>3.6083333333333329</v>
      </c>
    </row>
    <row r="701" spans="7:13" x14ac:dyDescent="0.25">
      <c r="G701" s="13">
        <v>41067</v>
      </c>
      <c r="H701" s="15">
        <v>3.71</v>
      </c>
      <c r="I701" s="15">
        <v>0.7</v>
      </c>
      <c r="J701" s="15">
        <v>3.6349999999999998</v>
      </c>
      <c r="K701" s="15">
        <f t="shared" si="37"/>
        <v>18.015000000000001</v>
      </c>
      <c r="L701" s="15">
        <f t="shared" si="38"/>
        <v>5</v>
      </c>
      <c r="M701" s="15">
        <f t="shared" si="39"/>
        <v>3.6030000000000002</v>
      </c>
    </row>
    <row r="702" spans="7:13" x14ac:dyDescent="0.25">
      <c r="G702" s="13">
        <v>41066</v>
      </c>
      <c r="H702" s="15">
        <v>3.67</v>
      </c>
      <c r="I702" s="15">
        <v>0.7</v>
      </c>
      <c r="J702" s="15">
        <v>3.5950000000000002</v>
      </c>
      <c r="K702" s="15">
        <f t="shared" si="37"/>
        <v>14.38</v>
      </c>
      <c r="L702" s="15">
        <f t="shared" si="38"/>
        <v>4</v>
      </c>
      <c r="M702" s="15">
        <f t="shared" si="39"/>
        <v>3.5950000000000002</v>
      </c>
    </row>
    <row r="703" spans="7:13" x14ac:dyDescent="0.25">
      <c r="G703" s="13">
        <v>41065</v>
      </c>
      <c r="H703" s="15">
        <v>3.67</v>
      </c>
      <c r="I703" s="15">
        <v>0.7</v>
      </c>
      <c r="J703" s="15">
        <v>3.5950000000000002</v>
      </c>
      <c r="K703" s="15">
        <f t="shared" si="37"/>
        <v>10.785</v>
      </c>
      <c r="L703" s="15">
        <f t="shared" si="38"/>
        <v>3</v>
      </c>
      <c r="M703" s="15">
        <f t="shared" si="39"/>
        <v>3.5950000000000002</v>
      </c>
    </row>
    <row r="704" spans="7:13" x14ac:dyDescent="0.25">
      <c r="G704" s="13">
        <v>41064</v>
      </c>
      <c r="H704" s="15">
        <v>3.67</v>
      </c>
      <c r="I704" s="15">
        <v>0.7</v>
      </c>
      <c r="J704" s="15">
        <v>3.5950000000000002</v>
      </c>
      <c r="K704" s="15">
        <f t="shared" si="37"/>
        <v>7.19</v>
      </c>
      <c r="L704" s="15">
        <f t="shared" si="38"/>
        <v>2</v>
      </c>
      <c r="M704" s="15">
        <f t="shared" si="39"/>
        <v>3.5950000000000002</v>
      </c>
    </row>
    <row r="705" spans="7:13" x14ac:dyDescent="0.25">
      <c r="G705" s="13">
        <v>41061</v>
      </c>
      <c r="H705" s="15">
        <v>3.67</v>
      </c>
      <c r="I705" s="15">
        <v>0.7</v>
      </c>
      <c r="J705" s="15">
        <v>3.5950000000000002</v>
      </c>
      <c r="K705" s="15">
        <f t="shared" si="37"/>
        <v>3.5950000000000002</v>
      </c>
      <c r="L705" s="15">
        <f t="shared" si="38"/>
        <v>1</v>
      </c>
      <c r="M705" s="15">
        <f t="shared" si="39"/>
        <v>3.5950000000000002</v>
      </c>
    </row>
    <row r="706" spans="7:13" x14ac:dyDescent="0.25">
      <c r="G706" s="13">
        <v>41060</v>
      </c>
      <c r="H706" s="15">
        <v>3.67</v>
      </c>
      <c r="I706" s="15">
        <v>0.7</v>
      </c>
      <c r="J706" s="15">
        <v>3.5950000000000002</v>
      </c>
      <c r="K706" s="15">
        <f t="shared" si="37"/>
        <v>81.974999999999994</v>
      </c>
      <c r="L706" s="15">
        <f t="shared" si="38"/>
        <v>22</v>
      </c>
      <c r="M706" s="15">
        <f t="shared" si="39"/>
        <v>3.7261363636363636</v>
      </c>
    </row>
    <row r="707" spans="7:13" x14ac:dyDescent="0.25">
      <c r="G707" s="13">
        <v>41059</v>
      </c>
      <c r="H707" s="15">
        <v>3.75</v>
      </c>
      <c r="I707" s="15">
        <v>0.8</v>
      </c>
      <c r="J707" s="15">
        <v>3.7</v>
      </c>
      <c r="K707" s="15">
        <f t="shared" si="37"/>
        <v>78.38</v>
      </c>
      <c r="L707" s="15">
        <f t="shared" si="38"/>
        <v>21</v>
      </c>
      <c r="M707" s="15">
        <f t="shared" si="39"/>
        <v>3.7323809523809524</v>
      </c>
    </row>
    <row r="708" spans="7:13" x14ac:dyDescent="0.25">
      <c r="G708" s="13">
        <v>41058</v>
      </c>
      <c r="H708" s="15">
        <v>3.75</v>
      </c>
      <c r="I708" s="15">
        <v>0.8</v>
      </c>
      <c r="J708" s="15">
        <v>3.7</v>
      </c>
      <c r="K708" s="15">
        <f t="shared" ref="K708:K771" si="40">IF(MONTH(G708)=MONTH(G709),J708+K709,J708)</f>
        <v>74.679999999999993</v>
      </c>
      <c r="L708" s="15">
        <f t="shared" ref="L708:L771" si="41">IF(MONTH(G708)=MONTH(G709),L709+1,1)</f>
        <v>20</v>
      </c>
      <c r="M708" s="15">
        <f t="shared" si="39"/>
        <v>3.7339999999999995</v>
      </c>
    </row>
    <row r="709" spans="7:13" x14ac:dyDescent="0.25">
      <c r="G709" s="13">
        <v>41054</v>
      </c>
      <c r="H709" s="15">
        <v>3.75</v>
      </c>
      <c r="I709" s="15">
        <v>0.8</v>
      </c>
      <c r="J709" s="15">
        <v>3.7</v>
      </c>
      <c r="K709" s="15">
        <f t="shared" si="40"/>
        <v>70.97999999999999</v>
      </c>
      <c r="L709" s="15">
        <f t="shared" si="41"/>
        <v>19</v>
      </c>
      <c r="M709" s="15">
        <f t="shared" ref="M709:M772" si="42">K709/L709</f>
        <v>3.7357894736842101</v>
      </c>
    </row>
    <row r="710" spans="7:13" x14ac:dyDescent="0.25">
      <c r="G710" s="13">
        <v>41053</v>
      </c>
      <c r="H710" s="15">
        <v>3.75</v>
      </c>
      <c r="I710" s="15">
        <v>0.8</v>
      </c>
      <c r="J710" s="15">
        <v>3.7</v>
      </c>
      <c r="K710" s="15">
        <f t="shared" si="40"/>
        <v>67.279999999999987</v>
      </c>
      <c r="L710" s="15">
        <f t="shared" si="41"/>
        <v>18</v>
      </c>
      <c r="M710" s="15">
        <f t="shared" si="42"/>
        <v>3.7377777777777772</v>
      </c>
    </row>
    <row r="711" spans="7:13" x14ac:dyDescent="0.25">
      <c r="G711" s="13">
        <v>41052</v>
      </c>
      <c r="H711" s="15">
        <v>3.78</v>
      </c>
      <c r="I711" s="15">
        <v>0.8</v>
      </c>
      <c r="J711" s="15">
        <v>3.73</v>
      </c>
      <c r="K711" s="15">
        <f t="shared" si="40"/>
        <v>63.579999999999991</v>
      </c>
      <c r="L711" s="15">
        <f t="shared" si="41"/>
        <v>17</v>
      </c>
      <c r="M711" s="15">
        <f t="shared" si="42"/>
        <v>3.7399999999999993</v>
      </c>
    </row>
    <row r="712" spans="7:13" x14ac:dyDescent="0.25">
      <c r="G712" s="13">
        <v>41051</v>
      </c>
      <c r="H712" s="15">
        <v>3.78</v>
      </c>
      <c r="I712" s="15">
        <v>0.8</v>
      </c>
      <c r="J712" s="15">
        <v>3.73</v>
      </c>
      <c r="K712" s="15">
        <f t="shared" si="40"/>
        <v>59.849999999999994</v>
      </c>
      <c r="L712" s="15">
        <f t="shared" si="41"/>
        <v>16</v>
      </c>
      <c r="M712" s="15">
        <f t="shared" si="42"/>
        <v>3.7406249999999996</v>
      </c>
    </row>
    <row r="713" spans="7:13" x14ac:dyDescent="0.25">
      <c r="G713" s="13">
        <v>41050</v>
      </c>
      <c r="H713" s="15">
        <v>3.78</v>
      </c>
      <c r="I713" s="15">
        <v>0.8</v>
      </c>
      <c r="J713" s="15">
        <v>3.73</v>
      </c>
      <c r="K713" s="15">
        <f t="shared" si="40"/>
        <v>56.12</v>
      </c>
      <c r="L713" s="15">
        <f t="shared" si="41"/>
        <v>15</v>
      </c>
      <c r="M713" s="15">
        <f t="shared" si="42"/>
        <v>3.741333333333333</v>
      </c>
    </row>
    <row r="714" spans="7:13" x14ac:dyDescent="0.25">
      <c r="G714" s="13">
        <v>41047</v>
      </c>
      <c r="H714" s="15">
        <v>3.78</v>
      </c>
      <c r="I714" s="15">
        <v>0.8</v>
      </c>
      <c r="J714" s="15">
        <v>3.73</v>
      </c>
      <c r="K714" s="15">
        <f t="shared" si="40"/>
        <v>52.39</v>
      </c>
      <c r="L714" s="15">
        <f t="shared" si="41"/>
        <v>14</v>
      </c>
      <c r="M714" s="15">
        <f t="shared" si="42"/>
        <v>3.742142857142857</v>
      </c>
    </row>
    <row r="715" spans="7:13" x14ac:dyDescent="0.25">
      <c r="G715" s="13">
        <v>41046</v>
      </c>
      <c r="H715" s="15">
        <v>3.78</v>
      </c>
      <c r="I715" s="15">
        <v>0.8</v>
      </c>
      <c r="J715" s="15">
        <v>3.73</v>
      </c>
      <c r="K715" s="15">
        <f t="shared" si="40"/>
        <v>48.660000000000004</v>
      </c>
      <c r="L715" s="15">
        <f t="shared" si="41"/>
        <v>13</v>
      </c>
      <c r="M715" s="15">
        <f t="shared" si="42"/>
        <v>3.7430769230769232</v>
      </c>
    </row>
    <row r="716" spans="7:13" x14ac:dyDescent="0.25">
      <c r="G716" s="13">
        <v>41045</v>
      </c>
      <c r="H716" s="15">
        <v>3.79</v>
      </c>
      <c r="I716" s="15">
        <v>0.7</v>
      </c>
      <c r="J716" s="15">
        <v>3.7149999999999999</v>
      </c>
      <c r="K716" s="15">
        <f t="shared" si="40"/>
        <v>44.930000000000007</v>
      </c>
      <c r="L716" s="15">
        <f t="shared" si="41"/>
        <v>12</v>
      </c>
      <c r="M716" s="15">
        <f t="shared" si="42"/>
        <v>3.7441666666666671</v>
      </c>
    </row>
    <row r="717" spans="7:13" x14ac:dyDescent="0.25">
      <c r="G717" s="13">
        <v>41044</v>
      </c>
      <c r="H717" s="15">
        <v>3.79</v>
      </c>
      <c r="I717" s="15">
        <v>0.7</v>
      </c>
      <c r="J717" s="15">
        <v>3.7149999999999999</v>
      </c>
      <c r="K717" s="15">
        <f t="shared" si="40"/>
        <v>41.215000000000003</v>
      </c>
      <c r="L717" s="15">
        <f t="shared" si="41"/>
        <v>11</v>
      </c>
      <c r="M717" s="15">
        <f t="shared" si="42"/>
        <v>3.746818181818182</v>
      </c>
    </row>
    <row r="718" spans="7:13" x14ac:dyDescent="0.25">
      <c r="G718" s="13">
        <v>41043</v>
      </c>
      <c r="H718" s="15">
        <v>3.79</v>
      </c>
      <c r="I718" s="15">
        <v>0.7</v>
      </c>
      <c r="J718" s="15">
        <v>3.7149999999999999</v>
      </c>
      <c r="K718" s="15">
        <f t="shared" si="40"/>
        <v>37.5</v>
      </c>
      <c r="L718" s="15">
        <f t="shared" si="41"/>
        <v>10</v>
      </c>
      <c r="M718" s="15">
        <f t="shared" si="42"/>
        <v>3.75</v>
      </c>
    </row>
    <row r="719" spans="7:13" x14ac:dyDescent="0.25">
      <c r="G719" s="13">
        <v>41040</v>
      </c>
      <c r="H719" s="15">
        <v>3.79</v>
      </c>
      <c r="I719" s="15">
        <v>0.7</v>
      </c>
      <c r="J719" s="15">
        <v>3.7149999999999999</v>
      </c>
      <c r="K719" s="15">
        <f t="shared" si="40"/>
        <v>33.784999999999997</v>
      </c>
      <c r="L719" s="15">
        <f t="shared" si="41"/>
        <v>9</v>
      </c>
      <c r="M719" s="15">
        <f t="shared" si="42"/>
        <v>3.7538888888888886</v>
      </c>
    </row>
    <row r="720" spans="7:13" x14ac:dyDescent="0.25">
      <c r="G720" s="13">
        <v>41039</v>
      </c>
      <c r="H720" s="15">
        <v>3.79</v>
      </c>
      <c r="I720" s="15">
        <v>0.7</v>
      </c>
      <c r="J720" s="15">
        <v>3.7149999999999999</v>
      </c>
      <c r="K720" s="15">
        <f t="shared" si="40"/>
        <v>30.069999999999997</v>
      </c>
      <c r="L720" s="15">
        <f t="shared" si="41"/>
        <v>8</v>
      </c>
      <c r="M720" s="15">
        <f t="shared" si="42"/>
        <v>3.7587499999999996</v>
      </c>
    </row>
    <row r="721" spans="7:13" x14ac:dyDescent="0.25">
      <c r="G721" s="13">
        <v>41038</v>
      </c>
      <c r="H721" s="15">
        <v>3.83</v>
      </c>
      <c r="I721" s="15">
        <v>0.7</v>
      </c>
      <c r="J721" s="15">
        <v>3.7549999999999999</v>
      </c>
      <c r="K721" s="15">
        <f t="shared" si="40"/>
        <v>26.354999999999997</v>
      </c>
      <c r="L721" s="15">
        <f t="shared" si="41"/>
        <v>7</v>
      </c>
      <c r="M721" s="15">
        <f t="shared" si="42"/>
        <v>3.7649999999999997</v>
      </c>
    </row>
    <row r="722" spans="7:13" x14ac:dyDescent="0.25">
      <c r="G722" s="13">
        <v>41037</v>
      </c>
      <c r="H722" s="15">
        <v>3.83</v>
      </c>
      <c r="I722" s="15">
        <v>0.7</v>
      </c>
      <c r="J722" s="15">
        <v>3.7549999999999999</v>
      </c>
      <c r="K722" s="15">
        <f t="shared" si="40"/>
        <v>22.599999999999998</v>
      </c>
      <c r="L722" s="15">
        <f t="shared" si="41"/>
        <v>6</v>
      </c>
      <c r="M722" s="15">
        <f t="shared" si="42"/>
        <v>3.7666666666666662</v>
      </c>
    </row>
    <row r="723" spans="7:13" x14ac:dyDescent="0.25">
      <c r="G723" s="13">
        <v>41036</v>
      </c>
      <c r="H723" s="15">
        <v>3.83</v>
      </c>
      <c r="I723" s="15">
        <v>0.7</v>
      </c>
      <c r="J723" s="15">
        <v>3.7549999999999999</v>
      </c>
      <c r="K723" s="15">
        <f t="shared" si="40"/>
        <v>18.844999999999999</v>
      </c>
      <c r="L723" s="15">
        <f t="shared" si="41"/>
        <v>5</v>
      </c>
      <c r="M723" s="15">
        <f t="shared" si="42"/>
        <v>3.7689999999999997</v>
      </c>
    </row>
    <row r="724" spans="7:13" x14ac:dyDescent="0.25">
      <c r="G724" s="13">
        <v>41033</v>
      </c>
      <c r="H724" s="15">
        <v>3.83</v>
      </c>
      <c r="I724" s="15">
        <v>0.7</v>
      </c>
      <c r="J724" s="15">
        <v>3.7549999999999999</v>
      </c>
      <c r="K724" s="15">
        <f t="shared" si="40"/>
        <v>15.09</v>
      </c>
      <c r="L724" s="15">
        <f t="shared" si="41"/>
        <v>4</v>
      </c>
      <c r="M724" s="15">
        <f t="shared" si="42"/>
        <v>3.7725</v>
      </c>
    </row>
    <row r="725" spans="7:13" x14ac:dyDescent="0.25">
      <c r="G725" s="13">
        <v>41032</v>
      </c>
      <c r="H725" s="15">
        <v>3.83</v>
      </c>
      <c r="I725" s="15">
        <v>0.7</v>
      </c>
      <c r="J725" s="15">
        <v>3.7549999999999999</v>
      </c>
      <c r="K725" s="15">
        <f t="shared" si="40"/>
        <v>11.335000000000001</v>
      </c>
      <c r="L725" s="15">
        <f t="shared" si="41"/>
        <v>3</v>
      </c>
      <c r="M725" s="15">
        <f t="shared" si="42"/>
        <v>3.7783333333333338</v>
      </c>
    </row>
    <row r="726" spans="7:13" x14ac:dyDescent="0.25">
      <c r="G726" s="13">
        <v>41031</v>
      </c>
      <c r="H726" s="15">
        <v>3.84</v>
      </c>
      <c r="I726" s="15">
        <v>0.8</v>
      </c>
      <c r="J726" s="15">
        <v>3.79</v>
      </c>
      <c r="K726" s="15">
        <f t="shared" si="40"/>
        <v>7.58</v>
      </c>
      <c r="L726" s="15">
        <f t="shared" si="41"/>
        <v>2</v>
      </c>
      <c r="M726" s="15">
        <f t="shared" si="42"/>
        <v>3.79</v>
      </c>
    </row>
    <row r="727" spans="7:13" x14ac:dyDescent="0.25">
      <c r="G727" s="13">
        <v>41030</v>
      </c>
      <c r="H727" s="15">
        <v>3.84</v>
      </c>
      <c r="I727" s="15">
        <v>0.8</v>
      </c>
      <c r="J727" s="15">
        <v>3.79</v>
      </c>
      <c r="K727" s="15">
        <f t="shared" si="40"/>
        <v>3.79</v>
      </c>
      <c r="L727" s="15">
        <f t="shared" si="41"/>
        <v>1</v>
      </c>
      <c r="M727" s="15">
        <f t="shared" si="42"/>
        <v>3.79</v>
      </c>
    </row>
    <row r="728" spans="7:13" x14ac:dyDescent="0.25">
      <c r="G728" s="13">
        <v>41029</v>
      </c>
      <c r="H728" s="15">
        <v>3.84</v>
      </c>
      <c r="I728" s="15">
        <v>0.8</v>
      </c>
      <c r="J728" s="15">
        <v>3.79</v>
      </c>
      <c r="K728" s="15">
        <f t="shared" si="40"/>
        <v>80.385000000000034</v>
      </c>
      <c r="L728" s="15">
        <f t="shared" si="41"/>
        <v>21</v>
      </c>
      <c r="M728" s="15">
        <f t="shared" si="42"/>
        <v>3.8278571428571446</v>
      </c>
    </row>
    <row r="729" spans="7:13" x14ac:dyDescent="0.25">
      <c r="G729" s="13">
        <v>41026</v>
      </c>
      <c r="H729" s="15">
        <v>3.84</v>
      </c>
      <c r="I729" s="15">
        <v>0.8</v>
      </c>
      <c r="J729" s="15">
        <v>3.79</v>
      </c>
      <c r="K729" s="15">
        <f t="shared" si="40"/>
        <v>76.595000000000027</v>
      </c>
      <c r="L729" s="15">
        <f t="shared" si="41"/>
        <v>20</v>
      </c>
      <c r="M729" s="15">
        <f t="shared" si="42"/>
        <v>3.8297500000000015</v>
      </c>
    </row>
    <row r="730" spans="7:13" x14ac:dyDescent="0.25">
      <c r="G730" s="13">
        <v>41025</v>
      </c>
      <c r="H730" s="15">
        <v>3.84</v>
      </c>
      <c r="I730" s="15">
        <v>0.8</v>
      </c>
      <c r="J730" s="15">
        <v>3.79</v>
      </c>
      <c r="K730" s="15">
        <f t="shared" si="40"/>
        <v>72.805000000000021</v>
      </c>
      <c r="L730" s="15">
        <f t="shared" si="41"/>
        <v>19</v>
      </c>
      <c r="M730" s="15">
        <f t="shared" si="42"/>
        <v>3.831842105263159</v>
      </c>
    </row>
    <row r="731" spans="7:13" x14ac:dyDescent="0.25">
      <c r="G731" s="13">
        <v>41024</v>
      </c>
      <c r="H731" s="15">
        <v>3.88</v>
      </c>
      <c r="I731" s="15">
        <v>0.7</v>
      </c>
      <c r="J731" s="15">
        <v>3.8050000000000002</v>
      </c>
      <c r="K731" s="15">
        <f t="shared" si="40"/>
        <v>69.015000000000015</v>
      </c>
      <c r="L731" s="15">
        <f t="shared" si="41"/>
        <v>18</v>
      </c>
      <c r="M731" s="15">
        <f t="shared" si="42"/>
        <v>3.8341666666666674</v>
      </c>
    </row>
    <row r="732" spans="7:13" x14ac:dyDescent="0.25">
      <c r="G732" s="13">
        <v>41023</v>
      </c>
      <c r="H732" s="15">
        <v>3.88</v>
      </c>
      <c r="I732" s="15">
        <v>0.7</v>
      </c>
      <c r="J732" s="15">
        <v>3.8050000000000002</v>
      </c>
      <c r="K732" s="15">
        <f t="shared" si="40"/>
        <v>65.210000000000008</v>
      </c>
      <c r="L732" s="15">
        <f t="shared" si="41"/>
        <v>17</v>
      </c>
      <c r="M732" s="15">
        <f t="shared" si="42"/>
        <v>3.835882352941177</v>
      </c>
    </row>
    <row r="733" spans="7:13" x14ac:dyDescent="0.25">
      <c r="G733" s="13">
        <v>41022</v>
      </c>
      <c r="H733" s="15">
        <v>3.88</v>
      </c>
      <c r="I733" s="15">
        <v>0.7</v>
      </c>
      <c r="J733" s="15">
        <v>3.8050000000000002</v>
      </c>
      <c r="K733" s="15">
        <f t="shared" si="40"/>
        <v>61.405000000000001</v>
      </c>
      <c r="L733" s="15">
        <f t="shared" si="41"/>
        <v>16</v>
      </c>
      <c r="M733" s="15">
        <f t="shared" si="42"/>
        <v>3.8378125000000001</v>
      </c>
    </row>
    <row r="734" spans="7:13" x14ac:dyDescent="0.25">
      <c r="G734" s="13">
        <v>41019</v>
      </c>
      <c r="H734" s="15">
        <v>3.88</v>
      </c>
      <c r="I734" s="15">
        <v>0.7</v>
      </c>
      <c r="J734" s="15">
        <v>3.8050000000000002</v>
      </c>
      <c r="K734" s="15">
        <f t="shared" si="40"/>
        <v>57.6</v>
      </c>
      <c r="L734" s="15">
        <f t="shared" si="41"/>
        <v>15</v>
      </c>
      <c r="M734" s="15">
        <f t="shared" si="42"/>
        <v>3.8400000000000003</v>
      </c>
    </row>
    <row r="735" spans="7:13" x14ac:dyDescent="0.25">
      <c r="G735" s="13">
        <v>41018</v>
      </c>
      <c r="H735" s="15">
        <v>3.88</v>
      </c>
      <c r="I735" s="15">
        <v>0.7</v>
      </c>
      <c r="J735" s="15">
        <v>3.8050000000000002</v>
      </c>
      <c r="K735" s="15">
        <f t="shared" si="40"/>
        <v>53.795000000000002</v>
      </c>
      <c r="L735" s="15">
        <f t="shared" si="41"/>
        <v>14</v>
      </c>
      <c r="M735" s="15">
        <f t="shared" si="42"/>
        <v>3.8425000000000002</v>
      </c>
    </row>
    <row r="736" spans="7:13" x14ac:dyDescent="0.25">
      <c r="G736" s="13">
        <v>41017</v>
      </c>
      <c r="H736" s="15">
        <v>3.9</v>
      </c>
      <c r="I736" s="15">
        <v>0.8</v>
      </c>
      <c r="J736" s="15">
        <v>3.85</v>
      </c>
      <c r="K736" s="15">
        <f t="shared" si="40"/>
        <v>49.99</v>
      </c>
      <c r="L736" s="15">
        <f t="shared" si="41"/>
        <v>13</v>
      </c>
      <c r="M736" s="15">
        <f t="shared" si="42"/>
        <v>3.8453846153846154</v>
      </c>
    </row>
    <row r="737" spans="7:13" x14ac:dyDescent="0.25">
      <c r="G737" s="13">
        <v>41016</v>
      </c>
      <c r="H737" s="15">
        <v>3.9</v>
      </c>
      <c r="I737" s="15">
        <v>0.8</v>
      </c>
      <c r="J737" s="15">
        <v>3.85</v>
      </c>
      <c r="K737" s="15">
        <f t="shared" si="40"/>
        <v>46.14</v>
      </c>
      <c r="L737" s="15">
        <f t="shared" si="41"/>
        <v>12</v>
      </c>
      <c r="M737" s="15">
        <f t="shared" si="42"/>
        <v>3.8450000000000002</v>
      </c>
    </row>
    <row r="738" spans="7:13" x14ac:dyDescent="0.25">
      <c r="G738" s="13">
        <v>41015</v>
      </c>
      <c r="H738" s="15">
        <v>3.9</v>
      </c>
      <c r="I738" s="15">
        <v>0.8</v>
      </c>
      <c r="J738" s="15">
        <v>3.85</v>
      </c>
      <c r="K738" s="15">
        <f t="shared" si="40"/>
        <v>42.29</v>
      </c>
      <c r="L738" s="15">
        <f t="shared" si="41"/>
        <v>11</v>
      </c>
      <c r="M738" s="15">
        <f t="shared" si="42"/>
        <v>3.8445454545454543</v>
      </c>
    </row>
    <row r="739" spans="7:13" x14ac:dyDescent="0.25">
      <c r="G739" s="13">
        <v>41012</v>
      </c>
      <c r="H739" s="15">
        <v>3.9</v>
      </c>
      <c r="I739" s="15">
        <v>0.8</v>
      </c>
      <c r="J739" s="15">
        <v>3.85</v>
      </c>
      <c r="K739" s="15">
        <f t="shared" si="40"/>
        <v>38.44</v>
      </c>
      <c r="L739" s="15">
        <f t="shared" si="41"/>
        <v>10</v>
      </c>
      <c r="M739" s="15">
        <f t="shared" si="42"/>
        <v>3.8439999999999999</v>
      </c>
    </row>
    <row r="740" spans="7:13" x14ac:dyDescent="0.25">
      <c r="G740" s="13">
        <v>41011</v>
      </c>
      <c r="H740" s="15">
        <v>3.9</v>
      </c>
      <c r="I740" s="15">
        <v>0.8</v>
      </c>
      <c r="J740" s="15">
        <v>3.85</v>
      </c>
      <c r="K740" s="15">
        <f t="shared" si="40"/>
        <v>34.589999999999996</v>
      </c>
      <c r="L740" s="15">
        <f t="shared" si="41"/>
        <v>9</v>
      </c>
      <c r="M740" s="15">
        <f t="shared" si="42"/>
        <v>3.8433333333333328</v>
      </c>
    </row>
    <row r="741" spans="7:13" x14ac:dyDescent="0.25">
      <c r="G741" s="13">
        <v>41010</v>
      </c>
      <c r="H741" s="15">
        <v>3.88</v>
      </c>
      <c r="I741" s="15">
        <v>0.7</v>
      </c>
      <c r="J741" s="15">
        <v>3.8050000000000002</v>
      </c>
      <c r="K741" s="15">
        <f t="shared" si="40"/>
        <v>30.74</v>
      </c>
      <c r="L741" s="15">
        <f t="shared" si="41"/>
        <v>8</v>
      </c>
      <c r="M741" s="15">
        <f t="shared" si="42"/>
        <v>3.8424999999999998</v>
      </c>
    </row>
    <row r="742" spans="7:13" x14ac:dyDescent="0.25">
      <c r="G742" s="13">
        <v>41009</v>
      </c>
      <c r="H742" s="15">
        <v>3.88</v>
      </c>
      <c r="I742" s="15">
        <v>0.7</v>
      </c>
      <c r="J742" s="15">
        <v>3.8050000000000002</v>
      </c>
      <c r="K742" s="15">
        <f t="shared" si="40"/>
        <v>26.934999999999999</v>
      </c>
      <c r="L742" s="15">
        <f t="shared" si="41"/>
        <v>7</v>
      </c>
      <c r="M742" s="15">
        <f t="shared" si="42"/>
        <v>3.8478571428571429</v>
      </c>
    </row>
    <row r="743" spans="7:13" x14ac:dyDescent="0.25">
      <c r="G743" s="13">
        <v>41008</v>
      </c>
      <c r="H743" s="15">
        <v>3.88</v>
      </c>
      <c r="I743" s="15">
        <v>0.7</v>
      </c>
      <c r="J743" s="15">
        <v>3.8050000000000002</v>
      </c>
      <c r="K743" s="15">
        <f t="shared" si="40"/>
        <v>23.13</v>
      </c>
      <c r="L743" s="15">
        <f t="shared" si="41"/>
        <v>6</v>
      </c>
      <c r="M743" s="15">
        <f t="shared" si="42"/>
        <v>3.855</v>
      </c>
    </row>
    <row r="744" spans="7:13" x14ac:dyDescent="0.25">
      <c r="G744" s="13">
        <v>41005</v>
      </c>
      <c r="H744" s="15">
        <v>3.88</v>
      </c>
      <c r="I744" s="15">
        <v>0.7</v>
      </c>
      <c r="J744" s="15">
        <v>3.8050000000000002</v>
      </c>
      <c r="K744" s="15">
        <f t="shared" si="40"/>
        <v>19.324999999999999</v>
      </c>
      <c r="L744" s="15">
        <f t="shared" si="41"/>
        <v>5</v>
      </c>
      <c r="M744" s="15">
        <f t="shared" si="42"/>
        <v>3.8649999999999998</v>
      </c>
    </row>
    <row r="745" spans="7:13" x14ac:dyDescent="0.25">
      <c r="G745" s="13">
        <v>41004</v>
      </c>
      <c r="H745" s="15">
        <v>3.88</v>
      </c>
      <c r="I745" s="15">
        <v>0.7</v>
      </c>
      <c r="J745" s="15">
        <v>3.8050000000000002</v>
      </c>
      <c r="K745" s="15">
        <f t="shared" si="40"/>
        <v>15.52</v>
      </c>
      <c r="L745" s="15">
        <f t="shared" si="41"/>
        <v>4</v>
      </c>
      <c r="M745" s="15">
        <f t="shared" si="42"/>
        <v>3.88</v>
      </c>
    </row>
    <row r="746" spans="7:13" x14ac:dyDescent="0.25">
      <c r="G746" s="13">
        <v>41003</v>
      </c>
      <c r="H746" s="15">
        <v>3.98</v>
      </c>
      <c r="I746" s="15">
        <v>0.7</v>
      </c>
      <c r="J746" s="15">
        <v>3.9049999999999998</v>
      </c>
      <c r="K746" s="15">
        <f t="shared" si="40"/>
        <v>11.715</v>
      </c>
      <c r="L746" s="15">
        <f t="shared" si="41"/>
        <v>3</v>
      </c>
      <c r="M746" s="15">
        <f t="shared" si="42"/>
        <v>3.9049999999999998</v>
      </c>
    </row>
    <row r="747" spans="7:13" x14ac:dyDescent="0.25">
      <c r="G747" s="13">
        <v>41002</v>
      </c>
      <c r="H747" s="15">
        <v>3.98</v>
      </c>
      <c r="I747" s="15">
        <v>0.7</v>
      </c>
      <c r="J747" s="15">
        <v>3.9049999999999998</v>
      </c>
      <c r="K747" s="15">
        <f t="shared" si="40"/>
        <v>7.81</v>
      </c>
      <c r="L747" s="15">
        <f t="shared" si="41"/>
        <v>2</v>
      </c>
      <c r="M747" s="15">
        <f t="shared" si="42"/>
        <v>3.9049999999999998</v>
      </c>
    </row>
    <row r="748" spans="7:13" x14ac:dyDescent="0.25">
      <c r="G748" s="13">
        <v>41001</v>
      </c>
      <c r="H748" s="15">
        <v>3.98</v>
      </c>
      <c r="I748" s="15">
        <v>0.7</v>
      </c>
      <c r="J748" s="15">
        <v>3.9049999999999998</v>
      </c>
      <c r="K748" s="15">
        <f t="shared" si="40"/>
        <v>3.9049999999999998</v>
      </c>
      <c r="L748" s="15">
        <f t="shared" si="41"/>
        <v>1</v>
      </c>
      <c r="M748" s="15">
        <f t="shared" si="42"/>
        <v>3.9049999999999998</v>
      </c>
    </row>
    <row r="749" spans="7:13" x14ac:dyDescent="0.25">
      <c r="G749" s="13">
        <v>40998</v>
      </c>
      <c r="H749" s="15">
        <v>3.98</v>
      </c>
      <c r="I749" s="15">
        <v>0.7</v>
      </c>
      <c r="J749" s="15">
        <v>3.9049999999999998</v>
      </c>
      <c r="K749" s="15">
        <f t="shared" si="40"/>
        <v>86.035000000000025</v>
      </c>
      <c r="L749" s="15">
        <f t="shared" si="41"/>
        <v>22</v>
      </c>
      <c r="M749" s="15">
        <f t="shared" si="42"/>
        <v>3.9106818181818195</v>
      </c>
    </row>
    <row r="750" spans="7:13" x14ac:dyDescent="0.25">
      <c r="G750" s="13">
        <v>40997</v>
      </c>
      <c r="H750" s="15">
        <v>3.98</v>
      </c>
      <c r="I750" s="15">
        <v>0.7</v>
      </c>
      <c r="J750" s="15">
        <v>3.9049999999999998</v>
      </c>
      <c r="K750" s="15">
        <f t="shared" si="40"/>
        <v>82.130000000000024</v>
      </c>
      <c r="L750" s="15">
        <f t="shared" si="41"/>
        <v>21</v>
      </c>
      <c r="M750" s="15">
        <f t="shared" si="42"/>
        <v>3.9109523809523821</v>
      </c>
    </row>
    <row r="751" spans="7:13" x14ac:dyDescent="0.25">
      <c r="G751" s="13">
        <v>40996</v>
      </c>
      <c r="H751" s="15">
        <v>3.99</v>
      </c>
      <c r="I751" s="15">
        <v>0.7</v>
      </c>
      <c r="J751" s="15">
        <v>3.915</v>
      </c>
      <c r="K751" s="15">
        <f t="shared" si="40"/>
        <v>78.225000000000023</v>
      </c>
      <c r="L751" s="15">
        <f t="shared" si="41"/>
        <v>20</v>
      </c>
      <c r="M751" s="15">
        <f t="shared" si="42"/>
        <v>3.9112500000000012</v>
      </c>
    </row>
    <row r="752" spans="7:13" x14ac:dyDescent="0.25">
      <c r="G752" s="13">
        <v>40995</v>
      </c>
      <c r="H752" s="15">
        <v>3.99</v>
      </c>
      <c r="I752" s="15">
        <v>0.7</v>
      </c>
      <c r="J752" s="15">
        <v>3.915</v>
      </c>
      <c r="K752" s="15">
        <f t="shared" si="40"/>
        <v>74.310000000000016</v>
      </c>
      <c r="L752" s="15">
        <f t="shared" si="41"/>
        <v>19</v>
      </c>
      <c r="M752" s="15">
        <f t="shared" si="42"/>
        <v>3.9110526315789484</v>
      </c>
    </row>
    <row r="753" spans="7:13" x14ac:dyDescent="0.25">
      <c r="G753" s="13">
        <v>40994</v>
      </c>
      <c r="H753" s="15">
        <v>3.99</v>
      </c>
      <c r="I753" s="15">
        <v>0.7</v>
      </c>
      <c r="J753" s="15">
        <v>3.915</v>
      </c>
      <c r="K753" s="15">
        <f t="shared" si="40"/>
        <v>70.39500000000001</v>
      </c>
      <c r="L753" s="15">
        <f t="shared" si="41"/>
        <v>18</v>
      </c>
      <c r="M753" s="15">
        <f t="shared" si="42"/>
        <v>3.910833333333334</v>
      </c>
    </row>
    <row r="754" spans="7:13" x14ac:dyDescent="0.25">
      <c r="G754" s="13">
        <v>40991</v>
      </c>
      <c r="H754" s="15">
        <v>3.99</v>
      </c>
      <c r="I754" s="15">
        <v>0.7</v>
      </c>
      <c r="J754" s="15">
        <v>3.915</v>
      </c>
      <c r="K754" s="15">
        <f t="shared" si="40"/>
        <v>66.48</v>
      </c>
      <c r="L754" s="15">
        <f t="shared" si="41"/>
        <v>17</v>
      </c>
      <c r="M754" s="15">
        <f t="shared" si="42"/>
        <v>3.9105882352941177</v>
      </c>
    </row>
    <row r="755" spans="7:13" x14ac:dyDescent="0.25">
      <c r="G755" s="13">
        <v>40990</v>
      </c>
      <c r="H755" s="15">
        <v>3.99</v>
      </c>
      <c r="I755" s="15">
        <v>0.7</v>
      </c>
      <c r="J755" s="15">
        <v>3.915</v>
      </c>
      <c r="K755" s="15">
        <f t="shared" si="40"/>
        <v>62.565000000000005</v>
      </c>
      <c r="L755" s="15">
        <f t="shared" si="41"/>
        <v>16</v>
      </c>
      <c r="M755" s="15">
        <f t="shared" si="42"/>
        <v>3.9103125000000003</v>
      </c>
    </row>
    <row r="756" spans="7:13" x14ac:dyDescent="0.25">
      <c r="G756" s="13">
        <v>40989</v>
      </c>
      <c r="H756" s="15">
        <v>4.08</v>
      </c>
      <c r="I756" s="15">
        <v>0.8</v>
      </c>
      <c r="J756" s="15">
        <v>4.03</v>
      </c>
      <c r="K756" s="15">
        <f t="shared" si="40"/>
        <v>58.650000000000006</v>
      </c>
      <c r="L756" s="15">
        <f t="shared" si="41"/>
        <v>15</v>
      </c>
      <c r="M756" s="15">
        <f t="shared" si="42"/>
        <v>3.9100000000000006</v>
      </c>
    </row>
    <row r="757" spans="7:13" x14ac:dyDescent="0.25">
      <c r="G757" s="13">
        <v>40988</v>
      </c>
      <c r="H757" s="15">
        <v>4.08</v>
      </c>
      <c r="I757" s="15">
        <v>0.8</v>
      </c>
      <c r="J757" s="15">
        <v>4.03</v>
      </c>
      <c r="K757" s="15">
        <f t="shared" si="40"/>
        <v>54.620000000000005</v>
      </c>
      <c r="L757" s="15">
        <f t="shared" si="41"/>
        <v>14</v>
      </c>
      <c r="M757" s="15">
        <f t="shared" si="42"/>
        <v>3.9014285714285717</v>
      </c>
    </row>
    <row r="758" spans="7:13" x14ac:dyDescent="0.25">
      <c r="G758" s="13">
        <v>40987</v>
      </c>
      <c r="H758" s="15">
        <v>4.08</v>
      </c>
      <c r="I758" s="15">
        <v>0.8</v>
      </c>
      <c r="J758" s="15">
        <v>4.03</v>
      </c>
      <c r="K758" s="15">
        <f t="shared" si="40"/>
        <v>50.59</v>
      </c>
      <c r="L758" s="15">
        <f t="shared" si="41"/>
        <v>13</v>
      </c>
      <c r="M758" s="15">
        <f t="shared" si="42"/>
        <v>3.8915384615384618</v>
      </c>
    </row>
    <row r="759" spans="7:13" x14ac:dyDescent="0.25">
      <c r="G759" s="13">
        <v>40984</v>
      </c>
      <c r="H759" s="15">
        <v>4.08</v>
      </c>
      <c r="I759" s="15">
        <v>0.8</v>
      </c>
      <c r="J759" s="15">
        <v>4.03</v>
      </c>
      <c r="K759" s="15">
        <f t="shared" si="40"/>
        <v>46.56</v>
      </c>
      <c r="L759" s="15">
        <f t="shared" si="41"/>
        <v>12</v>
      </c>
      <c r="M759" s="15">
        <f t="shared" si="42"/>
        <v>3.8800000000000003</v>
      </c>
    </row>
    <row r="760" spans="7:13" x14ac:dyDescent="0.25">
      <c r="G760" s="13">
        <v>40983</v>
      </c>
      <c r="H760" s="15">
        <v>4.08</v>
      </c>
      <c r="I760" s="15">
        <v>0.8</v>
      </c>
      <c r="J760" s="15">
        <v>4.03</v>
      </c>
      <c r="K760" s="15">
        <f t="shared" si="40"/>
        <v>42.53</v>
      </c>
      <c r="L760" s="15">
        <f t="shared" si="41"/>
        <v>11</v>
      </c>
      <c r="M760" s="15">
        <f t="shared" si="42"/>
        <v>3.8663636363636367</v>
      </c>
    </row>
    <row r="761" spans="7:13" x14ac:dyDescent="0.25">
      <c r="G761" s="13">
        <v>40982</v>
      </c>
      <c r="H761" s="15">
        <v>3.92</v>
      </c>
      <c r="I761" s="15">
        <v>0.8</v>
      </c>
      <c r="J761" s="15">
        <v>3.87</v>
      </c>
      <c r="K761" s="15">
        <f t="shared" si="40"/>
        <v>38.5</v>
      </c>
      <c r="L761" s="15">
        <f t="shared" si="41"/>
        <v>10</v>
      </c>
      <c r="M761" s="15">
        <f t="shared" si="42"/>
        <v>3.85</v>
      </c>
    </row>
    <row r="762" spans="7:13" x14ac:dyDescent="0.25">
      <c r="G762" s="13">
        <v>40981</v>
      </c>
      <c r="H762" s="15">
        <v>3.92</v>
      </c>
      <c r="I762" s="15">
        <v>0.8</v>
      </c>
      <c r="J762" s="15">
        <v>3.87</v>
      </c>
      <c r="K762" s="15">
        <f t="shared" si="40"/>
        <v>34.630000000000003</v>
      </c>
      <c r="L762" s="15">
        <f t="shared" si="41"/>
        <v>9</v>
      </c>
      <c r="M762" s="15">
        <f t="shared" si="42"/>
        <v>3.847777777777778</v>
      </c>
    </row>
    <row r="763" spans="7:13" x14ac:dyDescent="0.25">
      <c r="G763" s="13">
        <v>40980</v>
      </c>
      <c r="H763" s="15">
        <v>3.92</v>
      </c>
      <c r="I763" s="15">
        <v>0.8</v>
      </c>
      <c r="J763" s="15">
        <v>3.87</v>
      </c>
      <c r="K763" s="15">
        <f t="shared" si="40"/>
        <v>30.76</v>
      </c>
      <c r="L763" s="15">
        <f t="shared" si="41"/>
        <v>8</v>
      </c>
      <c r="M763" s="15">
        <f t="shared" si="42"/>
        <v>3.8450000000000002</v>
      </c>
    </row>
    <row r="764" spans="7:13" x14ac:dyDescent="0.25">
      <c r="G764" s="13">
        <v>40977</v>
      </c>
      <c r="H764" s="15">
        <v>3.92</v>
      </c>
      <c r="I764" s="15">
        <v>0.8</v>
      </c>
      <c r="J764" s="15">
        <v>3.87</v>
      </c>
      <c r="K764" s="15">
        <f t="shared" si="40"/>
        <v>26.89</v>
      </c>
      <c r="L764" s="15">
        <f t="shared" si="41"/>
        <v>7</v>
      </c>
      <c r="M764" s="15">
        <f t="shared" si="42"/>
        <v>3.8414285714285716</v>
      </c>
    </row>
    <row r="765" spans="7:13" x14ac:dyDescent="0.25">
      <c r="G765" s="13">
        <v>40976</v>
      </c>
      <c r="H765" s="15">
        <v>3.92</v>
      </c>
      <c r="I765" s="15">
        <v>0.8</v>
      </c>
      <c r="J765" s="15">
        <v>3.87</v>
      </c>
      <c r="K765" s="15">
        <f t="shared" si="40"/>
        <v>23.02</v>
      </c>
      <c r="L765" s="15">
        <f t="shared" si="41"/>
        <v>6</v>
      </c>
      <c r="M765" s="15">
        <f t="shared" si="42"/>
        <v>3.8366666666666664</v>
      </c>
    </row>
    <row r="766" spans="7:13" x14ac:dyDescent="0.25">
      <c r="G766" s="13">
        <v>40975</v>
      </c>
      <c r="H766" s="15">
        <v>3.88</v>
      </c>
      <c r="I766" s="15">
        <v>0.8</v>
      </c>
      <c r="J766" s="15">
        <v>3.83</v>
      </c>
      <c r="K766" s="15">
        <f t="shared" si="40"/>
        <v>19.149999999999999</v>
      </c>
      <c r="L766" s="15">
        <f t="shared" si="41"/>
        <v>5</v>
      </c>
      <c r="M766" s="15">
        <f t="shared" si="42"/>
        <v>3.8299999999999996</v>
      </c>
    </row>
    <row r="767" spans="7:13" x14ac:dyDescent="0.25">
      <c r="G767" s="13">
        <v>40974</v>
      </c>
      <c r="H767" s="15">
        <v>3.88</v>
      </c>
      <c r="I767" s="15">
        <v>0.8</v>
      </c>
      <c r="J767" s="15">
        <v>3.83</v>
      </c>
      <c r="K767" s="15">
        <f t="shared" si="40"/>
        <v>15.32</v>
      </c>
      <c r="L767" s="15">
        <f t="shared" si="41"/>
        <v>4</v>
      </c>
      <c r="M767" s="15">
        <f t="shared" si="42"/>
        <v>3.83</v>
      </c>
    </row>
    <row r="768" spans="7:13" x14ac:dyDescent="0.25">
      <c r="G768" s="13">
        <v>40973</v>
      </c>
      <c r="H768" s="15">
        <v>3.88</v>
      </c>
      <c r="I768" s="15">
        <v>0.8</v>
      </c>
      <c r="J768" s="15">
        <v>3.83</v>
      </c>
      <c r="K768" s="15">
        <f t="shared" si="40"/>
        <v>11.49</v>
      </c>
      <c r="L768" s="15">
        <f t="shared" si="41"/>
        <v>3</v>
      </c>
      <c r="M768" s="15">
        <f t="shared" si="42"/>
        <v>3.83</v>
      </c>
    </row>
    <row r="769" spans="7:13" x14ac:dyDescent="0.25">
      <c r="G769" s="13">
        <v>40970</v>
      </c>
      <c r="H769" s="15">
        <v>3.88</v>
      </c>
      <c r="I769" s="15">
        <v>0.8</v>
      </c>
      <c r="J769" s="15">
        <v>3.83</v>
      </c>
      <c r="K769" s="15">
        <f t="shared" si="40"/>
        <v>7.66</v>
      </c>
      <c r="L769" s="15">
        <f t="shared" si="41"/>
        <v>2</v>
      </c>
      <c r="M769" s="15">
        <f t="shared" si="42"/>
        <v>3.83</v>
      </c>
    </row>
    <row r="770" spans="7:13" x14ac:dyDescent="0.25">
      <c r="G770" s="13">
        <v>40969</v>
      </c>
      <c r="H770" s="15">
        <v>3.88</v>
      </c>
      <c r="I770" s="15">
        <v>0.8</v>
      </c>
      <c r="J770" s="15">
        <v>3.83</v>
      </c>
      <c r="K770" s="15">
        <f t="shared" si="40"/>
        <v>3.83</v>
      </c>
      <c r="L770" s="15">
        <f t="shared" si="41"/>
        <v>1</v>
      </c>
      <c r="M770" s="15">
        <f t="shared" si="42"/>
        <v>3.83</v>
      </c>
    </row>
    <row r="771" spans="7:13" x14ac:dyDescent="0.25">
      <c r="G771" s="13">
        <v>40968</v>
      </c>
      <c r="H771" s="15">
        <v>3.9</v>
      </c>
      <c r="I771" s="15">
        <v>0.8</v>
      </c>
      <c r="J771" s="15">
        <v>3.85</v>
      </c>
      <c r="K771" s="15">
        <f t="shared" si="40"/>
        <v>76.869999999999976</v>
      </c>
      <c r="L771" s="15">
        <f t="shared" si="41"/>
        <v>20</v>
      </c>
      <c r="M771" s="15">
        <f t="shared" si="42"/>
        <v>3.8434999999999988</v>
      </c>
    </row>
    <row r="772" spans="7:13" x14ac:dyDescent="0.25">
      <c r="G772" s="13">
        <v>40967</v>
      </c>
      <c r="H772" s="15">
        <v>3.9</v>
      </c>
      <c r="I772" s="15">
        <v>0.8</v>
      </c>
      <c r="J772" s="15">
        <v>3.85</v>
      </c>
      <c r="K772" s="15">
        <f t="shared" ref="K772:K835" si="43">IF(MONTH(G772)=MONTH(G773),J772+K773,J772)</f>
        <v>73.019999999999982</v>
      </c>
      <c r="L772" s="15">
        <f t="shared" ref="L772:L835" si="44">IF(MONTH(G772)=MONTH(G773),L773+1,1)</f>
        <v>19</v>
      </c>
      <c r="M772" s="15">
        <f t="shared" si="42"/>
        <v>3.8431578947368412</v>
      </c>
    </row>
    <row r="773" spans="7:13" x14ac:dyDescent="0.25">
      <c r="G773" s="13">
        <v>40966</v>
      </c>
      <c r="H773" s="15">
        <v>3.9</v>
      </c>
      <c r="I773" s="15">
        <v>0.8</v>
      </c>
      <c r="J773" s="15">
        <v>3.85</v>
      </c>
      <c r="K773" s="15">
        <f t="shared" si="43"/>
        <v>69.169999999999987</v>
      </c>
      <c r="L773" s="15">
        <f t="shared" si="44"/>
        <v>18</v>
      </c>
      <c r="M773" s="15">
        <f t="shared" ref="M773:M836" si="45">K773/L773</f>
        <v>3.8427777777777772</v>
      </c>
    </row>
    <row r="774" spans="7:13" x14ac:dyDescent="0.25">
      <c r="G774" s="13">
        <v>40963</v>
      </c>
      <c r="H774" s="15">
        <v>3.9</v>
      </c>
      <c r="I774" s="15">
        <v>0.8</v>
      </c>
      <c r="J774" s="15">
        <v>3.85</v>
      </c>
      <c r="K774" s="15">
        <f t="shared" si="43"/>
        <v>65.319999999999993</v>
      </c>
      <c r="L774" s="15">
        <f t="shared" si="44"/>
        <v>17</v>
      </c>
      <c r="M774" s="15">
        <f t="shared" si="45"/>
        <v>3.8423529411764701</v>
      </c>
    </row>
    <row r="775" spans="7:13" x14ac:dyDescent="0.25">
      <c r="G775" s="13">
        <v>40962</v>
      </c>
      <c r="H775" s="15">
        <v>3.9</v>
      </c>
      <c r="I775" s="15">
        <v>0.8</v>
      </c>
      <c r="J775" s="15">
        <v>3.85</v>
      </c>
      <c r="K775" s="15">
        <f t="shared" si="43"/>
        <v>61.469999999999992</v>
      </c>
      <c r="L775" s="15">
        <f t="shared" si="44"/>
        <v>16</v>
      </c>
      <c r="M775" s="15">
        <f t="shared" si="45"/>
        <v>3.8418749999999995</v>
      </c>
    </row>
    <row r="776" spans="7:13" x14ac:dyDescent="0.25">
      <c r="G776" s="13">
        <v>40961</v>
      </c>
      <c r="H776" s="15">
        <v>3.95</v>
      </c>
      <c r="I776" s="15">
        <v>0.8</v>
      </c>
      <c r="J776" s="15">
        <v>3.9</v>
      </c>
      <c r="K776" s="15">
        <f t="shared" si="43"/>
        <v>57.61999999999999</v>
      </c>
      <c r="L776" s="15">
        <f t="shared" si="44"/>
        <v>15</v>
      </c>
      <c r="M776" s="15">
        <f t="shared" si="45"/>
        <v>3.8413333333333326</v>
      </c>
    </row>
    <row r="777" spans="7:13" x14ac:dyDescent="0.25">
      <c r="G777" s="13">
        <v>40960</v>
      </c>
      <c r="H777" s="15">
        <v>3.95</v>
      </c>
      <c r="I777" s="15">
        <v>0.8</v>
      </c>
      <c r="J777" s="15">
        <v>3.9</v>
      </c>
      <c r="K777" s="15">
        <f t="shared" si="43"/>
        <v>53.719999999999992</v>
      </c>
      <c r="L777" s="15">
        <f t="shared" si="44"/>
        <v>14</v>
      </c>
      <c r="M777" s="15">
        <f t="shared" si="45"/>
        <v>3.8371428571428567</v>
      </c>
    </row>
    <row r="778" spans="7:13" x14ac:dyDescent="0.25">
      <c r="G778" s="13">
        <v>40956</v>
      </c>
      <c r="H778" s="15">
        <v>3.95</v>
      </c>
      <c r="I778" s="15">
        <v>0.8</v>
      </c>
      <c r="J778" s="15">
        <v>3.9</v>
      </c>
      <c r="K778" s="15">
        <f t="shared" si="43"/>
        <v>49.819999999999993</v>
      </c>
      <c r="L778" s="15">
        <f t="shared" si="44"/>
        <v>13</v>
      </c>
      <c r="M778" s="15">
        <f t="shared" si="45"/>
        <v>3.8323076923076917</v>
      </c>
    </row>
    <row r="779" spans="7:13" x14ac:dyDescent="0.25">
      <c r="G779" s="13">
        <v>40955</v>
      </c>
      <c r="H779" s="15">
        <v>3.95</v>
      </c>
      <c r="I779" s="15">
        <v>0.8</v>
      </c>
      <c r="J779" s="15">
        <v>3.9</v>
      </c>
      <c r="K779" s="15">
        <f t="shared" si="43"/>
        <v>45.919999999999995</v>
      </c>
      <c r="L779" s="15">
        <f t="shared" si="44"/>
        <v>12</v>
      </c>
      <c r="M779" s="15">
        <f t="shared" si="45"/>
        <v>3.8266666666666662</v>
      </c>
    </row>
    <row r="780" spans="7:13" x14ac:dyDescent="0.25">
      <c r="G780" s="13">
        <v>40954</v>
      </c>
      <c r="H780" s="15">
        <v>3.87</v>
      </c>
      <c r="I780" s="15">
        <v>0.8</v>
      </c>
      <c r="J780" s="15">
        <v>3.82</v>
      </c>
      <c r="K780" s="15">
        <f t="shared" si="43"/>
        <v>42.019999999999996</v>
      </c>
      <c r="L780" s="15">
        <f t="shared" si="44"/>
        <v>11</v>
      </c>
      <c r="M780" s="15">
        <f t="shared" si="45"/>
        <v>3.82</v>
      </c>
    </row>
    <row r="781" spans="7:13" x14ac:dyDescent="0.25">
      <c r="G781" s="13">
        <v>40953</v>
      </c>
      <c r="H781" s="15">
        <v>3.87</v>
      </c>
      <c r="I781" s="15">
        <v>0.8</v>
      </c>
      <c r="J781" s="15">
        <v>3.82</v>
      </c>
      <c r="K781" s="15">
        <f t="shared" si="43"/>
        <v>38.199999999999996</v>
      </c>
      <c r="L781" s="15">
        <f t="shared" si="44"/>
        <v>10</v>
      </c>
      <c r="M781" s="15">
        <f t="shared" si="45"/>
        <v>3.8199999999999994</v>
      </c>
    </row>
    <row r="782" spans="7:13" x14ac:dyDescent="0.25">
      <c r="G782" s="13">
        <v>40952</v>
      </c>
      <c r="H782" s="15">
        <v>3.87</v>
      </c>
      <c r="I782" s="15">
        <v>0.8</v>
      </c>
      <c r="J782" s="15">
        <v>3.82</v>
      </c>
      <c r="K782" s="15">
        <f t="shared" si="43"/>
        <v>34.379999999999995</v>
      </c>
      <c r="L782" s="15">
        <f t="shared" si="44"/>
        <v>9</v>
      </c>
      <c r="M782" s="15">
        <f t="shared" si="45"/>
        <v>3.8199999999999994</v>
      </c>
    </row>
    <row r="783" spans="7:13" x14ac:dyDescent="0.25">
      <c r="G783" s="13">
        <v>40949</v>
      </c>
      <c r="H783" s="15">
        <v>3.87</v>
      </c>
      <c r="I783" s="15">
        <v>0.8</v>
      </c>
      <c r="J783" s="15">
        <v>3.82</v>
      </c>
      <c r="K783" s="15">
        <f t="shared" si="43"/>
        <v>30.56</v>
      </c>
      <c r="L783" s="15">
        <f t="shared" si="44"/>
        <v>8</v>
      </c>
      <c r="M783" s="15">
        <f t="shared" si="45"/>
        <v>3.82</v>
      </c>
    </row>
    <row r="784" spans="7:13" x14ac:dyDescent="0.25">
      <c r="G784" s="13">
        <v>40948</v>
      </c>
      <c r="H784" s="15">
        <v>3.87</v>
      </c>
      <c r="I784" s="15">
        <v>0.8</v>
      </c>
      <c r="J784" s="15">
        <v>3.82</v>
      </c>
      <c r="K784" s="15">
        <f t="shared" si="43"/>
        <v>26.74</v>
      </c>
      <c r="L784" s="15">
        <f t="shared" si="44"/>
        <v>7</v>
      </c>
      <c r="M784" s="15">
        <f t="shared" si="45"/>
        <v>3.82</v>
      </c>
    </row>
    <row r="785" spans="7:13" x14ac:dyDescent="0.25">
      <c r="G785" s="13">
        <v>40947</v>
      </c>
      <c r="H785" s="15">
        <v>3.87</v>
      </c>
      <c r="I785" s="15">
        <v>0.8</v>
      </c>
      <c r="J785" s="15">
        <v>3.82</v>
      </c>
      <c r="K785" s="15">
        <f t="shared" si="43"/>
        <v>22.919999999999998</v>
      </c>
      <c r="L785" s="15">
        <f t="shared" si="44"/>
        <v>6</v>
      </c>
      <c r="M785" s="15">
        <f t="shared" si="45"/>
        <v>3.82</v>
      </c>
    </row>
    <row r="786" spans="7:13" x14ac:dyDescent="0.25">
      <c r="G786" s="13">
        <v>40946</v>
      </c>
      <c r="H786" s="15">
        <v>3.87</v>
      </c>
      <c r="I786" s="15">
        <v>0.8</v>
      </c>
      <c r="J786" s="15">
        <v>3.82</v>
      </c>
      <c r="K786" s="15">
        <f t="shared" si="43"/>
        <v>19.099999999999998</v>
      </c>
      <c r="L786" s="15">
        <f t="shared" si="44"/>
        <v>5</v>
      </c>
      <c r="M786" s="15">
        <f t="shared" si="45"/>
        <v>3.8199999999999994</v>
      </c>
    </row>
    <row r="787" spans="7:13" x14ac:dyDescent="0.25">
      <c r="G787" s="13">
        <v>40945</v>
      </c>
      <c r="H787" s="15">
        <v>3.87</v>
      </c>
      <c r="I787" s="15">
        <v>0.8</v>
      </c>
      <c r="J787" s="15">
        <v>3.82</v>
      </c>
      <c r="K787" s="15">
        <f t="shared" si="43"/>
        <v>15.28</v>
      </c>
      <c r="L787" s="15">
        <f t="shared" si="44"/>
        <v>4</v>
      </c>
      <c r="M787" s="15">
        <f t="shared" si="45"/>
        <v>3.82</v>
      </c>
    </row>
    <row r="788" spans="7:13" x14ac:dyDescent="0.25">
      <c r="G788" s="13">
        <v>40942</v>
      </c>
      <c r="H788" s="15">
        <v>3.87</v>
      </c>
      <c r="I788" s="15">
        <v>0.8</v>
      </c>
      <c r="J788" s="15">
        <v>3.82</v>
      </c>
      <c r="K788" s="15">
        <f t="shared" si="43"/>
        <v>11.459999999999999</v>
      </c>
      <c r="L788" s="15">
        <f t="shared" si="44"/>
        <v>3</v>
      </c>
      <c r="M788" s="15">
        <f t="shared" si="45"/>
        <v>3.82</v>
      </c>
    </row>
    <row r="789" spans="7:13" x14ac:dyDescent="0.25">
      <c r="G789" s="13">
        <v>40941</v>
      </c>
      <c r="H789" s="15">
        <v>3.87</v>
      </c>
      <c r="I789" s="15">
        <v>0.8</v>
      </c>
      <c r="J789" s="15">
        <v>3.82</v>
      </c>
      <c r="K789" s="15">
        <f t="shared" si="43"/>
        <v>7.64</v>
      </c>
      <c r="L789" s="15">
        <f t="shared" si="44"/>
        <v>2</v>
      </c>
      <c r="M789" s="15">
        <f t="shared" si="45"/>
        <v>3.82</v>
      </c>
    </row>
    <row r="790" spans="7:13" x14ac:dyDescent="0.25">
      <c r="G790" s="13">
        <v>40940</v>
      </c>
      <c r="H790" s="15">
        <v>3.87</v>
      </c>
      <c r="I790" s="15">
        <v>0.8</v>
      </c>
      <c r="J790" s="15">
        <v>3.82</v>
      </c>
      <c r="K790" s="15">
        <f t="shared" si="43"/>
        <v>3.82</v>
      </c>
      <c r="L790" s="15">
        <f t="shared" si="44"/>
        <v>1</v>
      </c>
      <c r="M790" s="15">
        <f t="shared" si="45"/>
        <v>3.82</v>
      </c>
    </row>
    <row r="791" spans="7:13" x14ac:dyDescent="0.25">
      <c r="G791" s="13">
        <v>40939</v>
      </c>
      <c r="H791" s="15">
        <v>3.87</v>
      </c>
      <c r="I791" s="15">
        <v>0.8</v>
      </c>
      <c r="J791" s="15">
        <v>3.82</v>
      </c>
      <c r="K791" s="15">
        <f t="shared" si="43"/>
        <v>76.919999999999973</v>
      </c>
      <c r="L791" s="15">
        <f t="shared" si="44"/>
        <v>20</v>
      </c>
      <c r="M791" s="15">
        <f t="shared" si="45"/>
        <v>3.8459999999999988</v>
      </c>
    </row>
    <row r="792" spans="7:13" x14ac:dyDescent="0.25">
      <c r="G792" s="13">
        <v>40938</v>
      </c>
      <c r="H792" s="15">
        <v>3.87</v>
      </c>
      <c r="I792" s="15">
        <v>0.8</v>
      </c>
      <c r="J792" s="15">
        <v>3.82</v>
      </c>
      <c r="K792" s="15">
        <f t="shared" si="43"/>
        <v>73.09999999999998</v>
      </c>
      <c r="L792" s="15">
        <f t="shared" si="44"/>
        <v>19</v>
      </c>
      <c r="M792" s="15">
        <f t="shared" si="45"/>
        <v>3.8473684210526304</v>
      </c>
    </row>
    <row r="793" spans="7:13" x14ac:dyDescent="0.25">
      <c r="G793" s="13">
        <v>40935</v>
      </c>
      <c r="H793" s="15">
        <v>3.87</v>
      </c>
      <c r="I793" s="15">
        <v>0.8</v>
      </c>
      <c r="J793" s="15">
        <v>3.82</v>
      </c>
      <c r="K793" s="15">
        <f t="shared" si="43"/>
        <v>69.279999999999987</v>
      </c>
      <c r="L793" s="15">
        <f t="shared" si="44"/>
        <v>18</v>
      </c>
      <c r="M793" s="15">
        <f t="shared" si="45"/>
        <v>3.8488888888888884</v>
      </c>
    </row>
    <row r="794" spans="7:13" x14ac:dyDescent="0.25">
      <c r="G794" s="13">
        <v>40934</v>
      </c>
      <c r="H794" s="15">
        <v>3.87</v>
      </c>
      <c r="I794" s="15">
        <v>0.8</v>
      </c>
      <c r="J794" s="15">
        <v>3.82</v>
      </c>
      <c r="K794" s="15">
        <f t="shared" si="43"/>
        <v>65.459999999999994</v>
      </c>
      <c r="L794" s="15">
        <f t="shared" si="44"/>
        <v>17</v>
      </c>
      <c r="M794" s="15">
        <f t="shared" si="45"/>
        <v>3.8505882352941172</v>
      </c>
    </row>
    <row r="795" spans="7:13" x14ac:dyDescent="0.25">
      <c r="G795" s="13">
        <v>40933</v>
      </c>
      <c r="H795" s="15">
        <v>3.98</v>
      </c>
      <c r="I795" s="15">
        <v>0.7</v>
      </c>
      <c r="J795" s="15">
        <v>3.9049999999999998</v>
      </c>
      <c r="K795" s="15">
        <f t="shared" si="43"/>
        <v>61.64</v>
      </c>
      <c r="L795" s="15">
        <f t="shared" si="44"/>
        <v>16</v>
      </c>
      <c r="M795" s="15">
        <f t="shared" si="45"/>
        <v>3.8525</v>
      </c>
    </row>
    <row r="796" spans="7:13" x14ac:dyDescent="0.25">
      <c r="G796" s="13">
        <v>40932</v>
      </c>
      <c r="H796" s="15">
        <v>3.98</v>
      </c>
      <c r="I796" s="15">
        <v>0.7</v>
      </c>
      <c r="J796" s="15">
        <v>3.9049999999999998</v>
      </c>
      <c r="K796" s="15">
        <f t="shared" si="43"/>
        <v>57.734999999999999</v>
      </c>
      <c r="L796" s="15">
        <f t="shared" si="44"/>
        <v>15</v>
      </c>
      <c r="M796" s="15">
        <f t="shared" si="45"/>
        <v>3.8489999999999998</v>
      </c>
    </row>
    <row r="797" spans="7:13" x14ac:dyDescent="0.25">
      <c r="G797" s="13">
        <v>40931</v>
      </c>
      <c r="H797" s="15">
        <v>3.98</v>
      </c>
      <c r="I797" s="15">
        <v>0.7</v>
      </c>
      <c r="J797" s="15">
        <v>3.9049999999999998</v>
      </c>
      <c r="K797" s="15">
        <f t="shared" si="43"/>
        <v>53.83</v>
      </c>
      <c r="L797" s="15">
        <f t="shared" si="44"/>
        <v>14</v>
      </c>
      <c r="M797" s="15">
        <f t="shared" si="45"/>
        <v>3.8449999999999998</v>
      </c>
    </row>
    <row r="798" spans="7:13" x14ac:dyDescent="0.25">
      <c r="G798" s="13">
        <v>40928</v>
      </c>
      <c r="H798" s="15">
        <v>3.98</v>
      </c>
      <c r="I798" s="15">
        <v>0.7</v>
      </c>
      <c r="J798" s="15">
        <v>3.9049999999999998</v>
      </c>
      <c r="K798" s="15">
        <f t="shared" si="43"/>
        <v>49.924999999999997</v>
      </c>
      <c r="L798" s="15">
        <f t="shared" si="44"/>
        <v>13</v>
      </c>
      <c r="M798" s="15">
        <f t="shared" si="45"/>
        <v>3.8403846153846151</v>
      </c>
    </row>
    <row r="799" spans="7:13" x14ac:dyDescent="0.25">
      <c r="G799" s="13">
        <v>40927</v>
      </c>
      <c r="H799" s="15">
        <v>3.98</v>
      </c>
      <c r="I799" s="15">
        <v>0.7</v>
      </c>
      <c r="J799" s="15">
        <v>3.9049999999999998</v>
      </c>
      <c r="K799" s="15">
        <f t="shared" si="43"/>
        <v>46.019999999999996</v>
      </c>
      <c r="L799" s="15">
        <f t="shared" si="44"/>
        <v>12</v>
      </c>
      <c r="M799" s="15">
        <f t="shared" si="45"/>
        <v>3.8349999999999995</v>
      </c>
    </row>
    <row r="800" spans="7:13" x14ac:dyDescent="0.25">
      <c r="G800" s="13">
        <v>40926</v>
      </c>
      <c r="H800" s="15">
        <v>3.88</v>
      </c>
      <c r="I800" s="15">
        <v>0.8</v>
      </c>
      <c r="J800" s="15">
        <v>3.83</v>
      </c>
      <c r="K800" s="15">
        <f t="shared" si="43"/>
        <v>42.114999999999995</v>
      </c>
      <c r="L800" s="15">
        <f t="shared" si="44"/>
        <v>11</v>
      </c>
      <c r="M800" s="15">
        <f t="shared" si="45"/>
        <v>3.8286363636363632</v>
      </c>
    </row>
    <row r="801" spans="7:13" x14ac:dyDescent="0.25">
      <c r="G801" s="13">
        <v>40925</v>
      </c>
      <c r="H801" s="15">
        <v>3.88</v>
      </c>
      <c r="I801" s="15">
        <v>0.8</v>
      </c>
      <c r="J801" s="15">
        <v>3.83</v>
      </c>
      <c r="K801" s="15">
        <f t="shared" si="43"/>
        <v>38.284999999999997</v>
      </c>
      <c r="L801" s="15">
        <f t="shared" si="44"/>
        <v>10</v>
      </c>
      <c r="M801" s="15">
        <f t="shared" si="45"/>
        <v>3.8284999999999996</v>
      </c>
    </row>
    <row r="802" spans="7:13" x14ac:dyDescent="0.25">
      <c r="G802" s="13">
        <v>40921</v>
      </c>
      <c r="H802" s="15">
        <v>3.88</v>
      </c>
      <c r="I802" s="15">
        <v>0.8</v>
      </c>
      <c r="J802" s="15">
        <v>3.83</v>
      </c>
      <c r="K802" s="15">
        <f t="shared" si="43"/>
        <v>34.454999999999998</v>
      </c>
      <c r="L802" s="15">
        <f t="shared" si="44"/>
        <v>9</v>
      </c>
      <c r="M802" s="15">
        <f t="shared" si="45"/>
        <v>3.8283333333333331</v>
      </c>
    </row>
    <row r="803" spans="7:13" x14ac:dyDescent="0.25">
      <c r="G803" s="13">
        <v>40920</v>
      </c>
      <c r="H803" s="15">
        <v>3.88</v>
      </c>
      <c r="I803" s="15">
        <v>0.8</v>
      </c>
      <c r="J803" s="15">
        <v>3.83</v>
      </c>
      <c r="K803" s="15">
        <f t="shared" si="43"/>
        <v>30.625</v>
      </c>
      <c r="L803" s="15">
        <f t="shared" si="44"/>
        <v>8</v>
      </c>
      <c r="M803" s="15">
        <f t="shared" si="45"/>
        <v>3.828125</v>
      </c>
    </row>
    <row r="804" spans="7:13" x14ac:dyDescent="0.25">
      <c r="G804" s="13">
        <v>40919</v>
      </c>
      <c r="H804" s="15">
        <v>3.89</v>
      </c>
      <c r="I804" s="15">
        <v>0.7</v>
      </c>
      <c r="J804" s="15">
        <v>3.8149999999999999</v>
      </c>
      <c r="K804" s="15">
        <f t="shared" si="43"/>
        <v>26.795000000000002</v>
      </c>
      <c r="L804" s="15">
        <f t="shared" si="44"/>
        <v>7</v>
      </c>
      <c r="M804" s="15">
        <f t="shared" si="45"/>
        <v>3.8278571428571433</v>
      </c>
    </row>
    <row r="805" spans="7:13" x14ac:dyDescent="0.25">
      <c r="G805" s="13">
        <v>40918</v>
      </c>
      <c r="H805" s="15">
        <v>3.89</v>
      </c>
      <c r="I805" s="15">
        <v>0.7</v>
      </c>
      <c r="J805" s="15">
        <v>3.8149999999999999</v>
      </c>
      <c r="K805" s="15">
        <f t="shared" si="43"/>
        <v>22.98</v>
      </c>
      <c r="L805" s="15">
        <f t="shared" si="44"/>
        <v>6</v>
      </c>
      <c r="M805" s="15">
        <f t="shared" si="45"/>
        <v>3.83</v>
      </c>
    </row>
    <row r="806" spans="7:13" x14ac:dyDescent="0.25">
      <c r="G806" s="13">
        <v>40917</v>
      </c>
      <c r="H806" s="15">
        <v>3.89</v>
      </c>
      <c r="I806" s="15">
        <v>0.7</v>
      </c>
      <c r="J806" s="15">
        <v>3.8149999999999999</v>
      </c>
      <c r="K806" s="15">
        <f t="shared" si="43"/>
        <v>19.164999999999999</v>
      </c>
      <c r="L806" s="15">
        <f t="shared" si="44"/>
        <v>5</v>
      </c>
      <c r="M806" s="15">
        <f t="shared" si="45"/>
        <v>3.8329999999999997</v>
      </c>
    </row>
    <row r="807" spans="7:13" x14ac:dyDescent="0.25">
      <c r="G807" s="13">
        <v>40914</v>
      </c>
      <c r="H807" s="15">
        <v>3.89</v>
      </c>
      <c r="I807" s="15">
        <v>0.7</v>
      </c>
      <c r="J807" s="15">
        <v>3.8149999999999999</v>
      </c>
      <c r="K807" s="15">
        <f t="shared" si="43"/>
        <v>15.35</v>
      </c>
      <c r="L807" s="15">
        <f t="shared" si="44"/>
        <v>4</v>
      </c>
      <c r="M807" s="15">
        <f t="shared" si="45"/>
        <v>3.8374999999999999</v>
      </c>
    </row>
    <row r="808" spans="7:13" x14ac:dyDescent="0.25">
      <c r="G808" s="13">
        <v>40913</v>
      </c>
      <c r="H808" s="15">
        <v>3.89</v>
      </c>
      <c r="I808" s="15">
        <v>0.7</v>
      </c>
      <c r="J808" s="15">
        <v>3.8149999999999999</v>
      </c>
      <c r="K808" s="15">
        <f t="shared" si="43"/>
        <v>11.535</v>
      </c>
      <c r="L808" s="15">
        <f t="shared" si="44"/>
        <v>3</v>
      </c>
      <c r="M808" s="15">
        <f t="shared" si="45"/>
        <v>3.8450000000000002</v>
      </c>
    </row>
    <row r="809" spans="7:13" x14ac:dyDescent="0.25">
      <c r="G809" s="13">
        <v>40912</v>
      </c>
      <c r="H809" s="15">
        <v>3.91</v>
      </c>
      <c r="I809" s="15">
        <v>0.8</v>
      </c>
      <c r="J809" s="15">
        <v>3.86</v>
      </c>
      <c r="K809" s="15">
        <f t="shared" si="43"/>
        <v>7.72</v>
      </c>
      <c r="L809" s="15">
        <f t="shared" si="44"/>
        <v>2</v>
      </c>
      <c r="M809" s="15">
        <f t="shared" si="45"/>
        <v>3.86</v>
      </c>
    </row>
    <row r="810" spans="7:13" x14ac:dyDescent="0.25">
      <c r="G810" s="13">
        <v>40911</v>
      </c>
      <c r="H810" s="15">
        <v>3.91</v>
      </c>
      <c r="I810" s="15">
        <v>0.8</v>
      </c>
      <c r="J810" s="15">
        <v>3.86</v>
      </c>
      <c r="K810" s="15">
        <f t="shared" si="43"/>
        <v>3.86</v>
      </c>
      <c r="L810" s="15">
        <f t="shared" si="44"/>
        <v>1</v>
      </c>
      <c r="M810" s="15">
        <f t="shared" si="45"/>
        <v>3.86</v>
      </c>
    </row>
    <row r="811" spans="7:13" x14ac:dyDescent="0.25">
      <c r="G811" s="13">
        <v>40907</v>
      </c>
      <c r="H811" s="15">
        <v>3.91</v>
      </c>
      <c r="I811" s="15">
        <v>0.8</v>
      </c>
      <c r="J811" s="15">
        <v>3.86</v>
      </c>
      <c r="K811" s="15">
        <f t="shared" si="43"/>
        <v>81.42</v>
      </c>
      <c r="L811" s="15">
        <f t="shared" si="44"/>
        <v>21</v>
      </c>
      <c r="M811" s="15">
        <f t="shared" si="45"/>
        <v>3.8771428571428572</v>
      </c>
    </row>
    <row r="812" spans="7:13" x14ac:dyDescent="0.25">
      <c r="G812" s="13">
        <v>40906</v>
      </c>
      <c r="H812" s="15">
        <v>3.91</v>
      </c>
      <c r="I812" s="15">
        <v>0.8</v>
      </c>
      <c r="J812" s="15">
        <v>3.86</v>
      </c>
      <c r="K812" s="15">
        <f t="shared" si="43"/>
        <v>77.56</v>
      </c>
      <c r="L812" s="15">
        <f t="shared" si="44"/>
        <v>20</v>
      </c>
      <c r="M812" s="15">
        <f t="shared" si="45"/>
        <v>3.8780000000000001</v>
      </c>
    </row>
    <row r="813" spans="7:13" x14ac:dyDescent="0.25">
      <c r="G813" s="13">
        <v>40905</v>
      </c>
      <c r="H813" s="15">
        <v>3.95</v>
      </c>
      <c r="I813" s="15">
        <v>0.7</v>
      </c>
      <c r="J813" s="15">
        <v>3.875</v>
      </c>
      <c r="K813" s="15">
        <f t="shared" si="43"/>
        <v>73.7</v>
      </c>
      <c r="L813" s="15">
        <f t="shared" si="44"/>
        <v>19</v>
      </c>
      <c r="M813" s="15">
        <f t="shared" si="45"/>
        <v>3.8789473684210529</v>
      </c>
    </row>
    <row r="814" spans="7:13" x14ac:dyDescent="0.25">
      <c r="G814" s="13">
        <v>40904</v>
      </c>
      <c r="H814" s="15">
        <v>3.95</v>
      </c>
      <c r="I814" s="15">
        <v>0.7</v>
      </c>
      <c r="J814" s="15">
        <v>3.875</v>
      </c>
      <c r="K814" s="15">
        <f t="shared" si="43"/>
        <v>69.825000000000003</v>
      </c>
      <c r="L814" s="15">
        <f t="shared" si="44"/>
        <v>18</v>
      </c>
      <c r="M814" s="15">
        <f t="shared" si="45"/>
        <v>3.8791666666666669</v>
      </c>
    </row>
    <row r="815" spans="7:13" x14ac:dyDescent="0.25">
      <c r="G815" s="13">
        <v>40900</v>
      </c>
      <c r="H815" s="15">
        <v>3.95</v>
      </c>
      <c r="I815" s="15">
        <v>0.7</v>
      </c>
      <c r="J815" s="15">
        <v>3.875</v>
      </c>
      <c r="K815" s="15">
        <f t="shared" si="43"/>
        <v>65.95</v>
      </c>
      <c r="L815" s="15">
        <f t="shared" si="44"/>
        <v>17</v>
      </c>
      <c r="M815" s="15">
        <f t="shared" si="45"/>
        <v>3.8794117647058823</v>
      </c>
    </row>
    <row r="816" spans="7:13" x14ac:dyDescent="0.25">
      <c r="G816" s="13">
        <v>40899</v>
      </c>
      <c r="H816" s="15">
        <v>3.95</v>
      </c>
      <c r="I816" s="15">
        <v>0.7</v>
      </c>
      <c r="J816" s="15">
        <v>3.875</v>
      </c>
      <c r="K816" s="15">
        <f t="shared" si="43"/>
        <v>62.075000000000003</v>
      </c>
      <c r="L816" s="15">
        <f t="shared" si="44"/>
        <v>16</v>
      </c>
      <c r="M816" s="15">
        <f t="shared" si="45"/>
        <v>3.8796875000000002</v>
      </c>
    </row>
    <row r="817" spans="7:13" x14ac:dyDescent="0.25">
      <c r="G817" s="13">
        <v>40898</v>
      </c>
      <c r="H817" s="15">
        <v>3.91</v>
      </c>
      <c r="I817" s="15">
        <v>0.7</v>
      </c>
      <c r="J817" s="15">
        <v>3.835</v>
      </c>
      <c r="K817" s="15">
        <f t="shared" si="43"/>
        <v>58.2</v>
      </c>
      <c r="L817" s="15">
        <f t="shared" si="44"/>
        <v>15</v>
      </c>
      <c r="M817" s="15">
        <f t="shared" si="45"/>
        <v>3.8800000000000003</v>
      </c>
    </row>
    <row r="818" spans="7:13" x14ac:dyDescent="0.25">
      <c r="G818" s="13">
        <v>40897</v>
      </c>
      <c r="H818" s="15">
        <v>3.91</v>
      </c>
      <c r="I818" s="15">
        <v>0.7</v>
      </c>
      <c r="J818" s="15">
        <v>3.835</v>
      </c>
      <c r="K818" s="15">
        <f t="shared" si="43"/>
        <v>54.365000000000002</v>
      </c>
      <c r="L818" s="15">
        <f t="shared" si="44"/>
        <v>14</v>
      </c>
      <c r="M818" s="15">
        <f t="shared" si="45"/>
        <v>3.8832142857142857</v>
      </c>
    </row>
    <row r="819" spans="7:13" x14ac:dyDescent="0.25">
      <c r="G819" s="13">
        <v>40896</v>
      </c>
      <c r="H819" s="15">
        <v>3.91</v>
      </c>
      <c r="I819" s="15">
        <v>0.7</v>
      </c>
      <c r="J819" s="15">
        <v>3.835</v>
      </c>
      <c r="K819" s="15">
        <f t="shared" si="43"/>
        <v>50.53</v>
      </c>
      <c r="L819" s="15">
        <f t="shared" si="44"/>
        <v>13</v>
      </c>
      <c r="M819" s="15">
        <f t="shared" si="45"/>
        <v>3.8869230769230771</v>
      </c>
    </row>
    <row r="820" spans="7:13" x14ac:dyDescent="0.25">
      <c r="G820" s="13">
        <v>40893</v>
      </c>
      <c r="H820" s="15">
        <v>3.91</v>
      </c>
      <c r="I820" s="15">
        <v>0.7</v>
      </c>
      <c r="J820" s="15">
        <v>3.835</v>
      </c>
      <c r="K820" s="15">
        <f t="shared" si="43"/>
        <v>46.695</v>
      </c>
      <c r="L820" s="15">
        <f t="shared" si="44"/>
        <v>12</v>
      </c>
      <c r="M820" s="15">
        <f t="shared" si="45"/>
        <v>3.8912499999999999</v>
      </c>
    </row>
    <row r="821" spans="7:13" x14ac:dyDescent="0.25">
      <c r="G821" s="13">
        <v>40892</v>
      </c>
      <c r="H821" s="15">
        <v>3.91</v>
      </c>
      <c r="I821" s="15">
        <v>0.7</v>
      </c>
      <c r="J821" s="15">
        <v>3.835</v>
      </c>
      <c r="K821" s="15">
        <f t="shared" si="43"/>
        <v>42.86</v>
      </c>
      <c r="L821" s="15">
        <f t="shared" si="44"/>
        <v>11</v>
      </c>
      <c r="M821" s="15">
        <f t="shared" si="45"/>
        <v>3.8963636363636365</v>
      </c>
    </row>
    <row r="822" spans="7:13" x14ac:dyDescent="0.25">
      <c r="G822" s="13">
        <v>40891</v>
      </c>
      <c r="H822" s="15">
        <v>3.94</v>
      </c>
      <c r="I822" s="15">
        <v>0.8</v>
      </c>
      <c r="J822" s="15">
        <v>3.89</v>
      </c>
      <c r="K822" s="15">
        <f t="shared" si="43"/>
        <v>39.024999999999999</v>
      </c>
      <c r="L822" s="15">
        <f t="shared" si="44"/>
        <v>10</v>
      </c>
      <c r="M822" s="15">
        <f t="shared" si="45"/>
        <v>3.9024999999999999</v>
      </c>
    </row>
    <row r="823" spans="7:13" x14ac:dyDescent="0.25">
      <c r="G823" s="13">
        <v>40890</v>
      </c>
      <c r="H823" s="15">
        <v>3.94</v>
      </c>
      <c r="I823" s="15">
        <v>0.8</v>
      </c>
      <c r="J823" s="15">
        <v>3.89</v>
      </c>
      <c r="K823" s="15">
        <f t="shared" si="43"/>
        <v>35.134999999999998</v>
      </c>
      <c r="L823" s="15">
        <f t="shared" si="44"/>
        <v>9</v>
      </c>
      <c r="M823" s="15">
        <f t="shared" si="45"/>
        <v>3.9038888888888885</v>
      </c>
    </row>
    <row r="824" spans="7:13" x14ac:dyDescent="0.25">
      <c r="G824" s="13">
        <v>40889</v>
      </c>
      <c r="H824" s="15">
        <v>3.94</v>
      </c>
      <c r="I824" s="15">
        <v>0.8</v>
      </c>
      <c r="J824" s="15">
        <v>3.89</v>
      </c>
      <c r="K824" s="15">
        <f t="shared" si="43"/>
        <v>31.245000000000001</v>
      </c>
      <c r="L824" s="15">
        <f t="shared" si="44"/>
        <v>8</v>
      </c>
      <c r="M824" s="15">
        <f t="shared" si="45"/>
        <v>3.9056250000000001</v>
      </c>
    </row>
    <row r="825" spans="7:13" x14ac:dyDescent="0.25">
      <c r="G825" s="13">
        <v>40886</v>
      </c>
      <c r="H825" s="15">
        <v>3.94</v>
      </c>
      <c r="I825" s="15">
        <v>0.8</v>
      </c>
      <c r="J825" s="15">
        <v>3.89</v>
      </c>
      <c r="K825" s="15">
        <f t="shared" si="43"/>
        <v>27.355</v>
      </c>
      <c r="L825" s="15">
        <f t="shared" si="44"/>
        <v>7</v>
      </c>
      <c r="M825" s="15">
        <f t="shared" si="45"/>
        <v>3.9078571428571429</v>
      </c>
    </row>
    <row r="826" spans="7:13" x14ac:dyDescent="0.25">
      <c r="G826" s="13">
        <v>40885</v>
      </c>
      <c r="H826" s="15">
        <v>3.94</v>
      </c>
      <c r="I826" s="15">
        <v>0.8</v>
      </c>
      <c r="J826" s="15">
        <v>3.89</v>
      </c>
      <c r="K826" s="15">
        <f t="shared" si="43"/>
        <v>23.465</v>
      </c>
      <c r="L826" s="15">
        <f t="shared" si="44"/>
        <v>6</v>
      </c>
      <c r="M826" s="15">
        <f t="shared" si="45"/>
        <v>3.9108333333333332</v>
      </c>
    </row>
    <row r="827" spans="7:13" x14ac:dyDescent="0.25">
      <c r="G827" s="13">
        <v>40884</v>
      </c>
      <c r="H827" s="15">
        <v>3.99</v>
      </c>
      <c r="I827" s="15">
        <v>0.7</v>
      </c>
      <c r="J827" s="15">
        <v>3.915</v>
      </c>
      <c r="K827" s="15">
        <f t="shared" si="43"/>
        <v>19.574999999999999</v>
      </c>
      <c r="L827" s="15">
        <f t="shared" si="44"/>
        <v>5</v>
      </c>
      <c r="M827" s="15">
        <f t="shared" si="45"/>
        <v>3.915</v>
      </c>
    </row>
    <row r="828" spans="7:13" x14ac:dyDescent="0.25">
      <c r="G828" s="13">
        <v>40883</v>
      </c>
      <c r="H828" s="15">
        <v>3.99</v>
      </c>
      <c r="I828" s="15">
        <v>0.7</v>
      </c>
      <c r="J828" s="15">
        <v>3.915</v>
      </c>
      <c r="K828" s="15">
        <f t="shared" si="43"/>
        <v>15.66</v>
      </c>
      <c r="L828" s="15">
        <f t="shared" si="44"/>
        <v>4</v>
      </c>
      <c r="M828" s="15">
        <f t="shared" si="45"/>
        <v>3.915</v>
      </c>
    </row>
    <row r="829" spans="7:13" x14ac:dyDescent="0.25">
      <c r="G829" s="13">
        <v>40882</v>
      </c>
      <c r="H829" s="15">
        <v>3.99</v>
      </c>
      <c r="I829" s="15">
        <v>0.7</v>
      </c>
      <c r="J829" s="15">
        <v>3.915</v>
      </c>
      <c r="K829" s="15">
        <f t="shared" si="43"/>
        <v>11.745000000000001</v>
      </c>
      <c r="L829" s="15">
        <f t="shared" si="44"/>
        <v>3</v>
      </c>
      <c r="M829" s="15">
        <f t="shared" si="45"/>
        <v>3.9150000000000005</v>
      </c>
    </row>
    <row r="830" spans="7:13" x14ac:dyDescent="0.25">
      <c r="G830" s="13">
        <v>40879</v>
      </c>
      <c r="H830" s="15">
        <v>3.99</v>
      </c>
      <c r="I830" s="15">
        <v>0.7</v>
      </c>
      <c r="J830" s="15">
        <v>3.915</v>
      </c>
      <c r="K830" s="15">
        <f t="shared" si="43"/>
        <v>7.83</v>
      </c>
      <c r="L830" s="15">
        <f t="shared" si="44"/>
        <v>2</v>
      </c>
      <c r="M830" s="15">
        <f t="shared" si="45"/>
        <v>3.915</v>
      </c>
    </row>
    <row r="831" spans="7:13" x14ac:dyDescent="0.25">
      <c r="G831" s="13">
        <v>40878</v>
      </c>
      <c r="H831" s="15">
        <v>3.99</v>
      </c>
      <c r="I831" s="15">
        <v>0.7</v>
      </c>
      <c r="J831" s="15">
        <v>3.915</v>
      </c>
      <c r="K831" s="15">
        <f t="shared" si="43"/>
        <v>3.915</v>
      </c>
      <c r="L831" s="15">
        <f t="shared" si="44"/>
        <v>1</v>
      </c>
      <c r="M831" s="15">
        <f t="shared" si="45"/>
        <v>3.915</v>
      </c>
    </row>
    <row r="832" spans="7:13" x14ac:dyDescent="0.25">
      <c r="G832" s="13">
        <v>40877</v>
      </c>
      <c r="H832" s="15">
        <v>4</v>
      </c>
      <c r="I832" s="15">
        <v>0.7</v>
      </c>
      <c r="J832" s="15">
        <v>3.9249999999999998</v>
      </c>
      <c r="K832" s="15">
        <f t="shared" si="43"/>
        <v>78.349999999999994</v>
      </c>
      <c r="L832" s="15">
        <f t="shared" si="44"/>
        <v>20</v>
      </c>
      <c r="M832" s="15">
        <f t="shared" si="45"/>
        <v>3.9174999999999995</v>
      </c>
    </row>
    <row r="833" spans="7:13" x14ac:dyDescent="0.25">
      <c r="G833" s="13">
        <v>40876</v>
      </c>
      <c r="H833" s="15">
        <v>4</v>
      </c>
      <c r="I833" s="15">
        <v>0.7</v>
      </c>
      <c r="J833" s="15">
        <v>3.9249999999999998</v>
      </c>
      <c r="K833" s="15">
        <f t="shared" si="43"/>
        <v>74.424999999999997</v>
      </c>
      <c r="L833" s="15">
        <f t="shared" si="44"/>
        <v>19</v>
      </c>
      <c r="M833" s="15">
        <f t="shared" si="45"/>
        <v>3.9171052631578944</v>
      </c>
    </row>
    <row r="834" spans="7:13" x14ac:dyDescent="0.25">
      <c r="G834" s="13">
        <v>40875</v>
      </c>
      <c r="H834" s="15">
        <v>4</v>
      </c>
      <c r="I834" s="15">
        <v>0.7</v>
      </c>
      <c r="J834" s="15">
        <v>3.9249999999999998</v>
      </c>
      <c r="K834" s="15">
        <f t="shared" si="43"/>
        <v>70.5</v>
      </c>
      <c r="L834" s="15">
        <f t="shared" si="44"/>
        <v>18</v>
      </c>
      <c r="M834" s="15">
        <f t="shared" si="45"/>
        <v>3.9166666666666665</v>
      </c>
    </row>
    <row r="835" spans="7:13" x14ac:dyDescent="0.25">
      <c r="G835" s="13">
        <v>40872</v>
      </c>
      <c r="H835" s="15">
        <v>4</v>
      </c>
      <c r="I835" s="15">
        <v>0.7</v>
      </c>
      <c r="J835" s="15">
        <v>3.9249999999999998</v>
      </c>
      <c r="K835" s="15">
        <f t="shared" si="43"/>
        <v>66.575000000000003</v>
      </c>
      <c r="L835" s="15">
        <f t="shared" si="44"/>
        <v>17</v>
      </c>
      <c r="M835" s="15">
        <f t="shared" si="45"/>
        <v>3.9161764705882356</v>
      </c>
    </row>
    <row r="836" spans="7:13" x14ac:dyDescent="0.25">
      <c r="G836" s="13">
        <v>40869</v>
      </c>
      <c r="H836" s="15">
        <v>3.98</v>
      </c>
      <c r="I836" s="15">
        <v>0.7</v>
      </c>
      <c r="J836" s="15">
        <v>3.9049999999999998</v>
      </c>
      <c r="K836" s="15">
        <f t="shared" ref="K836:K899" si="46">IF(MONTH(G836)=MONTH(G837),J836+K837,J836)</f>
        <v>62.65</v>
      </c>
      <c r="L836" s="15">
        <f t="shared" ref="L836:L899" si="47">IF(MONTH(G836)=MONTH(G837),L837+1,1)</f>
        <v>16</v>
      </c>
      <c r="M836" s="15">
        <f t="shared" si="45"/>
        <v>3.9156249999999999</v>
      </c>
    </row>
    <row r="837" spans="7:13" x14ac:dyDescent="0.25">
      <c r="G837" s="13">
        <v>40868</v>
      </c>
      <c r="H837" s="15">
        <v>3.98</v>
      </c>
      <c r="I837" s="15">
        <v>0.7</v>
      </c>
      <c r="J837" s="15">
        <v>3.9049999999999998</v>
      </c>
      <c r="K837" s="15">
        <f t="shared" si="46"/>
        <v>58.744999999999997</v>
      </c>
      <c r="L837" s="15">
        <f t="shared" si="47"/>
        <v>15</v>
      </c>
      <c r="M837" s="15">
        <f t="shared" ref="M837:M900" si="48">K837/L837</f>
        <v>3.9163333333333332</v>
      </c>
    </row>
    <row r="838" spans="7:13" x14ac:dyDescent="0.25">
      <c r="G838" s="13">
        <v>40865</v>
      </c>
      <c r="H838" s="15">
        <v>3.98</v>
      </c>
      <c r="I838" s="15">
        <v>0.7</v>
      </c>
      <c r="J838" s="15">
        <v>3.9049999999999998</v>
      </c>
      <c r="K838" s="15">
        <f t="shared" si="46"/>
        <v>54.839999999999996</v>
      </c>
      <c r="L838" s="15">
        <f t="shared" si="47"/>
        <v>14</v>
      </c>
      <c r="M838" s="15">
        <f t="shared" si="48"/>
        <v>3.9171428571428568</v>
      </c>
    </row>
    <row r="839" spans="7:13" x14ac:dyDescent="0.25">
      <c r="G839" s="13">
        <v>40864</v>
      </c>
      <c r="H839" s="15">
        <v>3.98</v>
      </c>
      <c r="I839" s="15">
        <v>0.7</v>
      </c>
      <c r="J839" s="15">
        <v>3.9049999999999998</v>
      </c>
      <c r="K839" s="15">
        <f t="shared" si="46"/>
        <v>50.934999999999995</v>
      </c>
      <c r="L839" s="15">
        <f t="shared" si="47"/>
        <v>13</v>
      </c>
      <c r="M839" s="15">
        <f t="shared" si="48"/>
        <v>3.9180769230769226</v>
      </c>
    </row>
    <row r="840" spans="7:13" x14ac:dyDescent="0.25">
      <c r="G840" s="13">
        <v>40863</v>
      </c>
      <c r="H840" s="15">
        <v>3.98</v>
      </c>
      <c r="I840" s="15">
        <v>0.7</v>
      </c>
      <c r="J840" s="15">
        <v>3.9049999999999998</v>
      </c>
      <c r="K840" s="15">
        <f t="shared" si="46"/>
        <v>47.029999999999994</v>
      </c>
      <c r="L840" s="15">
        <f t="shared" si="47"/>
        <v>12</v>
      </c>
      <c r="M840" s="15">
        <f t="shared" si="48"/>
        <v>3.919166666666666</v>
      </c>
    </row>
    <row r="841" spans="7:13" x14ac:dyDescent="0.25">
      <c r="G841" s="13">
        <v>40863</v>
      </c>
      <c r="H841" s="15">
        <v>4</v>
      </c>
      <c r="I841" s="15">
        <v>0.7</v>
      </c>
      <c r="J841" s="15">
        <v>3.9249999999999998</v>
      </c>
      <c r="K841" s="15">
        <f t="shared" si="46"/>
        <v>43.124999999999993</v>
      </c>
      <c r="L841" s="15">
        <f t="shared" si="47"/>
        <v>11</v>
      </c>
      <c r="M841" s="15">
        <f t="shared" si="48"/>
        <v>3.920454545454545</v>
      </c>
    </row>
    <row r="842" spans="7:13" x14ac:dyDescent="0.25">
      <c r="G842" s="13">
        <v>40862</v>
      </c>
      <c r="H842" s="15">
        <v>4</v>
      </c>
      <c r="I842" s="15">
        <v>0.7</v>
      </c>
      <c r="J842" s="15">
        <v>3.9249999999999998</v>
      </c>
      <c r="K842" s="15">
        <f t="shared" si="46"/>
        <v>39.199999999999996</v>
      </c>
      <c r="L842" s="15">
        <f t="shared" si="47"/>
        <v>10</v>
      </c>
      <c r="M842" s="15">
        <f t="shared" si="48"/>
        <v>3.9199999999999995</v>
      </c>
    </row>
    <row r="843" spans="7:13" x14ac:dyDescent="0.25">
      <c r="G843" s="13">
        <v>40861</v>
      </c>
      <c r="H843" s="15">
        <v>4</v>
      </c>
      <c r="I843" s="15">
        <v>0.7</v>
      </c>
      <c r="J843" s="15">
        <v>3.9249999999999998</v>
      </c>
      <c r="K843" s="15">
        <f t="shared" si="46"/>
        <v>35.274999999999999</v>
      </c>
      <c r="L843" s="15">
        <f t="shared" si="47"/>
        <v>9</v>
      </c>
      <c r="M843" s="15">
        <f t="shared" si="48"/>
        <v>3.9194444444444443</v>
      </c>
    </row>
    <row r="844" spans="7:13" x14ac:dyDescent="0.25">
      <c r="G844" s="13">
        <v>40857</v>
      </c>
      <c r="H844" s="15">
        <v>4</v>
      </c>
      <c r="I844" s="15">
        <v>0.7</v>
      </c>
      <c r="J844" s="15">
        <v>3.9249999999999998</v>
      </c>
      <c r="K844" s="15">
        <f t="shared" si="46"/>
        <v>31.349999999999998</v>
      </c>
      <c r="L844" s="15">
        <f t="shared" si="47"/>
        <v>8</v>
      </c>
      <c r="M844" s="15">
        <f t="shared" si="48"/>
        <v>3.9187499999999997</v>
      </c>
    </row>
    <row r="845" spans="7:13" x14ac:dyDescent="0.25">
      <c r="G845" s="13">
        <v>40856</v>
      </c>
      <c r="H845" s="15">
        <v>3.99</v>
      </c>
      <c r="I845" s="15">
        <v>0.7</v>
      </c>
      <c r="J845" s="15">
        <v>3.915</v>
      </c>
      <c r="K845" s="15">
        <f t="shared" si="46"/>
        <v>27.424999999999997</v>
      </c>
      <c r="L845" s="15">
        <f t="shared" si="47"/>
        <v>7</v>
      </c>
      <c r="M845" s="15">
        <f t="shared" si="48"/>
        <v>3.9178571428571423</v>
      </c>
    </row>
    <row r="846" spans="7:13" x14ac:dyDescent="0.25">
      <c r="G846" s="13">
        <v>40855</v>
      </c>
      <c r="H846" s="15">
        <v>3.99</v>
      </c>
      <c r="I846" s="15">
        <v>0.7</v>
      </c>
      <c r="J846" s="15">
        <v>3.915</v>
      </c>
      <c r="K846" s="15">
        <f t="shared" si="46"/>
        <v>23.509999999999998</v>
      </c>
      <c r="L846" s="15">
        <f t="shared" si="47"/>
        <v>6</v>
      </c>
      <c r="M846" s="15">
        <f t="shared" si="48"/>
        <v>3.918333333333333</v>
      </c>
    </row>
    <row r="847" spans="7:13" x14ac:dyDescent="0.25">
      <c r="G847" s="13">
        <v>40854</v>
      </c>
      <c r="H847" s="15">
        <v>3.99</v>
      </c>
      <c r="I847" s="15">
        <v>0.7</v>
      </c>
      <c r="J847" s="15">
        <v>3.915</v>
      </c>
      <c r="K847" s="15">
        <f t="shared" si="46"/>
        <v>19.594999999999999</v>
      </c>
      <c r="L847" s="15">
        <f t="shared" si="47"/>
        <v>5</v>
      </c>
      <c r="M847" s="15">
        <f t="shared" si="48"/>
        <v>3.9189999999999996</v>
      </c>
    </row>
    <row r="848" spans="7:13" x14ac:dyDescent="0.25">
      <c r="G848" s="13">
        <v>40851</v>
      </c>
      <c r="H848" s="15">
        <v>3.99</v>
      </c>
      <c r="I848" s="15">
        <v>0.7</v>
      </c>
      <c r="J848" s="15">
        <v>3.915</v>
      </c>
      <c r="K848" s="15">
        <f t="shared" si="46"/>
        <v>15.68</v>
      </c>
      <c r="L848" s="15">
        <f t="shared" si="47"/>
        <v>4</v>
      </c>
      <c r="M848" s="15">
        <f t="shared" si="48"/>
        <v>3.92</v>
      </c>
    </row>
    <row r="849" spans="7:13" x14ac:dyDescent="0.25">
      <c r="G849" s="13">
        <v>40850</v>
      </c>
      <c r="H849" s="15">
        <v>3.99</v>
      </c>
      <c r="I849" s="15">
        <v>0.7</v>
      </c>
      <c r="J849" s="15">
        <v>3.915</v>
      </c>
      <c r="K849" s="15">
        <f t="shared" si="46"/>
        <v>11.765000000000001</v>
      </c>
      <c r="L849" s="15">
        <f t="shared" si="47"/>
        <v>3</v>
      </c>
      <c r="M849" s="15">
        <f t="shared" si="48"/>
        <v>3.9216666666666669</v>
      </c>
    </row>
    <row r="850" spans="7:13" x14ac:dyDescent="0.25">
      <c r="G850" s="13">
        <v>40849</v>
      </c>
      <c r="H850" s="15">
        <v>4</v>
      </c>
      <c r="I850" s="15">
        <v>0.7</v>
      </c>
      <c r="J850" s="15">
        <v>3.9249999999999998</v>
      </c>
      <c r="K850" s="15">
        <f t="shared" si="46"/>
        <v>7.85</v>
      </c>
      <c r="L850" s="15">
        <f t="shared" si="47"/>
        <v>2</v>
      </c>
      <c r="M850" s="15">
        <f t="shared" si="48"/>
        <v>3.9249999999999998</v>
      </c>
    </row>
    <row r="851" spans="7:13" x14ac:dyDescent="0.25">
      <c r="G851" s="13">
        <v>40848</v>
      </c>
      <c r="H851" s="15">
        <v>4</v>
      </c>
      <c r="I851" s="15">
        <v>0.7</v>
      </c>
      <c r="J851" s="15">
        <v>3.9249999999999998</v>
      </c>
      <c r="K851" s="15">
        <f t="shared" si="46"/>
        <v>3.9249999999999998</v>
      </c>
      <c r="L851" s="15">
        <f t="shared" si="47"/>
        <v>1</v>
      </c>
      <c r="M851" s="15">
        <f t="shared" si="48"/>
        <v>3.9249999999999998</v>
      </c>
    </row>
    <row r="852" spans="7:13" x14ac:dyDescent="0.25">
      <c r="G852" s="13">
        <v>40847</v>
      </c>
      <c r="H852" s="15">
        <v>4</v>
      </c>
      <c r="I852" s="15">
        <v>0.7</v>
      </c>
      <c r="J852" s="15">
        <v>3.9249999999999998</v>
      </c>
      <c r="K852" s="15">
        <f t="shared" si="46"/>
        <v>80.274999999999991</v>
      </c>
      <c r="L852" s="15">
        <f t="shared" si="47"/>
        <v>20</v>
      </c>
      <c r="M852" s="15">
        <f t="shared" si="48"/>
        <v>4.0137499999999999</v>
      </c>
    </row>
    <row r="853" spans="7:13" x14ac:dyDescent="0.25">
      <c r="G853" s="13">
        <v>40844</v>
      </c>
      <c r="H853" s="15">
        <v>4</v>
      </c>
      <c r="I853" s="15">
        <v>0.7</v>
      </c>
      <c r="J853" s="15">
        <v>3.9249999999999998</v>
      </c>
      <c r="K853" s="15">
        <f t="shared" si="46"/>
        <v>76.349999999999994</v>
      </c>
      <c r="L853" s="15">
        <f t="shared" si="47"/>
        <v>19</v>
      </c>
      <c r="M853" s="15">
        <f t="shared" si="48"/>
        <v>4.0184210526315782</v>
      </c>
    </row>
    <row r="854" spans="7:13" x14ac:dyDescent="0.25">
      <c r="G854" s="13">
        <v>40843</v>
      </c>
      <c r="H854" s="15">
        <v>4</v>
      </c>
      <c r="I854" s="15">
        <v>0.7</v>
      </c>
      <c r="J854" s="15">
        <v>3.9249999999999998</v>
      </c>
      <c r="K854" s="15">
        <f t="shared" si="46"/>
        <v>72.424999999999997</v>
      </c>
      <c r="L854" s="15">
        <f t="shared" si="47"/>
        <v>18</v>
      </c>
      <c r="M854" s="15">
        <f t="shared" si="48"/>
        <v>4.0236111111111112</v>
      </c>
    </row>
    <row r="855" spans="7:13" x14ac:dyDescent="0.25">
      <c r="G855" s="13">
        <v>40842</v>
      </c>
      <c r="H855" s="15">
        <v>4.0999999999999996</v>
      </c>
      <c r="I855" s="15">
        <v>0.8</v>
      </c>
      <c r="J855" s="15">
        <v>4.05</v>
      </c>
      <c r="K855" s="15">
        <f t="shared" si="46"/>
        <v>68.5</v>
      </c>
      <c r="L855" s="15">
        <f t="shared" si="47"/>
        <v>17</v>
      </c>
      <c r="M855" s="15">
        <f t="shared" si="48"/>
        <v>4.0294117647058822</v>
      </c>
    </row>
    <row r="856" spans="7:13" x14ac:dyDescent="0.25">
      <c r="G856" s="13">
        <v>40841</v>
      </c>
      <c r="H856" s="15">
        <v>4.0999999999999996</v>
      </c>
      <c r="I856" s="15">
        <v>0.8</v>
      </c>
      <c r="J856" s="15">
        <v>4.05</v>
      </c>
      <c r="K856" s="15">
        <f t="shared" si="46"/>
        <v>64.45</v>
      </c>
      <c r="L856" s="15">
        <f t="shared" si="47"/>
        <v>16</v>
      </c>
      <c r="M856" s="15">
        <f t="shared" si="48"/>
        <v>4.0281250000000002</v>
      </c>
    </row>
    <row r="857" spans="7:13" x14ac:dyDescent="0.25">
      <c r="G857" s="13">
        <v>40840</v>
      </c>
      <c r="H857" s="15">
        <v>4.0999999999999996</v>
      </c>
      <c r="I857" s="15">
        <v>0.8</v>
      </c>
      <c r="J857" s="15">
        <v>4.05</v>
      </c>
      <c r="K857" s="15">
        <f t="shared" si="46"/>
        <v>60.400000000000006</v>
      </c>
      <c r="L857" s="15">
        <f t="shared" si="47"/>
        <v>15</v>
      </c>
      <c r="M857" s="15">
        <f t="shared" si="48"/>
        <v>4.0266666666666673</v>
      </c>
    </row>
    <row r="858" spans="7:13" x14ac:dyDescent="0.25">
      <c r="G858" s="13">
        <v>40837</v>
      </c>
      <c r="H858" s="15">
        <v>4.0999999999999996</v>
      </c>
      <c r="I858" s="15">
        <v>0.8</v>
      </c>
      <c r="J858" s="15">
        <v>4.05</v>
      </c>
      <c r="K858" s="15">
        <f t="shared" si="46"/>
        <v>56.350000000000009</v>
      </c>
      <c r="L858" s="15">
        <f t="shared" si="47"/>
        <v>14</v>
      </c>
      <c r="M858" s="15">
        <f t="shared" si="48"/>
        <v>4.0250000000000004</v>
      </c>
    </row>
    <row r="859" spans="7:13" x14ac:dyDescent="0.25">
      <c r="G859" s="13">
        <v>40836</v>
      </c>
      <c r="H859" s="15">
        <v>4.0999999999999996</v>
      </c>
      <c r="I859" s="15">
        <v>0.8</v>
      </c>
      <c r="J859" s="15">
        <v>4.05</v>
      </c>
      <c r="K859" s="15">
        <f t="shared" si="46"/>
        <v>52.300000000000011</v>
      </c>
      <c r="L859" s="15">
        <f t="shared" si="47"/>
        <v>13</v>
      </c>
      <c r="M859" s="15">
        <f t="shared" si="48"/>
        <v>4.0230769230769239</v>
      </c>
    </row>
    <row r="860" spans="7:13" x14ac:dyDescent="0.25">
      <c r="G860" s="13">
        <v>40835</v>
      </c>
      <c r="H860" s="15">
        <v>4.1100000000000003</v>
      </c>
      <c r="I860" s="15">
        <v>0.8</v>
      </c>
      <c r="J860" s="15">
        <v>4.0599999999999996</v>
      </c>
      <c r="K860" s="15">
        <f t="shared" si="46"/>
        <v>48.250000000000014</v>
      </c>
      <c r="L860" s="15">
        <f t="shared" si="47"/>
        <v>12</v>
      </c>
      <c r="M860" s="15">
        <f t="shared" si="48"/>
        <v>4.0208333333333348</v>
      </c>
    </row>
    <row r="861" spans="7:13" x14ac:dyDescent="0.25">
      <c r="G861" s="13">
        <v>40834</v>
      </c>
      <c r="H861" s="15">
        <v>4.1100000000000003</v>
      </c>
      <c r="I861" s="15">
        <v>0.8</v>
      </c>
      <c r="J861" s="15">
        <v>4.0599999999999996</v>
      </c>
      <c r="K861" s="15">
        <f t="shared" si="46"/>
        <v>44.190000000000012</v>
      </c>
      <c r="L861" s="15">
        <f t="shared" si="47"/>
        <v>11</v>
      </c>
      <c r="M861" s="15">
        <f t="shared" si="48"/>
        <v>4.0172727272727284</v>
      </c>
    </row>
    <row r="862" spans="7:13" x14ac:dyDescent="0.25">
      <c r="G862" s="13">
        <v>40833</v>
      </c>
      <c r="H862" s="15">
        <v>4.1100000000000003</v>
      </c>
      <c r="I862" s="15">
        <v>0.8</v>
      </c>
      <c r="J862" s="15">
        <v>4.0599999999999996</v>
      </c>
      <c r="K862" s="15">
        <f t="shared" si="46"/>
        <v>40.13000000000001</v>
      </c>
      <c r="L862" s="15">
        <f t="shared" si="47"/>
        <v>10</v>
      </c>
      <c r="M862" s="15">
        <f t="shared" si="48"/>
        <v>4.0130000000000008</v>
      </c>
    </row>
    <row r="863" spans="7:13" x14ac:dyDescent="0.25">
      <c r="G863" s="13">
        <v>40830</v>
      </c>
      <c r="H863" s="15">
        <v>4.1100000000000003</v>
      </c>
      <c r="I863" s="15">
        <v>0.8</v>
      </c>
      <c r="J863" s="15">
        <v>4.0599999999999996</v>
      </c>
      <c r="K863" s="15">
        <f t="shared" si="46"/>
        <v>36.070000000000007</v>
      </c>
      <c r="L863" s="15">
        <f t="shared" si="47"/>
        <v>9</v>
      </c>
      <c r="M863" s="15">
        <f t="shared" si="48"/>
        <v>4.007777777777779</v>
      </c>
    </row>
    <row r="864" spans="7:13" x14ac:dyDescent="0.25">
      <c r="G864" s="13">
        <v>40829</v>
      </c>
      <c r="H864" s="15">
        <v>4.1100000000000003</v>
      </c>
      <c r="I864" s="15">
        <v>0.8</v>
      </c>
      <c r="J864" s="15">
        <v>4.0599999999999996</v>
      </c>
      <c r="K864" s="15">
        <f t="shared" si="46"/>
        <v>32.010000000000005</v>
      </c>
      <c r="L864" s="15">
        <f t="shared" si="47"/>
        <v>8</v>
      </c>
      <c r="M864" s="15">
        <f t="shared" si="48"/>
        <v>4.0012500000000006</v>
      </c>
    </row>
    <row r="865" spans="7:13" x14ac:dyDescent="0.25">
      <c r="G865" s="13">
        <v>40828</v>
      </c>
      <c r="H865" s="15">
        <v>4.12</v>
      </c>
      <c r="I865" s="15">
        <v>0.8</v>
      </c>
      <c r="J865" s="15">
        <v>4.07</v>
      </c>
      <c r="K865" s="15">
        <f t="shared" si="46"/>
        <v>27.950000000000003</v>
      </c>
      <c r="L865" s="15">
        <f t="shared" si="47"/>
        <v>7</v>
      </c>
      <c r="M865" s="15">
        <f t="shared" si="48"/>
        <v>3.9928571428571433</v>
      </c>
    </row>
    <row r="866" spans="7:13" x14ac:dyDescent="0.25">
      <c r="G866" s="13">
        <v>40827</v>
      </c>
      <c r="H866" s="15">
        <v>4.12</v>
      </c>
      <c r="I866" s="15">
        <v>0.8</v>
      </c>
      <c r="J866" s="15">
        <v>4.07</v>
      </c>
      <c r="K866" s="15">
        <f t="shared" si="46"/>
        <v>23.880000000000003</v>
      </c>
      <c r="L866" s="15">
        <f t="shared" si="47"/>
        <v>6</v>
      </c>
      <c r="M866" s="15">
        <f t="shared" si="48"/>
        <v>3.9800000000000004</v>
      </c>
    </row>
    <row r="867" spans="7:13" x14ac:dyDescent="0.25">
      <c r="G867" s="13">
        <v>40823</v>
      </c>
      <c r="H867" s="15">
        <v>4.12</v>
      </c>
      <c r="I867" s="15">
        <v>0.8</v>
      </c>
      <c r="J867" s="15">
        <v>4.07</v>
      </c>
      <c r="K867" s="15">
        <f t="shared" si="46"/>
        <v>19.810000000000002</v>
      </c>
      <c r="L867" s="15">
        <f t="shared" si="47"/>
        <v>5</v>
      </c>
      <c r="M867" s="15">
        <f t="shared" si="48"/>
        <v>3.9620000000000006</v>
      </c>
    </row>
    <row r="868" spans="7:13" x14ac:dyDescent="0.25">
      <c r="G868" s="13">
        <v>40822</v>
      </c>
      <c r="H868" s="15">
        <v>4.12</v>
      </c>
      <c r="I868" s="15">
        <v>0.8</v>
      </c>
      <c r="J868" s="15">
        <v>4.07</v>
      </c>
      <c r="K868" s="15">
        <f t="shared" si="46"/>
        <v>15.74</v>
      </c>
      <c r="L868" s="15">
        <f t="shared" si="47"/>
        <v>4</v>
      </c>
      <c r="M868" s="15">
        <f t="shared" si="48"/>
        <v>3.9350000000000001</v>
      </c>
    </row>
    <row r="869" spans="7:13" x14ac:dyDescent="0.25">
      <c r="G869" s="13">
        <v>40821</v>
      </c>
      <c r="H869" s="15">
        <v>3.94</v>
      </c>
      <c r="I869" s="15">
        <v>0.8</v>
      </c>
      <c r="J869" s="15">
        <v>3.89</v>
      </c>
      <c r="K869" s="15">
        <f t="shared" si="46"/>
        <v>11.67</v>
      </c>
      <c r="L869" s="15">
        <f t="shared" si="47"/>
        <v>3</v>
      </c>
      <c r="M869" s="15">
        <f t="shared" si="48"/>
        <v>3.89</v>
      </c>
    </row>
    <row r="870" spans="7:13" x14ac:dyDescent="0.25">
      <c r="G870" s="13">
        <v>40820</v>
      </c>
      <c r="H870" s="15">
        <v>3.94</v>
      </c>
      <c r="I870" s="15">
        <v>0.8</v>
      </c>
      <c r="J870" s="15">
        <v>3.89</v>
      </c>
      <c r="K870" s="15">
        <f t="shared" si="46"/>
        <v>7.78</v>
      </c>
      <c r="L870" s="15">
        <f t="shared" si="47"/>
        <v>2</v>
      </c>
      <c r="M870" s="15">
        <f t="shared" si="48"/>
        <v>3.89</v>
      </c>
    </row>
    <row r="871" spans="7:13" x14ac:dyDescent="0.25">
      <c r="G871" s="13">
        <v>40819</v>
      </c>
      <c r="H871" s="15">
        <v>3.94</v>
      </c>
      <c r="I871" s="15">
        <v>0.8</v>
      </c>
      <c r="J871" s="15">
        <v>3.89</v>
      </c>
      <c r="K871" s="15">
        <f t="shared" si="46"/>
        <v>3.89</v>
      </c>
      <c r="L871" s="15">
        <f t="shared" si="47"/>
        <v>1</v>
      </c>
      <c r="M871" s="15">
        <f t="shared" si="48"/>
        <v>3.89</v>
      </c>
    </row>
    <row r="872" spans="7:13" x14ac:dyDescent="0.25">
      <c r="G872" s="13">
        <v>40816</v>
      </c>
      <c r="H872" s="15">
        <v>3.94</v>
      </c>
      <c r="I872" s="15">
        <v>0.8</v>
      </c>
      <c r="J872" s="15">
        <v>3.89</v>
      </c>
      <c r="K872" s="15">
        <f t="shared" si="46"/>
        <v>83.785000000000011</v>
      </c>
      <c r="L872" s="15">
        <f t="shared" si="47"/>
        <v>21</v>
      </c>
      <c r="M872" s="15">
        <f t="shared" si="48"/>
        <v>3.9897619047619051</v>
      </c>
    </row>
    <row r="873" spans="7:13" x14ac:dyDescent="0.25">
      <c r="G873" s="13">
        <v>40815</v>
      </c>
      <c r="H873" s="15">
        <v>3.94</v>
      </c>
      <c r="I873" s="15">
        <v>0.8</v>
      </c>
      <c r="J873" s="15">
        <v>3.89</v>
      </c>
      <c r="K873" s="15">
        <f t="shared" si="46"/>
        <v>79.89500000000001</v>
      </c>
      <c r="L873" s="15">
        <f t="shared" si="47"/>
        <v>20</v>
      </c>
      <c r="M873" s="15">
        <f t="shared" si="48"/>
        <v>3.9947500000000007</v>
      </c>
    </row>
    <row r="874" spans="7:13" x14ac:dyDescent="0.25">
      <c r="G874" s="13">
        <v>40814</v>
      </c>
      <c r="H874" s="15">
        <v>4.01</v>
      </c>
      <c r="I874" s="15">
        <v>0.7</v>
      </c>
      <c r="J874" s="15">
        <v>3.9350000000000001</v>
      </c>
      <c r="K874" s="15">
        <f t="shared" si="46"/>
        <v>76.00500000000001</v>
      </c>
      <c r="L874" s="15">
        <f t="shared" si="47"/>
        <v>19</v>
      </c>
      <c r="M874" s="15">
        <f t="shared" si="48"/>
        <v>4.0002631578947376</v>
      </c>
    </row>
    <row r="875" spans="7:13" x14ac:dyDescent="0.25">
      <c r="G875" s="13">
        <v>40813</v>
      </c>
      <c r="H875" s="15">
        <v>4.01</v>
      </c>
      <c r="I875" s="15">
        <v>0.7</v>
      </c>
      <c r="J875" s="15">
        <v>3.9350000000000001</v>
      </c>
      <c r="K875" s="15">
        <f t="shared" si="46"/>
        <v>72.070000000000007</v>
      </c>
      <c r="L875" s="15">
        <f t="shared" si="47"/>
        <v>18</v>
      </c>
      <c r="M875" s="15">
        <f t="shared" si="48"/>
        <v>4.0038888888888895</v>
      </c>
    </row>
    <row r="876" spans="7:13" x14ac:dyDescent="0.25">
      <c r="G876" s="13">
        <v>40812</v>
      </c>
      <c r="H876" s="15">
        <v>4.01</v>
      </c>
      <c r="I876" s="15">
        <v>0.7</v>
      </c>
      <c r="J876" s="15">
        <v>3.9350000000000001</v>
      </c>
      <c r="K876" s="15">
        <f t="shared" si="46"/>
        <v>68.135000000000005</v>
      </c>
      <c r="L876" s="15">
        <f t="shared" si="47"/>
        <v>17</v>
      </c>
      <c r="M876" s="15">
        <f t="shared" si="48"/>
        <v>4.0079411764705881</v>
      </c>
    </row>
    <row r="877" spans="7:13" x14ac:dyDescent="0.25">
      <c r="G877" s="13">
        <v>40809</v>
      </c>
      <c r="H877" s="15">
        <v>4.01</v>
      </c>
      <c r="I877" s="15">
        <v>0.7</v>
      </c>
      <c r="J877" s="15">
        <v>3.9350000000000001</v>
      </c>
      <c r="K877" s="15">
        <f t="shared" si="46"/>
        <v>64.2</v>
      </c>
      <c r="L877" s="15">
        <f t="shared" si="47"/>
        <v>16</v>
      </c>
      <c r="M877" s="15">
        <f t="shared" si="48"/>
        <v>4.0125000000000002</v>
      </c>
    </row>
    <row r="878" spans="7:13" x14ac:dyDescent="0.25">
      <c r="G878" s="13">
        <v>40808</v>
      </c>
      <c r="H878" s="15">
        <v>4.01</v>
      </c>
      <c r="I878" s="15">
        <v>0.7</v>
      </c>
      <c r="J878" s="15">
        <v>3.9350000000000001</v>
      </c>
      <c r="K878" s="15">
        <f t="shared" si="46"/>
        <v>60.265000000000008</v>
      </c>
      <c r="L878" s="15">
        <f t="shared" si="47"/>
        <v>15</v>
      </c>
      <c r="M878" s="15">
        <f t="shared" si="48"/>
        <v>4.0176666666666669</v>
      </c>
    </row>
    <row r="879" spans="7:13" x14ac:dyDescent="0.25">
      <c r="G879" s="13">
        <v>40807</v>
      </c>
      <c r="H879" s="15">
        <v>4.09</v>
      </c>
      <c r="I879" s="15">
        <v>0.7</v>
      </c>
      <c r="J879" s="15">
        <v>4.0149999999999997</v>
      </c>
      <c r="K879" s="15">
        <f t="shared" si="46"/>
        <v>56.330000000000005</v>
      </c>
      <c r="L879" s="15">
        <f t="shared" si="47"/>
        <v>14</v>
      </c>
      <c r="M879" s="15">
        <f t="shared" si="48"/>
        <v>4.0235714285714286</v>
      </c>
    </row>
    <row r="880" spans="7:13" x14ac:dyDescent="0.25">
      <c r="G880" s="13">
        <v>40806</v>
      </c>
      <c r="H880" s="15">
        <v>4.09</v>
      </c>
      <c r="I880" s="15">
        <v>0.7</v>
      </c>
      <c r="J880" s="15">
        <v>4.0149999999999997</v>
      </c>
      <c r="K880" s="15">
        <f t="shared" si="46"/>
        <v>52.315000000000005</v>
      </c>
      <c r="L880" s="15">
        <f t="shared" si="47"/>
        <v>13</v>
      </c>
      <c r="M880" s="15">
        <f t="shared" si="48"/>
        <v>4.0242307692307699</v>
      </c>
    </row>
    <row r="881" spans="7:13" x14ac:dyDescent="0.25">
      <c r="G881" s="13">
        <v>40805</v>
      </c>
      <c r="H881" s="15">
        <v>4.09</v>
      </c>
      <c r="I881" s="15">
        <v>0.7</v>
      </c>
      <c r="J881" s="15">
        <v>4.0149999999999997</v>
      </c>
      <c r="K881" s="15">
        <f t="shared" si="46"/>
        <v>48.300000000000004</v>
      </c>
      <c r="L881" s="15">
        <f t="shared" si="47"/>
        <v>12</v>
      </c>
      <c r="M881" s="15">
        <f t="shared" si="48"/>
        <v>4.0250000000000004</v>
      </c>
    </row>
    <row r="882" spans="7:13" x14ac:dyDescent="0.25">
      <c r="G882" s="13">
        <v>40802</v>
      </c>
      <c r="H882" s="15">
        <v>4.09</v>
      </c>
      <c r="I882" s="15">
        <v>0.7</v>
      </c>
      <c r="J882" s="15">
        <v>4.0149999999999997</v>
      </c>
      <c r="K882" s="15">
        <f t="shared" si="46"/>
        <v>44.285000000000004</v>
      </c>
      <c r="L882" s="15">
        <f t="shared" si="47"/>
        <v>11</v>
      </c>
      <c r="M882" s="15">
        <f t="shared" si="48"/>
        <v>4.0259090909090913</v>
      </c>
    </row>
    <row r="883" spans="7:13" x14ac:dyDescent="0.25">
      <c r="G883" s="13">
        <v>40801</v>
      </c>
      <c r="H883" s="15">
        <v>4.09</v>
      </c>
      <c r="I883" s="15">
        <v>0.7</v>
      </c>
      <c r="J883" s="15">
        <v>4.0149999999999997</v>
      </c>
      <c r="K883" s="15">
        <f t="shared" si="46"/>
        <v>40.270000000000003</v>
      </c>
      <c r="L883" s="15">
        <f t="shared" si="47"/>
        <v>10</v>
      </c>
      <c r="M883" s="15">
        <f t="shared" si="48"/>
        <v>4.0270000000000001</v>
      </c>
    </row>
    <row r="884" spans="7:13" x14ac:dyDescent="0.25">
      <c r="G884" s="13">
        <v>40800</v>
      </c>
      <c r="H884" s="15">
        <v>4.09</v>
      </c>
      <c r="I884" s="15">
        <v>0.7</v>
      </c>
      <c r="J884" s="15">
        <v>4.0149999999999997</v>
      </c>
      <c r="K884" s="15">
        <f t="shared" si="46"/>
        <v>36.255000000000003</v>
      </c>
      <c r="L884" s="15">
        <f t="shared" si="47"/>
        <v>9</v>
      </c>
      <c r="M884" s="15">
        <f t="shared" si="48"/>
        <v>4.0283333333333333</v>
      </c>
    </row>
    <row r="885" spans="7:13" x14ac:dyDescent="0.25">
      <c r="G885" s="13">
        <v>40799</v>
      </c>
      <c r="H885" s="15">
        <v>4.09</v>
      </c>
      <c r="I885" s="15">
        <v>0.7</v>
      </c>
      <c r="J885" s="15">
        <v>4.0149999999999997</v>
      </c>
      <c r="K885" s="15">
        <f t="shared" si="46"/>
        <v>32.24</v>
      </c>
      <c r="L885" s="15">
        <f t="shared" si="47"/>
        <v>8</v>
      </c>
      <c r="M885" s="15">
        <f t="shared" si="48"/>
        <v>4.03</v>
      </c>
    </row>
    <row r="886" spans="7:13" x14ac:dyDescent="0.25">
      <c r="G886" s="13">
        <v>40798</v>
      </c>
      <c r="H886" s="15">
        <v>4.09</v>
      </c>
      <c r="I886" s="15">
        <v>0.7</v>
      </c>
      <c r="J886" s="15">
        <v>4.0149999999999997</v>
      </c>
      <c r="K886" s="15">
        <f t="shared" si="46"/>
        <v>28.225000000000001</v>
      </c>
      <c r="L886" s="15">
        <f t="shared" si="47"/>
        <v>7</v>
      </c>
      <c r="M886" s="15">
        <f t="shared" si="48"/>
        <v>4.0321428571428575</v>
      </c>
    </row>
    <row r="887" spans="7:13" x14ac:dyDescent="0.25">
      <c r="G887" s="13">
        <v>40795</v>
      </c>
      <c r="H887" s="15">
        <v>4.09</v>
      </c>
      <c r="I887" s="15">
        <v>0.7</v>
      </c>
      <c r="J887" s="15">
        <v>4.0149999999999997</v>
      </c>
      <c r="K887" s="15">
        <f t="shared" si="46"/>
        <v>24.21</v>
      </c>
      <c r="L887" s="15">
        <f t="shared" si="47"/>
        <v>6</v>
      </c>
      <c r="M887" s="15">
        <f t="shared" si="48"/>
        <v>4.0350000000000001</v>
      </c>
    </row>
    <row r="888" spans="7:13" x14ac:dyDescent="0.25">
      <c r="G888" s="13">
        <v>40794</v>
      </c>
      <c r="H888" s="15">
        <v>4.09</v>
      </c>
      <c r="I888" s="15">
        <v>0.7</v>
      </c>
      <c r="J888" s="15">
        <v>4.0149999999999997</v>
      </c>
      <c r="K888" s="15">
        <f t="shared" si="46"/>
        <v>20.195</v>
      </c>
      <c r="L888" s="15">
        <f t="shared" si="47"/>
        <v>5</v>
      </c>
      <c r="M888" s="15">
        <f t="shared" si="48"/>
        <v>4.0389999999999997</v>
      </c>
    </row>
    <row r="889" spans="7:13" x14ac:dyDescent="0.25">
      <c r="G889" s="13">
        <v>40793</v>
      </c>
      <c r="H889" s="15">
        <v>4.12</v>
      </c>
      <c r="I889" s="15">
        <v>0.7</v>
      </c>
      <c r="J889" s="15">
        <v>4.0449999999999999</v>
      </c>
      <c r="K889" s="15">
        <f t="shared" si="46"/>
        <v>16.18</v>
      </c>
      <c r="L889" s="15">
        <f t="shared" si="47"/>
        <v>4</v>
      </c>
      <c r="M889" s="15">
        <f t="shared" si="48"/>
        <v>4.0449999999999999</v>
      </c>
    </row>
    <row r="890" spans="7:13" x14ac:dyDescent="0.25">
      <c r="G890" s="13">
        <v>40792</v>
      </c>
      <c r="H890" s="15">
        <v>4.12</v>
      </c>
      <c r="I890" s="15">
        <v>0.7</v>
      </c>
      <c r="J890" s="15">
        <v>4.0449999999999999</v>
      </c>
      <c r="K890" s="15">
        <f t="shared" si="46"/>
        <v>12.135</v>
      </c>
      <c r="L890" s="15">
        <f t="shared" si="47"/>
        <v>3</v>
      </c>
      <c r="M890" s="15">
        <f t="shared" si="48"/>
        <v>4.0449999999999999</v>
      </c>
    </row>
    <row r="891" spans="7:13" x14ac:dyDescent="0.25">
      <c r="G891" s="13">
        <v>40788</v>
      </c>
      <c r="H891" s="15">
        <v>4.12</v>
      </c>
      <c r="I891" s="15">
        <v>0.7</v>
      </c>
      <c r="J891" s="15">
        <v>4.0449999999999999</v>
      </c>
      <c r="K891" s="15">
        <f t="shared" si="46"/>
        <v>8.09</v>
      </c>
      <c r="L891" s="15">
        <f t="shared" si="47"/>
        <v>2</v>
      </c>
      <c r="M891" s="15">
        <f t="shared" si="48"/>
        <v>4.0449999999999999</v>
      </c>
    </row>
    <row r="892" spans="7:13" x14ac:dyDescent="0.25">
      <c r="G892" s="13">
        <v>40787</v>
      </c>
      <c r="H892" s="15">
        <v>4.12</v>
      </c>
      <c r="I892" s="15">
        <v>0.7</v>
      </c>
      <c r="J892" s="15">
        <v>4.0449999999999999</v>
      </c>
      <c r="K892" s="15">
        <f t="shared" si="46"/>
        <v>4.0449999999999999</v>
      </c>
      <c r="L892" s="15">
        <f t="shared" si="47"/>
        <v>1</v>
      </c>
      <c r="M892" s="15">
        <f t="shared" si="48"/>
        <v>4.0449999999999999</v>
      </c>
    </row>
    <row r="893" spans="7:13" x14ac:dyDescent="0.25">
      <c r="G893" s="13">
        <v>40786</v>
      </c>
      <c r="H893" s="15">
        <v>4.22</v>
      </c>
      <c r="I893" s="15">
        <v>0.7</v>
      </c>
      <c r="J893" s="15">
        <v>4.1449999999999996</v>
      </c>
      <c r="K893" s="15">
        <f t="shared" si="46"/>
        <v>96.069999999999979</v>
      </c>
      <c r="L893" s="15">
        <f t="shared" si="47"/>
        <v>23</v>
      </c>
      <c r="M893" s="15">
        <f t="shared" si="48"/>
        <v>4.1769565217391298</v>
      </c>
    </row>
    <row r="894" spans="7:13" x14ac:dyDescent="0.25">
      <c r="G894" s="13">
        <v>40785</v>
      </c>
      <c r="H894" s="15">
        <v>4.22</v>
      </c>
      <c r="I894" s="15">
        <v>0.7</v>
      </c>
      <c r="J894" s="15">
        <v>4.1449999999999996</v>
      </c>
      <c r="K894" s="15">
        <f t="shared" si="46"/>
        <v>91.924999999999983</v>
      </c>
      <c r="L894" s="15">
        <f t="shared" si="47"/>
        <v>22</v>
      </c>
      <c r="M894" s="15">
        <f t="shared" si="48"/>
        <v>4.1784090909090903</v>
      </c>
    </row>
    <row r="895" spans="7:13" x14ac:dyDescent="0.25">
      <c r="G895" s="13">
        <v>40784</v>
      </c>
      <c r="H895" s="15">
        <v>4.22</v>
      </c>
      <c r="I895" s="15">
        <v>0.7</v>
      </c>
      <c r="J895" s="15">
        <v>4.1449999999999996</v>
      </c>
      <c r="K895" s="15">
        <f t="shared" si="46"/>
        <v>87.779999999999987</v>
      </c>
      <c r="L895" s="15">
        <f t="shared" si="47"/>
        <v>21</v>
      </c>
      <c r="M895" s="15">
        <f t="shared" si="48"/>
        <v>4.18</v>
      </c>
    </row>
    <row r="896" spans="7:13" x14ac:dyDescent="0.25">
      <c r="G896" s="13">
        <v>40781</v>
      </c>
      <c r="H896" s="15">
        <v>4.22</v>
      </c>
      <c r="I896" s="15">
        <v>0.7</v>
      </c>
      <c r="J896" s="15">
        <v>4.1449999999999996</v>
      </c>
      <c r="K896" s="15">
        <f t="shared" si="46"/>
        <v>83.634999999999991</v>
      </c>
      <c r="L896" s="15">
        <f t="shared" si="47"/>
        <v>20</v>
      </c>
      <c r="M896" s="15">
        <f t="shared" si="48"/>
        <v>4.1817499999999992</v>
      </c>
    </row>
    <row r="897" spans="7:13" x14ac:dyDescent="0.25">
      <c r="G897" s="13">
        <v>40780</v>
      </c>
      <c r="H897" s="15">
        <v>4.22</v>
      </c>
      <c r="I897" s="15">
        <v>0.7</v>
      </c>
      <c r="J897" s="15">
        <v>4.1449999999999996</v>
      </c>
      <c r="K897" s="15">
        <f t="shared" si="46"/>
        <v>79.489999999999995</v>
      </c>
      <c r="L897" s="15">
        <f t="shared" si="47"/>
        <v>19</v>
      </c>
      <c r="M897" s="15">
        <f t="shared" si="48"/>
        <v>4.1836842105263159</v>
      </c>
    </row>
    <row r="898" spans="7:13" x14ac:dyDescent="0.25">
      <c r="G898" s="13">
        <v>40779</v>
      </c>
      <c r="H898" s="15">
        <v>4.22</v>
      </c>
      <c r="I898" s="15">
        <v>0.7</v>
      </c>
      <c r="J898" s="15">
        <v>4.1449999999999996</v>
      </c>
      <c r="K898" s="15">
        <f t="shared" si="46"/>
        <v>75.344999999999999</v>
      </c>
      <c r="L898" s="15">
        <f t="shared" si="47"/>
        <v>18</v>
      </c>
      <c r="M898" s="15">
        <f t="shared" si="48"/>
        <v>4.1858333333333331</v>
      </c>
    </row>
    <row r="899" spans="7:13" x14ac:dyDescent="0.25">
      <c r="G899" s="13">
        <v>40778</v>
      </c>
      <c r="H899" s="15">
        <v>4.22</v>
      </c>
      <c r="I899" s="15">
        <v>0.7</v>
      </c>
      <c r="J899" s="15">
        <v>4.1449999999999996</v>
      </c>
      <c r="K899" s="15">
        <f t="shared" si="46"/>
        <v>71.2</v>
      </c>
      <c r="L899" s="15">
        <f t="shared" si="47"/>
        <v>17</v>
      </c>
      <c r="M899" s="15">
        <f t="shared" si="48"/>
        <v>4.1882352941176473</v>
      </c>
    </row>
    <row r="900" spans="7:13" x14ac:dyDescent="0.25">
      <c r="G900" s="13">
        <v>40777</v>
      </c>
      <c r="H900" s="15">
        <v>4.22</v>
      </c>
      <c r="I900" s="15">
        <v>0.7</v>
      </c>
      <c r="J900" s="15">
        <v>4.1449999999999996</v>
      </c>
      <c r="K900" s="15">
        <f t="shared" ref="K900:K963" si="49">IF(MONTH(G900)=MONTH(G901),J900+K901,J900)</f>
        <v>67.055000000000007</v>
      </c>
      <c r="L900" s="15">
        <f t="shared" ref="L900:L963" si="50">IF(MONTH(G900)=MONTH(G901),L901+1,1)</f>
        <v>16</v>
      </c>
      <c r="M900" s="15">
        <f t="shared" si="48"/>
        <v>4.1909375000000004</v>
      </c>
    </row>
    <row r="901" spans="7:13" x14ac:dyDescent="0.25">
      <c r="G901" s="13">
        <v>40774</v>
      </c>
      <c r="H901" s="15">
        <v>4.22</v>
      </c>
      <c r="I901" s="15">
        <v>0.7</v>
      </c>
      <c r="J901" s="15">
        <v>4.1449999999999996</v>
      </c>
      <c r="K901" s="15">
        <f t="shared" si="49"/>
        <v>62.910000000000011</v>
      </c>
      <c r="L901" s="15">
        <f t="shared" si="50"/>
        <v>15</v>
      </c>
      <c r="M901" s="15">
        <f t="shared" ref="M901:M964" si="51">K901/L901</f>
        <v>4.1940000000000008</v>
      </c>
    </row>
    <row r="902" spans="7:13" x14ac:dyDescent="0.25">
      <c r="G902" s="13">
        <v>40773</v>
      </c>
      <c r="H902" s="15">
        <v>4.22</v>
      </c>
      <c r="I902" s="15">
        <v>0.7</v>
      </c>
      <c r="J902" s="15">
        <v>4.1449999999999996</v>
      </c>
      <c r="K902" s="15">
        <f t="shared" si="49"/>
        <v>58.765000000000015</v>
      </c>
      <c r="L902" s="15">
        <f t="shared" si="50"/>
        <v>14</v>
      </c>
      <c r="M902" s="15">
        <f t="shared" si="51"/>
        <v>4.1975000000000007</v>
      </c>
    </row>
    <row r="903" spans="7:13" x14ac:dyDescent="0.25">
      <c r="G903" s="13">
        <v>40772</v>
      </c>
      <c r="H903" s="15">
        <v>4.1500000000000004</v>
      </c>
      <c r="I903" s="15">
        <v>0.7</v>
      </c>
      <c r="J903" s="15">
        <v>4.0750000000000002</v>
      </c>
      <c r="K903" s="15">
        <f t="shared" si="49"/>
        <v>54.620000000000019</v>
      </c>
      <c r="L903" s="15">
        <f t="shared" si="50"/>
        <v>13</v>
      </c>
      <c r="M903" s="15">
        <f t="shared" si="51"/>
        <v>4.2015384615384628</v>
      </c>
    </row>
    <row r="904" spans="7:13" x14ac:dyDescent="0.25">
      <c r="G904" s="13">
        <v>40771</v>
      </c>
      <c r="H904" s="15">
        <v>4.1500000000000004</v>
      </c>
      <c r="I904" s="15">
        <v>0.7</v>
      </c>
      <c r="J904" s="15">
        <v>4.0750000000000002</v>
      </c>
      <c r="K904" s="15">
        <f t="shared" si="49"/>
        <v>50.545000000000016</v>
      </c>
      <c r="L904" s="15">
        <f t="shared" si="50"/>
        <v>12</v>
      </c>
      <c r="M904" s="15">
        <f t="shared" si="51"/>
        <v>4.212083333333335</v>
      </c>
    </row>
    <row r="905" spans="7:13" x14ac:dyDescent="0.25">
      <c r="G905" s="13">
        <v>40770</v>
      </c>
      <c r="H905" s="15">
        <v>4.1500000000000004</v>
      </c>
      <c r="I905" s="15">
        <v>0.7</v>
      </c>
      <c r="J905" s="15">
        <v>4.0750000000000002</v>
      </c>
      <c r="K905" s="15">
        <f t="shared" si="49"/>
        <v>46.470000000000013</v>
      </c>
      <c r="L905" s="15">
        <f t="shared" si="50"/>
        <v>11</v>
      </c>
      <c r="M905" s="15">
        <f t="shared" si="51"/>
        <v>4.2245454545454555</v>
      </c>
    </row>
    <row r="906" spans="7:13" x14ac:dyDescent="0.25">
      <c r="G906" s="13">
        <v>40767</v>
      </c>
      <c r="H906" s="15">
        <v>4.1500000000000004</v>
      </c>
      <c r="I906" s="15">
        <v>0.7</v>
      </c>
      <c r="J906" s="15">
        <v>4.0750000000000002</v>
      </c>
      <c r="K906" s="15">
        <f t="shared" si="49"/>
        <v>42.39500000000001</v>
      </c>
      <c r="L906" s="15">
        <f t="shared" si="50"/>
        <v>10</v>
      </c>
      <c r="M906" s="15">
        <f t="shared" si="51"/>
        <v>4.2395000000000014</v>
      </c>
    </row>
    <row r="907" spans="7:13" x14ac:dyDescent="0.25">
      <c r="G907" s="13">
        <v>40766</v>
      </c>
      <c r="H907" s="15">
        <v>4.1500000000000004</v>
      </c>
      <c r="I907" s="15">
        <v>0.7</v>
      </c>
      <c r="J907" s="15">
        <v>4.0750000000000002</v>
      </c>
      <c r="K907" s="15">
        <f t="shared" si="49"/>
        <v>38.320000000000007</v>
      </c>
      <c r="L907" s="15">
        <f t="shared" si="50"/>
        <v>9</v>
      </c>
      <c r="M907" s="15">
        <f t="shared" si="51"/>
        <v>4.257777777777779</v>
      </c>
    </row>
    <row r="908" spans="7:13" x14ac:dyDescent="0.25">
      <c r="G908" s="13">
        <v>40765</v>
      </c>
      <c r="H908" s="15">
        <v>4.32</v>
      </c>
      <c r="I908" s="15">
        <v>0.7</v>
      </c>
      <c r="J908" s="15">
        <v>4.2450000000000001</v>
      </c>
      <c r="K908" s="15">
        <f t="shared" si="49"/>
        <v>34.245000000000005</v>
      </c>
      <c r="L908" s="15">
        <f t="shared" si="50"/>
        <v>8</v>
      </c>
      <c r="M908" s="15">
        <f t="shared" si="51"/>
        <v>4.2806250000000006</v>
      </c>
    </row>
    <row r="909" spans="7:13" x14ac:dyDescent="0.25">
      <c r="G909" s="13">
        <v>40764</v>
      </c>
      <c r="H909" s="15">
        <v>4.32</v>
      </c>
      <c r="I909" s="15">
        <v>0.7</v>
      </c>
      <c r="J909" s="15">
        <v>4.2450000000000001</v>
      </c>
      <c r="K909" s="15">
        <f t="shared" si="49"/>
        <v>30.000000000000004</v>
      </c>
      <c r="L909" s="15">
        <f t="shared" si="50"/>
        <v>7</v>
      </c>
      <c r="M909" s="15">
        <f t="shared" si="51"/>
        <v>4.2857142857142865</v>
      </c>
    </row>
    <row r="910" spans="7:13" x14ac:dyDescent="0.25">
      <c r="G910" s="13">
        <v>40763</v>
      </c>
      <c r="H910" s="15">
        <v>4.32</v>
      </c>
      <c r="I910" s="15">
        <v>0.7</v>
      </c>
      <c r="J910" s="15">
        <v>4.2450000000000001</v>
      </c>
      <c r="K910" s="15">
        <f t="shared" si="49"/>
        <v>25.755000000000003</v>
      </c>
      <c r="L910" s="15">
        <f t="shared" si="50"/>
        <v>6</v>
      </c>
      <c r="M910" s="15">
        <f t="shared" si="51"/>
        <v>4.2925000000000004</v>
      </c>
    </row>
    <row r="911" spans="7:13" x14ac:dyDescent="0.25">
      <c r="G911" s="13">
        <v>40760</v>
      </c>
      <c r="H911" s="15">
        <v>4.32</v>
      </c>
      <c r="I911" s="15">
        <v>0.7</v>
      </c>
      <c r="J911" s="15">
        <v>4.2450000000000001</v>
      </c>
      <c r="K911" s="15">
        <f t="shared" si="49"/>
        <v>21.51</v>
      </c>
      <c r="L911" s="15">
        <f t="shared" si="50"/>
        <v>5</v>
      </c>
      <c r="M911" s="15">
        <f t="shared" si="51"/>
        <v>4.3020000000000005</v>
      </c>
    </row>
    <row r="912" spans="7:13" x14ac:dyDescent="0.25">
      <c r="G912" s="13">
        <v>40759</v>
      </c>
      <c r="H912" s="15">
        <v>4.32</v>
      </c>
      <c r="I912" s="15">
        <v>0.7</v>
      </c>
      <c r="J912" s="15">
        <v>4.2450000000000001</v>
      </c>
      <c r="K912" s="15">
        <f t="shared" si="49"/>
        <v>17.265000000000001</v>
      </c>
      <c r="L912" s="15">
        <f t="shared" si="50"/>
        <v>4</v>
      </c>
      <c r="M912" s="15">
        <f t="shared" si="51"/>
        <v>4.3162500000000001</v>
      </c>
    </row>
    <row r="913" spans="7:13" x14ac:dyDescent="0.25">
      <c r="G913" s="13">
        <v>40758</v>
      </c>
      <c r="H913" s="15">
        <v>4.3899999999999997</v>
      </c>
      <c r="I913" s="15">
        <v>0.8</v>
      </c>
      <c r="J913" s="15">
        <v>4.34</v>
      </c>
      <c r="K913" s="15">
        <f t="shared" si="49"/>
        <v>13.02</v>
      </c>
      <c r="L913" s="15">
        <f t="shared" si="50"/>
        <v>3</v>
      </c>
      <c r="M913" s="15">
        <f t="shared" si="51"/>
        <v>4.34</v>
      </c>
    </row>
    <row r="914" spans="7:13" x14ac:dyDescent="0.25">
      <c r="G914" s="13">
        <v>40757</v>
      </c>
      <c r="H914" s="15">
        <v>4.3899999999999997</v>
      </c>
      <c r="I914" s="15">
        <v>0.8</v>
      </c>
      <c r="J914" s="15">
        <v>4.34</v>
      </c>
      <c r="K914" s="15">
        <f t="shared" si="49"/>
        <v>8.68</v>
      </c>
      <c r="L914" s="15">
        <f t="shared" si="50"/>
        <v>2</v>
      </c>
      <c r="M914" s="15">
        <f t="shared" si="51"/>
        <v>4.34</v>
      </c>
    </row>
    <row r="915" spans="7:13" x14ac:dyDescent="0.25">
      <c r="G915" s="13">
        <v>40756</v>
      </c>
      <c r="H915" s="15">
        <v>4.3899999999999997</v>
      </c>
      <c r="I915" s="15">
        <v>0.8</v>
      </c>
      <c r="J915" s="15">
        <v>4.34</v>
      </c>
      <c r="K915" s="15">
        <f t="shared" si="49"/>
        <v>4.34</v>
      </c>
      <c r="L915" s="15">
        <f t="shared" si="50"/>
        <v>1</v>
      </c>
      <c r="M915" s="15">
        <f t="shared" si="51"/>
        <v>4.34</v>
      </c>
    </row>
    <row r="916" spans="7:13" x14ac:dyDescent="0.25">
      <c r="G916" s="13">
        <v>40753</v>
      </c>
      <c r="H916" s="15">
        <v>4.3899999999999997</v>
      </c>
      <c r="I916" s="15">
        <v>0.8</v>
      </c>
      <c r="J916" s="15">
        <v>4.34</v>
      </c>
      <c r="K916" s="15">
        <f t="shared" si="49"/>
        <v>89.155000000000001</v>
      </c>
      <c r="L916" s="15">
        <f t="shared" si="50"/>
        <v>20</v>
      </c>
      <c r="M916" s="15">
        <f t="shared" si="51"/>
        <v>4.4577499999999999</v>
      </c>
    </row>
    <row r="917" spans="7:13" x14ac:dyDescent="0.25">
      <c r="G917" s="13">
        <v>40752</v>
      </c>
      <c r="H917" s="15">
        <v>4.3899999999999997</v>
      </c>
      <c r="I917" s="15">
        <v>0.8</v>
      </c>
      <c r="J917" s="15">
        <v>4.34</v>
      </c>
      <c r="K917" s="15">
        <f t="shared" si="49"/>
        <v>84.814999999999998</v>
      </c>
      <c r="L917" s="15">
        <f t="shared" si="50"/>
        <v>19</v>
      </c>
      <c r="M917" s="15">
        <f t="shared" si="51"/>
        <v>4.4639473684210529</v>
      </c>
    </row>
    <row r="918" spans="7:13" x14ac:dyDescent="0.25">
      <c r="G918" s="13">
        <v>40751</v>
      </c>
      <c r="H918" s="15">
        <v>4.55</v>
      </c>
      <c r="I918" s="15">
        <v>0.8</v>
      </c>
      <c r="J918" s="15">
        <v>4.5</v>
      </c>
      <c r="K918" s="15">
        <f t="shared" si="49"/>
        <v>80.474999999999994</v>
      </c>
      <c r="L918" s="15">
        <f t="shared" si="50"/>
        <v>18</v>
      </c>
      <c r="M918" s="15">
        <f t="shared" si="51"/>
        <v>4.4708333333333332</v>
      </c>
    </row>
    <row r="919" spans="7:13" x14ac:dyDescent="0.25">
      <c r="G919" s="13">
        <v>40750</v>
      </c>
      <c r="H919" s="15">
        <v>4.55</v>
      </c>
      <c r="I919" s="15">
        <v>0.8</v>
      </c>
      <c r="J919" s="15">
        <v>4.5</v>
      </c>
      <c r="K919" s="15">
        <f t="shared" si="49"/>
        <v>75.974999999999994</v>
      </c>
      <c r="L919" s="15">
        <f t="shared" si="50"/>
        <v>17</v>
      </c>
      <c r="M919" s="15">
        <f t="shared" si="51"/>
        <v>4.4691176470588232</v>
      </c>
    </row>
    <row r="920" spans="7:13" x14ac:dyDescent="0.25">
      <c r="G920" s="13">
        <v>40749</v>
      </c>
      <c r="H920" s="15">
        <v>4.55</v>
      </c>
      <c r="I920" s="15">
        <v>0.8</v>
      </c>
      <c r="J920" s="15">
        <v>4.5</v>
      </c>
      <c r="K920" s="15">
        <f t="shared" si="49"/>
        <v>71.474999999999994</v>
      </c>
      <c r="L920" s="15">
        <f t="shared" si="50"/>
        <v>16</v>
      </c>
      <c r="M920" s="15">
        <f t="shared" si="51"/>
        <v>4.4671874999999996</v>
      </c>
    </row>
    <row r="921" spans="7:13" x14ac:dyDescent="0.25">
      <c r="G921" s="13">
        <v>40746</v>
      </c>
      <c r="H921" s="15">
        <v>4.55</v>
      </c>
      <c r="I921" s="15">
        <v>0.8</v>
      </c>
      <c r="J921" s="15">
        <v>4.5</v>
      </c>
      <c r="K921" s="15">
        <f t="shared" si="49"/>
        <v>66.974999999999994</v>
      </c>
      <c r="L921" s="15">
        <f t="shared" si="50"/>
        <v>15</v>
      </c>
      <c r="M921" s="15">
        <f t="shared" si="51"/>
        <v>4.4649999999999999</v>
      </c>
    </row>
    <row r="922" spans="7:13" x14ac:dyDescent="0.25">
      <c r="G922" s="13">
        <v>40745</v>
      </c>
      <c r="H922" s="15">
        <v>4.55</v>
      </c>
      <c r="I922" s="15">
        <v>0.8</v>
      </c>
      <c r="J922" s="15">
        <v>4.5</v>
      </c>
      <c r="K922" s="15">
        <f t="shared" si="49"/>
        <v>62.475000000000001</v>
      </c>
      <c r="L922" s="15">
        <f t="shared" si="50"/>
        <v>14</v>
      </c>
      <c r="M922" s="15">
        <f t="shared" si="51"/>
        <v>4.4625000000000004</v>
      </c>
    </row>
    <row r="923" spans="7:13" x14ac:dyDescent="0.25">
      <c r="G923" s="13">
        <v>40744</v>
      </c>
      <c r="H923" s="15">
        <v>4.5199999999999996</v>
      </c>
      <c r="I923" s="15">
        <v>0.7</v>
      </c>
      <c r="J923" s="15">
        <v>4.4450000000000003</v>
      </c>
      <c r="K923" s="15">
        <f t="shared" si="49"/>
        <v>57.975000000000001</v>
      </c>
      <c r="L923" s="15">
        <f t="shared" si="50"/>
        <v>13</v>
      </c>
      <c r="M923" s="15">
        <f t="shared" si="51"/>
        <v>4.4596153846153843</v>
      </c>
    </row>
    <row r="924" spans="7:13" x14ac:dyDescent="0.25">
      <c r="G924" s="13">
        <v>40743</v>
      </c>
      <c r="H924" s="15">
        <v>4.5199999999999996</v>
      </c>
      <c r="I924" s="15">
        <v>0.7</v>
      </c>
      <c r="J924" s="15">
        <v>4.4450000000000003</v>
      </c>
      <c r="K924" s="15">
        <f t="shared" si="49"/>
        <v>53.53</v>
      </c>
      <c r="L924" s="15">
        <f t="shared" si="50"/>
        <v>12</v>
      </c>
      <c r="M924" s="15">
        <f t="shared" si="51"/>
        <v>4.4608333333333334</v>
      </c>
    </row>
    <row r="925" spans="7:13" x14ac:dyDescent="0.25">
      <c r="G925" s="13">
        <v>40742</v>
      </c>
      <c r="H925" s="15">
        <v>4.5199999999999996</v>
      </c>
      <c r="I925" s="15">
        <v>0.7</v>
      </c>
      <c r="J925" s="15">
        <v>4.4450000000000003</v>
      </c>
      <c r="K925" s="15">
        <f t="shared" si="49"/>
        <v>49.085000000000001</v>
      </c>
      <c r="L925" s="15">
        <f t="shared" si="50"/>
        <v>11</v>
      </c>
      <c r="M925" s="15">
        <f t="shared" si="51"/>
        <v>4.4622727272727269</v>
      </c>
    </row>
    <row r="926" spans="7:13" x14ac:dyDescent="0.25">
      <c r="G926" s="13">
        <v>40739</v>
      </c>
      <c r="H926" s="15">
        <v>4.5199999999999996</v>
      </c>
      <c r="I926" s="15">
        <v>0.7</v>
      </c>
      <c r="J926" s="15">
        <v>4.4450000000000003</v>
      </c>
      <c r="K926" s="15">
        <f t="shared" si="49"/>
        <v>44.64</v>
      </c>
      <c r="L926" s="15">
        <f t="shared" si="50"/>
        <v>10</v>
      </c>
      <c r="M926" s="15">
        <f t="shared" si="51"/>
        <v>4.4640000000000004</v>
      </c>
    </row>
    <row r="927" spans="7:13" x14ac:dyDescent="0.25">
      <c r="G927" s="13">
        <v>40738</v>
      </c>
      <c r="H927" s="15">
        <v>4.5199999999999996</v>
      </c>
      <c r="I927" s="15">
        <v>0.7</v>
      </c>
      <c r="J927" s="15">
        <v>4.4450000000000003</v>
      </c>
      <c r="K927" s="15">
        <f t="shared" si="49"/>
        <v>40.195</v>
      </c>
      <c r="L927" s="15">
        <f t="shared" si="50"/>
        <v>9</v>
      </c>
      <c r="M927" s="15">
        <f t="shared" si="51"/>
        <v>4.4661111111111111</v>
      </c>
    </row>
    <row r="928" spans="7:13" x14ac:dyDescent="0.25">
      <c r="G928" s="13">
        <v>40737</v>
      </c>
      <c r="H928" s="15">
        <v>4.51</v>
      </c>
      <c r="I928" s="15">
        <v>0.7</v>
      </c>
      <c r="J928" s="15">
        <v>4.4349999999999996</v>
      </c>
      <c r="K928" s="15">
        <f t="shared" si="49"/>
        <v>35.75</v>
      </c>
      <c r="L928" s="15">
        <f t="shared" si="50"/>
        <v>8</v>
      </c>
      <c r="M928" s="15">
        <f t="shared" si="51"/>
        <v>4.46875</v>
      </c>
    </row>
    <row r="929" spans="7:13" x14ac:dyDescent="0.25">
      <c r="G929" s="13">
        <v>40736</v>
      </c>
      <c r="H929" s="15">
        <v>4.51</v>
      </c>
      <c r="I929" s="15">
        <v>0.7</v>
      </c>
      <c r="J929" s="15">
        <v>4.4349999999999996</v>
      </c>
      <c r="K929" s="15">
        <f t="shared" si="49"/>
        <v>31.314999999999998</v>
      </c>
      <c r="L929" s="15">
        <f t="shared" si="50"/>
        <v>7</v>
      </c>
      <c r="M929" s="15">
        <f t="shared" si="51"/>
        <v>4.4735714285714279</v>
      </c>
    </row>
    <row r="930" spans="7:13" x14ac:dyDescent="0.25">
      <c r="G930" s="13">
        <v>40735</v>
      </c>
      <c r="H930" s="15">
        <v>4.51</v>
      </c>
      <c r="I930" s="15">
        <v>0.7</v>
      </c>
      <c r="J930" s="15">
        <v>4.4349999999999996</v>
      </c>
      <c r="K930" s="15">
        <f t="shared" si="49"/>
        <v>26.88</v>
      </c>
      <c r="L930" s="15">
        <f t="shared" si="50"/>
        <v>6</v>
      </c>
      <c r="M930" s="15">
        <f t="shared" si="51"/>
        <v>4.4799999999999995</v>
      </c>
    </row>
    <row r="931" spans="7:13" x14ac:dyDescent="0.25">
      <c r="G931" s="13">
        <v>40732</v>
      </c>
      <c r="H931" s="15">
        <v>4.51</v>
      </c>
      <c r="I931" s="15">
        <v>0.7</v>
      </c>
      <c r="J931" s="15">
        <v>4.4349999999999996</v>
      </c>
      <c r="K931" s="15">
        <f t="shared" si="49"/>
        <v>22.445</v>
      </c>
      <c r="L931" s="15">
        <f t="shared" si="50"/>
        <v>5</v>
      </c>
      <c r="M931" s="15">
        <f t="shared" si="51"/>
        <v>4.4889999999999999</v>
      </c>
    </row>
    <row r="932" spans="7:13" x14ac:dyDescent="0.25">
      <c r="G932" s="13">
        <v>40731</v>
      </c>
      <c r="H932" s="15">
        <v>4.51</v>
      </c>
      <c r="I932" s="15">
        <v>0.7</v>
      </c>
      <c r="J932" s="15">
        <v>4.4349999999999996</v>
      </c>
      <c r="K932" s="15">
        <f t="shared" si="49"/>
        <v>18.010000000000002</v>
      </c>
      <c r="L932" s="15">
        <f t="shared" si="50"/>
        <v>4</v>
      </c>
      <c r="M932" s="15">
        <f t="shared" si="51"/>
        <v>4.5025000000000004</v>
      </c>
    </row>
    <row r="933" spans="7:13" x14ac:dyDescent="0.25">
      <c r="G933" s="13">
        <v>40730</v>
      </c>
      <c r="H933" s="15">
        <v>4.5999999999999996</v>
      </c>
      <c r="I933" s="15">
        <v>0.7</v>
      </c>
      <c r="J933" s="15">
        <v>4.5250000000000004</v>
      </c>
      <c r="K933" s="15">
        <f t="shared" si="49"/>
        <v>13.575000000000001</v>
      </c>
      <c r="L933" s="15">
        <f t="shared" si="50"/>
        <v>3</v>
      </c>
      <c r="M933" s="15">
        <f t="shared" si="51"/>
        <v>4.5250000000000004</v>
      </c>
    </row>
    <row r="934" spans="7:13" x14ac:dyDescent="0.25">
      <c r="G934" s="13">
        <v>40729</v>
      </c>
      <c r="H934" s="15">
        <v>4.5999999999999996</v>
      </c>
      <c r="I934" s="15">
        <v>0.7</v>
      </c>
      <c r="J934" s="15">
        <v>4.5250000000000004</v>
      </c>
      <c r="K934" s="15">
        <f t="shared" si="49"/>
        <v>9.0500000000000007</v>
      </c>
      <c r="L934" s="15">
        <f t="shared" si="50"/>
        <v>2</v>
      </c>
      <c r="M934" s="15">
        <f t="shared" si="51"/>
        <v>4.5250000000000004</v>
      </c>
    </row>
    <row r="935" spans="7:13" x14ac:dyDescent="0.25">
      <c r="G935" s="13">
        <v>40725</v>
      </c>
      <c r="H935" s="15">
        <v>4.5999999999999996</v>
      </c>
      <c r="I935" s="15">
        <v>0.7</v>
      </c>
      <c r="J935" s="15">
        <v>4.5250000000000004</v>
      </c>
      <c r="K935" s="15">
        <f t="shared" si="49"/>
        <v>4.5250000000000004</v>
      </c>
      <c r="L935" s="15">
        <f t="shared" si="50"/>
        <v>1</v>
      </c>
      <c r="M935" s="15">
        <f t="shared" si="51"/>
        <v>4.5250000000000004</v>
      </c>
    </row>
    <row r="936" spans="7:13" x14ac:dyDescent="0.25">
      <c r="G936" s="13">
        <v>40724</v>
      </c>
      <c r="H936" s="15">
        <v>4.5999999999999996</v>
      </c>
      <c r="I936" s="15">
        <v>0.7</v>
      </c>
      <c r="J936" s="15">
        <v>4.5250000000000004</v>
      </c>
      <c r="K936" s="15">
        <f t="shared" si="49"/>
        <v>97.600000000000023</v>
      </c>
      <c r="L936" s="15">
        <f t="shared" si="50"/>
        <v>22</v>
      </c>
      <c r="M936" s="15">
        <f t="shared" si="51"/>
        <v>4.4363636363636374</v>
      </c>
    </row>
    <row r="937" spans="7:13" x14ac:dyDescent="0.25">
      <c r="G937" s="13">
        <v>40723</v>
      </c>
      <c r="H937" s="15">
        <v>4.51</v>
      </c>
      <c r="I937" s="15">
        <v>0.7</v>
      </c>
      <c r="J937" s="15">
        <v>4.4349999999999996</v>
      </c>
      <c r="K937" s="15">
        <f t="shared" si="49"/>
        <v>93.075000000000017</v>
      </c>
      <c r="L937" s="15">
        <f t="shared" si="50"/>
        <v>21</v>
      </c>
      <c r="M937" s="15">
        <f t="shared" si="51"/>
        <v>4.4321428571428578</v>
      </c>
    </row>
    <row r="938" spans="7:13" x14ac:dyDescent="0.25">
      <c r="G938" s="13">
        <v>40722</v>
      </c>
      <c r="H938" s="15">
        <v>4.51</v>
      </c>
      <c r="I938" s="15">
        <v>0.7</v>
      </c>
      <c r="J938" s="15">
        <v>4.4349999999999996</v>
      </c>
      <c r="K938" s="15">
        <f t="shared" si="49"/>
        <v>88.640000000000015</v>
      </c>
      <c r="L938" s="15">
        <f t="shared" si="50"/>
        <v>20</v>
      </c>
      <c r="M938" s="15">
        <f t="shared" si="51"/>
        <v>4.4320000000000004</v>
      </c>
    </row>
    <row r="939" spans="7:13" x14ac:dyDescent="0.25">
      <c r="G939" s="13">
        <v>40721</v>
      </c>
      <c r="H939" s="15">
        <v>4.51</v>
      </c>
      <c r="I939" s="15">
        <v>0.7</v>
      </c>
      <c r="J939" s="15">
        <v>4.4349999999999996</v>
      </c>
      <c r="K939" s="15">
        <f t="shared" si="49"/>
        <v>84.205000000000013</v>
      </c>
      <c r="L939" s="15">
        <f t="shared" si="50"/>
        <v>19</v>
      </c>
      <c r="M939" s="15">
        <f t="shared" si="51"/>
        <v>4.4318421052631587</v>
      </c>
    </row>
    <row r="940" spans="7:13" x14ac:dyDescent="0.25">
      <c r="G940" s="13">
        <v>40718</v>
      </c>
      <c r="H940" s="15">
        <v>4.51</v>
      </c>
      <c r="I940" s="15">
        <v>0.7</v>
      </c>
      <c r="J940" s="15">
        <v>4.4349999999999996</v>
      </c>
      <c r="K940" s="15">
        <f t="shared" si="49"/>
        <v>79.77000000000001</v>
      </c>
      <c r="L940" s="15">
        <f t="shared" si="50"/>
        <v>18</v>
      </c>
      <c r="M940" s="15">
        <f t="shared" si="51"/>
        <v>4.4316666666666675</v>
      </c>
    </row>
    <row r="941" spans="7:13" x14ac:dyDescent="0.25">
      <c r="G941" s="13">
        <v>40717</v>
      </c>
      <c r="H941" s="15">
        <v>4.51</v>
      </c>
      <c r="I941" s="15">
        <v>0.7</v>
      </c>
      <c r="J941" s="15">
        <v>4.4349999999999996</v>
      </c>
      <c r="K941" s="15">
        <f t="shared" si="49"/>
        <v>75.335000000000008</v>
      </c>
      <c r="L941" s="15">
        <f t="shared" si="50"/>
        <v>17</v>
      </c>
      <c r="M941" s="15">
        <f t="shared" si="51"/>
        <v>4.4314705882352943</v>
      </c>
    </row>
    <row r="942" spans="7:13" x14ac:dyDescent="0.25">
      <c r="G942" s="13">
        <v>40716</v>
      </c>
      <c r="H942" s="15">
        <v>4.5</v>
      </c>
      <c r="I942" s="15">
        <v>0.8</v>
      </c>
      <c r="J942" s="15">
        <v>4.45</v>
      </c>
      <c r="K942" s="15">
        <f t="shared" si="49"/>
        <v>70.900000000000006</v>
      </c>
      <c r="L942" s="15">
        <f t="shared" si="50"/>
        <v>16</v>
      </c>
      <c r="M942" s="15">
        <f t="shared" si="51"/>
        <v>4.4312500000000004</v>
      </c>
    </row>
    <row r="943" spans="7:13" x14ac:dyDescent="0.25">
      <c r="G943" s="13">
        <v>40715</v>
      </c>
      <c r="H943" s="15">
        <v>4.5</v>
      </c>
      <c r="I943" s="15">
        <v>0.8</v>
      </c>
      <c r="J943" s="15">
        <v>4.45</v>
      </c>
      <c r="K943" s="15">
        <f t="shared" si="49"/>
        <v>66.45</v>
      </c>
      <c r="L943" s="15">
        <f t="shared" si="50"/>
        <v>15</v>
      </c>
      <c r="M943" s="15">
        <f t="shared" si="51"/>
        <v>4.4300000000000006</v>
      </c>
    </row>
    <row r="944" spans="7:13" x14ac:dyDescent="0.25">
      <c r="G944" s="13">
        <v>40714</v>
      </c>
      <c r="H944" s="15">
        <v>4.5</v>
      </c>
      <c r="I944" s="15">
        <v>0.8</v>
      </c>
      <c r="J944" s="15">
        <v>4.45</v>
      </c>
      <c r="K944" s="15">
        <f t="shared" si="49"/>
        <v>62</v>
      </c>
      <c r="L944" s="15">
        <f t="shared" si="50"/>
        <v>14</v>
      </c>
      <c r="M944" s="15">
        <f t="shared" si="51"/>
        <v>4.4285714285714288</v>
      </c>
    </row>
    <row r="945" spans="7:13" x14ac:dyDescent="0.25">
      <c r="G945" s="13">
        <v>40711</v>
      </c>
      <c r="H945" s="15">
        <v>4.5</v>
      </c>
      <c r="I945" s="15">
        <v>0.8</v>
      </c>
      <c r="J945" s="15">
        <v>4.45</v>
      </c>
      <c r="K945" s="15">
        <f t="shared" si="49"/>
        <v>57.55</v>
      </c>
      <c r="L945" s="15">
        <f t="shared" si="50"/>
        <v>13</v>
      </c>
      <c r="M945" s="15">
        <f t="shared" si="51"/>
        <v>4.4269230769230763</v>
      </c>
    </row>
    <row r="946" spans="7:13" x14ac:dyDescent="0.25">
      <c r="G946" s="13">
        <v>40710</v>
      </c>
      <c r="H946" s="15">
        <v>4.5</v>
      </c>
      <c r="I946" s="15">
        <v>0.8</v>
      </c>
      <c r="J946" s="15">
        <v>4.45</v>
      </c>
      <c r="K946" s="15">
        <f t="shared" si="49"/>
        <v>53.099999999999994</v>
      </c>
      <c r="L946" s="15">
        <f t="shared" si="50"/>
        <v>12</v>
      </c>
      <c r="M946" s="15">
        <f t="shared" si="51"/>
        <v>4.4249999999999998</v>
      </c>
    </row>
    <row r="947" spans="7:13" x14ac:dyDescent="0.25">
      <c r="G947" s="13">
        <v>40709</v>
      </c>
      <c r="H947" s="15">
        <v>4.5</v>
      </c>
      <c r="I947" s="15">
        <v>0.7</v>
      </c>
      <c r="J947" s="15">
        <v>4.4249999999999998</v>
      </c>
      <c r="K947" s="15">
        <f t="shared" si="49"/>
        <v>48.649999999999991</v>
      </c>
      <c r="L947" s="15">
        <f t="shared" si="50"/>
        <v>11</v>
      </c>
      <c r="M947" s="15">
        <f t="shared" si="51"/>
        <v>4.422727272727272</v>
      </c>
    </row>
    <row r="948" spans="7:13" x14ac:dyDescent="0.25">
      <c r="G948" s="13">
        <v>40708</v>
      </c>
      <c r="H948" s="15">
        <v>4.5</v>
      </c>
      <c r="I948" s="15">
        <v>0.7</v>
      </c>
      <c r="J948" s="15">
        <v>4.4249999999999998</v>
      </c>
      <c r="K948" s="15">
        <f t="shared" si="49"/>
        <v>44.224999999999994</v>
      </c>
      <c r="L948" s="15">
        <f t="shared" si="50"/>
        <v>10</v>
      </c>
      <c r="M948" s="15">
        <f t="shared" si="51"/>
        <v>4.4224999999999994</v>
      </c>
    </row>
    <row r="949" spans="7:13" x14ac:dyDescent="0.25">
      <c r="G949" s="13">
        <v>40707</v>
      </c>
      <c r="H949" s="15">
        <v>4.5</v>
      </c>
      <c r="I949" s="15">
        <v>0.7</v>
      </c>
      <c r="J949" s="15">
        <v>4.4249999999999998</v>
      </c>
      <c r="K949" s="15">
        <f t="shared" si="49"/>
        <v>39.799999999999997</v>
      </c>
      <c r="L949" s="15">
        <f t="shared" si="50"/>
        <v>9</v>
      </c>
      <c r="M949" s="15">
        <f t="shared" si="51"/>
        <v>4.4222222222222216</v>
      </c>
    </row>
    <row r="950" spans="7:13" x14ac:dyDescent="0.25">
      <c r="G950" s="13">
        <v>40704</v>
      </c>
      <c r="H950" s="15">
        <v>4.5</v>
      </c>
      <c r="I950" s="15">
        <v>0.7</v>
      </c>
      <c r="J950" s="15">
        <v>4.4249999999999998</v>
      </c>
      <c r="K950" s="15">
        <f t="shared" si="49"/>
        <v>35.375</v>
      </c>
      <c r="L950" s="15">
        <f t="shared" si="50"/>
        <v>8</v>
      </c>
      <c r="M950" s="15">
        <f t="shared" si="51"/>
        <v>4.421875</v>
      </c>
    </row>
    <row r="951" spans="7:13" x14ac:dyDescent="0.25">
      <c r="G951" s="13">
        <v>40703</v>
      </c>
      <c r="H951" s="15">
        <v>4.5</v>
      </c>
      <c r="I951" s="15">
        <v>0.7</v>
      </c>
      <c r="J951" s="15">
        <v>4.4249999999999998</v>
      </c>
      <c r="K951" s="15">
        <f t="shared" si="49"/>
        <v>30.95</v>
      </c>
      <c r="L951" s="15">
        <f t="shared" si="50"/>
        <v>7</v>
      </c>
      <c r="M951" s="15">
        <f t="shared" si="51"/>
        <v>4.4214285714285717</v>
      </c>
    </row>
    <row r="952" spans="7:13" x14ac:dyDescent="0.25">
      <c r="G952" s="13">
        <v>40702</v>
      </c>
      <c r="H952" s="15">
        <v>4.49</v>
      </c>
      <c r="I952" s="15">
        <v>0.7</v>
      </c>
      <c r="J952" s="15">
        <v>4.415</v>
      </c>
      <c r="K952" s="15">
        <f t="shared" si="49"/>
        <v>26.524999999999999</v>
      </c>
      <c r="L952" s="15">
        <f t="shared" si="50"/>
        <v>6</v>
      </c>
      <c r="M952" s="15">
        <f t="shared" si="51"/>
        <v>4.4208333333333334</v>
      </c>
    </row>
    <row r="953" spans="7:13" x14ac:dyDescent="0.25">
      <c r="G953" s="13">
        <v>40701</v>
      </c>
      <c r="H953" s="15">
        <v>4.49</v>
      </c>
      <c r="I953" s="15">
        <v>0.7</v>
      </c>
      <c r="J953" s="15">
        <v>4.415</v>
      </c>
      <c r="K953" s="15">
        <f t="shared" si="49"/>
        <v>22.11</v>
      </c>
      <c r="L953" s="15">
        <f t="shared" si="50"/>
        <v>5</v>
      </c>
      <c r="M953" s="15">
        <f t="shared" si="51"/>
        <v>4.4219999999999997</v>
      </c>
    </row>
    <row r="954" spans="7:13" x14ac:dyDescent="0.25">
      <c r="G954" s="13">
        <v>40700</v>
      </c>
      <c r="H954" s="15">
        <v>4.49</v>
      </c>
      <c r="I954" s="15">
        <v>0.7</v>
      </c>
      <c r="J954" s="15">
        <v>4.415</v>
      </c>
      <c r="K954" s="15">
        <f t="shared" si="49"/>
        <v>17.695</v>
      </c>
      <c r="L954" s="15">
        <f t="shared" si="50"/>
        <v>4</v>
      </c>
      <c r="M954" s="15">
        <f t="shared" si="51"/>
        <v>4.4237500000000001</v>
      </c>
    </row>
    <row r="955" spans="7:13" x14ac:dyDescent="0.25">
      <c r="G955" s="13">
        <v>40697</v>
      </c>
      <c r="H955" s="15">
        <v>4.49</v>
      </c>
      <c r="I955" s="15">
        <v>0.7</v>
      </c>
      <c r="J955" s="15">
        <v>4.415</v>
      </c>
      <c r="K955" s="15">
        <f t="shared" si="49"/>
        <v>13.280000000000001</v>
      </c>
      <c r="L955" s="15">
        <f t="shared" si="50"/>
        <v>3</v>
      </c>
      <c r="M955" s="15">
        <f t="shared" si="51"/>
        <v>4.4266666666666667</v>
      </c>
    </row>
    <row r="956" spans="7:13" x14ac:dyDescent="0.25">
      <c r="G956" s="13">
        <v>40696</v>
      </c>
      <c r="H956" s="15">
        <v>4.49</v>
      </c>
      <c r="I956" s="15">
        <v>0.7</v>
      </c>
      <c r="J956" s="15">
        <v>4.415</v>
      </c>
      <c r="K956" s="15">
        <f t="shared" si="49"/>
        <v>8.8650000000000002</v>
      </c>
      <c r="L956" s="15">
        <f t="shared" si="50"/>
        <v>2</v>
      </c>
      <c r="M956" s="15">
        <f t="shared" si="51"/>
        <v>4.4325000000000001</v>
      </c>
    </row>
    <row r="957" spans="7:13" x14ac:dyDescent="0.25">
      <c r="G957" s="13">
        <v>40695</v>
      </c>
      <c r="H957" s="15">
        <v>4.55</v>
      </c>
      <c r="I957" s="15">
        <v>0.6</v>
      </c>
      <c r="J957" s="15">
        <v>4.45</v>
      </c>
      <c r="K957" s="15">
        <f t="shared" si="49"/>
        <v>4.45</v>
      </c>
      <c r="L957" s="15">
        <f t="shared" si="50"/>
        <v>1</v>
      </c>
      <c r="M957" s="15">
        <f t="shared" si="51"/>
        <v>4.45</v>
      </c>
    </row>
    <row r="958" spans="7:13" x14ac:dyDescent="0.25">
      <c r="G958" s="13">
        <v>40694</v>
      </c>
      <c r="H958" s="15">
        <v>4.55</v>
      </c>
      <c r="I958" s="15">
        <v>0.6</v>
      </c>
      <c r="J958" s="15">
        <v>4.45</v>
      </c>
      <c r="K958" s="15">
        <f t="shared" si="49"/>
        <v>95.330000000000013</v>
      </c>
      <c r="L958" s="15">
        <f t="shared" si="50"/>
        <v>21</v>
      </c>
      <c r="M958" s="15">
        <f t="shared" si="51"/>
        <v>4.5395238095238097</v>
      </c>
    </row>
    <row r="959" spans="7:13" x14ac:dyDescent="0.25">
      <c r="G959" s="13">
        <v>40690</v>
      </c>
      <c r="H959" s="15">
        <v>4.55</v>
      </c>
      <c r="I959" s="15">
        <v>0.6</v>
      </c>
      <c r="J959" s="15">
        <v>4.45</v>
      </c>
      <c r="K959" s="15">
        <f t="shared" si="49"/>
        <v>90.88000000000001</v>
      </c>
      <c r="L959" s="15">
        <f t="shared" si="50"/>
        <v>20</v>
      </c>
      <c r="M959" s="15">
        <f t="shared" si="51"/>
        <v>4.5440000000000005</v>
      </c>
    </row>
    <row r="960" spans="7:13" x14ac:dyDescent="0.25">
      <c r="G960" s="13">
        <v>40689</v>
      </c>
      <c r="H960" s="15">
        <v>4.55</v>
      </c>
      <c r="I960" s="15">
        <v>0.6</v>
      </c>
      <c r="J960" s="15">
        <v>4.45</v>
      </c>
      <c r="K960" s="15">
        <f t="shared" si="49"/>
        <v>86.43</v>
      </c>
      <c r="L960" s="15">
        <f t="shared" si="50"/>
        <v>19</v>
      </c>
      <c r="M960" s="15">
        <f t="shared" si="51"/>
        <v>4.5489473684210529</v>
      </c>
    </row>
    <row r="961" spans="7:13" x14ac:dyDescent="0.25">
      <c r="G961" s="13">
        <v>40688</v>
      </c>
      <c r="H961" s="15">
        <v>4.5999999999999996</v>
      </c>
      <c r="I961" s="15">
        <v>0.7</v>
      </c>
      <c r="J961" s="15">
        <v>4.5250000000000004</v>
      </c>
      <c r="K961" s="15">
        <f t="shared" si="49"/>
        <v>81.98</v>
      </c>
      <c r="L961" s="15">
        <f t="shared" si="50"/>
        <v>18</v>
      </c>
      <c r="M961" s="15">
        <f t="shared" si="51"/>
        <v>4.554444444444445</v>
      </c>
    </row>
    <row r="962" spans="7:13" x14ac:dyDescent="0.25">
      <c r="G962" s="13">
        <v>40687</v>
      </c>
      <c r="H962" s="15">
        <v>4.5999999999999996</v>
      </c>
      <c r="I962" s="15">
        <v>0.7</v>
      </c>
      <c r="J962" s="15">
        <v>4.5250000000000004</v>
      </c>
      <c r="K962" s="15">
        <f t="shared" si="49"/>
        <v>77.454999999999998</v>
      </c>
      <c r="L962" s="15">
        <f t="shared" si="50"/>
        <v>17</v>
      </c>
      <c r="M962" s="15">
        <f t="shared" si="51"/>
        <v>4.5561764705882348</v>
      </c>
    </row>
    <row r="963" spans="7:13" x14ac:dyDescent="0.25">
      <c r="G963" s="13">
        <v>40686</v>
      </c>
      <c r="H963" s="15">
        <v>4.5999999999999996</v>
      </c>
      <c r="I963" s="15">
        <v>0.7</v>
      </c>
      <c r="J963" s="15">
        <v>4.5250000000000004</v>
      </c>
      <c r="K963" s="15">
        <f t="shared" si="49"/>
        <v>72.929999999999993</v>
      </c>
      <c r="L963" s="15">
        <f t="shared" si="50"/>
        <v>16</v>
      </c>
      <c r="M963" s="15">
        <f t="shared" si="51"/>
        <v>4.5581249999999995</v>
      </c>
    </row>
    <row r="964" spans="7:13" x14ac:dyDescent="0.25">
      <c r="G964" s="13">
        <v>40683</v>
      </c>
      <c r="H964" s="15">
        <v>4.5999999999999996</v>
      </c>
      <c r="I964" s="15">
        <v>0.7</v>
      </c>
      <c r="J964" s="15">
        <v>4.5250000000000004</v>
      </c>
      <c r="K964" s="15">
        <f t="shared" ref="K964:K1027" si="52">IF(MONTH(G964)=MONTH(G965),J964+K965,J964)</f>
        <v>68.404999999999987</v>
      </c>
      <c r="L964" s="15">
        <f t="shared" ref="L964:L1027" si="53">IF(MONTH(G964)=MONTH(G965),L965+1,1)</f>
        <v>15</v>
      </c>
      <c r="M964" s="15">
        <f t="shared" si="51"/>
        <v>4.5603333333333325</v>
      </c>
    </row>
    <row r="965" spans="7:13" x14ac:dyDescent="0.25">
      <c r="G965" s="13">
        <v>40682</v>
      </c>
      <c r="H965" s="15">
        <v>4.5999999999999996</v>
      </c>
      <c r="I965" s="15">
        <v>0.7</v>
      </c>
      <c r="J965" s="15">
        <v>4.5250000000000004</v>
      </c>
      <c r="K965" s="15">
        <f t="shared" si="52"/>
        <v>63.879999999999988</v>
      </c>
      <c r="L965" s="15">
        <f t="shared" si="53"/>
        <v>14</v>
      </c>
      <c r="M965" s="15">
        <f t="shared" ref="M965:M1028" si="54">K965/L965</f>
        <v>4.5628571428571423</v>
      </c>
    </row>
    <row r="966" spans="7:13" x14ac:dyDescent="0.25">
      <c r="G966" s="13">
        <v>40681</v>
      </c>
      <c r="H966" s="15">
        <v>4.6100000000000003</v>
      </c>
      <c r="I966" s="15">
        <v>0.7</v>
      </c>
      <c r="J966" s="15">
        <v>4.5350000000000001</v>
      </c>
      <c r="K966" s="15">
        <f t="shared" si="52"/>
        <v>59.35499999999999</v>
      </c>
      <c r="L966" s="15">
        <f t="shared" si="53"/>
        <v>13</v>
      </c>
      <c r="M966" s="15">
        <f t="shared" si="54"/>
        <v>4.5657692307692299</v>
      </c>
    </row>
    <row r="967" spans="7:13" x14ac:dyDescent="0.25">
      <c r="G967" s="13">
        <v>40680</v>
      </c>
      <c r="H967" s="15">
        <v>4.6100000000000003</v>
      </c>
      <c r="I967" s="15">
        <v>0.7</v>
      </c>
      <c r="J967" s="15">
        <v>4.5350000000000001</v>
      </c>
      <c r="K967" s="15">
        <f t="shared" si="52"/>
        <v>54.819999999999993</v>
      </c>
      <c r="L967" s="15">
        <f t="shared" si="53"/>
        <v>12</v>
      </c>
      <c r="M967" s="15">
        <f t="shared" si="54"/>
        <v>4.5683333333333325</v>
      </c>
    </row>
    <row r="968" spans="7:13" x14ac:dyDescent="0.25">
      <c r="G968" s="13">
        <v>40679</v>
      </c>
      <c r="H968" s="15">
        <v>4.6100000000000003</v>
      </c>
      <c r="I968" s="15">
        <v>0.7</v>
      </c>
      <c r="J968" s="15">
        <v>4.5350000000000001</v>
      </c>
      <c r="K968" s="15">
        <f t="shared" si="52"/>
        <v>50.284999999999997</v>
      </c>
      <c r="L968" s="15">
        <f t="shared" si="53"/>
        <v>11</v>
      </c>
      <c r="M968" s="15">
        <f t="shared" si="54"/>
        <v>4.5713636363636363</v>
      </c>
    </row>
    <row r="969" spans="7:13" x14ac:dyDescent="0.25">
      <c r="G969" s="13">
        <v>40676</v>
      </c>
      <c r="H969" s="15">
        <v>4.6100000000000003</v>
      </c>
      <c r="I969" s="15">
        <v>0.7</v>
      </c>
      <c r="J969" s="15">
        <v>4.5350000000000001</v>
      </c>
      <c r="K969" s="15">
        <f t="shared" si="52"/>
        <v>45.75</v>
      </c>
      <c r="L969" s="15">
        <f t="shared" si="53"/>
        <v>10</v>
      </c>
      <c r="M969" s="15">
        <f t="shared" si="54"/>
        <v>4.5750000000000002</v>
      </c>
    </row>
    <row r="970" spans="7:13" x14ac:dyDescent="0.25">
      <c r="G970" s="13">
        <v>40675</v>
      </c>
      <c r="H970" s="15">
        <v>4.6100000000000003</v>
      </c>
      <c r="I970" s="15">
        <v>0.7</v>
      </c>
      <c r="J970" s="15">
        <v>4.5350000000000001</v>
      </c>
      <c r="K970" s="15">
        <f t="shared" si="52"/>
        <v>41.215000000000003</v>
      </c>
      <c r="L970" s="15">
        <f t="shared" si="53"/>
        <v>9</v>
      </c>
      <c r="M970" s="15">
        <f t="shared" si="54"/>
        <v>4.5794444444444444</v>
      </c>
    </row>
    <row r="971" spans="7:13" x14ac:dyDescent="0.25">
      <c r="G971" s="13">
        <v>40674</v>
      </c>
      <c r="H971" s="15">
        <v>4.63</v>
      </c>
      <c r="I971" s="15">
        <v>0.7</v>
      </c>
      <c r="J971" s="15">
        <v>4.5549999999999997</v>
      </c>
      <c r="K971" s="15">
        <f t="shared" si="52"/>
        <v>36.68</v>
      </c>
      <c r="L971" s="15">
        <f t="shared" si="53"/>
        <v>8</v>
      </c>
      <c r="M971" s="15">
        <f t="shared" si="54"/>
        <v>4.585</v>
      </c>
    </row>
    <row r="972" spans="7:13" x14ac:dyDescent="0.25">
      <c r="G972" s="13">
        <v>40673</v>
      </c>
      <c r="H972" s="15">
        <v>4.63</v>
      </c>
      <c r="I972" s="15">
        <v>0.7</v>
      </c>
      <c r="J972" s="15">
        <v>4.5549999999999997</v>
      </c>
      <c r="K972" s="15">
        <f t="shared" si="52"/>
        <v>32.125</v>
      </c>
      <c r="L972" s="15">
        <f t="shared" si="53"/>
        <v>7</v>
      </c>
      <c r="M972" s="15">
        <f t="shared" si="54"/>
        <v>4.5892857142857144</v>
      </c>
    </row>
    <row r="973" spans="7:13" x14ac:dyDescent="0.25">
      <c r="G973" s="13">
        <v>40672</v>
      </c>
      <c r="H973" s="15">
        <v>4.63</v>
      </c>
      <c r="I973" s="15">
        <v>0.7</v>
      </c>
      <c r="J973" s="15">
        <v>4.5549999999999997</v>
      </c>
      <c r="K973" s="15">
        <f t="shared" si="52"/>
        <v>27.57</v>
      </c>
      <c r="L973" s="15">
        <f t="shared" si="53"/>
        <v>6</v>
      </c>
      <c r="M973" s="15">
        <f t="shared" si="54"/>
        <v>4.5949999999999998</v>
      </c>
    </row>
    <row r="974" spans="7:13" x14ac:dyDescent="0.25">
      <c r="G974" s="13">
        <v>40669</v>
      </c>
      <c r="H974" s="15">
        <v>4.63</v>
      </c>
      <c r="I974" s="15">
        <v>0.7</v>
      </c>
      <c r="J974" s="15">
        <v>4.5549999999999997</v>
      </c>
      <c r="K974" s="15">
        <f t="shared" si="52"/>
        <v>23.015000000000001</v>
      </c>
      <c r="L974" s="15">
        <f t="shared" si="53"/>
        <v>5</v>
      </c>
      <c r="M974" s="15">
        <f t="shared" si="54"/>
        <v>4.6029999999999998</v>
      </c>
    </row>
    <row r="975" spans="7:13" x14ac:dyDescent="0.25">
      <c r="G975" s="13">
        <v>40668</v>
      </c>
      <c r="H975" s="15">
        <v>4.63</v>
      </c>
      <c r="I975" s="15">
        <v>0.7</v>
      </c>
      <c r="J975" s="15">
        <v>4.5549999999999997</v>
      </c>
      <c r="K975" s="15">
        <f t="shared" si="52"/>
        <v>18.46</v>
      </c>
      <c r="L975" s="15">
        <f t="shared" si="53"/>
        <v>4</v>
      </c>
      <c r="M975" s="15">
        <f t="shared" si="54"/>
        <v>4.6150000000000002</v>
      </c>
    </row>
    <row r="976" spans="7:13" x14ac:dyDescent="0.25">
      <c r="G976" s="13">
        <v>40667</v>
      </c>
      <c r="H976" s="15">
        <v>4.71</v>
      </c>
      <c r="I976" s="15">
        <v>0.7</v>
      </c>
      <c r="J976" s="15">
        <v>4.6349999999999998</v>
      </c>
      <c r="K976" s="15">
        <f t="shared" si="52"/>
        <v>13.904999999999999</v>
      </c>
      <c r="L976" s="15">
        <f t="shared" si="53"/>
        <v>3</v>
      </c>
      <c r="M976" s="15">
        <f t="shared" si="54"/>
        <v>4.6349999999999998</v>
      </c>
    </row>
    <row r="977" spans="7:13" x14ac:dyDescent="0.25">
      <c r="G977" s="13">
        <v>40666</v>
      </c>
      <c r="H977" s="15">
        <v>4.71</v>
      </c>
      <c r="I977" s="15">
        <v>0.7</v>
      </c>
      <c r="J977" s="15">
        <v>4.6349999999999998</v>
      </c>
      <c r="K977" s="15">
        <f t="shared" si="52"/>
        <v>9.27</v>
      </c>
      <c r="L977" s="15">
        <f t="shared" si="53"/>
        <v>2</v>
      </c>
      <c r="M977" s="15">
        <f t="shared" si="54"/>
        <v>4.6349999999999998</v>
      </c>
    </row>
    <row r="978" spans="7:13" x14ac:dyDescent="0.25">
      <c r="G978" s="13">
        <v>40665</v>
      </c>
      <c r="H978" s="15">
        <v>4.71</v>
      </c>
      <c r="I978" s="15">
        <v>0.7</v>
      </c>
      <c r="J978" s="15">
        <v>4.6349999999999998</v>
      </c>
      <c r="K978" s="15">
        <f t="shared" si="52"/>
        <v>4.6349999999999998</v>
      </c>
      <c r="L978" s="15">
        <f t="shared" si="53"/>
        <v>1</v>
      </c>
      <c r="M978" s="15">
        <f t="shared" si="54"/>
        <v>4.6349999999999998</v>
      </c>
    </row>
    <row r="979" spans="7:13" x14ac:dyDescent="0.25">
      <c r="G979" s="13">
        <v>40662</v>
      </c>
      <c r="H979" s="15">
        <v>4.71</v>
      </c>
      <c r="I979" s="15">
        <v>0.7</v>
      </c>
      <c r="J979" s="15">
        <v>4.6349999999999998</v>
      </c>
      <c r="K979" s="15">
        <f t="shared" si="52"/>
        <v>94.945000000000007</v>
      </c>
      <c r="L979" s="15">
        <f t="shared" si="53"/>
        <v>20</v>
      </c>
      <c r="M979" s="15">
        <f t="shared" si="54"/>
        <v>4.7472500000000002</v>
      </c>
    </row>
    <row r="980" spans="7:13" x14ac:dyDescent="0.25">
      <c r="G980" s="13">
        <v>40661</v>
      </c>
      <c r="H980" s="15">
        <v>4.71</v>
      </c>
      <c r="I980" s="15">
        <v>0.7</v>
      </c>
      <c r="J980" s="15">
        <v>4.6349999999999998</v>
      </c>
      <c r="K980" s="15">
        <f t="shared" si="52"/>
        <v>90.31</v>
      </c>
      <c r="L980" s="15">
        <f t="shared" si="53"/>
        <v>19</v>
      </c>
      <c r="M980" s="15">
        <f t="shared" si="54"/>
        <v>4.7531578947368418</v>
      </c>
    </row>
    <row r="981" spans="7:13" x14ac:dyDescent="0.25">
      <c r="G981" s="13">
        <v>40660</v>
      </c>
      <c r="H981" s="15">
        <v>4.78</v>
      </c>
      <c r="I981" s="15">
        <v>0.7</v>
      </c>
      <c r="J981" s="15">
        <v>4.7050000000000001</v>
      </c>
      <c r="K981" s="15">
        <f t="shared" si="52"/>
        <v>85.674999999999997</v>
      </c>
      <c r="L981" s="15">
        <f t="shared" si="53"/>
        <v>18</v>
      </c>
      <c r="M981" s="15">
        <f t="shared" si="54"/>
        <v>4.759722222222222</v>
      </c>
    </row>
    <row r="982" spans="7:13" x14ac:dyDescent="0.25">
      <c r="G982" s="13">
        <v>40659</v>
      </c>
      <c r="H982" s="15">
        <v>4.78</v>
      </c>
      <c r="I982" s="15">
        <v>0.7</v>
      </c>
      <c r="J982" s="15">
        <v>4.7050000000000001</v>
      </c>
      <c r="K982" s="15">
        <f t="shared" si="52"/>
        <v>80.97</v>
      </c>
      <c r="L982" s="15">
        <f t="shared" si="53"/>
        <v>17</v>
      </c>
      <c r="M982" s="15">
        <f t="shared" si="54"/>
        <v>4.762941176470588</v>
      </c>
    </row>
    <row r="983" spans="7:13" x14ac:dyDescent="0.25">
      <c r="G983" s="13">
        <v>40658</v>
      </c>
      <c r="H983" s="15">
        <v>4.78</v>
      </c>
      <c r="I983" s="15">
        <v>0.7</v>
      </c>
      <c r="J983" s="15">
        <v>4.7050000000000001</v>
      </c>
      <c r="K983" s="15">
        <f t="shared" si="52"/>
        <v>76.265000000000001</v>
      </c>
      <c r="L983" s="15">
        <f t="shared" si="53"/>
        <v>16</v>
      </c>
      <c r="M983" s="15">
        <f t="shared" si="54"/>
        <v>4.7665625</v>
      </c>
    </row>
    <row r="984" spans="7:13" x14ac:dyDescent="0.25">
      <c r="G984" s="13">
        <v>40654</v>
      </c>
      <c r="H984" s="15">
        <v>4.78</v>
      </c>
      <c r="I984" s="15">
        <v>0.7</v>
      </c>
      <c r="J984" s="15">
        <v>4.7050000000000001</v>
      </c>
      <c r="K984" s="15">
        <f t="shared" si="52"/>
        <v>71.56</v>
      </c>
      <c r="L984" s="15">
        <f t="shared" si="53"/>
        <v>15</v>
      </c>
      <c r="M984" s="15">
        <f t="shared" si="54"/>
        <v>4.7706666666666671</v>
      </c>
    </row>
    <row r="985" spans="7:13" x14ac:dyDescent="0.25">
      <c r="G985" s="13">
        <v>40653</v>
      </c>
      <c r="H985" s="15">
        <v>4.8</v>
      </c>
      <c r="I985" s="15">
        <v>0.7</v>
      </c>
      <c r="J985" s="15">
        <v>4.7249999999999996</v>
      </c>
      <c r="K985" s="15">
        <f t="shared" si="52"/>
        <v>66.855000000000004</v>
      </c>
      <c r="L985" s="15">
        <f t="shared" si="53"/>
        <v>14</v>
      </c>
      <c r="M985" s="15">
        <f t="shared" si="54"/>
        <v>4.7753571428571435</v>
      </c>
    </row>
    <row r="986" spans="7:13" x14ac:dyDescent="0.25">
      <c r="G986" s="13">
        <v>40652</v>
      </c>
      <c r="H986" s="15">
        <v>4.8</v>
      </c>
      <c r="I986" s="15">
        <v>0.7</v>
      </c>
      <c r="J986" s="15">
        <v>4.7249999999999996</v>
      </c>
      <c r="K986" s="15">
        <f t="shared" si="52"/>
        <v>62.13000000000001</v>
      </c>
      <c r="L986" s="15">
        <f t="shared" si="53"/>
        <v>13</v>
      </c>
      <c r="M986" s="15">
        <f t="shared" si="54"/>
        <v>4.7792307692307698</v>
      </c>
    </row>
    <row r="987" spans="7:13" x14ac:dyDescent="0.25">
      <c r="G987" s="13">
        <v>40651</v>
      </c>
      <c r="H987" s="15">
        <v>4.8</v>
      </c>
      <c r="I987" s="15">
        <v>0.7</v>
      </c>
      <c r="J987" s="15">
        <v>4.7249999999999996</v>
      </c>
      <c r="K987" s="15">
        <f t="shared" si="52"/>
        <v>57.405000000000008</v>
      </c>
      <c r="L987" s="15">
        <f t="shared" si="53"/>
        <v>12</v>
      </c>
      <c r="M987" s="15">
        <f t="shared" si="54"/>
        <v>4.7837500000000004</v>
      </c>
    </row>
    <row r="988" spans="7:13" x14ac:dyDescent="0.25">
      <c r="G988" s="13">
        <v>40648</v>
      </c>
      <c r="H988" s="15">
        <v>4.8</v>
      </c>
      <c r="I988" s="15">
        <v>0.7</v>
      </c>
      <c r="J988" s="15">
        <v>4.7249999999999996</v>
      </c>
      <c r="K988" s="15">
        <f t="shared" si="52"/>
        <v>52.680000000000007</v>
      </c>
      <c r="L988" s="15">
        <f t="shared" si="53"/>
        <v>11</v>
      </c>
      <c r="M988" s="15">
        <f t="shared" si="54"/>
        <v>4.78909090909091</v>
      </c>
    </row>
    <row r="989" spans="7:13" x14ac:dyDescent="0.25">
      <c r="G989" s="13">
        <v>40647</v>
      </c>
      <c r="H989" s="15">
        <v>4.8</v>
      </c>
      <c r="I989" s="15">
        <v>0.7</v>
      </c>
      <c r="J989" s="15">
        <v>4.7249999999999996</v>
      </c>
      <c r="K989" s="15">
        <f t="shared" si="52"/>
        <v>47.955000000000005</v>
      </c>
      <c r="L989" s="15">
        <f t="shared" si="53"/>
        <v>10</v>
      </c>
      <c r="M989" s="15">
        <f t="shared" si="54"/>
        <v>4.7955000000000005</v>
      </c>
    </row>
    <row r="990" spans="7:13" x14ac:dyDescent="0.25">
      <c r="G990" s="13">
        <v>40646</v>
      </c>
      <c r="H990" s="15">
        <v>4.91</v>
      </c>
      <c r="I990" s="15">
        <v>0.6</v>
      </c>
      <c r="J990" s="15">
        <v>4.8099999999999996</v>
      </c>
      <c r="K990" s="15">
        <f t="shared" si="52"/>
        <v>43.230000000000004</v>
      </c>
      <c r="L990" s="15">
        <f t="shared" si="53"/>
        <v>9</v>
      </c>
      <c r="M990" s="15">
        <f t="shared" si="54"/>
        <v>4.8033333333333337</v>
      </c>
    </row>
    <row r="991" spans="7:13" x14ac:dyDescent="0.25">
      <c r="G991" s="13">
        <v>40645</v>
      </c>
      <c r="H991" s="15">
        <v>4.91</v>
      </c>
      <c r="I991" s="15">
        <v>0.6</v>
      </c>
      <c r="J991" s="15">
        <v>4.8099999999999996</v>
      </c>
      <c r="K991" s="15">
        <f t="shared" si="52"/>
        <v>38.42</v>
      </c>
      <c r="L991" s="15">
        <f t="shared" si="53"/>
        <v>8</v>
      </c>
      <c r="M991" s="15">
        <f t="shared" si="54"/>
        <v>4.8025000000000002</v>
      </c>
    </row>
    <row r="992" spans="7:13" x14ac:dyDescent="0.25">
      <c r="G992" s="13">
        <v>40644</v>
      </c>
      <c r="H992" s="15">
        <v>4.91</v>
      </c>
      <c r="I992" s="15">
        <v>0.6</v>
      </c>
      <c r="J992" s="15">
        <v>4.8099999999999996</v>
      </c>
      <c r="K992" s="15">
        <f t="shared" si="52"/>
        <v>33.61</v>
      </c>
      <c r="L992" s="15">
        <f t="shared" si="53"/>
        <v>7</v>
      </c>
      <c r="M992" s="15">
        <f t="shared" si="54"/>
        <v>4.8014285714285716</v>
      </c>
    </row>
    <row r="993" spans="7:13" x14ac:dyDescent="0.25">
      <c r="G993" s="13">
        <v>40641</v>
      </c>
      <c r="H993" s="15">
        <v>4.91</v>
      </c>
      <c r="I993" s="15">
        <v>0.6</v>
      </c>
      <c r="J993" s="15">
        <v>4.8099999999999996</v>
      </c>
      <c r="K993" s="15">
        <f t="shared" si="52"/>
        <v>28.799999999999997</v>
      </c>
      <c r="L993" s="15">
        <f t="shared" si="53"/>
        <v>6</v>
      </c>
      <c r="M993" s="15">
        <f t="shared" si="54"/>
        <v>4.8</v>
      </c>
    </row>
    <row r="994" spans="7:13" x14ac:dyDescent="0.25">
      <c r="G994" s="13">
        <v>40640</v>
      </c>
      <c r="H994" s="15">
        <v>4.91</v>
      </c>
      <c r="I994" s="15">
        <v>0.6</v>
      </c>
      <c r="J994" s="15">
        <v>4.8099999999999996</v>
      </c>
      <c r="K994" s="15">
        <f t="shared" si="52"/>
        <v>23.99</v>
      </c>
      <c r="L994" s="15">
        <f t="shared" si="53"/>
        <v>5</v>
      </c>
      <c r="M994" s="15">
        <f t="shared" si="54"/>
        <v>4.798</v>
      </c>
    </row>
    <row r="995" spans="7:13" x14ac:dyDescent="0.25">
      <c r="G995" s="13">
        <v>40639</v>
      </c>
      <c r="H995" s="15">
        <v>4.87</v>
      </c>
      <c r="I995" s="15">
        <v>0.7</v>
      </c>
      <c r="J995" s="15">
        <v>4.7949999999999999</v>
      </c>
      <c r="K995" s="15">
        <f t="shared" si="52"/>
        <v>19.18</v>
      </c>
      <c r="L995" s="15">
        <f t="shared" si="53"/>
        <v>4</v>
      </c>
      <c r="M995" s="15">
        <f t="shared" si="54"/>
        <v>4.7949999999999999</v>
      </c>
    </row>
    <row r="996" spans="7:13" x14ac:dyDescent="0.25">
      <c r="G996" s="13">
        <v>40638</v>
      </c>
      <c r="H996" s="15">
        <v>4.87</v>
      </c>
      <c r="I996" s="15">
        <v>0.7</v>
      </c>
      <c r="J996" s="15">
        <v>4.7949999999999999</v>
      </c>
      <c r="K996" s="15">
        <f t="shared" si="52"/>
        <v>14.385</v>
      </c>
      <c r="L996" s="15">
        <f t="shared" si="53"/>
        <v>3</v>
      </c>
      <c r="M996" s="15">
        <f t="shared" si="54"/>
        <v>4.7949999999999999</v>
      </c>
    </row>
    <row r="997" spans="7:13" x14ac:dyDescent="0.25">
      <c r="G997" s="13">
        <v>40637</v>
      </c>
      <c r="H997" s="15">
        <v>4.87</v>
      </c>
      <c r="I997" s="15">
        <v>0.7</v>
      </c>
      <c r="J997" s="15">
        <v>4.7949999999999999</v>
      </c>
      <c r="K997" s="15">
        <f t="shared" si="52"/>
        <v>9.59</v>
      </c>
      <c r="L997" s="15">
        <f t="shared" si="53"/>
        <v>2</v>
      </c>
      <c r="M997" s="15">
        <f t="shared" si="54"/>
        <v>4.7949999999999999</v>
      </c>
    </row>
    <row r="998" spans="7:13" x14ac:dyDescent="0.25">
      <c r="G998" s="13">
        <v>40634</v>
      </c>
      <c r="H998" s="15">
        <v>4.87</v>
      </c>
      <c r="I998" s="15">
        <v>0.7</v>
      </c>
      <c r="J998" s="15">
        <v>4.7949999999999999</v>
      </c>
      <c r="K998" s="15">
        <f t="shared" si="52"/>
        <v>4.7949999999999999</v>
      </c>
      <c r="L998" s="15">
        <f t="shared" si="53"/>
        <v>1</v>
      </c>
      <c r="M998" s="15">
        <f t="shared" si="54"/>
        <v>4.7949999999999999</v>
      </c>
    </row>
    <row r="999" spans="7:13" x14ac:dyDescent="0.25">
      <c r="G999" s="13">
        <v>40633</v>
      </c>
      <c r="H999" s="15">
        <v>4.87</v>
      </c>
      <c r="I999" s="15">
        <v>0.7</v>
      </c>
      <c r="J999" s="15">
        <v>4.7949999999999999</v>
      </c>
      <c r="K999" s="15">
        <f t="shared" si="52"/>
        <v>109.43499999999999</v>
      </c>
      <c r="L999" s="15">
        <f t="shared" si="53"/>
        <v>23</v>
      </c>
      <c r="M999" s="15">
        <f t="shared" si="54"/>
        <v>4.7580434782608689</v>
      </c>
    </row>
    <row r="1000" spans="7:13" x14ac:dyDescent="0.25">
      <c r="G1000" s="13">
        <v>40632</v>
      </c>
      <c r="H1000" s="15">
        <v>4.8600000000000003</v>
      </c>
      <c r="I1000" s="15">
        <v>0.7</v>
      </c>
      <c r="J1000" s="15">
        <v>4.7850000000000001</v>
      </c>
      <c r="K1000" s="15">
        <f t="shared" si="52"/>
        <v>104.63999999999999</v>
      </c>
      <c r="L1000" s="15">
        <f t="shared" si="53"/>
        <v>22</v>
      </c>
      <c r="M1000" s="15">
        <f t="shared" si="54"/>
        <v>4.7563636363636359</v>
      </c>
    </row>
    <row r="1001" spans="7:13" x14ac:dyDescent="0.25">
      <c r="G1001" s="13">
        <v>40631</v>
      </c>
      <c r="H1001" s="15">
        <v>4.8600000000000003</v>
      </c>
      <c r="I1001" s="15">
        <v>0.7</v>
      </c>
      <c r="J1001" s="15">
        <v>4.7850000000000001</v>
      </c>
      <c r="K1001" s="15">
        <f t="shared" si="52"/>
        <v>99.85499999999999</v>
      </c>
      <c r="L1001" s="15">
        <f t="shared" si="53"/>
        <v>21</v>
      </c>
      <c r="M1001" s="15">
        <f t="shared" si="54"/>
        <v>4.7549999999999999</v>
      </c>
    </row>
    <row r="1002" spans="7:13" x14ac:dyDescent="0.25">
      <c r="G1002" s="13">
        <v>40630</v>
      </c>
      <c r="H1002" s="15">
        <v>4.8600000000000003</v>
      </c>
      <c r="I1002" s="15">
        <v>0.7</v>
      </c>
      <c r="J1002" s="15">
        <v>4.7850000000000001</v>
      </c>
      <c r="K1002" s="15">
        <f t="shared" si="52"/>
        <v>95.07</v>
      </c>
      <c r="L1002" s="15">
        <f t="shared" si="53"/>
        <v>20</v>
      </c>
      <c r="M1002" s="15">
        <f t="shared" si="54"/>
        <v>4.7534999999999998</v>
      </c>
    </row>
    <row r="1003" spans="7:13" x14ac:dyDescent="0.25">
      <c r="G1003" s="13">
        <v>40627</v>
      </c>
      <c r="H1003" s="15">
        <v>4.8600000000000003</v>
      </c>
      <c r="I1003" s="15">
        <v>0.7</v>
      </c>
      <c r="J1003" s="15">
        <v>4.7850000000000001</v>
      </c>
      <c r="K1003" s="15">
        <f t="shared" si="52"/>
        <v>90.284999999999997</v>
      </c>
      <c r="L1003" s="15">
        <f t="shared" si="53"/>
        <v>19</v>
      </c>
      <c r="M1003" s="15">
        <f t="shared" si="54"/>
        <v>4.7518421052631581</v>
      </c>
    </row>
    <row r="1004" spans="7:13" x14ac:dyDescent="0.25">
      <c r="G1004" s="13">
        <v>40626</v>
      </c>
      <c r="H1004" s="15">
        <v>4.8600000000000003</v>
      </c>
      <c r="I1004" s="15">
        <v>0.7</v>
      </c>
      <c r="J1004" s="15">
        <v>4.7850000000000001</v>
      </c>
      <c r="K1004" s="15">
        <f t="shared" si="52"/>
        <v>85.5</v>
      </c>
      <c r="L1004" s="15">
        <f t="shared" si="53"/>
        <v>18</v>
      </c>
      <c r="M1004" s="15">
        <f t="shared" si="54"/>
        <v>4.75</v>
      </c>
    </row>
    <row r="1005" spans="7:13" x14ac:dyDescent="0.25">
      <c r="G1005" s="13">
        <v>40625</v>
      </c>
      <c r="H1005" s="15">
        <v>4.8099999999999996</v>
      </c>
      <c r="I1005" s="15">
        <v>0.7</v>
      </c>
      <c r="J1005" s="15">
        <v>4.7350000000000003</v>
      </c>
      <c r="K1005" s="15">
        <f t="shared" si="52"/>
        <v>80.715000000000003</v>
      </c>
      <c r="L1005" s="15">
        <f t="shared" si="53"/>
        <v>17</v>
      </c>
      <c r="M1005" s="15">
        <f t="shared" si="54"/>
        <v>4.7479411764705883</v>
      </c>
    </row>
    <row r="1006" spans="7:13" x14ac:dyDescent="0.25">
      <c r="G1006" s="13">
        <v>40624</v>
      </c>
      <c r="H1006" s="15">
        <v>4.8099999999999996</v>
      </c>
      <c r="I1006" s="15">
        <v>0.7</v>
      </c>
      <c r="J1006" s="15">
        <v>4.7350000000000003</v>
      </c>
      <c r="K1006" s="15">
        <f t="shared" si="52"/>
        <v>75.98</v>
      </c>
      <c r="L1006" s="15">
        <f t="shared" si="53"/>
        <v>16</v>
      </c>
      <c r="M1006" s="15">
        <f t="shared" si="54"/>
        <v>4.7487500000000002</v>
      </c>
    </row>
    <row r="1007" spans="7:13" x14ac:dyDescent="0.25">
      <c r="G1007" s="13">
        <v>40623</v>
      </c>
      <c r="H1007" s="15">
        <v>4.8099999999999996</v>
      </c>
      <c r="I1007" s="15">
        <v>0.7</v>
      </c>
      <c r="J1007" s="15">
        <v>4.7350000000000003</v>
      </c>
      <c r="K1007" s="15">
        <f t="shared" si="52"/>
        <v>71.245000000000005</v>
      </c>
      <c r="L1007" s="15">
        <f t="shared" si="53"/>
        <v>15</v>
      </c>
      <c r="M1007" s="15">
        <f t="shared" si="54"/>
        <v>4.7496666666666671</v>
      </c>
    </row>
    <row r="1008" spans="7:13" x14ac:dyDescent="0.25">
      <c r="G1008" s="13">
        <v>40620</v>
      </c>
      <c r="H1008" s="15">
        <v>4.8099999999999996</v>
      </c>
      <c r="I1008" s="15">
        <v>0.7</v>
      </c>
      <c r="J1008" s="15">
        <v>4.7350000000000003</v>
      </c>
      <c r="K1008" s="15">
        <f t="shared" si="52"/>
        <v>66.510000000000005</v>
      </c>
      <c r="L1008" s="15">
        <f t="shared" si="53"/>
        <v>14</v>
      </c>
      <c r="M1008" s="15">
        <f t="shared" si="54"/>
        <v>4.7507142857142863</v>
      </c>
    </row>
    <row r="1009" spans="7:13" x14ac:dyDescent="0.25">
      <c r="G1009" s="13">
        <v>40619</v>
      </c>
      <c r="H1009" s="15">
        <v>4.8099999999999996</v>
      </c>
      <c r="I1009" s="15">
        <v>0.7</v>
      </c>
      <c r="J1009" s="15">
        <v>4.7350000000000003</v>
      </c>
      <c r="K1009" s="15">
        <f t="shared" si="52"/>
        <v>61.775000000000006</v>
      </c>
      <c r="L1009" s="15">
        <f t="shared" si="53"/>
        <v>13</v>
      </c>
      <c r="M1009" s="15">
        <f t="shared" si="54"/>
        <v>4.7519230769230774</v>
      </c>
    </row>
    <row r="1010" spans="7:13" x14ac:dyDescent="0.25">
      <c r="G1010" s="13">
        <v>40618</v>
      </c>
      <c r="H1010" s="15">
        <v>4.76</v>
      </c>
      <c r="I1010" s="15">
        <v>0.7</v>
      </c>
      <c r="J1010" s="15">
        <v>4.6849999999999996</v>
      </c>
      <c r="K1010" s="15">
        <f t="shared" si="52"/>
        <v>57.040000000000006</v>
      </c>
      <c r="L1010" s="15">
        <f t="shared" si="53"/>
        <v>12</v>
      </c>
      <c r="M1010" s="15">
        <f t="shared" si="54"/>
        <v>4.7533333333333339</v>
      </c>
    </row>
    <row r="1011" spans="7:13" x14ac:dyDescent="0.25">
      <c r="G1011" s="13">
        <v>40617</v>
      </c>
      <c r="H1011" s="15">
        <v>4.76</v>
      </c>
      <c r="I1011" s="15">
        <v>0.7</v>
      </c>
      <c r="J1011" s="15">
        <v>4.6849999999999996</v>
      </c>
      <c r="K1011" s="15">
        <f t="shared" si="52"/>
        <v>52.355000000000004</v>
      </c>
      <c r="L1011" s="15">
        <f t="shared" si="53"/>
        <v>11</v>
      </c>
      <c r="M1011" s="15">
        <f t="shared" si="54"/>
        <v>4.7595454545454547</v>
      </c>
    </row>
    <row r="1012" spans="7:13" x14ac:dyDescent="0.25">
      <c r="G1012" s="13">
        <v>40616</v>
      </c>
      <c r="H1012" s="15">
        <v>4.76</v>
      </c>
      <c r="I1012" s="15">
        <v>0.7</v>
      </c>
      <c r="J1012" s="15">
        <v>4.6849999999999996</v>
      </c>
      <c r="K1012" s="15">
        <f t="shared" si="52"/>
        <v>47.67</v>
      </c>
      <c r="L1012" s="15">
        <f t="shared" si="53"/>
        <v>10</v>
      </c>
      <c r="M1012" s="15">
        <f t="shared" si="54"/>
        <v>4.7670000000000003</v>
      </c>
    </row>
    <row r="1013" spans="7:13" x14ac:dyDescent="0.25">
      <c r="G1013" s="13">
        <v>40613</v>
      </c>
      <c r="H1013" s="15">
        <v>4.76</v>
      </c>
      <c r="I1013" s="15">
        <v>0.7</v>
      </c>
      <c r="J1013" s="15">
        <v>4.6849999999999996</v>
      </c>
      <c r="K1013" s="15">
        <f t="shared" si="52"/>
        <v>42.984999999999999</v>
      </c>
      <c r="L1013" s="15">
        <f t="shared" si="53"/>
        <v>9</v>
      </c>
      <c r="M1013" s="15">
        <f t="shared" si="54"/>
        <v>4.7761111111111108</v>
      </c>
    </row>
    <row r="1014" spans="7:13" x14ac:dyDescent="0.25">
      <c r="G1014" s="13">
        <v>40612</v>
      </c>
      <c r="H1014" s="15">
        <v>4.76</v>
      </c>
      <c r="I1014" s="15">
        <v>0.7</v>
      </c>
      <c r="J1014" s="15">
        <v>4.6849999999999996</v>
      </c>
      <c r="K1014" s="15">
        <f t="shared" si="52"/>
        <v>38.299999999999997</v>
      </c>
      <c r="L1014" s="15">
        <f t="shared" si="53"/>
        <v>8</v>
      </c>
      <c r="M1014" s="15">
        <f t="shared" si="54"/>
        <v>4.7874999999999996</v>
      </c>
    </row>
    <row r="1015" spans="7:13" x14ac:dyDescent="0.25">
      <c r="G1015" s="13">
        <v>40611</v>
      </c>
      <c r="H1015" s="15">
        <v>4.88</v>
      </c>
      <c r="I1015" s="15">
        <v>0.7</v>
      </c>
      <c r="J1015" s="15">
        <v>4.8049999999999997</v>
      </c>
      <c r="K1015" s="15">
        <f t="shared" si="52"/>
        <v>33.614999999999995</v>
      </c>
      <c r="L1015" s="15">
        <f t="shared" si="53"/>
        <v>7</v>
      </c>
      <c r="M1015" s="15">
        <f t="shared" si="54"/>
        <v>4.8021428571428562</v>
      </c>
    </row>
    <row r="1016" spans="7:13" x14ac:dyDescent="0.25">
      <c r="G1016" s="13">
        <v>40610</v>
      </c>
      <c r="H1016" s="15">
        <v>4.88</v>
      </c>
      <c r="I1016" s="15">
        <v>0.7</v>
      </c>
      <c r="J1016" s="15">
        <v>4.8049999999999997</v>
      </c>
      <c r="K1016" s="15">
        <f t="shared" si="52"/>
        <v>28.81</v>
      </c>
      <c r="L1016" s="15">
        <f t="shared" si="53"/>
        <v>6</v>
      </c>
      <c r="M1016" s="15">
        <f t="shared" si="54"/>
        <v>4.8016666666666667</v>
      </c>
    </row>
    <row r="1017" spans="7:13" x14ac:dyDescent="0.25">
      <c r="G1017" s="13">
        <v>40609</v>
      </c>
      <c r="H1017" s="15">
        <v>4.88</v>
      </c>
      <c r="I1017" s="15">
        <v>0.7</v>
      </c>
      <c r="J1017" s="15">
        <v>4.8049999999999997</v>
      </c>
      <c r="K1017" s="15">
        <f t="shared" si="52"/>
        <v>24.004999999999999</v>
      </c>
      <c r="L1017" s="15">
        <f t="shared" si="53"/>
        <v>5</v>
      </c>
      <c r="M1017" s="15">
        <f t="shared" si="54"/>
        <v>4.8010000000000002</v>
      </c>
    </row>
    <row r="1018" spans="7:13" x14ac:dyDescent="0.25">
      <c r="G1018" s="13">
        <v>40606</v>
      </c>
      <c r="H1018" s="15">
        <v>4.88</v>
      </c>
      <c r="I1018" s="15">
        <v>0.7</v>
      </c>
      <c r="J1018" s="15">
        <v>4.8049999999999997</v>
      </c>
      <c r="K1018" s="15">
        <f t="shared" si="52"/>
        <v>19.2</v>
      </c>
      <c r="L1018" s="15">
        <f t="shared" si="53"/>
        <v>4</v>
      </c>
      <c r="M1018" s="15">
        <f t="shared" si="54"/>
        <v>4.8</v>
      </c>
    </row>
    <row r="1019" spans="7:13" x14ac:dyDescent="0.25">
      <c r="G1019" s="13">
        <v>40605</v>
      </c>
      <c r="H1019" s="15">
        <v>4.88</v>
      </c>
      <c r="I1019" s="15">
        <v>0.7</v>
      </c>
      <c r="J1019" s="15">
        <v>4.8049999999999997</v>
      </c>
      <c r="K1019" s="15">
        <f t="shared" si="52"/>
        <v>14.395</v>
      </c>
      <c r="L1019" s="15">
        <f t="shared" si="53"/>
        <v>3</v>
      </c>
      <c r="M1019" s="15">
        <f t="shared" si="54"/>
        <v>4.7983333333333329</v>
      </c>
    </row>
    <row r="1020" spans="7:13" x14ac:dyDescent="0.25">
      <c r="G1020" s="13">
        <v>40604</v>
      </c>
      <c r="H1020" s="15">
        <v>4.87</v>
      </c>
      <c r="I1020" s="15">
        <v>0.7</v>
      </c>
      <c r="J1020" s="15">
        <v>4.7949999999999999</v>
      </c>
      <c r="K1020" s="15">
        <f t="shared" si="52"/>
        <v>9.59</v>
      </c>
      <c r="L1020" s="15">
        <f t="shared" si="53"/>
        <v>2</v>
      </c>
      <c r="M1020" s="15">
        <f t="shared" si="54"/>
        <v>4.7949999999999999</v>
      </c>
    </row>
    <row r="1021" spans="7:13" x14ac:dyDescent="0.25">
      <c r="G1021" s="13">
        <v>40603</v>
      </c>
      <c r="H1021" s="15">
        <v>4.87</v>
      </c>
      <c r="I1021" s="15">
        <v>0.7</v>
      </c>
      <c r="J1021" s="15">
        <v>4.7949999999999999</v>
      </c>
      <c r="K1021" s="15">
        <f t="shared" si="52"/>
        <v>4.7949999999999999</v>
      </c>
      <c r="L1021" s="15">
        <f t="shared" si="53"/>
        <v>1</v>
      </c>
      <c r="M1021" s="15">
        <f t="shared" si="54"/>
        <v>4.7949999999999999</v>
      </c>
    </row>
    <row r="1022" spans="7:13" x14ac:dyDescent="0.25">
      <c r="G1022" s="13">
        <v>40602</v>
      </c>
      <c r="H1022" s="15">
        <v>4.87</v>
      </c>
      <c r="I1022" s="15">
        <v>0.7</v>
      </c>
      <c r="J1022" s="15">
        <v>4.7949999999999999</v>
      </c>
      <c r="K1022" s="15">
        <f t="shared" si="52"/>
        <v>92.804999999999978</v>
      </c>
      <c r="L1022" s="15">
        <f t="shared" si="53"/>
        <v>19</v>
      </c>
      <c r="M1022" s="15">
        <f t="shared" si="54"/>
        <v>4.8844736842105254</v>
      </c>
    </row>
    <row r="1023" spans="7:13" x14ac:dyDescent="0.25">
      <c r="G1023" s="13">
        <v>40599</v>
      </c>
      <c r="H1023" s="15">
        <v>4.87</v>
      </c>
      <c r="I1023" s="15">
        <v>0.7</v>
      </c>
      <c r="J1023" s="15">
        <v>4.7949999999999999</v>
      </c>
      <c r="K1023" s="15">
        <f t="shared" si="52"/>
        <v>88.009999999999977</v>
      </c>
      <c r="L1023" s="15">
        <f t="shared" si="53"/>
        <v>18</v>
      </c>
      <c r="M1023" s="15">
        <f t="shared" si="54"/>
        <v>4.8894444444444431</v>
      </c>
    </row>
    <row r="1024" spans="7:13" x14ac:dyDescent="0.25">
      <c r="G1024" s="13">
        <v>40598</v>
      </c>
      <c r="H1024" s="15">
        <v>4.87</v>
      </c>
      <c r="I1024" s="15">
        <v>0.7</v>
      </c>
      <c r="J1024" s="15">
        <v>4.7949999999999999</v>
      </c>
      <c r="K1024" s="15">
        <f t="shared" si="52"/>
        <v>83.214999999999975</v>
      </c>
      <c r="L1024" s="15">
        <f t="shared" si="53"/>
        <v>17</v>
      </c>
      <c r="M1024" s="15">
        <f t="shared" si="54"/>
        <v>4.8949999999999987</v>
      </c>
    </row>
    <row r="1025" spans="7:13" x14ac:dyDescent="0.25">
      <c r="G1025" s="13">
        <v>40597</v>
      </c>
      <c r="H1025" s="15">
        <v>4.95</v>
      </c>
      <c r="I1025" s="15">
        <v>0.6</v>
      </c>
      <c r="J1025" s="15">
        <v>4.8499999999999996</v>
      </c>
      <c r="K1025" s="15">
        <f t="shared" si="52"/>
        <v>78.419999999999973</v>
      </c>
      <c r="L1025" s="15">
        <f t="shared" si="53"/>
        <v>16</v>
      </c>
      <c r="M1025" s="15">
        <f t="shared" si="54"/>
        <v>4.9012499999999983</v>
      </c>
    </row>
    <row r="1026" spans="7:13" x14ac:dyDescent="0.25">
      <c r="G1026" s="13">
        <v>40596</v>
      </c>
      <c r="H1026" s="15">
        <v>4.95</v>
      </c>
      <c r="I1026" s="15">
        <v>0.6</v>
      </c>
      <c r="J1026" s="15">
        <v>4.8499999999999996</v>
      </c>
      <c r="K1026" s="15">
        <f t="shared" si="52"/>
        <v>73.569999999999979</v>
      </c>
      <c r="L1026" s="15">
        <f t="shared" si="53"/>
        <v>15</v>
      </c>
      <c r="M1026" s="15">
        <f t="shared" si="54"/>
        <v>4.9046666666666656</v>
      </c>
    </row>
    <row r="1027" spans="7:13" x14ac:dyDescent="0.25">
      <c r="G1027" s="13">
        <v>40592</v>
      </c>
      <c r="H1027" s="15">
        <v>4.95</v>
      </c>
      <c r="I1027" s="15">
        <v>0.6</v>
      </c>
      <c r="J1027" s="15">
        <v>4.8499999999999996</v>
      </c>
      <c r="K1027" s="15">
        <f t="shared" si="52"/>
        <v>68.719999999999985</v>
      </c>
      <c r="L1027" s="15">
        <f t="shared" si="53"/>
        <v>14</v>
      </c>
      <c r="M1027" s="15">
        <f t="shared" si="54"/>
        <v>4.9085714285714275</v>
      </c>
    </row>
    <row r="1028" spans="7:13" x14ac:dyDescent="0.25">
      <c r="G1028" s="13">
        <v>40591</v>
      </c>
      <c r="H1028" s="15">
        <v>4.95</v>
      </c>
      <c r="I1028" s="15">
        <v>0.6</v>
      </c>
      <c r="J1028" s="15">
        <v>4.8499999999999996</v>
      </c>
      <c r="K1028" s="15">
        <f t="shared" ref="K1028:K1060" si="55">IF(MONTH(G1028)=MONTH(G1029),J1028+K1029,J1028)</f>
        <v>63.86999999999999</v>
      </c>
      <c r="L1028" s="15">
        <f t="shared" ref="L1028:L1059" si="56">IF(MONTH(G1028)=MONTH(G1029),L1029+1,1)</f>
        <v>13</v>
      </c>
      <c r="M1028" s="15">
        <f t="shared" si="54"/>
        <v>4.9130769230769227</v>
      </c>
    </row>
    <row r="1029" spans="7:13" x14ac:dyDescent="0.25">
      <c r="G1029" s="13">
        <v>40590</v>
      </c>
      <c r="H1029" s="15">
        <v>5</v>
      </c>
      <c r="I1029" s="15">
        <v>0.7</v>
      </c>
      <c r="J1029" s="15">
        <v>4.9249999999999998</v>
      </c>
      <c r="K1029" s="15">
        <f t="shared" si="55"/>
        <v>59.019999999999989</v>
      </c>
      <c r="L1029" s="15">
        <f t="shared" si="56"/>
        <v>12</v>
      </c>
      <c r="M1029" s="15">
        <f t="shared" ref="M1029:M1061" si="57">K1029/L1029</f>
        <v>4.9183333333333321</v>
      </c>
    </row>
    <row r="1030" spans="7:13" x14ac:dyDescent="0.25">
      <c r="G1030" s="13">
        <v>40589</v>
      </c>
      <c r="H1030" s="15">
        <v>5</v>
      </c>
      <c r="I1030" s="15">
        <v>0.7</v>
      </c>
      <c r="J1030" s="15">
        <v>4.9249999999999998</v>
      </c>
      <c r="K1030" s="15">
        <f t="shared" si="55"/>
        <v>54.094999999999992</v>
      </c>
      <c r="L1030" s="15">
        <f t="shared" si="56"/>
        <v>11</v>
      </c>
      <c r="M1030" s="15">
        <f t="shared" si="57"/>
        <v>4.9177272727272721</v>
      </c>
    </row>
    <row r="1031" spans="7:13" x14ac:dyDescent="0.25">
      <c r="G1031" s="13">
        <v>40588</v>
      </c>
      <c r="H1031" s="15">
        <v>5</v>
      </c>
      <c r="I1031" s="15">
        <v>0.7</v>
      </c>
      <c r="J1031" s="15">
        <v>4.9249999999999998</v>
      </c>
      <c r="K1031" s="15">
        <f t="shared" si="55"/>
        <v>49.169999999999995</v>
      </c>
      <c r="L1031" s="15">
        <f t="shared" si="56"/>
        <v>10</v>
      </c>
      <c r="M1031" s="15">
        <f t="shared" si="57"/>
        <v>4.9169999999999998</v>
      </c>
    </row>
    <row r="1032" spans="7:13" x14ac:dyDescent="0.25">
      <c r="G1032" s="13">
        <v>40585</v>
      </c>
      <c r="H1032" s="15">
        <v>5</v>
      </c>
      <c r="I1032" s="15">
        <v>0.7</v>
      </c>
      <c r="J1032" s="15">
        <v>4.9249999999999998</v>
      </c>
      <c r="K1032" s="15">
        <f t="shared" si="55"/>
        <v>44.244999999999997</v>
      </c>
      <c r="L1032" s="15">
        <f t="shared" si="56"/>
        <v>9</v>
      </c>
      <c r="M1032" s="15">
        <f t="shared" si="57"/>
        <v>4.9161111111111104</v>
      </c>
    </row>
    <row r="1033" spans="7:13" x14ac:dyDescent="0.25">
      <c r="G1033" s="13">
        <v>40584</v>
      </c>
      <c r="H1033" s="15">
        <v>5</v>
      </c>
      <c r="I1033" s="15">
        <v>0.7</v>
      </c>
      <c r="J1033" s="15">
        <v>4.9249999999999998</v>
      </c>
      <c r="K1033" s="15">
        <f t="shared" si="55"/>
        <v>39.32</v>
      </c>
      <c r="L1033" s="15">
        <f t="shared" si="56"/>
        <v>8</v>
      </c>
      <c r="M1033" s="15">
        <f t="shared" si="57"/>
        <v>4.915</v>
      </c>
    </row>
    <row r="1034" spans="7:13" x14ac:dyDescent="0.25">
      <c r="G1034" s="13">
        <v>40583</v>
      </c>
      <c r="H1034" s="15">
        <v>5.05</v>
      </c>
      <c r="I1034" s="15">
        <v>0.7</v>
      </c>
      <c r="J1034" s="15">
        <v>4.9749999999999996</v>
      </c>
      <c r="K1034" s="15">
        <f t="shared" si="55"/>
        <v>34.395000000000003</v>
      </c>
      <c r="L1034" s="15">
        <f t="shared" si="56"/>
        <v>7</v>
      </c>
      <c r="M1034" s="15">
        <f t="shared" si="57"/>
        <v>4.9135714285714291</v>
      </c>
    </row>
    <row r="1035" spans="7:13" x14ac:dyDescent="0.25">
      <c r="G1035" s="13">
        <v>40582</v>
      </c>
      <c r="H1035" s="15">
        <v>5.05</v>
      </c>
      <c r="I1035" s="15">
        <v>0.7</v>
      </c>
      <c r="J1035" s="15">
        <v>4.9749999999999996</v>
      </c>
      <c r="K1035" s="15">
        <f t="shared" si="55"/>
        <v>29.42</v>
      </c>
      <c r="L1035" s="15">
        <f t="shared" si="56"/>
        <v>6</v>
      </c>
      <c r="M1035" s="15">
        <f t="shared" si="57"/>
        <v>4.9033333333333333</v>
      </c>
    </row>
    <row r="1036" spans="7:13" x14ac:dyDescent="0.25">
      <c r="G1036" s="13">
        <v>40581</v>
      </c>
      <c r="H1036" s="15">
        <v>5.05</v>
      </c>
      <c r="I1036" s="15">
        <v>0.7</v>
      </c>
      <c r="J1036" s="15">
        <v>4.9749999999999996</v>
      </c>
      <c r="K1036" s="15">
        <f t="shared" si="55"/>
        <v>24.445</v>
      </c>
      <c r="L1036" s="15">
        <f t="shared" si="56"/>
        <v>5</v>
      </c>
      <c r="M1036" s="15">
        <f t="shared" si="57"/>
        <v>4.8890000000000002</v>
      </c>
    </row>
    <row r="1037" spans="7:13" x14ac:dyDescent="0.25">
      <c r="G1037" s="13">
        <v>40578</v>
      </c>
      <c r="H1037" s="15">
        <v>5.05</v>
      </c>
      <c r="I1037" s="15">
        <v>0.7</v>
      </c>
      <c r="J1037" s="15">
        <v>4.9749999999999996</v>
      </c>
      <c r="K1037" s="15">
        <f t="shared" si="55"/>
        <v>19.47</v>
      </c>
      <c r="L1037" s="15">
        <f t="shared" si="56"/>
        <v>4</v>
      </c>
      <c r="M1037" s="15">
        <f t="shared" si="57"/>
        <v>4.8674999999999997</v>
      </c>
    </row>
    <row r="1038" spans="7:13" x14ac:dyDescent="0.25">
      <c r="G1038" s="13">
        <v>40577</v>
      </c>
      <c r="H1038" s="15">
        <v>5.05</v>
      </c>
      <c r="I1038" s="15">
        <v>0.7</v>
      </c>
      <c r="J1038" s="15">
        <v>4.9749999999999996</v>
      </c>
      <c r="K1038" s="15">
        <f t="shared" si="55"/>
        <v>14.494999999999999</v>
      </c>
      <c r="L1038" s="15">
        <f t="shared" si="56"/>
        <v>3</v>
      </c>
      <c r="M1038" s="15">
        <f t="shared" si="57"/>
        <v>4.8316666666666661</v>
      </c>
    </row>
    <row r="1039" spans="7:13" x14ac:dyDescent="0.25">
      <c r="G1039" s="13">
        <v>40576</v>
      </c>
      <c r="H1039" s="15">
        <v>4.8099999999999996</v>
      </c>
      <c r="I1039" s="15">
        <v>0.8</v>
      </c>
      <c r="J1039" s="15">
        <v>4.76</v>
      </c>
      <c r="K1039" s="15">
        <f t="shared" si="55"/>
        <v>9.52</v>
      </c>
      <c r="L1039" s="15">
        <f t="shared" si="56"/>
        <v>2</v>
      </c>
      <c r="M1039" s="15">
        <f t="shared" si="57"/>
        <v>4.76</v>
      </c>
    </row>
    <row r="1040" spans="7:13" x14ac:dyDescent="0.25">
      <c r="G1040" s="13">
        <v>40575</v>
      </c>
      <c r="H1040" s="15">
        <v>4.8099999999999996</v>
      </c>
      <c r="I1040" s="15">
        <v>0.8</v>
      </c>
      <c r="J1040" s="15">
        <v>4.76</v>
      </c>
      <c r="K1040" s="15">
        <f t="shared" si="55"/>
        <v>4.76</v>
      </c>
      <c r="L1040" s="15">
        <f t="shared" si="56"/>
        <v>1</v>
      </c>
      <c r="M1040" s="15">
        <f t="shared" si="57"/>
        <v>4.76</v>
      </c>
    </row>
    <row r="1041" spans="7:13" x14ac:dyDescent="0.25">
      <c r="G1041" s="13">
        <v>40574</v>
      </c>
      <c r="H1041" s="15">
        <v>4.8099999999999996</v>
      </c>
      <c r="I1041" s="15">
        <v>0.8</v>
      </c>
      <c r="J1041" s="15">
        <v>4.76</v>
      </c>
      <c r="K1041" s="15">
        <f t="shared" si="55"/>
        <v>94.124999999999986</v>
      </c>
      <c r="L1041" s="15">
        <f t="shared" si="56"/>
        <v>20</v>
      </c>
      <c r="M1041" s="15">
        <f t="shared" si="57"/>
        <v>4.7062499999999989</v>
      </c>
    </row>
    <row r="1042" spans="7:13" x14ac:dyDescent="0.25">
      <c r="G1042" s="13">
        <v>40571</v>
      </c>
      <c r="H1042" s="15">
        <v>4.8099999999999996</v>
      </c>
      <c r="I1042" s="15">
        <v>0.8</v>
      </c>
      <c r="J1042" s="15">
        <v>4.76</v>
      </c>
      <c r="K1042" s="15">
        <f t="shared" si="55"/>
        <v>89.364999999999981</v>
      </c>
      <c r="L1042" s="15">
        <f t="shared" si="56"/>
        <v>19</v>
      </c>
      <c r="M1042" s="15">
        <f t="shared" si="57"/>
        <v>4.7034210526315778</v>
      </c>
    </row>
    <row r="1043" spans="7:13" x14ac:dyDescent="0.25">
      <c r="G1043" s="13">
        <v>40570</v>
      </c>
      <c r="H1043" s="15">
        <v>4.8099999999999996</v>
      </c>
      <c r="I1043" s="15">
        <v>0.8</v>
      </c>
      <c r="J1043" s="15">
        <v>4.76</v>
      </c>
      <c r="K1043" s="15">
        <f t="shared" si="55"/>
        <v>84.604999999999976</v>
      </c>
      <c r="L1043" s="15">
        <f t="shared" si="56"/>
        <v>18</v>
      </c>
      <c r="M1043" s="15">
        <f t="shared" si="57"/>
        <v>4.7002777777777762</v>
      </c>
    </row>
    <row r="1044" spans="7:13" x14ac:dyDescent="0.25">
      <c r="G1044" s="13">
        <v>40569</v>
      </c>
      <c r="H1044" s="15">
        <v>4.8</v>
      </c>
      <c r="I1044" s="15">
        <v>0.7</v>
      </c>
      <c r="J1044" s="15">
        <v>4.7249999999999996</v>
      </c>
      <c r="K1044" s="15">
        <f t="shared" si="55"/>
        <v>79.84499999999997</v>
      </c>
      <c r="L1044" s="15">
        <f t="shared" si="56"/>
        <v>17</v>
      </c>
      <c r="M1044" s="15">
        <f t="shared" si="57"/>
        <v>4.6967647058823516</v>
      </c>
    </row>
    <row r="1045" spans="7:13" x14ac:dyDescent="0.25">
      <c r="G1045" s="13">
        <v>40568</v>
      </c>
      <c r="H1045" s="15">
        <v>4.8</v>
      </c>
      <c r="I1045" s="15">
        <v>0.7</v>
      </c>
      <c r="J1045" s="15">
        <v>4.7249999999999996</v>
      </c>
      <c r="K1045" s="15">
        <f t="shared" si="55"/>
        <v>75.119999999999976</v>
      </c>
      <c r="L1045" s="15">
        <f t="shared" si="56"/>
        <v>16</v>
      </c>
      <c r="M1045" s="15">
        <f t="shared" si="57"/>
        <v>4.6949999999999985</v>
      </c>
    </row>
    <row r="1046" spans="7:13" x14ac:dyDescent="0.25">
      <c r="G1046" s="13">
        <v>40567</v>
      </c>
      <c r="H1046" s="15">
        <v>4.8</v>
      </c>
      <c r="I1046" s="15">
        <v>0.7</v>
      </c>
      <c r="J1046" s="15">
        <v>4.7249999999999996</v>
      </c>
      <c r="K1046" s="15">
        <f t="shared" si="55"/>
        <v>70.394999999999982</v>
      </c>
      <c r="L1046" s="15">
        <f t="shared" si="56"/>
        <v>15</v>
      </c>
      <c r="M1046" s="15">
        <f t="shared" si="57"/>
        <v>4.6929999999999987</v>
      </c>
    </row>
    <row r="1047" spans="7:13" x14ac:dyDescent="0.25">
      <c r="G1047" s="13">
        <v>40564</v>
      </c>
      <c r="H1047" s="15">
        <v>4.8</v>
      </c>
      <c r="I1047" s="15">
        <v>0.7</v>
      </c>
      <c r="J1047" s="15">
        <v>4.7249999999999996</v>
      </c>
      <c r="K1047" s="15">
        <f t="shared" si="55"/>
        <v>65.669999999999987</v>
      </c>
      <c r="L1047" s="15">
        <f t="shared" si="56"/>
        <v>14</v>
      </c>
      <c r="M1047" s="15">
        <f t="shared" si="57"/>
        <v>4.6907142857142849</v>
      </c>
    </row>
    <row r="1048" spans="7:13" x14ac:dyDescent="0.25">
      <c r="G1048" s="13">
        <v>40563</v>
      </c>
      <c r="H1048" s="15">
        <v>4.8</v>
      </c>
      <c r="I1048" s="15">
        <v>0.7</v>
      </c>
      <c r="J1048" s="15">
        <v>4.7249999999999996</v>
      </c>
      <c r="K1048" s="15">
        <f t="shared" si="55"/>
        <v>60.944999999999986</v>
      </c>
      <c r="L1048" s="15">
        <f t="shared" si="56"/>
        <v>13</v>
      </c>
      <c r="M1048" s="15">
        <f t="shared" si="57"/>
        <v>4.6880769230769221</v>
      </c>
    </row>
    <row r="1049" spans="7:13" x14ac:dyDescent="0.25">
      <c r="G1049" s="13">
        <v>40562</v>
      </c>
      <c r="H1049" s="15">
        <v>4.74</v>
      </c>
      <c r="I1049" s="15">
        <v>0.8</v>
      </c>
      <c r="J1049" s="15">
        <v>4.6900000000000004</v>
      </c>
      <c r="K1049" s="15">
        <f t="shared" si="55"/>
        <v>56.219999999999985</v>
      </c>
      <c r="L1049" s="15">
        <f t="shared" si="56"/>
        <v>12</v>
      </c>
      <c r="M1049" s="15">
        <f t="shared" si="57"/>
        <v>4.6849999999999987</v>
      </c>
    </row>
    <row r="1050" spans="7:13" x14ac:dyDescent="0.25">
      <c r="G1050" s="13">
        <v>40561</v>
      </c>
      <c r="H1050" s="15">
        <v>4.74</v>
      </c>
      <c r="I1050" s="15">
        <v>0.8</v>
      </c>
      <c r="J1050" s="15">
        <v>4.6900000000000004</v>
      </c>
      <c r="K1050" s="15">
        <f t="shared" si="55"/>
        <v>51.529999999999987</v>
      </c>
      <c r="L1050" s="15">
        <f t="shared" si="56"/>
        <v>11</v>
      </c>
      <c r="M1050" s="15">
        <f t="shared" si="57"/>
        <v>4.6845454545454537</v>
      </c>
    </row>
    <row r="1051" spans="7:13" x14ac:dyDescent="0.25">
      <c r="G1051" s="13">
        <v>40557</v>
      </c>
      <c r="H1051" s="15">
        <v>4.74</v>
      </c>
      <c r="I1051" s="15">
        <v>0.8</v>
      </c>
      <c r="J1051" s="15">
        <v>4.6900000000000004</v>
      </c>
      <c r="K1051" s="15">
        <f t="shared" si="55"/>
        <v>46.839999999999989</v>
      </c>
      <c r="L1051" s="15">
        <f t="shared" si="56"/>
        <v>10</v>
      </c>
      <c r="M1051" s="15">
        <f t="shared" si="57"/>
        <v>4.6839999999999993</v>
      </c>
    </row>
    <row r="1052" spans="7:13" x14ac:dyDescent="0.25">
      <c r="G1052" s="13">
        <v>40556</v>
      </c>
      <c r="H1052" s="15">
        <v>4.74</v>
      </c>
      <c r="I1052" s="15">
        <v>0.8</v>
      </c>
      <c r="J1052" s="15">
        <v>4.6900000000000004</v>
      </c>
      <c r="K1052" s="15">
        <f t="shared" si="55"/>
        <v>42.149999999999991</v>
      </c>
      <c r="L1052" s="15">
        <f t="shared" si="56"/>
        <v>9</v>
      </c>
      <c r="M1052" s="15">
        <f t="shared" si="57"/>
        <v>4.6833333333333327</v>
      </c>
    </row>
    <row r="1053" spans="7:13" x14ac:dyDescent="0.25">
      <c r="G1053" s="13">
        <v>40555</v>
      </c>
      <c r="H1053" s="15">
        <v>4.71</v>
      </c>
      <c r="I1053" s="15">
        <v>0.8</v>
      </c>
      <c r="J1053" s="15">
        <v>4.66</v>
      </c>
      <c r="K1053" s="15">
        <f t="shared" si="55"/>
        <v>37.459999999999994</v>
      </c>
      <c r="L1053" s="15">
        <f t="shared" si="56"/>
        <v>8</v>
      </c>
      <c r="M1053" s="15">
        <f t="shared" si="57"/>
        <v>4.6824999999999992</v>
      </c>
    </row>
    <row r="1054" spans="7:13" x14ac:dyDescent="0.25">
      <c r="G1054" s="13">
        <v>40554</v>
      </c>
      <c r="H1054" s="15">
        <v>4.71</v>
      </c>
      <c r="I1054" s="15">
        <v>0.8</v>
      </c>
      <c r="J1054" s="15">
        <v>4.66</v>
      </c>
      <c r="K1054" s="15">
        <f t="shared" si="55"/>
        <v>32.799999999999997</v>
      </c>
      <c r="L1054" s="15">
        <f t="shared" si="56"/>
        <v>7</v>
      </c>
      <c r="M1054" s="15">
        <f t="shared" si="57"/>
        <v>4.6857142857142851</v>
      </c>
    </row>
    <row r="1055" spans="7:13" x14ac:dyDescent="0.25">
      <c r="G1055" s="13">
        <v>40553</v>
      </c>
      <c r="H1055" s="15">
        <v>4.71</v>
      </c>
      <c r="I1055" s="15">
        <v>0.8</v>
      </c>
      <c r="J1055" s="15">
        <v>4.66</v>
      </c>
      <c r="K1055" s="15">
        <f t="shared" si="55"/>
        <v>28.14</v>
      </c>
      <c r="L1055" s="15">
        <f t="shared" si="56"/>
        <v>6</v>
      </c>
      <c r="M1055" s="15">
        <f t="shared" si="57"/>
        <v>4.6900000000000004</v>
      </c>
    </row>
    <row r="1056" spans="7:13" x14ac:dyDescent="0.25">
      <c r="G1056" s="13">
        <v>40550</v>
      </c>
      <c r="H1056" s="15">
        <v>4.71</v>
      </c>
      <c r="I1056" s="15">
        <v>0.8</v>
      </c>
      <c r="J1056" s="15">
        <v>4.66</v>
      </c>
      <c r="K1056" s="15">
        <f t="shared" si="55"/>
        <v>23.48</v>
      </c>
      <c r="L1056" s="15">
        <f t="shared" si="56"/>
        <v>5</v>
      </c>
      <c r="M1056" s="15">
        <f t="shared" si="57"/>
        <v>4.6959999999999997</v>
      </c>
    </row>
    <row r="1057" spans="7:13" x14ac:dyDescent="0.25">
      <c r="G1057" s="13">
        <v>40549</v>
      </c>
      <c r="H1057" s="15">
        <v>4.71</v>
      </c>
      <c r="I1057" s="15">
        <v>0.8</v>
      </c>
      <c r="J1057" s="15">
        <v>4.66</v>
      </c>
      <c r="K1057" s="15">
        <f t="shared" si="55"/>
        <v>18.82</v>
      </c>
      <c r="L1057" s="15">
        <f t="shared" si="56"/>
        <v>4</v>
      </c>
      <c r="M1057" s="15">
        <f t="shared" si="57"/>
        <v>4.7050000000000001</v>
      </c>
    </row>
    <row r="1058" spans="7:13" x14ac:dyDescent="0.25">
      <c r="G1058" s="13">
        <v>40548</v>
      </c>
      <c r="H1058" s="15">
        <v>4.7699999999999996</v>
      </c>
      <c r="I1058" s="15">
        <v>0.8</v>
      </c>
      <c r="J1058" s="15">
        <v>4.72</v>
      </c>
      <c r="K1058" s="15">
        <f t="shared" si="55"/>
        <v>14.16</v>
      </c>
      <c r="L1058" s="15">
        <f t="shared" si="56"/>
        <v>3</v>
      </c>
      <c r="M1058" s="15">
        <f t="shared" si="57"/>
        <v>4.72</v>
      </c>
    </row>
    <row r="1059" spans="7:13" x14ac:dyDescent="0.25">
      <c r="G1059" s="13">
        <v>40547</v>
      </c>
      <c r="H1059" s="15">
        <v>4.7699999999999996</v>
      </c>
      <c r="I1059" s="15">
        <v>0.8</v>
      </c>
      <c r="J1059" s="15">
        <v>4.72</v>
      </c>
      <c r="K1059" s="15">
        <f t="shared" si="55"/>
        <v>9.44</v>
      </c>
      <c r="L1059" s="15">
        <f t="shared" si="56"/>
        <v>2</v>
      </c>
      <c r="M1059" s="15">
        <f t="shared" si="57"/>
        <v>4.72</v>
      </c>
    </row>
    <row r="1060" spans="7:13" x14ac:dyDescent="0.25">
      <c r="G1060" s="13">
        <v>40546</v>
      </c>
      <c r="H1060" s="15">
        <v>4.7699999999999996</v>
      </c>
      <c r="I1060" s="15">
        <v>0.8</v>
      </c>
      <c r="J1060" s="15">
        <v>4.72</v>
      </c>
      <c r="K1060" s="15">
        <f t="shared" si="55"/>
        <v>4.72</v>
      </c>
      <c r="L1060" s="15">
        <f>IF(MONTH(G1060)=MONTH(G1061),L1061+1,1)</f>
        <v>1</v>
      </c>
      <c r="M1060" s="15">
        <f t="shared" si="57"/>
        <v>4.72</v>
      </c>
    </row>
    <row r="1061" spans="7:13" x14ac:dyDescent="0.25">
      <c r="L1061" s="6">
        <v>0</v>
      </c>
      <c r="M1061" s="15" t="e">
        <f t="shared" si="57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 Set</vt:lpstr>
      <vt:lpstr>Realized Vol</vt:lpstr>
      <vt:lpstr>Yield Curve</vt:lpstr>
      <vt:lpstr>ppm risk premium</vt:lpstr>
      <vt:lpstr>'ppm risk premium'!temp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2015-03-30T18:29:49Z</dcterms:modified>
</cp:coreProperties>
</file>