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585" yWindow="270" windowWidth="24240" windowHeight="13680"/>
  </bookViews>
  <sheets>
    <sheet name="Market Data" sheetId="1" r:id="rId1"/>
    <sheet name="MBA Inde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A6" i="1" l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AP90" i="1" l="1"/>
  <c r="AP91" i="1"/>
  <c r="AO91" i="1"/>
  <c r="AO90" i="1"/>
  <c r="AN90" i="1"/>
  <c r="AN91" i="1"/>
  <c r="AF90" i="1"/>
  <c r="AF91" i="1"/>
  <c r="AE91" i="1"/>
  <c r="AE90" i="1"/>
  <c r="AD90" i="1"/>
  <c r="AD91" i="1"/>
  <c r="AC91" i="1"/>
  <c r="AC90" i="1"/>
  <c r="AB90" i="1"/>
  <c r="AB91" i="1"/>
  <c r="AA91" i="1"/>
  <c r="AA90" i="1"/>
  <c r="Z90" i="1"/>
  <c r="Z91" i="1"/>
  <c r="V90" i="1"/>
  <c r="V91" i="1"/>
  <c r="U91" i="1"/>
  <c r="U90" i="1"/>
  <c r="T90" i="1"/>
  <c r="T91" i="1"/>
  <c r="S91" i="1"/>
  <c r="S90" i="1"/>
  <c r="R90" i="1"/>
  <c r="R91" i="1"/>
  <c r="Q91" i="1"/>
  <c r="Q90" i="1"/>
  <c r="P90" i="1"/>
  <c r="P91" i="1"/>
  <c r="O91" i="1"/>
  <c r="Y5" i="1"/>
  <c r="O90" i="1"/>
  <c r="N90" i="1"/>
  <c r="W5" i="1"/>
  <c r="N91" i="1"/>
  <c r="X5" i="1"/>
  <c r="M91" i="1"/>
  <c r="M90" i="1"/>
  <c r="L90" i="1"/>
  <c r="L91" i="1"/>
  <c r="K91" i="1"/>
  <c r="K90" i="1"/>
  <c r="J90" i="1"/>
  <c r="J91" i="1"/>
  <c r="I91" i="1"/>
  <c r="I90" i="1"/>
  <c r="H90" i="1"/>
  <c r="H91" i="1"/>
  <c r="G91" i="1"/>
  <c r="G90" i="1"/>
  <c r="F90" i="1"/>
  <c r="F91" i="1"/>
  <c r="Y91" i="1" l="1"/>
  <c r="Y90" i="1"/>
  <c r="X90" i="1"/>
  <c r="X91" i="1"/>
  <c r="W91" i="1"/>
  <c r="W90" i="1"/>
</calcChain>
</file>

<file path=xl/sharedStrings.xml><?xml version="1.0" encoding="utf-8"?>
<sst xmlns="http://schemas.openxmlformats.org/spreadsheetml/2006/main" count="61" uniqueCount="43">
  <si>
    <t>Date</t>
  </si>
  <si>
    <t>fn30.450.09(IOX)</t>
  </si>
  <si>
    <t>fn30.500.09(IOX)</t>
  </si>
  <si>
    <t>fn30.550.08(IOX)</t>
  </si>
  <si>
    <t>fn30.600.08(IOX)</t>
  </si>
  <si>
    <t>fn30.650.67(IOX)</t>
  </si>
  <si>
    <t>Treasury Prices</t>
  </si>
  <si>
    <t>Treasury Yields</t>
  </si>
  <si>
    <t>Swap Yields</t>
  </si>
  <si>
    <t>PMR</t>
  </si>
  <si>
    <t>BMR</t>
  </si>
  <si>
    <t>FHSR</t>
  </si>
  <si>
    <t>FNCC</t>
  </si>
  <si>
    <t>FHCC</t>
  </si>
  <si>
    <t>Mortgage Rates</t>
  </si>
  <si>
    <t>FN OAS</t>
  </si>
  <si>
    <t>FH OAS</t>
  </si>
  <si>
    <t>Mortgage Spreads</t>
  </si>
  <si>
    <t>FH10T</t>
  </si>
  <si>
    <t>FN10T</t>
  </si>
  <si>
    <t>FNMA TBA Prices</t>
  </si>
  <si>
    <t>GNCC</t>
  </si>
  <si>
    <t>GN OAS</t>
  </si>
  <si>
    <t>GN10T</t>
  </si>
  <si>
    <t>IOS Prices</t>
  </si>
  <si>
    <t>IOS OAS</t>
  </si>
  <si>
    <t>Total Return(USD)</t>
  </si>
  <si>
    <t>S&amp;P500 Total Return</t>
  </si>
  <si>
    <t>Close Date</t>
  </si>
  <si>
    <t>fn30.350.10(IOX)</t>
  </si>
  <si>
    <t>fn30.400.10(IOX)</t>
  </si>
  <si>
    <t>fn30.500.10(IOX)</t>
  </si>
  <si>
    <t>fn30.500.08(IOX)</t>
  </si>
  <si>
    <t>fn30.500.05(IOX)</t>
  </si>
  <si>
    <t>fn30.500.03(IOX)</t>
  </si>
  <si>
    <t>fn30.550.05(IOX)</t>
  </si>
  <si>
    <t>fn30.550.03(IOX)</t>
  </si>
  <si>
    <t>fn30.400.09(IOX)</t>
  </si>
  <si>
    <t>fn30.450.10(IOX)</t>
  </si>
  <si>
    <t>gII30.400.10(IOX)</t>
  </si>
  <si>
    <t>gII30.450.10(IOX)</t>
  </si>
  <si>
    <t>gII30.500.10(IOX)</t>
  </si>
  <si>
    <t>FNMA TBA Yields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</si>
</sst>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m/d;@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rgb="FFFFCC99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4" applyNumberFormat="0"/>
    <xf numFmtId="0" fontId="2" fillId="3" borderId="9" applyNumberFormat="0" applyAlignment="0" applyProtection="0"/>
  </cellStyleXfs>
  <cellXfs count="38">
    <xf numFmtId="0" fontId="0" fillId="0" borderId="0" xfId="0"/>
    <xf numFmtId="0" fontId="0" fillId="0" borderId="0" xfId="0" applyBorder="1"/>
    <xf numFmtId="2" fontId="0" fillId="0" borderId="0" xfId="0" applyNumberFormat="1" applyBorder="1"/>
    <xf numFmtId="2" fontId="0" fillId="0" borderId="7" xfId="0" applyNumberFormat="1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2" fontId="0" fillId="0" borderId="8" xfId="0" applyNumberFormat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165" fontId="2" fillId="3" borderId="9" xfId="2" applyNumberFormat="1"/>
    <xf numFmtId="164" fontId="0" fillId="0" borderId="5" xfId="0" applyNumberFormat="1" applyFill="1" applyBorder="1" applyAlignment="1">
      <alignment wrapText="1"/>
    </xf>
    <xf numFmtId="164" fontId="0" fillId="0" borderId="6" xfId="0" applyNumberFormat="1" applyFill="1" applyBorder="1" applyAlignment="1">
      <alignment wrapText="1"/>
    </xf>
    <xf numFmtId="14" fontId="0" fillId="0" borderId="0" xfId="0" applyNumberFormat="1"/>
    <xf numFmtId="164" fontId="0" fillId="0" borderId="7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0" fillId="0" borderId="2" xfId="0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2" xfId="0" applyBorder="1" applyAlignment="1">
      <alignment horizontal="center"/>
    </xf>
    <xf numFmtId="2" fontId="0" fillId="0" borderId="10" xfId="0" applyNumberFormat="1" applyBorder="1"/>
    <xf numFmtId="0" fontId="0" fillId="0" borderId="11" xfId="0" applyBorder="1" applyAlignment="1">
      <alignment horizontal="center"/>
    </xf>
    <xf numFmtId="165" fontId="2" fillId="3" borderId="12" xfId="2" applyNumberFormat="1" applyBorder="1"/>
    <xf numFmtId="2" fontId="0" fillId="0" borderId="13" xfId="0" applyNumberFormat="1" applyBorder="1"/>
    <xf numFmtId="2" fontId="0" fillId="0" borderId="14" xfId="0" applyNumberFormat="1" applyBorder="1"/>
    <xf numFmtId="2" fontId="0" fillId="0" borderId="15" xfId="0" applyNumberFormat="1" applyBorder="1"/>
    <xf numFmtId="1" fontId="0" fillId="0" borderId="14" xfId="0" applyNumberFormat="1" applyBorder="1"/>
    <xf numFmtId="2" fontId="0" fillId="0" borderId="16" xfId="0" applyNumberFormat="1" applyBorder="1"/>
    <xf numFmtId="164" fontId="0" fillId="0" borderId="11" xfId="0" applyNumberFormat="1" applyFill="1" applyBorder="1" applyAlignment="1">
      <alignment wrapText="1"/>
    </xf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CCM Input" xfId="1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e%20Yield%20Book/The%20Yield%20Book%20Add-In/YieldBookAddin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YBHIST"/>
      <definedName name="YBWORKDAY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CB91"/>
  <sheetViews>
    <sheetView tabSelected="1" workbookViewId="0">
      <pane ySplit="4" topLeftCell="A5" activePane="bottomLeft" state="frozen"/>
      <selection pane="bottomLeft" sqref="A1:XFD1048576"/>
    </sheetView>
  </sheetViews>
  <sheetFormatPr defaultColWidth="11.42578125" defaultRowHeight="15" x14ac:dyDescent="0.25"/>
  <cols>
    <col min="26" max="26" width="11.42578125" style="1"/>
    <col min="54" max="56" width="11.42578125" style="1"/>
    <col min="59" max="59" width="11.42578125" style="1"/>
    <col min="73" max="74" width="11.42578125" style="1"/>
  </cols>
  <sheetData>
    <row r="1" spans="1:80" x14ac:dyDescent="0.25">
      <c r="A1" t="s">
        <v>28</v>
      </c>
      <c r="C1" s="17">
        <v>41274</v>
      </c>
    </row>
    <row r="3" spans="1:80" x14ac:dyDescent="0.25">
      <c r="B3" s="35" t="s">
        <v>6</v>
      </c>
      <c r="C3" s="36"/>
      <c r="D3" s="36"/>
      <c r="E3" s="36"/>
      <c r="F3" s="35" t="s">
        <v>7</v>
      </c>
      <c r="G3" s="36"/>
      <c r="H3" s="36"/>
      <c r="I3" s="37"/>
      <c r="J3" s="36" t="s">
        <v>8</v>
      </c>
      <c r="K3" s="36"/>
      <c r="L3" s="36"/>
      <c r="M3" s="37"/>
      <c r="N3" s="35" t="s">
        <v>14</v>
      </c>
      <c r="O3" s="36"/>
      <c r="P3" s="36"/>
      <c r="Q3" s="36"/>
      <c r="R3" s="36"/>
      <c r="S3" s="37"/>
      <c r="T3" s="35" t="s">
        <v>17</v>
      </c>
      <c r="U3" s="36"/>
      <c r="V3" s="36"/>
      <c r="W3" s="36"/>
      <c r="X3" s="36"/>
      <c r="Y3" s="36"/>
      <c r="Z3" s="26"/>
      <c r="AA3" s="36" t="s">
        <v>20</v>
      </c>
      <c r="AB3" s="36"/>
      <c r="AC3" s="36"/>
      <c r="AD3" s="36"/>
      <c r="AE3" s="36"/>
      <c r="AF3" s="37"/>
      <c r="AG3" s="35" t="s">
        <v>42</v>
      </c>
      <c r="AH3" s="36"/>
      <c r="AI3" s="36"/>
      <c r="AJ3" s="36"/>
      <c r="AK3" s="36"/>
      <c r="AL3" s="36"/>
      <c r="AM3" s="36"/>
      <c r="AN3" s="21"/>
      <c r="AO3" s="21"/>
      <c r="AP3" s="24"/>
      <c r="AQ3" s="24"/>
      <c r="AR3" s="22" t="s">
        <v>24</v>
      </c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3"/>
      <c r="BF3" s="21"/>
      <c r="BG3" s="24"/>
      <c r="BH3" s="24"/>
      <c r="BI3" s="24"/>
      <c r="BJ3" s="35" t="s">
        <v>25</v>
      </c>
      <c r="BK3" s="36"/>
      <c r="BL3" s="36"/>
      <c r="BM3" s="36"/>
      <c r="BN3" s="36"/>
      <c r="BO3" s="36"/>
      <c r="BP3" s="36"/>
      <c r="BQ3" s="36"/>
      <c r="BR3" s="36"/>
      <c r="BS3" s="36"/>
      <c r="BT3" s="37"/>
      <c r="BU3" s="22"/>
      <c r="BV3" s="22"/>
      <c r="BW3" s="23"/>
      <c r="BX3" s="4"/>
      <c r="BY3" s="4"/>
      <c r="BZ3" s="4"/>
    </row>
    <row r="4" spans="1:80" s="7" customFormat="1" ht="29.25" customHeight="1" x14ac:dyDescent="0.25">
      <c r="A4" s="7" t="s">
        <v>0</v>
      </c>
      <c r="B4" s="8">
        <v>2</v>
      </c>
      <c r="C4" s="9">
        <v>5</v>
      </c>
      <c r="D4" s="9">
        <v>10</v>
      </c>
      <c r="E4" s="10">
        <v>30</v>
      </c>
      <c r="F4" s="8">
        <v>2</v>
      </c>
      <c r="G4" s="9">
        <v>5</v>
      </c>
      <c r="H4" s="9">
        <v>10</v>
      </c>
      <c r="I4" s="10">
        <v>30</v>
      </c>
      <c r="J4" s="8">
        <v>2</v>
      </c>
      <c r="K4" s="9">
        <v>5</v>
      </c>
      <c r="L4" s="9">
        <v>10</v>
      </c>
      <c r="M4" s="10">
        <v>30</v>
      </c>
      <c r="N4" s="8" t="s">
        <v>12</v>
      </c>
      <c r="O4" s="9" t="s">
        <v>13</v>
      </c>
      <c r="P4" s="9" t="s">
        <v>21</v>
      </c>
      <c r="Q4" s="9" t="s">
        <v>9</v>
      </c>
      <c r="R4" s="9" t="s">
        <v>11</v>
      </c>
      <c r="S4" s="10" t="s">
        <v>10</v>
      </c>
      <c r="T4" s="8" t="s">
        <v>15</v>
      </c>
      <c r="U4" s="11" t="s">
        <v>16</v>
      </c>
      <c r="V4" s="11" t="s">
        <v>22</v>
      </c>
      <c r="W4" s="9" t="s">
        <v>19</v>
      </c>
      <c r="X4" s="11" t="s">
        <v>18</v>
      </c>
      <c r="Y4" s="11" t="s">
        <v>23</v>
      </c>
      <c r="Z4" s="33">
        <v>3</v>
      </c>
      <c r="AA4" s="15">
        <v>3.5</v>
      </c>
      <c r="AB4" s="15">
        <v>4</v>
      </c>
      <c r="AC4" s="15">
        <v>4.5</v>
      </c>
      <c r="AD4" s="15">
        <v>5</v>
      </c>
      <c r="AE4" s="15">
        <v>5.5</v>
      </c>
      <c r="AF4" s="16">
        <v>6</v>
      </c>
      <c r="AG4" s="15">
        <v>3</v>
      </c>
      <c r="AH4" s="15">
        <v>3.5</v>
      </c>
      <c r="AI4" s="15">
        <v>4</v>
      </c>
      <c r="AJ4" s="15">
        <v>4.5</v>
      </c>
      <c r="AK4" s="15">
        <v>5</v>
      </c>
      <c r="AL4" s="15">
        <v>5.5</v>
      </c>
      <c r="AM4" s="16">
        <v>6</v>
      </c>
      <c r="AN4" s="8" t="s">
        <v>29</v>
      </c>
      <c r="AO4" s="9" t="s">
        <v>30</v>
      </c>
      <c r="AP4" s="9" t="s">
        <v>37</v>
      </c>
      <c r="AQ4" s="9" t="s">
        <v>38</v>
      </c>
      <c r="AR4" s="9" t="s">
        <v>1</v>
      </c>
      <c r="AS4" s="9" t="s">
        <v>31</v>
      </c>
      <c r="AT4" s="9" t="s">
        <v>2</v>
      </c>
      <c r="AU4" s="9" t="s">
        <v>32</v>
      </c>
      <c r="AV4" s="9" t="s">
        <v>33</v>
      </c>
      <c r="AW4" s="9" t="s">
        <v>34</v>
      </c>
      <c r="AX4" s="9" t="s">
        <v>3</v>
      </c>
      <c r="AY4" s="9" t="s">
        <v>35</v>
      </c>
      <c r="AZ4" s="9" t="s">
        <v>36</v>
      </c>
      <c r="BA4" s="9" t="s">
        <v>4</v>
      </c>
      <c r="BB4" s="9" t="s">
        <v>5</v>
      </c>
      <c r="BC4" s="9" t="s">
        <v>39</v>
      </c>
      <c r="BD4" s="9" t="s">
        <v>40</v>
      </c>
      <c r="BE4" s="10" t="s">
        <v>41</v>
      </c>
      <c r="BF4" s="8" t="s">
        <v>29</v>
      </c>
      <c r="BG4" s="9" t="s">
        <v>30</v>
      </c>
      <c r="BH4" s="9" t="s">
        <v>37</v>
      </c>
      <c r="BI4" s="9" t="s">
        <v>38</v>
      </c>
      <c r="BJ4" s="9" t="s">
        <v>1</v>
      </c>
      <c r="BK4" s="9" t="s">
        <v>31</v>
      </c>
      <c r="BL4" s="9" t="s">
        <v>2</v>
      </c>
      <c r="BM4" s="9" t="s">
        <v>32</v>
      </c>
      <c r="BN4" s="9" t="s">
        <v>33</v>
      </c>
      <c r="BO4" s="9" t="s">
        <v>34</v>
      </c>
      <c r="BP4" s="9" t="s">
        <v>3</v>
      </c>
      <c r="BQ4" s="9" t="s">
        <v>35</v>
      </c>
      <c r="BR4" s="9" t="s">
        <v>36</v>
      </c>
      <c r="BS4" s="9" t="s">
        <v>4</v>
      </c>
      <c r="BT4" s="10" t="s">
        <v>5</v>
      </c>
      <c r="BU4" s="9" t="s">
        <v>39</v>
      </c>
      <c r="BV4" s="9" t="s">
        <v>40</v>
      </c>
      <c r="BW4" s="10" t="s">
        <v>41</v>
      </c>
      <c r="BX4" s="12" t="s">
        <v>27</v>
      </c>
      <c r="BY4" s="13"/>
      <c r="BZ4" s="13"/>
      <c r="CB4" s="7" t="s">
        <v>26</v>
      </c>
    </row>
    <row r="5" spans="1:80" x14ac:dyDescent="0.25">
      <c r="A5" s="14">
        <v>41274</v>
      </c>
      <c r="B5" s="3">
        <f>[1]!YBHIST("2 Year Treasury",$A5,"Price","govt","")</f>
        <v>99.758003000000002</v>
      </c>
      <c r="C5" s="2">
        <f>[1]!YBHIST("5 Year Treasury",$A5,"Price","govt","")</f>
        <v>100.18</v>
      </c>
      <c r="D5" s="2">
        <f>[1]!YBHIST("10 Year Treasury",$A5,"Price","govt","")</f>
        <v>98.969002000000003</v>
      </c>
      <c r="E5" s="6">
        <f>[1]!YBHIST("30 Year Treasury",$A5,"Price","govt","")</f>
        <v>96.359001000000006</v>
      </c>
      <c r="F5" s="3">
        <f>[1]!YBHIST("2 Year Treasury",$A5,"YldtoMat","govt","")</f>
        <v>0.247</v>
      </c>
      <c r="G5" s="2">
        <f>[1]!YBHIST("5 Year Treasury",$A5,"YldtoMat","govt","")</f>
        <v>0.71299999999999997</v>
      </c>
      <c r="H5" s="2">
        <f>[1]!YBHIST("10 Year Treasury",$A5,"YldtoMat","govt","")</f>
        <v>1.7390000000000001</v>
      </c>
      <c r="I5" s="6">
        <f>[1]!YBHIST("30 Year Treasury",$A5,"YldtoMat","govt","")</f>
        <v>2.9340000000000002</v>
      </c>
      <c r="J5" s="3">
        <f>[1]!YBHIST("2yr Swap Rate",$A5,"YldtoMat","swapvol","")</f>
        <v>0.38495499999999999</v>
      </c>
      <c r="K5" s="2">
        <f>[1]!YBHIST("5yr Swap Rate",$A5,"YldtoMat","swapvol","")</f>
        <v>0.82804699999999998</v>
      </c>
      <c r="L5" s="2">
        <f>[1]!YBHIST("10yr Swap Rate",$A5,"YldtoMat","swapvol","")</f>
        <v>1.797312</v>
      </c>
      <c r="M5" s="6">
        <f>[1]!YBHIST("30yr Swap Rate",$A5,"YldtoMat","swapvol","")</f>
        <v>2.769787</v>
      </c>
      <c r="N5" s="3">
        <f>[1]!YBHIST("FNMA 30YR Cur Coup (BE)",$A5,"Yield","bmk","")</f>
        <v>2.2029999999999998</v>
      </c>
      <c r="O5" s="2">
        <f>[1]!YBHIST("FHLMC 30YR Cur Coup (BE)",$A5,"Yield","bmk","")</f>
        <v>2.2490000000000001</v>
      </c>
      <c r="P5" s="2">
        <f>[1]!YBHIST("GNMA 30YR Cur Coup (BE)",$A5,"Yield","bmk","")</f>
        <v>2.117</v>
      </c>
      <c r="Q5" s="2">
        <f>[1]!YBHIST("Primary 30-Yr Mtg Rate",$A5,"Yield","bmk","")</f>
        <v>3.5163000000000002</v>
      </c>
      <c r="R5" s="2">
        <f>[1]!YBHIST("FHLM 30-Yr Survey Rate",$A5,"Yield","bmk","")</f>
        <v>3.35</v>
      </c>
      <c r="S5" s="6">
        <f>[1]!YBHIST("Base Mortgage Rate",$A5,"Yield","bmk","")</f>
        <v>2.5390000000000001</v>
      </c>
      <c r="T5" s="18">
        <f>[1]!YBHIST("FNMA 30YR Cur Coup (BE)",$A5,"LMMOAS","bmk","")</f>
        <v>-10.674300000000001</v>
      </c>
      <c r="U5" s="19">
        <f>[1]!YBHIST("FHLMC 30YR Cur Coup (BE)",$A5,"LMMOAS","bmk","")</f>
        <v>-4.4326999999999996</v>
      </c>
      <c r="V5" s="19">
        <f>[1]!YBHIST("GNMA 30YR Cur Coup (BE)",$A5,"LMMOAS","bmk","")</f>
        <v>-29.489000000000001</v>
      </c>
      <c r="W5" s="20">
        <f t="shared" ref="W5:W24" si="0">(N5-$H5)*100</f>
        <v>46.399999999999977</v>
      </c>
      <c r="X5" s="20">
        <f t="shared" ref="X5:X24" si="1">(N5-$H5)*100</f>
        <v>46.399999999999977</v>
      </c>
      <c r="Y5" s="20">
        <f t="shared" ref="Y5:Y24" si="2">(O5-$H5)*100</f>
        <v>51</v>
      </c>
      <c r="Z5" s="25">
        <f>[1]!YBHIST("FNMA3.0-GEN",$A5,"Price","tba","")</f>
        <v>104.859375</v>
      </c>
      <c r="AA5" s="2">
        <f>[1]!YBHIST("FNMA3.5-GEN",$A5,"Price","tba","")</f>
        <v>106.664062</v>
      </c>
      <c r="AB5" s="2">
        <f>[1]!YBHIST("FNMA4.0-GEN",$A5,"Price","tba","")</f>
        <v>107.21875</v>
      </c>
      <c r="AC5" s="2">
        <f>[1]!YBHIST("FNMA4.5-GEN",$A5,"Price","tba","")</f>
        <v>108.046875</v>
      </c>
      <c r="AD5" s="2">
        <f>[1]!YBHIST("FNMA5.0-GEN",$A5,"Price","tba","")</f>
        <v>108.34375</v>
      </c>
      <c r="AE5" s="2">
        <f>[1]!YBHIST("FNMA5.5-GEN",$A5,"Price","tba","")</f>
        <v>108.640625</v>
      </c>
      <c r="AF5" s="6">
        <f>[1]!YBHIST("FNMA6.0-GEN",$A5,"Price","tba","")</f>
        <v>109.226562</v>
      </c>
      <c r="AG5" s="2">
        <f>[1]!YBHIST("FNMA3.0-GEN",$A5,"Yield","tba","")</f>
        <v>1.9330000000000001</v>
      </c>
      <c r="AH5" s="2">
        <f>[1]!YBHIST("FNMA3.5-GEN",$A5,"Yield","tba","")</f>
        <v>1.585</v>
      </c>
      <c r="AI5" s="2">
        <f>[1]!YBHIST("FNMA4.0-GEN",$A5,"Yield","tba","")</f>
        <v>1.431</v>
      </c>
      <c r="AJ5" s="2">
        <f>[1]!YBHIST("FNMA4.5-GEN",$A5,"Yield","tba","")</f>
        <v>1.391</v>
      </c>
      <c r="AK5" s="2">
        <f>[1]!YBHIST("FNMA5.0-GEN",$A5,"Yield","tba","")</f>
        <v>0.80900000000000005</v>
      </c>
      <c r="AL5" s="2">
        <f>[1]!YBHIST("FNMA5.5-GEN",$A5,"Yield","tba","")</f>
        <v>1.0860000000000001</v>
      </c>
      <c r="AM5" s="6">
        <f>[1]!YBHIST("FNMA6.0-GEN",$A5,"Yield","tba","")</f>
        <v>0.753</v>
      </c>
      <c r="AN5" s="3">
        <f>[1]!YBHIST(AN$4,$A5,"Price","sec","")</f>
        <v>12.047000000000001</v>
      </c>
      <c r="AO5" s="2">
        <f>[1]!YBHIST(AO$4,$A5,"Price","sec","")</f>
        <v>13.077999999999999</v>
      </c>
      <c r="AP5" s="2">
        <f>[1]!YBHIST(AP$4,$A5,"Price","sec","")</f>
        <v>11.093999999999999</v>
      </c>
      <c r="AQ5" s="2">
        <f>[1]!YBHIST(AQ$4,$A5,"Price","sec","")</f>
        <v>14.672000000000001</v>
      </c>
      <c r="AR5" s="2">
        <f>[1]!YBHIST(AR$4,$A5,"Price","sec","")</f>
        <v>12.593999999999999</v>
      </c>
      <c r="AS5" s="2">
        <f>[1]!YBHIST(AS$4,$A5,"Price","sec","")</f>
        <v>17.547001000000002</v>
      </c>
      <c r="AT5" s="2">
        <f>[1]!YBHIST(AT$4,$A5,"Price","sec","")</f>
        <v>15.375</v>
      </c>
      <c r="AU5" s="2">
        <f>[1]!YBHIST(AU$4,$A5,"Price","sec","")</f>
        <v>10.718999999999999</v>
      </c>
      <c r="AV5" s="2">
        <f>[1]!YBHIST(AV$4,$A5,"Price","sec","")</f>
        <v>13.577999999999999</v>
      </c>
      <c r="AW5" s="2">
        <f>[1]!YBHIST(AW$4,$A5,"Price","sec","")</f>
        <v>13.25</v>
      </c>
      <c r="AX5" s="2">
        <f>[1]!YBHIST(AX$4,$A5,"Price","sec","")</f>
        <v>11.688000000000001</v>
      </c>
      <c r="AY5" s="2">
        <f>[1]!YBHIST(AY$4,$A5,"Price","sec","")</f>
        <v>15.172000000000001</v>
      </c>
      <c r="AZ5" s="2">
        <f>[1]!YBHIST(AZ$4,$A5,"Price","sec","")</f>
        <v>14.327999999999999</v>
      </c>
      <c r="BA5" s="2">
        <f>[1]!YBHIST(BA$4,$A5,"Price","sec","")</f>
        <v>13.968999999999999</v>
      </c>
      <c r="BB5" s="2">
        <f>[1]!YBHIST(BB$4,$A5,"Price","sec","")</f>
        <v>16.969000000000001</v>
      </c>
      <c r="BC5" s="2">
        <f>[1]!YBHIST(BC$4,$A5,"Price","sec","")</f>
        <v>17.344000000000001</v>
      </c>
      <c r="BD5" s="2">
        <f>[1]!YBHIST(BD$4,$A5,"Price","sec","")</f>
        <v>17.202998999999998</v>
      </c>
      <c r="BE5" s="6">
        <f>[1]!YBHIST(BE$4,$A5,"Price","sec","")</f>
        <v>18.483999000000001</v>
      </c>
      <c r="BF5" s="20">
        <f>[1]!YBHIST(BF$4,$A5,"LMMOAS","sec","")</f>
        <v>591.94232199999999</v>
      </c>
      <c r="BG5" s="20">
        <f>[1]!YBHIST(BG$4,$A5,"LMMOAS","sec","")</f>
        <v>574.16229199999998</v>
      </c>
      <c r="BH5" s="20">
        <f>[1]!YBHIST(BH$4,$A5,"LMMOAS","sec","")</f>
        <v>615.33850099999995</v>
      </c>
      <c r="BI5" s="20">
        <f>[1]!YBHIST(BI$4,$A5,"LMMOAS","sec","")</f>
        <v>536.27062999999998</v>
      </c>
      <c r="BJ5" s="20">
        <f>[1]!YBHIST(BJ$4,$A5,"LMMOAS","sec","")</f>
        <v>540.84082000000001</v>
      </c>
      <c r="BK5" s="20">
        <f>[1]!YBHIST(BK$4,$A5,"LMMOAS","sec","")</f>
        <v>516.51141399999995</v>
      </c>
      <c r="BL5" s="20">
        <f>[1]!YBHIST(BL$4,$A5,"LMMOAS","sec","")</f>
        <v>588.10711700000002</v>
      </c>
      <c r="BM5" s="20">
        <f>[1]!YBHIST(BM$4,$A5,"LMMOAS","sec","")</f>
        <v>284.82959</v>
      </c>
      <c r="BN5" s="20">
        <f>[1]!YBHIST(BN$4,$A5,"LMMOAS","sec","")</f>
        <v>320.89209</v>
      </c>
      <c r="BO5" s="20">
        <f>[1]!YBHIST(BO$4,$A5,"LMMOAS","sec","")</f>
        <v>526.38220200000001</v>
      </c>
      <c r="BP5" s="20">
        <f>[1]!YBHIST(BP$4,$A5,"LMMOAS","sec","")</f>
        <v>471.05410799999999</v>
      </c>
      <c r="BQ5" s="20">
        <f>[1]!YBHIST(BQ$4,$A5,"LMMOAS","sec","")</f>
        <v>621.16168200000004</v>
      </c>
      <c r="BR5" s="20">
        <f>[1]!YBHIST(BR$4,$A5,"LMMOAS","sec","")</f>
        <v>785.79656999999997</v>
      </c>
      <c r="BS5" s="20">
        <f>[1]!YBHIST(BS$4,$A5,"LMMOAS","sec","")</f>
        <v>373.368988</v>
      </c>
      <c r="BT5" s="20">
        <f>[1]!YBHIST(BT$4,$A5,"LMMOAS","sec","")</f>
        <v>543.54797399999995</v>
      </c>
      <c r="BU5" s="20">
        <f>[1]!YBHIST(BU$4,$A5,"LMMOAS","sec","")</f>
        <v>395.02960200000001</v>
      </c>
      <c r="BV5" s="20">
        <f>[1]!YBHIST(BV$4,$A5,"LMMOAS","sec","")</f>
        <v>473.41931199999999</v>
      </c>
      <c r="BW5" s="20">
        <f>[1]!YBHIST(BW$4,$A5,"LMMOAS","sec","")</f>
        <v>397.30270400000001</v>
      </c>
      <c r="BX5" s="5"/>
      <c r="BY5" s="1"/>
      <c r="BZ5" s="1"/>
    </row>
    <row r="6" spans="1:80" x14ac:dyDescent="0.25">
      <c r="A6" s="14">
        <f>[1]!YBWORKDAY(A$5,-1*(ROW()-ROW(A$5)),"USD","")</f>
        <v>41271</v>
      </c>
      <c r="B6" s="3">
        <f>[1]!YBHIST("2 Year Treasury",$A6,"Price","govt","")</f>
        <v>99.741996999999998</v>
      </c>
      <c r="C6" s="2">
        <f>[1]!YBHIST("5 Year Treasury",$A6,"Price","govt","")</f>
        <v>100.164001</v>
      </c>
      <c r="D6" s="2">
        <f>[1]!YBHIST("10 Year Treasury",$A6,"Price","govt","")</f>
        <v>99.25</v>
      </c>
      <c r="E6" s="6">
        <f>[1]!YBHIST("30 Year Treasury",$A6,"Price","govt","")</f>
        <v>97.405997999999997</v>
      </c>
      <c r="F6" s="3">
        <f>[1]!YBHIST("2 Year Treasury",$A6,"YldtoMat","govt","")</f>
        <v>0.254</v>
      </c>
      <c r="G6" s="2">
        <f>[1]!YBHIST("5 Year Treasury",$A6,"YldtoMat","govt","")</f>
        <v>0.71699999999999997</v>
      </c>
      <c r="H6" s="2">
        <f>[1]!YBHIST("10 Year Treasury",$A6,"YldtoMat","govt","")</f>
        <v>1.708</v>
      </c>
      <c r="I6" s="6">
        <f>[1]!YBHIST("30 Year Treasury",$A6,"YldtoMat","govt","")</f>
        <v>2.88</v>
      </c>
      <c r="J6" s="3">
        <f>[1]!YBHIST("2yr Swap Rate",$A6,"YldtoMat","swapvol","")</f>
        <v>0.39317600000000003</v>
      </c>
      <c r="K6" s="2">
        <f>[1]!YBHIST("5yr Swap Rate",$A6,"YldtoMat","swapvol","")</f>
        <v>0.83407200000000004</v>
      </c>
      <c r="L6" s="2">
        <f>[1]!YBHIST("10yr Swap Rate",$A6,"YldtoMat","swapvol","")</f>
        <v>1.7664899999999999</v>
      </c>
      <c r="M6" s="6">
        <f>[1]!YBHIST("30yr Swap Rate",$A6,"YldtoMat","swapvol","")</f>
        <v>2.7134100000000001</v>
      </c>
      <c r="N6" s="3">
        <f>[1]!YBHIST("FNMA 30YR Cur Coup (BE)",$A6,"Yield","bmk","")</f>
        <v>2.1890000000000001</v>
      </c>
      <c r="O6" s="2">
        <f>[1]!YBHIST("FHLMC 30YR Cur Coup (BE)",$A6,"Yield","bmk","")</f>
        <v>2.2349999999999999</v>
      </c>
      <c r="P6" s="2">
        <f>[1]!YBHIST("GNMA 30YR Cur Coup (BE)",$A6,"Yield","bmk","")</f>
        <v>2.1030000000000002</v>
      </c>
      <c r="Q6" s="2">
        <f>[1]!YBHIST("Primary 30-Yr Mtg Rate",$A6,"Yield","bmk","")</f>
        <v>3.5034999999999998</v>
      </c>
      <c r="R6" s="2">
        <f>[1]!YBHIST("FHLM 30-Yr Survey Rate",$A6,"Yield","bmk","")</f>
        <v>3.35</v>
      </c>
      <c r="S6" s="6">
        <f>[1]!YBHIST("Base Mortgage Rate",$A6,"Yield","bmk","")</f>
        <v>2.5259999999999998</v>
      </c>
      <c r="T6" s="18">
        <f>[1]!YBHIST("FNMA 30YR Cur Coup (BE)",$A6,"LMMOAS","bmk","")</f>
        <v>-8.7543000000000006</v>
      </c>
      <c r="U6" s="19">
        <f>[1]!YBHIST("FHLMC 30YR Cur Coup (BE)",$A6,"LMMOAS","bmk","")</f>
        <v>-2.4958999999999998</v>
      </c>
      <c r="V6" s="19">
        <f>[1]!YBHIST("GNMA 30YR Cur Coup (BE)",$A6,"LMMOAS","bmk","")</f>
        <v>-27.190799999999999</v>
      </c>
      <c r="W6" s="20">
        <f t="shared" si="0"/>
        <v>48.100000000000009</v>
      </c>
      <c r="X6" s="20">
        <f t="shared" si="1"/>
        <v>48.100000000000009</v>
      </c>
      <c r="Y6" s="20">
        <f t="shared" si="2"/>
        <v>52.699999999999989</v>
      </c>
      <c r="Z6" s="25">
        <f>[1]!YBHIST("FNMA3.0-GEN",$A6,"Price","tba","")</f>
        <v>104.820312</v>
      </c>
      <c r="AA6" s="2">
        <f>[1]!YBHIST("FNMA3.5-GEN",$A6,"Price","tba","")</f>
        <v>106.59375</v>
      </c>
      <c r="AB6" s="2">
        <f>[1]!YBHIST("FNMA4.0-GEN",$A6,"Price","tba","")</f>
        <v>107.148438</v>
      </c>
      <c r="AC6" s="2">
        <f>[1]!YBHIST("FNMA4.5-GEN",$A6,"Price","tba","")</f>
        <v>107.953125</v>
      </c>
      <c r="AD6" s="2">
        <f>[1]!YBHIST("FNMA5.0-GEN",$A6,"Price","tba","")</f>
        <v>108.28125</v>
      </c>
      <c r="AE6" s="2">
        <f>[1]!YBHIST("FNMA5.5-GEN",$A6,"Price","tba","")</f>
        <v>108.625</v>
      </c>
      <c r="AF6" s="6">
        <f>[1]!YBHIST("FNMA6.0-GEN",$A6,"Price","tba","")</f>
        <v>109.234375</v>
      </c>
      <c r="AG6" s="2">
        <f>[1]!YBHIST("FNMA3.0-GEN",$A6,"Yield","tba","")</f>
        <v>1.931</v>
      </c>
      <c r="AH6" s="2">
        <f>[1]!YBHIST("FNMA3.5-GEN",$A6,"Yield","tba","")</f>
        <v>1.589</v>
      </c>
      <c r="AI6" s="2">
        <f>[1]!YBHIST("FNMA4.0-GEN",$A6,"Yield","tba","")</f>
        <v>1.4379999999999999</v>
      </c>
      <c r="AJ6" s="2">
        <f>[1]!YBHIST("FNMA4.5-GEN",$A6,"Yield","tba","")</f>
        <v>1.411</v>
      </c>
      <c r="AK6" s="2">
        <f>[1]!YBHIST("FNMA5.0-GEN",$A6,"Yield","tba","")</f>
        <v>0.82299999999999995</v>
      </c>
      <c r="AL6" s="2">
        <f>[1]!YBHIST("FNMA5.5-GEN",$A6,"Yield","tba","")</f>
        <v>1.083</v>
      </c>
      <c r="AM6" s="6">
        <f>[1]!YBHIST("FNMA6.0-GEN",$A6,"Yield","tba","")</f>
        <v>0.74099999999999999</v>
      </c>
      <c r="AN6" s="3">
        <f>[1]!YBHIST(AN$4,$A6,"Price","sec","")</f>
        <v>12.047000000000001</v>
      </c>
      <c r="AO6" s="2">
        <f>[1]!YBHIST(AO$4,$A6,"Price","sec","")</f>
        <v>13.077999999999999</v>
      </c>
      <c r="AP6" s="2">
        <f>[1]!YBHIST(AP$4,$A6,"Price","sec","")</f>
        <v>11.093999999999999</v>
      </c>
      <c r="AQ6" s="2">
        <f>[1]!YBHIST(AQ$4,$A6,"Price","sec","")</f>
        <v>14.672000000000001</v>
      </c>
      <c r="AR6" s="2">
        <f>[1]!YBHIST(AR$4,$A6,"Price","sec","")</f>
        <v>12.593999999999999</v>
      </c>
      <c r="AS6" s="2">
        <f>[1]!YBHIST(AS$4,$A6,"Price","sec","")</f>
        <v>17.547001000000002</v>
      </c>
      <c r="AT6" s="2">
        <f>[1]!YBHIST(AT$4,$A6,"Price","sec","")</f>
        <v>15.375</v>
      </c>
      <c r="AU6" s="2">
        <f>[1]!YBHIST(AU$4,$A6,"Price","sec","")</f>
        <v>10.718999999999999</v>
      </c>
      <c r="AV6" s="2">
        <f>[1]!YBHIST(AV$4,$A6,"Price","sec","")</f>
        <v>13.577999999999999</v>
      </c>
      <c r="AW6" s="2">
        <f>[1]!YBHIST(AW$4,$A6,"Price","sec","")</f>
        <v>13.25</v>
      </c>
      <c r="AX6" s="2">
        <f>[1]!YBHIST(AX$4,$A6,"Price","sec","")</f>
        <v>11.688000000000001</v>
      </c>
      <c r="AY6" s="2">
        <f>[1]!YBHIST(AY$4,$A6,"Price","sec","")</f>
        <v>15.172000000000001</v>
      </c>
      <c r="AZ6" s="2">
        <f>[1]!YBHIST(AZ$4,$A6,"Price","sec","")</f>
        <v>14.327999999999999</v>
      </c>
      <c r="BA6" s="2">
        <f>[1]!YBHIST(BA$4,$A6,"Price","sec","")</f>
        <v>13.968999999999999</v>
      </c>
      <c r="BB6" s="2">
        <f>[1]!YBHIST(BB$4,$A6,"Price","sec","")</f>
        <v>16.969000000000001</v>
      </c>
      <c r="BC6" s="2">
        <f>[1]!YBHIST(BC$4,$A6,"Price","sec","")</f>
        <v>17.344000000000001</v>
      </c>
      <c r="BD6" s="2">
        <f>[1]!YBHIST(BD$4,$A6,"Price","sec","")</f>
        <v>17.202998999999998</v>
      </c>
      <c r="BE6" s="6">
        <f>[1]!YBHIST(BE$4,$A6,"Price","sec","")</f>
        <v>18.483999000000001</v>
      </c>
      <c r="BF6" s="20">
        <f>[1]!YBHIST(BF$4,$A6,"LMMOAS","sec","")</f>
        <v>570.78802499999995</v>
      </c>
      <c r="BG6" s="20">
        <f>[1]!YBHIST(BG$4,$A6,"LMMOAS","sec","")</f>
        <v>554.01147500000002</v>
      </c>
      <c r="BH6" s="20">
        <f>[1]!YBHIST(BH$4,$A6,"LMMOAS","sec","")</f>
        <v>594.52227800000003</v>
      </c>
      <c r="BI6" s="20">
        <f>[1]!YBHIST(BI$4,$A6,"LMMOAS","sec","")</f>
        <v>517.35089100000005</v>
      </c>
      <c r="BJ6" s="20">
        <f>[1]!YBHIST(BJ$4,$A6,"LMMOAS","sec","")</f>
        <v>521.46502699999996</v>
      </c>
      <c r="BK6" s="20">
        <f>[1]!YBHIST(BK$4,$A6,"LMMOAS","sec","")</f>
        <v>501.09619099999998</v>
      </c>
      <c r="BL6" s="20">
        <f>[1]!YBHIST(BL$4,$A6,"LMMOAS","sec","")</f>
        <v>571.10540800000001</v>
      </c>
      <c r="BM6" s="20">
        <f>[1]!YBHIST(BM$4,$A6,"LMMOAS","sec","")</f>
        <v>266.14160199999998</v>
      </c>
      <c r="BN6" s="20">
        <f>[1]!YBHIST(BN$4,$A6,"LMMOAS","sec","")</f>
        <v>308.13738999999998</v>
      </c>
      <c r="BO6" s="20">
        <f>[1]!YBHIST(BO$4,$A6,"LMMOAS","sec","")</f>
        <v>516.919128</v>
      </c>
      <c r="BP6" s="20">
        <f>[1]!YBHIST(BP$4,$A6,"LMMOAS","sec","")</f>
        <v>454.388214</v>
      </c>
      <c r="BQ6" s="20">
        <f>[1]!YBHIST(BQ$4,$A6,"LMMOAS","sec","")</f>
        <v>610.93170199999997</v>
      </c>
      <c r="BR6" s="20">
        <f>[1]!YBHIST(BR$4,$A6,"LMMOAS","sec","")</f>
        <v>777.58667000000003</v>
      </c>
      <c r="BS6" s="20">
        <f>[1]!YBHIST(BS$4,$A6,"LMMOAS","sec","")</f>
        <v>359.59201000000002</v>
      </c>
      <c r="BT6" s="20">
        <f>[1]!YBHIST(BT$4,$A6,"LMMOAS","sec","")</f>
        <v>534.83349599999997</v>
      </c>
      <c r="BU6" s="20">
        <f>[1]!YBHIST(BU$4,$A6,"LMMOAS","sec","")</f>
        <v>377.06021099999998</v>
      </c>
      <c r="BV6" s="20">
        <f>[1]!YBHIST(BV$4,$A6,"LMMOAS","sec","")</f>
        <v>456.16861</v>
      </c>
      <c r="BW6" s="20">
        <f>[1]!YBHIST(BW$4,$A6,"LMMOAS","sec","")</f>
        <v>382.05130000000003</v>
      </c>
      <c r="BX6" s="5"/>
      <c r="BY6" s="1"/>
      <c r="BZ6" s="1"/>
    </row>
    <row r="7" spans="1:80" x14ac:dyDescent="0.25">
      <c r="A7" s="14">
        <f>[1]!YBWORKDAY(A$5,-1*(ROW()-ROW(A$5)),"USD","")</f>
        <v>41270</v>
      </c>
      <c r="B7" s="3">
        <f>[1]!YBHIST("2 Year Treasury",$A7,"Price","govt","")</f>
        <v>99.726996999999997</v>
      </c>
      <c r="C7" s="2">
        <f>[1]!YBHIST("5 Year Treasury",$A7,"Price","govt","")</f>
        <v>100.148003</v>
      </c>
      <c r="D7" s="2">
        <f>[1]!YBHIST("10 Year Treasury",$A7,"Price","govt","")</f>
        <v>99.171997000000005</v>
      </c>
      <c r="E7" s="6">
        <f>[1]!YBHIST("30 Year Treasury",$A7,"Price","govt","")</f>
        <v>97.390998999999994</v>
      </c>
      <c r="F7" s="3">
        <f>[1]!YBHIST("2 Year Treasury",$A7,"YldtoMat","govt","")</f>
        <v>0.26200000000000001</v>
      </c>
      <c r="G7" s="2">
        <f>[1]!YBHIST("5 Year Treasury",$A7,"YldtoMat","govt","")</f>
        <v>0.72</v>
      </c>
      <c r="H7" s="2">
        <f>[1]!YBHIST("10 Year Treasury",$A7,"YldtoMat","govt","")</f>
        <v>1.716</v>
      </c>
      <c r="I7" s="6">
        <f>[1]!YBHIST("30 Year Treasury",$A7,"YldtoMat","govt","")</f>
        <v>2.8809999999999998</v>
      </c>
      <c r="J7" s="3">
        <f>[1]!YBHIST("2yr Swap Rate",$A7,"YldtoMat","swapvol","")</f>
        <v>0.40415600000000002</v>
      </c>
      <c r="K7" s="2">
        <f>[1]!YBHIST("5yr Swap Rate",$A7,"YldtoMat","swapvol","")</f>
        <v>0.84337200000000001</v>
      </c>
      <c r="L7" s="2">
        <f>[1]!YBHIST("10yr Swap Rate",$A7,"YldtoMat","swapvol","")</f>
        <v>1.778338</v>
      </c>
      <c r="M7" s="6">
        <f>[1]!YBHIST("30yr Swap Rate",$A7,"YldtoMat","swapvol","")</f>
        <v>2.7118929999999999</v>
      </c>
      <c r="N7" s="3">
        <f>[1]!YBHIST("FNMA 30YR Cur Coup (BE)",$A7,"Yield","bmk","")</f>
        <v>2.1819999999999999</v>
      </c>
      <c r="O7" s="2">
        <f>[1]!YBHIST("FHLMC 30YR Cur Coup (BE)",$A7,"Yield","bmk","")</f>
        <v>2.2280000000000002</v>
      </c>
      <c r="P7" s="2">
        <f>[1]!YBHIST("GNMA 30YR Cur Coup (BE)",$A7,"Yield","bmk","")</f>
        <v>2.0960000000000001</v>
      </c>
      <c r="Q7" s="2">
        <f>[1]!YBHIST("Primary 30-Yr Mtg Rate",$A7,"Yield","bmk","")</f>
        <v>3.4964</v>
      </c>
      <c r="R7" s="2">
        <f>[1]!YBHIST("FHLM 30-Yr Survey Rate",$A7,"Yield","bmk","")</f>
        <v>3.35</v>
      </c>
      <c r="S7" s="6">
        <f>[1]!YBHIST("Base Mortgage Rate",$A7,"Yield","bmk","")</f>
        <v>2.5190000000000001</v>
      </c>
      <c r="T7" s="18">
        <f>[1]!YBHIST("FNMA 30YR Cur Coup (BE)",$A7,"LMMOAS","bmk","")</f>
        <v>-10.094099999999999</v>
      </c>
      <c r="U7" s="19">
        <f>[1]!YBHIST("FHLMC 30YR Cur Coup (BE)",$A7,"LMMOAS","bmk","")</f>
        <v>-3.9386999999999999</v>
      </c>
      <c r="V7" s="19">
        <f>[1]!YBHIST("GNMA 30YR Cur Coup (BE)",$A7,"LMMOAS","bmk","")</f>
        <v>-28.395201</v>
      </c>
      <c r="W7" s="20">
        <f t="shared" si="0"/>
        <v>46.599999999999994</v>
      </c>
      <c r="X7" s="20">
        <f t="shared" si="1"/>
        <v>46.599999999999994</v>
      </c>
      <c r="Y7" s="20">
        <f t="shared" si="2"/>
        <v>51.200000000000024</v>
      </c>
      <c r="Z7" s="25">
        <f>[1]!YBHIST("FNMA3.0-GEN",$A7,"Price","tba","")</f>
        <v>104.835938</v>
      </c>
      <c r="AA7" s="2">
        <f>[1]!YBHIST("FNMA3.5-GEN",$A7,"Price","tba","")</f>
        <v>106.59375</v>
      </c>
      <c r="AB7" s="2">
        <f>[1]!YBHIST("FNMA4.0-GEN",$A7,"Price","tba","")</f>
        <v>107.125</v>
      </c>
      <c r="AC7" s="2">
        <f>[1]!YBHIST("FNMA4.5-GEN",$A7,"Price","tba","")</f>
        <v>107.921875</v>
      </c>
      <c r="AD7" s="2">
        <f>[1]!YBHIST("FNMA5.0-GEN",$A7,"Price","tba","")</f>
        <v>108.265625</v>
      </c>
      <c r="AE7" s="2">
        <f>[1]!YBHIST("FNMA5.5-GEN",$A7,"Price","tba","")</f>
        <v>108.625</v>
      </c>
      <c r="AF7" s="6">
        <f>[1]!YBHIST("FNMA6.0-GEN",$A7,"Price","tba","")</f>
        <v>109.25</v>
      </c>
      <c r="AG7" s="2">
        <f>[1]!YBHIST("FNMA3.0-GEN",$A7,"Yield","tba","")</f>
        <v>1.9219999999999999</v>
      </c>
      <c r="AH7" s="2">
        <f>[1]!YBHIST("FNMA3.5-GEN",$A7,"Yield","tba","")</f>
        <v>1.58</v>
      </c>
      <c r="AI7" s="2">
        <f>[1]!YBHIST("FNMA4.0-GEN",$A7,"Yield","tba","")</f>
        <v>1.4379999999999999</v>
      </c>
      <c r="AJ7" s="2">
        <f>[1]!YBHIST("FNMA4.5-GEN",$A7,"Yield","tba","")</f>
        <v>1.415</v>
      </c>
      <c r="AK7" s="2">
        <f>[1]!YBHIST("FNMA5.0-GEN",$A7,"Yield","tba","")</f>
        <v>0.82299999999999995</v>
      </c>
      <c r="AL7" s="2">
        <f>[1]!YBHIST("FNMA5.5-GEN",$A7,"Yield","tba","")</f>
        <v>1.0780000000000001</v>
      </c>
      <c r="AM7" s="6">
        <f>[1]!YBHIST("FNMA6.0-GEN",$A7,"Yield","tba","")</f>
        <v>0.72799999999999998</v>
      </c>
      <c r="AN7" s="3">
        <f>[1]!YBHIST(AN$4,$A7,"Price","sec","")</f>
        <v>12.031000000000001</v>
      </c>
      <c r="AO7" s="2">
        <f>[1]!YBHIST(AO$4,$A7,"Price","sec","")</f>
        <v>13.047000000000001</v>
      </c>
      <c r="AP7" s="2">
        <f>[1]!YBHIST(AP$4,$A7,"Price","sec","")</f>
        <v>11.077999999999999</v>
      </c>
      <c r="AQ7" s="2">
        <f>[1]!YBHIST(AQ$4,$A7,"Price","sec","")</f>
        <v>14.656000000000001</v>
      </c>
      <c r="AR7" s="2">
        <f>[1]!YBHIST(AR$4,$A7,"Price","sec","")</f>
        <v>12.577999999999999</v>
      </c>
      <c r="AS7" s="2">
        <f>[1]!YBHIST(AS$4,$A7,"Price","sec","")</f>
        <v>17.530999999999999</v>
      </c>
      <c r="AT7" s="2">
        <f>[1]!YBHIST(AT$4,$A7,"Price","sec","")</f>
        <v>15.359</v>
      </c>
      <c r="AU7" s="2">
        <f>[1]!YBHIST(AU$4,$A7,"Price","sec","")</f>
        <v>10.702999999999999</v>
      </c>
      <c r="AV7" s="2">
        <f>[1]!YBHIST(AV$4,$A7,"Price","sec","")</f>
        <v>13.561999999999999</v>
      </c>
      <c r="AW7" s="2">
        <f>[1]!YBHIST(AW$4,$A7,"Price","sec","")</f>
        <v>13.234</v>
      </c>
      <c r="AX7" s="2">
        <f>[1]!YBHIST(AX$4,$A7,"Price","sec","")</f>
        <v>11.672000000000001</v>
      </c>
      <c r="AY7" s="2">
        <f>[1]!YBHIST(AY$4,$A7,"Price","sec","")</f>
        <v>15.156000000000001</v>
      </c>
      <c r="AZ7" s="2">
        <f>[1]!YBHIST(AZ$4,$A7,"Price","sec","")</f>
        <v>14.327999999999999</v>
      </c>
      <c r="BA7" s="2">
        <f>[1]!YBHIST(BA$4,$A7,"Price","sec","")</f>
        <v>13.952999999999999</v>
      </c>
      <c r="BB7" s="2">
        <f>[1]!YBHIST(BB$4,$A7,"Price","sec","")</f>
        <v>16.969000000000001</v>
      </c>
      <c r="BC7" s="2">
        <f>[1]!YBHIST(BC$4,$A7,"Price","sec","")</f>
        <v>17.327998999999998</v>
      </c>
      <c r="BD7" s="2">
        <f>[1]!YBHIST(BD$4,$A7,"Price","sec","")</f>
        <v>17.187999999999999</v>
      </c>
      <c r="BE7" s="6">
        <f>[1]!YBHIST(BE$4,$A7,"Price","sec","")</f>
        <v>18.469000000000001</v>
      </c>
      <c r="BF7" s="20">
        <f>[1]!YBHIST(BF$4,$A7,"LMMOAS","sec","")</f>
        <v>570.00201400000003</v>
      </c>
      <c r="BG7" s="20">
        <f>[1]!YBHIST(BG$4,$A7,"LMMOAS","sec","")</f>
        <v>555.94097899999997</v>
      </c>
      <c r="BH7" s="20">
        <f>[1]!YBHIST(BH$4,$A7,"LMMOAS","sec","")</f>
        <v>593.94281000000001</v>
      </c>
      <c r="BI7" s="20">
        <f>[1]!YBHIST(BI$4,$A7,"LMMOAS","sec","")</f>
        <v>516.92401099999995</v>
      </c>
      <c r="BJ7" s="20">
        <f>[1]!YBHIST(BJ$4,$A7,"LMMOAS","sec","")</f>
        <v>521.887878</v>
      </c>
      <c r="BK7" s="20">
        <f>[1]!YBHIST(BK$4,$A7,"LMMOAS","sec","")</f>
        <v>502.21069299999999</v>
      </c>
      <c r="BL7" s="20">
        <f>[1]!YBHIST(BL$4,$A7,"LMMOAS","sec","")</f>
        <v>572.72131300000001</v>
      </c>
      <c r="BM7" s="20">
        <f>[1]!YBHIST(BM$4,$A7,"LMMOAS","sec","")</f>
        <v>270.63919099999998</v>
      </c>
      <c r="BN7" s="20">
        <f>[1]!YBHIST(BN$4,$A7,"LMMOAS","sec","")</f>
        <v>311.64239500000002</v>
      </c>
      <c r="BO7" s="20">
        <f>[1]!YBHIST(BO$4,$A7,"LMMOAS","sec","")</f>
        <v>522.55102499999998</v>
      </c>
      <c r="BP7" s="20">
        <f>[1]!YBHIST(BP$4,$A7,"LMMOAS","sec","")</f>
        <v>460.66540500000002</v>
      </c>
      <c r="BQ7" s="20">
        <f>[1]!YBHIST(BQ$4,$A7,"LMMOAS","sec","")</f>
        <v>615.27117899999996</v>
      </c>
      <c r="BR7" s="20">
        <f>[1]!YBHIST(BR$4,$A7,"LMMOAS","sec","")</f>
        <v>780.56402600000001</v>
      </c>
      <c r="BS7" s="20">
        <f>[1]!YBHIST(BS$4,$A7,"LMMOAS","sec","")</f>
        <v>365.79748499999999</v>
      </c>
      <c r="BT7" s="20">
        <f>[1]!YBHIST(BT$4,$A7,"LMMOAS","sec","")</f>
        <v>538.38800000000003</v>
      </c>
      <c r="BU7" s="20">
        <f>[1]!YBHIST(BU$4,$A7,"LMMOAS","sec","")</f>
        <v>376.76919600000002</v>
      </c>
      <c r="BV7" s="20">
        <f>[1]!YBHIST(BV$4,$A7,"LMMOAS","sec","")</f>
        <v>455.15301499999998</v>
      </c>
      <c r="BW7" s="20">
        <f>[1]!YBHIST(BW$4,$A7,"LMMOAS","sec","")</f>
        <v>381.50408900000002</v>
      </c>
      <c r="BX7" s="5"/>
      <c r="BY7" s="1"/>
      <c r="BZ7" s="1"/>
    </row>
    <row r="8" spans="1:80" x14ac:dyDescent="0.25">
      <c r="A8" s="14">
        <f>[1]!YBWORKDAY(A$5,-1*(ROW()-ROW(A$5)),"USD","")</f>
        <v>41269</v>
      </c>
      <c r="B8" s="3">
        <f>[1]!YBHIST("2 Year Treasury",$A8,"Price","govt","")</f>
        <v>99.710999000000001</v>
      </c>
      <c r="C8" s="2">
        <f>[1]!YBHIST("5 Year Treasury",$A8,"Price","govt","")</f>
        <v>99.938004000000006</v>
      </c>
      <c r="D8" s="2">
        <f>[1]!YBHIST("10 Year Treasury",$A8,"Price","govt","")</f>
        <v>98.796997000000005</v>
      </c>
      <c r="E8" s="6">
        <f>[1]!YBHIST("30 Year Treasury",$A8,"Price","govt","")</f>
        <v>96.344002000000003</v>
      </c>
      <c r="F8" s="3">
        <f>[1]!YBHIST("2 Year Treasury",$A8,"YldtoMat","govt","")</f>
        <v>0.27</v>
      </c>
      <c r="G8" s="2">
        <f>[1]!YBHIST("5 Year Treasury",$A8,"YldtoMat","govt","")</f>
        <v>0.76300000000000001</v>
      </c>
      <c r="H8" s="2">
        <f>[1]!YBHIST("10 Year Treasury",$A8,"YldtoMat","govt","")</f>
        <v>1.758</v>
      </c>
      <c r="I8" s="6">
        <f>[1]!YBHIST("30 Year Treasury",$A8,"YldtoMat","govt","")</f>
        <v>2.9340000000000002</v>
      </c>
      <c r="J8" s="3">
        <f>[1]!YBHIST("2yr Swap Rate",$A8,"YldtoMat","swapvol","")</f>
        <v>0.40874199999999999</v>
      </c>
      <c r="K8" s="2">
        <f>[1]!YBHIST("5yr Swap Rate",$A8,"YldtoMat","swapvol","")</f>
        <v>0.882355</v>
      </c>
      <c r="L8" s="2">
        <f>[1]!YBHIST("10yr Swap Rate",$A8,"YldtoMat","swapvol","")</f>
        <v>1.816595</v>
      </c>
      <c r="M8" s="6">
        <f>[1]!YBHIST("30yr Swap Rate",$A8,"YldtoMat","swapvol","")</f>
        <v>2.7518150000000001</v>
      </c>
      <c r="N8" s="3">
        <f>[1]!YBHIST("FNMA 30YR Cur Coup (BE)",$A8,"Yield","bmk","")</f>
        <v>2.2040000000000002</v>
      </c>
      <c r="O8" s="2">
        <f>[1]!YBHIST("FHLMC 30YR Cur Coup (BE)",$A8,"Yield","bmk","")</f>
        <v>2.25</v>
      </c>
      <c r="P8" s="2">
        <f>[1]!YBHIST("GNMA 30YR Cur Coup (BE)",$A8,"Yield","bmk","")</f>
        <v>2.1179999999999999</v>
      </c>
      <c r="Q8" s="2">
        <f>[1]!YBHIST("Primary 30-Yr Mtg Rate",$A8,"Yield","bmk","")</f>
        <v>3.5276999999999998</v>
      </c>
      <c r="R8" s="2">
        <f>[1]!YBHIST("FHLM 30-Yr Survey Rate",$A8,"Yield","bmk","")</f>
        <v>3.37</v>
      </c>
      <c r="S8" s="6">
        <f>[1]!YBHIST("Base Mortgage Rate",$A8,"Yield","bmk","")</f>
        <v>2.5409999999999999</v>
      </c>
      <c r="T8" s="18">
        <f>[1]!YBHIST("FNMA 30YR Cur Coup (BE)",$A8,"LMMOAS","bmk","")</f>
        <v>-11.6707</v>
      </c>
      <c r="U8" s="19">
        <f>[1]!YBHIST("FHLMC 30YR Cur Coup (BE)",$A8,"LMMOAS","bmk","")</f>
        <v>-5.2914000000000003</v>
      </c>
      <c r="V8" s="19">
        <f>[1]!YBHIST("GNMA 30YR Cur Coup (BE)",$A8,"LMMOAS","bmk","")</f>
        <v>-30.809401000000001</v>
      </c>
      <c r="W8" s="20">
        <f t="shared" si="0"/>
        <v>44.600000000000016</v>
      </c>
      <c r="X8" s="20">
        <f t="shared" si="1"/>
        <v>44.600000000000016</v>
      </c>
      <c r="Y8" s="20">
        <f t="shared" si="2"/>
        <v>49.2</v>
      </c>
      <c r="Z8" s="25">
        <f>[1]!YBHIST("FNMA3.0-GEN",$A8,"Price","tba","")</f>
        <v>104.703125</v>
      </c>
      <c r="AA8" s="2">
        <f>[1]!YBHIST("FNMA3.5-GEN",$A8,"Price","tba","")</f>
        <v>106.507812</v>
      </c>
      <c r="AB8" s="2">
        <f>[1]!YBHIST("FNMA4.0-GEN",$A8,"Price","tba","")</f>
        <v>107.070312</v>
      </c>
      <c r="AC8" s="2">
        <f>[1]!YBHIST("FNMA4.5-GEN",$A8,"Price","tba","")</f>
        <v>107.867188</v>
      </c>
      <c r="AD8" s="2">
        <f>[1]!YBHIST("FNMA5.0-GEN",$A8,"Price","tba","")</f>
        <v>108.28125</v>
      </c>
      <c r="AE8" s="2">
        <f>[1]!YBHIST("FNMA5.5-GEN",$A8,"Price","tba","")</f>
        <v>108.625</v>
      </c>
      <c r="AF8" s="6">
        <f>[1]!YBHIST("FNMA6.0-GEN",$A8,"Price","tba","")</f>
        <v>109.289062</v>
      </c>
      <c r="AG8" s="2">
        <f>[1]!YBHIST("FNMA3.0-GEN",$A8,"Yield","tba","")</f>
        <v>1.9670000000000001</v>
      </c>
      <c r="AH8" s="2">
        <f>[1]!YBHIST("FNMA3.5-GEN",$A8,"Yield","tba","")</f>
        <v>1.629</v>
      </c>
      <c r="AI8" s="2">
        <f>[1]!YBHIST("FNMA4.0-GEN",$A8,"Yield","tba","")</f>
        <v>1.4810000000000001</v>
      </c>
      <c r="AJ8" s="2">
        <f>[1]!YBHIST("FNMA4.5-GEN",$A8,"Yield","tba","")</f>
        <v>1.4550000000000001</v>
      </c>
      <c r="AK8" s="2">
        <f>[1]!YBHIST("FNMA5.0-GEN",$A8,"Yield","tba","")</f>
        <v>0.83899999999999997</v>
      </c>
      <c r="AL8" s="2">
        <f>[1]!YBHIST("FNMA5.5-GEN",$A8,"Yield","tba","")</f>
        <v>1.095</v>
      </c>
      <c r="AM8" s="6">
        <f>[1]!YBHIST("FNMA6.0-GEN",$A8,"Yield","tba","")</f>
        <v>0.72399999999999998</v>
      </c>
      <c r="AN8" s="3">
        <f>[1]!YBHIST(AN$4,$A8,"Price","sec","")</f>
        <v>12.202999999999999</v>
      </c>
      <c r="AO8" s="2">
        <f>[1]!YBHIST(AO$4,$A8,"Price","sec","")</f>
        <v>13.202999999999999</v>
      </c>
      <c r="AP8" s="2">
        <f>[1]!YBHIST(AP$4,$A8,"Price","sec","")</f>
        <v>11.218999999999999</v>
      </c>
      <c r="AQ8" s="2">
        <f>[1]!YBHIST(AQ$4,$A8,"Price","sec","")</f>
        <v>14.781000000000001</v>
      </c>
      <c r="AR8" s="2">
        <f>[1]!YBHIST(AR$4,$A8,"Price","sec","")</f>
        <v>12.702999999999999</v>
      </c>
      <c r="AS8" s="2">
        <f>[1]!YBHIST(AS$4,$A8,"Price","sec","")</f>
        <v>17.625</v>
      </c>
      <c r="AT8" s="2">
        <f>[1]!YBHIST(AT$4,$A8,"Price","sec","")</f>
        <v>15.452999999999999</v>
      </c>
      <c r="AU8" s="2">
        <f>[1]!YBHIST(AU$4,$A8,"Price","sec","")</f>
        <v>10.781000000000001</v>
      </c>
      <c r="AV8" s="2">
        <f>[1]!YBHIST(AV$4,$A8,"Price","sec","")</f>
        <v>13.656000000000001</v>
      </c>
      <c r="AW8" s="2">
        <f>[1]!YBHIST(AW$4,$A8,"Price","sec","")</f>
        <v>13.327999999999999</v>
      </c>
      <c r="AX8" s="2">
        <f>[1]!YBHIST(AX$4,$A8,"Price","sec","")</f>
        <v>11.734</v>
      </c>
      <c r="AY8" s="2">
        <f>[1]!YBHIST(AY$4,$A8,"Price","sec","")</f>
        <v>15.218999999999999</v>
      </c>
      <c r="AZ8" s="2">
        <f>[1]!YBHIST(AZ$4,$A8,"Price","sec","")</f>
        <v>14.391</v>
      </c>
      <c r="BA8" s="2">
        <f>[1]!YBHIST(BA$4,$A8,"Price","sec","")</f>
        <v>14</v>
      </c>
      <c r="BB8" s="2">
        <f>[1]!YBHIST(BB$4,$A8,"Price","sec","")</f>
        <v>17</v>
      </c>
      <c r="BC8" s="2">
        <f>[1]!YBHIST(BC$4,$A8,"Price","sec","")</f>
        <v>17.469000000000001</v>
      </c>
      <c r="BD8" s="2">
        <f>[1]!YBHIST(BD$4,$A8,"Price","sec","")</f>
        <v>17.344000000000001</v>
      </c>
      <c r="BE8" s="6">
        <f>[1]!YBHIST(BE$4,$A8,"Price","sec","")</f>
        <v>18.608999000000001</v>
      </c>
      <c r="BF8" s="20">
        <f>[1]!YBHIST(BF$4,$A8,"LMMOAS","sec","")</f>
        <v>568.79907200000002</v>
      </c>
      <c r="BG8" s="20">
        <f>[1]!YBHIST(BG$4,$A8,"LMMOAS","sec","")</f>
        <v>557.92340100000001</v>
      </c>
      <c r="BH8" s="20">
        <f>[1]!YBHIST(BH$4,$A8,"LMMOAS","sec","")</f>
        <v>596.40252699999996</v>
      </c>
      <c r="BI8" s="20">
        <f>[1]!YBHIST(BI$4,$A8,"LMMOAS","sec","")</f>
        <v>523.68530299999998</v>
      </c>
      <c r="BJ8" s="20">
        <f>[1]!YBHIST(BJ$4,$A8,"LMMOAS","sec","")</f>
        <v>526.52911400000005</v>
      </c>
      <c r="BK8" s="20">
        <f>[1]!YBHIST(BK$4,$A8,"LMMOAS","sec","")</f>
        <v>508.912598</v>
      </c>
      <c r="BL8" s="20">
        <f>[1]!YBHIST(BL$4,$A8,"LMMOAS","sec","")</f>
        <v>579.910706</v>
      </c>
      <c r="BM8" s="20">
        <f>[1]!YBHIST(BM$4,$A8,"LMMOAS","sec","")</f>
        <v>282.183289</v>
      </c>
      <c r="BN8" s="20">
        <f>[1]!YBHIST(BN$4,$A8,"LMMOAS","sec","")</f>
        <v>316.179688</v>
      </c>
      <c r="BO8" s="20">
        <f>[1]!YBHIST(BO$4,$A8,"LMMOAS","sec","")</f>
        <v>521.61077899999998</v>
      </c>
      <c r="BP8" s="20">
        <f>[1]!YBHIST(BP$4,$A8,"LMMOAS","sec","")</f>
        <v>473.369507</v>
      </c>
      <c r="BQ8" s="20">
        <f>[1]!YBHIST(BQ$4,$A8,"LMMOAS","sec","")</f>
        <v>622.20910600000002</v>
      </c>
      <c r="BR8" s="20">
        <f>[1]!YBHIST(BR$4,$A8,"LMMOAS","sec","")</f>
        <v>783.48541299999999</v>
      </c>
      <c r="BS8" s="20">
        <f>[1]!YBHIST(BS$4,$A8,"LMMOAS","sec","")</f>
        <v>378.59728999999999</v>
      </c>
      <c r="BT8" s="20">
        <f>[1]!YBHIST(BT$4,$A8,"LMMOAS","sec","")</f>
        <v>547.15801999999996</v>
      </c>
      <c r="BU8" s="20">
        <f>[1]!YBHIST(BU$4,$A8,"LMMOAS","sec","")</f>
        <v>381.29449499999998</v>
      </c>
      <c r="BV8" s="20">
        <f>[1]!YBHIST(BV$4,$A8,"LMMOAS","sec","")</f>
        <v>456.864014</v>
      </c>
      <c r="BW8" s="20">
        <f>[1]!YBHIST(BW$4,$A8,"LMMOAS","sec","")</f>
        <v>383.60870399999999</v>
      </c>
      <c r="BX8" s="5"/>
      <c r="BY8" s="1"/>
      <c r="BZ8" s="1"/>
    </row>
    <row r="9" spans="1:80" x14ac:dyDescent="0.25">
      <c r="A9" s="14">
        <f>[1]!YBWORKDAY(A$5,-1*(ROW()-ROW(A$5)),"USD","")</f>
        <v>41267</v>
      </c>
      <c r="B9" s="3">
        <f>[1]!YBHIST("2 Year Treasury",$A9,"Price","govt","")</f>
        <v>99.710999000000001</v>
      </c>
      <c r="C9" s="2">
        <f>[1]!YBHIST("5 Year Treasury",$A9,"Price","govt","")</f>
        <v>99.898003000000003</v>
      </c>
      <c r="D9" s="2">
        <f>[1]!YBHIST("10 Year Treasury",$A9,"Price","govt","")</f>
        <v>98.655997999999997</v>
      </c>
      <c r="E9" s="6">
        <f>[1]!YBHIST("30 Year Treasury",$A9,"Price","govt","")</f>
        <v>96.265998999999994</v>
      </c>
      <c r="F9" s="3">
        <f>[1]!YBHIST("2 Year Treasury",$A9,"YldtoMat","govt","")</f>
        <v>0.27</v>
      </c>
      <c r="G9" s="2">
        <f>[1]!YBHIST("5 Year Treasury",$A9,"YldtoMat","govt","")</f>
        <v>0.77100000000000002</v>
      </c>
      <c r="H9" s="2">
        <f>[1]!YBHIST("10 Year Treasury",$A9,"YldtoMat","govt","")</f>
        <v>1.774</v>
      </c>
      <c r="I9" s="6">
        <f>[1]!YBHIST("30 Year Treasury",$A9,"YldtoMat","govt","")</f>
        <v>2.9390000000000001</v>
      </c>
      <c r="J9" s="3">
        <f>[1]!YBHIST("2yr Swap Rate",$A9,"YldtoMat","swapvol","")</f>
        <v>0.40892299999999998</v>
      </c>
      <c r="K9" s="2">
        <f>[1]!YBHIST("5yr Swap Rate",$A9,"YldtoMat","swapvol","")</f>
        <v>0.88584399999999996</v>
      </c>
      <c r="L9" s="2">
        <f>[1]!YBHIST("10yr Swap Rate",$A9,"YldtoMat","swapvol","")</f>
        <v>1.827993</v>
      </c>
      <c r="M9" s="6">
        <f>[1]!YBHIST("30yr Swap Rate",$A9,"YldtoMat","swapvol","")</f>
        <v>2.751131</v>
      </c>
      <c r="N9" s="3">
        <f>[1]!YBHIST("FNMA 30YR Cur Coup (BE)",$A9,"Yield","bmk","")</f>
        <v>2.2210000000000001</v>
      </c>
      <c r="O9" s="2">
        <f>[1]!YBHIST("FHLMC 30YR Cur Coup (BE)",$A9,"Yield","bmk","")</f>
        <v>2.2669999999999999</v>
      </c>
      <c r="P9" s="2">
        <f>[1]!YBHIST("GNMA 30YR Cur Coup (BE)",$A9,"Yield","bmk","")</f>
        <v>2.1349999999999998</v>
      </c>
      <c r="Q9" s="2">
        <f>[1]!YBHIST("Primary 30-Yr Mtg Rate",$A9,"Yield","bmk","")</f>
        <v>3.5449999999999999</v>
      </c>
      <c r="R9" s="2">
        <f>[1]!YBHIST("FHLM 30-Yr Survey Rate",$A9,"Yield","bmk","")</f>
        <v>3.37</v>
      </c>
      <c r="S9" s="6">
        <f>[1]!YBHIST("Base Mortgage Rate",$A9,"Yield","bmk","")</f>
        <v>2.5579999999999998</v>
      </c>
      <c r="T9" s="18">
        <f>[1]!YBHIST("FNMA 30YR Cur Coup (BE)",$A9,"LMMOAS","bmk","")</f>
        <v>-10.709199999999999</v>
      </c>
      <c r="U9" s="19">
        <f>[1]!YBHIST("FHLMC 30YR Cur Coup (BE)",$A9,"LMMOAS","bmk","")</f>
        <v>-4.4771000000000001</v>
      </c>
      <c r="V9" s="19">
        <f>[1]!YBHIST("GNMA 30YR Cur Coup (BE)",$A9,"LMMOAS","bmk","")</f>
        <v>-30.634701</v>
      </c>
      <c r="W9" s="20">
        <f t="shared" si="0"/>
        <v>44.7</v>
      </c>
      <c r="X9" s="20">
        <f t="shared" si="1"/>
        <v>44.7</v>
      </c>
      <c r="Y9" s="20">
        <f t="shared" si="2"/>
        <v>49.29999999999999</v>
      </c>
      <c r="Z9" s="25">
        <f>[1]!YBHIST("FNMA3.0-GEN",$A9,"Price","tba","")</f>
        <v>104.601562</v>
      </c>
      <c r="AA9" s="2">
        <f>[1]!YBHIST("FNMA3.5-GEN",$A9,"Price","tba","")</f>
        <v>106.429688</v>
      </c>
      <c r="AB9" s="2">
        <f>[1]!YBHIST("FNMA4.0-GEN",$A9,"Price","tba","")</f>
        <v>107.015625</v>
      </c>
      <c r="AC9" s="2">
        <f>[1]!YBHIST("FNMA4.5-GEN",$A9,"Price","tba","")</f>
        <v>107.851562</v>
      </c>
      <c r="AD9" s="2">
        <f>[1]!YBHIST("FNMA5.0-GEN",$A9,"Price","tba","")</f>
        <v>108.28125</v>
      </c>
      <c r="AE9" s="2">
        <f>[1]!YBHIST("FNMA5.5-GEN",$A9,"Price","tba","")</f>
        <v>108.59375</v>
      </c>
      <c r="AF9" s="6">
        <f>[1]!YBHIST("FNMA6.0-GEN",$A9,"Price","tba","")</f>
        <v>109.265625</v>
      </c>
      <c r="AG9" s="2">
        <f>[1]!YBHIST("FNMA3.0-GEN",$A9,"Yield","tba","")</f>
        <v>2.0009999999999999</v>
      </c>
      <c r="AH9" s="2">
        <f>[1]!YBHIST("FNMA3.5-GEN",$A9,"Yield","tba","")</f>
        <v>1.67</v>
      </c>
      <c r="AI9" s="2">
        <f>[1]!YBHIST("FNMA4.0-GEN",$A9,"Yield","tba","")</f>
        <v>1.518</v>
      </c>
      <c r="AJ9" s="2">
        <f>[1]!YBHIST("FNMA4.5-GEN",$A9,"Yield","tba","")</f>
        <v>1.478</v>
      </c>
      <c r="AK9" s="2">
        <f>[1]!YBHIST("FNMA5.0-GEN",$A9,"Yield","tba","")</f>
        <v>0.85799999999999998</v>
      </c>
      <c r="AL9" s="2">
        <f>[1]!YBHIST("FNMA5.5-GEN",$A9,"Yield","tba","")</f>
        <v>1.1240000000000001</v>
      </c>
      <c r="AM9" s="6">
        <f>[1]!YBHIST("FNMA6.0-GEN",$A9,"Yield","tba","")</f>
        <v>0.748</v>
      </c>
      <c r="AN9" s="3">
        <f>[1]!YBHIST(AN$4,$A9,"Price","sec","")</f>
        <v>12.297000000000001</v>
      </c>
      <c r="AO9" s="2">
        <f>[1]!YBHIST(AO$4,$A9,"Price","sec","")</f>
        <v>13.281000000000001</v>
      </c>
      <c r="AP9" s="2">
        <f>[1]!YBHIST(AP$4,$A9,"Price","sec","")</f>
        <v>11.297000000000001</v>
      </c>
      <c r="AQ9" s="2">
        <f>[1]!YBHIST(AQ$4,$A9,"Price","sec","")</f>
        <v>14.859</v>
      </c>
      <c r="AR9" s="2">
        <f>[1]!YBHIST(AR$4,$A9,"Price","sec","")</f>
        <v>12.766</v>
      </c>
      <c r="AS9" s="2">
        <f>[1]!YBHIST(AS$4,$A9,"Price","sec","")</f>
        <v>17.672001000000002</v>
      </c>
      <c r="AT9" s="2">
        <f>[1]!YBHIST(AT$4,$A9,"Price","sec","")</f>
        <v>15.5</v>
      </c>
      <c r="AU9" s="2">
        <f>[1]!YBHIST(AU$4,$A9,"Price","sec","")</f>
        <v>10.827999999999999</v>
      </c>
      <c r="AV9" s="2">
        <f>[1]!YBHIST(AV$4,$A9,"Price","sec","")</f>
        <v>13.702999999999999</v>
      </c>
      <c r="AW9" s="2">
        <f>[1]!YBHIST(AW$4,$A9,"Price","sec","")</f>
        <v>13.375</v>
      </c>
      <c r="AX9" s="2">
        <f>[1]!YBHIST(AX$4,$A9,"Price","sec","")</f>
        <v>11.766</v>
      </c>
      <c r="AY9" s="2">
        <f>[1]!YBHIST(AY$4,$A9,"Price","sec","")</f>
        <v>15.25</v>
      </c>
      <c r="AZ9" s="2">
        <f>[1]!YBHIST(AZ$4,$A9,"Price","sec","")</f>
        <v>14.422000000000001</v>
      </c>
      <c r="BA9" s="2">
        <f>[1]!YBHIST(BA$4,$A9,"Price","sec","")</f>
        <v>14.031000000000001</v>
      </c>
      <c r="BB9" s="2">
        <f>[1]!YBHIST(BB$4,$A9,"Price","sec","")</f>
        <v>17.016000999999999</v>
      </c>
      <c r="BC9" s="2">
        <f>[1]!YBHIST(BC$4,$A9,"Price","sec","")</f>
        <v>17.547001000000002</v>
      </c>
      <c r="BD9" s="2">
        <f>[1]!YBHIST(BD$4,$A9,"Price","sec","")</f>
        <v>17.437999999999999</v>
      </c>
      <c r="BE9" s="6">
        <f>[1]!YBHIST(BE$4,$A9,"Price","sec","")</f>
        <v>18.687999999999999</v>
      </c>
      <c r="BF9" s="20">
        <f>[1]!YBHIST(BF$4,$A9,"LMMOAS","sec","")</f>
        <v>577.50500499999998</v>
      </c>
      <c r="BG9" s="20">
        <f>[1]!YBHIST(BG$4,$A9,"LMMOAS","sec","")</f>
        <v>568.87371800000005</v>
      </c>
      <c r="BH9" s="20">
        <f>[1]!YBHIST(BH$4,$A9,"LMMOAS","sec","")</f>
        <v>606.98748799999998</v>
      </c>
      <c r="BI9" s="20">
        <f>[1]!YBHIST(BI$4,$A9,"LMMOAS","sec","")</f>
        <v>533.41192599999999</v>
      </c>
      <c r="BJ9" s="20">
        <f>[1]!YBHIST(BJ$4,$A9,"LMMOAS","sec","")</f>
        <v>538.75341800000001</v>
      </c>
      <c r="BK9" s="20">
        <f>[1]!YBHIST(BK$4,$A9,"LMMOAS","sec","")</f>
        <v>519.94610599999999</v>
      </c>
      <c r="BL9" s="20">
        <f>[1]!YBHIST(BL$4,$A9,"LMMOAS","sec","")</f>
        <v>591.84136999999998</v>
      </c>
      <c r="BM9" s="20">
        <f>[1]!YBHIST(BM$4,$A9,"LMMOAS","sec","")</f>
        <v>297.49529999999999</v>
      </c>
      <c r="BN9" s="20">
        <f>[1]!YBHIST(BN$4,$A9,"LMMOAS","sec","")</f>
        <v>327.31741299999999</v>
      </c>
      <c r="BO9" s="20">
        <f>[1]!YBHIST(BO$4,$A9,"LMMOAS","sec","")</f>
        <v>528.91320800000005</v>
      </c>
      <c r="BP9" s="20">
        <f>[1]!YBHIST(BP$4,$A9,"LMMOAS","sec","")</f>
        <v>490.41980000000001</v>
      </c>
      <c r="BQ9" s="20">
        <f>[1]!YBHIST(BQ$4,$A9,"LMMOAS","sec","")</f>
        <v>633.44891399999995</v>
      </c>
      <c r="BR9" s="20">
        <f>[1]!YBHIST(BR$4,$A9,"LMMOAS","sec","")</f>
        <v>791.91149900000005</v>
      </c>
      <c r="BS9" s="20">
        <f>[1]!YBHIST(BS$4,$A9,"LMMOAS","sec","")</f>
        <v>392.57638500000002</v>
      </c>
      <c r="BT9" s="20">
        <f>[1]!YBHIST(BT$4,$A9,"LMMOAS","sec","")</f>
        <v>558.22229000000004</v>
      </c>
      <c r="BU9" s="20">
        <f>[1]!YBHIST(BU$4,$A9,"LMMOAS","sec","")</f>
        <v>390.45559700000001</v>
      </c>
      <c r="BV9" s="20">
        <f>[1]!YBHIST(BV$4,$A9,"LMMOAS","sec","")</f>
        <v>463.507294</v>
      </c>
      <c r="BW9" s="20">
        <f>[1]!YBHIST(BW$4,$A9,"LMMOAS","sec","")</f>
        <v>390.81408699999997</v>
      </c>
      <c r="BX9" s="5"/>
      <c r="BY9" s="1"/>
      <c r="BZ9" s="1"/>
    </row>
    <row r="10" spans="1:80" x14ac:dyDescent="0.25">
      <c r="A10" s="14">
        <f>[1]!YBWORKDAY(A$5,-1*(ROW()-ROW(A$5)),"USD","")</f>
        <v>41264</v>
      </c>
      <c r="B10" s="3">
        <f>[1]!YBHIST("2 Year Treasury",$A10,"Price","govt","")</f>
        <v>99.719002000000003</v>
      </c>
      <c r="C10" s="2">
        <f>[1]!YBHIST("5 Year Treasury",$A10,"Price","govt","")</f>
        <v>99.991996999999998</v>
      </c>
      <c r="D10" s="2">
        <f>[1]!YBHIST("10 Year Treasury",$A10,"Price","govt","")</f>
        <v>98.859001000000006</v>
      </c>
      <c r="E10" s="6">
        <f>[1]!YBHIST("30 Year Treasury",$A10,"Price","govt","")</f>
        <v>96.563004000000006</v>
      </c>
      <c r="F10" s="3">
        <f>[1]!YBHIST("2 Year Treasury",$A10,"YldtoMat","govt","")</f>
        <v>0.26600000000000001</v>
      </c>
      <c r="G10" s="2">
        <f>[1]!YBHIST("5 Year Treasury",$A10,"YldtoMat","govt","")</f>
        <v>0.752</v>
      </c>
      <c r="H10" s="2">
        <f>[1]!YBHIST("10 Year Treasury",$A10,"YldtoMat","govt","")</f>
        <v>1.7509999999999999</v>
      </c>
      <c r="I10" s="6">
        <f>[1]!YBHIST("30 Year Treasury",$A10,"YldtoMat","govt","")</f>
        <v>2.923</v>
      </c>
      <c r="J10" s="3">
        <f>[1]!YBHIST("2yr Swap Rate",$A10,"YldtoMat","swapvol","")</f>
        <v>0.397928</v>
      </c>
      <c r="K10" s="2">
        <f>[1]!YBHIST("5yr Swap Rate",$A10,"YldtoMat","swapvol","")</f>
        <v>0.86177899999999996</v>
      </c>
      <c r="L10" s="2">
        <f>[1]!YBHIST("10yr Swap Rate",$A10,"YldtoMat","swapvol","")</f>
        <v>1.803196</v>
      </c>
      <c r="M10" s="6">
        <f>[1]!YBHIST("30yr Swap Rate",$A10,"YldtoMat","swapvol","")</f>
        <v>2.732561</v>
      </c>
      <c r="N10" s="3">
        <f>[1]!YBHIST("FNMA 30YR Cur Coup (BE)",$A10,"Yield","bmk","")</f>
        <v>2.1960000000000002</v>
      </c>
      <c r="O10" s="2">
        <f>[1]!YBHIST("FHLMC 30YR Cur Coup (BE)",$A10,"Yield","bmk","")</f>
        <v>2.242</v>
      </c>
      <c r="P10" s="2">
        <f>[1]!YBHIST("GNMA 30YR Cur Coup (BE)",$A10,"Yield","bmk","")</f>
        <v>2.11</v>
      </c>
      <c r="Q10" s="2">
        <f>[1]!YBHIST("Primary 30-Yr Mtg Rate",$A10,"Yield","bmk","")</f>
        <v>3.5202</v>
      </c>
      <c r="R10" s="2">
        <f>[1]!YBHIST("FHLM 30-Yr Survey Rate",$A10,"Yield","bmk","")</f>
        <v>3.37</v>
      </c>
      <c r="S10" s="6">
        <f>[1]!YBHIST("Base Mortgage Rate",$A10,"Yield","bmk","")</f>
        <v>2.5329999999999999</v>
      </c>
      <c r="T10" s="18">
        <f>[1]!YBHIST("FNMA 30YR Cur Coup (BE)",$A10,"LMMOAS","bmk","")</f>
        <v>-10.950100000000001</v>
      </c>
      <c r="U10" s="19">
        <f>[1]!YBHIST("FHLMC 30YR Cur Coup (BE)",$A10,"LMMOAS","bmk","")</f>
        <v>-4.8277999999999999</v>
      </c>
      <c r="V10" s="19">
        <f>[1]!YBHIST("GNMA 30YR Cur Coup (BE)",$A10,"LMMOAS","bmk","")</f>
        <v>-30.164200000000001</v>
      </c>
      <c r="W10" s="20">
        <f t="shared" si="0"/>
        <v>44.500000000000028</v>
      </c>
      <c r="X10" s="20">
        <f t="shared" si="1"/>
        <v>44.500000000000028</v>
      </c>
      <c r="Y10" s="20">
        <f t="shared" si="2"/>
        <v>49.100000000000009</v>
      </c>
      <c r="Z10" s="25">
        <f>[1]!YBHIST("FNMA3.0-GEN",$A10,"Price","tba","")</f>
        <v>104.695312</v>
      </c>
      <c r="AA10" s="2">
        <f>[1]!YBHIST("FNMA3.5-GEN",$A10,"Price","tba","")</f>
        <v>106.484375</v>
      </c>
      <c r="AB10" s="2">
        <f>[1]!YBHIST("FNMA4.0-GEN",$A10,"Price","tba","")</f>
        <v>107.039062</v>
      </c>
      <c r="AC10" s="2">
        <f>[1]!YBHIST("FNMA4.5-GEN",$A10,"Price","tba","")</f>
        <v>107.851562</v>
      </c>
      <c r="AD10" s="2">
        <f>[1]!YBHIST("FNMA5.0-GEN",$A10,"Price","tba","")</f>
        <v>108.304688</v>
      </c>
      <c r="AE10" s="2">
        <f>[1]!YBHIST("FNMA5.5-GEN",$A10,"Price","tba","")</f>
        <v>108.617188</v>
      </c>
      <c r="AF10" s="6">
        <f>[1]!YBHIST("FNMA6.0-GEN",$A10,"Price","tba","")</f>
        <v>109.289062</v>
      </c>
      <c r="AG10" s="2">
        <f>[1]!YBHIST("FNMA3.0-GEN",$A10,"Yield","tba","")</f>
        <v>1.9630000000000001</v>
      </c>
      <c r="AH10" s="2">
        <f>[1]!YBHIST("FNMA3.5-GEN",$A10,"Yield","tba","")</f>
        <v>1.6279999999999999</v>
      </c>
      <c r="AI10" s="2">
        <f>[1]!YBHIST("FNMA4.0-GEN",$A10,"Yield","tba","")</f>
        <v>1.484</v>
      </c>
      <c r="AJ10" s="2">
        <f>[1]!YBHIST("FNMA4.5-GEN",$A10,"Yield","tba","")</f>
        <v>1.4550000000000001</v>
      </c>
      <c r="AK10" s="2">
        <f>[1]!YBHIST("FNMA5.0-GEN",$A10,"Yield","tba","")</f>
        <v>0.82299999999999995</v>
      </c>
      <c r="AL10" s="2">
        <f>[1]!YBHIST("FNMA5.5-GEN",$A10,"Yield","tba","")</f>
        <v>1.0940000000000001</v>
      </c>
      <c r="AM10" s="6">
        <f>[1]!YBHIST("FNMA6.0-GEN",$A10,"Yield","tba","")</f>
        <v>0.72</v>
      </c>
      <c r="AN10" s="3">
        <f>[1]!YBHIST(AN$4,$A10,"Price","sec","")</f>
        <v>12.234</v>
      </c>
      <c r="AO10" s="2">
        <f>[1]!YBHIST(AO$4,$A10,"Price","sec","")</f>
        <v>13.234</v>
      </c>
      <c r="AP10" s="2">
        <f>[1]!YBHIST(AP$4,$A10,"Price","sec","")</f>
        <v>11.25</v>
      </c>
      <c r="AQ10" s="2">
        <f>[1]!YBHIST(AQ$4,$A10,"Price","sec","")</f>
        <v>14.811999999999999</v>
      </c>
      <c r="AR10" s="2">
        <f>[1]!YBHIST(AR$4,$A10,"Price","sec","")</f>
        <v>12.718999999999999</v>
      </c>
      <c r="AS10" s="2">
        <f>[1]!YBHIST(AS$4,$A10,"Price","sec","")</f>
        <v>17.625</v>
      </c>
      <c r="AT10" s="2">
        <f>[1]!YBHIST(AT$4,$A10,"Price","sec","")</f>
        <v>15.468999999999999</v>
      </c>
      <c r="AU10" s="2">
        <f>[1]!YBHIST(AU$4,$A10,"Price","sec","")</f>
        <v>10.797000000000001</v>
      </c>
      <c r="AV10" s="2">
        <f>[1]!YBHIST(AV$4,$A10,"Price","sec","")</f>
        <v>13.672000000000001</v>
      </c>
      <c r="AW10" s="2">
        <f>[1]!YBHIST(AW$4,$A10,"Price","sec","")</f>
        <v>13.343999999999999</v>
      </c>
      <c r="AX10" s="2">
        <f>[1]!YBHIST(AX$4,$A10,"Price","sec","")</f>
        <v>11.734</v>
      </c>
      <c r="AY10" s="2">
        <f>[1]!YBHIST(AY$4,$A10,"Price","sec","")</f>
        <v>15.234</v>
      </c>
      <c r="AZ10" s="2">
        <f>[1]!YBHIST(AZ$4,$A10,"Price","sec","")</f>
        <v>14.406000000000001</v>
      </c>
      <c r="BA10" s="2">
        <f>[1]!YBHIST(BA$4,$A10,"Price","sec","")</f>
        <v>14.016</v>
      </c>
      <c r="BB10" s="2">
        <f>[1]!YBHIST(BB$4,$A10,"Price","sec","")</f>
        <v>17.016000999999999</v>
      </c>
      <c r="BC10" s="2">
        <f>[1]!YBHIST(BC$4,$A10,"Price","sec","")</f>
        <v>17.5</v>
      </c>
      <c r="BD10" s="2">
        <f>[1]!YBHIST(BD$4,$A10,"Price","sec","")</f>
        <v>17.391000999999999</v>
      </c>
      <c r="BE10" s="6">
        <f>[1]!YBHIST(BE$4,$A10,"Price","sec","")</f>
        <v>18.655999999999999</v>
      </c>
      <c r="BF10" s="20">
        <f>[1]!YBHIST(BF$4,$A10,"LMMOAS","sec","")</f>
        <v>566.74267599999996</v>
      </c>
      <c r="BG10" s="20">
        <f>[1]!YBHIST(BG$4,$A10,"LMMOAS","sec","")</f>
        <v>556.21441700000003</v>
      </c>
      <c r="BH10" s="20">
        <f>[1]!YBHIST(BH$4,$A10,"LMMOAS","sec","")</f>
        <v>594.73767099999998</v>
      </c>
      <c r="BI10" s="20">
        <f>[1]!YBHIST(BI$4,$A10,"LMMOAS","sec","")</f>
        <v>522.72479199999998</v>
      </c>
      <c r="BJ10" s="20">
        <f>[1]!YBHIST(BJ$4,$A10,"LMMOAS","sec","")</f>
        <v>529.25</v>
      </c>
      <c r="BK10" s="20">
        <f>[1]!YBHIST(BK$4,$A10,"LMMOAS","sec","")</f>
        <v>514.30828899999995</v>
      </c>
      <c r="BL10" s="20">
        <f>[1]!YBHIST(BL$4,$A10,"LMMOAS","sec","")</f>
        <v>582.91308600000002</v>
      </c>
      <c r="BM10" s="20">
        <f>[1]!YBHIST(BM$4,$A10,"LMMOAS","sec","")</f>
        <v>291.00698899999998</v>
      </c>
      <c r="BN10" s="20">
        <f>[1]!YBHIST(BN$4,$A10,"LMMOAS","sec","")</f>
        <v>322.31140099999999</v>
      </c>
      <c r="BO10" s="20">
        <f>[1]!YBHIST(BO$4,$A10,"LMMOAS","sec","")</f>
        <v>527.44921899999997</v>
      </c>
      <c r="BP10" s="20">
        <f>[1]!YBHIST(BP$4,$A10,"LMMOAS","sec","")</f>
        <v>487.51309199999997</v>
      </c>
      <c r="BQ10" s="20">
        <f>[1]!YBHIST(BQ$4,$A10,"LMMOAS","sec","")</f>
        <v>628.48150599999997</v>
      </c>
      <c r="BR10" s="20">
        <f>[1]!YBHIST(BR$4,$A10,"LMMOAS","sec","")</f>
        <v>789.64489700000001</v>
      </c>
      <c r="BS10" s="20">
        <f>[1]!YBHIST(BS$4,$A10,"LMMOAS","sec","")</f>
        <v>387.60199</v>
      </c>
      <c r="BT10" s="20">
        <f>[1]!YBHIST(BT$4,$A10,"LMMOAS","sec","")</f>
        <v>554.71392800000001</v>
      </c>
      <c r="BU10" s="20">
        <f>[1]!YBHIST(BU$4,$A10,"LMMOAS","sec","")</f>
        <v>379.24679600000002</v>
      </c>
      <c r="BV10" s="20">
        <f>[1]!YBHIST(BV$4,$A10,"LMMOAS","sec","")</f>
        <v>452.83010899999999</v>
      </c>
      <c r="BW10" s="20">
        <f>[1]!YBHIST(BW$4,$A10,"LMMOAS","sec","")</f>
        <v>380.64068600000002</v>
      </c>
      <c r="BX10" s="5"/>
      <c r="BY10" s="1"/>
      <c r="BZ10" s="1"/>
    </row>
    <row r="11" spans="1:80" x14ac:dyDescent="0.25">
      <c r="A11" s="14">
        <f>[1]!YBWORKDAY(A$5,-1*(ROW()-ROW(A$5)),"USD","")</f>
        <v>41263</v>
      </c>
      <c r="B11" s="3">
        <f>[1]!YBHIST("2 Year Treasury",$A11,"Price","govt","")</f>
        <v>99.703002999999995</v>
      </c>
      <c r="C11" s="2">
        <f>[1]!YBHIST("5 Year Treasury",$A11,"Price","govt","")</f>
        <v>99.898003000000003</v>
      </c>
      <c r="D11" s="2">
        <f>[1]!YBHIST("10 Year Treasury",$A11,"Price","govt","")</f>
        <v>98.438004000000006</v>
      </c>
      <c r="E11" s="6">
        <f>[1]!YBHIST("30 Year Treasury",$A11,"Price","govt","")</f>
        <v>95.375</v>
      </c>
      <c r="F11" s="3">
        <f>[1]!YBHIST("2 Year Treasury",$A11,"YldtoMat","govt","")</f>
        <v>0.27400000000000002</v>
      </c>
      <c r="G11" s="2">
        <f>[1]!YBHIST("5 Year Treasury",$A11,"YldtoMat","govt","")</f>
        <v>0.77100000000000002</v>
      </c>
      <c r="H11" s="2">
        <f>[1]!YBHIST("10 Year Treasury",$A11,"YldtoMat","govt","")</f>
        <v>1.798</v>
      </c>
      <c r="I11" s="6">
        <f>[1]!YBHIST("30 Year Treasury",$A11,"YldtoMat","govt","")</f>
        <v>2.9849999999999999</v>
      </c>
      <c r="J11" s="3">
        <f>[1]!YBHIST("2yr Swap Rate",$A11,"YldtoMat","swapvol","")</f>
        <v>0.39978599999999997</v>
      </c>
      <c r="K11" s="2">
        <f>[1]!YBHIST("5yr Swap Rate",$A11,"YldtoMat","swapvol","")</f>
        <v>0.87804599999999999</v>
      </c>
      <c r="L11" s="2">
        <f>[1]!YBHIST("10yr Swap Rate",$A11,"YldtoMat","swapvol","")</f>
        <v>1.8430979999999999</v>
      </c>
      <c r="M11" s="6">
        <f>[1]!YBHIST("30yr Swap Rate",$A11,"YldtoMat","swapvol","")</f>
        <v>2.7809650000000001</v>
      </c>
      <c r="N11" s="3">
        <f>[1]!YBHIST("FNMA 30YR Cur Coup (BE)",$A11,"Yield","bmk","")</f>
        <v>2.2309999999999999</v>
      </c>
      <c r="O11" s="2">
        <f>[1]!YBHIST("FHLMC 30YR Cur Coup (BE)",$A11,"Yield","bmk","")</f>
        <v>2.2770000000000001</v>
      </c>
      <c r="P11" s="2">
        <f>[1]!YBHIST("GNMA 30YR Cur Coup (BE)",$A11,"Yield","bmk","")</f>
        <v>2.145</v>
      </c>
      <c r="Q11" s="2">
        <f>[1]!YBHIST("Primary 30-Yr Mtg Rate",$A11,"Yield","bmk","")</f>
        <v>3.5537000000000001</v>
      </c>
      <c r="R11" s="2">
        <f>[1]!YBHIST("FHLM 30-Yr Survey Rate",$A11,"Yield","bmk","")</f>
        <v>3.37</v>
      </c>
      <c r="S11" s="6">
        <f>[1]!YBHIST("Base Mortgage Rate",$A11,"Yield","bmk","")</f>
        <v>2.5670000000000002</v>
      </c>
      <c r="T11" s="18">
        <f>[1]!YBHIST("FNMA 30YR Cur Coup (BE)",$A11,"LMMOAS","bmk","")</f>
        <v>-11.127700000000001</v>
      </c>
      <c r="U11" s="19">
        <f>[1]!YBHIST("FHLMC 30YR Cur Coup (BE)",$A11,"LMMOAS","bmk","")</f>
        <v>-4.5067000000000004</v>
      </c>
      <c r="V11" s="19">
        <f>[1]!YBHIST("GNMA 30YR Cur Coup (BE)",$A11,"LMMOAS","bmk","")</f>
        <v>-31.503599000000001</v>
      </c>
      <c r="W11" s="20">
        <f t="shared" si="0"/>
        <v>43.299999999999983</v>
      </c>
      <c r="X11" s="20">
        <f t="shared" si="1"/>
        <v>43.299999999999983</v>
      </c>
      <c r="Y11" s="20">
        <f t="shared" si="2"/>
        <v>47.900000000000006</v>
      </c>
      <c r="Z11" s="25">
        <f>[1]!YBHIST("FNMA3.0-GEN",$A11,"Price","tba","")</f>
        <v>104.46875</v>
      </c>
      <c r="AA11" s="2">
        <f>[1]!YBHIST("FNMA3.5-GEN",$A11,"Price","tba","")</f>
        <v>106.328125</v>
      </c>
      <c r="AB11" s="2">
        <f>[1]!YBHIST("FNMA4.0-GEN",$A11,"Price","tba","")</f>
        <v>106.960938</v>
      </c>
      <c r="AC11" s="2">
        <f>[1]!YBHIST("FNMA4.5-GEN",$A11,"Price","tba","")</f>
        <v>107.796875</v>
      </c>
      <c r="AD11" s="2">
        <f>[1]!YBHIST("FNMA5.0-GEN",$A11,"Price","tba","")</f>
        <v>108.304688</v>
      </c>
      <c r="AE11" s="2">
        <f>[1]!YBHIST("FNMA5.5-GEN",$A11,"Price","tba","")</f>
        <v>108.617188</v>
      </c>
      <c r="AF11" s="6">
        <f>[1]!YBHIST("FNMA6.0-GEN",$A11,"Price","tba","")</f>
        <v>109.289062</v>
      </c>
      <c r="AG11" s="2">
        <f>[1]!YBHIST("FNMA3.0-GEN",$A11,"Yield","tba","")</f>
        <v>2.036</v>
      </c>
      <c r="AH11" s="2">
        <f>[1]!YBHIST("FNMA3.5-GEN",$A11,"Yield","tba","")</f>
        <v>1.7070000000000001</v>
      </c>
      <c r="AI11" s="2">
        <f>[1]!YBHIST("FNMA4.0-GEN",$A11,"Yield","tba","")</f>
        <v>1.548</v>
      </c>
      <c r="AJ11" s="2">
        <f>[1]!YBHIST("FNMA4.5-GEN",$A11,"Yield","tba","")</f>
        <v>1.5069999999999999</v>
      </c>
      <c r="AK11" s="2">
        <f>[1]!YBHIST("FNMA5.0-GEN",$A11,"Yield","tba","")</f>
        <v>0.86</v>
      </c>
      <c r="AL11" s="2">
        <f>[1]!YBHIST("FNMA5.5-GEN",$A11,"Yield","tba","")</f>
        <v>1.1220000000000001</v>
      </c>
      <c r="AM11" s="6">
        <f>[1]!YBHIST("FNMA6.0-GEN",$A11,"Yield","tba","")</f>
        <v>0.745</v>
      </c>
      <c r="AN11" s="3">
        <f>[1]!YBHIST(AN$4,$A11,"Price","sec","")</f>
        <v>12.577999999999999</v>
      </c>
      <c r="AO11" s="2">
        <f>[1]!YBHIST(AO$4,$A11,"Price","sec","")</f>
        <v>13.531000000000001</v>
      </c>
      <c r="AP11" s="2">
        <f>[1]!YBHIST(AP$4,$A11,"Price","sec","")</f>
        <v>11.531000000000001</v>
      </c>
      <c r="AQ11" s="2">
        <f>[1]!YBHIST(AQ$4,$A11,"Price","sec","")</f>
        <v>15.061999999999999</v>
      </c>
      <c r="AR11" s="2">
        <f>[1]!YBHIST(AR$4,$A11,"Price","sec","")</f>
        <v>12.952999999999999</v>
      </c>
      <c r="AS11" s="2">
        <f>[1]!YBHIST(AS$4,$A11,"Price","sec","")</f>
        <v>17.780999999999999</v>
      </c>
      <c r="AT11" s="2">
        <f>[1]!YBHIST(AT$4,$A11,"Price","sec","")</f>
        <v>15.625</v>
      </c>
      <c r="AU11" s="2">
        <f>[1]!YBHIST(AU$4,$A11,"Price","sec","")</f>
        <v>10.938000000000001</v>
      </c>
      <c r="AV11" s="2">
        <f>[1]!YBHIST(AV$4,$A11,"Price","sec","")</f>
        <v>13.797000000000001</v>
      </c>
      <c r="AW11" s="2">
        <f>[1]!YBHIST(AW$4,$A11,"Price","sec","")</f>
        <v>13.484</v>
      </c>
      <c r="AX11" s="2">
        <f>[1]!YBHIST(AX$4,$A11,"Price","sec","")</f>
        <v>11.827999999999999</v>
      </c>
      <c r="AY11" s="2">
        <f>[1]!YBHIST(AY$4,$A11,"Price","sec","")</f>
        <v>15.327999999999999</v>
      </c>
      <c r="AZ11" s="2">
        <f>[1]!YBHIST(AZ$4,$A11,"Price","sec","")</f>
        <v>14.5</v>
      </c>
      <c r="BA11" s="2">
        <f>[1]!YBHIST(BA$4,$A11,"Price","sec","")</f>
        <v>14.093999999999999</v>
      </c>
      <c r="BB11" s="2">
        <f>[1]!YBHIST(BB$4,$A11,"Price","sec","")</f>
        <v>17.077998999999998</v>
      </c>
      <c r="BC11" s="2">
        <f>[1]!YBHIST(BC$4,$A11,"Price","sec","")</f>
        <v>17.702998999999998</v>
      </c>
      <c r="BD11" s="2">
        <f>[1]!YBHIST(BD$4,$A11,"Price","sec","")</f>
        <v>17.625</v>
      </c>
      <c r="BE11" s="6">
        <f>[1]!YBHIST(BE$4,$A11,"Price","sec","")</f>
        <v>18.875</v>
      </c>
      <c r="BF11" s="20">
        <f>[1]!YBHIST(BF$4,$A11,"LMMOAS","sec","")</f>
        <v>551.18188499999997</v>
      </c>
      <c r="BG11" s="20">
        <f>[1]!YBHIST(BG$4,$A11,"LMMOAS","sec","")</f>
        <v>550.44970699999999</v>
      </c>
      <c r="BH11" s="20">
        <f>[1]!YBHIST(BH$4,$A11,"LMMOAS","sec","")</f>
        <v>584.26318400000002</v>
      </c>
      <c r="BI11" s="20">
        <f>[1]!YBHIST(BI$4,$A11,"LMMOAS","sec","")</f>
        <v>525.76599099999999</v>
      </c>
      <c r="BJ11" s="20">
        <f>[1]!YBHIST(BJ$4,$A11,"LMMOAS","sec","")</f>
        <v>529.89300500000002</v>
      </c>
      <c r="BK11" s="20">
        <f>[1]!YBHIST(BK$4,$A11,"LMMOAS","sec","")</f>
        <v>527.16967799999998</v>
      </c>
      <c r="BL11" s="20">
        <f>[1]!YBHIST(BL$4,$A11,"LMMOAS","sec","")</f>
        <v>595.979919</v>
      </c>
      <c r="BM11" s="20">
        <f>[1]!YBHIST(BM$4,$A11,"LMMOAS","sec","")</f>
        <v>307.708099</v>
      </c>
      <c r="BN11" s="20">
        <f>[1]!YBHIST(BN$4,$A11,"LMMOAS","sec","")</f>
        <v>337.36291499999999</v>
      </c>
      <c r="BO11" s="20">
        <f>[1]!YBHIST(BO$4,$A11,"LMMOAS","sec","")</f>
        <v>530.77459699999997</v>
      </c>
      <c r="BP11" s="20">
        <f>[1]!YBHIST(BP$4,$A11,"LMMOAS","sec","")</f>
        <v>513.34136999999998</v>
      </c>
      <c r="BQ11" s="20">
        <f>[1]!YBHIST(BQ$4,$A11,"LMMOAS","sec","")</f>
        <v>644.112122</v>
      </c>
      <c r="BR11" s="20">
        <f>[1]!YBHIST(BR$4,$A11,"LMMOAS","sec","")</f>
        <v>799.13232400000004</v>
      </c>
      <c r="BS11" s="20">
        <f>[1]!YBHIST(BS$4,$A11,"LMMOAS","sec","")</f>
        <v>412.66299400000003</v>
      </c>
      <c r="BT11" s="20">
        <f>[1]!YBHIST(BT$4,$A11,"LMMOAS","sec","")</f>
        <v>572.06768799999998</v>
      </c>
      <c r="BU11" s="20">
        <f>[1]!YBHIST(BU$4,$A11,"LMMOAS","sec","")</f>
        <v>392.26361100000003</v>
      </c>
      <c r="BV11" s="20">
        <f>[1]!YBHIST(BV$4,$A11,"LMMOAS","sec","")</f>
        <v>460.69918799999999</v>
      </c>
      <c r="BW11" s="20">
        <f>[1]!YBHIST(BW$4,$A11,"LMMOAS","sec","")</f>
        <v>388.316101</v>
      </c>
      <c r="BX11" s="5"/>
      <c r="BY11" s="1"/>
      <c r="BZ11" s="1"/>
    </row>
    <row r="12" spans="1:80" x14ac:dyDescent="0.25">
      <c r="A12" s="14">
        <f>[1]!YBWORKDAY(A$5,-1*(ROW()-ROW(A$5)),"USD","")</f>
        <v>41262</v>
      </c>
      <c r="B12" s="3">
        <f>[1]!YBHIST("2 Year Treasury",$A12,"Price","govt","")</f>
        <v>99.694999999999993</v>
      </c>
      <c r="C12" s="2">
        <f>[1]!YBHIST("5 Year Treasury",$A12,"Price","govt","")</f>
        <v>99.914000999999999</v>
      </c>
      <c r="D12" s="2">
        <f>[1]!YBHIST("10 Year Treasury",$A12,"Price","govt","")</f>
        <v>98.438004000000006</v>
      </c>
      <c r="E12" s="6">
        <f>[1]!YBHIST("30 Year Treasury",$A12,"Price","govt","")</f>
        <v>95.453002999999995</v>
      </c>
      <c r="F12" s="3">
        <f>[1]!YBHIST("2 Year Treasury",$A12,"YldtoMat","govt","")</f>
        <v>0.27800000000000002</v>
      </c>
      <c r="G12" s="2">
        <f>[1]!YBHIST("5 Year Treasury",$A12,"YldtoMat","govt","")</f>
        <v>0.76800000000000002</v>
      </c>
      <c r="H12" s="2">
        <f>[1]!YBHIST("10 Year Treasury",$A12,"YldtoMat","govt","")</f>
        <v>1.798</v>
      </c>
      <c r="I12" s="6">
        <f>[1]!YBHIST("30 Year Treasury",$A12,"YldtoMat","govt","")</f>
        <v>2.9809999999999999</v>
      </c>
      <c r="J12" s="3">
        <f>[1]!YBHIST("2yr Swap Rate",$A12,"YldtoMat","swapvol","")</f>
        <v>0.39841799999999999</v>
      </c>
      <c r="K12" s="2">
        <f>[1]!YBHIST("5yr Swap Rate",$A12,"YldtoMat","swapvol","")</f>
        <v>0.87719899999999995</v>
      </c>
      <c r="L12" s="2">
        <f>[1]!YBHIST("10yr Swap Rate",$A12,"YldtoMat","swapvol","")</f>
        <v>1.842482</v>
      </c>
      <c r="M12" s="6">
        <f>[1]!YBHIST("30yr Swap Rate",$A12,"YldtoMat","swapvol","")</f>
        <v>2.774114</v>
      </c>
      <c r="N12" s="3">
        <f>[1]!YBHIST("FNMA 30YR Cur Coup (BE)",$A12,"Yield","bmk","")</f>
        <v>2.2480000000000002</v>
      </c>
      <c r="O12" s="2">
        <f>[1]!YBHIST("FHLMC 30YR Cur Coup (BE)",$A12,"Yield","bmk","")</f>
        <v>2.294</v>
      </c>
      <c r="P12" s="2">
        <f>[1]!YBHIST("GNMA 30YR Cur Coup (BE)",$A12,"Yield","bmk","")</f>
        <v>2.1619999999999999</v>
      </c>
      <c r="Q12" s="2">
        <f>[1]!YBHIST("Primary 30-Yr Mtg Rate",$A12,"Yield","bmk","")</f>
        <v>3.6333000000000002</v>
      </c>
      <c r="R12" s="2">
        <f>[1]!YBHIST("FHLM 30-Yr Survey Rate",$A12,"Yield","bmk","")</f>
        <v>3.32</v>
      </c>
      <c r="S12" s="6">
        <f>[1]!YBHIST("Base Mortgage Rate",$A12,"Yield","bmk","")</f>
        <v>2.5819999999999999</v>
      </c>
      <c r="T12" s="18">
        <f>[1]!YBHIST("FNMA 30YR Cur Coup (BE)",$A12,"LMMOAS","bmk","")</f>
        <v>-9.8267000000000007</v>
      </c>
      <c r="U12" s="19">
        <f>[1]!YBHIST("FHLMC 30YR Cur Coup (BE)",$A12,"LMMOAS","bmk","")</f>
        <v>-3.1351</v>
      </c>
      <c r="V12" s="19">
        <f>[1]!YBHIST("GNMA 30YR Cur Coup (BE)",$A12,"LMMOAS","bmk","")</f>
        <v>-30.657699999999998</v>
      </c>
      <c r="W12" s="20">
        <f t="shared" si="0"/>
        <v>45.000000000000014</v>
      </c>
      <c r="X12" s="20">
        <f t="shared" si="1"/>
        <v>45.000000000000014</v>
      </c>
      <c r="Y12" s="20">
        <f t="shared" si="2"/>
        <v>49.6</v>
      </c>
      <c r="Z12" s="25">
        <f>[1]!YBHIST("FNMA3.0-GEN",$A12,"Price","tba","")</f>
        <v>104.40625</v>
      </c>
      <c r="AA12" s="2">
        <f>[1]!YBHIST("FNMA3.5-GEN",$A12,"Price","tba","")</f>
        <v>106.265625</v>
      </c>
      <c r="AB12" s="2">
        <f>[1]!YBHIST("FNMA4.0-GEN",$A12,"Price","tba","")</f>
        <v>106.921875</v>
      </c>
      <c r="AC12" s="2">
        <f>[1]!YBHIST("FNMA4.5-GEN",$A12,"Price","tba","")</f>
        <v>107.765625</v>
      </c>
      <c r="AD12" s="2">
        <f>[1]!YBHIST("FNMA5.0-GEN",$A12,"Price","tba","")</f>
        <v>108.273438</v>
      </c>
      <c r="AE12" s="2">
        <f>[1]!YBHIST("FNMA5.5-GEN",$A12,"Price","tba","")</f>
        <v>108.585938</v>
      </c>
      <c r="AF12" s="6">
        <f>[1]!YBHIST("FNMA6.0-GEN",$A12,"Price","tba","")</f>
        <v>109.28125</v>
      </c>
      <c r="AG12" s="2">
        <f>[1]!YBHIST("FNMA3.0-GEN",$A12,"Yield","tba","")</f>
        <v>2.0609999999999999</v>
      </c>
      <c r="AH12" s="2">
        <f>[1]!YBHIST("FNMA3.5-GEN",$A12,"Yield","tba","")</f>
        <v>1.742</v>
      </c>
      <c r="AI12" s="2">
        <f>[1]!YBHIST("FNMA4.0-GEN",$A12,"Yield","tba","")</f>
        <v>1.579</v>
      </c>
      <c r="AJ12" s="2">
        <f>[1]!YBHIST("FNMA4.5-GEN",$A12,"Yield","tba","")</f>
        <v>1.5329999999999999</v>
      </c>
      <c r="AK12" s="2">
        <f>[1]!YBHIST("FNMA5.0-GEN",$A12,"Yield","tba","")</f>
        <v>0.89100000000000001</v>
      </c>
      <c r="AL12" s="2">
        <f>[1]!YBHIST("FNMA5.5-GEN",$A12,"Yield","tba","")</f>
        <v>1.1499999999999999</v>
      </c>
      <c r="AM12" s="6">
        <f>[1]!YBHIST("FNMA6.0-GEN",$A12,"Yield","tba","")</f>
        <v>0.76100000000000001</v>
      </c>
      <c r="AN12" s="3">
        <f>[1]!YBHIST(AN$4,$A12,"Price","sec","")</f>
        <v>12.672000000000001</v>
      </c>
      <c r="AO12" s="2">
        <f>[1]!YBHIST(AO$4,$A12,"Price","sec","")</f>
        <v>13.625</v>
      </c>
      <c r="AP12" s="2">
        <f>[1]!YBHIST(AP$4,$A12,"Price","sec","")</f>
        <v>11.593999999999999</v>
      </c>
      <c r="AQ12" s="2">
        <f>[1]!YBHIST(AQ$4,$A12,"Price","sec","")</f>
        <v>15.109</v>
      </c>
      <c r="AR12" s="2">
        <f>[1]!YBHIST(AR$4,$A12,"Price","sec","")</f>
        <v>13</v>
      </c>
      <c r="AS12" s="2">
        <f>[1]!YBHIST(AS$4,$A12,"Price","sec","")</f>
        <v>17.844000000000001</v>
      </c>
      <c r="AT12" s="2">
        <f>[1]!YBHIST(AT$4,$A12,"Price","sec","")</f>
        <v>15.656000000000001</v>
      </c>
      <c r="AU12" s="2">
        <f>[1]!YBHIST(AU$4,$A12,"Price","sec","")</f>
        <v>10.968999999999999</v>
      </c>
      <c r="AV12" s="2">
        <f>[1]!YBHIST(AV$4,$A12,"Price","sec","")</f>
        <v>13.827999999999999</v>
      </c>
      <c r="AW12" s="2">
        <f>[1]!YBHIST(AW$4,$A12,"Price","sec","")</f>
        <v>13.516</v>
      </c>
      <c r="AX12" s="2">
        <f>[1]!YBHIST(AX$4,$A12,"Price","sec","")</f>
        <v>11.859</v>
      </c>
      <c r="AY12" s="2">
        <f>[1]!YBHIST(AY$4,$A12,"Price","sec","")</f>
        <v>15.359</v>
      </c>
      <c r="AZ12" s="2">
        <f>[1]!YBHIST(AZ$4,$A12,"Price","sec","")</f>
        <v>14.516</v>
      </c>
      <c r="BA12" s="2">
        <f>[1]!YBHIST(BA$4,$A12,"Price","sec","")</f>
        <v>14.109</v>
      </c>
      <c r="BB12" s="2">
        <f>[1]!YBHIST(BB$4,$A12,"Price","sec","")</f>
        <v>17.094000000000001</v>
      </c>
      <c r="BC12" s="2">
        <f>[1]!YBHIST(BC$4,$A12,"Price","sec","")</f>
        <v>17.75</v>
      </c>
      <c r="BD12" s="2">
        <f>[1]!YBHIST(BD$4,$A12,"Price","sec","")</f>
        <v>17.687999999999999</v>
      </c>
      <c r="BE12" s="6">
        <f>[1]!YBHIST(BE$4,$A12,"Price","sec","")</f>
        <v>18.922001000000002</v>
      </c>
      <c r="BF12" s="20">
        <f>[1]!YBHIST(BF$4,$A12,"LMMOAS","sec","")</f>
        <v>548.84631300000001</v>
      </c>
      <c r="BG12" s="20">
        <f>[1]!YBHIST(BG$4,$A12,"LMMOAS","sec","")</f>
        <v>549.42718500000001</v>
      </c>
      <c r="BH12" s="20">
        <f>[1]!YBHIST(BH$4,$A12,"LMMOAS","sec","")</f>
        <v>590.51080300000001</v>
      </c>
      <c r="BI12" s="20">
        <f>[1]!YBHIST(BI$4,$A12,"LMMOAS","sec","")</f>
        <v>533.071594</v>
      </c>
      <c r="BJ12" s="20">
        <f>[1]!YBHIST(BJ$4,$A12,"LMMOAS","sec","")</f>
        <v>538.83532700000001</v>
      </c>
      <c r="BK12" s="20">
        <f>[1]!YBHIST(BK$4,$A12,"LMMOAS","sec","")</f>
        <v>529.45629899999994</v>
      </c>
      <c r="BL12" s="20">
        <f>[1]!YBHIST(BL$4,$A12,"LMMOAS","sec","")</f>
        <v>604.61151099999995</v>
      </c>
      <c r="BM12" s="20">
        <f>[1]!YBHIST(BM$4,$A12,"LMMOAS","sec","")</f>
        <v>324.689301</v>
      </c>
      <c r="BN12" s="20">
        <f>[1]!YBHIST(BN$4,$A12,"LMMOAS","sec","")</f>
        <v>347.84759500000001</v>
      </c>
      <c r="BO12" s="20">
        <f>[1]!YBHIST(BO$4,$A12,"LMMOAS","sec","")</f>
        <v>538.08630400000004</v>
      </c>
      <c r="BP12" s="20">
        <f>[1]!YBHIST(BP$4,$A12,"LMMOAS","sec","")</f>
        <v>527.99432400000001</v>
      </c>
      <c r="BQ12" s="20">
        <f>[1]!YBHIST(BQ$4,$A12,"LMMOAS","sec","")</f>
        <v>651.96557600000006</v>
      </c>
      <c r="BR12" s="20">
        <f>[1]!YBHIST(BR$4,$A12,"LMMOAS","sec","")</f>
        <v>807.97113000000002</v>
      </c>
      <c r="BS12" s="20">
        <f>[1]!YBHIST(BS$4,$A12,"LMMOAS","sec","")</f>
        <v>428.04940800000003</v>
      </c>
      <c r="BT12" s="20">
        <f>[1]!YBHIST(BT$4,$A12,"LMMOAS","sec","")</f>
        <v>580.51721199999997</v>
      </c>
      <c r="BU12" s="20">
        <f>[1]!YBHIST(BU$4,$A12,"LMMOAS","sec","")</f>
        <v>395.22311400000001</v>
      </c>
      <c r="BV12" s="20">
        <f>[1]!YBHIST(BV$4,$A12,"LMMOAS","sec","")</f>
        <v>463.54528800000003</v>
      </c>
      <c r="BW12" s="20">
        <f>[1]!YBHIST(BW$4,$A12,"LMMOAS","sec","")</f>
        <v>393.24468999999999</v>
      </c>
      <c r="BX12" s="5"/>
      <c r="BY12" s="1"/>
      <c r="BZ12" s="1"/>
    </row>
    <row r="13" spans="1:80" x14ac:dyDescent="0.25">
      <c r="A13" s="14">
        <f>[1]!YBWORKDAY(A$5,-1*(ROW()-ROW(A$5)),"USD","")</f>
        <v>41261</v>
      </c>
      <c r="B13" s="3">
        <f>[1]!YBHIST("2 Year Treasury",$A13,"Price","govt","")</f>
        <v>99.694999999999993</v>
      </c>
      <c r="C13" s="2">
        <f>[1]!YBHIST("5 Year Treasury",$A13,"Price","govt","")</f>
        <v>99.32</v>
      </c>
      <c r="D13" s="2">
        <f>[1]!YBHIST("10 Year Treasury",$A13,"Price","govt","")</f>
        <v>98.171997000000005</v>
      </c>
      <c r="E13" s="6">
        <f>[1]!YBHIST("30 Year Treasury",$A13,"Price","govt","")</f>
        <v>94.780997999999997</v>
      </c>
      <c r="F13" s="3">
        <f>[1]!YBHIST("2 Year Treasury",$A13,"YldtoMat","govt","")</f>
        <v>0.27800000000000002</v>
      </c>
      <c r="G13" s="2">
        <f>[1]!YBHIST("5 Year Treasury",$A13,"YldtoMat","govt","")</f>
        <v>0.76500000000000001</v>
      </c>
      <c r="H13" s="2">
        <f>[1]!YBHIST("10 Year Treasury",$A13,"YldtoMat","govt","")</f>
        <v>1.8280000000000001</v>
      </c>
      <c r="I13" s="6">
        <f>[1]!YBHIST("30 Year Treasury",$A13,"YldtoMat","govt","")</f>
        <v>3.016</v>
      </c>
      <c r="J13" s="3">
        <f>[1]!YBHIST("2yr Swap Rate",$A13,"YldtoMat","swapvol","")</f>
        <v>0.39096500000000001</v>
      </c>
      <c r="K13" s="2">
        <f>[1]!YBHIST("5yr Swap Rate",$A13,"YldtoMat","swapvol","")</f>
        <v>0.89076299999999997</v>
      </c>
      <c r="L13" s="2">
        <f>[1]!YBHIST("10yr Swap Rate",$A13,"YldtoMat","swapvol","")</f>
        <v>1.8750690000000001</v>
      </c>
      <c r="M13" s="6">
        <f>[1]!YBHIST("30yr Swap Rate",$A13,"YldtoMat","swapvol","")</f>
        <v>2.8158590000000001</v>
      </c>
      <c r="N13" s="3">
        <f>[1]!YBHIST("FNMA 30YR Cur Coup (BE)",$A13,"Yield","bmk","")</f>
        <v>2.2879999999999998</v>
      </c>
      <c r="O13" s="2">
        <f>[1]!YBHIST("FHLMC 30YR Cur Coup (BE)",$A13,"Yield","bmk","")</f>
        <v>2.3340000000000001</v>
      </c>
      <c r="P13" s="2">
        <f>[1]!YBHIST("GNMA 30YR Cur Coup (BE)",$A13,"Yield","bmk","")</f>
        <v>2.202</v>
      </c>
      <c r="Q13" s="2">
        <f>[1]!YBHIST("Primary 30-Yr Mtg Rate",$A13,"Yield","bmk","")</f>
        <v>3.673</v>
      </c>
      <c r="R13" s="2">
        <f>[1]!YBHIST("FHLM 30-Yr Survey Rate",$A13,"Yield","bmk","")</f>
        <v>3.32</v>
      </c>
      <c r="S13" s="6">
        <f>[1]!YBHIST("Base Mortgage Rate",$A13,"Yield","bmk","")</f>
        <v>2.6219999999999999</v>
      </c>
      <c r="T13" s="18">
        <f>[1]!YBHIST("FNMA 30YR Cur Coup (BE)",$A13,"LMMOAS","bmk","")</f>
        <v>-9.1129999999999995</v>
      </c>
      <c r="U13" s="19">
        <f>[1]!YBHIST("FHLMC 30YR Cur Coup (BE)",$A13,"LMMOAS","bmk","")</f>
        <v>-1.9343999999999999</v>
      </c>
      <c r="V13" s="19">
        <f>[1]!YBHIST("GNMA 30YR Cur Coup (BE)",$A13,"LMMOAS","bmk","")</f>
        <v>-30.391100000000002</v>
      </c>
      <c r="W13" s="20">
        <f t="shared" si="0"/>
        <v>45.999999999999972</v>
      </c>
      <c r="X13" s="20">
        <f t="shared" si="1"/>
        <v>45.999999999999972</v>
      </c>
      <c r="Y13" s="20">
        <f t="shared" si="2"/>
        <v>50.6</v>
      </c>
      <c r="Z13" s="25">
        <f>[1]!YBHIST("FNMA3.0-GEN",$A13,"Price","tba","")</f>
        <v>104.210938</v>
      </c>
      <c r="AA13" s="2">
        <f>[1]!YBHIST("FNMA3.5-GEN",$A13,"Price","tba","")</f>
        <v>106.140625</v>
      </c>
      <c r="AB13" s="2">
        <f>[1]!YBHIST("FNMA4.0-GEN",$A13,"Price","tba","")</f>
        <v>106.851562</v>
      </c>
      <c r="AC13" s="2">
        <f>[1]!YBHIST("FNMA4.5-GEN",$A13,"Price","tba","")</f>
        <v>107.742188</v>
      </c>
      <c r="AD13" s="2">
        <f>[1]!YBHIST("FNMA5.0-GEN",$A13,"Price","tba","")</f>
        <v>108.179688</v>
      </c>
      <c r="AE13" s="2">
        <f>[1]!YBHIST("FNMA5.5-GEN",$A13,"Price","tba","")</f>
        <v>108.5</v>
      </c>
      <c r="AF13" s="6">
        <f>[1]!YBHIST("FNMA6.0-GEN",$A13,"Price","tba","")</f>
        <v>109.25</v>
      </c>
      <c r="AG13" s="2">
        <f>[1]!YBHIST("FNMA3.0-GEN",$A13,"Yield","tba","")</f>
        <v>2.1269999999999998</v>
      </c>
      <c r="AH13" s="2">
        <f>[1]!YBHIST("FNMA3.5-GEN",$A13,"Yield","tba","")</f>
        <v>1.8160000000000001</v>
      </c>
      <c r="AI13" s="2">
        <f>[1]!YBHIST("FNMA4.0-GEN",$A13,"Yield","tba","")</f>
        <v>1.6439999999999999</v>
      </c>
      <c r="AJ13" s="2">
        <f>[1]!YBHIST("FNMA4.5-GEN",$A13,"Yield","tba","")</f>
        <v>1.577</v>
      </c>
      <c r="AK13" s="2">
        <f>[1]!YBHIST("FNMA5.0-GEN",$A13,"Yield","tba","")</f>
        <v>0.97399999999999998</v>
      </c>
      <c r="AL13" s="2">
        <f>[1]!YBHIST("FNMA5.5-GEN",$A13,"Yield","tba","")</f>
        <v>1.2190000000000001</v>
      </c>
      <c r="AM13" s="6">
        <f>[1]!YBHIST("FNMA6.0-GEN",$A13,"Yield","tba","")</f>
        <v>0.80500000000000005</v>
      </c>
      <c r="AN13" s="3">
        <f>[1]!YBHIST(AN$4,$A13,"Price","sec","")</f>
        <v>12.875</v>
      </c>
      <c r="AO13" s="2">
        <f>[1]!YBHIST(AO$4,$A13,"Price","sec","")</f>
        <v>13.811999999999999</v>
      </c>
      <c r="AP13" s="2">
        <f>[1]!YBHIST(AP$4,$A13,"Price","sec","")</f>
        <v>11.766</v>
      </c>
      <c r="AQ13" s="2">
        <f>[1]!YBHIST(AQ$4,$A13,"Price","sec","")</f>
        <v>15.25</v>
      </c>
      <c r="AR13" s="2">
        <f>[1]!YBHIST(AR$4,$A13,"Price","sec","")</f>
        <v>13.141</v>
      </c>
      <c r="AS13" s="2">
        <f>[1]!YBHIST(AS$4,$A13,"Price","sec","")</f>
        <v>18</v>
      </c>
      <c r="AT13" s="2">
        <f>[1]!YBHIST(AT$4,$A13,"Price","sec","")</f>
        <v>15.797000000000001</v>
      </c>
      <c r="AU13" s="2">
        <f>[1]!YBHIST(AU$4,$A13,"Price","sec","")</f>
        <v>11.093999999999999</v>
      </c>
      <c r="AV13" s="2">
        <f>[1]!YBHIST(AV$4,$A13,"Price","sec","")</f>
        <v>13.952999999999999</v>
      </c>
      <c r="AW13" s="2">
        <f>[1]!YBHIST(AW$4,$A13,"Price","sec","")</f>
        <v>13.625</v>
      </c>
      <c r="AX13" s="2">
        <f>[1]!YBHIST(AX$4,$A13,"Price","sec","")</f>
        <v>11.938000000000001</v>
      </c>
      <c r="AY13" s="2">
        <f>[1]!YBHIST(AY$4,$A13,"Price","sec","")</f>
        <v>15.438000000000001</v>
      </c>
      <c r="AZ13" s="2">
        <f>[1]!YBHIST(AZ$4,$A13,"Price","sec","")</f>
        <v>14.593999999999999</v>
      </c>
      <c r="BA13" s="2">
        <f>[1]!YBHIST(BA$4,$A13,"Price","sec","")</f>
        <v>14.172000000000001</v>
      </c>
      <c r="BB13" s="2">
        <f>[1]!YBHIST(BB$4,$A13,"Price","sec","")</f>
        <v>17.172001000000002</v>
      </c>
      <c r="BC13" s="2">
        <f>[1]!YBHIST(BC$4,$A13,"Price","sec","")</f>
        <v>17.922001000000002</v>
      </c>
      <c r="BD13" s="2">
        <f>[1]!YBHIST(BD$4,$A13,"Price","sec","")</f>
        <v>17.875</v>
      </c>
      <c r="BE13" s="6">
        <f>[1]!YBHIST(BE$4,$A13,"Price","sec","")</f>
        <v>19.094000000000001</v>
      </c>
      <c r="BF13" s="20">
        <f>[1]!YBHIST(BF$4,$A13,"LMMOAS","sec","")</f>
        <v>558.85839799999997</v>
      </c>
      <c r="BG13" s="20">
        <f>[1]!YBHIST(BG$4,$A13,"LMMOAS","sec","")</f>
        <v>564.53472899999997</v>
      </c>
      <c r="BH13" s="20">
        <f>[1]!YBHIST(BH$4,$A13,"LMMOAS","sec","")</f>
        <v>608.91803000000004</v>
      </c>
      <c r="BI13" s="20">
        <f>[1]!YBHIST(BI$4,$A13,"LMMOAS","sec","")</f>
        <v>555.47772199999997</v>
      </c>
      <c r="BJ13" s="20">
        <f>[1]!YBHIST(BJ$4,$A13,"LMMOAS","sec","")</f>
        <v>562.09027100000003</v>
      </c>
      <c r="BK13" s="20">
        <f>[1]!YBHIST(BK$4,$A13,"LMMOAS","sec","")</f>
        <v>541.44689900000003</v>
      </c>
      <c r="BL13" s="20">
        <f>[1]!YBHIST(BL$4,$A13,"LMMOAS","sec","")</f>
        <v>620.87158199999999</v>
      </c>
      <c r="BM13" s="20">
        <f>[1]!YBHIST(BM$4,$A13,"LMMOAS","sec","")</f>
        <v>349.07888800000001</v>
      </c>
      <c r="BN13" s="20">
        <f>[1]!YBHIST(BN$4,$A13,"LMMOAS","sec","")</f>
        <v>362.844604</v>
      </c>
      <c r="BO13" s="20">
        <f>[1]!YBHIST(BO$4,$A13,"LMMOAS","sec","")</f>
        <v>546.94928000000004</v>
      </c>
      <c r="BP13" s="20">
        <f>[1]!YBHIST(BP$4,$A13,"LMMOAS","sec","")</f>
        <v>559.28228799999999</v>
      </c>
      <c r="BQ13" s="20">
        <f>[1]!YBHIST(BQ$4,$A13,"LMMOAS","sec","")</f>
        <v>669.41229199999998</v>
      </c>
      <c r="BR13" s="20">
        <f>[1]!YBHIST(BR$4,$A13,"LMMOAS","sec","")</f>
        <v>818.47570800000005</v>
      </c>
      <c r="BS13" s="20">
        <f>[1]!YBHIST(BS$4,$A13,"LMMOAS","sec","")</f>
        <v>456.38400300000001</v>
      </c>
      <c r="BT13" s="20">
        <f>[1]!YBHIST(BT$4,$A13,"LMMOAS","sec","")</f>
        <v>592.50042699999995</v>
      </c>
      <c r="BU13" s="20">
        <f>[1]!YBHIST(BU$4,$A13,"LMMOAS","sec","")</f>
        <v>406.43109099999998</v>
      </c>
      <c r="BV13" s="20">
        <f>[1]!YBHIST(BV$4,$A13,"LMMOAS","sec","")</f>
        <v>475.27749599999999</v>
      </c>
      <c r="BW13" s="20">
        <f>[1]!YBHIST(BW$4,$A13,"LMMOAS","sec","")</f>
        <v>405.76928700000002</v>
      </c>
      <c r="BX13" s="5"/>
      <c r="BY13" s="1"/>
      <c r="BZ13" s="1"/>
    </row>
    <row r="14" spans="1:80" x14ac:dyDescent="0.25">
      <c r="A14" s="14">
        <f>[1]!YBWORKDAY(A$5,-1*(ROW()-ROW(A$5)),"USD","")</f>
        <v>41260</v>
      </c>
      <c r="B14" s="3">
        <f>[1]!YBHIST("2 Year Treasury",$A14,"Price","govt","")</f>
        <v>100</v>
      </c>
      <c r="C14" s="2">
        <f>[1]!YBHIST("5 Year Treasury",$A14,"Price","govt","")</f>
        <v>99.508003000000002</v>
      </c>
      <c r="D14" s="2">
        <f>[1]!YBHIST("10 Year Treasury",$A14,"Price","govt","")</f>
        <v>98.75</v>
      </c>
      <c r="E14" s="6">
        <f>[1]!YBHIST("30 Year Treasury",$A14,"Price","govt","")</f>
        <v>96.390998999999994</v>
      </c>
      <c r="F14" s="3">
        <f>[1]!YBHIST("2 Year Treasury",$A14,"YldtoMat","govt","")</f>
        <v>0.25</v>
      </c>
      <c r="G14" s="2">
        <f>[1]!YBHIST("5 Year Treasury",$A14,"YldtoMat","govt","")</f>
        <v>0.72599999999999998</v>
      </c>
      <c r="H14" s="2">
        <f>[1]!YBHIST("10 Year Treasury",$A14,"YldtoMat","govt","")</f>
        <v>1.7629999999999999</v>
      </c>
      <c r="I14" s="6">
        <f>[1]!YBHIST("30 Year Treasury",$A14,"YldtoMat","govt","")</f>
        <v>2.9319999999999999</v>
      </c>
      <c r="J14" s="3">
        <f>[1]!YBHIST("2yr Swap Rate",$A14,"YldtoMat","swapvol","")</f>
        <v>0.37159399999999998</v>
      </c>
      <c r="K14" s="2">
        <f>[1]!YBHIST("5yr Swap Rate",$A14,"YldtoMat","swapvol","")</f>
        <v>0.85699700000000001</v>
      </c>
      <c r="L14" s="2">
        <f>[1]!YBHIST("10yr Swap Rate",$A14,"YldtoMat","swapvol","")</f>
        <v>1.8140559999999999</v>
      </c>
      <c r="M14" s="6">
        <f>[1]!YBHIST("30yr Swap Rate",$A14,"YldtoMat","swapvol","")</f>
        <v>2.7288890000000001</v>
      </c>
      <c r="N14" s="3">
        <f>[1]!YBHIST("FNMA 30YR Cur Coup (BE)",$A14,"Yield","bmk","")</f>
        <v>2.2269999999999999</v>
      </c>
      <c r="O14" s="2">
        <f>[1]!YBHIST("FHLMC 30YR Cur Coup (BE)",$A14,"Yield","bmk","")</f>
        <v>2.2730000000000001</v>
      </c>
      <c r="P14" s="2">
        <f>[1]!YBHIST("GNMA 30YR Cur Coup (BE)",$A14,"Yield","bmk","")</f>
        <v>2.141</v>
      </c>
      <c r="Q14" s="2">
        <f>[1]!YBHIST("Primary 30-Yr Mtg Rate",$A14,"Yield","bmk","")</f>
        <v>3.6135000000000002</v>
      </c>
      <c r="R14" s="2">
        <f>[1]!YBHIST("FHLM 30-Yr Survey Rate",$A14,"Yield","bmk","")</f>
        <v>3.32</v>
      </c>
      <c r="S14" s="6">
        <f>[1]!YBHIST("Base Mortgage Rate",$A14,"Yield","bmk","")</f>
        <v>2.5619999999999998</v>
      </c>
      <c r="T14" s="18">
        <f>[1]!YBHIST("FNMA 30YR Cur Coup (BE)",$A14,"LMMOAS","bmk","")</f>
        <v>-8.6308000000000007</v>
      </c>
      <c r="U14" s="19">
        <f>[1]!YBHIST("FHLMC 30YR Cur Coup (BE)",$A14,"LMMOAS","bmk","")</f>
        <v>-1.8238000000000001</v>
      </c>
      <c r="V14" s="19">
        <f>[1]!YBHIST("GNMA 30YR Cur Coup (BE)",$A14,"LMMOAS","bmk","")</f>
        <v>-29.026800000000001</v>
      </c>
      <c r="W14" s="20">
        <f t="shared" si="0"/>
        <v>46.4</v>
      </c>
      <c r="X14" s="20">
        <f t="shared" si="1"/>
        <v>46.4</v>
      </c>
      <c r="Y14" s="20">
        <f t="shared" si="2"/>
        <v>51.000000000000021</v>
      </c>
      <c r="Z14" s="25">
        <f>[1]!YBHIST("FNMA3.0-GEN",$A14,"Price","tba","")</f>
        <v>104.5</v>
      </c>
      <c r="AA14" s="2">
        <f>[1]!YBHIST("FNMA3.5-GEN",$A14,"Price","tba","")</f>
        <v>106.3125</v>
      </c>
      <c r="AB14" s="2">
        <f>[1]!YBHIST("FNMA4.0-GEN",$A14,"Price","tba","")</f>
        <v>106.9375</v>
      </c>
      <c r="AC14" s="2">
        <f>[1]!YBHIST("FNMA4.5-GEN",$A14,"Price","tba","")</f>
        <v>107.78125</v>
      </c>
      <c r="AD14" s="2">
        <f>[1]!YBHIST("FNMA5.0-GEN",$A14,"Price","tba","")</f>
        <v>108.28125</v>
      </c>
      <c r="AE14" s="2">
        <f>[1]!YBHIST("FNMA5.5-GEN",$A14,"Price","tba","")</f>
        <v>108.53125</v>
      </c>
      <c r="AF14" s="6">
        <f>[1]!YBHIST("FNMA6.0-GEN",$A14,"Price","tba","")</f>
        <v>109.296875</v>
      </c>
      <c r="AG14" s="2">
        <f>[1]!YBHIST("FNMA3.0-GEN",$A14,"Yield","tba","")</f>
        <v>2.0270000000000001</v>
      </c>
      <c r="AH14" s="2">
        <f>[1]!YBHIST("FNMA3.5-GEN",$A14,"Yield","tba","")</f>
        <v>1.7070000000000001</v>
      </c>
      <c r="AI14" s="2">
        <f>[1]!YBHIST("FNMA4.0-GEN",$A14,"Yield","tba","")</f>
        <v>1.5509999999999999</v>
      </c>
      <c r="AJ14" s="2">
        <f>[1]!YBHIST("FNMA4.5-GEN",$A14,"Yield","tba","")</f>
        <v>1.508</v>
      </c>
      <c r="AK14" s="2">
        <f>[1]!YBHIST("FNMA5.0-GEN",$A14,"Yield","tba","")</f>
        <v>0.86599999999999999</v>
      </c>
      <c r="AL14" s="2">
        <f>[1]!YBHIST("FNMA5.5-GEN",$A14,"Yield","tba","")</f>
        <v>1.157</v>
      </c>
      <c r="AM14" s="6">
        <f>[1]!YBHIST("FNMA6.0-GEN",$A14,"Yield","tba","")</f>
        <v>0.73799999999999999</v>
      </c>
      <c r="AN14" s="3">
        <f>[1]!YBHIST(AN$4,$A14,"Price","sec","")</f>
        <v>12.561999999999999</v>
      </c>
      <c r="AO14" s="2">
        <f>[1]!YBHIST(AO$4,$A14,"Price","sec","")</f>
        <v>13.593999999999999</v>
      </c>
      <c r="AP14" s="2">
        <f>[1]!YBHIST(AP$4,$A14,"Price","sec","")</f>
        <v>11.531000000000001</v>
      </c>
      <c r="AQ14" s="2">
        <f>[1]!YBHIST(AQ$4,$A14,"Price","sec","")</f>
        <v>15.031000000000001</v>
      </c>
      <c r="AR14" s="2">
        <f>[1]!YBHIST(AR$4,$A14,"Price","sec","")</f>
        <v>12.922000000000001</v>
      </c>
      <c r="AS14" s="2">
        <f>[1]!YBHIST(AS$4,$A14,"Price","sec","")</f>
        <v>17.844000000000001</v>
      </c>
      <c r="AT14" s="2">
        <f>[1]!YBHIST(AT$4,$A14,"Price","sec","")</f>
        <v>15.641</v>
      </c>
      <c r="AU14" s="2">
        <f>[1]!YBHIST(AU$4,$A14,"Price","sec","")</f>
        <v>10.952999999999999</v>
      </c>
      <c r="AV14" s="2">
        <f>[1]!YBHIST(AV$4,$A14,"Price","sec","")</f>
        <v>13.811999999999999</v>
      </c>
      <c r="AW14" s="2">
        <f>[1]!YBHIST(AW$4,$A14,"Price","sec","")</f>
        <v>13.484</v>
      </c>
      <c r="AX14" s="2">
        <f>[1]!YBHIST(AX$4,$A14,"Price","sec","")</f>
        <v>11.827999999999999</v>
      </c>
      <c r="AY14" s="2">
        <f>[1]!YBHIST(AY$4,$A14,"Price","sec","")</f>
        <v>15.327999999999999</v>
      </c>
      <c r="AZ14" s="2">
        <f>[1]!YBHIST(AZ$4,$A14,"Price","sec","")</f>
        <v>14.484</v>
      </c>
      <c r="BA14" s="2">
        <f>[1]!YBHIST(BA$4,$A14,"Price","sec","")</f>
        <v>14.093999999999999</v>
      </c>
      <c r="BB14" s="2">
        <f>[1]!YBHIST(BB$4,$A14,"Price","sec","")</f>
        <v>17.125</v>
      </c>
      <c r="BC14" s="2">
        <f>[1]!YBHIST(BC$4,$A14,"Price","sec","")</f>
        <v>17.672001000000002</v>
      </c>
      <c r="BD14" s="2">
        <f>[1]!YBHIST(BD$4,$A14,"Price","sec","")</f>
        <v>17.625</v>
      </c>
      <c r="BE14" s="6">
        <f>[1]!YBHIST(BE$4,$A14,"Price","sec","")</f>
        <v>18.858999000000001</v>
      </c>
      <c r="BF14" s="20">
        <f>[1]!YBHIST(BF$4,$A14,"LMMOAS","sec","")</f>
        <v>554.03320299999996</v>
      </c>
      <c r="BG14" s="20">
        <f>[1]!YBHIST(BG$4,$A14,"LMMOAS","sec","")</f>
        <v>540.76379399999996</v>
      </c>
      <c r="BH14" s="20">
        <f>[1]!YBHIST(BH$4,$A14,"LMMOAS","sec","")</f>
        <v>590.12670900000001</v>
      </c>
      <c r="BI14" s="20">
        <f>[1]!YBHIST(BI$4,$A14,"LMMOAS","sec","")</f>
        <v>534.48101799999995</v>
      </c>
      <c r="BJ14" s="20">
        <f>[1]!YBHIST(BJ$4,$A14,"LMMOAS","sec","")</f>
        <v>543.46838400000001</v>
      </c>
      <c r="BK14" s="20">
        <f>[1]!YBHIST(BK$4,$A14,"LMMOAS","sec","")</f>
        <v>521.66558799999996</v>
      </c>
      <c r="BL14" s="20">
        <f>[1]!YBHIST(BL$4,$A14,"LMMOAS","sec","")</f>
        <v>598.77941899999996</v>
      </c>
      <c r="BM14" s="20">
        <f>[1]!YBHIST(BM$4,$A14,"LMMOAS","sec","")</f>
        <v>319.997589</v>
      </c>
      <c r="BN14" s="20">
        <f>[1]!YBHIST(BN$4,$A14,"LMMOAS","sec","")</f>
        <v>344.83749399999999</v>
      </c>
      <c r="BO14" s="20">
        <f>[1]!YBHIST(BO$4,$A14,"LMMOAS","sec","")</f>
        <v>541.34082000000001</v>
      </c>
      <c r="BP14" s="20">
        <f>[1]!YBHIST(BP$4,$A14,"LMMOAS","sec","")</f>
        <v>530.56237799999997</v>
      </c>
      <c r="BQ14" s="20">
        <f>[1]!YBHIST(BQ$4,$A14,"LMMOAS","sec","")</f>
        <v>654.25042699999995</v>
      </c>
      <c r="BR14" s="20">
        <f>[1]!YBHIST(BR$4,$A14,"LMMOAS","sec","")</f>
        <v>813.56359899999995</v>
      </c>
      <c r="BS14" s="20">
        <f>[1]!YBHIST(BS$4,$A14,"LMMOAS","sec","")</f>
        <v>427.84960899999999</v>
      </c>
      <c r="BT14" s="20">
        <f>[1]!YBHIST(BT$4,$A14,"LMMOAS","sec","")</f>
        <v>574.51391599999999</v>
      </c>
      <c r="BU14" s="20">
        <f>[1]!YBHIST(BU$4,$A14,"LMMOAS","sec","")</f>
        <v>392.10211199999998</v>
      </c>
      <c r="BV14" s="20">
        <f>[1]!YBHIST(BV$4,$A14,"LMMOAS","sec","")</f>
        <v>460.16128500000002</v>
      </c>
      <c r="BW14" s="20">
        <f>[1]!YBHIST(BW$4,$A14,"LMMOAS","sec","")</f>
        <v>392.03350799999998</v>
      </c>
      <c r="BX14" s="5"/>
      <c r="BY14" s="1"/>
      <c r="BZ14" s="1"/>
    </row>
    <row r="15" spans="1:80" x14ac:dyDescent="0.25">
      <c r="A15" s="14">
        <f>[1]!YBWORKDAY(A$5,-1*(ROW()-ROW(A$5)),"USD","")</f>
        <v>41257</v>
      </c>
      <c r="B15" s="3">
        <f>[1]!YBHIST("2 Year Treasury",$A15,"Price","govt","")</f>
        <v>100.030998</v>
      </c>
      <c r="C15" s="2">
        <f>[1]!YBHIST("5 Year Treasury",$A15,"Price","govt","")</f>
        <v>99.688004000000006</v>
      </c>
      <c r="D15" s="2">
        <f>[1]!YBHIST("10 Year Treasury",$A15,"Price","govt","")</f>
        <v>99.25</v>
      </c>
      <c r="E15" s="6">
        <f>[1]!YBHIST("30 Year Treasury",$A15,"Price","govt","")</f>
        <v>97.594002000000003</v>
      </c>
      <c r="F15" s="3">
        <f>[1]!YBHIST("2 Year Treasury",$A15,"YldtoMat","govt","")</f>
        <v>0.23400000000000001</v>
      </c>
      <c r="G15" s="2">
        <f>[1]!YBHIST("5 Year Treasury",$A15,"YldtoMat","govt","")</f>
        <v>0.68899999999999995</v>
      </c>
      <c r="H15" s="2">
        <f>[1]!YBHIST("10 Year Treasury",$A15,"YldtoMat","govt","")</f>
        <v>1.708</v>
      </c>
      <c r="I15" s="6">
        <f>[1]!YBHIST("30 Year Treasury",$A15,"YldtoMat","govt","")</f>
        <v>2.87</v>
      </c>
      <c r="J15" s="3">
        <f>[1]!YBHIST("2yr Swap Rate",$A15,"YldtoMat","swapvol","")</f>
        <v>0.35970600000000003</v>
      </c>
      <c r="K15" s="2">
        <f>[1]!YBHIST("5yr Swap Rate",$A15,"YldtoMat","swapvol","")</f>
        <v>0.81516900000000003</v>
      </c>
      <c r="L15" s="2">
        <f>[1]!YBHIST("10yr Swap Rate",$A15,"YldtoMat","swapvol","")</f>
        <v>1.7565850000000001</v>
      </c>
      <c r="M15" s="6">
        <f>[1]!YBHIST("30yr Swap Rate",$A15,"YldtoMat","swapvol","")</f>
        <v>2.6585930000000002</v>
      </c>
      <c r="N15" s="3">
        <f>[1]!YBHIST("FNMA 30YR Cur Coup (BE)",$A15,"Yield","bmk","")</f>
        <v>2.19</v>
      </c>
      <c r="O15" s="2">
        <f>[1]!YBHIST("FHLMC 30YR Cur Coup (BE)",$A15,"Yield","bmk","")</f>
        <v>2.2360000000000002</v>
      </c>
      <c r="P15" s="2">
        <f>[1]!YBHIST("GNMA 30YR Cur Coup (BE)",$A15,"Yield","bmk","")</f>
        <v>2.1040000000000001</v>
      </c>
      <c r="Q15" s="2">
        <f>[1]!YBHIST("Primary 30-Yr Mtg Rate",$A15,"Yield","bmk","")</f>
        <v>3.5777999999999999</v>
      </c>
      <c r="R15" s="2">
        <f>[1]!YBHIST("FHLM 30-Yr Survey Rate",$A15,"Yield","bmk","")</f>
        <v>3.32</v>
      </c>
      <c r="S15" s="6">
        <f>[1]!YBHIST("Base Mortgage Rate",$A15,"Yield","bmk","")</f>
        <v>2.5270000000000001</v>
      </c>
      <c r="T15" s="18">
        <f>[1]!YBHIST("FNMA 30YR Cur Coup (BE)",$A15,"LMMOAS","bmk","")</f>
        <v>-6.1759000000000004</v>
      </c>
      <c r="U15" s="19">
        <f>[1]!YBHIST("FHLMC 30YR Cur Coup (BE)",$A15,"LMMOAS","bmk","")</f>
        <v>0.58620000000000005</v>
      </c>
      <c r="V15" s="19">
        <f>[1]!YBHIST("GNMA 30YR Cur Coup (BE)",$A15,"LMMOAS","bmk","")</f>
        <v>-25.485499999999998</v>
      </c>
      <c r="W15" s="20">
        <f t="shared" si="0"/>
        <v>48.199999999999996</v>
      </c>
      <c r="X15" s="20">
        <f t="shared" si="1"/>
        <v>48.199999999999996</v>
      </c>
      <c r="Y15" s="20">
        <f t="shared" si="2"/>
        <v>52.800000000000026</v>
      </c>
      <c r="Z15" s="25">
        <f>[1]!YBHIST("FNMA3.0-GEN",$A15,"Price","tba","")</f>
        <v>104.671875</v>
      </c>
      <c r="AA15" s="2">
        <f>[1]!YBHIST("FNMA3.5-GEN",$A15,"Price","tba","")</f>
        <v>106.460938</v>
      </c>
      <c r="AB15" s="2">
        <f>[1]!YBHIST("FNMA4.0-GEN",$A15,"Price","tba","")</f>
        <v>107.070312</v>
      </c>
      <c r="AC15" s="2">
        <f>[1]!YBHIST("FNMA4.5-GEN",$A15,"Price","tba","")</f>
        <v>107.8125</v>
      </c>
      <c r="AD15" s="2">
        <f>[1]!YBHIST("FNMA5.0-GEN",$A15,"Price","tba","")</f>
        <v>108.3125</v>
      </c>
      <c r="AE15" s="2">
        <f>[1]!YBHIST("FNMA5.5-GEN",$A15,"Price","tba","")</f>
        <v>108.5625</v>
      </c>
      <c r="AF15" s="6">
        <f>[1]!YBHIST("FNMA6.0-GEN",$A15,"Price","tba","")</f>
        <v>109.296875</v>
      </c>
      <c r="AG15" s="2">
        <f>[1]!YBHIST("FNMA3.0-GEN",$A15,"Yield","tba","")</f>
        <v>1.9630000000000001</v>
      </c>
      <c r="AH15" s="2">
        <f>[1]!YBHIST("FNMA3.5-GEN",$A15,"Yield","tba","")</f>
        <v>1.627</v>
      </c>
      <c r="AI15" s="2">
        <f>[1]!YBHIST("FNMA4.0-GEN",$A15,"Yield","tba","")</f>
        <v>1.4670000000000001</v>
      </c>
      <c r="AJ15" s="2">
        <f>[1]!YBHIST("FNMA4.5-GEN",$A15,"Yield","tba","")</f>
        <v>1.4630000000000001</v>
      </c>
      <c r="AK15" s="2">
        <f>[1]!YBHIST("FNMA5.0-GEN",$A15,"Yield","tba","")</f>
        <v>0.81299999999999994</v>
      </c>
      <c r="AL15" s="2">
        <f>[1]!YBHIST("FNMA5.5-GEN",$A15,"Yield","tba","")</f>
        <v>1.115</v>
      </c>
      <c r="AM15" s="6">
        <f>[1]!YBHIST("FNMA6.0-GEN",$A15,"Yield","tba","")</f>
        <v>0.71199999999999997</v>
      </c>
      <c r="AN15" s="3">
        <f>[1]!YBHIST(AN$4,$A15,"Price","sec","")</f>
        <v>12.375</v>
      </c>
      <c r="AO15" s="2">
        <f>[1]!YBHIST(AO$4,$A15,"Price","sec","")</f>
        <v>13.422000000000001</v>
      </c>
      <c r="AP15" s="2">
        <f>[1]!YBHIST(AP$4,$A15,"Price","sec","")</f>
        <v>11.375</v>
      </c>
      <c r="AQ15" s="2">
        <f>[1]!YBHIST(AQ$4,$A15,"Price","sec","")</f>
        <v>14.891</v>
      </c>
      <c r="AR15" s="2">
        <f>[1]!YBHIST(AR$4,$A15,"Price","sec","")</f>
        <v>12.781000000000001</v>
      </c>
      <c r="AS15" s="2">
        <f>[1]!YBHIST(AS$4,$A15,"Price","sec","")</f>
        <v>17.733999000000001</v>
      </c>
      <c r="AT15" s="2">
        <f>[1]!YBHIST(AT$4,$A15,"Price","sec","")</f>
        <v>15.531000000000001</v>
      </c>
      <c r="AU15" s="2">
        <f>[1]!YBHIST(AU$4,$A15,"Price","sec","")</f>
        <v>10.859</v>
      </c>
      <c r="AV15" s="2">
        <f>[1]!YBHIST(AV$4,$A15,"Price","sec","")</f>
        <v>13.718999999999999</v>
      </c>
      <c r="AW15" s="2">
        <f>[1]!YBHIST(AW$4,$A15,"Price","sec","")</f>
        <v>13.391</v>
      </c>
      <c r="AX15" s="2">
        <f>[1]!YBHIST(AX$4,$A15,"Price","sec","")</f>
        <v>11.766</v>
      </c>
      <c r="AY15" s="2">
        <f>[1]!YBHIST(AY$4,$A15,"Price","sec","")</f>
        <v>15.266</v>
      </c>
      <c r="AZ15" s="2">
        <f>[1]!YBHIST(AZ$4,$A15,"Price","sec","")</f>
        <v>14.422000000000001</v>
      </c>
      <c r="BA15" s="2">
        <f>[1]!YBHIST(BA$4,$A15,"Price","sec","")</f>
        <v>14.047000000000001</v>
      </c>
      <c r="BB15" s="2">
        <f>[1]!YBHIST(BB$4,$A15,"Price","sec","")</f>
        <v>17.094000000000001</v>
      </c>
      <c r="BC15" s="2">
        <f>[1]!YBHIST(BC$4,$A15,"Price","sec","")</f>
        <v>17.5</v>
      </c>
      <c r="BD15" s="2">
        <f>[1]!YBHIST(BD$4,$A15,"Price","sec","")</f>
        <v>17.452998999999998</v>
      </c>
      <c r="BE15" s="6">
        <f>[1]!YBHIST(BE$4,$A15,"Price","sec","")</f>
        <v>18.702998999999998</v>
      </c>
      <c r="BF15" s="20">
        <f>[1]!YBHIST(BF$4,$A15,"LMMOAS","sec","")</f>
        <v>542.42962599999998</v>
      </c>
      <c r="BG15" s="20">
        <f>[1]!YBHIST(BG$4,$A15,"LMMOAS","sec","")</f>
        <v>526.15399200000002</v>
      </c>
      <c r="BH15" s="20">
        <f>[1]!YBHIST(BH$4,$A15,"LMMOAS","sec","")</f>
        <v>574.19317599999999</v>
      </c>
      <c r="BI15" s="20">
        <f>[1]!YBHIST(BI$4,$A15,"LMMOAS","sec","")</f>
        <v>516.46820100000002</v>
      </c>
      <c r="BJ15" s="20">
        <f>[1]!YBHIST(BJ$4,$A15,"LMMOAS","sec","")</f>
        <v>527.67156999999997</v>
      </c>
      <c r="BK15" s="20">
        <f>[1]!YBHIST(BK$4,$A15,"LMMOAS","sec","")</f>
        <v>507.776611</v>
      </c>
      <c r="BL15" s="20">
        <f>[1]!YBHIST(BL$4,$A15,"LMMOAS","sec","")</f>
        <v>583.32379200000003</v>
      </c>
      <c r="BM15" s="20">
        <f>[1]!YBHIST(BM$4,$A15,"LMMOAS","sec","")</f>
        <v>300.69268799999998</v>
      </c>
      <c r="BN15" s="20">
        <f>[1]!YBHIST(BN$4,$A15,"LMMOAS","sec","")</f>
        <v>331.92880200000002</v>
      </c>
      <c r="BO15" s="20">
        <f>[1]!YBHIST(BO$4,$A15,"LMMOAS","sec","")</f>
        <v>536.94628899999998</v>
      </c>
      <c r="BP15" s="20">
        <f>[1]!YBHIST(BP$4,$A15,"LMMOAS","sec","")</f>
        <v>508.12521400000003</v>
      </c>
      <c r="BQ15" s="20">
        <f>[1]!YBHIST(BQ$4,$A15,"LMMOAS","sec","")</f>
        <v>641.51019299999996</v>
      </c>
      <c r="BR15" s="20">
        <f>[1]!YBHIST(BR$4,$A15,"LMMOAS","sec","")</f>
        <v>807.319885</v>
      </c>
      <c r="BS15" s="20">
        <f>[1]!YBHIST(BS$4,$A15,"LMMOAS","sec","")</f>
        <v>407.88919099999998</v>
      </c>
      <c r="BT15" s="20">
        <f>[1]!YBHIST(BT$4,$A15,"LMMOAS","sec","")</f>
        <v>562.89001499999995</v>
      </c>
      <c r="BU15" s="20">
        <f>[1]!YBHIST(BU$4,$A15,"LMMOAS","sec","")</f>
        <v>380.56539900000001</v>
      </c>
      <c r="BV15" s="20">
        <f>[1]!YBHIST(BV$4,$A15,"LMMOAS","sec","")</f>
        <v>447.89089999999999</v>
      </c>
      <c r="BW15" s="20">
        <f>[1]!YBHIST(BW$4,$A15,"LMMOAS","sec","")</f>
        <v>380.640289</v>
      </c>
      <c r="BX15" s="5"/>
      <c r="BY15" s="1"/>
      <c r="BZ15" s="1"/>
    </row>
    <row r="16" spans="1:80" x14ac:dyDescent="0.25">
      <c r="A16" s="14">
        <f>[1]!YBWORKDAY(A$5,-1*(ROW()-ROW(A$5)),"USD","")</f>
        <v>41256</v>
      </c>
      <c r="B16" s="3">
        <f>[1]!YBHIST("2 Year Treasury",$A16,"Price","govt","")</f>
        <v>100.008003</v>
      </c>
      <c r="C16" s="2">
        <f>[1]!YBHIST("5 Year Treasury",$A16,"Price","govt","")</f>
        <v>99.688004000000006</v>
      </c>
      <c r="D16" s="2">
        <f>[1]!YBHIST("10 Year Treasury",$A16,"Price","govt","")</f>
        <v>99.078002999999995</v>
      </c>
      <c r="E16" s="6">
        <f>[1]!YBHIST("30 Year Treasury",$A16,"Price","govt","")</f>
        <v>96.953002999999995</v>
      </c>
      <c r="F16" s="3">
        <f>[1]!YBHIST("2 Year Treasury",$A16,"YldtoMat","govt","")</f>
        <v>0.246</v>
      </c>
      <c r="G16" s="2">
        <f>[1]!YBHIST("5 Year Treasury",$A16,"YldtoMat","govt","")</f>
        <v>0.68899999999999995</v>
      </c>
      <c r="H16" s="2">
        <f>[1]!YBHIST("10 Year Treasury",$A16,"YldtoMat","govt","")</f>
        <v>1.726</v>
      </c>
      <c r="I16" s="6">
        <f>[1]!YBHIST("30 Year Treasury",$A16,"YldtoMat","govt","")</f>
        <v>2.903</v>
      </c>
      <c r="J16" s="3">
        <f>[1]!YBHIST("2yr Swap Rate",$A16,"YldtoMat","swapvol","")</f>
        <v>0.360765</v>
      </c>
      <c r="K16" s="2">
        <f>[1]!YBHIST("5yr Swap Rate",$A16,"YldtoMat","swapvol","")</f>
        <v>0.81347499999999995</v>
      </c>
      <c r="L16" s="2">
        <f>[1]!YBHIST("10yr Swap Rate",$A16,"YldtoMat","swapvol","")</f>
        <v>1.767593</v>
      </c>
      <c r="M16" s="6">
        <f>[1]!YBHIST("30yr Swap Rate",$A16,"YldtoMat","swapvol","")</f>
        <v>2.6847470000000002</v>
      </c>
      <c r="N16" s="3">
        <f>[1]!YBHIST("FNMA 30YR Cur Coup (BE)",$A16,"Yield","bmk","")</f>
        <v>2.1970000000000001</v>
      </c>
      <c r="O16" s="2">
        <f>[1]!YBHIST("FHLMC 30YR Cur Coup (BE)",$A16,"Yield","bmk","")</f>
        <v>2.2429999999999999</v>
      </c>
      <c r="P16" s="2">
        <f>[1]!YBHIST("GNMA 30YR Cur Coup (BE)",$A16,"Yield","bmk","")</f>
        <v>2.1110000000000002</v>
      </c>
      <c r="Q16" s="2">
        <f>[1]!YBHIST("Primary 30-Yr Mtg Rate",$A16,"Yield","bmk","")</f>
        <v>3.5832999999999999</v>
      </c>
      <c r="R16" s="2">
        <f>[1]!YBHIST("FHLM 30-Yr Survey Rate",$A16,"Yield","bmk","")</f>
        <v>3.32</v>
      </c>
      <c r="S16" s="6">
        <f>[1]!YBHIST("Base Mortgage Rate",$A16,"Yield","bmk","")</f>
        <v>2.532</v>
      </c>
      <c r="T16" s="18">
        <f>[1]!YBHIST("FNMA 30YR Cur Coup (BE)",$A16,"LMMOAS","bmk","")</f>
        <v>-6.8695000000000004</v>
      </c>
      <c r="U16" s="19">
        <f>[1]!YBHIST("FHLMC 30YR Cur Coup (BE)",$A16,"LMMOAS","bmk","")</f>
        <v>2.7799999999999998E-2</v>
      </c>
      <c r="V16" s="19">
        <f>[1]!YBHIST("GNMA 30YR Cur Coup (BE)",$A16,"LMMOAS","bmk","")</f>
        <v>-26.390498999999998</v>
      </c>
      <c r="W16" s="20">
        <f t="shared" si="0"/>
        <v>47.100000000000009</v>
      </c>
      <c r="X16" s="20">
        <f t="shared" si="1"/>
        <v>47.100000000000009</v>
      </c>
      <c r="Y16" s="20">
        <f t="shared" si="2"/>
        <v>51.699999999999989</v>
      </c>
      <c r="Z16" s="25">
        <f>[1]!YBHIST("FNMA3.0-GEN",$A16,"Price","tba","")</f>
        <v>104.625</v>
      </c>
      <c r="AA16" s="2">
        <f>[1]!YBHIST("FNMA3.5-GEN",$A16,"Price","tba","")</f>
        <v>106.445312</v>
      </c>
      <c r="AB16" s="2">
        <f>[1]!YBHIST("FNMA4.0-GEN",$A16,"Price","tba","")</f>
        <v>107.046875</v>
      </c>
      <c r="AC16" s="2">
        <f>[1]!YBHIST("FNMA4.5-GEN",$A16,"Price","tba","")</f>
        <v>107.8125</v>
      </c>
      <c r="AD16" s="2">
        <f>[1]!YBHIST("FNMA5.0-GEN",$A16,"Price","tba","")</f>
        <v>108.390625</v>
      </c>
      <c r="AE16" s="2">
        <f>[1]!YBHIST("FNMA5.5-GEN",$A16,"Price","tba","")</f>
        <v>108.609375</v>
      </c>
      <c r="AF16" s="6">
        <f>[1]!YBHIST("FNMA6.0-GEN",$A16,"Price","tba","")</f>
        <v>109.390625</v>
      </c>
      <c r="AG16" s="2">
        <f>[1]!YBHIST("FNMA3.0-GEN",$A16,"Yield","tba","")</f>
        <v>1.9770000000000001</v>
      </c>
      <c r="AH16" s="2">
        <f>[1]!YBHIST("FNMA3.5-GEN",$A16,"Yield","tba","")</f>
        <v>1.637</v>
      </c>
      <c r="AI16" s="2">
        <f>[1]!YBHIST("FNMA4.0-GEN",$A16,"Yield","tba","")</f>
        <v>1.4810000000000001</v>
      </c>
      <c r="AJ16" s="2">
        <f>[1]!YBHIST("FNMA4.5-GEN",$A16,"Yield","tba","")</f>
        <v>1.468</v>
      </c>
      <c r="AK16" s="2">
        <f>[1]!YBHIST("FNMA5.0-GEN",$A16,"Yield","tba","")</f>
        <v>0.78500000000000003</v>
      </c>
      <c r="AL16" s="2">
        <f>[1]!YBHIST("FNMA5.5-GEN",$A16,"Yield","tba","")</f>
        <v>1.0980000000000001</v>
      </c>
      <c r="AM16" s="6">
        <f>[1]!YBHIST("FNMA6.0-GEN",$A16,"Yield","tba","")</f>
        <v>0.67</v>
      </c>
      <c r="AN16" s="3">
        <f>[1]!YBHIST(AN$4,$A16,"Price","sec","")</f>
        <v>12.452999999999999</v>
      </c>
      <c r="AO16" s="2">
        <f>[1]!YBHIST(AO$4,$A16,"Price","sec","")</f>
        <v>13.5</v>
      </c>
      <c r="AP16" s="2">
        <f>[1]!YBHIST(AP$4,$A16,"Price","sec","")</f>
        <v>11.438000000000001</v>
      </c>
      <c r="AQ16" s="2">
        <f>[1]!YBHIST(AQ$4,$A16,"Price","sec","")</f>
        <v>14.938000000000001</v>
      </c>
      <c r="AR16" s="2">
        <f>[1]!YBHIST(AR$4,$A16,"Price","sec","")</f>
        <v>12.827999999999999</v>
      </c>
      <c r="AS16" s="2">
        <f>[1]!YBHIST(AS$4,$A16,"Price","sec","")</f>
        <v>17.797001000000002</v>
      </c>
      <c r="AT16" s="2">
        <f>[1]!YBHIST(AT$4,$A16,"Price","sec","")</f>
        <v>15.577999999999999</v>
      </c>
      <c r="AU16" s="2">
        <f>[1]!YBHIST(AU$4,$A16,"Price","sec","")</f>
        <v>10.891</v>
      </c>
      <c r="AV16" s="2">
        <f>[1]!YBHIST(AV$4,$A16,"Price","sec","")</f>
        <v>13.75</v>
      </c>
      <c r="AW16" s="2">
        <f>[1]!YBHIST(AW$4,$A16,"Price","sec","")</f>
        <v>13.422000000000001</v>
      </c>
      <c r="AX16" s="2">
        <f>[1]!YBHIST(AX$4,$A16,"Price","sec","")</f>
        <v>11.797000000000001</v>
      </c>
      <c r="AY16" s="2">
        <f>[1]!YBHIST(AY$4,$A16,"Price","sec","")</f>
        <v>15.297000000000001</v>
      </c>
      <c r="AZ16" s="2">
        <f>[1]!YBHIST(AZ$4,$A16,"Price","sec","")</f>
        <v>14.438000000000001</v>
      </c>
      <c r="BA16" s="2">
        <f>[1]!YBHIST(BA$4,$A16,"Price","sec","")</f>
        <v>14.061999999999999</v>
      </c>
      <c r="BB16" s="2">
        <f>[1]!YBHIST(BB$4,$A16,"Price","sec","")</f>
        <v>17.108999000000001</v>
      </c>
      <c r="BC16" s="2">
        <f>[1]!YBHIST(BC$4,$A16,"Price","sec","")</f>
        <v>17.562000000000001</v>
      </c>
      <c r="BD16" s="2">
        <f>[1]!YBHIST(BD$4,$A16,"Price","sec","")</f>
        <v>17.516000999999999</v>
      </c>
      <c r="BE16" s="6">
        <f>[1]!YBHIST(BE$4,$A16,"Price","sec","")</f>
        <v>18.766000999999999</v>
      </c>
      <c r="BF16" s="20">
        <f>[1]!YBHIST(BF$4,$A16,"LMMOAS","sec","")</f>
        <v>543.19671600000004</v>
      </c>
      <c r="BG16" s="20">
        <f>[1]!YBHIST(BG$4,$A16,"LMMOAS","sec","")</f>
        <v>528.63397199999997</v>
      </c>
      <c r="BH16" s="20">
        <f>[1]!YBHIST(BH$4,$A16,"LMMOAS","sec","")</f>
        <v>578.72997999999995</v>
      </c>
      <c r="BI16" s="20">
        <f>[1]!YBHIST(BI$4,$A16,"LMMOAS","sec","")</f>
        <v>524.94232199999999</v>
      </c>
      <c r="BJ16" s="20">
        <f>[1]!YBHIST(BJ$4,$A16,"LMMOAS","sec","")</f>
        <v>535.81890899999996</v>
      </c>
      <c r="BK16" s="20">
        <f>[1]!YBHIST(BK$4,$A16,"LMMOAS","sec","")</f>
        <v>511.30209400000001</v>
      </c>
      <c r="BL16" s="20">
        <f>[1]!YBHIST(BL$4,$A16,"LMMOAS","sec","")</f>
        <v>591.28027299999997</v>
      </c>
      <c r="BM16" s="20">
        <f>[1]!YBHIST(BM$4,$A16,"LMMOAS","sec","")</f>
        <v>308.56189000000001</v>
      </c>
      <c r="BN16" s="20">
        <f>[1]!YBHIST(BN$4,$A16,"LMMOAS","sec","")</f>
        <v>335.25671399999999</v>
      </c>
      <c r="BO16" s="20">
        <f>[1]!YBHIST(BO$4,$A16,"LMMOAS","sec","")</f>
        <v>541.77252199999998</v>
      </c>
      <c r="BP16" s="20">
        <f>[1]!YBHIST(BP$4,$A16,"LMMOAS","sec","")</f>
        <v>514.29089399999998</v>
      </c>
      <c r="BQ16" s="20">
        <f>[1]!YBHIST(BQ$4,$A16,"LMMOAS","sec","")</f>
        <v>643.57019000000003</v>
      </c>
      <c r="BR16" s="20">
        <f>[1]!YBHIST(BR$4,$A16,"LMMOAS","sec","")</f>
        <v>814.56622300000004</v>
      </c>
      <c r="BS16" s="20">
        <f>[1]!YBHIST(BS$4,$A16,"LMMOAS","sec","")</f>
        <v>416.30358899999999</v>
      </c>
      <c r="BT16" s="20">
        <f>[1]!YBHIST(BT$4,$A16,"LMMOAS","sec","")</f>
        <v>569.11309800000004</v>
      </c>
      <c r="BU16" s="20">
        <f>[1]!YBHIST(BU$4,$A16,"LMMOAS","sec","")</f>
        <v>383.24899299999998</v>
      </c>
      <c r="BV16" s="20">
        <f>[1]!YBHIST(BV$4,$A16,"LMMOAS","sec","")</f>
        <v>444.653412</v>
      </c>
      <c r="BW16" s="20">
        <f>[1]!YBHIST(BW$4,$A16,"LMMOAS","sec","")</f>
        <v>389.00351000000001</v>
      </c>
      <c r="BX16" s="5"/>
      <c r="BY16" s="1"/>
      <c r="BZ16" s="1"/>
    </row>
    <row r="17" spans="1:78" x14ac:dyDescent="0.25">
      <c r="A17" s="14">
        <f>[1]!YBWORKDAY(A$5,-1*(ROW()-ROW(A$5)),"USD","")</f>
        <v>41255</v>
      </c>
      <c r="B17" s="3">
        <f>[1]!YBHIST("2 Year Treasury",$A17,"Price","govt","")</f>
        <v>100.01599899999999</v>
      </c>
      <c r="C17" s="2">
        <f>[1]!YBHIST("5 Year Treasury",$A17,"Price","govt","")</f>
        <v>99.883003000000002</v>
      </c>
      <c r="D17" s="2">
        <f>[1]!YBHIST("10 Year Treasury",$A17,"Price","govt","")</f>
        <v>99.344002000000003</v>
      </c>
      <c r="E17" s="6">
        <f>[1]!YBHIST("30 Year Treasury",$A17,"Price","govt","")</f>
        <v>97.063004000000006</v>
      </c>
      <c r="F17" s="3">
        <f>[1]!YBHIST("2 Year Treasury",$A17,"YldtoMat","govt","")</f>
        <v>0.24199999999999999</v>
      </c>
      <c r="G17" s="2">
        <f>[1]!YBHIST("5 Year Treasury",$A17,"YldtoMat","govt","")</f>
        <v>0.64900000000000002</v>
      </c>
      <c r="H17" s="2">
        <f>[1]!YBHIST("10 Year Treasury",$A17,"YldtoMat","govt","")</f>
        <v>1.6970000000000001</v>
      </c>
      <c r="I17" s="6">
        <f>[1]!YBHIST("30 Year Treasury",$A17,"YldtoMat","govt","")</f>
        <v>2.8969999999999998</v>
      </c>
      <c r="J17" s="3">
        <f>[1]!YBHIST("2yr Swap Rate",$A17,"YldtoMat","swapvol","")</f>
        <v>0.35415799999999997</v>
      </c>
      <c r="K17" s="2">
        <f>[1]!YBHIST("5yr Swap Rate",$A17,"YldtoMat","swapvol","")</f>
        <v>0.77899700000000005</v>
      </c>
      <c r="L17" s="2">
        <f>[1]!YBHIST("10yr Swap Rate",$A17,"YldtoMat","swapvol","")</f>
        <v>1.740826</v>
      </c>
      <c r="M17" s="6">
        <f>[1]!YBHIST("30yr Swap Rate",$A17,"YldtoMat","swapvol","")</f>
        <v>2.6818520000000001</v>
      </c>
      <c r="N17" s="3">
        <f>[1]!YBHIST("FNMA 30YR Cur Coup (BE)",$A17,"Yield","bmk","")</f>
        <v>2.1909999999999998</v>
      </c>
      <c r="O17" s="2">
        <f>[1]!YBHIST("FHLMC 30YR Cur Coup (BE)",$A17,"Yield","bmk","")</f>
        <v>2.2370000000000001</v>
      </c>
      <c r="P17" s="2">
        <f>[1]!YBHIST("GNMA 30YR Cur Coup (BE)",$A17,"Yield","bmk","")</f>
        <v>2.105</v>
      </c>
      <c r="Q17" s="2">
        <f>[1]!YBHIST("Primary 30-Yr Mtg Rate",$A17,"Yield","bmk","")</f>
        <v>3.6114000000000002</v>
      </c>
      <c r="R17" s="2">
        <f>[1]!YBHIST("FHLM 30-Yr Survey Rate",$A17,"Yield","bmk","")</f>
        <v>3.34</v>
      </c>
      <c r="S17" s="6">
        <f>[1]!YBHIST("Base Mortgage Rate",$A17,"Yield","bmk","")</f>
        <v>2.5230000000000001</v>
      </c>
      <c r="T17" s="18">
        <f>[1]!YBHIST("FNMA 30YR Cur Coup (BE)",$A17,"LMMOAS","bmk","")</f>
        <v>-5.4363000000000001</v>
      </c>
      <c r="U17" s="19">
        <f>[1]!YBHIST("FHLMC 30YR Cur Coup (BE)",$A17,"LMMOAS","bmk","")</f>
        <v>1.5797000000000001</v>
      </c>
      <c r="V17" s="19">
        <f>[1]!YBHIST("GNMA 30YR Cur Coup (BE)",$A17,"LMMOAS","bmk","")</f>
        <v>-24.791401</v>
      </c>
      <c r="W17" s="20">
        <f t="shared" si="0"/>
        <v>49.399999999999977</v>
      </c>
      <c r="X17" s="20">
        <f t="shared" si="1"/>
        <v>49.399999999999977</v>
      </c>
      <c r="Y17" s="20">
        <f t="shared" si="2"/>
        <v>54</v>
      </c>
      <c r="Z17" s="25">
        <f>[1]!YBHIST("FNMA3.0-GEN",$A17,"Price","tba","")</f>
        <v>104.773438</v>
      </c>
      <c r="AA17" s="2">
        <f>[1]!YBHIST("FNMA3.5-GEN",$A17,"Price","tba","")</f>
        <v>106.53125</v>
      </c>
      <c r="AB17" s="2">
        <f>[1]!YBHIST("FNMA4.0-GEN",$A17,"Price","tba","")</f>
        <v>107.0625</v>
      </c>
      <c r="AC17" s="2">
        <f>[1]!YBHIST("FNMA4.5-GEN",$A17,"Price","tba","")</f>
        <v>107.8125</v>
      </c>
      <c r="AD17" s="2">
        <f>[1]!YBHIST("FNMA5.0-GEN",$A17,"Price","tba","")</f>
        <v>108.414062</v>
      </c>
      <c r="AE17" s="2">
        <f>[1]!YBHIST("FNMA5.5-GEN",$A17,"Price","tba","")</f>
        <v>108.679688</v>
      </c>
      <c r="AF17" s="6">
        <f>[1]!YBHIST("FNMA6.0-GEN",$A17,"Price","tba","")</f>
        <v>109.453125</v>
      </c>
      <c r="AG17" s="2">
        <f>[1]!YBHIST("FNMA3.0-GEN",$A17,"Yield","tba","")</f>
        <v>1.9390000000000001</v>
      </c>
      <c r="AH17" s="2">
        <f>[1]!YBHIST("FNMA3.5-GEN",$A17,"Yield","tba","")</f>
        <v>1.603</v>
      </c>
      <c r="AI17" s="2">
        <f>[1]!YBHIST("FNMA4.0-GEN",$A17,"Yield","tba","")</f>
        <v>1.4650000000000001</v>
      </c>
      <c r="AJ17" s="2">
        <f>[1]!YBHIST("FNMA4.5-GEN",$A17,"Yield","tba","")</f>
        <v>1.4590000000000001</v>
      </c>
      <c r="AK17" s="2">
        <f>[1]!YBHIST("FNMA5.0-GEN",$A17,"Yield","tba","")</f>
        <v>0.76400000000000001</v>
      </c>
      <c r="AL17" s="2">
        <f>[1]!YBHIST("FNMA5.5-GEN",$A17,"Yield","tba","")</f>
        <v>1.0589999999999999</v>
      </c>
      <c r="AM17" s="6">
        <f>[1]!YBHIST("FNMA6.0-GEN",$A17,"Yield","tba","")</f>
        <v>0.63300000000000001</v>
      </c>
      <c r="AN17" s="3">
        <f>[1]!YBHIST(AN$4,$A17,"Price","sec","")</f>
        <v>12.297000000000001</v>
      </c>
      <c r="AO17" s="2">
        <f>[1]!YBHIST(AO$4,$A17,"Price","sec","")</f>
        <v>13.375</v>
      </c>
      <c r="AP17" s="2">
        <f>[1]!YBHIST(AP$4,$A17,"Price","sec","")</f>
        <v>11.311999999999999</v>
      </c>
      <c r="AQ17" s="2">
        <f>[1]!YBHIST(AQ$4,$A17,"Price","sec","")</f>
        <v>14.797000000000001</v>
      </c>
      <c r="AR17" s="2">
        <f>[1]!YBHIST(AR$4,$A17,"Price","sec","")</f>
        <v>12.702999999999999</v>
      </c>
      <c r="AS17" s="2">
        <f>[1]!YBHIST(AS$4,$A17,"Price","sec","")</f>
        <v>17.733999000000001</v>
      </c>
      <c r="AT17" s="2">
        <f>[1]!YBHIST(AT$4,$A17,"Price","sec","")</f>
        <v>15.516</v>
      </c>
      <c r="AU17" s="2">
        <f>[1]!YBHIST(AU$4,$A17,"Price","sec","")</f>
        <v>10.827999999999999</v>
      </c>
      <c r="AV17" s="2">
        <f>[1]!YBHIST(AV$4,$A17,"Price","sec","")</f>
        <v>13.672000000000001</v>
      </c>
      <c r="AW17" s="2">
        <f>[1]!YBHIST(AW$4,$A17,"Price","sec","")</f>
        <v>13.343999999999999</v>
      </c>
      <c r="AX17" s="2">
        <f>[1]!YBHIST(AX$4,$A17,"Price","sec","")</f>
        <v>11.734</v>
      </c>
      <c r="AY17" s="2">
        <f>[1]!YBHIST(AY$4,$A17,"Price","sec","")</f>
        <v>15.234</v>
      </c>
      <c r="AZ17" s="2">
        <f>[1]!YBHIST(AZ$4,$A17,"Price","sec","")</f>
        <v>14.375</v>
      </c>
      <c r="BA17" s="2">
        <f>[1]!YBHIST(BA$4,$A17,"Price","sec","")</f>
        <v>14.031000000000001</v>
      </c>
      <c r="BB17" s="2">
        <f>[1]!YBHIST(BB$4,$A17,"Price","sec","")</f>
        <v>17.094000000000001</v>
      </c>
      <c r="BC17" s="2">
        <f>[1]!YBHIST(BC$4,$A17,"Price","sec","")</f>
        <v>17.437999999999999</v>
      </c>
      <c r="BD17" s="2">
        <f>[1]!YBHIST(BD$4,$A17,"Price","sec","")</f>
        <v>17.391000999999999</v>
      </c>
      <c r="BE17" s="6">
        <f>[1]!YBHIST(BE$4,$A17,"Price","sec","")</f>
        <v>18.672001000000002</v>
      </c>
      <c r="BF17" s="20">
        <f>[1]!YBHIST(BF$4,$A17,"LMMOAS","sec","")</f>
        <v>563.28088400000001</v>
      </c>
      <c r="BG17" s="20">
        <f>[1]!YBHIST(BG$4,$A17,"LMMOAS","sec","")</f>
        <v>541.87182600000006</v>
      </c>
      <c r="BH17" s="20">
        <f>[1]!YBHIST(BH$4,$A17,"LMMOAS","sec","")</f>
        <v>596.85467500000004</v>
      </c>
      <c r="BI17" s="20">
        <f>[1]!YBHIST(BI$4,$A17,"LMMOAS","sec","")</f>
        <v>541.49682600000006</v>
      </c>
      <c r="BJ17" s="20">
        <f>[1]!YBHIST(BJ$4,$A17,"LMMOAS","sec","")</f>
        <v>553.83880599999998</v>
      </c>
      <c r="BK17" s="20">
        <f>[1]!YBHIST(BK$4,$A17,"LMMOAS","sec","")</f>
        <v>516.10870399999999</v>
      </c>
      <c r="BL17" s="20">
        <f>[1]!YBHIST(BL$4,$A17,"LMMOAS","sec","")</f>
        <v>596.88720699999999</v>
      </c>
      <c r="BM17" s="20">
        <f>[1]!YBHIST(BM$4,$A17,"LMMOAS","sec","")</f>
        <v>318.13699300000002</v>
      </c>
      <c r="BN17" s="20">
        <f>[1]!YBHIST(BN$4,$A17,"LMMOAS","sec","")</f>
        <v>345.19158900000002</v>
      </c>
      <c r="BO17" s="20">
        <f>[1]!YBHIST(BO$4,$A17,"LMMOAS","sec","")</f>
        <v>555.09570299999996</v>
      </c>
      <c r="BP17" s="20">
        <f>[1]!YBHIST(BP$4,$A17,"LMMOAS","sec","")</f>
        <v>526.06921399999999</v>
      </c>
      <c r="BQ17" s="20">
        <f>[1]!YBHIST(BQ$4,$A17,"LMMOAS","sec","")</f>
        <v>651.91357400000004</v>
      </c>
      <c r="BR17" s="20">
        <f>[1]!YBHIST(BR$4,$A17,"LMMOAS","sec","")</f>
        <v>826.31280500000003</v>
      </c>
      <c r="BS17" s="20">
        <f>[1]!YBHIST(BS$4,$A17,"LMMOAS","sec","")</f>
        <v>419.742706</v>
      </c>
      <c r="BT17" s="20">
        <f>[1]!YBHIST(BT$4,$A17,"LMMOAS","sec","")</f>
        <v>571.19549600000005</v>
      </c>
      <c r="BU17" s="20">
        <f>[1]!YBHIST(BU$4,$A17,"LMMOAS","sec","")</f>
        <v>393.75988799999999</v>
      </c>
      <c r="BV17" s="20">
        <f>[1]!YBHIST(BV$4,$A17,"LMMOAS","sec","")</f>
        <v>455.44580100000002</v>
      </c>
      <c r="BW17" s="20">
        <f>[1]!YBHIST(BW$4,$A17,"LMMOAS","sec","")</f>
        <v>396.63198899999998</v>
      </c>
      <c r="BX17" s="5"/>
      <c r="BY17" s="1"/>
      <c r="BZ17" s="1"/>
    </row>
    <row r="18" spans="1:78" x14ac:dyDescent="0.25">
      <c r="A18" s="14">
        <f>[1]!YBWORKDAY(A$5,-1*(ROW()-ROW(A$5)),"USD","")</f>
        <v>41254</v>
      </c>
      <c r="B18" s="3">
        <f>[1]!YBHIST("2 Year Treasury",$A18,"Price","govt","")</f>
        <v>100.01599899999999</v>
      </c>
      <c r="C18" s="2">
        <f>[1]!YBHIST("5 Year Treasury",$A18,"Price","govt","")</f>
        <v>99.969002000000003</v>
      </c>
      <c r="D18" s="2">
        <f>[1]!YBHIST("10 Year Treasury",$A18,"Price","govt","")</f>
        <v>99.796997000000005</v>
      </c>
      <c r="E18" s="6">
        <f>[1]!YBHIST("30 Year Treasury",$A18,"Price","govt","")</f>
        <v>98.25</v>
      </c>
      <c r="F18" s="3">
        <f>[1]!YBHIST("2 Year Treasury",$A18,"YldtoMat","govt","")</f>
        <v>0.24199999999999999</v>
      </c>
      <c r="G18" s="2">
        <f>[1]!YBHIST("5 Year Treasury",$A18,"YldtoMat","govt","")</f>
        <v>0.63100000000000001</v>
      </c>
      <c r="H18" s="2">
        <f>[1]!YBHIST("10 Year Treasury",$A18,"YldtoMat","govt","")</f>
        <v>1.647</v>
      </c>
      <c r="I18" s="6">
        <f>[1]!YBHIST("30 Year Treasury",$A18,"YldtoMat","govt","")</f>
        <v>2.8370000000000002</v>
      </c>
      <c r="J18" s="3">
        <f>[1]!YBHIST("2yr Swap Rate",$A18,"YldtoMat","swapvol","")</f>
        <v>0.35405500000000001</v>
      </c>
      <c r="K18" s="2">
        <f>[1]!YBHIST("5yr Swap Rate",$A18,"YldtoMat","swapvol","")</f>
        <v>0.74942900000000001</v>
      </c>
      <c r="L18" s="2">
        <f>[1]!YBHIST("10yr Swap Rate",$A18,"YldtoMat","swapvol","")</f>
        <v>1.694474</v>
      </c>
      <c r="M18" s="6">
        <f>[1]!YBHIST("30yr Swap Rate",$A18,"YldtoMat","swapvol","")</f>
        <v>2.6265420000000002</v>
      </c>
      <c r="N18" s="3">
        <f>[1]!YBHIST("FNMA 30YR Cur Coup (BE)",$A18,"Yield","bmk","")</f>
        <v>2.149</v>
      </c>
      <c r="O18" s="2">
        <f>[1]!YBHIST("FHLMC 30YR Cur Coup (BE)",$A18,"Yield","bmk","")</f>
        <v>2.1949999999999998</v>
      </c>
      <c r="P18" s="2">
        <f>[1]!YBHIST("GNMA 30YR Cur Coup (BE)",$A18,"Yield","bmk","")</f>
        <v>2.0630000000000002</v>
      </c>
      <c r="Q18" s="2">
        <f>[1]!YBHIST("Primary 30-Yr Mtg Rate",$A18,"Yield","bmk","")</f>
        <v>3.5701000000000001</v>
      </c>
      <c r="R18" s="2">
        <f>[1]!YBHIST("FHLM 30-Yr Survey Rate",$A18,"Yield","bmk","")</f>
        <v>3.34</v>
      </c>
      <c r="S18" s="6">
        <f>[1]!YBHIST("Base Mortgage Rate",$A18,"Yield","bmk","")</f>
        <v>2.4820000000000002</v>
      </c>
      <c r="T18" s="18">
        <f>[1]!YBHIST("FNMA 30YR Cur Coup (BE)",$A18,"LMMOAS","bmk","")</f>
        <v>-4.8395999999999999</v>
      </c>
      <c r="U18" s="19">
        <f>[1]!YBHIST("FHLMC 30YR Cur Coup (BE)",$A18,"LMMOAS","bmk","")</f>
        <v>1.7936000000000001</v>
      </c>
      <c r="V18" s="19">
        <f>[1]!YBHIST("GNMA 30YR Cur Coup (BE)",$A18,"LMMOAS","bmk","")</f>
        <v>-22.267900000000001</v>
      </c>
      <c r="W18" s="20">
        <f t="shared" si="0"/>
        <v>50.2</v>
      </c>
      <c r="X18" s="20">
        <f t="shared" si="1"/>
        <v>50.2</v>
      </c>
      <c r="Y18" s="20">
        <f t="shared" si="2"/>
        <v>54.799999999999983</v>
      </c>
      <c r="Z18" s="25">
        <f>[1]!YBHIST("FNMA3.0-GEN",$A18,"Price","tba","")</f>
        <v>104.945312</v>
      </c>
      <c r="AA18" s="2">
        <f>[1]!YBHIST("FNMA3.5-GEN",$A18,"Price","tba","")</f>
        <v>106.601562</v>
      </c>
      <c r="AB18" s="2">
        <f>[1]!YBHIST("FNMA4.0-GEN",$A18,"Price","tba","")</f>
        <v>107.117188</v>
      </c>
      <c r="AC18" s="2">
        <f>[1]!YBHIST("FNMA4.5-GEN",$A18,"Price","tba","")</f>
        <v>107.84375</v>
      </c>
      <c r="AD18" s="2">
        <f>[1]!YBHIST("FNMA5.0-GEN",$A18,"Price","tba","")</f>
        <v>108.453125</v>
      </c>
      <c r="AE18" s="2">
        <f>[1]!YBHIST("FNMA5.5-GEN",$A18,"Price","tba","")</f>
        <v>108.710938</v>
      </c>
      <c r="AF18" s="6">
        <f>[1]!YBHIST("FNMA6.0-GEN",$A18,"Price","tba","")</f>
        <v>109.476562</v>
      </c>
      <c r="AG18" s="2">
        <f>[1]!YBHIST("FNMA3.0-GEN",$A18,"Yield","tba","")</f>
        <v>1.867</v>
      </c>
      <c r="AH18" s="2">
        <f>[1]!YBHIST("FNMA3.5-GEN",$A18,"Yield","tba","")</f>
        <v>1.5329999999999999</v>
      </c>
      <c r="AI18" s="2">
        <f>[1]!YBHIST("FNMA4.0-GEN",$A18,"Yield","tba","")</f>
        <v>1.395</v>
      </c>
      <c r="AJ18" s="2">
        <f>[1]!YBHIST("FNMA4.5-GEN",$A18,"Yield","tba","")</f>
        <v>1.405</v>
      </c>
      <c r="AK18" s="2">
        <f>[1]!YBHIST("FNMA5.0-GEN",$A18,"Yield","tba","")</f>
        <v>0.7</v>
      </c>
      <c r="AL18" s="2">
        <f>[1]!YBHIST("FNMA5.5-GEN",$A18,"Yield","tba","")</f>
        <v>1.01</v>
      </c>
      <c r="AM18" s="6">
        <f>[1]!YBHIST("FNMA6.0-GEN",$A18,"Yield","tba","")</f>
        <v>0.59099999999999997</v>
      </c>
      <c r="AN18" s="3">
        <f>[1]!YBHIST(AN$4,$A18,"Price","sec","")</f>
        <v>12.109</v>
      </c>
      <c r="AO18" s="2">
        <f>[1]!YBHIST(AO$4,$A18,"Price","sec","")</f>
        <v>13.266</v>
      </c>
      <c r="AP18" s="2">
        <f>[1]!YBHIST(AP$4,$A18,"Price","sec","")</f>
        <v>11.202999999999999</v>
      </c>
      <c r="AQ18" s="2">
        <f>[1]!YBHIST(AQ$4,$A18,"Price","sec","")</f>
        <v>14.656000000000001</v>
      </c>
      <c r="AR18" s="2">
        <f>[1]!YBHIST(AR$4,$A18,"Price","sec","")</f>
        <v>12.577999999999999</v>
      </c>
      <c r="AS18" s="2">
        <f>[1]!YBHIST(AS$4,$A18,"Price","sec","")</f>
        <v>17.687999999999999</v>
      </c>
      <c r="AT18" s="2">
        <f>[1]!YBHIST(AT$4,$A18,"Price","sec","")</f>
        <v>15.468999999999999</v>
      </c>
      <c r="AU18" s="2">
        <f>[1]!YBHIST(AU$4,$A18,"Price","sec","")</f>
        <v>10.766</v>
      </c>
      <c r="AV18" s="2">
        <f>[1]!YBHIST(AV$4,$A18,"Price","sec","")</f>
        <v>13.609</v>
      </c>
      <c r="AW18" s="2">
        <f>[1]!YBHIST(AW$4,$A18,"Price","sec","")</f>
        <v>13.281000000000001</v>
      </c>
      <c r="AX18" s="2">
        <f>[1]!YBHIST(AX$4,$A18,"Price","sec","")</f>
        <v>11.672000000000001</v>
      </c>
      <c r="AY18" s="2">
        <f>[1]!YBHIST(AY$4,$A18,"Price","sec","")</f>
        <v>15.172000000000001</v>
      </c>
      <c r="AZ18" s="2">
        <f>[1]!YBHIST(AZ$4,$A18,"Price","sec","")</f>
        <v>14.311999999999999</v>
      </c>
      <c r="BA18" s="2">
        <f>[1]!YBHIST(BA$4,$A18,"Price","sec","")</f>
        <v>14</v>
      </c>
      <c r="BB18" s="2">
        <f>[1]!YBHIST(BB$4,$A18,"Price","sec","")</f>
        <v>17.094000000000001</v>
      </c>
      <c r="BC18" s="2">
        <f>[1]!YBHIST(BC$4,$A18,"Price","sec","")</f>
        <v>17.312000000000001</v>
      </c>
      <c r="BD18" s="2">
        <f>[1]!YBHIST(BD$4,$A18,"Price","sec","")</f>
        <v>17.25</v>
      </c>
      <c r="BE18" s="6">
        <f>[1]!YBHIST(BE$4,$A18,"Price","sec","")</f>
        <v>18.562000000000001</v>
      </c>
      <c r="BF18" s="20">
        <f>[1]!YBHIST(BF$4,$A18,"LMMOAS","sec","")</f>
        <v>542.65789800000005</v>
      </c>
      <c r="BG18" s="20">
        <f>[1]!YBHIST(BG$4,$A18,"LMMOAS","sec","")</f>
        <v>507.19519000000003</v>
      </c>
      <c r="BH18" s="20">
        <f>[1]!YBHIST(BH$4,$A18,"LMMOAS","sec","")</f>
        <v>560.98852499999998</v>
      </c>
      <c r="BI18" s="20">
        <f>[1]!YBHIST(BI$4,$A18,"LMMOAS","sec","")</f>
        <v>516.73370399999999</v>
      </c>
      <c r="BJ18" s="20">
        <f>[1]!YBHIST(BJ$4,$A18,"LMMOAS","sec","")</f>
        <v>527.55041500000004</v>
      </c>
      <c r="BK18" s="20">
        <f>[1]!YBHIST(BK$4,$A18,"LMMOAS","sec","")</f>
        <v>486.51269500000001</v>
      </c>
      <c r="BL18" s="20">
        <f>[1]!YBHIST(BL$4,$A18,"LMMOAS","sec","")</f>
        <v>563.50122099999999</v>
      </c>
      <c r="BM18" s="20">
        <f>[1]!YBHIST(BM$4,$A18,"LMMOAS","sec","")</f>
        <v>279.98400900000001</v>
      </c>
      <c r="BN18" s="20">
        <f>[1]!YBHIST(BN$4,$A18,"LMMOAS","sec","")</f>
        <v>317.787598</v>
      </c>
      <c r="BO18" s="20">
        <f>[1]!YBHIST(BO$4,$A18,"LMMOAS","sec","")</f>
        <v>537.59228499999995</v>
      </c>
      <c r="BP18" s="20">
        <f>[1]!YBHIST(BP$4,$A18,"LMMOAS","sec","")</f>
        <v>495.38391100000001</v>
      </c>
      <c r="BQ18" s="20">
        <f>[1]!YBHIST(BQ$4,$A18,"LMMOAS","sec","")</f>
        <v>633.11627199999998</v>
      </c>
      <c r="BR18" s="20">
        <f>[1]!YBHIST(BR$4,$A18,"LMMOAS","sec","")</f>
        <v>815.42492700000003</v>
      </c>
      <c r="BS18" s="20">
        <f>[1]!YBHIST(BS$4,$A18,"LMMOAS","sec","")</f>
        <v>388.80441300000001</v>
      </c>
      <c r="BT18" s="20">
        <f>[1]!YBHIST(BT$4,$A18,"LMMOAS","sec","")</f>
        <v>548.578979</v>
      </c>
      <c r="BU18" s="20">
        <f>[1]!YBHIST(BU$4,$A18,"LMMOAS","sec","")</f>
        <v>367.43630999999999</v>
      </c>
      <c r="BV18" s="20">
        <f>[1]!YBHIST(BV$4,$A18,"LMMOAS","sec","")</f>
        <v>431.979309</v>
      </c>
      <c r="BW18" s="20">
        <f>[1]!YBHIST(BW$4,$A18,"LMMOAS","sec","")</f>
        <v>373.53131100000002</v>
      </c>
      <c r="BX18" s="5"/>
      <c r="BY18" s="1"/>
      <c r="BZ18" s="1"/>
    </row>
    <row r="19" spans="1:78" x14ac:dyDescent="0.25">
      <c r="A19" s="14">
        <f>[1]!YBWORKDAY(A$5,-1*(ROW()-ROW(A$5)),"USD","")</f>
        <v>41253</v>
      </c>
      <c r="B19" s="3">
        <f>[1]!YBHIST("2 Year Treasury",$A19,"Price","govt","")</f>
        <v>100.023003</v>
      </c>
      <c r="C19" s="2">
        <f>[1]!YBHIST("5 Year Treasury",$A19,"Price","govt","")</f>
        <v>100.05500000000001</v>
      </c>
      <c r="D19" s="2">
        <f>[1]!YBHIST("10 Year Treasury",$A19,"Price","govt","")</f>
        <v>100.094002</v>
      </c>
      <c r="E19" s="6">
        <f>[1]!YBHIST("30 Year Treasury",$A19,"Price","govt","")</f>
        <v>98.938004000000006</v>
      </c>
      <c r="F19" s="3">
        <f>[1]!YBHIST("2 Year Treasury",$A19,"YldtoMat","govt","")</f>
        <v>0.23799999999999999</v>
      </c>
      <c r="G19" s="2">
        <f>[1]!YBHIST("5 Year Treasury",$A19,"YldtoMat","govt","")</f>
        <v>0.61399999999999999</v>
      </c>
      <c r="H19" s="2">
        <f>[1]!YBHIST("10 Year Treasury",$A19,"YldtoMat","govt","")</f>
        <v>1.615</v>
      </c>
      <c r="I19" s="6">
        <f>[1]!YBHIST("30 Year Treasury",$A19,"YldtoMat","govt","")</f>
        <v>2.8029999999999999</v>
      </c>
      <c r="J19" s="3">
        <f>[1]!YBHIST("2yr Swap Rate",$A19,"YldtoMat","swapvol","")</f>
        <v>0.354684</v>
      </c>
      <c r="K19" s="2">
        <f>[1]!YBHIST("5yr Swap Rate",$A19,"YldtoMat","swapvol","")</f>
        <v>0.73982800000000004</v>
      </c>
      <c r="L19" s="2">
        <f>[1]!YBHIST("10yr Swap Rate",$A19,"YldtoMat","swapvol","")</f>
        <v>1.6684349999999999</v>
      </c>
      <c r="M19" s="6">
        <f>[1]!YBHIST("30yr Swap Rate",$A19,"YldtoMat","swapvol","")</f>
        <v>2.5896080000000001</v>
      </c>
      <c r="N19" s="3">
        <f>[1]!YBHIST("FNMA 30YR Cur Coup (BE)",$A19,"Yield","bmk","")</f>
        <v>2.1480000000000001</v>
      </c>
      <c r="O19" s="2">
        <f>[1]!YBHIST("FHLMC 30YR Cur Coup (BE)",$A19,"Yield","bmk","")</f>
        <v>2.194</v>
      </c>
      <c r="P19" s="2">
        <f>[1]!YBHIST("GNMA 30YR Cur Coup (BE)",$A19,"Yield","bmk","")</f>
        <v>2.0619999999999998</v>
      </c>
      <c r="Q19" s="2">
        <f>[1]!YBHIST("Primary 30-Yr Mtg Rate",$A19,"Yield","bmk","")</f>
        <v>3.5701000000000001</v>
      </c>
      <c r="R19" s="2">
        <f>[1]!YBHIST("FHLM 30-Yr Survey Rate",$A19,"Yield","bmk","")</f>
        <v>3.34</v>
      </c>
      <c r="S19" s="6">
        <f>[1]!YBHIST("Base Mortgage Rate",$A19,"Yield","bmk","")</f>
        <v>2.4820000000000002</v>
      </c>
      <c r="T19" s="18">
        <f>[1]!YBHIST("FNMA 30YR Cur Coup (BE)",$A19,"LMMOAS","bmk","")</f>
        <v>-2.6530999999999998</v>
      </c>
      <c r="U19" s="19">
        <f>[1]!YBHIST("FHLMC 30YR Cur Coup (BE)",$A19,"LMMOAS","bmk","")</f>
        <v>4.0507999999999997</v>
      </c>
      <c r="V19" s="19">
        <f>[1]!YBHIST("GNMA 30YR Cur Coup (BE)",$A19,"LMMOAS","bmk","")</f>
        <v>-20.481100000000001</v>
      </c>
      <c r="W19" s="20">
        <f t="shared" si="0"/>
        <v>53.300000000000011</v>
      </c>
      <c r="X19" s="20">
        <f t="shared" si="1"/>
        <v>53.300000000000011</v>
      </c>
      <c r="Y19" s="20">
        <f t="shared" si="2"/>
        <v>57.9</v>
      </c>
      <c r="Z19" s="25">
        <f>[1]!YBHIST("FNMA3.0-GEN",$A19,"Price","tba","")</f>
        <v>104.992188</v>
      </c>
      <c r="AA19" s="2">
        <f>[1]!YBHIST("FNMA3.5-GEN",$A19,"Price","tba","")</f>
        <v>106.601562</v>
      </c>
      <c r="AB19" s="2">
        <f>[1]!YBHIST("FNMA4.0-GEN",$A19,"Price","tba","")</f>
        <v>107.15625</v>
      </c>
      <c r="AC19" s="2">
        <f>[1]!YBHIST("FNMA4.5-GEN",$A19,"Price","tba","")</f>
        <v>107.859375</v>
      </c>
      <c r="AD19" s="2">
        <f>[1]!YBHIST("FNMA5.0-GEN",$A19,"Price","tba","")</f>
        <v>108.453125</v>
      </c>
      <c r="AE19" s="2">
        <f>[1]!YBHIST("FNMA5.5-GEN",$A19,"Price","tba","")</f>
        <v>108.726562</v>
      </c>
      <c r="AF19" s="6">
        <f>[1]!YBHIST("FNMA6.0-GEN",$A19,"Price","tba","")</f>
        <v>109.507812</v>
      </c>
      <c r="AG19" s="2">
        <f>[1]!YBHIST("FNMA3.0-GEN",$A19,"Yield","tba","")</f>
        <v>1.8560000000000001</v>
      </c>
      <c r="AH19" s="2">
        <f>[1]!YBHIST("FNMA3.5-GEN",$A19,"Yield","tba","")</f>
        <v>1.532</v>
      </c>
      <c r="AI19" s="2">
        <f>[1]!YBHIST("FNMA4.0-GEN",$A19,"Yield","tba","")</f>
        <v>1.381</v>
      </c>
      <c r="AJ19" s="2">
        <f>[1]!YBHIST("FNMA4.5-GEN",$A19,"Yield","tba","")</f>
        <v>1.3979999999999999</v>
      </c>
      <c r="AK19" s="2">
        <f>[1]!YBHIST("FNMA5.0-GEN",$A19,"Yield","tba","")</f>
        <v>0.69899999999999995</v>
      </c>
      <c r="AL19" s="2">
        <f>[1]!YBHIST("FNMA5.5-GEN",$A19,"Yield","tba","")</f>
        <v>1.0029999999999999</v>
      </c>
      <c r="AM19" s="6">
        <f>[1]!YBHIST("FNMA6.0-GEN",$A19,"Yield","tba","")</f>
        <v>0.57599999999999996</v>
      </c>
      <c r="AN19" s="3">
        <f>[1]!YBHIST(AN$4,$A19,"Price","sec","")</f>
        <v>11.625</v>
      </c>
      <c r="AO19" s="2">
        <f>[1]!YBHIST(AO$4,$A19,"Price","sec","")</f>
        <v>12.797000000000001</v>
      </c>
      <c r="AP19" s="2">
        <f>[1]!YBHIST(AP$4,$A19,"Price","sec","")</f>
        <v>10.672000000000001</v>
      </c>
      <c r="AQ19" s="2">
        <f>[1]!YBHIST(AQ$4,$A19,"Price","sec","")</f>
        <v>14.172000000000001</v>
      </c>
      <c r="AR19" s="2">
        <f>[1]!YBHIST(AR$4,$A19,"Price","sec","")</f>
        <v>11.968999999999999</v>
      </c>
      <c r="AS19" s="2">
        <f>[1]!YBHIST(AS$4,$A19,"Price","sec","")</f>
        <v>17.280999999999999</v>
      </c>
      <c r="AT19" s="2">
        <f>[1]!YBHIST(AT$4,$A19,"Price","sec","")</f>
        <v>15</v>
      </c>
      <c r="AU19" s="2">
        <f>[1]!YBHIST(AU$4,$A19,"Price","sec","")</f>
        <v>10.156000000000001</v>
      </c>
      <c r="AV19" s="2">
        <f>[1]!YBHIST(AV$4,$A19,"Price","sec","")</f>
        <v>13</v>
      </c>
      <c r="AW19" s="2">
        <f>[1]!YBHIST(AW$4,$A19,"Price","sec","")</f>
        <v>12.718999999999999</v>
      </c>
      <c r="AX19" s="2">
        <f>[1]!YBHIST(AX$4,$A19,"Price","sec","")</f>
        <v>11.061999999999999</v>
      </c>
      <c r="AY19" s="2">
        <f>[1]!YBHIST(AY$4,$A19,"Price","sec","")</f>
        <v>14.561999999999999</v>
      </c>
      <c r="AZ19" s="2">
        <f>[1]!YBHIST(AZ$4,$A19,"Price","sec","")</f>
        <v>13.827999999999999</v>
      </c>
      <c r="BA19" s="2">
        <f>[1]!YBHIST(BA$4,$A19,"Price","sec","")</f>
        <v>13.375</v>
      </c>
      <c r="BB19" s="2">
        <f>[1]!YBHIST(BB$4,$A19,"Price","sec","")</f>
        <v>16.469000000000001</v>
      </c>
      <c r="BC19" s="2">
        <f>[1]!YBHIST(BC$4,$A19,"Price","sec","")</f>
        <v>16.922001000000002</v>
      </c>
      <c r="BD19" s="2">
        <f>[1]!YBHIST(BD$4,$A19,"Price","sec","")</f>
        <v>16.780999999999999</v>
      </c>
      <c r="BE19" s="6">
        <f>[1]!YBHIST(BE$4,$A19,"Price","sec","")</f>
        <v>18.077998999999998</v>
      </c>
      <c r="BF19" s="20">
        <f>[1]!YBHIST(BF$4,$A19,"LMMOAS","sec","")</f>
        <v>545.27551300000005</v>
      </c>
      <c r="BG19" s="20">
        <f>[1]!YBHIST(BG$4,$A19,"LMMOAS","sec","")</f>
        <v>497.719696</v>
      </c>
      <c r="BH19" s="20">
        <f>[1]!YBHIST(BH$4,$A19,"LMMOAS","sec","")</f>
        <v>561.01709000000005</v>
      </c>
      <c r="BI19" s="20">
        <f>[1]!YBHIST(BI$4,$A19,"LMMOAS","sec","")</f>
        <v>519.723206</v>
      </c>
      <c r="BJ19" s="20">
        <f>[1]!YBHIST(BJ$4,$A19,"LMMOAS","sec","")</f>
        <v>544.026794</v>
      </c>
      <c r="BK19" s="20">
        <f>[1]!YBHIST(BK$4,$A19,"LMMOAS","sec","")</f>
        <v>486.12249800000001</v>
      </c>
      <c r="BL19" s="20">
        <f>[1]!YBHIST(BL$4,$A19,"LMMOAS","sec","")</f>
        <v>563.98400900000001</v>
      </c>
      <c r="BM19" s="20">
        <f>[1]!YBHIST(BM$4,$A19,"LMMOAS","sec","")</f>
        <v>281.16839599999997</v>
      </c>
      <c r="BN19" s="20">
        <f>[1]!YBHIST(BN$4,$A19,"LMMOAS","sec","")</f>
        <v>321.56939699999998</v>
      </c>
      <c r="BO19" s="20">
        <f>[1]!YBHIST(BO$4,$A19,"LMMOAS","sec","")</f>
        <v>541.95477300000005</v>
      </c>
      <c r="BP19" s="20">
        <f>[1]!YBHIST(BP$4,$A19,"LMMOAS","sec","")</f>
        <v>496.98159800000002</v>
      </c>
      <c r="BQ19" s="20">
        <f>[1]!YBHIST(BQ$4,$A19,"LMMOAS","sec","")</f>
        <v>632.115906</v>
      </c>
      <c r="BR19" s="20">
        <f>[1]!YBHIST(BR$4,$A19,"LMMOAS","sec","")</f>
        <v>813.37609899999995</v>
      </c>
      <c r="BS19" s="20">
        <f>[1]!YBHIST(BS$4,$A19,"LMMOAS","sec","")</f>
        <v>389.26181000000003</v>
      </c>
      <c r="BT19" s="20">
        <f>[1]!YBHIST(BT$4,$A19,"LMMOAS","sec","")</f>
        <v>546.21087599999998</v>
      </c>
      <c r="BU19" s="20">
        <f>[1]!YBHIST(BU$4,$A19,"LMMOAS","sec","")</f>
        <v>364.71078499999999</v>
      </c>
      <c r="BV19" s="20">
        <f>[1]!YBHIST(BV$4,$A19,"LMMOAS","sec","")</f>
        <v>430.70001200000002</v>
      </c>
      <c r="BW19" s="20">
        <f>[1]!YBHIST(BW$4,$A19,"LMMOAS","sec","")</f>
        <v>371.69781499999999</v>
      </c>
      <c r="BX19" s="5"/>
      <c r="BY19" s="1"/>
      <c r="BZ19" s="1"/>
    </row>
    <row r="20" spans="1:78" x14ac:dyDescent="0.25">
      <c r="A20" s="14">
        <f>[1]!YBWORKDAY(A$5,-1*(ROW()-ROW(A$5)),"USD","")</f>
        <v>41250</v>
      </c>
      <c r="B20" s="3">
        <f>[1]!YBHIST("2 Year Treasury",$A20,"Price","govt","")</f>
        <v>100.01599899999999</v>
      </c>
      <c r="C20" s="2">
        <f>[1]!YBHIST("5 Year Treasury",$A20,"Price","govt","")</f>
        <v>100.023003</v>
      </c>
      <c r="D20" s="2">
        <f>[1]!YBHIST("10 Year Treasury",$A20,"Price","govt","")</f>
        <v>100</v>
      </c>
      <c r="E20" s="6">
        <f>[1]!YBHIST("30 Year Treasury",$A20,"Price","govt","")</f>
        <v>98.703002999999995</v>
      </c>
      <c r="F20" s="3">
        <f>[1]!YBHIST("2 Year Treasury",$A20,"YldtoMat","govt","")</f>
        <v>0.24199999999999999</v>
      </c>
      <c r="G20" s="2">
        <f>[1]!YBHIST("5 Year Treasury",$A20,"YldtoMat","govt","")</f>
        <v>0.62</v>
      </c>
      <c r="H20" s="2">
        <f>[1]!YBHIST("10 Year Treasury",$A20,"YldtoMat","govt","")</f>
        <v>1.625</v>
      </c>
      <c r="I20" s="6">
        <f>[1]!YBHIST("30 Year Treasury",$A20,"YldtoMat","govt","")</f>
        <v>2.8140000000000001</v>
      </c>
      <c r="J20" s="3">
        <f>[1]!YBHIST("2yr Swap Rate",$A20,"YldtoMat","swapvol","")</f>
        <v>0.35247499999999998</v>
      </c>
      <c r="K20" s="2">
        <f>[1]!YBHIST("5yr Swap Rate",$A20,"YldtoMat","swapvol","")</f>
        <v>0.74447399999999997</v>
      </c>
      <c r="L20" s="2">
        <f>[1]!YBHIST("10yr Swap Rate",$A20,"YldtoMat","swapvol","")</f>
        <v>1.676668</v>
      </c>
      <c r="M20" s="6">
        <f>[1]!YBHIST("30yr Swap Rate",$A20,"YldtoMat","swapvol","")</f>
        <v>2.5931609999999998</v>
      </c>
      <c r="N20" s="3">
        <f>[1]!YBHIST("FNMA 30YR Cur Coup (BE)",$A20,"Yield","bmk","")</f>
        <v>2.1840000000000002</v>
      </c>
      <c r="O20" s="2">
        <f>[1]!YBHIST("FHLMC 30YR Cur Coup (BE)",$A20,"Yield","bmk","")</f>
        <v>2.23</v>
      </c>
      <c r="P20" s="2">
        <f>[1]!YBHIST("GNMA 30YR Cur Coup (BE)",$A20,"Yield","bmk","")</f>
        <v>2.0979999999999999</v>
      </c>
      <c r="Q20" s="2">
        <f>[1]!YBHIST("Primary 30-Yr Mtg Rate",$A20,"Yield","bmk","")</f>
        <v>3.6093999999999999</v>
      </c>
      <c r="R20" s="2">
        <f>[1]!YBHIST("FHLM 30-Yr Survey Rate",$A20,"Yield","bmk","")</f>
        <v>3.34</v>
      </c>
      <c r="S20" s="6">
        <f>[1]!YBHIST("Base Mortgage Rate",$A20,"Yield","bmk","")</f>
        <v>2.5209999999999999</v>
      </c>
      <c r="T20" s="18">
        <f>[1]!YBHIST("FNMA 30YR Cur Coup (BE)",$A20,"LMMOAS","bmk","")</f>
        <v>0.81499999999999995</v>
      </c>
      <c r="U20" s="19">
        <f>[1]!YBHIST("FHLMC 30YR Cur Coup (BE)",$A20,"LMMOAS","bmk","")</f>
        <v>6.1136999999999997</v>
      </c>
      <c r="V20" s="19">
        <f>[1]!YBHIST("GNMA 30YR Cur Coup (BE)",$A20,"LMMOAS","bmk","")</f>
        <v>-19.374200999999999</v>
      </c>
      <c r="W20" s="20">
        <f t="shared" si="0"/>
        <v>55.90000000000002</v>
      </c>
      <c r="X20" s="20">
        <f t="shared" si="1"/>
        <v>55.90000000000002</v>
      </c>
      <c r="Y20" s="20">
        <f t="shared" si="2"/>
        <v>60.5</v>
      </c>
      <c r="Z20" s="25">
        <f>[1]!YBHIST("FNMA3.0-GEN",$A20,"Price","tba","")</f>
        <v>104.789062</v>
      </c>
      <c r="AA20" s="2">
        <f>[1]!YBHIST("FNMA3.5-GEN",$A20,"Price","tba","")</f>
        <v>106.472656</v>
      </c>
      <c r="AB20" s="2">
        <f>[1]!YBHIST("FNMA4.0-GEN",$A20,"Price","tba","")</f>
        <v>107.097656</v>
      </c>
      <c r="AC20" s="2">
        <f>[1]!YBHIST("FNMA4.5-GEN",$A20,"Price","tba","")</f>
        <v>107.804688</v>
      </c>
      <c r="AD20" s="2">
        <f>[1]!YBHIST("FNMA5.0-GEN",$A20,"Price","tba","")</f>
        <v>108.414062</v>
      </c>
      <c r="AE20" s="2">
        <f>[1]!YBHIST("FNMA5.5-GEN",$A20,"Price","tba","")</f>
        <v>108.765625</v>
      </c>
      <c r="AF20" s="6">
        <f>[1]!YBHIST("FNMA6.0-GEN",$A20,"Price","tba","")</f>
        <v>109.550781</v>
      </c>
      <c r="AG20" s="2">
        <f>[1]!YBHIST("FNMA3.0-GEN",$A20,"Yield","tba","")</f>
        <v>1.8959999999999999</v>
      </c>
      <c r="AH20" s="2">
        <f>[1]!YBHIST("FNMA3.5-GEN",$A20,"Yield","tba","")</f>
        <v>1.5640000000000001</v>
      </c>
      <c r="AI20" s="2">
        <f>[1]!YBHIST("FNMA4.0-GEN",$A20,"Yield","tba","")</f>
        <v>1.4</v>
      </c>
      <c r="AJ20" s="2">
        <f>[1]!YBHIST("FNMA4.5-GEN",$A20,"Yield","tba","")</f>
        <v>1.4179999999999999</v>
      </c>
      <c r="AK20" s="2">
        <f>[1]!YBHIST("FNMA5.0-GEN",$A20,"Yield","tba","")</f>
        <v>0.71699999999999997</v>
      </c>
      <c r="AL20" s="2">
        <f>[1]!YBHIST("FNMA5.5-GEN",$A20,"Yield","tba","")</f>
        <v>0.98599999999999999</v>
      </c>
      <c r="AM20" s="6">
        <f>[1]!YBHIST("FNMA6.0-GEN",$A20,"Yield","tba","")</f>
        <v>0.55500000000000005</v>
      </c>
      <c r="AN20" s="3">
        <f>[1]!YBHIST(AN$4,$A20,"Price","sec","")</f>
        <v>11.827999999999999</v>
      </c>
      <c r="AO20" s="2">
        <f>[1]!YBHIST(AO$4,$A20,"Price","sec","")</f>
        <v>12.938000000000001</v>
      </c>
      <c r="AP20" s="2">
        <f>[1]!YBHIST(AP$4,$A20,"Price","sec","")</f>
        <v>10.75</v>
      </c>
      <c r="AQ20" s="2">
        <f>[1]!YBHIST(AQ$4,$A20,"Price","sec","")</f>
        <v>14.297000000000001</v>
      </c>
      <c r="AR20" s="2">
        <f>[1]!YBHIST(AR$4,$A20,"Price","sec","")</f>
        <v>11.968999999999999</v>
      </c>
      <c r="AS20" s="2">
        <f>[1]!YBHIST(AS$4,$A20,"Price","sec","")</f>
        <v>17.266000999999999</v>
      </c>
      <c r="AT20" s="2">
        <f>[1]!YBHIST(AT$4,$A20,"Price","sec","")</f>
        <v>14.952999999999999</v>
      </c>
      <c r="AU20" s="2">
        <f>[1]!YBHIST(AU$4,$A20,"Price","sec","")</f>
        <v>10.188000000000001</v>
      </c>
      <c r="AV20" s="2">
        <f>[1]!YBHIST(AV$4,$A20,"Price","sec","")</f>
        <v>13.047000000000001</v>
      </c>
      <c r="AW20" s="2">
        <f>[1]!YBHIST(AW$4,$A20,"Price","sec","")</f>
        <v>12.766</v>
      </c>
      <c r="AX20" s="2">
        <f>[1]!YBHIST(AX$4,$A20,"Price","sec","")</f>
        <v>11.109</v>
      </c>
      <c r="AY20" s="2">
        <f>[1]!YBHIST(AY$4,$A20,"Price","sec","")</f>
        <v>14.593999999999999</v>
      </c>
      <c r="AZ20" s="2">
        <f>[1]!YBHIST(AZ$4,$A20,"Price","sec","")</f>
        <v>13.843999999999999</v>
      </c>
      <c r="BA20" s="2">
        <f>[1]!YBHIST(BA$4,$A20,"Price","sec","")</f>
        <v>13.406000000000001</v>
      </c>
      <c r="BB20" s="2">
        <f>[1]!YBHIST(BB$4,$A20,"Price","sec","")</f>
        <v>16.469000000000001</v>
      </c>
      <c r="BC20" s="2">
        <f>[1]!YBHIST(BC$4,$A20,"Price","sec","")</f>
        <v>17.077998999999998</v>
      </c>
      <c r="BD20" s="2">
        <f>[1]!YBHIST(BD$4,$A20,"Price","sec","")</f>
        <v>16.969000000000001</v>
      </c>
      <c r="BE20" s="6">
        <f>[1]!YBHIST(BE$4,$A20,"Price","sec","")</f>
        <v>18.25</v>
      </c>
      <c r="BF20" s="20">
        <f>[1]!YBHIST(BF$4,$A20,"LMMOAS","sec","")</f>
        <v>500.05801400000001</v>
      </c>
      <c r="BG20" s="20">
        <f>[1]!YBHIST(BG$4,$A20,"LMMOAS","sec","")</f>
        <v>468.30068999999997</v>
      </c>
      <c r="BH20" s="20">
        <f>[1]!YBHIST(BH$4,$A20,"LMMOAS","sec","")</f>
        <v>539.99737500000003</v>
      </c>
      <c r="BI20" s="20">
        <f>[1]!YBHIST(BI$4,$A20,"LMMOAS","sec","")</f>
        <v>494.67739899999998</v>
      </c>
      <c r="BJ20" s="20">
        <f>[1]!YBHIST(BJ$4,$A20,"LMMOAS","sec","")</f>
        <v>543.43170199999997</v>
      </c>
      <c r="BK20" s="20">
        <f>[1]!YBHIST(BK$4,$A20,"LMMOAS","sec","")</f>
        <v>486.81469700000002</v>
      </c>
      <c r="BL20" s="20">
        <f>[1]!YBHIST(BL$4,$A20,"LMMOAS","sec","")</f>
        <v>571.68762200000003</v>
      </c>
      <c r="BM20" s="20">
        <f>[1]!YBHIST(BM$4,$A20,"LMMOAS","sec","")</f>
        <v>272.466003</v>
      </c>
      <c r="BN20" s="20">
        <f>[1]!YBHIST(BN$4,$A20,"LMMOAS","sec","")</f>
        <v>310.53201300000001</v>
      </c>
      <c r="BO20" s="20">
        <f>[1]!YBHIST(BO$4,$A20,"LMMOAS","sec","")</f>
        <v>531.25152600000001</v>
      </c>
      <c r="BP20" s="20">
        <f>[1]!YBHIST(BP$4,$A20,"LMMOAS","sec","")</f>
        <v>484.26440400000001</v>
      </c>
      <c r="BQ20" s="20">
        <f>[1]!YBHIST(BQ$4,$A20,"LMMOAS","sec","")</f>
        <v>626.17602499999998</v>
      </c>
      <c r="BR20" s="20">
        <f>[1]!YBHIST(BR$4,$A20,"LMMOAS","sec","")</f>
        <v>810.92211899999995</v>
      </c>
      <c r="BS20" s="20">
        <f>[1]!YBHIST(BS$4,$A20,"LMMOAS","sec","")</f>
        <v>383.05419899999998</v>
      </c>
      <c r="BT20" s="20">
        <f>[1]!YBHIST(BT$4,$A20,"LMMOAS","sec","")</f>
        <v>547.38622999999995</v>
      </c>
      <c r="BU20" s="20">
        <f>[1]!YBHIST(BU$4,$A20,"LMMOAS","sec","")</f>
        <v>323.261414</v>
      </c>
      <c r="BV20" s="20">
        <f>[1]!YBHIST(BV$4,$A20,"LMMOAS","sec","")</f>
        <v>384.26809700000001</v>
      </c>
      <c r="BW20" s="20">
        <f>[1]!YBHIST(BW$4,$A20,"LMMOAS","sec","")</f>
        <v>336.071594</v>
      </c>
      <c r="BX20" s="5"/>
      <c r="BY20" s="1"/>
      <c r="BZ20" s="1"/>
    </row>
    <row r="21" spans="1:78" x14ac:dyDescent="0.25">
      <c r="A21" s="14">
        <f>[1]!YBWORKDAY(A$5,-1*(ROW()-ROW(A$5)),"USD","")</f>
        <v>41249</v>
      </c>
      <c r="B21" s="3">
        <f>[1]!YBHIST("2 Year Treasury",$A21,"Price","govt","")</f>
        <v>100.023003</v>
      </c>
      <c r="C21" s="2">
        <f>[1]!YBHIST("5 Year Treasury",$A21,"Price","govt","")</f>
        <v>100.116997</v>
      </c>
      <c r="D21" s="2">
        <f>[1]!YBHIST("10 Year Treasury",$A21,"Price","govt","")</f>
        <v>100.405998</v>
      </c>
      <c r="E21" s="6">
        <f>[1]!YBHIST("30 Year Treasury",$A21,"Price","govt","")</f>
        <v>99.703002999999995</v>
      </c>
      <c r="F21" s="3">
        <f>[1]!YBHIST("2 Year Treasury",$A21,"YldtoMat","govt","")</f>
        <v>0.23799999999999999</v>
      </c>
      <c r="G21" s="2">
        <f>[1]!YBHIST("5 Year Treasury",$A21,"YldtoMat","govt","")</f>
        <v>0.60099999999999998</v>
      </c>
      <c r="H21" s="2">
        <f>[1]!YBHIST("10 Year Treasury",$A21,"YldtoMat","govt","")</f>
        <v>1.581</v>
      </c>
      <c r="I21" s="6">
        <f>[1]!YBHIST("30 Year Treasury",$A21,"YldtoMat","govt","")</f>
        <v>2.7650000000000001</v>
      </c>
      <c r="J21" s="3">
        <f>[1]!YBHIST("2yr Swap Rate",$A21,"YldtoMat","swapvol","")</f>
        <v>0.35813400000000001</v>
      </c>
      <c r="K21" s="2">
        <f>[1]!YBHIST("5yr Swap Rate",$A21,"YldtoMat","swapvol","")</f>
        <v>0.73236299999999999</v>
      </c>
      <c r="L21" s="2">
        <f>[1]!YBHIST("10yr Swap Rate",$A21,"YldtoMat","swapvol","")</f>
        <v>1.6369800000000001</v>
      </c>
      <c r="M21" s="6">
        <f>[1]!YBHIST("30yr Swap Rate",$A21,"YldtoMat","swapvol","")</f>
        <v>2.5434190000000001</v>
      </c>
      <c r="N21" s="3">
        <f>[1]!YBHIST("FNMA 30YR Cur Coup (BE)",$A21,"Yield","bmk","")</f>
        <v>2.13</v>
      </c>
      <c r="O21" s="2">
        <f>[1]!YBHIST("FHLMC 30YR Cur Coup (BE)",$A21,"Yield","bmk","")</f>
        <v>2.1760000000000002</v>
      </c>
      <c r="P21" s="2">
        <f>[1]!YBHIST("GNMA 30YR Cur Coup (BE)",$A21,"Yield","bmk","")</f>
        <v>2.044</v>
      </c>
      <c r="Q21" s="2">
        <f>[1]!YBHIST("Primary 30-Yr Mtg Rate",$A21,"Yield","bmk","")</f>
        <v>3.5552999999999999</v>
      </c>
      <c r="R21" s="2">
        <f>[1]!YBHIST("FHLM 30-Yr Survey Rate",$A21,"Yield","bmk","")</f>
        <v>3.34</v>
      </c>
      <c r="S21" s="6">
        <f>[1]!YBHIST("Base Mortgage Rate",$A21,"Yield","bmk","")</f>
        <v>2.4670000000000001</v>
      </c>
      <c r="T21" s="18">
        <f>[1]!YBHIST("FNMA 30YR Cur Coup (BE)",$A21,"LMMOAS","bmk","")</f>
        <v>-1.6744000000000001</v>
      </c>
      <c r="U21" s="19">
        <f>[1]!YBHIST("FHLMC 30YR Cur Coup (BE)",$A21,"LMMOAS","bmk","")</f>
        <v>4.9161999999999999</v>
      </c>
      <c r="V21" s="19">
        <f>[1]!YBHIST("GNMA 30YR Cur Coup (BE)",$A21,"LMMOAS","bmk","")</f>
        <v>-16.278400000000001</v>
      </c>
      <c r="W21" s="20">
        <f t="shared" si="0"/>
        <v>54.899999999999991</v>
      </c>
      <c r="X21" s="20">
        <f t="shared" si="1"/>
        <v>54.899999999999991</v>
      </c>
      <c r="Y21" s="20">
        <f t="shared" si="2"/>
        <v>59.500000000000021</v>
      </c>
      <c r="Z21" s="25">
        <f>[1]!YBHIST("FNMA3.0-GEN",$A21,"Price","tba","")</f>
        <v>105.21875</v>
      </c>
      <c r="AA21" s="2">
        <f>[1]!YBHIST("FNMA3.5-GEN",$A21,"Price","tba","")</f>
        <v>106.796875</v>
      </c>
      <c r="AB21" s="2">
        <f>[1]!YBHIST("FNMA4.0-GEN",$A21,"Price","tba","")</f>
        <v>107.171875</v>
      </c>
      <c r="AC21" s="2">
        <f>[1]!YBHIST("FNMA4.5-GEN",$A21,"Price","tba","")</f>
        <v>107.851562</v>
      </c>
      <c r="AD21" s="2">
        <f>[1]!YBHIST("FNMA5.0-GEN",$A21,"Price","tba","")</f>
        <v>108.34375</v>
      </c>
      <c r="AE21" s="2">
        <f>[1]!YBHIST("FNMA5.5-GEN",$A21,"Price","tba","")</f>
        <v>108.609375</v>
      </c>
      <c r="AF21" s="6">
        <f>[1]!YBHIST("FNMA6.0-GEN",$A21,"Price","tba","")</f>
        <v>109.4375</v>
      </c>
      <c r="AG21" s="2">
        <f>[1]!YBHIST("FNMA3.0-GEN",$A21,"Yield","tba","")</f>
        <v>1.746</v>
      </c>
      <c r="AH21" s="2">
        <f>[1]!YBHIST("FNMA3.5-GEN",$A21,"Yield","tba","")</f>
        <v>1.38</v>
      </c>
      <c r="AI21" s="2">
        <f>[1]!YBHIST("FNMA4.0-GEN",$A21,"Yield","tba","")</f>
        <v>1.306</v>
      </c>
      <c r="AJ21" s="2">
        <f>[1]!YBHIST("FNMA4.5-GEN",$A21,"Yield","tba","")</f>
        <v>1.345</v>
      </c>
      <c r="AK21" s="2">
        <f>[1]!YBHIST("FNMA5.0-GEN",$A21,"Yield","tba","")</f>
        <v>0.69</v>
      </c>
      <c r="AL21" s="2">
        <f>[1]!YBHIST("FNMA5.5-GEN",$A21,"Yield","tba","")</f>
        <v>1.016</v>
      </c>
      <c r="AM21" s="6">
        <f>[1]!YBHIST("FNMA6.0-GEN",$A21,"Yield","tba","")</f>
        <v>0.57299999999999995</v>
      </c>
      <c r="AN21" s="3">
        <f>[1]!YBHIST(AN$4,$A21,"Price","sec","")</f>
        <v>11.577999999999999</v>
      </c>
      <c r="AO21" s="2">
        <f>[1]!YBHIST(AO$4,$A21,"Price","sec","")</f>
        <v>12.641</v>
      </c>
      <c r="AP21" s="2">
        <f>[1]!YBHIST(AP$4,$A21,"Price","sec","")</f>
        <v>10.422000000000001</v>
      </c>
      <c r="AQ21" s="2">
        <f>[1]!YBHIST(AQ$4,$A21,"Price","sec","")</f>
        <v>13.938000000000001</v>
      </c>
      <c r="AR21" s="2">
        <f>[1]!YBHIST(AR$4,$A21,"Price","sec","")</f>
        <v>11.609</v>
      </c>
      <c r="AS21" s="2">
        <f>[1]!YBHIST(AS$4,$A21,"Price","sec","")</f>
        <v>16.875</v>
      </c>
      <c r="AT21" s="2">
        <f>[1]!YBHIST(AT$4,$A21,"Price","sec","")</f>
        <v>14.561999999999999</v>
      </c>
      <c r="AU21" s="2">
        <f>[1]!YBHIST(AU$4,$A21,"Price","sec","")</f>
        <v>9.8279999999999994</v>
      </c>
      <c r="AV21" s="2">
        <f>[1]!YBHIST(AV$4,$A21,"Price","sec","")</f>
        <v>12.718999999999999</v>
      </c>
      <c r="AW21" s="2">
        <f>[1]!YBHIST(AW$4,$A21,"Price","sec","")</f>
        <v>12.438000000000001</v>
      </c>
      <c r="AX21" s="2">
        <f>[1]!YBHIST(AX$4,$A21,"Price","sec","")</f>
        <v>10.922000000000001</v>
      </c>
      <c r="AY21" s="2">
        <f>[1]!YBHIST(AY$4,$A21,"Price","sec","")</f>
        <v>14.422000000000001</v>
      </c>
      <c r="AZ21" s="2">
        <f>[1]!YBHIST(AZ$4,$A21,"Price","sec","")</f>
        <v>13.656000000000001</v>
      </c>
      <c r="BA21" s="2">
        <f>[1]!YBHIST(BA$4,$A21,"Price","sec","")</f>
        <v>13.234</v>
      </c>
      <c r="BB21" s="2">
        <f>[1]!YBHIST(BB$4,$A21,"Price","sec","")</f>
        <v>16.358999000000001</v>
      </c>
      <c r="BC21" s="2">
        <f>[1]!YBHIST(BC$4,$A21,"Price","sec","")</f>
        <v>16.875</v>
      </c>
      <c r="BD21" s="2">
        <f>[1]!YBHIST(BD$4,$A21,"Price","sec","")</f>
        <v>16.780999999999999</v>
      </c>
      <c r="BE21" s="6">
        <f>[1]!YBHIST(BE$4,$A21,"Price","sec","")</f>
        <v>17.983999000000001</v>
      </c>
      <c r="BF21" s="20">
        <f>[1]!YBHIST(BF$4,$A21,"LMMOAS","sec","")</f>
        <v>488.69970699999999</v>
      </c>
      <c r="BG21" s="20">
        <f>[1]!YBHIST(BG$4,$A21,"LMMOAS","sec","")</f>
        <v>462.45370500000001</v>
      </c>
      <c r="BH21" s="20">
        <f>[1]!YBHIST(BH$4,$A21,"LMMOAS","sec","")</f>
        <v>553.90069600000004</v>
      </c>
      <c r="BI21" s="20">
        <f>[1]!YBHIST(BI$4,$A21,"LMMOAS","sec","")</f>
        <v>488.91989100000001</v>
      </c>
      <c r="BJ21" s="20">
        <f>[1]!YBHIST(BJ$4,$A21,"LMMOAS","sec","")</f>
        <v>563.14050299999997</v>
      </c>
      <c r="BK21" s="20">
        <f>[1]!YBHIST(BK$4,$A21,"LMMOAS","sec","")</f>
        <v>494.191193</v>
      </c>
      <c r="BL21" s="20">
        <f>[1]!YBHIST(BL$4,$A21,"LMMOAS","sec","")</f>
        <v>590.91442900000004</v>
      </c>
      <c r="BM21" s="20">
        <f>[1]!YBHIST(BM$4,$A21,"LMMOAS","sec","")</f>
        <v>340.61639400000001</v>
      </c>
      <c r="BN21" s="20">
        <f>[1]!YBHIST(BN$4,$A21,"LMMOAS","sec","")</f>
        <v>338.31518599999998</v>
      </c>
      <c r="BO21" s="20">
        <f>[1]!YBHIST(BO$4,$A21,"LMMOAS","sec","")</f>
        <v>581.87927200000001</v>
      </c>
      <c r="BP21" s="20">
        <f>[1]!YBHIST(BP$4,$A21,"LMMOAS","sec","")</f>
        <v>498.17889400000001</v>
      </c>
      <c r="BQ21" s="20">
        <f>[1]!YBHIST(BQ$4,$A21,"LMMOAS","sec","")</f>
        <v>639.77740500000004</v>
      </c>
      <c r="BR21" s="20">
        <f>[1]!YBHIST(BR$4,$A21,"LMMOAS","sec","")</f>
        <v>830.56542999999999</v>
      </c>
      <c r="BS21" s="20">
        <f>[1]!YBHIST(BS$4,$A21,"LMMOAS","sec","")</f>
        <v>397.25949100000003</v>
      </c>
      <c r="BT21" s="20">
        <f>[1]!YBHIST(BT$4,$A21,"LMMOAS","sec","")</f>
        <v>555.212219</v>
      </c>
      <c r="BU21" s="20">
        <f>[1]!YBHIST(BU$4,$A21,"LMMOAS","sec","")</f>
        <v>297.33749399999999</v>
      </c>
      <c r="BV21" s="20">
        <f>[1]!YBHIST(BV$4,$A21,"LMMOAS","sec","")</f>
        <v>359.48529100000002</v>
      </c>
      <c r="BW21" s="20">
        <f>[1]!YBHIST(BW$4,$A21,"LMMOAS","sec","")</f>
        <v>323.59051499999998</v>
      </c>
      <c r="BX21" s="5"/>
      <c r="BY21" s="1"/>
      <c r="BZ21" s="1"/>
    </row>
    <row r="22" spans="1:78" x14ac:dyDescent="0.25">
      <c r="A22" s="14">
        <f>[1]!YBWORKDAY(A$5,-1*(ROW()-ROW(A$5)),"USD","")</f>
        <v>41248</v>
      </c>
      <c r="B22" s="3">
        <f>[1]!YBHIST("2 Year Treasury",$A22,"Price","govt","")</f>
        <v>100.023003</v>
      </c>
      <c r="C22" s="2">
        <f>[1]!YBHIST("5 Year Treasury",$A22,"Price","govt","")</f>
        <v>100.101997</v>
      </c>
      <c r="D22" s="2">
        <f>[1]!YBHIST("10 Year Treasury",$A22,"Price","govt","")</f>
        <v>100.328003</v>
      </c>
      <c r="E22" s="6">
        <f>[1]!YBHIST("30 Year Treasury",$A22,"Price","govt","")</f>
        <v>99.405997999999997</v>
      </c>
      <c r="F22" s="3">
        <f>[1]!YBHIST("2 Year Treasury",$A22,"YldtoMat","govt","")</f>
        <v>0.23799999999999999</v>
      </c>
      <c r="G22" s="2">
        <f>[1]!YBHIST("5 Year Treasury",$A22,"YldtoMat","govt","")</f>
        <v>0.60399999999999998</v>
      </c>
      <c r="H22" s="2">
        <f>[1]!YBHIST("10 Year Treasury",$A22,"YldtoMat","govt","")</f>
        <v>1.589</v>
      </c>
      <c r="I22" s="6">
        <f>[1]!YBHIST("30 Year Treasury",$A22,"YldtoMat","govt","")</f>
        <v>2.7789999999999999</v>
      </c>
      <c r="J22" s="3">
        <f>[1]!YBHIST("2yr Swap Rate",$A22,"YldtoMat","swapvol","")</f>
        <v>0.36197499999999999</v>
      </c>
      <c r="K22" s="2">
        <f>[1]!YBHIST("5yr Swap Rate",$A22,"YldtoMat","swapvol","")</f>
        <v>0.73787700000000001</v>
      </c>
      <c r="L22" s="2">
        <f>[1]!YBHIST("10yr Swap Rate",$A22,"YldtoMat","swapvol","")</f>
        <v>1.6404589999999999</v>
      </c>
      <c r="M22" s="6">
        <f>[1]!YBHIST("30yr Swap Rate",$A22,"YldtoMat","swapvol","")</f>
        <v>2.5502790000000002</v>
      </c>
      <c r="N22" s="3">
        <f>[1]!YBHIST("FNMA 30YR Cur Coup (BE)",$A22,"Yield","bmk","")</f>
        <v>2.1019999999999999</v>
      </c>
      <c r="O22" s="2">
        <f>[1]!YBHIST("FHLMC 30YR Cur Coup (BE)",$A22,"Yield","bmk","")</f>
        <v>2.1480000000000001</v>
      </c>
      <c r="P22" s="2">
        <f>[1]!YBHIST("GNMA 30YR Cur Coup (BE)",$A22,"Yield","bmk","")</f>
        <v>2.016</v>
      </c>
      <c r="Q22" s="2">
        <f>[1]!YBHIST("Primary 30-Yr Mtg Rate",$A22,"Yield","bmk","")</f>
        <v>3.5293000000000001</v>
      </c>
      <c r="R22" s="2">
        <f>[1]!YBHIST("FHLM 30-Yr Survey Rate",$A22,"Yield","bmk","")</f>
        <v>3.32</v>
      </c>
      <c r="S22" s="6">
        <f>[1]!YBHIST("Base Mortgage Rate",$A22,"Yield","bmk","")</f>
        <v>2.44</v>
      </c>
      <c r="T22" s="18">
        <f>[1]!YBHIST("FNMA 30YR Cur Coup (BE)",$A22,"LMMOAS","bmk","")</f>
        <v>-4.9108999999999998</v>
      </c>
      <c r="U22" s="19">
        <f>[1]!YBHIST("FHLMC 30YR Cur Coup (BE)",$A22,"LMMOAS","bmk","")</f>
        <v>1.2533000000000001</v>
      </c>
      <c r="V22" s="19">
        <f>[1]!YBHIST("GNMA 30YR Cur Coup (BE)",$A22,"LMMOAS","bmk","")</f>
        <v>-17.638500000000001</v>
      </c>
      <c r="W22" s="20">
        <f t="shared" si="0"/>
        <v>51.29999999999999</v>
      </c>
      <c r="X22" s="20">
        <f t="shared" si="1"/>
        <v>51.29999999999999</v>
      </c>
      <c r="Y22" s="20">
        <f t="shared" si="2"/>
        <v>55.90000000000002</v>
      </c>
      <c r="Z22" s="25">
        <f>[1]!YBHIST("FNMA3.0-GEN",$A22,"Price","tba","")</f>
        <v>105.34375</v>
      </c>
      <c r="AA22" s="2">
        <f>[1]!YBHIST("FNMA3.5-GEN",$A22,"Price","tba","")</f>
        <v>106.875</v>
      </c>
      <c r="AB22" s="2">
        <f>[1]!YBHIST("FNMA4.0-GEN",$A22,"Price","tba","")</f>
        <v>107.25</v>
      </c>
      <c r="AC22" s="2">
        <f>[1]!YBHIST("FNMA4.5-GEN",$A22,"Price","tba","")</f>
        <v>107.9375</v>
      </c>
      <c r="AD22" s="2">
        <f>[1]!YBHIST("FNMA5.0-GEN",$A22,"Price","tba","")</f>
        <v>108.421875</v>
      </c>
      <c r="AE22" s="2">
        <f>[1]!YBHIST("FNMA5.5-GEN",$A22,"Price","tba","")</f>
        <v>108.6875</v>
      </c>
      <c r="AF22" s="6">
        <f>[1]!YBHIST("FNMA6.0-GEN",$A22,"Price","tba","")</f>
        <v>109.515625</v>
      </c>
      <c r="AG22" s="2">
        <f>[1]!YBHIST("FNMA3.0-GEN",$A22,"Yield","tba","")</f>
        <v>1.69</v>
      </c>
      <c r="AH22" s="2">
        <f>[1]!YBHIST("FNMA3.5-GEN",$A22,"Yield","tba","")</f>
        <v>1.32</v>
      </c>
      <c r="AI22" s="2">
        <f>[1]!YBHIST("FNMA4.0-GEN",$A22,"Yield","tba","")</f>
        <v>1.242</v>
      </c>
      <c r="AJ22" s="2">
        <f>[1]!YBHIST("FNMA4.5-GEN",$A22,"Yield","tba","")</f>
        <v>1.2809999999999999</v>
      </c>
      <c r="AK22" s="2">
        <f>[1]!YBHIST("FNMA5.0-GEN",$A22,"Yield","tba","")</f>
        <v>0.625</v>
      </c>
      <c r="AL22" s="2">
        <f>[1]!YBHIST("FNMA5.5-GEN",$A22,"Yield","tba","")</f>
        <v>0.95799999999999996</v>
      </c>
      <c r="AM22" s="6">
        <f>[1]!YBHIST("FNMA6.0-GEN",$A22,"Yield","tba","")</f>
        <v>0.51600000000000001</v>
      </c>
      <c r="AN22" s="3">
        <f>[1]!YBHIST(AN$4,$A22,"Price","sec","")</f>
        <v>11.468999999999999</v>
      </c>
      <c r="AO22" s="2">
        <f>[1]!YBHIST(AO$4,$A22,"Price","sec","")</f>
        <v>12.531000000000001</v>
      </c>
      <c r="AP22" s="2">
        <f>[1]!YBHIST(AP$4,$A22,"Price","sec","")</f>
        <v>10.311999999999999</v>
      </c>
      <c r="AQ22" s="2">
        <f>[1]!YBHIST(AQ$4,$A22,"Price","sec","")</f>
        <v>13.843999999999999</v>
      </c>
      <c r="AR22" s="2">
        <f>[1]!YBHIST(AR$4,$A22,"Price","sec","")</f>
        <v>11.516</v>
      </c>
      <c r="AS22" s="2">
        <f>[1]!YBHIST(AS$4,$A22,"Price","sec","")</f>
        <v>16.780999999999999</v>
      </c>
      <c r="AT22" s="2">
        <f>[1]!YBHIST(AT$4,$A22,"Price","sec","")</f>
        <v>14.468999999999999</v>
      </c>
      <c r="AU22" s="2">
        <f>[1]!YBHIST(AU$4,$A22,"Price","sec","")</f>
        <v>9.766</v>
      </c>
      <c r="AV22" s="2">
        <f>[1]!YBHIST(AV$4,$A22,"Price","sec","")</f>
        <v>12.656000000000001</v>
      </c>
      <c r="AW22" s="2">
        <f>[1]!YBHIST(AW$4,$A22,"Price","sec","")</f>
        <v>12.375</v>
      </c>
      <c r="AX22" s="2">
        <f>[1]!YBHIST(AX$4,$A22,"Price","sec","")</f>
        <v>10.875</v>
      </c>
      <c r="AY22" s="2">
        <f>[1]!YBHIST(AY$4,$A22,"Price","sec","")</f>
        <v>14.375</v>
      </c>
      <c r="AZ22" s="2">
        <f>[1]!YBHIST(AZ$4,$A22,"Price","sec","")</f>
        <v>13.609</v>
      </c>
      <c r="BA22" s="2">
        <f>[1]!YBHIST(BA$4,$A22,"Price","sec","")</f>
        <v>13.202999999999999</v>
      </c>
      <c r="BB22" s="2">
        <f>[1]!YBHIST(BB$4,$A22,"Price","sec","")</f>
        <v>16.344000000000001</v>
      </c>
      <c r="BC22" s="2">
        <f>[1]!YBHIST(BC$4,$A22,"Price","sec","")</f>
        <v>16.766000999999999</v>
      </c>
      <c r="BD22" s="2">
        <f>[1]!YBHIST(BD$4,$A22,"Price","sec","")</f>
        <v>16.687999999999999</v>
      </c>
      <c r="BE22" s="6">
        <f>[1]!YBHIST(BE$4,$A22,"Price","sec","")</f>
        <v>17.891000999999999</v>
      </c>
      <c r="BF22" s="20">
        <f>[1]!YBHIST(BF$4,$A22,"LMMOAS","sec","")</f>
        <v>476.07360799999998</v>
      </c>
      <c r="BG22" s="20">
        <f>[1]!YBHIST(BG$4,$A22,"LMMOAS","sec","")</f>
        <v>452.32800300000002</v>
      </c>
      <c r="BH22" s="20">
        <f>[1]!YBHIST(BH$4,$A22,"LMMOAS","sec","")</f>
        <v>548.86627199999998</v>
      </c>
      <c r="BI22" s="20">
        <f>[1]!YBHIST(BI$4,$A22,"LMMOAS","sec","")</f>
        <v>477.86788899999999</v>
      </c>
      <c r="BJ22" s="20">
        <f>[1]!YBHIST(BJ$4,$A22,"LMMOAS","sec","")</f>
        <v>556.180115</v>
      </c>
      <c r="BK22" s="20">
        <f>[1]!YBHIST(BK$4,$A22,"LMMOAS","sec","")</f>
        <v>488.32128899999998</v>
      </c>
      <c r="BL22" s="20">
        <f>[1]!YBHIST(BL$4,$A22,"LMMOAS","sec","")</f>
        <v>586.20178199999998</v>
      </c>
      <c r="BM22" s="20">
        <f>[1]!YBHIST(BM$4,$A22,"LMMOAS","sec","")</f>
        <v>335.95651199999998</v>
      </c>
      <c r="BN22" s="20">
        <f>[1]!YBHIST(BN$4,$A22,"LMMOAS","sec","")</f>
        <v>332.37029999999999</v>
      </c>
      <c r="BO22" s="20">
        <f>[1]!YBHIST(BO$4,$A22,"LMMOAS","sec","")</f>
        <v>580.49823000000004</v>
      </c>
      <c r="BP22" s="20">
        <f>[1]!YBHIST(BP$4,$A22,"LMMOAS","sec","")</f>
        <v>491.365906</v>
      </c>
      <c r="BQ22" s="20">
        <f>[1]!YBHIST(BQ$4,$A22,"LMMOAS","sec","")</f>
        <v>633.56457499999999</v>
      </c>
      <c r="BR22" s="20">
        <f>[1]!YBHIST(BR$4,$A22,"LMMOAS","sec","")</f>
        <v>828.05187999999998</v>
      </c>
      <c r="BS22" s="20">
        <f>[1]!YBHIST(BS$4,$A22,"LMMOAS","sec","")</f>
        <v>388.10589599999997</v>
      </c>
      <c r="BT22" s="20">
        <f>[1]!YBHIST(BT$4,$A22,"LMMOAS","sec","")</f>
        <v>547.13147000000004</v>
      </c>
      <c r="BU22" s="20">
        <f>[1]!YBHIST(BU$4,$A22,"LMMOAS","sec","")</f>
        <v>284.27911399999999</v>
      </c>
      <c r="BV22" s="20">
        <f>[1]!YBHIST(BV$4,$A22,"LMMOAS","sec","")</f>
        <v>347.41030899999998</v>
      </c>
      <c r="BW22" s="20">
        <f>[1]!YBHIST(BW$4,$A22,"LMMOAS","sec","")</f>
        <v>314.90759300000002</v>
      </c>
      <c r="BX22" s="5"/>
      <c r="BY22" s="1"/>
      <c r="BZ22" s="1"/>
    </row>
    <row r="23" spans="1:78" x14ac:dyDescent="0.25">
      <c r="A23" s="14">
        <f>[1]!YBWORKDAY(A$5,-1*(ROW()-ROW(A$5)),"USD","")</f>
        <v>41247</v>
      </c>
      <c r="B23" s="3">
        <f>[1]!YBHIST("2 Year Treasury",$A23,"Price","govt","")</f>
        <v>100.01599899999999</v>
      </c>
      <c r="C23" s="2">
        <f>[1]!YBHIST("5 Year Treasury",$A23,"Price","govt","")</f>
        <v>100.008003</v>
      </c>
      <c r="D23" s="2">
        <f>[1]!YBHIST("10 Year Treasury",$A23,"Price","govt","")</f>
        <v>100.14099899999999</v>
      </c>
      <c r="E23" s="6">
        <f>[1]!YBHIST("30 Year Treasury",$A23,"Price","govt","")</f>
        <v>99.375</v>
      </c>
      <c r="F23" s="3">
        <f>[1]!YBHIST("2 Year Treasury",$A23,"YldtoMat","govt","")</f>
        <v>0.24199999999999999</v>
      </c>
      <c r="G23" s="2">
        <f>[1]!YBHIST("5 Year Treasury",$A23,"YldtoMat","govt","")</f>
        <v>0.623</v>
      </c>
      <c r="H23" s="2">
        <f>[1]!YBHIST("10 Year Treasury",$A23,"YldtoMat","govt","")</f>
        <v>1.61</v>
      </c>
      <c r="I23" s="6">
        <f>[1]!YBHIST("30 Year Treasury",$A23,"YldtoMat","govt","")</f>
        <v>2.7810000000000001</v>
      </c>
      <c r="J23" s="3">
        <f>[1]!YBHIST("2yr Swap Rate",$A23,"YldtoMat","swapvol","")</f>
        <v>0.36704300000000001</v>
      </c>
      <c r="K23" s="2">
        <f>[1]!YBHIST("5yr Swap Rate",$A23,"YldtoMat","swapvol","")</f>
        <v>0.75694700000000004</v>
      </c>
      <c r="L23" s="2">
        <f>[1]!YBHIST("10yr Swap Rate",$A23,"YldtoMat","swapvol","")</f>
        <v>1.657397</v>
      </c>
      <c r="M23" s="6">
        <f>[1]!YBHIST("30yr Swap Rate",$A23,"YldtoMat","swapvol","")</f>
        <v>2.5463070000000001</v>
      </c>
      <c r="N23" s="3">
        <f>[1]!YBHIST("FNMA 30YR Cur Coup (BE)",$A23,"Yield","bmk","")</f>
        <v>2.089</v>
      </c>
      <c r="O23" s="2">
        <f>[1]!YBHIST("FHLMC 30YR Cur Coup (BE)",$A23,"Yield","bmk","")</f>
        <v>2.1349999999999998</v>
      </c>
      <c r="P23" s="2">
        <f>[1]!YBHIST("GNMA 30YR Cur Coup (BE)",$A23,"Yield","bmk","")</f>
        <v>2.0030000000000001</v>
      </c>
      <c r="Q23" s="2">
        <f>[1]!YBHIST("Primary 30-Yr Mtg Rate",$A23,"Yield","bmk","")</f>
        <v>3.5175000000000001</v>
      </c>
      <c r="R23" s="2">
        <f>[1]!YBHIST("FHLM 30-Yr Survey Rate",$A23,"Yield","bmk","")</f>
        <v>3.32</v>
      </c>
      <c r="S23" s="6">
        <f>[1]!YBHIST("Base Mortgage Rate",$A23,"Yield","bmk","")</f>
        <v>2.4279999999999999</v>
      </c>
      <c r="T23" s="18">
        <f>[1]!YBHIST("FNMA 30YR Cur Coup (BE)",$A23,"LMMOAS","bmk","")</f>
        <v>-7.5076000000000001</v>
      </c>
      <c r="U23" s="19">
        <f>[1]!YBHIST("FHLMC 30YR Cur Coup (BE)",$A23,"LMMOAS","bmk","")</f>
        <v>-1.4228000000000001</v>
      </c>
      <c r="V23" s="19">
        <f>[1]!YBHIST("GNMA 30YR Cur Coup (BE)",$A23,"LMMOAS","bmk","")</f>
        <v>-19.2561</v>
      </c>
      <c r="W23" s="20">
        <f t="shared" si="0"/>
        <v>47.899999999999984</v>
      </c>
      <c r="X23" s="20">
        <f t="shared" si="1"/>
        <v>47.899999999999984</v>
      </c>
      <c r="Y23" s="20">
        <f t="shared" si="2"/>
        <v>52.499999999999972</v>
      </c>
      <c r="Z23" s="25">
        <f>[1]!YBHIST("FNMA3.0-GEN",$A23,"Price","tba","")</f>
        <v>105.328125</v>
      </c>
      <c r="AA23" s="2">
        <f>[1]!YBHIST("FNMA3.5-GEN",$A23,"Price","tba","")</f>
        <v>106.882812</v>
      </c>
      <c r="AB23" s="2">
        <f>[1]!YBHIST("FNMA4.0-GEN",$A23,"Price","tba","")</f>
        <v>107.273438</v>
      </c>
      <c r="AC23" s="2">
        <f>[1]!YBHIST("FNMA4.5-GEN",$A23,"Price","tba","")</f>
        <v>107.882812</v>
      </c>
      <c r="AD23" s="2">
        <f>[1]!YBHIST("FNMA5.0-GEN",$A23,"Price","tba","")</f>
        <v>108.421875</v>
      </c>
      <c r="AE23" s="2">
        <f>[1]!YBHIST("FNMA5.5-GEN",$A23,"Price","tba","")</f>
        <v>108.679688</v>
      </c>
      <c r="AF23" s="6">
        <f>[1]!YBHIST("FNMA6.0-GEN",$A23,"Price","tba","")</f>
        <v>109.546875</v>
      </c>
      <c r="AG23" s="2">
        <f>[1]!YBHIST("FNMA3.0-GEN",$A23,"Yield","tba","")</f>
        <v>1.681</v>
      </c>
      <c r="AH23" s="2">
        <f>[1]!YBHIST("FNMA3.5-GEN",$A23,"Yield","tba","")</f>
        <v>1.3</v>
      </c>
      <c r="AI23" s="2">
        <f>[1]!YBHIST("FNMA4.0-GEN",$A23,"Yield","tba","")</f>
        <v>1.216</v>
      </c>
      <c r="AJ23" s="2">
        <f>[1]!YBHIST("FNMA4.5-GEN",$A23,"Yield","tba","")</f>
        <v>1.286</v>
      </c>
      <c r="AK23" s="2">
        <f>[1]!YBHIST("FNMA5.0-GEN",$A23,"Yield","tba","")</f>
        <v>0.61099999999999999</v>
      </c>
      <c r="AL23" s="2">
        <f>[1]!YBHIST("FNMA5.5-GEN",$A23,"Yield","tba","")</f>
        <v>0.95199999999999996</v>
      </c>
      <c r="AM23" s="6">
        <f>[1]!YBHIST("FNMA6.0-GEN",$A23,"Yield","tba","")</f>
        <v>0.49199999999999999</v>
      </c>
      <c r="AN23" s="3">
        <f>[1]!YBHIST(AN$4,$A23,"Price","sec","")</f>
        <v>11.702999999999999</v>
      </c>
      <c r="AO23" s="2">
        <f>[1]!YBHIST(AO$4,$A23,"Price","sec","")</f>
        <v>12.734</v>
      </c>
      <c r="AP23" s="2">
        <f>[1]!YBHIST(AP$4,$A23,"Price","sec","")</f>
        <v>10.468999999999999</v>
      </c>
      <c r="AQ23" s="2">
        <f>[1]!YBHIST(AQ$4,$A23,"Price","sec","")</f>
        <v>14.016</v>
      </c>
      <c r="AR23" s="2">
        <f>[1]!YBHIST(AR$4,$A23,"Price","sec","")</f>
        <v>11.672000000000001</v>
      </c>
      <c r="AS23" s="2">
        <f>[1]!YBHIST(AS$4,$A23,"Price","sec","")</f>
        <v>16.952998999999998</v>
      </c>
      <c r="AT23" s="2">
        <f>[1]!YBHIST(AT$4,$A23,"Price","sec","")</f>
        <v>14.641</v>
      </c>
      <c r="AU23" s="2">
        <f>[1]!YBHIST(AU$4,$A23,"Price","sec","")</f>
        <v>9.9060000000000006</v>
      </c>
      <c r="AV23" s="2">
        <f>[1]!YBHIST(AV$4,$A23,"Price","sec","")</f>
        <v>12.811999999999999</v>
      </c>
      <c r="AW23" s="2">
        <f>[1]!YBHIST(AW$4,$A23,"Price","sec","")</f>
        <v>12.516</v>
      </c>
      <c r="AX23" s="2">
        <f>[1]!YBHIST(AX$4,$A23,"Price","sec","")</f>
        <v>10.922000000000001</v>
      </c>
      <c r="AY23" s="2">
        <f>[1]!YBHIST(AY$4,$A23,"Price","sec","")</f>
        <v>14.406000000000001</v>
      </c>
      <c r="AZ23" s="2">
        <f>[1]!YBHIST(AZ$4,$A23,"Price","sec","")</f>
        <v>13.641</v>
      </c>
      <c r="BA23" s="2">
        <f>[1]!YBHIST(BA$4,$A23,"Price","sec","")</f>
        <v>13.234</v>
      </c>
      <c r="BB23" s="2">
        <f>[1]!YBHIST(BB$4,$A23,"Price","sec","")</f>
        <v>16.391000999999999</v>
      </c>
      <c r="BC23" s="2">
        <f>[1]!YBHIST(BC$4,$A23,"Price","sec","")</f>
        <v>16.875</v>
      </c>
      <c r="BD23" s="2">
        <f>[1]!YBHIST(BD$4,$A23,"Price","sec","")</f>
        <v>16.875</v>
      </c>
      <c r="BE23" s="6">
        <f>[1]!YBHIST(BE$4,$A23,"Price","sec","")</f>
        <v>18.077998999999998</v>
      </c>
      <c r="BF23" s="20">
        <f>[1]!YBHIST(BF$4,$A23,"LMMOAS","sec","")</f>
        <v>411.79400600000002</v>
      </c>
      <c r="BG23" s="20">
        <f>[1]!YBHIST(BG$4,$A23,"LMMOAS","sec","")</f>
        <v>399.41409299999998</v>
      </c>
      <c r="BH23" s="20">
        <f>[1]!YBHIST(BH$4,$A23,"LMMOAS","sec","")</f>
        <v>493.84021000000001</v>
      </c>
      <c r="BI23" s="20">
        <f>[1]!YBHIST(BI$4,$A23,"LMMOAS","sec","")</f>
        <v>434.22119099999998</v>
      </c>
      <c r="BJ23" s="20">
        <f>[1]!YBHIST(BJ$4,$A23,"LMMOAS","sec","")</f>
        <v>506.208191</v>
      </c>
      <c r="BK23" s="20">
        <f>[1]!YBHIST(BK$4,$A23,"LMMOAS","sec","")</f>
        <v>452.74380500000001</v>
      </c>
      <c r="BL23" s="20">
        <f>[1]!YBHIST(BL$4,$A23,"LMMOAS","sec","")</f>
        <v>543.02581799999996</v>
      </c>
      <c r="BM23" s="20">
        <f>[1]!YBHIST(BM$4,$A23,"LMMOAS","sec","")</f>
        <v>281.89089999999999</v>
      </c>
      <c r="BN23" s="20">
        <f>[1]!YBHIST(BN$4,$A23,"LMMOAS","sec","")</f>
        <v>290.515289</v>
      </c>
      <c r="BO23" s="20">
        <f>[1]!YBHIST(BO$4,$A23,"LMMOAS","sec","")</f>
        <v>538.74377400000003</v>
      </c>
      <c r="BP23" s="20">
        <f>[1]!YBHIST(BP$4,$A23,"LMMOAS","sec","")</f>
        <v>471.38159200000001</v>
      </c>
      <c r="BQ23" s="20">
        <f>[1]!YBHIST(BQ$4,$A23,"LMMOAS","sec","")</f>
        <v>622.29730199999995</v>
      </c>
      <c r="BR23" s="20">
        <f>[1]!YBHIST(BR$4,$A23,"LMMOAS","sec","")</f>
        <v>816.18438700000002</v>
      </c>
      <c r="BS23" s="20">
        <f>[1]!YBHIST(BS$4,$A23,"LMMOAS","sec","")</f>
        <v>376.38900799999999</v>
      </c>
      <c r="BT23" s="20">
        <f>[1]!YBHIST(BT$4,$A23,"LMMOAS","sec","")</f>
        <v>534.92968800000006</v>
      </c>
      <c r="BU23" s="20">
        <f>[1]!YBHIST(BU$4,$A23,"LMMOAS","sec","")</f>
        <v>257.36621100000002</v>
      </c>
      <c r="BV23" s="20">
        <f>[1]!YBHIST(BV$4,$A23,"LMMOAS","sec","")</f>
        <v>310.31921399999999</v>
      </c>
      <c r="BW23" s="20">
        <f>[1]!YBHIST(BW$4,$A23,"LMMOAS","sec","")</f>
        <v>280.36608899999999</v>
      </c>
      <c r="BX23" s="5"/>
      <c r="BY23" s="1"/>
      <c r="BZ23" s="1"/>
    </row>
    <row r="24" spans="1:78" x14ac:dyDescent="0.25">
      <c r="A24" s="14">
        <f>[1]!YBWORKDAY(A$5,-1*(ROW()-ROW(A$5)),"USD","")</f>
        <v>41246</v>
      </c>
      <c r="B24" s="3">
        <f>[1]!YBHIST("2 Year Treasury",$A24,"Price","govt","")</f>
        <v>100</v>
      </c>
      <c r="C24" s="2">
        <f>[1]!YBHIST("5 Year Treasury",$A24,"Price","govt","")</f>
        <v>99.991996999999998</v>
      </c>
      <c r="D24" s="2">
        <f>[1]!YBHIST("10 Year Treasury",$A24,"Price","govt","")</f>
        <v>99.984001000000006</v>
      </c>
      <c r="E24" s="6">
        <f>[1]!YBHIST("30 Year Treasury",$A24,"Price","govt","")</f>
        <v>98.875</v>
      </c>
      <c r="F24" s="3">
        <f>[1]!YBHIST("2 Year Treasury",$A24,"YldtoMat","govt","")</f>
        <v>0.25</v>
      </c>
      <c r="G24" s="2">
        <f>[1]!YBHIST("5 Year Treasury",$A24,"YldtoMat","govt","")</f>
        <v>0.627</v>
      </c>
      <c r="H24" s="2">
        <f>[1]!YBHIST("10 Year Treasury",$A24,"YldtoMat","govt","")</f>
        <v>1.627</v>
      </c>
      <c r="I24" s="6">
        <f>[1]!YBHIST("30 Year Treasury",$A24,"YldtoMat","govt","")</f>
        <v>2.806</v>
      </c>
      <c r="J24" s="3">
        <f>[1]!YBHIST("2yr Swap Rate",$A24,"YldtoMat","swapvol","")</f>
        <v>0.37118800000000002</v>
      </c>
      <c r="K24" s="2">
        <f>[1]!YBHIST("5yr Swap Rate",$A24,"YldtoMat","swapvol","")</f>
        <v>0.76009099999999996</v>
      </c>
      <c r="L24" s="2">
        <f>[1]!YBHIST("10yr Swap Rate",$A24,"YldtoMat","swapvol","")</f>
        <v>1.670409</v>
      </c>
      <c r="M24" s="6">
        <f>[1]!YBHIST("30yr Swap Rate",$A24,"YldtoMat","swapvol","")</f>
        <v>2.5657209999999999</v>
      </c>
      <c r="N24" s="3">
        <f>[1]!YBHIST("FNMA 30YR Cur Coup (BE)",$A24,"Yield","bmk","")</f>
        <v>2.105</v>
      </c>
      <c r="O24" s="2">
        <f>[1]!YBHIST("FHLMC 30YR Cur Coup (BE)",$A24,"Yield","bmk","")</f>
        <v>2.1509999999999998</v>
      </c>
      <c r="P24" s="2">
        <f>[1]!YBHIST("GNMA 30YR Cur Coup (BE)",$A24,"Yield","bmk","")</f>
        <v>2.0190000000000001</v>
      </c>
      <c r="Q24" s="2">
        <f>[1]!YBHIST("Primary 30-Yr Mtg Rate",$A24,"Yield","bmk","")</f>
        <v>3.5335000000000001</v>
      </c>
      <c r="R24" s="2">
        <f>[1]!YBHIST("FHLM 30-Yr Survey Rate",$A24,"Yield","bmk","")</f>
        <v>3.32</v>
      </c>
      <c r="S24" s="6">
        <f>[1]!YBHIST("Base Mortgage Rate",$A24,"Yield","bmk","")</f>
        <v>2.444</v>
      </c>
      <c r="T24" s="18">
        <f>[1]!YBHIST("FNMA 30YR Cur Coup (BE)",$A24,"LMMOAS","bmk","")</f>
        <v>-7.3958000000000004</v>
      </c>
      <c r="U24" s="19">
        <f>[1]!YBHIST("FHLMC 30YR Cur Coup (BE)",$A24,"LMMOAS","bmk","")</f>
        <v>-1.1458999999999999</v>
      </c>
      <c r="V24" s="19">
        <f>[1]!YBHIST("GNMA 30YR Cur Coup (BE)",$A24,"LMMOAS","bmk","")</f>
        <v>-20.5961</v>
      </c>
      <c r="W24" s="20">
        <f t="shared" si="0"/>
        <v>47.8</v>
      </c>
      <c r="X24" s="20">
        <f t="shared" si="1"/>
        <v>47.8</v>
      </c>
      <c r="Y24" s="20">
        <f t="shared" si="2"/>
        <v>52.399999999999977</v>
      </c>
      <c r="Z24" s="25">
        <f>[1]!YBHIST("FNMA3.0-GEN",$A24,"Price","tba","")</f>
        <v>105.21875</v>
      </c>
      <c r="AA24" s="2">
        <f>[1]!YBHIST("FNMA3.5-GEN",$A24,"Price","tba","")</f>
        <v>106.78125</v>
      </c>
      <c r="AB24" s="2">
        <f>[1]!YBHIST("FNMA4.0-GEN",$A24,"Price","tba","")</f>
        <v>107.1875</v>
      </c>
      <c r="AC24" s="2">
        <f>[1]!YBHIST("FNMA4.5-GEN",$A24,"Price","tba","")</f>
        <v>107.804688</v>
      </c>
      <c r="AD24" s="2">
        <f>[1]!YBHIST("FNMA5.0-GEN",$A24,"Price","tba","")</f>
        <v>108.390625</v>
      </c>
      <c r="AE24" s="2">
        <f>[1]!YBHIST("FNMA5.5-GEN",$A24,"Price","tba","")</f>
        <v>108.65625</v>
      </c>
      <c r="AF24" s="6">
        <f>[1]!YBHIST("FNMA6.0-GEN",$A24,"Price","tba","")</f>
        <v>109.578125</v>
      </c>
      <c r="AG24" s="2">
        <f>[1]!YBHIST("FNMA3.0-GEN",$A24,"Yield","tba","")</f>
        <v>1.722</v>
      </c>
      <c r="AH24" s="2">
        <f>[1]!YBHIST("FNMA3.5-GEN",$A24,"Yield","tba","")</f>
        <v>1.35</v>
      </c>
      <c r="AI24" s="2">
        <f>[1]!YBHIST("FNMA4.0-GEN",$A24,"Yield","tba","")</f>
        <v>1.266</v>
      </c>
      <c r="AJ24" s="2">
        <f>[1]!YBHIST("FNMA4.5-GEN",$A24,"Yield","tba","")</f>
        <v>1.331</v>
      </c>
      <c r="AK24" s="2">
        <f>[1]!YBHIST("FNMA5.0-GEN",$A24,"Yield","tba","")</f>
        <v>0.64100000000000001</v>
      </c>
      <c r="AL24" s="2">
        <f>[1]!YBHIST("FNMA5.5-GEN",$A24,"Yield","tba","")</f>
        <v>0.97399999999999998</v>
      </c>
      <c r="AM24" s="6">
        <f>[1]!YBHIST("FNMA6.0-GEN",$A24,"Yield","tba","")</f>
        <v>0.48599999999999999</v>
      </c>
      <c r="AN24" s="3">
        <f>[1]!YBHIST(AN$4,$A24,"Price","sec","")</f>
        <v>11.843999999999999</v>
      </c>
      <c r="AO24" s="2">
        <f>[1]!YBHIST(AO$4,$A24,"Price","sec","")</f>
        <v>12.891</v>
      </c>
      <c r="AP24" s="2">
        <f>[1]!YBHIST(AP$4,$A24,"Price","sec","")</f>
        <v>10.609</v>
      </c>
      <c r="AQ24" s="2">
        <f>[1]!YBHIST(AQ$4,$A24,"Price","sec","")</f>
        <v>14.172000000000001</v>
      </c>
      <c r="AR24" s="2">
        <f>[1]!YBHIST(AR$4,$A24,"Price","sec","")</f>
        <v>11.797000000000001</v>
      </c>
      <c r="AS24" s="2">
        <f>[1]!YBHIST(AS$4,$A24,"Price","sec","")</f>
        <v>17.155999999999999</v>
      </c>
      <c r="AT24" s="2">
        <f>[1]!YBHIST(AT$4,$A24,"Price","sec","")</f>
        <v>14.952999999999999</v>
      </c>
      <c r="AU24" s="2">
        <f>[1]!YBHIST(AU$4,$A24,"Price","sec","")</f>
        <v>10.047000000000001</v>
      </c>
      <c r="AV24" s="2">
        <f>[1]!YBHIST(AV$4,$A24,"Price","sec","")</f>
        <v>12.938000000000001</v>
      </c>
      <c r="AW24" s="2">
        <f>[1]!YBHIST(AW$4,$A24,"Price","sec","")</f>
        <v>12.656000000000001</v>
      </c>
      <c r="AX24" s="2">
        <f>[1]!YBHIST(AX$4,$A24,"Price","sec","")</f>
        <v>10.984</v>
      </c>
      <c r="AY24" s="2">
        <f>[1]!YBHIST(AY$4,$A24,"Price","sec","")</f>
        <v>14.452999999999999</v>
      </c>
      <c r="AZ24" s="2">
        <f>[1]!YBHIST(AZ$4,$A24,"Price","sec","")</f>
        <v>13.688000000000001</v>
      </c>
      <c r="BA24" s="2">
        <f>[1]!YBHIST(BA$4,$A24,"Price","sec","")</f>
        <v>13.281000000000001</v>
      </c>
      <c r="BB24" s="2">
        <f>[1]!YBHIST(BB$4,$A24,"Price","sec","")</f>
        <v>16.437999999999999</v>
      </c>
      <c r="BC24" s="2">
        <f>[1]!YBHIST(BC$4,$A24,"Price","sec","")</f>
        <v>17</v>
      </c>
      <c r="BD24" s="2">
        <f>[1]!YBHIST(BD$4,$A24,"Price","sec","")</f>
        <v>16.969000000000001</v>
      </c>
      <c r="BE24" s="6">
        <f>[1]!YBHIST(BE$4,$A24,"Price","sec","")</f>
        <v>18.202998999999998</v>
      </c>
      <c r="BF24" s="20">
        <f>[1]!YBHIST(BF$4,$A24,"LMMOAS","sec","")</f>
        <v>407.68170199999997</v>
      </c>
      <c r="BG24" s="20">
        <f>[1]!YBHIST(BG$4,$A24,"LMMOAS","sec","")</f>
        <v>392.64651500000002</v>
      </c>
      <c r="BH24" s="20">
        <f>[1]!YBHIST(BH$4,$A24,"LMMOAS","sec","")</f>
        <v>484.00720200000001</v>
      </c>
      <c r="BI24" s="20">
        <f>[1]!YBHIST(BI$4,$A24,"LMMOAS","sec","")</f>
        <v>427.58468599999998</v>
      </c>
      <c r="BJ24" s="20">
        <f>[1]!YBHIST(BJ$4,$A24,"LMMOAS","sec","")</f>
        <v>500.37719700000002</v>
      </c>
      <c r="BK24" s="20">
        <f>[1]!YBHIST(BK$4,$A24,"LMMOAS","sec","")</f>
        <v>437.964294</v>
      </c>
      <c r="BL24" s="20">
        <f>[1]!YBHIST(BL$4,$A24,"LMMOAS","sec","")</f>
        <v>501.94320699999997</v>
      </c>
      <c r="BM24" s="20">
        <f>[1]!YBHIST(BM$4,$A24,"LMMOAS","sec","")</f>
        <v>261.890198</v>
      </c>
      <c r="BN24" s="20">
        <f>[1]!YBHIST(BN$4,$A24,"LMMOAS","sec","")</f>
        <v>280.42089800000002</v>
      </c>
      <c r="BO24" s="20">
        <f>[1]!YBHIST(BO$4,$A24,"LMMOAS","sec","")</f>
        <v>518.84051499999998</v>
      </c>
      <c r="BP24" s="20">
        <f>[1]!YBHIST(BP$4,$A24,"LMMOAS","sec","")</f>
        <v>475.72589099999999</v>
      </c>
      <c r="BQ24" s="20">
        <f>[1]!YBHIST(BQ$4,$A24,"LMMOAS","sec","")</f>
        <v>627.28149399999995</v>
      </c>
      <c r="BR24" s="20">
        <f>[1]!YBHIST(BR$4,$A24,"LMMOAS","sec","")</f>
        <v>818.01019299999996</v>
      </c>
      <c r="BS24" s="20">
        <f>[1]!YBHIST(BS$4,$A24,"LMMOAS","sec","")</f>
        <v>383.90570100000002</v>
      </c>
      <c r="BT24" s="20">
        <f>[1]!YBHIST(BT$4,$A24,"LMMOAS","sec","")</f>
        <v>537.90741000000003</v>
      </c>
      <c r="BU24" s="20">
        <f>[1]!YBHIST(BU$4,$A24,"LMMOAS","sec","")</f>
        <v>259.170593</v>
      </c>
      <c r="BV24" s="20">
        <f>[1]!YBHIST(BV$4,$A24,"LMMOAS","sec","")</f>
        <v>315.57238799999999</v>
      </c>
      <c r="BW24" s="20">
        <f>[1]!YBHIST(BW$4,$A24,"LMMOAS","sec","")</f>
        <v>280.04238900000001</v>
      </c>
      <c r="BX24" s="5"/>
      <c r="BY24" s="1"/>
      <c r="BZ24" s="1"/>
    </row>
    <row r="25" spans="1:78" x14ac:dyDescent="0.25">
      <c r="A25" s="14">
        <f>[1]!YBWORKDAY(A$5,-1*(ROW()-ROW(A$5)),"USD","")</f>
        <v>41243</v>
      </c>
      <c r="B25" s="3">
        <f>[1]!YBHIST("2 Year Treasury",$A25,"Price","govt","")</f>
        <v>100</v>
      </c>
      <c r="C25" s="2">
        <f>[1]!YBHIST("5 Year Treasury",$A25,"Price","govt","")</f>
        <v>100.05500000000001</v>
      </c>
      <c r="D25" s="2">
        <f>[1]!YBHIST("10 Year Treasury",$A25,"Price","govt","")</f>
        <v>100.14099899999999</v>
      </c>
      <c r="E25" s="6">
        <f>[1]!YBHIST("30 Year Treasury",$A25,"Price","govt","")</f>
        <v>99.063004000000006</v>
      </c>
      <c r="F25" s="3">
        <f>[1]!YBHIST("2 Year Treasury",$A25,"YldtoMat","govt","")</f>
        <v>0.25</v>
      </c>
      <c r="G25" s="2">
        <f>[1]!YBHIST("5 Year Treasury",$A25,"YldtoMat","govt","")</f>
        <v>0.61399999999999999</v>
      </c>
      <c r="H25" s="2">
        <f>[1]!YBHIST("10 Year Treasury",$A25,"YldtoMat","govt","")</f>
        <v>1.61</v>
      </c>
      <c r="I25" s="6">
        <f>[1]!YBHIST("30 Year Treasury",$A25,"YldtoMat","govt","")</f>
        <v>2.7959999999999998</v>
      </c>
      <c r="J25" s="3">
        <f>[1]!YBHIST("2yr Swap Rate",$A25,"YldtoMat","swapvol","")</f>
        <v>0.37035099999999999</v>
      </c>
      <c r="K25" s="2">
        <f>[1]!YBHIST("5yr Swap Rate",$A25,"YldtoMat","swapvol","")</f>
        <v>0.74570800000000004</v>
      </c>
      <c r="L25" s="2">
        <f>[1]!YBHIST("10yr Swap Rate",$A25,"YldtoMat","swapvol","")</f>
        <v>1.6563429999999999</v>
      </c>
      <c r="M25" s="6">
        <f>[1]!YBHIST("30yr Swap Rate",$A25,"YldtoMat","swapvol","")</f>
        <v>2.566214</v>
      </c>
      <c r="N25" s="3">
        <f>[1]!YBHIST("FNMA 30YR Cur Coup (BE)",$A25,"Yield","bmk","")</f>
        <v>2.093</v>
      </c>
      <c r="O25" s="2">
        <f>[1]!YBHIST("FHLMC 30YR Cur Coup (BE)",$A25,"Yield","bmk","")</f>
        <v>2.1389999999999998</v>
      </c>
      <c r="P25" s="2">
        <f>[1]!YBHIST("GNMA 30YR Cur Coup (BE)",$A25,"Yield","bmk","")</f>
        <v>2.0070000000000001</v>
      </c>
      <c r="Q25" s="2">
        <f>[1]!YBHIST("Primary 30-Yr Mtg Rate",$A25,"Yield","bmk","")</f>
        <v>3.5213999999999999</v>
      </c>
      <c r="R25" s="2">
        <f>[1]!YBHIST("FHLM 30-Yr Survey Rate",$A25,"Yield","bmk","")</f>
        <v>3.32</v>
      </c>
      <c r="S25" s="6">
        <f>[1]!YBHIST("Base Mortgage Rate",$A25,"Yield","bmk","")</f>
        <v>2.4319999999999999</v>
      </c>
      <c r="T25" s="18">
        <f>[1]!YBHIST("FNMA 30YR Cur Coup (BE)",$A25,"LMMOAS","bmk","")</f>
        <v>-7.7953000000000001</v>
      </c>
      <c r="U25" s="19">
        <f>[1]!YBHIST("FHLMC 30YR Cur Coup (BE)",$A25,"LMMOAS","bmk","")</f>
        <v>-1.6174999999999999</v>
      </c>
      <c r="V25" s="19">
        <f>[1]!YBHIST("GNMA 30YR Cur Coup (BE)",$A25,"LMMOAS","bmk","")</f>
        <v>-20.304898999999999</v>
      </c>
      <c r="W25" s="20">
        <f t="shared" ref="W25:W28" si="3">(N25-$H25)*100</f>
        <v>48.29999999999999</v>
      </c>
      <c r="X25" s="20">
        <f t="shared" ref="X25:X28" si="4">(N25-$H25)*100</f>
        <v>48.29999999999999</v>
      </c>
      <c r="Y25" s="20">
        <f t="shared" ref="Y25:Y28" si="5">(O25-$H25)*100</f>
        <v>52.89999999999997</v>
      </c>
      <c r="Z25" s="25">
        <f>[1]!YBHIST("FNMA3.0-GEN",$A25,"Price","tba","")</f>
        <v>105.203125</v>
      </c>
      <c r="AA25" s="2">
        <f>[1]!YBHIST("FNMA3.5-GEN",$A25,"Price","tba","")</f>
        <v>106.742188</v>
      </c>
      <c r="AB25" s="2">
        <f>[1]!YBHIST("FNMA4.0-GEN",$A25,"Price","tba","")</f>
        <v>107.148438</v>
      </c>
      <c r="AC25" s="2">
        <f>[1]!YBHIST("FNMA4.5-GEN",$A25,"Price","tba","")</f>
        <v>107.765625</v>
      </c>
      <c r="AD25" s="2">
        <f>[1]!YBHIST("FNMA5.0-GEN",$A25,"Price","tba","")</f>
        <v>108.390625</v>
      </c>
      <c r="AE25" s="2">
        <f>[1]!YBHIST("FNMA5.5-GEN",$A25,"Price","tba","")</f>
        <v>108.6875</v>
      </c>
      <c r="AF25" s="6">
        <f>[1]!YBHIST("FNMA6.0-GEN",$A25,"Price","tba","")</f>
        <v>109.625</v>
      </c>
      <c r="AG25" s="2">
        <f>[1]!YBHIST("FNMA3.0-GEN",$A25,"Yield","tba","")</f>
        <v>1.7110000000000001</v>
      </c>
      <c r="AH25" s="2">
        <f>[1]!YBHIST("FNMA3.5-GEN",$A25,"Yield","tba","")</f>
        <v>1.34</v>
      </c>
      <c r="AI25" s="2">
        <f>[1]!YBHIST("FNMA4.0-GEN",$A25,"Yield","tba","")</f>
        <v>1.256</v>
      </c>
      <c r="AJ25" s="2">
        <f>[1]!YBHIST("FNMA4.5-GEN",$A25,"Yield","tba","")</f>
        <v>1.3240000000000001</v>
      </c>
      <c r="AK25" s="2">
        <f>[1]!YBHIST("FNMA5.0-GEN",$A25,"Yield","tba","")</f>
        <v>0.622</v>
      </c>
      <c r="AL25" s="2">
        <f>[1]!YBHIST("FNMA5.5-GEN",$A25,"Yield","tba","")</f>
        <v>0.94599999999999995</v>
      </c>
      <c r="AM25" s="6">
        <f>[1]!YBHIST("FNMA6.0-GEN",$A25,"Yield","tba","")</f>
        <v>0.45200000000000001</v>
      </c>
      <c r="AN25" s="3">
        <f>[1]!YBHIST(AN$4,$A25,"Price","sec","")</f>
        <v>11.827999999999999</v>
      </c>
      <c r="AO25" s="2">
        <f>[1]!YBHIST(AO$4,$A25,"Price","sec","")</f>
        <v>12.891</v>
      </c>
      <c r="AP25" s="2">
        <f>[1]!YBHIST(AP$4,$A25,"Price","sec","")</f>
        <v>10.609</v>
      </c>
      <c r="AQ25" s="2">
        <f>[1]!YBHIST(AQ$4,$A25,"Price","sec","")</f>
        <v>14.172000000000001</v>
      </c>
      <c r="AR25" s="2">
        <f>[1]!YBHIST(AR$4,$A25,"Price","sec","")</f>
        <v>11.797000000000001</v>
      </c>
      <c r="AS25" s="2">
        <f>[1]!YBHIST(AS$4,$A25,"Price","sec","")</f>
        <v>17.155999999999999</v>
      </c>
      <c r="AT25" s="2">
        <f>[1]!YBHIST(AT$4,$A25,"Price","sec","")</f>
        <v>15.031000000000001</v>
      </c>
      <c r="AU25" s="2">
        <f>[1]!YBHIST(AU$4,$A25,"Price","sec","")</f>
        <v>10.061999999999999</v>
      </c>
      <c r="AV25" s="2">
        <f>[1]!YBHIST(AV$4,$A25,"Price","sec","")</f>
        <v>12.952999999999999</v>
      </c>
      <c r="AW25" s="2">
        <f>[1]!YBHIST(AW$4,$A25,"Price","sec","")</f>
        <v>12.672000000000001</v>
      </c>
      <c r="AX25" s="2">
        <f>[1]!YBHIST(AX$4,$A25,"Price","sec","")</f>
        <v>10.984</v>
      </c>
      <c r="AY25" s="2">
        <f>[1]!YBHIST(AY$4,$A25,"Price","sec","")</f>
        <v>14.452999999999999</v>
      </c>
      <c r="AZ25" s="2">
        <f>[1]!YBHIST(AZ$4,$A25,"Price","sec","")</f>
        <v>13.688000000000001</v>
      </c>
      <c r="BA25" s="2">
        <f>[1]!YBHIST(BA$4,$A25,"Price","sec","")</f>
        <v>13.281000000000001</v>
      </c>
      <c r="BB25" s="2">
        <f>[1]!YBHIST(BB$4,$A25,"Price","sec","")</f>
        <v>16.437999999999999</v>
      </c>
      <c r="BC25" s="2">
        <f>[1]!YBHIST(BC$4,$A25,"Price","sec","")</f>
        <v>17</v>
      </c>
      <c r="BD25" s="2">
        <f>[1]!YBHIST(BD$4,$A25,"Price","sec","")</f>
        <v>16.969000000000001</v>
      </c>
      <c r="BE25" s="6">
        <f>[1]!YBHIST(BE$4,$A25,"Price","sec","")</f>
        <v>18.202998999999998</v>
      </c>
      <c r="BF25" s="20">
        <f>[1]!YBHIST(BF$4,$A25,"LMMOAS","sec","")</f>
        <v>392.78799400000003</v>
      </c>
      <c r="BG25" s="20">
        <f>[1]!YBHIST(BG$4,$A25,"LMMOAS","sec","")</f>
        <v>374.24200400000001</v>
      </c>
      <c r="BH25" s="20">
        <f>[1]!YBHIST(BH$4,$A25,"LMMOAS","sec","")</f>
        <v>468.283905</v>
      </c>
      <c r="BI25" s="20">
        <f>[1]!YBHIST(BI$4,$A25,"LMMOAS","sec","")</f>
        <v>408.61801100000002</v>
      </c>
      <c r="BJ25" s="20">
        <f>[1]!YBHIST(BJ$4,$A25,"LMMOAS","sec","")</f>
        <v>486.211792</v>
      </c>
      <c r="BK25" s="20">
        <f>[1]!YBHIST(BK$4,$A25,"LMMOAS","sec","")</f>
        <v>424.13308699999999</v>
      </c>
      <c r="BL25" s="20">
        <f>[1]!YBHIST(BL$4,$A25,"LMMOAS","sec","")</f>
        <v>471.43618800000002</v>
      </c>
      <c r="BM25" s="20">
        <f>[1]!YBHIST(BM$4,$A25,"LMMOAS","sec","")</f>
        <v>254.53999300000001</v>
      </c>
      <c r="BN25" s="20">
        <f>[1]!YBHIST(BN$4,$A25,"LMMOAS","sec","")</f>
        <v>273.247589</v>
      </c>
      <c r="BO25" s="20">
        <f>[1]!YBHIST(BO$4,$A25,"LMMOAS","sec","")</f>
        <v>504.88479599999999</v>
      </c>
      <c r="BP25" s="20">
        <f>[1]!YBHIST(BP$4,$A25,"LMMOAS","sec","")</f>
        <v>474.42120399999999</v>
      </c>
      <c r="BQ25" s="20">
        <f>[1]!YBHIST(BQ$4,$A25,"LMMOAS","sec","")</f>
        <v>624.03118900000004</v>
      </c>
      <c r="BR25" s="20">
        <f>[1]!YBHIST(BR$4,$A25,"LMMOAS","sec","")</f>
        <v>807.98950200000002</v>
      </c>
      <c r="BS25" s="20">
        <f>[1]!YBHIST(BS$4,$A25,"LMMOAS","sec","")</f>
        <v>383.40289300000001</v>
      </c>
      <c r="BT25" s="20">
        <f>[1]!YBHIST(BT$4,$A25,"LMMOAS","sec","")</f>
        <v>538.88439900000003</v>
      </c>
      <c r="BU25" s="20">
        <f>[1]!YBHIST(BU$4,$A25,"LMMOAS","sec","")</f>
        <v>244.76660200000001</v>
      </c>
      <c r="BV25" s="20">
        <f>[1]!YBHIST(BV$4,$A25,"LMMOAS","sec","")</f>
        <v>303.22900399999997</v>
      </c>
      <c r="BW25" s="20">
        <f>[1]!YBHIST(BW$4,$A25,"LMMOAS","sec","")</f>
        <v>268.98260499999998</v>
      </c>
      <c r="BX25" s="5"/>
      <c r="BY25" s="1"/>
      <c r="BZ25" s="1"/>
    </row>
    <row r="26" spans="1:78" x14ac:dyDescent="0.25">
      <c r="A26" s="14">
        <f>[1]!YBWORKDAY(A$5,-1*(ROW()-ROW(A$5)),"USD","")</f>
        <v>41242</v>
      </c>
      <c r="B26" s="3">
        <f>[1]!YBHIST("2 Year Treasury",$A26,"Price","govt","")</f>
        <v>99.984001000000006</v>
      </c>
      <c r="C26" s="2">
        <f>[1]!YBHIST("5 Year Treasury",$A26,"Price","govt","")</f>
        <v>99.976996999999997</v>
      </c>
      <c r="D26" s="2">
        <f>[1]!YBHIST("10 Year Treasury",$A26,"Price","govt","")</f>
        <v>100.046997</v>
      </c>
      <c r="E26" s="6">
        <f>[1]!YBHIST("30 Year Treasury",$A26,"Price","govt","")</f>
        <v>99.063004000000006</v>
      </c>
      <c r="F26" s="3">
        <f>[1]!YBHIST("2 Year Treasury",$A26,"YldtoMat","govt","")</f>
        <v>0.25800000000000001</v>
      </c>
      <c r="G26" s="2">
        <f>[1]!YBHIST("5 Year Treasury",$A26,"YldtoMat","govt","")</f>
        <v>0.63</v>
      </c>
      <c r="H26" s="2">
        <f>[1]!YBHIST("10 Year Treasury",$A26,"YldtoMat","govt","")</f>
        <v>1.62</v>
      </c>
      <c r="I26" s="6">
        <f>[1]!YBHIST("30 Year Treasury",$A26,"YldtoMat","govt","")</f>
        <v>2.7959999999999998</v>
      </c>
      <c r="J26" s="3">
        <f>[1]!YBHIST("2yr Swap Rate",$A26,"YldtoMat","swapvol","")</f>
        <v>0.37622299999999997</v>
      </c>
      <c r="K26" s="2">
        <f>[1]!YBHIST("5yr Swap Rate",$A26,"YldtoMat","swapvol","")</f>
        <v>0.75597599999999998</v>
      </c>
      <c r="L26" s="2">
        <f>[1]!YBHIST("10yr Swap Rate",$A26,"YldtoMat","swapvol","")</f>
        <v>1.661168</v>
      </c>
      <c r="M26" s="6">
        <f>[1]!YBHIST("30yr Swap Rate",$A26,"YldtoMat","swapvol","")</f>
        <v>2.5661860000000001</v>
      </c>
      <c r="N26" s="3">
        <f>[1]!YBHIST("FNMA 30YR Cur Coup (BE)",$A26,"Yield","bmk","")</f>
        <v>2.0939999999999999</v>
      </c>
      <c r="O26" s="2">
        <f>[1]!YBHIST("FHLMC 30YR Cur Coup (BE)",$A26,"Yield","bmk","")</f>
        <v>2.14</v>
      </c>
      <c r="P26" s="2">
        <f>[1]!YBHIST("GNMA 30YR Cur Coup (BE)",$A26,"Yield","bmk","")</f>
        <v>2.008</v>
      </c>
      <c r="Q26" s="2">
        <f>[1]!YBHIST("Primary 30-Yr Mtg Rate",$A26,"Yield","bmk","")</f>
        <v>3.5215999999999998</v>
      </c>
      <c r="R26" s="2">
        <f>[1]!YBHIST("FHLM 30-Yr Survey Rate",$A26,"Yield","bmk","")</f>
        <v>3.32</v>
      </c>
      <c r="S26" s="6">
        <f>[1]!YBHIST("Base Mortgage Rate",$A26,"Yield","bmk","")</f>
        <v>2.4319999999999999</v>
      </c>
      <c r="T26" s="18">
        <f>[1]!YBHIST("FNMA 30YR Cur Coup (BE)",$A26,"LMMOAS","bmk","")</f>
        <v>-8.5043000000000006</v>
      </c>
      <c r="U26" s="19">
        <f>[1]!YBHIST("FHLMC 30YR Cur Coup (BE)",$A26,"LMMOAS","bmk","")</f>
        <v>-2.2443</v>
      </c>
      <c r="V26" s="19">
        <f>[1]!YBHIST("GNMA 30YR Cur Coup (BE)",$A26,"LMMOAS","bmk","")</f>
        <v>-21.0931</v>
      </c>
      <c r="W26" s="20">
        <f t="shared" si="3"/>
        <v>47.399999999999977</v>
      </c>
      <c r="X26" s="20">
        <f t="shared" si="4"/>
        <v>47.399999999999977</v>
      </c>
      <c r="Y26" s="20">
        <f t="shared" si="5"/>
        <v>52</v>
      </c>
      <c r="Z26" s="25">
        <f>[1]!YBHIST("FNMA3.0-GEN",$A26,"Price","tba","")</f>
        <v>105.09375</v>
      </c>
      <c r="AA26" s="2">
        <f>[1]!YBHIST("FNMA3.5-GEN",$A26,"Price","tba","")</f>
        <v>106.625</v>
      </c>
      <c r="AB26" s="2">
        <f>[1]!YBHIST("FNMA4.0-GEN",$A26,"Price","tba","")</f>
        <v>107.0625</v>
      </c>
      <c r="AC26" s="2">
        <f>[1]!YBHIST("FNMA4.5-GEN",$A26,"Price","tba","")</f>
        <v>107.71875</v>
      </c>
      <c r="AD26" s="2">
        <f>[1]!YBHIST("FNMA5.0-GEN",$A26,"Price","tba","")</f>
        <v>108.453125</v>
      </c>
      <c r="AE26" s="2">
        <f>[1]!YBHIST("FNMA5.5-GEN",$A26,"Price","tba","")</f>
        <v>108.742188</v>
      </c>
      <c r="AF26" s="6">
        <f>[1]!YBHIST("FNMA6.0-GEN",$A26,"Price","tba","")</f>
        <v>109.71875</v>
      </c>
      <c r="AG26" s="2">
        <f>[1]!YBHIST("FNMA3.0-GEN",$A26,"Yield","tba","")</f>
        <v>1.736</v>
      </c>
      <c r="AH26" s="2">
        <f>[1]!YBHIST("FNMA3.5-GEN",$A26,"Yield","tba","")</f>
        <v>1.3740000000000001</v>
      </c>
      <c r="AI26" s="2">
        <f>[1]!YBHIST("FNMA4.0-GEN",$A26,"Yield","tba","")</f>
        <v>1.286</v>
      </c>
      <c r="AJ26" s="2">
        <f>[1]!YBHIST("FNMA4.5-GEN",$A26,"Yield","tba","")</f>
        <v>1.341</v>
      </c>
      <c r="AK26" s="2">
        <f>[1]!YBHIST("FNMA5.0-GEN",$A26,"Yield","tba","")</f>
        <v>0.59299999999999997</v>
      </c>
      <c r="AL26" s="2">
        <f>[1]!YBHIST("FNMA5.5-GEN",$A26,"Yield","tba","")</f>
        <v>0.92100000000000004</v>
      </c>
      <c r="AM26" s="6">
        <f>[1]!YBHIST("FNMA6.0-GEN",$A26,"Yield","tba","")</f>
        <v>0.40500000000000003</v>
      </c>
      <c r="AN26" s="3">
        <f>[1]!YBHIST(AN$4,$A26,"Price","sec","")</f>
        <v>11.952999999999999</v>
      </c>
      <c r="AO26" s="2">
        <f>[1]!YBHIST(AO$4,$A26,"Price","sec","")</f>
        <v>12.968999999999999</v>
      </c>
      <c r="AP26" s="2">
        <f>[1]!YBHIST(AP$4,$A26,"Price","sec","")</f>
        <v>10.702999999999999</v>
      </c>
      <c r="AQ26" s="2">
        <f>[1]!YBHIST(AQ$4,$A26,"Price","sec","")</f>
        <v>14.218999999999999</v>
      </c>
      <c r="AR26" s="2">
        <f>[1]!YBHIST(AR$4,$A26,"Price","sec","")</f>
        <v>11.859</v>
      </c>
      <c r="AS26" s="2">
        <f>[1]!YBHIST(AS$4,$A26,"Price","sec","")</f>
        <v>17.219000000000001</v>
      </c>
      <c r="AT26" s="2">
        <f>[1]!YBHIST(AT$4,$A26,"Price","sec","")</f>
        <v>15.093999999999999</v>
      </c>
      <c r="AU26" s="2">
        <f>[1]!YBHIST(AU$4,$A26,"Price","sec","")</f>
        <v>10.125</v>
      </c>
      <c r="AV26" s="2">
        <f>[1]!YBHIST(AV$4,$A26,"Price","sec","")</f>
        <v>13.016</v>
      </c>
      <c r="AW26" s="2">
        <f>[1]!YBHIST(AW$4,$A26,"Price","sec","")</f>
        <v>12.734</v>
      </c>
      <c r="AX26" s="2">
        <f>[1]!YBHIST(AX$4,$A26,"Price","sec","")</f>
        <v>11.031000000000001</v>
      </c>
      <c r="AY26" s="2">
        <f>[1]!YBHIST(AY$4,$A26,"Price","sec","")</f>
        <v>14.5</v>
      </c>
      <c r="AZ26" s="2">
        <f>[1]!YBHIST(AZ$4,$A26,"Price","sec","")</f>
        <v>13.734</v>
      </c>
      <c r="BA26" s="2">
        <f>[1]!YBHIST(BA$4,$A26,"Price","sec","")</f>
        <v>13.311999999999999</v>
      </c>
      <c r="BB26" s="2">
        <f>[1]!YBHIST(BB$4,$A26,"Price","sec","")</f>
        <v>16.469000000000001</v>
      </c>
      <c r="BC26" s="2">
        <f>[1]!YBHIST(BC$4,$A26,"Price","sec","")</f>
        <v>17.077998999999998</v>
      </c>
      <c r="BD26" s="2">
        <f>[1]!YBHIST(BD$4,$A26,"Price","sec","")</f>
        <v>17.062000000000001</v>
      </c>
      <c r="BE26" s="6">
        <f>[1]!YBHIST(BE$4,$A26,"Price","sec","")</f>
        <v>18.297001000000002</v>
      </c>
      <c r="BF26" s="20">
        <f>[1]!YBHIST(BF$4,$A26,"LMMOAS","sec","")</f>
        <v>372.174194</v>
      </c>
      <c r="BG26" s="20">
        <f>[1]!YBHIST(BG$4,$A26,"LMMOAS","sec","")</f>
        <v>364.15869099999998</v>
      </c>
      <c r="BH26" s="20">
        <f>[1]!YBHIST(BH$4,$A26,"LMMOAS","sec","")</f>
        <v>451.42898600000001</v>
      </c>
      <c r="BI26" s="20">
        <f>[1]!YBHIST(BI$4,$A26,"LMMOAS","sec","")</f>
        <v>404.78610200000003</v>
      </c>
      <c r="BJ26" s="20">
        <f>[1]!YBHIST(BJ$4,$A26,"LMMOAS","sec","")</f>
        <v>478.46978799999999</v>
      </c>
      <c r="BK26" s="20">
        <f>[1]!YBHIST(BK$4,$A26,"LMMOAS","sec","")</f>
        <v>418.84600799999998</v>
      </c>
      <c r="BL26" s="20">
        <f>[1]!YBHIST(BL$4,$A26,"LMMOAS","sec","")</f>
        <v>465.10870399999999</v>
      </c>
      <c r="BM26" s="20">
        <f>[1]!YBHIST(BM$4,$A26,"LMMOAS","sec","")</f>
        <v>249.60609400000001</v>
      </c>
      <c r="BN26" s="20">
        <f>[1]!YBHIST(BN$4,$A26,"LMMOAS","sec","")</f>
        <v>268.51709</v>
      </c>
      <c r="BO26" s="20">
        <f>[1]!YBHIST(BO$4,$A26,"LMMOAS","sec","")</f>
        <v>498.43090799999999</v>
      </c>
      <c r="BP26" s="20">
        <f>[1]!YBHIST(BP$4,$A26,"LMMOAS","sec","")</f>
        <v>474.49710099999999</v>
      </c>
      <c r="BQ26" s="20">
        <f>[1]!YBHIST(BQ$4,$A26,"LMMOAS","sec","")</f>
        <v>622.3125</v>
      </c>
      <c r="BR26" s="20">
        <f>[1]!YBHIST(BR$4,$A26,"LMMOAS","sec","")</f>
        <v>805.07238800000005</v>
      </c>
      <c r="BS26" s="20">
        <f>[1]!YBHIST(BS$4,$A26,"LMMOAS","sec","")</f>
        <v>388.090912</v>
      </c>
      <c r="BT26" s="20">
        <f>[1]!YBHIST(BT$4,$A26,"LMMOAS","sec","")</f>
        <v>541.31622300000004</v>
      </c>
      <c r="BU26" s="20">
        <f>[1]!YBHIST(BU$4,$A26,"LMMOAS","sec","")</f>
        <v>237.01899700000001</v>
      </c>
      <c r="BV26" s="20">
        <f>[1]!YBHIST(BV$4,$A26,"LMMOAS","sec","")</f>
        <v>293.76229899999998</v>
      </c>
      <c r="BW26" s="20">
        <f>[1]!YBHIST(BW$4,$A26,"LMMOAS","sec","")</f>
        <v>260.011414</v>
      </c>
      <c r="BX26" s="5"/>
      <c r="BY26" s="1"/>
      <c r="BZ26" s="1"/>
    </row>
    <row r="27" spans="1:78" x14ac:dyDescent="0.25">
      <c r="A27" s="14">
        <f>[1]!YBWORKDAY(A$5,-1*(ROW()-ROW(A$5)),"USD","")</f>
        <v>41241</v>
      </c>
      <c r="B27" s="3">
        <f>[1]!YBHIST("2 Year Treasury",$A27,"Price","govt","")</f>
        <v>99.984001000000006</v>
      </c>
      <c r="C27" s="2">
        <f>[1]!YBHIST("5 Year Treasury",$A27,"Price","govt","")</f>
        <v>100.616997</v>
      </c>
      <c r="D27" s="2">
        <f>[1]!YBHIST("10 Year Treasury",$A27,"Price","govt","")</f>
        <v>100.094002</v>
      </c>
      <c r="E27" s="6">
        <f>[1]!YBHIST("30 Year Treasury",$A27,"Price","govt","")</f>
        <v>99.453002999999995</v>
      </c>
      <c r="F27" s="3">
        <f>[1]!YBHIST("2 Year Treasury",$A27,"YldtoMat","govt","")</f>
        <v>0.25800000000000001</v>
      </c>
      <c r="G27" s="2">
        <f>[1]!YBHIST("5 Year Treasury",$A27,"YldtoMat","govt","")</f>
        <v>0.622</v>
      </c>
      <c r="H27" s="2">
        <f>[1]!YBHIST("10 Year Treasury",$A27,"YldtoMat","govt","")</f>
        <v>1.615</v>
      </c>
      <c r="I27" s="6">
        <f>[1]!YBHIST("30 Year Treasury",$A27,"YldtoMat","govt","")</f>
        <v>2.7770000000000001</v>
      </c>
      <c r="J27" s="3">
        <f>[1]!YBHIST("2yr Swap Rate",$A27,"YldtoMat","swapvol","")</f>
        <v>0.379133</v>
      </c>
      <c r="K27" s="2">
        <f>[1]!YBHIST("5yr Swap Rate",$A27,"YldtoMat","swapvol","")</f>
        <v>0.75845600000000002</v>
      </c>
      <c r="L27" s="2">
        <f>[1]!YBHIST("10yr Swap Rate",$A27,"YldtoMat","swapvol","")</f>
        <v>1.653546</v>
      </c>
      <c r="M27" s="6">
        <f>[1]!YBHIST("30yr Swap Rate",$A27,"YldtoMat","swapvol","")</f>
        <v>2.5416050000000001</v>
      </c>
      <c r="N27" s="3">
        <f>[1]!YBHIST("FNMA 30YR Cur Coup (BE)",$A27,"Yield","bmk","")</f>
        <v>2.073</v>
      </c>
      <c r="O27" s="2">
        <f>[1]!YBHIST("FHLMC 30YR Cur Coup (BE)",$A27,"Yield","bmk","")</f>
        <v>2.1190000000000002</v>
      </c>
      <c r="P27" s="2">
        <f>[1]!YBHIST("GNMA 30YR Cur Coup (BE)",$A27,"Yield","bmk","")</f>
        <v>1.9870000000000001</v>
      </c>
      <c r="Q27" s="2">
        <f>[1]!YBHIST("Primary 30-Yr Mtg Rate",$A27,"Yield","bmk","")</f>
        <v>3.4750000000000001</v>
      </c>
      <c r="R27" s="2">
        <f>[1]!YBHIST("FHLM 30-Yr Survey Rate",$A27,"Yield","bmk","")</f>
        <v>3.31</v>
      </c>
      <c r="S27" s="6">
        <f>[1]!YBHIST("Base Mortgage Rate",$A27,"Yield","bmk","")</f>
        <v>2.411</v>
      </c>
      <c r="T27" s="18">
        <f>[1]!YBHIST("FNMA 30YR Cur Coup (BE)",$A27,"LMMOAS","bmk","")</f>
        <v>-9.9097000000000008</v>
      </c>
      <c r="U27" s="19">
        <f>[1]!YBHIST("FHLMC 30YR Cur Coup (BE)",$A27,"LMMOAS","bmk","")</f>
        <v>-3.8329</v>
      </c>
      <c r="V27" s="19">
        <f>[1]!YBHIST("GNMA 30YR Cur Coup (BE)",$A27,"LMMOAS","bmk","")</f>
        <v>-20.562099</v>
      </c>
      <c r="W27" s="20">
        <f t="shared" si="3"/>
        <v>45.8</v>
      </c>
      <c r="X27" s="20">
        <f t="shared" si="4"/>
        <v>45.8</v>
      </c>
      <c r="Y27" s="20">
        <f t="shared" si="5"/>
        <v>50.40000000000002</v>
      </c>
      <c r="Z27" s="25">
        <f>[1]!YBHIST("FNMA3.0-GEN",$A27,"Price","tba","")</f>
        <v>105.15625</v>
      </c>
      <c r="AA27" s="2">
        <f>[1]!YBHIST("FNMA3.5-GEN",$A27,"Price","tba","")</f>
        <v>106.625</v>
      </c>
      <c r="AB27" s="2">
        <f>[1]!YBHIST("FNMA4.0-GEN",$A27,"Price","tba","")</f>
        <v>107.039062</v>
      </c>
      <c r="AC27" s="2">
        <f>[1]!YBHIST("FNMA4.5-GEN",$A27,"Price","tba","")</f>
        <v>107.726562</v>
      </c>
      <c r="AD27" s="2">
        <f>[1]!YBHIST("FNMA5.0-GEN",$A27,"Price","tba","")</f>
        <v>108.546875</v>
      </c>
      <c r="AE27" s="2">
        <f>[1]!YBHIST("FNMA5.5-GEN",$A27,"Price","tba","")</f>
        <v>108.828125</v>
      </c>
      <c r="AF27" s="6">
        <f>[1]!YBHIST("FNMA6.0-GEN",$A27,"Price","tba","")</f>
        <v>109.796875</v>
      </c>
      <c r="AG27" s="2">
        <f>[1]!YBHIST("FNMA3.0-GEN",$A27,"Yield","tba","")</f>
        <v>1.7010000000000001</v>
      </c>
      <c r="AH27" s="2">
        <f>[1]!YBHIST("FNMA3.5-GEN",$A27,"Yield","tba","")</f>
        <v>1.347</v>
      </c>
      <c r="AI27" s="2">
        <f>[1]!YBHIST("FNMA4.0-GEN",$A27,"Yield","tba","")</f>
        <v>1.268</v>
      </c>
      <c r="AJ27" s="2">
        <f>[1]!YBHIST("FNMA4.5-GEN",$A27,"Yield","tba","")</f>
        <v>1.3149999999999999</v>
      </c>
      <c r="AK27" s="2">
        <f>[1]!YBHIST("FNMA5.0-GEN",$A27,"Yield","tba","")</f>
        <v>0.52900000000000003</v>
      </c>
      <c r="AL27" s="2">
        <f>[1]!YBHIST("FNMA5.5-GEN",$A27,"Yield","tba","")</f>
        <v>0.86699999999999999</v>
      </c>
      <c r="AM27" s="6">
        <f>[1]!YBHIST("FNMA6.0-GEN",$A27,"Yield","tba","")</f>
        <v>0.35299999999999998</v>
      </c>
      <c r="AN27" s="3">
        <f>[1]!YBHIST(AN$4,$A27,"Price","sec","")</f>
        <v>11.922000000000001</v>
      </c>
      <c r="AO27" s="2">
        <f>[1]!YBHIST(AO$4,$A27,"Price","sec","")</f>
        <v>12.938000000000001</v>
      </c>
      <c r="AP27" s="2">
        <f>[1]!YBHIST(AP$4,$A27,"Price","sec","")</f>
        <v>10.672000000000001</v>
      </c>
      <c r="AQ27" s="2">
        <f>[1]!YBHIST(AQ$4,$A27,"Price","sec","")</f>
        <v>14.202999999999999</v>
      </c>
      <c r="AR27" s="2">
        <f>[1]!YBHIST(AR$4,$A27,"Price","sec","")</f>
        <v>11.827999999999999</v>
      </c>
      <c r="AS27" s="2">
        <f>[1]!YBHIST(AS$4,$A27,"Price","sec","")</f>
        <v>17.202998999999998</v>
      </c>
      <c r="AT27" s="2">
        <f>[1]!YBHIST(AT$4,$A27,"Price","sec","")</f>
        <v>15.077999999999999</v>
      </c>
      <c r="AU27" s="2">
        <f>[1]!YBHIST(AU$4,$A27,"Price","sec","")</f>
        <v>10.125</v>
      </c>
      <c r="AV27" s="2">
        <f>[1]!YBHIST(AV$4,$A27,"Price","sec","")</f>
        <v>13</v>
      </c>
      <c r="AW27" s="2">
        <f>[1]!YBHIST(AW$4,$A27,"Price","sec","")</f>
        <v>12.734</v>
      </c>
      <c r="AX27" s="2">
        <f>[1]!YBHIST(AX$4,$A27,"Price","sec","")</f>
        <v>11.016</v>
      </c>
      <c r="AY27" s="2">
        <f>[1]!YBHIST(AY$4,$A27,"Price","sec","")</f>
        <v>14.5</v>
      </c>
      <c r="AZ27" s="2">
        <f>[1]!YBHIST(AZ$4,$A27,"Price","sec","")</f>
        <v>13.718999999999999</v>
      </c>
      <c r="BA27" s="2">
        <f>[1]!YBHIST(BA$4,$A27,"Price","sec","")</f>
        <v>13.297000000000001</v>
      </c>
      <c r="BB27" s="2">
        <f>[1]!YBHIST(BB$4,$A27,"Price","sec","")</f>
        <v>16.469000000000001</v>
      </c>
      <c r="BC27" s="2">
        <f>[1]!YBHIST(BC$4,$A27,"Price","sec","")</f>
        <v>17.062000000000001</v>
      </c>
      <c r="BD27" s="2">
        <f>[1]!YBHIST(BD$4,$A27,"Price","sec","")</f>
        <v>17.030999999999999</v>
      </c>
      <c r="BE27" s="6">
        <f>[1]!YBHIST(BE$4,$A27,"Price","sec","")</f>
        <v>18.280999999999999</v>
      </c>
      <c r="BF27" s="20">
        <f>[1]!YBHIST(BF$4,$A27,"LMMOAS","sec","")</f>
        <v>347.45138500000002</v>
      </c>
      <c r="BG27" s="20">
        <f>[1]!YBHIST(BG$4,$A27,"LMMOAS","sec","")</f>
        <v>342.00448599999999</v>
      </c>
      <c r="BH27" s="20">
        <f>[1]!YBHIST(BH$4,$A27,"LMMOAS","sec","")</f>
        <v>430.29699699999998</v>
      </c>
      <c r="BI27" s="20">
        <f>[1]!YBHIST(BI$4,$A27,"LMMOAS","sec","")</f>
        <v>382.172211</v>
      </c>
      <c r="BJ27" s="20">
        <f>[1]!YBHIST(BJ$4,$A27,"LMMOAS","sec","")</f>
        <v>459.99789399999997</v>
      </c>
      <c r="BK27" s="20">
        <f>[1]!YBHIST(BK$4,$A27,"LMMOAS","sec","")</f>
        <v>402.73739599999999</v>
      </c>
      <c r="BL27" s="20">
        <f>[1]!YBHIST(BL$4,$A27,"LMMOAS","sec","")</f>
        <v>447.34140000000002</v>
      </c>
      <c r="BM27" s="20">
        <f>[1]!YBHIST(BM$4,$A27,"LMMOAS","sec","")</f>
        <v>229.929092</v>
      </c>
      <c r="BN27" s="20">
        <f>[1]!YBHIST(BN$4,$A27,"LMMOAS","sec","")</f>
        <v>256.20040899999998</v>
      </c>
      <c r="BO27" s="20">
        <f>[1]!YBHIST(BO$4,$A27,"LMMOAS","sec","")</f>
        <v>484.69250499999998</v>
      </c>
      <c r="BP27" s="20">
        <f>[1]!YBHIST(BP$4,$A27,"LMMOAS","sec","")</f>
        <v>462.66351300000002</v>
      </c>
      <c r="BQ27" s="20">
        <f>[1]!YBHIST(BQ$4,$A27,"LMMOAS","sec","")</f>
        <v>609.80999799999995</v>
      </c>
      <c r="BR27" s="20">
        <f>[1]!YBHIST(BR$4,$A27,"LMMOAS","sec","")</f>
        <v>797.56262200000003</v>
      </c>
      <c r="BS27" s="20">
        <f>[1]!YBHIST(BS$4,$A27,"LMMOAS","sec","")</f>
        <v>379.05718999999999</v>
      </c>
      <c r="BT27" s="20">
        <f>[1]!YBHIST(BT$4,$A27,"LMMOAS","sec","")</f>
        <v>532.58319100000006</v>
      </c>
      <c r="BU27" s="20">
        <f>[1]!YBHIST(BU$4,$A27,"LMMOAS","sec","")</f>
        <v>214.620407</v>
      </c>
      <c r="BV27" s="20">
        <f>[1]!YBHIST(BV$4,$A27,"LMMOAS","sec","")</f>
        <v>275.74230999999997</v>
      </c>
      <c r="BW27" s="20">
        <f>[1]!YBHIST(BW$4,$A27,"LMMOAS","sec","")</f>
        <v>243.06899999999999</v>
      </c>
      <c r="BX27" s="5"/>
      <c r="BY27" s="1"/>
      <c r="BZ27" s="1"/>
    </row>
    <row r="28" spans="1:78" x14ac:dyDescent="0.25">
      <c r="A28" s="14">
        <f>[1]!YBWORKDAY(A$5,-1*(ROW()-ROW(A$5)),"USD","")</f>
        <v>41240</v>
      </c>
      <c r="B28" s="3">
        <f>[1]!YBHIST("2 Year Treasury",$A28,"Price","govt","")</f>
        <v>99.976996999999997</v>
      </c>
      <c r="C28" s="2">
        <f>[1]!YBHIST("5 Year Treasury",$A28,"Price","govt","")</f>
        <v>100.48400100000001</v>
      </c>
      <c r="D28" s="2">
        <f>[1]!YBHIST("10 Year Treasury",$A28,"Price","govt","")</f>
        <v>99.828002999999995</v>
      </c>
      <c r="E28" s="6">
        <f>[1]!YBHIST("30 Year Treasury",$A28,"Price","govt","")</f>
        <v>99.171997000000005</v>
      </c>
      <c r="F28" s="3">
        <f>[1]!YBHIST("2 Year Treasury",$A28,"YldtoMat","govt","")</f>
        <v>0.26200000000000001</v>
      </c>
      <c r="G28" s="2">
        <f>[1]!YBHIST("5 Year Treasury",$A28,"YldtoMat","govt","")</f>
        <v>0.65</v>
      </c>
      <c r="H28" s="2">
        <f>[1]!YBHIST("10 Year Treasury",$A28,"YldtoMat","govt","")</f>
        <v>1.6439999999999999</v>
      </c>
      <c r="I28" s="6">
        <f>[1]!YBHIST("30 Year Treasury",$A28,"YldtoMat","govt","")</f>
        <v>2.7909999999999999</v>
      </c>
      <c r="J28" s="3">
        <f>[1]!YBHIST("2yr Swap Rate",$A28,"YldtoMat","swapvol","")</f>
        <v>0.389988</v>
      </c>
      <c r="K28" s="2">
        <f>[1]!YBHIST("5yr Swap Rate",$A28,"YldtoMat","swapvol","")</f>
        <v>0.77980499999999997</v>
      </c>
      <c r="L28" s="2">
        <f>[1]!YBHIST("10yr Swap Rate",$A28,"YldtoMat","swapvol","")</f>
        <v>1.675386</v>
      </c>
      <c r="M28" s="6">
        <f>[1]!YBHIST("30yr Swap Rate",$A28,"YldtoMat","swapvol","")</f>
        <v>2.5561280000000002</v>
      </c>
      <c r="N28" s="3">
        <f>[1]!YBHIST("FNMA 30YR Cur Coup (BE)",$A28,"Yield","bmk","")</f>
        <v>2.0649999999999999</v>
      </c>
      <c r="O28" s="2">
        <f>[1]!YBHIST("FHLMC 30YR Cur Coup (BE)",$A28,"Yield","bmk","")</f>
        <v>2.1110000000000002</v>
      </c>
      <c r="P28" s="2">
        <f>[1]!YBHIST("GNMA 30YR Cur Coup (BE)",$A28,"Yield","bmk","")</f>
        <v>1.9790000000000001</v>
      </c>
      <c r="Q28" s="2">
        <f>[1]!YBHIST("Primary 30-Yr Mtg Rate",$A28,"Yield","bmk","")</f>
        <v>3.4681000000000002</v>
      </c>
      <c r="R28" s="2">
        <f>[1]!YBHIST("FHLM 30-Yr Survey Rate",$A28,"Yield","bmk","")</f>
        <v>3.31</v>
      </c>
      <c r="S28" s="6">
        <f>[1]!YBHIST("Base Mortgage Rate",$A28,"Yield","bmk","")</f>
        <v>2.4039999999999999</v>
      </c>
      <c r="T28" s="18">
        <f>[1]!YBHIST("FNMA 30YR Cur Coup (BE)",$A28,"LMMOAS","bmk","")</f>
        <v>-12.577999999999999</v>
      </c>
      <c r="U28" s="19">
        <f>[1]!YBHIST("FHLMC 30YR Cur Coup (BE)",$A28,"LMMOAS","bmk","")</f>
        <v>-6.5551000000000004</v>
      </c>
      <c r="V28" s="19">
        <f>[1]!YBHIST("GNMA 30YR Cur Coup (BE)",$A28,"LMMOAS","bmk","")</f>
        <v>-22.655398999999999</v>
      </c>
      <c r="W28" s="20">
        <f t="shared" si="3"/>
        <v>42.1</v>
      </c>
      <c r="X28" s="20">
        <f t="shared" si="4"/>
        <v>42.1</v>
      </c>
      <c r="Y28" s="20">
        <f t="shared" si="5"/>
        <v>46.700000000000031</v>
      </c>
      <c r="Z28" s="25">
        <f>[1]!YBHIST("FNMA3.0-GEN",$A28,"Price","tba","")</f>
        <v>105.148438</v>
      </c>
      <c r="AA28" s="2">
        <f>[1]!YBHIST("FNMA3.5-GEN",$A28,"Price","tba","")</f>
        <v>106.609375</v>
      </c>
      <c r="AB28" s="2">
        <f>[1]!YBHIST("FNMA4.0-GEN",$A28,"Price","tba","")</f>
        <v>107.015625</v>
      </c>
      <c r="AC28" s="2">
        <f>[1]!YBHIST("FNMA4.5-GEN",$A28,"Price","tba","")</f>
        <v>107.703125</v>
      </c>
      <c r="AD28" s="2">
        <f>[1]!YBHIST("FNMA5.0-GEN",$A28,"Price","tba","")</f>
        <v>108.539062</v>
      </c>
      <c r="AE28" s="2">
        <f>[1]!YBHIST("FNMA5.5-GEN",$A28,"Price","tba","")</f>
        <v>108.820312</v>
      </c>
      <c r="AF28" s="6">
        <f>[1]!YBHIST("FNMA6.0-GEN",$A28,"Price","tba","")</f>
        <v>109.796875</v>
      </c>
      <c r="AG28" s="2">
        <f>[1]!YBHIST("FNMA3.0-GEN",$A28,"Yield","tba","")</f>
        <v>1.698</v>
      </c>
      <c r="AH28" s="2">
        <f>[1]!YBHIST("FNMA3.5-GEN",$A28,"Yield","tba","")</f>
        <v>1.3460000000000001</v>
      </c>
      <c r="AI28" s="2">
        <f>[1]!YBHIST("FNMA4.0-GEN",$A28,"Yield","tba","")</f>
        <v>1.27</v>
      </c>
      <c r="AJ28" s="2">
        <f>[1]!YBHIST("FNMA4.5-GEN",$A28,"Yield","tba","")</f>
        <v>1.319</v>
      </c>
      <c r="AK28" s="2">
        <f>[1]!YBHIST("FNMA5.0-GEN",$A28,"Yield","tba","")</f>
        <v>0.52800000000000002</v>
      </c>
      <c r="AL28" s="2">
        <f>[1]!YBHIST("FNMA5.5-GEN",$A28,"Yield","tba","")</f>
        <v>0.86699999999999999</v>
      </c>
      <c r="AM28" s="6">
        <f>[1]!YBHIST("FNMA6.0-GEN",$A28,"Yield","tba","")</f>
        <v>0.35099999999999998</v>
      </c>
      <c r="AN28" s="3">
        <f>[1]!YBHIST(AN$4,$A28,"Price","sec","")</f>
        <v>11.875</v>
      </c>
      <c r="AO28" s="2">
        <f>[1]!YBHIST(AO$4,$A28,"Price","sec","")</f>
        <v>12.906000000000001</v>
      </c>
      <c r="AP28" s="2">
        <f>[1]!YBHIST(AP$4,$A28,"Price","sec","")</f>
        <v>10.641</v>
      </c>
      <c r="AQ28" s="2">
        <f>[1]!YBHIST(AQ$4,$A28,"Price","sec","")</f>
        <v>14.125</v>
      </c>
      <c r="AR28" s="2">
        <f>[1]!YBHIST(AR$4,$A28,"Price","sec","")</f>
        <v>11.75</v>
      </c>
      <c r="AS28" s="2">
        <f>[1]!YBHIST(AS$4,$A28,"Price","sec","")</f>
        <v>17.125</v>
      </c>
      <c r="AT28" s="2">
        <f>[1]!YBHIST(AT$4,$A28,"Price","sec","")</f>
        <v>15</v>
      </c>
      <c r="AU28" s="2">
        <f>[1]!YBHIST(AU$4,$A28,"Price","sec","")</f>
        <v>10.061999999999999</v>
      </c>
      <c r="AV28" s="2">
        <f>[1]!YBHIST(AV$4,$A28,"Price","sec","")</f>
        <v>12.952999999999999</v>
      </c>
      <c r="AW28" s="2">
        <f>[1]!YBHIST(AW$4,$A28,"Price","sec","")</f>
        <v>12.688000000000001</v>
      </c>
      <c r="AX28" s="2">
        <f>[1]!YBHIST(AX$4,$A28,"Price","sec","")</f>
        <v>10.984</v>
      </c>
      <c r="AY28" s="2">
        <f>[1]!YBHIST(AY$4,$A28,"Price","sec","")</f>
        <v>14.484</v>
      </c>
      <c r="AZ28" s="2">
        <f>[1]!YBHIST(AZ$4,$A28,"Price","sec","")</f>
        <v>13.688000000000001</v>
      </c>
      <c r="BA28" s="2">
        <f>[1]!YBHIST(BA$4,$A28,"Price","sec","")</f>
        <v>13.281000000000001</v>
      </c>
      <c r="BB28" s="2">
        <f>[1]!YBHIST(BB$4,$A28,"Price","sec","")</f>
        <v>16.452998999999998</v>
      </c>
      <c r="BC28" s="2">
        <f>[1]!YBHIST(BC$4,$A28,"Price","sec","")</f>
        <v>17.047001000000002</v>
      </c>
      <c r="BD28" s="2">
        <f>[1]!YBHIST(BD$4,$A28,"Price","sec","")</f>
        <v>17</v>
      </c>
      <c r="BE28" s="6">
        <f>[1]!YBHIST(BE$4,$A28,"Price","sec","")</f>
        <v>18.25</v>
      </c>
      <c r="BF28" s="20">
        <f>[1]!YBHIST(BF$4,$A28,"LMMOAS","sec","")</f>
        <v>354.352509</v>
      </c>
      <c r="BG28" s="20">
        <f>[1]!YBHIST(BG$4,$A28,"LMMOAS","sec","")</f>
        <v>345.01568600000002</v>
      </c>
      <c r="BH28" s="20">
        <f>[1]!YBHIST(BH$4,$A28,"LMMOAS","sec","")</f>
        <v>434.95220899999998</v>
      </c>
      <c r="BI28" s="20">
        <f>[1]!YBHIST(BI$4,$A28,"LMMOAS","sec","")</f>
        <v>393.37789900000001</v>
      </c>
      <c r="BJ28" s="20">
        <f>[1]!YBHIST(BJ$4,$A28,"LMMOAS","sec","")</f>
        <v>476.00470000000001</v>
      </c>
      <c r="BK28" s="20">
        <f>[1]!YBHIST(BK$4,$A28,"LMMOAS","sec","")</f>
        <v>412.24859600000002</v>
      </c>
      <c r="BL28" s="20">
        <f>[1]!YBHIST(BL$4,$A28,"LMMOAS","sec","")</f>
        <v>459.26400799999999</v>
      </c>
      <c r="BM28" s="20">
        <f>[1]!YBHIST(BM$4,$A28,"LMMOAS","sec","")</f>
        <v>247.62660199999999</v>
      </c>
      <c r="BN28" s="20">
        <f>[1]!YBHIST(BN$4,$A28,"LMMOAS","sec","")</f>
        <v>264.98998999999998</v>
      </c>
      <c r="BO28" s="20">
        <f>[1]!YBHIST(BO$4,$A28,"LMMOAS","sec","")</f>
        <v>495.75570699999997</v>
      </c>
      <c r="BP28" s="20">
        <f>[1]!YBHIST(BP$4,$A28,"LMMOAS","sec","")</f>
        <v>471.274292</v>
      </c>
      <c r="BQ28" s="20">
        <f>[1]!YBHIST(BQ$4,$A28,"LMMOAS","sec","")</f>
        <v>612.08081100000004</v>
      </c>
      <c r="BR28" s="20">
        <f>[1]!YBHIST(BR$4,$A28,"LMMOAS","sec","")</f>
        <v>805.51550299999997</v>
      </c>
      <c r="BS28" s="20">
        <f>[1]!YBHIST(BS$4,$A28,"LMMOAS","sec","")</f>
        <v>381.83468599999998</v>
      </c>
      <c r="BT28" s="20">
        <f>[1]!YBHIST(BT$4,$A28,"LMMOAS","sec","")</f>
        <v>535.37438999999995</v>
      </c>
      <c r="BU28" s="20">
        <f>[1]!YBHIST(BU$4,$A28,"LMMOAS","sec","")</f>
        <v>213.52119400000001</v>
      </c>
      <c r="BV28" s="20">
        <f>[1]!YBHIST(BV$4,$A28,"LMMOAS","sec","")</f>
        <v>276.34179699999999</v>
      </c>
      <c r="BW28" s="20">
        <f>[1]!YBHIST(BW$4,$A28,"LMMOAS","sec","")</f>
        <v>243.61850000000001</v>
      </c>
      <c r="BX28" s="5"/>
      <c r="BY28" s="1"/>
      <c r="BZ28" s="1"/>
    </row>
    <row r="29" spans="1:78" x14ac:dyDescent="0.25">
      <c r="A29" s="14">
        <f>[1]!YBWORKDAY(A$5,-1*(ROW()-ROW(A$5)),"USD","")</f>
        <v>41239</v>
      </c>
      <c r="B29" s="3">
        <f>[1]!YBHIST("2 Year Treasury",$A29,"Price","govt","")</f>
        <v>99.969002000000003</v>
      </c>
      <c r="C29" s="2">
        <f>[1]!YBHIST("5 Year Treasury",$A29,"Price","govt","")</f>
        <v>100.405998</v>
      </c>
      <c r="D29" s="2">
        <f>[1]!YBHIST("10 Year Treasury",$A29,"Price","govt","")</f>
        <v>99.640998999999994</v>
      </c>
      <c r="E29" s="6">
        <f>[1]!YBHIST("30 Year Treasury",$A29,"Price","govt","")</f>
        <v>98.984001000000006</v>
      </c>
      <c r="F29" s="3">
        <f>[1]!YBHIST("2 Year Treasury",$A29,"YldtoMat","govt","")</f>
        <v>0.26600000000000001</v>
      </c>
      <c r="G29" s="2">
        <f>[1]!YBHIST("5 Year Treasury",$A29,"YldtoMat","govt","")</f>
        <v>0.66600000000000004</v>
      </c>
      <c r="H29" s="2">
        <f>[1]!YBHIST("10 Year Treasury",$A29,"YldtoMat","govt","")</f>
        <v>1.6639999999999999</v>
      </c>
      <c r="I29" s="6">
        <f>[1]!YBHIST("30 Year Treasury",$A29,"YldtoMat","govt","")</f>
        <v>2.8</v>
      </c>
      <c r="J29" s="3">
        <f>[1]!YBHIST("2yr Swap Rate",$A29,"YldtoMat","swapvol","")</f>
        <v>0.39941900000000002</v>
      </c>
      <c r="K29" s="2">
        <f>[1]!YBHIST("5yr Swap Rate",$A29,"YldtoMat","swapvol","")</f>
        <v>0.80186500000000005</v>
      </c>
      <c r="L29" s="2">
        <f>[1]!YBHIST("10yr Swap Rate",$A29,"YldtoMat","swapvol","")</f>
        <v>1.703314</v>
      </c>
      <c r="M29" s="6">
        <f>[1]!YBHIST("30yr Swap Rate",$A29,"YldtoMat","swapvol","")</f>
        <v>2.5703999999999998</v>
      </c>
      <c r="N29" s="3">
        <f>[1]!YBHIST("FNMA 30YR Cur Coup (BE)",$A29,"Yield","bmk","")</f>
        <v>2.1480000000000001</v>
      </c>
      <c r="O29" s="2">
        <f>[1]!YBHIST("FHLMC 30YR Cur Coup (BE)",$A29,"Yield","bmk","")</f>
        <v>2.194</v>
      </c>
      <c r="P29" s="2">
        <f>[1]!YBHIST("GNMA 30YR Cur Coup (BE)",$A29,"Yield","bmk","")</f>
        <v>2.0619999999999998</v>
      </c>
      <c r="Q29" s="2">
        <f>[1]!YBHIST("Primary 30-Yr Mtg Rate",$A29,"Yield","bmk","")</f>
        <v>3.5493000000000001</v>
      </c>
      <c r="R29" s="2">
        <f>[1]!YBHIST("FHLM 30-Yr Survey Rate",$A29,"Yield","bmk","")</f>
        <v>3.31</v>
      </c>
      <c r="S29" s="6">
        <f>[1]!YBHIST("Base Mortgage Rate",$A29,"Yield","bmk","")</f>
        <v>2.4860000000000002</v>
      </c>
      <c r="T29" s="18">
        <f>[1]!YBHIST("FNMA 30YR Cur Coup (BE)",$A29,"LMMOAS","bmk","")</f>
        <v>-6.9561000000000002</v>
      </c>
      <c r="U29" s="19">
        <f>[1]!YBHIST("FHLMC 30YR Cur Coup (BE)",$A29,"LMMOAS","bmk","")</f>
        <v>-0.2833</v>
      </c>
      <c r="V29" s="19">
        <f>[1]!YBHIST("GNMA 30YR Cur Coup (BE)",$A29,"LMMOAS","bmk","")</f>
        <v>-23.365400000000001</v>
      </c>
      <c r="W29" s="20">
        <f t="shared" ref="W29:W88" si="6">(N29-$H29)*100</f>
        <v>48.40000000000002</v>
      </c>
      <c r="X29" s="20">
        <f t="shared" ref="X29:X88" si="7">(N29-$H29)*100</f>
        <v>48.40000000000002</v>
      </c>
      <c r="Y29" s="20">
        <f t="shared" ref="Y29:Y88" si="8">(O29-$H29)*100</f>
        <v>53</v>
      </c>
      <c r="Z29" s="25">
        <f>[1]!YBHIST("FNMA3.0-GEN",$A29,"Price","tba","")</f>
        <v>104.875</v>
      </c>
      <c r="AA29" s="2">
        <f>[1]!YBHIST("FNMA3.5-GEN",$A29,"Price","tba","")</f>
        <v>106.476562</v>
      </c>
      <c r="AB29" s="2">
        <f>[1]!YBHIST("FNMA4.0-GEN",$A29,"Price","tba","")</f>
        <v>106.96875</v>
      </c>
      <c r="AC29" s="2">
        <f>[1]!YBHIST("FNMA4.5-GEN",$A29,"Price","tba","")</f>
        <v>107.679688</v>
      </c>
      <c r="AD29" s="2">
        <f>[1]!YBHIST("FNMA5.0-GEN",$A29,"Price","tba","")</f>
        <v>108.523438</v>
      </c>
      <c r="AE29" s="2">
        <f>[1]!YBHIST("FNMA5.5-GEN",$A29,"Price","tba","")</f>
        <v>108.867188</v>
      </c>
      <c r="AF29" s="6">
        <f>[1]!YBHIST("FNMA6.0-GEN",$A29,"Price","tba","")</f>
        <v>109.835938</v>
      </c>
      <c r="AG29" s="2">
        <f>[1]!YBHIST("FNMA3.0-GEN",$A29,"Yield","tba","")</f>
        <v>1.835</v>
      </c>
      <c r="AH29" s="2">
        <f>[1]!YBHIST("FNMA3.5-GEN",$A29,"Yield","tba","")</f>
        <v>1.4850000000000001</v>
      </c>
      <c r="AI29" s="2">
        <f>[1]!YBHIST("FNMA4.0-GEN",$A29,"Yield","tba","")</f>
        <v>1.3859999999999999</v>
      </c>
      <c r="AJ29" s="2">
        <f>[1]!YBHIST("FNMA4.5-GEN",$A29,"Yield","tba","")</f>
        <v>1.413</v>
      </c>
      <c r="AK29" s="2">
        <f>[1]!YBHIST("FNMA5.0-GEN",$A29,"Yield","tba","")</f>
        <v>0.61699999999999999</v>
      </c>
      <c r="AL29" s="2">
        <f>[1]!YBHIST("FNMA5.5-GEN",$A29,"Yield","tba","")</f>
        <v>0.90500000000000003</v>
      </c>
      <c r="AM29" s="6">
        <f>[1]!YBHIST("FNMA6.0-GEN",$A29,"Yield","tba","")</f>
        <v>0.38200000000000001</v>
      </c>
      <c r="AN29" s="3">
        <f>[1]!YBHIST(AN$4,$A29,"Price","sec","")</f>
        <v>12.141</v>
      </c>
      <c r="AO29" s="2">
        <f>[1]!YBHIST(AO$4,$A29,"Price","sec","")</f>
        <v>13.141</v>
      </c>
      <c r="AP29" s="2">
        <f>[1]!YBHIST(AP$4,$A29,"Price","sec","")</f>
        <v>10.843999999999999</v>
      </c>
      <c r="AQ29" s="2">
        <f>[1]!YBHIST(AQ$4,$A29,"Price","sec","")</f>
        <v>14.25</v>
      </c>
      <c r="AR29" s="2">
        <f>[1]!YBHIST(AR$4,$A29,"Price","sec","")</f>
        <v>11.968999999999999</v>
      </c>
      <c r="AS29" s="2">
        <f>[1]!YBHIST(AS$4,$A29,"Price","sec","")</f>
        <v>17.233999000000001</v>
      </c>
      <c r="AT29" s="2">
        <f>[1]!YBHIST(AT$4,$A29,"Price","sec","")</f>
        <v>15.125</v>
      </c>
      <c r="AU29" s="2">
        <f>[1]!YBHIST(AU$4,$A29,"Price","sec","")</f>
        <v>10.188000000000001</v>
      </c>
      <c r="AV29" s="2">
        <f>[1]!YBHIST(AV$4,$A29,"Price","sec","")</f>
        <v>13.093999999999999</v>
      </c>
      <c r="AW29" s="2">
        <f>[1]!YBHIST(AW$4,$A29,"Price","sec","")</f>
        <v>12.827999999999999</v>
      </c>
      <c r="AX29" s="2">
        <f>[1]!YBHIST(AX$4,$A29,"Price","sec","")</f>
        <v>11.093999999999999</v>
      </c>
      <c r="AY29" s="2">
        <f>[1]!YBHIST(AY$4,$A29,"Price","sec","")</f>
        <v>14.593999999999999</v>
      </c>
      <c r="AZ29" s="2">
        <f>[1]!YBHIST(AZ$4,$A29,"Price","sec","")</f>
        <v>13.781000000000001</v>
      </c>
      <c r="BA29" s="2">
        <f>[1]!YBHIST(BA$4,$A29,"Price","sec","")</f>
        <v>13.359</v>
      </c>
      <c r="BB29" s="2">
        <f>[1]!YBHIST(BB$4,$A29,"Price","sec","")</f>
        <v>16.483999000000001</v>
      </c>
      <c r="BC29" s="2">
        <f>[1]!YBHIST(BC$4,$A29,"Price","sec","")</f>
        <v>17.233999000000001</v>
      </c>
      <c r="BD29" s="2">
        <f>[1]!YBHIST(BD$4,$A29,"Price","sec","")</f>
        <v>17.187999999999999</v>
      </c>
      <c r="BE29" s="6">
        <f>[1]!YBHIST(BE$4,$A29,"Price","sec","")</f>
        <v>18.452998999999998</v>
      </c>
      <c r="BF29" s="20">
        <f>[1]!YBHIST(BF$4,$A29,"LMMOAS","sec","")</f>
        <v>407.46521000000001</v>
      </c>
      <c r="BG29" s="20">
        <f>[1]!YBHIST(BG$4,$A29,"LMMOAS","sec","")</f>
        <v>398.55938700000002</v>
      </c>
      <c r="BH29" s="20">
        <f>[1]!YBHIST(BH$4,$A29,"LMMOAS","sec","")</f>
        <v>493.59979199999998</v>
      </c>
      <c r="BI29" s="20">
        <f>[1]!YBHIST(BI$4,$A29,"LMMOAS","sec","")</f>
        <v>459.76260400000001</v>
      </c>
      <c r="BJ29" s="20">
        <f>[1]!YBHIST(BJ$4,$A29,"LMMOAS","sec","")</f>
        <v>520.44421399999999</v>
      </c>
      <c r="BK29" s="20">
        <f>[1]!YBHIST(BK$4,$A29,"LMMOAS","sec","")</f>
        <v>459.69799799999998</v>
      </c>
      <c r="BL29" s="20">
        <f>[1]!YBHIST(BL$4,$A29,"LMMOAS","sec","")</f>
        <v>509.88738999999998</v>
      </c>
      <c r="BM29" s="20">
        <f>[1]!YBHIST(BM$4,$A29,"LMMOAS","sec","")</f>
        <v>301.350098</v>
      </c>
      <c r="BN29" s="20">
        <f>[1]!YBHIST(BN$4,$A29,"LMMOAS","sec","")</f>
        <v>303.04638699999998</v>
      </c>
      <c r="BO29" s="20">
        <f>[1]!YBHIST(BO$4,$A29,"LMMOAS","sec","")</f>
        <v>522.20892300000003</v>
      </c>
      <c r="BP29" s="20">
        <f>[1]!YBHIST(BP$4,$A29,"LMMOAS","sec","")</f>
        <v>519.36377000000005</v>
      </c>
      <c r="BQ29" s="20">
        <f>[1]!YBHIST(BQ$4,$A29,"LMMOAS","sec","")</f>
        <v>644.56909199999996</v>
      </c>
      <c r="BR29" s="20">
        <f>[1]!YBHIST(BR$4,$A29,"LMMOAS","sec","")</f>
        <v>833.53692599999999</v>
      </c>
      <c r="BS29" s="20">
        <f>[1]!YBHIST(BS$4,$A29,"LMMOAS","sec","")</f>
        <v>427.02780200000001</v>
      </c>
      <c r="BT29" s="20">
        <f>[1]!YBHIST(BT$4,$A29,"LMMOAS","sec","")</f>
        <v>570.67230199999995</v>
      </c>
      <c r="BU29" s="20">
        <f>[1]!YBHIST(BU$4,$A29,"LMMOAS","sec","")</f>
        <v>266.570312</v>
      </c>
      <c r="BV29" s="20">
        <f>[1]!YBHIST(BV$4,$A29,"LMMOAS","sec","")</f>
        <v>325.07809400000002</v>
      </c>
      <c r="BW29" s="20">
        <f>[1]!YBHIST(BW$4,$A29,"LMMOAS","sec","")</f>
        <v>281.37179600000002</v>
      </c>
      <c r="BX29" s="5"/>
      <c r="BY29" s="1"/>
      <c r="BZ29" s="1"/>
    </row>
    <row r="30" spans="1:78" x14ac:dyDescent="0.25">
      <c r="A30" s="14">
        <f>[1]!YBWORKDAY(A$5,-1*(ROW()-ROW(A$5)),"USD","")</f>
        <v>41236</v>
      </c>
      <c r="B30" s="3">
        <f>[1]!YBHIST("2 Year Treasury",$A30,"Price","govt","")</f>
        <v>99.960999000000001</v>
      </c>
      <c r="C30" s="2">
        <f>[1]!YBHIST("5 Year Treasury",$A30,"Price","govt","")</f>
        <v>100.31300400000001</v>
      </c>
      <c r="D30" s="2">
        <f>[1]!YBHIST("10 Year Treasury",$A30,"Price","govt","")</f>
        <v>99.375</v>
      </c>
      <c r="E30" s="6">
        <f>[1]!YBHIST("30 Year Treasury",$A30,"Price","govt","")</f>
        <v>98.344002000000003</v>
      </c>
      <c r="F30" s="3">
        <f>[1]!YBHIST("2 Year Treasury",$A30,"YldtoMat","govt","")</f>
        <v>0.27</v>
      </c>
      <c r="G30" s="2">
        <f>[1]!YBHIST("5 Year Treasury",$A30,"YldtoMat","govt","")</f>
        <v>0.68500000000000005</v>
      </c>
      <c r="H30" s="2">
        <f>[1]!YBHIST("10 Year Treasury",$A30,"YldtoMat","govt","")</f>
        <v>1.6930000000000001</v>
      </c>
      <c r="I30" s="6">
        <f>[1]!YBHIST("30 Year Treasury",$A30,"YldtoMat","govt","")</f>
        <v>2.8319999999999999</v>
      </c>
      <c r="J30" s="3">
        <f>[1]!YBHIST("2yr Swap Rate",$A30,"YldtoMat","swapvol","")</f>
        <v>0.39829199999999998</v>
      </c>
      <c r="K30" s="2">
        <f>[1]!YBHIST("5yr Swap Rate",$A30,"YldtoMat","swapvol","")</f>
        <v>0.81435500000000005</v>
      </c>
      <c r="L30" s="2">
        <f>[1]!YBHIST("10yr Swap Rate",$A30,"YldtoMat","swapvol","")</f>
        <v>1.727482</v>
      </c>
      <c r="M30" s="6">
        <f>[1]!YBHIST("30yr Swap Rate",$A30,"YldtoMat","swapvol","")</f>
        <v>2.5911499999999998</v>
      </c>
      <c r="N30" s="3">
        <f>[1]!YBHIST("FNMA 30YR Cur Coup (BE)",$A30,"Yield","bmk","")</f>
        <v>2.2109999999999999</v>
      </c>
      <c r="O30" s="2">
        <f>[1]!YBHIST("FHLMC 30YR Cur Coup (BE)",$A30,"Yield","bmk","")</f>
        <v>2.2570000000000001</v>
      </c>
      <c r="P30" s="2">
        <f>[1]!YBHIST("GNMA 30YR Cur Coup (BE)",$A30,"Yield","bmk","")</f>
        <v>2.125</v>
      </c>
      <c r="Q30" s="2">
        <f>[1]!YBHIST("Primary 30-Yr Mtg Rate",$A30,"Yield","bmk","")</f>
        <v>3.6112000000000002</v>
      </c>
      <c r="R30" s="2">
        <f>[1]!YBHIST("FHLM 30-Yr Survey Rate",$A30,"Yield","bmk","")</f>
        <v>3.31</v>
      </c>
      <c r="S30" s="6">
        <f>[1]!YBHIST("Base Mortgage Rate",$A30,"Yield","bmk","")</f>
        <v>2.5470000000000002</v>
      </c>
      <c r="T30" s="18">
        <f>[1]!YBHIST("FNMA 30YR Cur Coup (BE)",$A30,"LMMOAS","bmk","")</f>
        <v>-2.4969000000000001</v>
      </c>
      <c r="U30" s="19">
        <f>[1]!YBHIST("FHLMC 30YR Cur Coup (BE)",$A30,"LMMOAS","bmk","")</f>
        <v>4.3034999999999997</v>
      </c>
      <c r="V30" s="19">
        <f>[1]!YBHIST("GNMA 30YR Cur Coup (BE)",$A30,"LMMOAS","bmk","")</f>
        <v>-22.135999999999999</v>
      </c>
      <c r="W30" s="20">
        <f t="shared" si="6"/>
        <v>51.799999999999983</v>
      </c>
      <c r="X30" s="20">
        <f t="shared" si="7"/>
        <v>51.799999999999983</v>
      </c>
      <c r="Y30" s="20">
        <f t="shared" si="8"/>
        <v>56.400000000000006</v>
      </c>
      <c r="Z30" s="25">
        <f>[1]!YBHIST("FNMA3.0-GEN",$A30,"Price","tba","")</f>
        <v>104.578125</v>
      </c>
      <c r="AA30" s="2">
        <f>[1]!YBHIST("FNMA3.5-GEN",$A30,"Price","tba","")</f>
        <v>106.265625</v>
      </c>
      <c r="AB30" s="2">
        <f>[1]!YBHIST("FNMA4.0-GEN",$A30,"Price","tba","")</f>
        <v>106.84375</v>
      </c>
      <c r="AC30" s="2">
        <f>[1]!YBHIST("FNMA4.5-GEN",$A30,"Price","tba","")</f>
        <v>107.578125</v>
      </c>
      <c r="AD30" s="2">
        <f>[1]!YBHIST("FNMA5.0-GEN",$A30,"Price","tba","")</f>
        <v>108.460938</v>
      </c>
      <c r="AE30" s="2">
        <f>[1]!YBHIST("FNMA5.5-GEN",$A30,"Price","tba","")</f>
        <v>108.835938</v>
      </c>
      <c r="AF30" s="6">
        <f>[1]!YBHIST("FNMA6.0-GEN",$A30,"Price","tba","")</f>
        <v>109.835938</v>
      </c>
      <c r="AG30" s="2">
        <f>[1]!YBHIST("FNMA3.0-GEN",$A30,"Yield","tba","")</f>
        <v>1.954</v>
      </c>
      <c r="AH30" s="2">
        <f>[1]!YBHIST("FNMA3.5-GEN",$A30,"Yield","tba","")</f>
        <v>1.62</v>
      </c>
      <c r="AI30" s="2">
        <f>[1]!YBHIST("FNMA4.0-GEN",$A30,"Yield","tba","")</f>
        <v>1.504</v>
      </c>
      <c r="AJ30" s="2">
        <f>[1]!YBHIST("FNMA4.5-GEN",$A30,"Yield","tba","")</f>
        <v>1.514</v>
      </c>
      <c r="AK30" s="2">
        <f>[1]!YBHIST("FNMA5.0-GEN",$A30,"Yield","tba","")</f>
        <v>0.71299999999999997</v>
      </c>
      <c r="AL30" s="2">
        <f>[1]!YBHIST("FNMA5.5-GEN",$A30,"Yield","tba","")</f>
        <v>0.96899999999999997</v>
      </c>
      <c r="AM30" s="6">
        <f>[1]!YBHIST("FNMA6.0-GEN",$A30,"Yield","tba","")</f>
        <v>0.42499999999999999</v>
      </c>
      <c r="AN30" s="3">
        <f>[1]!YBHIST(AN$4,$A30,"Price","sec","")</f>
        <v>12.327999999999999</v>
      </c>
      <c r="AO30" s="2">
        <f>[1]!YBHIST(AO$4,$A30,"Price","sec","")</f>
        <v>13.311999999999999</v>
      </c>
      <c r="AP30" s="2">
        <f>[1]!YBHIST(AP$4,$A30,"Price","sec","")</f>
        <v>10.968999999999999</v>
      </c>
      <c r="AQ30" s="2">
        <f>[1]!YBHIST(AQ$4,$A30,"Price","sec","")</f>
        <v>14.343999999999999</v>
      </c>
      <c r="AR30" s="2">
        <f>[1]!YBHIST(AR$4,$A30,"Price","sec","")</f>
        <v>12.141</v>
      </c>
      <c r="AS30" s="2">
        <f>[1]!YBHIST(AS$4,$A30,"Price","sec","")</f>
        <v>17.344000000000001</v>
      </c>
      <c r="AT30" s="2">
        <f>[1]!YBHIST(AT$4,$A30,"Price","sec","")</f>
        <v>15.25</v>
      </c>
      <c r="AU30" s="2">
        <f>[1]!YBHIST(AU$4,$A30,"Price","sec","")</f>
        <v>10.327999999999999</v>
      </c>
      <c r="AV30" s="2">
        <f>[1]!YBHIST(AV$4,$A30,"Price","sec","")</f>
        <v>13.218999999999999</v>
      </c>
      <c r="AW30" s="2">
        <f>[1]!YBHIST(AW$4,$A30,"Price","sec","")</f>
        <v>12.952999999999999</v>
      </c>
      <c r="AX30" s="2">
        <f>[1]!YBHIST(AX$4,$A30,"Price","sec","")</f>
        <v>11.172000000000001</v>
      </c>
      <c r="AY30" s="2">
        <f>[1]!YBHIST(AY$4,$A30,"Price","sec","")</f>
        <v>14.688000000000001</v>
      </c>
      <c r="AZ30" s="2">
        <f>[1]!YBHIST(AZ$4,$A30,"Price","sec","")</f>
        <v>13.859</v>
      </c>
      <c r="BA30" s="2">
        <f>[1]!YBHIST(BA$4,$A30,"Price","sec","")</f>
        <v>13.406000000000001</v>
      </c>
      <c r="BB30" s="2">
        <f>[1]!YBHIST(BB$4,$A30,"Price","sec","")</f>
        <v>16.530999999999999</v>
      </c>
      <c r="BC30" s="2">
        <f>[1]!YBHIST(BC$4,$A30,"Price","sec","")</f>
        <v>17.422001000000002</v>
      </c>
      <c r="BD30" s="2">
        <f>[1]!YBHIST(BD$4,$A30,"Price","sec","")</f>
        <v>17.375</v>
      </c>
      <c r="BE30" s="6">
        <f>[1]!YBHIST(BE$4,$A30,"Price","sec","")</f>
        <v>18.655999999999999</v>
      </c>
      <c r="BF30" s="20">
        <f>[1]!YBHIST(BF$4,$A30,"LMMOAS","sec","")</f>
        <v>456.68078600000001</v>
      </c>
      <c r="BG30" s="20">
        <f>[1]!YBHIST(BG$4,$A30,"LMMOAS","sec","")</f>
        <v>446.55609099999998</v>
      </c>
      <c r="BH30" s="20">
        <f>[1]!YBHIST(BH$4,$A30,"LMMOAS","sec","")</f>
        <v>553.26312299999995</v>
      </c>
      <c r="BI30" s="20">
        <f>[1]!YBHIST(BI$4,$A30,"LMMOAS","sec","")</f>
        <v>515.873108</v>
      </c>
      <c r="BJ30" s="20">
        <f>[1]!YBHIST(BJ$4,$A30,"LMMOAS","sec","")</f>
        <v>559.36627199999998</v>
      </c>
      <c r="BK30" s="20">
        <f>[1]!YBHIST(BK$4,$A30,"LMMOAS","sec","")</f>
        <v>496.39349399999998</v>
      </c>
      <c r="BL30" s="20">
        <f>[1]!YBHIST(BL$4,$A30,"LMMOAS","sec","")</f>
        <v>547.72021500000005</v>
      </c>
      <c r="BM30" s="20">
        <f>[1]!YBHIST(BM$4,$A30,"LMMOAS","sec","")</f>
        <v>336.40051299999999</v>
      </c>
      <c r="BN30" s="20">
        <f>[1]!YBHIST(BN$4,$A30,"LMMOAS","sec","")</f>
        <v>334.72311400000001</v>
      </c>
      <c r="BO30" s="20">
        <f>[1]!YBHIST(BO$4,$A30,"LMMOAS","sec","")</f>
        <v>543.51397699999995</v>
      </c>
      <c r="BP30" s="20">
        <f>[1]!YBHIST(BP$4,$A30,"LMMOAS","sec","")</f>
        <v>565.72772199999997</v>
      </c>
      <c r="BQ30" s="20">
        <f>[1]!YBHIST(BQ$4,$A30,"LMMOAS","sec","")</f>
        <v>673.04650900000001</v>
      </c>
      <c r="BR30" s="20">
        <f>[1]!YBHIST(BR$4,$A30,"LMMOAS","sec","")</f>
        <v>857.86767599999996</v>
      </c>
      <c r="BS30" s="20">
        <f>[1]!YBHIST(BS$4,$A30,"LMMOAS","sec","")</f>
        <v>471.14150999999998</v>
      </c>
      <c r="BT30" s="20">
        <f>[1]!YBHIST(BT$4,$A30,"LMMOAS","sec","")</f>
        <v>597.52337599999998</v>
      </c>
      <c r="BU30" s="20">
        <f>[1]!YBHIST(BU$4,$A30,"LMMOAS","sec","")</f>
        <v>304.44320699999997</v>
      </c>
      <c r="BV30" s="20">
        <f>[1]!YBHIST(BV$4,$A30,"LMMOAS","sec","")</f>
        <v>360.20660400000003</v>
      </c>
      <c r="BW30" s="20">
        <f>[1]!YBHIST(BW$4,$A30,"LMMOAS","sec","")</f>
        <v>307.55569500000001</v>
      </c>
      <c r="BX30" s="5"/>
      <c r="BY30" s="1"/>
      <c r="BZ30" s="1"/>
    </row>
    <row r="31" spans="1:78" x14ac:dyDescent="0.25">
      <c r="A31" s="14">
        <f>[1]!YBWORKDAY(A$5,-1*(ROW()-ROW(A$5)),"USD","")</f>
        <v>41234</v>
      </c>
      <c r="B31" s="3">
        <f>[1]!YBHIST("2 Year Treasury",$A31,"Price","govt","")</f>
        <v>99.960999000000001</v>
      </c>
      <c r="C31" s="2">
        <f>[1]!YBHIST("5 Year Treasury",$A31,"Price","govt","")</f>
        <v>100.335999</v>
      </c>
      <c r="D31" s="2">
        <f>[1]!YBHIST("10 Year Treasury",$A31,"Price","govt","")</f>
        <v>99.438004000000006</v>
      </c>
      <c r="E31" s="6">
        <f>[1]!YBHIST("30 Year Treasury",$A31,"Price","govt","")</f>
        <v>98.390998999999994</v>
      </c>
      <c r="F31" s="3">
        <f>[1]!YBHIST("2 Year Treasury",$A31,"YldtoMat","govt","")</f>
        <v>0.27</v>
      </c>
      <c r="G31" s="2">
        <f>[1]!YBHIST("5 Year Treasury",$A31,"YldtoMat","govt","")</f>
        <v>0.68100000000000005</v>
      </c>
      <c r="H31" s="2">
        <f>[1]!YBHIST("10 Year Treasury",$A31,"YldtoMat","govt","")</f>
        <v>1.6859999999999999</v>
      </c>
      <c r="I31" s="6">
        <f>[1]!YBHIST("30 Year Treasury",$A31,"YldtoMat","govt","")</f>
        <v>2.83</v>
      </c>
      <c r="J31" s="3">
        <f>[1]!YBHIST("2yr Swap Rate",$A31,"YldtoMat","swapvol","")</f>
        <v>0.39102300000000001</v>
      </c>
      <c r="K31" s="2">
        <f>[1]!YBHIST("5yr Swap Rate",$A31,"YldtoMat","swapvol","")</f>
        <v>0.808531</v>
      </c>
      <c r="L31" s="2">
        <f>[1]!YBHIST("10yr Swap Rate",$A31,"YldtoMat","swapvol","")</f>
        <v>1.721595</v>
      </c>
      <c r="M31" s="6">
        <f>[1]!YBHIST("30yr Swap Rate",$A31,"YldtoMat","swapvol","")</f>
        <v>2.5844309999999999</v>
      </c>
      <c r="N31" s="3">
        <f>[1]!YBHIST("FNMA 30YR Cur Coup (BE)",$A31,"Yield","bmk","")</f>
        <v>2.2029999999999998</v>
      </c>
      <c r="O31" s="2">
        <f>[1]!YBHIST("FHLMC 30YR Cur Coup (BE)",$A31,"Yield","bmk","")</f>
        <v>2.2490000000000001</v>
      </c>
      <c r="P31" s="2">
        <f>[1]!YBHIST("GNMA 30YR Cur Coup (BE)",$A31,"Yield","bmk","")</f>
        <v>2.117</v>
      </c>
      <c r="Q31" s="2">
        <f>[1]!YBHIST("Primary 30-Yr Mtg Rate",$A31,"Yield","bmk","")</f>
        <v>3.5996000000000001</v>
      </c>
      <c r="R31" s="2">
        <f>[1]!YBHIST("FHLM 30-Yr Survey Rate",$A31,"Yield","bmk","")</f>
        <v>3.31</v>
      </c>
      <c r="S31" s="6">
        <f>[1]!YBHIST("Base Mortgage Rate",$A31,"Yield","bmk","")</f>
        <v>2.5379999999999998</v>
      </c>
      <c r="T31" s="18">
        <f>[1]!YBHIST("FNMA 30YR Cur Coup (BE)",$A31,"LMMOAS","bmk","")</f>
        <v>-2.8546</v>
      </c>
      <c r="U31" s="19">
        <f>[1]!YBHIST("FHLMC 30YR Cur Coup (BE)",$A31,"LMMOAS","bmk","")</f>
        <v>3.9100999999999999</v>
      </c>
      <c r="V31" s="19">
        <f>[1]!YBHIST("GNMA 30YR Cur Coup (BE)",$A31,"LMMOAS","bmk","")</f>
        <v>-22.1721</v>
      </c>
      <c r="W31" s="20">
        <f t="shared" si="6"/>
        <v>51.699999999999989</v>
      </c>
      <c r="X31" s="20">
        <f t="shared" si="7"/>
        <v>51.699999999999989</v>
      </c>
      <c r="Y31" s="20">
        <f t="shared" si="8"/>
        <v>56.300000000000018</v>
      </c>
      <c r="Z31" s="25">
        <f>[1]!YBHIST("FNMA3.0-GEN",$A31,"Price","tba","")</f>
        <v>104.601562</v>
      </c>
      <c r="AA31" s="2">
        <f>[1]!YBHIST("FNMA3.5-GEN",$A31,"Price","tba","")</f>
        <v>106.273438</v>
      </c>
      <c r="AB31" s="2">
        <f>[1]!YBHIST("FNMA4.0-GEN",$A31,"Price","tba","")</f>
        <v>106.84375</v>
      </c>
      <c r="AC31" s="2">
        <f>[1]!YBHIST("FNMA4.5-GEN",$A31,"Price","tba","")</f>
        <v>107.578125</v>
      </c>
      <c r="AD31" s="2">
        <f>[1]!YBHIST("FNMA5.0-GEN",$A31,"Price","tba","")</f>
        <v>108.453125</v>
      </c>
      <c r="AE31" s="2">
        <f>[1]!YBHIST("FNMA5.5-GEN",$A31,"Price","tba","")</f>
        <v>108.828125</v>
      </c>
      <c r="AF31" s="6">
        <f>[1]!YBHIST("FNMA6.0-GEN",$A31,"Price","tba","")</f>
        <v>109.828125</v>
      </c>
      <c r="AG31" s="2">
        <f>[1]!YBHIST("FNMA3.0-GEN",$A31,"Yield","tba","")</f>
        <v>1.94</v>
      </c>
      <c r="AH31" s="2">
        <f>[1]!YBHIST("FNMA3.5-GEN",$A31,"Yield","tba","")</f>
        <v>1.6060000000000001</v>
      </c>
      <c r="AI31" s="2">
        <f>[1]!YBHIST("FNMA4.0-GEN",$A31,"Yield","tba","")</f>
        <v>1.492</v>
      </c>
      <c r="AJ31" s="2">
        <f>[1]!YBHIST("FNMA4.5-GEN",$A31,"Yield","tba","")</f>
        <v>1.504</v>
      </c>
      <c r="AK31" s="2">
        <f>[1]!YBHIST("FNMA5.0-GEN",$A31,"Yield","tba","")</f>
        <v>0.70499999999999996</v>
      </c>
      <c r="AL31" s="2">
        <f>[1]!YBHIST("FNMA5.5-GEN",$A31,"Yield","tba","")</f>
        <v>0.96499999999999997</v>
      </c>
      <c r="AM31" s="6">
        <f>[1]!YBHIST("FNMA6.0-GEN",$A31,"Yield","tba","")</f>
        <v>0.42199999999999999</v>
      </c>
      <c r="AN31" s="3">
        <f>[1]!YBHIST(AN$4,$A31,"Price","sec","")</f>
        <v>12.234</v>
      </c>
      <c r="AO31" s="2">
        <f>[1]!YBHIST(AO$4,$A31,"Price","sec","")</f>
        <v>13.234</v>
      </c>
      <c r="AP31" s="2">
        <f>[1]!YBHIST(AP$4,$A31,"Price","sec","")</f>
        <v>10.875</v>
      </c>
      <c r="AQ31" s="2">
        <f>[1]!YBHIST(AQ$4,$A31,"Price","sec","")</f>
        <v>14.25</v>
      </c>
      <c r="AR31" s="2">
        <f>[1]!YBHIST(AR$4,$A31,"Price","sec","")</f>
        <v>12.077999999999999</v>
      </c>
      <c r="AS31" s="2">
        <f>[1]!YBHIST(AS$4,$A31,"Price","sec","")</f>
        <v>17.312000000000001</v>
      </c>
      <c r="AT31" s="2">
        <f>[1]!YBHIST(AT$4,$A31,"Price","sec","")</f>
        <v>15.218999999999999</v>
      </c>
      <c r="AU31" s="2">
        <f>[1]!YBHIST(AU$4,$A31,"Price","sec","")</f>
        <v>10.297000000000001</v>
      </c>
      <c r="AV31" s="2">
        <f>[1]!YBHIST(AV$4,$A31,"Price","sec","")</f>
        <v>13.188000000000001</v>
      </c>
      <c r="AW31" s="2">
        <f>[1]!YBHIST(AW$4,$A31,"Price","sec","")</f>
        <v>12.922000000000001</v>
      </c>
      <c r="AX31" s="2">
        <f>[1]!YBHIST(AX$4,$A31,"Price","sec","")</f>
        <v>11.156000000000001</v>
      </c>
      <c r="AY31" s="2">
        <f>[1]!YBHIST(AY$4,$A31,"Price","sec","")</f>
        <v>14.672000000000001</v>
      </c>
      <c r="AZ31" s="2">
        <f>[1]!YBHIST(AZ$4,$A31,"Price","sec","")</f>
        <v>13.843999999999999</v>
      </c>
      <c r="BA31" s="2">
        <f>[1]!YBHIST(BA$4,$A31,"Price","sec","")</f>
        <v>13.391</v>
      </c>
      <c r="BB31" s="2">
        <f>[1]!YBHIST(BB$4,$A31,"Price","sec","")</f>
        <v>16.516000999999999</v>
      </c>
      <c r="BC31" s="2">
        <f>[1]!YBHIST(BC$4,$A31,"Price","sec","")</f>
        <v>17.358999000000001</v>
      </c>
      <c r="BD31" s="2">
        <f>[1]!YBHIST(BD$4,$A31,"Price","sec","")</f>
        <v>17.312000000000001</v>
      </c>
      <c r="BE31" s="6">
        <f>[1]!YBHIST(BE$4,$A31,"Price","sec","")</f>
        <v>18.625</v>
      </c>
      <c r="BF31" s="20">
        <f>[1]!YBHIST(BF$4,$A31,"LMMOAS","sec","")</f>
        <v>471.72860700000001</v>
      </c>
      <c r="BG31" s="20">
        <f>[1]!YBHIST(BG$4,$A31,"LMMOAS","sec","")</f>
        <v>458.81750499999998</v>
      </c>
      <c r="BH31" s="20">
        <f>[1]!YBHIST(BH$4,$A31,"LMMOAS","sec","")</f>
        <v>576.642517</v>
      </c>
      <c r="BI31" s="20">
        <f>[1]!YBHIST(BI$4,$A31,"LMMOAS","sec","")</f>
        <v>532.091003</v>
      </c>
      <c r="BJ31" s="20">
        <f>[1]!YBHIST(BJ$4,$A31,"LMMOAS","sec","")</f>
        <v>574.86340299999995</v>
      </c>
      <c r="BK31" s="20">
        <f>[1]!YBHIST(BK$4,$A31,"LMMOAS","sec","")</f>
        <v>501.697113</v>
      </c>
      <c r="BL31" s="20">
        <f>[1]!YBHIST(BL$4,$A31,"LMMOAS","sec","")</f>
        <v>554.25262499999997</v>
      </c>
      <c r="BM31" s="20">
        <f>[1]!YBHIST(BM$4,$A31,"LMMOAS","sec","")</f>
        <v>353.579498</v>
      </c>
      <c r="BN31" s="20">
        <f>[1]!YBHIST(BN$4,$A31,"LMMOAS","sec","")</f>
        <v>345.72790500000002</v>
      </c>
      <c r="BO31" s="20">
        <f>[1]!YBHIST(BO$4,$A31,"LMMOAS","sec","")</f>
        <v>556.09332300000005</v>
      </c>
      <c r="BP31" s="20">
        <f>[1]!YBHIST(BP$4,$A31,"LMMOAS","sec","")</f>
        <v>579.51342799999998</v>
      </c>
      <c r="BQ31" s="20">
        <f>[1]!YBHIST(BQ$4,$A31,"LMMOAS","sec","")</f>
        <v>681.15008499999999</v>
      </c>
      <c r="BR31" s="20">
        <f>[1]!YBHIST(BR$4,$A31,"LMMOAS","sec","")</f>
        <v>867.45452899999998</v>
      </c>
      <c r="BS31" s="20">
        <f>[1]!YBHIST(BS$4,$A31,"LMMOAS","sec","")</f>
        <v>483.249908</v>
      </c>
      <c r="BT31" s="20">
        <f>[1]!YBHIST(BT$4,$A31,"LMMOAS","sec","")</f>
        <v>607.44030799999996</v>
      </c>
      <c r="BU31" s="20">
        <f>[1]!YBHIST(BU$4,$A31,"LMMOAS","sec","")</f>
        <v>309.12640399999998</v>
      </c>
      <c r="BV31" s="20">
        <f>[1]!YBHIST(BV$4,$A31,"LMMOAS","sec","")</f>
        <v>366.699005</v>
      </c>
      <c r="BW31" s="20">
        <f>[1]!YBHIST(BW$4,$A31,"LMMOAS","sec","")</f>
        <v>310.82281499999999</v>
      </c>
      <c r="BX31" s="5"/>
      <c r="BY31" s="1"/>
      <c r="BZ31" s="1"/>
    </row>
    <row r="32" spans="1:78" x14ac:dyDescent="0.25">
      <c r="A32" s="14">
        <f>[1]!YBWORKDAY(A$5,-1*(ROW()-ROW(A$5)),"USD","")</f>
        <v>41233</v>
      </c>
      <c r="B32" s="3">
        <f>[1]!YBHIST("2 Year Treasury",$A32,"Price","govt","")</f>
        <v>99.984001000000006</v>
      </c>
      <c r="C32" s="2">
        <f>[1]!YBHIST("5 Year Treasury",$A32,"Price","govt","")</f>
        <v>100.44499999999999</v>
      </c>
      <c r="D32" s="2">
        <f>[1]!YBHIST("10 Year Treasury",$A32,"Price","govt","")</f>
        <v>99.734001000000006</v>
      </c>
      <c r="E32" s="6">
        <f>[1]!YBHIST("30 Year Treasury",$A32,"Price","govt","")</f>
        <v>98.844002000000003</v>
      </c>
      <c r="F32" s="3">
        <f>[1]!YBHIST("2 Year Treasury",$A32,"YldtoMat","govt","")</f>
        <v>0.25800000000000001</v>
      </c>
      <c r="G32" s="2">
        <f>[1]!YBHIST("5 Year Treasury",$A32,"YldtoMat","govt","")</f>
        <v>0.65800000000000003</v>
      </c>
      <c r="H32" s="2">
        <f>[1]!YBHIST("10 Year Treasury",$A32,"YldtoMat","govt","")</f>
        <v>1.6539999999999999</v>
      </c>
      <c r="I32" s="6">
        <f>[1]!YBHIST("30 Year Treasury",$A32,"YldtoMat","govt","")</f>
        <v>2.8069999999999999</v>
      </c>
      <c r="J32" s="3">
        <f>[1]!YBHIST("2yr Swap Rate",$A32,"YldtoMat","swapvol","")</f>
        <v>0.37678299999999998</v>
      </c>
      <c r="K32" s="2">
        <f>[1]!YBHIST("5yr Swap Rate",$A32,"YldtoMat","swapvol","")</f>
        <v>0.79026700000000005</v>
      </c>
      <c r="L32" s="2">
        <f>[1]!YBHIST("10yr Swap Rate",$A32,"YldtoMat","swapvol","")</f>
        <v>1.691797</v>
      </c>
      <c r="M32" s="6">
        <f>[1]!YBHIST("30yr Swap Rate",$A32,"YldtoMat","swapvol","")</f>
        <v>2.5614210000000002</v>
      </c>
      <c r="N32" s="3">
        <f>[1]!YBHIST("FNMA 30YR Cur Coup (BE)",$A32,"Yield","bmk","")</f>
        <v>2.153</v>
      </c>
      <c r="O32" s="2">
        <f>[1]!YBHIST("FHLMC 30YR Cur Coup (BE)",$A32,"Yield","bmk","")</f>
        <v>2.1989999999999998</v>
      </c>
      <c r="P32" s="2">
        <f>[1]!YBHIST("GNMA 30YR Cur Coup (BE)",$A32,"Yield","bmk","")</f>
        <v>2.0670000000000002</v>
      </c>
      <c r="Q32" s="2">
        <f>[1]!YBHIST("Primary 30-Yr Mtg Rate",$A32,"Yield","bmk","")</f>
        <v>3.5508000000000002</v>
      </c>
      <c r="R32" s="2">
        <f>[1]!YBHIST("FHLM 30-Yr Survey Rate",$A32,"Yield","bmk","")</f>
        <v>3.34</v>
      </c>
      <c r="S32" s="6">
        <f>[1]!YBHIST("Base Mortgage Rate",$A32,"Yield","bmk","")</f>
        <v>2.4889999999999999</v>
      </c>
      <c r="T32" s="18">
        <f>[1]!YBHIST("FNMA 30YR Cur Coup (BE)",$A32,"LMMOAS","bmk","")</f>
        <v>-5.8545999999999996</v>
      </c>
      <c r="U32" s="19">
        <f>[1]!YBHIST("FHLMC 30YR Cur Coup (BE)",$A32,"LMMOAS","bmk","")</f>
        <v>0.52590000000000003</v>
      </c>
      <c r="V32" s="19">
        <f>[1]!YBHIST("GNMA 30YR Cur Coup (BE)",$A32,"LMMOAS","bmk","")</f>
        <v>-22.861401000000001</v>
      </c>
      <c r="W32" s="20">
        <f t="shared" si="6"/>
        <v>49.900000000000013</v>
      </c>
      <c r="X32" s="20">
        <f t="shared" si="7"/>
        <v>49.900000000000013</v>
      </c>
      <c r="Y32" s="20">
        <f t="shared" si="8"/>
        <v>54.499999999999993</v>
      </c>
      <c r="Z32" s="25">
        <f>[1]!YBHIST("FNMA3.0-GEN",$A32,"Price","tba","")</f>
        <v>104.789062</v>
      </c>
      <c r="AA32" s="2">
        <f>[1]!YBHIST("FNMA3.5-GEN",$A32,"Price","tba","")</f>
        <v>106.398438</v>
      </c>
      <c r="AB32" s="2">
        <f>[1]!YBHIST("FNMA4.0-GEN",$A32,"Price","tba","")</f>
        <v>106.929688</v>
      </c>
      <c r="AC32" s="2">
        <f>[1]!YBHIST("FNMA4.5-GEN",$A32,"Price","tba","")</f>
        <v>107.609375</v>
      </c>
      <c r="AD32" s="2">
        <f>[1]!YBHIST("FNMA5.0-GEN",$A32,"Price","tba","")</f>
        <v>108.453125</v>
      </c>
      <c r="AE32" s="2">
        <f>[1]!YBHIST("FNMA5.5-GEN",$A32,"Price","tba","")</f>
        <v>108.828125</v>
      </c>
      <c r="AF32" s="6">
        <f>[1]!YBHIST("FNMA6.0-GEN",$A32,"Price","tba","")</f>
        <v>109.851562</v>
      </c>
      <c r="AG32" s="2">
        <f>[1]!YBHIST("FNMA3.0-GEN",$A32,"Yield","tba","")</f>
        <v>1.857</v>
      </c>
      <c r="AH32" s="2">
        <f>[1]!YBHIST("FNMA3.5-GEN",$A32,"Yield","tba","")</f>
        <v>1.51</v>
      </c>
      <c r="AI32" s="2">
        <f>[1]!YBHIST("FNMA4.0-GEN",$A32,"Yield","tba","")</f>
        <v>1.4019999999999999</v>
      </c>
      <c r="AJ32" s="2">
        <f>[1]!YBHIST("FNMA4.5-GEN",$A32,"Yield","tba","")</f>
        <v>1.4410000000000001</v>
      </c>
      <c r="AK32" s="2">
        <f>[1]!YBHIST("FNMA5.0-GEN",$A32,"Yield","tba","")</f>
        <v>0.65200000000000002</v>
      </c>
      <c r="AL32" s="2">
        <f>[1]!YBHIST("FNMA5.5-GEN",$A32,"Yield","tba","")</f>
        <v>0.92500000000000004</v>
      </c>
      <c r="AM32" s="6">
        <f>[1]!YBHIST("FNMA6.0-GEN",$A32,"Yield","tba","")</f>
        <v>0.376</v>
      </c>
      <c r="AN32" s="3">
        <f>[1]!YBHIST(AN$4,$A32,"Price","sec","")</f>
        <v>11.859</v>
      </c>
      <c r="AO32" s="2">
        <f>[1]!YBHIST(AO$4,$A32,"Price","sec","")</f>
        <v>12.922000000000001</v>
      </c>
      <c r="AP32" s="2">
        <f>[1]!YBHIST(AP$4,$A32,"Price","sec","")</f>
        <v>10.547000000000001</v>
      </c>
      <c r="AQ32" s="2">
        <f>[1]!YBHIST(AQ$4,$A32,"Price","sec","")</f>
        <v>14.016</v>
      </c>
      <c r="AR32" s="2">
        <f>[1]!YBHIST(AR$4,$A32,"Price","sec","")</f>
        <v>11.843999999999999</v>
      </c>
      <c r="AS32" s="2">
        <f>[1]!YBHIST(AS$4,$A32,"Price","sec","")</f>
        <v>17.141000999999999</v>
      </c>
      <c r="AT32" s="2">
        <f>[1]!YBHIST(AT$4,$A32,"Price","sec","")</f>
        <v>15.047000000000001</v>
      </c>
      <c r="AU32" s="2">
        <f>[1]!YBHIST(AU$4,$A32,"Price","sec","")</f>
        <v>10.156000000000001</v>
      </c>
      <c r="AV32" s="2">
        <f>[1]!YBHIST(AV$4,$A32,"Price","sec","")</f>
        <v>13.047000000000001</v>
      </c>
      <c r="AW32" s="2">
        <f>[1]!YBHIST(AW$4,$A32,"Price","sec","")</f>
        <v>12.797000000000001</v>
      </c>
      <c r="AX32" s="2">
        <f>[1]!YBHIST(AX$4,$A32,"Price","sec","")</f>
        <v>11.061999999999999</v>
      </c>
      <c r="AY32" s="2">
        <f>[1]!YBHIST(AY$4,$A32,"Price","sec","")</f>
        <v>14.593999999999999</v>
      </c>
      <c r="AZ32" s="2">
        <f>[1]!YBHIST(AZ$4,$A32,"Price","sec","")</f>
        <v>13.75</v>
      </c>
      <c r="BA32" s="2">
        <f>[1]!YBHIST(BA$4,$A32,"Price","sec","")</f>
        <v>13.327999999999999</v>
      </c>
      <c r="BB32" s="2">
        <f>[1]!YBHIST(BB$4,$A32,"Price","sec","")</f>
        <v>16.469000000000001</v>
      </c>
      <c r="BC32" s="2">
        <f>[1]!YBHIST(BC$4,$A32,"Price","sec","")</f>
        <v>17.125</v>
      </c>
      <c r="BD32" s="2">
        <f>[1]!YBHIST(BD$4,$A32,"Price","sec","")</f>
        <v>17.094000000000001</v>
      </c>
      <c r="BE32" s="6">
        <f>[1]!YBHIST(BE$4,$A32,"Price","sec","")</f>
        <v>18.437999999999999</v>
      </c>
      <c r="BF32" s="20">
        <f>[1]!YBHIST(BF$4,$A32,"LMMOAS","sec","")</f>
        <v>490.77529900000002</v>
      </c>
      <c r="BG32" s="20">
        <f>[1]!YBHIST(BG$4,$A32,"LMMOAS","sec","")</f>
        <v>466.56408699999997</v>
      </c>
      <c r="BH32" s="20">
        <f>[1]!YBHIST(BH$4,$A32,"LMMOAS","sec","")</f>
        <v>606.62237500000003</v>
      </c>
      <c r="BI32" s="20">
        <f>[1]!YBHIST(BI$4,$A32,"LMMOAS","sec","")</f>
        <v>529.53179899999998</v>
      </c>
      <c r="BJ32" s="20">
        <f>[1]!YBHIST(BJ$4,$A32,"LMMOAS","sec","")</f>
        <v>583.19341999999995</v>
      </c>
      <c r="BK32" s="20">
        <f>[1]!YBHIST(BK$4,$A32,"LMMOAS","sec","")</f>
        <v>495.85659800000002</v>
      </c>
      <c r="BL32" s="20">
        <f>[1]!YBHIST(BL$4,$A32,"LMMOAS","sec","")</f>
        <v>549.88439900000003</v>
      </c>
      <c r="BM32" s="20">
        <f>[1]!YBHIST(BM$4,$A32,"LMMOAS","sec","")</f>
        <v>359.16360500000002</v>
      </c>
      <c r="BN32" s="20">
        <f>[1]!YBHIST(BN$4,$A32,"LMMOAS","sec","")</f>
        <v>345.71029700000003</v>
      </c>
      <c r="BO32" s="20">
        <f>[1]!YBHIST(BO$4,$A32,"LMMOAS","sec","")</f>
        <v>560.26062000000002</v>
      </c>
      <c r="BP32" s="20">
        <f>[1]!YBHIST(BP$4,$A32,"LMMOAS","sec","")</f>
        <v>576.08727999999996</v>
      </c>
      <c r="BQ32" s="20">
        <f>[1]!YBHIST(BQ$4,$A32,"LMMOAS","sec","")</f>
        <v>673.20220900000004</v>
      </c>
      <c r="BR32" s="20">
        <f>[1]!YBHIST(BR$4,$A32,"LMMOAS","sec","")</f>
        <v>870.08429000000001</v>
      </c>
      <c r="BS32" s="20">
        <f>[1]!YBHIST(BS$4,$A32,"LMMOAS","sec","")</f>
        <v>474.32199100000003</v>
      </c>
      <c r="BT32" s="20">
        <f>[1]!YBHIST(BT$4,$A32,"LMMOAS","sec","")</f>
        <v>601.86840800000004</v>
      </c>
      <c r="BU32" s="20">
        <f>[1]!YBHIST(BU$4,$A32,"LMMOAS","sec","")</f>
        <v>296.67990099999997</v>
      </c>
      <c r="BV32" s="20">
        <f>[1]!YBHIST(BV$4,$A32,"LMMOAS","sec","")</f>
        <v>356.39318800000001</v>
      </c>
      <c r="BW32" s="20">
        <f>[1]!YBHIST(BW$4,$A32,"LMMOAS","sec","")</f>
        <v>301.43310500000001</v>
      </c>
      <c r="BX32" s="5"/>
      <c r="BY32" s="1"/>
      <c r="BZ32" s="1"/>
    </row>
    <row r="33" spans="1:78" x14ac:dyDescent="0.25">
      <c r="A33" s="14">
        <f>[1]!YBWORKDAY(A$26,-1*(ROW()-ROW(A$26)),"USD","")</f>
        <v>41232</v>
      </c>
      <c r="B33" s="3">
        <f>[1]!YBHIST("2 Year Treasury",$A33,"Price","govt","")</f>
        <v>100.01599899999999</v>
      </c>
      <c r="C33" s="2">
        <f>[1]!YBHIST("5 Year Treasury",$A33,"Price","govt","")</f>
        <v>100.585999</v>
      </c>
      <c r="D33" s="2">
        <f>[1]!YBHIST("10 Year Treasury",$A33,"Price","govt","")</f>
        <v>100.125</v>
      </c>
      <c r="E33" s="6">
        <f>[1]!YBHIST("30 Year Treasury",$A33,"Price","govt","")</f>
        <v>99.75</v>
      </c>
      <c r="F33" s="3">
        <f>[1]!YBHIST("2 Year Treasury",$A33,"YldtoMat","govt","")</f>
        <v>0.24199999999999999</v>
      </c>
      <c r="G33" s="2">
        <f>[1]!YBHIST("5 Year Treasury",$A33,"YldtoMat","govt","")</f>
        <v>0.629</v>
      </c>
      <c r="H33" s="2">
        <f>[1]!YBHIST("10 Year Treasury",$A33,"YldtoMat","govt","")</f>
        <v>1.611</v>
      </c>
      <c r="I33" s="6">
        <f>[1]!YBHIST("30 Year Treasury",$A33,"YldtoMat","govt","")</f>
        <v>2.762</v>
      </c>
      <c r="J33" s="3">
        <f>[1]!YBHIST("2yr Swap Rate",$A33,"YldtoMat","swapvol","")</f>
        <v>0.375419</v>
      </c>
      <c r="K33" s="2">
        <f>[1]!YBHIST("5yr Swap Rate",$A33,"YldtoMat","swapvol","")</f>
        <v>0.76790000000000003</v>
      </c>
      <c r="L33" s="2">
        <f>[1]!YBHIST("10yr Swap Rate",$A33,"YldtoMat","swapvol","")</f>
        <v>1.6551480000000001</v>
      </c>
      <c r="M33" s="6">
        <f>[1]!YBHIST("30yr Swap Rate",$A33,"YldtoMat","swapvol","")</f>
        <v>2.5168620000000002</v>
      </c>
      <c r="N33" s="3">
        <f>[1]!YBHIST("FNMA 30YR Cur Coup (BE)",$A33,"Yield","bmk","")</f>
        <v>2.081</v>
      </c>
      <c r="O33" s="2">
        <f>[1]!YBHIST("FHLMC 30YR Cur Coup (BE)",$A33,"Yield","bmk","")</f>
        <v>2.1269999999999998</v>
      </c>
      <c r="P33" s="2">
        <f>[1]!YBHIST("GNMA 30YR Cur Coup (BE)",$A33,"Yield","bmk","")</f>
        <v>1.9950000000000001</v>
      </c>
      <c r="Q33" s="2">
        <f>[1]!YBHIST("Primary 30-Yr Mtg Rate",$A33,"Yield","bmk","")</f>
        <v>3.4813000000000001</v>
      </c>
      <c r="R33" s="2">
        <f>[1]!YBHIST("FHLM 30-Yr Survey Rate",$A33,"Yield","bmk","")</f>
        <v>3.4</v>
      </c>
      <c r="S33" s="6">
        <f>[1]!YBHIST("Base Mortgage Rate",$A33,"Yield","bmk","")</f>
        <v>2.419</v>
      </c>
      <c r="T33" s="18">
        <f>[1]!YBHIST("FNMA 30YR Cur Coup (BE)",$A33,"LMMOAS","bmk","")</f>
        <v>-9.6770999999999994</v>
      </c>
      <c r="U33" s="19">
        <f>[1]!YBHIST("FHLMC 30YR Cur Coup (BE)",$A33,"LMMOAS","bmk","")</f>
        <v>-3.6859999999999999</v>
      </c>
      <c r="V33" s="19">
        <f>[1]!YBHIST("GNMA 30YR Cur Coup (BE)",$A33,"LMMOAS","bmk","")</f>
        <v>-21.765599999999999</v>
      </c>
      <c r="W33" s="20">
        <f t="shared" si="6"/>
        <v>47</v>
      </c>
      <c r="X33" s="20">
        <f t="shared" si="7"/>
        <v>47</v>
      </c>
      <c r="Y33" s="20">
        <f t="shared" si="8"/>
        <v>51.59999999999998</v>
      </c>
      <c r="Z33" s="25">
        <f>[1]!YBHIST("FNMA3.0-GEN",$A33,"Price","tba","")</f>
        <v>104.976562</v>
      </c>
      <c r="AA33" s="2">
        <f>[1]!YBHIST("FNMA3.5-GEN",$A33,"Price","tba","")</f>
        <v>106.5</v>
      </c>
      <c r="AB33" s="2">
        <f>[1]!YBHIST("FNMA4.0-GEN",$A33,"Price","tba","")</f>
        <v>107.023438</v>
      </c>
      <c r="AC33" s="2">
        <f>[1]!YBHIST("FNMA4.5-GEN",$A33,"Price","tba","")</f>
        <v>107.640625</v>
      </c>
      <c r="AD33" s="2">
        <f>[1]!YBHIST("FNMA5.0-GEN",$A33,"Price","tba","")</f>
        <v>108.445312</v>
      </c>
      <c r="AE33" s="2">
        <f>[1]!YBHIST("FNMA5.5-GEN",$A33,"Price","tba","")</f>
        <v>108.84375</v>
      </c>
      <c r="AF33" s="6">
        <f>[1]!YBHIST("FNMA6.0-GEN",$A33,"Price","tba","")</f>
        <v>109.875</v>
      </c>
      <c r="AG33" s="2">
        <f>[1]!YBHIST("FNMA3.0-GEN",$A33,"Yield","tba","")</f>
        <v>1.75</v>
      </c>
      <c r="AH33" s="2">
        <f>[1]!YBHIST("FNMA3.5-GEN",$A33,"Yield","tba","")</f>
        <v>1.393</v>
      </c>
      <c r="AI33" s="2">
        <f>[1]!YBHIST("FNMA4.0-GEN",$A33,"Yield","tba","")</f>
        <v>1.2809999999999999</v>
      </c>
      <c r="AJ33" s="2">
        <f>[1]!YBHIST("FNMA4.5-GEN",$A33,"Yield","tba","")</f>
        <v>1.353</v>
      </c>
      <c r="AK33" s="2">
        <f>[1]!YBHIST("FNMA5.0-GEN",$A33,"Yield","tba","")</f>
        <v>0.58199999999999996</v>
      </c>
      <c r="AL33" s="2">
        <f>[1]!YBHIST("FNMA5.5-GEN",$A33,"Yield","tba","")</f>
        <v>0.86399999999999999</v>
      </c>
      <c r="AM33" s="6">
        <f>[1]!YBHIST("FNMA6.0-GEN",$A33,"Yield","tba","")</f>
        <v>0.31900000000000001</v>
      </c>
      <c r="AN33" s="3">
        <f>[1]!YBHIST(AN$4,$A33,"Price","sec","")</f>
        <v>11.734</v>
      </c>
      <c r="AO33" s="2">
        <f>[1]!YBHIST(AO$4,$A33,"Price","sec","")</f>
        <v>12.827999999999999</v>
      </c>
      <c r="AP33" s="2">
        <f>[1]!YBHIST(AP$4,$A33,"Price","sec","")</f>
        <v>10.452999999999999</v>
      </c>
      <c r="AQ33" s="2">
        <f>[1]!YBHIST(AQ$4,$A33,"Price","sec","")</f>
        <v>13.952999999999999</v>
      </c>
      <c r="AR33" s="2">
        <f>[1]!YBHIST(AR$4,$A33,"Price","sec","")</f>
        <v>11.766</v>
      </c>
      <c r="AS33" s="2">
        <f>[1]!YBHIST(AS$4,$A33,"Price","sec","")</f>
        <v>17.077998999999998</v>
      </c>
      <c r="AT33" s="2">
        <f>[1]!YBHIST(AT$4,$A33,"Price","sec","")</f>
        <v>15.016</v>
      </c>
      <c r="AU33" s="2">
        <f>[1]!YBHIST(AU$4,$A33,"Price","sec","")</f>
        <v>10.109</v>
      </c>
      <c r="AV33" s="2">
        <f>[1]!YBHIST(AV$4,$A33,"Price","sec","")</f>
        <v>13</v>
      </c>
      <c r="AW33" s="2">
        <f>[1]!YBHIST(AW$4,$A33,"Price","sec","")</f>
        <v>12.75</v>
      </c>
      <c r="AX33" s="2">
        <f>[1]!YBHIST(AX$4,$A33,"Price","sec","")</f>
        <v>11.016</v>
      </c>
      <c r="AY33" s="2">
        <f>[1]!YBHIST(AY$4,$A33,"Price","sec","")</f>
        <v>14.561999999999999</v>
      </c>
      <c r="AZ33" s="2">
        <f>[1]!YBHIST(AZ$4,$A33,"Price","sec","")</f>
        <v>13.718999999999999</v>
      </c>
      <c r="BA33" s="2">
        <f>[1]!YBHIST(BA$4,$A33,"Price","sec","")</f>
        <v>13.343999999999999</v>
      </c>
      <c r="BB33" s="2">
        <f>[1]!YBHIST(BB$4,$A33,"Price","sec","")</f>
        <v>16.516000999999999</v>
      </c>
      <c r="BC33" s="2">
        <f>[1]!YBHIST(BC$4,$A33,"Price","sec","")</f>
        <v>17.030999999999999</v>
      </c>
      <c r="BD33" s="2">
        <f>[1]!YBHIST(BD$4,$A33,"Price","sec","")</f>
        <v>17</v>
      </c>
      <c r="BE33" s="6">
        <f>[1]!YBHIST(BE$4,$A33,"Price","sec","")</f>
        <v>18.375</v>
      </c>
      <c r="BF33" s="20">
        <f>[1]!YBHIST(BF$4,$A33,"LMMOAS","sec","")</f>
        <v>418.375</v>
      </c>
      <c r="BG33" s="20">
        <f>[1]!YBHIST(BG$4,$A33,"LMMOAS","sec","")</f>
        <v>394.74380500000001</v>
      </c>
      <c r="BH33" s="20">
        <f>[1]!YBHIST(BH$4,$A33,"LMMOAS","sec","")</f>
        <v>532.17571999999996</v>
      </c>
      <c r="BI33" s="20">
        <f>[1]!YBHIST(BI$4,$A33,"LMMOAS","sec","")</f>
        <v>458.90679899999998</v>
      </c>
      <c r="BJ33" s="20">
        <f>[1]!YBHIST(BJ$4,$A33,"LMMOAS","sec","")</f>
        <v>514.59741199999996</v>
      </c>
      <c r="BK33" s="20">
        <f>[1]!YBHIST(BK$4,$A33,"LMMOAS","sec","")</f>
        <v>446.52020299999998</v>
      </c>
      <c r="BL33" s="20">
        <f>[1]!YBHIST(BL$4,$A33,"LMMOAS","sec","")</f>
        <v>487.748199</v>
      </c>
      <c r="BM33" s="20">
        <f>[1]!YBHIST(BM$4,$A33,"LMMOAS","sec","")</f>
        <v>296.18548600000003</v>
      </c>
      <c r="BN33" s="20">
        <f>[1]!YBHIST(BN$4,$A33,"LMMOAS","sec","")</f>
        <v>296.799713</v>
      </c>
      <c r="BO33" s="20">
        <f>[1]!YBHIST(BO$4,$A33,"LMMOAS","sec","")</f>
        <v>519.94872999999995</v>
      </c>
      <c r="BP33" s="20">
        <f>[1]!YBHIST(BP$4,$A33,"LMMOAS","sec","")</f>
        <v>522.85589600000003</v>
      </c>
      <c r="BQ33" s="20">
        <f>[1]!YBHIST(BQ$4,$A33,"LMMOAS","sec","")</f>
        <v>632.82171600000004</v>
      </c>
      <c r="BR33" s="20">
        <f>[1]!YBHIST(BR$4,$A33,"LMMOAS","sec","")</f>
        <v>834.91931199999999</v>
      </c>
      <c r="BS33" s="20">
        <f>[1]!YBHIST(BS$4,$A33,"LMMOAS","sec","")</f>
        <v>416.71521000000001</v>
      </c>
      <c r="BT33" s="20">
        <f>[1]!YBHIST(BT$4,$A33,"LMMOAS","sec","")</f>
        <v>558.30578600000001</v>
      </c>
      <c r="BU33" s="20">
        <f>[1]!YBHIST(BU$4,$A33,"LMMOAS","sec","")</f>
        <v>235.56759600000001</v>
      </c>
      <c r="BV33" s="20">
        <f>[1]!YBHIST(BV$4,$A33,"LMMOAS","sec","")</f>
        <v>299.90130599999998</v>
      </c>
      <c r="BW33" s="20">
        <f>[1]!YBHIST(BW$4,$A33,"LMMOAS","sec","")</f>
        <v>249.87690699999999</v>
      </c>
      <c r="BX33" s="5"/>
      <c r="BY33" s="1"/>
      <c r="BZ33" s="1"/>
    </row>
    <row r="34" spans="1:78" x14ac:dyDescent="0.25">
      <c r="A34" s="14">
        <f>[1]!YBWORKDAY(A$26,-1*(ROW()-ROW(A$26)),"USD","")</f>
        <v>41229</v>
      </c>
      <c r="B34" s="3">
        <f>[1]!YBHIST("2 Year Treasury",$A34,"Price","govt","")</f>
        <v>100.023003</v>
      </c>
      <c r="C34" s="2">
        <f>[1]!YBHIST("5 Year Treasury",$A34,"Price","govt","")</f>
        <v>100.69499999999999</v>
      </c>
      <c r="D34" s="2">
        <f>[1]!YBHIST("10 Year Treasury",$A34,"Price","govt","")</f>
        <v>100.469002</v>
      </c>
      <c r="E34" s="6">
        <f>[1]!YBHIST("30 Year Treasury",$A34,"Price","govt","")</f>
        <v>100.578003</v>
      </c>
      <c r="F34" s="3">
        <f>[1]!YBHIST("2 Year Treasury",$A34,"YldtoMat","govt","")</f>
        <v>0.23799999999999999</v>
      </c>
      <c r="G34" s="2">
        <f>[1]!YBHIST("5 Year Treasury",$A34,"YldtoMat","govt","")</f>
        <v>0.60699999999999998</v>
      </c>
      <c r="H34" s="2">
        <f>[1]!YBHIST("10 Year Treasury",$A34,"YldtoMat","govt","")</f>
        <v>1.5740000000000001</v>
      </c>
      <c r="I34" s="6">
        <f>[1]!YBHIST("30 Year Treasury",$A34,"YldtoMat","govt","")</f>
        <v>2.722</v>
      </c>
      <c r="J34" s="3">
        <f>[1]!YBHIST("2yr Swap Rate",$A34,"YldtoMat","swapvol","")</f>
        <v>0.37793199999999999</v>
      </c>
      <c r="K34" s="2">
        <f>[1]!YBHIST("5yr Swap Rate",$A34,"YldtoMat","swapvol","")</f>
        <v>0.74898299999999995</v>
      </c>
      <c r="L34" s="2">
        <f>[1]!YBHIST("10yr Swap Rate",$A34,"YldtoMat","swapvol","")</f>
        <v>1.6194219999999999</v>
      </c>
      <c r="M34" s="6">
        <f>[1]!YBHIST("30yr Swap Rate",$A34,"YldtoMat","swapvol","")</f>
        <v>2.4756040000000001</v>
      </c>
      <c r="N34" s="3">
        <f>[1]!YBHIST("FNMA 30YR Cur Coup (BE)",$A34,"Yield","bmk","")</f>
        <v>2.0419999999999998</v>
      </c>
      <c r="O34" s="2">
        <f>[1]!YBHIST("FHLMC 30YR Cur Coup (BE)",$A34,"Yield","bmk","")</f>
        <v>2.0880000000000001</v>
      </c>
      <c r="P34" s="2">
        <f>[1]!YBHIST("GNMA 30YR Cur Coup (BE)",$A34,"Yield","bmk","")</f>
        <v>1.956</v>
      </c>
      <c r="Q34" s="2">
        <f>[1]!YBHIST("Primary 30-Yr Mtg Rate",$A34,"Yield","bmk","")</f>
        <v>3.4434999999999998</v>
      </c>
      <c r="R34" s="2">
        <f>[1]!YBHIST("FHLM 30-Yr Survey Rate",$A34,"Yield","bmk","")</f>
        <v>3.4</v>
      </c>
      <c r="S34" s="6">
        <f>[1]!YBHIST("Base Mortgage Rate",$A34,"Yield","bmk","")</f>
        <v>2.3820000000000001</v>
      </c>
      <c r="T34" s="18">
        <f>[1]!YBHIST("FNMA 30YR Cur Coup (BE)",$A34,"LMMOAS","bmk","")</f>
        <v>-9.782</v>
      </c>
      <c r="U34" s="19">
        <f>[1]!YBHIST("FHLMC 30YR Cur Coup (BE)",$A34,"LMMOAS","bmk","")</f>
        <v>-4.0846</v>
      </c>
      <c r="V34" s="19">
        <f>[1]!YBHIST("GNMA 30YR Cur Coup (BE)",$A34,"LMMOAS","bmk","")</f>
        <v>-18.725598999999999</v>
      </c>
      <c r="W34" s="20">
        <f t="shared" si="6"/>
        <v>46.799999999999976</v>
      </c>
      <c r="X34" s="20">
        <f t="shared" si="7"/>
        <v>46.799999999999976</v>
      </c>
      <c r="Y34" s="20">
        <f t="shared" si="8"/>
        <v>51.4</v>
      </c>
      <c r="Z34" s="25">
        <f>[1]!YBHIST("FNMA3.0-GEN",$A34,"Price","tba","")</f>
        <v>105.101562</v>
      </c>
      <c r="AA34" s="2">
        <f>[1]!YBHIST("FNMA3.5-GEN",$A34,"Price","tba","")</f>
        <v>106.5625</v>
      </c>
      <c r="AB34" s="2">
        <f>[1]!YBHIST("FNMA4.0-GEN",$A34,"Price","tba","")</f>
        <v>107.007812</v>
      </c>
      <c r="AC34" s="2">
        <f>[1]!YBHIST("FNMA4.5-GEN",$A34,"Price","tba","")</f>
        <v>107.601562</v>
      </c>
      <c r="AD34" s="2">
        <f>[1]!YBHIST("FNMA5.0-GEN",$A34,"Price","tba","")</f>
        <v>108.390625</v>
      </c>
      <c r="AE34" s="2">
        <f>[1]!YBHIST("FNMA5.5-GEN",$A34,"Price","tba","")</f>
        <v>108.820312</v>
      </c>
      <c r="AF34" s="6">
        <f>[1]!YBHIST("FNMA6.0-GEN",$A34,"Price","tba","")</f>
        <v>109.851562</v>
      </c>
      <c r="AG34" s="2">
        <f>[1]!YBHIST("FNMA3.0-GEN",$A34,"Yield","tba","")</f>
        <v>1.6879999999999999</v>
      </c>
      <c r="AH34" s="2">
        <f>[1]!YBHIST("FNMA3.5-GEN",$A34,"Yield","tba","")</f>
        <v>1.3320000000000001</v>
      </c>
      <c r="AI34" s="2">
        <f>[1]!YBHIST("FNMA4.0-GEN",$A34,"Yield","tba","")</f>
        <v>1.246</v>
      </c>
      <c r="AJ34" s="2">
        <f>[1]!YBHIST("FNMA4.5-GEN",$A34,"Yield","tba","")</f>
        <v>1.3340000000000001</v>
      </c>
      <c r="AK34" s="2">
        <f>[1]!YBHIST("FNMA5.0-GEN",$A34,"Yield","tba","")</f>
        <v>0.57599999999999996</v>
      </c>
      <c r="AL34" s="2">
        <f>[1]!YBHIST("FNMA5.5-GEN",$A34,"Yield","tba","")</f>
        <v>0.85199999999999998</v>
      </c>
      <c r="AM34" s="6">
        <f>[1]!YBHIST("FNMA6.0-GEN",$A34,"Yield","tba","")</f>
        <v>0.31</v>
      </c>
      <c r="AN34" s="3">
        <f>[1]!YBHIST(AN$4,$A34,"Price","sec","")</f>
        <v>11.609</v>
      </c>
      <c r="AO34" s="2">
        <f>[1]!YBHIST(AO$4,$A34,"Price","sec","")</f>
        <v>12.75</v>
      </c>
      <c r="AP34" s="2">
        <f>[1]!YBHIST(AP$4,$A34,"Price","sec","")</f>
        <v>10.452999999999999</v>
      </c>
      <c r="AQ34" s="2">
        <f>[1]!YBHIST(AQ$4,$A34,"Price","sec","")</f>
        <v>13.938000000000001</v>
      </c>
      <c r="AR34" s="2">
        <f>[1]!YBHIST(AR$4,$A34,"Price","sec","")</f>
        <v>11.766</v>
      </c>
      <c r="AS34" s="2">
        <f>[1]!YBHIST(AS$4,$A34,"Price","sec","")</f>
        <v>17.062000000000001</v>
      </c>
      <c r="AT34" s="2">
        <f>[1]!YBHIST(AT$4,$A34,"Price","sec","")</f>
        <v>15.109</v>
      </c>
      <c r="AU34" s="2">
        <f>[1]!YBHIST(AU$4,$A34,"Price","sec","")</f>
        <v>10.031000000000001</v>
      </c>
      <c r="AV34" s="2">
        <f>[1]!YBHIST(AV$4,$A34,"Price","sec","")</f>
        <v>12.968999999999999</v>
      </c>
      <c r="AW34" s="2">
        <f>[1]!YBHIST(AW$4,$A34,"Price","sec","")</f>
        <v>12.734</v>
      </c>
      <c r="AX34" s="2">
        <f>[1]!YBHIST(AX$4,$A34,"Price","sec","")</f>
        <v>10.984</v>
      </c>
      <c r="AY34" s="2">
        <f>[1]!YBHIST(AY$4,$A34,"Price","sec","")</f>
        <v>14.547000000000001</v>
      </c>
      <c r="AZ34" s="2">
        <f>[1]!YBHIST(AZ$4,$A34,"Price","sec","")</f>
        <v>13.688000000000001</v>
      </c>
      <c r="BA34" s="2">
        <f>[1]!YBHIST(BA$4,$A34,"Price","sec","")</f>
        <v>13.343999999999999</v>
      </c>
      <c r="BB34" s="2">
        <f>[1]!YBHIST(BB$4,$A34,"Price","sec","")</f>
        <v>16.516000999999999</v>
      </c>
      <c r="BC34" s="2">
        <f>[1]!YBHIST(BC$4,$A34,"Price","sec","")</f>
        <v>16.922001000000002</v>
      </c>
      <c r="BD34" s="2">
        <f>[1]!YBHIST(BD$4,$A34,"Price","sec","")</f>
        <v>16.891000999999999</v>
      </c>
      <c r="BE34" s="6">
        <f>[1]!YBHIST(BE$4,$A34,"Price","sec","")</f>
        <v>18.297001000000002</v>
      </c>
      <c r="BF34" s="20">
        <f>[1]!YBHIST(BF$4,$A34,"LMMOAS","sec","")</f>
        <v>396.07888800000001</v>
      </c>
      <c r="BG34" s="20">
        <f>[1]!YBHIST(BG$4,$A34,"LMMOAS","sec","")</f>
        <v>364.365814</v>
      </c>
      <c r="BH34" s="20">
        <f>[1]!YBHIST(BH$4,$A34,"LMMOAS","sec","")</f>
        <v>481.19158900000002</v>
      </c>
      <c r="BI34" s="20">
        <f>[1]!YBHIST(BI$4,$A34,"LMMOAS","sec","")</f>
        <v>419.53671300000002</v>
      </c>
      <c r="BJ34" s="20">
        <f>[1]!YBHIST(BJ$4,$A34,"LMMOAS","sec","")</f>
        <v>468.97640999999999</v>
      </c>
      <c r="BK34" s="20">
        <f>[1]!YBHIST(BK$4,$A34,"LMMOAS","sec","")</f>
        <v>419.27038599999997</v>
      </c>
      <c r="BL34" s="20">
        <f>[1]!YBHIST(BL$4,$A34,"LMMOAS","sec","")</f>
        <v>435.13558999999998</v>
      </c>
      <c r="BM34" s="20">
        <f>[1]!YBHIST(BM$4,$A34,"LMMOAS","sec","")</f>
        <v>281.12719700000002</v>
      </c>
      <c r="BN34" s="20">
        <f>[1]!YBHIST(BN$4,$A34,"LMMOAS","sec","")</f>
        <v>274.16009500000001</v>
      </c>
      <c r="BO34" s="20">
        <f>[1]!YBHIST(BO$4,$A34,"LMMOAS","sec","")</f>
        <v>499.18618800000002</v>
      </c>
      <c r="BP34" s="20">
        <f>[1]!YBHIST(BP$4,$A34,"LMMOAS","sec","")</f>
        <v>497.76129200000003</v>
      </c>
      <c r="BQ34" s="20">
        <f>[1]!YBHIST(BQ$4,$A34,"LMMOAS","sec","")</f>
        <v>613.40728799999999</v>
      </c>
      <c r="BR34" s="20">
        <f>[1]!YBHIST(BR$4,$A34,"LMMOAS","sec","")</f>
        <v>822.57891800000004</v>
      </c>
      <c r="BS34" s="20">
        <f>[1]!YBHIST(BS$4,$A34,"LMMOAS","sec","")</f>
        <v>389.01971400000002</v>
      </c>
      <c r="BT34" s="20">
        <f>[1]!YBHIST(BT$4,$A34,"LMMOAS","sec","")</f>
        <v>541.77807600000006</v>
      </c>
      <c r="BU34" s="20">
        <f>[1]!YBHIST(BU$4,$A34,"LMMOAS","sec","")</f>
        <v>213.93820199999999</v>
      </c>
      <c r="BV34" s="20">
        <f>[1]!YBHIST(BV$4,$A34,"LMMOAS","sec","")</f>
        <v>280.26660199999998</v>
      </c>
      <c r="BW34" s="20">
        <f>[1]!YBHIST(BW$4,$A34,"LMMOAS","sec","")</f>
        <v>229.89070100000001</v>
      </c>
      <c r="BX34" s="5"/>
      <c r="BY34" s="1"/>
      <c r="BZ34" s="1"/>
    </row>
    <row r="35" spans="1:78" x14ac:dyDescent="0.25">
      <c r="A35" s="14">
        <f>[1]!YBWORKDAY(A$26,-1*(ROW()-ROW(A$26)),"USD","")</f>
        <v>41228</v>
      </c>
      <c r="B35" s="3">
        <f>[1]!YBHIST("2 Year Treasury",$A35,"Price","govt","")</f>
        <v>100.01599899999999</v>
      </c>
      <c r="C35" s="2">
        <f>[1]!YBHIST("5 Year Treasury",$A35,"Price","govt","")</f>
        <v>100.64099899999999</v>
      </c>
      <c r="D35" s="2">
        <f>[1]!YBHIST("10 Year Treasury",$A35,"Price","govt","")</f>
        <v>100.344002</v>
      </c>
      <c r="E35" s="6">
        <f>[1]!YBHIST("30 Year Treasury",$A35,"Price","govt","")</f>
        <v>100.530998</v>
      </c>
      <c r="F35" s="3">
        <f>[1]!YBHIST("2 Year Treasury",$A35,"YldtoMat","govt","")</f>
        <v>0.24199999999999999</v>
      </c>
      <c r="G35" s="2">
        <f>[1]!YBHIST("5 Year Treasury",$A35,"YldtoMat","govt","")</f>
        <v>0.61899999999999999</v>
      </c>
      <c r="H35" s="2">
        <f>[1]!YBHIST("10 Year Treasury",$A35,"YldtoMat","govt","")</f>
        <v>1.5880000000000001</v>
      </c>
      <c r="I35" s="6">
        <f>[1]!YBHIST("30 Year Treasury",$A35,"YldtoMat","govt","")</f>
        <v>2.7240000000000002</v>
      </c>
      <c r="J35" s="3">
        <f>[1]!YBHIST("2yr Swap Rate",$A35,"YldtoMat","swapvol","")</f>
        <v>0.37348399999999998</v>
      </c>
      <c r="K35" s="2">
        <f>[1]!YBHIST("5yr Swap Rate",$A35,"YldtoMat","swapvol","")</f>
        <v>0.75733300000000003</v>
      </c>
      <c r="L35" s="2">
        <f>[1]!YBHIST("10yr Swap Rate",$A35,"YldtoMat","swapvol","")</f>
        <v>1.6291359999999999</v>
      </c>
      <c r="M35" s="6">
        <f>[1]!YBHIST("30yr Swap Rate",$A35,"YldtoMat","swapvol","")</f>
        <v>2.4769030000000001</v>
      </c>
      <c r="N35" s="3">
        <f>[1]!YBHIST("FNMA 30YR Cur Coup (BE)",$A35,"Yield","bmk","")</f>
        <v>2.097</v>
      </c>
      <c r="O35" s="2">
        <f>[1]!YBHIST("FHLMC 30YR Cur Coup (BE)",$A35,"Yield","bmk","")</f>
        <v>2.1429999999999998</v>
      </c>
      <c r="P35" s="2">
        <f>[1]!YBHIST("GNMA 30YR Cur Coup (BE)",$A35,"Yield","bmk","")</f>
        <v>2.0110000000000001</v>
      </c>
      <c r="Q35" s="2">
        <f>[1]!YBHIST("Primary 30-Yr Mtg Rate",$A35,"Yield","bmk","")</f>
        <v>3.4965000000000002</v>
      </c>
      <c r="R35" s="2">
        <f>[1]!YBHIST("FHLM 30-Yr Survey Rate",$A35,"Yield","bmk","")</f>
        <v>3.34</v>
      </c>
      <c r="S35" s="6">
        <f>[1]!YBHIST("Base Mortgage Rate",$A35,"Yield","bmk","")</f>
        <v>2.4350000000000001</v>
      </c>
      <c r="T35" s="18">
        <f>[1]!YBHIST("FNMA 30YR Cur Coup (BE)",$A35,"LMMOAS","bmk","")</f>
        <v>-4.9291999999999998</v>
      </c>
      <c r="U35" s="19">
        <f>[1]!YBHIST("FHLMC 30YR Cur Coup (BE)",$A35,"LMMOAS","bmk","")</f>
        <v>1.1745000000000001</v>
      </c>
      <c r="V35" s="19">
        <f>[1]!YBHIST("GNMA 30YR Cur Coup (BE)",$A35,"LMMOAS","bmk","")</f>
        <v>-18.795300000000001</v>
      </c>
      <c r="W35" s="20">
        <f t="shared" si="6"/>
        <v>50.899999999999991</v>
      </c>
      <c r="X35" s="20">
        <f t="shared" si="7"/>
        <v>50.899999999999991</v>
      </c>
      <c r="Y35" s="20">
        <f t="shared" si="8"/>
        <v>55.499999999999972</v>
      </c>
      <c r="Z35" s="25">
        <f>[1]!YBHIST("FNMA3.0-GEN",$A35,"Price","tba","")</f>
        <v>104.898438</v>
      </c>
      <c r="AA35" s="2">
        <f>[1]!YBHIST("FNMA3.5-GEN",$A35,"Price","tba","")</f>
        <v>106.398438</v>
      </c>
      <c r="AB35" s="2">
        <f>[1]!YBHIST("FNMA4.0-GEN",$A35,"Price","tba","")</f>
        <v>106.851562</v>
      </c>
      <c r="AC35" s="2">
        <f>[1]!YBHIST("FNMA4.5-GEN",$A35,"Price","tba","")</f>
        <v>107.476562</v>
      </c>
      <c r="AD35" s="2">
        <f>[1]!YBHIST("FNMA5.0-GEN",$A35,"Price","tba","")</f>
        <v>108.320312</v>
      </c>
      <c r="AE35" s="2">
        <f>[1]!YBHIST("FNMA5.5-GEN",$A35,"Price","tba","")</f>
        <v>108.703125</v>
      </c>
      <c r="AF35" s="6">
        <f>[1]!YBHIST("FNMA6.0-GEN",$A35,"Price","tba","")</f>
        <v>109.8125</v>
      </c>
      <c r="AG35" s="2">
        <f>[1]!YBHIST("FNMA3.0-GEN",$A35,"Yield","tba","")</f>
        <v>1.7829999999999999</v>
      </c>
      <c r="AH35" s="2">
        <f>[1]!YBHIST("FNMA3.5-GEN",$A35,"Yield","tba","")</f>
        <v>1.4419999999999999</v>
      </c>
      <c r="AI35" s="2">
        <f>[1]!YBHIST("FNMA4.0-GEN",$A35,"Yield","tba","")</f>
        <v>1.361</v>
      </c>
      <c r="AJ35" s="2">
        <f>[1]!YBHIST("FNMA4.5-GEN",$A35,"Yield","tba","")</f>
        <v>1.431</v>
      </c>
      <c r="AK35" s="2">
        <f>[1]!YBHIST("FNMA5.0-GEN",$A35,"Yield","tba","")</f>
        <v>0.65600000000000003</v>
      </c>
      <c r="AL35" s="2">
        <f>[1]!YBHIST("FNMA5.5-GEN",$A35,"Yield","tba","")</f>
        <v>0.94</v>
      </c>
      <c r="AM35" s="6">
        <f>[1]!YBHIST("FNMA6.0-GEN",$A35,"Yield","tba","")</f>
        <v>0.35899999999999999</v>
      </c>
      <c r="AN35" s="3">
        <f>[1]!YBHIST(AN$4,$A35,"Price","sec","")</f>
        <v>11.875</v>
      </c>
      <c r="AO35" s="2">
        <f>[1]!YBHIST(AO$4,$A35,"Price","sec","")</f>
        <v>13.016</v>
      </c>
      <c r="AP35" s="2">
        <f>[1]!YBHIST(AP$4,$A35,"Price","sec","")</f>
        <v>10.688000000000001</v>
      </c>
      <c r="AQ35" s="2">
        <f>[1]!YBHIST(AQ$4,$A35,"Price","sec","")</f>
        <v>14.234</v>
      </c>
      <c r="AR35" s="2">
        <f>[1]!YBHIST(AR$4,$A35,"Price","sec","")</f>
        <v>12.061999999999999</v>
      </c>
      <c r="AS35" s="2">
        <f>[1]!YBHIST(AS$4,$A35,"Price","sec","")</f>
        <v>17.297001000000002</v>
      </c>
      <c r="AT35" s="2">
        <f>[1]!YBHIST(AT$4,$A35,"Price","sec","")</f>
        <v>15.422000000000001</v>
      </c>
      <c r="AU35" s="2">
        <f>[1]!YBHIST(AU$4,$A35,"Price","sec","")</f>
        <v>10.234</v>
      </c>
      <c r="AV35" s="2">
        <f>[1]!YBHIST(AV$4,$A35,"Price","sec","")</f>
        <v>13.172000000000001</v>
      </c>
      <c r="AW35" s="2">
        <f>[1]!YBHIST(AW$4,$A35,"Price","sec","")</f>
        <v>12.952999999999999</v>
      </c>
      <c r="AX35" s="2">
        <f>[1]!YBHIST(AX$4,$A35,"Price","sec","")</f>
        <v>11.125</v>
      </c>
      <c r="AY35" s="2">
        <f>[1]!YBHIST(AY$4,$A35,"Price","sec","")</f>
        <v>14.672000000000001</v>
      </c>
      <c r="AZ35" s="2">
        <f>[1]!YBHIST(AZ$4,$A35,"Price","sec","")</f>
        <v>13.781000000000001</v>
      </c>
      <c r="BA35" s="2">
        <f>[1]!YBHIST(BA$4,$A35,"Price","sec","")</f>
        <v>13.438000000000001</v>
      </c>
      <c r="BB35" s="2">
        <f>[1]!YBHIST(BB$4,$A35,"Price","sec","")</f>
        <v>16.577998999999998</v>
      </c>
      <c r="BC35" s="2">
        <f>[1]!YBHIST(BC$4,$A35,"Price","sec","")</f>
        <v>17.125</v>
      </c>
      <c r="BD35" s="2">
        <f>[1]!YBHIST(BD$4,$A35,"Price","sec","")</f>
        <v>17.108999000000001</v>
      </c>
      <c r="BE35" s="6">
        <f>[1]!YBHIST(BE$4,$A35,"Price","sec","")</f>
        <v>18.516000999999999</v>
      </c>
      <c r="BF35" s="20">
        <f>[1]!YBHIST(BF$4,$A35,"LMMOAS","sec","")</f>
        <v>419.36059599999999</v>
      </c>
      <c r="BG35" s="20">
        <f>[1]!YBHIST(BG$4,$A35,"LMMOAS","sec","")</f>
        <v>384.98330700000002</v>
      </c>
      <c r="BH35" s="20">
        <f>[1]!YBHIST(BH$4,$A35,"LMMOAS","sec","")</f>
        <v>500.134186</v>
      </c>
      <c r="BI35" s="20">
        <f>[1]!YBHIST(BI$4,$A35,"LMMOAS","sec","")</f>
        <v>430.38980099999998</v>
      </c>
      <c r="BJ35" s="20">
        <f>[1]!YBHIST(BJ$4,$A35,"LMMOAS","sec","")</f>
        <v>469.39001500000001</v>
      </c>
      <c r="BK35" s="20">
        <f>[1]!YBHIST(BK$4,$A35,"LMMOAS","sec","")</f>
        <v>431.61068699999998</v>
      </c>
      <c r="BL35" s="20">
        <f>[1]!YBHIST(BL$4,$A35,"LMMOAS","sec","")</f>
        <v>433.16449</v>
      </c>
      <c r="BM35" s="20">
        <f>[1]!YBHIST(BM$4,$A35,"LMMOAS","sec","")</f>
        <v>285.59201000000002</v>
      </c>
      <c r="BN35" s="20">
        <f>[1]!YBHIST(BN$4,$A35,"LMMOAS","sec","")</f>
        <v>281.99420199999997</v>
      </c>
      <c r="BO35" s="20">
        <f>[1]!YBHIST(BO$4,$A35,"LMMOAS","sec","")</f>
        <v>493.23709100000002</v>
      </c>
      <c r="BP35" s="20">
        <f>[1]!YBHIST(BP$4,$A35,"LMMOAS","sec","")</f>
        <v>516.550476</v>
      </c>
      <c r="BQ35" s="20">
        <f>[1]!YBHIST(BQ$4,$A35,"LMMOAS","sec","")</f>
        <v>630.83709699999997</v>
      </c>
      <c r="BR35" s="20">
        <f>[1]!YBHIST(BR$4,$A35,"LMMOAS","sec","")</f>
        <v>841.42401099999995</v>
      </c>
      <c r="BS35" s="20">
        <f>[1]!YBHIST(BS$4,$A35,"LMMOAS","sec","")</f>
        <v>416.382812</v>
      </c>
      <c r="BT35" s="20">
        <f>[1]!YBHIST(BT$4,$A35,"LMMOAS","sec","")</f>
        <v>564.32238800000005</v>
      </c>
      <c r="BU35" s="20">
        <f>[1]!YBHIST(BU$4,$A35,"LMMOAS","sec","")</f>
        <v>240.75160199999999</v>
      </c>
      <c r="BV35" s="20">
        <f>[1]!YBHIST(BV$4,$A35,"LMMOAS","sec","")</f>
        <v>304.432098</v>
      </c>
      <c r="BW35" s="20">
        <f>[1]!YBHIST(BW$4,$A35,"LMMOAS","sec","")</f>
        <v>246.72749300000001</v>
      </c>
      <c r="BX35" s="5"/>
      <c r="BY35" s="1"/>
      <c r="BZ35" s="1"/>
    </row>
    <row r="36" spans="1:78" x14ac:dyDescent="0.25">
      <c r="A36" s="14">
        <f>[1]!YBWORKDAY(A$26,-1*(ROW()-ROW(A$26)),"USD","")</f>
        <v>41227</v>
      </c>
      <c r="B36" s="3">
        <f>[1]!YBHIST("2 Year Treasury",$A36,"Price","govt","")</f>
        <v>100</v>
      </c>
      <c r="C36" s="2">
        <f>[1]!YBHIST("5 Year Treasury",$A36,"Price","govt","")</f>
        <v>100.625</v>
      </c>
      <c r="D36" s="2">
        <f>[1]!YBHIST("10 Year Treasury",$A36,"Price","govt","")</f>
        <v>100.335999</v>
      </c>
      <c r="E36" s="6">
        <f>[1]!YBHIST("30 Year Treasury",$A36,"Price","govt","")</f>
        <v>100.453003</v>
      </c>
      <c r="F36" s="3">
        <f>[1]!YBHIST("2 Year Treasury",$A36,"YldtoMat","govt","")</f>
        <v>0.25</v>
      </c>
      <c r="G36" s="2">
        <f>[1]!YBHIST("5 Year Treasury",$A36,"YldtoMat","govt","")</f>
        <v>0.622</v>
      </c>
      <c r="H36" s="2">
        <f>[1]!YBHIST("10 Year Treasury",$A36,"YldtoMat","govt","")</f>
        <v>1.589</v>
      </c>
      <c r="I36" s="6">
        <f>[1]!YBHIST("30 Year Treasury",$A36,"YldtoMat","govt","")</f>
        <v>2.7280000000000002</v>
      </c>
      <c r="J36" s="3">
        <f>[1]!YBHIST("2yr Swap Rate",$A36,"YldtoMat","swapvol","")</f>
        <v>0.364979</v>
      </c>
      <c r="K36" s="2">
        <f>[1]!YBHIST("5yr Swap Rate",$A36,"YldtoMat","swapvol","")</f>
        <v>0.75383599999999995</v>
      </c>
      <c r="L36" s="2">
        <f>[1]!YBHIST("10yr Swap Rate",$A36,"YldtoMat","swapvol","")</f>
        <v>1.624827</v>
      </c>
      <c r="M36" s="6">
        <f>[1]!YBHIST("30yr Swap Rate",$A36,"YldtoMat","swapvol","")</f>
        <v>2.4698389999999999</v>
      </c>
      <c r="N36" s="3">
        <f>[1]!YBHIST("FNMA 30YR Cur Coup (BE)",$A36,"Yield","bmk","")</f>
        <v>2.149</v>
      </c>
      <c r="O36" s="2">
        <f>[1]!YBHIST("FHLMC 30YR Cur Coup (BE)",$A36,"Yield","bmk","")</f>
        <v>2.1949999999999998</v>
      </c>
      <c r="P36" s="2">
        <f>[1]!YBHIST("GNMA 30YR Cur Coup (BE)",$A36,"Yield","bmk","")</f>
        <v>2.0630000000000002</v>
      </c>
      <c r="Q36" s="2">
        <f>[1]!YBHIST("Primary 30-Yr Mtg Rate",$A36,"Yield","bmk","")</f>
        <v>3.5051000000000001</v>
      </c>
      <c r="R36" s="2">
        <f>[1]!YBHIST("FHLM 30-Yr Survey Rate",$A36,"Yield","bmk","")</f>
        <v>3.4</v>
      </c>
      <c r="S36" s="6">
        <f>[1]!YBHIST("Base Mortgage Rate",$A36,"Yield","bmk","")</f>
        <v>2.4740000000000002</v>
      </c>
      <c r="T36" s="18">
        <f>[1]!YBHIST("FNMA 30YR Cur Coup (BE)",$A36,"LMMOAS","bmk","")</f>
        <v>0.13170000000000001</v>
      </c>
      <c r="U36" s="19">
        <f>[1]!YBHIST("FHLMC 30YR Cur Coup (BE)",$A36,"LMMOAS","bmk","")</f>
        <v>6.5808999999999997</v>
      </c>
      <c r="V36" s="19">
        <f>[1]!YBHIST("GNMA 30YR Cur Coup (BE)",$A36,"LMMOAS","bmk","")</f>
        <v>-16.200099999999999</v>
      </c>
      <c r="W36" s="20">
        <f t="shared" si="6"/>
        <v>56.000000000000007</v>
      </c>
      <c r="X36" s="20">
        <f t="shared" si="7"/>
        <v>56.000000000000007</v>
      </c>
      <c r="Y36" s="20">
        <f t="shared" si="8"/>
        <v>60.599999999999987</v>
      </c>
      <c r="Z36" s="25">
        <f>[1]!YBHIST("FNMA3.0-GEN",$A36,"Price","tba","")</f>
        <v>104.765625</v>
      </c>
      <c r="AA36" s="2">
        <f>[1]!YBHIST("FNMA3.5-GEN",$A36,"Price","tba","")</f>
        <v>106.257812</v>
      </c>
      <c r="AB36" s="2">
        <f>[1]!YBHIST("FNMA4.0-GEN",$A36,"Price","tba","")</f>
        <v>106.75</v>
      </c>
      <c r="AC36" s="2">
        <f>[1]!YBHIST("FNMA4.5-GEN",$A36,"Price","tba","")</f>
        <v>107.40625</v>
      </c>
      <c r="AD36" s="2">
        <f>[1]!YBHIST("FNMA5.0-GEN",$A36,"Price","tba","")</f>
        <v>108.328125</v>
      </c>
      <c r="AE36" s="2">
        <f>[1]!YBHIST("FNMA5.5-GEN",$A36,"Price","tba","")</f>
        <v>108.742188</v>
      </c>
      <c r="AF36" s="6">
        <f>[1]!YBHIST("FNMA6.0-GEN",$A36,"Price","tba","")</f>
        <v>109.898438</v>
      </c>
      <c r="AG36" s="2">
        <f>[1]!YBHIST("FNMA3.0-GEN",$A36,"Yield","tba","")</f>
        <v>1.8480000000000001</v>
      </c>
      <c r="AH36" s="2">
        <f>[1]!YBHIST("FNMA3.5-GEN",$A36,"Yield","tba","")</f>
        <v>1.5309999999999999</v>
      </c>
      <c r="AI36" s="2">
        <f>[1]!YBHIST("FNMA4.0-GEN",$A36,"Yield","tba","")</f>
        <v>1.444</v>
      </c>
      <c r="AJ36" s="2">
        <f>[1]!YBHIST("FNMA4.5-GEN",$A36,"Yield","tba","")</f>
        <v>1.498</v>
      </c>
      <c r="AK36" s="2">
        <f>[1]!YBHIST("FNMA5.0-GEN",$A36,"Yield","tba","")</f>
        <v>0.69199999999999995</v>
      </c>
      <c r="AL36" s="2">
        <f>[1]!YBHIST("FNMA5.5-GEN",$A36,"Yield","tba","")</f>
        <v>0.95199999999999996</v>
      </c>
      <c r="AM36" s="6">
        <f>[1]!YBHIST("FNMA6.0-GEN",$A36,"Yield","tba","")</f>
        <v>0.34200000000000003</v>
      </c>
      <c r="AN36" s="3">
        <f>[1]!YBHIST(AN$4,$A36,"Price","sec","")</f>
        <v>12.077999999999999</v>
      </c>
      <c r="AO36" s="2">
        <f>[1]!YBHIST(AO$4,$A36,"Price","sec","")</f>
        <v>13.391</v>
      </c>
      <c r="AP36" s="2">
        <f>[1]!YBHIST(AP$4,$A36,"Price","sec","")</f>
        <v>11.109</v>
      </c>
      <c r="AQ36" s="2">
        <f>[1]!YBHIST(AQ$4,$A36,"Price","sec","")</f>
        <v>14.672000000000001</v>
      </c>
      <c r="AR36" s="2">
        <f>[1]!YBHIST(AR$4,$A36,"Price","sec","")</f>
        <v>12.531000000000001</v>
      </c>
      <c r="AS36" s="2">
        <f>[1]!YBHIST(AS$4,$A36,"Price","sec","")</f>
        <v>17.625</v>
      </c>
      <c r="AT36" s="2">
        <f>[1]!YBHIST(AT$4,$A36,"Price","sec","")</f>
        <v>15.827999999999999</v>
      </c>
      <c r="AU36" s="2">
        <f>[1]!YBHIST(AU$4,$A36,"Price","sec","")</f>
        <v>10.593999999999999</v>
      </c>
      <c r="AV36" s="2">
        <f>[1]!YBHIST(AV$4,$A36,"Price","sec","")</f>
        <v>13.531000000000001</v>
      </c>
      <c r="AW36" s="2">
        <f>[1]!YBHIST(AW$4,$A36,"Price","sec","")</f>
        <v>13.297000000000001</v>
      </c>
      <c r="AX36" s="2">
        <f>[1]!YBHIST(AX$4,$A36,"Price","sec","")</f>
        <v>11.359</v>
      </c>
      <c r="AY36" s="2">
        <f>[1]!YBHIST(AY$4,$A36,"Price","sec","")</f>
        <v>14.875</v>
      </c>
      <c r="AZ36" s="2">
        <f>[1]!YBHIST(AZ$4,$A36,"Price","sec","")</f>
        <v>13.984</v>
      </c>
      <c r="BA36" s="2">
        <f>[1]!YBHIST(BA$4,$A36,"Price","sec","")</f>
        <v>13.625</v>
      </c>
      <c r="BB36" s="2">
        <f>[1]!YBHIST(BB$4,$A36,"Price","sec","")</f>
        <v>16.766000999999999</v>
      </c>
      <c r="BC36" s="2">
        <f>[1]!YBHIST(BC$4,$A36,"Price","sec","")</f>
        <v>17.391000999999999</v>
      </c>
      <c r="BD36" s="2">
        <f>[1]!YBHIST(BD$4,$A36,"Price","sec","")</f>
        <v>17.405999999999999</v>
      </c>
      <c r="BE36" s="6">
        <f>[1]!YBHIST(BE$4,$A36,"Price","sec","")</f>
        <v>18.891000999999999</v>
      </c>
      <c r="BF36" s="20">
        <f>[1]!YBHIST(BF$4,$A36,"LMMOAS","sec","")</f>
        <v>430.03430200000003</v>
      </c>
      <c r="BG36" s="20">
        <f>[1]!YBHIST(BG$4,$A36,"LMMOAS","sec","")</f>
        <v>362.598907</v>
      </c>
      <c r="BH36" s="20">
        <f>[1]!YBHIST(BH$4,$A36,"LMMOAS","sec","")</f>
        <v>445.62188700000002</v>
      </c>
      <c r="BI36" s="20">
        <f>[1]!YBHIST(BI$4,$A36,"LMMOAS","sec","")</f>
        <v>395.337311</v>
      </c>
      <c r="BJ36" s="20">
        <f>[1]!YBHIST(BJ$4,$A36,"LMMOAS","sec","")</f>
        <v>408.12820399999998</v>
      </c>
      <c r="BK36" s="20">
        <f>[1]!YBHIST(BK$4,$A36,"LMMOAS","sec","")</f>
        <v>413.98208599999998</v>
      </c>
      <c r="BL36" s="20">
        <f>[1]!YBHIST(BL$4,$A36,"LMMOAS","sec","")</f>
        <v>397.84310900000003</v>
      </c>
      <c r="BM36" s="20">
        <f>[1]!YBHIST(BM$4,$A36,"LMMOAS","sec","")</f>
        <v>215.25810200000001</v>
      </c>
      <c r="BN36" s="20">
        <f>[1]!YBHIST(BN$4,$A36,"LMMOAS","sec","")</f>
        <v>237.403595</v>
      </c>
      <c r="BO36" s="20">
        <f>[1]!YBHIST(BO$4,$A36,"LMMOAS","sec","")</f>
        <v>440.697205</v>
      </c>
      <c r="BP36" s="20">
        <f>[1]!YBHIST(BP$4,$A36,"LMMOAS","sec","")</f>
        <v>480.611603</v>
      </c>
      <c r="BQ36" s="20">
        <f>[1]!YBHIST(BQ$4,$A36,"LMMOAS","sec","")</f>
        <v>615.46698000000004</v>
      </c>
      <c r="BR36" s="20">
        <f>[1]!YBHIST(BR$4,$A36,"LMMOAS","sec","")</f>
        <v>816.52587900000003</v>
      </c>
      <c r="BS36" s="20">
        <f>[1]!YBHIST(BS$4,$A36,"LMMOAS","sec","")</f>
        <v>399.49978599999997</v>
      </c>
      <c r="BT36" s="20">
        <f>[1]!YBHIST(BT$4,$A36,"LMMOAS","sec","")</f>
        <v>548.139771</v>
      </c>
      <c r="BU36" s="20">
        <f>[1]!YBHIST(BU$4,$A36,"LMMOAS","sec","")</f>
        <v>245.13659699999999</v>
      </c>
      <c r="BV36" s="20">
        <f>[1]!YBHIST(BV$4,$A36,"LMMOAS","sec","")</f>
        <v>300.99890099999999</v>
      </c>
      <c r="BW36" s="20">
        <f>[1]!YBHIST(BW$4,$A36,"LMMOAS","sec","")</f>
        <v>231.06480400000001</v>
      </c>
      <c r="BX36" s="5"/>
      <c r="BY36" s="1"/>
      <c r="BZ36" s="1"/>
    </row>
    <row r="37" spans="1:78" x14ac:dyDescent="0.25">
      <c r="A37" s="14">
        <f>[1]!YBWORKDAY(A$26,-1*(ROW()-ROW(A$26)),"USD","")</f>
        <v>41226</v>
      </c>
      <c r="B37" s="3">
        <f>[1]!YBHIST("2 Year Treasury",$A37,"Price","govt","")</f>
        <v>100</v>
      </c>
      <c r="C37" s="2">
        <f>[1]!YBHIST("5 Year Treasury",$A37,"Price","govt","")</f>
        <v>100.64099899999999</v>
      </c>
      <c r="D37" s="2">
        <f>[1]!YBHIST("10 Year Treasury",$A37,"Price","govt","")</f>
        <v>100.328003</v>
      </c>
      <c r="E37" s="6">
        <f>[1]!YBHIST("30 Year Treasury",$A37,"Price","govt","")</f>
        <v>100.578003</v>
      </c>
      <c r="F37" s="3">
        <f>[1]!YBHIST("2 Year Treasury",$A37,"YldtoMat","govt","")</f>
        <v>0.25</v>
      </c>
      <c r="G37" s="2">
        <f>[1]!YBHIST("5 Year Treasury",$A37,"YldtoMat","govt","")</f>
        <v>0.61899999999999999</v>
      </c>
      <c r="H37" s="2">
        <f>[1]!YBHIST("10 Year Treasury",$A37,"YldtoMat","govt","")</f>
        <v>1.589</v>
      </c>
      <c r="I37" s="6">
        <f>[1]!YBHIST("30 Year Treasury",$A37,"YldtoMat","govt","")</f>
        <v>2.722</v>
      </c>
      <c r="J37" s="3">
        <f>[1]!YBHIST("2yr Swap Rate",$A37,"YldtoMat","swapvol","")</f>
        <v>0.37058400000000002</v>
      </c>
      <c r="K37" s="2">
        <f>[1]!YBHIST("5yr Swap Rate",$A37,"YldtoMat","swapvol","")</f>
        <v>0.75468800000000003</v>
      </c>
      <c r="L37" s="2">
        <f>[1]!YBHIST("10yr Swap Rate",$A37,"YldtoMat","swapvol","")</f>
        <v>1.631675</v>
      </c>
      <c r="M37" s="6">
        <f>[1]!YBHIST("30yr Swap Rate",$A37,"YldtoMat","swapvol","")</f>
        <v>2.4637129999999998</v>
      </c>
      <c r="N37" s="3">
        <f>[1]!YBHIST("FNMA 30YR Cur Coup (BE)",$A37,"Yield","bmk","")</f>
        <v>2.0960000000000001</v>
      </c>
      <c r="O37" s="2">
        <f>[1]!YBHIST("FHLMC 30YR Cur Coup (BE)",$A37,"Yield","bmk","")</f>
        <v>2.1419999999999999</v>
      </c>
      <c r="P37" s="2">
        <f>[1]!YBHIST("GNMA 30YR Cur Coup (BE)",$A37,"Yield","bmk","")</f>
        <v>2.0099999999999998</v>
      </c>
      <c r="Q37" s="2">
        <f>[1]!YBHIST("Primary 30-Yr Mtg Rate",$A37,"Yield","bmk","")</f>
        <v>3.4535999999999998</v>
      </c>
      <c r="R37" s="2">
        <f>[1]!YBHIST("FHLM 30-Yr Survey Rate",$A37,"Yield","bmk","")</f>
        <v>3.4</v>
      </c>
      <c r="S37" s="6">
        <f>[1]!YBHIST("Base Mortgage Rate",$A37,"Yield","bmk","")</f>
        <v>2.4220000000000002</v>
      </c>
      <c r="T37" s="18">
        <f>[1]!YBHIST("FNMA 30YR Cur Coup (BE)",$A37,"LMMOAS","bmk","")</f>
        <v>-5.3555999999999999</v>
      </c>
      <c r="U37" s="19">
        <f>[1]!YBHIST("FHLMC 30YR Cur Coup (BE)",$A37,"LMMOAS","bmk","")</f>
        <v>0.68120000000000003</v>
      </c>
      <c r="V37" s="19">
        <f>[1]!YBHIST("GNMA 30YR Cur Coup (BE)",$A37,"LMMOAS","bmk","")</f>
        <v>-18.335198999999999</v>
      </c>
      <c r="W37" s="20">
        <f t="shared" si="6"/>
        <v>50.70000000000001</v>
      </c>
      <c r="X37" s="20">
        <f t="shared" si="7"/>
        <v>50.70000000000001</v>
      </c>
      <c r="Y37" s="20">
        <f t="shared" si="8"/>
        <v>55.3</v>
      </c>
      <c r="Z37" s="25">
        <f>[1]!YBHIST("FNMA3.0-GEN",$A37,"Price","tba","")</f>
        <v>105.015625</v>
      </c>
      <c r="AA37" s="2">
        <f>[1]!YBHIST("FNMA3.5-GEN",$A37,"Price","tba","")</f>
        <v>106.429688</v>
      </c>
      <c r="AB37" s="2">
        <f>[1]!YBHIST("FNMA4.0-GEN",$A37,"Price","tba","")</f>
        <v>106.859375</v>
      </c>
      <c r="AC37" s="2">
        <f>[1]!YBHIST("FNMA4.5-GEN",$A37,"Price","tba","")</f>
        <v>107.5</v>
      </c>
      <c r="AD37" s="2">
        <f>[1]!YBHIST("FNMA5.0-GEN",$A37,"Price","tba","")</f>
        <v>108.445312</v>
      </c>
      <c r="AE37" s="2">
        <f>[1]!YBHIST("FNMA5.5-GEN",$A37,"Price","tba","")</f>
        <v>108.765625</v>
      </c>
      <c r="AF37" s="6">
        <f>[1]!YBHIST("FNMA6.0-GEN",$A37,"Price","tba","")</f>
        <v>109.953125</v>
      </c>
      <c r="AG37" s="2">
        <f>[1]!YBHIST("FNMA3.0-GEN",$A37,"Yield","tba","")</f>
        <v>1.7450000000000001</v>
      </c>
      <c r="AH37" s="2">
        <f>[1]!YBHIST("FNMA3.5-GEN",$A37,"Yield","tba","")</f>
        <v>1.419</v>
      </c>
      <c r="AI37" s="2">
        <f>[1]!YBHIST("FNMA4.0-GEN",$A37,"Yield","tba","")</f>
        <v>1.3440000000000001</v>
      </c>
      <c r="AJ37" s="2">
        <f>[1]!YBHIST("FNMA4.5-GEN",$A37,"Yield","tba","")</f>
        <v>1.41</v>
      </c>
      <c r="AK37" s="2">
        <f>[1]!YBHIST("FNMA5.0-GEN",$A37,"Yield","tba","")</f>
        <v>0.58699999999999997</v>
      </c>
      <c r="AL37" s="2">
        <f>[1]!YBHIST("FNMA5.5-GEN",$A37,"Yield","tba","")</f>
        <v>0.90300000000000002</v>
      </c>
      <c r="AM37" s="6">
        <f>[1]!YBHIST("FNMA6.0-GEN",$A37,"Yield","tba","")</f>
        <v>0.28299999999999997</v>
      </c>
      <c r="AN37" s="3">
        <f>[1]!YBHIST(AN$4,$A37,"Price","sec","")</f>
        <v>11.875</v>
      </c>
      <c r="AO37" s="2">
        <f>[1]!YBHIST(AO$4,$A37,"Price","sec","")</f>
        <v>13.202999999999999</v>
      </c>
      <c r="AP37" s="2">
        <f>[1]!YBHIST(AP$4,$A37,"Price","sec","")</f>
        <v>10.938000000000001</v>
      </c>
      <c r="AQ37" s="2">
        <f>[1]!YBHIST(AQ$4,$A37,"Price","sec","")</f>
        <v>14.547000000000001</v>
      </c>
      <c r="AR37" s="2">
        <f>[1]!YBHIST(AR$4,$A37,"Price","sec","")</f>
        <v>12.406000000000001</v>
      </c>
      <c r="AS37" s="2">
        <f>[1]!YBHIST(AS$4,$A37,"Price","sec","")</f>
        <v>17.594000000000001</v>
      </c>
      <c r="AT37" s="2">
        <f>[1]!YBHIST(AT$4,$A37,"Price","sec","")</f>
        <v>15.797000000000001</v>
      </c>
      <c r="AU37" s="2">
        <f>[1]!YBHIST(AU$4,$A37,"Price","sec","")</f>
        <v>10.688000000000001</v>
      </c>
      <c r="AV37" s="2">
        <f>[1]!YBHIST(AV$4,$A37,"Price","sec","")</f>
        <v>13.593999999999999</v>
      </c>
      <c r="AW37" s="2">
        <f>[1]!YBHIST(AW$4,$A37,"Price","sec","")</f>
        <v>13.359</v>
      </c>
      <c r="AX37" s="2">
        <f>[1]!YBHIST(AX$4,$A37,"Price","sec","")</f>
        <v>11.438000000000001</v>
      </c>
      <c r="AY37" s="2">
        <f>[1]!YBHIST(AY$4,$A37,"Price","sec","")</f>
        <v>15.125</v>
      </c>
      <c r="AZ37" s="2">
        <f>[1]!YBHIST(AZ$4,$A37,"Price","sec","")</f>
        <v>14.141</v>
      </c>
      <c r="BA37" s="2">
        <f>[1]!YBHIST(BA$4,$A37,"Price","sec","")</f>
        <v>13.688000000000001</v>
      </c>
      <c r="BB37" s="2">
        <f>[1]!YBHIST(BB$4,$A37,"Price","sec","")</f>
        <v>16.844000000000001</v>
      </c>
      <c r="BC37" s="2">
        <f>[1]!YBHIST(BC$4,$A37,"Price","sec","")</f>
        <v>17.25</v>
      </c>
      <c r="BD37" s="2">
        <f>[1]!YBHIST(BD$4,$A37,"Price","sec","")</f>
        <v>17.25</v>
      </c>
      <c r="BE37" s="6">
        <f>[1]!YBHIST(BE$4,$A37,"Price","sec","")</f>
        <v>18.766000999999999</v>
      </c>
      <c r="BF37" s="20">
        <f>[1]!YBHIST(BF$4,$A37,"LMMOAS","sec","")</f>
        <v>406.60998499999999</v>
      </c>
      <c r="BG37" s="20">
        <f>[1]!YBHIST(BG$4,$A37,"LMMOAS","sec","")</f>
        <v>338.69619799999998</v>
      </c>
      <c r="BH37" s="20">
        <f>[1]!YBHIST(BH$4,$A37,"LMMOAS","sec","")</f>
        <v>423.85519399999998</v>
      </c>
      <c r="BI37" s="20">
        <f>[1]!YBHIST(BI$4,$A37,"LMMOAS","sec","")</f>
        <v>364.45968599999998</v>
      </c>
      <c r="BJ37" s="20">
        <f>[1]!YBHIST(BJ$4,$A37,"LMMOAS","sec","")</f>
        <v>380.27270499999997</v>
      </c>
      <c r="BK37" s="20">
        <f>[1]!YBHIST(BK$4,$A37,"LMMOAS","sec","")</f>
        <v>380.3125</v>
      </c>
      <c r="BL37" s="20">
        <f>[1]!YBHIST(BL$4,$A37,"LMMOAS","sec","")</f>
        <v>360.30380200000002</v>
      </c>
      <c r="BM37" s="20">
        <f>[1]!YBHIST(BM$4,$A37,"LMMOAS","sec","")</f>
        <v>136.1147</v>
      </c>
      <c r="BN37" s="20">
        <f>[1]!YBHIST(BN$4,$A37,"LMMOAS","sec","")</f>
        <v>185.344696</v>
      </c>
      <c r="BO37" s="20">
        <f>[1]!YBHIST(BO$4,$A37,"LMMOAS","sec","")</f>
        <v>392.14450099999999</v>
      </c>
      <c r="BP37" s="20">
        <f>[1]!YBHIST(BP$4,$A37,"LMMOAS","sec","")</f>
        <v>411.36871300000001</v>
      </c>
      <c r="BQ37" s="20">
        <f>[1]!YBHIST(BQ$4,$A37,"LMMOAS","sec","")</f>
        <v>532.66119400000002</v>
      </c>
      <c r="BR37" s="20">
        <f>[1]!YBHIST(BR$4,$A37,"LMMOAS","sec","")</f>
        <v>749.51312299999995</v>
      </c>
      <c r="BS37" s="20">
        <f>[1]!YBHIST(BS$4,$A37,"LMMOAS","sec","")</f>
        <v>349.18630999999999</v>
      </c>
      <c r="BT37" s="20">
        <f>[1]!YBHIST(BT$4,$A37,"LMMOAS","sec","")</f>
        <v>511.147491</v>
      </c>
      <c r="BU37" s="20">
        <f>[1]!YBHIST(BU$4,$A37,"LMMOAS","sec","")</f>
        <v>218.36129800000001</v>
      </c>
      <c r="BV37" s="20">
        <f>[1]!YBHIST(BV$4,$A37,"LMMOAS","sec","")</f>
        <v>276.56860399999999</v>
      </c>
      <c r="BW37" s="20">
        <f>[1]!YBHIST(BW$4,$A37,"LMMOAS","sec","")</f>
        <v>209.89750699999999</v>
      </c>
      <c r="BX37" s="5"/>
      <c r="BY37" s="1"/>
      <c r="BZ37" s="1"/>
    </row>
    <row r="38" spans="1:78" x14ac:dyDescent="0.25">
      <c r="A38" s="14">
        <f>[1]!YBWORKDAY(A$26,-1*(ROW()-ROW(A$26)),"USD","")</f>
        <v>41222</v>
      </c>
      <c r="B38" s="3">
        <f>[1]!YBHIST("2 Year Treasury",$A38,"Price","govt","")</f>
        <v>99.976996999999997</v>
      </c>
      <c r="C38" s="2">
        <f>[1]!YBHIST("5 Year Treasury",$A38,"Price","govt","")</f>
        <v>100.546997</v>
      </c>
      <c r="D38" s="2">
        <f>[1]!YBHIST("10 Year Treasury",$A38,"Price","govt","")</f>
        <v>100.125</v>
      </c>
      <c r="E38" s="6">
        <f>[1]!YBHIST("30 Year Treasury",$A38,"Price","govt","")</f>
        <v>99.984001000000006</v>
      </c>
      <c r="F38" s="3">
        <f>[1]!YBHIST("2 Year Treasury",$A38,"YldtoMat","govt","")</f>
        <v>0.26200000000000001</v>
      </c>
      <c r="G38" s="2">
        <f>[1]!YBHIST("5 Year Treasury",$A38,"YldtoMat","govt","")</f>
        <v>0.63800000000000001</v>
      </c>
      <c r="H38" s="2">
        <f>[1]!YBHIST("10 Year Treasury",$A38,"YldtoMat","govt","")</f>
        <v>1.611</v>
      </c>
      <c r="I38" s="6">
        <f>[1]!YBHIST("30 Year Treasury",$A38,"YldtoMat","govt","")</f>
        <v>2.7509999999999999</v>
      </c>
      <c r="J38" s="3">
        <f>[1]!YBHIST("2yr Swap Rate",$A38,"YldtoMat","swapvol","")</f>
        <v>0.37765700000000002</v>
      </c>
      <c r="K38" s="2">
        <f>[1]!YBHIST("5yr Swap Rate",$A38,"YldtoMat","swapvol","")</f>
        <v>0.76213699999999995</v>
      </c>
      <c r="L38" s="2">
        <f>[1]!YBHIST("10yr Swap Rate",$A38,"YldtoMat","swapvol","")</f>
        <v>1.6431750000000001</v>
      </c>
      <c r="M38" s="6">
        <f>[1]!YBHIST("30yr Swap Rate",$A38,"YldtoMat","swapvol","")</f>
        <v>2.4871819999999998</v>
      </c>
      <c r="N38" s="3">
        <f>[1]!YBHIST("FNMA 30YR Cur Coup (BE)",$A38,"Yield","bmk","")</f>
        <v>2.069</v>
      </c>
      <c r="O38" s="2">
        <f>[1]!YBHIST("FHLMC 30YR Cur Coup (BE)",$A38,"Yield","bmk","")</f>
        <v>2.1150000000000002</v>
      </c>
      <c r="P38" s="2">
        <f>[1]!YBHIST("GNMA 30YR Cur Coup (BE)",$A38,"Yield","bmk","")</f>
        <v>1.9830000000000001</v>
      </c>
      <c r="Q38" s="2">
        <f>[1]!YBHIST("Primary 30-Yr Mtg Rate",$A38,"Yield","bmk","")</f>
        <v>3.4285999999999999</v>
      </c>
      <c r="R38" s="2">
        <f>[1]!YBHIST("FHLM 30-Yr Survey Rate",$A38,"Yield","bmk","")</f>
        <v>3.4</v>
      </c>
      <c r="S38" s="6">
        <f>[1]!YBHIST("Base Mortgage Rate",$A38,"Yield","bmk","")</f>
        <v>2.3969999999999998</v>
      </c>
      <c r="T38" s="18">
        <f>[1]!YBHIST("FNMA 30YR Cur Coup (BE)",$A38,"LMMOAS","bmk","")</f>
        <v>-9.4344000000000001</v>
      </c>
      <c r="U38" s="19">
        <f>[1]!YBHIST("FHLMC 30YR Cur Coup (BE)",$A38,"LMMOAS","bmk","")</f>
        <v>-3.6364999999999998</v>
      </c>
      <c r="V38" s="19">
        <f>[1]!YBHIST("GNMA 30YR Cur Coup (BE)",$A38,"LMMOAS","bmk","")</f>
        <v>-20.503098999999999</v>
      </c>
      <c r="W38" s="20">
        <f t="shared" si="6"/>
        <v>45.8</v>
      </c>
      <c r="X38" s="20">
        <f t="shared" si="7"/>
        <v>45.8</v>
      </c>
      <c r="Y38" s="20">
        <f t="shared" si="8"/>
        <v>50.40000000000002</v>
      </c>
      <c r="Z38" s="25">
        <f>[1]!YBHIST("FNMA3.0-GEN",$A38,"Price","tba","")</f>
        <v>105.140625</v>
      </c>
      <c r="AA38" s="2">
        <f>[1]!YBHIST("FNMA3.5-GEN",$A38,"Price","tba","")</f>
        <v>106.539062</v>
      </c>
      <c r="AB38" s="2">
        <f>[1]!YBHIST("FNMA4.0-GEN",$A38,"Price","tba","")</f>
        <v>106.984375</v>
      </c>
      <c r="AC38" s="2">
        <f>[1]!YBHIST("FNMA4.5-GEN",$A38,"Price","tba","")</f>
        <v>107.671875</v>
      </c>
      <c r="AD38" s="2">
        <f>[1]!YBHIST("FNMA5.0-GEN",$A38,"Price","tba","")</f>
        <v>108.78125</v>
      </c>
      <c r="AE38" s="2">
        <f>[1]!YBHIST("FNMA5.5-GEN",$A38,"Price","tba","")</f>
        <v>109.046875</v>
      </c>
      <c r="AF38" s="6">
        <f>[1]!YBHIST("FNMA6.0-GEN",$A38,"Price","tba","")</f>
        <v>110.1875</v>
      </c>
      <c r="AG38" s="2">
        <f>[1]!YBHIST("FNMA3.0-GEN",$A38,"Yield","tba","")</f>
        <v>1.6930000000000001</v>
      </c>
      <c r="AH38" s="2">
        <f>[1]!YBHIST("FNMA3.5-GEN",$A38,"Yield","tba","")</f>
        <v>1.357</v>
      </c>
      <c r="AI38" s="2">
        <f>[1]!YBHIST("FNMA4.0-GEN",$A38,"Yield","tba","")</f>
        <v>1.272</v>
      </c>
      <c r="AJ38" s="2">
        <f>[1]!YBHIST("FNMA4.5-GEN",$A38,"Yield","tba","")</f>
        <v>1.323</v>
      </c>
      <c r="AK38" s="2">
        <f>[1]!YBHIST("FNMA5.0-GEN",$A38,"Yield","tba","")</f>
        <v>0.41</v>
      </c>
      <c r="AL38" s="2">
        <f>[1]!YBHIST("FNMA5.5-GEN",$A38,"Yield","tba","")</f>
        <v>0.75800000000000001</v>
      </c>
      <c r="AM38" s="6">
        <f>[1]!YBHIST("FNMA6.0-GEN",$A38,"Yield","tba","")</f>
        <v>0.153</v>
      </c>
      <c r="AN38" s="3">
        <f>[1]!YBHIST(AN$4,$A38,"Price","sec","")</f>
        <v>11.843999999999999</v>
      </c>
      <c r="AO38" s="2">
        <f>[1]!YBHIST(AO$4,$A38,"Price","sec","")</f>
        <v>13.202999999999999</v>
      </c>
      <c r="AP38" s="2">
        <f>[1]!YBHIST(AP$4,$A38,"Price","sec","")</f>
        <v>10.952999999999999</v>
      </c>
      <c r="AQ38" s="2">
        <f>[1]!YBHIST(AQ$4,$A38,"Price","sec","")</f>
        <v>14.593999999999999</v>
      </c>
      <c r="AR38" s="2">
        <f>[1]!YBHIST(AR$4,$A38,"Price","sec","")</f>
        <v>12.468999999999999</v>
      </c>
      <c r="AS38" s="2">
        <f>[1]!YBHIST(AS$4,$A38,"Price","sec","")</f>
        <v>17.937999999999999</v>
      </c>
      <c r="AT38" s="2">
        <f>[1]!YBHIST(AT$4,$A38,"Price","sec","")</f>
        <v>16.187999999999999</v>
      </c>
      <c r="AU38" s="2">
        <f>[1]!YBHIST(AU$4,$A38,"Price","sec","")</f>
        <v>10.843999999999999</v>
      </c>
      <c r="AV38" s="2">
        <f>[1]!YBHIST(AV$4,$A38,"Price","sec","")</f>
        <v>13.827999999999999</v>
      </c>
      <c r="AW38" s="2">
        <f>[1]!YBHIST(AW$4,$A38,"Price","sec","")</f>
        <v>13.593999999999999</v>
      </c>
      <c r="AX38" s="2">
        <f>[1]!YBHIST(AX$4,$A38,"Price","sec","")</f>
        <v>11.984</v>
      </c>
      <c r="AY38" s="2">
        <f>[1]!YBHIST(AY$4,$A38,"Price","sec","")</f>
        <v>15.781000000000001</v>
      </c>
      <c r="AZ38" s="2">
        <f>[1]!YBHIST(AZ$4,$A38,"Price","sec","")</f>
        <v>14.656000000000001</v>
      </c>
      <c r="BA38" s="2">
        <f>[1]!YBHIST(BA$4,$A38,"Price","sec","")</f>
        <v>14.156000000000001</v>
      </c>
      <c r="BB38" s="2">
        <f>[1]!YBHIST(BB$4,$A38,"Price","sec","")</f>
        <v>17.358999000000001</v>
      </c>
      <c r="BC38" s="2">
        <f>[1]!YBHIST(BC$4,$A38,"Price","sec","")</f>
        <v>17.266000999999999</v>
      </c>
      <c r="BD38" s="2">
        <f>[1]!YBHIST(BD$4,$A38,"Price","sec","")</f>
        <v>17.312000000000001</v>
      </c>
      <c r="BE38" s="6">
        <f>[1]!YBHIST(BE$4,$A38,"Price","sec","")</f>
        <v>18.891000999999999</v>
      </c>
      <c r="BF38" s="20">
        <f>[1]!YBHIST(BF$4,$A38,"LMMOAS","sec","")</f>
        <v>389.87460299999998</v>
      </c>
      <c r="BG38" s="20">
        <f>[1]!YBHIST(BG$4,$A38,"LMMOAS","sec","")</f>
        <v>318.973389</v>
      </c>
      <c r="BH38" s="20">
        <f>[1]!YBHIST(BH$4,$A38,"LMMOAS","sec","")</f>
        <v>397.660706</v>
      </c>
      <c r="BI38" s="20">
        <f>[1]!YBHIST(BI$4,$A38,"LMMOAS","sec","")</f>
        <v>338.21560699999998</v>
      </c>
      <c r="BJ38" s="20">
        <f>[1]!YBHIST(BJ$4,$A38,"LMMOAS","sec","")</f>
        <v>346.630493</v>
      </c>
      <c r="BK38" s="20">
        <f>[1]!YBHIST(BK$4,$A38,"LMMOAS","sec","")</f>
        <v>315.14080799999999</v>
      </c>
      <c r="BL38" s="20">
        <f>[1]!YBHIST(BL$4,$A38,"LMMOAS","sec","")</f>
        <v>279.49249300000002</v>
      </c>
      <c r="BM38" s="20">
        <f>[1]!YBHIST(BM$4,$A38,"LMMOAS","sec","")</f>
        <v>65.598197999999996</v>
      </c>
      <c r="BN38" s="20">
        <f>[1]!YBHIST(BN$4,$A38,"LMMOAS","sec","")</f>
        <v>115.855698</v>
      </c>
      <c r="BO38" s="20">
        <f>[1]!YBHIST(BO$4,$A38,"LMMOAS","sec","")</f>
        <v>324.79391500000003</v>
      </c>
      <c r="BP38" s="20">
        <f>[1]!YBHIST(BP$4,$A38,"LMMOAS","sec","")</f>
        <v>226.677505</v>
      </c>
      <c r="BQ38" s="20">
        <f>[1]!YBHIST(BQ$4,$A38,"LMMOAS","sec","")</f>
        <v>389.20529199999999</v>
      </c>
      <c r="BR38" s="20">
        <f>[1]!YBHIST(BR$4,$A38,"LMMOAS","sec","")</f>
        <v>618.30877699999996</v>
      </c>
      <c r="BS38" s="20">
        <f>[1]!YBHIST(BS$4,$A38,"LMMOAS","sec","")</f>
        <v>217.368393</v>
      </c>
      <c r="BT38" s="20">
        <f>[1]!YBHIST(BT$4,$A38,"LMMOAS","sec","")</f>
        <v>401.35519399999998</v>
      </c>
      <c r="BU38" s="20">
        <f>[1]!YBHIST(BU$4,$A38,"LMMOAS","sec","")</f>
        <v>193.73840300000001</v>
      </c>
      <c r="BV38" s="20">
        <f>[1]!YBHIST(BV$4,$A38,"LMMOAS","sec","")</f>
        <v>251.78230300000001</v>
      </c>
      <c r="BW38" s="20">
        <f>[1]!YBHIST(BW$4,$A38,"LMMOAS","sec","")</f>
        <v>178.58540300000001</v>
      </c>
      <c r="BX38" s="5"/>
      <c r="BY38" s="1"/>
      <c r="BZ38" s="1"/>
    </row>
    <row r="39" spans="1:78" x14ac:dyDescent="0.25">
      <c r="A39" s="14">
        <f>[1]!YBWORKDAY(A$26,-1*(ROW()-ROW(A$26)),"USD","")</f>
        <v>41221</v>
      </c>
      <c r="B39" s="3">
        <f>[1]!YBHIST("2 Year Treasury",$A39,"Price","govt","")</f>
        <v>99.984001000000006</v>
      </c>
      <c r="C39" s="2">
        <f>[1]!YBHIST("5 Year Treasury",$A39,"Price","govt","")</f>
        <v>100.539001</v>
      </c>
      <c r="D39" s="2">
        <f>[1]!YBHIST("10 Year Treasury",$A39,"Price","govt","")</f>
        <v>99.953002999999995</v>
      </c>
      <c r="E39" s="6">
        <f>[1]!YBHIST("30 Year Treasury",$A39,"Price","govt","")</f>
        <v>99.671997000000005</v>
      </c>
      <c r="F39" s="3">
        <f>[1]!YBHIST("2 Year Treasury",$A39,"YldtoMat","govt","")</f>
        <v>0.25800000000000001</v>
      </c>
      <c r="G39" s="2">
        <f>[1]!YBHIST("5 Year Treasury",$A39,"YldtoMat","govt","")</f>
        <v>0.64</v>
      </c>
      <c r="H39" s="2">
        <f>[1]!YBHIST("10 Year Treasury",$A39,"YldtoMat","govt","")</f>
        <v>1.63</v>
      </c>
      <c r="I39" s="6">
        <f>[1]!YBHIST("30 Year Treasury",$A39,"YldtoMat","govt","")</f>
        <v>2.766</v>
      </c>
      <c r="J39" s="3">
        <f>[1]!YBHIST("2yr Swap Rate",$A39,"YldtoMat","swapvol","")</f>
        <v>0.369618</v>
      </c>
      <c r="K39" s="2">
        <f>[1]!YBHIST("5yr Swap Rate",$A39,"YldtoMat","swapvol","")</f>
        <v>0.75114199999999998</v>
      </c>
      <c r="L39" s="2">
        <f>[1]!YBHIST("10yr Swap Rate",$A39,"YldtoMat","swapvol","")</f>
        <v>1.6435470000000001</v>
      </c>
      <c r="M39" s="6">
        <f>[1]!YBHIST("30yr Swap Rate",$A39,"YldtoMat","swapvol","")</f>
        <v>2.4962300000000002</v>
      </c>
      <c r="N39" s="3">
        <f>[1]!YBHIST("FNMA 30YR Cur Coup (BE)",$A39,"Yield","bmk","")</f>
        <v>2.0510000000000002</v>
      </c>
      <c r="O39" s="2">
        <f>[1]!YBHIST("FHLMC 30YR Cur Coup (BE)",$A39,"Yield","bmk","")</f>
        <v>2.097</v>
      </c>
      <c r="P39" s="2">
        <f>[1]!YBHIST("GNMA 30YR Cur Coup (BE)",$A39,"Yield","bmk","")</f>
        <v>1.9650000000000001</v>
      </c>
      <c r="Q39" s="2">
        <f>[1]!YBHIST("Primary 30-Yr Mtg Rate",$A39,"Yield","bmk","")</f>
        <v>3.4198</v>
      </c>
      <c r="R39" s="2">
        <f>[1]!YBHIST("FHLM 30-Yr Survey Rate",$A39,"Yield","bmk","")</f>
        <v>3.4</v>
      </c>
      <c r="S39" s="6">
        <f>[1]!YBHIST("Base Mortgage Rate",$A39,"Yield","bmk","")</f>
        <v>2.3889999999999998</v>
      </c>
      <c r="T39" s="18">
        <f>[1]!YBHIST("FNMA 30YR Cur Coup (BE)",$A39,"LMMOAS","bmk","")</f>
        <v>-9.5429999999999993</v>
      </c>
      <c r="U39" s="19">
        <f>[1]!YBHIST("FHLMC 30YR Cur Coup (BE)",$A39,"LMMOAS","bmk","")</f>
        <v>-6.5148999999999999</v>
      </c>
      <c r="V39" s="19">
        <f>[1]!YBHIST("GNMA 30YR Cur Coup (BE)",$A39,"LMMOAS","bmk","")</f>
        <v>-19.931801</v>
      </c>
      <c r="W39" s="20">
        <f t="shared" si="6"/>
        <v>42.100000000000023</v>
      </c>
      <c r="X39" s="20">
        <f t="shared" si="7"/>
        <v>42.100000000000023</v>
      </c>
      <c r="Y39" s="20">
        <f t="shared" si="8"/>
        <v>46.70000000000001</v>
      </c>
      <c r="Z39" s="25">
        <f>[1]!YBHIST("FNMA3.0-GEN",$A39,"Price","tba","")</f>
        <v>105.21875</v>
      </c>
      <c r="AA39" s="2">
        <f>[1]!YBHIST("FNMA3.5-GEN",$A39,"Price","tba","")</f>
        <v>106.636719</v>
      </c>
      <c r="AB39" s="2">
        <f>[1]!YBHIST("FNMA4.0-GEN",$A39,"Price","tba","")</f>
        <v>107.128906</v>
      </c>
      <c r="AC39" s="2">
        <f>[1]!YBHIST("FNMA4.5-GEN",$A39,"Price","tba","")</f>
        <v>107.847656</v>
      </c>
      <c r="AD39" s="2">
        <f>[1]!YBHIST("FNMA5.0-GEN",$A39,"Price","tba","")</f>
        <v>108.917969</v>
      </c>
      <c r="AE39" s="2">
        <f>[1]!YBHIST("FNMA5.5-GEN",$A39,"Price","tba","")</f>
        <v>109.421875</v>
      </c>
      <c r="AF39" s="6">
        <f>[1]!YBHIST("FNMA6.0-GEN",$A39,"Price","tba","")</f>
        <v>110.5</v>
      </c>
      <c r="AG39" s="2">
        <f>[1]!YBHIST("FNMA3.0-GEN",$A39,"Yield","tba","")</f>
        <v>1.667</v>
      </c>
      <c r="AH39" s="2">
        <f>[1]!YBHIST("FNMA3.5-GEN",$A39,"Yield","tba","")</f>
        <v>1.32</v>
      </c>
      <c r="AI39" s="2">
        <f>[1]!YBHIST("FNMA4.0-GEN",$A39,"Yield","tba","")</f>
        <v>1.214</v>
      </c>
      <c r="AJ39" s="2">
        <f>[1]!YBHIST("FNMA4.5-GEN",$A39,"Yield","tba","")</f>
        <v>1.252</v>
      </c>
      <c r="AK39" s="2">
        <f>[1]!YBHIST("FNMA5.0-GEN",$A39,"Yield","tba","")</f>
        <v>0.34100000000000003</v>
      </c>
      <c r="AL39" s="2">
        <f>[1]!YBHIST("FNMA5.5-GEN",$A39,"Yield","tba","")</f>
        <v>0.58199999999999996</v>
      </c>
      <c r="AM39" s="6">
        <f>[1]!YBHIST("FNMA6.0-GEN",$A39,"Yield","tba","")</f>
        <v>-5.0000000000000001E-3</v>
      </c>
      <c r="AN39" s="3">
        <f>[1]!YBHIST(AN$4,$A39,"Price","sec","")</f>
        <v>11.391</v>
      </c>
      <c r="AO39" s="2">
        <f>[1]!YBHIST(AO$4,$A39,"Price","sec","")</f>
        <v>12.766</v>
      </c>
      <c r="AP39" s="2">
        <f>[1]!YBHIST(AP$4,$A39,"Price","sec","")</f>
        <v>10.5</v>
      </c>
      <c r="AQ39" s="2">
        <f>[1]!YBHIST(AQ$4,$A39,"Price","sec","")</f>
        <v>14.188000000000001</v>
      </c>
      <c r="AR39" s="2">
        <f>[1]!YBHIST(AR$4,$A39,"Price","sec","")</f>
        <v>11.952999999999999</v>
      </c>
      <c r="AS39" s="2">
        <f>[1]!YBHIST(AS$4,$A39,"Price","sec","")</f>
        <v>17.547001000000002</v>
      </c>
      <c r="AT39" s="2">
        <f>[1]!YBHIST(AT$4,$A39,"Price","sec","")</f>
        <v>15.718999999999999</v>
      </c>
      <c r="AU39" s="2">
        <f>[1]!YBHIST(AU$4,$A39,"Price","sec","")</f>
        <v>10.266</v>
      </c>
      <c r="AV39" s="2">
        <f>[1]!YBHIST(AV$4,$A39,"Price","sec","")</f>
        <v>13.202999999999999</v>
      </c>
      <c r="AW39" s="2">
        <f>[1]!YBHIST(AW$4,$A39,"Price","sec","")</f>
        <v>13.031000000000001</v>
      </c>
      <c r="AX39" s="2">
        <f>[1]!YBHIST(AX$4,$A39,"Price","sec","")</f>
        <v>11.561999999999999</v>
      </c>
      <c r="AY39" s="2">
        <f>[1]!YBHIST(AY$4,$A39,"Price","sec","")</f>
        <v>15.297000000000001</v>
      </c>
      <c r="AZ39" s="2">
        <f>[1]!YBHIST(AZ$4,$A39,"Price","sec","")</f>
        <v>14.234</v>
      </c>
      <c r="BA39" s="2">
        <f>[1]!YBHIST(BA$4,$A39,"Price","sec","")</f>
        <v>13.702999999999999</v>
      </c>
      <c r="BB39" s="2">
        <f>[1]!YBHIST(BB$4,$A39,"Price","sec","")</f>
        <v>17</v>
      </c>
      <c r="BC39" s="2">
        <f>[1]!YBHIST(BC$4,$A39,"Price","sec","")</f>
        <v>16.875</v>
      </c>
      <c r="BD39" s="2">
        <f>[1]!YBHIST(BD$4,$A39,"Price","sec","")</f>
        <v>16.905999999999999</v>
      </c>
      <c r="BE39" s="6">
        <f>[1]!YBHIST(BE$4,$A39,"Price","sec","")</f>
        <v>18.344000000000001</v>
      </c>
      <c r="BF39" s="20">
        <f>[1]!YBHIST(BF$4,$A39,"LMMOAS","sec","")</f>
        <v>407.73709100000002</v>
      </c>
      <c r="BG39" s="20">
        <f>[1]!YBHIST(BG$4,$A39,"LMMOAS","sec","")</f>
        <v>316.31130999999999</v>
      </c>
      <c r="BH39" s="20">
        <f>[1]!YBHIST(BH$4,$A39,"LMMOAS","sec","")</f>
        <v>389.10690299999999</v>
      </c>
      <c r="BI39" s="20">
        <f>[1]!YBHIST(BI$4,$A39,"LMMOAS","sec","")</f>
        <v>332.65499899999998</v>
      </c>
      <c r="BJ39" s="20">
        <f>[1]!YBHIST(BJ$4,$A39,"LMMOAS","sec","")</f>
        <v>343.43679800000001</v>
      </c>
      <c r="BK39" s="20">
        <f>[1]!YBHIST(BK$4,$A39,"LMMOAS","sec","")</f>
        <v>317.39050300000002</v>
      </c>
      <c r="BL39" s="20">
        <f>[1]!YBHIST(BL$4,$A39,"LMMOAS","sec","")</f>
        <v>277.80029300000001</v>
      </c>
      <c r="BM39" s="20">
        <f>[1]!YBHIST(BM$4,$A39,"LMMOAS","sec","")</f>
        <v>67.184601000000001</v>
      </c>
      <c r="BN39" s="20">
        <f>[1]!YBHIST(BN$4,$A39,"LMMOAS","sec","")</f>
        <v>124.16390199999999</v>
      </c>
      <c r="BO39" s="20">
        <f>[1]!YBHIST(BO$4,$A39,"LMMOAS","sec","")</f>
        <v>332.02218599999998</v>
      </c>
      <c r="BP39" s="20">
        <f>[1]!YBHIST(BP$4,$A39,"LMMOAS","sec","")</f>
        <v>179.43600499999999</v>
      </c>
      <c r="BQ39" s="20">
        <f>[1]!YBHIST(BQ$4,$A39,"LMMOAS","sec","")</f>
        <v>372.64248700000002</v>
      </c>
      <c r="BR39" s="20">
        <f>[1]!YBHIST(BR$4,$A39,"LMMOAS","sec","")</f>
        <v>598.84497099999999</v>
      </c>
      <c r="BS39" s="20">
        <f>[1]!YBHIST(BS$4,$A39,"LMMOAS","sec","")</f>
        <v>174.820694</v>
      </c>
      <c r="BT39" s="20">
        <f>[1]!YBHIST(BT$4,$A39,"LMMOAS","sec","")</f>
        <v>356.19311499999998</v>
      </c>
      <c r="BU39" s="20">
        <f>[1]!YBHIST(BU$4,$A39,"LMMOAS","sec","")</f>
        <v>209.25830099999999</v>
      </c>
      <c r="BV39" s="20">
        <f>[1]!YBHIST(BV$4,$A39,"LMMOAS","sec","")</f>
        <v>259.86788899999999</v>
      </c>
      <c r="BW39" s="20">
        <f>[1]!YBHIST(BW$4,$A39,"LMMOAS","sec","")</f>
        <v>188.232101</v>
      </c>
      <c r="BX39" s="5"/>
      <c r="BY39" s="1"/>
      <c r="BZ39" s="1"/>
    </row>
    <row r="40" spans="1:78" x14ac:dyDescent="0.25">
      <c r="A40" s="14">
        <f>[1]!YBWORKDAY(A$26,-1*(ROW()-ROW(A$26)),"USD","")</f>
        <v>41220</v>
      </c>
      <c r="B40" s="3">
        <f>[1]!YBHIST("2 Year Treasury",$A40,"Price","govt","")</f>
        <v>99.969002000000003</v>
      </c>
      <c r="C40" s="2">
        <f>[1]!YBHIST("5 Year Treasury",$A40,"Price","govt","")</f>
        <v>100.43800400000001</v>
      </c>
      <c r="D40" s="2">
        <f>[1]!YBHIST("10 Year Treasury",$A40,"Price","govt","")</f>
        <v>99.921997000000005</v>
      </c>
      <c r="E40" s="6">
        <f>[1]!YBHIST("30 Year Treasury",$A40,"Price","govt","")</f>
        <v>98.594002000000003</v>
      </c>
      <c r="F40" s="3">
        <f>[1]!YBHIST("2 Year Treasury",$A40,"YldtoMat","govt","")</f>
        <v>0.26600000000000001</v>
      </c>
      <c r="G40" s="2">
        <f>[1]!YBHIST("5 Year Treasury",$A40,"YldtoMat","govt","")</f>
        <v>0.66100000000000003</v>
      </c>
      <c r="H40" s="2">
        <f>[1]!YBHIST("10 Year Treasury",$A40,"YldtoMat","govt","")</f>
        <v>1.6339999999999999</v>
      </c>
      <c r="I40" s="6">
        <f>[1]!YBHIST("30 Year Treasury",$A40,"YldtoMat","govt","")</f>
        <v>2.82</v>
      </c>
      <c r="J40" s="3">
        <f>[1]!YBHIST("2yr Swap Rate",$A40,"YldtoMat","swapvol","")</f>
        <v>0.36982100000000001</v>
      </c>
      <c r="K40" s="2">
        <f>[1]!YBHIST("5yr Swap Rate",$A40,"YldtoMat","swapvol","")</f>
        <v>0.76795800000000003</v>
      </c>
      <c r="L40" s="2">
        <f>[1]!YBHIST("10yr Swap Rate",$A40,"YldtoMat","swapvol","")</f>
        <v>1.6757930000000001</v>
      </c>
      <c r="M40" s="6">
        <f>[1]!YBHIST("30yr Swap Rate",$A40,"YldtoMat","swapvol","")</f>
        <v>2.5470069999999998</v>
      </c>
      <c r="N40" s="3">
        <f>[1]!YBHIST("FNMA 30YR Cur Coup (BE)",$A40,"Yield","bmk","")</f>
        <v>2.093</v>
      </c>
      <c r="O40" s="2">
        <f>[1]!YBHIST("FHLMC 30YR Cur Coup (BE)",$A40,"Yield","bmk","")</f>
        <v>2.1389999999999998</v>
      </c>
      <c r="P40" s="2">
        <f>[1]!YBHIST("GNMA 30YR Cur Coup (BE)",$A40,"Yield","bmk","")</f>
        <v>2.0070000000000001</v>
      </c>
      <c r="Q40" s="2">
        <f>[1]!YBHIST("Primary 30-Yr Mtg Rate",$A40,"Yield","bmk","")</f>
        <v>3.5015999999999998</v>
      </c>
      <c r="R40" s="2">
        <f>[1]!YBHIST("FHLM 30-Yr Survey Rate",$A40,"Yield","bmk","")</f>
        <v>3.39</v>
      </c>
      <c r="S40" s="6">
        <f>[1]!YBHIST("Base Mortgage Rate",$A40,"Yield","bmk","")</f>
        <v>2.4300000000000002</v>
      </c>
      <c r="T40" s="18">
        <f>[1]!YBHIST("FNMA 30YR Cur Coup (BE)",$A40,"LMMOAS","bmk","")</f>
        <v>-9.5984999999999996</v>
      </c>
      <c r="U40" s="19">
        <f>[1]!YBHIST("FHLMC 30YR Cur Coup (BE)",$A40,"LMMOAS","bmk","")</f>
        <v>-3.7178</v>
      </c>
      <c r="V40" s="19">
        <f>[1]!YBHIST("GNMA 30YR Cur Coup (BE)",$A40,"LMMOAS","bmk","")</f>
        <v>-10.0555</v>
      </c>
      <c r="W40" s="20">
        <f t="shared" si="6"/>
        <v>45.900000000000006</v>
      </c>
      <c r="X40" s="20">
        <f t="shared" si="7"/>
        <v>45.900000000000006</v>
      </c>
      <c r="Y40" s="20">
        <f t="shared" si="8"/>
        <v>50.499999999999986</v>
      </c>
      <c r="Z40" s="25">
        <f>[1]!YBHIST("FNMA3.0-GEN",$A40,"Price","tba","")</f>
        <v>105.28125</v>
      </c>
      <c r="AA40" s="2">
        <f>[1]!YBHIST("FNMA3.5-GEN",$A40,"Price","tba","")</f>
        <v>106.65625</v>
      </c>
      <c r="AB40" s="2">
        <f>[1]!YBHIST("FNMA4.0-GEN",$A40,"Price","tba","")</f>
        <v>107.078125</v>
      </c>
      <c r="AC40" s="2">
        <f>[1]!YBHIST("FNMA4.5-GEN",$A40,"Price","tba","")</f>
        <v>107.789062</v>
      </c>
      <c r="AD40" s="2">
        <f>[1]!YBHIST("FNMA5.0-GEN",$A40,"Price","tba","")</f>
        <v>108.875</v>
      </c>
      <c r="AE40" s="2">
        <f>[1]!YBHIST("FNMA5.5-GEN",$A40,"Price","tba","")</f>
        <v>109.421875</v>
      </c>
      <c r="AF40" s="6">
        <f>[1]!YBHIST("FNMA6.0-GEN",$A40,"Price","tba","")</f>
        <v>110.53125</v>
      </c>
      <c r="AG40" s="2">
        <f>[1]!YBHIST("FNMA3.0-GEN",$A40,"Yield","tba","")</f>
        <v>1.6839999999999999</v>
      </c>
      <c r="AH40" s="2">
        <f>[1]!YBHIST("FNMA3.5-GEN",$A40,"Yield","tba","")</f>
        <v>1.3260000000000001</v>
      </c>
      <c r="AI40" s="2">
        <f>[1]!YBHIST("FNMA4.0-GEN",$A40,"Yield","tba","")</f>
        <v>1.216</v>
      </c>
      <c r="AJ40" s="2">
        <f>[1]!YBHIST("FNMA4.5-GEN",$A40,"Yield","tba","")</f>
        <v>1.39</v>
      </c>
      <c r="AK40" s="2">
        <f>[1]!YBHIST("FNMA5.0-GEN",$A40,"Yield","tba","")</f>
        <v>3.2000000000000001E-2</v>
      </c>
      <c r="AL40" s="2">
        <f>[1]!YBHIST("FNMA5.5-GEN",$A40,"Yield","tba","")</f>
        <v>0.51</v>
      </c>
      <c r="AM40" s="6">
        <f>[1]!YBHIST("FNMA6.0-GEN",$A40,"Yield","tba","")</f>
        <v>-9.6000000000000002E-2</v>
      </c>
      <c r="AN40" s="3">
        <f>[1]!YBHIST(AN$4,$A40,"Price","sec","")</f>
        <v>11.5</v>
      </c>
      <c r="AO40" s="2">
        <f>[1]!YBHIST(AO$4,$A40,"Price","sec","")</f>
        <v>12.906000000000001</v>
      </c>
      <c r="AP40" s="2">
        <f>[1]!YBHIST(AP$4,$A40,"Price","sec","")</f>
        <v>10.672000000000001</v>
      </c>
      <c r="AQ40" s="2">
        <f>[1]!YBHIST(AQ$4,$A40,"Price","sec","")</f>
        <v>14.375</v>
      </c>
      <c r="AR40" s="2">
        <f>[1]!YBHIST(AR$4,$A40,"Price","sec","")</f>
        <v>12.125</v>
      </c>
      <c r="AS40" s="2">
        <f>[1]!YBHIST(AS$4,$A40,"Price","sec","")</f>
        <v>17.733999000000001</v>
      </c>
      <c r="AT40" s="2">
        <f>[1]!YBHIST(AT$4,$A40,"Price","sec","")</f>
        <v>15.875</v>
      </c>
      <c r="AU40" s="2">
        <f>[1]!YBHIST(AU$4,$A40,"Price","sec","")</f>
        <v>10.406000000000001</v>
      </c>
      <c r="AV40" s="2">
        <f>[1]!YBHIST(AV$4,$A40,"Price","sec","")</f>
        <v>13.343999999999999</v>
      </c>
      <c r="AW40" s="2">
        <f>[1]!YBHIST(AW$4,$A40,"Price","sec","")</f>
        <v>13.156000000000001</v>
      </c>
      <c r="AX40" s="2">
        <f>[1]!YBHIST(AX$4,$A40,"Price","sec","")</f>
        <v>11.688000000000001</v>
      </c>
      <c r="AY40" s="2">
        <f>[1]!YBHIST(AY$4,$A40,"Price","sec","")</f>
        <v>15.406000000000001</v>
      </c>
      <c r="AZ40" s="2">
        <f>[1]!YBHIST(AZ$4,$A40,"Price","sec","")</f>
        <v>14.359</v>
      </c>
      <c r="BA40" s="2">
        <f>[1]!YBHIST(BA$4,$A40,"Price","sec","")</f>
        <v>13.827999999999999</v>
      </c>
      <c r="BB40" s="2">
        <f>[1]!YBHIST(BB$4,$A40,"Price","sec","")</f>
        <v>17.141000999999999</v>
      </c>
      <c r="BC40" s="2">
        <f>[1]!YBHIST(BC$4,$A40,"Price","sec","")</f>
        <v>17</v>
      </c>
      <c r="BD40" s="2">
        <f>[1]!YBHIST(BD$4,$A40,"Price","sec","")</f>
        <v>17.047001000000002</v>
      </c>
      <c r="BE40" s="6">
        <f>[1]!YBHIST(BE$4,$A40,"Price","sec","")</f>
        <v>18.469000000000001</v>
      </c>
      <c r="BF40" s="20">
        <f>[1]!YBHIST(BF$4,$A40,"LMMOAS","sec","")</f>
        <v>450.68319700000001</v>
      </c>
      <c r="BG40" s="20">
        <f>[1]!YBHIST(BG$4,$A40,"LMMOAS","sec","")</f>
        <v>350.132294</v>
      </c>
      <c r="BH40" s="20">
        <f>[1]!YBHIST(BH$4,$A40,"LMMOAS","sec","")</f>
        <v>411.38369799999998</v>
      </c>
      <c r="BI40" s="20">
        <f>[1]!YBHIST(BI$4,$A40,"LMMOAS","sec","")</f>
        <v>354.390106</v>
      </c>
      <c r="BJ40" s="20">
        <f>[1]!YBHIST(BJ$4,$A40,"LMMOAS","sec","")</f>
        <v>363.20251500000001</v>
      </c>
      <c r="BK40" s="20">
        <f>[1]!YBHIST(BK$4,$A40,"LMMOAS","sec","")</f>
        <v>328.60290500000002</v>
      </c>
      <c r="BL40" s="20">
        <f>[1]!YBHIST(BL$4,$A40,"LMMOAS","sec","")</f>
        <v>297.0224</v>
      </c>
      <c r="BM40" s="20">
        <f>[1]!YBHIST(BM$4,$A40,"LMMOAS","sec","")</f>
        <v>74.970298999999997</v>
      </c>
      <c r="BN40" s="20">
        <f>[1]!YBHIST(BN$4,$A40,"LMMOAS","sec","")</f>
        <v>128.705399</v>
      </c>
      <c r="BO40" s="20">
        <f>[1]!YBHIST(BO$4,$A40,"LMMOAS","sec","")</f>
        <v>337.747589</v>
      </c>
      <c r="BP40" s="20">
        <f>[1]!YBHIST(BP$4,$A40,"LMMOAS","sec","")</f>
        <v>186.00649999999999</v>
      </c>
      <c r="BQ40" s="20">
        <f>[1]!YBHIST(BQ$4,$A40,"LMMOAS","sec","")</f>
        <v>379.530914</v>
      </c>
      <c r="BR40" s="20">
        <f>[1]!YBHIST(BR$4,$A40,"LMMOAS","sec","")</f>
        <v>599.90997300000004</v>
      </c>
      <c r="BS40" s="20">
        <f>[1]!YBHIST(BS$4,$A40,"LMMOAS","sec","")</f>
        <v>179.11399800000001</v>
      </c>
      <c r="BT40" s="20">
        <f>[1]!YBHIST(BT$4,$A40,"LMMOAS","sec","")</f>
        <v>350.651611</v>
      </c>
      <c r="BU40" s="20">
        <f>[1]!YBHIST(BU$4,$A40,"LMMOAS","sec","")</f>
        <v>232.574997</v>
      </c>
      <c r="BV40" s="20">
        <f>[1]!YBHIST(BV$4,$A40,"LMMOAS","sec","")</f>
        <v>284.01901199999998</v>
      </c>
      <c r="BW40" s="20">
        <f>[1]!YBHIST(BW$4,$A40,"LMMOAS","sec","")</f>
        <v>211.36090100000001</v>
      </c>
      <c r="BX40" s="5"/>
      <c r="BY40" s="1"/>
      <c r="BZ40" s="1"/>
    </row>
    <row r="41" spans="1:78" x14ac:dyDescent="0.25">
      <c r="A41" s="14">
        <f>[1]!YBWORKDAY(A$26,-1*(ROW()-ROW(A$26)),"USD","")</f>
        <v>41219</v>
      </c>
      <c r="B41" s="3">
        <f>[1]!YBHIST("2 Year Treasury",$A41,"Price","govt","")</f>
        <v>99.914000999999999</v>
      </c>
      <c r="C41" s="2">
        <f>[1]!YBHIST("5 Year Treasury",$A41,"Price","govt","")</f>
        <v>100.023003</v>
      </c>
      <c r="D41" s="2">
        <f>[1]!YBHIST("10 Year Treasury",$A41,"Price","govt","")</f>
        <v>98.969002000000003</v>
      </c>
      <c r="E41" s="6">
        <f>[1]!YBHIST("30 Year Treasury",$A41,"Price","govt","")</f>
        <v>96.655997999999997</v>
      </c>
      <c r="F41" s="3">
        <f>[1]!YBHIST("2 Year Treasury",$A41,"YldtoMat","govt","")</f>
        <v>0.29399999999999998</v>
      </c>
      <c r="G41" s="2">
        <f>[1]!YBHIST("5 Year Treasury",$A41,"YldtoMat","govt","")</f>
        <v>0.745</v>
      </c>
      <c r="H41" s="2">
        <f>[1]!YBHIST("10 Year Treasury",$A41,"YldtoMat","govt","")</f>
        <v>1.74</v>
      </c>
      <c r="I41" s="6">
        <f>[1]!YBHIST("30 Year Treasury",$A41,"YldtoMat","govt","")</f>
        <v>2.919</v>
      </c>
      <c r="J41" s="3">
        <f>[1]!YBHIST("2yr Swap Rate",$A41,"YldtoMat","swapvol","")</f>
        <v>0.39830399999999999</v>
      </c>
      <c r="K41" s="2">
        <f>[1]!YBHIST("5yr Swap Rate",$A41,"YldtoMat","swapvol","")</f>
        <v>0.85093399999999997</v>
      </c>
      <c r="L41" s="2">
        <f>[1]!YBHIST("10yr Swap Rate",$A41,"YldtoMat","swapvol","")</f>
        <v>1.781269</v>
      </c>
      <c r="M41" s="6">
        <f>[1]!YBHIST("30yr Swap Rate",$A41,"YldtoMat","swapvol","")</f>
        <v>2.6531980000000002</v>
      </c>
      <c r="N41" s="3">
        <f>[1]!YBHIST("FNMA 30YR Cur Coup (BE)",$A41,"Yield","bmk","")</f>
        <v>2.2490000000000001</v>
      </c>
      <c r="O41" s="2">
        <f>[1]!YBHIST("FHLMC 30YR Cur Coup (BE)",$A41,"Yield","bmk","")</f>
        <v>2.2949999999999999</v>
      </c>
      <c r="P41" s="2">
        <f>[1]!YBHIST("GNMA 30YR Cur Coup (BE)",$A41,"Yield","bmk","")</f>
        <v>2.1629999999999998</v>
      </c>
      <c r="Q41" s="2">
        <f>[1]!YBHIST("Primary 30-Yr Mtg Rate",$A41,"Yield","bmk","")</f>
        <v>3.6551</v>
      </c>
      <c r="R41" s="2">
        <f>[1]!YBHIST("FHLM 30-Yr Survey Rate",$A41,"Yield","bmk","")</f>
        <v>3.39</v>
      </c>
      <c r="S41" s="6">
        <f>[1]!YBHIST("Base Mortgage Rate",$A41,"Yield","bmk","")</f>
        <v>2.5840000000000001</v>
      </c>
      <c r="T41" s="18">
        <f>[1]!YBHIST("FNMA 30YR Cur Coup (BE)",$A41,"LMMOAS","bmk","")</f>
        <v>-4.3559999999999999</v>
      </c>
      <c r="U41" s="19">
        <f>[1]!YBHIST("FHLMC 30YR Cur Coup (BE)",$A41,"LMMOAS","bmk","")</f>
        <v>2.5792999999999999</v>
      </c>
      <c r="V41" s="19">
        <f>[1]!YBHIST("GNMA 30YR Cur Coup (BE)",$A41,"LMMOAS","bmk","")</f>
        <v>-15.2622</v>
      </c>
      <c r="W41" s="20">
        <f t="shared" si="6"/>
        <v>50.900000000000013</v>
      </c>
      <c r="X41" s="20">
        <f t="shared" si="7"/>
        <v>50.900000000000013</v>
      </c>
      <c r="Y41" s="20">
        <f t="shared" si="8"/>
        <v>55.499999999999993</v>
      </c>
      <c r="Z41" s="25">
        <f>[1]!YBHIST("FNMA3.0-GEN",$A41,"Price","tba","")</f>
        <v>104.601562</v>
      </c>
      <c r="AA41" s="2">
        <f>[1]!YBHIST("FNMA3.5-GEN",$A41,"Price","tba","")</f>
        <v>106.289062</v>
      </c>
      <c r="AB41" s="2">
        <f>[1]!YBHIST("FNMA4.0-GEN",$A41,"Price","tba","")</f>
        <v>106.953125</v>
      </c>
      <c r="AC41" s="2">
        <f>[1]!YBHIST("FNMA4.5-GEN",$A41,"Price","tba","")</f>
        <v>107.835938</v>
      </c>
      <c r="AD41" s="2">
        <f>[1]!YBHIST("FNMA5.0-GEN",$A41,"Price","tba","")</f>
        <v>109.0625</v>
      </c>
      <c r="AE41" s="2">
        <f>[1]!YBHIST("FNMA5.5-GEN",$A41,"Price","tba","")</f>
        <v>109.578125</v>
      </c>
      <c r="AF41" s="6">
        <f>[1]!YBHIST("FNMA6.0-GEN",$A41,"Price","tba","")</f>
        <v>110.71875</v>
      </c>
      <c r="AG41" s="2">
        <f>[1]!YBHIST("FNMA3.0-GEN",$A41,"Yield","tba","")</f>
        <v>1.972</v>
      </c>
      <c r="AH41" s="2">
        <f>[1]!YBHIST("FNMA3.5-GEN",$A41,"Yield","tba","")</f>
        <v>1.6240000000000001</v>
      </c>
      <c r="AI41" s="2">
        <f>[1]!YBHIST("FNMA4.0-GEN",$A41,"Yield","tba","")</f>
        <v>1.502</v>
      </c>
      <c r="AJ41" s="2">
        <f>[1]!YBHIST("FNMA4.5-GEN",$A41,"Yield","tba","")</f>
        <v>1.4490000000000001</v>
      </c>
      <c r="AK41" s="2">
        <f>[1]!YBHIST("FNMA5.0-GEN",$A41,"Yield","tba","")</f>
        <v>0.46100000000000002</v>
      </c>
      <c r="AL41" s="2">
        <f>[1]!YBHIST("FNMA5.5-GEN",$A41,"Yield","tba","")</f>
        <v>0.64400000000000002</v>
      </c>
      <c r="AM41" s="6">
        <f>[1]!YBHIST("FNMA6.0-GEN",$A41,"Yield","tba","")</f>
        <v>-1.0999999999999999E-2</v>
      </c>
      <c r="AN41" s="3">
        <f>[1]!YBHIST(AN$4,$A41,"Price","sec","")</f>
        <v>12.016</v>
      </c>
      <c r="AO41" s="2">
        <f>[1]!YBHIST(AO$4,$A41,"Price","sec","")</f>
        <v>13.484</v>
      </c>
      <c r="AP41" s="2">
        <f>[1]!YBHIST(AP$4,$A41,"Price","sec","")</f>
        <v>11.297000000000001</v>
      </c>
      <c r="AQ41" s="2">
        <f>[1]!YBHIST(AQ$4,$A41,"Price","sec","")</f>
        <v>15.016</v>
      </c>
      <c r="AR41" s="2">
        <f>[1]!YBHIST(AR$4,$A41,"Price","sec","")</f>
        <v>12.75</v>
      </c>
      <c r="AS41" s="2">
        <f>[1]!YBHIST(AS$4,$A41,"Price","sec","")</f>
        <v>18.266000999999999</v>
      </c>
      <c r="AT41" s="2">
        <f>[1]!YBHIST(AT$4,$A41,"Price","sec","")</f>
        <v>16.422001000000002</v>
      </c>
      <c r="AU41" s="2">
        <f>[1]!YBHIST(AU$4,$A41,"Price","sec","")</f>
        <v>10.891</v>
      </c>
      <c r="AV41" s="2">
        <f>[1]!YBHIST(AV$4,$A41,"Price","sec","")</f>
        <v>13.781000000000001</v>
      </c>
      <c r="AW41" s="2">
        <f>[1]!YBHIST(AW$4,$A41,"Price","sec","")</f>
        <v>13.577999999999999</v>
      </c>
      <c r="AX41" s="2">
        <f>[1]!YBHIST(AX$4,$A41,"Price","sec","")</f>
        <v>12.172000000000001</v>
      </c>
      <c r="AY41" s="2">
        <f>[1]!YBHIST(AY$4,$A41,"Price","sec","")</f>
        <v>15.797000000000001</v>
      </c>
      <c r="AZ41" s="2">
        <f>[1]!YBHIST(AZ$4,$A41,"Price","sec","")</f>
        <v>14.718999999999999</v>
      </c>
      <c r="BA41" s="2">
        <f>[1]!YBHIST(BA$4,$A41,"Price","sec","")</f>
        <v>14.343999999999999</v>
      </c>
      <c r="BB41" s="2">
        <f>[1]!YBHIST(BB$4,$A41,"Price","sec","")</f>
        <v>17.562000000000001</v>
      </c>
      <c r="BC41" s="2">
        <f>[1]!YBHIST(BC$4,$A41,"Price","sec","")</f>
        <v>17.562000000000001</v>
      </c>
      <c r="BD41" s="2">
        <f>[1]!YBHIST(BD$4,$A41,"Price","sec","")</f>
        <v>17.687999999999999</v>
      </c>
      <c r="BE41" s="6">
        <f>[1]!YBHIST(BE$4,$A41,"Price","sec","")</f>
        <v>19.062000000000001</v>
      </c>
      <c r="BF41" s="20">
        <f>[1]!YBHIST(BF$4,$A41,"LMMOAS","sec","")</f>
        <v>552.35638400000005</v>
      </c>
      <c r="BG41" s="20">
        <f>[1]!YBHIST(BG$4,$A41,"LMMOAS","sec","")</f>
        <v>431.20959499999998</v>
      </c>
      <c r="BH41" s="20">
        <f>[1]!YBHIST(BH$4,$A41,"LMMOAS","sec","")</f>
        <v>471.197205</v>
      </c>
      <c r="BI41" s="20">
        <f>[1]!YBHIST(BI$4,$A41,"LMMOAS","sec","")</f>
        <v>405.21719400000001</v>
      </c>
      <c r="BJ41" s="20">
        <f>[1]!YBHIST(BJ$4,$A41,"LMMOAS","sec","")</f>
        <v>411.65689099999997</v>
      </c>
      <c r="BK41" s="20">
        <f>[1]!YBHIST(BK$4,$A41,"LMMOAS","sec","")</f>
        <v>369.464111</v>
      </c>
      <c r="BL41" s="20">
        <f>[1]!YBHIST(BL$4,$A41,"LMMOAS","sec","")</f>
        <v>343.24850500000002</v>
      </c>
      <c r="BM41" s="20">
        <f>[1]!YBHIST(BM$4,$A41,"LMMOAS","sec","")</f>
        <v>118.517601</v>
      </c>
      <c r="BN41" s="20">
        <f>[1]!YBHIST(BN$4,$A41,"LMMOAS","sec","")</f>
        <v>177.33670000000001</v>
      </c>
      <c r="BO41" s="20">
        <f>[1]!YBHIST(BO$4,$A41,"LMMOAS","sec","")</f>
        <v>356.678406</v>
      </c>
      <c r="BP41" s="20">
        <f>[1]!YBHIST(BP$4,$A41,"LMMOAS","sec","")</f>
        <v>220.61090100000001</v>
      </c>
      <c r="BQ41" s="20">
        <f>[1]!YBHIST(BQ$4,$A41,"LMMOAS","sec","")</f>
        <v>411.24359099999998</v>
      </c>
      <c r="BR41" s="20">
        <f>[1]!YBHIST(BR$4,$A41,"LMMOAS","sec","")</f>
        <v>616.85742200000004</v>
      </c>
      <c r="BS41" s="20">
        <f>[1]!YBHIST(BS$4,$A41,"LMMOAS","sec","")</f>
        <v>191.37699900000001</v>
      </c>
      <c r="BT41" s="20">
        <f>[1]!YBHIST(BT$4,$A41,"LMMOAS","sec","")</f>
        <v>356.321686</v>
      </c>
      <c r="BU41" s="20">
        <f>[1]!YBHIST(BU$4,$A41,"LMMOAS","sec","")</f>
        <v>310.615814</v>
      </c>
      <c r="BV41" s="20">
        <f>[1]!YBHIST(BV$4,$A41,"LMMOAS","sec","")</f>
        <v>337.60000600000001</v>
      </c>
      <c r="BW41" s="20">
        <f>[1]!YBHIST(BW$4,$A41,"LMMOAS","sec","")</f>
        <v>264.066711</v>
      </c>
      <c r="BX41" s="5"/>
      <c r="BY41" s="1"/>
      <c r="BZ41" s="1"/>
    </row>
    <row r="42" spans="1:78" x14ac:dyDescent="0.25">
      <c r="A42" s="14">
        <f>[1]!YBWORKDAY(A$26,-1*(ROW()-ROW(A$26)),"USD","")</f>
        <v>41218</v>
      </c>
      <c r="B42" s="3">
        <f>[1]!YBHIST("2 Year Treasury",$A42,"Price","govt","")</f>
        <v>99.944999999999993</v>
      </c>
      <c r="C42" s="2">
        <f>[1]!YBHIST("5 Year Treasury",$A42,"Price","govt","")</f>
        <v>100.26599899999999</v>
      </c>
      <c r="D42" s="2">
        <f>[1]!YBHIST("10 Year Treasury",$A42,"Price","govt","")</f>
        <v>99.469002000000003</v>
      </c>
      <c r="E42" s="6">
        <f>[1]!YBHIST("30 Year Treasury",$A42,"Price","govt","")</f>
        <v>97.578002999999995</v>
      </c>
      <c r="F42" s="3">
        <f>[1]!YBHIST("2 Year Treasury",$A42,"YldtoMat","govt","")</f>
        <v>0.27800000000000002</v>
      </c>
      <c r="G42" s="2">
        <f>[1]!YBHIST("5 Year Treasury",$A42,"YldtoMat","govt","")</f>
        <v>0.69599999999999995</v>
      </c>
      <c r="H42" s="2">
        <f>[1]!YBHIST("10 Year Treasury",$A42,"YldtoMat","govt","")</f>
        <v>1.6839999999999999</v>
      </c>
      <c r="I42" s="6">
        <f>[1]!YBHIST("30 Year Treasury",$A42,"YldtoMat","govt","")</f>
        <v>2.871</v>
      </c>
      <c r="J42" s="3">
        <f>[1]!YBHIST("2yr Swap Rate",$A42,"YldtoMat","swapvol","")</f>
        <v>0.37114599999999998</v>
      </c>
      <c r="K42" s="2">
        <f>[1]!YBHIST("5yr Swap Rate",$A42,"YldtoMat","swapvol","")</f>
        <v>0.79399200000000003</v>
      </c>
      <c r="L42" s="2">
        <f>[1]!YBHIST("10yr Swap Rate",$A42,"YldtoMat","swapvol","")</f>
        <v>1.712747</v>
      </c>
      <c r="M42" s="6">
        <f>[1]!YBHIST("30yr Swap Rate",$A42,"YldtoMat","swapvol","")</f>
        <v>2.5994519999999999</v>
      </c>
      <c r="N42" s="3">
        <f>[1]!YBHIST("FNMA 30YR Cur Coup (BE)",$A42,"Yield","bmk","")</f>
        <v>2.1480000000000001</v>
      </c>
      <c r="O42" s="2">
        <f>[1]!YBHIST("FHLMC 30YR Cur Coup (BE)",$A42,"Yield","bmk","")</f>
        <v>2.194</v>
      </c>
      <c r="P42" s="2">
        <f>[1]!YBHIST("GNMA 30YR Cur Coup (BE)",$A42,"Yield","bmk","")</f>
        <v>2.0619999999999998</v>
      </c>
      <c r="Q42" s="2">
        <f>[1]!YBHIST("Primary 30-Yr Mtg Rate",$A42,"Yield","bmk","")</f>
        <v>3.5567000000000002</v>
      </c>
      <c r="R42" s="2">
        <f>[1]!YBHIST("FHLM 30-Yr Survey Rate",$A42,"Yield","bmk","")</f>
        <v>3.39</v>
      </c>
      <c r="S42" s="6">
        <f>[1]!YBHIST("Base Mortgage Rate",$A42,"Yield","bmk","")</f>
        <v>2.4860000000000002</v>
      </c>
      <c r="T42" s="18">
        <f>[1]!YBHIST("FNMA 30YR Cur Coup (BE)",$A42,"LMMOAS","bmk","")</f>
        <v>-8.6103000000000005</v>
      </c>
      <c r="U42" s="19">
        <f>[1]!YBHIST("FHLMC 30YR Cur Coup (BE)",$A42,"LMMOAS","bmk","")</f>
        <v>-2.3938000000000001</v>
      </c>
      <c r="V42" s="19">
        <f>[1]!YBHIST("GNMA 30YR Cur Coup (BE)",$A42,"LMMOAS","bmk","")</f>
        <v>-13.8066</v>
      </c>
      <c r="W42" s="20">
        <f t="shared" si="6"/>
        <v>46.40000000000002</v>
      </c>
      <c r="X42" s="20">
        <f t="shared" si="7"/>
        <v>46.40000000000002</v>
      </c>
      <c r="Y42" s="20">
        <f t="shared" si="8"/>
        <v>51</v>
      </c>
      <c r="Z42" s="25">
        <f>[1]!YBHIST("FNMA3.0-GEN",$A42,"Price","tba","")</f>
        <v>105.085938</v>
      </c>
      <c r="AA42" s="2">
        <f>[1]!YBHIST("FNMA3.5-GEN",$A42,"Price","tba","")</f>
        <v>106.640625</v>
      </c>
      <c r="AB42" s="2">
        <f>[1]!YBHIST("FNMA4.0-GEN",$A42,"Price","tba","")</f>
        <v>107.1875</v>
      </c>
      <c r="AC42" s="2">
        <f>[1]!YBHIST("FNMA4.5-GEN",$A42,"Price","tba","")</f>
        <v>107.945312</v>
      </c>
      <c r="AD42" s="2">
        <f>[1]!YBHIST("FNMA5.0-GEN",$A42,"Price","tba","")</f>
        <v>109.15625</v>
      </c>
      <c r="AE42" s="2">
        <f>[1]!YBHIST("FNMA5.5-GEN",$A42,"Price","tba","")</f>
        <v>109.6875</v>
      </c>
      <c r="AF42" s="6">
        <f>[1]!YBHIST("FNMA6.0-GEN",$A42,"Price","tba","")</f>
        <v>110.804688</v>
      </c>
      <c r="AG42" s="2">
        <f>[1]!YBHIST("FNMA3.0-GEN",$A42,"Yield","tba","")</f>
        <v>1.782</v>
      </c>
      <c r="AH42" s="2">
        <f>[1]!YBHIST("FNMA3.5-GEN",$A42,"Yield","tba","")</f>
        <v>1.403</v>
      </c>
      <c r="AI42" s="2">
        <f>[1]!YBHIST("FNMA4.0-GEN",$A42,"Yield","tba","")</f>
        <v>1.3049999999999999</v>
      </c>
      <c r="AJ42" s="2">
        <f>[1]!YBHIST("FNMA4.5-GEN",$A42,"Yield","tba","")</f>
        <v>1.3080000000000001</v>
      </c>
      <c r="AK42" s="2">
        <f>[1]!YBHIST("FNMA5.0-GEN",$A42,"Yield","tba","")</f>
        <v>0.307</v>
      </c>
      <c r="AL42" s="2">
        <f>[1]!YBHIST("FNMA5.5-GEN",$A42,"Yield","tba","")</f>
        <v>0.51100000000000001</v>
      </c>
      <c r="AM42" s="6">
        <f>[1]!YBHIST("FNMA6.0-GEN",$A42,"Yield","tba","")</f>
        <v>-0.127</v>
      </c>
      <c r="AN42" s="3">
        <f>[1]!YBHIST(AN$4,$A42,"Price","sec","")</f>
        <v>11.531000000000001</v>
      </c>
      <c r="AO42" s="2">
        <f>[1]!YBHIST(AO$4,$A42,"Price","sec","")</f>
        <v>13.061999999999999</v>
      </c>
      <c r="AP42" s="2">
        <f>[1]!YBHIST(AP$4,$A42,"Price","sec","")</f>
        <v>10.906000000000001</v>
      </c>
      <c r="AQ42" s="2">
        <f>[1]!YBHIST(AQ$4,$A42,"Price","sec","")</f>
        <v>14.641</v>
      </c>
      <c r="AR42" s="2">
        <f>[1]!YBHIST(AR$4,$A42,"Price","sec","")</f>
        <v>12.406000000000001</v>
      </c>
      <c r="AS42" s="2">
        <f>[1]!YBHIST(AS$4,$A42,"Price","sec","")</f>
        <v>18.030999999999999</v>
      </c>
      <c r="AT42" s="2">
        <f>[1]!YBHIST(AT$4,$A42,"Price","sec","")</f>
        <v>16.155999999999999</v>
      </c>
      <c r="AU42" s="2">
        <f>[1]!YBHIST(AU$4,$A42,"Price","sec","")</f>
        <v>10.625</v>
      </c>
      <c r="AV42" s="2">
        <f>[1]!YBHIST(AV$4,$A42,"Price","sec","")</f>
        <v>13.516</v>
      </c>
      <c r="AW42" s="2">
        <f>[1]!YBHIST(AW$4,$A42,"Price","sec","")</f>
        <v>13.327999999999999</v>
      </c>
      <c r="AX42" s="2">
        <f>[1]!YBHIST(AX$4,$A42,"Price","sec","")</f>
        <v>11.984</v>
      </c>
      <c r="AY42" s="2">
        <f>[1]!YBHIST(AY$4,$A42,"Price","sec","")</f>
        <v>15.609</v>
      </c>
      <c r="AZ42" s="2">
        <f>[1]!YBHIST(AZ$4,$A42,"Price","sec","")</f>
        <v>14.531000000000001</v>
      </c>
      <c r="BA42" s="2">
        <f>[1]!YBHIST(BA$4,$A42,"Price","sec","")</f>
        <v>14.202999999999999</v>
      </c>
      <c r="BB42" s="2">
        <f>[1]!YBHIST(BB$4,$A42,"Price","sec","")</f>
        <v>17.483999000000001</v>
      </c>
      <c r="BC42" s="2">
        <f>[1]!YBHIST(BC$4,$A42,"Price","sec","")</f>
        <v>17.187999999999999</v>
      </c>
      <c r="BD42" s="2">
        <f>[1]!YBHIST(BD$4,$A42,"Price","sec","")</f>
        <v>17.297001000000002</v>
      </c>
      <c r="BE42" s="6">
        <f>[1]!YBHIST(BE$4,$A42,"Price","sec","")</f>
        <v>18.655999999999999</v>
      </c>
      <c r="BF42" s="20">
        <f>[1]!YBHIST(BF$4,$A42,"LMMOAS","sec","")</f>
        <v>529.78308100000004</v>
      </c>
      <c r="BG42" s="20">
        <f>[1]!YBHIST(BG$4,$A42,"LMMOAS","sec","")</f>
        <v>396.18960600000003</v>
      </c>
      <c r="BH42" s="20">
        <f>[1]!YBHIST(BH$4,$A42,"LMMOAS","sec","")</f>
        <v>438.71020499999997</v>
      </c>
      <c r="BI42" s="20">
        <f>[1]!YBHIST(BI$4,$A42,"LMMOAS","sec","")</f>
        <v>367.47109999999998</v>
      </c>
      <c r="BJ42" s="20">
        <f>[1]!YBHIST(BJ$4,$A42,"LMMOAS","sec","")</f>
        <v>376.11810300000002</v>
      </c>
      <c r="BK42" s="20">
        <f>[1]!YBHIST(BK$4,$A42,"LMMOAS","sec","")</f>
        <v>329.88580300000001</v>
      </c>
      <c r="BL42" s="20">
        <f>[1]!YBHIST(BL$4,$A42,"LMMOAS","sec","")</f>
        <v>303.677795</v>
      </c>
      <c r="BM42" s="20">
        <f>[1]!YBHIST(BM$4,$A42,"LMMOAS","sec","")</f>
        <v>87.358597000000003</v>
      </c>
      <c r="BN42" s="20">
        <f>[1]!YBHIST(BN$4,$A42,"LMMOAS","sec","")</f>
        <v>152.337906</v>
      </c>
      <c r="BO42" s="20">
        <f>[1]!YBHIST(BO$4,$A42,"LMMOAS","sec","")</f>
        <v>344.76669299999998</v>
      </c>
      <c r="BP42" s="20">
        <f>[1]!YBHIST(BP$4,$A42,"LMMOAS","sec","")</f>
        <v>178.148697</v>
      </c>
      <c r="BQ42" s="20">
        <f>[1]!YBHIST(BQ$4,$A42,"LMMOAS","sec","")</f>
        <v>383.37530500000003</v>
      </c>
      <c r="BR42" s="20">
        <f>[1]!YBHIST(BR$4,$A42,"LMMOAS","sec","")</f>
        <v>603.52392599999996</v>
      </c>
      <c r="BS42" s="20">
        <f>[1]!YBHIST(BS$4,$A42,"LMMOAS","sec","")</f>
        <v>150.91990699999999</v>
      </c>
      <c r="BT42" s="20">
        <f>[1]!YBHIST(BT$4,$A42,"LMMOAS","sec","")</f>
        <v>326.105591</v>
      </c>
      <c r="BU42" s="20">
        <f>[1]!YBHIST(BU$4,$A42,"LMMOAS","sec","")</f>
        <v>268.52569599999998</v>
      </c>
      <c r="BV42" s="20">
        <f>[1]!YBHIST(BV$4,$A42,"LMMOAS","sec","")</f>
        <v>303.32720899999998</v>
      </c>
      <c r="BW42" s="20">
        <f>[1]!YBHIST(BW$4,$A42,"LMMOAS","sec","")</f>
        <v>241.53460699999999</v>
      </c>
      <c r="BX42" s="5"/>
      <c r="BY42" s="1"/>
      <c r="BZ42" s="1"/>
    </row>
    <row r="43" spans="1:78" x14ac:dyDescent="0.25">
      <c r="A43" s="14">
        <f>[1]!YBWORKDAY(A$26,-1*(ROW()-ROW(A$26)),"USD","")</f>
        <v>41215</v>
      </c>
      <c r="B43" s="3">
        <f>[1]!YBHIST("2 Year Treasury",$A43,"Price","govt","")</f>
        <v>99.93</v>
      </c>
      <c r="C43" s="2">
        <f>[1]!YBHIST("5 Year Treasury",$A43,"Price","govt","")</f>
        <v>100.10900100000001</v>
      </c>
      <c r="D43" s="2">
        <f>[1]!YBHIST("10 Year Treasury",$A43,"Price","govt","")</f>
        <v>99.109001000000006</v>
      </c>
      <c r="E43" s="6">
        <f>[1]!YBHIST("30 Year Treasury",$A43,"Price","govt","")</f>
        <v>96.671997000000005</v>
      </c>
      <c r="F43" s="3">
        <f>[1]!YBHIST("2 Year Treasury",$A43,"YldtoMat","govt","")</f>
        <v>0.28599999999999998</v>
      </c>
      <c r="G43" s="2">
        <f>[1]!YBHIST("5 Year Treasury",$A43,"YldtoMat","govt","")</f>
        <v>0.72799999999999998</v>
      </c>
      <c r="H43" s="2">
        <f>[1]!YBHIST("10 Year Treasury",$A43,"YldtoMat","govt","")</f>
        <v>1.724</v>
      </c>
      <c r="I43" s="6">
        <f>[1]!YBHIST("30 Year Treasury",$A43,"YldtoMat","govt","")</f>
        <v>2.9180000000000001</v>
      </c>
      <c r="J43" s="3">
        <f>[1]!YBHIST("2yr Swap Rate",$A43,"YldtoMat","swapvol","")</f>
        <v>0.37744899999999998</v>
      </c>
      <c r="K43" s="2">
        <f>[1]!YBHIST("5yr Swap Rate",$A43,"YldtoMat","swapvol","")</f>
        <v>0.82248699999999997</v>
      </c>
      <c r="L43" s="2">
        <f>[1]!YBHIST("10yr Swap Rate",$A43,"YldtoMat","swapvol","")</f>
        <v>1.7508010000000001</v>
      </c>
      <c r="M43" s="6">
        <f>[1]!YBHIST("30yr Swap Rate",$A43,"YldtoMat","swapvol","")</f>
        <v>2.6442079999999999</v>
      </c>
      <c r="N43" s="3">
        <f>[1]!YBHIST("FNMA 30YR Cur Coup (BE)",$A43,"Yield","bmk","")</f>
        <v>2.194</v>
      </c>
      <c r="O43" s="2">
        <f>[1]!YBHIST("FHLMC 30YR Cur Coup (BE)",$A43,"Yield","bmk","")</f>
        <v>2.2400000000000002</v>
      </c>
      <c r="P43" s="2">
        <f>[1]!YBHIST("GNMA 30YR Cur Coup (BE)",$A43,"Yield","bmk","")</f>
        <v>2.1080000000000001</v>
      </c>
      <c r="Q43" s="2">
        <f>[1]!YBHIST("Primary 30-Yr Mtg Rate",$A43,"Yield","bmk","")</f>
        <v>3.6029</v>
      </c>
      <c r="R43" s="2">
        <f>[1]!YBHIST("FHLM 30-Yr Survey Rate",$A43,"Yield","bmk","")</f>
        <v>3.39</v>
      </c>
      <c r="S43" s="6">
        <f>[1]!YBHIST("Base Mortgage Rate",$A43,"Yield","bmk","")</f>
        <v>2.532</v>
      </c>
      <c r="T43" s="18">
        <f>[1]!YBHIST("FNMA 30YR Cur Coup (BE)",$A43,"LMMOAS","bmk","")</f>
        <v>-7.5709999999999997</v>
      </c>
      <c r="U43" s="19">
        <f>[1]!YBHIST("FHLMC 30YR Cur Coup (BE)",$A43,"LMMOAS","bmk","")</f>
        <v>-1.044</v>
      </c>
      <c r="V43" s="19">
        <f>[1]!YBHIST("GNMA 30YR Cur Coup (BE)",$A43,"LMMOAS","bmk","")</f>
        <v>-16.191099000000001</v>
      </c>
      <c r="W43" s="20">
        <f t="shared" si="6"/>
        <v>47</v>
      </c>
      <c r="X43" s="20">
        <f t="shared" si="7"/>
        <v>47</v>
      </c>
      <c r="Y43" s="20">
        <f t="shared" si="8"/>
        <v>51.600000000000023</v>
      </c>
      <c r="Z43" s="25">
        <f>[1]!YBHIST("FNMA3.0-GEN",$A43,"Price","tba","")</f>
        <v>104.851562</v>
      </c>
      <c r="AA43" s="2">
        <f>[1]!YBHIST("FNMA3.5-GEN",$A43,"Price","tba","")</f>
        <v>106.507812</v>
      </c>
      <c r="AB43" s="2">
        <f>[1]!YBHIST("FNMA4.0-GEN",$A43,"Price","tba","")</f>
        <v>107.109375</v>
      </c>
      <c r="AC43" s="2">
        <f>[1]!YBHIST("FNMA4.5-GEN",$A43,"Price","tba","")</f>
        <v>107.898438</v>
      </c>
      <c r="AD43" s="2">
        <f>[1]!YBHIST("FNMA5.0-GEN",$A43,"Price","tba","")</f>
        <v>109.125</v>
      </c>
      <c r="AE43" s="2">
        <f>[1]!YBHIST("FNMA5.5-GEN",$A43,"Price","tba","")</f>
        <v>109.664062</v>
      </c>
      <c r="AF43" s="6">
        <f>[1]!YBHIST("FNMA6.0-GEN",$A43,"Price","tba","")</f>
        <v>110.789062</v>
      </c>
      <c r="AG43" s="2">
        <f>[1]!YBHIST("FNMA3.0-GEN",$A43,"Yield","tba","")</f>
        <v>1.8759999999999999</v>
      </c>
      <c r="AH43" s="2">
        <f>[1]!YBHIST("FNMA3.5-GEN",$A43,"Yield","tba","")</f>
        <v>1.502</v>
      </c>
      <c r="AI43" s="2">
        <f>[1]!YBHIST("FNMA4.0-GEN",$A43,"Yield","tba","")</f>
        <v>1.391</v>
      </c>
      <c r="AJ43" s="2">
        <f>[1]!YBHIST("FNMA4.5-GEN",$A43,"Yield","tba","")</f>
        <v>1.3759999999999999</v>
      </c>
      <c r="AK43" s="2">
        <f>[1]!YBHIST("FNMA5.0-GEN",$A43,"Yield","tba","")</f>
        <v>0.376</v>
      </c>
      <c r="AL43" s="2">
        <f>[1]!YBHIST("FNMA5.5-GEN",$A43,"Yield","tba","")</f>
        <v>0.56299999999999994</v>
      </c>
      <c r="AM43" s="6">
        <f>[1]!YBHIST("FNMA6.0-GEN",$A43,"Yield","tba","")</f>
        <v>-8.4000000000000005E-2</v>
      </c>
      <c r="AN43" s="3">
        <f>[1]!YBHIST(AN$4,$A43,"Price","sec","")</f>
        <v>11.797000000000001</v>
      </c>
      <c r="AO43" s="2">
        <f>[1]!YBHIST(AO$4,$A43,"Price","sec","")</f>
        <v>13.311999999999999</v>
      </c>
      <c r="AP43" s="2">
        <f>[1]!YBHIST(AP$4,$A43,"Price","sec","")</f>
        <v>11.141</v>
      </c>
      <c r="AQ43" s="2">
        <f>[1]!YBHIST(AQ$4,$A43,"Price","sec","")</f>
        <v>14.906000000000001</v>
      </c>
      <c r="AR43" s="2">
        <f>[1]!YBHIST(AR$4,$A43,"Price","sec","")</f>
        <v>12.656000000000001</v>
      </c>
      <c r="AS43" s="2">
        <f>[1]!YBHIST(AS$4,$A43,"Price","sec","")</f>
        <v>18.405999999999999</v>
      </c>
      <c r="AT43" s="2">
        <f>[1]!YBHIST(AT$4,$A43,"Price","sec","")</f>
        <v>16.469000000000001</v>
      </c>
      <c r="AU43" s="2">
        <f>[1]!YBHIST(AU$4,$A43,"Price","sec","")</f>
        <v>10.811999999999999</v>
      </c>
      <c r="AV43" s="2">
        <f>[1]!YBHIST(AV$4,$A43,"Price","sec","")</f>
        <v>13.702999999999999</v>
      </c>
      <c r="AW43" s="2">
        <f>[1]!YBHIST(AW$4,$A43,"Price","sec","")</f>
        <v>13.516</v>
      </c>
      <c r="AX43" s="2">
        <f>[1]!YBHIST(AX$4,$A43,"Price","sec","")</f>
        <v>12.109</v>
      </c>
      <c r="AY43" s="2">
        <f>[1]!YBHIST(AY$4,$A43,"Price","sec","")</f>
        <v>15.702999999999999</v>
      </c>
      <c r="AZ43" s="2">
        <f>[1]!YBHIST(AZ$4,$A43,"Price","sec","")</f>
        <v>14.625</v>
      </c>
      <c r="BA43" s="2">
        <f>[1]!YBHIST(BA$4,$A43,"Price","sec","")</f>
        <v>14.297000000000001</v>
      </c>
      <c r="BB43" s="2">
        <f>[1]!YBHIST(BB$4,$A43,"Price","sec","")</f>
        <v>17.562000000000001</v>
      </c>
      <c r="BC43" s="2">
        <f>[1]!YBHIST(BC$4,$A43,"Price","sec","")</f>
        <v>17.405999999999999</v>
      </c>
      <c r="BD43" s="2">
        <f>[1]!YBHIST(BD$4,$A43,"Price","sec","")</f>
        <v>17.516000999999999</v>
      </c>
      <c r="BE43" s="6">
        <f>[1]!YBHIST(BE$4,$A43,"Price","sec","")</f>
        <v>18.875</v>
      </c>
      <c r="BF43" s="20">
        <f>[1]!YBHIST(BF$4,$A43,"LMMOAS","sec","")</f>
        <v>542.21167000000003</v>
      </c>
      <c r="BG43" s="20">
        <f>[1]!YBHIST(BG$4,$A43,"LMMOAS","sec","")</f>
        <v>413.907715</v>
      </c>
      <c r="BH43" s="20">
        <f>[1]!YBHIST(BH$4,$A43,"LMMOAS","sec","")</f>
        <v>455.22088600000001</v>
      </c>
      <c r="BI43" s="20">
        <f>[1]!YBHIST(BI$4,$A43,"LMMOAS","sec","")</f>
        <v>380.79669200000001</v>
      </c>
      <c r="BJ43" s="20">
        <f>[1]!YBHIST(BJ$4,$A43,"LMMOAS","sec","")</f>
        <v>386.77929699999999</v>
      </c>
      <c r="BK43" s="20">
        <f>[1]!YBHIST(BK$4,$A43,"LMMOAS","sec","")</f>
        <v>320.72738600000002</v>
      </c>
      <c r="BL43" s="20">
        <f>[1]!YBHIST(BL$4,$A43,"LMMOAS","sec","")</f>
        <v>302.70111100000003</v>
      </c>
      <c r="BM43" s="20">
        <f>[1]!YBHIST(BM$4,$A43,"LMMOAS","sec","")</f>
        <v>102.684601</v>
      </c>
      <c r="BN43" s="20">
        <f>[1]!YBHIST(BN$4,$A43,"LMMOAS","sec","")</f>
        <v>163.455307</v>
      </c>
      <c r="BO43" s="20">
        <f>[1]!YBHIST(BO$4,$A43,"LMMOAS","sec","")</f>
        <v>345.123108</v>
      </c>
      <c r="BP43" s="20">
        <f>[1]!YBHIST(BP$4,$A43,"LMMOAS","sec","")</f>
        <v>205.04049699999999</v>
      </c>
      <c r="BQ43" s="20">
        <f>[1]!YBHIST(BQ$4,$A43,"LMMOAS","sec","")</f>
        <v>405.242188</v>
      </c>
      <c r="BR43" s="20">
        <f>[1]!YBHIST(BR$4,$A43,"LMMOAS","sec","")</f>
        <v>617.922729</v>
      </c>
      <c r="BS43" s="20">
        <f>[1]!YBHIST(BS$4,$A43,"LMMOAS","sec","")</f>
        <v>177.57609600000001</v>
      </c>
      <c r="BT43" s="20">
        <f>[1]!YBHIST(BT$4,$A43,"LMMOAS","sec","")</f>
        <v>342.24618500000003</v>
      </c>
      <c r="BU43" s="20">
        <f>[1]!YBHIST(BU$4,$A43,"LMMOAS","sec","")</f>
        <v>289.48928799999999</v>
      </c>
      <c r="BV43" s="20">
        <f>[1]!YBHIST(BV$4,$A43,"LMMOAS","sec","")</f>
        <v>322.83221400000002</v>
      </c>
      <c r="BW43" s="20">
        <f>[1]!YBHIST(BW$4,$A43,"LMMOAS","sec","")</f>
        <v>256.49710099999999</v>
      </c>
      <c r="BX43" s="5"/>
      <c r="BY43" s="1"/>
      <c r="BZ43" s="1"/>
    </row>
    <row r="44" spans="1:78" x14ac:dyDescent="0.25">
      <c r="A44" s="14">
        <f>[1]!YBWORKDAY(A$26,-1*(ROW()-ROW(A$26)),"USD","")</f>
        <v>41214</v>
      </c>
      <c r="B44" s="3">
        <f>[1]!YBHIST("2 Year Treasury",$A44,"Price","govt","")</f>
        <v>99.938004000000006</v>
      </c>
      <c r="C44" s="2">
        <f>[1]!YBHIST("5 Year Treasury",$A44,"Price","govt","")</f>
        <v>100.125</v>
      </c>
      <c r="D44" s="2">
        <f>[1]!YBHIST("10 Year Treasury",$A44,"Price","govt","")</f>
        <v>99.203002999999995</v>
      </c>
      <c r="E44" s="6">
        <f>[1]!YBHIST("30 Year Treasury",$A44,"Price","govt","")</f>
        <v>97.125</v>
      </c>
      <c r="F44" s="3">
        <f>[1]!YBHIST("2 Year Treasury",$A44,"YldtoMat","govt","")</f>
        <v>0.28100000000000003</v>
      </c>
      <c r="G44" s="2">
        <f>[1]!YBHIST("5 Year Treasury",$A44,"YldtoMat","govt","")</f>
        <v>0.72399999999999998</v>
      </c>
      <c r="H44" s="2">
        <f>[1]!YBHIST("10 Year Treasury",$A44,"YldtoMat","govt","")</f>
        <v>1.714</v>
      </c>
      <c r="I44" s="6">
        <f>[1]!YBHIST("30 Year Treasury",$A44,"YldtoMat","govt","")</f>
        <v>2.895</v>
      </c>
      <c r="J44" s="3">
        <f>[1]!YBHIST("2yr Swap Rate",$A44,"YldtoMat","swapvol","")</f>
        <v>0.37906200000000001</v>
      </c>
      <c r="K44" s="2">
        <f>[1]!YBHIST("5yr Swap Rate",$A44,"YldtoMat","swapvol","")</f>
        <v>0.82133500000000004</v>
      </c>
      <c r="L44" s="2">
        <f>[1]!YBHIST("10yr Swap Rate",$A44,"YldtoMat","swapvol","")</f>
        <v>1.7523770000000001</v>
      </c>
      <c r="M44" s="6">
        <f>[1]!YBHIST("30yr Swap Rate",$A44,"YldtoMat","swapvol","")</f>
        <v>2.6333760000000002</v>
      </c>
      <c r="N44" s="3">
        <f>[1]!YBHIST("FNMA 30YR Cur Coup (BE)",$A44,"Yield","bmk","")</f>
        <v>2.2330000000000001</v>
      </c>
      <c r="O44" s="2">
        <f>[1]!YBHIST("FHLMC 30YR Cur Coup (BE)",$A44,"Yield","bmk","")</f>
        <v>2.2789999999999999</v>
      </c>
      <c r="P44" s="2">
        <f>[1]!YBHIST("GNMA 30YR Cur Coup (BE)",$A44,"Yield","bmk","")</f>
        <v>2.1469999999999998</v>
      </c>
      <c r="Q44" s="2">
        <f>[1]!YBHIST("Primary 30-Yr Mtg Rate",$A44,"Yield","bmk","")</f>
        <v>3.6398000000000001</v>
      </c>
      <c r="R44" s="2">
        <f>[1]!YBHIST("FHLM 30-Yr Survey Rate",$A44,"Yield","bmk","")</f>
        <v>3.39</v>
      </c>
      <c r="S44" s="6">
        <f>[1]!YBHIST("Base Mortgage Rate",$A44,"Yield","bmk","")</f>
        <v>2.569</v>
      </c>
      <c r="T44" s="18">
        <f>[1]!YBHIST("FNMA 30YR Cur Coup (BE)",$A44,"LMMOAS","bmk","")</f>
        <v>-3.1242000000000001</v>
      </c>
      <c r="U44" s="19">
        <f>[1]!YBHIST("FHLMC 30YR Cur Coup (BE)",$A44,"LMMOAS","bmk","")</f>
        <v>3.6025</v>
      </c>
      <c r="V44" s="19">
        <f>[1]!YBHIST("GNMA 30YR Cur Coup (BE)",$A44,"LMMOAS","bmk","")</f>
        <v>-13.797599999999999</v>
      </c>
      <c r="W44" s="20">
        <f t="shared" si="6"/>
        <v>51.900000000000013</v>
      </c>
      <c r="X44" s="20">
        <f t="shared" si="7"/>
        <v>51.900000000000013</v>
      </c>
      <c r="Y44" s="20">
        <f t="shared" si="8"/>
        <v>56.499999999999993</v>
      </c>
      <c r="Z44" s="25">
        <f>[1]!YBHIST("FNMA3.0-GEN",$A44,"Price","tba","")</f>
        <v>104.710938</v>
      </c>
      <c r="AA44" s="2">
        <f>[1]!YBHIST("FNMA3.5-GEN",$A44,"Price","tba","")</f>
        <v>106.398438</v>
      </c>
      <c r="AB44" s="2">
        <f>[1]!YBHIST("FNMA4.0-GEN",$A44,"Price","tba","")</f>
        <v>107.039062</v>
      </c>
      <c r="AC44" s="2">
        <f>[1]!YBHIST("FNMA4.5-GEN",$A44,"Price","tba","")</f>
        <v>107.859375</v>
      </c>
      <c r="AD44" s="2">
        <f>[1]!YBHIST("FNMA5.0-GEN",$A44,"Price","tba","")</f>
        <v>109.109375</v>
      </c>
      <c r="AE44" s="2">
        <f>[1]!YBHIST("FNMA5.5-GEN",$A44,"Price","tba","")</f>
        <v>109.648438</v>
      </c>
      <c r="AF44" s="6">
        <f>[1]!YBHIST("FNMA6.0-GEN",$A44,"Price","tba","")</f>
        <v>110.78125</v>
      </c>
      <c r="AG44" s="2">
        <f>[1]!YBHIST("FNMA3.0-GEN",$A44,"Yield","tba","")</f>
        <v>1.9379999999999999</v>
      </c>
      <c r="AH44" s="2">
        <f>[1]!YBHIST("FNMA3.5-GEN",$A44,"Yield","tba","")</f>
        <v>1.5780000000000001</v>
      </c>
      <c r="AI44" s="2">
        <f>[1]!YBHIST("FNMA4.0-GEN",$A44,"Yield","tba","")</f>
        <v>1.4590000000000001</v>
      </c>
      <c r="AJ44" s="2">
        <f>[1]!YBHIST("FNMA4.5-GEN",$A44,"Yield","tba","")</f>
        <v>1.4279999999999999</v>
      </c>
      <c r="AK44" s="2">
        <f>[1]!YBHIST("FNMA5.0-GEN",$A44,"Yield","tba","")</f>
        <v>0.42699999999999999</v>
      </c>
      <c r="AL44" s="2">
        <f>[1]!YBHIST("FNMA5.5-GEN",$A44,"Yield","tba","")</f>
        <v>0.60299999999999998</v>
      </c>
      <c r="AM44" s="6">
        <f>[1]!YBHIST("FNMA6.0-GEN",$A44,"Yield","tba","")</f>
        <v>-5.0999999999999997E-2</v>
      </c>
      <c r="AN44" s="3">
        <f>[1]!YBHIST(AN$4,$A44,"Price","sec","")</f>
        <v>11.952999999999999</v>
      </c>
      <c r="AO44" s="2">
        <f>[1]!YBHIST(AO$4,$A44,"Price","sec","")</f>
        <v>13.452999999999999</v>
      </c>
      <c r="AP44" s="2">
        <f>[1]!YBHIST(AP$4,$A44,"Price","sec","")</f>
        <v>11.281000000000001</v>
      </c>
      <c r="AQ44" s="2">
        <f>[1]!YBHIST(AQ$4,$A44,"Price","sec","")</f>
        <v>15.061999999999999</v>
      </c>
      <c r="AR44" s="2">
        <f>[1]!YBHIST(AR$4,$A44,"Price","sec","")</f>
        <v>12.797000000000001</v>
      </c>
      <c r="AS44" s="2">
        <f>[1]!YBHIST(AS$4,$A44,"Price","sec","")</f>
        <v>18.577998999999998</v>
      </c>
      <c r="AT44" s="2">
        <f>[1]!YBHIST(AT$4,$A44,"Price","sec","")</f>
        <v>16.625</v>
      </c>
      <c r="AU44" s="2">
        <f>[1]!YBHIST(AU$4,$A44,"Price","sec","")</f>
        <v>10.938000000000001</v>
      </c>
      <c r="AV44" s="2">
        <f>[1]!YBHIST(AV$4,$A44,"Price","sec","")</f>
        <v>13.827999999999999</v>
      </c>
      <c r="AW44" s="2">
        <f>[1]!YBHIST(AW$4,$A44,"Price","sec","")</f>
        <v>13.625</v>
      </c>
      <c r="AX44" s="2">
        <f>[1]!YBHIST(AX$4,$A44,"Price","sec","")</f>
        <v>12.172000000000001</v>
      </c>
      <c r="AY44" s="2">
        <f>[1]!YBHIST(AY$4,$A44,"Price","sec","")</f>
        <v>15.766</v>
      </c>
      <c r="AZ44" s="2">
        <f>[1]!YBHIST(AZ$4,$A44,"Price","sec","")</f>
        <v>14.688000000000001</v>
      </c>
      <c r="BA44" s="2">
        <f>[1]!YBHIST(BA$4,$A44,"Price","sec","")</f>
        <v>14.359</v>
      </c>
      <c r="BB44" s="2">
        <f>[1]!YBHIST(BB$4,$A44,"Price","sec","")</f>
        <v>17.608999000000001</v>
      </c>
      <c r="BC44" s="2">
        <f>[1]!YBHIST(BC$4,$A44,"Price","sec","")</f>
        <v>17.530999999999999</v>
      </c>
      <c r="BD44" s="2">
        <f>[1]!YBHIST(BD$4,$A44,"Price","sec","")</f>
        <v>17.655999999999999</v>
      </c>
      <c r="BE44" s="6">
        <f>[1]!YBHIST(BE$4,$A44,"Price","sec","")</f>
        <v>19.016000999999999</v>
      </c>
      <c r="BF44" s="20">
        <f>[1]!YBHIST(BF$4,$A44,"LMMOAS","sec","")</f>
        <v>560.76208499999996</v>
      </c>
      <c r="BG44" s="20">
        <f>[1]!YBHIST(BG$4,$A44,"LMMOAS","sec","")</f>
        <v>435.04861499999998</v>
      </c>
      <c r="BH44" s="20">
        <f>[1]!YBHIST(BH$4,$A44,"LMMOAS","sec","")</f>
        <v>475.49539199999998</v>
      </c>
      <c r="BI44" s="20">
        <f>[1]!YBHIST(BI$4,$A44,"LMMOAS","sec","")</f>
        <v>397.26168799999999</v>
      </c>
      <c r="BJ44" s="20">
        <f>[1]!YBHIST(BJ$4,$A44,"LMMOAS","sec","")</f>
        <v>403.67849699999999</v>
      </c>
      <c r="BK44" s="20">
        <f>[1]!YBHIST(BK$4,$A44,"LMMOAS","sec","")</f>
        <v>328.97219799999999</v>
      </c>
      <c r="BL44" s="20">
        <f>[1]!YBHIST(BL$4,$A44,"LMMOAS","sec","")</f>
        <v>313.86648600000001</v>
      </c>
      <c r="BM44" s="20">
        <f>[1]!YBHIST(BM$4,$A44,"LMMOAS","sec","")</f>
        <v>115.829903</v>
      </c>
      <c r="BN44" s="20">
        <f>[1]!YBHIST(BN$4,$A44,"LMMOAS","sec","")</f>
        <v>175.32929999999999</v>
      </c>
      <c r="BO44" s="20">
        <f>[1]!YBHIST(BO$4,$A44,"LMMOAS","sec","")</f>
        <v>355.10040299999997</v>
      </c>
      <c r="BP44" s="20">
        <f>[1]!YBHIST(BP$4,$A44,"LMMOAS","sec","")</f>
        <v>232.07049599999999</v>
      </c>
      <c r="BQ44" s="20">
        <f>[1]!YBHIST(BQ$4,$A44,"LMMOAS","sec","")</f>
        <v>424.78460699999999</v>
      </c>
      <c r="BR44" s="20">
        <f>[1]!YBHIST(BR$4,$A44,"LMMOAS","sec","")</f>
        <v>633.61981200000002</v>
      </c>
      <c r="BS44" s="20">
        <f>[1]!YBHIST(BS$4,$A44,"LMMOAS","sec","")</f>
        <v>199.69709800000001</v>
      </c>
      <c r="BT44" s="20">
        <f>[1]!YBHIST(BT$4,$A44,"LMMOAS","sec","")</f>
        <v>359.20929000000001</v>
      </c>
      <c r="BU44" s="20">
        <f>[1]!YBHIST(BU$4,$A44,"LMMOAS","sec","")</f>
        <v>309.93160999999998</v>
      </c>
      <c r="BV44" s="20">
        <f>[1]!YBHIST(BV$4,$A44,"LMMOAS","sec","")</f>
        <v>340.43661500000002</v>
      </c>
      <c r="BW44" s="20">
        <f>[1]!YBHIST(BW$4,$A44,"LMMOAS","sec","")</f>
        <v>270.76550300000002</v>
      </c>
      <c r="BX44" s="5"/>
      <c r="BY44" s="1"/>
      <c r="BZ44" s="1"/>
    </row>
    <row r="45" spans="1:78" x14ac:dyDescent="0.25">
      <c r="A45" s="14">
        <f>[1]!YBWORKDAY(A$26,-1*(ROW()-ROW(A$26)),"USD","")</f>
        <v>41213</v>
      </c>
      <c r="B45" s="3">
        <f>[1]!YBHIST("2 Year Treasury",$A45,"Price","govt","")</f>
        <v>99.938004000000006</v>
      </c>
      <c r="C45" s="2">
        <f>[1]!YBHIST("5 Year Treasury",$A45,"Price","govt","")</f>
        <v>100.18</v>
      </c>
      <c r="D45" s="2">
        <f>[1]!YBHIST("10 Year Treasury",$A45,"Price","govt","")</f>
        <v>99.453002999999995</v>
      </c>
      <c r="E45" s="6">
        <f>[1]!YBHIST("30 Year Treasury",$A45,"Price","govt","")</f>
        <v>97.984001000000006</v>
      </c>
      <c r="F45" s="3">
        <f>[1]!YBHIST("2 Year Treasury",$A45,"YldtoMat","govt","")</f>
        <v>0.28100000000000003</v>
      </c>
      <c r="G45" s="2">
        <f>[1]!YBHIST("5 Year Treasury",$A45,"YldtoMat","govt","")</f>
        <v>0.71299999999999997</v>
      </c>
      <c r="H45" s="2">
        <f>[1]!YBHIST("10 Year Treasury",$A45,"YldtoMat","govt","")</f>
        <v>1.6859999999999999</v>
      </c>
      <c r="I45" s="6">
        <f>[1]!YBHIST("30 Year Treasury",$A45,"YldtoMat","govt","")</f>
        <v>2.851</v>
      </c>
      <c r="J45" s="3">
        <f>[1]!YBHIST("2yr Swap Rate",$A45,"YldtoMat","swapvol","")</f>
        <v>0.38347100000000001</v>
      </c>
      <c r="K45" s="2">
        <f>[1]!YBHIST("5yr Swap Rate",$A45,"YldtoMat","swapvol","")</f>
        <v>0.81512399999999996</v>
      </c>
      <c r="L45" s="2">
        <f>[1]!YBHIST("10yr Swap Rate",$A45,"YldtoMat","swapvol","")</f>
        <v>1.730362</v>
      </c>
      <c r="M45" s="6">
        <f>[1]!YBHIST("30yr Swap Rate",$A45,"YldtoMat","swapvol","")</f>
        <v>2.5977100000000002</v>
      </c>
      <c r="N45" s="3">
        <f>[1]!YBHIST("FNMA 30YR Cur Coup (BE)",$A45,"Yield","bmk","")</f>
        <v>2.1429999999999998</v>
      </c>
      <c r="O45" s="2">
        <f>[1]!YBHIST("FHLMC 30YR Cur Coup (BE)",$A45,"Yield","bmk","")</f>
        <v>2.1890000000000001</v>
      </c>
      <c r="P45" s="2">
        <f>[1]!YBHIST("GNMA 30YR Cur Coup (BE)",$A45,"Yield","bmk","")</f>
        <v>2.0569999999999999</v>
      </c>
      <c r="Q45" s="2">
        <f>[1]!YBHIST("Primary 30-Yr Mtg Rate",$A45,"Yield","bmk","")</f>
        <v>3.5745</v>
      </c>
      <c r="R45" s="2">
        <f>[1]!YBHIST("FHLM 30-Yr Survey Rate",$A45,"Yield","bmk","")</f>
        <v>3.41</v>
      </c>
      <c r="S45" s="6">
        <f>[1]!YBHIST("Base Mortgage Rate",$A45,"Yield","bmk","")</f>
        <v>2.4820000000000002</v>
      </c>
      <c r="T45" s="18">
        <f>[1]!YBHIST("FNMA 30YR Cur Coup (BE)",$A45,"LMMOAS","bmk","")</f>
        <v>-10.088800000000001</v>
      </c>
      <c r="U45" s="19">
        <f>[1]!YBHIST("FHLMC 30YR Cur Coup (BE)",$A45,"LMMOAS","bmk","")</f>
        <v>-3.8195000000000001</v>
      </c>
      <c r="V45" s="19">
        <f>[1]!YBHIST("GNMA 30YR Cur Coup (BE)",$A45,"LMMOAS","bmk","")</f>
        <v>-14.8317</v>
      </c>
      <c r="W45" s="20">
        <f t="shared" si="6"/>
        <v>45.699999999999989</v>
      </c>
      <c r="X45" s="20">
        <f t="shared" si="7"/>
        <v>45.699999999999989</v>
      </c>
      <c r="Y45" s="20">
        <f t="shared" si="8"/>
        <v>50.300000000000011</v>
      </c>
      <c r="Z45" s="25">
        <f>[1]!YBHIST("FNMA3.0-GEN",$A45,"Price","tba","")</f>
        <v>104.960938</v>
      </c>
      <c r="AA45" s="2">
        <f>[1]!YBHIST("FNMA3.5-GEN",$A45,"Price","tba","")</f>
        <v>106.515625</v>
      </c>
      <c r="AB45" s="2">
        <f>[1]!YBHIST("FNMA4.0-GEN",$A45,"Price","tba","")</f>
        <v>107.09375</v>
      </c>
      <c r="AC45" s="2">
        <f>[1]!YBHIST("FNMA4.5-GEN",$A45,"Price","tba","")</f>
        <v>107.875</v>
      </c>
      <c r="AD45" s="2">
        <f>[1]!YBHIST("FNMA5.0-GEN",$A45,"Price","tba","")</f>
        <v>109.09375</v>
      </c>
      <c r="AE45" s="2">
        <f>[1]!YBHIST("FNMA5.5-GEN",$A45,"Price","tba","")</f>
        <v>109.640625</v>
      </c>
      <c r="AF45" s="6">
        <f>[1]!YBHIST("FNMA6.0-GEN",$A45,"Price","tba","")</f>
        <v>110.78125</v>
      </c>
      <c r="AG45" s="2">
        <f>[1]!YBHIST("FNMA3.0-GEN",$A45,"Yield","tba","")</f>
        <v>1.8069999999999999</v>
      </c>
      <c r="AH45" s="2">
        <f>[1]!YBHIST("FNMA3.5-GEN",$A45,"Yield","tba","")</f>
        <v>1.4339999999999999</v>
      </c>
      <c r="AI45" s="2">
        <f>[1]!YBHIST("FNMA4.0-GEN",$A45,"Yield","tba","")</f>
        <v>1.33</v>
      </c>
      <c r="AJ45" s="2">
        <f>[1]!YBHIST("FNMA4.5-GEN",$A45,"Yield","tba","")</f>
        <v>1.325</v>
      </c>
      <c r="AK45" s="2">
        <f>[1]!YBHIST("FNMA5.0-GEN",$A45,"Yield","tba","")</f>
        <v>0.32800000000000001</v>
      </c>
      <c r="AL45" s="2">
        <f>[1]!YBHIST("FNMA5.5-GEN",$A45,"Yield","tba","")</f>
        <v>0.52700000000000002</v>
      </c>
      <c r="AM45" s="6">
        <f>[1]!YBHIST("FNMA6.0-GEN",$A45,"Yield","tba","")</f>
        <v>-0.12</v>
      </c>
      <c r="AN45" s="3">
        <f>[1]!YBHIST(AN$4,$A45,"Price","sec","")</f>
        <v>11.672000000000001</v>
      </c>
      <c r="AO45" s="2">
        <f>[1]!YBHIST(AO$4,$A45,"Price","sec","")</f>
        <v>13.188000000000001</v>
      </c>
      <c r="AP45" s="2">
        <f>[1]!YBHIST(AP$4,$A45,"Price","sec","")</f>
        <v>11.031000000000001</v>
      </c>
      <c r="AQ45" s="2">
        <f>[1]!YBHIST(AQ$4,$A45,"Price","sec","")</f>
        <v>14.843999999999999</v>
      </c>
      <c r="AR45" s="2">
        <f>[1]!YBHIST(AR$4,$A45,"Price","sec","")</f>
        <v>12.593999999999999</v>
      </c>
      <c r="AS45" s="2">
        <f>[1]!YBHIST(AS$4,$A45,"Price","sec","")</f>
        <v>18.452998999999998</v>
      </c>
      <c r="AT45" s="2">
        <f>[1]!YBHIST(AT$4,$A45,"Price","sec","")</f>
        <v>16.483999000000001</v>
      </c>
      <c r="AU45" s="2">
        <f>[1]!YBHIST(AU$4,$A45,"Price","sec","")</f>
        <v>10.797000000000001</v>
      </c>
      <c r="AV45" s="2">
        <f>[1]!YBHIST(AV$4,$A45,"Price","sec","")</f>
        <v>13.688000000000001</v>
      </c>
      <c r="AW45" s="2">
        <f>[1]!YBHIST(AW$4,$A45,"Price","sec","")</f>
        <v>13.484</v>
      </c>
      <c r="AX45" s="2">
        <f>[1]!YBHIST(AX$4,$A45,"Price","sec","")</f>
        <v>12.063000000000001</v>
      </c>
      <c r="AY45" s="2">
        <f>[1]!YBHIST(AY$4,$A45,"Price","sec","")</f>
        <v>15.656000000000001</v>
      </c>
      <c r="AZ45" s="2">
        <f>[1]!YBHIST(AZ$4,$A45,"Price","sec","")</f>
        <v>14.593999999999999</v>
      </c>
      <c r="BA45" s="2">
        <f>[1]!YBHIST(BA$4,$A45,"Price","sec","")</f>
        <v>14.266</v>
      </c>
      <c r="BB45" s="2">
        <f>[1]!YBHIST(BB$4,$A45,"Price","sec","")</f>
        <v>17.562999999999999</v>
      </c>
      <c r="BC45" s="2">
        <f>[1]!YBHIST(BC$4,$A45,"Price","sec","")</f>
        <v>17.312999999999999</v>
      </c>
      <c r="BD45" s="2">
        <f>[1]!YBHIST(BD$4,$A45,"Price","sec","")</f>
        <v>17.422001000000002</v>
      </c>
      <c r="BE45" s="6">
        <f>[1]!YBHIST(BE$4,$A45,"Price","sec","")</f>
        <v>18.780999999999999</v>
      </c>
      <c r="BF45" s="20">
        <f>[1]!YBHIST(BF$4,$A45,"LMMOAS","sec","")</f>
        <v>498.78439300000002</v>
      </c>
      <c r="BG45" s="20">
        <f>[1]!YBHIST(BG$4,$A45,"LMMOAS","sec","")</f>
        <v>371.07870500000001</v>
      </c>
      <c r="BH45" s="20">
        <f>[1]!YBHIST(BH$4,$A45,"LMMOAS","sec","")</f>
        <v>414.54989599999999</v>
      </c>
      <c r="BI45" s="20">
        <f>[1]!YBHIST(BI$4,$A45,"LMMOAS","sec","")</f>
        <v>329.48498499999999</v>
      </c>
      <c r="BJ45" s="20">
        <f>[1]!YBHIST(BJ$4,$A45,"LMMOAS","sec","")</f>
        <v>340.39450099999999</v>
      </c>
      <c r="BK45" s="20">
        <f>[1]!YBHIST(BK$4,$A45,"LMMOAS","sec","")</f>
        <v>269.00610399999999</v>
      </c>
      <c r="BL45" s="20">
        <f>[1]!YBHIST(BL$4,$A45,"LMMOAS","sec","")</f>
        <v>249.35279800000001</v>
      </c>
      <c r="BM45" s="20">
        <f>[1]!YBHIST(BM$4,$A45,"LMMOAS","sec","")</f>
        <v>58.930199000000002</v>
      </c>
      <c r="BN45" s="20">
        <f>[1]!YBHIST(BN$4,$A45,"LMMOAS","sec","")</f>
        <v>131.04049699999999</v>
      </c>
      <c r="BO45" s="20">
        <f>[1]!YBHIST(BO$4,$A45,"LMMOAS","sec","")</f>
        <v>318.20929000000001</v>
      </c>
      <c r="BP45" s="20">
        <f>[1]!YBHIST(BP$4,$A45,"LMMOAS","sec","")</f>
        <v>176.85380599999999</v>
      </c>
      <c r="BQ45" s="20">
        <f>[1]!YBHIST(BQ$4,$A45,"LMMOAS","sec","")</f>
        <v>385.82888800000001</v>
      </c>
      <c r="BR45" s="20">
        <f>[1]!YBHIST(BR$4,$A45,"LMMOAS","sec","")</f>
        <v>596.19549600000005</v>
      </c>
      <c r="BS45" s="20">
        <f>[1]!YBHIST(BS$4,$A45,"LMMOAS","sec","")</f>
        <v>153.342896</v>
      </c>
      <c r="BT45" s="20">
        <f>[1]!YBHIST(BT$4,$A45,"LMMOAS","sec","")</f>
        <v>325.16589399999998</v>
      </c>
      <c r="BU45" s="20">
        <f>[1]!YBHIST(BU$4,$A45,"LMMOAS","sec","")</f>
        <v>248.944107</v>
      </c>
      <c r="BV45" s="20">
        <f>[1]!YBHIST(BV$4,$A45,"LMMOAS","sec","")</f>
        <v>285.63919099999998</v>
      </c>
      <c r="BW45" s="20">
        <f>[1]!YBHIST(BW$4,$A45,"LMMOAS","sec","")</f>
        <v>224.54980499999999</v>
      </c>
      <c r="BX45" s="5"/>
      <c r="BY45" s="1"/>
      <c r="BZ45" s="1"/>
    </row>
    <row r="46" spans="1:78" x14ac:dyDescent="0.25">
      <c r="A46" s="14">
        <f>[1]!YBWORKDAY(A$26,-1*(ROW()-ROW(A$26)),"USD","")</f>
        <v>41211</v>
      </c>
      <c r="B46" s="3">
        <f>[1]!YBHIST("2 Year Treasury",$A46,"Price","govt","")</f>
        <v>99.914000999999999</v>
      </c>
      <c r="C46" s="2">
        <f>[1]!YBHIST("5 Year Treasury",$A46,"Price","govt","")</f>
        <v>100.046997</v>
      </c>
      <c r="D46" s="2">
        <f>[1]!YBHIST("10 Year Treasury",$A46,"Price","govt","")</f>
        <v>99.140998999999994</v>
      </c>
      <c r="E46" s="6">
        <f>[1]!YBHIST("30 Year Treasury",$A46,"Price","govt","")</f>
        <v>97.328002999999995</v>
      </c>
      <c r="F46" s="3">
        <f>[1]!YBHIST("2 Year Treasury",$A46,"YldtoMat","govt","")</f>
        <v>0.29299999999999998</v>
      </c>
      <c r="G46" s="2">
        <f>[1]!YBHIST("5 Year Treasury",$A46,"YldtoMat","govt","")</f>
        <v>0.74</v>
      </c>
      <c r="H46" s="2">
        <f>[1]!YBHIST("10 Year Treasury",$A46,"YldtoMat","govt","")</f>
        <v>1.7210000000000001</v>
      </c>
      <c r="I46" s="6">
        <f>[1]!YBHIST("30 Year Treasury",$A46,"YldtoMat","govt","")</f>
        <v>2.8839999999999999</v>
      </c>
      <c r="J46" s="3">
        <f>[1]!YBHIST("2yr Swap Rate",$A46,"YldtoMat","swapvol","")</f>
        <v>0.39482200000000001</v>
      </c>
      <c r="K46" s="2">
        <f>[1]!YBHIST("5yr Swap Rate",$A46,"YldtoMat","swapvol","")</f>
        <v>0.84339500000000001</v>
      </c>
      <c r="L46" s="2">
        <f>[1]!YBHIST("10yr Swap Rate",$A46,"YldtoMat","swapvol","")</f>
        <v>1.7634879999999999</v>
      </c>
      <c r="M46" s="6">
        <f>[1]!YBHIST("30yr Swap Rate",$A46,"YldtoMat","swapvol","")</f>
        <v>2.633337</v>
      </c>
      <c r="N46" s="3">
        <f>[1]!YBHIST("FNMA 30YR Cur Coup (BE)",$A46,"Yield","bmk","")</f>
        <v>2.1749999999999998</v>
      </c>
      <c r="O46" s="2">
        <f>[1]!YBHIST("FHLMC 30YR Cur Coup (BE)",$A46,"Yield","bmk","")</f>
        <v>2.2210000000000001</v>
      </c>
      <c r="P46" s="2">
        <f>[1]!YBHIST("GNMA 30YR Cur Coup (BE)",$A46,"Yield","bmk","")</f>
        <v>2.089</v>
      </c>
      <c r="Q46" s="2">
        <f>[1]!YBHIST("Primary 30-Yr Mtg Rate",$A46,"Yield","bmk","")</f>
        <v>3.6074000000000002</v>
      </c>
      <c r="R46" s="2">
        <f>[1]!YBHIST("FHLM 30-Yr Survey Rate",$A46,"Yield","bmk","")</f>
        <v>3.41</v>
      </c>
      <c r="S46" s="6">
        <f>[1]!YBHIST("Base Mortgage Rate",$A46,"Yield","bmk","")</f>
        <v>2.5150000000000001</v>
      </c>
      <c r="T46" s="18">
        <f>[1]!YBHIST("FNMA 30YR Cur Coup (BE)",$A46,"LMMOAS","bmk","")</f>
        <v>-10.144600000000001</v>
      </c>
      <c r="U46" s="19">
        <f>[1]!YBHIST("FHLMC 30YR Cur Coup (BE)",$A46,"LMMOAS","bmk","")</f>
        <v>-3.7004999999999999</v>
      </c>
      <c r="V46" s="19">
        <f>[1]!YBHIST("GNMA 30YR Cur Coup (BE)",$A46,"LMMOAS","bmk","")</f>
        <v>-17.160101000000001</v>
      </c>
      <c r="W46" s="20">
        <f t="shared" si="6"/>
        <v>45.399999999999977</v>
      </c>
      <c r="X46" s="20">
        <f t="shared" si="7"/>
        <v>45.399999999999977</v>
      </c>
      <c r="Y46" s="20">
        <f t="shared" si="8"/>
        <v>50</v>
      </c>
      <c r="Z46" s="25">
        <f>[1]!YBHIST("FNMA3.0-GEN",$A46,"Price","tba","")</f>
        <v>104.796875</v>
      </c>
      <c r="AA46" s="2">
        <f>[1]!YBHIST("FNMA3.5-GEN",$A46,"Price","tba","")</f>
        <v>106.421875</v>
      </c>
      <c r="AB46" s="2">
        <f>[1]!YBHIST("FNMA4.0-GEN",$A46,"Price","tba","")</f>
        <v>107.03125</v>
      </c>
      <c r="AC46" s="2">
        <f>[1]!YBHIST("FNMA4.5-GEN",$A46,"Price","tba","")</f>
        <v>107.835938</v>
      </c>
      <c r="AD46" s="2">
        <f>[1]!YBHIST("FNMA5.0-GEN",$A46,"Price","tba","")</f>
        <v>109.046875</v>
      </c>
      <c r="AE46" s="2">
        <f>[1]!YBHIST("FNMA5.5-GEN",$A46,"Price","tba","")</f>
        <v>109.625</v>
      </c>
      <c r="AF46" s="6">
        <f>[1]!YBHIST("FNMA6.0-GEN",$A46,"Price","tba","")</f>
        <v>110.75</v>
      </c>
      <c r="AG46" s="2">
        <f>[1]!YBHIST("FNMA3.0-GEN",$A46,"Yield","tba","")</f>
        <v>1.8720000000000001</v>
      </c>
      <c r="AH46" s="2">
        <f>[1]!YBHIST("FNMA3.5-GEN",$A46,"Yield","tba","")</f>
        <v>1.5029999999999999</v>
      </c>
      <c r="AI46" s="2">
        <f>[1]!YBHIST("FNMA4.0-GEN",$A46,"Yield","tba","")</f>
        <v>1.3919999999999999</v>
      </c>
      <c r="AJ46" s="2">
        <f>[1]!YBHIST("FNMA4.5-GEN",$A46,"Yield","tba","")</f>
        <v>1.375</v>
      </c>
      <c r="AK46" s="2">
        <f>[1]!YBHIST("FNMA5.0-GEN",$A46,"Yield","tba","")</f>
        <v>0.38700000000000001</v>
      </c>
      <c r="AL46" s="2">
        <f>[1]!YBHIST("FNMA5.5-GEN",$A46,"Yield","tba","")</f>
        <v>0.56200000000000006</v>
      </c>
      <c r="AM46" s="6">
        <f>[1]!YBHIST("FNMA6.0-GEN",$A46,"Yield","tba","")</f>
        <v>-0.08</v>
      </c>
      <c r="AN46" s="3">
        <f>[1]!YBHIST(AN$4,$A46,"Price","sec","")</f>
        <v>11.811999999999999</v>
      </c>
      <c r="AO46" s="2">
        <f>[1]!YBHIST(AO$4,$A46,"Price","sec","")</f>
        <v>13.297000000000001</v>
      </c>
      <c r="AP46" s="2">
        <f>[1]!YBHIST(AP$4,$A46,"Price","sec","")</f>
        <v>11.156000000000001</v>
      </c>
      <c r="AQ46" s="2">
        <f>[1]!YBHIST(AQ$4,$A46,"Price","sec","")</f>
        <v>14.922000000000001</v>
      </c>
      <c r="AR46" s="2">
        <f>[1]!YBHIST(AR$4,$A46,"Price","sec","")</f>
        <v>12.672000000000001</v>
      </c>
      <c r="AS46" s="2">
        <f>[1]!YBHIST(AS$4,$A46,"Price","sec","")</f>
        <v>18.530999999999999</v>
      </c>
      <c r="AT46" s="2">
        <f>[1]!YBHIST(AT$4,$A46,"Price","sec","")</f>
        <v>16.577998999999998</v>
      </c>
      <c r="AU46" s="2">
        <f>[1]!YBHIST(AU$4,$A46,"Price","sec","")</f>
        <v>10.875</v>
      </c>
      <c r="AV46" s="2">
        <f>[1]!YBHIST(AV$4,$A46,"Price","sec","")</f>
        <v>13.75</v>
      </c>
      <c r="AW46" s="2">
        <f>[1]!YBHIST(AW$4,$A46,"Price","sec","")</f>
        <v>13.561999999999999</v>
      </c>
      <c r="AX46" s="2">
        <f>[1]!YBHIST(AX$4,$A46,"Price","sec","")</f>
        <v>12.141</v>
      </c>
      <c r="AY46" s="2">
        <f>[1]!YBHIST(AY$4,$A46,"Price","sec","")</f>
        <v>15.702999999999999</v>
      </c>
      <c r="AZ46" s="2">
        <f>[1]!YBHIST(AZ$4,$A46,"Price","sec","")</f>
        <v>14.656000000000001</v>
      </c>
      <c r="BA46" s="2">
        <f>[1]!YBHIST(BA$4,$A46,"Price","sec","")</f>
        <v>14.311999999999999</v>
      </c>
      <c r="BB46" s="2">
        <f>[1]!YBHIST(BB$4,$A46,"Price","sec","")</f>
        <v>17.577998999999998</v>
      </c>
      <c r="BC46" s="2">
        <f>[1]!YBHIST(BC$4,$A46,"Price","sec","")</f>
        <v>17.405999999999999</v>
      </c>
      <c r="BD46" s="2">
        <f>[1]!YBHIST(BD$4,$A46,"Price","sec","")</f>
        <v>17.547001000000002</v>
      </c>
      <c r="BE46" s="6">
        <f>[1]!YBHIST(BE$4,$A46,"Price","sec","")</f>
        <v>18.891000999999999</v>
      </c>
      <c r="BF46" s="20">
        <f>[1]!YBHIST(BF$4,$A46,"LMMOAS","sec","")</f>
        <v>519.56207300000005</v>
      </c>
      <c r="BG46" s="20">
        <f>[1]!YBHIST(BG$4,$A46,"LMMOAS","sec","")</f>
        <v>397.405396</v>
      </c>
      <c r="BH46" s="20">
        <f>[1]!YBHIST(BH$4,$A46,"LMMOAS","sec","")</f>
        <v>437.53100599999999</v>
      </c>
      <c r="BI46" s="20">
        <f>[1]!YBHIST(BI$4,$A46,"LMMOAS","sec","")</f>
        <v>358.68630999999999</v>
      </c>
      <c r="BJ46" s="20">
        <f>[1]!YBHIST(BJ$4,$A46,"LMMOAS","sec","")</f>
        <v>370.598206</v>
      </c>
      <c r="BK46" s="20">
        <f>[1]!YBHIST(BK$4,$A46,"LMMOAS","sec","")</f>
        <v>288.84390300000001</v>
      </c>
      <c r="BL46" s="20">
        <f>[1]!YBHIST(BL$4,$A46,"LMMOAS","sec","")</f>
        <v>270.02780200000001</v>
      </c>
      <c r="BM46" s="20">
        <f>[1]!YBHIST(BM$4,$A46,"LMMOAS","sec","")</f>
        <v>86.152702000000005</v>
      </c>
      <c r="BN46" s="20">
        <f>[1]!YBHIST(BN$4,$A46,"LMMOAS","sec","")</f>
        <v>153.51379399999999</v>
      </c>
      <c r="BO46" s="20">
        <f>[1]!YBHIST(BO$4,$A46,"LMMOAS","sec","")</f>
        <v>330.499908</v>
      </c>
      <c r="BP46" s="20">
        <f>[1]!YBHIST(BP$4,$A46,"LMMOAS","sec","")</f>
        <v>199.20109600000001</v>
      </c>
      <c r="BQ46" s="20">
        <f>[1]!YBHIST(BQ$4,$A46,"LMMOAS","sec","")</f>
        <v>404.73779300000001</v>
      </c>
      <c r="BR46" s="20">
        <f>[1]!YBHIST(BR$4,$A46,"LMMOAS","sec","")</f>
        <v>606.46362299999998</v>
      </c>
      <c r="BS46" s="20">
        <f>[1]!YBHIST(BS$4,$A46,"LMMOAS","sec","")</f>
        <v>177.08270300000001</v>
      </c>
      <c r="BT46" s="20">
        <f>[1]!YBHIST(BT$4,$A46,"LMMOAS","sec","")</f>
        <v>343.27209499999998</v>
      </c>
      <c r="BU46" s="20">
        <f>[1]!YBHIST(BU$4,$A46,"LMMOAS","sec","")</f>
        <v>271.52139299999999</v>
      </c>
      <c r="BV46" s="20">
        <f>[1]!YBHIST(BV$4,$A46,"LMMOAS","sec","")</f>
        <v>303.55578600000001</v>
      </c>
      <c r="BW46" s="20">
        <f>[1]!YBHIST(BW$4,$A46,"LMMOAS","sec","")</f>
        <v>241.01300000000001</v>
      </c>
      <c r="BX46" s="5"/>
      <c r="BY46" s="1"/>
      <c r="BZ46" s="1"/>
    </row>
    <row r="47" spans="1:78" x14ac:dyDescent="0.25">
      <c r="A47" s="14">
        <f>[1]!YBWORKDAY(A$26,-1*(ROW()-ROW(A$26)),"USD","")</f>
        <v>41208</v>
      </c>
      <c r="B47" s="3">
        <f>[1]!YBHIST("2 Year Treasury",$A47,"Price","govt","")</f>
        <v>99.905997999999997</v>
      </c>
      <c r="C47" s="2">
        <f>[1]!YBHIST("5 Year Treasury",$A47,"Price","govt","")</f>
        <v>99.953002999999995</v>
      </c>
      <c r="D47" s="2">
        <f>[1]!YBHIST("10 Year Treasury",$A47,"Price","govt","")</f>
        <v>98.875</v>
      </c>
      <c r="E47" s="6">
        <f>[1]!YBHIST("30 Year Treasury",$A47,"Price","govt","")</f>
        <v>96.688004000000006</v>
      </c>
      <c r="F47" s="3">
        <f>[1]!YBHIST("2 Year Treasury",$A47,"YldtoMat","govt","")</f>
        <v>0.29699999999999999</v>
      </c>
      <c r="G47" s="2">
        <f>[1]!YBHIST("5 Year Treasury",$A47,"YldtoMat","govt","")</f>
        <v>0.76</v>
      </c>
      <c r="H47" s="2">
        <f>[1]!YBHIST("10 Year Treasury",$A47,"YldtoMat","govt","")</f>
        <v>1.75</v>
      </c>
      <c r="I47" s="6">
        <f>[1]!YBHIST("30 Year Treasury",$A47,"YldtoMat","govt","")</f>
        <v>2.9169999999999998</v>
      </c>
      <c r="J47" s="3">
        <f>[1]!YBHIST("2yr Swap Rate",$A47,"YldtoMat","swapvol","")</f>
        <v>0.39876200000000001</v>
      </c>
      <c r="K47" s="2">
        <f>[1]!YBHIST("5yr Swap Rate",$A47,"YldtoMat","swapvol","")</f>
        <v>0.85656699999999997</v>
      </c>
      <c r="L47" s="2">
        <f>[1]!YBHIST("10yr Swap Rate",$A47,"YldtoMat","swapvol","")</f>
        <v>1.78755</v>
      </c>
      <c r="M47" s="6">
        <f>[1]!YBHIST("30yr Swap Rate",$A47,"YldtoMat","swapvol","")</f>
        <v>2.6668259999999999</v>
      </c>
      <c r="N47" s="3">
        <f>[1]!YBHIST("FNMA 30YR Cur Coup (BE)",$A47,"Yield","bmk","")</f>
        <v>2.2040000000000002</v>
      </c>
      <c r="O47" s="2">
        <f>[1]!YBHIST("FHLMC 30YR Cur Coup (BE)",$A47,"Yield","bmk","")</f>
        <v>2.25</v>
      </c>
      <c r="P47" s="2">
        <f>[1]!YBHIST("GNMA 30YR Cur Coup (BE)",$A47,"Yield","bmk","")</f>
        <v>2.1179999999999999</v>
      </c>
      <c r="Q47" s="2">
        <f>[1]!YBHIST("Primary 30-Yr Mtg Rate",$A47,"Yield","bmk","")</f>
        <v>3.6366999999999998</v>
      </c>
      <c r="R47" s="2">
        <f>[1]!YBHIST("FHLM 30-Yr Survey Rate",$A47,"Yield","bmk","")</f>
        <v>3.41</v>
      </c>
      <c r="S47" s="6">
        <f>[1]!YBHIST("Base Mortgage Rate",$A47,"Yield","bmk","")</f>
        <v>2.544</v>
      </c>
      <c r="T47" s="18">
        <f>[1]!YBHIST("FNMA 30YR Cur Coup (BE)",$A47,"LMMOAS","bmk","")</f>
        <v>-9.1701999999999995</v>
      </c>
      <c r="U47" s="19">
        <f>[1]!YBHIST("FHLMC 30YR Cur Coup (BE)",$A47,"LMMOAS","bmk","")</f>
        <v>-2.6042000000000001</v>
      </c>
      <c r="V47" s="19">
        <f>[1]!YBHIST("GNMA 30YR Cur Coup (BE)",$A47,"LMMOAS","bmk","")</f>
        <v>-18.165700999999999</v>
      </c>
      <c r="W47" s="20">
        <f t="shared" si="6"/>
        <v>45.40000000000002</v>
      </c>
      <c r="X47" s="20">
        <f t="shared" si="7"/>
        <v>45.40000000000002</v>
      </c>
      <c r="Y47" s="20">
        <f t="shared" si="8"/>
        <v>50</v>
      </c>
      <c r="Z47" s="25">
        <f>[1]!YBHIST("FNMA3.0-GEN",$A47,"Price","tba","")</f>
        <v>104.703125</v>
      </c>
      <c r="AA47" s="2">
        <f>[1]!YBHIST("FNMA3.5-GEN",$A47,"Price","tba","")</f>
        <v>106.367188</v>
      </c>
      <c r="AB47" s="2">
        <f>[1]!YBHIST("FNMA4.0-GEN",$A47,"Price","tba","")</f>
        <v>107.023438</v>
      </c>
      <c r="AC47" s="2">
        <f>[1]!YBHIST("FNMA4.5-GEN",$A47,"Price","tba","")</f>
        <v>107.835938</v>
      </c>
      <c r="AD47" s="2">
        <f>[1]!YBHIST("FNMA5.0-GEN",$A47,"Price","tba","")</f>
        <v>109.046875</v>
      </c>
      <c r="AE47" s="2">
        <f>[1]!YBHIST("FNMA5.5-GEN",$A47,"Price","tba","")</f>
        <v>109.625</v>
      </c>
      <c r="AF47" s="6">
        <f>[1]!YBHIST("FNMA6.0-GEN",$A47,"Price","tba","")</f>
        <v>110.75</v>
      </c>
      <c r="AG47" s="2">
        <f>[1]!YBHIST("FNMA3.0-GEN",$A47,"Yield","tba","")</f>
        <v>1.9179999999999999</v>
      </c>
      <c r="AH47" s="2">
        <f>[1]!YBHIST("FNMA3.5-GEN",$A47,"Yield","tba","")</f>
        <v>1.554</v>
      </c>
      <c r="AI47" s="2">
        <f>[1]!YBHIST("FNMA4.0-GEN",$A47,"Yield","tba","")</f>
        <v>1.43</v>
      </c>
      <c r="AJ47" s="2">
        <f>[1]!YBHIST("FNMA4.5-GEN",$A47,"Yield","tba","")</f>
        <v>1.4059999999999999</v>
      </c>
      <c r="AK47" s="2">
        <f>[1]!YBHIST("FNMA5.0-GEN",$A47,"Yield","tba","")</f>
        <v>0.42</v>
      </c>
      <c r="AL47" s="2">
        <f>[1]!YBHIST("FNMA5.5-GEN",$A47,"Yield","tba","")</f>
        <v>0.58699999999999997</v>
      </c>
      <c r="AM47" s="6">
        <f>[1]!YBHIST("FNMA6.0-GEN",$A47,"Yield","tba","")</f>
        <v>-5.8000000000000003E-2</v>
      </c>
      <c r="AN47" s="3">
        <f>[1]!YBHIST(AN$4,$A47,"Price","sec","")</f>
        <v>11.952999999999999</v>
      </c>
      <c r="AO47" s="2">
        <f>[1]!YBHIST(AO$4,$A47,"Price","sec","")</f>
        <v>13.422000000000001</v>
      </c>
      <c r="AP47" s="2">
        <f>[1]!YBHIST(AP$4,$A47,"Price","sec","")</f>
        <v>11.281000000000001</v>
      </c>
      <c r="AQ47" s="2">
        <f>[1]!YBHIST(AQ$4,$A47,"Price","sec","")</f>
        <v>15.047000000000001</v>
      </c>
      <c r="AR47" s="2">
        <f>[1]!YBHIST(AR$4,$A47,"Price","sec","")</f>
        <v>12.797000000000001</v>
      </c>
      <c r="AS47" s="2">
        <f>[1]!YBHIST(AS$4,$A47,"Price","sec","")</f>
        <v>18.625</v>
      </c>
      <c r="AT47" s="2">
        <f>[1]!YBHIST(AT$4,$A47,"Price","sec","")</f>
        <v>16.655999999999999</v>
      </c>
      <c r="AU47" s="2">
        <f>[1]!YBHIST(AU$4,$A47,"Price","sec","")</f>
        <v>10.952999999999999</v>
      </c>
      <c r="AV47" s="2">
        <f>[1]!YBHIST(AV$4,$A47,"Price","sec","")</f>
        <v>13.827999999999999</v>
      </c>
      <c r="AW47" s="2">
        <f>[1]!YBHIST(AW$4,$A47,"Price","sec","")</f>
        <v>13.641</v>
      </c>
      <c r="AX47" s="2">
        <f>[1]!YBHIST(AX$4,$A47,"Price","sec","")</f>
        <v>12.202999999999999</v>
      </c>
      <c r="AY47" s="2">
        <f>[1]!YBHIST(AY$4,$A47,"Price","sec","")</f>
        <v>15.75</v>
      </c>
      <c r="AZ47" s="2">
        <f>[1]!YBHIST(AZ$4,$A47,"Price","sec","")</f>
        <v>14.702999999999999</v>
      </c>
      <c r="BA47" s="2">
        <f>[1]!YBHIST(BA$4,$A47,"Price","sec","")</f>
        <v>14.359</v>
      </c>
      <c r="BB47" s="2">
        <f>[1]!YBHIST(BB$4,$A47,"Price","sec","")</f>
        <v>17.608999000000001</v>
      </c>
      <c r="BC47" s="2">
        <f>[1]!YBHIST(BC$4,$A47,"Price","sec","")</f>
        <v>17.530999999999999</v>
      </c>
      <c r="BD47" s="2">
        <f>[1]!YBHIST(BD$4,$A47,"Price","sec","")</f>
        <v>17.655999999999999</v>
      </c>
      <c r="BE47" s="6">
        <f>[1]!YBHIST(BE$4,$A47,"Price","sec","")</f>
        <v>18.983999000000001</v>
      </c>
      <c r="BF47" s="20">
        <f>[1]!YBHIST(BF$4,$A47,"LMMOAS","sec","")</f>
        <v>538.65020800000002</v>
      </c>
      <c r="BG47" s="20">
        <f>[1]!YBHIST(BG$4,$A47,"LMMOAS","sec","")</f>
        <v>418.409088</v>
      </c>
      <c r="BH47" s="20">
        <f>[1]!YBHIST(BH$4,$A47,"LMMOAS","sec","")</f>
        <v>456.867188</v>
      </c>
      <c r="BI47" s="20">
        <f>[1]!YBHIST(BI$4,$A47,"LMMOAS","sec","")</f>
        <v>377.02829000000003</v>
      </c>
      <c r="BJ47" s="20">
        <f>[1]!YBHIST(BJ$4,$A47,"LMMOAS","sec","")</f>
        <v>386.71069299999999</v>
      </c>
      <c r="BK47" s="20">
        <f>[1]!YBHIST(BK$4,$A47,"LMMOAS","sec","")</f>
        <v>305.01858499999997</v>
      </c>
      <c r="BL47" s="20">
        <f>[1]!YBHIST(BL$4,$A47,"LMMOAS","sec","")</f>
        <v>290.11041299999999</v>
      </c>
      <c r="BM47" s="20">
        <f>[1]!YBHIST(BM$4,$A47,"LMMOAS","sec","")</f>
        <v>107.519699</v>
      </c>
      <c r="BN47" s="20">
        <f>[1]!YBHIST(BN$4,$A47,"LMMOAS","sec","")</f>
        <v>170.20429999999999</v>
      </c>
      <c r="BO47" s="20">
        <f>[1]!YBHIST(BO$4,$A47,"LMMOAS","sec","")</f>
        <v>341.88110399999999</v>
      </c>
      <c r="BP47" s="20">
        <f>[1]!YBHIST(BP$4,$A47,"LMMOAS","sec","")</f>
        <v>221.25619499999999</v>
      </c>
      <c r="BQ47" s="20">
        <f>[1]!YBHIST(BQ$4,$A47,"LMMOAS","sec","")</f>
        <v>422.49789399999997</v>
      </c>
      <c r="BR47" s="20">
        <f>[1]!YBHIST(BR$4,$A47,"LMMOAS","sec","")</f>
        <v>620.46991000000003</v>
      </c>
      <c r="BS47" s="20">
        <f>[1]!YBHIST(BS$4,$A47,"LMMOAS","sec","")</f>
        <v>197.692993</v>
      </c>
      <c r="BT47" s="20">
        <f>[1]!YBHIST(BT$4,$A47,"LMMOAS","sec","")</f>
        <v>358.28939800000001</v>
      </c>
      <c r="BU47" s="20">
        <f>[1]!YBHIST(BU$4,$A47,"LMMOAS","sec","")</f>
        <v>290.34930400000002</v>
      </c>
      <c r="BV47" s="20">
        <f>[1]!YBHIST(BV$4,$A47,"LMMOAS","sec","")</f>
        <v>322.579498</v>
      </c>
      <c r="BW47" s="20">
        <f>[1]!YBHIST(BW$4,$A47,"LMMOAS","sec","")</f>
        <v>258.242615</v>
      </c>
      <c r="BX47" s="5"/>
      <c r="BY47" s="1"/>
      <c r="BZ47" s="1"/>
    </row>
    <row r="48" spans="1:78" x14ac:dyDescent="0.25">
      <c r="A48" s="14">
        <f>[1]!YBWORKDAY(A$26,-1*(ROW()-ROW(A$26)),"USD","")</f>
        <v>41207</v>
      </c>
      <c r="B48" s="3">
        <f>[1]!YBHIST("2 Year Treasury",$A48,"Price","govt","")</f>
        <v>99.875</v>
      </c>
      <c r="C48" s="2">
        <f>[1]!YBHIST("5 Year Treasury",$A48,"Price","govt","")</f>
        <v>99.671997000000005</v>
      </c>
      <c r="D48" s="2">
        <f>[1]!YBHIST("10 Year Treasury",$A48,"Price","govt","")</f>
        <v>98.203002999999995</v>
      </c>
      <c r="E48" s="6">
        <f>[1]!YBHIST("30 Year Treasury",$A48,"Price","govt","")</f>
        <v>95.438004000000006</v>
      </c>
      <c r="F48" s="3">
        <f>[1]!YBHIST("2 Year Treasury",$A48,"YldtoMat","govt","")</f>
        <v>0.313</v>
      </c>
      <c r="G48" s="2">
        <f>[1]!YBHIST("5 Year Treasury",$A48,"YldtoMat","govt","")</f>
        <v>0.81699999999999995</v>
      </c>
      <c r="H48" s="2">
        <f>[1]!YBHIST("10 Year Treasury",$A48,"YldtoMat","govt","")</f>
        <v>1.8260000000000001</v>
      </c>
      <c r="I48" s="6">
        <f>[1]!YBHIST("30 Year Treasury",$A48,"YldtoMat","govt","")</f>
        <v>2.9820000000000002</v>
      </c>
      <c r="J48" s="3">
        <f>[1]!YBHIST("2yr Swap Rate",$A48,"YldtoMat","swapvol","")</f>
        <v>0.41177399999999997</v>
      </c>
      <c r="K48" s="2">
        <f>[1]!YBHIST("5yr Swap Rate",$A48,"YldtoMat","swapvol","")</f>
        <v>0.91233399999999998</v>
      </c>
      <c r="L48" s="2">
        <f>[1]!YBHIST("10yr Swap Rate",$A48,"YldtoMat","swapvol","")</f>
        <v>1.866633</v>
      </c>
      <c r="M48" s="6">
        <f>[1]!YBHIST("30yr Swap Rate",$A48,"YldtoMat","swapvol","")</f>
        <v>2.7317770000000001</v>
      </c>
      <c r="N48" s="3">
        <f>[1]!YBHIST("FNMA 30YR Cur Coup (BE)",$A48,"Yield","bmk","")</f>
        <v>2.2770000000000001</v>
      </c>
      <c r="O48" s="2">
        <f>[1]!YBHIST("FHLMC 30YR Cur Coup (BE)",$A48,"Yield","bmk","")</f>
        <v>2.323</v>
      </c>
      <c r="P48" s="2">
        <f>[1]!YBHIST("GNMA 30YR Cur Coup (BE)",$A48,"Yield","bmk","")</f>
        <v>2.1909999999999998</v>
      </c>
      <c r="Q48" s="2">
        <f>[1]!YBHIST("Primary 30-Yr Mtg Rate",$A48,"Yield","bmk","")</f>
        <v>3.7061000000000002</v>
      </c>
      <c r="R48" s="2">
        <f>[1]!YBHIST("FHLM 30-Yr Survey Rate",$A48,"Yield","bmk","")</f>
        <v>3.41</v>
      </c>
      <c r="S48" s="6">
        <f>[1]!YBHIST("Base Mortgage Rate",$A48,"Yield","bmk","")</f>
        <v>2.6139999999999999</v>
      </c>
      <c r="T48" s="18">
        <f>[1]!YBHIST("FNMA 30YR Cur Coup (BE)",$A48,"LMMOAS","bmk","")</f>
        <v>-8.8916000000000004</v>
      </c>
      <c r="U48" s="19">
        <f>[1]!YBHIST("FHLMC 30YR Cur Coup (BE)",$A48,"LMMOAS","bmk","")</f>
        <v>-1.79</v>
      </c>
      <c r="V48" s="19">
        <f>[1]!YBHIST("GNMA 30YR Cur Coup (BE)",$A48,"LMMOAS","bmk","")</f>
        <v>-20.207198999999999</v>
      </c>
      <c r="W48" s="20">
        <f t="shared" si="6"/>
        <v>45.100000000000009</v>
      </c>
      <c r="X48" s="20">
        <f t="shared" si="7"/>
        <v>45.100000000000009</v>
      </c>
      <c r="Y48" s="20">
        <f t="shared" si="8"/>
        <v>49.699999999999989</v>
      </c>
      <c r="Z48" s="25">
        <f>[1]!YBHIST("FNMA3.0-GEN",$A48,"Price","tba","")</f>
        <v>104.257812</v>
      </c>
      <c r="AA48" s="2">
        <f>[1]!YBHIST("FNMA3.5-GEN",$A48,"Price","tba","")</f>
        <v>106.070312</v>
      </c>
      <c r="AB48" s="2">
        <f>[1]!YBHIST("FNMA4.0-GEN",$A48,"Price","tba","")</f>
        <v>106.890625</v>
      </c>
      <c r="AC48" s="2">
        <f>[1]!YBHIST("FNMA4.5-GEN",$A48,"Price","tba","")</f>
        <v>107.78125</v>
      </c>
      <c r="AD48" s="2">
        <f>[1]!YBHIST("FNMA5.0-GEN",$A48,"Price","tba","")</f>
        <v>109.015625</v>
      </c>
      <c r="AE48" s="2">
        <f>[1]!YBHIST("FNMA5.5-GEN",$A48,"Price","tba","")</f>
        <v>109.625</v>
      </c>
      <c r="AF48" s="6">
        <f>[1]!YBHIST("FNMA6.0-GEN",$A48,"Price","tba","")</f>
        <v>110.78125</v>
      </c>
      <c r="AG48" s="2">
        <f>[1]!YBHIST("FNMA3.0-GEN",$A48,"Yield","tba","")</f>
        <v>2.0649999999999999</v>
      </c>
      <c r="AH48" s="2">
        <f>[1]!YBHIST("FNMA3.5-GEN",$A48,"Yield","tba","")</f>
        <v>1.7150000000000001</v>
      </c>
      <c r="AI48" s="2">
        <f>[1]!YBHIST("FNMA4.0-GEN",$A48,"Yield","tba","")</f>
        <v>1.5529999999999999</v>
      </c>
      <c r="AJ48" s="2">
        <f>[1]!YBHIST("FNMA4.5-GEN",$A48,"Yield","tba","")</f>
        <v>1.4910000000000001</v>
      </c>
      <c r="AK48" s="2">
        <f>[1]!YBHIST("FNMA5.0-GEN",$A48,"Yield","tba","")</f>
        <v>0.51200000000000001</v>
      </c>
      <c r="AL48" s="2">
        <f>[1]!YBHIST("FNMA5.5-GEN",$A48,"Yield","tba","")</f>
        <v>0.64700000000000002</v>
      </c>
      <c r="AM48" s="6">
        <f>[1]!YBHIST("FNMA6.0-GEN",$A48,"Yield","tba","")</f>
        <v>-1.9E-2</v>
      </c>
      <c r="AN48" s="3">
        <f>[1]!YBHIST(AN$4,$A48,"Price","sec","")</f>
        <v>12.311999999999999</v>
      </c>
      <c r="AO48" s="2">
        <f>[1]!YBHIST(AO$4,$A48,"Price","sec","")</f>
        <v>13.827999999999999</v>
      </c>
      <c r="AP48" s="2">
        <f>[1]!YBHIST(AP$4,$A48,"Price","sec","")</f>
        <v>11.672000000000001</v>
      </c>
      <c r="AQ48" s="2">
        <f>[1]!YBHIST(AQ$4,$A48,"Price","sec","")</f>
        <v>15.452999999999999</v>
      </c>
      <c r="AR48" s="2">
        <f>[1]!YBHIST(AR$4,$A48,"Price","sec","")</f>
        <v>13.202999999999999</v>
      </c>
      <c r="AS48" s="2">
        <f>[1]!YBHIST(AS$4,$A48,"Price","sec","")</f>
        <v>18.983999000000001</v>
      </c>
      <c r="AT48" s="2">
        <f>[1]!YBHIST(AT$4,$A48,"Price","sec","")</f>
        <v>16.983999000000001</v>
      </c>
      <c r="AU48" s="2">
        <f>[1]!YBHIST(AU$4,$A48,"Price","sec","")</f>
        <v>11.25</v>
      </c>
      <c r="AV48" s="2">
        <f>[1]!YBHIST(AV$4,$A48,"Price","sec","")</f>
        <v>14.109</v>
      </c>
      <c r="AW48" s="2">
        <f>[1]!YBHIST(AW$4,$A48,"Price","sec","")</f>
        <v>13.922000000000001</v>
      </c>
      <c r="AX48" s="2">
        <f>[1]!YBHIST(AX$4,$A48,"Price","sec","")</f>
        <v>12.25</v>
      </c>
      <c r="AY48" s="2">
        <f>[1]!YBHIST(AY$4,$A48,"Price","sec","")</f>
        <v>15.875</v>
      </c>
      <c r="AZ48" s="2">
        <f>[1]!YBHIST(AZ$4,$A48,"Price","sec","")</f>
        <v>14.811999999999999</v>
      </c>
      <c r="BA48" s="2">
        <f>[1]!YBHIST(BA$4,$A48,"Price","sec","")</f>
        <v>14.327999999999999</v>
      </c>
      <c r="BB48" s="2">
        <f>[1]!YBHIST(BB$4,$A48,"Price","sec","")</f>
        <v>17.672001000000002</v>
      </c>
      <c r="BC48" s="2">
        <f>[1]!YBHIST(BC$4,$A48,"Price","sec","")</f>
        <v>17.891000999999999</v>
      </c>
      <c r="BD48" s="2">
        <f>[1]!YBHIST(BD$4,$A48,"Price","sec","")</f>
        <v>18.062000000000001</v>
      </c>
      <c r="BE48" s="6">
        <f>[1]!YBHIST(BE$4,$A48,"Price","sec","")</f>
        <v>19.344000000000001</v>
      </c>
      <c r="BF48" s="20">
        <f>[1]!YBHIST(BF$4,$A48,"LMMOAS","sec","")</f>
        <v>562.22918700000002</v>
      </c>
      <c r="BG48" s="20">
        <f>[1]!YBHIST(BG$4,$A48,"LMMOAS","sec","")</f>
        <v>437.52578699999998</v>
      </c>
      <c r="BH48" s="20">
        <f>[1]!YBHIST(BH$4,$A48,"LMMOAS","sec","")</f>
        <v>473.22970600000002</v>
      </c>
      <c r="BI48" s="20">
        <f>[1]!YBHIST(BI$4,$A48,"LMMOAS","sec","")</f>
        <v>395.62890599999997</v>
      </c>
      <c r="BJ48" s="20">
        <f>[1]!YBHIST(BJ$4,$A48,"LMMOAS","sec","")</f>
        <v>398.45300300000002</v>
      </c>
      <c r="BK48" s="20">
        <f>[1]!YBHIST(BK$4,$A48,"LMMOAS","sec","")</f>
        <v>319.76638800000001</v>
      </c>
      <c r="BL48" s="20">
        <f>[1]!YBHIST(BL$4,$A48,"LMMOAS","sec","")</f>
        <v>312.484894</v>
      </c>
      <c r="BM48" s="20">
        <f>[1]!YBHIST(BM$4,$A48,"LMMOAS","sec","")</f>
        <v>129.766006</v>
      </c>
      <c r="BN48" s="20">
        <f>[1]!YBHIST(BN$4,$A48,"LMMOAS","sec","")</f>
        <v>188.192307</v>
      </c>
      <c r="BO48" s="20">
        <f>[1]!YBHIST(BO$4,$A48,"LMMOAS","sec","")</f>
        <v>344.45001200000002</v>
      </c>
      <c r="BP48" s="20">
        <f>[1]!YBHIST(BP$4,$A48,"LMMOAS","sec","")</f>
        <v>300.60281400000002</v>
      </c>
      <c r="BQ48" s="20">
        <f>[1]!YBHIST(BQ$4,$A48,"LMMOAS","sec","")</f>
        <v>459.07751500000001</v>
      </c>
      <c r="BR48" s="20">
        <f>[1]!YBHIST(BR$4,$A48,"LMMOAS","sec","")</f>
        <v>650.16467299999999</v>
      </c>
      <c r="BS48" s="20">
        <f>[1]!YBHIST(BS$4,$A48,"LMMOAS","sec","")</f>
        <v>278.17919899999998</v>
      </c>
      <c r="BT48" s="20">
        <f>[1]!YBHIST(BT$4,$A48,"LMMOAS","sec","")</f>
        <v>393.89599600000003</v>
      </c>
      <c r="BU48" s="20">
        <f>[1]!YBHIST(BU$4,$A48,"LMMOAS","sec","")</f>
        <v>312.27191199999999</v>
      </c>
      <c r="BV48" s="20">
        <f>[1]!YBHIST(BV$4,$A48,"LMMOAS","sec","")</f>
        <v>338.83960000000002</v>
      </c>
      <c r="BW48" s="20">
        <f>[1]!YBHIST(BW$4,$A48,"LMMOAS","sec","")</f>
        <v>275.34188799999998</v>
      </c>
      <c r="BX48" s="5"/>
      <c r="BY48" s="1"/>
      <c r="BZ48" s="1"/>
    </row>
    <row r="49" spans="1:78" x14ac:dyDescent="0.25">
      <c r="A49" s="14">
        <f>[1]!YBWORKDAY(A$26,-1*(ROW()-ROW(A$26)),"USD","")</f>
        <v>41206</v>
      </c>
      <c r="B49" s="3">
        <f>[1]!YBHIST("2 Year Treasury",$A49,"Price","govt","")</f>
        <v>99.921997000000005</v>
      </c>
      <c r="C49" s="2">
        <f>[1]!YBHIST("5 Year Treasury",$A49,"Price","govt","")</f>
        <v>99.405997999999997</v>
      </c>
      <c r="D49" s="2">
        <f>[1]!YBHIST("10 Year Treasury",$A49,"Price","govt","")</f>
        <v>98.671997000000005</v>
      </c>
      <c r="E49" s="6">
        <f>[1]!YBHIST("30 Year Treasury",$A49,"Price","govt","")</f>
        <v>96.375</v>
      </c>
      <c r="F49" s="3">
        <f>[1]!YBHIST("2 Year Treasury",$A49,"YldtoMat","govt","")</f>
        <v>0.28899999999999998</v>
      </c>
      <c r="G49" s="2">
        <f>[1]!YBHIST("5 Year Treasury",$A49,"YldtoMat","govt","")</f>
        <v>0.748</v>
      </c>
      <c r="H49" s="2">
        <f>[1]!YBHIST("10 Year Treasury",$A49,"YldtoMat","govt","")</f>
        <v>1.7729999999999999</v>
      </c>
      <c r="I49" s="6">
        <f>[1]!YBHIST("30 Year Treasury",$A49,"YldtoMat","govt","")</f>
        <v>2.9329999999999998</v>
      </c>
      <c r="J49" s="3">
        <f>[1]!YBHIST("2yr Swap Rate",$A49,"YldtoMat","swapvol","")</f>
        <v>0.383662</v>
      </c>
      <c r="K49" s="2">
        <f>[1]!YBHIST("5yr Swap Rate",$A49,"YldtoMat","swapvol","")</f>
        <v>0.85611899999999996</v>
      </c>
      <c r="L49" s="2">
        <f>[1]!YBHIST("10yr Swap Rate",$A49,"YldtoMat","swapvol","")</f>
        <v>1.80419</v>
      </c>
      <c r="M49" s="6">
        <f>[1]!YBHIST("30yr Swap Rate",$A49,"YldtoMat","swapvol","")</f>
        <v>2.6825679999999998</v>
      </c>
      <c r="N49" s="3">
        <f>[1]!YBHIST("FNMA 30YR Cur Coup (BE)",$A49,"Yield","bmk","")</f>
        <v>2.2250000000000001</v>
      </c>
      <c r="O49" s="2">
        <f>[1]!YBHIST("FHLMC 30YR Cur Coup (BE)",$A49,"Yield","bmk","")</f>
        <v>2.2709999999999999</v>
      </c>
      <c r="P49" s="2">
        <f>[1]!YBHIST("GNMA 30YR Cur Coup (BE)",$A49,"Yield","bmk","")</f>
        <v>2.1389999999999998</v>
      </c>
      <c r="Q49" s="2">
        <f>[1]!YBHIST("Primary 30-Yr Mtg Rate",$A49,"Yield","bmk","")</f>
        <v>3.6901999999999999</v>
      </c>
      <c r="R49" s="2">
        <f>[1]!YBHIST("FHLM 30-Yr Survey Rate",$A49,"Yield","bmk","")</f>
        <v>3.37</v>
      </c>
      <c r="S49" s="6">
        <f>[1]!YBHIST("Base Mortgage Rate",$A49,"Yield","bmk","")</f>
        <v>2.5630000000000002</v>
      </c>
      <c r="T49" s="18">
        <f>[1]!YBHIST("FNMA 30YR Cur Coup (BE)",$A49,"LMMOAS","bmk","")</f>
        <v>-8.6114999999999995</v>
      </c>
      <c r="U49" s="19">
        <f>[1]!YBHIST("FHLMC 30YR Cur Coup (BE)",$A49,"LMMOAS","bmk","")</f>
        <v>-1.9167000000000001</v>
      </c>
      <c r="V49" s="19">
        <f>[1]!YBHIST("GNMA 30YR Cur Coup (BE)",$A49,"LMMOAS","bmk","")</f>
        <v>-18.576599000000002</v>
      </c>
      <c r="W49" s="20">
        <f t="shared" si="6"/>
        <v>45.200000000000017</v>
      </c>
      <c r="X49" s="20">
        <f t="shared" si="7"/>
        <v>45.200000000000017</v>
      </c>
      <c r="Y49" s="20">
        <f t="shared" si="8"/>
        <v>49.8</v>
      </c>
      <c r="Z49" s="25">
        <f>[1]!YBHIST("FNMA3.0-GEN",$A49,"Price","tba","")</f>
        <v>104.53125</v>
      </c>
      <c r="AA49" s="2">
        <f>[1]!YBHIST("FNMA3.5-GEN",$A49,"Price","tba","")</f>
        <v>106.21875</v>
      </c>
      <c r="AB49" s="2">
        <f>[1]!YBHIST("FNMA4.0-GEN",$A49,"Price","tba","")</f>
        <v>107.023438</v>
      </c>
      <c r="AC49" s="2">
        <f>[1]!YBHIST("FNMA4.5-GEN",$A49,"Price","tba","")</f>
        <v>107.875</v>
      </c>
      <c r="AD49" s="2">
        <f>[1]!YBHIST("FNMA5.0-GEN",$A49,"Price","tba","")</f>
        <v>109.078125</v>
      </c>
      <c r="AE49" s="2">
        <f>[1]!YBHIST("FNMA5.5-GEN",$A49,"Price","tba","")</f>
        <v>109.671875</v>
      </c>
      <c r="AF49" s="6">
        <f>[1]!YBHIST("FNMA6.0-GEN",$A49,"Price","tba","")</f>
        <v>110.8125</v>
      </c>
      <c r="AG49" s="2">
        <f>[1]!YBHIST("FNMA3.0-GEN",$A49,"Yield","tba","")</f>
        <v>1.9690000000000001</v>
      </c>
      <c r="AH49" s="2">
        <f>[1]!YBHIST("FNMA3.5-GEN",$A49,"Yield","tba","")</f>
        <v>1.6160000000000001</v>
      </c>
      <c r="AI49" s="2">
        <f>[1]!YBHIST("FNMA4.0-GEN",$A49,"Yield","tba","")</f>
        <v>1.45</v>
      </c>
      <c r="AJ49" s="2">
        <f>[1]!YBHIST("FNMA4.5-GEN",$A49,"Yield","tba","")</f>
        <v>1.409</v>
      </c>
      <c r="AK49" s="2">
        <f>[1]!YBHIST("FNMA5.0-GEN",$A49,"Yield","tba","")</f>
        <v>0.42499999999999999</v>
      </c>
      <c r="AL49" s="2">
        <f>[1]!YBHIST("FNMA5.5-GEN",$A49,"Yield","tba","")</f>
        <v>0.58099999999999996</v>
      </c>
      <c r="AM49" s="6">
        <f>[1]!YBHIST("FNMA6.0-GEN",$A49,"Yield","tba","")</f>
        <v>-7.5999999999999998E-2</v>
      </c>
      <c r="AN49" s="3">
        <f>[1]!YBHIST(AN$4,$A49,"Price","sec","")</f>
        <v>12.016</v>
      </c>
      <c r="AO49" s="2">
        <f>[1]!YBHIST(AO$4,$A49,"Price","sec","")</f>
        <v>13.561999999999999</v>
      </c>
      <c r="AP49" s="2">
        <f>[1]!YBHIST(AP$4,$A49,"Price","sec","")</f>
        <v>11.438000000000001</v>
      </c>
      <c r="AQ49" s="2">
        <f>[1]!YBHIST(AQ$4,$A49,"Price","sec","")</f>
        <v>15.234</v>
      </c>
      <c r="AR49" s="2">
        <f>[1]!YBHIST(AR$4,$A49,"Price","sec","")</f>
        <v>13.016</v>
      </c>
      <c r="AS49" s="2">
        <f>[1]!YBHIST(AS$4,$A49,"Price","sec","")</f>
        <v>18.983999000000001</v>
      </c>
      <c r="AT49" s="2">
        <f>[1]!YBHIST(AT$4,$A49,"Price","sec","")</f>
        <v>16.891000999999999</v>
      </c>
      <c r="AU49" s="2">
        <f>[1]!YBHIST(AU$4,$A49,"Price","sec","")</f>
        <v>11.141</v>
      </c>
      <c r="AV49" s="2">
        <f>[1]!YBHIST(AV$4,$A49,"Price","sec","")</f>
        <v>14</v>
      </c>
      <c r="AW49" s="2">
        <f>[1]!YBHIST(AW$4,$A49,"Price","sec","")</f>
        <v>13.811999999999999</v>
      </c>
      <c r="AX49" s="2">
        <f>[1]!YBHIST(AX$4,$A49,"Price","sec","")</f>
        <v>12.156000000000001</v>
      </c>
      <c r="AY49" s="2">
        <f>[1]!YBHIST(AY$4,$A49,"Price","sec","")</f>
        <v>15.781000000000001</v>
      </c>
      <c r="AZ49" s="2">
        <f>[1]!YBHIST(AZ$4,$A49,"Price","sec","")</f>
        <v>14.734</v>
      </c>
      <c r="BA49" s="2">
        <f>[1]!YBHIST(BA$4,$A49,"Price","sec","")</f>
        <v>14.25</v>
      </c>
      <c r="BB49" s="2">
        <f>[1]!YBHIST(BB$4,$A49,"Price","sec","")</f>
        <v>17.641000999999999</v>
      </c>
      <c r="BC49" s="2">
        <f>[1]!YBHIST(BC$4,$A49,"Price","sec","")</f>
        <v>17.702998999999998</v>
      </c>
      <c r="BD49" s="2">
        <f>[1]!YBHIST(BD$4,$A49,"Price","sec","")</f>
        <v>17.858999000000001</v>
      </c>
      <c r="BE49" s="6">
        <f>[1]!YBHIST(BE$4,$A49,"Price","sec","")</f>
        <v>19.155999999999999</v>
      </c>
      <c r="BF49" s="20">
        <f>[1]!YBHIST(BF$4,$A49,"LMMOAS","sec","")</f>
        <v>565.098206</v>
      </c>
      <c r="BG49" s="20">
        <f>[1]!YBHIST(BG$4,$A49,"LMMOAS","sec","")</f>
        <v>431.08850100000001</v>
      </c>
      <c r="BH49" s="20">
        <f>[1]!YBHIST(BH$4,$A49,"LMMOAS","sec","")</f>
        <v>463.98379499999999</v>
      </c>
      <c r="BI49" s="20">
        <f>[1]!YBHIST(BI$4,$A49,"LMMOAS","sec","")</f>
        <v>382.84381100000002</v>
      </c>
      <c r="BJ49" s="20">
        <f>[1]!YBHIST(BJ$4,$A49,"LMMOAS","sec","")</f>
        <v>381.99359099999998</v>
      </c>
      <c r="BK49" s="20">
        <f>[1]!YBHIST(BK$4,$A49,"LMMOAS","sec","")</f>
        <v>286.84051499999998</v>
      </c>
      <c r="BL49" s="20">
        <f>[1]!YBHIST(BL$4,$A49,"LMMOAS","sec","")</f>
        <v>287.16879299999999</v>
      </c>
      <c r="BM49" s="20">
        <f>[1]!YBHIST(BM$4,$A49,"LMMOAS","sec","")</f>
        <v>102.90920300000001</v>
      </c>
      <c r="BN49" s="20">
        <f>[1]!YBHIST(BN$4,$A49,"LMMOAS","sec","")</f>
        <v>169.445007</v>
      </c>
      <c r="BO49" s="20">
        <f>[1]!YBHIST(BO$4,$A49,"LMMOAS","sec","")</f>
        <v>334.19519000000003</v>
      </c>
      <c r="BP49" s="20">
        <f>[1]!YBHIST(BP$4,$A49,"LMMOAS","sec","")</f>
        <v>277.40570100000002</v>
      </c>
      <c r="BQ49" s="20">
        <f>[1]!YBHIST(BQ$4,$A49,"LMMOAS","sec","")</f>
        <v>445.22589099999999</v>
      </c>
      <c r="BR49" s="20">
        <f>[1]!YBHIST(BR$4,$A49,"LMMOAS","sec","")</f>
        <v>640.70239300000003</v>
      </c>
      <c r="BS49" s="20">
        <f>[1]!YBHIST(BS$4,$A49,"LMMOAS","sec","")</f>
        <v>260.00589000000002</v>
      </c>
      <c r="BT49" s="20">
        <f>[1]!YBHIST(BT$4,$A49,"LMMOAS","sec","")</f>
        <v>379.37619000000001</v>
      </c>
      <c r="BU49" s="20">
        <f>[1]!YBHIST(BU$4,$A49,"LMMOAS","sec","")</f>
        <v>264.54260299999999</v>
      </c>
      <c r="BV49" s="20">
        <f>[1]!YBHIST(BV$4,$A49,"LMMOAS","sec","")</f>
        <v>315.31820699999997</v>
      </c>
      <c r="BW49" s="20">
        <f>[1]!YBHIST(BW$4,$A49,"LMMOAS","sec","")</f>
        <v>260.16989100000001</v>
      </c>
      <c r="BX49" s="5"/>
      <c r="BY49" s="1"/>
      <c r="BZ49" s="1"/>
    </row>
    <row r="50" spans="1:78" x14ac:dyDescent="0.25">
      <c r="A50" s="14">
        <f>[1]!YBWORKDAY(A$26,-1*(ROW()-ROW(A$26)),"USD","")</f>
        <v>41205</v>
      </c>
      <c r="B50" s="3">
        <f>[1]!YBHIST("2 Year Treasury",$A50,"Price","govt","")</f>
        <v>99.921997000000005</v>
      </c>
      <c r="C50" s="2">
        <f>[1]!YBHIST("5 Year Treasury",$A50,"Price","govt","")</f>
        <v>99.366996999999998</v>
      </c>
      <c r="D50" s="2">
        <f>[1]!YBHIST("10 Year Treasury",$A50,"Price","govt","")</f>
        <v>98.75</v>
      </c>
      <c r="E50" s="6">
        <f>[1]!YBHIST("30 Year Treasury",$A50,"Price","govt","")</f>
        <v>96.703002999999995</v>
      </c>
      <c r="F50" s="3">
        <f>[1]!YBHIST("2 Year Treasury",$A50,"YldtoMat","govt","")</f>
        <v>0.29099999999999998</v>
      </c>
      <c r="G50" s="2">
        <f>[1]!YBHIST("5 Year Treasury",$A50,"YldtoMat","govt","")</f>
        <v>0.75600000000000001</v>
      </c>
      <c r="H50" s="2">
        <f>[1]!YBHIST("10 Year Treasury",$A50,"YldtoMat","govt","")</f>
        <v>1.764</v>
      </c>
      <c r="I50" s="6">
        <f>[1]!YBHIST("30 Year Treasury",$A50,"YldtoMat","govt","")</f>
        <v>2.9159999999999999</v>
      </c>
      <c r="J50" s="3">
        <f>[1]!YBHIST("2yr Swap Rate",$A50,"YldtoMat","swapvol","")</f>
        <v>0.39476600000000001</v>
      </c>
      <c r="K50" s="2">
        <f>[1]!YBHIST("5yr Swap Rate",$A50,"YldtoMat","swapvol","")</f>
        <v>0.869112</v>
      </c>
      <c r="L50" s="2">
        <f>[1]!YBHIST("10yr Swap Rate",$A50,"YldtoMat","swapvol","")</f>
        <v>1.8053999999999999</v>
      </c>
      <c r="M50" s="6">
        <f>[1]!YBHIST("30yr Swap Rate",$A50,"YldtoMat","swapvol","")</f>
        <v>2.6780870000000001</v>
      </c>
      <c r="N50" s="3">
        <f>[1]!YBHIST("FNMA 30YR Cur Coup (BE)",$A50,"Yield","bmk","")</f>
        <v>2.1880000000000002</v>
      </c>
      <c r="O50" s="2">
        <f>[1]!YBHIST("FHLMC 30YR Cur Coup (BE)",$A50,"Yield","bmk","")</f>
        <v>2.234</v>
      </c>
      <c r="P50" s="2">
        <f>[1]!YBHIST("GNMA 30YR Cur Coup (BE)",$A50,"Yield","bmk","")</f>
        <v>2.1019999999999999</v>
      </c>
      <c r="Q50" s="2">
        <f>[1]!YBHIST("Primary 30-Yr Mtg Rate",$A50,"Yield","bmk","")</f>
        <v>3.6543000000000001</v>
      </c>
      <c r="R50" s="2">
        <f>[1]!YBHIST("FHLM 30-Yr Survey Rate",$A50,"Yield","bmk","")</f>
        <v>3.37</v>
      </c>
      <c r="S50" s="6">
        <f>[1]!YBHIST("Base Mortgage Rate",$A50,"Yield","bmk","")</f>
        <v>2.5270000000000001</v>
      </c>
      <c r="T50" s="18">
        <f>[1]!YBHIST("FNMA 30YR Cur Coup (BE)",$A50,"LMMOAS","bmk","")</f>
        <v>-12.935</v>
      </c>
      <c r="U50" s="19">
        <f>[1]!YBHIST("FHLMC 30YR Cur Coup (BE)",$A50,"LMMOAS","bmk","")</f>
        <v>-6.4892000000000003</v>
      </c>
      <c r="V50" s="19">
        <f>[1]!YBHIST("GNMA 30YR Cur Coup (BE)",$A50,"LMMOAS","bmk","")</f>
        <v>-21.2577</v>
      </c>
      <c r="W50" s="20">
        <f t="shared" si="6"/>
        <v>42.400000000000013</v>
      </c>
      <c r="X50" s="20">
        <f t="shared" si="7"/>
        <v>42.400000000000013</v>
      </c>
      <c r="Y50" s="20">
        <f t="shared" si="8"/>
        <v>47</v>
      </c>
      <c r="Z50" s="25">
        <f>[1]!YBHIST("FNMA3.0-GEN",$A50,"Price","tba","")</f>
        <v>104.640625</v>
      </c>
      <c r="AA50" s="2">
        <f>[1]!YBHIST("FNMA3.5-GEN",$A50,"Price","tba","")</f>
        <v>106.304688</v>
      </c>
      <c r="AB50" s="2">
        <f>[1]!YBHIST("FNMA4.0-GEN",$A50,"Price","tba","")</f>
        <v>107.015625</v>
      </c>
      <c r="AC50" s="2">
        <f>[1]!YBHIST("FNMA4.5-GEN",$A50,"Price","tba","")</f>
        <v>107.882812</v>
      </c>
      <c r="AD50" s="2">
        <f>[1]!YBHIST("FNMA5.0-GEN",$A50,"Price","tba","")</f>
        <v>109.078125</v>
      </c>
      <c r="AE50" s="2">
        <f>[1]!YBHIST("FNMA5.5-GEN",$A50,"Price","tba","")</f>
        <v>109.695312</v>
      </c>
      <c r="AF50" s="6">
        <f>[1]!YBHIST("FNMA6.0-GEN",$A50,"Price","tba","")</f>
        <v>110.828125</v>
      </c>
      <c r="AG50" s="2">
        <f>[1]!YBHIST("FNMA3.0-GEN",$A50,"Yield","tba","")</f>
        <v>1.915</v>
      </c>
      <c r="AH50" s="2">
        <f>[1]!YBHIST("FNMA3.5-GEN",$A50,"Yield","tba","")</f>
        <v>1.548</v>
      </c>
      <c r="AI50" s="2">
        <f>[1]!YBHIST("FNMA4.0-GEN",$A50,"Yield","tba","")</f>
        <v>1.409</v>
      </c>
      <c r="AJ50" s="2">
        <f>[1]!YBHIST("FNMA4.5-GEN",$A50,"Yield","tba","")</f>
        <v>1.3680000000000001</v>
      </c>
      <c r="AK50" s="2">
        <f>[1]!YBHIST("FNMA5.0-GEN",$A50,"Yield","tba","")</f>
        <v>0.38300000000000001</v>
      </c>
      <c r="AL50" s="2">
        <f>[1]!YBHIST("FNMA5.5-GEN",$A50,"Yield","tba","")</f>
        <v>0.53800000000000003</v>
      </c>
      <c r="AM50" s="6">
        <f>[1]!YBHIST("FNMA6.0-GEN",$A50,"Yield","tba","")</f>
        <v>-0.112</v>
      </c>
      <c r="AN50" s="3">
        <f>[1]!YBHIST(AN$4,$A50,"Price","sec","")</f>
        <v>11.797000000000001</v>
      </c>
      <c r="AO50" s="2">
        <f>[1]!YBHIST(AO$4,$A50,"Price","sec","")</f>
        <v>13.359</v>
      </c>
      <c r="AP50" s="2">
        <f>[1]!YBHIST(AP$4,$A50,"Price","sec","")</f>
        <v>11.266</v>
      </c>
      <c r="AQ50" s="2">
        <f>[1]!YBHIST(AQ$4,$A50,"Price","sec","")</f>
        <v>15.109</v>
      </c>
      <c r="AR50" s="2">
        <f>[1]!YBHIST(AR$4,$A50,"Price","sec","")</f>
        <v>12.922000000000001</v>
      </c>
      <c r="AS50" s="2">
        <f>[1]!YBHIST(AS$4,$A50,"Price","sec","")</f>
        <v>18.891000999999999</v>
      </c>
      <c r="AT50" s="2">
        <f>[1]!YBHIST(AT$4,$A50,"Price","sec","")</f>
        <v>16.812000000000001</v>
      </c>
      <c r="AU50" s="2">
        <f>[1]!YBHIST(AU$4,$A50,"Price","sec","")</f>
        <v>11.077999999999999</v>
      </c>
      <c r="AV50" s="2">
        <f>[1]!YBHIST(AV$4,$A50,"Price","sec","")</f>
        <v>13.938000000000001</v>
      </c>
      <c r="AW50" s="2">
        <f>[1]!YBHIST(AW$4,$A50,"Price","sec","")</f>
        <v>13.75</v>
      </c>
      <c r="AX50" s="2">
        <f>[1]!YBHIST(AX$4,$A50,"Price","sec","")</f>
        <v>12.077999999999999</v>
      </c>
      <c r="AY50" s="2">
        <f>[1]!YBHIST(AY$4,$A50,"Price","sec","")</f>
        <v>15.702999999999999</v>
      </c>
      <c r="AZ50" s="2">
        <f>[1]!YBHIST(AZ$4,$A50,"Price","sec","")</f>
        <v>14.656000000000001</v>
      </c>
      <c r="BA50" s="2">
        <f>[1]!YBHIST(BA$4,$A50,"Price","sec","")</f>
        <v>14.093999999999999</v>
      </c>
      <c r="BB50" s="2">
        <f>[1]!YBHIST(BB$4,$A50,"Price","sec","")</f>
        <v>17.577998999999998</v>
      </c>
      <c r="BC50" s="2">
        <f>[1]!YBHIST(BC$4,$A50,"Price","sec","")</f>
        <v>17.594000000000001</v>
      </c>
      <c r="BD50" s="2">
        <f>[1]!YBHIST(BD$4,$A50,"Price","sec","")</f>
        <v>17.733999000000001</v>
      </c>
      <c r="BE50" s="6">
        <f>[1]!YBHIST(BE$4,$A50,"Price","sec","")</f>
        <v>19.047001000000002</v>
      </c>
      <c r="BF50" s="20">
        <f>[1]!YBHIST(BF$4,$A50,"LMMOAS","sec","")</f>
        <v>563.97717299999999</v>
      </c>
      <c r="BG50" s="20">
        <f>[1]!YBHIST(BG$4,$A50,"LMMOAS","sec","")</f>
        <v>425.52929699999999</v>
      </c>
      <c r="BH50" s="20">
        <f>[1]!YBHIST(BH$4,$A50,"LMMOAS","sec","")</f>
        <v>458.37240600000001</v>
      </c>
      <c r="BI50" s="20">
        <f>[1]!YBHIST(BI$4,$A50,"LMMOAS","sec","")</f>
        <v>364.60040299999997</v>
      </c>
      <c r="BJ50" s="20">
        <f>[1]!YBHIST(BJ$4,$A50,"LMMOAS","sec","")</f>
        <v>360.91281099999998</v>
      </c>
      <c r="BK50" s="20">
        <f>[1]!YBHIST(BK$4,$A50,"LMMOAS","sec","")</f>
        <v>270.48998999999998</v>
      </c>
      <c r="BL50" s="20">
        <f>[1]!YBHIST(BL$4,$A50,"LMMOAS","sec","")</f>
        <v>267.446594</v>
      </c>
      <c r="BM50" s="20">
        <f>[1]!YBHIST(BM$4,$A50,"LMMOAS","sec","")</f>
        <v>84.323600999999996</v>
      </c>
      <c r="BN50" s="20">
        <f>[1]!YBHIST(BN$4,$A50,"LMMOAS","sec","")</f>
        <v>153.67790199999999</v>
      </c>
      <c r="BO50" s="20">
        <f>[1]!YBHIST(BO$4,$A50,"LMMOAS","sec","")</f>
        <v>323.456909</v>
      </c>
      <c r="BP50" s="20">
        <f>[1]!YBHIST(BP$4,$A50,"LMMOAS","sec","")</f>
        <v>267.09451300000001</v>
      </c>
      <c r="BQ50" s="20">
        <f>[1]!YBHIST(BQ$4,$A50,"LMMOAS","sec","")</f>
        <v>436.76309199999997</v>
      </c>
      <c r="BR50" s="20">
        <f>[1]!YBHIST(BR$4,$A50,"LMMOAS","sec","")</f>
        <v>638.07952899999998</v>
      </c>
      <c r="BS50" s="20">
        <f>[1]!YBHIST(BS$4,$A50,"LMMOAS","sec","")</f>
        <v>270.92388899999997</v>
      </c>
      <c r="BT50" s="20">
        <f>[1]!YBHIST(BT$4,$A50,"LMMOAS","sec","")</f>
        <v>373.90640300000001</v>
      </c>
      <c r="BU50" s="20">
        <f>[1]!YBHIST(BU$4,$A50,"LMMOAS","sec","")</f>
        <v>241.65100100000001</v>
      </c>
      <c r="BV50" s="20">
        <f>[1]!YBHIST(BV$4,$A50,"LMMOAS","sec","")</f>
        <v>297.35919200000001</v>
      </c>
      <c r="BW50" s="20">
        <f>[1]!YBHIST(BW$4,$A50,"LMMOAS","sec","")</f>
        <v>244.13870199999999</v>
      </c>
      <c r="BX50" s="5"/>
      <c r="BY50" s="1"/>
      <c r="BZ50" s="1"/>
    </row>
    <row r="51" spans="1:78" x14ac:dyDescent="0.25">
      <c r="A51" s="14">
        <f>[1]!YBWORKDAY(A$26,-1*(ROW()-ROW(A$26)),"USD","")</f>
        <v>41204</v>
      </c>
      <c r="B51" s="3">
        <f>[1]!YBHIST("2 Year Treasury",$A51,"Price","govt","")</f>
        <v>99.898003000000003</v>
      </c>
      <c r="C51" s="2">
        <f>[1]!YBHIST("5 Year Treasury",$A51,"Price","govt","")</f>
        <v>99.273003000000003</v>
      </c>
      <c r="D51" s="2">
        <f>[1]!YBHIST("10 Year Treasury",$A51,"Price","govt","")</f>
        <v>98.484001000000006</v>
      </c>
      <c r="E51" s="6">
        <f>[1]!YBHIST("30 Year Treasury",$A51,"Price","govt","")</f>
        <v>96.109001000000006</v>
      </c>
      <c r="F51" s="3">
        <f>[1]!YBHIST("2 Year Treasury",$A51,"YldtoMat","govt","")</f>
        <v>0.30299999999999999</v>
      </c>
      <c r="G51" s="2">
        <f>[1]!YBHIST("5 Year Treasury",$A51,"YldtoMat","govt","")</f>
        <v>0.77500000000000002</v>
      </c>
      <c r="H51" s="2">
        <f>[1]!YBHIST("10 Year Treasury",$A51,"YldtoMat","govt","")</f>
        <v>1.794</v>
      </c>
      <c r="I51" s="6">
        <f>[1]!YBHIST("30 Year Treasury",$A51,"YldtoMat","govt","")</f>
        <v>2.9470000000000001</v>
      </c>
      <c r="J51" s="3">
        <f>[1]!YBHIST("2yr Swap Rate",$A51,"YldtoMat","swapvol","")</f>
        <v>0.39945700000000001</v>
      </c>
      <c r="K51" s="2">
        <f>[1]!YBHIST("5yr Swap Rate",$A51,"YldtoMat","swapvol","")</f>
        <v>0.88099099999999997</v>
      </c>
      <c r="L51" s="2">
        <f>[1]!YBHIST("10yr Swap Rate",$A51,"YldtoMat","swapvol","")</f>
        <v>1.8227120000000001</v>
      </c>
      <c r="M51" s="6">
        <f>[1]!YBHIST("30yr Swap Rate",$A51,"YldtoMat","swapvol","")</f>
        <v>2.6438630000000001</v>
      </c>
      <c r="N51" s="3">
        <f>[1]!YBHIST("FNMA 30YR Cur Coup (BE)",$A51,"Yield","bmk","")</f>
        <v>2.2050000000000001</v>
      </c>
      <c r="O51" s="2">
        <f>[1]!YBHIST("FHLMC 30YR Cur Coup (BE)",$A51,"Yield","bmk","")</f>
        <v>2.2509999999999999</v>
      </c>
      <c r="P51" s="2">
        <f>[1]!YBHIST("GNMA 30YR Cur Coup (BE)",$A51,"Yield","bmk","")</f>
        <v>2.1190000000000002</v>
      </c>
      <c r="Q51" s="2">
        <f>[1]!YBHIST("Primary 30-Yr Mtg Rate",$A51,"Yield","bmk","")</f>
        <v>3.6735000000000002</v>
      </c>
      <c r="R51" s="2">
        <f>[1]!YBHIST("FHLM 30-Yr Survey Rate",$A51,"Yield","bmk","")</f>
        <v>3.37</v>
      </c>
      <c r="S51" s="6">
        <f>[1]!YBHIST("Base Mortgage Rate",$A51,"Yield","bmk","")</f>
        <v>2.5459999999999998</v>
      </c>
      <c r="T51" s="18">
        <f>[1]!YBHIST("FNMA 30YR Cur Coup (BE)",$A51,"LMMOAS","bmk","")</f>
        <v>-12.253500000000001</v>
      </c>
      <c r="U51" s="19">
        <f>[1]!YBHIST("FHLMC 30YR Cur Coup (BE)",$A51,"LMMOAS","bmk","")</f>
        <v>-5.6722000000000001</v>
      </c>
      <c r="V51" s="19">
        <f>[1]!YBHIST("GNMA 30YR Cur Coup (BE)",$A51,"LMMOAS","bmk","")</f>
        <v>-21.158199</v>
      </c>
      <c r="W51" s="20">
        <f t="shared" si="6"/>
        <v>41.1</v>
      </c>
      <c r="X51" s="20">
        <f t="shared" si="7"/>
        <v>41.1</v>
      </c>
      <c r="Y51" s="20">
        <f t="shared" si="8"/>
        <v>45.699999999999989</v>
      </c>
      <c r="Z51" s="25">
        <f>[1]!YBHIST("FNMA3.0-GEN",$A51,"Price","tba","")</f>
        <v>104.484375</v>
      </c>
      <c r="AA51" s="2">
        <f>[1]!YBHIST("FNMA3.5-GEN",$A51,"Price","tba","")</f>
        <v>106.21875</v>
      </c>
      <c r="AB51" s="2">
        <f>[1]!YBHIST("FNMA4.0-GEN",$A51,"Price","tba","")</f>
        <v>106.953125</v>
      </c>
      <c r="AC51" s="2">
        <f>[1]!YBHIST("FNMA4.5-GEN",$A51,"Price","tba","")</f>
        <v>107.859375</v>
      </c>
      <c r="AD51" s="2">
        <f>[1]!YBHIST("FNMA5.0-GEN",$A51,"Price","tba","")</f>
        <v>109.0625</v>
      </c>
      <c r="AE51" s="2">
        <f>[1]!YBHIST("FNMA5.5-GEN",$A51,"Price","tba","")</f>
        <v>109.6875</v>
      </c>
      <c r="AF51" s="6">
        <f>[1]!YBHIST("FNMA6.0-GEN",$A51,"Price","tba","")</f>
        <v>110.8125</v>
      </c>
      <c r="AG51" s="2">
        <f>[1]!YBHIST("FNMA3.0-GEN",$A51,"Yield","tba","")</f>
        <v>1.9650000000000001</v>
      </c>
      <c r="AH51" s="2">
        <f>[1]!YBHIST("FNMA3.5-GEN",$A51,"Yield","tba","")</f>
        <v>1.5940000000000001</v>
      </c>
      <c r="AI51" s="2">
        <f>[1]!YBHIST("FNMA4.0-GEN",$A51,"Yield","tba","")</f>
        <v>1.452</v>
      </c>
      <c r="AJ51" s="2">
        <f>[1]!YBHIST("FNMA4.5-GEN",$A51,"Yield","tba","")</f>
        <v>1.3959999999999999</v>
      </c>
      <c r="AK51" s="2">
        <f>[1]!YBHIST("FNMA5.0-GEN",$A51,"Yield","tba","")</f>
        <v>0.41099999999999998</v>
      </c>
      <c r="AL51" s="2">
        <f>[1]!YBHIST("FNMA5.5-GEN",$A51,"Yield","tba","")</f>
        <v>0.55800000000000005</v>
      </c>
      <c r="AM51" s="6">
        <f>[1]!YBHIST("FNMA6.0-GEN",$A51,"Yield","tba","")</f>
        <v>-0.09</v>
      </c>
      <c r="AN51" s="3">
        <f>[1]!YBHIST(AN$4,$A51,"Price","sec","")</f>
        <v>11.968999999999999</v>
      </c>
      <c r="AO51" s="2">
        <f>[1]!YBHIST(AO$4,$A51,"Price","sec","")</f>
        <v>13.561999999999999</v>
      </c>
      <c r="AP51" s="2">
        <f>[1]!YBHIST(AP$4,$A51,"Price","sec","")</f>
        <v>11.452999999999999</v>
      </c>
      <c r="AQ51" s="2">
        <f>[1]!YBHIST(AQ$4,$A51,"Price","sec","")</f>
        <v>15.281000000000001</v>
      </c>
      <c r="AR51" s="2">
        <f>[1]!YBHIST(AR$4,$A51,"Price","sec","")</f>
        <v>13.093999999999999</v>
      </c>
      <c r="AS51" s="2">
        <f>[1]!YBHIST(AS$4,$A51,"Price","sec","")</f>
        <v>19.062000000000001</v>
      </c>
      <c r="AT51" s="2">
        <f>[1]!YBHIST(AT$4,$A51,"Price","sec","")</f>
        <v>16.969000000000001</v>
      </c>
      <c r="AU51" s="2">
        <f>[1]!YBHIST(AU$4,$A51,"Price","sec","")</f>
        <v>11.218999999999999</v>
      </c>
      <c r="AV51" s="2">
        <f>[1]!YBHIST(AV$4,$A51,"Price","sec","")</f>
        <v>14.061999999999999</v>
      </c>
      <c r="AW51" s="2">
        <f>[1]!YBHIST(AW$4,$A51,"Price","sec","")</f>
        <v>13.875</v>
      </c>
      <c r="AX51" s="2">
        <f>[1]!YBHIST(AX$4,$A51,"Price","sec","")</f>
        <v>12.156000000000001</v>
      </c>
      <c r="AY51" s="2">
        <f>[1]!YBHIST(AY$4,$A51,"Price","sec","")</f>
        <v>15.781000000000001</v>
      </c>
      <c r="AZ51" s="2">
        <f>[1]!YBHIST(AZ$4,$A51,"Price","sec","")</f>
        <v>14.734</v>
      </c>
      <c r="BA51" s="2">
        <f>[1]!YBHIST(BA$4,$A51,"Price","sec","")</f>
        <v>14.156000000000001</v>
      </c>
      <c r="BB51" s="2">
        <f>[1]!YBHIST(BB$4,$A51,"Price","sec","")</f>
        <v>17.625</v>
      </c>
      <c r="BC51" s="2">
        <f>[1]!YBHIST(BC$4,$A51,"Price","sec","")</f>
        <v>17.766000999999999</v>
      </c>
      <c r="BD51" s="2">
        <f>[1]!YBHIST(BD$4,$A51,"Price","sec","")</f>
        <v>17.905999999999999</v>
      </c>
      <c r="BE51" s="6">
        <f>[1]!YBHIST(BE$4,$A51,"Price","sec","")</f>
        <v>19.219000000000001</v>
      </c>
      <c r="BF51" s="20">
        <f>[1]!YBHIST(BF$4,$A51,"LMMOAS","sec","")</f>
        <v>545.81848100000002</v>
      </c>
      <c r="BG51" s="20">
        <f>[1]!YBHIST(BG$4,$A51,"LMMOAS","sec","")</f>
        <v>405.36050399999999</v>
      </c>
      <c r="BH51" s="20">
        <f>[1]!YBHIST(BH$4,$A51,"LMMOAS","sec","")</f>
        <v>435.64999399999999</v>
      </c>
      <c r="BI51" s="20">
        <f>[1]!YBHIST(BI$4,$A51,"LMMOAS","sec","")</f>
        <v>351.803406</v>
      </c>
      <c r="BJ51" s="20">
        <f>[1]!YBHIST(BJ$4,$A51,"LMMOAS","sec","")</f>
        <v>344.53729199999998</v>
      </c>
      <c r="BK51" s="20">
        <f>[1]!YBHIST(BK$4,$A51,"LMMOAS","sec","")</f>
        <v>259.43521099999998</v>
      </c>
      <c r="BL51" s="20">
        <f>[1]!YBHIST(BL$4,$A51,"LMMOAS","sec","")</f>
        <v>257.279785</v>
      </c>
      <c r="BM51" s="20">
        <f>[1]!YBHIST(BM$4,$A51,"LMMOAS","sec","")</f>
        <v>72.518501000000001</v>
      </c>
      <c r="BN51" s="20">
        <f>[1]!YBHIST(BN$4,$A51,"LMMOAS","sec","")</f>
        <v>147.050095</v>
      </c>
      <c r="BO51" s="20">
        <f>[1]!YBHIST(BO$4,$A51,"LMMOAS","sec","")</f>
        <v>311.91409299999998</v>
      </c>
      <c r="BP51" s="20">
        <f>[1]!YBHIST(BP$4,$A51,"LMMOAS","sec","")</f>
        <v>269.58429000000001</v>
      </c>
      <c r="BQ51" s="20">
        <f>[1]!YBHIST(BQ$4,$A51,"LMMOAS","sec","")</f>
        <v>436.55779999999999</v>
      </c>
      <c r="BR51" s="20">
        <f>[1]!YBHIST(BR$4,$A51,"LMMOAS","sec","")</f>
        <v>633.81298800000002</v>
      </c>
      <c r="BS51" s="20">
        <f>[1]!YBHIST(BS$4,$A51,"LMMOAS","sec","")</f>
        <v>275.14529399999998</v>
      </c>
      <c r="BT51" s="20">
        <f>[1]!YBHIST(BT$4,$A51,"LMMOAS","sec","")</f>
        <v>376.84210200000001</v>
      </c>
      <c r="BU51" s="20">
        <f>[1]!YBHIST(BU$4,$A51,"LMMOAS","sec","")</f>
        <v>232.04049699999999</v>
      </c>
      <c r="BV51" s="20">
        <f>[1]!YBHIST(BV$4,$A51,"LMMOAS","sec","")</f>
        <v>286.97351099999997</v>
      </c>
      <c r="BW51" s="20">
        <f>[1]!YBHIST(BW$4,$A51,"LMMOAS","sec","")</f>
        <v>233.525497</v>
      </c>
      <c r="BX51" s="5"/>
      <c r="BY51" s="1"/>
      <c r="BZ51" s="1"/>
    </row>
    <row r="52" spans="1:78" x14ac:dyDescent="0.25">
      <c r="A52" s="14">
        <f>[1]!YBWORKDAY(A$26,-1*(ROW()-ROW(A$26)),"USD","")</f>
        <v>41201</v>
      </c>
      <c r="B52" s="3">
        <f>[1]!YBHIST("2 Year Treasury",$A52,"Price","govt","")</f>
        <v>99.905997999999997</v>
      </c>
      <c r="C52" s="2">
        <f>[1]!YBHIST("5 Year Treasury",$A52,"Price","govt","")</f>
        <v>99.398003000000003</v>
      </c>
      <c r="D52" s="2">
        <f>[1]!YBHIST("10 Year Treasury",$A52,"Price","govt","")</f>
        <v>98.734001000000006</v>
      </c>
      <c r="E52" s="6">
        <f>[1]!YBHIST("30 Year Treasury",$A52,"Price","govt","")</f>
        <v>96.296997000000005</v>
      </c>
      <c r="F52" s="3">
        <f>[1]!YBHIST("2 Year Treasury",$A52,"YldtoMat","govt","")</f>
        <v>0.29899999999999999</v>
      </c>
      <c r="G52" s="2">
        <f>[1]!YBHIST("5 Year Treasury",$A52,"YldtoMat","govt","")</f>
        <v>0.749</v>
      </c>
      <c r="H52" s="2">
        <f>[1]!YBHIST("10 Year Treasury",$A52,"YldtoMat","govt","")</f>
        <v>1.766</v>
      </c>
      <c r="I52" s="6">
        <f>[1]!YBHIST("30 Year Treasury",$A52,"YldtoMat","govt","")</f>
        <v>2.9369999999999998</v>
      </c>
      <c r="J52" s="3">
        <f>[1]!YBHIST("2yr Swap Rate",$A52,"YldtoMat","swapvol","")</f>
        <v>0.398559</v>
      </c>
      <c r="K52" s="2">
        <f>[1]!YBHIST("5yr Swap Rate",$A52,"YldtoMat","swapvol","")</f>
        <v>0.85814999999999997</v>
      </c>
      <c r="L52" s="2">
        <f>[1]!YBHIST("10yr Swap Rate",$A52,"YldtoMat","swapvol","")</f>
        <v>1.7949759999999999</v>
      </c>
      <c r="M52" s="6">
        <f>[1]!YBHIST("30yr Swap Rate",$A52,"YldtoMat","swapvol","")</f>
        <v>2.6889080000000001</v>
      </c>
      <c r="N52" s="3">
        <f>[1]!YBHIST("FNMA 30YR Cur Coup (BE)",$A52,"Yield","bmk","")</f>
        <v>2.17</v>
      </c>
      <c r="O52" s="2">
        <f>[1]!YBHIST("FHLMC 30YR Cur Coup (BE)",$A52,"Yield","bmk","")</f>
        <v>2.2160000000000002</v>
      </c>
      <c r="P52" s="2">
        <f>[1]!YBHIST("GNMA 30YR Cur Coup (BE)",$A52,"Yield","bmk","")</f>
        <v>2.0840000000000001</v>
      </c>
      <c r="Q52" s="2">
        <f>[1]!YBHIST("Primary 30-Yr Mtg Rate",$A52,"Yield","bmk","")</f>
        <v>3.6410999999999998</v>
      </c>
      <c r="R52" s="2">
        <f>[1]!YBHIST("FHLM 30-Yr Survey Rate",$A52,"Yield","bmk","")</f>
        <v>3.37</v>
      </c>
      <c r="S52" s="6">
        <f>[1]!YBHIST("Base Mortgage Rate",$A52,"Yield","bmk","")</f>
        <v>2.5139999999999998</v>
      </c>
      <c r="T52" s="18">
        <f>[1]!YBHIST("FNMA 30YR Cur Coup (BE)",$A52,"LMMOAS","bmk","")</f>
        <v>-13.8119</v>
      </c>
      <c r="U52" s="19">
        <f>[1]!YBHIST("FHLMC 30YR Cur Coup (BE)",$A52,"LMMOAS","bmk","")</f>
        <v>-7.4076000000000004</v>
      </c>
      <c r="V52" s="19">
        <f>[1]!YBHIST("GNMA 30YR Cur Coup (BE)",$A52,"LMMOAS","bmk","")</f>
        <v>-21.4925</v>
      </c>
      <c r="W52" s="20">
        <f t="shared" si="6"/>
        <v>40.399999999999991</v>
      </c>
      <c r="X52" s="20">
        <f t="shared" si="7"/>
        <v>40.399999999999991</v>
      </c>
      <c r="Y52" s="20">
        <f t="shared" si="8"/>
        <v>45.000000000000014</v>
      </c>
      <c r="Z52" s="25">
        <f>[1]!YBHIST("FNMA3.0-GEN",$A52,"Price","tba","")</f>
        <v>104.585938</v>
      </c>
      <c r="AA52" s="2">
        <f>[1]!YBHIST("FNMA3.5-GEN",$A52,"Price","tba","")</f>
        <v>106.265625</v>
      </c>
      <c r="AB52" s="2">
        <f>[1]!YBHIST("FNMA4.0-GEN",$A52,"Price","tba","")</f>
        <v>107.007812</v>
      </c>
      <c r="AC52" s="2">
        <f>[1]!YBHIST("FNMA4.5-GEN",$A52,"Price","tba","")</f>
        <v>107.90625</v>
      </c>
      <c r="AD52" s="2">
        <f>[1]!YBHIST("FNMA5.0-GEN",$A52,"Price","tba","")</f>
        <v>109.085938</v>
      </c>
      <c r="AE52" s="2">
        <f>[1]!YBHIST("FNMA5.5-GEN",$A52,"Price","tba","")</f>
        <v>109.710938</v>
      </c>
      <c r="AF52" s="6">
        <f>[1]!YBHIST("FNMA6.0-GEN",$A52,"Price","tba","")</f>
        <v>110.804688</v>
      </c>
      <c r="AG52" s="2">
        <f>[1]!YBHIST("FNMA3.0-GEN",$A52,"Yield","tba","")</f>
        <v>1.9139999999999999</v>
      </c>
      <c r="AH52" s="2">
        <f>[1]!YBHIST("FNMA3.5-GEN",$A52,"Yield","tba","")</f>
        <v>1.5389999999999999</v>
      </c>
      <c r="AI52" s="2">
        <f>[1]!YBHIST("FNMA4.0-GEN",$A52,"Yield","tba","")</f>
        <v>1.39</v>
      </c>
      <c r="AJ52" s="2">
        <f>[1]!YBHIST("FNMA4.5-GEN",$A52,"Yield","tba","")</f>
        <v>1.341</v>
      </c>
      <c r="AK52" s="2">
        <f>[1]!YBHIST("FNMA5.0-GEN",$A52,"Yield","tba","")</f>
        <v>0.36</v>
      </c>
      <c r="AL52" s="2">
        <f>[1]!YBHIST("FNMA5.5-GEN",$A52,"Yield","tba","")</f>
        <v>0.51600000000000001</v>
      </c>
      <c r="AM52" s="6">
        <f>[1]!YBHIST("FNMA6.0-GEN",$A52,"Yield","tba","")</f>
        <v>-0.114</v>
      </c>
      <c r="AN52" s="3">
        <f>[1]!YBHIST(AN$4,$A52,"Price","sec","")</f>
        <v>11.859</v>
      </c>
      <c r="AO52" s="2">
        <f>[1]!YBHIST(AO$4,$A52,"Price","sec","")</f>
        <v>13.452999999999999</v>
      </c>
      <c r="AP52" s="2">
        <f>[1]!YBHIST(AP$4,$A52,"Price","sec","")</f>
        <v>11.343999999999999</v>
      </c>
      <c r="AQ52" s="2">
        <f>[1]!YBHIST(AQ$4,$A52,"Price","sec","")</f>
        <v>15.172000000000001</v>
      </c>
      <c r="AR52" s="2">
        <f>[1]!YBHIST(AR$4,$A52,"Price","sec","")</f>
        <v>12.984</v>
      </c>
      <c r="AS52" s="2">
        <f>[1]!YBHIST(AS$4,$A52,"Price","sec","")</f>
        <v>18.969000000000001</v>
      </c>
      <c r="AT52" s="2">
        <f>[1]!YBHIST(AT$4,$A52,"Price","sec","")</f>
        <v>16.891000999999999</v>
      </c>
      <c r="AU52" s="2">
        <f>[1]!YBHIST(AU$4,$A52,"Price","sec","")</f>
        <v>11.156000000000001</v>
      </c>
      <c r="AV52" s="2">
        <f>[1]!YBHIST(AV$4,$A52,"Price","sec","")</f>
        <v>14</v>
      </c>
      <c r="AW52" s="2">
        <f>[1]!YBHIST(AW$4,$A52,"Price","sec","")</f>
        <v>13.827999999999999</v>
      </c>
      <c r="AX52" s="2">
        <f>[1]!YBHIST(AX$4,$A52,"Price","sec","")</f>
        <v>12.109</v>
      </c>
      <c r="AY52" s="2">
        <f>[1]!YBHIST(AY$4,$A52,"Price","sec","")</f>
        <v>15.734</v>
      </c>
      <c r="AZ52" s="2">
        <f>[1]!YBHIST(AZ$4,$A52,"Price","sec","")</f>
        <v>14.688000000000001</v>
      </c>
      <c r="BA52" s="2">
        <f>[1]!YBHIST(BA$4,$A52,"Price","sec","")</f>
        <v>14.125</v>
      </c>
      <c r="BB52" s="2">
        <f>[1]!YBHIST(BB$4,$A52,"Price","sec","")</f>
        <v>17.608999000000001</v>
      </c>
      <c r="BC52" s="2">
        <f>[1]!YBHIST(BC$4,$A52,"Price","sec","")</f>
        <v>17.687999999999999</v>
      </c>
      <c r="BD52" s="2">
        <f>[1]!YBHIST(BD$4,$A52,"Price","sec","")</f>
        <v>17.827998999999998</v>
      </c>
      <c r="BE52" s="6">
        <f>[1]!YBHIST(BE$4,$A52,"Price","sec","")</f>
        <v>19.141000999999999</v>
      </c>
      <c r="BF52" s="20">
        <f>[1]!YBHIST(BF$4,$A52,"LMMOAS","sec","")</f>
        <v>537.26507600000002</v>
      </c>
      <c r="BG52" s="20">
        <f>[1]!YBHIST(BG$4,$A52,"LMMOAS","sec","")</f>
        <v>396.382385</v>
      </c>
      <c r="BH52" s="20">
        <f>[1]!YBHIST(BH$4,$A52,"LMMOAS","sec","")</f>
        <v>426.74069200000002</v>
      </c>
      <c r="BI52" s="20">
        <f>[1]!YBHIST(BI$4,$A52,"LMMOAS","sec","")</f>
        <v>344.03359999999998</v>
      </c>
      <c r="BJ52" s="20">
        <f>[1]!YBHIST(BJ$4,$A52,"LMMOAS","sec","")</f>
        <v>337.57369999999997</v>
      </c>
      <c r="BK52" s="20">
        <f>[1]!YBHIST(BK$4,$A52,"LMMOAS","sec","")</f>
        <v>254.837906</v>
      </c>
      <c r="BL52" s="20">
        <f>[1]!YBHIST(BL$4,$A52,"LMMOAS","sec","")</f>
        <v>248.51350400000001</v>
      </c>
      <c r="BM52" s="20">
        <f>[1]!YBHIST(BM$4,$A52,"LMMOAS","sec","")</f>
        <v>58.091900000000003</v>
      </c>
      <c r="BN52" s="20">
        <f>[1]!YBHIST(BN$4,$A52,"LMMOAS","sec","")</f>
        <v>136.56970200000001</v>
      </c>
      <c r="BO52" s="20">
        <f>[1]!YBHIST(BO$4,$A52,"LMMOAS","sec","")</f>
        <v>302.450714</v>
      </c>
      <c r="BP52" s="20">
        <f>[1]!YBHIST(BP$4,$A52,"LMMOAS","sec","")</f>
        <v>255.242493</v>
      </c>
      <c r="BQ52" s="20">
        <f>[1]!YBHIST(BQ$4,$A52,"LMMOAS","sec","")</f>
        <v>427.77890000000002</v>
      </c>
      <c r="BR52" s="20">
        <f>[1]!YBHIST(BR$4,$A52,"LMMOAS","sec","")</f>
        <v>628.52331500000003</v>
      </c>
      <c r="BS52" s="20">
        <f>[1]!YBHIST(BS$4,$A52,"LMMOAS","sec","")</f>
        <v>262.19601399999999</v>
      </c>
      <c r="BT52" s="20">
        <f>[1]!YBHIST(BT$4,$A52,"LMMOAS","sec","")</f>
        <v>368.64761399999998</v>
      </c>
      <c r="BU52" s="20">
        <f>[1]!YBHIST(BU$4,$A52,"LMMOAS","sec","")</f>
        <v>220.69850199999999</v>
      </c>
      <c r="BV52" s="20">
        <f>[1]!YBHIST(BV$4,$A52,"LMMOAS","sec","")</f>
        <v>276.16940299999999</v>
      </c>
      <c r="BW52" s="20">
        <f>[1]!YBHIST(BW$4,$A52,"LMMOAS","sec","")</f>
        <v>225.47430399999999</v>
      </c>
      <c r="BX52" s="5"/>
      <c r="BY52" s="1"/>
      <c r="BZ52" s="1"/>
    </row>
    <row r="53" spans="1:78" x14ac:dyDescent="0.25">
      <c r="A53" s="14">
        <f>[1]!YBWORKDAY(A$26,-1*(ROW()-ROW(A$26)),"USD","")</f>
        <v>41200</v>
      </c>
      <c r="B53" s="3">
        <f>[1]!YBHIST("2 Year Treasury",$A53,"Price","govt","")</f>
        <v>99.905997999999997</v>
      </c>
      <c r="C53" s="2">
        <f>[1]!YBHIST("5 Year Treasury",$A53,"Price","govt","")</f>
        <v>99.258003000000002</v>
      </c>
      <c r="D53" s="2">
        <f>[1]!YBHIST("10 Year Treasury",$A53,"Price","govt","")</f>
        <v>98.203002999999995</v>
      </c>
      <c r="E53" s="6">
        <f>[1]!YBHIST("30 Year Treasury",$A53,"Price","govt","")</f>
        <v>94.953002999999995</v>
      </c>
      <c r="F53" s="3">
        <f>[1]!YBHIST("2 Year Treasury",$A53,"YldtoMat","govt","")</f>
        <v>0.29799999999999999</v>
      </c>
      <c r="G53" s="2">
        <f>[1]!YBHIST("5 Year Treasury",$A53,"YldtoMat","govt","")</f>
        <v>0.77800000000000002</v>
      </c>
      <c r="H53" s="2">
        <f>[1]!YBHIST("10 Year Treasury",$A53,"YldtoMat","govt","")</f>
        <v>1.8260000000000001</v>
      </c>
      <c r="I53" s="6">
        <f>[1]!YBHIST("30 Year Treasury",$A53,"YldtoMat","govt","")</f>
        <v>3.0070000000000001</v>
      </c>
      <c r="J53" s="3">
        <f>[1]!YBHIST("2yr Swap Rate",$A53,"YldtoMat","swapvol","")</f>
        <v>0.389959</v>
      </c>
      <c r="K53" s="2">
        <f>[1]!YBHIST("5yr Swap Rate",$A53,"YldtoMat","swapvol","")</f>
        <v>0.88380000000000003</v>
      </c>
      <c r="L53" s="2">
        <f>[1]!YBHIST("10yr Swap Rate",$A53,"YldtoMat","swapvol","")</f>
        <v>1.8491089999999999</v>
      </c>
      <c r="M53" s="6">
        <f>[1]!YBHIST("30yr Swap Rate",$A53,"YldtoMat","swapvol","")</f>
        <v>2.7485919999999999</v>
      </c>
      <c r="N53" s="3">
        <f>[1]!YBHIST("FNMA 30YR Cur Coup (BE)",$A53,"Yield","bmk","")</f>
        <v>2.238</v>
      </c>
      <c r="O53" s="2">
        <f>[1]!YBHIST("FHLMC 30YR Cur Coup (BE)",$A53,"Yield","bmk","")</f>
        <v>2.2839999999999998</v>
      </c>
      <c r="P53" s="2">
        <f>[1]!YBHIST("GNMA 30YR Cur Coup (BE)",$A53,"Yield","bmk","")</f>
        <v>2.1520000000000001</v>
      </c>
      <c r="Q53" s="2">
        <f>[1]!YBHIST("Primary 30-Yr Mtg Rate",$A53,"Yield","bmk","")</f>
        <v>3.7078000000000002</v>
      </c>
      <c r="R53" s="2">
        <f>[1]!YBHIST("FHLM 30-Yr Survey Rate",$A53,"Yield","bmk","")</f>
        <v>3.37</v>
      </c>
      <c r="S53" s="6">
        <f>[1]!YBHIST("Base Mortgage Rate",$A53,"Yield","bmk","")</f>
        <v>2.581</v>
      </c>
      <c r="T53" s="18">
        <f>[1]!YBHIST("FNMA 30YR Cur Coup (BE)",$A53,"LMMOAS","bmk","")</f>
        <v>-12.3323</v>
      </c>
      <c r="U53" s="19">
        <f>[1]!YBHIST("FHLMC 30YR Cur Coup (BE)",$A53,"LMMOAS","bmk","")</f>
        <v>-5.5986000000000002</v>
      </c>
      <c r="V53" s="19">
        <f>[1]!YBHIST("GNMA 30YR Cur Coup (BE)",$A53,"LMMOAS","bmk","")</f>
        <v>-23.186001000000001</v>
      </c>
      <c r="W53" s="20">
        <f t="shared" si="6"/>
        <v>41.199999999999989</v>
      </c>
      <c r="X53" s="20">
        <f t="shared" si="7"/>
        <v>41.199999999999989</v>
      </c>
      <c r="Y53" s="20">
        <f t="shared" si="8"/>
        <v>45.799999999999976</v>
      </c>
      <c r="Z53" s="25">
        <f>[1]!YBHIST("FNMA3.0-GEN",$A53,"Price","tba","")</f>
        <v>104.234375</v>
      </c>
      <c r="AA53" s="2">
        <f>[1]!YBHIST("FNMA3.5-GEN",$A53,"Price","tba","")</f>
        <v>105.984375</v>
      </c>
      <c r="AB53" s="2">
        <f>[1]!YBHIST("FNMA4.0-GEN",$A53,"Price","tba","")</f>
        <v>106.859375</v>
      </c>
      <c r="AC53" s="2">
        <f>[1]!YBHIST("FNMA4.5-GEN",$A53,"Price","tba","")</f>
        <v>107.796875</v>
      </c>
      <c r="AD53" s="2">
        <f>[1]!YBHIST("FNMA5.0-GEN",$A53,"Price","tba","")</f>
        <v>108.914062</v>
      </c>
      <c r="AE53" s="2">
        <f>[1]!YBHIST("FNMA5.5-GEN",$A53,"Price","tba","")</f>
        <v>109.59375</v>
      </c>
      <c r="AF53" s="6">
        <f>[1]!YBHIST("FNMA6.0-GEN",$A53,"Price","tba","")</f>
        <v>110.742188</v>
      </c>
      <c r="AG53" s="2">
        <f>[1]!YBHIST("FNMA3.0-GEN",$A53,"Yield","tba","")</f>
        <v>2.0430000000000001</v>
      </c>
      <c r="AH53" s="2">
        <f>[1]!YBHIST("FNMA3.5-GEN",$A53,"Yield","tba","")</f>
        <v>1.696</v>
      </c>
      <c r="AI53" s="2">
        <f>[1]!YBHIST("FNMA4.0-GEN",$A53,"Yield","tba","")</f>
        <v>1.5189999999999999</v>
      </c>
      <c r="AJ53" s="2">
        <f>[1]!YBHIST("FNMA4.5-GEN",$A53,"Yield","tba","")</f>
        <v>1.4490000000000001</v>
      </c>
      <c r="AK53" s="2">
        <f>[1]!YBHIST("FNMA5.0-GEN",$A53,"Yield","tba","")</f>
        <v>0.51100000000000001</v>
      </c>
      <c r="AL53" s="2">
        <f>[1]!YBHIST("FNMA5.5-GEN",$A53,"Yield","tba","")</f>
        <v>0.626</v>
      </c>
      <c r="AM53" s="6">
        <f>[1]!YBHIST("FNMA6.0-GEN",$A53,"Yield","tba","")</f>
        <v>-3.3000000000000002E-2</v>
      </c>
      <c r="AN53" s="3">
        <f>[1]!YBHIST(AN$4,$A53,"Price","sec","")</f>
        <v>12.343999999999999</v>
      </c>
      <c r="AO53" s="2">
        <f>[1]!YBHIST(AO$4,$A53,"Price","sec","")</f>
        <v>13.922000000000001</v>
      </c>
      <c r="AP53" s="2">
        <f>[1]!YBHIST(AP$4,$A53,"Price","sec","")</f>
        <v>11.781000000000001</v>
      </c>
      <c r="AQ53" s="2">
        <f>[1]!YBHIST(AQ$4,$A53,"Price","sec","")</f>
        <v>15.516</v>
      </c>
      <c r="AR53" s="2">
        <f>[1]!YBHIST(AR$4,$A53,"Price","sec","")</f>
        <v>13.297000000000001</v>
      </c>
      <c r="AS53" s="2">
        <f>[1]!YBHIST(AS$4,$A53,"Price","sec","")</f>
        <v>19.219000000000001</v>
      </c>
      <c r="AT53" s="2">
        <f>[1]!YBHIST(AT$4,$A53,"Price","sec","")</f>
        <v>17.141000999999999</v>
      </c>
      <c r="AU53" s="2">
        <f>[1]!YBHIST(AU$4,$A53,"Price","sec","")</f>
        <v>11.375</v>
      </c>
      <c r="AV53" s="2">
        <f>[1]!YBHIST(AV$4,$A53,"Price","sec","")</f>
        <v>14.218999999999999</v>
      </c>
      <c r="AW53" s="2">
        <f>[1]!YBHIST(AW$4,$A53,"Price","sec","")</f>
        <v>14.047000000000001</v>
      </c>
      <c r="AX53" s="2">
        <f>[1]!YBHIST(AX$4,$A53,"Price","sec","")</f>
        <v>12.25</v>
      </c>
      <c r="AY53" s="2">
        <f>[1]!YBHIST(AY$4,$A53,"Price","sec","")</f>
        <v>15.859</v>
      </c>
      <c r="AZ53" s="2">
        <f>[1]!YBHIST(AZ$4,$A53,"Price","sec","")</f>
        <v>14.827999999999999</v>
      </c>
      <c r="BA53" s="2">
        <f>[1]!YBHIST(BA$4,$A53,"Price","sec","")</f>
        <v>14.234</v>
      </c>
      <c r="BB53" s="2">
        <f>[1]!YBHIST(BB$4,$A53,"Price","sec","")</f>
        <v>17.687999999999999</v>
      </c>
      <c r="BC53" s="2">
        <f>[1]!YBHIST(BC$4,$A53,"Price","sec","")</f>
        <v>18</v>
      </c>
      <c r="BD53" s="2">
        <f>[1]!YBHIST(BD$4,$A53,"Price","sec","")</f>
        <v>18.155999999999999</v>
      </c>
      <c r="BE53" s="6">
        <f>[1]!YBHIST(BE$4,$A53,"Price","sec","")</f>
        <v>19.437999999999999</v>
      </c>
      <c r="BF53" s="20">
        <f>[1]!YBHIST(BF$4,$A53,"LMMOAS","sec","")</f>
        <v>535.46777299999997</v>
      </c>
      <c r="BG53" s="20">
        <f>[1]!YBHIST(BG$4,$A53,"LMMOAS","sec","")</f>
        <v>404.66598499999998</v>
      </c>
      <c r="BH53" s="20">
        <f>[1]!YBHIST(BH$4,$A53,"LMMOAS","sec","")</f>
        <v>431.95489500000002</v>
      </c>
      <c r="BI53" s="20">
        <f>[1]!YBHIST(BI$4,$A53,"LMMOAS","sec","")</f>
        <v>373.58529700000003</v>
      </c>
      <c r="BJ53" s="20">
        <f>[1]!YBHIST(BJ$4,$A53,"LMMOAS","sec","")</f>
        <v>368.91061400000001</v>
      </c>
      <c r="BK53" s="20">
        <f>[1]!YBHIST(BK$4,$A53,"LMMOAS","sec","")</f>
        <v>285.89138800000001</v>
      </c>
      <c r="BL53" s="20">
        <f>[1]!YBHIST(BL$4,$A53,"LMMOAS","sec","")</f>
        <v>284.23019399999998</v>
      </c>
      <c r="BM53" s="20">
        <f>[1]!YBHIST(BM$4,$A53,"LMMOAS","sec","")</f>
        <v>102.74569700000001</v>
      </c>
      <c r="BN53" s="20">
        <f>[1]!YBHIST(BN$4,$A53,"LMMOAS","sec","")</f>
        <v>167.61180100000001</v>
      </c>
      <c r="BO53" s="20">
        <f>[1]!YBHIST(BO$4,$A53,"LMMOAS","sec","")</f>
        <v>319.61459400000001</v>
      </c>
      <c r="BP53" s="20">
        <f>[1]!YBHIST(BP$4,$A53,"LMMOAS","sec","")</f>
        <v>310.689911</v>
      </c>
      <c r="BQ53" s="20">
        <f>[1]!YBHIST(BQ$4,$A53,"LMMOAS","sec","")</f>
        <v>465.251801</v>
      </c>
      <c r="BR53" s="20">
        <f>[1]!YBHIST(BR$4,$A53,"LMMOAS","sec","")</f>
        <v>652.45812999999998</v>
      </c>
      <c r="BS53" s="20">
        <f>[1]!YBHIST(BS$4,$A53,"LMMOAS","sec","")</f>
        <v>312.96679699999999</v>
      </c>
      <c r="BT53" s="20">
        <f>[1]!YBHIST(BT$4,$A53,"LMMOAS","sec","")</f>
        <v>403.83279399999998</v>
      </c>
      <c r="BU53" s="20">
        <f>[1]!YBHIST(BU$4,$A53,"LMMOAS","sec","")</f>
        <v>253.32569899999999</v>
      </c>
      <c r="BV53" s="20">
        <f>[1]!YBHIST(BV$4,$A53,"LMMOAS","sec","")</f>
        <v>304.82910199999998</v>
      </c>
      <c r="BW53" s="20">
        <f>[1]!YBHIST(BW$4,$A53,"LMMOAS","sec","")</f>
        <v>252.31509399999999</v>
      </c>
      <c r="BX53" s="5"/>
      <c r="BY53" s="1"/>
      <c r="BZ53" s="1"/>
    </row>
    <row r="54" spans="1:78" x14ac:dyDescent="0.25">
      <c r="A54" s="14">
        <f>[1]!YBWORKDAY(A$26,-1*(ROW()-ROW(A$26)),"USD","")</f>
        <v>41199</v>
      </c>
      <c r="B54" s="3">
        <f>[1]!YBHIST("2 Year Treasury",$A54,"Price","govt","")</f>
        <v>99.905997999999997</v>
      </c>
      <c r="C54" s="2">
        <f>[1]!YBHIST("5 Year Treasury",$A54,"Price","govt","")</f>
        <v>99.280997999999997</v>
      </c>
      <c r="D54" s="2">
        <f>[1]!YBHIST("10 Year Treasury",$A54,"Price","govt","")</f>
        <v>98.344002000000003</v>
      </c>
      <c r="E54" s="6">
        <f>[1]!YBHIST("30 Year Treasury",$A54,"Price","govt","")</f>
        <v>95.328002999999995</v>
      </c>
      <c r="F54" s="3">
        <f>[1]!YBHIST("2 Year Treasury",$A54,"YldtoMat","govt","")</f>
        <v>0.29799999999999999</v>
      </c>
      <c r="G54" s="2">
        <f>[1]!YBHIST("5 Year Treasury",$A54,"YldtoMat","govt","")</f>
        <v>0.77300000000000002</v>
      </c>
      <c r="H54" s="2">
        <f>[1]!YBHIST("10 Year Treasury",$A54,"YldtoMat","govt","")</f>
        <v>1.81</v>
      </c>
      <c r="I54" s="6">
        <f>[1]!YBHIST("30 Year Treasury",$A54,"YldtoMat","govt","")</f>
        <v>2.988</v>
      </c>
      <c r="J54" s="3">
        <f>[1]!YBHIST("2yr Swap Rate",$A54,"YldtoMat","swapvol","")</f>
        <v>0.38196999999999998</v>
      </c>
      <c r="K54" s="2">
        <f>[1]!YBHIST("5yr Swap Rate",$A54,"YldtoMat","swapvol","")</f>
        <v>0.88146500000000005</v>
      </c>
      <c r="L54" s="2">
        <f>[1]!YBHIST("10yr Swap Rate",$A54,"YldtoMat","swapvol","")</f>
        <v>1.842263</v>
      </c>
      <c r="M54" s="6">
        <f>[1]!YBHIST("30yr Swap Rate",$A54,"YldtoMat","swapvol","")</f>
        <v>2.7420399999999998</v>
      </c>
      <c r="N54" s="3">
        <f>[1]!YBHIST("FNMA 30YR Cur Coup (BE)",$A54,"Yield","bmk","")</f>
        <v>2.2010000000000001</v>
      </c>
      <c r="O54" s="2">
        <f>[1]!YBHIST("FHLMC 30YR Cur Coup (BE)",$A54,"Yield","bmk","")</f>
        <v>2.2469999999999999</v>
      </c>
      <c r="P54" s="2">
        <f>[1]!YBHIST("GNMA 30YR Cur Coup (BE)",$A54,"Yield","bmk","")</f>
        <v>2.1150000000000002</v>
      </c>
      <c r="Q54" s="2">
        <f>[1]!YBHIST("Primary 30-Yr Mtg Rate",$A54,"Yield","bmk","")</f>
        <v>3.6890000000000001</v>
      </c>
      <c r="R54" s="2">
        <f>[1]!YBHIST("FHLM 30-Yr Survey Rate",$A54,"Yield","bmk","")</f>
        <v>3.39</v>
      </c>
      <c r="S54" s="6">
        <f>[1]!YBHIST("Base Mortgage Rate",$A54,"Yield","bmk","")</f>
        <v>2.544</v>
      </c>
      <c r="T54" s="18">
        <f>[1]!YBHIST("FNMA 30YR Cur Coup (BE)",$A54,"LMMOAS","bmk","")</f>
        <v>-15.7531</v>
      </c>
      <c r="U54" s="19">
        <f>[1]!YBHIST("FHLMC 30YR Cur Coup (BE)",$A54,"LMMOAS","bmk","")</f>
        <v>-9.3610000000000007</v>
      </c>
      <c r="V54" s="19">
        <f>[1]!YBHIST("GNMA 30YR Cur Coup (BE)",$A54,"LMMOAS","bmk","")</f>
        <v>-25.238001000000001</v>
      </c>
      <c r="W54" s="20">
        <f t="shared" si="6"/>
        <v>39.1</v>
      </c>
      <c r="X54" s="20">
        <f t="shared" si="7"/>
        <v>39.1</v>
      </c>
      <c r="Y54" s="20">
        <f t="shared" si="8"/>
        <v>43.699999999999982</v>
      </c>
      <c r="Z54" s="25">
        <f>[1]!YBHIST("FNMA3.0-GEN",$A54,"Price","tba","")</f>
        <v>104.421875</v>
      </c>
      <c r="AA54" s="2">
        <f>[1]!YBHIST("FNMA3.5-GEN",$A54,"Price","tba","")</f>
        <v>106.085938</v>
      </c>
      <c r="AB54" s="2">
        <f>[1]!YBHIST("FNMA4.0-GEN",$A54,"Price","tba","")</f>
        <v>106.953125</v>
      </c>
      <c r="AC54" s="2">
        <f>[1]!YBHIST("FNMA4.5-GEN",$A54,"Price","tba","")</f>
        <v>107.84375</v>
      </c>
      <c r="AD54" s="2">
        <f>[1]!YBHIST("FNMA5.0-GEN",$A54,"Price","tba","")</f>
        <v>108.875</v>
      </c>
      <c r="AE54" s="2">
        <f>[1]!YBHIST("FNMA5.5-GEN",$A54,"Price","tba","")</f>
        <v>109.554688</v>
      </c>
      <c r="AF54" s="6">
        <f>[1]!YBHIST("FNMA6.0-GEN",$A54,"Price","tba","")</f>
        <v>110.734375</v>
      </c>
      <c r="AG54" s="2">
        <f>[1]!YBHIST("FNMA3.0-GEN",$A54,"Yield","tba","")</f>
        <v>1.974</v>
      </c>
      <c r="AH54" s="2">
        <f>[1]!YBHIST("FNMA3.5-GEN",$A54,"Yield","tba","")</f>
        <v>1.623</v>
      </c>
      <c r="AI54" s="2">
        <f>[1]!YBHIST("FNMA4.0-GEN",$A54,"Yield","tba","")</f>
        <v>1.4419999999999999</v>
      </c>
      <c r="AJ54" s="2">
        <f>[1]!YBHIST("FNMA4.5-GEN",$A54,"Yield","tba","")</f>
        <v>1.393</v>
      </c>
      <c r="AK54" s="2">
        <f>[1]!YBHIST("FNMA5.0-GEN",$A54,"Yield","tba","")</f>
        <v>0.48499999999999999</v>
      </c>
      <c r="AL54" s="2">
        <f>[1]!YBHIST("FNMA5.5-GEN",$A54,"Yield","tba","")</f>
        <v>0.60899999999999999</v>
      </c>
      <c r="AM54" s="6">
        <f>[1]!YBHIST("FNMA6.0-GEN",$A54,"Yield","tba","")</f>
        <v>-5.8999999999999997E-2</v>
      </c>
      <c r="AN54" s="3">
        <f>[1]!YBHIST(AN$4,$A54,"Price","sec","")</f>
        <v>12.093999999999999</v>
      </c>
      <c r="AO54" s="2">
        <f>[1]!YBHIST(AO$4,$A54,"Price","sec","")</f>
        <v>13.672000000000001</v>
      </c>
      <c r="AP54" s="2">
        <f>[1]!YBHIST(AP$4,$A54,"Price","sec","")</f>
        <v>11.625</v>
      </c>
      <c r="AQ54" s="2">
        <f>[1]!YBHIST(AQ$4,$A54,"Price","sec","")</f>
        <v>15.281000000000001</v>
      </c>
      <c r="AR54" s="2">
        <f>[1]!YBHIST(AR$4,$A54,"Price","sec","")</f>
        <v>13.156000000000001</v>
      </c>
      <c r="AS54" s="2">
        <f>[1]!YBHIST(AS$4,$A54,"Price","sec","")</f>
        <v>19.062000000000001</v>
      </c>
      <c r="AT54" s="2">
        <f>[1]!YBHIST(AT$4,$A54,"Price","sec","")</f>
        <v>17</v>
      </c>
      <c r="AU54" s="2">
        <f>[1]!YBHIST(AU$4,$A54,"Price","sec","")</f>
        <v>11.266</v>
      </c>
      <c r="AV54" s="2">
        <f>[1]!YBHIST(AV$4,$A54,"Price","sec","")</f>
        <v>14.109</v>
      </c>
      <c r="AW54" s="2">
        <f>[1]!YBHIST(AW$4,$A54,"Price","sec","")</f>
        <v>13.922000000000001</v>
      </c>
      <c r="AX54" s="2">
        <f>[1]!YBHIST(AX$4,$A54,"Price","sec","")</f>
        <v>12.156000000000001</v>
      </c>
      <c r="AY54" s="2">
        <f>[1]!YBHIST(AY$4,$A54,"Price","sec","")</f>
        <v>15.766</v>
      </c>
      <c r="AZ54" s="2">
        <f>[1]!YBHIST(AZ$4,$A54,"Price","sec","")</f>
        <v>14.75</v>
      </c>
      <c r="BA54" s="2">
        <f>[1]!YBHIST(BA$4,$A54,"Price","sec","")</f>
        <v>14.172000000000001</v>
      </c>
      <c r="BB54" s="2">
        <f>[1]!YBHIST(BB$4,$A54,"Price","sec","")</f>
        <v>17.655999999999999</v>
      </c>
      <c r="BC54" s="2">
        <f>[1]!YBHIST(BC$4,$A54,"Price","sec","")</f>
        <v>17.827998999999998</v>
      </c>
      <c r="BD54" s="2">
        <f>[1]!YBHIST(BD$4,$A54,"Price","sec","")</f>
        <v>17.969000000000001</v>
      </c>
      <c r="BE54" s="6">
        <f>[1]!YBHIST(BE$4,$A54,"Price","sec","")</f>
        <v>19.25</v>
      </c>
      <c r="BF54" s="20">
        <f>[1]!YBHIST(BF$4,$A54,"LMMOAS","sec","")</f>
        <v>540.62530500000003</v>
      </c>
      <c r="BG54" s="20">
        <f>[1]!YBHIST(BG$4,$A54,"LMMOAS","sec","")</f>
        <v>407.67639200000002</v>
      </c>
      <c r="BH54" s="20">
        <f>[1]!YBHIST(BH$4,$A54,"LMMOAS","sec","")</f>
        <v>422.20150799999999</v>
      </c>
      <c r="BI54" s="20">
        <f>[1]!YBHIST(BI$4,$A54,"LMMOAS","sec","")</f>
        <v>374.572113</v>
      </c>
      <c r="BJ54" s="20">
        <f>[1]!YBHIST(BJ$4,$A54,"LMMOAS","sec","")</f>
        <v>358.445312</v>
      </c>
      <c r="BK54" s="20">
        <f>[1]!YBHIST(BK$4,$A54,"LMMOAS","sec","")</f>
        <v>279.734894</v>
      </c>
      <c r="BL54" s="20">
        <f>[1]!YBHIST(BL$4,$A54,"LMMOAS","sec","")</f>
        <v>275.70748900000001</v>
      </c>
      <c r="BM54" s="20">
        <f>[1]!YBHIST(BM$4,$A54,"LMMOAS","sec","")</f>
        <v>98.008201999999997</v>
      </c>
      <c r="BN54" s="20">
        <f>[1]!YBHIST(BN$4,$A54,"LMMOAS","sec","")</f>
        <v>162.36520400000001</v>
      </c>
      <c r="BO54" s="20">
        <f>[1]!YBHIST(BO$4,$A54,"LMMOAS","sec","")</f>
        <v>322.97369400000002</v>
      </c>
      <c r="BP54" s="20">
        <f>[1]!YBHIST(BP$4,$A54,"LMMOAS","sec","")</f>
        <v>306.67208900000003</v>
      </c>
      <c r="BQ54" s="20">
        <f>[1]!YBHIST(BQ$4,$A54,"LMMOAS","sec","")</f>
        <v>460.85900900000001</v>
      </c>
      <c r="BR54" s="20">
        <f>[1]!YBHIST(BR$4,$A54,"LMMOAS","sec","")</f>
        <v>650.79431199999999</v>
      </c>
      <c r="BS54" s="20">
        <f>[1]!YBHIST(BS$4,$A54,"LMMOAS","sec","")</f>
        <v>304.53961199999998</v>
      </c>
      <c r="BT54" s="20">
        <f>[1]!YBHIST(BT$4,$A54,"LMMOAS","sec","")</f>
        <v>394.95849600000003</v>
      </c>
      <c r="BU54" s="20">
        <f>[1]!YBHIST(BU$4,$A54,"LMMOAS","sec","")</f>
        <v>239.86880500000001</v>
      </c>
      <c r="BV54" s="20">
        <f>[1]!YBHIST(BV$4,$A54,"LMMOAS","sec","")</f>
        <v>296.08819599999998</v>
      </c>
      <c r="BW54" s="20">
        <f>[1]!YBHIST(BW$4,$A54,"LMMOAS","sec","")</f>
        <v>247.35029599999999</v>
      </c>
      <c r="BX54" s="5"/>
      <c r="BY54" s="1"/>
      <c r="BZ54" s="1"/>
    </row>
    <row r="55" spans="1:78" x14ac:dyDescent="0.25">
      <c r="A55" s="14">
        <f>[1]!YBWORKDAY(A$26,-1*(ROW()-ROW(A$26)),"USD","")</f>
        <v>41198</v>
      </c>
      <c r="B55" s="3">
        <f>[1]!YBHIST("2 Year Treasury",$A55,"Price","govt","")</f>
        <v>99.960999000000001</v>
      </c>
      <c r="C55" s="2">
        <f>[1]!YBHIST("5 Year Treasury",$A55,"Price","govt","")</f>
        <v>99.68</v>
      </c>
      <c r="D55" s="2">
        <f>[1]!YBHIST("10 Year Treasury",$A55,"Price","govt","")</f>
        <v>99.155997999999997</v>
      </c>
      <c r="E55" s="6">
        <f>[1]!YBHIST("30 Year Treasury",$A55,"Price","govt","")</f>
        <v>96.75</v>
      </c>
      <c r="F55" s="3">
        <f>[1]!YBHIST("2 Year Treasury",$A55,"YldtoMat","govt","")</f>
        <v>0.27</v>
      </c>
      <c r="G55" s="2">
        <f>[1]!YBHIST("5 Year Treasury",$A55,"YldtoMat","govt","")</f>
        <v>0.69099999999999995</v>
      </c>
      <c r="H55" s="2">
        <f>[1]!YBHIST("10 Year Treasury",$A55,"YldtoMat","govt","")</f>
        <v>1.7190000000000001</v>
      </c>
      <c r="I55" s="6">
        <f>[1]!YBHIST("30 Year Treasury",$A55,"YldtoMat","govt","")</f>
        <v>2.9140000000000001</v>
      </c>
      <c r="J55" s="3">
        <f>[1]!YBHIST("2yr Swap Rate",$A55,"YldtoMat","swapvol","")</f>
        <v>0.36304900000000001</v>
      </c>
      <c r="K55" s="2">
        <f>[1]!YBHIST("5yr Swap Rate",$A55,"YldtoMat","swapvol","")</f>
        <v>0.80418199999999995</v>
      </c>
      <c r="L55" s="2">
        <f>[1]!YBHIST("10yr Swap Rate",$A55,"YldtoMat","swapvol","")</f>
        <v>1.757228</v>
      </c>
      <c r="M55" s="6">
        <f>[1]!YBHIST("30yr Swap Rate",$A55,"YldtoMat","swapvol","")</f>
        <v>2.680606</v>
      </c>
      <c r="N55" s="3">
        <f>[1]!YBHIST("FNMA 30YR Cur Coup (BE)",$A55,"Yield","bmk","")</f>
        <v>2.0910000000000002</v>
      </c>
      <c r="O55" s="2">
        <f>[1]!YBHIST("FHLMC 30YR Cur Coup (BE)",$A55,"Yield","bmk","")</f>
        <v>2.137</v>
      </c>
      <c r="P55" s="2">
        <f>[1]!YBHIST("GNMA 30YR Cur Coup (BE)",$A55,"Yield","bmk","")</f>
        <v>2.0049999999999999</v>
      </c>
      <c r="Q55" s="2">
        <f>[1]!YBHIST("Primary 30-Yr Mtg Rate",$A55,"Yield","bmk","")</f>
        <v>3.5811999999999999</v>
      </c>
      <c r="R55" s="2">
        <f>[1]!YBHIST("FHLM 30-Yr Survey Rate",$A55,"Yield","bmk","")</f>
        <v>3.39</v>
      </c>
      <c r="S55" s="6">
        <f>[1]!YBHIST("Base Mortgage Rate",$A55,"Yield","bmk","")</f>
        <v>2.4359999999999999</v>
      </c>
      <c r="T55" s="18">
        <f>[1]!YBHIST("FNMA 30YR Cur Coup (BE)",$A55,"LMMOAS","bmk","")</f>
        <v>-18.272400000000001</v>
      </c>
      <c r="U55" s="19">
        <f>[1]!YBHIST("FHLMC 30YR Cur Coup (BE)",$A55,"LMMOAS","bmk","")</f>
        <v>-13.531700000000001</v>
      </c>
      <c r="V55" s="19">
        <f>[1]!YBHIST("GNMA 30YR Cur Coup (BE)",$A55,"LMMOAS","bmk","")</f>
        <v>-20.886101</v>
      </c>
      <c r="W55" s="20">
        <f t="shared" si="6"/>
        <v>37.20000000000001</v>
      </c>
      <c r="X55" s="20">
        <f t="shared" si="7"/>
        <v>37.20000000000001</v>
      </c>
      <c r="Y55" s="20">
        <f t="shared" si="8"/>
        <v>41.79999999999999</v>
      </c>
      <c r="Z55" s="25">
        <f>[1]!YBHIST("FNMA3.0-GEN",$A55,"Price","tba","")</f>
        <v>104.898438</v>
      </c>
      <c r="AA55" s="2">
        <f>[1]!YBHIST("FNMA3.5-GEN",$A55,"Price","tba","")</f>
        <v>106.382812</v>
      </c>
      <c r="AB55" s="2">
        <f>[1]!YBHIST("FNMA4.0-GEN",$A55,"Price","tba","")</f>
        <v>107.148438</v>
      </c>
      <c r="AC55" s="2">
        <f>[1]!YBHIST("FNMA4.5-GEN",$A55,"Price","tba","")</f>
        <v>107.90625</v>
      </c>
      <c r="AD55" s="2">
        <f>[1]!YBHIST("FNMA5.0-GEN",$A55,"Price","tba","")</f>
        <v>108.90625</v>
      </c>
      <c r="AE55" s="2">
        <f>[1]!YBHIST("FNMA5.5-GEN",$A55,"Price","tba","")</f>
        <v>109.578125</v>
      </c>
      <c r="AF55" s="6">
        <f>[1]!YBHIST("FNMA6.0-GEN",$A55,"Price","tba","")</f>
        <v>110.796875</v>
      </c>
      <c r="AG55" s="2">
        <f>[1]!YBHIST("FNMA3.0-GEN",$A55,"Yield","tba","")</f>
        <v>1.768</v>
      </c>
      <c r="AH55" s="2">
        <f>[1]!YBHIST("FNMA3.5-GEN",$A55,"Yield","tba","")</f>
        <v>1.397</v>
      </c>
      <c r="AI55" s="2">
        <f>[1]!YBHIST("FNMA4.0-GEN",$A55,"Yield","tba","")</f>
        <v>1.23</v>
      </c>
      <c r="AJ55" s="2">
        <f>[1]!YBHIST("FNMA4.5-GEN",$A55,"Yield","tba","")</f>
        <v>1.2410000000000001</v>
      </c>
      <c r="AK55" s="2">
        <f>[1]!YBHIST("FNMA5.0-GEN",$A55,"Yield","tba","")</f>
        <v>0.34100000000000003</v>
      </c>
      <c r="AL55" s="2">
        <f>[1]!YBHIST("FNMA5.5-GEN",$A55,"Yield","tba","")</f>
        <v>0.501</v>
      </c>
      <c r="AM55" s="6">
        <f>[1]!YBHIST("FNMA6.0-GEN",$A55,"Yield","tba","")</f>
        <v>-0.17399999999999999</v>
      </c>
      <c r="AN55" s="3">
        <f>[1]!YBHIST(AN$4,$A55,"Price","sec","")</f>
        <v>11.561999999999999</v>
      </c>
      <c r="AO55" s="2">
        <f>[1]!YBHIST(AO$4,$A55,"Price","sec","")</f>
        <v>13.125</v>
      </c>
      <c r="AP55" s="2">
        <f>[1]!YBHIST(AP$4,$A55,"Price","sec","")</f>
        <v>11.188000000000001</v>
      </c>
      <c r="AQ55" s="2">
        <f>[1]!YBHIST(AQ$4,$A55,"Price","sec","")</f>
        <v>14.781000000000001</v>
      </c>
      <c r="AR55" s="2">
        <f>[1]!YBHIST(AR$4,$A55,"Price","sec","")</f>
        <v>12.75</v>
      </c>
      <c r="AS55" s="2">
        <f>[1]!YBHIST(AS$4,$A55,"Price","sec","")</f>
        <v>18.733999000000001</v>
      </c>
      <c r="AT55" s="2">
        <f>[1]!YBHIST(AT$4,$A55,"Price","sec","")</f>
        <v>16.672001000000002</v>
      </c>
      <c r="AU55" s="2">
        <f>[1]!YBHIST(AU$4,$A55,"Price","sec","")</f>
        <v>11</v>
      </c>
      <c r="AV55" s="2">
        <f>[1]!YBHIST(AV$4,$A55,"Price","sec","")</f>
        <v>13.843999999999999</v>
      </c>
      <c r="AW55" s="2">
        <f>[1]!YBHIST(AW$4,$A55,"Price","sec","")</f>
        <v>13.656000000000001</v>
      </c>
      <c r="AX55" s="2">
        <f>[1]!YBHIST(AX$4,$A55,"Price","sec","")</f>
        <v>11.952999999999999</v>
      </c>
      <c r="AY55" s="2">
        <f>[1]!YBHIST(AY$4,$A55,"Price","sec","")</f>
        <v>15.561999999999999</v>
      </c>
      <c r="AZ55" s="2">
        <f>[1]!YBHIST(AZ$4,$A55,"Price","sec","")</f>
        <v>14.577999999999999</v>
      </c>
      <c r="BA55" s="2">
        <f>[1]!YBHIST(BA$4,$A55,"Price","sec","")</f>
        <v>14</v>
      </c>
      <c r="BB55" s="2">
        <f>[1]!YBHIST(BB$4,$A55,"Price","sec","")</f>
        <v>17.594000000000001</v>
      </c>
      <c r="BC55" s="2">
        <f>[1]!YBHIST(BC$4,$A55,"Price","sec","")</f>
        <v>17.452998999999998</v>
      </c>
      <c r="BD55" s="2">
        <f>[1]!YBHIST(BD$4,$A55,"Price","sec","")</f>
        <v>17.562000000000001</v>
      </c>
      <c r="BE55" s="6">
        <f>[1]!YBHIST(BE$4,$A55,"Price","sec","")</f>
        <v>18.891000999999999</v>
      </c>
      <c r="BF55" s="20">
        <f>[1]!YBHIST(BF$4,$A55,"LMMOAS","sec","")</f>
        <v>512.48150599999997</v>
      </c>
      <c r="BG55" s="20">
        <f>[1]!YBHIST(BG$4,$A55,"LMMOAS","sec","")</f>
        <v>379.240814</v>
      </c>
      <c r="BH55" s="20">
        <f>[1]!YBHIST(BH$4,$A55,"LMMOAS","sec","")</f>
        <v>376.97241200000002</v>
      </c>
      <c r="BI55" s="20">
        <f>[1]!YBHIST(BI$4,$A55,"LMMOAS","sec","")</f>
        <v>342.29260299999999</v>
      </c>
      <c r="BJ55" s="20">
        <f>[1]!YBHIST(BJ$4,$A55,"LMMOAS","sec","")</f>
        <v>315.03149400000001</v>
      </c>
      <c r="BK55" s="20">
        <f>[1]!YBHIST(BK$4,$A55,"LMMOAS","sec","")</f>
        <v>243.305801</v>
      </c>
      <c r="BL55" s="20">
        <f>[1]!YBHIST(BL$4,$A55,"LMMOAS","sec","")</f>
        <v>232.54119900000001</v>
      </c>
      <c r="BM55" s="20">
        <f>[1]!YBHIST(BM$4,$A55,"LMMOAS","sec","")</f>
        <v>42.928500999999997</v>
      </c>
      <c r="BN55" s="20">
        <f>[1]!YBHIST(BN$4,$A55,"LMMOAS","sec","")</f>
        <v>123.159599</v>
      </c>
      <c r="BO55" s="20">
        <f>[1]!YBHIST(BO$4,$A55,"LMMOAS","sec","")</f>
        <v>301.62020899999999</v>
      </c>
      <c r="BP55" s="20">
        <f>[1]!YBHIST(BP$4,$A55,"LMMOAS","sec","")</f>
        <v>250.79589799999999</v>
      </c>
      <c r="BQ55" s="20">
        <f>[1]!YBHIST(BQ$4,$A55,"LMMOAS","sec","")</f>
        <v>426.52200299999998</v>
      </c>
      <c r="BR55" s="20">
        <f>[1]!YBHIST(BR$4,$A55,"LMMOAS","sec","")</f>
        <v>625.03790300000003</v>
      </c>
      <c r="BS55" s="20">
        <f>[1]!YBHIST(BS$4,$A55,"LMMOAS","sec","")</f>
        <v>259.40100100000001</v>
      </c>
      <c r="BT55" s="20">
        <f>[1]!YBHIST(BT$4,$A55,"LMMOAS","sec","")</f>
        <v>355.623108</v>
      </c>
      <c r="BU55" s="20">
        <f>[1]!YBHIST(BU$4,$A55,"LMMOAS","sec","")</f>
        <v>188.88679500000001</v>
      </c>
      <c r="BV55" s="20">
        <f>[1]!YBHIST(BV$4,$A55,"LMMOAS","sec","")</f>
        <v>253.949905</v>
      </c>
      <c r="BW55" s="20">
        <f>[1]!YBHIST(BW$4,$A55,"LMMOAS","sec","")</f>
        <v>210.08109999999999</v>
      </c>
      <c r="BX55" s="5"/>
      <c r="BY55" s="1"/>
      <c r="BZ55" s="1"/>
    </row>
    <row r="56" spans="1:78" x14ac:dyDescent="0.25">
      <c r="A56" s="14">
        <f>[1]!YBWORKDAY(A$26,-1*(ROW()-ROW(A$26)),"USD","")</f>
        <v>41197</v>
      </c>
      <c r="B56" s="3">
        <f>[1]!YBHIST("2 Year Treasury",$A56,"Price","govt","")</f>
        <v>99.984001000000006</v>
      </c>
      <c r="C56" s="2">
        <f>[1]!YBHIST("5 Year Treasury",$A56,"Price","govt","")</f>
        <v>99.828002999999995</v>
      </c>
      <c r="D56" s="2">
        <f>[1]!YBHIST("10 Year Treasury",$A56,"Price","govt","")</f>
        <v>99.655997999999997</v>
      </c>
      <c r="E56" s="6">
        <f>[1]!YBHIST("30 Year Treasury",$A56,"Price","govt","")</f>
        <v>98.125</v>
      </c>
      <c r="F56" s="3">
        <f>[1]!YBHIST("2 Year Treasury",$A56,"YldtoMat","govt","")</f>
        <v>0.25800000000000001</v>
      </c>
      <c r="G56" s="2">
        <f>[1]!YBHIST("5 Year Treasury",$A56,"YldtoMat","govt","")</f>
        <v>0.66</v>
      </c>
      <c r="H56" s="2">
        <f>[1]!YBHIST("10 Year Treasury",$A56,"YldtoMat","govt","")</f>
        <v>1.663</v>
      </c>
      <c r="I56" s="6">
        <f>[1]!YBHIST("30 Year Treasury",$A56,"YldtoMat","govt","")</f>
        <v>2.8439999999999999</v>
      </c>
      <c r="J56" s="3">
        <f>[1]!YBHIST("2yr Swap Rate",$A56,"YldtoMat","swapvol","")</f>
        <v>0.37085299999999999</v>
      </c>
      <c r="K56" s="2">
        <f>[1]!YBHIST("5yr Swap Rate",$A56,"YldtoMat","swapvol","")</f>
        <v>0.79359299999999999</v>
      </c>
      <c r="L56" s="2">
        <f>[1]!YBHIST("10yr Swap Rate",$A56,"YldtoMat","swapvol","")</f>
        <v>1.7166319999999999</v>
      </c>
      <c r="M56" s="6">
        <f>[1]!YBHIST("30yr Swap Rate",$A56,"YldtoMat","swapvol","")</f>
        <v>2.6180110000000001</v>
      </c>
      <c r="N56" s="3">
        <f>[1]!YBHIST("FNMA 30YR Cur Coup (BE)",$A56,"Yield","bmk","")</f>
        <v>2.0430000000000001</v>
      </c>
      <c r="O56" s="2">
        <f>[1]!YBHIST("FHLMC 30YR Cur Coup (BE)",$A56,"Yield","bmk","")</f>
        <v>2.089</v>
      </c>
      <c r="P56" s="2">
        <f>[1]!YBHIST("GNMA 30YR Cur Coup (BE)",$A56,"Yield","bmk","")</f>
        <v>1.9570000000000001</v>
      </c>
      <c r="Q56" s="2">
        <f>[1]!YBHIST("Primary 30-Yr Mtg Rate",$A56,"Yield","bmk","")</f>
        <v>3.5346000000000002</v>
      </c>
      <c r="R56" s="2">
        <f>[1]!YBHIST("FHLM 30-Yr Survey Rate",$A56,"Yield","bmk","")</f>
        <v>3.39</v>
      </c>
      <c r="S56" s="6">
        <f>[1]!YBHIST("Base Mortgage Rate",$A56,"Yield","bmk","")</f>
        <v>2.3889999999999998</v>
      </c>
      <c r="T56" s="18">
        <f>[1]!YBHIST("FNMA 30YR Cur Coup (BE)",$A56,"LMMOAS","bmk","")</f>
        <v>-18.845300999999999</v>
      </c>
      <c r="U56" s="19">
        <f>[1]!YBHIST("FHLMC 30YR Cur Coup (BE)",$A56,"LMMOAS","bmk","")</f>
        <v>-14.1965</v>
      </c>
      <c r="V56" s="19">
        <f>[1]!YBHIST("GNMA 30YR Cur Coup (BE)",$A56,"LMMOAS","bmk","")</f>
        <v>-17.177401</v>
      </c>
      <c r="W56" s="20">
        <f t="shared" si="6"/>
        <v>38.000000000000014</v>
      </c>
      <c r="X56" s="20">
        <f t="shared" si="7"/>
        <v>38.000000000000014</v>
      </c>
      <c r="Y56" s="20">
        <f t="shared" si="8"/>
        <v>42.599999999999994</v>
      </c>
      <c r="Z56" s="25">
        <f>[1]!YBHIST("FNMA3.0-GEN",$A56,"Price","tba","")</f>
        <v>105.109375</v>
      </c>
      <c r="AA56" s="2">
        <f>[1]!YBHIST("FNMA3.5-GEN",$A56,"Price","tba","")</f>
        <v>106.523438</v>
      </c>
      <c r="AB56" s="2">
        <f>[1]!YBHIST("FNMA4.0-GEN",$A56,"Price","tba","")</f>
        <v>107.21875</v>
      </c>
      <c r="AC56" s="2">
        <f>[1]!YBHIST("FNMA4.5-GEN",$A56,"Price","tba","")</f>
        <v>107.898438</v>
      </c>
      <c r="AD56" s="2">
        <f>[1]!YBHIST("FNMA5.0-GEN",$A56,"Price","tba","")</f>
        <v>108.890625</v>
      </c>
      <c r="AE56" s="2">
        <f>[1]!YBHIST("FNMA5.5-GEN",$A56,"Price","tba","")</f>
        <v>109.546875</v>
      </c>
      <c r="AF56" s="6">
        <f>[1]!YBHIST("FNMA6.0-GEN",$A56,"Price","tba","")</f>
        <v>110.65625</v>
      </c>
      <c r="AG56" s="2">
        <f>[1]!YBHIST("FNMA3.0-GEN",$A56,"Yield","tba","")</f>
        <v>1.669</v>
      </c>
      <c r="AH56" s="2">
        <f>[1]!YBHIST("FNMA3.5-GEN",$A56,"Yield","tba","")</f>
        <v>1.286</v>
      </c>
      <c r="AI56" s="2">
        <f>[1]!YBHIST("FNMA4.0-GEN",$A56,"Yield","tba","")</f>
        <v>1.135</v>
      </c>
      <c r="AJ56" s="2">
        <f>[1]!YBHIST("FNMA4.5-GEN",$A56,"Yield","tba","")</f>
        <v>1.1819999999999999</v>
      </c>
      <c r="AK56" s="2">
        <f>[1]!YBHIST("FNMA5.0-GEN",$A56,"Yield","tba","")</f>
        <v>0.29099999999999998</v>
      </c>
      <c r="AL56" s="2">
        <f>[1]!YBHIST("FNMA5.5-GEN",$A56,"Yield","tba","")</f>
        <v>0.47299999999999998</v>
      </c>
      <c r="AM56" s="6">
        <f>[1]!YBHIST("FNMA6.0-GEN",$A56,"Yield","tba","")</f>
        <v>-0.14000000000000001</v>
      </c>
      <c r="AN56" s="3">
        <f>[1]!YBHIST(AN$4,$A56,"Price","sec","")</f>
        <v>11.375</v>
      </c>
      <c r="AO56" s="2">
        <f>[1]!YBHIST(AO$4,$A56,"Price","sec","")</f>
        <v>12.968999999999999</v>
      </c>
      <c r="AP56" s="2">
        <f>[1]!YBHIST(AP$4,$A56,"Price","sec","")</f>
        <v>11.031000000000001</v>
      </c>
      <c r="AQ56" s="2">
        <f>[1]!YBHIST(AQ$4,$A56,"Price","sec","")</f>
        <v>14.609</v>
      </c>
      <c r="AR56" s="2">
        <f>[1]!YBHIST(AR$4,$A56,"Price","sec","")</f>
        <v>12.593999999999999</v>
      </c>
      <c r="AS56" s="2">
        <f>[1]!YBHIST(AS$4,$A56,"Price","sec","")</f>
        <v>18.625</v>
      </c>
      <c r="AT56" s="2">
        <f>[1]!YBHIST(AT$4,$A56,"Price","sec","")</f>
        <v>16.562000000000001</v>
      </c>
      <c r="AU56" s="2">
        <f>[1]!YBHIST(AU$4,$A56,"Price","sec","")</f>
        <v>10.906000000000001</v>
      </c>
      <c r="AV56" s="2">
        <f>[1]!YBHIST(AV$4,$A56,"Price","sec","")</f>
        <v>13.734</v>
      </c>
      <c r="AW56" s="2">
        <f>[1]!YBHIST(AW$4,$A56,"Price","sec","")</f>
        <v>13.547000000000001</v>
      </c>
      <c r="AX56" s="2">
        <f>[1]!YBHIST(AX$4,$A56,"Price","sec","")</f>
        <v>11.875</v>
      </c>
      <c r="AY56" s="2">
        <f>[1]!YBHIST(AY$4,$A56,"Price","sec","")</f>
        <v>15.484</v>
      </c>
      <c r="AZ56" s="2">
        <f>[1]!YBHIST(AZ$4,$A56,"Price","sec","")</f>
        <v>14.516</v>
      </c>
      <c r="BA56" s="2">
        <f>[1]!YBHIST(BA$4,$A56,"Price","sec","")</f>
        <v>13.952999999999999</v>
      </c>
      <c r="BB56" s="2">
        <f>[1]!YBHIST(BB$4,$A56,"Price","sec","")</f>
        <v>17.577998999999998</v>
      </c>
      <c r="BC56" s="2">
        <f>[1]!YBHIST(BC$4,$A56,"Price","sec","")</f>
        <v>17.297001000000002</v>
      </c>
      <c r="BD56" s="2">
        <f>[1]!YBHIST(BD$4,$A56,"Price","sec","")</f>
        <v>17.375</v>
      </c>
      <c r="BE56" s="6">
        <f>[1]!YBHIST(BE$4,$A56,"Price","sec","")</f>
        <v>18.733999000000001</v>
      </c>
      <c r="BF56" s="20">
        <f>[1]!YBHIST(BF$4,$A56,"LMMOAS","sec","")</f>
        <v>473.06759599999998</v>
      </c>
      <c r="BG56" s="20">
        <f>[1]!YBHIST(BG$4,$A56,"LMMOAS","sec","")</f>
        <v>335.683289</v>
      </c>
      <c r="BH56" s="20">
        <f>[1]!YBHIST(BH$4,$A56,"LMMOAS","sec","")</f>
        <v>335.74371300000001</v>
      </c>
      <c r="BI56" s="20">
        <f>[1]!YBHIST(BI$4,$A56,"LMMOAS","sec","")</f>
        <v>305.58551</v>
      </c>
      <c r="BJ56" s="20">
        <f>[1]!YBHIST(BJ$4,$A56,"LMMOAS","sec","")</f>
        <v>278.14318800000001</v>
      </c>
      <c r="BK56" s="20">
        <f>[1]!YBHIST(BK$4,$A56,"LMMOAS","sec","")</f>
        <v>211.10600299999999</v>
      </c>
      <c r="BL56" s="20">
        <f>[1]!YBHIST(BL$4,$A56,"LMMOAS","sec","")</f>
        <v>195.49479700000001</v>
      </c>
      <c r="BM56" s="20">
        <f>[1]!YBHIST(BM$4,$A56,"LMMOAS","sec","")</f>
        <v>5.4141000000000004</v>
      </c>
      <c r="BN56" s="20">
        <f>[1]!YBHIST(BN$4,$A56,"LMMOAS","sec","")</f>
        <v>98.420197000000002</v>
      </c>
      <c r="BO56" s="20">
        <f>[1]!YBHIST(BO$4,$A56,"LMMOAS","sec","")</f>
        <v>285.45541400000002</v>
      </c>
      <c r="BP56" s="20">
        <f>[1]!YBHIST(BP$4,$A56,"LMMOAS","sec","")</f>
        <v>216.74130199999999</v>
      </c>
      <c r="BQ56" s="20">
        <f>[1]!YBHIST(BQ$4,$A56,"LMMOAS","sec","")</f>
        <v>404.25531000000001</v>
      </c>
      <c r="BR56" s="20">
        <f>[1]!YBHIST(BR$4,$A56,"LMMOAS","sec","")</f>
        <v>605.73870799999997</v>
      </c>
      <c r="BS56" s="20">
        <f>[1]!YBHIST(BS$4,$A56,"LMMOAS","sec","")</f>
        <v>226.83230599999999</v>
      </c>
      <c r="BT56" s="20">
        <f>[1]!YBHIST(BT$4,$A56,"LMMOAS","sec","")</f>
        <v>331.337402</v>
      </c>
      <c r="BU56" s="20">
        <f>[1]!YBHIST(BU$4,$A56,"LMMOAS","sec","")</f>
        <v>149.443298</v>
      </c>
      <c r="BV56" s="20">
        <f>[1]!YBHIST(BV$4,$A56,"LMMOAS","sec","")</f>
        <v>222.933594</v>
      </c>
      <c r="BW56" s="20">
        <f>[1]!YBHIST(BW$4,$A56,"LMMOAS","sec","")</f>
        <v>181.56419399999999</v>
      </c>
      <c r="BX56" s="5"/>
      <c r="BY56" s="1"/>
      <c r="BZ56" s="1"/>
    </row>
    <row r="57" spans="1:78" x14ac:dyDescent="0.25">
      <c r="A57" s="14">
        <f>[1]!YBWORKDAY(A$26,-1*(ROW()-ROW(A$26)),"USD","")</f>
        <v>41194</v>
      </c>
      <c r="B57" s="3">
        <f>[1]!YBHIST("2 Year Treasury",$A57,"Price","govt","")</f>
        <v>99.976996999999997</v>
      </c>
      <c r="C57" s="2">
        <f>[1]!YBHIST("5 Year Treasury",$A57,"Price","govt","")</f>
        <v>99.82</v>
      </c>
      <c r="D57" s="2">
        <f>[1]!YBHIST("10 Year Treasury",$A57,"Price","govt","")</f>
        <v>99.671997000000005</v>
      </c>
      <c r="E57" s="6">
        <f>[1]!YBHIST("30 Year Treasury",$A57,"Price","govt","")</f>
        <v>98.296997000000005</v>
      </c>
      <c r="F57" s="3">
        <f>[1]!YBHIST("2 Year Treasury",$A57,"YldtoMat","govt","")</f>
        <v>0.26200000000000001</v>
      </c>
      <c r="G57" s="2">
        <f>[1]!YBHIST("5 Year Treasury",$A57,"YldtoMat","govt","")</f>
        <v>0.66200000000000003</v>
      </c>
      <c r="H57" s="2">
        <f>[1]!YBHIST("10 Year Treasury",$A57,"YldtoMat","govt","")</f>
        <v>1.661</v>
      </c>
      <c r="I57" s="6">
        <f>[1]!YBHIST("30 Year Treasury",$A57,"YldtoMat","govt","")</f>
        <v>2.835</v>
      </c>
      <c r="J57" s="3">
        <f>[1]!YBHIST("2yr Swap Rate",$A57,"YldtoMat","swapvol","")</f>
        <v>0.37784200000000001</v>
      </c>
      <c r="K57" s="2">
        <f>[1]!YBHIST("5yr Swap Rate",$A57,"YldtoMat","swapvol","")</f>
        <v>0.793431</v>
      </c>
      <c r="L57" s="2">
        <f>[1]!YBHIST("10yr Swap Rate",$A57,"YldtoMat","swapvol","")</f>
        <v>1.712853</v>
      </c>
      <c r="M57" s="6">
        <f>[1]!YBHIST("30yr Swap Rate",$A57,"YldtoMat","swapvol","")</f>
        <v>2.6086680000000002</v>
      </c>
      <c r="N57" s="3">
        <f>[1]!YBHIST("FNMA 30YR Cur Coup (BE)",$A57,"Yield","bmk","")</f>
        <v>2.0129999999999999</v>
      </c>
      <c r="O57" s="2">
        <f>[1]!YBHIST("FHLMC 30YR Cur Coup (BE)",$A57,"Yield","bmk","")</f>
        <v>2.0590000000000002</v>
      </c>
      <c r="P57" s="2">
        <f>[1]!YBHIST("GNMA 30YR Cur Coup (BE)",$A57,"Yield","bmk","")</f>
        <v>1.927</v>
      </c>
      <c r="Q57" s="2">
        <f>[1]!YBHIST("Primary 30-Yr Mtg Rate",$A57,"Yield","bmk","")</f>
        <v>3.504</v>
      </c>
      <c r="R57" s="2">
        <f>[1]!YBHIST("FHLM 30-Yr Survey Rate",$A57,"Yield","bmk","")</f>
        <v>3.39</v>
      </c>
      <c r="S57" s="6">
        <f>[1]!YBHIST("Base Mortgage Rate",$A57,"Yield","bmk","")</f>
        <v>2.359</v>
      </c>
      <c r="T57" s="18">
        <f>[1]!YBHIST("FNMA 30YR Cur Coup (BE)",$A57,"LMMOAS","bmk","")</f>
        <v>-20.806601000000001</v>
      </c>
      <c r="U57" s="19">
        <f>[1]!YBHIST("FHLMC 30YR Cur Coup (BE)",$A57,"LMMOAS","bmk","")</f>
        <v>-16.2057</v>
      </c>
      <c r="V57" s="19">
        <f>[1]!YBHIST("GNMA 30YR Cur Coup (BE)",$A57,"LMMOAS","bmk","")</f>
        <v>-16.827998999999998</v>
      </c>
      <c r="W57" s="20">
        <f t="shared" si="6"/>
        <v>35.199999999999989</v>
      </c>
      <c r="X57" s="20">
        <f t="shared" si="7"/>
        <v>35.199999999999989</v>
      </c>
      <c r="Y57" s="20">
        <f t="shared" si="8"/>
        <v>39.800000000000011</v>
      </c>
      <c r="Z57" s="25">
        <f>[1]!YBHIST("FNMA3.0-GEN",$A57,"Price","tba","")</f>
        <v>105.21875</v>
      </c>
      <c r="AA57" s="2">
        <f>[1]!YBHIST("FNMA3.5-GEN",$A57,"Price","tba","")</f>
        <v>106.59375</v>
      </c>
      <c r="AB57" s="2">
        <f>[1]!YBHIST("FNMA4.0-GEN",$A57,"Price","tba","")</f>
        <v>107.28125</v>
      </c>
      <c r="AC57" s="2">
        <f>[1]!YBHIST("FNMA4.5-GEN",$A57,"Price","tba","")</f>
        <v>107.984375</v>
      </c>
      <c r="AD57" s="2">
        <f>[1]!YBHIST("FNMA5.0-GEN",$A57,"Price","tba","")</f>
        <v>108.960938</v>
      </c>
      <c r="AE57" s="2">
        <f>[1]!YBHIST("FNMA5.5-GEN",$A57,"Price","tba","")</f>
        <v>109.546875</v>
      </c>
      <c r="AF57" s="6">
        <f>[1]!YBHIST("FNMA6.0-GEN",$A57,"Price","tba","")</f>
        <v>110.625</v>
      </c>
      <c r="AG57" s="2">
        <f>[1]!YBHIST("FNMA3.0-GEN",$A57,"Yield","tba","")</f>
        <v>1.613</v>
      </c>
      <c r="AH57" s="2">
        <f>[1]!YBHIST("FNMA3.5-GEN",$A57,"Yield","tba","")</f>
        <v>1.2270000000000001</v>
      </c>
      <c r="AI57" s="2">
        <f>[1]!YBHIST("FNMA4.0-GEN",$A57,"Yield","tba","")</f>
        <v>1.0740000000000001</v>
      </c>
      <c r="AJ57" s="2">
        <f>[1]!YBHIST("FNMA4.5-GEN",$A57,"Yield","tba","")</f>
        <v>1.117</v>
      </c>
      <c r="AK57" s="2">
        <f>[1]!YBHIST("FNMA5.0-GEN",$A57,"Yield","tba","")</f>
        <v>0.22900000000000001</v>
      </c>
      <c r="AL57" s="2">
        <f>[1]!YBHIST("FNMA5.5-GEN",$A57,"Yield","tba","")</f>
        <v>0.45200000000000001</v>
      </c>
      <c r="AM57" s="6">
        <f>[1]!YBHIST("FNMA6.0-GEN",$A57,"Yield","tba","")</f>
        <v>-0.14299999999999999</v>
      </c>
      <c r="AN57" s="3">
        <f>[1]!YBHIST(AN$4,$A57,"Price","sec","")</f>
        <v>11.266</v>
      </c>
      <c r="AO57" s="2">
        <f>[1]!YBHIST(AO$4,$A57,"Price","sec","")</f>
        <v>12.827999999999999</v>
      </c>
      <c r="AP57" s="2">
        <f>[1]!YBHIST(AP$4,$A57,"Price","sec","")</f>
        <v>10.922000000000001</v>
      </c>
      <c r="AQ57" s="2">
        <f>[1]!YBHIST(AQ$4,$A57,"Price","sec","")</f>
        <v>14.452999999999999</v>
      </c>
      <c r="AR57" s="2">
        <f>[1]!YBHIST(AR$4,$A57,"Price","sec","")</f>
        <v>12.452999999999999</v>
      </c>
      <c r="AS57" s="2">
        <f>[1]!YBHIST(AS$4,$A57,"Price","sec","")</f>
        <v>18.530999999999999</v>
      </c>
      <c r="AT57" s="2">
        <f>[1]!YBHIST(AT$4,$A57,"Price","sec","")</f>
        <v>16.483999000000001</v>
      </c>
      <c r="AU57" s="2">
        <f>[1]!YBHIST(AU$4,$A57,"Price","sec","")</f>
        <v>10.843999999999999</v>
      </c>
      <c r="AV57" s="2">
        <f>[1]!YBHIST(AV$4,$A57,"Price","sec","")</f>
        <v>13.672000000000001</v>
      </c>
      <c r="AW57" s="2">
        <f>[1]!YBHIST(AW$4,$A57,"Price","sec","")</f>
        <v>13.484</v>
      </c>
      <c r="AX57" s="2">
        <f>[1]!YBHIST(AX$4,$A57,"Price","sec","")</f>
        <v>11.797000000000001</v>
      </c>
      <c r="AY57" s="2">
        <f>[1]!YBHIST(AY$4,$A57,"Price","sec","")</f>
        <v>15.438000000000001</v>
      </c>
      <c r="AZ57" s="2">
        <f>[1]!YBHIST(AZ$4,$A57,"Price","sec","")</f>
        <v>14.468999999999999</v>
      </c>
      <c r="BA57" s="2">
        <f>[1]!YBHIST(BA$4,$A57,"Price","sec","")</f>
        <v>13.922000000000001</v>
      </c>
      <c r="BB57" s="2">
        <f>[1]!YBHIST(BB$4,$A57,"Price","sec","")</f>
        <v>17.562000000000001</v>
      </c>
      <c r="BC57" s="2">
        <f>[1]!YBHIST(BC$4,$A57,"Price","sec","")</f>
        <v>17.233999000000001</v>
      </c>
      <c r="BD57" s="2">
        <f>[1]!YBHIST(BD$4,$A57,"Price","sec","")</f>
        <v>17.233999000000001</v>
      </c>
      <c r="BE57" s="6">
        <f>[1]!YBHIST(BE$4,$A57,"Price","sec","")</f>
        <v>18.625</v>
      </c>
      <c r="BF57" s="20">
        <f>[1]!YBHIST(BF$4,$A57,"LMMOAS","sec","")</f>
        <v>457.56658900000002</v>
      </c>
      <c r="BG57" s="20">
        <f>[1]!YBHIST(BG$4,$A57,"LMMOAS","sec","")</f>
        <v>327.59368899999998</v>
      </c>
      <c r="BH57" s="20">
        <f>[1]!YBHIST(BH$4,$A57,"LMMOAS","sec","")</f>
        <v>324.45419299999998</v>
      </c>
      <c r="BI57" s="20">
        <f>[1]!YBHIST(BI$4,$A57,"LMMOAS","sec","")</f>
        <v>301.48199499999998</v>
      </c>
      <c r="BJ57" s="20">
        <f>[1]!YBHIST(BJ$4,$A57,"LMMOAS","sec","")</f>
        <v>275.91790800000001</v>
      </c>
      <c r="BK57" s="20">
        <f>[1]!YBHIST(BK$4,$A57,"LMMOAS","sec","")</f>
        <v>200.75129699999999</v>
      </c>
      <c r="BL57" s="20">
        <f>[1]!YBHIST(BL$4,$A57,"LMMOAS","sec","")</f>
        <v>182.73109400000001</v>
      </c>
      <c r="BM57" s="20">
        <f>[1]!YBHIST(BM$4,$A57,"LMMOAS","sec","")</f>
        <v>-7.4123000000000001</v>
      </c>
      <c r="BN57" s="20">
        <f>[1]!YBHIST(BN$4,$A57,"LMMOAS","sec","")</f>
        <v>88.238502999999994</v>
      </c>
      <c r="BO57" s="20">
        <f>[1]!YBHIST(BO$4,$A57,"LMMOAS","sec","")</f>
        <v>280.61450200000002</v>
      </c>
      <c r="BP57" s="20">
        <f>[1]!YBHIST(BP$4,$A57,"LMMOAS","sec","")</f>
        <v>212.35000600000001</v>
      </c>
      <c r="BQ57" s="20">
        <f>[1]!YBHIST(BQ$4,$A57,"LMMOAS","sec","")</f>
        <v>394.75820900000002</v>
      </c>
      <c r="BR57" s="20">
        <f>[1]!YBHIST(BR$4,$A57,"LMMOAS","sec","")</f>
        <v>601.03668200000004</v>
      </c>
      <c r="BS57" s="20">
        <f>[1]!YBHIST(BS$4,$A57,"LMMOAS","sec","")</f>
        <v>213.23199500000001</v>
      </c>
      <c r="BT57" s="20">
        <f>[1]!YBHIST(BT$4,$A57,"LMMOAS","sec","")</f>
        <v>320.93160999999998</v>
      </c>
      <c r="BU57" s="20">
        <f>[1]!YBHIST(BU$4,$A57,"LMMOAS","sec","")</f>
        <v>128.06590299999999</v>
      </c>
      <c r="BV57" s="20">
        <f>[1]!YBHIST(BV$4,$A57,"LMMOAS","sec","")</f>
        <v>214.58729600000001</v>
      </c>
      <c r="BW57" s="20">
        <f>[1]!YBHIST(BW$4,$A57,"LMMOAS","sec","")</f>
        <v>172.39819299999999</v>
      </c>
      <c r="BX57" s="5"/>
      <c r="BY57" s="1"/>
      <c r="BZ57" s="1"/>
    </row>
    <row r="58" spans="1:78" x14ac:dyDescent="0.25">
      <c r="A58" s="14">
        <f>[1]!YBWORKDAY(A$26,-1*(ROW()-ROW(A$26)),"USD","")</f>
        <v>41193</v>
      </c>
      <c r="B58" s="3">
        <f>[1]!YBHIST("2 Year Treasury",$A58,"Price","govt","")</f>
        <v>99.969002000000003</v>
      </c>
      <c r="C58" s="2">
        <f>[1]!YBHIST("5 Year Treasury",$A58,"Price","govt","")</f>
        <v>99.813004000000006</v>
      </c>
      <c r="D58" s="2">
        <f>[1]!YBHIST("10 Year Treasury",$A58,"Price","govt","")</f>
        <v>99.546997000000005</v>
      </c>
      <c r="E58" s="6">
        <f>[1]!YBHIST("30 Year Treasury",$A58,"Price","govt","")</f>
        <v>97.938004000000006</v>
      </c>
      <c r="F58" s="3">
        <f>[1]!YBHIST("2 Year Treasury",$A58,"YldtoMat","govt","")</f>
        <v>0.26600000000000001</v>
      </c>
      <c r="G58" s="2">
        <f>[1]!YBHIST("5 Year Treasury",$A58,"YldtoMat","govt","")</f>
        <v>0.66300000000000003</v>
      </c>
      <c r="H58" s="2">
        <f>[1]!YBHIST("10 Year Treasury",$A58,"YldtoMat","govt","")</f>
        <v>1.675</v>
      </c>
      <c r="I58" s="6">
        <f>[1]!YBHIST("30 Year Treasury",$A58,"YldtoMat","govt","")</f>
        <v>2.8530000000000002</v>
      </c>
      <c r="J58" s="3">
        <f>[1]!YBHIST("2yr Swap Rate",$A58,"YldtoMat","swapvol","")</f>
        <v>0.38549</v>
      </c>
      <c r="K58" s="2">
        <f>[1]!YBHIST("5yr Swap Rate",$A58,"YldtoMat","swapvol","")</f>
        <v>0.78953499999999999</v>
      </c>
      <c r="L58" s="2">
        <f>[1]!YBHIST("10yr Swap Rate",$A58,"YldtoMat","swapvol","")</f>
        <v>1.7163219999999999</v>
      </c>
      <c r="M58" s="6">
        <f>[1]!YBHIST("30yr Swap Rate",$A58,"YldtoMat","swapvol","")</f>
        <v>2.6193339999999998</v>
      </c>
      <c r="N58" s="3">
        <f>[1]!YBHIST("FNMA 30YR Cur Coup (BE)",$A58,"Yield","bmk","")</f>
        <v>2.0710000000000002</v>
      </c>
      <c r="O58" s="2">
        <f>[1]!YBHIST("FHLMC 30YR Cur Coup (BE)",$A58,"Yield","bmk","")</f>
        <v>2.117</v>
      </c>
      <c r="P58" s="2">
        <f>[1]!YBHIST("GNMA 30YR Cur Coup (BE)",$A58,"Yield","bmk","")</f>
        <v>1.9850000000000001</v>
      </c>
      <c r="Q58" s="2">
        <f>[1]!YBHIST("Primary 30-Yr Mtg Rate",$A58,"Yield","bmk","")</f>
        <v>3.5427</v>
      </c>
      <c r="R58" s="2">
        <f>[1]!YBHIST("FHLM 30-Yr Survey Rate",$A58,"Yield","bmk","")</f>
        <v>3.39</v>
      </c>
      <c r="S58" s="6">
        <f>[1]!YBHIST("Base Mortgage Rate",$A58,"Yield","bmk","")</f>
        <v>2.3969999999999998</v>
      </c>
      <c r="T58" s="18">
        <f>[1]!YBHIST("FNMA 30YR Cur Coup (BE)",$A58,"LMMOAS","bmk","")</f>
        <v>-20.741800000000001</v>
      </c>
      <c r="U58" s="19">
        <f>[1]!YBHIST("FHLMC 30YR Cur Coup (BE)",$A58,"LMMOAS","bmk","")</f>
        <v>-16.062598999999999</v>
      </c>
      <c r="V58" s="19">
        <f>[1]!YBHIST("GNMA 30YR Cur Coup (BE)",$A58,"LMMOAS","bmk","")</f>
        <v>-17.058700999999999</v>
      </c>
      <c r="W58" s="20">
        <f t="shared" si="6"/>
        <v>39.600000000000016</v>
      </c>
      <c r="X58" s="20">
        <f t="shared" si="7"/>
        <v>39.600000000000016</v>
      </c>
      <c r="Y58" s="20">
        <f t="shared" si="8"/>
        <v>44.199999999999996</v>
      </c>
      <c r="Z58" s="25">
        <f>[1]!YBHIST("FNMA3.0-GEN",$A58,"Price","tba","")</f>
        <v>105.25</v>
      </c>
      <c r="AA58" s="2">
        <f>[1]!YBHIST("FNMA3.5-GEN",$A58,"Price","tba","")</f>
        <v>106.625</v>
      </c>
      <c r="AB58" s="2">
        <f>[1]!YBHIST("FNMA4.0-GEN",$A58,"Price","tba","")</f>
        <v>107.28125</v>
      </c>
      <c r="AC58" s="2">
        <f>[1]!YBHIST("FNMA4.5-GEN",$A58,"Price","tba","")</f>
        <v>108.023438</v>
      </c>
      <c r="AD58" s="2">
        <f>[1]!YBHIST("FNMA5.0-GEN",$A58,"Price","tba","")</f>
        <v>108.960938</v>
      </c>
      <c r="AE58" s="2">
        <f>[1]!YBHIST("FNMA5.5-GEN",$A58,"Price","tba","")</f>
        <v>109.539062</v>
      </c>
      <c r="AF58" s="6">
        <f>[1]!YBHIST("FNMA6.0-GEN",$A58,"Price","tba","")</f>
        <v>110.53125</v>
      </c>
      <c r="AG58" s="2">
        <f>[1]!YBHIST("FNMA3.0-GEN",$A58,"Yield","tba","")</f>
        <v>1.6439999999999999</v>
      </c>
      <c r="AH58" s="2">
        <f>[1]!YBHIST("FNMA3.5-GEN",$A58,"Yield","tba","")</f>
        <v>1.266</v>
      </c>
      <c r="AI58" s="2">
        <f>[1]!YBHIST("FNMA4.0-GEN",$A58,"Yield","tba","")</f>
        <v>1.1240000000000001</v>
      </c>
      <c r="AJ58" s="2">
        <f>[1]!YBHIST("FNMA4.5-GEN",$A58,"Yield","tba","")</f>
        <v>1.145</v>
      </c>
      <c r="AK58" s="2">
        <f>[1]!YBHIST("FNMA5.0-GEN",$A58,"Yield","tba","")</f>
        <v>0.26700000000000002</v>
      </c>
      <c r="AL58" s="2">
        <f>[1]!YBHIST("FNMA5.5-GEN",$A58,"Yield","tba","")</f>
        <v>0.48299999999999998</v>
      </c>
      <c r="AM58" s="6">
        <f>[1]!YBHIST("FNMA6.0-GEN",$A58,"Yield","tba","")</f>
        <v>-7.2999999999999995E-2</v>
      </c>
      <c r="AN58" s="3">
        <f>[1]!YBHIST(AN$4,$A58,"Price","sec","")</f>
        <v>11.25</v>
      </c>
      <c r="AO58" s="2">
        <f>[1]!YBHIST(AO$4,$A58,"Price","sec","")</f>
        <v>12.734</v>
      </c>
      <c r="AP58" s="2">
        <f>[1]!YBHIST(AP$4,$A58,"Price","sec","")</f>
        <v>10.891</v>
      </c>
      <c r="AQ58" s="2">
        <f>[1]!YBHIST(AQ$4,$A58,"Price","sec","")</f>
        <v>14.375</v>
      </c>
      <c r="AR58" s="2">
        <f>[1]!YBHIST(AR$4,$A58,"Price","sec","")</f>
        <v>12.391</v>
      </c>
      <c r="AS58" s="2">
        <f>[1]!YBHIST(AS$4,$A58,"Price","sec","")</f>
        <v>18.5</v>
      </c>
      <c r="AT58" s="2">
        <f>[1]!YBHIST(AT$4,$A58,"Price","sec","")</f>
        <v>16.469000000000001</v>
      </c>
      <c r="AU58" s="2">
        <f>[1]!YBHIST(AU$4,$A58,"Price","sec","")</f>
        <v>10.827999999999999</v>
      </c>
      <c r="AV58" s="2">
        <f>[1]!YBHIST(AV$4,$A58,"Price","sec","")</f>
        <v>13.672000000000001</v>
      </c>
      <c r="AW58" s="2">
        <f>[1]!YBHIST(AW$4,$A58,"Price","sec","")</f>
        <v>13.484</v>
      </c>
      <c r="AX58" s="2">
        <f>[1]!YBHIST(AX$4,$A58,"Price","sec","")</f>
        <v>11.797000000000001</v>
      </c>
      <c r="AY58" s="2">
        <f>[1]!YBHIST(AY$4,$A58,"Price","sec","")</f>
        <v>15.422000000000001</v>
      </c>
      <c r="AZ58" s="2">
        <f>[1]!YBHIST(AZ$4,$A58,"Price","sec","")</f>
        <v>14.452999999999999</v>
      </c>
      <c r="BA58" s="2">
        <f>[1]!YBHIST(BA$4,$A58,"Price","sec","")</f>
        <v>13.922000000000001</v>
      </c>
      <c r="BB58" s="2">
        <f>[1]!YBHIST(BB$4,$A58,"Price","sec","")</f>
        <v>17.625</v>
      </c>
      <c r="BC58" s="2">
        <f>[1]!YBHIST(BC$4,$A58,"Price","sec","")</f>
        <v>17.25</v>
      </c>
      <c r="BD58" s="2">
        <f>[1]!YBHIST(BD$4,$A58,"Price","sec","")</f>
        <v>17.187999999999999</v>
      </c>
      <c r="BE58" s="6">
        <f>[1]!YBHIST(BE$4,$A58,"Price","sec","")</f>
        <v>18.594000000000001</v>
      </c>
      <c r="BF58" s="20">
        <f>[1]!YBHIST(BF$4,$A58,"LMMOAS","sec","")</f>
        <v>517.60778800000003</v>
      </c>
      <c r="BG58" s="20">
        <f>[1]!YBHIST(BG$4,$A58,"LMMOAS","sec","")</f>
        <v>397.39401199999998</v>
      </c>
      <c r="BH58" s="20">
        <f>[1]!YBHIST(BH$4,$A58,"LMMOAS","sec","")</f>
        <v>388.91290299999997</v>
      </c>
      <c r="BI58" s="20">
        <f>[1]!YBHIST(BI$4,$A58,"LMMOAS","sec","")</f>
        <v>362.18090799999999</v>
      </c>
      <c r="BJ58" s="20">
        <f>[1]!YBHIST(BJ$4,$A58,"LMMOAS","sec","")</f>
        <v>340.37979100000001</v>
      </c>
      <c r="BK58" s="20">
        <f>[1]!YBHIST(BK$4,$A58,"LMMOAS","sec","")</f>
        <v>238.32470699999999</v>
      </c>
      <c r="BL58" s="20">
        <f>[1]!YBHIST(BL$4,$A58,"LMMOAS","sec","")</f>
        <v>223.848007</v>
      </c>
      <c r="BM58" s="20">
        <f>[1]!YBHIST(BM$4,$A58,"LMMOAS","sec","")</f>
        <v>47.204700000000003</v>
      </c>
      <c r="BN58" s="20">
        <f>[1]!YBHIST(BN$4,$A58,"LMMOAS","sec","")</f>
        <v>125.529404</v>
      </c>
      <c r="BO58" s="20">
        <f>[1]!YBHIST(BO$4,$A58,"LMMOAS","sec","")</f>
        <v>314.94061299999998</v>
      </c>
      <c r="BP58" s="20">
        <f>[1]!YBHIST(BP$4,$A58,"LMMOAS","sec","")</f>
        <v>258.63308699999999</v>
      </c>
      <c r="BQ58" s="20">
        <f>[1]!YBHIST(BQ$4,$A58,"LMMOAS","sec","")</f>
        <v>428.99551400000001</v>
      </c>
      <c r="BR58" s="20">
        <f>[1]!YBHIST(BR$4,$A58,"LMMOAS","sec","")</f>
        <v>635.13659700000005</v>
      </c>
      <c r="BS58" s="20">
        <f>[1]!YBHIST(BS$4,$A58,"LMMOAS","sec","")</f>
        <v>251.582504</v>
      </c>
      <c r="BT58" s="20">
        <f>[1]!YBHIST(BT$4,$A58,"LMMOAS","sec","")</f>
        <v>336.04031400000002</v>
      </c>
      <c r="BU58" s="20">
        <f>[1]!YBHIST(BU$4,$A58,"LMMOAS","sec","")</f>
        <v>165.294296</v>
      </c>
      <c r="BV58" s="20">
        <f>[1]!YBHIST(BV$4,$A58,"LMMOAS","sec","")</f>
        <v>258.81271400000003</v>
      </c>
      <c r="BW58" s="20">
        <f>[1]!YBHIST(BW$4,$A58,"LMMOAS","sec","")</f>
        <v>210.32629399999999</v>
      </c>
      <c r="BX58" s="5"/>
      <c r="BY58" s="1"/>
      <c r="BZ58" s="1"/>
    </row>
    <row r="59" spans="1:78" x14ac:dyDescent="0.25">
      <c r="A59" s="14">
        <f>[1]!YBWORKDAY(A$26,-1*(ROW()-ROW(A$26)),"USD","")</f>
        <v>41192</v>
      </c>
      <c r="B59" s="3">
        <f>[1]!YBHIST("2 Year Treasury",$A59,"Price","govt","")</f>
        <v>99.976996999999997</v>
      </c>
      <c r="C59" s="2">
        <f>[1]!YBHIST("5 Year Treasury",$A59,"Price","govt","")</f>
        <v>99.828002999999995</v>
      </c>
      <c r="D59" s="2">
        <f>[1]!YBHIST("10 Year Treasury",$A59,"Price","govt","")</f>
        <v>99.405997999999997</v>
      </c>
      <c r="E59" s="6">
        <f>[1]!YBHIST("30 Year Treasury",$A59,"Price","govt","")</f>
        <v>97.140998999999994</v>
      </c>
      <c r="F59" s="3">
        <f>[1]!YBHIST("2 Year Treasury",$A59,"YldtoMat","govt","")</f>
        <v>0.26200000000000001</v>
      </c>
      <c r="G59" s="2">
        <f>[1]!YBHIST("5 Year Treasury",$A59,"YldtoMat","govt","")</f>
        <v>0.66</v>
      </c>
      <c r="H59" s="2">
        <f>[1]!YBHIST("10 Year Treasury",$A59,"YldtoMat","govt","")</f>
        <v>1.6910000000000001</v>
      </c>
      <c r="I59" s="6">
        <f>[1]!YBHIST("30 Year Treasury",$A59,"YldtoMat","govt","")</f>
        <v>2.8940000000000001</v>
      </c>
      <c r="J59" s="3">
        <f>[1]!YBHIST("2yr Swap Rate",$A59,"YldtoMat","swapvol","")</f>
        <v>0.38824399999999998</v>
      </c>
      <c r="K59" s="2">
        <f>[1]!YBHIST("5yr Swap Rate",$A59,"YldtoMat","swapvol","")</f>
        <v>0.79355500000000001</v>
      </c>
      <c r="L59" s="2">
        <f>[1]!YBHIST("10yr Swap Rate",$A59,"YldtoMat","swapvol","")</f>
        <v>1.746745</v>
      </c>
      <c r="M59" s="6">
        <f>[1]!YBHIST("30yr Swap Rate",$A59,"YldtoMat","swapvol","")</f>
        <v>2.6764760000000001</v>
      </c>
      <c r="N59" s="3">
        <f>[1]!YBHIST("FNMA 30YR Cur Coup (BE)",$A59,"Yield","bmk","")</f>
        <v>2.0710000000000002</v>
      </c>
      <c r="O59" s="2">
        <f>[1]!YBHIST("FHLMC 30YR Cur Coup (BE)",$A59,"Yield","bmk","")</f>
        <v>2.117</v>
      </c>
      <c r="P59" s="2">
        <f>[1]!YBHIST("GNMA 30YR Cur Coup (BE)",$A59,"Yield","bmk","")</f>
        <v>1.9850000000000001</v>
      </c>
      <c r="Q59" s="2">
        <f>[1]!YBHIST("Primary 30-Yr Mtg Rate",$A59,"Yield","bmk","")</f>
        <v>3.5766</v>
      </c>
      <c r="R59" s="2">
        <f>[1]!YBHIST("FHLM 30-Yr Survey Rate",$A59,"Yield","bmk","")</f>
        <v>3.36</v>
      </c>
      <c r="S59" s="6">
        <f>[1]!YBHIST("Base Mortgage Rate",$A59,"Yield","bmk","")</f>
        <v>2.399</v>
      </c>
      <c r="T59" s="18">
        <f>[1]!YBHIST("FNMA 30YR Cur Coup (BE)",$A59,"LMMOAS","bmk","")</f>
        <v>-20.570101000000001</v>
      </c>
      <c r="U59" s="19">
        <f>[1]!YBHIST("FHLMC 30YR Cur Coup (BE)",$A59,"LMMOAS","bmk","")</f>
        <v>-15.8987</v>
      </c>
      <c r="V59" s="19">
        <f>[1]!YBHIST("GNMA 30YR Cur Coup (BE)",$A59,"LMMOAS","bmk","")</f>
        <v>-20.4876</v>
      </c>
      <c r="W59" s="20">
        <f t="shared" si="6"/>
        <v>38.000000000000014</v>
      </c>
      <c r="X59" s="20">
        <f t="shared" si="7"/>
        <v>38.000000000000014</v>
      </c>
      <c r="Y59" s="20">
        <f t="shared" si="8"/>
        <v>42.599999999999994</v>
      </c>
      <c r="Z59" s="25">
        <f>[1]!YBHIST("FNMA3.0-GEN",$A59,"Price","tba","")</f>
        <v>105.109375</v>
      </c>
      <c r="AA59" s="2">
        <f>[1]!YBHIST("FNMA3.5-GEN",$A59,"Price","tba","")</f>
        <v>106.523438</v>
      </c>
      <c r="AB59" s="2">
        <f>[1]!YBHIST("FNMA4.0-GEN",$A59,"Price","tba","")</f>
        <v>107.234375</v>
      </c>
      <c r="AC59" s="2">
        <f>[1]!YBHIST("FNMA4.5-GEN",$A59,"Price","tba","")</f>
        <v>108.046875</v>
      </c>
      <c r="AD59" s="2">
        <f>[1]!YBHIST("FNMA5.0-GEN",$A59,"Price","tba","")</f>
        <v>108.960938</v>
      </c>
      <c r="AE59" s="2">
        <f>[1]!YBHIST("FNMA5.5-GEN",$A59,"Price","tba","")</f>
        <v>109.554688</v>
      </c>
      <c r="AF59" s="6">
        <f>[1]!YBHIST("FNMA6.0-GEN",$A59,"Price","tba","")</f>
        <v>110.523438</v>
      </c>
      <c r="AG59" s="2">
        <f>[1]!YBHIST("FNMA3.0-GEN",$A59,"Yield","tba","")</f>
        <v>1.679</v>
      </c>
      <c r="AH59" s="2">
        <f>[1]!YBHIST("FNMA3.5-GEN",$A59,"Yield","tba","")</f>
        <v>1.298</v>
      </c>
      <c r="AI59" s="2">
        <f>[1]!YBHIST("FNMA4.0-GEN",$A59,"Yield","tba","")</f>
        <v>1.141</v>
      </c>
      <c r="AJ59" s="2">
        <f>[1]!YBHIST("FNMA4.5-GEN",$A59,"Yield","tba","")</f>
        <v>1.137</v>
      </c>
      <c r="AK59" s="2">
        <f>[1]!YBHIST("FNMA5.0-GEN",$A59,"Yield","tba","")</f>
        <v>0.26800000000000002</v>
      </c>
      <c r="AL59" s="2">
        <f>[1]!YBHIST("FNMA5.5-GEN",$A59,"Yield","tba","")</f>
        <v>0.47599999999999998</v>
      </c>
      <c r="AM59" s="6">
        <f>[1]!YBHIST("FNMA6.0-GEN",$A59,"Yield","tba","")</f>
        <v>-6.8000000000000005E-2</v>
      </c>
      <c r="AN59" s="3">
        <f>[1]!YBHIST(AN$4,$A59,"Price","sec","")</f>
        <v>11.031000000000001</v>
      </c>
      <c r="AO59" s="2">
        <f>[1]!YBHIST(AO$4,$A59,"Price","sec","")</f>
        <v>12.391</v>
      </c>
      <c r="AP59" s="2">
        <f>[1]!YBHIST(AP$4,$A59,"Price","sec","")</f>
        <v>10.547000000000001</v>
      </c>
      <c r="AQ59" s="2">
        <f>[1]!YBHIST(AQ$4,$A59,"Price","sec","")</f>
        <v>14.016</v>
      </c>
      <c r="AR59" s="2">
        <f>[1]!YBHIST(AR$4,$A59,"Price","sec","")</f>
        <v>12.016</v>
      </c>
      <c r="AS59" s="2">
        <f>[1]!YBHIST(AS$4,$A59,"Price","sec","")</f>
        <v>18.219000000000001</v>
      </c>
      <c r="AT59" s="2">
        <f>[1]!YBHIST(AT$4,$A59,"Price","sec","")</f>
        <v>16.125</v>
      </c>
      <c r="AU59" s="2">
        <f>[1]!YBHIST(AU$4,$A59,"Price","sec","")</f>
        <v>10.406000000000001</v>
      </c>
      <c r="AV59" s="2">
        <f>[1]!YBHIST(AV$4,$A59,"Price","sec","")</f>
        <v>13.218999999999999</v>
      </c>
      <c r="AW59" s="2">
        <f>[1]!YBHIST(AW$4,$A59,"Price","sec","")</f>
        <v>13.077999999999999</v>
      </c>
      <c r="AX59" s="2">
        <f>[1]!YBHIST(AX$4,$A59,"Price","sec","")</f>
        <v>11.359</v>
      </c>
      <c r="AY59" s="2">
        <f>[1]!YBHIST(AY$4,$A59,"Price","sec","")</f>
        <v>14.984</v>
      </c>
      <c r="AZ59" s="2">
        <f>[1]!YBHIST(AZ$4,$A59,"Price","sec","")</f>
        <v>14.141</v>
      </c>
      <c r="BA59" s="2">
        <f>[1]!YBHIST(BA$4,$A59,"Price","sec","")</f>
        <v>13.468999999999999</v>
      </c>
      <c r="BB59" s="2">
        <f>[1]!YBHIST(BB$4,$A59,"Price","sec","")</f>
        <v>17.141000999999999</v>
      </c>
      <c r="BC59" s="2">
        <f>[1]!YBHIST(BC$4,$A59,"Price","sec","")</f>
        <v>17.187999999999999</v>
      </c>
      <c r="BD59" s="2">
        <f>[1]!YBHIST(BD$4,$A59,"Price","sec","")</f>
        <v>17.077998999999998</v>
      </c>
      <c r="BE59" s="6">
        <f>[1]!YBHIST(BE$4,$A59,"Price","sec","")</f>
        <v>18.344000000000001</v>
      </c>
      <c r="BF59" s="20">
        <f>[1]!YBHIST(BF$4,$A59,"LMMOAS","sec","")</f>
        <v>498.66421500000001</v>
      </c>
      <c r="BG59" s="20">
        <f>[1]!YBHIST(BG$4,$A59,"LMMOAS","sec","")</f>
        <v>392.85510299999999</v>
      </c>
      <c r="BH59" s="20">
        <f>[1]!YBHIST(BH$4,$A59,"LMMOAS","sec","")</f>
        <v>367.67129499999999</v>
      </c>
      <c r="BI59" s="20">
        <f>[1]!YBHIST(BI$4,$A59,"LMMOAS","sec","")</f>
        <v>364.01238999999998</v>
      </c>
      <c r="BJ59" s="20">
        <f>[1]!YBHIST(BJ$4,$A59,"LMMOAS","sec","")</f>
        <v>326.750092</v>
      </c>
      <c r="BK59" s="20">
        <f>[1]!YBHIST(BK$4,$A59,"LMMOAS","sec","")</f>
        <v>234.55969200000001</v>
      </c>
      <c r="BL59" s="20">
        <f>[1]!YBHIST(BL$4,$A59,"LMMOAS","sec","")</f>
        <v>216.39179999999999</v>
      </c>
      <c r="BM59" s="20">
        <f>[1]!YBHIST(BM$4,$A59,"LMMOAS","sec","")</f>
        <v>31.636998999999999</v>
      </c>
      <c r="BN59" s="20">
        <f>[1]!YBHIST(BN$4,$A59,"LMMOAS","sec","")</f>
        <v>115.092499</v>
      </c>
      <c r="BO59" s="20">
        <f>[1]!YBHIST(BO$4,$A59,"LMMOAS","sec","")</f>
        <v>299.53518700000001</v>
      </c>
      <c r="BP59" s="20">
        <f>[1]!YBHIST(BP$4,$A59,"LMMOAS","sec","")</f>
        <v>243.91729699999999</v>
      </c>
      <c r="BQ59" s="20">
        <f>[1]!YBHIST(BQ$4,$A59,"LMMOAS","sec","")</f>
        <v>419.492615</v>
      </c>
      <c r="BR59" s="20">
        <f>[1]!YBHIST(BR$4,$A59,"LMMOAS","sec","")</f>
        <v>602.03271500000005</v>
      </c>
      <c r="BS59" s="20">
        <f>[1]!YBHIST(BS$4,$A59,"LMMOAS","sec","")</f>
        <v>241.167801</v>
      </c>
      <c r="BT59" s="20">
        <f>[1]!YBHIST(BT$4,$A59,"LMMOAS","sec","")</f>
        <v>330.941193</v>
      </c>
      <c r="BU59" s="20">
        <f>[1]!YBHIST(BU$4,$A59,"LMMOAS","sec","")</f>
        <v>145.655396</v>
      </c>
      <c r="BV59" s="20">
        <f>[1]!YBHIST(BV$4,$A59,"LMMOAS","sec","")</f>
        <v>239.378998</v>
      </c>
      <c r="BW59" s="20">
        <f>[1]!YBHIST(BW$4,$A59,"LMMOAS","sec","")</f>
        <v>201.441406</v>
      </c>
      <c r="BX59" s="5"/>
      <c r="BY59" s="1"/>
      <c r="BZ59" s="1"/>
    </row>
    <row r="60" spans="1:78" x14ac:dyDescent="0.25">
      <c r="A60" s="14">
        <f>[1]!YBWORKDAY(A$26,-1*(ROW()-ROW(A$26)),"USD","")</f>
        <v>41191</v>
      </c>
      <c r="B60" s="3">
        <f>[1]!YBHIST("2 Year Treasury",$A60,"Price","govt","")</f>
        <v>99.976996999999997</v>
      </c>
      <c r="C60" s="2">
        <f>[1]!YBHIST("5 Year Treasury",$A60,"Price","govt","")</f>
        <v>99.813004000000006</v>
      </c>
      <c r="D60" s="2">
        <f>[1]!YBHIST("10 Year Treasury",$A60,"Price","govt","")</f>
        <v>99.140998999999994</v>
      </c>
      <c r="E60" s="6">
        <f>[1]!YBHIST("30 Year Treasury",$A60,"Price","govt","")</f>
        <v>96.313004000000006</v>
      </c>
      <c r="F60" s="3">
        <f>[1]!YBHIST("2 Year Treasury",$A60,"YldtoMat","govt","")</f>
        <v>0.26200000000000001</v>
      </c>
      <c r="G60" s="2">
        <f>[1]!YBHIST("5 Year Treasury",$A60,"YldtoMat","govt","")</f>
        <v>0.66300000000000003</v>
      </c>
      <c r="H60" s="2">
        <f>[1]!YBHIST("10 Year Treasury",$A60,"YldtoMat","govt","")</f>
        <v>1.72</v>
      </c>
      <c r="I60" s="6">
        <f>[1]!YBHIST("30 Year Treasury",$A60,"YldtoMat","govt","")</f>
        <v>2.9359999999999999</v>
      </c>
      <c r="J60" s="3">
        <f>[1]!YBHIST("2yr Swap Rate",$A60,"YldtoMat","swapvol","")</f>
        <v>0.382884</v>
      </c>
      <c r="K60" s="2">
        <f>[1]!YBHIST("5yr Swap Rate",$A60,"YldtoMat","swapvol","")</f>
        <v>0.79664500000000005</v>
      </c>
      <c r="L60" s="2">
        <f>[1]!YBHIST("10yr Swap Rate",$A60,"YldtoMat","swapvol","")</f>
        <v>1.7762659999999999</v>
      </c>
      <c r="M60" s="6">
        <f>[1]!YBHIST("30yr Swap Rate",$A60,"YldtoMat","swapvol","")</f>
        <v>2.7155710000000002</v>
      </c>
      <c r="N60" s="3">
        <f>[1]!YBHIST("FNMA 30YR Cur Coup (BE)",$A60,"Yield","bmk","")</f>
        <v>2.1280000000000001</v>
      </c>
      <c r="O60" s="2">
        <f>[1]!YBHIST("FHLMC 30YR Cur Coup (BE)",$A60,"Yield","bmk","")</f>
        <v>2.1739999999999999</v>
      </c>
      <c r="P60" s="2">
        <f>[1]!YBHIST("GNMA 30YR Cur Coup (BE)",$A60,"Yield","bmk","")</f>
        <v>2.0419999999999998</v>
      </c>
      <c r="Q60" s="2">
        <f>[1]!YBHIST("Primary 30-Yr Mtg Rate",$A60,"Yield","bmk","")</f>
        <v>3.6301999999999999</v>
      </c>
      <c r="R60" s="2">
        <f>[1]!YBHIST("FHLM 30-Yr Survey Rate",$A60,"Yield","bmk","")</f>
        <v>3.36</v>
      </c>
      <c r="S60" s="6">
        <f>[1]!YBHIST("Base Mortgage Rate",$A60,"Yield","bmk","")</f>
        <v>2.452</v>
      </c>
      <c r="T60" s="18">
        <f>[1]!YBHIST("FNMA 30YR Cur Coup (BE)",$A60,"LMMOAS","bmk","")</f>
        <v>-17.890498999999998</v>
      </c>
      <c r="U60" s="19">
        <f>[1]!YBHIST("FHLMC 30YR Cur Coup (BE)",$A60,"LMMOAS","bmk","")</f>
        <v>-13.183400000000001</v>
      </c>
      <c r="V60" s="19">
        <f>[1]!YBHIST("GNMA 30YR Cur Coup (BE)",$A60,"LMMOAS","bmk","")</f>
        <v>-22.515699000000001</v>
      </c>
      <c r="W60" s="20">
        <f t="shared" si="6"/>
        <v>40.800000000000011</v>
      </c>
      <c r="X60" s="20">
        <f t="shared" si="7"/>
        <v>40.800000000000011</v>
      </c>
      <c r="Y60" s="20">
        <f t="shared" si="8"/>
        <v>45.4</v>
      </c>
      <c r="Z60" s="25">
        <f>[1]!YBHIST("FNMA3.0-GEN",$A60,"Price","tba","")</f>
        <v>104.882812</v>
      </c>
      <c r="AA60" s="2">
        <f>[1]!YBHIST("FNMA3.5-GEN",$A60,"Price","tba","")</f>
        <v>106.453125</v>
      </c>
      <c r="AB60" s="2">
        <f>[1]!YBHIST("FNMA4.0-GEN",$A60,"Price","tba","")</f>
        <v>107.1875</v>
      </c>
      <c r="AC60" s="2">
        <f>[1]!YBHIST("FNMA4.5-GEN",$A60,"Price","tba","")</f>
        <v>107.992188</v>
      </c>
      <c r="AD60" s="2">
        <f>[1]!YBHIST("FNMA5.0-GEN",$A60,"Price","tba","")</f>
        <v>108.898438</v>
      </c>
      <c r="AE60" s="2">
        <f>[1]!YBHIST("FNMA5.5-GEN",$A60,"Price","tba","")</f>
        <v>109.515625</v>
      </c>
      <c r="AF60" s="6">
        <f>[1]!YBHIST("FNMA6.0-GEN",$A60,"Price","tba","")</f>
        <v>110.5</v>
      </c>
      <c r="AG60" s="2">
        <f>[1]!YBHIST("FNMA3.0-GEN",$A60,"Yield","tba","")</f>
        <v>1.78</v>
      </c>
      <c r="AH60" s="2">
        <f>[1]!YBHIST("FNMA3.5-GEN",$A60,"Yield","tba","")</f>
        <v>1.383</v>
      </c>
      <c r="AI60" s="2">
        <f>[1]!YBHIST("FNMA4.0-GEN",$A60,"Yield","tba","")</f>
        <v>1.2210000000000001</v>
      </c>
      <c r="AJ60" s="2">
        <f>[1]!YBHIST("FNMA4.5-GEN",$A60,"Yield","tba","")</f>
        <v>1.212</v>
      </c>
      <c r="AK60" s="2">
        <f>[1]!YBHIST("FNMA5.0-GEN",$A60,"Yield","tba","")</f>
        <v>0.34799999999999998</v>
      </c>
      <c r="AL60" s="2">
        <f>[1]!YBHIST("FNMA5.5-GEN",$A60,"Yield","tba","")</f>
        <v>0.53200000000000003</v>
      </c>
      <c r="AM60" s="6">
        <f>[1]!YBHIST("FNMA6.0-GEN",$A60,"Yield","tba","")</f>
        <v>-2.5000000000000001E-2</v>
      </c>
      <c r="AN60" s="3">
        <f>[1]!YBHIST(AN$4,$A60,"Price","sec","")</f>
        <v>11.422000000000001</v>
      </c>
      <c r="AO60" s="2">
        <f>[1]!YBHIST(AO$4,$A60,"Price","sec","")</f>
        <v>12.766</v>
      </c>
      <c r="AP60" s="2">
        <f>[1]!YBHIST(AP$4,$A60,"Price","sec","")</f>
        <v>10.906000000000001</v>
      </c>
      <c r="AQ60" s="2">
        <f>[1]!YBHIST(AQ$4,$A60,"Price","sec","")</f>
        <v>14.297000000000001</v>
      </c>
      <c r="AR60" s="2">
        <f>[1]!YBHIST(AR$4,$A60,"Price","sec","")</f>
        <v>12.281000000000001</v>
      </c>
      <c r="AS60" s="2">
        <f>[1]!YBHIST(AS$4,$A60,"Price","sec","")</f>
        <v>18.594000000000001</v>
      </c>
      <c r="AT60" s="2">
        <f>[1]!YBHIST(AT$4,$A60,"Price","sec","")</f>
        <v>16.452998999999998</v>
      </c>
      <c r="AU60" s="2">
        <f>[1]!YBHIST(AU$4,$A60,"Price","sec","")</f>
        <v>10.718999999999999</v>
      </c>
      <c r="AV60" s="2">
        <f>[1]!YBHIST(AV$4,$A60,"Price","sec","")</f>
        <v>13.484</v>
      </c>
      <c r="AW60" s="2">
        <f>[1]!YBHIST(AW$4,$A60,"Price","sec","")</f>
        <v>13.343999999999999</v>
      </c>
      <c r="AX60" s="2">
        <f>[1]!YBHIST(AX$4,$A60,"Price","sec","")</f>
        <v>11.484</v>
      </c>
      <c r="AY60" s="2">
        <f>[1]!YBHIST(AY$4,$A60,"Price","sec","")</f>
        <v>15.093999999999999</v>
      </c>
      <c r="AZ60" s="2">
        <f>[1]!YBHIST(AZ$4,$A60,"Price","sec","")</f>
        <v>14.25</v>
      </c>
      <c r="BA60" s="2">
        <f>[1]!YBHIST(BA$4,$A60,"Price","sec","")</f>
        <v>13.561999999999999</v>
      </c>
      <c r="BB60" s="2">
        <f>[1]!YBHIST(BB$4,$A60,"Price","sec","")</f>
        <v>17.219000000000001</v>
      </c>
      <c r="BC60" s="2">
        <f>[1]!YBHIST(BC$4,$A60,"Price","sec","")</f>
        <v>17.452998999999998</v>
      </c>
      <c r="BD60" s="2">
        <f>[1]!YBHIST(BD$4,$A60,"Price","sec","")</f>
        <v>17.358999000000001</v>
      </c>
      <c r="BE60" s="6">
        <f>[1]!YBHIST(BE$4,$A60,"Price","sec","")</f>
        <v>18.594000000000001</v>
      </c>
      <c r="BF60" s="20">
        <f>[1]!YBHIST(BF$4,$A60,"LMMOAS","sec","")</f>
        <v>490.781586</v>
      </c>
      <c r="BG60" s="20">
        <f>[1]!YBHIST(BG$4,$A60,"LMMOAS","sec","")</f>
        <v>392.36749300000002</v>
      </c>
      <c r="BH60" s="20">
        <f>[1]!YBHIST(BH$4,$A60,"LMMOAS","sec","")</f>
        <v>359.14489700000001</v>
      </c>
      <c r="BI60" s="20">
        <f>[1]!YBHIST(BI$4,$A60,"LMMOAS","sec","")</f>
        <v>381.30389400000001</v>
      </c>
      <c r="BJ60" s="20">
        <f>[1]!YBHIST(BJ$4,$A60,"LMMOAS","sec","")</f>
        <v>340.63488799999999</v>
      </c>
      <c r="BK60" s="20">
        <f>[1]!YBHIST(BK$4,$A60,"LMMOAS","sec","")</f>
        <v>233.65280200000001</v>
      </c>
      <c r="BL60" s="20">
        <f>[1]!YBHIST(BL$4,$A60,"LMMOAS","sec","")</f>
        <v>221.66310100000001</v>
      </c>
      <c r="BM60" s="20">
        <f>[1]!YBHIST(BM$4,$A60,"LMMOAS","sec","")</f>
        <v>14.1943</v>
      </c>
      <c r="BN60" s="20">
        <f>[1]!YBHIST(BN$4,$A60,"LMMOAS","sec","")</f>
        <v>112.758499</v>
      </c>
      <c r="BO60" s="20">
        <f>[1]!YBHIST(BO$4,$A60,"LMMOAS","sec","")</f>
        <v>285.05130000000003</v>
      </c>
      <c r="BP60" s="20">
        <f>[1]!YBHIST(BP$4,$A60,"LMMOAS","sec","")</f>
        <v>272.24340799999999</v>
      </c>
      <c r="BQ60" s="20">
        <f>[1]!YBHIST(BQ$4,$A60,"LMMOAS","sec","")</f>
        <v>440.49499500000002</v>
      </c>
      <c r="BR60" s="20">
        <f>[1]!YBHIST(BR$4,$A60,"LMMOAS","sec","")</f>
        <v>616.08801300000005</v>
      </c>
      <c r="BS60" s="20">
        <f>[1]!YBHIST(BS$4,$A60,"LMMOAS","sec","")</f>
        <v>270.41061400000001</v>
      </c>
      <c r="BT60" s="20">
        <f>[1]!YBHIST(BT$4,$A60,"LMMOAS","sec","")</f>
        <v>350.44918799999999</v>
      </c>
      <c r="BU60" s="20">
        <f>[1]!YBHIST(BU$4,$A60,"LMMOAS","sec","")</f>
        <v>170.61099200000001</v>
      </c>
      <c r="BV60" s="20">
        <f>[1]!YBHIST(BV$4,$A60,"LMMOAS","sec","")</f>
        <v>257.78430200000003</v>
      </c>
      <c r="BW60" s="20">
        <f>[1]!YBHIST(BW$4,$A60,"LMMOAS","sec","")</f>
        <v>218.99169900000001</v>
      </c>
      <c r="BX60" s="5"/>
      <c r="BY60" s="1"/>
      <c r="BZ60" s="1"/>
    </row>
    <row r="61" spans="1:78" x14ac:dyDescent="0.25">
      <c r="A61" s="14">
        <f>[1]!YBWORKDAY(A$26,-1*(ROW()-ROW(A$26)),"USD","")</f>
        <v>41187</v>
      </c>
      <c r="B61" s="3">
        <f>[1]!YBHIST("2 Year Treasury",$A61,"Price","govt","")</f>
        <v>99.984001000000006</v>
      </c>
      <c r="C61" s="2">
        <f>[1]!YBHIST("5 Year Treasury",$A61,"Price","govt","")</f>
        <v>99.805000000000007</v>
      </c>
      <c r="D61" s="2">
        <f>[1]!YBHIST("10 Year Treasury",$A61,"Price","govt","")</f>
        <v>99.046997000000005</v>
      </c>
      <c r="E61" s="6">
        <f>[1]!YBHIST("30 Year Treasury",$A61,"Price","govt","")</f>
        <v>95.75</v>
      </c>
      <c r="F61" s="3">
        <f>[1]!YBHIST("2 Year Treasury",$A61,"YldtoMat","govt","")</f>
        <v>0.25800000000000001</v>
      </c>
      <c r="G61" s="2">
        <f>[1]!YBHIST("5 Year Treasury",$A61,"YldtoMat","govt","")</f>
        <v>0.66500000000000004</v>
      </c>
      <c r="H61" s="2">
        <f>[1]!YBHIST("10 Year Treasury",$A61,"YldtoMat","govt","")</f>
        <v>1.7310000000000001</v>
      </c>
      <c r="I61" s="6">
        <f>[1]!YBHIST("30 Year Treasury",$A61,"YldtoMat","govt","")</f>
        <v>2.9649999999999999</v>
      </c>
      <c r="J61" s="3">
        <f>[1]!YBHIST("2yr Swap Rate",$A61,"YldtoMat","swapvol","")</f>
        <v>0.39205699999999999</v>
      </c>
      <c r="K61" s="2">
        <f>[1]!YBHIST("5yr Swap Rate",$A61,"YldtoMat","swapvol","")</f>
        <v>0.80577100000000002</v>
      </c>
      <c r="L61" s="2">
        <f>[1]!YBHIST("10yr Swap Rate",$A61,"YldtoMat","swapvol","")</f>
        <v>1.794063</v>
      </c>
      <c r="M61" s="6">
        <f>[1]!YBHIST("30yr Swap Rate",$A61,"YldtoMat","swapvol","")</f>
        <v>2.7556389999999999</v>
      </c>
      <c r="N61" s="3">
        <f>[1]!YBHIST("FNMA 30YR Cur Coup (BE)",$A61,"Yield","bmk","")</f>
        <v>2.1</v>
      </c>
      <c r="O61" s="2">
        <f>[1]!YBHIST("FHLMC 30YR Cur Coup (BE)",$A61,"Yield","bmk","")</f>
        <v>2.1459999999999999</v>
      </c>
      <c r="P61" s="2">
        <f>[1]!YBHIST("GNMA 30YR Cur Coup (BE)",$A61,"Yield","bmk","")</f>
        <v>2.0139999999999998</v>
      </c>
      <c r="Q61" s="2">
        <f>[1]!YBHIST("Primary 30-Yr Mtg Rate",$A61,"Yield","bmk","")</f>
        <v>3.6202000000000001</v>
      </c>
      <c r="R61" s="2">
        <f>[1]!YBHIST("FHLM 30-Yr Survey Rate",$A61,"Yield","bmk","")</f>
        <v>3.36</v>
      </c>
      <c r="S61" s="6">
        <f>[1]!YBHIST("Base Mortgage Rate",$A61,"Yield","bmk","")</f>
        <v>2.4420000000000002</v>
      </c>
      <c r="T61" s="18">
        <f>[1]!YBHIST("FNMA 30YR Cur Coup (BE)",$A61,"LMMOAS","bmk","")</f>
        <v>-21.5151</v>
      </c>
      <c r="U61" s="19">
        <f>[1]!YBHIST("FHLMC 30YR Cur Coup (BE)",$A61,"LMMOAS","bmk","")</f>
        <v>-20.647300999999999</v>
      </c>
      <c r="V61" s="19">
        <f>[1]!YBHIST("GNMA 30YR Cur Coup (BE)",$A61,"LMMOAS","bmk","")</f>
        <v>-26.179399</v>
      </c>
      <c r="W61" s="20">
        <f t="shared" si="6"/>
        <v>36.9</v>
      </c>
      <c r="X61" s="20">
        <f t="shared" si="7"/>
        <v>36.9</v>
      </c>
      <c r="Y61" s="20">
        <f t="shared" si="8"/>
        <v>41.499999999999979</v>
      </c>
      <c r="Z61" s="25">
        <f>[1]!YBHIST("FNMA3.0-GEN",$A61,"Price","tba","")</f>
        <v>104.984375</v>
      </c>
      <c r="AA61" s="2">
        <f>[1]!YBHIST("FNMA3.5-GEN",$A61,"Price","tba","")</f>
        <v>106.625</v>
      </c>
      <c r="AB61" s="2">
        <f>[1]!YBHIST("FNMA4.0-GEN",$A61,"Price","tba","")</f>
        <v>107.347656</v>
      </c>
      <c r="AC61" s="2">
        <f>[1]!YBHIST("FNMA4.5-GEN",$A61,"Price","tba","")</f>
        <v>108.136719</v>
      </c>
      <c r="AD61" s="2">
        <f>[1]!YBHIST("FNMA5.0-GEN",$A61,"Price","tba","")</f>
        <v>109</v>
      </c>
      <c r="AE61" s="2">
        <f>[1]!YBHIST("FNMA5.5-GEN",$A61,"Price","tba","")</f>
        <v>109.617188</v>
      </c>
      <c r="AF61" s="6">
        <f>[1]!YBHIST("FNMA6.0-GEN",$A61,"Price","tba","")</f>
        <v>110.636719</v>
      </c>
      <c r="AG61" s="2">
        <f>[1]!YBHIST("FNMA3.0-GEN",$A61,"Yield","tba","")</f>
        <v>1.746</v>
      </c>
      <c r="AH61" s="2">
        <f>[1]!YBHIST("FNMA3.5-GEN",$A61,"Yield","tba","")</f>
        <v>1.3160000000000001</v>
      </c>
      <c r="AI61" s="2">
        <f>[1]!YBHIST("FNMA4.0-GEN",$A61,"Yield","tba","")</f>
        <v>1.149</v>
      </c>
      <c r="AJ61" s="2">
        <f>[1]!YBHIST("FNMA4.5-GEN",$A61,"Yield","tba","")</f>
        <v>1.1439999999999999</v>
      </c>
      <c r="AK61" s="2">
        <f>[1]!YBHIST("FNMA5.0-GEN",$A61,"Yield","tba","")</f>
        <v>0.28699999999999998</v>
      </c>
      <c r="AL61" s="2">
        <f>[1]!YBHIST("FNMA5.5-GEN",$A61,"Yield","tba","")</f>
        <v>0.47499999999999998</v>
      </c>
      <c r="AM61" s="6">
        <f>[1]!YBHIST("FNMA6.0-GEN",$A61,"Yield","tba","")</f>
        <v>-0.10100000000000001</v>
      </c>
      <c r="AN61" s="3">
        <f>[1]!YBHIST(AN$4,$A61,"Price","sec","")</f>
        <v>11.375</v>
      </c>
      <c r="AO61" s="2">
        <f>[1]!YBHIST(AO$4,$A61,"Price","sec","")</f>
        <v>12.75</v>
      </c>
      <c r="AP61" s="2">
        <f>[1]!YBHIST(AP$4,$A61,"Price","sec","")</f>
        <v>10.891</v>
      </c>
      <c r="AQ61" s="2">
        <f>[1]!YBHIST(AQ$4,$A61,"Price","sec","")</f>
        <v>14.266</v>
      </c>
      <c r="AR61" s="2">
        <f>[1]!YBHIST(AR$4,$A61,"Price","sec","")</f>
        <v>12.25</v>
      </c>
      <c r="AS61" s="2">
        <f>[1]!YBHIST(AS$4,$A61,"Price","sec","")</f>
        <v>18.562000000000001</v>
      </c>
      <c r="AT61" s="2">
        <f>[1]!YBHIST(AT$4,$A61,"Price","sec","")</f>
        <v>16.422001000000002</v>
      </c>
      <c r="AU61" s="2">
        <f>[1]!YBHIST(AU$4,$A61,"Price","sec","")</f>
        <v>10.688000000000001</v>
      </c>
      <c r="AV61" s="2">
        <f>[1]!YBHIST(AV$4,$A61,"Price","sec","")</f>
        <v>13.468999999999999</v>
      </c>
      <c r="AW61" s="2">
        <f>[1]!YBHIST(AW$4,$A61,"Price","sec","")</f>
        <v>13.311999999999999</v>
      </c>
      <c r="AX61" s="2">
        <f>[1]!YBHIST(AX$4,$A61,"Price","sec","")</f>
        <v>11.468999999999999</v>
      </c>
      <c r="AY61" s="2">
        <f>[1]!YBHIST(AY$4,$A61,"Price","sec","")</f>
        <v>15.077999999999999</v>
      </c>
      <c r="AZ61" s="2">
        <f>[1]!YBHIST(AZ$4,$A61,"Price","sec","")</f>
        <v>14.234</v>
      </c>
      <c r="BA61" s="2">
        <f>[1]!YBHIST(BA$4,$A61,"Price","sec","")</f>
        <v>13.561999999999999</v>
      </c>
      <c r="BB61" s="2">
        <f>[1]!YBHIST(BB$4,$A61,"Price","sec","")</f>
        <v>17.219000000000001</v>
      </c>
      <c r="BC61" s="2">
        <f>[1]!YBHIST(BC$4,$A61,"Price","sec","")</f>
        <v>17.405999999999999</v>
      </c>
      <c r="BD61" s="2">
        <f>[1]!YBHIST(BD$4,$A61,"Price","sec","")</f>
        <v>17.280999999999999</v>
      </c>
      <c r="BE61" s="6">
        <f>[1]!YBHIST(BE$4,$A61,"Price","sec","")</f>
        <v>18.547001000000002</v>
      </c>
      <c r="BF61" s="20">
        <f>[1]!YBHIST(BF$4,$A61,"LMMOAS","sec","")</f>
        <v>493.779785</v>
      </c>
      <c r="BG61" s="20">
        <f>[1]!YBHIST(BG$4,$A61,"LMMOAS","sec","")</f>
        <v>390.69439699999998</v>
      </c>
      <c r="BH61" s="20">
        <f>[1]!YBHIST(BH$4,$A61,"LMMOAS","sec","")</f>
        <v>358.901611</v>
      </c>
      <c r="BI61" s="20">
        <f>[1]!YBHIST(BI$4,$A61,"LMMOAS","sec","")</f>
        <v>383.651611</v>
      </c>
      <c r="BJ61" s="20">
        <f>[1]!YBHIST(BJ$4,$A61,"LMMOAS","sec","")</f>
        <v>345.543091</v>
      </c>
      <c r="BK61" s="20">
        <f>[1]!YBHIST(BK$4,$A61,"LMMOAS","sec","")</f>
        <v>236.17559800000001</v>
      </c>
      <c r="BL61" s="20">
        <f>[1]!YBHIST(BL$4,$A61,"LMMOAS","sec","")</f>
        <v>225.38879399999999</v>
      </c>
      <c r="BM61" s="20">
        <f>[1]!YBHIST(BM$4,$A61,"LMMOAS","sec","")</f>
        <v>25.976900000000001</v>
      </c>
      <c r="BN61" s="20">
        <f>[1]!YBHIST(BN$4,$A61,"LMMOAS","sec","")</f>
        <v>115.12869999999999</v>
      </c>
      <c r="BO61" s="20">
        <f>[1]!YBHIST(BO$4,$A61,"LMMOAS","sec","")</f>
        <v>290.46270800000002</v>
      </c>
      <c r="BP61" s="20">
        <f>[1]!YBHIST(BP$4,$A61,"LMMOAS","sec","")</f>
        <v>280.13571200000001</v>
      </c>
      <c r="BQ61" s="20">
        <f>[1]!YBHIST(BQ$4,$A61,"LMMOAS","sec","")</f>
        <v>442.79321299999998</v>
      </c>
      <c r="BR61" s="20">
        <f>[1]!YBHIST(BR$4,$A61,"LMMOAS","sec","")</f>
        <v>618.78662099999997</v>
      </c>
      <c r="BS61" s="20">
        <f>[1]!YBHIST(BS$4,$A61,"LMMOAS","sec","")</f>
        <v>273.98629799999998</v>
      </c>
      <c r="BT61" s="20">
        <f>[1]!YBHIST(BT$4,$A61,"LMMOAS","sec","")</f>
        <v>352.09930400000002</v>
      </c>
      <c r="BU61" s="20">
        <f>[1]!YBHIST(BU$4,$A61,"LMMOAS","sec","")</f>
        <v>169.820404</v>
      </c>
      <c r="BV61" s="20">
        <f>[1]!YBHIST(BV$4,$A61,"LMMOAS","sec","")</f>
        <v>263.68920900000001</v>
      </c>
      <c r="BW61" s="20">
        <f>[1]!YBHIST(BW$4,$A61,"LMMOAS","sec","")</f>
        <v>222.24670399999999</v>
      </c>
      <c r="BX61" s="5"/>
      <c r="BY61" s="1"/>
      <c r="BZ61" s="1"/>
    </row>
    <row r="62" spans="1:78" x14ac:dyDescent="0.25">
      <c r="A62" s="14">
        <f>[1]!YBWORKDAY(A$26,-1*(ROW()-ROW(A$26)),"USD","")</f>
        <v>41186</v>
      </c>
      <c r="B62" s="3">
        <f>[1]!YBHIST("2 Year Treasury",$A62,"Price","govt","")</f>
        <v>100.01599899999999</v>
      </c>
      <c r="C62" s="2">
        <f>[1]!YBHIST("5 Year Treasury",$A62,"Price","govt","")</f>
        <v>100.008003</v>
      </c>
      <c r="D62" s="2">
        <f>[1]!YBHIST("10 Year Treasury",$A62,"Price","govt","")</f>
        <v>99.640998999999994</v>
      </c>
      <c r="E62" s="6">
        <f>[1]!YBHIST("30 Year Treasury",$A62,"Price","govt","")</f>
        <v>97.344002000000003</v>
      </c>
      <c r="F62" s="3">
        <f>[1]!YBHIST("2 Year Treasury",$A62,"YldtoMat","govt","")</f>
        <v>0.24199999999999999</v>
      </c>
      <c r="G62" s="2">
        <f>[1]!YBHIST("5 Year Treasury",$A62,"YldtoMat","govt","")</f>
        <v>0.623</v>
      </c>
      <c r="H62" s="2">
        <f>[1]!YBHIST("10 Year Treasury",$A62,"YldtoMat","govt","")</f>
        <v>1.665</v>
      </c>
      <c r="I62" s="6">
        <f>[1]!YBHIST("30 Year Treasury",$A62,"YldtoMat","govt","")</f>
        <v>2.883</v>
      </c>
      <c r="J62" s="3">
        <f>[1]!YBHIST("2yr Swap Rate",$A62,"YldtoMat","swapvol","")</f>
        <v>0.37289299999999997</v>
      </c>
      <c r="K62" s="2">
        <f>[1]!YBHIST("5yr Swap Rate",$A62,"YldtoMat","swapvol","")</f>
        <v>0.76101200000000002</v>
      </c>
      <c r="L62" s="2">
        <f>[1]!YBHIST("10yr Swap Rate",$A62,"YldtoMat","swapvol","")</f>
        <v>1.73733</v>
      </c>
      <c r="M62" s="6">
        <f>[1]!YBHIST("30yr Swap Rate",$A62,"YldtoMat","swapvol","")</f>
        <v>2.6815699999999998</v>
      </c>
      <c r="N62" s="3">
        <f>[1]!YBHIST("FNMA 30YR Cur Coup (BE)",$A62,"Yield","bmk","")</f>
        <v>2.0670000000000002</v>
      </c>
      <c r="O62" s="2">
        <f>[1]!YBHIST("FHLMC 30YR Cur Coup (BE)",$A62,"Yield","bmk","")</f>
        <v>2.113</v>
      </c>
      <c r="P62" s="2">
        <f>[1]!YBHIST("GNMA 30YR Cur Coup (BE)",$A62,"Yield","bmk","")</f>
        <v>1.9810000000000001</v>
      </c>
      <c r="Q62" s="2">
        <f>[1]!YBHIST("Primary 30-Yr Mtg Rate",$A62,"Yield","bmk","")</f>
        <v>3.585</v>
      </c>
      <c r="R62" s="2">
        <f>[1]!YBHIST("FHLM 30-Yr Survey Rate",$A62,"Yield","bmk","")</f>
        <v>3.36</v>
      </c>
      <c r="S62" s="6">
        <f>[1]!YBHIST("Base Mortgage Rate",$A62,"Yield","bmk","")</f>
        <v>2.407</v>
      </c>
      <c r="T62" s="18">
        <f>[1]!YBHIST("FNMA 30YR Cur Coup (BE)",$A62,"LMMOAS","bmk","")</f>
        <v>-19.905000999999999</v>
      </c>
      <c r="U62" s="19">
        <f>[1]!YBHIST("FHLMC 30YR Cur Coup (BE)",$A62,"LMMOAS","bmk","")</f>
        <v>-15.4839</v>
      </c>
      <c r="V62" s="19">
        <f>[1]!YBHIST("GNMA 30YR Cur Coup (BE)",$A62,"LMMOAS","bmk","")</f>
        <v>-22.664200000000001</v>
      </c>
      <c r="W62" s="20">
        <f t="shared" si="6"/>
        <v>40.200000000000017</v>
      </c>
      <c r="X62" s="20">
        <f t="shared" si="7"/>
        <v>40.200000000000017</v>
      </c>
      <c r="Y62" s="20">
        <f t="shared" si="8"/>
        <v>44.8</v>
      </c>
      <c r="Z62" s="25">
        <f>[1]!YBHIST("FNMA3.0-GEN",$A62,"Price","tba","")</f>
        <v>105.414062</v>
      </c>
      <c r="AA62" s="2">
        <f>[1]!YBHIST("FNMA3.5-GEN",$A62,"Price","tba","")</f>
        <v>106.953125</v>
      </c>
      <c r="AB62" s="2">
        <f>[1]!YBHIST("FNMA4.0-GEN",$A62,"Price","tba","")</f>
        <v>107.484375</v>
      </c>
      <c r="AC62" s="2">
        <f>[1]!YBHIST("FNMA4.5-GEN",$A62,"Price","tba","")</f>
        <v>108.226562</v>
      </c>
      <c r="AD62" s="2">
        <f>[1]!YBHIST("FNMA5.0-GEN",$A62,"Price","tba","")</f>
        <v>109.03125</v>
      </c>
      <c r="AE62" s="2">
        <f>[1]!YBHIST("FNMA5.5-GEN",$A62,"Price","tba","")</f>
        <v>109.578125</v>
      </c>
      <c r="AF62" s="6">
        <f>[1]!YBHIST("FNMA6.0-GEN",$A62,"Price","tba","")</f>
        <v>110.53125</v>
      </c>
      <c r="AG62" s="2">
        <f>[1]!YBHIST("FNMA3.0-GEN",$A62,"Yield","tba","")</f>
        <v>1.583</v>
      </c>
      <c r="AH62" s="2">
        <f>[1]!YBHIST("FNMA3.5-GEN",$A62,"Yield","tba","")</f>
        <v>1.109</v>
      </c>
      <c r="AI62" s="2">
        <f>[1]!YBHIST("FNMA4.0-GEN",$A62,"Yield","tba","")</f>
        <v>1.054</v>
      </c>
      <c r="AJ62" s="2">
        <f>[1]!YBHIST("FNMA4.5-GEN",$A62,"Yield","tba","")</f>
        <v>1.0649999999999999</v>
      </c>
      <c r="AK62" s="2">
        <f>[1]!YBHIST("FNMA5.0-GEN",$A62,"Yield","tba","")</f>
        <v>0.215</v>
      </c>
      <c r="AL62" s="2">
        <f>[1]!YBHIST("FNMA5.5-GEN",$A62,"Yield","tba","")</f>
        <v>0.44900000000000001</v>
      </c>
      <c r="AM62" s="6">
        <f>[1]!YBHIST("FNMA6.0-GEN",$A62,"Yield","tba","")</f>
        <v>-9.4E-2</v>
      </c>
      <c r="AN62" s="3">
        <f>[1]!YBHIST(AN$4,$A62,"Price","sec","")</f>
        <v>11.327999999999999</v>
      </c>
      <c r="AO62" s="2">
        <f>[1]!YBHIST(AO$4,$A62,"Price","sec","")</f>
        <v>12.718999999999999</v>
      </c>
      <c r="AP62" s="2">
        <f>[1]!YBHIST(AP$4,$A62,"Price","sec","")</f>
        <v>10.891</v>
      </c>
      <c r="AQ62" s="2">
        <f>[1]!YBHIST(AQ$4,$A62,"Price","sec","")</f>
        <v>14.156000000000001</v>
      </c>
      <c r="AR62" s="2">
        <f>[1]!YBHIST(AR$4,$A62,"Price","sec","")</f>
        <v>12.156000000000001</v>
      </c>
      <c r="AS62" s="2">
        <f>[1]!YBHIST(AS$4,$A62,"Price","sec","")</f>
        <v>18.530999999999999</v>
      </c>
      <c r="AT62" s="2">
        <f>[1]!YBHIST(AT$4,$A62,"Price","sec","")</f>
        <v>16.375</v>
      </c>
      <c r="AU62" s="2">
        <f>[1]!YBHIST(AU$4,$A62,"Price","sec","")</f>
        <v>10.625</v>
      </c>
      <c r="AV62" s="2">
        <f>[1]!YBHIST(AV$4,$A62,"Price","sec","")</f>
        <v>13.406000000000001</v>
      </c>
      <c r="AW62" s="2">
        <f>[1]!YBHIST(AW$4,$A62,"Price","sec","")</f>
        <v>13.266</v>
      </c>
      <c r="AX62" s="2">
        <f>[1]!YBHIST(AX$4,$A62,"Price","sec","")</f>
        <v>11.438000000000001</v>
      </c>
      <c r="AY62" s="2">
        <f>[1]!YBHIST(AY$4,$A62,"Price","sec","")</f>
        <v>15.047000000000001</v>
      </c>
      <c r="AZ62" s="2">
        <f>[1]!YBHIST(AZ$4,$A62,"Price","sec","")</f>
        <v>14.202999999999999</v>
      </c>
      <c r="BA62" s="2">
        <f>[1]!YBHIST(BA$4,$A62,"Price","sec","")</f>
        <v>13.547000000000001</v>
      </c>
      <c r="BB62" s="2">
        <f>[1]!YBHIST(BB$4,$A62,"Price","sec","")</f>
        <v>17.202998999999998</v>
      </c>
      <c r="BC62" s="2">
        <f>[1]!YBHIST(BC$4,$A62,"Price","sec","")</f>
        <v>17.280999999999999</v>
      </c>
      <c r="BD62" s="2">
        <f>[1]!YBHIST(BD$4,$A62,"Price","sec","")</f>
        <v>17.125</v>
      </c>
      <c r="BE62" s="6">
        <f>[1]!YBHIST(BE$4,$A62,"Price","sec","")</f>
        <v>18.405999999999999</v>
      </c>
      <c r="BF62" s="20">
        <f>[1]!YBHIST(BF$4,$A62,"LMMOAS","sec","")</f>
        <v>451.09219400000001</v>
      </c>
      <c r="BG62" s="20">
        <f>[1]!YBHIST(BG$4,$A62,"LMMOAS","sec","")</f>
        <v>350.12478599999997</v>
      </c>
      <c r="BH62" s="20">
        <f>[1]!YBHIST(BH$4,$A62,"LMMOAS","sec","")</f>
        <v>309.66629</v>
      </c>
      <c r="BI62" s="20">
        <f>[1]!YBHIST(BI$4,$A62,"LMMOAS","sec","")</f>
        <v>362.39160199999998</v>
      </c>
      <c r="BJ62" s="20">
        <f>[1]!YBHIST(BJ$4,$A62,"LMMOAS","sec","")</f>
        <v>324.61511200000001</v>
      </c>
      <c r="BK62" s="20">
        <f>[1]!YBHIST(BK$4,$A62,"LMMOAS","sec","")</f>
        <v>213.17269899999999</v>
      </c>
      <c r="BL62" s="20">
        <f>[1]!YBHIST(BL$4,$A62,"LMMOAS","sec","")</f>
        <v>201.92550700000001</v>
      </c>
      <c r="BM62" s="20">
        <f>[1]!YBHIST(BM$4,$A62,"LMMOAS","sec","")</f>
        <v>11.9339</v>
      </c>
      <c r="BN62" s="20">
        <f>[1]!YBHIST(BN$4,$A62,"LMMOAS","sec","")</f>
        <v>103.77480300000001</v>
      </c>
      <c r="BO62" s="20">
        <f>[1]!YBHIST(BO$4,$A62,"LMMOAS","sec","")</f>
        <v>281.78350799999998</v>
      </c>
      <c r="BP62" s="20">
        <f>[1]!YBHIST(BP$4,$A62,"LMMOAS","sec","")</f>
        <v>264.17318699999998</v>
      </c>
      <c r="BQ62" s="20">
        <f>[1]!YBHIST(BQ$4,$A62,"LMMOAS","sec","")</f>
        <v>431.38330100000002</v>
      </c>
      <c r="BR62" s="20">
        <f>[1]!YBHIST(BR$4,$A62,"LMMOAS","sec","")</f>
        <v>612.694885</v>
      </c>
      <c r="BS62" s="20">
        <f>[1]!YBHIST(BS$4,$A62,"LMMOAS","sec","")</f>
        <v>260.596588</v>
      </c>
      <c r="BT62" s="20">
        <f>[1]!YBHIST(BT$4,$A62,"LMMOAS","sec","")</f>
        <v>346.85150099999998</v>
      </c>
      <c r="BU62" s="20">
        <f>[1]!YBHIST(BU$4,$A62,"LMMOAS","sec","")</f>
        <v>146.65679900000001</v>
      </c>
      <c r="BV62" s="20">
        <f>[1]!YBHIST(BV$4,$A62,"LMMOAS","sec","")</f>
        <v>249.553696</v>
      </c>
      <c r="BW62" s="20">
        <f>[1]!YBHIST(BW$4,$A62,"LMMOAS","sec","")</f>
        <v>211.953903</v>
      </c>
      <c r="BX62" s="5"/>
      <c r="BY62" s="1"/>
      <c r="BZ62" s="1"/>
    </row>
    <row r="63" spans="1:78" x14ac:dyDescent="0.25">
      <c r="A63" s="14">
        <f>[1]!YBWORKDAY(A$26,-1*(ROW()-ROW(A$26)),"USD","")</f>
        <v>41185</v>
      </c>
      <c r="B63" s="3">
        <f>[1]!YBHIST("2 Year Treasury",$A63,"Price","govt","")</f>
        <v>100.039001</v>
      </c>
      <c r="C63" s="2">
        <f>[1]!YBHIST("5 Year Treasury",$A63,"Price","govt","")</f>
        <v>100.10900100000001</v>
      </c>
      <c r="D63" s="2">
        <f>[1]!YBHIST("10 Year Treasury",$A63,"Price","govt","")</f>
        <v>100.046997</v>
      </c>
      <c r="E63" s="6">
        <f>[1]!YBHIST("30 Year Treasury",$A63,"Price","govt","")</f>
        <v>98.5</v>
      </c>
      <c r="F63" s="3">
        <f>[1]!YBHIST("2 Year Treasury",$A63,"YldtoMat","govt","")</f>
        <v>0.23</v>
      </c>
      <c r="G63" s="2">
        <f>[1]!YBHIST("5 Year Treasury",$A63,"YldtoMat","govt","")</f>
        <v>0.60299999999999998</v>
      </c>
      <c r="H63" s="2">
        <f>[1]!YBHIST("10 Year Treasury",$A63,"YldtoMat","govt","")</f>
        <v>1.62</v>
      </c>
      <c r="I63" s="6">
        <f>[1]!YBHIST("30 Year Treasury",$A63,"YldtoMat","govt","")</f>
        <v>2.8250000000000002</v>
      </c>
      <c r="J63" s="3">
        <f>[1]!YBHIST("2yr Swap Rate",$A63,"YldtoMat","swapvol","")</f>
        <v>0.36715999999999999</v>
      </c>
      <c r="K63" s="2">
        <f>[1]!YBHIST("5yr Swap Rate",$A63,"YldtoMat","swapvol","")</f>
        <v>0.73365100000000005</v>
      </c>
      <c r="L63" s="2">
        <f>[1]!YBHIST("10yr Swap Rate",$A63,"YldtoMat","swapvol","")</f>
        <v>1.683422</v>
      </c>
      <c r="M63" s="6">
        <f>[1]!YBHIST("30yr Swap Rate",$A63,"YldtoMat","swapvol","")</f>
        <v>2.6140189999999999</v>
      </c>
      <c r="N63" s="3">
        <f>[1]!YBHIST("FNMA 30YR Cur Coup (BE)",$A63,"Yield","bmk","")</f>
        <v>1.9830000000000001</v>
      </c>
      <c r="O63" s="2">
        <f>[1]!YBHIST("FHLMC 30YR Cur Coup (BE)",$A63,"Yield","bmk","")</f>
        <v>2.0289999999999999</v>
      </c>
      <c r="P63" s="2">
        <f>[1]!YBHIST("GNMA 30YR Cur Coup (BE)",$A63,"Yield","bmk","")</f>
        <v>1.897</v>
      </c>
      <c r="Q63" s="2">
        <f>[1]!YBHIST("Primary 30-Yr Mtg Rate",$A63,"Yield","bmk","")</f>
        <v>3.4384999999999999</v>
      </c>
      <c r="R63" s="2">
        <f>[1]!YBHIST("FHLM 30-Yr Survey Rate",$A63,"Yield","bmk","")</f>
        <v>3.4</v>
      </c>
      <c r="S63" s="6">
        <f>[1]!YBHIST("Base Mortgage Rate",$A63,"Yield","bmk","")</f>
        <v>2.3250000000000002</v>
      </c>
      <c r="T63" s="18">
        <f>[1]!YBHIST("FNMA 30YR Cur Coup (BE)",$A63,"LMMOAS","bmk","")</f>
        <v>-23.081699</v>
      </c>
      <c r="U63" s="19">
        <f>[1]!YBHIST("FHLMC 30YR Cur Coup (BE)",$A63,"LMMOAS","bmk","")</f>
        <v>-19.0839</v>
      </c>
      <c r="V63" s="19">
        <f>[1]!YBHIST("GNMA 30YR Cur Coup (BE)",$A63,"LMMOAS","bmk","")</f>
        <v>-18.1889</v>
      </c>
      <c r="W63" s="20">
        <f t="shared" si="6"/>
        <v>36.299999999999997</v>
      </c>
      <c r="X63" s="20">
        <f t="shared" si="7"/>
        <v>36.299999999999997</v>
      </c>
      <c r="Y63" s="20">
        <f t="shared" si="8"/>
        <v>40.899999999999977</v>
      </c>
      <c r="Z63" s="25">
        <f>[1]!YBHIST("FNMA3.0-GEN",$A63,"Price","tba","")</f>
        <v>105.8125</v>
      </c>
      <c r="AA63" s="2">
        <f>[1]!YBHIST("FNMA3.5-GEN",$A63,"Price","tba","")</f>
        <v>107.25</v>
      </c>
      <c r="AB63" s="2">
        <f>[1]!YBHIST("FNMA4.0-GEN",$A63,"Price","tba","")</f>
        <v>107.664062</v>
      </c>
      <c r="AC63" s="2">
        <f>[1]!YBHIST("FNMA4.5-GEN",$A63,"Price","tba","")</f>
        <v>108.3125</v>
      </c>
      <c r="AD63" s="2">
        <f>[1]!YBHIST("FNMA5.0-GEN",$A63,"Price","tba","")</f>
        <v>109.078125</v>
      </c>
      <c r="AE63" s="2">
        <f>[1]!YBHIST("FNMA5.5-GEN",$A63,"Price","tba","")</f>
        <v>109.570312</v>
      </c>
      <c r="AF63" s="6">
        <f>[1]!YBHIST("FNMA6.0-GEN",$A63,"Price","tba","")</f>
        <v>110.523438</v>
      </c>
      <c r="AG63" s="2">
        <f>[1]!YBHIST("FNMA3.0-GEN",$A63,"Yield","tba","")</f>
        <v>1.403</v>
      </c>
      <c r="AH63" s="2">
        <f>[1]!YBHIST("FNMA3.5-GEN",$A63,"Yield","tba","")</f>
        <v>0.91400000000000003</v>
      </c>
      <c r="AI63" s="2">
        <f>[1]!YBHIST("FNMA4.0-GEN",$A63,"Yield","tba","")</f>
        <v>0.89400000000000002</v>
      </c>
      <c r="AJ63" s="2">
        <f>[1]!YBHIST("FNMA4.5-GEN",$A63,"Yield","tba","")</f>
        <v>0.95199999999999996</v>
      </c>
      <c r="AK63" s="2">
        <f>[1]!YBHIST("FNMA5.0-GEN",$A63,"Yield","tba","")</f>
        <v>0.121</v>
      </c>
      <c r="AL63" s="2">
        <f>[1]!YBHIST("FNMA5.5-GEN",$A63,"Yield","tba","")</f>
        <v>0.4</v>
      </c>
      <c r="AM63" s="6">
        <f>[1]!YBHIST("FNMA6.0-GEN",$A63,"Yield","tba","")</f>
        <v>-0.13300000000000001</v>
      </c>
      <c r="AN63" s="3">
        <f>[1]!YBHIST(AN$4,$A63,"Price","sec","")</f>
        <v>11</v>
      </c>
      <c r="AO63" s="2">
        <f>[1]!YBHIST(AO$4,$A63,"Price","sec","")</f>
        <v>12.452999999999999</v>
      </c>
      <c r="AP63" s="2">
        <f>[1]!YBHIST(AP$4,$A63,"Price","sec","")</f>
        <v>10.625</v>
      </c>
      <c r="AQ63" s="2">
        <f>[1]!YBHIST(AQ$4,$A63,"Price","sec","")</f>
        <v>13.906000000000001</v>
      </c>
      <c r="AR63" s="2">
        <f>[1]!YBHIST(AR$4,$A63,"Price","sec","")</f>
        <v>11.891</v>
      </c>
      <c r="AS63" s="2">
        <f>[1]!YBHIST(AS$4,$A63,"Price","sec","")</f>
        <v>18.375</v>
      </c>
      <c r="AT63" s="2">
        <f>[1]!YBHIST(AT$4,$A63,"Price","sec","")</f>
        <v>16.219000000000001</v>
      </c>
      <c r="AU63" s="2">
        <f>[1]!YBHIST(AU$4,$A63,"Price","sec","")</f>
        <v>10.468999999999999</v>
      </c>
      <c r="AV63" s="2">
        <f>[1]!YBHIST(AV$4,$A63,"Price","sec","")</f>
        <v>13.25</v>
      </c>
      <c r="AW63" s="2">
        <f>[1]!YBHIST(AW$4,$A63,"Price","sec","")</f>
        <v>13.141</v>
      </c>
      <c r="AX63" s="2">
        <f>[1]!YBHIST(AX$4,$A63,"Price","sec","")</f>
        <v>11.343999999999999</v>
      </c>
      <c r="AY63" s="2">
        <f>[1]!YBHIST(AY$4,$A63,"Price","sec","")</f>
        <v>14.968999999999999</v>
      </c>
      <c r="AZ63" s="2">
        <f>[1]!YBHIST(AZ$4,$A63,"Price","sec","")</f>
        <v>14.109</v>
      </c>
      <c r="BA63" s="2">
        <f>[1]!YBHIST(BA$4,$A63,"Price","sec","")</f>
        <v>13.516</v>
      </c>
      <c r="BB63" s="2">
        <f>[1]!YBHIST(BB$4,$A63,"Price","sec","")</f>
        <v>17.233999000000001</v>
      </c>
      <c r="BC63" s="2">
        <f>[1]!YBHIST(BC$4,$A63,"Price","sec","")</f>
        <v>16.983999000000001</v>
      </c>
      <c r="BD63" s="2">
        <f>[1]!YBHIST(BD$4,$A63,"Price","sec","")</f>
        <v>16.812000000000001</v>
      </c>
      <c r="BE63" s="6">
        <f>[1]!YBHIST(BE$4,$A63,"Price","sec","")</f>
        <v>18.155999999999999</v>
      </c>
      <c r="BF63" s="20">
        <f>[1]!YBHIST(BF$4,$A63,"LMMOAS","sec","")</f>
        <v>403.300995</v>
      </c>
      <c r="BG63" s="20">
        <f>[1]!YBHIST(BG$4,$A63,"LMMOAS","sec","")</f>
        <v>294.43618800000002</v>
      </c>
      <c r="BH63" s="20">
        <f>[1]!YBHIST(BH$4,$A63,"LMMOAS","sec","")</f>
        <v>259.41430700000001</v>
      </c>
      <c r="BI63" s="20">
        <f>[1]!YBHIST(BI$4,$A63,"LMMOAS","sec","")</f>
        <v>310.68139600000001</v>
      </c>
      <c r="BJ63" s="20">
        <f>[1]!YBHIST(BJ$4,$A63,"LMMOAS","sec","")</f>
        <v>282.651794</v>
      </c>
      <c r="BK63" s="20">
        <f>[1]!YBHIST(BK$4,$A63,"LMMOAS","sec","")</f>
        <v>166.17939799999999</v>
      </c>
      <c r="BL63" s="20">
        <f>[1]!YBHIST(BL$4,$A63,"LMMOAS","sec","")</f>
        <v>149.33109999999999</v>
      </c>
      <c r="BM63" s="20">
        <f>[1]!YBHIST(BM$4,$A63,"LMMOAS","sec","")</f>
        <v>-33.614497999999998</v>
      </c>
      <c r="BN63" s="20">
        <f>[1]!YBHIST(BN$4,$A63,"LMMOAS","sec","")</f>
        <v>67.787102000000004</v>
      </c>
      <c r="BO63" s="20">
        <f>[1]!YBHIST(BO$4,$A63,"LMMOAS","sec","")</f>
        <v>251.08779899999999</v>
      </c>
      <c r="BP63" s="20">
        <f>[1]!YBHIST(BP$4,$A63,"LMMOAS","sec","")</f>
        <v>212.6651</v>
      </c>
      <c r="BQ63" s="20">
        <f>[1]!YBHIST(BQ$4,$A63,"LMMOAS","sec","")</f>
        <v>392.30868500000003</v>
      </c>
      <c r="BR63" s="20">
        <f>[1]!YBHIST(BR$4,$A63,"LMMOAS","sec","")</f>
        <v>585.70648200000005</v>
      </c>
      <c r="BS63" s="20">
        <f>[1]!YBHIST(BS$4,$A63,"LMMOAS","sec","")</f>
        <v>206.267807</v>
      </c>
      <c r="BT63" s="20">
        <f>[1]!YBHIST(BT$4,$A63,"LMMOAS","sec","")</f>
        <v>302.44149800000002</v>
      </c>
      <c r="BU63" s="20">
        <f>[1]!YBHIST(BU$4,$A63,"LMMOAS","sec","")</f>
        <v>96.613899000000004</v>
      </c>
      <c r="BV63" s="20">
        <f>[1]!YBHIST(BV$4,$A63,"LMMOAS","sec","")</f>
        <v>211.29800399999999</v>
      </c>
      <c r="BW63" s="20">
        <f>[1]!YBHIST(BW$4,$A63,"LMMOAS","sec","")</f>
        <v>175.57389800000001</v>
      </c>
      <c r="BX63" s="5"/>
      <c r="BY63" s="1"/>
      <c r="BZ63" s="1"/>
    </row>
    <row r="64" spans="1:78" x14ac:dyDescent="0.25">
      <c r="A64" s="14">
        <f>[1]!YBWORKDAY(A$26,-1*(ROW()-ROW(A$26)),"USD","")</f>
        <v>41184</v>
      </c>
      <c r="B64" s="3">
        <f>[1]!YBHIST("2 Year Treasury",$A64,"Price","govt","")</f>
        <v>100.023003</v>
      </c>
      <c r="C64" s="2">
        <f>[1]!YBHIST("5 Year Treasury",$A64,"Price","govt","")</f>
        <v>100.06300400000001</v>
      </c>
      <c r="D64" s="2">
        <f>[1]!YBHIST("10 Year Treasury",$A64,"Price","govt","")</f>
        <v>100.10900100000001</v>
      </c>
      <c r="E64" s="6">
        <f>[1]!YBHIST("30 Year Treasury",$A64,"Price","govt","")</f>
        <v>98.828002999999995</v>
      </c>
      <c r="F64" s="3">
        <f>[1]!YBHIST("2 Year Treasury",$A64,"YldtoMat","govt","")</f>
        <v>0.23799999999999999</v>
      </c>
      <c r="G64" s="2">
        <f>[1]!YBHIST("5 Year Treasury",$A64,"YldtoMat","govt","")</f>
        <v>0.61199999999999999</v>
      </c>
      <c r="H64" s="2">
        <f>[1]!YBHIST("10 Year Treasury",$A64,"YldtoMat","govt","")</f>
        <v>1.613</v>
      </c>
      <c r="I64" s="6">
        <f>[1]!YBHIST("30 Year Treasury",$A64,"YldtoMat","govt","")</f>
        <v>2.8079999999999998</v>
      </c>
      <c r="J64" s="3">
        <f>[1]!YBHIST("2yr Swap Rate",$A64,"YldtoMat","swapvol","")</f>
        <v>0.37406</v>
      </c>
      <c r="K64" s="2">
        <f>[1]!YBHIST("5yr Swap Rate",$A64,"YldtoMat","swapvol","")</f>
        <v>0.75299300000000002</v>
      </c>
      <c r="L64" s="2">
        <f>[1]!YBHIST("10yr Swap Rate",$A64,"YldtoMat","swapvol","")</f>
        <v>1.688958</v>
      </c>
      <c r="M64" s="6">
        <f>[1]!YBHIST("30yr Swap Rate",$A64,"YldtoMat","swapvol","")</f>
        <v>2.6024699999999998</v>
      </c>
      <c r="N64" s="3">
        <f>[1]!YBHIST("FNMA 30YR Cur Coup (BE)",$A64,"Yield","bmk","")</f>
        <v>1.925</v>
      </c>
      <c r="O64" s="2">
        <f>[1]!YBHIST("FHLMC 30YR Cur Coup (BE)",$A64,"Yield","bmk","")</f>
        <v>1.9710000000000001</v>
      </c>
      <c r="P64" s="2">
        <f>[1]!YBHIST("GNMA 30YR Cur Coup (BE)",$A64,"Yield","bmk","")</f>
        <v>1.839</v>
      </c>
      <c r="Q64" s="2">
        <f>[1]!YBHIST("Primary 30-Yr Mtg Rate",$A64,"Yield","bmk","")</f>
        <v>3.3818999999999999</v>
      </c>
      <c r="R64" s="2">
        <f>[1]!YBHIST("FHLM 30-Yr Survey Rate",$A64,"Yield","bmk","")</f>
        <v>3.4</v>
      </c>
      <c r="S64" s="6">
        <f>[1]!YBHIST("Base Mortgage Rate",$A64,"Yield","bmk","")</f>
        <v>2.2679999999999998</v>
      </c>
      <c r="T64" s="18">
        <f>[1]!YBHIST("FNMA 30YR Cur Coup (BE)",$A64,"LMMOAS","bmk","")</f>
        <v>-30.170200000000001</v>
      </c>
      <c r="U64" s="19">
        <f>[1]!YBHIST("FHLMC 30YR Cur Coup (BE)",$A64,"LMMOAS","bmk","")</f>
        <v>-26.863199000000002</v>
      </c>
      <c r="V64" s="19">
        <f>[1]!YBHIST("GNMA 30YR Cur Coup (BE)",$A64,"LMMOAS","bmk","")</f>
        <v>-19.470400000000001</v>
      </c>
      <c r="W64" s="20">
        <f t="shared" si="6"/>
        <v>31.200000000000006</v>
      </c>
      <c r="X64" s="20">
        <f t="shared" si="7"/>
        <v>31.200000000000006</v>
      </c>
      <c r="Y64" s="20">
        <f t="shared" si="8"/>
        <v>35.800000000000011</v>
      </c>
      <c r="Z64" s="25">
        <f>[1]!YBHIST("FNMA3.0-GEN",$A64,"Price","tba","")</f>
        <v>105.960938</v>
      </c>
      <c r="AA64" s="2">
        <f>[1]!YBHIST("FNMA3.5-GEN",$A64,"Price","tba","")</f>
        <v>107.4375</v>
      </c>
      <c r="AB64" s="2">
        <f>[1]!YBHIST("FNMA4.0-GEN",$A64,"Price","tba","")</f>
        <v>107.796875</v>
      </c>
      <c r="AC64" s="2">
        <f>[1]!YBHIST("FNMA4.5-GEN",$A64,"Price","tba","")</f>
        <v>108.226562</v>
      </c>
      <c r="AD64" s="2">
        <f>[1]!YBHIST("FNMA5.0-GEN",$A64,"Price","tba","")</f>
        <v>108.984375</v>
      </c>
      <c r="AE64" s="2">
        <f>[1]!YBHIST("FNMA5.5-GEN",$A64,"Price","tba","")</f>
        <v>109.4375</v>
      </c>
      <c r="AF64" s="6">
        <f>[1]!YBHIST("FNMA6.0-GEN",$A64,"Price","tba","")</f>
        <v>110.320312</v>
      </c>
      <c r="AG64" s="2">
        <f>[1]!YBHIST("FNMA3.0-GEN",$A64,"Yield","tba","")</f>
        <v>1.3009999999999999</v>
      </c>
      <c r="AH64" s="2">
        <f>[1]!YBHIST("FNMA3.5-GEN",$A64,"Yield","tba","")</f>
        <v>0.77400000000000002</v>
      </c>
      <c r="AI64" s="2">
        <f>[1]!YBHIST("FNMA4.0-GEN",$A64,"Yield","tba","")</f>
        <v>0.77100000000000002</v>
      </c>
      <c r="AJ64" s="2">
        <f>[1]!YBHIST("FNMA4.5-GEN",$A64,"Yield","tba","")</f>
        <v>0.92300000000000004</v>
      </c>
      <c r="AK64" s="2">
        <f>[1]!YBHIST("FNMA5.0-GEN",$A64,"Yield","tba","")</f>
        <v>0.113</v>
      </c>
      <c r="AL64" s="2">
        <f>[1]!YBHIST("FNMA5.5-GEN",$A64,"Yield","tba","")</f>
        <v>0.42499999999999999</v>
      </c>
      <c r="AM64" s="6">
        <f>[1]!YBHIST("FNMA6.0-GEN",$A64,"Yield","tba","")</f>
        <v>-6.2E-2</v>
      </c>
      <c r="AN64" s="3">
        <f>[1]!YBHIST(AN$4,$A64,"Price","sec","")</f>
        <v>11.047000000000001</v>
      </c>
      <c r="AO64" s="2">
        <f>[1]!YBHIST(AO$4,$A64,"Price","sec","")</f>
        <v>12.531000000000001</v>
      </c>
      <c r="AP64" s="2">
        <f>[1]!YBHIST(AP$4,$A64,"Price","sec","")</f>
        <v>10.625</v>
      </c>
      <c r="AQ64" s="2">
        <f>[1]!YBHIST(AQ$4,$A64,"Price","sec","")</f>
        <v>13.922000000000001</v>
      </c>
      <c r="AR64" s="2">
        <f>[1]!YBHIST(AR$4,$A64,"Price","sec","")</f>
        <v>11.906000000000001</v>
      </c>
      <c r="AS64" s="2">
        <f>[1]!YBHIST(AS$4,$A64,"Price","sec","")</f>
        <v>18.405999999999999</v>
      </c>
      <c r="AT64" s="2">
        <f>[1]!YBHIST(AT$4,$A64,"Price","sec","")</f>
        <v>16.25</v>
      </c>
      <c r="AU64" s="2">
        <f>[1]!YBHIST(AU$4,$A64,"Price","sec","")</f>
        <v>10.5</v>
      </c>
      <c r="AV64" s="2">
        <f>[1]!YBHIST(AV$4,$A64,"Price","sec","")</f>
        <v>13.297000000000001</v>
      </c>
      <c r="AW64" s="2">
        <f>[1]!YBHIST(AW$4,$A64,"Price","sec","")</f>
        <v>13.172000000000001</v>
      </c>
      <c r="AX64" s="2">
        <f>[1]!YBHIST(AX$4,$A64,"Price","sec","")</f>
        <v>11.327999999999999</v>
      </c>
      <c r="AY64" s="2">
        <f>[1]!YBHIST(AY$4,$A64,"Price","sec","")</f>
        <v>14.952999999999999</v>
      </c>
      <c r="AZ64" s="2">
        <f>[1]!YBHIST(AZ$4,$A64,"Price","sec","")</f>
        <v>14.093999999999999</v>
      </c>
      <c r="BA64" s="2">
        <f>[1]!YBHIST(BA$4,$A64,"Price","sec","")</f>
        <v>13.5</v>
      </c>
      <c r="BB64" s="2">
        <f>[1]!YBHIST(BB$4,$A64,"Price","sec","")</f>
        <v>17.25</v>
      </c>
      <c r="BC64" s="2">
        <f>[1]!YBHIST(BC$4,$A64,"Price","sec","")</f>
        <v>16.891000999999999</v>
      </c>
      <c r="BD64" s="2">
        <f>[1]!YBHIST(BD$4,$A64,"Price","sec","")</f>
        <v>16.719000000000001</v>
      </c>
      <c r="BE64" s="6">
        <f>[1]!YBHIST(BE$4,$A64,"Price","sec","")</f>
        <v>18.077998999999998</v>
      </c>
      <c r="BF64" s="20">
        <f>[1]!YBHIST(BF$4,$A64,"LMMOAS","sec","")</f>
        <v>320.59619099999998</v>
      </c>
      <c r="BG64" s="20">
        <f>[1]!YBHIST(BG$4,$A64,"LMMOAS","sec","")</f>
        <v>215.30149800000001</v>
      </c>
      <c r="BH64" s="20">
        <f>[1]!YBHIST(BH$4,$A64,"LMMOAS","sec","")</f>
        <v>192.59049999999999</v>
      </c>
      <c r="BI64" s="20">
        <f>[1]!YBHIST(BI$4,$A64,"LMMOAS","sec","")</f>
        <v>248.98919699999999</v>
      </c>
      <c r="BJ64" s="20">
        <f>[1]!YBHIST(BJ$4,$A64,"LMMOAS","sec","")</f>
        <v>218.68499800000001</v>
      </c>
      <c r="BK64" s="20">
        <f>[1]!YBHIST(BK$4,$A64,"LMMOAS","sec","")</f>
        <v>120.281898</v>
      </c>
      <c r="BL64" s="20">
        <f>[1]!YBHIST(BL$4,$A64,"LMMOAS","sec","")</f>
        <v>97.014503000000005</v>
      </c>
      <c r="BM64" s="20">
        <f>[1]!YBHIST(BM$4,$A64,"LMMOAS","sec","")</f>
        <v>-92.044899000000001</v>
      </c>
      <c r="BN64" s="20">
        <f>[1]!YBHIST(BN$4,$A64,"LMMOAS","sec","")</f>
        <v>18.349501</v>
      </c>
      <c r="BO64" s="20">
        <f>[1]!YBHIST(BO$4,$A64,"LMMOAS","sec","")</f>
        <v>208.36520400000001</v>
      </c>
      <c r="BP64" s="20">
        <f>[1]!YBHIST(BP$4,$A64,"LMMOAS","sec","")</f>
        <v>173.68150299999999</v>
      </c>
      <c r="BQ64" s="20">
        <f>[1]!YBHIST(BQ$4,$A64,"LMMOAS","sec","")</f>
        <v>363.19769300000002</v>
      </c>
      <c r="BR64" s="20">
        <f>[1]!YBHIST(BR$4,$A64,"LMMOAS","sec","")</f>
        <v>559.02459699999997</v>
      </c>
      <c r="BS64" s="20">
        <f>[1]!YBHIST(BS$4,$A64,"LMMOAS","sec","")</f>
        <v>175.045502</v>
      </c>
      <c r="BT64" s="20">
        <f>[1]!YBHIST(BT$4,$A64,"LMMOAS","sec","")</f>
        <v>275.32019000000003</v>
      </c>
      <c r="BU64" s="20">
        <f>[1]!YBHIST(BU$4,$A64,"LMMOAS","sec","")</f>
        <v>54.994498999999998</v>
      </c>
      <c r="BV64" s="20">
        <f>[1]!YBHIST(BV$4,$A64,"LMMOAS","sec","")</f>
        <v>175.075806</v>
      </c>
      <c r="BW64" s="20">
        <f>[1]!YBHIST(BW$4,$A64,"LMMOAS","sec","")</f>
        <v>142.969696</v>
      </c>
      <c r="BX64" s="5"/>
      <c r="BY64" s="1"/>
      <c r="BZ64" s="1"/>
    </row>
    <row r="65" spans="1:78" x14ac:dyDescent="0.25">
      <c r="A65" s="14">
        <f>[1]!YBWORKDAY(A$26,-1*(ROW()-ROW(A$26)),"USD","")</f>
        <v>41183</v>
      </c>
      <c r="B65" s="3">
        <f>[1]!YBHIST("2 Year Treasury",$A65,"Price","govt","")</f>
        <v>100.023003</v>
      </c>
      <c r="C65" s="2">
        <f>[1]!YBHIST("5 Year Treasury",$A65,"Price","govt","")</f>
        <v>100.030998</v>
      </c>
      <c r="D65" s="2">
        <f>[1]!YBHIST("10 Year Treasury",$A65,"Price","govt","")</f>
        <v>100.030998</v>
      </c>
      <c r="E65" s="6">
        <f>[1]!YBHIST("30 Year Treasury",$A65,"Price","govt","")</f>
        <v>98.563004000000006</v>
      </c>
      <c r="F65" s="3">
        <f>[1]!YBHIST("2 Year Treasury",$A65,"YldtoMat","govt","")</f>
        <v>0.23799999999999999</v>
      </c>
      <c r="G65" s="2">
        <f>[1]!YBHIST("5 Year Treasury",$A65,"YldtoMat","govt","")</f>
        <v>0.61899999999999999</v>
      </c>
      <c r="H65" s="2">
        <f>[1]!YBHIST("10 Year Treasury",$A65,"YldtoMat","govt","")</f>
        <v>1.621</v>
      </c>
      <c r="I65" s="6">
        <f>[1]!YBHIST("30 Year Treasury",$A65,"YldtoMat","govt","")</f>
        <v>2.8210000000000002</v>
      </c>
      <c r="J65" s="3">
        <f>[1]!YBHIST("2yr Swap Rate",$A65,"YldtoMat","swapvol","")</f>
        <v>0.37031199999999997</v>
      </c>
      <c r="K65" s="2">
        <f>[1]!YBHIST("5yr Swap Rate",$A65,"YldtoMat","swapvol","")</f>
        <v>0.75933399999999995</v>
      </c>
      <c r="L65" s="2">
        <f>[1]!YBHIST("10yr Swap Rate",$A65,"YldtoMat","swapvol","")</f>
        <v>1.6950959999999999</v>
      </c>
      <c r="M65" s="6">
        <f>[1]!YBHIST("30yr Swap Rate",$A65,"YldtoMat","swapvol","")</f>
        <v>2.6008779999999998</v>
      </c>
      <c r="N65" s="3">
        <f>[1]!YBHIST("FNMA 30YR Cur Coup (BE)",$A65,"Yield","bmk","")</f>
        <v>1.986</v>
      </c>
      <c r="O65" s="2">
        <f>[1]!YBHIST("FHLMC 30YR Cur Coup (BE)",$A65,"Yield","bmk","")</f>
        <v>2.032</v>
      </c>
      <c r="P65" s="2">
        <f>[1]!YBHIST("GNMA 30YR Cur Coup (BE)",$A65,"Yield","bmk","")</f>
        <v>1.9</v>
      </c>
      <c r="Q65" s="2">
        <f>[1]!YBHIST("Primary 30-Yr Mtg Rate",$A65,"Yield","bmk","")</f>
        <v>3.4403000000000001</v>
      </c>
      <c r="R65" s="2">
        <f>[1]!YBHIST("FHLM 30-Yr Survey Rate",$A65,"Yield","bmk","")</f>
        <v>3.4</v>
      </c>
      <c r="S65" s="6">
        <f>[1]!YBHIST("Base Mortgage Rate",$A65,"Yield","bmk","")</f>
        <v>2.3260000000000001</v>
      </c>
      <c r="T65" s="18">
        <f>[1]!YBHIST("FNMA 30YR Cur Coup (BE)",$A65,"LMMOAS","bmk","")</f>
        <v>-23.723801000000002</v>
      </c>
      <c r="U65" s="19">
        <f>[1]!YBHIST("FHLMC 30YR Cur Coup (BE)",$A65,"LMMOAS","bmk","")</f>
        <v>-19.6173</v>
      </c>
      <c r="V65" s="19">
        <f>[1]!YBHIST("GNMA 30YR Cur Coup (BE)",$A65,"LMMOAS","bmk","")</f>
        <v>-19.295200000000001</v>
      </c>
      <c r="W65" s="20">
        <f t="shared" si="6"/>
        <v>36.5</v>
      </c>
      <c r="X65" s="20">
        <f t="shared" si="7"/>
        <v>36.5</v>
      </c>
      <c r="Y65" s="20">
        <f t="shared" si="8"/>
        <v>41.1</v>
      </c>
      <c r="Z65" s="25">
        <f>[1]!YBHIST("FNMA3.0-GEN",$A65,"Price","tba","")</f>
        <v>105.765625</v>
      </c>
      <c r="AA65" s="2">
        <f>[1]!YBHIST("FNMA3.5-GEN",$A65,"Price","tba","")</f>
        <v>107.390625</v>
      </c>
      <c r="AB65" s="2">
        <f>[1]!YBHIST("FNMA4.0-GEN",$A65,"Price","tba","")</f>
        <v>107.828125</v>
      </c>
      <c r="AC65" s="2">
        <f>[1]!YBHIST("FNMA4.5-GEN",$A65,"Price","tba","")</f>
        <v>108.304688</v>
      </c>
      <c r="AD65" s="2">
        <f>[1]!YBHIST("FNMA5.0-GEN",$A65,"Price","tba","")</f>
        <v>109.09375</v>
      </c>
      <c r="AE65" s="2">
        <f>[1]!YBHIST("FNMA5.5-GEN",$A65,"Price","tba","")</f>
        <v>109.617188</v>
      </c>
      <c r="AF65" s="6">
        <f>[1]!YBHIST("FNMA6.0-GEN",$A65,"Price","tba","")</f>
        <v>110.4375</v>
      </c>
      <c r="AG65" s="2">
        <f>[1]!YBHIST("FNMA3.0-GEN",$A65,"Yield","tba","")</f>
        <v>1.4179999999999999</v>
      </c>
      <c r="AH65" s="2">
        <f>[1]!YBHIST("FNMA3.5-GEN",$A65,"Yield","tba","")</f>
        <v>0.873</v>
      </c>
      <c r="AI65" s="2">
        <f>[1]!YBHIST("FNMA4.0-GEN",$A65,"Yield","tba","")</f>
        <v>0.84</v>
      </c>
      <c r="AJ65" s="2">
        <f>[1]!YBHIST("FNMA4.5-GEN",$A65,"Yield","tba","")</f>
        <v>0.95899999999999996</v>
      </c>
      <c r="AK65" s="2">
        <f>[1]!YBHIST("FNMA5.0-GEN",$A65,"Yield","tba","")</f>
        <v>0.11700000000000001</v>
      </c>
      <c r="AL65" s="2">
        <f>[1]!YBHIST("FNMA5.5-GEN",$A65,"Yield","tba","")</f>
        <v>0.38100000000000001</v>
      </c>
      <c r="AM65" s="6">
        <f>[1]!YBHIST("FNMA6.0-GEN",$A65,"Yield","tba","")</f>
        <v>-8.8999999999999996E-2</v>
      </c>
      <c r="AN65" s="3">
        <f>[1]!YBHIST(AN$4,$A65,"Price","sec","")</f>
        <v>11.266</v>
      </c>
      <c r="AO65" s="2">
        <f>[1]!YBHIST(AO$4,$A65,"Price","sec","")</f>
        <v>12.702999999999999</v>
      </c>
      <c r="AP65" s="2">
        <f>[1]!YBHIST(AP$4,$A65,"Price","sec","")</f>
        <v>10.797000000000001</v>
      </c>
      <c r="AQ65" s="2">
        <f>[1]!YBHIST(AQ$4,$A65,"Price","sec","")</f>
        <v>13.952999999999999</v>
      </c>
      <c r="AR65" s="2">
        <f>[1]!YBHIST(AR$4,$A65,"Price","sec","")</f>
        <v>11.984</v>
      </c>
      <c r="AS65" s="2">
        <f>[1]!YBHIST(AS$4,$A65,"Price","sec","")</f>
        <v>18.452998999999998</v>
      </c>
      <c r="AT65" s="2">
        <f>[1]!YBHIST(AT$4,$A65,"Price","sec","")</f>
        <v>16.297001000000002</v>
      </c>
      <c r="AU65" s="2">
        <f>[1]!YBHIST(AU$4,$A65,"Price","sec","")</f>
        <v>10.577999999999999</v>
      </c>
      <c r="AV65" s="2">
        <f>[1]!YBHIST(AV$4,$A65,"Price","sec","")</f>
        <v>13.375</v>
      </c>
      <c r="AW65" s="2">
        <f>[1]!YBHIST(AW$4,$A65,"Price","sec","")</f>
        <v>13.234</v>
      </c>
      <c r="AX65" s="2">
        <f>[1]!YBHIST(AX$4,$A65,"Price","sec","")</f>
        <v>11.375</v>
      </c>
      <c r="AY65" s="2">
        <f>[1]!YBHIST(AY$4,$A65,"Price","sec","")</f>
        <v>14.984</v>
      </c>
      <c r="AZ65" s="2">
        <f>[1]!YBHIST(AZ$4,$A65,"Price","sec","")</f>
        <v>14.141</v>
      </c>
      <c r="BA65" s="2">
        <f>[1]!YBHIST(BA$4,$A65,"Price","sec","")</f>
        <v>13.531000000000001</v>
      </c>
      <c r="BB65" s="2">
        <f>[1]!YBHIST(BB$4,$A65,"Price","sec","")</f>
        <v>17.266000999999999</v>
      </c>
      <c r="BC65" s="2">
        <f>[1]!YBHIST(BC$4,$A65,"Price","sec","")</f>
        <v>17.047001000000002</v>
      </c>
      <c r="BD65" s="2">
        <f>[1]!YBHIST(BD$4,$A65,"Price","sec","")</f>
        <v>16.875</v>
      </c>
      <c r="BE65" s="6">
        <f>[1]!YBHIST(BE$4,$A65,"Price","sec","")</f>
        <v>18.172001000000002</v>
      </c>
      <c r="BF65" s="20">
        <f>[1]!YBHIST(BF$4,$A65,"LMMOAS","sec","")</f>
        <v>352.71398900000003</v>
      </c>
      <c r="BG65" s="20">
        <f>[1]!YBHIST(BG$4,$A65,"LMMOAS","sec","")</f>
        <v>253.046097</v>
      </c>
      <c r="BH65" s="20">
        <f>[1]!YBHIST(BH$4,$A65,"LMMOAS","sec","")</f>
        <v>226.55569499999999</v>
      </c>
      <c r="BI65" s="20">
        <f>[1]!YBHIST(BI$4,$A65,"LMMOAS","sec","")</f>
        <v>307.88159200000001</v>
      </c>
      <c r="BJ65" s="20">
        <f>[1]!YBHIST(BJ$4,$A65,"LMMOAS","sec","")</f>
        <v>268.92080700000002</v>
      </c>
      <c r="BK65" s="20">
        <f>[1]!YBHIST(BK$4,$A65,"LMMOAS","sec","")</f>
        <v>158.45519999999999</v>
      </c>
      <c r="BL65" s="20">
        <f>[1]!YBHIST(BL$4,$A65,"LMMOAS","sec","")</f>
        <v>140.725998</v>
      </c>
      <c r="BM65" s="20">
        <f>[1]!YBHIST(BM$4,$A65,"LMMOAS","sec","")</f>
        <v>-55.305098999999998</v>
      </c>
      <c r="BN65" s="20">
        <f>[1]!YBHIST(BN$4,$A65,"LMMOAS","sec","")</f>
        <v>48.404899999999998</v>
      </c>
      <c r="BO65" s="20">
        <f>[1]!YBHIST(BO$4,$A65,"LMMOAS","sec","")</f>
        <v>236.756393</v>
      </c>
      <c r="BP65" s="20">
        <f>[1]!YBHIST(BP$4,$A65,"LMMOAS","sec","")</f>
        <v>213.09759500000001</v>
      </c>
      <c r="BQ65" s="20">
        <f>[1]!YBHIST(BQ$4,$A65,"LMMOAS","sec","")</f>
        <v>394.78048699999999</v>
      </c>
      <c r="BR65" s="20">
        <f>[1]!YBHIST(BR$4,$A65,"LMMOAS","sec","")</f>
        <v>584.483521</v>
      </c>
      <c r="BS65" s="20">
        <f>[1]!YBHIST(BS$4,$A65,"LMMOAS","sec","")</f>
        <v>209.944107</v>
      </c>
      <c r="BT65" s="20">
        <f>[1]!YBHIST(BT$4,$A65,"LMMOAS","sec","")</f>
        <v>300.571686</v>
      </c>
      <c r="BU65" s="20">
        <f>[1]!YBHIST(BU$4,$A65,"LMMOAS","sec","")</f>
        <v>91.262000999999998</v>
      </c>
      <c r="BV65" s="20">
        <f>[1]!YBHIST(BV$4,$A65,"LMMOAS","sec","")</f>
        <v>205.55059800000001</v>
      </c>
      <c r="BW65" s="20">
        <f>[1]!YBHIST(BW$4,$A65,"LMMOAS","sec","")</f>
        <v>175.344604</v>
      </c>
      <c r="BX65" s="5"/>
      <c r="BY65" s="1"/>
      <c r="BZ65" s="1"/>
    </row>
    <row r="66" spans="1:78" x14ac:dyDescent="0.25">
      <c r="A66" s="14">
        <f>[1]!YBWORKDAY(A$26,-1*(ROW()-ROW(A$26)),"USD","")</f>
        <v>41180</v>
      </c>
      <c r="B66" s="3">
        <f>[1]!YBHIST("2 Year Treasury",$A66,"Price","govt","")</f>
        <v>100.030998</v>
      </c>
      <c r="C66" s="2">
        <f>[1]!YBHIST("5 Year Treasury",$A66,"Price","govt","")</f>
        <v>99.976996999999997</v>
      </c>
      <c r="D66" s="2">
        <f>[1]!YBHIST("10 Year Treasury",$A66,"Price","govt","")</f>
        <v>99.875</v>
      </c>
      <c r="E66" s="6">
        <f>[1]!YBHIST("30 Year Treasury",$A66,"Price","govt","")</f>
        <v>98.313004000000006</v>
      </c>
      <c r="F66" s="3">
        <f>[1]!YBHIST("2 Year Treasury",$A66,"YldtoMat","govt","")</f>
        <v>0.23400000000000001</v>
      </c>
      <c r="G66" s="2">
        <f>[1]!YBHIST("5 Year Treasury",$A66,"YldtoMat","govt","")</f>
        <v>0.63</v>
      </c>
      <c r="H66" s="2">
        <f>[1]!YBHIST("10 Year Treasury",$A66,"YldtoMat","govt","")</f>
        <v>1.639</v>
      </c>
      <c r="I66" s="6">
        <f>[1]!YBHIST("30 Year Treasury",$A66,"YldtoMat","govt","")</f>
        <v>2.8340000000000001</v>
      </c>
      <c r="J66" s="3">
        <f>[1]!YBHIST("2yr Swap Rate",$A66,"YldtoMat","swapvol","")</f>
        <v>0.36792900000000001</v>
      </c>
      <c r="K66" s="2">
        <f>[1]!YBHIST("5yr Swap Rate",$A66,"YldtoMat","swapvol","")</f>
        <v>0.76883699999999999</v>
      </c>
      <c r="L66" s="2">
        <f>[1]!YBHIST("10yr Swap Rate",$A66,"YldtoMat","swapvol","")</f>
        <v>1.7053069999999999</v>
      </c>
      <c r="M66" s="6">
        <f>[1]!YBHIST("30yr Swap Rate",$A66,"YldtoMat","swapvol","")</f>
        <v>2.6103160000000001</v>
      </c>
      <c r="N66" s="3">
        <f>[1]!YBHIST("FNMA 30YR Cur Coup (BE)",$A66,"Yield","bmk","")</f>
        <v>2.0390000000000001</v>
      </c>
      <c r="O66" s="2">
        <f>[1]!YBHIST("FHLMC 30YR Cur Coup (BE)",$A66,"Yield","bmk","")</f>
        <v>2.085</v>
      </c>
      <c r="P66" s="2">
        <f>[1]!YBHIST("GNMA 30YR Cur Coup (BE)",$A66,"Yield","bmk","")</f>
        <v>1.9530000000000001</v>
      </c>
      <c r="Q66" s="2">
        <f>[1]!YBHIST("Primary 30-Yr Mtg Rate",$A66,"Yield","bmk","")</f>
        <v>3.4958999999999998</v>
      </c>
      <c r="R66" s="2">
        <f>[1]!YBHIST("FHLM 30-Yr Survey Rate",$A66,"Yield","bmk","")</f>
        <v>3.4</v>
      </c>
      <c r="S66" s="6">
        <f>[1]!YBHIST("Base Mortgage Rate",$A66,"Yield","bmk","")</f>
        <v>2.3820000000000001</v>
      </c>
      <c r="T66" s="18">
        <f>[1]!YBHIST("FNMA 30YR Cur Coup (BE)",$A66,"LMMOAS","bmk","")</f>
        <v>-20.069201</v>
      </c>
      <c r="U66" s="19">
        <f>[1]!YBHIST("FHLMC 30YR Cur Coup (BE)",$A66,"LMMOAS","bmk","")</f>
        <v>-15.688800000000001</v>
      </c>
      <c r="V66" s="19">
        <f>[1]!YBHIST("GNMA 30YR Cur Coup (BE)",$A66,"LMMOAS","bmk","")</f>
        <v>-21.016701000000001</v>
      </c>
      <c r="W66" s="20">
        <f t="shared" si="6"/>
        <v>40.000000000000014</v>
      </c>
      <c r="X66" s="20">
        <f t="shared" si="7"/>
        <v>40.000000000000014</v>
      </c>
      <c r="Y66" s="20">
        <f t="shared" si="8"/>
        <v>44.599999999999994</v>
      </c>
      <c r="Z66" s="25">
        <f>[1]!YBHIST("FNMA3.0-GEN",$A66,"Price","tba","")</f>
        <v>105.53125</v>
      </c>
      <c r="AA66" s="2">
        <f>[1]!YBHIST("FNMA3.5-GEN",$A66,"Price","tba","")</f>
        <v>107.226562</v>
      </c>
      <c r="AB66" s="2">
        <f>[1]!YBHIST("FNMA4.0-GEN",$A66,"Price","tba","")</f>
        <v>107.734375</v>
      </c>
      <c r="AC66" s="2">
        <f>[1]!YBHIST("FNMA4.5-GEN",$A66,"Price","tba","")</f>
        <v>108.257812</v>
      </c>
      <c r="AD66" s="2">
        <f>[1]!YBHIST("FNMA5.0-GEN",$A66,"Price","tba","")</f>
        <v>109.085938</v>
      </c>
      <c r="AE66" s="2">
        <f>[1]!YBHIST("FNMA5.5-GEN",$A66,"Price","tba","")</f>
        <v>109.640625</v>
      </c>
      <c r="AF66" s="6">
        <f>[1]!YBHIST("FNMA6.0-GEN",$A66,"Price","tba","")</f>
        <v>110.453125</v>
      </c>
      <c r="AG66" s="2">
        <f>[1]!YBHIST("FNMA3.0-GEN",$A66,"Yield","tba","")</f>
        <v>1.5329999999999999</v>
      </c>
      <c r="AH66" s="2">
        <f>[1]!YBHIST("FNMA3.5-GEN",$A66,"Yield","tba","")</f>
        <v>0.997</v>
      </c>
      <c r="AI66" s="2">
        <f>[1]!YBHIST("FNMA4.0-GEN",$A66,"Yield","tba","")</f>
        <v>0.94</v>
      </c>
      <c r="AJ66" s="2">
        <f>[1]!YBHIST("FNMA4.5-GEN",$A66,"Yield","tba","")</f>
        <v>1.03</v>
      </c>
      <c r="AK66" s="2">
        <f>[1]!YBHIST("FNMA5.0-GEN",$A66,"Yield","tba","")</f>
        <v>0.16900000000000001</v>
      </c>
      <c r="AL66" s="2">
        <f>[1]!YBHIST("FNMA5.5-GEN",$A66,"Yield","tba","")</f>
        <v>0.40500000000000003</v>
      </c>
      <c r="AM66" s="6">
        <f>[1]!YBHIST("FNMA6.0-GEN",$A66,"Yield","tba","")</f>
        <v>-6.8000000000000005E-2</v>
      </c>
      <c r="AN66" s="3">
        <f>[1]!YBHIST(AN$4,$A66,"Price","sec","")</f>
        <v>11.547000000000001</v>
      </c>
      <c r="AO66" s="2">
        <f>[1]!YBHIST(AO$4,$A66,"Price","sec","")</f>
        <v>12.938000000000001</v>
      </c>
      <c r="AP66" s="2">
        <f>[1]!YBHIST(AP$4,$A66,"Price","sec","")</f>
        <v>11.016</v>
      </c>
      <c r="AQ66" s="2">
        <f>[1]!YBHIST(AQ$4,$A66,"Price","sec","")</f>
        <v>14.156000000000001</v>
      </c>
      <c r="AR66" s="2">
        <f>[1]!YBHIST(AR$4,$A66,"Price","sec","")</f>
        <v>12.188000000000001</v>
      </c>
      <c r="AS66" s="2">
        <f>[1]!YBHIST(AS$4,$A66,"Price","sec","")</f>
        <v>18.608999000000001</v>
      </c>
      <c r="AT66" s="2">
        <f>[1]!YBHIST(AT$4,$A66,"Price","sec","")</f>
        <v>16.437999999999999</v>
      </c>
      <c r="AU66" s="2">
        <f>[1]!YBHIST(AU$4,$A66,"Price","sec","")</f>
        <v>10.718999999999999</v>
      </c>
      <c r="AV66" s="2">
        <f>[1]!YBHIST(AV$4,$A66,"Price","sec","")</f>
        <v>13.5</v>
      </c>
      <c r="AW66" s="2">
        <f>[1]!YBHIST(AW$4,$A66,"Price","sec","")</f>
        <v>13.359</v>
      </c>
      <c r="AX66" s="2">
        <f>[1]!YBHIST(AX$4,$A66,"Price","sec","")</f>
        <v>11.452999999999999</v>
      </c>
      <c r="AY66" s="2">
        <f>[1]!YBHIST(AY$4,$A66,"Price","sec","")</f>
        <v>14.843999999999999</v>
      </c>
      <c r="AZ66" s="2">
        <f>[1]!YBHIST(AZ$4,$A66,"Price","sec","")</f>
        <v>14.202999999999999</v>
      </c>
      <c r="BA66" s="2">
        <f>[1]!YBHIST(BA$4,$A66,"Price","sec","")</f>
        <v>13.593999999999999</v>
      </c>
      <c r="BB66" s="2">
        <f>[1]!YBHIST(BB$4,$A66,"Price","sec","")</f>
        <v>17.312000000000001</v>
      </c>
      <c r="BC66" s="2">
        <f>[1]!YBHIST(BC$4,$A66,"Price","sec","")</f>
        <v>17.233999000000001</v>
      </c>
      <c r="BD66" s="2">
        <f>[1]!YBHIST(BD$4,$A66,"Price","sec","")</f>
        <v>17.062000000000001</v>
      </c>
      <c r="BE66" s="6">
        <f>[1]!YBHIST(BE$4,$A66,"Price","sec","")</f>
        <v>18.141000999999999</v>
      </c>
      <c r="BF66" s="20">
        <f>[1]!YBHIST(BF$4,$A66,"LMMOAS","sec","")</f>
        <v>370.97131300000001</v>
      </c>
      <c r="BG66" s="20">
        <f>[1]!YBHIST(BG$4,$A66,"LMMOAS","sec","")</f>
        <v>277.87368800000002</v>
      </c>
      <c r="BH66" s="20">
        <f>[1]!YBHIST(BH$4,$A66,"LMMOAS","sec","")</f>
        <v>253.27920499999999</v>
      </c>
      <c r="BI66" s="20">
        <f>[1]!YBHIST(BI$4,$A66,"LMMOAS","sec","")</f>
        <v>331.9776</v>
      </c>
      <c r="BJ66" s="20">
        <f>[1]!YBHIST(BJ$4,$A66,"LMMOAS","sec","")</f>
        <v>293.07269300000002</v>
      </c>
      <c r="BK66" s="20">
        <f>[1]!YBHIST(BK$4,$A66,"LMMOAS","sec","")</f>
        <v>181.056793</v>
      </c>
      <c r="BL66" s="20">
        <f>[1]!YBHIST(BL$4,$A66,"LMMOAS","sec","")</f>
        <v>168.13279700000001</v>
      </c>
      <c r="BM66" s="20">
        <f>[1]!YBHIST(BM$4,$A66,"LMMOAS","sec","")</f>
        <v>-21.226500000000001</v>
      </c>
      <c r="BN66" s="20">
        <f>[1]!YBHIST(BN$4,$A66,"LMMOAS","sec","")</f>
        <v>76.256598999999994</v>
      </c>
      <c r="BO66" s="20">
        <f>[1]!YBHIST(BO$4,$A66,"LMMOAS","sec","")</f>
        <v>250.14430200000001</v>
      </c>
      <c r="BP66" s="20">
        <f>[1]!YBHIST(BP$4,$A66,"LMMOAS","sec","")</f>
        <v>256.19311499999998</v>
      </c>
      <c r="BQ66" s="20">
        <f>[1]!YBHIST(BQ$4,$A66,"LMMOAS","sec","")</f>
        <v>465.62289399999997</v>
      </c>
      <c r="BR66" s="20">
        <f>[1]!YBHIST(BR$4,$A66,"LMMOAS","sec","")</f>
        <v>603.24731399999996</v>
      </c>
      <c r="BS66" s="20">
        <f>[1]!YBHIST(BS$4,$A66,"LMMOAS","sec","")</f>
        <v>246.929993</v>
      </c>
      <c r="BT66" s="20">
        <f>[1]!YBHIST(BT$4,$A66,"LMMOAS","sec","")</f>
        <v>326.52398699999998</v>
      </c>
      <c r="BU66" s="20">
        <f>[1]!YBHIST(BU$4,$A66,"LMMOAS","sec","")</f>
        <v>124.541</v>
      </c>
      <c r="BV66" s="20">
        <f>[1]!YBHIST(BV$4,$A66,"LMMOAS","sec","")</f>
        <v>238.720505</v>
      </c>
      <c r="BW66" s="20">
        <f>[1]!YBHIST(BW$4,$A66,"LMMOAS","sec","")</f>
        <v>235.09779399999999</v>
      </c>
      <c r="BX66" s="5"/>
      <c r="BY66" s="1"/>
      <c r="BZ66" s="1"/>
    </row>
    <row r="67" spans="1:78" x14ac:dyDescent="0.25">
      <c r="A67" s="14">
        <f>[1]!YBWORKDAY(A$26,-1*(ROW()-ROW(A$26)),"USD","")</f>
        <v>41179</v>
      </c>
      <c r="B67" s="3">
        <f>[1]!YBHIST("2 Year Treasury",$A67,"Price","govt","")</f>
        <v>99.991996999999998</v>
      </c>
      <c r="C67" s="2">
        <f>[1]!YBHIST("5 Year Treasury",$A67,"Price","govt","")</f>
        <v>99.938004000000006</v>
      </c>
      <c r="D67" s="2">
        <f>[1]!YBHIST("10 Year Treasury",$A67,"Price","govt","")</f>
        <v>99.859001000000006</v>
      </c>
      <c r="E67" s="6">
        <f>[1]!YBHIST("30 Year Treasury",$A67,"Price","govt","")</f>
        <v>98.530997999999997</v>
      </c>
      <c r="F67" s="3">
        <f>[1]!YBHIST("2 Year Treasury",$A67,"YldtoMat","govt","")</f>
        <v>0.254</v>
      </c>
      <c r="G67" s="2">
        <f>[1]!YBHIST("5 Year Treasury",$A67,"YldtoMat","govt","")</f>
        <v>0.63800000000000001</v>
      </c>
      <c r="H67" s="2">
        <f>[1]!YBHIST("10 Year Treasury",$A67,"YldtoMat","govt","")</f>
        <v>1.64</v>
      </c>
      <c r="I67" s="6">
        <f>[1]!YBHIST("30 Year Treasury",$A67,"YldtoMat","govt","")</f>
        <v>2.823</v>
      </c>
      <c r="J67" s="3">
        <f>[1]!YBHIST("2yr Swap Rate",$A67,"YldtoMat","swapvol","")</f>
        <v>0.39706599999999997</v>
      </c>
      <c r="K67" s="2">
        <f>[1]!YBHIST("5yr Swap Rate",$A67,"YldtoMat","swapvol","")</f>
        <v>0.77374200000000004</v>
      </c>
      <c r="L67" s="2">
        <f>[1]!YBHIST("10yr Swap Rate",$A67,"YldtoMat","swapvol","")</f>
        <v>1.692582</v>
      </c>
      <c r="M67" s="6">
        <f>[1]!YBHIST("30yr Swap Rate",$A67,"YldtoMat","swapvol","")</f>
        <v>2.5852599999999999</v>
      </c>
      <c r="N67" s="3">
        <f>[1]!YBHIST("FNMA 30YR Cur Coup (BE)",$A67,"Yield","bmk","")</f>
        <v>2.0510000000000002</v>
      </c>
      <c r="O67" s="2">
        <f>[1]!YBHIST("FHLMC 30YR Cur Coup (BE)",$A67,"Yield","bmk","")</f>
        <v>2.097</v>
      </c>
      <c r="P67" s="2">
        <f>[1]!YBHIST("GNMA 30YR Cur Coup (BE)",$A67,"Yield","bmk","")</f>
        <v>1.9650000000000001</v>
      </c>
      <c r="Q67" s="2">
        <f>[1]!YBHIST("Primary 30-Yr Mtg Rate",$A67,"Yield","bmk","")</f>
        <v>3.5125000000000002</v>
      </c>
      <c r="R67" s="2">
        <f>[1]!YBHIST("FHLM 30-Yr Survey Rate",$A67,"Yield","bmk","")</f>
        <v>3.4</v>
      </c>
      <c r="S67" s="6">
        <f>[1]!YBHIST("Base Mortgage Rate",$A67,"Yield","bmk","")</f>
        <v>2.399</v>
      </c>
      <c r="T67" s="18">
        <f>[1]!YBHIST("FNMA 30YR Cur Coup (BE)",$A67,"LMMOAS","bmk","")</f>
        <v>-18.389900000000001</v>
      </c>
      <c r="U67" s="19">
        <f>[1]!YBHIST("FHLMC 30YR Cur Coup (BE)",$A67,"LMMOAS","bmk","")</f>
        <v>-14.136900000000001</v>
      </c>
      <c r="V67" s="19">
        <f>[1]!YBHIST("GNMA 30YR Cur Coup (BE)",$A67,"LMMOAS","bmk","")</f>
        <v>-19.7668</v>
      </c>
      <c r="W67" s="20">
        <f t="shared" si="6"/>
        <v>41.100000000000023</v>
      </c>
      <c r="X67" s="20">
        <f t="shared" si="7"/>
        <v>41.100000000000023</v>
      </c>
      <c r="Y67" s="20">
        <f t="shared" si="8"/>
        <v>45.70000000000001</v>
      </c>
      <c r="Z67" s="25">
        <f>[1]!YBHIST("FNMA3.0-GEN",$A67,"Price","tba","")</f>
        <v>105.625</v>
      </c>
      <c r="AA67" s="2">
        <f>[1]!YBHIST("FNMA3.5-GEN",$A67,"Price","tba","")</f>
        <v>107.257812</v>
      </c>
      <c r="AB67" s="2">
        <f>[1]!YBHIST("FNMA4.0-GEN",$A67,"Price","tba","")</f>
        <v>107.734375</v>
      </c>
      <c r="AC67" s="2">
        <f>[1]!YBHIST("FNMA4.5-GEN",$A67,"Price","tba","")</f>
        <v>108.3125</v>
      </c>
      <c r="AD67" s="2">
        <f>[1]!YBHIST("FNMA5.0-GEN",$A67,"Price","tba","")</f>
        <v>109.203125</v>
      </c>
      <c r="AE67" s="2">
        <f>[1]!YBHIST("FNMA5.5-GEN",$A67,"Price","tba","")</f>
        <v>109.835938</v>
      </c>
      <c r="AF67" s="6">
        <f>[1]!YBHIST("FNMA6.0-GEN",$A67,"Price","tba","")</f>
        <v>110.507812</v>
      </c>
      <c r="AG67" s="2">
        <f>[1]!YBHIST("FNMA3.0-GEN",$A67,"Yield","tba","")</f>
        <v>1.5269999999999999</v>
      </c>
      <c r="AH67" s="2">
        <f>[1]!YBHIST("FNMA3.5-GEN",$A67,"Yield","tba","")</f>
        <v>1.01</v>
      </c>
      <c r="AI67" s="2">
        <f>[1]!YBHIST("FNMA4.0-GEN",$A67,"Yield","tba","")</f>
        <v>0.96099999999999997</v>
      </c>
      <c r="AJ67" s="2">
        <f>[1]!YBHIST("FNMA4.5-GEN",$A67,"Yield","tba","")</f>
        <v>1.028</v>
      </c>
      <c r="AK67" s="2">
        <f>[1]!YBHIST("FNMA5.0-GEN",$A67,"Yield","tba","")</f>
        <v>0.13</v>
      </c>
      <c r="AL67" s="2">
        <f>[1]!YBHIST("FNMA5.5-GEN",$A67,"Yield","tba","")</f>
        <v>0.32700000000000001</v>
      </c>
      <c r="AM67" s="6">
        <f>[1]!YBHIST("FNMA6.0-GEN",$A67,"Yield","tba","")</f>
        <v>-8.5000000000000006E-2</v>
      </c>
      <c r="AN67" s="3">
        <f>[1]!YBHIST(AN$4,$A67,"Price","sec","")</f>
        <v>11.452999999999999</v>
      </c>
      <c r="AO67" s="2">
        <f>[1]!YBHIST(AO$4,$A67,"Price","sec","")</f>
        <v>12.843999999999999</v>
      </c>
      <c r="AP67" s="2">
        <f>[1]!YBHIST(AP$4,$A67,"Price","sec","")</f>
        <v>10.938000000000001</v>
      </c>
      <c r="AQ67" s="2">
        <f>[1]!YBHIST(AQ$4,$A67,"Price","sec","")</f>
        <v>13.968999999999999</v>
      </c>
      <c r="AR67" s="2">
        <f>[1]!YBHIST(AR$4,$A67,"Price","sec","")</f>
        <v>12.093999999999999</v>
      </c>
      <c r="AS67" s="2">
        <f>[1]!YBHIST(AS$4,$A67,"Price","sec","")</f>
        <v>18.530999999999999</v>
      </c>
      <c r="AT67" s="2">
        <f>[1]!YBHIST(AT$4,$A67,"Price","sec","")</f>
        <v>16.358999000000001</v>
      </c>
      <c r="AU67" s="2">
        <f>[1]!YBHIST(AU$4,$A67,"Price","sec","")</f>
        <v>10.656000000000001</v>
      </c>
      <c r="AV67" s="2">
        <f>[1]!YBHIST(AV$4,$A67,"Price","sec","")</f>
        <v>13.452999999999999</v>
      </c>
      <c r="AW67" s="2">
        <f>[1]!YBHIST(AW$4,$A67,"Price","sec","")</f>
        <v>13.311999999999999</v>
      </c>
      <c r="AX67" s="2">
        <f>[1]!YBHIST(AX$4,$A67,"Price","sec","")</f>
        <v>11.422000000000001</v>
      </c>
      <c r="AY67" s="2">
        <f>[1]!YBHIST(AY$4,$A67,"Price","sec","")</f>
        <v>14.797000000000001</v>
      </c>
      <c r="AZ67" s="2">
        <f>[1]!YBHIST(AZ$4,$A67,"Price","sec","")</f>
        <v>14.172000000000001</v>
      </c>
      <c r="BA67" s="2">
        <f>[1]!YBHIST(BA$4,$A67,"Price","sec","")</f>
        <v>13.561999999999999</v>
      </c>
      <c r="BB67" s="2">
        <f>[1]!YBHIST(BB$4,$A67,"Price","sec","")</f>
        <v>17.297001000000002</v>
      </c>
      <c r="BC67" s="2">
        <f>[1]!YBHIST(BC$4,$A67,"Price","sec","")</f>
        <v>17.141000999999999</v>
      </c>
      <c r="BD67" s="2">
        <f>[1]!YBHIST(BD$4,$A67,"Price","sec","")</f>
        <v>16.952998999999998</v>
      </c>
      <c r="BE67" s="6">
        <f>[1]!YBHIST(BE$4,$A67,"Price","sec","")</f>
        <v>17.922001000000002</v>
      </c>
      <c r="BF67" s="20">
        <f>[1]!YBHIST(BF$4,$A67,"LMMOAS","sec","")</f>
        <v>407.05200200000002</v>
      </c>
      <c r="BG67" s="20">
        <f>[1]!YBHIST(BG$4,$A67,"LMMOAS","sec","")</f>
        <v>308.21029700000003</v>
      </c>
      <c r="BH67" s="20">
        <f>[1]!YBHIST(BH$4,$A67,"LMMOAS","sec","")</f>
        <v>285.43341099999998</v>
      </c>
      <c r="BI67" s="20">
        <f>[1]!YBHIST(BI$4,$A67,"LMMOAS","sec","")</f>
        <v>377.354401</v>
      </c>
      <c r="BJ67" s="20">
        <f>[1]!YBHIST(BJ$4,$A67,"LMMOAS","sec","")</f>
        <v>325.98419200000001</v>
      </c>
      <c r="BK67" s="20">
        <f>[1]!YBHIST(BK$4,$A67,"LMMOAS","sec","")</f>
        <v>198.60640000000001</v>
      </c>
      <c r="BL67" s="20">
        <f>[1]!YBHIST(BL$4,$A67,"LMMOAS","sec","")</f>
        <v>188.202606</v>
      </c>
      <c r="BM67" s="20">
        <f>[1]!YBHIST(BM$4,$A67,"LMMOAS","sec","")</f>
        <v>6.5232000000000001</v>
      </c>
      <c r="BN67" s="20">
        <f>[1]!YBHIST(BN$4,$A67,"LMMOAS","sec","")</f>
        <v>95.705200000000005</v>
      </c>
      <c r="BO67" s="20">
        <f>[1]!YBHIST(BO$4,$A67,"LMMOAS","sec","")</f>
        <v>272.37530500000003</v>
      </c>
      <c r="BP67" s="20">
        <f>[1]!YBHIST(BP$4,$A67,"LMMOAS","sec","")</f>
        <v>276.575806</v>
      </c>
      <c r="BQ67" s="20">
        <f>[1]!YBHIST(BQ$4,$A67,"LMMOAS","sec","")</f>
        <v>484.97378500000002</v>
      </c>
      <c r="BR67" s="20">
        <f>[1]!YBHIST(BR$4,$A67,"LMMOAS","sec","")</f>
        <v>621.89269999999999</v>
      </c>
      <c r="BS67" s="20">
        <f>[1]!YBHIST(BS$4,$A67,"LMMOAS","sec","")</f>
        <v>264.92700200000002</v>
      </c>
      <c r="BT67" s="20">
        <f>[1]!YBHIST(BT$4,$A67,"LMMOAS","sec","")</f>
        <v>337.66549700000002</v>
      </c>
      <c r="BU67" s="20">
        <f>[1]!YBHIST(BU$4,$A67,"LMMOAS","sec","")</f>
        <v>146.854904</v>
      </c>
      <c r="BV67" s="20">
        <f>[1]!YBHIST(BV$4,$A67,"LMMOAS","sec","")</f>
        <v>262.803314</v>
      </c>
      <c r="BW67" s="20">
        <f>[1]!YBHIST(BW$4,$A67,"LMMOAS","sec","")</f>
        <v>272.45330799999999</v>
      </c>
      <c r="BX67" s="5"/>
      <c r="BY67" s="1"/>
      <c r="BZ67" s="1"/>
    </row>
    <row r="68" spans="1:78" x14ac:dyDescent="0.25">
      <c r="A68" s="14">
        <f>[1]!YBWORKDAY(A$26,-1*(ROW()-ROW(A$26)),"USD","")</f>
        <v>41178</v>
      </c>
      <c r="B68" s="3">
        <f>[1]!YBHIST("2 Year Treasury",$A68,"Price","govt","")</f>
        <v>99.976996999999997</v>
      </c>
      <c r="C68" s="2">
        <f>[1]!YBHIST("5 Year Treasury",$A68,"Price","govt","")</f>
        <v>100.078003</v>
      </c>
      <c r="D68" s="2">
        <f>[1]!YBHIST("10 Year Treasury",$A68,"Price","govt","")</f>
        <v>100.078003</v>
      </c>
      <c r="E68" s="6">
        <f>[1]!YBHIST("30 Year Treasury",$A68,"Price","govt","")</f>
        <v>99.203002999999995</v>
      </c>
      <c r="F68" s="3">
        <f>[1]!YBHIST("2 Year Treasury",$A68,"YldtoMat","govt","")</f>
        <v>0.26200000000000001</v>
      </c>
      <c r="G68" s="2">
        <f>[1]!YBHIST("5 Year Treasury",$A68,"YldtoMat","govt","")</f>
        <v>0.60899999999999999</v>
      </c>
      <c r="H68" s="2">
        <f>[1]!YBHIST("10 Year Treasury",$A68,"YldtoMat","govt","")</f>
        <v>1.6160000000000001</v>
      </c>
      <c r="I68" s="6">
        <f>[1]!YBHIST("30 Year Treasury",$A68,"YldtoMat","govt","")</f>
        <v>2.7890000000000001</v>
      </c>
      <c r="J68" s="3">
        <f>[1]!YBHIST("2yr Swap Rate",$A68,"YldtoMat","swapvol","")</f>
        <v>0.41949399999999998</v>
      </c>
      <c r="K68" s="2">
        <f>[1]!YBHIST("5yr Swap Rate",$A68,"YldtoMat","swapvol","")</f>
        <v>0.77424999999999999</v>
      </c>
      <c r="L68" s="2">
        <f>[1]!YBHIST("10yr Swap Rate",$A68,"YldtoMat","swapvol","")</f>
        <v>1.668585</v>
      </c>
      <c r="M68" s="6">
        <f>[1]!YBHIST("30yr Swap Rate",$A68,"YldtoMat","swapvol","")</f>
        <v>2.5589230000000001</v>
      </c>
      <c r="N68" s="3">
        <f>[1]!YBHIST("FNMA 30YR Cur Coup (BE)",$A68,"Yield","bmk","")</f>
        <v>1.9810000000000001</v>
      </c>
      <c r="O68" s="2">
        <f>[1]!YBHIST("FHLMC 30YR Cur Coup (BE)",$A68,"Yield","bmk","")</f>
        <v>2.0270000000000001</v>
      </c>
      <c r="P68" s="2">
        <f>[1]!YBHIST("GNMA 30YR Cur Coup (BE)",$A68,"Yield","bmk","")</f>
        <v>1.895</v>
      </c>
      <c r="Q68" s="2">
        <f>[1]!YBHIST("Primary 30-Yr Mtg Rate",$A68,"Yield","bmk","")</f>
        <v>3.3279000000000001</v>
      </c>
      <c r="R68" s="2">
        <f>[1]!YBHIST("FHLM 30-Yr Survey Rate",$A68,"Yield","bmk","")</f>
        <v>3.49</v>
      </c>
      <c r="S68" s="6">
        <f>[1]!YBHIST("Base Mortgage Rate",$A68,"Yield","bmk","")</f>
        <v>2.323</v>
      </c>
      <c r="T68" s="18">
        <f>[1]!YBHIST("FNMA 30YR Cur Coup (BE)",$A68,"LMMOAS","bmk","")</f>
        <v>-23.344999000000001</v>
      </c>
      <c r="U68" s="19">
        <f>[1]!YBHIST("FHLMC 30YR Cur Coup (BE)",$A68,"LMMOAS","bmk","")</f>
        <v>-19.4282</v>
      </c>
      <c r="V68" s="19">
        <f>[1]!YBHIST("GNMA 30YR Cur Coup (BE)",$A68,"LMMOAS","bmk","")</f>
        <v>-18.897499</v>
      </c>
      <c r="W68" s="20">
        <f t="shared" si="6"/>
        <v>36.5</v>
      </c>
      <c r="X68" s="20">
        <f t="shared" si="7"/>
        <v>36.5</v>
      </c>
      <c r="Y68" s="20">
        <f t="shared" si="8"/>
        <v>41.1</v>
      </c>
      <c r="Z68" s="25">
        <f>[1]!YBHIST("FNMA3.0-GEN",$A68,"Price","tba","")</f>
        <v>106.007812</v>
      </c>
      <c r="AA68" s="2">
        <f>[1]!YBHIST("FNMA3.5-GEN",$A68,"Price","tba","")</f>
        <v>107.5625</v>
      </c>
      <c r="AB68" s="2">
        <f>[1]!YBHIST("FNMA4.0-GEN",$A68,"Price","tba","")</f>
        <v>107.929688</v>
      </c>
      <c r="AC68" s="2">
        <f>[1]!YBHIST("FNMA4.5-GEN",$A68,"Price","tba","")</f>
        <v>108.476562</v>
      </c>
      <c r="AD68" s="2">
        <f>[1]!YBHIST("FNMA5.0-GEN",$A68,"Price","tba","")</f>
        <v>109.359375</v>
      </c>
      <c r="AE68" s="2">
        <f>[1]!YBHIST("FNMA5.5-GEN",$A68,"Price","tba","")</f>
        <v>109.953125</v>
      </c>
      <c r="AF68" s="6">
        <f>[1]!YBHIST("FNMA6.0-GEN",$A68,"Price","tba","")</f>
        <v>110.59375</v>
      </c>
      <c r="AG68" s="2">
        <f>[1]!YBHIST("FNMA3.0-GEN",$A68,"Yield","tba","")</f>
        <v>1.3520000000000001</v>
      </c>
      <c r="AH68" s="2">
        <f>[1]!YBHIST("FNMA3.5-GEN",$A68,"Yield","tba","")</f>
        <v>0.81200000000000006</v>
      </c>
      <c r="AI68" s="2">
        <f>[1]!YBHIST("FNMA4.0-GEN",$A68,"Yield","tba","")</f>
        <v>0.79500000000000004</v>
      </c>
      <c r="AJ68" s="2">
        <f>[1]!YBHIST("FNMA4.5-GEN",$A68,"Yield","tba","")</f>
        <v>0.88600000000000001</v>
      </c>
      <c r="AK68" s="2">
        <f>[1]!YBHIST("FNMA5.0-GEN",$A68,"Yield","tba","")</f>
        <v>-1.4E-2</v>
      </c>
      <c r="AL68" s="2">
        <f>[1]!YBHIST("FNMA5.5-GEN",$A68,"Yield","tba","")</f>
        <v>0.221</v>
      </c>
      <c r="AM68" s="6">
        <f>[1]!YBHIST("FNMA6.0-GEN",$A68,"Yield","tba","")</f>
        <v>-0.17100000000000001</v>
      </c>
      <c r="AN68" s="3">
        <f>[1]!YBHIST(AN$4,$A68,"Price","sec","")</f>
        <v>10.906000000000001</v>
      </c>
      <c r="AO68" s="2">
        <f>[1]!YBHIST(AO$4,$A68,"Price","sec","")</f>
        <v>12.343999999999999</v>
      </c>
      <c r="AP68" s="2">
        <f>[1]!YBHIST(AP$4,$A68,"Price","sec","")</f>
        <v>10.484</v>
      </c>
      <c r="AQ68" s="2">
        <f>[1]!YBHIST(AQ$4,$A68,"Price","sec","")</f>
        <v>13.468999999999999</v>
      </c>
      <c r="AR68" s="2">
        <f>[1]!YBHIST(AR$4,$A68,"Price","sec","")</f>
        <v>11.656000000000001</v>
      </c>
      <c r="AS68" s="2">
        <f>[1]!YBHIST(AS$4,$A68,"Price","sec","")</f>
        <v>18.125</v>
      </c>
      <c r="AT68" s="2">
        <f>[1]!YBHIST(AT$4,$A68,"Price","sec","")</f>
        <v>15.938000000000001</v>
      </c>
      <c r="AU68" s="2">
        <f>[1]!YBHIST(AU$4,$A68,"Price","sec","")</f>
        <v>10.311999999999999</v>
      </c>
      <c r="AV68" s="2">
        <f>[1]!YBHIST(AV$4,$A68,"Price","sec","")</f>
        <v>13.109</v>
      </c>
      <c r="AW68" s="2">
        <f>[1]!YBHIST(AW$4,$A68,"Price","sec","")</f>
        <v>12.968999999999999</v>
      </c>
      <c r="AX68" s="2">
        <f>[1]!YBHIST(AX$4,$A68,"Price","sec","")</f>
        <v>11.218999999999999</v>
      </c>
      <c r="AY68" s="2">
        <f>[1]!YBHIST(AY$4,$A68,"Price","sec","")</f>
        <v>14.593999999999999</v>
      </c>
      <c r="AZ68" s="2">
        <f>[1]!YBHIST(AZ$4,$A68,"Price","sec","")</f>
        <v>14</v>
      </c>
      <c r="BA68" s="2">
        <f>[1]!YBHIST(BA$4,$A68,"Price","sec","")</f>
        <v>13.422000000000001</v>
      </c>
      <c r="BB68" s="2">
        <f>[1]!YBHIST(BB$4,$A68,"Price","sec","")</f>
        <v>17.219000000000001</v>
      </c>
      <c r="BC68" s="2">
        <f>[1]!YBHIST(BC$4,$A68,"Price","sec","")</f>
        <v>16.719000000000001</v>
      </c>
      <c r="BD68" s="2">
        <f>[1]!YBHIST(BD$4,$A68,"Price","sec","")</f>
        <v>16.5</v>
      </c>
      <c r="BE68" s="6">
        <f>[1]!YBHIST(BE$4,$A68,"Price","sec","")</f>
        <v>17.327998999999998</v>
      </c>
      <c r="BF68" s="20">
        <f>[1]!YBHIST(BF$4,$A68,"LMMOAS","sec","")</f>
        <v>420.12420700000001</v>
      </c>
      <c r="BG68" s="20">
        <f>[1]!YBHIST(BG$4,$A68,"LMMOAS","sec","")</f>
        <v>307.28179899999998</v>
      </c>
      <c r="BH68" s="20">
        <f>[1]!YBHIST(BH$4,$A68,"LMMOAS","sec","")</f>
        <v>291.86920199999997</v>
      </c>
      <c r="BI68" s="20">
        <f>[1]!YBHIST(BI$4,$A68,"LMMOAS","sec","")</f>
        <v>382.04861499999998</v>
      </c>
      <c r="BJ68" s="20">
        <f>[1]!YBHIST(BJ$4,$A68,"LMMOAS","sec","")</f>
        <v>333.373108</v>
      </c>
      <c r="BK68" s="20">
        <f>[1]!YBHIST(BK$4,$A68,"LMMOAS","sec","")</f>
        <v>189.164795</v>
      </c>
      <c r="BL68" s="20">
        <f>[1]!YBHIST(BL$4,$A68,"LMMOAS","sec","")</f>
        <v>182.44889800000001</v>
      </c>
      <c r="BM68" s="20">
        <f>[1]!YBHIST(BM$4,$A68,"LMMOAS","sec","")</f>
        <v>23.402398999999999</v>
      </c>
      <c r="BN68" s="20">
        <f>[1]!YBHIST(BN$4,$A68,"LMMOAS","sec","")</f>
        <v>103.296402</v>
      </c>
      <c r="BO68" s="20">
        <f>[1]!YBHIST(BO$4,$A68,"LMMOAS","sec","")</f>
        <v>294.57650799999999</v>
      </c>
      <c r="BP68" s="20">
        <f>[1]!YBHIST(BP$4,$A68,"LMMOAS","sec","")</f>
        <v>264.02218599999998</v>
      </c>
      <c r="BQ68" s="20">
        <f>[1]!YBHIST(BQ$4,$A68,"LMMOAS","sec","")</f>
        <v>474.90420499999999</v>
      </c>
      <c r="BR68" s="20">
        <f>[1]!YBHIST(BR$4,$A68,"LMMOAS","sec","")</f>
        <v>615.19561799999997</v>
      </c>
      <c r="BS68" s="20">
        <f>[1]!YBHIST(BS$4,$A68,"LMMOAS","sec","")</f>
        <v>241.912994</v>
      </c>
      <c r="BT68" s="20">
        <f>[1]!YBHIST(BT$4,$A68,"LMMOAS","sec","")</f>
        <v>314.028503</v>
      </c>
      <c r="BU68" s="20">
        <f>[1]!YBHIST(BU$4,$A68,"LMMOAS","sec","")</f>
        <v>121.71199799999999</v>
      </c>
      <c r="BV68" s="20">
        <f>[1]!YBHIST(BV$4,$A68,"LMMOAS","sec","")</f>
        <v>251.885895</v>
      </c>
      <c r="BW68" s="20">
        <f>[1]!YBHIST(BW$4,$A68,"LMMOAS","sec","")</f>
        <v>290.61468500000001</v>
      </c>
      <c r="BX68" s="5"/>
      <c r="BY68" s="1"/>
      <c r="BZ68" s="1"/>
    </row>
    <row r="69" spans="1:78" x14ac:dyDescent="0.25">
      <c r="A69" s="14">
        <f>[1]!YBWORKDAY(A$26,-1*(ROW()-ROW(A$26)),"USD","")</f>
        <v>41177</v>
      </c>
      <c r="B69" s="3">
        <f>[1]!YBHIST("2 Year Treasury",$A69,"Price","govt","")</f>
        <v>99.976996999999997</v>
      </c>
      <c r="C69" s="2">
        <f>[1]!YBHIST("5 Year Treasury",$A69,"Price","govt","")</f>
        <v>99.883003000000002</v>
      </c>
      <c r="D69" s="2">
        <f>[1]!YBHIST("10 Year Treasury",$A69,"Price","govt","")</f>
        <v>99.5</v>
      </c>
      <c r="E69" s="6">
        <f>[1]!YBHIST("30 Year Treasury",$A69,"Price","govt","")</f>
        <v>97.780997999999997</v>
      </c>
      <c r="F69" s="3">
        <f>[1]!YBHIST("2 Year Treasury",$A69,"YldtoMat","govt","")</f>
        <v>0.26200000000000001</v>
      </c>
      <c r="G69" s="2">
        <f>[1]!YBHIST("5 Year Treasury",$A69,"YldtoMat","govt","")</f>
        <v>0.64900000000000002</v>
      </c>
      <c r="H69" s="2">
        <f>[1]!YBHIST("10 Year Treasury",$A69,"YldtoMat","govt","")</f>
        <v>1.68</v>
      </c>
      <c r="I69" s="6">
        <f>[1]!YBHIST("30 Year Treasury",$A69,"YldtoMat","govt","")</f>
        <v>2.8610000000000002</v>
      </c>
      <c r="J69" s="3">
        <f>[1]!YBHIST("2yr Swap Rate",$A69,"YldtoMat","swapvol","")</f>
        <v>0.40032200000000001</v>
      </c>
      <c r="K69" s="2">
        <f>[1]!YBHIST("5yr Swap Rate",$A69,"YldtoMat","swapvol","")</f>
        <v>0.78988800000000003</v>
      </c>
      <c r="L69" s="2">
        <f>[1]!YBHIST("10yr Swap Rate",$A69,"YldtoMat","swapvol","")</f>
        <v>1.711184</v>
      </c>
      <c r="M69" s="6">
        <f>[1]!YBHIST("30yr Swap Rate",$A69,"YldtoMat","swapvol","")</f>
        <v>2.6253169999999999</v>
      </c>
      <c r="N69" s="3">
        <f>[1]!YBHIST("FNMA 30YR Cur Coup (BE)",$A69,"Yield","bmk","")</f>
        <v>1.986</v>
      </c>
      <c r="O69" s="2">
        <f>[1]!YBHIST("FHLMC 30YR Cur Coup (BE)",$A69,"Yield","bmk","")</f>
        <v>2.032</v>
      </c>
      <c r="P69" s="2">
        <f>[1]!YBHIST("GNMA 30YR Cur Coup (BE)",$A69,"Yield","bmk","")</f>
        <v>1.9</v>
      </c>
      <c r="Q69" s="2">
        <f>[1]!YBHIST("Primary 30-Yr Mtg Rate",$A69,"Yield","bmk","")</f>
        <v>3.3327</v>
      </c>
      <c r="R69" s="2">
        <f>[1]!YBHIST("FHLM 30-Yr Survey Rate",$A69,"Yield","bmk","")</f>
        <v>3.49</v>
      </c>
      <c r="S69" s="6">
        <f>[1]!YBHIST("Base Mortgage Rate",$A69,"Yield","bmk","")</f>
        <v>2.3279999999999998</v>
      </c>
      <c r="T69" s="18">
        <f>[1]!YBHIST("FNMA 30YR Cur Coup (BE)",$A69,"LMMOAS","bmk","")</f>
        <v>-27.1539</v>
      </c>
      <c r="U69" s="19">
        <f>[1]!YBHIST("FHLMC 30YR Cur Coup (BE)",$A69,"LMMOAS","bmk","")</f>
        <v>-22.9711</v>
      </c>
      <c r="V69" s="19">
        <f>[1]!YBHIST("GNMA 30YR Cur Coup (BE)",$A69,"LMMOAS","bmk","")</f>
        <v>-23.326899999999998</v>
      </c>
      <c r="W69" s="20">
        <f t="shared" si="6"/>
        <v>30.600000000000005</v>
      </c>
      <c r="X69" s="20">
        <f t="shared" si="7"/>
        <v>30.600000000000005</v>
      </c>
      <c r="Y69" s="20">
        <f t="shared" si="8"/>
        <v>35.20000000000001</v>
      </c>
      <c r="Z69" s="25">
        <f>[1]!YBHIST("FNMA3.0-GEN",$A69,"Price","tba","")</f>
        <v>105.78125</v>
      </c>
      <c r="AA69" s="2">
        <f>[1]!YBHIST("FNMA3.5-GEN",$A69,"Price","tba","")</f>
        <v>107.453125</v>
      </c>
      <c r="AB69" s="2">
        <f>[1]!YBHIST("FNMA4.0-GEN",$A69,"Price","tba","")</f>
        <v>107.875</v>
      </c>
      <c r="AC69" s="2">
        <f>[1]!YBHIST("FNMA4.5-GEN",$A69,"Price","tba","")</f>
        <v>108.515625</v>
      </c>
      <c r="AD69" s="2">
        <f>[1]!YBHIST("FNMA5.0-GEN",$A69,"Price","tba","")</f>
        <v>109.375</v>
      </c>
      <c r="AE69" s="2">
        <f>[1]!YBHIST("FNMA5.5-GEN",$A69,"Price","tba","")</f>
        <v>109.984375</v>
      </c>
      <c r="AF69" s="6">
        <f>[1]!YBHIST("FNMA6.0-GEN",$A69,"Price","tba","")</f>
        <v>110.625</v>
      </c>
      <c r="AG69" s="2">
        <f>[1]!YBHIST("FNMA3.0-GEN",$A69,"Yield","tba","")</f>
        <v>1.4159999999999999</v>
      </c>
      <c r="AH69" s="2">
        <f>[1]!YBHIST("FNMA3.5-GEN",$A69,"Yield","tba","")</f>
        <v>0.85699999999999998</v>
      </c>
      <c r="AI69" s="2">
        <f>[1]!YBHIST("FNMA4.0-GEN",$A69,"Yield","tba","")</f>
        <v>0.82499999999999996</v>
      </c>
      <c r="AJ69" s="2">
        <f>[1]!YBHIST("FNMA4.5-GEN",$A69,"Yield","tba","")</f>
        <v>0.88</v>
      </c>
      <c r="AK69" s="2">
        <f>[1]!YBHIST("FNMA5.0-GEN",$A69,"Yield","tba","")</f>
        <v>-1.4E-2</v>
      </c>
      <c r="AL69" s="2">
        <f>[1]!YBHIST("FNMA5.5-GEN",$A69,"Yield","tba","")</f>
        <v>0.21199999999999999</v>
      </c>
      <c r="AM69" s="6">
        <f>[1]!YBHIST("FNMA6.0-GEN",$A69,"Yield","tba","")</f>
        <v>-0.182</v>
      </c>
      <c r="AN69" s="3">
        <f>[1]!YBHIST(AN$4,$A69,"Price","sec","")</f>
        <v>10.984</v>
      </c>
      <c r="AO69" s="2">
        <f>[1]!YBHIST(AO$4,$A69,"Price","sec","")</f>
        <v>12.281000000000001</v>
      </c>
      <c r="AP69" s="2">
        <f>[1]!YBHIST(AP$4,$A69,"Price","sec","")</f>
        <v>10.202999999999999</v>
      </c>
      <c r="AQ69" s="2">
        <f>[1]!YBHIST(AQ$4,$A69,"Price","sec","")</f>
        <v>13.452999999999999</v>
      </c>
      <c r="AR69" s="2">
        <f>[1]!YBHIST(AR$4,$A69,"Price","sec","")</f>
        <v>11.452999999999999</v>
      </c>
      <c r="AS69" s="2">
        <f>[1]!YBHIST(AS$4,$A69,"Price","sec","")</f>
        <v>18.187999999999999</v>
      </c>
      <c r="AT69" s="2">
        <f>[1]!YBHIST(AT$4,$A69,"Price","sec","")</f>
        <v>15.938000000000001</v>
      </c>
      <c r="AU69" s="2">
        <f>[1]!YBHIST(AU$4,$A69,"Price","sec","")</f>
        <v>10.311999999999999</v>
      </c>
      <c r="AV69" s="2">
        <f>[1]!YBHIST(AV$4,$A69,"Price","sec","")</f>
        <v>13.125</v>
      </c>
      <c r="AW69" s="2">
        <f>[1]!YBHIST(AW$4,$A69,"Price","sec","")</f>
        <v>12.968999999999999</v>
      </c>
      <c r="AX69" s="2">
        <f>[1]!YBHIST(AX$4,$A69,"Price","sec","")</f>
        <v>11.218999999999999</v>
      </c>
      <c r="AY69" s="2">
        <f>[1]!YBHIST(AY$4,$A69,"Price","sec","")</f>
        <v>14.577999999999999</v>
      </c>
      <c r="AZ69" s="2">
        <f>[1]!YBHIST(AZ$4,$A69,"Price","sec","")</f>
        <v>13.984</v>
      </c>
      <c r="BA69" s="2">
        <f>[1]!YBHIST(BA$4,$A69,"Price","sec","")</f>
        <v>13.391</v>
      </c>
      <c r="BB69" s="2">
        <f>[1]!YBHIST(BB$4,$A69,"Price","sec","")</f>
        <v>17.202998999999998</v>
      </c>
      <c r="BC69" s="2">
        <f>[1]!YBHIST(BC$4,$A69,"Price","sec","")</f>
        <v>16.797001000000002</v>
      </c>
      <c r="BD69" s="2">
        <f>[1]!YBHIST(BD$4,$A69,"Price","sec","")</f>
        <v>16.577998999999998</v>
      </c>
      <c r="BE69" s="6">
        <f>[1]!YBHIST(BE$4,$A69,"Price","sec","")</f>
        <v>17.452998999999998</v>
      </c>
      <c r="BF69" s="20">
        <f>[1]!YBHIST(BF$4,$A69,"LMMOAS","sec","")</f>
        <v>433.81469700000002</v>
      </c>
      <c r="BG69" s="20">
        <f>[1]!YBHIST(BG$4,$A69,"LMMOAS","sec","")</f>
        <v>349.69931000000003</v>
      </c>
      <c r="BH69" s="20">
        <f>[1]!YBHIST(BH$4,$A69,"LMMOAS","sec","")</f>
        <v>400.170593</v>
      </c>
      <c r="BI69" s="20">
        <f>[1]!YBHIST(BI$4,$A69,"LMMOAS","sec","")</f>
        <v>413.194885</v>
      </c>
      <c r="BJ69" s="20">
        <f>[1]!YBHIST(BJ$4,$A69,"LMMOAS","sec","")</f>
        <v>414.89450099999999</v>
      </c>
      <c r="BK69" s="20">
        <f>[1]!YBHIST(BK$4,$A69,"LMMOAS","sec","")</f>
        <v>200.71820099999999</v>
      </c>
      <c r="BL69" s="20">
        <f>[1]!YBHIST(BL$4,$A69,"LMMOAS","sec","")</f>
        <v>205.93229700000001</v>
      </c>
      <c r="BM69" s="20">
        <f>[1]!YBHIST(BM$4,$A69,"LMMOAS","sec","")</f>
        <v>57.335701</v>
      </c>
      <c r="BN69" s="20">
        <f>[1]!YBHIST(BN$4,$A69,"LMMOAS","sec","")</f>
        <v>122.476799</v>
      </c>
      <c r="BO69" s="20">
        <f>[1]!YBHIST(BO$4,$A69,"LMMOAS","sec","")</f>
        <v>313.81161500000002</v>
      </c>
      <c r="BP69" s="20">
        <f>[1]!YBHIST(BP$4,$A69,"LMMOAS","sec","")</f>
        <v>295.00021400000003</v>
      </c>
      <c r="BQ69" s="20">
        <f>[1]!YBHIST(BQ$4,$A69,"LMMOAS","sec","")</f>
        <v>496.56170700000001</v>
      </c>
      <c r="BR69" s="20">
        <f>[1]!YBHIST(BR$4,$A69,"LMMOAS","sec","")</f>
        <v>635.80938700000002</v>
      </c>
      <c r="BS69" s="20">
        <f>[1]!YBHIST(BS$4,$A69,"LMMOAS","sec","")</f>
        <v>274.822113</v>
      </c>
      <c r="BT69" s="20">
        <f>[1]!YBHIST(BT$4,$A69,"LMMOAS","sec","")</f>
        <v>332.29650900000001</v>
      </c>
      <c r="BU69" s="20">
        <f>[1]!YBHIST(BU$4,$A69,"LMMOAS","sec","")</f>
        <v>133.22169500000001</v>
      </c>
      <c r="BV69" s="20">
        <f>[1]!YBHIST(BV$4,$A69,"LMMOAS","sec","")</f>
        <v>262.12280299999998</v>
      </c>
      <c r="BW69" s="20">
        <f>[1]!YBHIST(BW$4,$A69,"LMMOAS","sec","")</f>
        <v>292.04400600000002</v>
      </c>
      <c r="BX69" s="5"/>
      <c r="BY69" s="1"/>
      <c r="BZ69" s="1"/>
    </row>
    <row r="70" spans="1:78" x14ac:dyDescent="0.25">
      <c r="A70" s="14">
        <f>[1]!YBWORKDAY(A$26,-1*(ROW()-ROW(A$26)),"USD","")</f>
        <v>41176</v>
      </c>
      <c r="B70" s="3">
        <f>[1]!YBHIST("2 Year Treasury",$A70,"Price","govt","")</f>
        <v>99.976996999999997</v>
      </c>
      <c r="C70" s="2">
        <f>[1]!YBHIST("5 Year Treasury",$A70,"Price","govt","")</f>
        <v>99.835999000000001</v>
      </c>
      <c r="D70" s="2">
        <f>[1]!YBHIST("10 Year Treasury",$A70,"Price","govt","")</f>
        <v>99.140998999999994</v>
      </c>
      <c r="E70" s="6">
        <f>[1]!YBHIST("30 Year Treasury",$A70,"Price","govt","")</f>
        <v>96.953002999999995</v>
      </c>
      <c r="F70" s="3">
        <f>[1]!YBHIST("2 Year Treasury",$A70,"YldtoMat","govt","")</f>
        <v>0.26200000000000001</v>
      </c>
      <c r="G70" s="2">
        <f>[1]!YBHIST("5 Year Treasury",$A70,"YldtoMat","govt","")</f>
        <v>0.65900000000000003</v>
      </c>
      <c r="H70" s="2">
        <f>[1]!YBHIST("10 Year Treasury",$A70,"YldtoMat","govt","")</f>
        <v>1.72</v>
      </c>
      <c r="I70" s="6">
        <f>[1]!YBHIST("30 Year Treasury",$A70,"YldtoMat","govt","")</f>
        <v>2.903</v>
      </c>
      <c r="J70" s="3">
        <f>[1]!YBHIST("2yr Swap Rate",$A70,"YldtoMat","swapvol","")</f>
        <v>0.39353700000000003</v>
      </c>
      <c r="K70" s="2">
        <f>[1]!YBHIST("5yr Swap Rate",$A70,"YldtoMat","swapvol","")</f>
        <v>0.79189399999999999</v>
      </c>
      <c r="L70" s="2">
        <f>[1]!YBHIST("10yr Swap Rate",$A70,"YldtoMat","swapvol","")</f>
        <v>1.7383169999999999</v>
      </c>
      <c r="M70" s="6">
        <f>[1]!YBHIST("30yr Swap Rate",$A70,"YldtoMat","swapvol","")</f>
        <v>2.6525280000000002</v>
      </c>
      <c r="N70" s="3">
        <f>[1]!YBHIST("FNMA 30YR Cur Coup (BE)",$A70,"Yield","bmk","")</f>
        <v>2.0430000000000001</v>
      </c>
      <c r="O70" s="2">
        <f>[1]!YBHIST("FHLMC 30YR Cur Coup (BE)",$A70,"Yield","bmk","")</f>
        <v>2.089</v>
      </c>
      <c r="P70" s="2">
        <f>[1]!YBHIST("GNMA 30YR Cur Coup (BE)",$A70,"Yield","bmk","")</f>
        <v>1.9570000000000001</v>
      </c>
      <c r="Q70" s="2">
        <f>[1]!YBHIST("Primary 30-Yr Mtg Rate",$A70,"Yield","bmk","")</f>
        <v>3.3908999999999998</v>
      </c>
      <c r="R70" s="2">
        <f>[1]!YBHIST("FHLM 30-Yr Survey Rate",$A70,"Yield","bmk","")</f>
        <v>3.49</v>
      </c>
      <c r="S70" s="6">
        <f>[1]!YBHIST("Base Mortgage Rate",$A70,"Yield","bmk","")</f>
        <v>2.3860000000000001</v>
      </c>
      <c r="T70" s="18">
        <f>[1]!YBHIST("FNMA 30YR Cur Coup (BE)",$A70,"LMMOAS","bmk","")</f>
        <v>-23.129200000000001</v>
      </c>
      <c r="U70" s="19">
        <f>[1]!YBHIST("FHLMC 30YR Cur Coup (BE)",$A70,"LMMOAS","bmk","")</f>
        <v>-18.581499000000001</v>
      </c>
      <c r="V70" s="19">
        <f>[1]!YBHIST("GNMA 30YR Cur Coup (BE)",$A70,"LMMOAS","bmk","")</f>
        <v>-24.813199999999998</v>
      </c>
      <c r="W70" s="20">
        <f t="shared" si="6"/>
        <v>32.300000000000018</v>
      </c>
      <c r="X70" s="20">
        <f t="shared" si="7"/>
        <v>32.300000000000018</v>
      </c>
      <c r="Y70" s="20">
        <f t="shared" si="8"/>
        <v>36.9</v>
      </c>
      <c r="Z70" s="25">
        <f>[1]!YBHIST("FNMA3.0-GEN",$A70,"Price","tba","")</f>
        <v>105.390625</v>
      </c>
      <c r="AA70" s="2">
        <f>[1]!YBHIST("FNMA3.5-GEN",$A70,"Price","tba","")</f>
        <v>107.234375</v>
      </c>
      <c r="AB70" s="2">
        <f>[1]!YBHIST("FNMA4.0-GEN",$A70,"Price","tba","")</f>
        <v>107.742188</v>
      </c>
      <c r="AC70" s="2">
        <f>[1]!YBHIST("FNMA4.5-GEN",$A70,"Price","tba","")</f>
        <v>108.414062</v>
      </c>
      <c r="AD70" s="2">
        <f>[1]!YBHIST("FNMA5.0-GEN",$A70,"Price","tba","")</f>
        <v>109.28125</v>
      </c>
      <c r="AE70" s="2">
        <f>[1]!YBHIST("FNMA5.5-GEN",$A70,"Price","tba","")</f>
        <v>109.914062</v>
      </c>
      <c r="AF70" s="6">
        <f>[1]!YBHIST("FNMA6.0-GEN",$A70,"Price","tba","")</f>
        <v>110.578125</v>
      </c>
      <c r="AG70" s="2">
        <f>[1]!YBHIST("FNMA3.0-GEN",$A70,"Yield","tba","")</f>
        <v>1.575</v>
      </c>
      <c r="AH70" s="2">
        <f>[1]!YBHIST("FNMA3.5-GEN",$A70,"Yield","tba","")</f>
        <v>1.0089999999999999</v>
      </c>
      <c r="AI70" s="2">
        <f>[1]!YBHIST("FNMA4.0-GEN",$A70,"Yield","tba","")</f>
        <v>0.95099999999999996</v>
      </c>
      <c r="AJ70" s="2">
        <f>[1]!YBHIST("FNMA4.5-GEN",$A70,"Yield","tba","")</f>
        <v>0.98599999999999999</v>
      </c>
      <c r="AK70" s="2">
        <f>[1]!YBHIST("FNMA5.0-GEN",$A70,"Yield","tba","")</f>
        <v>0.09</v>
      </c>
      <c r="AL70" s="2">
        <f>[1]!YBHIST("FNMA5.5-GEN",$A70,"Yield","tba","")</f>
        <v>0.28799999999999998</v>
      </c>
      <c r="AM70" s="6">
        <f>[1]!YBHIST("FNMA6.0-GEN",$A70,"Yield","tba","")</f>
        <v>-0.124</v>
      </c>
      <c r="AN70" s="3">
        <f>[1]!YBHIST(AN$4,$A70,"Price","sec","")</f>
        <v>11.656000000000001</v>
      </c>
      <c r="AO70" s="2">
        <f>[1]!YBHIST(AO$4,$A70,"Price","sec","")</f>
        <v>12.891</v>
      </c>
      <c r="AP70" s="2">
        <f>[1]!YBHIST(AP$4,$A70,"Price","sec","")</f>
        <v>10.672000000000001</v>
      </c>
      <c r="AQ70" s="2">
        <f>[1]!YBHIST(AQ$4,$A70,"Price","sec","")</f>
        <v>13.984</v>
      </c>
      <c r="AR70" s="2">
        <f>[1]!YBHIST(AR$4,$A70,"Price","sec","")</f>
        <v>11.811999999999999</v>
      </c>
      <c r="AS70" s="2">
        <f>[1]!YBHIST(AS$4,$A70,"Price","sec","")</f>
        <v>18.483999000000001</v>
      </c>
      <c r="AT70" s="2">
        <f>[1]!YBHIST(AT$4,$A70,"Price","sec","")</f>
        <v>16.202998999999998</v>
      </c>
      <c r="AU70" s="2">
        <f>[1]!YBHIST(AU$4,$A70,"Price","sec","")</f>
        <v>10.609</v>
      </c>
      <c r="AV70" s="2">
        <f>[1]!YBHIST(AV$4,$A70,"Price","sec","")</f>
        <v>13.391</v>
      </c>
      <c r="AW70" s="2">
        <f>[1]!YBHIST(AW$4,$A70,"Price","sec","")</f>
        <v>13.234</v>
      </c>
      <c r="AX70" s="2">
        <f>[1]!YBHIST(AX$4,$A70,"Price","sec","")</f>
        <v>11.422000000000001</v>
      </c>
      <c r="AY70" s="2">
        <f>[1]!YBHIST(AY$4,$A70,"Price","sec","")</f>
        <v>14.766</v>
      </c>
      <c r="AZ70" s="2">
        <f>[1]!YBHIST(AZ$4,$A70,"Price","sec","")</f>
        <v>14.172000000000001</v>
      </c>
      <c r="BA70" s="2">
        <f>[1]!YBHIST(BA$4,$A70,"Price","sec","")</f>
        <v>13.561999999999999</v>
      </c>
      <c r="BB70" s="2">
        <f>[1]!YBHIST(BB$4,$A70,"Price","sec","")</f>
        <v>17.312000000000001</v>
      </c>
      <c r="BC70" s="2">
        <f>[1]!YBHIST(BC$4,$A70,"Price","sec","")</f>
        <v>17.25</v>
      </c>
      <c r="BD70" s="2">
        <f>[1]!YBHIST(BD$4,$A70,"Price","sec","")</f>
        <v>17.062000000000001</v>
      </c>
      <c r="BE70" s="6">
        <f>[1]!YBHIST(BE$4,$A70,"Price","sec","")</f>
        <v>17.812000000000001</v>
      </c>
      <c r="BF70" s="20">
        <f>[1]!YBHIST(BF$4,$A70,"LMMOAS","sec","")</f>
        <v>381.83660900000001</v>
      </c>
      <c r="BG70" s="20">
        <f>[1]!YBHIST(BG$4,$A70,"LMMOAS","sec","")</f>
        <v>315.450714</v>
      </c>
      <c r="BH70" s="20">
        <f>[1]!YBHIST(BH$4,$A70,"LMMOAS","sec","")</f>
        <v>370.00320399999998</v>
      </c>
      <c r="BI70" s="20">
        <f>[1]!YBHIST(BI$4,$A70,"LMMOAS","sec","")</f>
        <v>390.03949</v>
      </c>
      <c r="BJ70" s="20">
        <f>[1]!YBHIST(BJ$4,$A70,"LMMOAS","sec","")</f>
        <v>409.91891500000003</v>
      </c>
      <c r="BK70" s="20">
        <f>[1]!YBHIST(BK$4,$A70,"LMMOAS","sec","")</f>
        <v>215.56680299999999</v>
      </c>
      <c r="BL70" s="20">
        <f>[1]!YBHIST(BL$4,$A70,"LMMOAS","sec","")</f>
        <v>225.600494</v>
      </c>
      <c r="BM70" s="20">
        <f>[1]!YBHIST(BM$4,$A70,"LMMOAS","sec","")</f>
        <v>41.149898999999998</v>
      </c>
      <c r="BN70" s="20">
        <f>[1]!YBHIST(BN$4,$A70,"LMMOAS","sec","")</f>
        <v>121.544403</v>
      </c>
      <c r="BO70" s="20">
        <f>[1]!YBHIST(BO$4,$A70,"LMMOAS","sec","")</f>
        <v>301.86489899999998</v>
      </c>
      <c r="BP70" s="20">
        <f>[1]!YBHIST(BP$4,$A70,"LMMOAS","sec","")</f>
        <v>297.75268599999998</v>
      </c>
      <c r="BQ70" s="20">
        <f>[1]!YBHIST(BQ$4,$A70,"LMMOAS","sec","")</f>
        <v>502.91018700000001</v>
      </c>
      <c r="BR70" s="20">
        <f>[1]!YBHIST(BR$4,$A70,"LMMOAS","sec","")</f>
        <v>633.403503</v>
      </c>
      <c r="BS70" s="20">
        <f>[1]!YBHIST(BS$4,$A70,"LMMOAS","sec","")</f>
        <v>282.84201000000002</v>
      </c>
      <c r="BT70" s="20">
        <f>[1]!YBHIST(BT$4,$A70,"LMMOAS","sec","")</f>
        <v>346.35140999999999</v>
      </c>
      <c r="BU70" s="20">
        <f>[1]!YBHIST(BU$4,$A70,"LMMOAS","sec","")</f>
        <v>144.26100199999999</v>
      </c>
      <c r="BV70" s="20">
        <f>[1]!YBHIST(BV$4,$A70,"LMMOAS","sec","")</f>
        <v>258.60110500000002</v>
      </c>
      <c r="BW70" s="20">
        <f>[1]!YBHIST(BW$4,$A70,"LMMOAS","sec","")</f>
        <v>297.24939000000001</v>
      </c>
      <c r="BX70" s="5"/>
      <c r="BY70" s="1"/>
      <c r="BZ70" s="1"/>
    </row>
    <row r="71" spans="1:78" x14ac:dyDescent="0.25">
      <c r="A71" s="14">
        <f>[1]!YBWORKDAY(A$26,-1*(ROW()-ROW(A$26)),"USD","")</f>
        <v>41173</v>
      </c>
      <c r="B71" s="3">
        <f>[1]!YBHIST("2 Year Treasury",$A71,"Price","govt","")</f>
        <v>99.984001000000006</v>
      </c>
      <c r="C71" s="2">
        <f>[1]!YBHIST("5 Year Treasury",$A71,"Price","govt","")</f>
        <v>99.773003000000003</v>
      </c>
      <c r="D71" s="2">
        <f>[1]!YBHIST("10 Year Treasury",$A71,"Price","govt","")</f>
        <v>98.780997999999997</v>
      </c>
      <c r="E71" s="6">
        <f>[1]!YBHIST("30 Year Treasury",$A71,"Price","govt","")</f>
        <v>95.969002000000003</v>
      </c>
      <c r="F71" s="3">
        <f>[1]!YBHIST("2 Year Treasury",$A71,"YldtoMat","govt","")</f>
        <v>0.25800000000000001</v>
      </c>
      <c r="G71" s="2">
        <f>[1]!YBHIST("5 Year Treasury",$A71,"YldtoMat","govt","")</f>
        <v>0.67200000000000004</v>
      </c>
      <c r="H71" s="2">
        <f>[1]!YBHIST("10 Year Treasury",$A71,"YldtoMat","govt","")</f>
        <v>1.76</v>
      </c>
      <c r="I71" s="6">
        <f>[1]!YBHIST("30 Year Treasury",$A71,"YldtoMat","govt","")</f>
        <v>2.9540000000000002</v>
      </c>
      <c r="J71" s="3">
        <f>[1]!YBHIST("2yr Swap Rate",$A71,"YldtoMat","swapvol","")</f>
        <v>0.38914300000000002</v>
      </c>
      <c r="K71" s="2">
        <f>[1]!YBHIST("5yr Swap Rate",$A71,"YldtoMat","swapvol","")</f>
        <v>0.80030199999999996</v>
      </c>
      <c r="L71" s="2">
        <f>[1]!YBHIST("10yr Swap Rate",$A71,"YldtoMat","swapvol","")</f>
        <v>1.771002</v>
      </c>
      <c r="M71" s="6">
        <f>[1]!YBHIST("30yr Swap Rate",$A71,"YldtoMat","swapvol","")</f>
        <v>2.6975639999999999</v>
      </c>
      <c r="N71" s="3">
        <f>[1]!YBHIST("FNMA 30YR Cur Coup (BE)",$A71,"Yield","bmk","")</f>
        <v>2.0960000000000001</v>
      </c>
      <c r="O71" s="2">
        <f>[1]!YBHIST("FHLMC 30YR Cur Coup (BE)",$A71,"Yield","bmk","")</f>
        <v>2.1419999999999999</v>
      </c>
      <c r="P71" s="2">
        <f>[1]!YBHIST("GNMA 30YR Cur Coup (BE)",$A71,"Yield","bmk","")</f>
        <v>2.0099999999999998</v>
      </c>
      <c r="Q71" s="2">
        <f>[1]!YBHIST("Primary 30-Yr Mtg Rate",$A71,"Yield","bmk","")</f>
        <v>3.4399000000000002</v>
      </c>
      <c r="R71" s="2">
        <f>[1]!YBHIST("FHLM 30-Yr Survey Rate",$A71,"Yield","bmk","")</f>
        <v>3.49</v>
      </c>
      <c r="S71" s="6">
        <f>[1]!YBHIST("Base Mortgage Rate",$A71,"Yield","bmk","")</f>
        <v>2.4350000000000001</v>
      </c>
      <c r="T71" s="18">
        <f>[1]!YBHIST("FNMA 30YR Cur Coup (BE)",$A71,"LMMOAS","bmk","")</f>
        <v>-20.874901000000001</v>
      </c>
      <c r="U71" s="19">
        <f>[1]!YBHIST("FHLMC 30YR Cur Coup (BE)",$A71,"LMMOAS","bmk","")</f>
        <v>-16.1035</v>
      </c>
      <c r="V71" s="19">
        <f>[1]!YBHIST("GNMA 30YR Cur Coup (BE)",$A71,"LMMOAS","bmk","")</f>
        <v>-27.952200000000001</v>
      </c>
      <c r="W71" s="20">
        <f t="shared" si="6"/>
        <v>33.600000000000009</v>
      </c>
      <c r="X71" s="20">
        <f t="shared" si="7"/>
        <v>33.600000000000009</v>
      </c>
      <c r="Y71" s="20">
        <f t="shared" si="8"/>
        <v>38.199999999999989</v>
      </c>
      <c r="Z71" s="25">
        <f>[1]!YBHIST("FNMA3.0-GEN",$A71,"Price","tba","")</f>
        <v>105</v>
      </c>
      <c r="AA71" s="2">
        <f>[1]!YBHIST("FNMA3.5-GEN",$A71,"Price","tba","")</f>
        <v>106.976562</v>
      </c>
      <c r="AB71" s="2">
        <f>[1]!YBHIST("FNMA4.0-GEN",$A71,"Price","tba","")</f>
        <v>107.585938</v>
      </c>
      <c r="AC71" s="2">
        <f>[1]!YBHIST("FNMA4.5-GEN",$A71,"Price","tba","")</f>
        <v>108.3125</v>
      </c>
      <c r="AD71" s="2">
        <f>[1]!YBHIST("FNMA5.0-GEN",$A71,"Price","tba","")</f>
        <v>109.234375</v>
      </c>
      <c r="AE71" s="2">
        <f>[1]!YBHIST("FNMA5.5-GEN",$A71,"Price","tba","")</f>
        <v>109.859375</v>
      </c>
      <c r="AF71" s="6">
        <f>[1]!YBHIST("FNMA6.0-GEN",$A71,"Price","tba","")</f>
        <v>110.546875</v>
      </c>
      <c r="AG71" s="2">
        <f>[1]!YBHIST("FNMA3.0-GEN",$A71,"Yield","tba","")</f>
        <v>1.7190000000000001</v>
      </c>
      <c r="AH71" s="2">
        <f>[1]!YBHIST("FNMA3.5-GEN",$A71,"Yield","tba","")</f>
        <v>1.1579999999999999</v>
      </c>
      <c r="AI71" s="2">
        <f>[1]!YBHIST("FNMA4.0-GEN",$A71,"Yield","tba","")</f>
        <v>1.0740000000000001</v>
      </c>
      <c r="AJ71" s="2">
        <f>[1]!YBHIST("FNMA4.5-GEN",$A71,"Yield","tba","")</f>
        <v>1.0820000000000001</v>
      </c>
      <c r="AK71" s="2">
        <f>[1]!YBHIST("FNMA5.0-GEN",$A71,"Yield","tba","")</f>
        <v>0.16600000000000001</v>
      </c>
      <c r="AL71" s="2">
        <f>[1]!YBHIST("FNMA5.5-GEN",$A71,"Yield","tba","")</f>
        <v>0.35299999999999998</v>
      </c>
      <c r="AM71" s="6">
        <f>[1]!YBHIST("FNMA6.0-GEN",$A71,"Yield","tba","")</f>
        <v>-7.5999999999999998E-2</v>
      </c>
      <c r="AN71" s="3">
        <f>[1]!YBHIST(AN$4,$A71,"Price","sec","")</f>
        <v>12.343999999999999</v>
      </c>
      <c r="AO71" s="2">
        <f>[1]!YBHIST(AO$4,$A71,"Price","sec","")</f>
        <v>13.516</v>
      </c>
      <c r="AP71" s="2">
        <f>[1]!YBHIST(AP$4,$A71,"Price","sec","")</f>
        <v>11.172000000000001</v>
      </c>
      <c r="AQ71" s="2">
        <f>[1]!YBHIST(AQ$4,$A71,"Price","sec","")</f>
        <v>14.577999999999999</v>
      </c>
      <c r="AR71" s="2">
        <f>[1]!YBHIST(AR$4,$A71,"Price","sec","")</f>
        <v>12.25</v>
      </c>
      <c r="AS71" s="2">
        <f>[1]!YBHIST(AS$4,$A71,"Price","sec","")</f>
        <v>18.891000999999999</v>
      </c>
      <c r="AT71" s="2">
        <f>[1]!YBHIST(AT$4,$A71,"Price","sec","")</f>
        <v>16.625</v>
      </c>
      <c r="AU71" s="2">
        <f>[1]!YBHIST(AU$4,$A71,"Price","sec","")</f>
        <v>10.968999999999999</v>
      </c>
      <c r="AV71" s="2">
        <f>[1]!YBHIST(AV$4,$A71,"Price","sec","")</f>
        <v>13.734</v>
      </c>
      <c r="AW71" s="2">
        <f>[1]!YBHIST(AW$4,$A71,"Price","sec","")</f>
        <v>13.609</v>
      </c>
      <c r="AX71" s="2">
        <f>[1]!YBHIST(AX$4,$A71,"Price","sec","")</f>
        <v>11.672000000000001</v>
      </c>
      <c r="AY71" s="2">
        <f>[1]!YBHIST(AY$4,$A71,"Price","sec","")</f>
        <v>14.968999999999999</v>
      </c>
      <c r="AZ71" s="2">
        <f>[1]!YBHIST(AZ$4,$A71,"Price","sec","")</f>
        <v>14.375</v>
      </c>
      <c r="BA71" s="2">
        <f>[1]!YBHIST(BA$4,$A71,"Price","sec","")</f>
        <v>13.766</v>
      </c>
      <c r="BB71" s="2">
        <f>[1]!YBHIST(BB$4,$A71,"Price","sec","")</f>
        <v>17.469000000000001</v>
      </c>
      <c r="BC71" s="2">
        <f>[1]!YBHIST(BC$4,$A71,"Price","sec","")</f>
        <v>17.719000000000001</v>
      </c>
      <c r="BD71" s="2">
        <f>[1]!YBHIST(BD$4,$A71,"Price","sec","")</f>
        <v>17.562000000000001</v>
      </c>
      <c r="BE71" s="6">
        <f>[1]!YBHIST(BE$4,$A71,"Price","sec","")</f>
        <v>18.233999000000001</v>
      </c>
      <c r="BF71" s="20">
        <f>[1]!YBHIST(BF$4,$A71,"LMMOAS","sec","")</f>
        <v>330.052887</v>
      </c>
      <c r="BG71" s="20">
        <f>[1]!YBHIST(BG$4,$A71,"LMMOAS","sec","")</f>
        <v>280.125</v>
      </c>
      <c r="BH71" s="20">
        <f>[1]!YBHIST(BH$4,$A71,"LMMOAS","sec","")</f>
        <v>335.43099999999998</v>
      </c>
      <c r="BI71" s="20">
        <f>[1]!YBHIST(BI$4,$A71,"LMMOAS","sec","")</f>
        <v>355.98980699999998</v>
      </c>
      <c r="BJ71" s="20">
        <f>[1]!YBHIST(BJ$4,$A71,"LMMOAS","sec","")</f>
        <v>386.66171300000002</v>
      </c>
      <c r="BK71" s="20">
        <f>[1]!YBHIST(BK$4,$A71,"LMMOAS","sec","")</f>
        <v>213.93190000000001</v>
      </c>
      <c r="BL71" s="20">
        <f>[1]!YBHIST(BL$4,$A71,"LMMOAS","sec","")</f>
        <v>218.66529800000001</v>
      </c>
      <c r="BM71" s="20">
        <f>[1]!YBHIST(BM$4,$A71,"LMMOAS","sec","")</f>
        <v>14.7814</v>
      </c>
      <c r="BN71" s="20">
        <f>[1]!YBHIST(BN$4,$A71,"LMMOAS","sec","")</f>
        <v>106.534103</v>
      </c>
      <c r="BO71" s="20">
        <f>[1]!YBHIST(BO$4,$A71,"LMMOAS","sec","")</f>
        <v>266.19751000000002</v>
      </c>
      <c r="BP71" s="20">
        <f>[1]!YBHIST(BP$4,$A71,"LMMOAS","sec","")</f>
        <v>291.99148600000001</v>
      </c>
      <c r="BQ71" s="20">
        <f>[1]!YBHIST(BQ$4,$A71,"LMMOAS","sec","")</f>
        <v>506.97109999999998</v>
      </c>
      <c r="BR71" s="20">
        <f>[1]!YBHIST(BR$4,$A71,"LMMOAS","sec","")</f>
        <v>627.15972899999997</v>
      </c>
      <c r="BS71" s="20">
        <f>[1]!YBHIST(BS$4,$A71,"LMMOAS","sec","")</f>
        <v>286.59921300000002</v>
      </c>
      <c r="BT71" s="20">
        <f>[1]!YBHIST(BT$4,$A71,"LMMOAS","sec","")</f>
        <v>352.802887</v>
      </c>
      <c r="BU71" s="20">
        <f>[1]!YBHIST(BU$4,$A71,"LMMOAS","sec","")</f>
        <v>149.02600100000001</v>
      </c>
      <c r="BV71" s="20">
        <f>[1]!YBHIST(BV$4,$A71,"LMMOAS","sec","")</f>
        <v>251.218796</v>
      </c>
      <c r="BW71" s="20">
        <f>[1]!YBHIST(BW$4,$A71,"LMMOAS","sec","")</f>
        <v>292.44909699999999</v>
      </c>
      <c r="BX71" s="5"/>
      <c r="BY71" s="1"/>
      <c r="BZ71" s="1"/>
    </row>
    <row r="72" spans="1:78" x14ac:dyDescent="0.25">
      <c r="A72" s="14">
        <f>[1]!YBWORKDAY(A$26,-1*(ROW()-ROW(A$26)),"USD","")</f>
        <v>41172</v>
      </c>
      <c r="B72" s="3">
        <f>[1]!YBHIST("2 Year Treasury",$A72,"Price","govt","")</f>
        <v>99.976996999999997</v>
      </c>
      <c r="C72" s="2">
        <f>[1]!YBHIST("5 Year Treasury",$A72,"Price","govt","")</f>
        <v>99.68</v>
      </c>
      <c r="D72" s="2">
        <f>[1]!YBHIST("10 Year Treasury",$A72,"Price","govt","")</f>
        <v>98.625</v>
      </c>
      <c r="E72" s="6">
        <f>[1]!YBHIST("30 Year Treasury",$A72,"Price","govt","")</f>
        <v>95.969002000000003</v>
      </c>
      <c r="F72" s="3">
        <f>[1]!YBHIST("2 Year Treasury",$A72,"YldtoMat","govt","")</f>
        <v>0.26200000000000001</v>
      </c>
      <c r="G72" s="2">
        <f>[1]!YBHIST("5 Year Treasury",$A72,"YldtoMat","govt","")</f>
        <v>0.69099999999999995</v>
      </c>
      <c r="H72" s="2">
        <f>[1]!YBHIST("10 Year Treasury",$A72,"YldtoMat","govt","")</f>
        <v>1.7769999999999999</v>
      </c>
      <c r="I72" s="6">
        <f>[1]!YBHIST("30 Year Treasury",$A72,"YldtoMat","govt","")</f>
        <v>2.9540000000000002</v>
      </c>
      <c r="J72" s="3">
        <f>[1]!YBHIST("2yr Swap Rate",$A72,"YldtoMat","swapvol","")</f>
        <v>0.393567</v>
      </c>
      <c r="K72" s="2">
        <f>[1]!YBHIST("5yr Swap Rate",$A72,"YldtoMat","swapvol","")</f>
        <v>0.81417399999999995</v>
      </c>
      <c r="L72" s="2">
        <f>[1]!YBHIST("10yr Swap Rate",$A72,"YldtoMat","swapvol","")</f>
        <v>1.7826709999999999</v>
      </c>
      <c r="M72" s="6">
        <f>[1]!YBHIST("30yr Swap Rate",$A72,"YldtoMat","swapvol","")</f>
        <v>2.68268</v>
      </c>
      <c r="N72" s="3">
        <f>[1]!YBHIST("FNMA 30YR Cur Coup (BE)",$A72,"Yield","bmk","")</f>
        <v>2.17</v>
      </c>
      <c r="O72" s="2">
        <f>[1]!YBHIST("FHLMC 30YR Cur Coup (BE)",$A72,"Yield","bmk","")</f>
        <v>2.2160000000000002</v>
      </c>
      <c r="P72" s="2">
        <f>[1]!YBHIST("GNMA 30YR Cur Coup (BE)",$A72,"Yield","bmk","")</f>
        <v>2.0840000000000001</v>
      </c>
      <c r="Q72" s="2">
        <f>[1]!YBHIST("Primary 30-Yr Mtg Rate",$A72,"Yield","bmk","")</f>
        <v>3.5125999999999999</v>
      </c>
      <c r="R72" s="2">
        <f>[1]!YBHIST("FHLM 30-Yr Survey Rate",$A72,"Yield","bmk","")</f>
        <v>3.49</v>
      </c>
      <c r="S72" s="6">
        <f>[1]!YBHIST("Base Mortgage Rate",$A72,"Yield","bmk","")</f>
        <v>2.5070000000000001</v>
      </c>
      <c r="T72" s="18">
        <f>[1]!YBHIST("FNMA 30YR Cur Coup (BE)",$A72,"LMMOAS","bmk","")</f>
        <v>-13.4673</v>
      </c>
      <c r="U72" s="19">
        <f>[1]!YBHIST("FHLMC 30YR Cur Coup (BE)",$A72,"LMMOAS","bmk","")</f>
        <v>-8.6335999999999995</v>
      </c>
      <c r="V72" s="19">
        <f>[1]!YBHIST("GNMA 30YR Cur Coup (BE)",$A72,"LMMOAS","bmk","")</f>
        <v>-26.000601</v>
      </c>
      <c r="W72" s="20">
        <f t="shared" si="6"/>
        <v>39.300000000000004</v>
      </c>
      <c r="X72" s="20">
        <f t="shared" si="7"/>
        <v>39.300000000000004</v>
      </c>
      <c r="Y72" s="20">
        <f t="shared" si="8"/>
        <v>43.900000000000027</v>
      </c>
      <c r="Z72" s="25">
        <f>[1]!YBHIST("FNMA3.0-GEN",$A72,"Price","tba","")</f>
        <v>104.632812</v>
      </c>
      <c r="AA72" s="2">
        <f>[1]!YBHIST("FNMA3.5-GEN",$A72,"Price","tba","")</f>
        <v>106.703125</v>
      </c>
      <c r="AB72" s="2">
        <f>[1]!YBHIST("FNMA4.0-GEN",$A72,"Price","tba","")</f>
        <v>107.382812</v>
      </c>
      <c r="AC72" s="2">
        <f>[1]!YBHIST("FNMA4.5-GEN",$A72,"Price","tba","")</f>
        <v>108.1875</v>
      </c>
      <c r="AD72" s="2">
        <f>[1]!YBHIST("FNMA5.0-GEN",$A72,"Price","tba","")</f>
        <v>109.15625</v>
      </c>
      <c r="AE72" s="2">
        <f>[1]!YBHIST("FNMA5.5-GEN",$A72,"Price","tba","")</f>
        <v>109.796875</v>
      </c>
      <c r="AF72" s="6">
        <f>[1]!YBHIST("FNMA6.0-GEN",$A72,"Price","tba","")</f>
        <v>110.53125</v>
      </c>
      <c r="AG72" s="2">
        <f>[1]!YBHIST("FNMA3.0-GEN",$A72,"Yield","tba","")</f>
        <v>1.867</v>
      </c>
      <c r="AH72" s="2">
        <f>[1]!YBHIST("FNMA3.5-GEN",$A72,"Yield","tba","")</f>
        <v>1.33</v>
      </c>
      <c r="AI72" s="2">
        <f>[1]!YBHIST("FNMA4.0-GEN",$A72,"Yield","tba","")</f>
        <v>1.2310000000000001</v>
      </c>
      <c r="AJ72" s="2">
        <f>[1]!YBHIST("FNMA4.5-GEN",$A72,"Yield","tba","")</f>
        <v>1.204</v>
      </c>
      <c r="AK72" s="2">
        <f>[1]!YBHIST("FNMA5.0-GEN",$A72,"Yield","tba","")</f>
        <v>0.27500000000000002</v>
      </c>
      <c r="AL72" s="2">
        <f>[1]!YBHIST("FNMA5.5-GEN",$A72,"Yield","tba","")</f>
        <v>0.435</v>
      </c>
      <c r="AM72" s="6">
        <f>[1]!YBHIST("FNMA6.0-GEN",$A72,"Yield","tba","")</f>
        <v>-2.4E-2</v>
      </c>
      <c r="AN72" s="3">
        <f>[1]!YBHIST(AN$4,$A72,"Price","sec","")</f>
        <v>12.891</v>
      </c>
      <c r="AO72" s="2">
        <f>[1]!YBHIST(AO$4,$A72,"Price","sec","")</f>
        <v>14.047000000000001</v>
      </c>
      <c r="AP72" s="2">
        <f>[1]!YBHIST(AP$4,$A72,"Price","sec","")</f>
        <v>11.641</v>
      </c>
      <c r="AQ72" s="2">
        <f>[1]!YBHIST(AQ$4,$A72,"Price","sec","")</f>
        <v>15.093999999999999</v>
      </c>
      <c r="AR72" s="2">
        <f>[1]!YBHIST(AR$4,$A72,"Price","sec","")</f>
        <v>12.593999999999999</v>
      </c>
      <c r="AS72" s="2">
        <f>[1]!YBHIST(AS$4,$A72,"Price","sec","")</f>
        <v>19.172001000000002</v>
      </c>
      <c r="AT72" s="2">
        <f>[1]!YBHIST(AT$4,$A72,"Price","sec","")</f>
        <v>16.891000999999999</v>
      </c>
      <c r="AU72" s="2">
        <f>[1]!YBHIST(AU$4,$A72,"Price","sec","")</f>
        <v>11.218999999999999</v>
      </c>
      <c r="AV72" s="2">
        <f>[1]!YBHIST(AV$4,$A72,"Price","sec","")</f>
        <v>13.984</v>
      </c>
      <c r="AW72" s="2">
        <f>[1]!YBHIST(AW$4,$A72,"Price","sec","")</f>
        <v>13.859</v>
      </c>
      <c r="AX72" s="2">
        <f>[1]!YBHIST(AX$4,$A72,"Price","sec","")</f>
        <v>11.843999999999999</v>
      </c>
      <c r="AY72" s="2">
        <f>[1]!YBHIST(AY$4,$A72,"Price","sec","")</f>
        <v>15.141</v>
      </c>
      <c r="AZ72" s="2">
        <f>[1]!YBHIST(AZ$4,$A72,"Price","sec","")</f>
        <v>14.531000000000001</v>
      </c>
      <c r="BA72" s="2">
        <f>[1]!YBHIST(BA$4,$A72,"Price","sec","")</f>
        <v>13.906000000000001</v>
      </c>
      <c r="BB72" s="2">
        <f>[1]!YBHIST(BB$4,$A72,"Price","sec","")</f>
        <v>17.530999999999999</v>
      </c>
      <c r="BC72" s="2">
        <f>[1]!YBHIST(BC$4,$A72,"Price","sec","")</f>
        <v>18.094000000000001</v>
      </c>
      <c r="BD72" s="2">
        <f>[1]!YBHIST(BD$4,$A72,"Price","sec","")</f>
        <v>17.952998999999998</v>
      </c>
      <c r="BE72" s="6">
        <f>[1]!YBHIST(BE$4,$A72,"Price","sec","")</f>
        <v>18.577998999999998</v>
      </c>
      <c r="BF72" s="20">
        <f>[1]!YBHIST(BF$4,$A72,"LMMOAS","sec","")</f>
        <v>326.74108899999999</v>
      </c>
      <c r="BG72" s="20">
        <f>[1]!YBHIST(BG$4,$A72,"LMMOAS","sec","")</f>
        <v>279.368988</v>
      </c>
      <c r="BH72" s="20">
        <f>[1]!YBHIST(BH$4,$A72,"LMMOAS","sec","")</f>
        <v>329.702606</v>
      </c>
      <c r="BI72" s="20">
        <f>[1]!YBHIST(BI$4,$A72,"LMMOAS","sec","")</f>
        <v>352.007294</v>
      </c>
      <c r="BJ72" s="20">
        <f>[1]!YBHIST(BJ$4,$A72,"LMMOAS","sec","")</f>
        <v>401.39340199999998</v>
      </c>
      <c r="BK72" s="20">
        <f>[1]!YBHIST(BK$4,$A72,"LMMOAS","sec","")</f>
        <v>236.62309300000001</v>
      </c>
      <c r="BL72" s="20">
        <f>[1]!YBHIST(BL$4,$A72,"LMMOAS","sec","")</f>
        <v>245.645905</v>
      </c>
      <c r="BM72" s="20">
        <f>[1]!YBHIST(BM$4,$A72,"LMMOAS","sec","")</f>
        <v>32.031300000000002</v>
      </c>
      <c r="BN72" s="20">
        <f>[1]!YBHIST(BN$4,$A72,"LMMOAS","sec","")</f>
        <v>122.737297</v>
      </c>
      <c r="BO72" s="20">
        <f>[1]!YBHIST(BO$4,$A72,"LMMOAS","sec","")</f>
        <v>272.76791400000002</v>
      </c>
      <c r="BP72" s="20">
        <f>[1]!YBHIST(BP$4,$A72,"LMMOAS","sec","")</f>
        <v>320.32879600000001</v>
      </c>
      <c r="BQ72" s="20">
        <f>[1]!YBHIST(BQ$4,$A72,"LMMOAS","sec","")</f>
        <v>528.14849900000002</v>
      </c>
      <c r="BR72" s="20">
        <f>[1]!YBHIST(BR$4,$A72,"LMMOAS","sec","")</f>
        <v>643.88909899999999</v>
      </c>
      <c r="BS72" s="20">
        <f>[1]!YBHIST(BS$4,$A72,"LMMOAS","sec","")</f>
        <v>314.72879</v>
      </c>
      <c r="BT72" s="20">
        <f>[1]!YBHIST(BT$4,$A72,"LMMOAS","sec","")</f>
        <v>383.136414</v>
      </c>
      <c r="BU72" s="20">
        <f>[1]!YBHIST(BU$4,$A72,"LMMOAS","sec","")</f>
        <v>175.203506</v>
      </c>
      <c r="BV72" s="20">
        <f>[1]!YBHIST(BV$4,$A72,"LMMOAS","sec","")</f>
        <v>269.14959700000003</v>
      </c>
      <c r="BW72" s="20">
        <f>[1]!YBHIST(BW$4,$A72,"LMMOAS","sec","")</f>
        <v>307.86050399999999</v>
      </c>
      <c r="BX72" s="5"/>
      <c r="BY72" s="1"/>
      <c r="BZ72" s="1"/>
    </row>
    <row r="73" spans="1:78" x14ac:dyDescent="0.25">
      <c r="A73" s="14">
        <f>[1]!YBWORKDAY(A$26,-1*(ROW()-ROW(A$26)),"USD","")</f>
        <v>41171</v>
      </c>
      <c r="B73" s="3">
        <f>[1]!YBHIST("2 Year Treasury",$A73,"Price","govt","")</f>
        <v>99.976996999999997</v>
      </c>
      <c r="C73" s="2">
        <f>[1]!YBHIST("5 Year Treasury",$A73,"Price","govt","")</f>
        <v>99.688004000000006</v>
      </c>
      <c r="D73" s="2">
        <f>[1]!YBHIST("10 Year Treasury",$A73,"Price","govt","")</f>
        <v>98.578002999999995</v>
      </c>
      <c r="E73" s="6">
        <f>[1]!YBHIST("30 Year Treasury",$A73,"Price","govt","")</f>
        <v>95.563004000000006</v>
      </c>
      <c r="F73" s="3">
        <f>[1]!YBHIST("2 Year Treasury",$A73,"YldtoMat","govt","")</f>
        <v>0.26200000000000001</v>
      </c>
      <c r="G73" s="2">
        <f>[1]!YBHIST("5 Year Treasury",$A73,"YldtoMat","govt","")</f>
        <v>0.68899999999999995</v>
      </c>
      <c r="H73" s="2">
        <f>[1]!YBHIST("10 Year Treasury",$A73,"YldtoMat","govt","")</f>
        <v>1.782</v>
      </c>
      <c r="I73" s="6">
        <f>[1]!YBHIST("30 Year Treasury",$A73,"YldtoMat","govt","")</f>
        <v>2.9750000000000001</v>
      </c>
      <c r="J73" s="3">
        <f>[1]!YBHIST("2yr Swap Rate",$A73,"YldtoMat","swapvol","")</f>
        <v>0.38768900000000001</v>
      </c>
      <c r="K73" s="2">
        <f>[1]!YBHIST("5yr Swap Rate",$A73,"YldtoMat","swapvol","")</f>
        <v>0.82257499999999995</v>
      </c>
      <c r="L73" s="2">
        <f>[1]!YBHIST("10yr Swap Rate",$A73,"YldtoMat","swapvol","")</f>
        <v>1.80339</v>
      </c>
      <c r="M73" s="6">
        <f>[1]!YBHIST("30yr Swap Rate",$A73,"YldtoMat","swapvol","")</f>
        <v>2.7095349999999998</v>
      </c>
      <c r="N73" s="3">
        <f>[1]!YBHIST("FNMA 30YR Cur Coup (BE)",$A73,"Yield","bmk","")</f>
        <v>2.2109999999999999</v>
      </c>
      <c r="O73" s="2">
        <f>[1]!YBHIST("FHLMC 30YR Cur Coup (BE)",$A73,"Yield","bmk","")</f>
        <v>2.2570000000000001</v>
      </c>
      <c r="P73" s="2">
        <f>[1]!YBHIST("GNMA 30YR Cur Coup (BE)",$A73,"Yield","bmk","")</f>
        <v>2.125</v>
      </c>
      <c r="Q73" s="2">
        <f>[1]!YBHIST("Primary 30-Yr Mtg Rate",$A73,"Yield","bmk","")</f>
        <v>3.5243000000000002</v>
      </c>
      <c r="R73" s="2">
        <f>[1]!YBHIST("FHLM 30-Yr Survey Rate",$A73,"Yield","bmk","")</f>
        <v>3.55</v>
      </c>
      <c r="S73" s="6">
        <f>[1]!YBHIST("Base Mortgage Rate",$A73,"Yield","bmk","")</f>
        <v>2.548</v>
      </c>
      <c r="T73" s="18">
        <f>[1]!YBHIST("FNMA 30YR Cur Coup (BE)",$A73,"LMMOAS","bmk","")</f>
        <v>-11.233499999999999</v>
      </c>
      <c r="U73" s="19">
        <f>[1]!YBHIST("FHLMC 30YR Cur Coup (BE)",$A73,"LMMOAS","bmk","")</f>
        <v>-6.343</v>
      </c>
      <c r="V73" s="19">
        <f>[1]!YBHIST("GNMA 30YR Cur Coup (BE)",$A73,"LMMOAS","bmk","")</f>
        <v>-26.0777</v>
      </c>
      <c r="W73" s="20">
        <f t="shared" si="6"/>
        <v>42.899999999999984</v>
      </c>
      <c r="X73" s="20">
        <f t="shared" si="7"/>
        <v>42.899999999999984</v>
      </c>
      <c r="Y73" s="20">
        <f t="shared" si="8"/>
        <v>47.500000000000007</v>
      </c>
      <c r="Z73" s="25">
        <f>[1]!YBHIST("FNMA3.0-GEN",$A73,"Price","tba","")</f>
        <v>104.398438</v>
      </c>
      <c r="AA73" s="2">
        <f>[1]!YBHIST("FNMA3.5-GEN",$A73,"Price","tba","")</f>
        <v>106.460938</v>
      </c>
      <c r="AB73" s="2">
        <f>[1]!YBHIST("FNMA4.0-GEN",$A73,"Price","tba","")</f>
        <v>107.234375</v>
      </c>
      <c r="AC73" s="2">
        <f>[1]!YBHIST("FNMA4.5-GEN",$A73,"Price","tba","")</f>
        <v>108.085938</v>
      </c>
      <c r="AD73" s="2">
        <f>[1]!YBHIST("FNMA5.0-GEN",$A73,"Price","tba","")</f>
        <v>109.125</v>
      </c>
      <c r="AE73" s="2">
        <f>[1]!YBHIST("FNMA5.5-GEN",$A73,"Price","tba","")</f>
        <v>109.78125</v>
      </c>
      <c r="AF73" s="6">
        <f>[1]!YBHIST("FNMA6.0-GEN",$A73,"Price","tba","")</f>
        <v>110.5625</v>
      </c>
      <c r="AG73" s="2">
        <f>[1]!YBHIST("FNMA3.0-GEN",$A73,"Yield","tba","")</f>
        <v>1.9510000000000001</v>
      </c>
      <c r="AH73" s="2">
        <f>[1]!YBHIST("FNMA3.5-GEN",$A73,"Yield","tba","")</f>
        <v>1.4490000000000001</v>
      </c>
      <c r="AI73" s="2">
        <f>[1]!YBHIST("FNMA4.0-GEN",$A73,"Yield","tba","")</f>
        <v>1.3280000000000001</v>
      </c>
      <c r="AJ73" s="2">
        <f>[1]!YBHIST("FNMA4.5-GEN",$A73,"Yield","tba","")</f>
        <v>1.2809999999999999</v>
      </c>
      <c r="AK73" s="2">
        <f>[1]!YBHIST("FNMA5.0-GEN",$A73,"Yield","tba","")</f>
        <v>0.33</v>
      </c>
      <c r="AL73" s="2">
        <f>[1]!YBHIST("FNMA5.5-GEN",$A73,"Yield","tba","")</f>
        <v>0.47299999999999998</v>
      </c>
      <c r="AM73" s="6">
        <f>[1]!YBHIST("FNMA6.0-GEN",$A73,"Yield","tba","")</f>
        <v>-1.2999999999999999E-2</v>
      </c>
      <c r="AN73" s="3">
        <f>[1]!YBHIST(AN$4,$A73,"Price","sec","")</f>
        <v>13.25</v>
      </c>
      <c r="AO73" s="2">
        <f>[1]!YBHIST(AO$4,$A73,"Price","sec","")</f>
        <v>14.406000000000001</v>
      </c>
      <c r="AP73" s="2">
        <f>[1]!YBHIST(AP$4,$A73,"Price","sec","")</f>
        <v>11.952999999999999</v>
      </c>
      <c r="AQ73" s="2">
        <f>[1]!YBHIST(AQ$4,$A73,"Price","sec","")</f>
        <v>15.422000000000001</v>
      </c>
      <c r="AR73" s="2">
        <f>[1]!YBHIST(AR$4,$A73,"Price","sec","")</f>
        <v>12.906000000000001</v>
      </c>
      <c r="AS73" s="2">
        <f>[1]!YBHIST(AS$4,$A73,"Price","sec","")</f>
        <v>19.452998999999998</v>
      </c>
      <c r="AT73" s="2">
        <f>[1]!YBHIST(AT$4,$A73,"Price","sec","")</f>
        <v>17.172001000000002</v>
      </c>
      <c r="AU73" s="2">
        <f>[1]!YBHIST(AU$4,$A73,"Price","sec","")</f>
        <v>11.452999999999999</v>
      </c>
      <c r="AV73" s="2">
        <f>[1]!YBHIST(AV$4,$A73,"Price","sec","")</f>
        <v>14.188000000000001</v>
      </c>
      <c r="AW73" s="2">
        <f>[1]!YBHIST(AW$4,$A73,"Price","sec","")</f>
        <v>14.061999999999999</v>
      </c>
      <c r="AX73" s="2">
        <f>[1]!YBHIST(AX$4,$A73,"Price","sec","")</f>
        <v>12</v>
      </c>
      <c r="AY73" s="2">
        <f>[1]!YBHIST(AY$4,$A73,"Price","sec","")</f>
        <v>15.281000000000001</v>
      </c>
      <c r="AZ73" s="2">
        <f>[1]!YBHIST(AZ$4,$A73,"Price","sec","")</f>
        <v>14.672000000000001</v>
      </c>
      <c r="BA73" s="2">
        <f>[1]!YBHIST(BA$4,$A73,"Price","sec","")</f>
        <v>14.047000000000001</v>
      </c>
      <c r="BB73" s="2">
        <f>[1]!YBHIST(BB$4,$A73,"Price","sec","")</f>
        <v>17.625</v>
      </c>
      <c r="BC73" s="2">
        <f>[1]!YBHIST(BC$4,$A73,"Price","sec","")</f>
        <v>18.327998999999998</v>
      </c>
      <c r="BD73" s="2">
        <f>[1]!YBHIST(BD$4,$A73,"Price","sec","")</f>
        <v>18.219000000000001</v>
      </c>
      <c r="BE73" s="6">
        <f>[1]!YBHIST(BE$4,$A73,"Price","sec","")</f>
        <v>18.827998999999998</v>
      </c>
      <c r="BF73" s="20">
        <f>[1]!YBHIST(BF$4,$A73,"LMMOAS","sec","")</f>
        <v>323.11370799999997</v>
      </c>
      <c r="BG73" s="20">
        <f>[1]!YBHIST(BG$4,$A73,"LMMOAS","sec","")</f>
        <v>276.47000100000002</v>
      </c>
      <c r="BH73" s="20">
        <f>[1]!YBHIST(BH$4,$A73,"LMMOAS","sec","")</f>
        <v>324.22610500000002</v>
      </c>
      <c r="BI73" s="20">
        <f>[1]!YBHIST(BI$4,$A73,"LMMOAS","sec","")</f>
        <v>350.94790599999999</v>
      </c>
      <c r="BJ73" s="20">
        <f>[1]!YBHIST(BJ$4,$A73,"LMMOAS","sec","")</f>
        <v>391.51409899999999</v>
      </c>
      <c r="BK73" s="20">
        <f>[1]!YBHIST(BK$4,$A73,"LMMOAS","sec","")</f>
        <v>239.720505</v>
      </c>
      <c r="BL73" s="20">
        <f>[1]!YBHIST(BL$4,$A73,"LMMOAS","sec","")</f>
        <v>247.363495</v>
      </c>
      <c r="BM73" s="20">
        <f>[1]!YBHIST(BM$4,$A73,"LMMOAS","sec","")</f>
        <v>26.084800999999999</v>
      </c>
      <c r="BN73" s="20">
        <f>[1]!YBHIST(BN$4,$A73,"LMMOAS","sec","")</f>
        <v>124.677803</v>
      </c>
      <c r="BO73" s="20">
        <f>[1]!YBHIST(BO$4,$A73,"LMMOAS","sec","")</f>
        <v>266.58578499999999</v>
      </c>
      <c r="BP73" s="20">
        <f>[1]!YBHIST(BP$4,$A73,"LMMOAS","sec","")</f>
        <v>326.95010400000001</v>
      </c>
      <c r="BQ73" s="20">
        <f>[1]!YBHIST(BQ$4,$A73,"LMMOAS","sec","")</f>
        <v>535.27600099999995</v>
      </c>
      <c r="BR73" s="20">
        <f>[1]!YBHIST(BR$4,$A73,"LMMOAS","sec","")</f>
        <v>643.791382</v>
      </c>
      <c r="BS73" s="20">
        <f>[1]!YBHIST(BS$4,$A73,"LMMOAS","sec","")</f>
        <v>321.87411500000002</v>
      </c>
      <c r="BT73" s="20">
        <f>[1]!YBHIST(BT$4,$A73,"LMMOAS","sec","")</f>
        <v>393.54251099999999</v>
      </c>
      <c r="BU73" s="20">
        <f>[1]!YBHIST(BU$4,$A73,"LMMOAS","sec","")</f>
        <v>192.091003</v>
      </c>
      <c r="BV73" s="20">
        <f>[1]!YBHIST(BV$4,$A73,"LMMOAS","sec","")</f>
        <v>278.88250699999998</v>
      </c>
      <c r="BW73" s="20">
        <f>[1]!YBHIST(BW$4,$A73,"LMMOAS","sec","")</f>
        <v>314.397491</v>
      </c>
      <c r="BX73" s="5"/>
      <c r="BY73" s="1"/>
      <c r="BZ73" s="1"/>
    </row>
    <row r="74" spans="1:78" x14ac:dyDescent="0.25">
      <c r="A74" s="14">
        <f>[1]!YBWORKDAY(A$26,-1*(ROW()-ROW(A$26)),"USD","")</f>
        <v>41170</v>
      </c>
      <c r="B74" s="3">
        <f>[1]!YBHIST("2 Year Treasury",$A74,"Price","govt","")</f>
        <v>99.984001000000006</v>
      </c>
      <c r="C74" s="2">
        <f>[1]!YBHIST("5 Year Treasury",$A74,"Price","govt","")</f>
        <v>99.640998999999994</v>
      </c>
      <c r="D74" s="2">
        <f>[1]!YBHIST("10 Year Treasury",$A74,"Price","govt","")</f>
        <v>98.328002999999995</v>
      </c>
      <c r="E74" s="6">
        <f>[1]!YBHIST("30 Year Treasury",$A74,"Price","govt","")</f>
        <v>94.890998999999994</v>
      </c>
      <c r="F74" s="3">
        <f>[1]!YBHIST("2 Year Treasury",$A74,"YldtoMat","govt","")</f>
        <v>0.25800000000000001</v>
      </c>
      <c r="G74" s="2">
        <f>[1]!YBHIST("5 Year Treasury",$A74,"YldtoMat","govt","")</f>
        <v>0.69899999999999995</v>
      </c>
      <c r="H74" s="2">
        <f>[1]!YBHIST("10 Year Treasury",$A74,"YldtoMat","govt","")</f>
        <v>1.81</v>
      </c>
      <c r="I74" s="6">
        <f>[1]!YBHIST("30 Year Treasury",$A74,"YldtoMat","govt","")</f>
        <v>3.01</v>
      </c>
      <c r="J74" s="3">
        <f>[1]!YBHIST("2yr Swap Rate",$A74,"YldtoMat","swapvol","")</f>
        <v>0.38781300000000002</v>
      </c>
      <c r="K74" s="2">
        <f>[1]!YBHIST("5yr Swap Rate",$A74,"YldtoMat","swapvol","")</f>
        <v>0.84356699999999996</v>
      </c>
      <c r="L74" s="2">
        <f>[1]!YBHIST("10yr Swap Rate",$A74,"YldtoMat","swapvol","")</f>
        <v>1.8461860000000001</v>
      </c>
      <c r="M74" s="6">
        <f>[1]!YBHIST("30yr Swap Rate",$A74,"YldtoMat","swapvol","")</f>
        <v>2.755725</v>
      </c>
      <c r="N74" s="3">
        <f>[1]!YBHIST("FNMA 30YR Cur Coup (BE)",$A74,"Yield","bmk","")</f>
        <v>2.2690000000000001</v>
      </c>
      <c r="O74" s="2">
        <f>[1]!YBHIST("FHLMC 30YR Cur Coup (BE)",$A74,"Yield","bmk","")</f>
        <v>2.3149999999999999</v>
      </c>
      <c r="P74" s="2">
        <f>[1]!YBHIST("GNMA 30YR Cur Coup (BE)",$A74,"Yield","bmk","")</f>
        <v>2.1829999999999998</v>
      </c>
      <c r="Q74" s="2">
        <f>[1]!YBHIST("Primary 30-Yr Mtg Rate",$A74,"Yield","bmk","")</f>
        <v>3.5823</v>
      </c>
      <c r="R74" s="2">
        <f>[1]!YBHIST("FHLM 30-Yr Survey Rate",$A74,"Yield","bmk","")</f>
        <v>3.55</v>
      </c>
      <c r="S74" s="6">
        <f>[1]!YBHIST("Base Mortgage Rate",$A74,"Yield","bmk","")</f>
        <v>2.6059999999999999</v>
      </c>
      <c r="T74" s="18">
        <f>[1]!YBHIST("FNMA 30YR Cur Coup (BE)",$A74,"LMMOAS","bmk","")</f>
        <v>-9.3643999999999998</v>
      </c>
      <c r="U74" s="19">
        <f>[1]!YBHIST("FHLMC 30YR Cur Coup (BE)",$A74,"LMMOAS","bmk","")</f>
        <v>-4.4642999999999997</v>
      </c>
      <c r="V74" s="19">
        <f>[1]!YBHIST("GNMA 30YR Cur Coup (BE)",$A74,"LMMOAS","bmk","")</f>
        <v>-26.482800000000001</v>
      </c>
      <c r="W74" s="20">
        <f t="shared" si="6"/>
        <v>45.900000000000006</v>
      </c>
      <c r="X74" s="20">
        <f t="shared" si="7"/>
        <v>45.900000000000006</v>
      </c>
      <c r="Y74" s="20">
        <f t="shared" si="8"/>
        <v>50.499999999999986</v>
      </c>
      <c r="Z74" s="25">
        <f>[1]!YBHIST("FNMA3.0-GEN",$A74,"Price","tba","")</f>
        <v>104.125</v>
      </c>
      <c r="AA74" s="2">
        <f>[1]!YBHIST("FNMA3.5-GEN",$A74,"Price","tba","")</f>
        <v>106.265625</v>
      </c>
      <c r="AB74" s="2">
        <f>[1]!YBHIST("FNMA4.0-GEN",$A74,"Price","tba","")</f>
        <v>107.125</v>
      </c>
      <c r="AC74" s="2">
        <f>[1]!YBHIST("FNMA4.5-GEN",$A74,"Price","tba","")</f>
        <v>108.046875</v>
      </c>
      <c r="AD74" s="2">
        <f>[1]!YBHIST("FNMA5.0-GEN",$A74,"Price","tba","")</f>
        <v>109.109375</v>
      </c>
      <c r="AE74" s="2">
        <f>[1]!YBHIST("FNMA5.5-GEN",$A74,"Price","tba","")</f>
        <v>109.78125</v>
      </c>
      <c r="AF74" s="6">
        <f>[1]!YBHIST("FNMA6.0-GEN",$A74,"Price","tba","")</f>
        <v>110.5625</v>
      </c>
      <c r="AG74" s="2">
        <f>[1]!YBHIST("FNMA3.0-GEN",$A74,"Yield","tba","")</f>
        <v>2.0529999999999999</v>
      </c>
      <c r="AH74" s="2">
        <f>[1]!YBHIST("FNMA3.5-GEN",$A74,"Yield","tba","")</f>
        <v>1.569</v>
      </c>
      <c r="AI74" s="2">
        <f>[1]!YBHIST("FNMA4.0-GEN",$A74,"Yield","tba","")</f>
        <v>1.4279999999999999</v>
      </c>
      <c r="AJ74" s="2">
        <f>[1]!YBHIST("FNMA4.5-GEN",$A74,"Yield","tba","")</f>
        <v>1.35</v>
      </c>
      <c r="AK74" s="2">
        <f>[1]!YBHIST("FNMA5.0-GEN",$A74,"Yield","tba","")</f>
        <v>0.39500000000000002</v>
      </c>
      <c r="AL74" s="2">
        <f>[1]!YBHIST("FNMA5.5-GEN",$A74,"Yield","tba","")</f>
        <v>0.51700000000000002</v>
      </c>
      <c r="AM74" s="6">
        <f>[1]!YBHIST("FNMA6.0-GEN",$A74,"Yield","tba","")</f>
        <v>2.4E-2</v>
      </c>
      <c r="AN74" s="3">
        <f>[1]!YBHIST(AN$4,$A74,"Price","sec","")</f>
        <v>13.593999999999999</v>
      </c>
      <c r="AO74" s="2">
        <f>[1]!YBHIST(AO$4,$A74,"Price","sec","")</f>
        <v>14.718999999999999</v>
      </c>
      <c r="AP74" s="2">
        <f>[1]!YBHIST(AP$4,$A74,"Price","sec","")</f>
        <v>12.266</v>
      </c>
      <c r="AQ74" s="2">
        <f>[1]!YBHIST(AQ$4,$A74,"Price","sec","")</f>
        <v>15.688000000000001</v>
      </c>
      <c r="AR74" s="2">
        <f>[1]!YBHIST(AR$4,$A74,"Price","sec","")</f>
        <v>13.172000000000001</v>
      </c>
      <c r="AS74" s="2">
        <f>[1]!YBHIST(AS$4,$A74,"Price","sec","")</f>
        <v>19.641000999999999</v>
      </c>
      <c r="AT74" s="2">
        <f>[1]!YBHIST(AT$4,$A74,"Price","sec","")</f>
        <v>17.358999000000001</v>
      </c>
      <c r="AU74" s="2">
        <f>[1]!YBHIST(AU$4,$A74,"Price","sec","")</f>
        <v>11.641</v>
      </c>
      <c r="AV74" s="2">
        <f>[1]!YBHIST(AV$4,$A74,"Price","sec","")</f>
        <v>14.375</v>
      </c>
      <c r="AW74" s="2">
        <f>[1]!YBHIST(AW$4,$A74,"Price","sec","")</f>
        <v>14.218999999999999</v>
      </c>
      <c r="AX74" s="2">
        <f>[1]!YBHIST(AX$4,$A74,"Price","sec","")</f>
        <v>12.109</v>
      </c>
      <c r="AY74" s="2">
        <f>[1]!YBHIST(AY$4,$A74,"Price","sec","")</f>
        <v>15.391</v>
      </c>
      <c r="AZ74" s="2">
        <f>[1]!YBHIST(AZ$4,$A74,"Price","sec","")</f>
        <v>14.781000000000001</v>
      </c>
      <c r="BA74" s="2">
        <f>[1]!YBHIST(BA$4,$A74,"Price","sec","")</f>
        <v>14.141</v>
      </c>
      <c r="BB74" s="2">
        <f>[1]!YBHIST(BB$4,$A74,"Price","sec","")</f>
        <v>17.672001000000002</v>
      </c>
      <c r="BC74" s="2">
        <f>[1]!YBHIST(BC$4,$A74,"Price","sec","")</f>
        <v>18.547001000000002</v>
      </c>
      <c r="BD74" s="2">
        <f>[1]!YBHIST(BD$4,$A74,"Price","sec","")</f>
        <v>18.469000000000001</v>
      </c>
      <c r="BE74" s="6">
        <f>[1]!YBHIST(BE$4,$A74,"Price","sec","")</f>
        <v>19.030999999999999</v>
      </c>
      <c r="BF74" s="20">
        <f>[1]!YBHIST(BF$4,$A74,"LMMOAS","sec","")</f>
        <v>339.54998799999998</v>
      </c>
      <c r="BG74" s="20">
        <f>[1]!YBHIST(BG$4,$A74,"LMMOAS","sec","")</f>
        <v>298.92761200000001</v>
      </c>
      <c r="BH74" s="20">
        <f>[1]!YBHIST(BH$4,$A74,"LMMOAS","sec","")</f>
        <v>341.69241299999999</v>
      </c>
      <c r="BI74" s="20">
        <f>[1]!YBHIST(BI$4,$A74,"LMMOAS","sec","")</f>
        <v>376.94461100000001</v>
      </c>
      <c r="BJ74" s="20">
        <f>[1]!YBHIST(BJ$4,$A74,"LMMOAS","sec","")</f>
        <v>412.35079999999999</v>
      </c>
      <c r="BK74" s="20">
        <f>[1]!YBHIST(BK$4,$A74,"LMMOAS","sec","")</f>
        <v>265.30081200000001</v>
      </c>
      <c r="BL74" s="20">
        <f>[1]!YBHIST(BL$4,$A74,"LMMOAS","sec","")</f>
        <v>276.96481299999999</v>
      </c>
      <c r="BM74" s="20">
        <f>[1]!YBHIST(BM$4,$A74,"LMMOAS","sec","")</f>
        <v>55.556702000000001</v>
      </c>
      <c r="BN74" s="20">
        <f>[1]!YBHIST(BN$4,$A74,"LMMOAS","sec","")</f>
        <v>144.755402</v>
      </c>
      <c r="BO74" s="20">
        <f>[1]!YBHIST(BO$4,$A74,"LMMOAS","sec","")</f>
        <v>281.82440200000002</v>
      </c>
      <c r="BP74" s="20">
        <f>[1]!YBHIST(BP$4,$A74,"LMMOAS","sec","")</f>
        <v>367.256012</v>
      </c>
      <c r="BQ74" s="20">
        <f>[1]!YBHIST(BQ$4,$A74,"LMMOAS","sec","")</f>
        <v>560.00390600000003</v>
      </c>
      <c r="BR74" s="20">
        <f>[1]!YBHIST(BR$4,$A74,"LMMOAS","sec","")</f>
        <v>660.22522000000004</v>
      </c>
      <c r="BS74" s="20">
        <f>[1]!YBHIST(BS$4,$A74,"LMMOAS","sec","")</f>
        <v>355.88958700000001</v>
      </c>
      <c r="BT74" s="20">
        <f>[1]!YBHIST(BT$4,$A74,"LMMOAS","sec","")</f>
        <v>420.19979899999998</v>
      </c>
      <c r="BU74" s="20">
        <f>[1]!YBHIST(BU$4,$A74,"LMMOAS","sec","")</f>
        <v>221.51170300000001</v>
      </c>
      <c r="BV74" s="20">
        <f>[1]!YBHIST(BV$4,$A74,"LMMOAS","sec","")</f>
        <v>303.44988999999998</v>
      </c>
      <c r="BW74" s="20">
        <f>[1]!YBHIST(BW$4,$A74,"LMMOAS","sec","")</f>
        <v>338.83639499999998</v>
      </c>
      <c r="BX74" s="5"/>
      <c r="BY74" s="1"/>
      <c r="BZ74" s="1"/>
    </row>
    <row r="75" spans="1:78" x14ac:dyDescent="0.25">
      <c r="A75" s="14">
        <f>[1]!YBWORKDAY(A$26,-1*(ROW()-ROW(A$26)),"USD","")</f>
        <v>41169</v>
      </c>
      <c r="B75" s="3">
        <f>[1]!YBHIST("2 Year Treasury",$A75,"Price","govt","")</f>
        <v>99.991996999999998</v>
      </c>
      <c r="C75" s="2">
        <f>[1]!YBHIST("5 Year Treasury",$A75,"Price","govt","")</f>
        <v>99.555000000000007</v>
      </c>
      <c r="D75" s="2">
        <f>[1]!YBHIST("10 Year Treasury",$A75,"Price","govt","")</f>
        <v>98.094002000000003</v>
      </c>
      <c r="E75" s="6">
        <f>[1]!YBHIST("30 Year Treasury",$A75,"Price","govt","")</f>
        <v>94.453002999999995</v>
      </c>
      <c r="F75" s="3">
        <f>[1]!YBHIST("2 Year Treasury",$A75,"YldtoMat","govt","")</f>
        <v>0.254</v>
      </c>
      <c r="G75" s="2">
        <f>[1]!YBHIST("5 Year Treasury",$A75,"YldtoMat","govt","")</f>
        <v>0.71699999999999997</v>
      </c>
      <c r="H75" s="2">
        <f>[1]!YBHIST("10 Year Treasury",$A75,"YldtoMat","govt","")</f>
        <v>1.8360000000000001</v>
      </c>
      <c r="I75" s="6">
        <f>[1]!YBHIST("30 Year Treasury",$A75,"YldtoMat","govt","")</f>
        <v>3.0329999999999999</v>
      </c>
      <c r="J75" s="3">
        <f>[1]!YBHIST("2yr Swap Rate",$A75,"YldtoMat","swapvol","")</f>
        <v>0.37708799999999998</v>
      </c>
      <c r="K75" s="2">
        <f>[1]!YBHIST("5yr Swap Rate",$A75,"YldtoMat","swapvol","")</f>
        <v>0.85873299999999997</v>
      </c>
      <c r="L75" s="2">
        <f>[1]!YBHIST("10yr Swap Rate",$A75,"YldtoMat","swapvol","")</f>
        <v>1.872341</v>
      </c>
      <c r="M75" s="6">
        <f>[1]!YBHIST("30yr Swap Rate",$A75,"YldtoMat","swapvol","")</f>
        <v>2.7853819999999998</v>
      </c>
      <c r="N75" s="3">
        <f>[1]!YBHIST("FNMA 30YR Cur Coup (BE)",$A75,"Yield","bmk","")</f>
        <v>2.2810000000000001</v>
      </c>
      <c r="O75" s="2">
        <f>[1]!YBHIST("FHLMC 30YR Cur Coup (BE)",$A75,"Yield","bmk","")</f>
        <v>2.327</v>
      </c>
      <c r="P75" s="2">
        <f>[1]!YBHIST("GNMA 30YR Cur Coup (BE)",$A75,"Yield","bmk","")</f>
        <v>2.1949999999999998</v>
      </c>
      <c r="Q75" s="2">
        <f>[1]!YBHIST("Primary 30-Yr Mtg Rate",$A75,"Yield","bmk","")</f>
        <v>3.5914999999999999</v>
      </c>
      <c r="R75" s="2">
        <f>[1]!YBHIST("FHLM 30-Yr Survey Rate",$A75,"Yield","bmk","")</f>
        <v>3.55</v>
      </c>
      <c r="S75" s="6">
        <f>[1]!YBHIST("Base Mortgage Rate",$A75,"Yield","bmk","")</f>
        <v>2.6150000000000002</v>
      </c>
      <c r="T75" s="18">
        <f>[1]!YBHIST("FNMA 30YR Cur Coup (BE)",$A75,"LMMOAS","bmk","")</f>
        <v>-11.106400000000001</v>
      </c>
      <c r="U75" s="19">
        <f>[1]!YBHIST("FHLMC 30YR Cur Coup (BE)",$A75,"LMMOAS","bmk","")</f>
        <v>-6.2134999999999998</v>
      </c>
      <c r="V75" s="19">
        <f>[1]!YBHIST("GNMA 30YR Cur Coup (BE)",$A75,"LMMOAS","bmk","")</f>
        <v>-28.572901000000002</v>
      </c>
      <c r="W75" s="20">
        <f t="shared" si="6"/>
        <v>44.500000000000007</v>
      </c>
      <c r="X75" s="20">
        <f t="shared" si="7"/>
        <v>44.500000000000007</v>
      </c>
      <c r="Y75" s="20">
        <f t="shared" si="8"/>
        <v>49.099999999999987</v>
      </c>
      <c r="Z75" s="25">
        <f>[1]!YBHIST("FNMA3.0-GEN",$A75,"Price","tba","")</f>
        <v>104.046875</v>
      </c>
      <c r="AA75" s="2">
        <f>[1]!YBHIST("FNMA3.5-GEN",$A75,"Price","tba","")</f>
        <v>106.21875</v>
      </c>
      <c r="AB75" s="2">
        <f>[1]!YBHIST("FNMA4.0-GEN",$A75,"Price","tba","")</f>
        <v>107.132812</v>
      </c>
      <c r="AC75" s="2">
        <f>[1]!YBHIST("FNMA4.5-GEN",$A75,"Price","tba","")</f>
        <v>108.078125</v>
      </c>
      <c r="AD75" s="2">
        <f>[1]!YBHIST("FNMA5.0-GEN",$A75,"Price","tba","")</f>
        <v>109.148438</v>
      </c>
      <c r="AE75" s="2">
        <f>[1]!YBHIST("FNMA5.5-GEN",$A75,"Price","tba","")</f>
        <v>109.835938</v>
      </c>
      <c r="AF75" s="6">
        <f>[1]!YBHIST("FNMA6.0-GEN",$A75,"Price","tba","")</f>
        <v>110.679688</v>
      </c>
      <c r="AG75" s="2">
        <f>[1]!YBHIST("FNMA3.0-GEN",$A75,"Yield","tba","")</f>
        <v>2.0760000000000001</v>
      </c>
      <c r="AH75" s="2">
        <f>[1]!YBHIST("FNMA3.5-GEN",$A75,"Yield","tba","")</f>
        <v>1.581</v>
      </c>
      <c r="AI75" s="2">
        <f>[1]!YBHIST("FNMA4.0-GEN",$A75,"Yield","tba","")</f>
        <v>1.4359999999999999</v>
      </c>
      <c r="AJ75" s="2">
        <f>[1]!YBHIST("FNMA4.5-GEN",$A75,"Yield","tba","")</f>
        <v>1.343</v>
      </c>
      <c r="AK75" s="2">
        <f>[1]!YBHIST("FNMA5.0-GEN",$A75,"Yield","tba","")</f>
        <v>0.38700000000000001</v>
      </c>
      <c r="AL75" s="2">
        <f>[1]!YBHIST("FNMA5.5-GEN",$A75,"Yield","tba","")</f>
        <v>0.51700000000000002</v>
      </c>
      <c r="AM75" s="6">
        <f>[1]!YBHIST("FNMA6.0-GEN",$A75,"Yield","tba","")</f>
        <v>-2.7E-2</v>
      </c>
      <c r="AN75" s="3">
        <f>[1]!YBHIST(AN$4,$A75,"Price","sec","")</f>
        <v>13.688000000000001</v>
      </c>
      <c r="AO75" s="2">
        <f>[1]!YBHIST(AO$4,$A75,"Price","sec","")</f>
        <v>14.811999999999999</v>
      </c>
      <c r="AP75" s="2">
        <f>[1]!YBHIST(AP$4,$A75,"Price","sec","")</f>
        <v>12.359</v>
      </c>
      <c r="AQ75" s="2">
        <f>[1]!YBHIST(AQ$4,$A75,"Price","sec","")</f>
        <v>15.766</v>
      </c>
      <c r="AR75" s="2">
        <f>[1]!YBHIST(AR$4,$A75,"Price","sec","")</f>
        <v>13.266</v>
      </c>
      <c r="AS75" s="2">
        <f>[1]!YBHIST(AS$4,$A75,"Price","sec","")</f>
        <v>19.687999999999999</v>
      </c>
      <c r="AT75" s="2">
        <f>[1]!YBHIST(AT$4,$A75,"Price","sec","")</f>
        <v>17.405999999999999</v>
      </c>
      <c r="AU75" s="2">
        <f>[1]!YBHIST(AU$4,$A75,"Price","sec","")</f>
        <v>11.688000000000001</v>
      </c>
      <c r="AV75" s="2">
        <f>[1]!YBHIST(AV$4,$A75,"Price","sec","")</f>
        <v>14.422000000000001</v>
      </c>
      <c r="AW75" s="2">
        <f>[1]!YBHIST(AW$4,$A75,"Price","sec","")</f>
        <v>14.25</v>
      </c>
      <c r="AX75" s="2">
        <f>[1]!YBHIST(AX$4,$A75,"Price","sec","")</f>
        <v>12.156000000000001</v>
      </c>
      <c r="AY75" s="2">
        <f>[1]!YBHIST(AY$4,$A75,"Price","sec","")</f>
        <v>15.422000000000001</v>
      </c>
      <c r="AZ75" s="2">
        <f>[1]!YBHIST(AZ$4,$A75,"Price","sec","")</f>
        <v>14.811999999999999</v>
      </c>
      <c r="BA75" s="2">
        <f>[1]!YBHIST(BA$4,$A75,"Price","sec","")</f>
        <v>14.172000000000001</v>
      </c>
      <c r="BB75" s="2">
        <f>[1]!YBHIST(BB$4,$A75,"Price","sec","")</f>
        <v>17.702998999999998</v>
      </c>
      <c r="BC75" s="2">
        <f>[1]!YBHIST(BC$4,$A75,"Price","sec","")</f>
        <v>18.625</v>
      </c>
      <c r="BD75" s="2">
        <f>[1]!YBHIST(BD$4,$A75,"Price","sec","")</f>
        <v>18.547001000000002</v>
      </c>
      <c r="BE75" s="6">
        <f>[1]!YBHIST(BE$4,$A75,"Price","sec","")</f>
        <v>19.077998999999998</v>
      </c>
      <c r="BF75" s="20">
        <f>[1]!YBHIST(BF$4,$A75,"LMMOAS","sec","")</f>
        <v>338.28720099999998</v>
      </c>
      <c r="BG75" s="20">
        <f>[1]!YBHIST(BG$4,$A75,"LMMOAS","sec","")</f>
        <v>299.736603</v>
      </c>
      <c r="BH75" s="20">
        <f>[1]!YBHIST(BH$4,$A75,"LMMOAS","sec","")</f>
        <v>342.87619000000001</v>
      </c>
      <c r="BI75" s="20">
        <f>[1]!YBHIST(BI$4,$A75,"LMMOAS","sec","")</f>
        <v>380.524292</v>
      </c>
      <c r="BJ75" s="20">
        <f>[1]!YBHIST(BJ$4,$A75,"LMMOAS","sec","")</f>
        <v>413.44268799999998</v>
      </c>
      <c r="BK75" s="20">
        <f>[1]!YBHIST(BK$4,$A75,"LMMOAS","sec","")</f>
        <v>271.15930200000003</v>
      </c>
      <c r="BL75" s="20">
        <f>[1]!YBHIST(BL$4,$A75,"LMMOAS","sec","")</f>
        <v>284.93978900000002</v>
      </c>
      <c r="BM75" s="20">
        <f>[1]!YBHIST(BM$4,$A75,"LMMOAS","sec","")</f>
        <v>71.780403000000007</v>
      </c>
      <c r="BN75" s="20">
        <f>[1]!YBHIST(BN$4,$A75,"LMMOAS","sec","")</f>
        <v>153.20219399999999</v>
      </c>
      <c r="BO75" s="20">
        <f>[1]!YBHIST(BO$4,$A75,"LMMOAS","sec","")</f>
        <v>289.53720099999998</v>
      </c>
      <c r="BP75" s="20">
        <f>[1]!YBHIST(BP$4,$A75,"LMMOAS","sec","")</f>
        <v>380.89059400000002</v>
      </c>
      <c r="BQ75" s="20">
        <f>[1]!YBHIST(BQ$4,$A75,"LMMOAS","sec","")</f>
        <v>568.35778800000003</v>
      </c>
      <c r="BR75" s="20">
        <f>[1]!YBHIST(BR$4,$A75,"LMMOAS","sec","")</f>
        <v>665.76428199999998</v>
      </c>
      <c r="BS75" s="20">
        <f>[1]!YBHIST(BS$4,$A75,"LMMOAS","sec","")</f>
        <v>369.87789900000001</v>
      </c>
      <c r="BT75" s="20">
        <f>[1]!YBHIST(BT$4,$A75,"LMMOAS","sec","")</f>
        <v>427.25949100000003</v>
      </c>
      <c r="BU75" s="20">
        <f>[1]!YBHIST(BU$4,$A75,"LMMOAS","sec","")</f>
        <v>221.98899800000001</v>
      </c>
      <c r="BV75" s="20">
        <f>[1]!YBHIST(BV$4,$A75,"LMMOAS","sec","")</f>
        <v>305.12670900000001</v>
      </c>
      <c r="BW75" s="20">
        <f>[1]!YBHIST(BW$4,$A75,"LMMOAS","sec","")</f>
        <v>344.04861499999998</v>
      </c>
      <c r="BX75" s="5"/>
      <c r="BY75" s="1"/>
      <c r="BZ75" s="1"/>
    </row>
    <row r="76" spans="1:78" x14ac:dyDescent="0.25">
      <c r="A76" s="14">
        <f>[1]!YBWORKDAY(A$26,-1*(ROW()-ROW(A$26)),"USD","")</f>
        <v>41166</v>
      </c>
      <c r="B76" s="3">
        <f>[1]!YBHIST("2 Year Treasury",$A76,"Price","govt","")</f>
        <v>99.991996999999998</v>
      </c>
      <c r="C76" s="2">
        <f>[1]!YBHIST("5 Year Treasury",$A76,"Price","govt","")</f>
        <v>99.57</v>
      </c>
      <c r="D76" s="2">
        <f>[1]!YBHIST("10 Year Treasury",$A76,"Price","govt","")</f>
        <v>97.828002999999995</v>
      </c>
      <c r="E76" s="6">
        <f>[1]!YBHIST("30 Year Treasury",$A76,"Price","govt","")</f>
        <v>93.405997999999997</v>
      </c>
      <c r="F76" s="3">
        <f>[1]!YBHIST("2 Year Treasury",$A76,"YldtoMat","govt","")</f>
        <v>0.254</v>
      </c>
      <c r="G76" s="2">
        <f>[1]!YBHIST("5 Year Treasury",$A76,"YldtoMat","govt","")</f>
        <v>0.71299999999999997</v>
      </c>
      <c r="H76" s="2">
        <f>[1]!YBHIST("10 Year Treasury",$A76,"YldtoMat","govt","")</f>
        <v>1.8660000000000001</v>
      </c>
      <c r="I76" s="6">
        <f>[1]!YBHIST("30 Year Treasury",$A76,"YldtoMat","govt","")</f>
        <v>3.089</v>
      </c>
      <c r="J76" s="3">
        <f>[1]!YBHIST("2yr Swap Rate",$A76,"YldtoMat","swapvol","")</f>
        <v>0.374969</v>
      </c>
      <c r="K76" s="2">
        <f>[1]!YBHIST("5yr Swap Rate",$A76,"YldtoMat","swapvol","")</f>
        <v>0.84945599999999999</v>
      </c>
      <c r="L76" s="2">
        <f>[1]!YBHIST("10yr Swap Rate",$A76,"YldtoMat","swapvol","")</f>
        <v>1.8973500000000001</v>
      </c>
      <c r="M76" s="6">
        <f>[1]!YBHIST("30yr Swap Rate",$A76,"YldtoMat","swapvol","")</f>
        <v>2.8455339999999998</v>
      </c>
      <c r="N76" s="3">
        <f>[1]!YBHIST("FNMA 30YR Cur Coup (BE)",$A76,"Yield","bmk","")</f>
        <v>2.2669999999999999</v>
      </c>
      <c r="O76" s="2">
        <f>[1]!YBHIST("FHLMC 30YR Cur Coup (BE)",$A76,"Yield","bmk","")</f>
        <v>2.3130000000000002</v>
      </c>
      <c r="P76" s="2">
        <f>[1]!YBHIST("GNMA 30YR Cur Coup (BE)",$A76,"Yield","bmk","")</f>
        <v>2.181</v>
      </c>
      <c r="Q76" s="2">
        <f>[1]!YBHIST("Primary 30-Yr Mtg Rate",$A76,"Yield","bmk","")</f>
        <v>3.5752999999999999</v>
      </c>
      <c r="R76" s="2">
        <f>[1]!YBHIST("FHLM 30-Yr Survey Rate",$A76,"Yield","bmk","")</f>
        <v>3.55</v>
      </c>
      <c r="S76" s="6">
        <f>[1]!YBHIST("Base Mortgage Rate",$A76,"Yield","bmk","")</f>
        <v>2.5990000000000002</v>
      </c>
      <c r="T76" s="18">
        <f>[1]!YBHIST("FNMA 30YR Cur Coup (BE)",$A76,"LMMOAS","bmk","")</f>
        <v>-15.9694</v>
      </c>
      <c r="U76" s="19">
        <f>[1]!YBHIST("FHLMC 30YR Cur Coup (BE)",$A76,"LMMOAS","bmk","")</f>
        <v>-11.064</v>
      </c>
      <c r="V76" s="19">
        <f>[1]!YBHIST("GNMA 30YR Cur Coup (BE)",$A76,"LMMOAS","bmk","")</f>
        <v>-33.3279</v>
      </c>
      <c r="W76" s="20">
        <f t="shared" si="6"/>
        <v>40.09999999999998</v>
      </c>
      <c r="X76" s="20">
        <f t="shared" si="7"/>
        <v>40.09999999999998</v>
      </c>
      <c r="Y76" s="20">
        <f t="shared" si="8"/>
        <v>44.7</v>
      </c>
      <c r="Z76" s="25">
        <f>[1]!YBHIST("FNMA3.0-GEN",$A76,"Price","tba","")</f>
        <v>104.09375</v>
      </c>
      <c r="AA76" s="2">
        <f>[1]!YBHIST("FNMA3.5-GEN",$A76,"Price","tba","")</f>
        <v>106.257812</v>
      </c>
      <c r="AB76" s="2">
        <f>[1]!YBHIST("FNMA4.0-GEN",$A76,"Price","tba","")</f>
        <v>107.171875</v>
      </c>
      <c r="AC76" s="2">
        <f>[1]!YBHIST("FNMA4.5-GEN",$A76,"Price","tba","")</f>
        <v>108.09375</v>
      </c>
      <c r="AD76" s="2">
        <f>[1]!YBHIST("FNMA5.0-GEN",$A76,"Price","tba","")</f>
        <v>109.140625</v>
      </c>
      <c r="AE76" s="2">
        <f>[1]!YBHIST("FNMA5.5-GEN",$A76,"Price","tba","")</f>
        <v>109.796875</v>
      </c>
      <c r="AF76" s="6">
        <f>[1]!YBHIST("FNMA6.0-GEN",$A76,"Price","tba","")</f>
        <v>110.625</v>
      </c>
      <c r="AG76" s="2">
        <f>[1]!YBHIST("FNMA3.0-GEN",$A76,"Yield","tba","")</f>
        <v>2.0550000000000002</v>
      </c>
      <c r="AH76" s="2">
        <f>[1]!YBHIST("FNMA3.5-GEN",$A76,"Yield","tba","")</f>
        <v>1.5649999999999999</v>
      </c>
      <c r="AI76" s="2">
        <f>[1]!YBHIST("FNMA4.0-GEN",$A76,"Yield","tba","")</f>
        <v>1.407</v>
      </c>
      <c r="AJ76" s="2">
        <f>[1]!YBHIST("FNMA4.5-GEN",$A76,"Yield","tba","")</f>
        <v>1.329</v>
      </c>
      <c r="AK76" s="2">
        <f>[1]!YBHIST("FNMA5.0-GEN",$A76,"Yield","tba","")</f>
        <v>0.376</v>
      </c>
      <c r="AL76" s="2">
        <f>[1]!YBHIST("FNMA5.5-GEN",$A76,"Yield","tba","")</f>
        <v>0.50600000000000001</v>
      </c>
      <c r="AM76" s="6">
        <f>[1]!YBHIST("FNMA6.0-GEN",$A76,"Yield","tba","")</f>
        <v>-0.01</v>
      </c>
      <c r="AN76" s="3">
        <f>[1]!YBHIST(AN$4,$A76,"Price","sec","")</f>
        <v>13.625</v>
      </c>
      <c r="AO76" s="2">
        <f>[1]!YBHIST(AO$4,$A76,"Price","sec","")</f>
        <v>14.734</v>
      </c>
      <c r="AP76" s="2">
        <f>[1]!YBHIST(AP$4,$A76,"Price","sec","")</f>
        <v>12.281000000000001</v>
      </c>
      <c r="AQ76" s="2">
        <f>[1]!YBHIST(AQ$4,$A76,"Price","sec","")</f>
        <v>15.702999999999999</v>
      </c>
      <c r="AR76" s="2">
        <f>[1]!YBHIST(AR$4,$A76,"Price","sec","")</f>
        <v>13.188000000000001</v>
      </c>
      <c r="AS76" s="2">
        <f>[1]!YBHIST(AS$4,$A76,"Price","sec","")</f>
        <v>19.655999999999999</v>
      </c>
      <c r="AT76" s="2">
        <f>[1]!YBHIST(AT$4,$A76,"Price","sec","")</f>
        <v>17.358999000000001</v>
      </c>
      <c r="AU76" s="2">
        <f>[1]!YBHIST(AU$4,$A76,"Price","sec","")</f>
        <v>11.641</v>
      </c>
      <c r="AV76" s="2">
        <f>[1]!YBHIST(AV$4,$A76,"Price","sec","")</f>
        <v>14.375</v>
      </c>
      <c r="AW76" s="2">
        <f>[1]!YBHIST(AW$4,$A76,"Price","sec","")</f>
        <v>14.172000000000001</v>
      </c>
      <c r="AX76" s="2">
        <f>[1]!YBHIST(AX$4,$A76,"Price","sec","")</f>
        <v>12.141</v>
      </c>
      <c r="AY76" s="2">
        <f>[1]!YBHIST(AY$4,$A76,"Price","sec","")</f>
        <v>15.406000000000001</v>
      </c>
      <c r="AZ76" s="2">
        <f>[1]!YBHIST(AZ$4,$A76,"Price","sec","")</f>
        <v>14.797000000000001</v>
      </c>
      <c r="BA76" s="2">
        <f>[1]!YBHIST(BA$4,$A76,"Price","sec","")</f>
        <v>14.156000000000001</v>
      </c>
      <c r="BB76" s="2">
        <f>[1]!YBHIST(BB$4,$A76,"Price","sec","")</f>
        <v>17.687999999999999</v>
      </c>
      <c r="BC76" s="2">
        <f>[1]!YBHIST(BC$4,$A76,"Price","sec","")</f>
        <v>18.562000000000001</v>
      </c>
      <c r="BD76" s="2">
        <f>[1]!YBHIST(BD$4,$A76,"Price","sec","")</f>
        <v>18.483999000000001</v>
      </c>
      <c r="BE76" s="6">
        <f>[1]!YBHIST(BE$4,$A76,"Price","sec","")</f>
        <v>19</v>
      </c>
      <c r="BF76" s="20">
        <f>[1]!YBHIST(BF$4,$A76,"LMMOAS","sec","")</f>
        <v>343.68029799999999</v>
      </c>
      <c r="BG76" s="20">
        <f>[1]!YBHIST(BG$4,$A76,"LMMOAS","sec","")</f>
        <v>309.05090300000001</v>
      </c>
      <c r="BH76" s="20">
        <f>[1]!YBHIST(BH$4,$A76,"LMMOAS","sec","")</f>
        <v>356.98870799999997</v>
      </c>
      <c r="BI76" s="20">
        <f>[1]!YBHIST(BI$4,$A76,"LMMOAS","sec","")</f>
        <v>388.84768700000001</v>
      </c>
      <c r="BJ76" s="20">
        <f>[1]!YBHIST(BJ$4,$A76,"LMMOAS","sec","")</f>
        <v>429.03241000000003</v>
      </c>
      <c r="BK76" s="20">
        <f>[1]!YBHIST(BK$4,$A76,"LMMOAS","sec","")</f>
        <v>275.53448500000002</v>
      </c>
      <c r="BL76" s="20">
        <f>[1]!YBHIST(BL$4,$A76,"LMMOAS","sec","")</f>
        <v>292.19101000000001</v>
      </c>
      <c r="BM76" s="20">
        <f>[1]!YBHIST(BM$4,$A76,"LMMOAS","sec","")</f>
        <v>90.452003000000005</v>
      </c>
      <c r="BN76" s="20">
        <f>[1]!YBHIST(BN$4,$A76,"LMMOAS","sec","")</f>
        <v>162.99490399999999</v>
      </c>
      <c r="BO76" s="20">
        <f>[1]!YBHIST(BO$4,$A76,"LMMOAS","sec","")</f>
        <v>303.93530299999998</v>
      </c>
      <c r="BP76" s="20">
        <f>[1]!YBHIST(BP$4,$A76,"LMMOAS","sec","")</f>
        <v>392.42068499999999</v>
      </c>
      <c r="BQ76" s="20">
        <f>[1]!YBHIST(BQ$4,$A76,"LMMOAS","sec","")</f>
        <v>572.37341300000003</v>
      </c>
      <c r="BR76" s="20">
        <f>[1]!YBHIST(BR$4,$A76,"LMMOAS","sec","")</f>
        <v>668.23748799999998</v>
      </c>
      <c r="BS76" s="20">
        <f>[1]!YBHIST(BS$4,$A76,"LMMOAS","sec","")</f>
        <v>380.72879</v>
      </c>
      <c r="BT76" s="20">
        <f>[1]!YBHIST(BT$4,$A76,"LMMOAS","sec","")</f>
        <v>433.753601</v>
      </c>
      <c r="BU76" s="20">
        <f>[1]!YBHIST(BU$4,$A76,"LMMOAS","sec","")</f>
        <v>225.427795</v>
      </c>
      <c r="BV76" s="20">
        <f>[1]!YBHIST(BV$4,$A76,"LMMOAS","sec","")</f>
        <v>311.15741000000003</v>
      </c>
      <c r="BW76" s="20">
        <f>[1]!YBHIST(BW$4,$A76,"LMMOAS","sec","")</f>
        <v>353.42068499999999</v>
      </c>
      <c r="BX76" s="5"/>
      <c r="BY76" s="1"/>
      <c r="BZ76" s="1"/>
    </row>
    <row r="77" spans="1:78" x14ac:dyDescent="0.25">
      <c r="A77" s="14">
        <f>[1]!YBWORKDAY(A$26,-1*(ROW()-ROW(A$26)),"USD","")</f>
        <v>41165</v>
      </c>
      <c r="B77" s="3">
        <f>[1]!YBHIST("2 Year Treasury",$A77,"Price","govt","")</f>
        <v>100.030998</v>
      </c>
      <c r="C77" s="2">
        <f>[1]!YBHIST("5 Year Treasury",$A77,"Price","govt","")</f>
        <v>99.866996999999998</v>
      </c>
      <c r="D77" s="2">
        <f>[1]!YBHIST("10 Year Treasury",$A77,"Price","govt","")</f>
        <v>98.844002000000003</v>
      </c>
      <c r="E77" s="6">
        <f>[1]!YBHIST("30 Year Treasury",$A77,"Price","govt","")</f>
        <v>95.75</v>
      </c>
      <c r="F77" s="3">
        <f>[1]!YBHIST("2 Year Treasury",$A77,"YldtoMat","govt","")</f>
        <v>0.23400000000000001</v>
      </c>
      <c r="G77" s="2">
        <f>[1]!YBHIST("5 Year Treasury",$A77,"YldtoMat","govt","")</f>
        <v>0.65200000000000002</v>
      </c>
      <c r="H77" s="2">
        <f>[1]!YBHIST("10 Year Treasury",$A77,"YldtoMat","govt","")</f>
        <v>1.752</v>
      </c>
      <c r="I77" s="6">
        <f>[1]!YBHIST("30 Year Treasury",$A77,"YldtoMat","govt","")</f>
        <v>2.9649999999999999</v>
      </c>
      <c r="J77" s="3">
        <f>[1]!YBHIST("2yr Swap Rate",$A77,"YldtoMat","swapvol","")</f>
        <v>0.374809</v>
      </c>
      <c r="K77" s="2">
        <f>[1]!YBHIST("5yr Swap Rate",$A77,"YldtoMat","swapvol","")</f>
        <v>0.80279699999999998</v>
      </c>
      <c r="L77" s="2">
        <f>[1]!YBHIST("10yr Swap Rate",$A77,"YldtoMat","swapvol","")</f>
        <v>1.8135479999999999</v>
      </c>
      <c r="M77" s="6">
        <f>[1]!YBHIST("30yr Swap Rate",$A77,"YldtoMat","swapvol","")</f>
        <v>2.73149</v>
      </c>
      <c r="N77" s="3">
        <f>[1]!YBHIST("FNMA 30YR Cur Coup (BE)",$A77,"Yield","bmk","")</f>
        <v>2.2109999999999999</v>
      </c>
      <c r="O77" s="2">
        <f>[1]!YBHIST("FHLMC 30YR Cur Coup (BE)",$A77,"Yield","bmk","")</f>
        <v>2.2570000000000001</v>
      </c>
      <c r="P77" s="2">
        <f>[1]!YBHIST("GNMA 30YR Cur Coup (BE)",$A77,"Yield","bmk","")</f>
        <v>2.125</v>
      </c>
      <c r="Q77" s="2">
        <f>[1]!YBHIST("Primary 30-Yr Mtg Rate",$A77,"Yield","bmk","")</f>
        <v>3.5171999999999999</v>
      </c>
      <c r="R77" s="2">
        <f>[1]!YBHIST("FHLM 30-Yr Survey Rate",$A77,"Yield","bmk","")</f>
        <v>3.55</v>
      </c>
      <c r="S77" s="6">
        <f>[1]!YBHIST("Base Mortgage Rate",$A77,"Yield","bmk","")</f>
        <v>2.5409999999999999</v>
      </c>
      <c r="T77" s="18">
        <f>[1]!YBHIST("FNMA 30YR Cur Coup (BE)",$A77,"LMMOAS","bmk","")</f>
        <v>-13.184100000000001</v>
      </c>
      <c r="U77" s="19">
        <f>[1]!YBHIST("FHLMC 30YR Cur Coup (BE)",$A77,"LMMOAS","bmk","")</f>
        <v>-8.2058</v>
      </c>
      <c r="V77" s="19">
        <f>[1]!YBHIST("GNMA 30YR Cur Coup (BE)",$A77,"LMMOAS","bmk","")</f>
        <v>-27.855101000000001</v>
      </c>
      <c r="W77" s="20">
        <f t="shared" si="6"/>
        <v>45.899999999999984</v>
      </c>
      <c r="X77" s="20">
        <f t="shared" si="7"/>
        <v>45.899999999999984</v>
      </c>
      <c r="Y77" s="20">
        <f t="shared" si="8"/>
        <v>50.500000000000014</v>
      </c>
      <c r="Z77" s="25">
        <f>[1]!YBHIST("FNMA3.0-GEN",$A77,"Price","tba","")</f>
        <v>104.265625</v>
      </c>
      <c r="AA77" s="2">
        <f>[1]!YBHIST("FNMA3.5-GEN",$A77,"Price","tba","")</f>
        <v>106.34375</v>
      </c>
      <c r="AB77" s="2">
        <f>[1]!YBHIST("FNMA4.0-GEN",$A77,"Price","tba","")</f>
        <v>107.234375</v>
      </c>
      <c r="AC77" s="2">
        <f>[1]!YBHIST("FNMA4.5-GEN",$A77,"Price","tba","")</f>
        <v>108.109375</v>
      </c>
      <c r="AD77" s="2">
        <f>[1]!YBHIST("FNMA5.0-GEN",$A77,"Price","tba","")</f>
        <v>109.109375</v>
      </c>
      <c r="AE77" s="2">
        <f>[1]!YBHIST("FNMA5.5-GEN",$A77,"Price","tba","")</f>
        <v>109.78125</v>
      </c>
      <c r="AF77" s="6">
        <f>[1]!YBHIST("FNMA6.0-GEN",$A77,"Price","tba","")</f>
        <v>110.578125</v>
      </c>
      <c r="AG77" s="2">
        <f>[1]!YBHIST("FNMA3.0-GEN",$A77,"Yield","tba","")</f>
        <v>1.976</v>
      </c>
      <c r="AH77" s="2">
        <f>[1]!YBHIST("FNMA3.5-GEN",$A77,"Yield","tba","")</f>
        <v>1.4770000000000001</v>
      </c>
      <c r="AI77" s="2">
        <f>[1]!YBHIST("FNMA4.0-GEN",$A77,"Yield","tba","")</f>
        <v>1.3240000000000001</v>
      </c>
      <c r="AJ77" s="2">
        <f>[1]!YBHIST("FNMA4.5-GEN",$A77,"Yield","tba","")</f>
        <v>1.2689999999999999</v>
      </c>
      <c r="AK77" s="2">
        <f>[1]!YBHIST("FNMA5.0-GEN",$A77,"Yield","tba","")</f>
        <v>0.33300000000000002</v>
      </c>
      <c r="AL77" s="2">
        <f>[1]!YBHIST("FNMA5.5-GEN",$A77,"Yield","tba","")</f>
        <v>0.47</v>
      </c>
      <c r="AM77" s="6">
        <f>[1]!YBHIST("FNMA6.0-GEN",$A77,"Yield","tba","")</f>
        <v>-2.4E-2</v>
      </c>
      <c r="AN77" s="3">
        <f>[1]!YBHIST(AN$4,$A77,"Price","sec","")</f>
        <v>13.406000000000001</v>
      </c>
      <c r="AO77" s="2">
        <f>[1]!YBHIST(AO$4,$A77,"Price","sec","")</f>
        <v>14.547000000000001</v>
      </c>
      <c r="AP77" s="2">
        <f>[1]!YBHIST(AP$4,$A77,"Price","sec","")</f>
        <v>12.125</v>
      </c>
      <c r="AQ77" s="2">
        <f>[1]!YBHIST(AQ$4,$A77,"Price","sec","")</f>
        <v>15.531000000000001</v>
      </c>
      <c r="AR77" s="2">
        <f>[1]!YBHIST(AR$4,$A77,"Price","sec","")</f>
        <v>13.047000000000001</v>
      </c>
      <c r="AS77" s="2">
        <f>[1]!YBHIST(AS$4,$A77,"Price","sec","")</f>
        <v>19.469000000000001</v>
      </c>
      <c r="AT77" s="2">
        <f>[1]!YBHIST(AT$4,$A77,"Price","sec","")</f>
        <v>17.172001000000002</v>
      </c>
      <c r="AU77" s="2">
        <f>[1]!YBHIST(AU$4,$A77,"Price","sec","")</f>
        <v>11.516</v>
      </c>
      <c r="AV77" s="2">
        <f>[1]!YBHIST(AV$4,$A77,"Price","sec","")</f>
        <v>14.266</v>
      </c>
      <c r="AW77" s="2">
        <f>[1]!YBHIST(AW$4,$A77,"Price","sec","")</f>
        <v>14.047000000000001</v>
      </c>
      <c r="AX77" s="2">
        <f>[1]!YBHIST(AX$4,$A77,"Price","sec","")</f>
        <v>12.061999999999999</v>
      </c>
      <c r="AY77" s="2">
        <f>[1]!YBHIST(AY$4,$A77,"Price","sec","")</f>
        <v>15.311999999999999</v>
      </c>
      <c r="AZ77" s="2">
        <f>[1]!YBHIST(AZ$4,$A77,"Price","sec","")</f>
        <v>14.718999999999999</v>
      </c>
      <c r="BA77" s="2">
        <f>[1]!YBHIST(BA$4,$A77,"Price","sec","")</f>
        <v>14.077999999999999</v>
      </c>
      <c r="BB77" s="2">
        <f>[1]!YBHIST(BB$4,$A77,"Price","sec","")</f>
        <v>17.641000999999999</v>
      </c>
      <c r="BC77" s="2">
        <f>[1]!YBHIST(BC$4,$A77,"Price","sec","")</f>
        <v>18.437999999999999</v>
      </c>
      <c r="BD77" s="2">
        <f>[1]!YBHIST(BD$4,$A77,"Price","sec","")</f>
        <v>18.344000000000001</v>
      </c>
      <c r="BE77" s="6">
        <f>[1]!YBHIST(BE$4,$A77,"Price","sec","")</f>
        <v>18.827998999999998</v>
      </c>
      <c r="BF77" s="20">
        <f>[1]!YBHIST(BF$4,$A77,"LMMOAS","sec","")</f>
        <v>307.31939699999998</v>
      </c>
      <c r="BG77" s="20">
        <f>[1]!YBHIST(BG$4,$A77,"LMMOAS","sec","")</f>
        <v>268.49410999999998</v>
      </c>
      <c r="BH77" s="20">
        <f>[1]!YBHIST(BH$4,$A77,"LMMOAS","sec","")</f>
        <v>309.45840500000003</v>
      </c>
      <c r="BI77" s="20">
        <f>[1]!YBHIST(BI$4,$A77,"LMMOAS","sec","")</f>
        <v>349.97170999999997</v>
      </c>
      <c r="BJ77" s="20">
        <f>[1]!YBHIST(BJ$4,$A77,"LMMOAS","sec","")</f>
        <v>385.47790500000002</v>
      </c>
      <c r="BK77" s="20">
        <f>[1]!YBHIST(BK$4,$A77,"LMMOAS","sec","")</f>
        <v>251.45620700000001</v>
      </c>
      <c r="BL77" s="20">
        <f>[1]!YBHIST(BL$4,$A77,"LMMOAS","sec","")</f>
        <v>265.028595</v>
      </c>
      <c r="BM77" s="20">
        <f>[1]!YBHIST(BM$4,$A77,"LMMOAS","sec","")</f>
        <v>50.3232</v>
      </c>
      <c r="BN77" s="20">
        <f>[1]!YBHIST(BN$4,$A77,"LMMOAS","sec","")</f>
        <v>132.96400499999999</v>
      </c>
      <c r="BO77" s="20">
        <f>[1]!YBHIST(BO$4,$A77,"LMMOAS","sec","")</f>
        <v>289.00119000000001</v>
      </c>
      <c r="BP77" s="20">
        <f>[1]!YBHIST(BP$4,$A77,"LMMOAS","sec","")</f>
        <v>350.88958700000001</v>
      </c>
      <c r="BQ77" s="20">
        <f>[1]!YBHIST(BQ$4,$A77,"LMMOAS","sec","")</f>
        <v>550.59710700000005</v>
      </c>
      <c r="BR77" s="20">
        <f>[1]!YBHIST(BR$4,$A77,"LMMOAS","sec","")</f>
        <v>652.82818599999996</v>
      </c>
      <c r="BS77" s="20">
        <f>[1]!YBHIST(BS$4,$A77,"LMMOAS","sec","")</f>
        <v>350.13180499999999</v>
      </c>
      <c r="BT77" s="20">
        <f>[1]!YBHIST(BT$4,$A77,"LMMOAS","sec","")</f>
        <v>414.03720099999998</v>
      </c>
      <c r="BU77" s="20">
        <f>[1]!YBHIST(BU$4,$A77,"LMMOAS","sec","")</f>
        <v>185.33320599999999</v>
      </c>
      <c r="BV77" s="20">
        <f>[1]!YBHIST(BV$4,$A77,"LMMOAS","sec","")</f>
        <v>273.89401199999998</v>
      </c>
      <c r="BW77" s="20">
        <f>[1]!YBHIST(BW$4,$A77,"LMMOAS","sec","")</f>
        <v>327.0625</v>
      </c>
      <c r="BX77" s="5"/>
      <c r="BY77" s="1"/>
      <c r="BZ77" s="1"/>
    </row>
    <row r="78" spans="1:78" x14ac:dyDescent="0.25">
      <c r="A78" s="14">
        <f>[1]!YBWORKDAY(A$26,-1*(ROW()-ROW(A$26)),"USD","")</f>
        <v>41164</v>
      </c>
      <c r="B78" s="3">
        <f>[1]!YBHIST("2 Year Treasury",$A78,"Price","govt","")</f>
        <v>100.008003</v>
      </c>
      <c r="C78" s="2">
        <f>[1]!YBHIST("5 Year Treasury",$A78,"Price","govt","")</f>
        <v>99.664000999999999</v>
      </c>
      <c r="D78" s="2">
        <f>[1]!YBHIST("10 Year Treasury",$A78,"Price","govt","")</f>
        <v>98.75</v>
      </c>
      <c r="E78" s="6">
        <f>[1]!YBHIST("30 Year Treasury",$A78,"Price","govt","")</f>
        <v>96.469002000000003</v>
      </c>
      <c r="F78" s="3">
        <f>[1]!YBHIST("2 Year Treasury",$A78,"YldtoMat","govt","")</f>
        <v>0.246</v>
      </c>
      <c r="G78" s="2">
        <f>[1]!YBHIST("5 Year Treasury",$A78,"YldtoMat","govt","")</f>
        <v>0.69399999999999995</v>
      </c>
      <c r="H78" s="2">
        <f>[1]!YBHIST("10 Year Treasury",$A78,"YldtoMat","govt","")</f>
        <v>1.7629999999999999</v>
      </c>
      <c r="I78" s="6">
        <f>[1]!YBHIST("30 Year Treasury",$A78,"YldtoMat","govt","")</f>
        <v>2.9279999999999999</v>
      </c>
      <c r="J78" s="3">
        <f>[1]!YBHIST("2yr Swap Rate",$A78,"YldtoMat","swapvol","")</f>
        <v>0.40025899999999998</v>
      </c>
      <c r="K78" s="2">
        <f>[1]!YBHIST("5yr Swap Rate",$A78,"YldtoMat","swapvol","")</f>
        <v>0.85474099999999997</v>
      </c>
      <c r="L78" s="2">
        <f>[1]!YBHIST("10yr Swap Rate",$A78,"YldtoMat","swapvol","")</f>
        <v>1.8540970000000001</v>
      </c>
      <c r="M78" s="6">
        <f>[1]!YBHIST("30yr Swap Rate",$A78,"YldtoMat","swapvol","")</f>
        <v>2.7149700000000001</v>
      </c>
      <c r="N78" s="3">
        <f>[1]!YBHIST("FNMA 30YR Cur Coup (BE)",$A78,"Yield","bmk","")</f>
        <v>2.44</v>
      </c>
      <c r="O78" s="2">
        <f>[1]!YBHIST("FHLMC 30YR Cur Coup (BE)",$A78,"Yield","bmk","")</f>
        <v>2.4860000000000002</v>
      </c>
      <c r="P78" s="2">
        <f>[1]!YBHIST("GNMA 30YR Cur Coup (BE)",$A78,"Yield","bmk","")</f>
        <v>2.3540000000000001</v>
      </c>
      <c r="Q78" s="2">
        <f>[1]!YBHIST("Primary 30-Yr Mtg Rate",$A78,"Yield","bmk","")</f>
        <v>3.7461000000000002</v>
      </c>
      <c r="R78" s="2">
        <f>[1]!YBHIST("FHLM 30-Yr Survey Rate",$A78,"Yield","bmk","")</f>
        <v>3.55</v>
      </c>
      <c r="S78" s="6">
        <f>[1]!YBHIST("Base Mortgage Rate",$A78,"Yield","bmk","")</f>
        <v>2.7639999999999998</v>
      </c>
      <c r="T78" s="18">
        <f>[1]!YBHIST("FNMA 30YR Cur Coup (BE)",$A78,"LMMOAS","bmk","")</f>
        <v>6.8701999999999996</v>
      </c>
      <c r="U78" s="19">
        <f>[1]!YBHIST("FHLMC 30YR Cur Coup (BE)",$A78,"LMMOAS","bmk","")</f>
        <v>11.731299999999999</v>
      </c>
      <c r="V78" s="19">
        <f>[1]!YBHIST("GNMA 30YR Cur Coup (BE)",$A78,"LMMOAS","bmk","")</f>
        <v>-9.1122999999999994</v>
      </c>
      <c r="W78" s="20">
        <f t="shared" si="6"/>
        <v>67.7</v>
      </c>
      <c r="X78" s="20">
        <f t="shared" si="7"/>
        <v>67.7</v>
      </c>
      <c r="Y78" s="20">
        <f t="shared" si="8"/>
        <v>72.300000000000026</v>
      </c>
      <c r="Z78" s="25">
        <f>[1]!YBHIST("FNMA3.0-GEN",$A78,"Price","tba","")</f>
        <v>103.226562</v>
      </c>
      <c r="AA78" s="2">
        <f>[1]!YBHIST("FNMA3.5-GEN",$A78,"Price","tba","")</f>
        <v>105.5625</v>
      </c>
      <c r="AB78" s="2">
        <f>[1]!YBHIST("FNMA4.0-GEN",$A78,"Price","tba","")</f>
        <v>106.804688</v>
      </c>
      <c r="AC78" s="2">
        <f>[1]!YBHIST("FNMA4.5-GEN",$A78,"Price","tba","")</f>
        <v>107.804688</v>
      </c>
      <c r="AD78" s="2">
        <f>[1]!YBHIST("FNMA5.0-GEN",$A78,"Price","tba","")</f>
        <v>108.921875</v>
      </c>
      <c r="AE78" s="2">
        <f>[1]!YBHIST("FNMA5.5-GEN",$A78,"Price","tba","")</f>
        <v>109.578125</v>
      </c>
      <c r="AF78" s="6">
        <f>[1]!YBHIST("FNMA6.0-GEN",$A78,"Price","tba","")</f>
        <v>110.375</v>
      </c>
      <c r="AG78" s="2">
        <f>[1]!YBHIST("FNMA3.0-GEN",$A78,"Yield","tba","")</f>
        <v>2.3340000000000001</v>
      </c>
      <c r="AH78" s="2">
        <f>[1]!YBHIST("FNMA3.5-GEN",$A78,"Yield","tba","")</f>
        <v>1.927</v>
      </c>
      <c r="AI78" s="2">
        <f>[1]!YBHIST("FNMA4.0-GEN",$A78,"Yield","tba","")</f>
        <v>1.7050000000000001</v>
      </c>
      <c r="AJ78" s="2">
        <f>[1]!YBHIST("FNMA4.5-GEN",$A78,"Yield","tba","")</f>
        <v>1.587</v>
      </c>
      <c r="AK78" s="2">
        <f>[1]!YBHIST("FNMA5.0-GEN",$A78,"Yield","tba","")</f>
        <v>0.65</v>
      </c>
      <c r="AL78" s="2">
        <f>[1]!YBHIST("FNMA5.5-GEN",$A78,"Yield","tba","")</f>
        <v>0.73899999999999999</v>
      </c>
      <c r="AM78" s="6">
        <f>[1]!YBHIST("FNMA6.0-GEN",$A78,"Yield","tba","")</f>
        <v>0.22900000000000001</v>
      </c>
      <c r="AN78" s="3">
        <f>[1]!YBHIST(AN$4,$A78,"Price","sec","")</f>
        <v>14.952999999999999</v>
      </c>
      <c r="AO78" s="2">
        <f>[1]!YBHIST(AO$4,$A78,"Price","sec","")</f>
        <v>15.891</v>
      </c>
      <c r="AP78" s="2">
        <f>[1]!YBHIST(AP$4,$A78,"Price","sec","")</f>
        <v>13.422000000000001</v>
      </c>
      <c r="AQ78" s="2">
        <f>[1]!YBHIST(AQ$4,$A78,"Price","sec","")</f>
        <v>16.687999999999999</v>
      </c>
      <c r="AR78" s="2">
        <f>[1]!YBHIST(AR$4,$A78,"Price","sec","")</f>
        <v>14.202999999999999</v>
      </c>
      <c r="AS78" s="2">
        <f>[1]!YBHIST(AS$4,$A78,"Price","sec","")</f>
        <v>20.155999999999999</v>
      </c>
      <c r="AT78" s="2">
        <f>[1]!YBHIST(AT$4,$A78,"Price","sec","")</f>
        <v>17.891000999999999</v>
      </c>
      <c r="AU78" s="2">
        <f>[1]!YBHIST(AU$4,$A78,"Price","sec","")</f>
        <v>12.202999999999999</v>
      </c>
      <c r="AV78" s="2">
        <f>[1]!YBHIST(AV$4,$A78,"Price","sec","")</f>
        <v>14.938000000000001</v>
      </c>
      <c r="AW78" s="2">
        <f>[1]!YBHIST(AW$4,$A78,"Price","sec","")</f>
        <v>14.672000000000001</v>
      </c>
      <c r="AX78" s="2">
        <f>[1]!YBHIST(AX$4,$A78,"Price","sec","")</f>
        <v>12.561999999999999</v>
      </c>
      <c r="AY78" s="2">
        <f>[1]!YBHIST(AY$4,$A78,"Price","sec","")</f>
        <v>15.781000000000001</v>
      </c>
      <c r="AZ78" s="2">
        <f>[1]!YBHIST(AZ$4,$A78,"Price","sec","")</f>
        <v>15.156000000000001</v>
      </c>
      <c r="BA78" s="2">
        <f>[1]!YBHIST(BA$4,$A78,"Price","sec","")</f>
        <v>14.438000000000001</v>
      </c>
      <c r="BB78" s="2">
        <f>[1]!YBHIST(BB$4,$A78,"Price","sec","")</f>
        <v>17.858999000000001</v>
      </c>
      <c r="BC78" s="2">
        <f>[1]!YBHIST(BC$4,$A78,"Price","sec","")</f>
        <v>19.25</v>
      </c>
      <c r="BD78" s="2">
        <f>[1]!YBHIST(BD$4,$A78,"Price","sec","")</f>
        <v>19.219000000000001</v>
      </c>
      <c r="BE78" s="6">
        <f>[1]!YBHIST(BE$4,$A78,"Price","sec","")</f>
        <v>19.702998999999998</v>
      </c>
      <c r="BF78" s="20">
        <f>[1]!YBHIST(BF$4,$A78,"LMMOAS","sec","")</f>
        <v>286.47100799999998</v>
      </c>
      <c r="BG78" s="20">
        <f>[1]!YBHIST(BG$4,$A78,"LMMOAS","sec","")</f>
        <v>281.573395</v>
      </c>
      <c r="BH78" s="20">
        <f>[1]!YBHIST(BH$4,$A78,"LMMOAS","sec","")</f>
        <v>304.02011099999999</v>
      </c>
      <c r="BI78" s="20">
        <f>[1]!YBHIST(BI$4,$A78,"LMMOAS","sec","")</f>
        <v>376.46939099999997</v>
      </c>
      <c r="BJ78" s="20">
        <f>[1]!YBHIST(BJ$4,$A78,"LMMOAS","sec","")</f>
        <v>385.75060999999999</v>
      </c>
      <c r="BK78" s="20">
        <f>[1]!YBHIST(BK$4,$A78,"LMMOAS","sec","")</f>
        <v>312.11929300000003</v>
      </c>
      <c r="BL78" s="20">
        <f>[1]!YBHIST(BL$4,$A78,"LMMOAS","sec","")</f>
        <v>329.86120599999998</v>
      </c>
      <c r="BM78" s="20">
        <f>[1]!YBHIST(BM$4,$A78,"LMMOAS","sec","")</f>
        <v>106.565697</v>
      </c>
      <c r="BN78" s="20">
        <f>[1]!YBHIST(BN$4,$A78,"LMMOAS","sec","")</f>
        <v>177.89570599999999</v>
      </c>
      <c r="BO78" s="20">
        <f>[1]!YBHIST(BO$4,$A78,"LMMOAS","sec","")</f>
        <v>311.971405</v>
      </c>
      <c r="BP78" s="20">
        <f>[1]!YBHIST(BP$4,$A78,"LMMOAS","sec","")</f>
        <v>421.47970600000002</v>
      </c>
      <c r="BQ78" s="20">
        <f>[1]!YBHIST(BQ$4,$A78,"LMMOAS","sec","")</f>
        <v>602.22418200000004</v>
      </c>
      <c r="BR78" s="20">
        <f>[1]!YBHIST(BR$4,$A78,"LMMOAS","sec","")</f>
        <v>683.98468000000003</v>
      </c>
      <c r="BS78" s="20">
        <f>[1]!YBHIST(BS$4,$A78,"LMMOAS","sec","")</f>
        <v>428.78439300000002</v>
      </c>
      <c r="BT78" s="20">
        <f>[1]!YBHIST(BT$4,$A78,"LMMOAS","sec","")</f>
        <v>478.54818699999998</v>
      </c>
      <c r="BU78" s="20">
        <f>[1]!YBHIST(BU$4,$A78,"LMMOAS","sec","")</f>
        <v>258.88799999999998</v>
      </c>
      <c r="BV78" s="20">
        <f>[1]!YBHIST(BV$4,$A78,"LMMOAS","sec","")</f>
        <v>335.886505</v>
      </c>
      <c r="BW78" s="20">
        <f>[1]!YBHIST(BW$4,$A78,"LMMOAS","sec","")</f>
        <v>369.60031099999998</v>
      </c>
      <c r="BX78" s="5"/>
      <c r="BY78" s="1"/>
      <c r="BZ78" s="1"/>
    </row>
    <row r="79" spans="1:78" x14ac:dyDescent="0.25">
      <c r="A79" s="14">
        <f>[1]!YBWORKDAY(A$26,-1*(ROW()-ROW(A$26)),"USD","")</f>
        <v>41163</v>
      </c>
      <c r="B79" s="3">
        <f>[1]!YBHIST("2 Year Treasury",$A79,"Price","govt","")</f>
        <v>100</v>
      </c>
      <c r="C79" s="2">
        <f>[1]!YBHIST("5 Year Treasury",$A79,"Price","govt","")</f>
        <v>99.82</v>
      </c>
      <c r="D79" s="2">
        <f>[1]!YBHIST("10 Year Treasury",$A79,"Price","govt","")</f>
        <v>99.359001000000006</v>
      </c>
      <c r="E79" s="6">
        <f>[1]!YBHIST("30 Year Treasury",$A79,"Price","govt","")</f>
        <v>98.094002000000003</v>
      </c>
      <c r="F79" s="3">
        <f>[1]!YBHIST("2 Year Treasury",$A79,"YldtoMat","govt","")</f>
        <v>0.25</v>
      </c>
      <c r="G79" s="2">
        <f>[1]!YBHIST("5 Year Treasury",$A79,"YldtoMat","govt","")</f>
        <v>0.66200000000000003</v>
      </c>
      <c r="H79" s="2">
        <f>[1]!YBHIST("10 Year Treasury",$A79,"YldtoMat","govt","")</f>
        <v>1.6950000000000001</v>
      </c>
      <c r="I79" s="6">
        <f>[1]!YBHIST("30 Year Treasury",$A79,"YldtoMat","govt","")</f>
        <v>2.8450000000000002</v>
      </c>
      <c r="J79" s="3">
        <f>[1]!YBHIST("2yr Swap Rate",$A79,"YldtoMat","swapvol","")</f>
        <v>0.39767999999999998</v>
      </c>
      <c r="K79" s="2">
        <f>[1]!YBHIST("5yr Swap Rate",$A79,"YldtoMat","swapvol","")</f>
        <v>0.82019799999999998</v>
      </c>
      <c r="L79" s="2">
        <f>[1]!YBHIST("10yr Swap Rate",$A79,"YldtoMat","swapvol","")</f>
        <v>1.791655</v>
      </c>
      <c r="M79" s="6">
        <f>[1]!YBHIST("30yr Swap Rate",$A79,"YldtoMat","swapvol","")</f>
        <v>2.6420349999999999</v>
      </c>
      <c r="N79" s="3">
        <f>[1]!YBHIST("FNMA 30YR Cur Coup (BE)",$A79,"Yield","bmk","")</f>
        <v>2.4039999999999999</v>
      </c>
      <c r="O79" s="2">
        <f>[1]!YBHIST("FHLMC 30YR Cur Coup (BE)",$A79,"Yield","bmk","")</f>
        <v>2.4500000000000002</v>
      </c>
      <c r="P79" s="2">
        <f>[1]!YBHIST("GNMA 30YR Cur Coup (BE)",$A79,"Yield","bmk","")</f>
        <v>2.3180000000000001</v>
      </c>
      <c r="Q79" s="2">
        <f>[1]!YBHIST("Primary 30-Yr Mtg Rate",$A79,"Yield","bmk","")</f>
        <v>3.7113</v>
      </c>
      <c r="R79" s="2">
        <f>[1]!YBHIST("FHLM 30-Yr Survey Rate",$A79,"Yield","bmk","")</f>
        <v>3.55</v>
      </c>
      <c r="S79" s="6">
        <f>[1]!YBHIST("Base Mortgage Rate",$A79,"Yield","bmk","")</f>
        <v>2.7290000000000001</v>
      </c>
      <c r="T79" s="18">
        <f>[1]!YBHIST("FNMA 30YR Cur Coup (BE)",$A79,"LMMOAS","bmk","")</f>
        <v>9.5264000000000006</v>
      </c>
      <c r="U79" s="19">
        <f>[1]!YBHIST("FHLMC 30YR Cur Coup (BE)",$A79,"LMMOAS","bmk","")</f>
        <v>14.383599999999999</v>
      </c>
      <c r="V79" s="19">
        <f>[1]!YBHIST("GNMA 30YR Cur Coup (BE)",$A79,"LMMOAS","bmk","")</f>
        <v>-7.6048999999999998</v>
      </c>
      <c r="W79" s="20">
        <f t="shared" si="6"/>
        <v>70.899999999999991</v>
      </c>
      <c r="X79" s="20">
        <f t="shared" si="7"/>
        <v>70.899999999999991</v>
      </c>
      <c r="Y79" s="20">
        <f t="shared" si="8"/>
        <v>75.500000000000014</v>
      </c>
      <c r="Z79" s="25">
        <f>[1]!YBHIST("FNMA3.0-GEN",$A79,"Price","tba","")</f>
        <v>103.398438</v>
      </c>
      <c r="AA79" s="2">
        <f>[1]!YBHIST("FNMA3.5-GEN",$A79,"Price","tba","")</f>
        <v>105.6875</v>
      </c>
      <c r="AB79" s="2">
        <f>[1]!YBHIST("FNMA4.0-GEN",$A79,"Price","tba","")</f>
        <v>106.898438</v>
      </c>
      <c r="AC79" s="2">
        <f>[1]!YBHIST("FNMA4.5-GEN",$A79,"Price","tba","")</f>
        <v>107.867188</v>
      </c>
      <c r="AD79" s="2">
        <f>[1]!YBHIST("FNMA5.0-GEN",$A79,"Price","tba","")</f>
        <v>108.992188</v>
      </c>
      <c r="AE79" s="2">
        <f>[1]!YBHIST("FNMA5.5-GEN",$A79,"Price","tba","")</f>
        <v>109.546875</v>
      </c>
      <c r="AF79" s="6">
        <f>[1]!YBHIST("FNMA6.0-GEN",$A79,"Price","tba","")</f>
        <v>110.1875</v>
      </c>
      <c r="AG79" s="2">
        <f>[1]!YBHIST("FNMA3.0-GEN",$A79,"Yield","tba","")</f>
        <v>2.2810000000000001</v>
      </c>
      <c r="AH79" s="2">
        <f>[1]!YBHIST("FNMA3.5-GEN",$A79,"Yield","tba","")</f>
        <v>1.8580000000000001</v>
      </c>
      <c r="AI79" s="2">
        <f>[1]!YBHIST("FNMA4.0-GEN",$A79,"Yield","tba","")</f>
        <v>1.6359999999999999</v>
      </c>
      <c r="AJ79" s="2">
        <f>[1]!YBHIST("FNMA4.5-GEN",$A79,"Yield","tba","")</f>
        <v>1.5309999999999999</v>
      </c>
      <c r="AK79" s="2">
        <f>[1]!YBHIST("FNMA5.0-GEN",$A79,"Yield","tba","")</f>
        <v>0.57899999999999996</v>
      </c>
      <c r="AL79" s="2">
        <f>[1]!YBHIST("FNMA5.5-GEN",$A79,"Yield","tba","")</f>
        <v>0.72</v>
      </c>
      <c r="AM79" s="6">
        <f>[1]!YBHIST("FNMA6.0-GEN",$A79,"Yield","tba","")</f>
        <v>0.29099999999999998</v>
      </c>
      <c r="AN79" s="3">
        <f>[1]!YBHIST(AN$4,$A79,"Price","sec","")</f>
        <v>14.968999999999999</v>
      </c>
      <c r="AO79" s="2">
        <f>[1]!YBHIST(AO$4,$A79,"Price","sec","")</f>
        <v>15.875</v>
      </c>
      <c r="AP79" s="2">
        <f>[1]!YBHIST(AP$4,$A79,"Price","sec","")</f>
        <v>13.422000000000001</v>
      </c>
      <c r="AQ79" s="2">
        <f>[1]!YBHIST(AQ$4,$A79,"Price","sec","")</f>
        <v>16.687999999999999</v>
      </c>
      <c r="AR79" s="2">
        <f>[1]!YBHIST(AR$4,$A79,"Price","sec","")</f>
        <v>14.188000000000001</v>
      </c>
      <c r="AS79" s="2">
        <f>[1]!YBHIST(AS$4,$A79,"Price","sec","")</f>
        <v>20.077998999999998</v>
      </c>
      <c r="AT79" s="2">
        <f>[1]!YBHIST(AT$4,$A79,"Price","sec","")</f>
        <v>17.827998999999998</v>
      </c>
      <c r="AU79" s="2">
        <f>[1]!YBHIST(AU$4,$A79,"Price","sec","")</f>
        <v>12.172000000000001</v>
      </c>
      <c r="AV79" s="2">
        <f>[1]!YBHIST(AV$4,$A79,"Price","sec","")</f>
        <v>14.891</v>
      </c>
      <c r="AW79" s="2">
        <f>[1]!YBHIST(AW$4,$A79,"Price","sec","")</f>
        <v>14.625</v>
      </c>
      <c r="AX79" s="2">
        <f>[1]!YBHIST(AX$4,$A79,"Price","sec","")</f>
        <v>12.859</v>
      </c>
      <c r="AY79" s="2">
        <f>[1]!YBHIST(AY$4,$A79,"Price","sec","")</f>
        <v>15.827999999999999</v>
      </c>
      <c r="AZ79" s="2">
        <f>[1]!YBHIST(AZ$4,$A79,"Price","sec","")</f>
        <v>15.202999999999999</v>
      </c>
      <c r="BA79" s="2">
        <f>[1]!YBHIST(BA$4,$A79,"Price","sec","")</f>
        <v>14.641</v>
      </c>
      <c r="BB79" s="2">
        <f>[1]!YBHIST(BB$4,$A79,"Price","sec","")</f>
        <v>18.125</v>
      </c>
      <c r="BC79" s="2">
        <f>[1]!YBHIST(BC$4,$A79,"Price","sec","")</f>
        <v>19.108999000000001</v>
      </c>
      <c r="BD79" s="2">
        <f>[1]!YBHIST(BD$4,$A79,"Price","sec","")</f>
        <v>19.062000000000001</v>
      </c>
      <c r="BE79" s="6">
        <f>[1]!YBHIST(BE$4,$A79,"Price","sec","")</f>
        <v>19.452998999999998</v>
      </c>
      <c r="BF79" s="20">
        <f>[1]!YBHIST(BF$4,$A79,"LMMOAS","sec","")</f>
        <v>242.94549599999999</v>
      </c>
      <c r="BG79" s="20">
        <f>[1]!YBHIST(BG$4,$A79,"LMMOAS","sec","")</f>
        <v>241.70790099999999</v>
      </c>
      <c r="BH79" s="20">
        <f>[1]!YBHIST(BH$4,$A79,"LMMOAS","sec","")</f>
        <v>253.96000699999999</v>
      </c>
      <c r="BI79" s="20">
        <f>[1]!YBHIST(BI$4,$A79,"LMMOAS","sec","")</f>
        <v>335.23181199999999</v>
      </c>
      <c r="BJ79" s="20">
        <f>[1]!YBHIST(BJ$4,$A79,"LMMOAS","sec","")</f>
        <v>341.15948500000002</v>
      </c>
      <c r="BK79" s="20">
        <f>[1]!YBHIST(BK$4,$A79,"LMMOAS","sec","")</f>
        <v>291.01431300000002</v>
      </c>
      <c r="BL79" s="20">
        <f>[1]!YBHIST(BL$4,$A79,"LMMOAS","sec","")</f>
        <v>302.26870700000001</v>
      </c>
      <c r="BM79" s="20">
        <f>[1]!YBHIST(BM$4,$A79,"LMMOAS","sec","")</f>
        <v>61.965899999999998</v>
      </c>
      <c r="BN79" s="20">
        <f>[1]!YBHIST(BN$4,$A79,"LMMOAS","sec","")</f>
        <v>150.00619499999999</v>
      </c>
      <c r="BO79" s="20">
        <f>[1]!YBHIST(BO$4,$A79,"LMMOAS","sec","")</f>
        <v>291.57809400000002</v>
      </c>
      <c r="BP79" s="20">
        <f>[1]!YBHIST(BP$4,$A79,"LMMOAS","sec","")</f>
        <v>299.93499800000001</v>
      </c>
      <c r="BQ79" s="20">
        <f>[1]!YBHIST(BQ$4,$A79,"LMMOAS","sec","")</f>
        <v>563.60131799999999</v>
      </c>
      <c r="BR79" s="20">
        <f>[1]!YBHIST(BR$4,$A79,"LMMOAS","sec","")</f>
        <v>649.45050000000003</v>
      </c>
      <c r="BS79" s="20">
        <f>[1]!YBHIST(BS$4,$A79,"LMMOAS","sec","")</f>
        <v>345.45568800000001</v>
      </c>
      <c r="BT79" s="20">
        <f>[1]!YBHIST(BT$4,$A79,"LMMOAS","sec","")</f>
        <v>411.17300399999999</v>
      </c>
      <c r="BU79" s="20">
        <f>[1]!YBHIST(BU$4,$A79,"LMMOAS","sec","")</f>
        <v>243.016098</v>
      </c>
      <c r="BV79" s="20">
        <f>[1]!YBHIST(BV$4,$A79,"LMMOAS","sec","")</f>
        <v>320.24829099999999</v>
      </c>
      <c r="BW79" s="20">
        <f>[1]!YBHIST(BW$4,$A79,"LMMOAS","sec","")</f>
        <v>368.46771200000001</v>
      </c>
      <c r="BX79" s="5"/>
      <c r="BY79" s="1"/>
      <c r="BZ79" s="1"/>
    </row>
    <row r="80" spans="1:78" x14ac:dyDescent="0.25">
      <c r="A80" s="14">
        <f>[1]!YBWORKDAY(A$26,-1*(ROW()-ROW(A$26)),"USD","")</f>
        <v>41162</v>
      </c>
      <c r="B80" s="3">
        <f>[1]!YBHIST("2 Year Treasury",$A80,"Price","govt","")</f>
        <v>100</v>
      </c>
      <c r="C80" s="2">
        <f>[1]!YBHIST("5 Year Treasury",$A80,"Price","govt","")</f>
        <v>99.851996999999997</v>
      </c>
      <c r="D80" s="2">
        <f>[1]!YBHIST("10 Year Treasury",$A80,"Price","govt","")</f>
        <v>99.484001000000006</v>
      </c>
      <c r="E80" s="6">
        <f>[1]!YBHIST("30 Year Treasury",$A80,"Price","govt","")</f>
        <v>98.188004000000006</v>
      </c>
      <c r="F80" s="3">
        <f>[1]!YBHIST("2 Year Treasury",$A80,"YldtoMat","govt","")</f>
        <v>0.25</v>
      </c>
      <c r="G80" s="2">
        <f>[1]!YBHIST("5 Year Treasury",$A80,"YldtoMat","govt","")</f>
        <v>0.65500000000000003</v>
      </c>
      <c r="H80" s="2">
        <f>[1]!YBHIST("10 Year Treasury",$A80,"YldtoMat","govt","")</f>
        <v>1.6819999999999999</v>
      </c>
      <c r="I80" s="6">
        <f>[1]!YBHIST("30 Year Treasury",$A80,"YldtoMat","govt","")</f>
        <v>2.84</v>
      </c>
      <c r="J80" s="3">
        <f>[1]!YBHIST("2yr Swap Rate",$A80,"YldtoMat","swapvol","")</f>
        <v>0.398891</v>
      </c>
      <c r="K80" s="2">
        <f>[1]!YBHIST("5yr Swap Rate",$A80,"YldtoMat","swapvol","")</f>
        <v>0.81376999999999999</v>
      </c>
      <c r="L80" s="2">
        <f>[1]!YBHIST("10yr Swap Rate",$A80,"YldtoMat","swapvol","")</f>
        <v>1.775334</v>
      </c>
      <c r="M80" s="6">
        <f>[1]!YBHIST("30yr Swap Rate",$A80,"YldtoMat","swapvol","")</f>
        <v>2.6373310000000001</v>
      </c>
      <c r="N80" s="3">
        <f>[1]!YBHIST("FNMA 30YR Cur Coup (BE)",$A80,"Yield","bmk","")</f>
        <v>2.3769999999999998</v>
      </c>
      <c r="O80" s="2">
        <f>[1]!YBHIST("FHLMC 30YR Cur Coup (BE)",$A80,"Yield","bmk","")</f>
        <v>2.423</v>
      </c>
      <c r="P80" s="2">
        <f>[1]!YBHIST("GNMA 30YR Cur Coup (BE)",$A80,"Yield","bmk","")</f>
        <v>2.2909999999999999</v>
      </c>
      <c r="Q80" s="2">
        <f>[1]!YBHIST("Primary 30-Yr Mtg Rate",$A80,"Yield","bmk","")</f>
        <v>3.6932</v>
      </c>
      <c r="R80" s="2">
        <f>[1]!YBHIST("FHLM 30-Yr Survey Rate",$A80,"Yield","bmk","")</f>
        <v>3.55</v>
      </c>
      <c r="S80" s="6">
        <f>[1]!YBHIST("Base Mortgage Rate",$A80,"Yield","bmk","")</f>
        <v>2.7109999999999999</v>
      </c>
      <c r="T80" s="18">
        <f>[1]!YBHIST("FNMA 30YR Cur Coup (BE)",$A80,"LMMOAS","bmk","")</f>
        <v>8.9140999999999995</v>
      </c>
      <c r="U80" s="19">
        <f>[1]!YBHIST("FHLMC 30YR Cur Coup (BE)",$A80,"LMMOAS","bmk","")</f>
        <v>10.869</v>
      </c>
      <c r="V80" s="19">
        <f>[1]!YBHIST("GNMA 30YR Cur Coup (BE)",$A80,"LMMOAS","bmk","")</f>
        <v>-8.1599000000000004</v>
      </c>
      <c r="W80" s="20">
        <f t="shared" si="6"/>
        <v>69.499999999999986</v>
      </c>
      <c r="X80" s="20">
        <f t="shared" si="7"/>
        <v>69.499999999999986</v>
      </c>
      <c r="Y80" s="20">
        <f t="shared" si="8"/>
        <v>74.100000000000009</v>
      </c>
      <c r="Z80" s="25">
        <f>[1]!YBHIST("FNMA3.0-GEN",$A80,"Price","tba","")</f>
        <v>103.453125</v>
      </c>
      <c r="AA80" s="2">
        <f>[1]!YBHIST("FNMA3.5-GEN",$A80,"Price","tba","")</f>
        <v>105.699219</v>
      </c>
      <c r="AB80" s="2">
        <f>[1]!YBHIST("FNMA4.0-GEN",$A80,"Price","tba","")</f>
        <v>106.976562</v>
      </c>
      <c r="AC80" s="2">
        <f>[1]!YBHIST("FNMA4.5-GEN",$A80,"Price","tba","")</f>
        <v>107.960938</v>
      </c>
      <c r="AD80" s="2">
        <f>[1]!YBHIST("FNMA5.0-GEN",$A80,"Price","tba","")</f>
        <v>109.0625</v>
      </c>
      <c r="AE80" s="2">
        <f>[1]!YBHIST("FNMA5.5-GEN",$A80,"Price","tba","")</f>
        <v>109.585938</v>
      </c>
      <c r="AF80" s="6">
        <f>[1]!YBHIST("FNMA6.0-GEN",$A80,"Price","tba","")</f>
        <v>110.1875</v>
      </c>
      <c r="AG80" s="2">
        <f>[1]!YBHIST("FNMA3.0-GEN",$A80,"Yield","tba","")</f>
        <v>2.2589999999999999</v>
      </c>
      <c r="AH80" s="2">
        <f>[1]!YBHIST("FNMA3.5-GEN",$A80,"Yield","tba","")</f>
        <v>1.835</v>
      </c>
      <c r="AI80" s="2">
        <f>[1]!YBHIST("FNMA4.0-GEN",$A80,"Yield","tba","")</f>
        <v>1.591</v>
      </c>
      <c r="AJ80" s="2">
        <f>[1]!YBHIST("FNMA4.5-GEN",$A80,"Yield","tba","")</f>
        <v>1.48</v>
      </c>
      <c r="AK80" s="2">
        <f>[1]!YBHIST("FNMA5.0-GEN",$A80,"Yield","tba","")</f>
        <v>0.52600000000000002</v>
      </c>
      <c r="AL80" s="2">
        <f>[1]!YBHIST("FNMA5.5-GEN",$A80,"Yield","tba","")</f>
        <v>0.68600000000000005</v>
      </c>
      <c r="AM80" s="6">
        <f>[1]!YBHIST("FNMA6.0-GEN",$A80,"Yield","tba","")</f>
        <v>0.27600000000000002</v>
      </c>
      <c r="AN80" s="3">
        <f>[1]!YBHIST(AN$4,$A80,"Price","sec","")</f>
        <v>14.406000000000001</v>
      </c>
      <c r="AO80" s="2">
        <f>[1]!YBHIST(AO$4,$A80,"Price","sec","")</f>
        <v>15.25</v>
      </c>
      <c r="AP80" s="2">
        <f>[1]!YBHIST(AP$4,$A80,"Price","sec","")</f>
        <v>12.766</v>
      </c>
      <c r="AQ80" s="2">
        <f>[1]!YBHIST(AQ$4,$A80,"Price","sec","")</f>
        <v>16.125</v>
      </c>
      <c r="AR80" s="2">
        <f>[1]!YBHIST(AR$4,$A80,"Price","sec","")</f>
        <v>13.625</v>
      </c>
      <c r="AS80" s="2">
        <f>[1]!YBHIST(AS$4,$A80,"Price","sec","")</f>
        <v>19.562000000000001</v>
      </c>
      <c r="AT80" s="2">
        <f>[1]!YBHIST(AT$4,$A80,"Price","sec","")</f>
        <v>17.233999000000001</v>
      </c>
      <c r="AU80" s="2">
        <f>[1]!YBHIST(AU$4,$A80,"Price","sec","")</f>
        <v>11.5</v>
      </c>
      <c r="AV80" s="2">
        <f>[1]!YBHIST(AV$4,$A80,"Price","sec","")</f>
        <v>14.25</v>
      </c>
      <c r="AW80" s="2">
        <f>[1]!YBHIST(AW$4,$A80,"Price","sec","")</f>
        <v>14.016</v>
      </c>
      <c r="AX80" s="2">
        <f>[1]!YBHIST(AX$4,$A80,"Price","sec","")</f>
        <v>12.266</v>
      </c>
      <c r="AY80" s="2">
        <f>[1]!YBHIST(AY$4,$A80,"Price","sec","")</f>
        <v>15.25</v>
      </c>
      <c r="AZ80" s="2">
        <f>[1]!YBHIST(AZ$4,$A80,"Price","sec","")</f>
        <v>14.702999999999999</v>
      </c>
      <c r="BA80" s="2">
        <f>[1]!YBHIST(BA$4,$A80,"Price","sec","")</f>
        <v>14.047000000000001</v>
      </c>
      <c r="BB80" s="2">
        <f>[1]!YBHIST(BB$4,$A80,"Price","sec","")</f>
        <v>17.75</v>
      </c>
      <c r="BC80" s="2">
        <f>[1]!YBHIST(BC$4,$A80,"Price","sec","")</f>
        <v>18.719000000000001</v>
      </c>
      <c r="BD80" s="2">
        <f>[1]!YBHIST(BD$4,$A80,"Price","sec","")</f>
        <v>18.641000999999999</v>
      </c>
      <c r="BE80" s="6">
        <f>[1]!YBHIST(BE$4,$A80,"Price","sec","")</f>
        <v>18.969000000000001</v>
      </c>
      <c r="BF80" s="20">
        <f>[1]!YBHIST(BF$4,$A80,"LMMOAS","sec","")</f>
        <v>228.310104</v>
      </c>
      <c r="BG80" s="20">
        <f>[1]!YBHIST(BG$4,$A80,"LMMOAS","sec","")</f>
        <v>228.86450199999999</v>
      </c>
      <c r="BH80" s="20">
        <f>[1]!YBHIST(BH$4,$A80,"LMMOAS","sec","")</f>
        <v>239.26040599999999</v>
      </c>
      <c r="BI80" s="20">
        <f>[1]!YBHIST(BI$4,$A80,"LMMOAS","sec","")</f>
        <v>323.94689899999997</v>
      </c>
      <c r="BJ80" s="20">
        <f>[1]!YBHIST(BJ$4,$A80,"LMMOAS","sec","")</f>
        <v>312.58999599999999</v>
      </c>
      <c r="BK80" s="20">
        <f>[1]!YBHIST(BK$4,$A80,"LMMOAS","sec","")</f>
        <v>287.29238900000001</v>
      </c>
      <c r="BL80" s="20">
        <f>[1]!YBHIST(BL$4,$A80,"LMMOAS","sec","")</f>
        <v>296.295502</v>
      </c>
      <c r="BM80" s="20">
        <f>[1]!YBHIST(BM$4,$A80,"LMMOAS","sec","")</f>
        <v>35.146301000000001</v>
      </c>
      <c r="BN80" s="20">
        <f>[1]!YBHIST(BN$4,$A80,"LMMOAS","sec","")</f>
        <v>136.97070299999999</v>
      </c>
      <c r="BO80" s="20">
        <f>[1]!YBHIST(BO$4,$A80,"LMMOAS","sec","")</f>
        <v>285.75820900000002</v>
      </c>
      <c r="BP80" s="20">
        <f>[1]!YBHIST(BP$4,$A80,"LMMOAS","sec","")</f>
        <v>263.57971199999997</v>
      </c>
      <c r="BQ80" s="20">
        <f>[1]!YBHIST(BQ$4,$A80,"LMMOAS","sec","")</f>
        <v>548.207581</v>
      </c>
      <c r="BR80" s="20">
        <f>[1]!YBHIST(BR$4,$A80,"LMMOAS","sec","")</f>
        <v>636.78277600000001</v>
      </c>
      <c r="BS80" s="20">
        <f>[1]!YBHIST(BS$4,$A80,"LMMOAS","sec","")</f>
        <v>319.82971199999997</v>
      </c>
      <c r="BT80" s="20">
        <f>[1]!YBHIST(BT$4,$A80,"LMMOAS","sec","")</f>
        <v>356.551605</v>
      </c>
      <c r="BU80" s="20">
        <f>[1]!YBHIST(BU$4,$A80,"LMMOAS","sec","")</f>
        <v>232.84669500000001</v>
      </c>
      <c r="BV80" s="20">
        <f>[1]!YBHIST(BV$4,$A80,"LMMOAS","sec","")</f>
        <v>311.19699100000003</v>
      </c>
      <c r="BW80" s="20">
        <f>[1]!YBHIST(BW$4,$A80,"LMMOAS","sec","")</f>
        <v>364.47119099999998</v>
      </c>
      <c r="BX80" s="5"/>
      <c r="BY80" s="1"/>
      <c r="BZ80" s="1"/>
    </row>
    <row r="81" spans="1:78" x14ac:dyDescent="0.25">
      <c r="A81" s="14">
        <f>[1]!YBWORKDAY(A$26,-1*(ROW()-ROW(A$26)),"USD","")</f>
        <v>41159</v>
      </c>
      <c r="B81" s="3">
        <f>[1]!YBHIST("2 Year Treasury",$A81,"Price","govt","")</f>
        <v>100</v>
      </c>
      <c r="C81" s="2">
        <f>[1]!YBHIST("5 Year Treasury",$A81,"Price","govt","")</f>
        <v>99.938004000000006</v>
      </c>
      <c r="D81" s="2">
        <f>[1]!YBHIST("10 Year Treasury",$A81,"Price","govt","")</f>
        <v>99.640998999999994</v>
      </c>
      <c r="E81" s="6">
        <f>[1]!YBHIST("30 Year Treasury",$A81,"Price","govt","")</f>
        <v>98.469002000000003</v>
      </c>
      <c r="F81" s="3">
        <f>[1]!YBHIST("2 Year Treasury",$A81,"YldtoMat","govt","")</f>
        <v>0.25</v>
      </c>
      <c r="G81" s="2">
        <f>[1]!YBHIST("5 Year Treasury",$A81,"YldtoMat","govt","")</f>
        <v>0.63800000000000001</v>
      </c>
      <c r="H81" s="2">
        <f>[1]!YBHIST("10 Year Treasury",$A81,"YldtoMat","govt","")</f>
        <v>1.6639999999999999</v>
      </c>
      <c r="I81" s="6">
        <f>[1]!YBHIST("30 Year Treasury",$A81,"YldtoMat","govt","")</f>
        <v>2.8260000000000001</v>
      </c>
      <c r="J81" s="3">
        <f>[1]!YBHIST("2yr Swap Rate",$A81,"YldtoMat","swapvol","")</f>
        <v>0.40491700000000003</v>
      </c>
      <c r="K81" s="2">
        <f>[1]!YBHIST("5yr Swap Rate",$A81,"YldtoMat","swapvol","")</f>
        <v>0.80680099999999999</v>
      </c>
      <c r="L81" s="2">
        <f>[1]!YBHIST("10yr Swap Rate",$A81,"YldtoMat","swapvol","")</f>
        <v>1.7660910000000001</v>
      </c>
      <c r="M81" s="6">
        <f>[1]!YBHIST("30yr Swap Rate",$A81,"YldtoMat","swapvol","")</f>
        <v>2.622509</v>
      </c>
      <c r="N81" s="3">
        <f>[1]!YBHIST("FNMA 30YR Cur Coup (BE)",$A81,"Yield","bmk","")</f>
        <v>2.3730000000000002</v>
      </c>
      <c r="O81" s="2">
        <f>[1]!YBHIST("FHLMC 30YR Cur Coup (BE)",$A81,"Yield","bmk","")</f>
        <v>2.419</v>
      </c>
      <c r="P81" s="2">
        <f>[1]!YBHIST("GNMA 30YR Cur Coup (BE)",$A81,"Yield","bmk","")</f>
        <v>2.2869999999999999</v>
      </c>
      <c r="Q81" s="2">
        <f>[1]!YBHIST("Primary 30-Yr Mtg Rate",$A81,"Yield","bmk","")</f>
        <v>3.6945000000000001</v>
      </c>
      <c r="R81" s="2">
        <f>[1]!YBHIST("FHLM 30-Yr Survey Rate",$A81,"Yield","bmk","")</f>
        <v>3.55</v>
      </c>
      <c r="S81" s="6">
        <f>[1]!YBHIST("Base Mortgage Rate",$A81,"Yield","bmk","")</f>
        <v>2.7120000000000002</v>
      </c>
      <c r="T81" s="18">
        <f>[1]!YBHIST("FNMA 30YR Cur Coup (BE)",$A81,"LMMOAS","bmk","")</f>
        <v>7.9404000000000003</v>
      </c>
      <c r="U81" s="19">
        <f>[1]!YBHIST("FHLMC 30YR Cur Coup (BE)",$A81,"LMMOAS","bmk","")</f>
        <v>12.847</v>
      </c>
      <c r="V81" s="19">
        <f>[1]!YBHIST("GNMA 30YR Cur Coup (BE)",$A81,"LMMOAS","bmk","")</f>
        <v>-10.2226</v>
      </c>
      <c r="W81" s="20">
        <f t="shared" si="6"/>
        <v>70.900000000000034</v>
      </c>
      <c r="X81" s="20">
        <f t="shared" si="7"/>
        <v>70.900000000000034</v>
      </c>
      <c r="Y81" s="20">
        <f t="shared" si="8"/>
        <v>75.500000000000014</v>
      </c>
      <c r="Z81" s="25">
        <f>[1]!YBHIST("FNMA3.0-GEN",$A81,"Price","tba","")</f>
        <v>103.703125</v>
      </c>
      <c r="AA81" s="2">
        <f>[1]!YBHIST("FNMA3.5-GEN",$A81,"Price","tba","")</f>
        <v>105.96875</v>
      </c>
      <c r="AB81" s="2">
        <f>[1]!YBHIST("FNMA4.0-GEN",$A81,"Price","tba","")</f>
        <v>107.140625</v>
      </c>
      <c r="AC81" s="2">
        <f>[1]!YBHIST("FNMA4.5-GEN",$A81,"Price","tba","")</f>
        <v>108.140625</v>
      </c>
      <c r="AD81" s="2">
        <f>[1]!YBHIST("FNMA5.0-GEN",$A81,"Price","tba","")</f>
        <v>109.328125</v>
      </c>
      <c r="AE81" s="2">
        <f>[1]!YBHIST("FNMA5.5-GEN",$A81,"Price","tba","")</f>
        <v>109.640625</v>
      </c>
      <c r="AF81" s="6">
        <f>[1]!YBHIST("FNMA6.0-GEN",$A81,"Price","tba","")</f>
        <v>110.078125</v>
      </c>
      <c r="AG81" s="2">
        <f>[1]!YBHIST("FNMA3.0-GEN",$A81,"Yield","tba","")</f>
        <v>2.1709999999999998</v>
      </c>
      <c r="AH81" s="2">
        <f>[1]!YBHIST("FNMA3.5-GEN",$A81,"Yield","tba","")</f>
        <v>1.76</v>
      </c>
      <c r="AI81" s="2">
        <f>[1]!YBHIST("FNMA4.0-GEN",$A81,"Yield","tba","")</f>
        <v>1.5369999999999999</v>
      </c>
      <c r="AJ81" s="2">
        <f>[1]!YBHIST("FNMA4.5-GEN",$A81,"Yield","tba","")</f>
        <v>1.413</v>
      </c>
      <c r="AK81" s="2">
        <f>[1]!YBHIST("FNMA5.0-GEN",$A81,"Yield","tba","")</f>
        <v>0.38800000000000001</v>
      </c>
      <c r="AL81" s="2">
        <f>[1]!YBHIST("FNMA5.5-GEN",$A81,"Yield","tba","")</f>
        <v>0.64100000000000001</v>
      </c>
      <c r="AM81" s="6">
        <f>[1]!YBHIST("FNMA6.0-GEN",$A81,"Yield","tba","")</f>
        <v>0.308</v>
      </c>
      <c r="AN81" s="3">
        <f>[1]!YBHIST(AN$4,$A81,"Price","sec","")</f>
        <v>14.656000000000001</v>
      </c>
      <c r="AO81" s="2">
        <f>[1]!YBHIST(AO$4,$A81,"Price","sec","")</f>
        <v>15.438000000000001</v>
      </c>
      <c r="AP81" s="2">
        <f>[1]!YBHIST(AP$4,$A81,"Price","sec","")</f>
        <v>12.891</v>
      </c>
      <c r="AQ81" s="2">
        <f>[1]!YBHIST(AQ$4,$A81,"Price","sec","")</f>
        <v>16.125</v>
      </c>
      <c r="AR81" s="2">
        <f>[1]!YBHIST(AR$4,$A81,"Price","sec","")</f>
        <v>13.625</v>
      </c>
      <c r="AS81" s="2">
        <f>[1]!YBHIST(AS$4,$A81,"Price","sec","")</f>
        <v>19.516000999999999</v>
      </c>
      <c r="AT81" s="2">
        <f>[1]!YBHIST(AT$4,$A81,"Price","sec","")</f>
        <v>17.187999999999999</v>
      </c>
      <c r="AU81" s="2">
        <f>[1]!YBHIST(AU$4,$A81,"Price","sec","")</f>
        <v>12.297000000000001</v>
      </c>
      <c r="AV81" s="2">
        <f>[1]!YBHIST(AV$4,$A81,"Price","sec","")</f>
        <v>14.218999999999999</v>
      </c>
      <c r="AW81" s="2">
        <f>[1]!YBHIST(AW$4,$A81,"Price","sec","")</f>
        <v>13.984</v>
      </c>
      <c r="AX81" s="2">
        <f>[1]!YBHIST(AX$4,$A81,"Price","sec","")</f>
        <v>12.375</v>
      </c>
      <c r="AY81" s="2">
        <f>[1]!YBHIST(AY$4,$A81,"Price","sec","")</f>
        <v>15.281000000000001</v>
      </c>
      <c r="AZ81" s="2">
        <f>[1]!YBHIST(AZ$4,$A81,"Price","sec","")</f>
        <v>14.734</v>
      </c>
      <c r="BA81" s="2">
        <f>[1]!YBHIST(BA$4,$A81,"Price","sec","")</f>
        <v>14.031000000000001</v>
      </c>
      <c r="BB81" s="2">
        <f>[1]!YBHIST(BB$4,$A81,"Price","sec","")</f>
        <v>17.75</v>
      </c>
      <c r="BC81" s="2">
        <f>[1]!YBHIST(BC$4,$A81,"Price","sec","")</f>
        <v>18.687999999999999</v>
      </c>
      <c r="BD81" s="2">
        <f>[1]!YBHIST(BD$4,$A81,"Price","sec","")</f>
        <v>18.594000000000001</v>
      </c>
      <c r="BE81" s="6">
        <f>[1]!YBHIST(BE$4,$A81,"Price","sec","")</f>
        <v>18.797001000000002</v>
      </c>
      <c r="BF81" s="20">
        <f>[1]!YBHIST(BF$4,$A81,"LMMOAS","sec","")</f>
        <v>190.98440600000001</v>
      </c>
      <c r="BG81" s="20">
        <f>[1]!YBHIST(BG$4,$A81,"LMMOAS","sec","")</f>
        <v>201.35339400000001</v>
      </c>
      <c r="BH81" s="20">
        <f>[1]!YBHIST(BH$4,$A81,"LMMOAS","sec","")</f>
        <v>215.498199</v>
      </c>
      <c r="BI81" s="20">
        <f>[1]!YBHIST(BI$4,$A81,"LMMOAS","sec","")</f>
        <v>323.44790599999999</v>
      </c>
      <c r="BJ81" s="20">
        <f>[1]!YBHIST(BJ$4,$A81,"LMMOAS","sec","")</f>
        <v>312.20748900000001</v>
      </c>
      <c r="BK81" s="20">
        <f>[1]!YBHIST(BK$4,$A81,"LMMOAS","sec","")</f>
        <v>292.54599000000002</v>
      </c>
      <c r="BL81" s="20">
        <f>[1]!YBHIST(BL$4,$A81,"LMMOAS","sec","")</f>
        <v>302.731201</v>
      </c>
      <c r="BM81" s="20">
        <f>[1]!YBHIST(BM$4,$A81,"LMMOAS","sec","")</f>
        <v>-142.63600199999999</v>
      </c>
      <c r="BN81" s="20">
        <f>[1]!YBHIST(BN$4,$A81,"LMMOAS","sec","")</f>
        <v>142.93220500000001</v>
      </c>
      <c r="BO81" s="20">
        <f>[1]!YBHIST(BO$4,$A81,"LMMOAS","sec","")</f>
        <v>292.76361100000003</v>
      </c>
      <c r="BP81" s="20">
        <f>[1]!YBHIST(BP$4,$A81,"LMMOAS","sec","")</f>
        <v>237.90870699999999</v>
      </c>
      <c r="BQ81" s="20">
        <f>[1]!YBHIST(BQ$4,$A81,"LMMOAS","sec","")</f>
        <v>542.77587900000003</v>
      </c>
      <c r="BR81" s="20">
        <f>[1]!YBHIST(BR$4,$A81,"LMMOAS","sec","")</f>
        <v>630.84960899999999</v>
      </c>
      <c r="BS81" s="20">
        <f>[1]!YBHIST(BS$4,$A81,"LMMOAS","sec","")</f>
        <v>325.52371199999999</v>
      </c>
      <c r="BT81" s="20">
        <f>[1]!YBHIST(BT$4,$A81,"LMMOAS","sec","")</f>
        <v>358.16931199999999</v>
      </c>
      <c r="BU81" s="20">
        <f>[1]!YBHIST(BU$4,$A81,"LMMOAS","sec","")</f>
        <v>235.76870700000001</v>
      </c>
      <c r="BV81" s="20">
        <f>[1]!YBHIST(BV$4,$A81,"LMMOAS","sec","")</f>
        <v>316.77349900000002</v>
      </c>
      <c r="BW81" s="20">
        <f>[1]!YBHIST(BW$4,$A81,"LMMOAS","sec","")</f>
        <v>386.71139499999998</v>
      </c>
      <c r="BX81" s="5"/>
      <c r="BY81" s="1"/>
      <c r="BZ81" s="1"/>
    </row>
    <row r="82" spans="1:78" x14ac:dyDescent="0.25">
      <c r="A82" s="14">
        <f>[1]!YBWORKDAY(A$26,-1*(ROW()-ROW(A$26)),"USD","")</f>
        <v>41158</v>
      </c>
      <c r="B82" s="3">
        <f>[1]!YBHIST("2 Year Treasury",$A82,"Price","govt","")</f>
        <v>99.976996999999997</v>
      </c>
      <c r="C82" s="2">
        <f>[1]!YBHIST("5 Year Treasury",$A82,"Price","govt","")</f>
        <v>99.75</v>
      </c>
      <c r="D82" s="2">
        <f>[1]!YBHIST("10 Year Treasury",$A82,"Price","govt","")</f>
        <v>99.563004000000006</v>
      </c>
      <c r="E82" s="6">
        <f>[1]!YBHIST("30 Year Treasury",$A82,"Price","govt","")</f>
        <v>99.015998999999994</v>
      </c>
      <c r="F82" s="3">
        <f>[1]!YBHIST("2 Year Treasury",$A82,"YldtoMat","govt","")</f>
        <v>0.26200000000000001</v>
      </c>
      <c r="G82" s="2">
        <f>[1]!YBHIST("5 Year Treasury",$A82,"YldtoMat","govt","")</f>
        <v>0.67600000000000005</v>
      </c>
      <c r="H82" s="2">
        <f>[1]!YBHIST("10 Year Treasury",$A82,"YldtoMat","govt","")</f>
        <v>1.673</v>
      </c>
      <c r="I82" s="6">
        <f>[1]!YBHIST("30 Year Treasury",$A82,"YldtoMat","govt","")</f>
        <v>2.7989999999999999</v>
      </c>
      <c r="J82" s="3">
        <f>[1]!YBHIST("2yr Swap Rate",$A82,"YldtoMat","swapvol","")</f>
        <v>0.42144599999999999</v>
      </c>
      <c r="K82" s="2">
        <f>[1]!YBHIST("5yr Swap Rate",$A82,"YldtoMat","swapvol","")</f>
        <v>0.84440499999999996</v>
      </c>
      <c r="L82" s="2">
        <f>[1]!YBHIST("10yr Swap Rate",$A82,"YldtoMat","swapvol","")</f>
        <v>1.776807</v>
      </c>
      <c r="M82" s="6">
        <f>[1]!YBHIST("30yr Swap Rate",$A82,"YldtoMat","swapvol","")</f>
        <v>2.5951330000000001</v>
      </c>
      <c r="N82" s="3">
        <f>[1]!YBHIST("FNMA 30YR Cur Coup (BE)",$A82,"Yield","bmk","")</f>
        <v>2.4569999999999999</v>
      </c>
      <c r="O82" s="2">
        <f>[1]!YBHIST("FHLMC 30YR Cur Coup (BE)",$A82,"Yield","bmk","")</f>
        <v>2.5030000000000001</v>
      </c>
      <c r="P82" s="2">
        <f>[1]!YBHIST("GNMA 30YR Cur Coup (BE)",$A82,"Yield","bmk","")</f>
        <v>2.371</v>
      </c>
      <c r="Q82" s="2">
        <f>[1]!YBHIST("Primary 30-Yr Mtg Rate",$A82,"Yield","bmk","")</f>
        <v>3.7753999999999999</v>
      </c>
      <c r="R82" s="2">
        <f>[1]!YBHIST("FHLM 30-Yr Survey Rate",$A82,"Yield","bmk","")</f>
        <v>3.55</v>
      </c>
      <c r="S82" s="6">
        <f>[1]!YBHIST("Base Mortgage Rate",$A82,"Yield","bmk","")</f>
        <v>2.7930000000000001</v>
      </c>
      <c r="T82" s="18">
        <f>[1]!YBHIST("FNMA 30YR Cur Coup (BE)",$A82,"LMMOAS","bmk","")</f>
        <v>15.7037</v>
      </c>
      <c r="U82" s="19">
        <f>[1]!YBHIST("FHLMC 30YR Cur Coup (BE)",$A82,"LMMOAS","bmk","")</f>
        <v>20.429500999999998</v>
      </c>
      <c r="V82" s="19">
        <f>[1]!YBHIST("GNMA 30YR Cur Coup (BE)",$A82,"LMMOAS","bmk","")</f>
        <v>8.2400000000000001E-2</v>
      </c>
      <c r="W82" s="20">
        <f t="shared" si="6"/>
        <v>78.399999999999977</v>
      </c>
      <c r="X82" s="20">
        <f t="shared" si="7"/>
        <v>78.399999999999977</v>
      </c>
      <c r="Y82" s="20">
        <f t="shared" si="8"/>
        <v>83</v>
      </c>
      <c r="Z82" s="25">
        <f>[1]!YBHIST("FNMA3.0-GEN",$A82,"Price","tba","")</f>
        <v>103.296875</v>
      </c>
      <c r="AA82" s="2">
        <f>[1]!YBHIST("FNMA3.5-GEN",$A82,"Price","tba","")</f>
        <v>105.710938</v>
      </c>
      <c r="AB82" s="2">
        <f>[1]!YBHIST("FNMA4.0-GEN",$A82,"Price","tba","")</f>
        <v>107.054688</v>
      </c>
      <c r="AC82" s="2">
        <f>[1]!YBHIST("FNMA4.5-GEN",$A82,"Price","tba","")</f>
        <v>108.109375</v>
      </c>
      <c r="AD82" s="2">
        <f>[1]!YBHIST("FNMA5.0-GEN",$A82,"Price","tba","")</f>
        <v>109.382812</v>
      </c>
      <c r="AE82" s="2">
        <f>[1]!YBHIST("FNMA5.5-GEN",$A82,"Price","tba","")</f>
        <v>109.695312</v>
      </c>
      <c r="AF82" s="6">
        <f>[1]!YBHIST("FNMA6.0-GEN",$A82,"Price","tba","")</f>
        <v>110.109375</v>
      </c>
      <c r="AG82" s="2">
        <f>[1]!YBHIST("FNMA3.0-GEN",$A82,"Yield","tba","")</f>
        <v>2.3039999999999998</v>
      </c>
      <c r="AH82" s="2">
        <f>[1]!YBHIST("FNMA3.5-GEN",$A82,"Yield","tba","")</f>
        <v>1.913</v>
      </c>
      <c r="AI82" s="2">
        <f>[1]!YBHIST("FNMA4.0-GEN",$A82,"Yield","tba","")</f>
        <v>1.657</v>
      </c>
      <c r="AJ82" s="2">
        <f>[1]!YBHIST("FNMA4.5-GEN",$A82,"Yield","tba","")</f>
        <v>1.506</v>
      </c>
      <c r="AK82" s="2">
        <f>[1]!YBHIST("FNMA5.0-GEN",$A82,"Yield","tba","")</f>
        <v>0.46200000000000002</v>
      </c>
      <c r="AL82" s="2">
        <f>[1]!YBHIST("FNMA5.5-GEN",$A82,"Yield","tba","")</f>
        <v>0.69</v>
      </c>
      <c r="AM82" s="6">
        <f>[1]!YBHIST("FNMA6.0-GEN",$A82,"Yield","tba","")</f>
        <v>0.35399999999999998</v>
      </c>
      <c r="AN82" s="3">
        <f>[1]!YBHIST(AN$4,$A82,"Price","sec","")</f>
        <v>15.141</v>
      </c>
      <c r="AO82" s="2">
        <f>[1]!YBHIST(AO$4,$A82,"Price","sec","")</f>
        <v>15.859</v>
      </c>
      <c r="AP82" s="2">
        <f>[1]!YBHIST(AP$4,$A82,"Price","sec","")</f>
        <v>13.311999999999999</v>
      </c>
      <c r="AQ82" s="2">
        <f>[1]!YBHIST(AQ$4,$A82,"Price","sec","")</f>
        <v>16.452998999999998</v>
      </c>
      <c r="AR82" s="2">
        <f>[1]!YBHIST(AR$4,$A82,"Price","sec","")</f>
        <v>14</v>
      </c>
      <c r="AS82" s="2">
        <f>[1]!YBHIST(AS$4,$A82,"Price","sec","")</f>
        <v>19.702998999999998</v>
      </c>
      <c r="AT82" s="2">
        <f>[1]!YBHIST(AT$4,$A82,"Price","sec","")</f>
        <v>17.391000999999999</v>
      </c>
      <c r="AU82" s="2">
        <f>[1]!YBHIST(AU$4,$A82,"Price","sec","")</f>
        <v>12.516</v>
      </c>
      <c r="AV82" s="2">
        <f>[1]!YBHIST(AV$4,$A82,"Price","sec","")</f>
        <v>14.422000000000001</v>
      </c>
      <c r="AW82" s="2">
        <f>[1]!YBHIST(AW$4,$A82,"Price","sec","")</f>
        <v>14.188000000000001</v>
      </c>
      <c r="AX82" s="2">
        <f>[1]!YBHIST(AX$4,$A82,"Price","sec","")</f>
        <v>12.531000000000001</v>
      </c>
      <c r="AY82" s="2">
        <f>[1]!YBHIST(AY$4,$A82,"Price","sec","")</f>
        <v>15.406000000000001</v>
      </c>
      <c r="AZ82" s="2">
        <f>[1]!YBHIST(AZ$4,$A82,"Price","sec","")</f>
        <v>14.859</v>
      </c>
      <c r="BA82" s="2">
        <f>[1]!YBHIST(BA$4,$A82,"Price","sec","")</f>
        <v>14.156000000000001</v>
      </c>
      <c r="BB82" s="2">
        <f>[1]!YBHIST(BB$4,$A82,"Price","sec","")</f>
        <v>17.844000000000001</v>
      </c>
      <c r="BC82" s="2">
        <f>[1]!YBHIST(BC$4,$A82,"Price","sec","")</f>
        <v>18.983999000000001</v>
      </c>
      <c r="BD82" s="2">
        <f>[1]!YBHIST(BD$4,$A82,"Price","sec","")</f>
        <v>18.891000999999999</v>
      </c>
      <c r="BE82" s="6">
        <f>[1]!YBHIST(BE$4,$A82,"Price","sec","")</f>
        <v>19.125</v>
      </c>
      <c r="BF82" s="20">
        <f>[1]!YBHIST(BF$4,$A82,"LMMOAS","sec","")</f>
        <v>194.72250399999999</v>
      </c>
      <c r="BG82" s="20">
        <f>[1]!YBHIST(BG$4,$A82,"LMMOAS","sec","")</f>
        <v>214.71339399999999</v>
      </c>
      <c r="BH82" s="20">
        <f>[1]!YBHIST(BH$4,$A82,"LMMOAS","sec","")</f>
        <v>225.772797</v>
      </c>
      <c r="BI82" s="20">
        <f>[1]!YBHIST(BI$4,$A82,"LMMOAS","sec","")</f>
        <v>344.25561499999998</v>
      </c>
      <c r="BJ82" s="20">
        <f>[1]!YBHIST(BJ$4,$A82,"LMMOAS","sec","")</f>
        <v>322.16360500000002</v>
      </c>
      <c r="BK82" s="20">
        <f>[1]!YBHIST(BK$4,$A82,"LMMOAS","sec","")</f>
        <v>319.102509</v>
      </c>
      <c r="BL82" s="20">
        <f>[1]!YBHIST(BL$4,$A82,"LMMOAS","sec","")</f>
        <v>331.905396</v>
      </c>
      <c r="BM82" s="20">
        <f>[1]!YBHIST(BM$4,$A82,"LMMOAS","sec","")</f>
        <v>-106.944199</v>
      </c>
      <c r="BN82" s="20">
        <f>[1]!YBHIST(BN$4,$A82,"LMMOAS","sec","")</f>
        <v>169.608307</v>
      </c>
      <c r="BO82" s="20">
        <f>[1]!YBHIST(BO$4,$A82,"LMMOAS","sec","")</f>
        <v>309.58898900000003</v>
      </c>
      <c r="BP82" s="20">
        <f>[1]!YBHIST(BP$4,$A82,"LMMOAS","sec","")</f>
        <v>277.130493</v>
      </c>
      <c r="BQ82" s="20">
        <f>[1]!YBHIST(BQ$4,$A82,"LMMOAS","sec","")</f>
        <v>574.05908199999999</v>
      </c>
      <c r="BR82" s="20">
        <f>[1]!YBHIST(BR$4,$A82,"LMMOAS","sec","")</f>
        <v>653.82318099999998</v>
      </c>
      <c r="BS82" s="20">
        <f>[1]!YBHIST(BS$4,$A82,"LMMOAS","sec","")</f>
        <v>360.58700599999997</v>
      </c>
      <c r="BT82" s="20">
        <f>[1]!YBHIST(BT$4,$A82,"LMMOAS","sec","")</f>
        <v>382.62161300000002</v>
      </c>
      <c r="BU82" s="20">
        <f>[1]!YBHIST(BU$4,$A82,"LMMOAS","sec","")</f>
        <v>256.48049900000001</v>
      </c>
      <c r="BV82" s="20">
        <f>[1]!YBHIST(BV$4,$A82,"LMMOAS","sec","")</f>
        <v>338.52630599999998</v>
      </c>
      <c r="BW82" s="20">
        <f>[1]!YBHIST(BW$4,$A82,"LMMOAS","sec","")</f>
        <v>398.21371499999998</v>
      </c>
      <c r="BX82" s="5"/>
      <c r="BY82" s="1"/>
      <c r="BZ82" s="1"/>
    </row>
    <row r="83" spans="1:78" x14ac:dyDescent="0.25">
      <c r="A83" s="14">
        <f>[1]!YBWORKDAY(A$26,-1*(ROW()-ROW(A$26)),"USD","")</f>
        <v>41157</v>
      </c>
      <c r="B83" s="3">
        <f>[1]!YBHIST("2 Year Treasury",$A83,"Price","govt","")</f>
        <v>100.023003</v>
      </c>
      <c r="C83" s="2">
        <f>[1]!YBHIST("5 Year Treasury",$A83,"Price","govt","")</f>
        <v>100.030998</v>
      </c>
      <c r="D83" s="2">
        <f>[1]!YBHIST("10 Year Treasury",$A83,"Price","govt","")</f>
        <v>100.280998</v>
      </c>
      <c r="E83" s="6">
        <f>[1]!YBHIST("30 Year Treasury",$A83,"Price","govt","")</f>
        <v>100.921997</v>
      </c>
      <c r="F83" s="3">
        <f>[1]!YBHIST("2 Year Treasury",$A83,"YldtoMat","govt","")</f>
        <v>0.23799999999999999</v>
      </c>
      <c r="G83" s="2">
        <f>[1]!YBHIST("5 Year Treasury",$A83,"YldtoMat","govt","")</f>
        <v>0.61899999999999999</v>
      </c>
      <c r="H83" s="2">
        <f>[1]!YBHIST("10 Year Treasury",$A83,"YldtoMat","govt","")</f>
        <v>1.5940000000000001</v>
      </c>
      <c r="I83" s="6">
        <f>[1]!YBHIST("30 Year Treasury",$A83,"YldtoMat","govt","")</f>
        <v>2.7050000000000001</v>
      </c>
      <c r="J83" s="3">
        <f>[1]!YBHIST("2yr Swap Rate",$A83,"YldtoMat","swapvol","")</f>
        <v>0.39725500000000002</v>
      </c>
      <c r="K83" s="2">
        <f>[1]!YBHIST("5yr Swap Rate",$A83,"YldtoMat","swapvol","")</f>
        <v>0.78462399999999999</v>
      </c>
      <c r="L83" s="2">
        <f>[1]!YBHIST("10yr Swap Rate",$A83,"YldtoMat","swapvol","")</f>
        <v>1.688132</v>
      </c>
      <c r="M83" s="6">
        <f>[1]!YBHIST("30yr Swap Rate",$A83,"YldtoMat","swapvol","")</f>
        <v>2.4969320000000002</v>
      </c>
      <c r="N83" s="3">
        <f>[1]!YBHIST("FNMA 30YR Cur Coup (BE)",$A83,"Yield","bmk","")</f>
        <v>2.3959999999999999</v>
      </c>
      <c r="O83" s="2">
        <f>[1]!YBHIST("FHLMC 30YR Cur Coup (BE)",$A83,"Yield","bmk","")</f>
        <v>2.4420000000000002</v>
      </c>
      <c r="P83" s="2">
        <f>[1]!YBHIST("GNMA 30YR Cur Coup (BE)",$A83,"Yield","bmk","")</f>
        <v>2.31</v>
      </c>
      <c r="Q83" s="2">
        <f>[1]!YBHIST("Primary 30-Yr Mtg Rate",$A83,"Yield","bmk","")</f>
        <v>3.6949999999999998</v>
      </c>
      <c r="R83" s="2">
        <f>[1]!YBHIST("FHLM 30-Yr Survey Rate",$A83,"Yield","bmk","")</f>
        <v>3.59</v>
      </c>
      <c r="S83" s="6">
        <f>[1]!YBHIST("Base Mortgage Rate",$A83,"Yield","bmk","")</f>
        <v>2.7330000000000001</v>
      </c>
      <c r="T83" s="18">
        <f>[1]!YBHIST("FNMA 30YR Cur Coup (BE)",$A83,"LMMOAS","bmk","")</f>
        <v>18.063299000000001</v>
      </c>
      <c r="U83" s="19">
        <f>[1]!YBHIST("FHLMC 30YR Cur Coup (BE)",$A83,"LMMOAS","bmk","")</f>
        <v>22.718499999999999</v>
      </c>
      <c r="V83" s="19">
        <f>[1]!YBHIST("GNMA 30YR Cur Coup (BE)",$A83,"LMMOAS","bmk","")</f>
        <v>1.7000000000000001E-2</v>
      </c>
      <c r="W83" s="20">
        <f t="shared" si="6"/>
        <v>80.199999999999989</v>
      </c>
      <c r="X83" s="20">
        <f t="shared" si="7"/>
        <v>80.199999999999989</v>
      </c>
      <c r="Y83" s="20">
        <f t="shared" si="8"/>
        <v>84.800000000000011</v>
      </c>
      <c r="Z83" s="25">
        <f>[1]!YBHIST("FNMA3.0-GEN",$A83,"Price","tba","")</f>
        <v>103.710938</v>
      </c>
      <c r="AA83" s="2">
        <f>[1]!YBHIST("FNMA3.5-GEN",$A83,"Price","tba","")</f>
        <v>106.039062</v>
      </c>
      <c r="AB83" s="2">
        <f>[1]!YBHIST("FNMA4.0-GEN",$A83,"Price","tba","")</f>
        <v>107.242188</v>
      </c>
      <c r="AC83" s="2">
        <f>[1]!YBHIST("FNMA4.5-GEN",$A83,"Price","tba","")</f>
        <v>108.21875</v>
      </c>
      <c r="AD83" s="2">
        <f>[1]!YBHIST("FNMA5.0-GEN",$A83,"Price","tba","")</f>
        <v>109.320312</v>
      </c>
      <c r="AE83" s="2">
        <f>[1]!YBHIST("FNMA5.5-GEN",$A83,"Price","tba","")</f>
        <v>109.75</v>
      </c>
      <c r="AF83" s="6">
        <f>[1]!YBHIST("FNMA6.0-GEN",$A83,"Price","tba","")</f>
        <v>110.203125</v>
      </c>
      <c r="AG83" s="2">
        <f>[1]!YBHIST("FNMA3.0-GEN",$A83,"Yield","tba","")</f>
        <v>2.1819999999999999</v>
      </c>
      <c r="AH83" s="2">
        <f>[1]!YBHIST("FNMA3.5-GEN",$A83,"Yield","tba","")</f>
        <v>1.7609999999999999</v>
      </c>
      <c r="AI83" s="2">
        <f>[1]!YBHIST("FNMA4.0-GEN",$A83,"Yield","tba","")</f>
        <v>1.526</v>
      </c>
      <c r="AJ83" s="2">
        <f>[1]!YBHIST("FNMA4.5-GEN",$A83,"Yield","tba","")</f>
        <v>1.4039999999999999</v>
      </c>
      <c r="AK83" s="2">
        <f>[1]!YBHIST("FNMA5.0-GEN",$A83,"Yield","tba","")</f>
        <v>0.41099999999999998</v>
      </c>
      <c r="AL83" s="2">
        <f>[1]!YBHIST("FNMA5.5-GEN",$A83,"Yield","tba","")</f>
        <v>0.60799999999999998</v>
      </c>
      <c r="AM83" s="6">
        <f>[1]!YBHIST("FNMA6.0-GEN",$A83,"Yield","tba","")</f>
        <v>0.25900000000000001</v>
      </c>
      <c r="AN83" s="3">
        <f>[1]!YBHIST(AN$4,$A83,"Price","sec","")</f>
        <v>14.75</v>
      </c>
      <c r="AO83" s="2">
        <f>[1]!YBHIST(AO$4,$A83,"Price","sec","")</f>
        <v>15.531000000000001</v>
      </c>
      <c r="AP83" s="2">
        <f>[1]!YBHIST(AP$4,$A83,"Price","sec","")</f>
        <v>12.984</v>
      </c>
      <c r="AQ83" s="2">
        <f>[1]!YBHIST(AQ$4,$A83,"Price","sec","")</f>
        <v>16.187999999999999</v>
      </c>
      <c r="AR83" s="2">
        <f>[1]!YBHIST(AR$4,$A83,"Price","sec","")</f>
        <v>13.734</v>
      </c>
      <c r="AS83" s="2">
        <f>[1]!YBHIST(AS$4,$A83,"Price","sec","")</f>
        <v>19.483999000000001</v>
      </c>
      <c r="AT83" s="2">
        <f>[1]!YBHIST(AT$4,$A83,"Price","sec","")</f>
        <v>17.155999999999999</v>
      </c>
      <c r="AU83" s="2">
        <f>[1]!YBHIST(AU$4,$A83,"Price","sec","")</f>
        <v>12.297000000000001</v>
      </c>
      <c r="AV83" s="2">
        <f>[1]!YBHIST(AV$4,$A83,"Price","sec","")</f>
        <v>14.218999999999999</v>
      </c>
      <c r="AW83" s="2">
        <f>[1]!YBHIST(AW$4,$A83,"Price","sec","")</f>
        <v>14</v>
      </c>
      <c r="AX83" s="2">
        <f>[1]!YBHIST(AX$4,$A83,"Price","sec","")</f>
        <v>12.406000000000001</v>
      </c>
      <c r="AY83" s="2">
        <f>[1]!YBHIST(AY$4,$A83,"Price","sec","")</f>
        <v>15.281000000000001</v>
      </c>
      <c r="AZ83" s="2">
        <f>[1]!YBHIST(AZ$4,$A83,"Price","sec","")</f>
        <v>14.734</v>
      </c>
      <c r="BA83" s="2">
        <f>[1]!YBHIST(BA$4,$A83,"Price","sec","")</f>
        <v>14.093999999999999</v>
      </c>
      <c r="BB83" s="2">
        <f>[1]!YBHIST(BB$4,$A83,"Price","sec","")</f>
        <v>17.844000000000001</v>
      </c>
      <c r="BC83" s="2">
        <f>[1]!YBHIST(BC$4,$A83,"Price","sec","")</f>
        <v>18.655999999999999</v>
      </c>
      <c r="BD83" s="2">
        <f>[1]!YBHIST(BD$4,$A83,"Price","sec","")</f>
        <v>18.547001000000002</v>
      </c>
      <c r="BE83" s="6">
        <f>[1]!YBHIST(BE$4,$A83,"Price","sec","")</f>
        <v>18.797001000000002</v>
      </c>
      <c r="BF83" s="20">
        <f>[1]!YBHIST(BF$4,$A83,"LMMOAS","sec","")</f>
        <v>182.98890700000001</v>
      </c>
      <c r="BG83" s="20">
        <f>[1]!YBHIST(BG$4,$A83,"LMMOAS","sec","")</f>
        <v>192.996994</v>
      </c>
      <c r="BH83" s="20">
        <f>[1]!YBHIST(BH$4,$A83,"LMMOAS","sec","")</f>
        <v>205.46650700000001</v>
      </c>
      <c r="BI83" s="20">
        <f>[1]!YBHIST(BI$4,$A83,"LMMOAS","sec","")</f>
        <v>318.27020299999998</v>
      </c>
      <c r="BJ83" s="20">
        <f>[1]!YBHIST(BJ$4,$A83,"LMMOAS","sec","")</f>
        <v>298.08599900000002</v>
      </c>
      <c r="BK83" s="20">
        <f>[1]!YBHIST(BK$4,$A83,"LMMOAS","sec","")</f>
        <v>299.29888899999997</v>
      </c>
      <c r="BL83" s="20">
        <f>[1]!YBHIST(BL$4,$A83,"LMMOAS","sec","")</f>
        <v>310.98370399999999</v>
      </c>
      <c r="BM83" s="20">
        <f>[1]!YBHIST(BM$4,$A83,"LMMOAS","sec","")</f>
        <v>-134.905396</v>
      </c>
      <c r="BN83" s="20">
        <f>[1]!YBHIST(BN$4,$A83,"LMMOAS","sec","")</f>
        <v>152.86180100000001</v>
      </c>
      <c r="BO83" s="20">
        <f>[1]!YBHIST(BO$4,$A83,"LMMOAS","sec","")</f>
        <v>303.02819799999997</v>
      </c>
      <c r="BP83" s="20">
        <f>[1]!YBHIST(BP$4,$A83,"LMMOAS","sec","")</f>
        <v>240.641098</v>
      </c>
      <c r="BQ83" s="20">
        <f>[1]!YBHIST(BQ$4,$A83,"LMMOAS","sec","")</f>
        <v>553.66131600000006</v>
      </c>
      <c r="BR83" s="20">
        <f>[1]!YBHIST(BR$4,$A83,"LMMOAS","sec","")</f>
        <v>644.38317900000004</v>
      </c>
      <c r="BS83" s="20">
        <f>[1]!YBHIST(BS$4,$A83,"LMMOAS","sec","")</f>
        <v>321.29480000000001</v>
      </c>
      <c r="BT83" s="20">
        <f>[1]!YBHIST(BT$4,$A83,"LMMOAS","sec","")</f>
        <v>351.11120599999998</v>
      </c>
      <c r="BU83" s="20">
        <f>[1]!YBHIST(BU$4,$A83,"LMMOAS","sec","")</f>
        <v>242.55839499999999</v>
      </c>
      <c r="BV83" s="20">
        <f>[1]!YBHIST(BV$4,$A83,"LMMOAS","sec","")</f>
        <v>325.96209700000003</v>
      </c>
      <c r="BW83" s="20">
        <f>[1]!YBHIST(BW$4,$A83,"LMMOAS","sec","")</f>
        <v>390.68289199999998</v>
      </c>
      <c r="BX83" s="5"/>
      <c r="BY83" s="1"/>
      <c r="BZ83" s="1"/>
    </row>
    <row r="84" spans="1:78" x14ac:dyDescent="0.25">
      <c r="A84" s="14">
        <f>[1]!YBWORKDAY(A$26,-1*(ROW()-ROW(A$26)),"USD","")</f>
        <v>41156</v>
      </c>
      <c r="B84" s="3">
        <f>[1]!YBHIST("2 Year Treasury",$A84,"Price","govt","")</f>
        <v>100.030998</v>
      </c>
      <c r="C84" s="2">
        <f>[1]!YBHIST("5 Year Treasury",$A84,"Price","govt","")</f>
        <v>100.023003</v>
      </c>
      <c r="D84" s="2">
        <f>[1]!YBHIST("10 Year Treasury",$A84,"Price","govt","")</f>
        <v>100.405998</v>
      </c>
      <c r="E84" s="6">
        <f>[1]!YBHIST("30 Year Treasury",$A84,"Price","govt","")</f>
        <v>101.23400100000001</v>
      </c>
      <c r="F84" s="3">
        <f>[1]!YBHIST("2 Year Treasury",$A84,"YldtoMat","govt","")</f>
        <v>0.23400000000000001</v>
      </c>
      <c r="G84" s="2">
        <f>[1]!YBHIST("5 Year Treasury",$A84,"YldtoMat","govt","")</f>
        <v>0.62</v>
      </c>
      <c r="H84" s="2">
        <f>[1]!YBHIST("10 Year Treasury",$A84,"YldtoMat","govt","")</f>
        <v>1.581</v>
      </c>
      <c r="I84" s="6">
        <f>[1]!YBHIST("30 Year Treasury",$A84,"YldtoMat","govt","")</f>
        <v>2.69</v>
      </c>
      <c r="J84" s="3">
        <f>[1]!YBHIST("2yr Swap Rate",$A84,"YldtoMat","swapvol","")</f>
        <v>0.39740500000000001</v>
      </c>
      <c r="K84" s="2">
        <f>[1]!YBHIST("5yr Swap Rate",$A84,"YldtoMat","swapvol","")</f>
        <v>0.78520699999999999</v>
      </c>
      <c r="L84" s="2">
        <f>[1]!YBHIST("10yr Swap Rate",$A84,"YldtoMat","swapvol","")</f>
        <v>1.6820219999999999</v>
      </c>
      <c r="M84" s="6">
        <f>[1]!YBHIST("30yr Swap Rate",$A84,"YldtoMat","swapvol","")</f>
        <v>2.4842379999999999</v>
      </c>
      <c r="N84" s="3">
        <f>[1]!YBHIST("FNMA 30YR Cur Coup (BE)",$A84,"Yield","bmk","")</f>
        <v>2.3839999999999999</v>
      </c>
      <c r="O84" s="2">
        <f>[1]!YBHIST("FHLMC 30YR Cur Coup (BE)",$A84,"Yield","bmk","")</f>
        <v>2.4300000000000002</v>
      </c>
      <c r="P84" s="2">
        <f>[1]!YBHIST("GNMA 30YR Cur Coup (BE)",$A84,"Yield","bmk","")</f>
        <v>2.298</v>
      </c>
      <c r="Q84" s="2">
        <f>[1]!YBHIST("Primary 30-Yr Mtg Rate",$A84,"Yield","bmk","")</f>
        <v>3.6838000000000002</v>
      </c>
      <c r="R84" s="2">
        <f>[1]!YBHIST("FHLM 30-Yr Survey Rate",$A84,"Yield","bmk","")</f>
        <v>3.59</v>
      </c>
      <c r="S84" s="6">
        <f>[1]!YBHIST("Base Mortgage Rate",$A84,"Yield","bmk","")</f>
        <v>2.722</v>
      </c>
      <c r="T84" s="18">
        <f>[1]!YBHIST("FNMA 30YR Cur Coup (BE)",$A84,"LMMOAS","bmk","")</f>
        <v>16.9132</v>
      </c>
      <c r="U84" s="19">
        <f>[1]!YBHIST("FHLMC 30YR Cur Coup (BE)",$A84,"LMMOAS","bmk","")</f>
        <v>21.588799999999999</v>
      </c>
      <c r="V84" s="19">
        <f>[1]!YBHIST("GNMA 30YR Cur Coup (BE)",$A84,"LMMOAS","bmk","")</f>
        <v>-1.3406</v>
      </c>
      <c r="W84" s="20">
        <f t="shared" si="6"/>
        <v>80.3</v>
      </c>
      <c r="X84" s="20">
        <f t="shared" si="7"/>
        <v>80.3</v>
      </c>
      <c r="Y84" s="20">
        <f t="shared" si="8"/>
        <v>84.90000000000002</v>
      </c>
      <c r="Z84" s="25">
        <f>[1]!YBHIST("FNMA3.0-GEN",$A84,"Price","tba","")</f>
        <v>103.742188</v>
      </c>
      <c r="AA84" s="2">
        <f>[1]!YBHIST("FNMA3.5-GEN",$A84,"Price","tba","")</f>
        <v>106.03125</v>
      </c>
      <c r="AB84" s="2">
        <f>[1]!YBHIST("FNMA4.0-GEN",$A84,"Price","tba","")</f>
        <v>107.234375</v>
      </c>
      <c r="AC84" s="2">
        <f>[1]!YBHIST("FNMA4.5-GEN",$A84,"Price","tba","")</f>
        <v>108.210938</v>
      </c>
      <c r="AD84" s="2">
        <f>[1]!YBHIST("FNMA5.0-GEN",$A84,"Price","tba","")</f>
        <v>109.242188</v>
      </c>
      <c r="AE84" s="2">
        <f>[1]!YBHIST("FNMA5.5-GEN",$A84,"Price","tba","")</f>
        <v>109.71875</v>
      </c>
      <c r="AF84" s="6">
        <f>[1]!YBHIST("FNMA6.0-GEN",$A84,"Price","tba","")</f>
        <v>110.171875</v>
      </c>
      <c r="AG84" s="2">
        <f>[1]!YBHIST("FNMA3.0-GEN",$A84,"Yield","tba","")</f>
        <v>2.169</v>
      </c>
      <c r="AH84" s="2">
        <f>[1]!YBHIST("FNMA3.5-GEN",$A84,"Yield","tba","")</f>
        <v>1.752</v>
      </c>
      <c r="AI84" s="2">
        <f>[1]!YBHIST("FNMA4.0-GEN",$A84,"Yield","tba","")</f>
        <v>1.5169999999999999</v>
      </c>
      <c r="AJ84" s="2">
        <f>[1]!YBHIST("FNMA4.5-GEN",$A84,"Yield","tba","")</f>
        <v>1.397</v>
      </c>
      <c r="AK84" s="2">
        <f>[1]!YBHIST("FNMA5.0-GEN",$A84,"Yield","tba","")</f>
        <v>0.434</v>
      </c>
      <c r="AL84" s="2">
        <f>[1]!YBHIST("FNMA5.5-GEN",$A84,"Yield","tba","")</f>
        <v>0.61299999999999999</v>
      </c>
      <c r="AM84" s="6">
        <f>[1]!YBHIST("FNMA6.0-GEN",$A84,"Yield","tba","")</f>
        <v>0.26700000000000002</v>
      </c>
      <c r="AN84" s="3">
        <f>[1]!YBHIST(AN$4,$A84,"Price","sec","")</f>
        <v>14.734</v>
      </c>
      <c r="AO84" s="2">
        <f>[1]!YBHIST(AO$4,$A84,"Price","sec","")</f>
        <v>15.531000000000001</v>
      </c>
      <c r="AP84" s="2">
        <f>[1]!YBHIST(AP$4,$A84,"Price","sec","")</f>
        <v>12.984</v>
      </c>
      <c r="AQ84" s="2">
        <f>[1]!YBHIST(AQ$4,$A84,"Price","sec","")</f>
        <v>16.202998999999998</v>
      </c>
      <c r="AR84" s="2">
        <f>[1]!YBHIST(AR$4,$A84,"Price","sec","")</f>
        <v>13.75</v>
      </c>
      <c r="AS84" s="2">
        <f>[1]!YBHIST(AS$4,$A84,"Price","sec","")</f>
        <v>19.5</v>
      </c>
      <c r="AT84" s="2">
        <f>[1]!YBHIST(AT$4,$A84,"Price","sec","")</f>
        <v>17.172001000000002</v>
      </c>
      <c r="AU84" s="2">
        <f>[1]!YBHIST(AU$4,$A84,"Price","sec","")</f>
        <v>12.311999999999999</v>
      </c>
      <c r="AV84" s="2">
        <f>[1]!YBHIST(AV$4,$A84,"Price","sec","")</f>
        <v>14.234</v>
      </c>
      <c r="AW84" s="2">
        <f>[1]!YBHIST(AW$4,$A84,"Price","sec","")</f>
        <v>14.016</v>
      </c>
      <c r="AX84" s="2">
        <f>[1]!YBHIST(AX$4,$A84,"Price","sec","")</f>
        <v>12.406000000000001</v>
      </c>
      <c r="AY84" s="2">
        <f>[1]!YBHIST(AY$4,$A84,"Price","sec","")</f>
        <v>15.266</v>
      </c>
      <c r="AZ84" s="2">
        <f>[1]!YBHIST(AZ$4,$A84,"Price","sec","")</f>
        <v>14.718999999999999</v>
      </c>
      <c r="BA84" s="2">
        <f>[1]!YBHIST(BA$4,$A84,"Price","sec","")</f>
        <v>14.093999999999999</v>
      </c>
      <c r="BB84" s="2">
        <f>[1]!YBHIST(BB$4,$A84,"Price","sec","")</f>
        <v>17.891000999999999</v>
      </c>
      <c r="BC84" s="2">
        <f>[1]!YBHIST(BC$4,$A84,"Price","sec","")</f>
        <v>18.641000999999999</v>
      </c>
      <c r="BD84" s="2">
        <f>[1]!YBHIST(BD$4,$A84,"Price","sec","")</f>
        <v>18.530999999999999</v>
      </c>
      <c r="BE84" s="6">
        <f>[1]!YBHIST(BE$4,$A84,"Price","sec","")</f>
        <v>18.780999999999999</v>
      </c>
      <c r="BF84" s="20">
        <f>[1]!YBHIST(BF$4,$A84,"LMMOAS","sec","")</f>
        <v>169.230301</v>
      </c>
      <c r="BG84" s="20">
        <f>[1]!YBHIST(BG$4,$A84,"LMMOAS","sec","")</f>
        <v>178.49380500000001</v>
      </c>
      <c r="BH84" s="20">
        <f>[1]!YBHIST(BH$4,$A84,"LMMOAS","sec","")</f>
        <v>190.57380699999999</v>
      </c>
      <c r="BI84" s="20">
        <f>[1]!YBHIST(BI$4,$A84,"LMMOAS","sec","")</f>
        <v>302.72430400000002</v>
      </c>
      <c r="BJ84" s="20">
        <f>[1]!YBHIST(BJ$4,$A84,"LMMOAS","sec","")</f>
        <v>282.31601000000001</v>
      </c>
      <c r="BK84" s="20">
        <f>[1]!YBHIST(BK$4,$A84,"LMMOAS","sec","")</f>
        <v>287.432098</v>
      </c>
      <c r="BL84" s="20">
        <f>[1]!YBHIST(BL$4,$A84,"LMMOAS","sec","")</f>
        <v>298.21038800000002</v>
      </c>
      <c r="BM84" s="20">
        <f>[1]!YBHIST(BM$4,$A84,"LMMOAS","sec","")</f>
        <v>-145.60969499999999</v>
      </c>
      <c r="BN84" s="20">
        <f>[1]!YBHIST(BN$4,$A84,"LMMOAS","sec","")</f>
        <v>142.560104</v>
      </c>
      <c r="BO84" s="20">
        <f>[1]!YBHIST(BO$4,$A84,"LMMOAS","sec","")</f>
        <v>293.40701300000001</v>
      </c>
      <c r="BP84" s="20">
        <f>[1]!YBHIST(BP$4,$A84,"LMMOAS","sec","")</f>
        <v>234.821594</v>
      </c>
      <c r="BQ84" s="20">
        <f>[1]!YBHIST(BQ$4,$A84,"LMMOAS","sec","")</f>
        <v>550.51300000000003</v>
      </c>
      <c r="BR84" s="20">
        <f>[1]!YBHIST(BR$4,$A84,"LMMOAS","sec","")</f>
        <v>642.98071300000004</v>
      </c>
      <c r="BS84" s="20">
        <f>[1]!YBHIST(BS$4,$A84,"LMMOAS","sec","")</f>
        <v>317.02410900000001</v>
      </c>
      <c r="BT84" s="20">
        <f>[1]!YBHIST(BT$4,$A84,"LMMOAS","sec","")</f>
        <v>340.16409299999998</v>
      </c>
      <c r="BU84" s="20">
        <f>[1]!YBHIST(BU$4,$A84,"LMMOAS","sec","")</f>
        <v>230.34049999999999</v>
      </c>
      <c r="BV84" s="20">
        <f>[1]!YBHIST(BV$4,$A84,"LMMOAS","sec","")</f>
        <v>315.24648999999999</v>
      </c>
      <c r="BW84" s="20">
        <f>[1]!YBHIST(BW$4,$A84,"LMMOAS","sec","")</f>
        <v>382.09860200000003</v>
      </c>
      <c r="BX84" s="5"/>
      <c r="BY84" s="1"/>
      <c r="BZ84" s="1"/>
    </row>
    <row r="85" spans="1:78" x14ac:dyDescent="0.25">
      <c r="A85" s="14">
        <f>[1]!YBWORKDAY(A$26,-1*(ROW()-ROW(A$26)),"USD","")</f>
        <v>41152</v>
      </c>
      <c r="B85" s="3">
        <f>[1]!YBHIST("2 Year Treasury",$A85,"Price","govt","")</f>
        <v>100.046997</v>
      </c>
      <c r="C85" s="2">
        <f>[1]!YBHIST("5 Year Treasury",$A85,"Price","govt","")</f>
        <v>100.148003</v>
      </c>
      <c r="D85" s="2">
        <f>[1]!YBHIST("10 Year Treasury",$A85,"Price","govt","")</f>
        <v>100.56300400000001</v>
      </c>
      <c r="E85" s="6">
        <f>[1]!YBHIST("30 Year Treasury",$A85,"Price","govt","")</f>
        <v>101.328003</v>
      </c>
      <c r="F85" s="3">
        <f>[1]!YBHIST("2 Year Treasury",$A85,"YldtoMat","govt","")</f>
        <v>0.22600000000000001</v>
      </c>
      <c r="G85" s="2">
        <f>[1]!YBHIST("5 Year Treasury",$A85,"YldtoMat","govt","")</f>
        <v>0.59499999999999997</v>
      </c>
      <c r="H85" s="2">
        <f>[1]!YBHIST("10 Year Treasury",$A85,"YldtoMat","govt","")</f>
        <v>1.5640000000000001</v>
      </c>
      <c r="I85" s="6">
        <f>[1]!YBHIST("30 Year Treasury",$A85,"YldtoMat","govt","")</f>
        <v>2.6850000000000001</v>
      </c>
      <c r="J85" s="3">
        <f>[1]!YBHIST("2yr Swap Rate",$A85,"YldtoMat","swapvol","")</f>
        <v>0.39863500000000002</v>
      </c>
      <c r="K85" s="2">
        <f>[1]!YBHIST("5yr Swap Rate",$A85,"YldtoMat","swapvol","")</f>
        <v>0.76997000000000004</v>
      </c>
      <c r="L85" s="2">
        <f>[1]!YBHIST("10yr Swap Rate",$A85,"YldtoMat","swapvol","")</f>
        <v>1.671219</v>
      </c>
      <c r="M85" s="6">
        <f>[1]!YBHIST("30yr Swap Rate",$A85,"YldtoMat","swapvol","")</f>
        <v>2.476604</v>
      </c>
      <c r="N85" s="3">
        <f>[1]!YBHIST("FNMA 30YR Cur Coup (BE)",$A85,"Yield","bmk","")</f>
        <v>2.3679999999999999</v>
      </c>
      <c r="O85" s="2">
        <f>[1]!YBHIST("FHLMC 30YR Cur Coup (BE)",$A85,"Yield","bmk","")</f>
        <v>2.4140000000000001</v>
      </c>
      <c r="P85" s="2">
        <f>[1]!YBHIST("GNMA 30YR Cur Coup (BE)",$A85,"Yield","bmk","")</f>
        <v>2.282</v>
      </c>
      <c r="Q85" s="2">
        <f>[1]!YBHIST("Primary 30-Yr Mtg Rate",$A85,"Yield","bmk","")</f>
        <v>3.6709000000000001</v>
      </c>
      <c r="R85" s="2">
        <f>[1]!YBHIST("FHLM 30-Yr Survey Rate",$A85,"Yield","bmk","")</f>
        <v>3.59</v>
      </c>
      <c r="S85" s="6">
        <f>[1]!YBHIST("Base Mortgage Rate",$A85,"Yield","bmk","")</f>
        <v>2.7090000000000001</v>
      </c>
      <c r="T85" s="18">
        <f>[1]!YBHIST("FNMA 30YR Cur Coup (BE)",$A85,"LMMOAS","bmk","")</f>
        <v>15.8939</v>
      </c>
      <c r="U85" s="19">
        <f>[1]!YBHIST("FHLMC 30YR Cur Coup (BE)",$A85,"LMMOAS","bmk","")</f>
        <v>20.595800000000001</v>
      </c>
      <c r="V85" s="19">
        <f>[1]!YBHIST("GNMA 30YR Cur Coup (BE)",$A85,"LMMOAS","bmk","")</f>
        <v>-2.8656999999999999</v>
      </c>
      <c r="W85" s="20">
        <f t="shared" si="6"/>
        <v>80.399999999999977</v>
      </c>
      <c r="X85" s="20">
        <f t="shared" si="7"/>
        <v>80.399999999999977</v>
      </c>
      <c r="Y85" s="20">
        <f t="shared" si="8"/>
        <v>85.000000000000014</v>
      </c>
      <c r="Z85" s="25">
        <f>[1]!YBHIST("FNMA3.0-GEN",$A85,"Price","tba","")</f>
        <v>103.773438</v>
      </c>
      <c r="AA85" s="2">
        <f>[1]!YBHIST("FNMA3.5-GEN",$A85,"Price","tba","")</f>
        <v>106.03125</v>
      </c>
      <c r="AB85" s="2">
        <f>[1]!YBHIST("FNMA4.0-GEN",$A85,"Price","tba","")</f>
        <v>107.21875</v>
      </c>
      <c r="AC85" s="2">
        <f>[1]!YBHIST("FNMA4.5-GEN",$A85,"Price","tba","")</f>
        <v>108.203125</v>
      </c>
      <c r="AD85" s="2">
        <f>[1]!YBHIST("FNMA5.0-GEN",$A85,"Price","tba","")</f>
        <v>109.203125</v>
      </c>
      <c r="AE85" s="2">
        <f>[1]!YBHIST("FNMA5.5-GEN",$A85,"Price","tba","")</f>
        <v>109.6875</v>
      </c>
      <c r="AF85" s="6">
        <f>[1]!YBHIST("FNMA6.0-GEN",$A85,"Price","tba","")</f>
        <v>110.15625</v>
      </c>
      <c r="AG85" s="2">
        <f>[1]!YBHIST("FNMA3.0-GEN",$A85,"Yield","tba","")</f>
        <v>2.1539999999999999</v>
      </c>
      <c r="AH85" s="2">
        <f>[1]!YBHIST("FNMA3.5-GEN",$A85,"Yield","tba","")</f>
        <v>1.7370000000000001</v>
      </c>
      <c r="AI85" s="2">
        <f>[1]!YBHIST("FNMA4.0-GEN",$A85,"Yield","tba","")</f>
        <v>1.506</v>
      </c>
      <c r="AJ85" s="2">
        <f>[1]!YBHIST("FNMA4.5-GEN",$A85,"Yield","tba","")</f>
        <v>1.3839999999999999</v>
      </c>
      <c r="AK85" s="2">
        <f>[1]!YBHIST("FNMA5.0-GEN",$A85,"Yield","tba","")</f>
        <v>0.435</v>
      </c>
      <c r="AL85" s="2">
        <f>[1]!YBHIST("FNMA5.5-GEN",$A85,"Yield","tba","")</f>
        <v>0.61499999999999999</v>
      </c>
      <c r="AM85" s="6">
        <f>[1]!YBHIST("FNMA6.0-GEN",$A85,"Yield","tba","")</f>
        <v>0.26500000000000001</v>
      </c>
      <c r="AN85" s="3">
        <f>[1]!YBHIST(AN$4,$A85,"Price","sec","")</f>
        <v>14.734</v>
      </c>
      <c r="AO85" s="2">
        <f>[1]!YBHIST(AO$4,$A85,"Price","sec","")</f>
        <v>15.561999999999999</v>
      </c>
      <c r="AP85" s="2">
        <f>[1]!YBHIST(AP$4,$A85,"Price","sec","")</f>
        <v>13</v>
      </c>
      <c r="AQ85" s="2">
        <f>[1]!YBHIST(AQ$4,$A85,"Price","sec","")</f>
        <v>16.25</v>
      </c>
      <c r="AR85" s="2">
        <f>[1]!YBHIST(AR$4,$A85,"Price","sec","")</f>
        <v>13.781000000000001</v>
      </c>
      <c r="AS85" s="2">
        <f>[1]!YBHIST(AS$4,$A85,"Price","sec","")</f>
        <v>19.530999999999999</v>
      </c>
      <c r="AT85" s="2">
        <f>[1]!YBHIST(AT$4,$A85,"Price","sec","")</f>
        <v>17.202998999999998</v>
      </c>
      <c r="AU85" s="2">
        <f>[1]!YBHIST(AU$4,$A85,"Price","sec","")</f>
        <v>12.343999999999999</v>
      </c>
      <c r="AV85" s="2">
        <f>[1]!YBHIST(AV$4,$A85,"Price","sec","")</f>
        <v>14.281000000000001</v>
      </c>
      <c r="AW85" s="2">
        <f>[1]!YBHIST(AW$4,$A85,"Price","sec","")</f>
        <v>14.061999999999999</v>
      </c>
      <c r="AX85" s="2">
        <f>[1]!YBHIST(AX$4,$A85,"Price","sec","")</f>
        <v>12.422000000000001</v>
      </c>
      <c r="AY85" s="2">
        <f>[1]!YBHIST(AY$4,$A85,"Price","sec","")</f>
        <v>15.281000000000001</v>
      </c>
      <c r="AZ85" s="2">
        <f>[1]!YBHIST(AZ$4,$A85,"Price","sec","")</f>
        <v>14.734</v>
      </c>
      <c r="BA85" s="2">
        <f>[1]!YBHIST(BA$4,$A85,"Price","sec","")</f>
        <v>14.093999999999999</v>
      </c>
      <c r="BB85" s="2">
        <f>[1]!YBHIST(BB$4,$A85,"Price","sec","")</f>
        <v>17.905999999999999</v>
      </c>
      <c r="BC85" s="2">
        <f>[1]!YBHIST(BC$4,$A85,"Price","sec","")</f>
        <v>18.625</v>
      </c>
      <c r="BD85" s="2">
        <f>[1]!YBHIST(BD$4,$A85,"Price","sec","")</f>
        <v>18.530999999999999</v>
      </c>
      <c r="BE85" s="6">
        <f>[1]!YBHIST(BE$4,$A85,"Price","sec","")</f>
        <v>18.780999999999999</v>
      </c>
      <c r="BF85" s="20">
        <f>[1]!YBHIST(BF$4,$A85,"LMMOAS","sec","")</f>
        <v>148.115005</v>
      </c>
      <c r="BG85" s="20">
        <f>[1]!YBHIST(BG$4,$A85,"LMMOAS","sec","")</f>
        <v>153.28010599999999</v>
      </c>
      <c r="BH85" s="20">
        <f>[1]!YBHIST(BH$4,$A85,"LMMOAS","sec","")</f>
        <v>168.24800099999999</v>
      </c>
      <c r="BI85" s="20">
        <f>[1]!YBHIST(BI$4,$A85,"LMMOAS","sec","")</f>
        <v>274.91799900000001</v>
      </c>
      <c r="BJ85" s="20">
        <f>[1]!YBHIST(BJ$4,$A85,"LMMOAS","sec","")</f>
        <v>259.87341300000003</v>
      </c>
      <c r="BK85" s="20">
        <f>[1]!YBHIST(BK$4,$A85,"LMMOAS","sec","")</f>
        <v>268.55429099999998</v>
      </c>
      <c r="BL85" s="20">
        <f>[1]!YBHIST(BL$4,$A85,"LMMOAS","sec","")</f>
        <v>276.823486</v>
      </c>
      <c r="BM85" s="20">
        <f>[1]!YBHIST(BM$4,$A85,"LMMOAS","sec","")</f>
        <v>-158.28450000000001</v>
      </c>
      <c r="BN85" s="20">
        <f>[1]!YBHIST(BN$4,$A85,"LMMOAS","sec","")</f>
        <v>127.185699</v>
      </c>
      <c r="BO85" s="20">
        <f>[1]!YBHIST(BO$4,$A85,"LMMOAS","sec","")</f>
        <v>274.40829500000001</v>
      </c>
      <c r="BP85" s="20">
        <f>[1]!YBHIST(BP$4,$A85,"LMMOAS","sec","")</f>
        <v>227.11979700000001</v>
      </c>
      <c r="BQ85" s="20">
        <f>[1]!YBHIST(BQ$4,$A85,"LMMOAS","sec","")</f>
        <v>542.33081100000004</v>
      </c>
      <c r="BR85" s="20">
        <f>[1]!YBHIST(BR$4,$A85,"LMMOAS","sec","")</f>
        <v>631.37548800000002</v>
      </c>
      <c r="BS85" s="20">
        <f>[1]!YBHIST(BS$4,$A85,"LMMOAS","sec","")</f>
        <v>315.27560399999999</v>
      </c>
      <c r="BT85" s="20">
        <f>[1]!YBHIST(BT$4,$A85,"LMMOAS","sec","")</f>
        <v>337.41210899999999</v>
      </c>
      <c r="BU85" s="20">
        <f>[1]!YBHIST(BU$4,$A85,"LMMOAS","sec","")</f>
        <v>213.42460600000001</v>
      </c>
      <c r="BV85" s="20">
        <f>[1]!YBHIST(BV$4,$A85,"LMMOAS","sec","")</f>
        <v>301.21551499999998</v>
      </c>
      <c r="BW85" s="20">
        <f>[1]!YBHIST(BW$4,$A85,"LMMOAS","sec","")</f>
        <v>373.297302</v>
      </c>
      <c r="BX85" s="5"/>
      <c r="BY85" s="1"/>
      <c r="BZ85" s="1"/>
    </row>
    <row r="86" spans="1:78" x14ac:dyDescent="0.25">
      <c r="A86" s="14">
        <f>[1]!YBWORKDAY(A$26,-1*(ROW()-ROW(A$26)),"USD","")</f>
        <v>41151</v>
      </c>
      <c r="B86" s="3">
        <f>[1]!YBHIST("2 Year Treasury",$A86,"Price","govt","")</f>
        <v>99.984001000000006</v>
      </c>
      <c r="C86" s="2">
        <f>[1]!YBHIST("5 Year Treasury",$A86,"Price","govt","")</f>
        <v>99.835999000000001</v>
      </c>
      <c r="D86" s="2">
        <f>[1]!YBHIST("10 Year Treasury",$A86,"Price","govt","")</f>
        <v>100.06300400000001</v>
      </c>
      <c r="E86" s="6">
        <f>[1]!YBHIST("30 Year Treasury",$A86,"Price","govt","")</f>
        <v>100.25</v>
      </c>
      <c r="F86" s="3">
        <f>[1]!YBHIST("2 Year Treasury",$A86,"YldtoMat","govt","")</f>
        <v>0.25800000000000001</v>
      </c>
      <c r="G86" s="2">
        <f>[1]!YBHIST("5 Year Treasury",$A86,"YldtoMat","govt","")</f>
        <v>0.65800000000000003</v>
      </c>
      <c r="H86" s="2">
        <f>[1]!YBHIST("10 Year Treasury",$A86,"YldtoMat","govt","")</f>
        <v>1.6180000000000001</v>
      </c>
      <c r="I86" s="6">
        <f>[1]!YBHIST("30 Year Treasury",$A86,"YldtoMat","govt","")</f>
        <v>2.738</v>
      </c>
      <c r="J86" s="3">
        <f>[1]!YBHIST("2yr Swap Rate",$A86,"YldtoMat","swapvol","")</f>
        <v>0.42798599999999998</v>
      </c>
      <c r="K86" s="2">
        <f>[1]!YBHIST("5yr Swap Rate",$A86,"YldtoMat","swapvol","")</f>
        <v>0.83601000000000003</v>
      </c>
      <c r="L86" s="2">
        <f>[1]!YBHIST("10yr Swap Rate",$A86,"YldtoMat","swapvol","")</f>
        <v>1.7211289999999999</v>
      </c>
      <c r="M86" s="6">
        <f>[1]!YBHIST("30yr Swap Rate",$A86,"YldtoMat","swapvol","")</f>
        <v>2.5198209999999999</v>
      </c>
      <c r="N86" s="3">
        <f>[1]!YBHIST("FNMA 30YR Cur Coup (BE)",$A86,"Yield","bmk","")</f>
        <v>2.4340000000000002</v>
      </c>
      <c r="O86" s="2">
        <f>[1]!YBHIST("FHLMC 30YR Cur Coup (BE)",$A86,"Yield","bmk","")</f>
        <v>2.48</v>
      </c>
      <c r="P86" s="2">
        <f>[1]!YBHIST("GNMA 30YR Cur Coup (BE)",$A86,"Yield","bmk","")</f>
        <v>2.3479999999999999</v>
      </c>
      <c r="Q86" s="2">
        <f>[1]!YBHIST("Primary 30-Yr Mtg Rate",$A86,"Yield","bmk","")</f>
        <v>3.7256</v>
      </c>
      <c r="R86" s="2">
        <f>[1]!YBHIST("FHLM 30-Yr Survey Rate",$A86,"Yield","bmk","")</f>
        <v>3.59</v>
      </c>
      <c r="S86" s="6">
        <f>[1]!YBHIST("Base Mortgage Rate",$A86,"Yield","bmk","")</f>
        <v>2.7639999999999998</v>
      </c>
      <c r="T86" s="18">
        <f>[1]!YBHIST("FNMA 30YR Cur Coup (BE)",$A86,"LMMOAS","bmk","")</f>
        <v>17.281798999999999</v>
      </c>
      <c r="U86" s="19">
        <f>[1]!YBHIST("FHLMC 30YR Cur Coup (BE)",$A86,"LMMOAS","bmk","")</f>
        <v>22.017099000000002</v>
      </c>
      <c r="V86" s="19">
        <f>[1]!YBHIST("GNMA 30YR Cur Coup (BE)",$A86,"LMMOAS","bmk","")</f>
        <v>0.57650000000000001</v>
      </c>
      <c r="W86" s="20">
        <f t="shared" si="6"/>
        <v>81.600000000000009</v>
      </c>
      <c r="X86" s="20">
        <f t="shared" si="7"/>
        <v>81.600000000000009</v>
      </c>
      <c r="Y86" s="20">
        <f t="shared" si="8"/>
        <v>86.199999999999989</v>
      </c>
      <c r="Z86" s="25">
        <f>[1]!YBHIST("FNMA3.0-GEN",$A86,"Price","tba","")</f>
        <v>103.34375</v>
      </c>
      <c r="AA86" s="2">
        <f>[1]!YBHIST("FNMA3.5-GEN",$A86,"Price","tba","")</f>
        <v>105.664062</v>
      </c>
      <c r="AB86" s="2">
        <f>[1]!YBHIST("FNMA4.0-GEN",$A86,"Price","tba","")</f>
        <v>106.984375</v>
      </c>
      <c r="AC86" s="2">
        <f>[1]!YBHIST("FNMA4.5-GEN",$A86,"Price","tba","")</f>
        <v>108.078125</v>
      </c>
      <c r="AD86" s="2">
        <f>[1]!YBHIST("FNMA5.0-GEN",$A86,"Price","tba","")</f>
        <v>109.085938</v>
      </c>
      <c r="AE86" s="2">
        <f>[1]!YBHIST("FNMA5.5-GEN",$A86,"Price","tba","")</f>
        <v>109.617188</v>
      </c>
      <c r="AF86" s="6">
        <f>[1]!YBHIST("FNMA6.0-GEN",$A86,"Price","tba","")</f>
        <v>110.109375</v>
      </c>
      <c r="AG86" s="2">
        <f>[1]!YBHIST("FNMA3.0-GEN",$A86,"Yield","tba","")</f>
        <v>2.2770000000000001</v>
      </c>
      <c r="AH86" s="2">
        <f>[1]!YBHIST("FNMA3.5-GEN",$A86,"Yield","tba","")</f>
        <v>1.893</v>
      </c>
      <c r="AI86" s="2">
        <f>[1]!YBHIST("FNMA4.0-GEN",$A86,"Yield","tba","")</f>
        <v>1.641</v>
      </c>
      <c r="AJ86" s="2">
        <f>[1]!YBHIST("FNMA4.5-GEN",$A86,"Yield","tba","")</f>
        <v>1.482</v>
      </c>
      <c r="AK86" s="2">
        <f>[1]!YBHIST("FNMA5.0-GEN",$A86,"Yield","tba","")</f>
        <v>0.55000000000000004</v>
      </c>
      <c r="AL86" s="2">
        <f>[1]!YBHIST("FNMA5.5-GEN",$A86,"Yield","tba","")</f>
        <v>0.69499999999999995</v>
      </c>
      <c r="AM86" s="6">
        <f>[1]!YBHIST("FNMA6.0-GEN",$A86,"Yield","tba","")</f>
        <v>0.33</v>
      </c>
      <c r="AN86" s="3">
        <f>[1]!YBHIST(AN$4,$A86,"Price","sec","")</f>
        <v>15.061999999999999</v>
      </c>
      <c r="AO86" s="2">
        <f>[1]!YBHIST(AO$4,$A86,"Price","sec","")</f>
        <v>15.922000000000001</v>
      </c>
      <c r="AP86" s="2">
        <f>[1]!YBHIST(AP$4,$A86,"Price","sec","")</f>
        <v>13.343999999999999</v>
      </c>
      <c r="AQ86" s="2">
        <f>[1]!YBHIST(AQ$4,$A86,"Price","sec","")</f>
        <v>16.562000000000001</v>
      </c>
      <c r="AR86" s="2">
        <f>[1]!YBHIST(AR$4,$A86,"Price","sec","")</f>
        <v>14.109</v>
      </c>
      <c r="AS86" s="2">
        <f>[1]!YBHIST(AS$4,$A86,"Price","sec","")</f>
        <v>19.766000999999999</v>
      </c>
      <c r="AT86" s="2">
        <f>[1]!YBHIST(AT$4,$A86,"Price","sec","")</f>
        <v>17.452998999999998</v>
      </c>
      <c r="AU86" s="2">
        <f>[1]!YBHIST(AU$4,$A86,"Price","sec","")</f>
        <v>12.577999999999999</v>
      </c>
      <c r="AV86" s="2">
        <f>[1]!YBHIST(AV$4,$A86,"Price","sec","")</f>
        <v>14.5</v>
      </c>
      <c r="AW86" s="2">
        <f>[1]!YBHIST(AW$4,$A86,"Price","sec","")</f>
        <v>14.281000000000001</v>
      </c>
      <c r="AX86" s="2">
        <f>[1]!YBHIST(AX$4,$A86,"Price","sec","")</f>
        <v>12.561999999999999</v>
      </c>
      <c r="AY86" s="2">
        <f>[1]!YBHIST(AY$4,$A86,"Price","sec","")</f>
        <v>15.422000000000001</v>
      </c>
      <c r="AZ86" s="2">
        <f>[1]!YBHIST(AZ$4,$A86,"Price","sec","")</f>
        <v>14.875</v>
      </c>
      <c r="BA86" s="2">
        <f>[1]!YBHIST(BA$4,$A86,"Price","sec","")</f>
        <v>14.202999999999999</v>
      </c>
      <c r="BB86" s="2">
        <f>[1]!YBHIST(BB$4,$A86,"Price","sec","")</f>
        <v>17.969000000000001</v>
      </c>
      <c r="BC86" s="2">
        <f>[1]!YBHIST(BC$4,$A86,"Price","sec","")</f>
        <v>18.891000999999999</v>
      </c>
      <c r="BD86" s="2">
        <f>[1]!YBHIST(BD$4,$A86,"Price","sec","")</f>
        <v>18.827998999999998</v>
      </c>
      <c r="BE86" s="6">
        <f>[1]!YBHIST(BE$4,$A86,"Price","sec","")</f>
        <v>19.094000000000001</v>
      </c>
      <c r="BF86" s="20">
        <f>[1]!YBHIST(BF$4,$A86,"LMMOAS","sec","")</f>
        <v>161.55200199999999</v>
      </c>
      <c r="BG86" s="20">
        <f>[1]!YBHIST(BG$4,$A86,"LMMOAS","sec","")</f>
        <v>162.51199299999999</v>
      </c>
      <c r="BH86" s="20">
        <f>[1]!YBHIST(BH$4,$A86,"LMMOAS","sec","")</f>
        <v>176.992493</v>
      </c>
      <c r="BI86" s="20">
        <f>[1]!YBHIST(BI$4,$A86,"LMMOAS","sec","")</f>
        <v>285.77758799999998</v>
      </c>
      <c r="BJ86" s="20">
        <f>[1]!YBHIST(BJ$4,$A86,"LMMOAS","sec","")</f>
        <v>264.45901500000002</v>
      </c>
      <c r="BK86" s="20">
        <f>[1]!YBHIST(BK$4,$A86,"LMMOAS","sec","")</f>
        <v>280.13501000000002</v>
      </c>
      <c r="BL86" s="20">
        <f>[1]!YBHIST(BL$4,$A86,"LMMOAS","sec","")</f>
        <v>288.26419099999998</v>
      </c>
      <c r="BM86" s="20">
        <f>[1]!YBHIST(BM$4,$A86,"LMMOAS","sec","")</f>
        <v>-140.36869799999999</v>
      </c>
      <c r="BN86" s="20">
        <f>[1]!YBHIST(BN$4,$A86,"LMMOAS","sec","")</f>
        <v>138.35090600000001</v>
      </c>
      <c r="BO86" s="20">
        <f>[1]!YBHIST(BO$4,$A86,"LMMOAS","sec","")</f>
        <v>276.17709400000001</v>
      </c>
      <c r="BP86" s="20">
        <f>[1]!YBHIST(BP$4,$A86,"LMMOAS","sec","")</f>
        <v>255.4263</v>
      </c>
      <c r="BQ86" s="20">
        <f>[1]!YBHIST(BQ$4,$A86,"LMMOAS","sec","")</f>
        <v>558.58898899999997</v>
      </c>
      <c r="BR86" s="20">
        <f>[1]!YBHIST(BR$4,$A86,"LMMOAS","sec","")</f>
        <v>639.83209199999999</v>
      </c>
      <c r="BS86" s="20">
        <f>[1]!YBHIST(BS$4,$A86,"LMMOAS","sec","")</f>
        <v>341.53338600000001</v>
      </c>
      <c r="BT86" s="20">
        <f>[1]!YBHIST(BT$4,$A86,"LMMOAS","sec","")</f>
        <v>358.56149299999998</v>
      </c>
      <c r="BU86" s="20">
        <f>[1]!YBHIST(BU$4,$A86,"LMMOAS","sec","")</f>
        <v>227.84240700000001</v>
      </c>
      <c r="BV86" s="20">
        <f>[1]!YBHIST(BV$4,$A86,"LMMOAS","sec","")</f>
        <v>311.84539799999999</v>
      </c>
      <c r="BW86" s="20">
        <f>[1]!YBHIST(BW$4,$A86,"LMMOAS","sec","")</f>
        <v>375.84909099999999</v>
      </c>
      <c r="BX86" s="5"/>
      <c r="BY86" s="1"/>
      <c r="BZ86" s="1"/>
    </row>
    <row r="87" spans="1:78" x14ac:dyDescent="0.25">
      <c r="A87" s="14">
        <f>[1]!YBWORKDAY(A$26,-1*(ROW()-ROW(A$26)),"USD","")</f>
        <v>41150</v>
      </c>
      <c r="B87" s="3">
        <f>[1]!YBHIST("2 Year Treasury",$A87,"Price","govt","")</f>
        <v>99.953002999999995</v>
      </c>
      <c r="C87" s="2">
        <f>[1]!YBHIST("5 Year Treasury",$A87,"Price","govt","")</f>
        <v>99.116996999999998</v>
      </c>
      <c r="D87" s="2">
        <f>[1]!YBHIST("10 Year Treasury",$A87,"Price","govt","")</f>
        <v>99.75</v>
      </c>
      <c r="E87" s="6">
        <f>[1]!YBHIST("30 Year Treasury",$A87,"Price","govt","")</f>
        <v>99.655997999999997</v>
      </c>
      <c r="F87" s="3">
        <f>[1]!YBHIST("2 Year Treasury",$A87,"YldtoMat","govt","")</f>
        <v>0.27400000000000002</v>
      </c>
      <c r="G87" s="2">
        <f>[1]!YBHIST("5 Year Treasury",$A87,"YldtoMat","govt","")</f>
        <v>0.68300000000000005</v>
      </c>
      <c r="H87" s="2">
        <f>[1]!YBHIST("10 Year Treasury",$A87,"YldtoMat","govt","")</f>
        <v>1.6519999999999999</v>
      </c>
      <c r="I87" s="6">
        <f>[1]!YBHIST("30 Year Treasury",$A87,"YldtoMat","govt","")</f>
        <v>2.7669999999999999</v>
      </c>
      <c r="J87" s="3">
        <f>[1]!YBHIST("2yr Swap Rate",$A87,"YldtoMat","swapvol","")</f>
        <v>0.44542700000000002</v>
      </c>
      <c r="K87" s="2">
        <f>[1]!YBHIST("5yr Swap Rate",$A87,"YldtoMat","swapvol","")</f>
        <v>0.86718200000000001</v>
      </c>
      <c r="L87" s="2">
        <f>[1]!YBHIST("10yr Swap Rate",$A87,"YldtoMat","swapvol","")</f>
        <v>1.753023</v>
      </c>
      <c r="M87" s="6">
        <f>[1]!YBHIST("30yr Swap Rate",$A87,"YldtoMat","swapvol","")</f>
        <v>2.5503170000000002</v>
      </c>
      <c r="N87" s="3">
        <f>[1]!YBHIST("FNMA 30YR Cur Coup (BE)",$A87,"Yield","bmk","")</f>
        <v>2.4689999999999999</v>
      </c>
      <c r="O87" s="2">
        <f>[1]!YBHIST("FHLMC 30YR Cur Coup (BE)",$A87,"Yield","bmk","")</f>
        <v>2.5150000000000001</v>
      </c>
      <c r="P87" s="2">
        <f>[1]!YBHIST("GNMA 30YR Cur Coup (BE)",$A87,"Yield","bmk","")</f>
        <v>2.383</v>
      </c>
      <c r="Q87" s="2">
        <f>[1]!YBHIST("Primary 30-Yr Mtg Rate",$A87,"Yield","bmk","")</f>
        <v>3.7222</v>
      </c>
      <c r="R87" s="2">
        <f>[1]!YBHIST("FHLM 30-Yr Survey Rate",$A87,"Yield","bmk","")</f>
        <v>3.66</v>
      </c>
      <c r="S87" s="6">
        <f>[1]!YBHIST("Base Mortgage Rate",$A87,"Yield","bmk","")</f>
        <v>2.8079999999999998</v>
      </c>
      <c r="T87" s="18">
        <f>[1]!YBHIST("FNMA 30YR Cur Coup (BE)",$A87,"LMMOAS","bmk","")</f>
        <v>18.082999999999998</v>
      </c>
      <c r="U87" s="19">
        <f>[1]!YBHIST("FHLMC 30YR Cur Coup (BE)",$A87,"LMMOAS","bmk","")</f>
        <v>22.849001000000001</v>
      </c>
      <c r="V87" s="19">
        <f>[1]!YBHIST("GNMA 30YR Cur Coup (BE)",$A87,"LMMOAS","bmk","")</f>
        <v>3.0893999999999999</v>
      </c>
      <c r="W87" s="20">
        <f t="shared" si="6"/>
        <v>81.699999999999989</v>
      </c>
      <c r="X87" s="20">
        <f t="shared" si="7"/>
        <v>81.699999999999989</v>
      </c>
      <c r="Y87" s="20">
        <f t="shared" si="8"/>
        <v>86.300000000000026</v>
      </c>
      <c r="Z87" s="25">
        <f>[1]!YBHIST("FNMA3.0-GEN",$A87,"Price","tba","")</f>
        <v>103.125</v>
      </c>
      <c r="AA87" s="2">
        <f>[1]!YBHIST("FNMA3.5-GEN",$A87,"Price","tba","")</f>
        <v>105.484375</v>
      </c>
      <c r="AB87" s="2">
        <f>[1]!YBHIST("FNMA4.0-GEN",$A87,"Price","tba","")</f>
        <v>106.859375</v>
      </c>
      <c r="AC87" s="2">
        <f>[1]!YBHIST("FNMA4.5-GEN",$A87,"Price","tba","")</f>
        <v>108.007812</v>
      </c>
      <c r="AD87" s="2">
        <f>[1]!YBHIST("FNMA5.0-GEN",$A87,"Price","tba","")</f>
        <v>109</v>
      </c>
      <c r="AE87" s="2">
        <f>[1]!YBHIST("FNMA5.5-GEN",$A87,"Price","tba","")</f>
        <v>109.59375</v>
      </c>
      <c r="AF87" s="6">
        <f>[1]!YBHIST("FNMA6.0-GEN",$A87,"Price","tba","")</f>
        <v>110.125</v>
      </c>
      <c r="AG87" s="2">
        <f>[1]!YBHIST("FNMA3.0-GEN",$A87,"Yield","tba","")</f>
        <v>2.3460000000000001</v>
      </c>
      <c r="AH87" s="2">
        <f>[1]!YBHIST("FNMA3.5-GEN",$A87,"Yield","tba","")</f>
        <v>1.986</v>
      </c>
      <c r="AI87" s="2">
        <f>[1]!YBHIST("FNMA4.0-GEN",$A87,"Yield","tba","")</f>
        <v>1.7310000000000001</v>
      </c>
      <c r="AJ87" s="2">
        <f>[1]!YBHIST("FNMA4.5-GEN",$A87,"Yield","tba","")</f>
        <v>1.552</v>
      </c>
      <c r="AK87" s="2">
        <f>[1]!YBHIST("FNMA5.0-GEN",$A87,"Yield","tba","")</f>
        <v>0.64200000000000002</v>
      </c>
      <c r="AL87" s="2">
        <f>[1]!YBHIST("FNMA5.5-GEN",$A87,"Yield","tba","")</f>
        <v>0.748</v>
      </c>
      <c r="AM87" s="6">
        <f>[1]!YBHIST("FNMA6.0-GEN",$A87,"Yield","tba","")</f>
        <v>0.36</v>
      </c>
      <c r="AN87" s="3">
        <f>[1]!YBHIST(AN$4,$A87,"Price","sec","")</f>
        <v>15.281000000000001</v>
      </c>
      <c r="AO87" s="2">
        <f>[1]!YBHIST(AO$4,$A87,"Price","sec","")</f>
        <v>16.141000999999999</v>
      </c>
      <c r="AP87" s="2">
        <f>[1]!YBHIST(AP$4,$A87,"Price","sec","")</f>
        <v>13.561999999999999</v>
      </c>
      <c r="AQ87" s="2">
        <f>[1]!YBHIST(AQ$4,$A87,"Price","sec","")</f>
        <v>16.75</v>
      </c>
      <c r="AR87" s="2">
        <f>[1]!YBHIST(AR$4,$A87,"Price","sec","")</f>
        <v>14.311999999999999</v>
      </c>
      <c r="AS87" s="2">
        <f>[1]!YBHIST(AS$4,$A87,"Price","sec","")</f>
        <v>19.905999999999999</v>
      </c>
      <c r="AT87" s="2">
        <f>[1]!YBHIST(AT$4,$A87,"Price","sec","")</f>
        <v>17.594000000000001</v>
      </c>
      <c r="AU87" s="2">
        <f>[1]!YBHIST(AU$4,$A87,"Price","sec","")</f>
        <v>12.718999999999999</v>
      </c>
      <c r="AV87" s="2">
        <f>[1]!YBHIST(AV$4,$A87,"Price","sec","")</f>
        <v>14.625</v>
      </c>
      <c r="AW87" s="2">
        <f>[1]!YBHIST(AW$4,$A87,"Price","sec","")</f>
        <v>14.406000000000001</v>
      </c>
      <c r="AX87" s="2">
        <f>[1]!YBHIST(AX$4,$A87,"Price","sec","")</f>
        <v>12.656000000000001</v>
      </c>
      <c r="AY87" s="2">
        <f>[1]!YBHIST(AY$4,$A87,"Price","sec","")</f>
        <v>15.516</v>
      </c>
      <c r="AZ87" s="2">
        <f>[1]!YBHIST(AZ$4,$A87,"Price","sec","")</f>
        <v>14.968999999999999</v>
      </c>
      <c r="BA87" s="2">
        <f>[1]!YBHIST(BA$4,$A87,"Price","sec","")</f>
        <v>14.266</v>
      </c>
      <c r="BB87" s="2">
        <f>[1]!YBHIST(BB$4,$A87,"Price","sec","")</f>
        <v>18.016000999999999</v>
      </c>
      <c r="BC87" s="2">
        <f>[1]!YBHIST(BC$4,$A87,"Price","sec","")</f>
        <v>19.047001000000002</v>
      </c>
      <c r="BD87" s="2">
        <f>[1]!YBHIST(BD$4,$A87,"Price","sec","")</f>
        <v>19</v>
      </c>
      <c r="BE87" s="6">
        <f>[1]!YBHIST(BE$4,$A87,"Price","sec","")</f>
        <v>19.266000999999999</v>
      </c>
      <c r="BF87" s="20">
        <f>[1]!YBHIST(BF$4,$A87,"LMMOAS","sec","")</f>
        <v>176.22410600000001</v>
      </c>
      <c r="BG87" s="20">
        <f>[1]!YBHIST(BG$4,$A87,"LMMOAS","sec","")</f>
        <v>176.975098</v>
      </c>
      <c r="BH87" s="20">
        <f>[1]!YBHIST(BH$4,$A87,"LMMOAS","sec","")</f>
        <v>190.11940000000001</v>
      </c>
      <c r="BI87" s="20">
        <f>[1]!YBHIST(BI$4,$A87,"LMMOAS","sec","")</f>
        <v>300.90280200000001</v>
      </c>
      <c r="BJ87" s="20">
        <f>[1]!YBHIST(BJ$4,$A87,"LMMOAS","sec","")</f>
        <v>274.73968500000001</v>
      </c>
      <c r="BK87" s="20">
        <f>[1]!YBHIST(BK$4,$A87,"LMMOAS","sec","")</f>
        <v>293.740295</v>
      </c>
      <c r="BL87" s="20">
        <f>[1]!YBHIST(BL$4,$A87,"LMMOAS","sec","")</f>
        <v>303.36190800000003</v>
      </c>
      <c r="BM87" s="20">
        <f>[1]!YBHIST(BM$4,$A87,"LMMOAS","sec","")</f>
        <v>-123.04160299999999</v>
      </c>
      <c r="BN87" s="20">
        <f>[1]!YBHIST(BN$4,$A87,"LMMOAS","sec","")</f>
        <v>152.06570400000001</v>
      </c>
      <c r="BO87" s="20">
        <f>[1]!YBHIST(BO$4,$A87,"LMMOAS","sec","")</f>
        <v>283.45040899999998</v>
      </c>
      <c r="BP87" s="20">
        <f>[1]!YBHIST(BP$4,$A87,"LMMOAS","sec","")</f>
        <v>276.18231200000002</v>
      </c>
      <c r="BQ87" s="20">
        <f>[1]!YBHIST(BQ$4,$A87,"LMMOAS","sec","")</f>
        <v>571.84832800000004</v>
      </c>
      <c r="BR87" s="20">
        <f>[1]!YBHIST(BR$4,$A87,"LMMOAS","sec","")</f>
        <v>647.01208499999996</v>
      </c>
      <c r="BS87" s="20">
        <f>[1]!YBHIST(BS$4,$A87,"LMMOAS","sec","")</f>
        <v>363.23541299999999</v>
      </c>
      <c r="BT87" s="20">
        <f>[1]!YBHIST(BT$4,$A87,"LMMOAS","sec","")</f>
        <v>373.52920499999999</v>
      </c>
      <c r="BU87" s="20">
        <f>[1]!YBHIST(BU$4,$A87,"LMMOAS","sec","")</f>
        <v>244.82479900000001</v>
      </c>
      <c r="BV87" s="20">
        <f>[1]!YBHIST(BV$4,$A87,"LMMOAS","sec","")</f>
        <v>326.97210699999999</v>
      </c>
      <c r="BW87" s="20">
        <f>[1]!YBHIST(BW$4,$A87,"LMMOAS","sec","")</f>
        <v>386.77160600000002</v>
      </c>
      <c r="BX87" s="5"/>
      <c r="BY87" s="1"/>
      <c r="BZ87" s="1"/>
    </row>
    <row r="88" spans="1:78" ht="15.75" thickBot="1" x14ac:dyDescent="0.3">
      <c r="A88" s="27">
        <f>[1]!YBWORKDAY(A$26,-1*(ROW()-ROW(A$26)),"USD","")</f>
        <v>41149</v>
      </c>
      <c r="B88" s="28">
        <f>[1]!YBHIST("2 Year Treasury",$A88,"Price","govt","")</f>
        <v>99.719002000000003</v>
      </c>
      <c r="C88" s="29">
        <f>[1]!YBHIST("5 Year Treasury",$A88,"Price","govt","")</f>
        <v>99.164000999999999</v>
      </c>
      <c r="D88" s="29">
        <f>[1]!YBHIST("10 Year Treasury",$A88,"Price","govt","")</f>
        <v>99.953002999999995</v>
      </c>
      <c r="E88" s="30">
        <f>[1]!YBHIST("30 Year Treasury",$A88,"Price","govt","")</f>
        <v>100.14099899999999</v>
      </c>
      <c r="F88" s="28">
        <f>[1]!YBHIST("2 Year Treasury",$A88,"YldtoMat","govt","")</f>
        <v>0.27200000000000002</v>
      </c>
      <c r="G88" s="29">
        <f>[1]!YBHIST("5 Year Treasury",$A88,"YldtoMat","govt","")</f>
        <v>0.67300000000000004</v>
      </c>
      <c r="H88" s="29">
        <f>[1]!YBHIST("10 Year Treasury",$A88,"YldtoMat","govt","")</f>
        <v>1.63</v>
      </c>
      <c r="I88" s="30">
        <f>[1]!YBHIST("30 Year Treasury",$A88,"YldtoMat","govt","")</f>
        <v>2.7429999999999999</v>
      </c>
      <c r="J88" s="28">
        <f>[1]!YBHIST("2yr Swap Rate",$A88,"YldtoMat","swapvol","")</f>
        <v>0.44011400000000001</v>
      </c>
      <c r="K88" s="29">
        <f>[1]!YBHIST("5yr Swap Rate",$A88,"YldtoMat","swapvol","")</f>
        <v>0.84886499999999998</v>
      </c>
      <c r="L88" s="29">
        <f>[1]!YBHIST("10yr Swap Rate",$A88,"YldtoMat","swapvol","")</f>
        <v>1.7192890000000001</v>
      </c>
      <c r="M88" s="30">
        <f>[1]!YBHIST("30yr Swap Rate",$A88,"YldtoMat","swapvol","")</f>
        <v>2.5108199999999998</v>
      </c>
      <c r="N88" s="28">
        <f>[1]!YBHIST("FNMA 30YR Cur Coup (BE)",$A88,"Yield","bmk","")</f>
        <v>2.411</v>
      </c>
      <c r="O88" s="29">
        <f>[1]!YBHIST("FHLMC 30YR Cur Coup (BE)",$A88,"Yield","bmk","")</f>
        <v>2.4569999999999999</v>
      </c>
      <c r="P88" s="29">
        <f>[1]!YBHIST("GNMA 30YR Cur Coup (BE)",$A88,"Yield","bmk","")</f>
        <v>2.3250000000000002</v>
      </c>
      <c r="Q88" s="29">
        <f>[1]!YBHIST("Primary 30-Yr Mtg Rate",$A88,"Yield","bmk","")</f>
        <v>3.6454</v>
      </c>
      <c r="R88" s="29">
        <f>[1]!YBHIST("FHLM 30-Yr Survey Rate",$A88,"Yield","bmk","")</f>
        <v>3.66</v>
      </c>
      <c r="S88" s="30">
        <f>[1]!YBHIST("Base Mortgage Rate",$A88,"Yield","bmk","")</f>
        <v>2.7309999999999999</v>
      </c>
      <c r="T88" s="18">
        <f>[1]!YBHIST("FNMA 30YR Cur Coup (BE)",$A88,"LMMOAS","bmk","")</f>
        <v>14.737</v>
      </c>
      <c r="U88" s="19">
        <f>[1]!YBHIST("FHLMC 30YR Cur Coup (BE)",$A88,"LMMOAS","bmk","")</f>
        <v>19.598199999999999</v>
      </c>
      <c r="V88" s="19">
        <f>[1]!YBHIST("GNMA 30YR Cur Coup (BE)",$A88,"LMMOAS","bmk","")</f>
        <v>-2.7412999999999998</v>
      </c>
      <c r="W88" s="31">
        <f t="shared" si="6"/>
        <v>78.100000000000009</v>
      </c>
      <c r="X88" s="31">
        <f t="shared" si="7"/>
        <v>78.100000000000009</v>
      </c>
      <c r="Y88" s="31">
        <f t="shared" si="8"/>
        <v>82.699999999999989</v>
      </c>
      <c r="Z88" s="32">
        <f>[1]!YBHIST("FNMA3.0-GEN",$A88,"Price","tba","")</f>
        <v>103.390625</v>
      </c>
      <c r="AA88" s="29">
        <f>[1]!YBHIST("FNMA3.5-GEN",$A88,"Price","tba","")</f>
        <v>105.671875</v>
      </c>
      <c r="AB88" s="29">
        <f>[1]!YBHIST("FNMA4.0-GEN",$A88,"Price","tba","")</f>
        <v>106.976562</v>
      </c>
      <c r="AC88" s="29">
        <f>[1]!YBHIST("FNMA4.5-GEN",$A88,"Price","tba","")</f>
        <v>108.046875</v>
      </c>
      <c r="AD88" s="29">
        <f>[1]!YBHIST("FNMA5.0-GEN",$A88,"Price","tba","")</f>
        <v>108.953125</v>
      </c>
      <c r="AE88" s="29">
        <f>[1]!YBHIST("FNMA5.5-GEN",$A88,"Price","tba","")</f>
        <v>109.578125</v>
      </c>
      <c r="AF88" s="30">
        <f>[1]!YBHIST("FNMA6.0-GEN",$A88,"Price","tba","")</f>
        <v>110.15625</v>
      </c>
      <c r="AG88" s="2">
        <f>[1]!YBHIST("FNMA3.0-GEN",$A88,"Yield","tba","")</f>
        <v>2.2469999999999999</v>
      </c>
      <c r="AH88" s="2">
        <f>[1]!YBHIST("FNMA3.5-GEN",$A88,"Yield","tba","")</f>
        <v>1.855</v>
      </c>
      <c r="AI88" s="2">
        <f>[1]!YBHIST("FNMA4.0-GEN",$A88,"Yield","tba","")</f>
        <v>1.605</v>
      </c>
      <c r="AJ88" s="2">
        <f>[1]!YBHIST("FNMA4.5-GEN",$A88,"Yield","tba","")</f>
        <v>1.4570000000000001</v>
      </c>
      <c r="AK88" s="2">
        <f>[1]!YBHIST("FNMA5.0-GEN",$A88,"Yield","tba","")</f>
        <v>0.56699999999999995</v>
      </c>
      <c r="AL88" s="2">
        <f>[1]!YBHIST("FNMA5.5-GEN",$A88,"Yield","tba","")</f>
        <v>0.68200000000000005</v>
      </c>
      <c r="AM88" s="6">
        <f>[1]!YBHIST("FNMA6.0-GEN",$A88,"Yield","tba","")</f>
        <v>0.28100000000000003</v>
      </c>
      <c r="AN88" s="28">
        <f>[1]!YBHIST(AN$4,$A88,"Price","sec","")</f>
        <v>15</v>
      </c>
      <c r="AO88" s="29">
        <f>[1]!YBHIST(AO$4,$A88,"Price","sec","")</f>
        <v>15.906000000000001</v>
      </c>
      <c r="AP88" s="29">
        <f>[1]!YBHIST(AP$4,$A88,"Price","sec","")</f>
        <v>13.327999999999999</v>
      </c>
      <c r="AQ88" s="29">
        <f>[1]!YBHIST(AQ$4,$A88,"Price","sec","")</f>
        <v>16.562000000000001</v>
      </c>
      <c r="AR88" s="29">
        <f>[1]!YBHIST(AR$4,$A88,"Price","sec","")</f>
        <v>14.109</v>
      </c>
      <c r="AS88" s="29">
        <f>[1]!YBHIST(AS$4,$A88,"Price","sec","")</f>
        <v>19.766000999999999</v>
      </c>
      <c r="AT88" s="29">
        <f>[1]!YBHIST(AT$4,$A88,"Price","sec","")</f>
        <v>17.437999999999999</v>
      </c>
      <c r="AU88" s="29">
        <f>[1]!YBHIST(AU$4,$A88,"Price","sec","")</f>
        <v>12.577999999999999</v>
      </c>
      <c r="AV88" s="29">
        <f>[1]!YBHIST(AV$4,$A88,"Price","sec","")</f>
        <v>14.5</v>
      </c>
      <c r="AW88" s="29">
        <f>[1]!YBHIST(AW$4,$A88,"Price","sec","")</f>
        <v>14.281000000000001</v>
      </c>
      <c r="AX88" s="29">
        <f>[1]!YBHIST(AX$4,$A88,"Price","sec","")</f>
        <v>12.577999999999999</v>
      </c>
      <c r="AY88" s="29">
        <f>[1]!YBHIST(AY$4,$A88,"Price","sec","")</f>
        <v>15.438000000000001</v>
      </c>
      <c r="AZ88" s="29">
        <f>[1]!YBHIST(AZ$4,$A88,"Price","sec","")</f>
        <v>14.891</v>
      </c>
      <c r="BA88" s="29">
        <f>[1]!YBHIST(BA$4,$A88,"Price","sec","")</f>
        <v>14.218999999999999</v>
      </c>
      <c r="BB88" s="29">
        <f>[1]!YBHIST(BB$4,$A88,"Price","sec","")</f>
        <v>17.983999000000001</v>
      </c>
      <c r="BC88" s="29">
        <f>[1]!YBHIST(BC$4,$A88,"Price","sec","")</f>
        <v>18.858999000000001</v>
      </c>
      <c r="BD88" s="29">
        <f>[1]!YBHIST(BD$4,$A88,"Price","sec","")</f>
        <v>18.797001000000002</v>
      </c>
      <c r="BE88" s="30">
        <f>[1]!YBHIST(BE$4,$A88,"Price","sec","")</f>
        <v>19.062000000000001</v>
      </c>
      <c r="BF88" s="20">
        <f>[1]!YBHIST(BF$4,$A88,"LMMOAS","sec","")</f>
        <v>136.07690400000001</v>
      </c>
      <c r="BG88" s="20">
        <f>[1]!YBHIST(BG$4,$A88,"LMMOAS","sec","")</f>
        <v>131.984894</v>
      </c>
      <c r="BH88" s="20">
        <f>[1]!YBHIST(BH$4,$A88,"LMMOAS","sec","")</f>
        <v>143.566193</v>
      </c>
      <c r="BI88" s="20">
        <f>[1]!YBHIST(BI$4,$A88,"LMMOAS","sec","")</f>
        <v>254.57749899999999</v>
      </c>
      <c r="BJ88" s="20">
        <f>[1]!YBHIST(BJ$4,$A88,"LMMOAS","sec","")</f>
        <v>231.324997</v>
      </c>
      <c r="BK88" s="20">
        <f>[1]!YBHIST(BK$4,$A88,"LMMOAS","sec","")</f>
        <v>256.676605</v>
      </c>
      <c r="BL88" s="20">
        <f>[1]!YBHIST(BL$4,$A88,"LMMOAS","sec","")</f>
        <v>264.08230600000002</v>
      </c>
      <c r="BM88" s="20">
        <f>[1]!YBHIST(BM$4,$A88,"LMMOAS","sec","")</f>
        <v>-169.77439899999999</v>
      </c>
      <c r="BN88" s="20">
        <f>[1]!YBHIST(BN$4,$A88,"LMMOAS","sec","")</f>
        <v>115.252602</v>
      </c>
      <c r="BO88" s="20">
        <f>[1]!YBHIST(BO$4,$A88,"LMMOAS","sec","")</f>
        <v>257.01568600000002</v>
      </c>
      <c r="BP88" s="20">
        <f>[1]!YBHIST(BP$4,$A88,"LMMOAS","sec","")</f>
        <v>225.55230700000001</v>
      </c>
      <c r="BQ88" s="20">
        <f>[1]!YBHIST(BQ$4,$A88,"LMMOAS","sec","")</f>
        <v>536.62249799999995</v>
      </c>
      <c r="BR88" s="20">
        <f>[1]!YBHIST(BR$4,$A88,"LMMOAS","sec","")</f>
        <v>621.00842299999999</v>
      </c>
      <c r="BS88" s="20">
        <f>[1]!YBHIST(BS$4,$A88,"LMMOAS","sec","")</f>
        <v>317.73510700000003</v>
      </c>
      <c r="BT88" s="20">
        <f>[1]!YBHIST(BT$4,$A88,"LMMOAS","sec","")</f>
        <v>343.48239100000001</v>
      </c>
      <c r="BU88" s="20">
        <f>[1]!YBHIST(BU$4,$A88,"LMMOAS","sec","")</f>
        <v>203.83230599999999</v>
      </c>
      <c r="BV88" s="20">
        <f>[1]!YBHIST(BV$4,$A88,"LMMOAS","sec","")</f>
        <v>288.09060699999998</v>
      </c>
      <c r="BW88" s="20">
        <f>[1]!YBHIST(BW$4,$A88,"LMMOAS","sec","")</f>
        <v>355.37219199999998</v>
      </c>
      <c r="BX88" s="5"/>
      <c r="BY88" s="1"/>
      <c r="BZ88" s="1"/>
    </row>
    <row r="90" spans="1:78" x14ac:dyDescent="0.25">
      <c r="F90" s="34">
        <f>MAX(F5:F87)</f>
        <v>0.313</v>
      </c>
      <c r="G90" s="34">
        <f t="shared" ref="G90:AP90" si="9">MAX(G5:G87)</f>
        <v>0.81699999999999995</v>
      </c>
      <c r="H90" s="34">
        <f t="shared" si="9"/>
        <v>1.8660000000000001</v>
      </c>
      <c r="I90" s="34">
        <f t="shared" si="9"/>
        <v>3.089</v>
      </c>
      <c r="J90" s="34">
        <f t="shared" si="9"/>
        <v>0.44542700000000002</v>
      </c>
      <c r="K90" s="34">
        <f t="shared" si="9"/>
        <v>0.91233399999999998</v>
      </c>
      <c r="L90" s="34">
        <f t="shared" si="9"/>
        <v>1.8973500000000001</v>
      </c>
      <c r="M90" s="34">
        <f t="shared" si="9"/>
        <v>2.8455339999999998</v>
      </c>
      <c r="N90" s="34">
        <f t="shared" si="9"/>
        <v>2.4689999999999999</v>
      </c>
      <c r="O90" s="34">
        <f t="shared" si="9"/>
        <v>2.5150000000000001</v>
      </c>
      <c r="P90" s="34">
        <f t="shared" si="9"/>
        <v>2.383</v>
      </c>
      <c r="Q90" s="34">
        <f t="shared" si="9"/>
        <v>3.7753999999999999</v>
      </c>
      <c r="R90" s="34">
        <f t="shared" si="9"/>
        <v>3.66</v>
      </c>
      <c r="S90" s="34">
        <f t="shared" si="9"/>
        <v>2.8079999999999998</v>
      </c>
      <c r="T90" s="34">
        <f t="shared" si="9"/>
        <v>18.082999999999998</v>
      </c>
      <c r="U90" s="34">
        <f t="shared" si="9"/>
        <v>22.849001000000001</v>
      </c>
      <c r="V90" s="34">
        <f t="shared" si="9"/>
        <v>3.0893999999999999</v>
      </c>
      <c r="W90" s="34">
        <f t="shared" si="9"/>
        <v>81.699999999999989</v>
      </c>
      <c r="X90" s="34">
        <f t="shared" si="9"/>
        <v>81.699999999999989</v>
      </c>
      <c r="Y90" s="34">
        <f t="shared" si="9"/>
        <v>86.300000000000026</v>
      </c>
      <c r="Z90" s="34">
        <f t="shared" si="9"/>
        <v>106.007812</v>
      </c>
      <c r="AA90" s="34">
        <f t="shared" si="9"/>
        <v>107.5625</v>
      </c>
      <c r="AB90" s="34">
        <f t="shared" si="9"/>
        <v>107.929688</v>
      </c>
      <c r="AC90" s="34">
        <f t="shared" si="9"/>
        <v>108.515625</v>
      </c>
      <c r="AD90" s="34">
        <f t="shared" si="9"/>
        <v>109.382812</v>
      </c>
      <c r="AE90" s="34">
        <f t="shared" si="9"/>
        <v>109.984375</v>
      </c>
      <c r="AF90" s="34">
        <f t="shared" si="9"/>
        <v>110.828125</v>
      </c>
      <c r="AG90" s="34"/>
      <c r="AH90" s="34"/>
      <c r="AI90" s="34"/>
      <c r="AJ90" s="34"/>
      <c r="AK90" s="34"/>
      <c r="AL90" s="34"/>
      <c r="AM90" s="34"/>
      <c r="AN90" s="34">
        <f t="shared" si="9"/>
        <v>15.281000000000001</v>
      </c>
      <c r="AO90" s="34">
        <f t="shared" si="9"/>
        <v>16.141000999999999</v>
      </c>
      <c r="AP90" s="34">
        <f t="shared" si="9"/>
        <v>13.561999999999999</v>
      </c>
    </row>
    <row r="91" spans="1:78" x14ac:dyDescent="0.25">
      <c r="F91" s="34">
        <f>MIN(F5:F87)</f>
        <v>0.22600000000000001</v>
      </c>
      <c r="G91" s="34">
        <f t="shared" ref="G91:AP91" si="10">MIN(G5:G87)</f>
        <v>0.59499999999999997</v>
      </c>
      <c r="H91" s="34">
        <f t="shared" si="10"/>
        <v>1.5640000000000001</v>
      </c>
      <c r="I91" s="34">
        <f t="shared" si="10"/>
        <v>2.6850000000000001</v>
      </c>
      <c r="J91" s="34">
        <f t="shared" si="10"/>
        <v>0.35247499999999998</v>
      </c>
      <c r="K91" s="34">
        <f t="shared" si="10"/>
        <v>0.73236299999999999</v>
      </c>
      <c r="L91" s="34">
        <f t="shared" si="10"/>
        <v>1.6194219999999999</v>
      </c>
      <c r="M91" s="34">
        <f t="shared" si="10"/>
        <v>2.4637129999999998</v>
      </c>
      <c r="N91" s="34">
        <f t="shared" si="10"/>
        <v>1.925</v>
      </c>
      <c r="O91" s="34">
        <f t="shared" si="10"/>
        <v>1.9710000000000001</v>
      </c>
      <c r="P91" s="34">
        <f t="shared" si="10"/>
        <v>1.839</v>
      </c>
      <c r="Q91" s="34">
        <f t="shared" si="10"/>
        <v>3.3279000000000001</v>
      </c>
      <c r="R91" s="34">
        <f t="shared" si="10"/>
        <v>3.31</v>
      </c>
      <c r="S91" s="34">
        <f t="shared" si="10"/>
        <v>2.2679999999999998</v>
      </c>
      <c r="T91" s="34">
        <f t="shared" si="10"/>
        <v>-30.170200000000001</v>
      </c>
      <c r="U91" s="34">
        <f t="shared" si="10"/>
        <v>-26.863199000000002</v>
      </c>
      <c r="V91" s="34">
        <f t="shared" si="10"/>
        <v>-33.3279</v>
      </c>
      <c r="W91" s="34">
        <f t="shared" si="10"/>
        <v>30.600000000000005</v>
      </c>
      <c r="X91" s="34">
        <f t="shared" si="10"/>
        <v>30.600000000000005</v>
      </c>
      <c r="Y91" s="34">
        <f t="shared" si="10"/>
        <v>35.20000000000001</v>
      </c>
      <c r="Z91" s="34">
        <f t="shared" si="10"/>
        <v>103.125</v>
      </c>
      <c r="AA91" s="34">
        <f t="shared" si="10"/>
        <v>105.484375</v>
      </c>
      <c r="AB91" s="34">
        <f t="shared" si="10"/>
        <v>106.75</v>
      </c>
      <c r="AC91" s="34">
        <f t="shared" si="10"/>
        <v>107.40625</v>
      </c>
      <c r="AD91" s="34">
        <f t="shared" si="10"/>
        <v>108.179688</v>
      </c>
      <c r="AE91" s="34">
        <f t="shared" si="10"/>
        <v>108.5</v>
      </c>
      <c r="AF91" s="34">
        <f t="shared" si="10"/>
        <v>109.226562</v>
      </c>
      <c r="AG91" s="34"/>
      <c r="AH91" s="34"/>
      <c r="AI91" s="34"/>
      <c r="AJ91" s="34"/>
      <c r="AK91" s="34"/>
      <c r="AL91" s="34"/>
      <c r="AM91" s="34"/>
      <c r="AN91" s="34">
        <f t="shared" si="10"/>
        <v>10.906000000000001</v>
      </c>
      <c r="AO91" s="34">
        <f t="shared" si="10"/>
        <v>12.281000000000001</v>
      </c>
      <c r="AP91" s="34">
        <f t="shared" si="10"/>
        <v>10.202999999999999</v>
      </c>
    </row>
  </sheetData>
  <mergeCells count="8">
    <mergeCell ref="BJ3:BT3"/>
    <mergeCell ref="AA3:AF3"/>
    <mergeCell ref="T3:Y3"/>
    <mergeCell ref="B3:E3"/>
    <mergeCell ref="F3:I3"/>
    <mergeCell ref="J3:M3"/>
    <mergeCell ref="N3:S3"/>
    <mergeCell ref="AG3:AM3"/>
  </mergeCells>
  <pageMargins left="0.7" right="0.7" top="0.75" bottom="0.75" header="0.3" footer="0.3"/>
  <pageSetup scale="35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L16" sqref="A4:L1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 Data</vt:lpstr>
      <vt:lpstr>MBA Inde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antoineps-hp1</dc:creator>
  <cp:lastModifiedBy>Janaki</cp:lastModifiedBy>
  <cp:lastPrinted>2011-03-05T15:43:30Z</cp:lastPrinted>
  <dcterms:created xsi:type="dcterms:W3CDTF">2011-01-27T23:25:08Z</dcterms:created>
  <dcterms:modified xsi:type="dcterms:W3CDTF">2013-01-02T16:03:17Z</dcterms:modified>
</cp:coreProperties>
</file>