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30" yWindow="90" windowWidth="24240" windowHeight="7680"/>
  </bookViews>
  <sheets>
    <sheet name="Market Data" sheetId="1" r:id="rId1"/>
    <sheet name="MBA Inde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A6" i="1" l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A33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A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A53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A54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A58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A64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A65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A66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A67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Y5" i="1" l="1"/>
  <c r="W5" i="1"/>
  <c r="X5" i="1"/>
</calcChain>
</file>

<file path=xl/sharedStrings.xml><?xml version="1.0" encoding="utf-8"?>
<sst xmlns="http://schemas.openxmlformats.org/spreadsheetml/2006/main" count="60" uniqueCount="42">
  <si>
    <t>Date</t>
  </si>
  <si>
    <t>fn30.450.09(IOX)</t>
  </si>
  <si>
    <t>fn30.500.09(IOX)</t>
  </si>
  <si>
    <t>fn30.550.08(IOX)</t>
  </si>
  <si>
    <t>fn30.600.08(IOX)</t>
  </si>
  <si>
    <t>fn30.650.67(IOX)</t>
  </si>
  <si>
    <t>Treasury Prices</t>
  </si>
  <si>
    <t>Treasury Yields</t>
  </si>
  <si>
    <t>Swap Yields</t>
  </si>
  <si>
    <t>PMR</t>
  </si>
  <si>
    <t>BMR</t>
  </si>
  <si>
    <t>FHSR</t>
  </si>
  <si>
    <t>FNCC</t>
  </si>
  <si>
    <t>FHCC</t>
  </si>
  <si>
    <t>Mortgage Rates</t>
  </si>
  <si>
    <t>FN OAS</t>
  </si>
  <si>
    <t>FH OAS</t>
  </si>
  <si>
    <t>Mortgage Spreads</t>
  </si>
  <si>
    <t>FH10T</t>
  </si>
  <si>
    <t>FN10T</t>
  </si>
  <si>
    <t>FNMA TBA Prices</t>
  </si>
  <si>
    <t>GNCC</t>
  </si>
  <si>
    <t>GN OAS</t>
  </si>
  <si>
    <t>GN10T</t>
  </si>
  <si>
    <t>IOS Prices</t>
  </si>
  <si>
    <t>IOS OAS</t>
  </si>
  <si>
    <t>Total Return(USD)</t>
  </si>
  <si>
    <t>S&amp;P500 Total Return</t>
  </si>
  <si>
    <t>Close Date</t>
  </si>
  <si>
    <t>fn30.350.10(IOX)</t>
  </si>
  <si>
    <t>fn30.400.10(IOX)</t>
  </si>
  <si>
    <t>fn30.500.10(IOX)</t>
  </si>
  <si>
    <t>fn30.500.08(IOX)</t>
  </si>
  <si>
    <t>fn30.500.05(IOX)</t>
  </si>
  <si>
    <t>fn30.500.03(IOX)</t>
  </si>
  <si>
    <t>fn30.550.05(IOX)</t>
  </si>
  <si>
    <t>fn30.550.03(IOX)</t>
  </si>
  <si>
    <t>fn30.400.09(IOX)</t>
  </si>
  <si>
    <t>fn30.450.10(IOX)</t>
  </si>
  <si>
    <t>gII30.400.10(IOX)</t>
  </si>
  <si>
    <t>gII30.450.10(IOX)</t>
  </si>
  <si>
    <t>gII30.500.10(IOX)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</si>
</sst>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m/d;@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F3F7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FCC99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4" applyNumberFormat="0"/>
    <xf numFmtId="0" fontId="2" fillId="3" borderId="10" applyNumberFormat="0" applyAlignment="0" applyProtection="0"/>
  </cellStyleXfs>
  <cellXfs count="45">
    <xf numFmtId="0" fontId="0" fillId="0" borderId="0" xfId="0"/>
    <xf numFmtId="0" fontId="0" fillId="0" borderId="0" xfId="0" applyBorder="1"/>
    <xf numFmtId="2" fontId="0" fillId="0" borderId="0" xfId="0" applyNumberFormat="1" applyBorder="1"/>
    <xf numFmtId="2" fontId="0" fillId="0" borderId="8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" fontId="0" fillId="0" borderId="6" xfId="0" applyNumberFormat="1" applyBorder="1"/>
    <xf numFmtId="1" fontId="0" fillId="0" borderId="7" xfId="0" applyNumberFormat="1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2" fontId="0" fillId="0" borderId="9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Fill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165" fontId="2" fillId="3" borderId="10" xfId="2" applyNumberFormat="1"/>
    <xf numFmtId="164" fontId="0" fillId="0" borderId="5" xfId="0" applyNumberFormat="1" applyFill="1" applyBorder="1" applyAlignment="1">
      <alignment wrapText="1"/>
    </xf>
    <xf numFmtId="164" fontId="0" fillId="0" borderId="6" xfId="0" applyNumberFormat="1" applyFill="1" applyBorder="1" applyAlignment="1">
      <alignment wrapText="1"/>
    </xf>
    <xf numFmtId="164" fontId="0" fillId="0" borderId="7" xfId="0" applyNumberFormat="1" applyFill="1" applyBorder="1" applyAlignment="1">
      <alignment wrapText="1"/>
    </xf>
    <xf numFmtId="14" fontId="0" fillId="0" borderId="0" xfId="0" applyNumberFormat="1"/>
    <xf numFmtId="164" fontId="0" fillId="0" borderId="8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1" fontId="0" fillId="0" borderId="9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" fontId="0" fillId="0" borderId="12" xfId="0" applyNumberFormat="1" applyBorder="1"/>
    <xf numFmtId="1" fontId="0" fillId="0" borderId="13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0" fontId="0" fillId="0" borderId="2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CCM Input" xfId="1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The%20Yield%20Book/The%20Yield%20Book%20Add-In/YieldBookAddin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YBHIST"/>
      <definedName name="ybworkday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T67"/>
  <sheetViews>
    <sheetView tabSelected="1" workbookViewId="0">
      <selection sqref="A1:XFD1048576"/>
    </sheetView>
  </sheetViews>
  <sheetFormatPr defaultRowHeight="15" x14ac:dyDescent="0.25"/>
  <cols>
    <col min="1" max="1" width="6.5703125" customWidth="1"/>
    <col min="2" max="2" width="7.28515625" customWidth="1"/>
    <col min="3" max="3" width="10.5703125" customWidth="1"/>
    <col min="4" max="5" width="6.7109375" bestFit="1" customWidth="1"/>
    <col min="6" max="7" width="6.28515625" bestFit="1" customWidth="1"/>
    <col min="8" max="9" width="6" bestFit="1" customWidth="1"/>
    <col min="10" max="12" width="6" customWidth="1"/>
    <col min="13" max="13" width="5.7109375" bestFit="1" customWidth="1"/>
    <col min="14" max="17" width="5.5703125" customWidth="1"/>
    <col min="18" max="18" width="6.5703125" customWidth="1"/>
    <col min="19" max="19" width="5.5703125" customWidth="1"/>
    <col min="20" max="20" width="7.5703125" bestFit="1" customWidth="1"/>
    <col min="21" max="21" width="7.42578125" bestFit="1" customWidth="1"/>
    <col min="22" max="22" width="7.85546875" customWidth="1"/>
    <col min="23" max="23" width="6.7109375" customWidth="1"/>
    <col min="24" max="24" width="6.42578125" customWidth="1"/>
    <col min="25" max="25" width="8.42578125" bestFit="1" customWidth="1"/>
    <col min="26" max="27" width="6.28515625" customWidth="1"/>
    <col min="28" max="31" width="7.5703125" bestFit="1" customWidth="1"/>
    <col min="32" max="33" width="8.140625" customWidth="1"/>
    <col min="34" max="34" width="6.5703125" customWidth="1"/>
    <col min="35" max="35" width="6" customWidth="1"/>
    <col min="36" max="37" width="8.140625" customWidth="1"/>
    <col min="38" max="41" width="8.5703125" customWidth="1"/>
    <col min="42" max="45" width="8.140625" customWidth="1"/>
    <col min="46" max="48" width="8.28515625" style="1" customWidth="1"/>
    <col min="49" max="49" width="8.28515625" customWidth="1"/>
    <col min="50" max="50" width="8.85546875" customWidth="1"/>
    <col min="51" max="51" width="8.85546875" style="1" customWidth="1"/>
    <col min="52" max="52" width="8.140625" customWidth="1"/>
    <col min="53" max="53" width="10.28515625" customWidth="1"/>
    <col min="54" max="54" width="8.28515625" customWidth="1"/>
    <col min="55" max="55" width="8.140625" customWidth="1"/>
    <col min="56" max="56" width="8" customWidth="1"/>
    <col min="57" max="59" width="8.5703125" customWidth="1"/>
    <col min="60" max="62" width="8.140625" customWidth="1"/>
    <col min="63" max="63" width="8.28515625" customWidth="1"/>
    <col min="64" max="64" width="8.140625" customWidth="1"/>
    <col min="65" max="66" width="8.28515625" style="1" customWidth="1"/>
    <col min="67" max="67" width="8.28515625" customWidth="1"/>
    <col min="68" max="68" width="19.140625" bestFit="1" customWidth="1"/>
    <col min="69" max="70" width="15.5703125" customWidth="1"/>
  </cols>
  <sheetData>
    <row r="1" spans="1:72" x14ac:dyDescent="0.25">
      <c r="A1" t="s">
        <v>28</v>
      </c>
      <c r="C1" s="26">
        <v>40877</v>
      </c>
    </row>
    <row r="3" spans="1:72" x14ac:dyDescent="0.25">
      <c r="B3" s="42" t="s">
        <v>6</v>
      </c>
      <c r="C3" s="43"/>
      <c r="D3" s="43"/>
      <c r="E3" s="43"/>
      <c r="F3" s="42" t="s">
        <v>7</v>
      </c>
      <c r="G3" s="43"/>
      <c r="H3" s="43"/>
      <c r="I3" s="44"/>
      <c r="J3" s="43" t="s">
        <v>8</v>
      </c>
      <c r="K3" s="43"/>
      <c r="L3" s="43"/>
      <c r="M3" s="44"/>
      <c r="N3" s="42" t="s">
        <v>14</v>
      </c>
      <c r="O3" s="43"/>
      <c r="P3" s="43"/>
      <c r="Q3" s="43"/>
      <c r="R3" s="43"/>
      <c r="S3" s="44"/>
      <c r="T3" s="42" t="s">
        <v>17</v>
      </c>
      <c r="U3" s="43"/>
      <c r="V3" s="43"/>
      <c r="W3" s="43"/>
      <c r="X3" s="43"/>
      <c r="Y3" s="44"/>
      <c r="Z3" s="42" t="s">
        <v>20</v>
      </c>
      <c r="AA3" s="43"/>
      <c r="AB3" s="43"/>
      <c r="AC3" s="43"/>
      <c r="AD3" s="43"/>
      <c r="AE3" s="44"/>
      <c r="AF3" s="38"/>
      <c r="AG3" s="38"/>
      <c r="AH3" s="41"/>
      <c r="AI3" s="41"/>
      <c r="AJ3" s="39" t="s">
        <v>24</v>
      </c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40"/>
      <c r="AX3" s="38"/>
      <c r="AY3" s="41"/>
      <c r="AZ3" s="41"/>
      <c r="BA3" s="41"/>
      <c r="BB3" s="42" t="s">
        <v>25</v>
      </c>
      <c r="BC3" s="43"/>
      <c r="BD3" s="43"/>
      <c r="BE3" s="43"/>
      <c r="BF3" s="43"/>
      <c r="BG3" s="43"/>
      <c r="BH3" s="43"/>
      <c r="BI3" s="43"/>
      <c r="BJ3" s="43"/>
      <c r="BK3" s="43"/>
      <c r="BL3" s="44"/>
      <c r="BM3" s="39"/>
      <c r="BN3" s="39"/>
      <c r="BO3" s="40"/>
      <c r="BP3" s="8"/>
      <c r="BQ3" s="8"/>
      <c r="BR3" s="8"/>
    </row>
    <row r="4" spans="1:72" s="14" customFormat="1" ht="29.25" customHeight="1" x14ac:dyDescent="0.25">
      <c r="A4" s="14" t="s">
        <v>0</v>
      </c>
      <c r="B4" s="15">
        <v>2</v>
      </c>
      <c r="C4" s="16">
        <v>5</v>
      </c>
      <c r="D4" s="16">
        <v>10</v>
      </c>
      <c r="E4" s="17">
        <v>30</v>
      </c>
      <c r="F4" s="15">
        <v>2</v>
      </c>
      <c r="G4" s="16">
        <v>5</v>
      </c>
      <c r="H4" s="16">
        <v>10</v>
      </c>
      <c r="I4" s="17">
        <v>30</v>
      </c>
      <c r="J4" s="15">
        <v>2</v>
      </c>
      <c r="K4" s="16">
        <v>5</v>
      </c>
      <c r="L4" s="16">
        <v>10</v>
      </c>
      <c r="M4" s="17">
        <v>30</v>
      </c>
      <c r="N4" s="15" t="s">
        <v>12</v>
      </c>
      <c r="O4" s="16" t="s">
        <v>13</v>
      </c>
      <c r="P4" s="16" t="s">
        <v>21</v>
      </c>
      <c r="Q4" s="16" t="s">
        <v>9</v>
      </c>
      <c r="R4" s="16" t="s">
        <v>11</v>
      </c>
      <c r="S4" s="17" t="s">
        <v>10</v>
      </c>
      <c r="T4" s="15" t="s">
        <v>15</v>
      </c>
      <c r="U4" s="18" t="s">
        <v>16</v>
      </c>
      <c r="V4" s="18" t="s">
        <v>22</v>
      </c>
      <c r="W4" s="16" t="s">
        <v>19</v>
      </c>
      <c r="X4" s="18" t="s">
        <v>18</v>
      </c>
      <c r="Y4" s="19" t="s">
        <v>23</v>
      </c>
      <c r="Z4" s="23">
        <v>3.5</v>
      </c>
      <c r="AA4" s="24">
        <v>4</v>
      </c>
      <c r="AB4" s="24">
        <v>4.5</v>
      </c>
      <c r="AC4" s="24">
        <v>5</v>
      </c>
      <c r="AD4" s="24">
        <v>5.5</v>
      </c>
      <c r="AE4" s="25">
        <v>6</v>
      </c>
      <c r="AF4" s="15" t="s">
        <v>29</v>
      </c>
      <c r="AG4" s="16" t="s">
        <v>30</v>
      </c>
      <c r="AH4" s="16" t="s">
        <v>37</v>
      </c>
      <c r="AI4" s="16" t="s">
        <v>38</v>
      </c>
      <c r="AJ4" s="16" t="s">
        <v>1</v>
      </c>
      <c r="AK4" s="16" t="s">
        <v>31</v>
      </c>
      <c r="AL4" s="16" t="s">
        <v>2</v>
      </c>
      <c r="AM4" s="16" t="s">
        <v>32</v>
      </c>
      <c r="AN4" s="16" t="s">
        <v>33</v>
      </c>
      <c r="AO4" s="16" t="s">
        <v>34</v>
      </c>
      <c r="AP4" s="16" t="s">
        <v>3</v>
      </c>
      <c r="AQ4" s="16" t="s">
        <v>35</v>
      </c>
      <c r="AR4" s="16" t="s">
        <v>36</v>
      </c>
      <c r="AS4" s="16" t="s">
        <v>4</v>
      </c>
      <c r="AT4" s="16" t="s">
        <v>5</v>
      </c>
      <c r="AU4" s="16" t="s">
        <v>39</v>
      </c>
      <c r="AV4" s="16" t="s">
        <v>40</v>
      </c>
      <c r="AW4" s="17" t="s">
        <v>41</v>
      </c>
      <c r="AX4" s="15" t="s">
        <v>29</v>
      </c>
      <c r="AY4" s="16" t="s">
        <v>30</v>
      </c>
      <c r="AZ4" s="16" t="s">
        <v>37</v>
      </c>
      <c r="BA4" s="16" t="s">
        <v>38</v>
      </c>
      <c r="BB4" s="16" t="s">
        <v>1</v>
      </c>
      <c r="BC4" s="16" t="s">
        <v>31</v>
      </c>
      <c r="BD4" s="16" t="s">
        <v>2</v>
      </c>
      <c r="BE4" s="16" t="s">
        <v>32</v>
      </c>
      <c r="BF4" s="16" t="s">
        <v>33</v>
      </c>
      <c r="BG4" s="16" t="s">
        <v>34</v>
      </c>
      <c r="BH4" s="16" t="s">
        <v>3</v>
      </c>
      <c r="BI4" s="16" t="s">
        <v>35</v>
      </c>
      <c r="BJ4" s="16" t="s">
        <v>36</v>
      </c>
      <c r="BK4" s="16" t="s">
        <v>4</v>
      </c>
      <c r="BL4" s="17" t="s">
        <v>5</v>
      </c>
      <c r="BM4" s="16" t="s">
        <v>39</v>
      </c>
      <c r="BN4" s="16" t="s">
        <v>40</v>
      </c>
      <c r="BO4" s="17" t="s">
        <v>41</v>
      </c>
      <c r="BP4" s="20" t="s">
        <v>27</v>
      </c>
      <c r="BQ4" s="21"/>
      <c r="BR4" s="21"/>
      <c r="BT4" s="14" t="s">
        <v>26</v>
      </c>
    </row>
    <row r="5" spans="1:72" ht="14.25" customHeight="1" x14ac:dyDescent="0.25">
      <c r="A5" s="22">
        <v>40907</v>
      </c>
      <c r="B5" s="3">
        <f>[1]!YBHIST("2 Year Treasury",$A5,"Price","govt","")</f>
        <v>99.758003000000002</v>
      </c>
      <c r="C5" s="12">
        <f>[1]!YBHIST("5 Year Treasury",$A5,"Price","govt","")</f>
        <v>100.185997</v>
      </c>
      <c r="D5" s="2">
        <f>[1]!YBHIST("10 Year Treasury",$A5,"Price","govt","")</f>
        <v>101.10900100000001</v>
      </c>
      <c r="E5" s="10">
        <f>[1]!YBHIST("30 Year Treasury",$A5,"Price","govt","")</f>
        <v>104.68800400000001</v>
      </c>
      <c r="F5" s="3">
        <f>[1]!YBHIST("2 Year Treasury",$A5,"YldtoMat","govt","")</f>
        <v>0.247</v>
      </c>
      <c r="G5" s="2">
        <f>[1]!YBHIST("5 Year Treasury",$A5,"YldtoMat","govt","")</f>
        <v>0.83699999999999997</v>
      </c>
      <c r="H5" s="2">
        <f>[1]!YBHIST("10 Year Treasury",$A5,"YldtoMat","govt","")</f>
        <v>1.8759999999999999</v>
      </c>
      <c r="I5" s="10">
        <f>[1]!YBHIST("30 Year Treasury",$A5,"YldtoMat","govt","")</f>
        <v>2.89</v>
      </c>
      <c r="J5" s="3">
        <f>[1]!YBHIST("2yr Swap Rate",$A5,"YldtoMat","swapvol","")</f>
        <v>0.72415099999999999</v>
      </c>
      <c r="K5" s="2">
        <f>[1]!YBHIST("5yr Swap Rate",$A5,"YldtoMat","swapvol","")</f>
        <v>1.2286360000000001</v>
      </c>
      <c r="L5" s="2">
        <f>[1]!YBHIST("10yr Swap Rate",$A5,"YldtoMat","swapvol","")</f>
        <v>2.0364789999999999</v>
      </c>
      <c r="M5" s="10">
        <f>[1]!YBHIST("30yr Swap Rate",$A5,"YldtoMat","swapvol","")</f>
        <v>2.607955</v>
      </c>
      <c r="N5" s="3">
        <f>[1]!YBHIST("FNMA 30YR Cur Coup (BE)",$A5,"Yield","bmk","")</f>
        <v>3.0150000000000001</v>
      </c>
      <c r="O5" s="2">
        <f>[1]!YBHIST("FHLMC 30YR Cur Coup (BE)",$A5,"Yield","bmk","")</f>
        <v>3.0779999999999998</v>
      </c>
      <c r="P5" s="2">
        <f>[1]!YBHIST("GNMA 30YR Cur Coup (BE)",$A5,"Yield","bmk","")</f>
        <v>2.851</v>
      </c>
      <c r="Q5" s="2">
        <f>[1]!YBHIST("Primary 30-Yr Mtg Rate",$A5,"Yield","bmk","")</f>
        <v>4.0164999999999997</v>
      </c>
      <c r="R5" s="2">
        <f>[1]!YBHIST("FHLM 30-Yr Survey Rate",$A5,"Yield","bmk","")</f>
        <v>3.95</v>
      </c>
      <c r="S5" s="10">
        <f>[1]!YBHIST("Base Mortgage Rate",$A5,"Yield","bmk","")</f>
        <v>3.343</v>
      </c>
      <c r="T5" s="4">
        <f>[1]!YBHIST("FNMA 30YR Cur Coup (BE)",$A5,"OAS-Lib","bmk","")</f>
        <v>17</v>
      </c>
      <c r="U5" s="5">
        <f>[1]!YBHIST("FHLMC 30YR Cur Coup (BE)",$A5,"OAS-Lib","bmk","")</f>
        <v>26.014999</v>
      </c>
      <c r="V5" s="5">
        <f>[1]!YBHIST("GNMA 30YR Cur Coup (BE)",$A5,"OAS-Lib","bmk","")</f>
        <v>21</v>
      </c>
      <c r="W5" s="6">
        <f t="shared" ref="W5:W6" si="0">(N5-$H5)*100</f>
        <v>113.90000000000002</v>
      </c>
      <c r="X5" s="6">
        <f t="shared" ref="X5:X6" si="1">(N5-$H5)*100</f>
        <v>113.90000000000002</v>
      </c>
      <c r="Y5" s="6">
        <f t="shared" ref="Y5:Y6" si="2">(O5-$H5)*100</f>
        <v>120.19999999999999</v>
      </c>
      <c r="Z5" s="11">
        <f>[1]!YBHIST("FNMA3.5-GEN",$A5,"Price","tba","")</f>
        <v>102.851562</v>
      </c>
      <c r="AA5" s="12">
        <f>[1]!YBHIST("FNMA4.0-GEN",$A5,"Price","tba","")</f>
        <v>105.03125</v>
      </c>
      <c r="AB5" s="12">
        <f>[1]!YBHIST("FNMA4.5-GEN",$A5,"Price","tba","")</f>
        <v>106.421875</v>
      </c>
      <c r="AC5" s="12">
        <f>[1]!YBHIST("FNMA5.0-GEN",$A5,"Price","tba","")</f>
        <v>108.039062</v>
      </c>
      <c r="AD5" s="12">
        <f>[1]!YBHIST("FNMA5.5-GEN",$A5,"Price","tba","")</f>
        <v>108.898438</v>
      </c>
      <c r="AE5" s="13">
        <f>[1]!YBHIST("FNMA6.0-GEN",$A5,"Price","tba","")</f>
        <v>110.132812</v>
      </c>
      <c r="AF5" s="11">
        <f>[1]!YBHIST(AF$4,$A5,"Price","sec","")</f>
        <v>16.983999000000001</v>
      </c>
      <c r="AG5" s="12">
        <f>[1]!YBHIST(AG$4,$A5,"Price","sec","")</f>
        <v>15.609</v>
      </c>
      <c r="AH5" s="12">
        <f>[1]!YBHIST(AH$4,$A5,"Price","sec","")</f>
        <v>13.406000000000001</v>
      </c>
      <c r="AI5" s="12">
        <f>[1]!YBHIST(AI$4,$A5,"Price","sec","")</f>
        <v>16.469000000000001</v>
      </c>
      <c r="AJ5" s="12">
        <f>[1]!YBHIST(AJ$4,$A5,"Price","sec","")</f>
        <v>13.266</v>
      </c>
      <c r="AK5" s="12">
        <f>[1]!YBHIST(AK$4,$A5,"Price","sec","")</f>
        <v>19.562000000000001</v>
      </c>
      <c r="AL5" s="12">
        <f>[1]!YBHIST(AL$4,$A5,"Price","sec","")</f>
        <v>16.641000999999999</v>
      </c>
      <c r="AM5" s="12">
        <f>[1]!YBHIST(AM$4,$A5,"Price","sec","")</f>
        <v>13.077999999999999</v>
      </c>
      <c r="AN5" s="12">
        <f>[1]!YBHIST(AN$4,$A5,"Price","sec","")</f>
        <v>14.327999999999999</v>
      </c>
      <c r="AO5" s="12">
        <f>[1]!YBHIST(AO$4,$A5,"Price","sec","")</f>
        <v>14.468999999999999</v>
      </c>
      <c r="AP5" s="12">
        <f>[1]!YBHIST(AP$4,$A5,"Price","sec","")</f>
        <v>12.561999999999999</v>
      </c>
      <c r="AQ5" s="12">
        <f>[1]!YBHIST(AQ$4,$A5,"Price","sec","")</f>
        <v>14.702999999999999</v>
      </c>
      <c r="AR5" s="12">
        <f>[1]!YBHIST(AR$4,$A5,"Price","sec","")</f>
        <v>14.25</v>
      </c>
      <c r="AS5" s="12">
        <f>[1]!YBHIST(AS$4,$A5,"Price","sec","")</f>
        <v>14.656000000000001</v>
      </c>
      <c r="AT5" s="12">
        <f>[1]!YBHIST(AT$4,$A5,"Price","sec","")</f>
        <v>16.983999000000001</v>
      </c>
      <c r="AU5" s="12">
        <f>[1]!YBHIST(AU$4,$A5,"Price","sec","")</f>
        <v>20.983999000000001</v>
      </c>
      <c r="AV5" s="12">
        <f>[1]!YBHIST(AV$4,$A5,"Price","sec","")</f>
        <v>20.077998999999998</v>
      </c>
      <c r="AW5" s="12">
        <f>[1]!YBHIST(AW$4,$A5,"Price","sec","")</f>
        <v>20.344000000000001</v>
      </c>
      <c r="AX5" s="6">
        <f>[1]!YBHIST(AX$4,$A5,"OAS-Lib","sec","")</f>
        <v>-220.05999800000001</v>
      </c>
      <c r="AY5" s="29">
        <f>[1]!YBHIST(AY$4,$A5,"OAS-Lib","sec","")</f>
        <v>-146.21000699999999</v>
      </c>
      <c r="AZ5" s="29">
        <f>[1]!YBHIST(AZ$4,$A5,"OAS-Lib","sec","")</f>
        <v>61.970001000000003</v>
      </c>
      <c r="BA5" s="29">
        <f>[1]!YBHIST(BA$4,$A5,"OAS-Lib","sec","")</f>
        <v>-237.86000100000001</v>
      </c>
      <c r="BB5" s="6">
        <f>[1]!YBHIST(BB$4,$A5,"OAS-Lib","sec","")</f>
        <v>135.949997</v>
      </c>
      <c r="BC5" s="29">
        <f>[1]!YBHIST(BC$4,$A5,"OAS-Lib","sec","")</f>
        <v>-219.070007</v>
      </c>
      <c r="BD5" s="6">
        <f>[1]!YBHIST(BD$4,$A5,"OAS-Lib","sec","")</f>
        <v>9.5500000000000007</v>
      </c>
      <c r="BE5" s="29">
        <f>[1]!YBHIST(BE$4,$A5,"OAS-Lib","sec","")</f>
        <v>786.28997800000002</v>
      </c>
      <c r="BF5" s="29">
        <f>[1]!YBHIST(BF$4,$A5,"OAS-Lib","sec","")</f>
        <v>790.02002000000005</v>
      </c>
      <c r="BG5" s="29">
        <f>[1]!YBHIST(BG$4,$A5,"OAS-Lib","sec","")</f>
        <v>420.57000699999998</v>
      </c>
      <c r="BH5" s="6">
        <f>[1]!YBHIST(BH$4,$A5,"OAS-Lib","sec","")</f>
        <v>1312.349976</v>
      </c>
      <c r="BI5" s="29">
        <f>[1]!YBHIST(BI$4,$A5,"OAS-Lib","sec","")</f>
        <v>859.72997999999995</v>
      </c>
      <c r="BJ5" s="29">
        <f>[1]!YBHIST(BJ$4,$A5,"OAS-Lib","sec","")</f>
        <v>716.88000499999998</v>
      </c>
      <c r="BK5" s="6">
        <f>[1]!YBHIST(BK$4,$A5,"OAS-Lib","sec","")</f>
        <v>626.69000200000005</v>
      </c>
      <c r="BL5" s="7">
        <f>[1]!YBHIST(BL$4,$A5,"OAS-Lib","sec","")</f>
        <v>727.53002900000001</v>
      </c>
      <c r="BM5" s="29">
        <f>[1]!YBHIST(BM$4,$A5,"OAS-Lib","sec","")</f>
        <v>-241.35000600000001</v>
      </c>
      <c r="BN5" s="29">
        <f>[1]!YBHIST(BN$4,$A5,"OAS-Lib","sec","")</f>
        <v>-179.270004</v>
      </c>
      <c r="BO5" s="29">
        <f>[1]!YBHIST(BO$4,$A5,"OAS-Lib","sec","")</f>
        <v>-17.799999</v>
      </c>
      <c r="BP5" s="3"/>
      <c r="BQ5" s="1"/>
      <c r="BR5" s="1"/>
    </row>
    <row r="6" spans="1:72" x14ac:dyDescent="0.25">
      <c r="A6" s="22">
        <f>[1]!ybworkday(A$5,-1*(ROW()-ROW(A$5)),"USD","")</f>
        <v>40906</v>
      </c>
      <c r="B6" s="3">
        <f>[1]!YBHIST("2 Year Treasury",$A6,"Price","govt","")</f>
        <v>99.719002000000003</v>
      </c>
      <c r="C6" s="2">
        <f>[1]!YBHIST("5 Year Treasury",$A6,"Price","govt","")</f>
        <v>100.01599899999999</v>
      </c>
      <c r="D6" s="2">
        <f>[1]!YBHIST("10 Year Treasury",$A6,"Price","govt","")</f>
        <v>100.93800400000001</v>
      </c>
      <c r="E6" s="10">
        <f>[1]!YBHIST("30 Year Treasury",$A6,"Price","govt","")</f>
        <v>104.328003</v>
      </c>
      <c r="F6" s="3">
        <f>[1]!YBHIST("2 Year Treasury",$A6,"YldtoMat","govt","")</f>
        <v>0.26700000000000002</v>
      </c>
      <c r="G6" s="2">
        <f>[1]!YBHIST("5 Year Treasury",$A6,"YldtoMat","govt","")</f>
        <v>0.872</v>
      </c>
      <c r="H6" s="2">
        <f>[1]!YBHIST("10 Year Treasury",$A6,"YldtoMat","govt","")</f>
        <v>1.895</v>
      </c>
      <c r="I6" s="10">
        <f>[1]!YBHIST("30 Year Treasury",$A6,"YldtoMat","govt","")</f>
        <v>2.907</v>
      </c>
      <c r="J6" s="3">
        <f>[1]!YBHIST("2yr Swap Rate",$A6,"YldtoMat","swapvol","")</f>
        <v>0.75813299999999995</v>
      </c>
      <c r="K6" s="2">
        <f>[1]!YBHIST("5yr Swap Rate",$A6,"YldtoMat","swapvol","")</f>
        <v>1.2623230000000001</v>
      </c>
      <c r="L6" s="2">
        <f>[1]!YBHIST("10yr Swap Rate",$A6,"YldtoMat","swapvol","")</f>
        <v>2.0554830000000002</v>
      </c>
      <c r="M6" s="10">
        <f>[1]!YBHIST("30yr Swap Rate",$A6,"YldtoMat","swapvol","")</f>
        <v>2.6204190000000001</v>
      </c>
      <c r="N6" s="3">
        <f>[1]!YBHIST("FNMA 30YR Cur Coup (BE)",$A6,"Yield","bmk","")</f>
        <v>3.0289999999999999</v>
      </c>
      <c r="O6" s="2">
        <f>[1]!YBHIST("FHLMC 30YR Cur Coup (BE)",$A6,"Yield","bmk","")</f>
        <v>3.0819999999999999</v>
      </c>
      <c r="P6" s="2">
        <f>[1]!YBHIST("GNMA 30YR Cur Coup (BE)",$A6,"Yield","bmk","")</f>
        <v>2.8650000000000002</v>
      </c>
      <c r="Q6" s="2">
        <f>[1]!YBHIST("Primary 30-Yr Mtg Rate",$A6,"Yield","bmk","")</f>
        <v>4.0284000000000004</v>
      </c>
      <c r="R6" s="2">
        <f>[1]!YBHIST("FHLM 30-Yr Survey Rate",$A6,"Yield","bmk","")</f>
        <v>3.95</v>
      </c>
      <c r="S6" s="10">
        <f>[1]!YBHIST("Base Mortgage Rate",$A6,"Yield","bmk","")</f>
        <v>3.355</v>
      </c>
      <c r="T6" s="27">
        <f>[1]!YBHIST("FNMA 30YR Cur Coup (BE)",$A6,"OAS-Lib","bmk","")</f>
        <v>15</v>
      </c>
      <c r="U6" s="28">
        <f>[1]!YBHIST("FHLMC 30YR Cur Coup (BE)",$A6,"OAS-Lib","bmk","")</f>
        <v>21.941998999999999</v>
      </c>
      <c r="V6" s="28">
        <f>[1]!YBHIST("GNMA 30YR Cur Coup (BE)",$A6,"OAS-Lib","bmk","")</f>
        <v>19</v>
      </c>
      <c r="W6" s="29">
        <f t="shared" si="0"/>
        <v>113.39999999999999</v>
      </c>
      <c r="X6" s="29">
        <f t="shared" si="1"/>
        <v>113.39999999999999</v>
      </c>
      <c r="Y6" s="29">
        <f t="shared" si="2"/>
        <v>118.69999999999999</v>
      </c>
      <c r="Z6" s="3">
        <f>[1]!YBHIST("FNMA3.5-GEN",$A6,"Price","tba","")</f>
        <v>102.757812</v>
      </c>
      <c r="AA6" s="2">
        <f>[1]!YBHIST("FNMA4.0-GEN",$A6,"Price","tba","")</f>
        <v>104.9375</v>
      </c>
      <c r="AB6" s="2">
        <f>[1]!YBHIST("FNMA4.5-GEN",$A6,"Price","tba","")</f>
        <v>106.367188</v>
      </c>
      <c r="AC6" s="2">
        <f>[1]!YBHIST("FNMA5.0-GEN",$A6,"Price","tba","")</f>
        <v>107.976562</v>
      </c>
      <c r="AD6" s="2">
        <f>[1]!YBHIST("FNMA5.5-GEN",$A6,"Price","tba","")</f>
        <v>108.796875</v>
      </c>
      <c r="AE6" s="10">
        <f>[1]!YBHIST("FNMA6.0-GEN",$A6,"Price","tba","")</f>
        <v>110.046875</v>
      </c>
      <c r="AF6" s="3">
        <f>[1]!YBHIST(AF$4,$A6,"Price","sec","")</f>
        <v>17.062000000000001</v>
      </c>
      <c r="AG6" s="2">
        <f>[1]!YBHIST(AG$4,$A6,"Price","sec","")</f>
        <v>15.702999999999999</v>
      </c>
      <c r="AH6" s="2">
        <f>[1]!YBHIST(AH$4,$A6,"Price","sec","")</f>
        <v>13.5</v>
      </c>
      <c r="AI6" s="2">
        <f>[1]!YBHIST(AI$4,$A6,"Price","sec","")</f>
        <v>16.547001000000002</v>
      </c>
      <c r="AJ6" s="2">
        <f>[1]!YBHIST(AJ$4,$A6,"Price","sec","")</f>
        <v>13.359</v>
      </c>
      <c r="AK6" s="2">
        <f>[1]!YBHIST(AK$4,$A6,"Price","sec","")</f>
        <v>19.625</v>
      </c>
      <c r="AL6" s="2">
        <f>[1]!YBHIST(AL$4,$A6,"Price","sec","")</f>
        <v>16.702998999999998</v>
      </c>
      <c r="AM6" s="2">
        <f>[1]!YBHIST(AM$4,$A6,"Price","sec","")</f>
        <v>13.125</v>
      </c>
      <c r="AN6" s="2">
        <f>[1]!YBHIST(AN$4,$A6,"Price","sec","")</f>
        <v>14.391</v>
      </c>
      <c r="AO6" s="2">
        <f>[1]!YBHIST(AO$4,$A6,"Price","sec","")</f>
        <v>14.516</v>
      </c>
      <c r="AP6" s="2">
        <f>[1]!YBHIST(AP$4,$A6,"Price","sec","")</f>
        <v>12.609</v>
      </c>
      <c r="AQ6" s="2">
        <f>[1]!YBHIST(AQ$4,$A6,"Price","sec","")</f>
        <v>14.734</v>
      </c>
      <c r="AR6" s="2">
        <f>[1]!YBHIST(AR$4,$A6,"Price","sec","")</f>
        <v>14.297000000000001</v>
      </c>
      <c r="AS6" s="2">
        <f>[1]!YBHIST(AS$4,$A6,"Price","sec","")</f>
        <v>14.688000000000001</v>
      </c>
      <c r="AT6" s="2">
        <f>[1]!YBHIST(AT$4,$A6,"Price","sec","")</f>
        <v>17</v>
      </c>
      <c r="AU6" s="2">
        <f>[1]!YBHIST(AU$4,$A6,"Price","sec","")</f>
        <v>21.047001000000002</v>
      </c>
      <c r="AV6" s="2">
        <f>[1]!YBHIST(AV$4,$A6,"Price","sec","")</f>
        <v>20.155999999999999</v>
      </c>
      <c r="AW6" s="10">
        <f>[1]!YBHIST(AW$4,$A6,"Price","sec","")</f>
        <v>20.405999999999999</v>
      </c>
      <c r="AX6" s="29">
        <f>[1]!YBHIST(AX$4,$A6,"OAS-Lib","sec","")</f>
        <v>-228.729996</v>
      </c>
      <c r="AY6" s="29">
        <f>[1]!YBHIST(AY$4,$A6,"OAS-Lib","sec","")</f>
        <v>-152.36000100000001</v>
      </c>
      <c r="AZ6" s="2">
        <f>[1]!YBHIST(AZ$4,$A6,"OAS-Lib","sec","")</f>
        <v>53.700001</v>
      </c>
      <c r="BA6" s="2">
        <f>[1]!YBHIST(BA$4,$A6,"OAS-Lib","sec","")</f>
        <v>-239.83999600000001</v>
      </c>
      <c r="BB6" s="29">
        <f>[1]!YBHIST(BB$4,$A6,"OAS-Lib","sec","")</f>
        <v>128.75</v>
      </c>
      <c r="BC6" s="2">
        <f>[1]!YBHIST(BC$4,$A6,"OAS-Lib","sec","")</f>
        <v>-220.86999499999999</v>
      </c>
      <c r="BD6" s="29">
        <f>[1]!YBHIST(BD$4,$A6,"OAS-Lib","sec","")</f>
        <v>6.96</v>
      </c>
      <c r="BE6" s="2">
        <f>[1]!YBHIST(BE$4,$A6,"OAS-Lib","sec","")</f>
        <v>781.59997599999997</v>
      </c>
      <c r="BF6" s="2">
        <f>[1]!YBHIST(BF$4,$A6,"OAS-Lib","sec","")</f>
        <v>780.17999299999997</v>
      </c>
      <c r="BG6" s="2">
        <f>[1]!YBHIST(BG$4,$A6,"OAS-Lib","sec","")</f>
        <v>416.5</v>
      </c>
      <c r="BH6" s="29">
        <f>[1]!YBHIST(BH$4,$A6,"OAS-Lib","sec","")</f>
        <v>1304.0500489999999</v>
      </c>
      <c r="BI6" s="2">
        <f>[1]!YBHIST(BI$4,$A6,"OAS-Lib","sec","")</f>
        <v>857.40997300000004</v>
      </c>
      <c r="BJ6" s="2">
        <f>[1]!YBHIST(BJ$4,$A6,"OAS-Lib","sec","")</f>
        <v>711.28997800000002</v>
      </c>
      <c r="BK6" s="29">
        <f>[1]!YBHIST(BK$4,$A6,"OAS-Lib","sec","")</f>
        <v>624.21997099999999</v>
      </c>
      <c r="BL6" s="30">
        <f>[1]!YBHIST(BL$4,$A6,"OAS-Lib","sec","")</f>
        <v>726.22997999999995</v>
      </c>
      <c r="BM6" s="2">
        <f>[1]!YBHIST(BM$4,$A6,"OAS-Lib","sec","")</f>
        <v>-249.71000699999999</v>
      </c>
      <c r="BN6" s="2">
        <f>[1]!YBHIST(BN$4,$A6,"OAS-Lib","sec","")</f>
        <v>-186.08999600000001</v>
      </c>
      <c r="BO6" s="10">
        <f>[1]!YBHIST(BO$4,$A6,"OAS-Lib","sec","")</f>
        <v>-22.610001</v>
      </c>
      <c r="BP6" s="9"/>
      <c r="BQ6" s="1"/>
      <c r="BR6" s="1"/>
    </row>
    <row r="7" spans="1:72" x14ac:dyDescent="0.25">
      <c r="A7" s="22">
        <f>[1]!ybworkday(A$5,-1*(ROW()-ROW(A$5)),"USD","")</f>
        <v>40905</v>
      </c>
      <c r="B7" s="3">
        <f>[1]!YBHIST("2 Year Treasury",$A7,"Price","govt","")</f>
        <v>99.710999000000001</v>
      </c>
      <c r="C7" s="2">
        <f>[1]!YBHIST("5 Year Treasury",$A7,"Price","govt","")</f>
        <v>99.866996999999998</v>
      </c>
      <c r="D7" s="2">
        <f>[1]!YBHIST("10 Year Treasury",$A7,"Price","govt","")</f>
        <v>100.844002</v>
      </c>
      <c r="E7" s="10">
        <f>[1]!YBHIST("30 Year Treasury",$A7,"Price","govt","")</f>
        <v>104.546997</v>
      </c>
      <c r="F7" s="3">
        <f>[1]!YBHIST("2 Year Treasury",$A7,"YldtoMat","govt","")</f>
        <v>0.27100000000000002</v>
      </c>
      <c r="G7" s="2">
        <f>[1]!YBHIST("5 Year Treasury",$A7,"YldtoMat","govt","")</f>
        <v>0.90200000000000002</v>
      </c>
      <c r="H7" s="2">
        <f>[1]!YBHIST("10 Year Treasury",$A7,"YldtoMat","govt","")</f>
        <v>1.9059999999999999</v>
      </c>
      <c r="I7" s="10">
        <f>[1]!YBHIST("30 Year Treasury",$A7,"YldtoMat","govt","")</f>
        <v>2.8959999999999999</v>
      </c>
      <c r="J7" s="3">
        <f>[1]!YBHIST("2yr Swap Rate",$A7,"YldtoMat","swapvol","")</f>
        <v>0.77899799999999997</v>
      </c>
      <c r="K7" s="2">
        <f>[1]!YBHIST("5yr Swap Rate",$A7,"YldtoMat","swapvol","")</f>
        <v>1.299582</v>
      </c>
      <c r="L7" s="2">
        <f>[1]!YBHIST("10yr Swap Rate",$A7,"YldtoMat","swapvol","")</f>
        <v>2.0673499999999998</v>
      </c>
      <c r="M7" s="10">
        <f>[1]!YBHIST("30yr Swap Rate",$A7,"YldtoMat","swapvol","")</f>
        <v>2.6118589999999999</v>
      </c>
      <c r="N7" s="3">
        <f>[1]!YBHIST("FNMA 30YR Cur Coup (BE)",$A7,"Yield","bmk","")</f>
        <v>3.0489999999999999</v>
      </c>
      <c r="O7" s="2">
        <f>[1]!YBHIST("FHLMC 30YR Cur Coup (BE)",$A7,"Yield","bmk","")</f>
        <v>3.0859999999999999</v>
      </c>
      <c r="P7" s="2">
        <f>[1]!YBHIST("GNMA 30YR Cur Coup (BE)",$A7,"Yield","bmk","")</f>
        <v>2.8849999999999998</v>
      </c>
      <c r="Q7" s="2">
        <f>[1]!YBHIST("Primary 30-Yr Mtg Rate",$A7,"Yield","bmk","")</f>
        <v>4.0693000000000001</v>
      </c>
      <c r="R7" s="2">
        <f>[1]!YBHIST("FHLM 30-Yr Survey Rate",$A7,"Yield","bmk","")</f>
        <v>3.91</v>
      </c>
      <c r="S7" s="10">
        <f>[1]!YBHIST("Base Mortgage Rate",$A7,"Yield","bmk","")</f>
        <v>3.3730000000000002</v>
      </c>
      <c r="T7" s="27">
        <f>[1]!YBHIST("FNMA 30YR Cur Coup (BE)",$A7,"OAS-Lib","bmk","")</f>
        <v>16</v>
      </c>
      <c r="U7" s="28">
        <f>[1]!YBHIST("FHLMC 30YR Cur Coup (BE)",$A7,"OAS-Lib","bmk","")</f>
        <v>21.070999</v>
      </c>
      <c r="V7" s="28">
        <f>[1]!YBHIST("GNMA 30YR Cur Coup (BE)",$A7,"OAS-Lib","bmk","")</f>
        <v>20</v>
      </c>
      <c r="W7" s="29">
        <f t="shared" ref="W7:W67" si="3">(N7-$H7)*100</f>
        <v>114.3</v>
      </c>
      <c r="X7" s="29">
        <f t="shared" ref="X7:X67" si="4">(N7-$H7)*100</f>
        <v>114.3</v>
      </c>
      <c r="Y7" s="29">
        <f t="shared" ref="Y7:Y67" si="5">(O7-$H7)*100</f>
        <v>118</v>
      </c>
      <c r="Z7" s="3">
        <f>[1]!YBHIST("FNMA3.5-GEN",$A7,"Price","tba","")</f>
        <v>102.59375</v>
      </c>
      <c r="AA7" s="2">
        <f>[1]!YBHIST("FNMA4.0-GEN",$A7,"Price","tba","")</f>
        <v>104.765625</v>
      </c>
      <c r="AB7" s="2">
        <f>[1]!YBHIST("FNMA4.5-GEN",$A7,"Price","tba","")</f>
        <v>106.234375</v>
      </c>
      <c r="AC7" s="2">
        <f>[1]!YBHIST("FNMA5.0-GEN",$A7,"Price","tba","")</f>
        <v>107.835938</v>
      </c>
      <c r="AD7" s="2">
        <f>[1]!YBHIST("FNMA5.5-GEN",$A7,"Price","tba","")</f>
        <v>108.640625</v>
      </c>
      <c r="AE7" s="10">
        <f>[1]!YBHIST("FNMA6.0-GEN",$A7,"Price","tba","")</f>
        <v>109.875</v>
      </c>
      <c r="AF7" s="3">
        <f>[1]!YBHIST(AF$4,$A7,"Price","sec","")</f>
        <v>17.187999999999999</v>
      </c>
      <c r="AG7" s="2">
        <f>[1]!YBHIST(AG$4,$A7,"Price","sec","")</f>
        <v>15.859</v>
      </c>
      <c r="AH7" s="2">
        <f>[1]!YBHIST(AH$4,$A7,"Price","sec","")</f>
        <v>13.688000000000001</v>
      </c>
      <c r="AI7" s="2">
        <f>[1]!YBHIST(AI$4,$A7,"Price","sec","")</f>
        <v>16.687999999999999</v>
      </c>
      <c r="AJ7" s="2">
        <f>[1]!YBHIST(AJ$4,$A7,"Price","sec","")</f>
        <v>13.516</v>
      </c>
      <c r="AK7" s="2">
        <f>[1]!YBHIST(AK$4,$A7,"Price","sec","")</f>
        <v>19.75</v>
      </c>
      <c r="AL7" s="2">
        <f>[1]!YBHIST(AL$4,$A7,"Price","sec","")</f>
        <v>16.827998999999998</v>
      </c>
      <c r="AM7" s="2">
        <f>[1]!YBHIST(AM$4,$A7,"Price","sec","")</f>
        <v>13.25</v>
      </c>
      <c r="AN7" s="2">
        <f>[1]!YBHIST(AN$4,$A7,"Price","sec","")</f>
        <v>14.5</v>
      </c>
      <c r="AO7" s="2">
        <f>[1]!YBHIST(AO$4,$A7,"Price","sec","")</f>
        <v>14.625</v>
      </c>
      <c r="AP7" s="2">
        <f>[1]!YBHIST(AP$4,$A7,"Price","sec","")</f>
        <v>12.656000000000001</v>
      </c>
      <c r="AQ7" s="2">
        <f>[1]!YBHIST(AQ$4,$A7,"Price","sec","")</f>
        <v>14.781000000000001</v>
      </c>
      <c r="AR7" s="2">
        <f>[1]!YBHIST(AR$4,$A7,"Price","sec","")</f>
        <v>14.343999999999999</v>
      </c>
      <c r="AS7" s="2">
        <f>[1]!YBHIST(AS$4,$A7,"Price","sec","")</f>
        <v>14.734</v>
      </c>
      <c r="AT7" s="2">
        <f>[1]!YBHIST(AT$4,$A7,"Price","sec","")</f>
        <v>17</v>
      </c>
      <c r="AU7" s="2">
        <f>[1]!YBHIST(AU$4,$A7,"Price","sec","")</f>
        <v>21.155999999999999</v>
      </c>
      <c r="AV7" s="2">
        <f>[1]!YBHIST(AV$4,$A7,"Price","sec","")</f>
        <v>20.297001000000002</v>
      </c>
      <c r="AW7" s="10">
        <f>[1]!YBHIST(AW$4,$A7,"Price","sec","")</f>
        <v>20.547001000000002</v>
      </c>
      <c r="AX7" s="29">
        <f>[1]!YBHIST(AX$4,$A7,"OAS-Lib","sec","")</f>
        <v>-226.64999399999999</v>
      </c>
      <c r="AY7" s="29">
        <f>[1]!YBHIST(AY$4,$A7,"OAS-Lib","sec","")</f>
        <v>-152.83000200000001</v>
      </c>
      <c r="AZ7" s="2">
        <f>[1]!YBHIST(AZ$4,$A7,"OAS-Lib","sec","")</f>
        <v>42.91</v>
      </c>
      <c r="BA7" s="2">
        <f>[1]!YBHIST(BA$4,$A7,"OAS-Lib","sec","")</f>
        <v>-238.779999</v>
      </c>
      <c r="BB7" s="29">
        <f>[1]!YBHIST(BB$4,$A7,"OAS-Lib","sec","")</f>
        <v>121.379997</v>
      </c>
      <c r="BC7" s="2">
        <f>[1]!YBHIST(BC$4,$A7,"OAS-Lib","sec","")</f>
        <v>-220.449997</v>
      </c>
      <c r="BD7" s="29">
        <f>[1]!YBHIST(BD$4,$A7,"OAS-Lib","sec","")</f>
        <v>4.82</v>
      </c>
      <c r="BE7" s="2">
        <f>[1]!YBHIST(BE$4,$A7,"OAS-Lib","sec","")</f>
        <v>767.919983</v>
      </c>
      <c r="BF7" s="2">
        <f>[1]!YBHIST(BF$4,$A7,"OAS-Lib","sec","")</f>
        <v>766.26000999999997</v>
      </c>
      <c r="BG7" s="2">
        <f>[1]!YBHIST(BG$4,$A7,"OAS-Lib","sec","")</f>
        <v>406.959991</v>
      </c>
      <c r="BH7" s="29">
        <f>[1]!YBHIST(BH$4,$A7,"OAS-Lib","sec","")</f>
        <v>1303.959961</v>
      </c>
      <c r="BI7" s="2">
        <f>[1]!YBHIST(BI$4,$A7,"OAS-Lib","sec","")</f>
        <v>854.76000999999997</v>
      </c>
      <c r="BJ7" s="2">
        <f>[1]!YBHIST(BJ$4,$A7,"OAS-Lib","sec","")</f>
        <v>713.21002199999998</v>
      </c>
      <c r="BK7" s="29">
        <f>[1]!YBHIST(BK$4,$A7,"OAS-Lib","sec","")</f>
        <v>620.95001200000002</v>
      </c>
      <c r="BL7" s="30">
        <f>[1]!YBHIST(BL$4,$A7,"OAS-Lib","sec","")</f>
        <v>731.669983</v>
      </c>
      <c r="BM7" s="2">
        <f>[1]!YBHIST(BM$4,$A7,"OAS-Lib","sec","")</f>
        <v>-249.91999799999999</v>
      </c>
      <c r="BN7" s="2">
        <f>[1]!YBHIST(BN$4,$A7,"OAS-Lib","sec","")</f>
        <v>-189.88999899999999</v>
      </c>
      <c r="BO7" s="10">
        <f>[1]!YBHIST(BO$4,$A7,"OAS-Lib","sec","")</f>
        <v>-29.440000999999999</v>
      </c>
      <c r="BP7" s="9"/>
      <c r="BQ7" s="1"/>
      <c r="BR7" s="1"/>
    </row>
    <row r="8" spans="1:72" x14ac:dyDescent="0.25">
      <c r="A8" s="22">
        <f>[1]!ybworkday(A$5,-1*(ROW()-ROW(A$5)),"USD","")</f>
        <v>40904</v>
      </c>
      <c r="B8" s="3">
        <f>[1]!YBHIST("2 Year Treasury",$A8,"Price","govt","")</f>
        <v>99.664000999999999</v>
      </c>
      <c r="C8" s="2">
        <f>[1]!YBHIST("5 Year Treasury",$A8,"Price","govt","")</f>
        <v>99.555000000000007</v>
      </c>
      <c r="D8" s="2">
        <f>[1]!YBHIST("10 Year Treasury",$A8,"Price","govt","")</f>
        <v>99.890998999999994</v>
      </c>
      <c r="E8" s="10">
        <f>[1]!YBHIST("30 Year Treasury",$A8,"Price","govt","")</f>
        <v>101.719002</v>
      </c>
      <c r="F8" s="3">
        <f>[1]!YBHIST("2 Year Treasury",$A8,"YldtoMat","govt","")</f>
        <v>0.29399999999999998</v>
      </c>
      <c r="G8" s="2">
        <f>[1]!YBHIST("5 Year Treasury",$A8,"YldtoMat","govt","")</f>
        <v>0.96699999999999997</v>
      </c>
      <c r="H8" s="2">
        <f>[1]!YBHIST("10 Year Treasury",$A8,"YldtoMat","govt","")</f>
        <v>2.012</v>
      </c>
      <c r="I8" s="10">
        <f>[1]!YBHIST("30 Year Treasury",$A8,"YldtoMat","govt","")</f>
        <v>3.0369999999999999</v>
      </c>
      <c r="J8" s="3">
        <f>[1]!YBHIST("2yr Swap Rate",$A8,"YldtoMat","swapvol","")</f>
        <v>0.779671</v>
      </c>
      <c r="K8" s="2">
        <f>[1]!YBHIST("5yr Swap Rate",$A8,"YldtoMat","swapvol","")</f>
        <v>1.3536950000000001</v>
      </c>
      <c r="L8" s="2">
        <f>[1]!YBHIST("10yr Swap Rate",$A8,"YldtoMat","swapvol","")</f>
        <v>2.1711659999999999</v>
      </c>
      <c r="M8" s="10">
        <f>[1]!YBHIST("30yr Swap Rate",$A8,"YldtoMat","swapvol","")</f>
        <v>2.7448739999999998</v>
      </c>
      <c r="N8" s="3">
        <f>[1]!YBHIST("FNMA 30YR Cur Coup (BE)",$A8,"Yield","bmk","")</f>
        <v>3.1520000000000001</v>
      </c>
      <c r="O8" s="2">
        <f>[1]!YBHIST("FHLMC 30YR Cur Coup (BE)",$A8,"Yield","bmk","")</f>
        <v>3.1920000000000002</v>
      </c>
      <c r="P8" s="2">
        <f>[1]!YBHIST("GNMA 30YR Cur Coup (BE)",$A8,"Yield","bmk","")</f>
        <v>2.988</v>
      </c>
      <c r="Q8" s="2">
        <f>[1]!YBHIST("Primary 30-Yr Mtg Rate",$A8,"Yield","bmk","")</f>
        <v>4.1715</v>
      </c>
      <c r="R8" s="2">
        <f>[1]!YBHIST("FHLM 30-Yr Survey Rate",$A8,"Yield","bmk","")</f>
        <v>3.91</v>
      </c>
      <c r="S8" s="10">
        <f>[1]!YBHIST("Base Mortgage Rate",$A8,"Yield","bmk","")</f>
        <v>3.4750000000000001</v>
      </c>
      <c r="T8" s="27">
        <f>[1]!YBHIST("FNMA 30YR Cur Coup (BE)",$A8,"OAS-Lib","bmk","")</f>
        <v>19.128</v>
      </c>
      <c r="U8" s="28">
        <f>[1]!YBHIST("FHLMC 30YR Cur Coup (BE)",$A8,"OAS-Lib","bmk","")</f>
        <v>22.452998999999998</v>
      </c>
      <c r="V8" s="28">
        <f>[1]!YBHIST("GNMA 30YR Cur Coup (BE)",$A8,"OAS-Lib","bmk","")</f>
        <v>24</v>
      </c>
      <c r="W8" s="29">
        <f t="shared" si="3"/>
        <v>114.00000000000001</v>
      </c>
      <c r="X8" s="29">
        <f t="shared" si="4"/>
        <v>114.00000000000001</v>
      </c>
      <c r="Y8" s="29">
        <f t="shared" si="5"/>
        <v>118.00000000000001</v>
      </c>
      <c r="Z8" s="3">
        <f>[1]!YBHIST("FNMA3.5-GEN",$A8,"Price","tba","")</f>
        <v>102.09375</v>
      </c>
      <c r="AA8" s="2">
        <f>[1]!YBHIST("FNMA4.0-GEN",$A8,"Price","tba","")</f>
        <v>104.429688</v>
      </c>
      <c r="AB8" s="2">
        <f>[1]!YBHIST("FNMA4.5-GEN",$A8,"Price","tba","")</f>
        <v>106.03125</v>
      </c>
      <c r="AC8" s="2">
        <f>[1]!YBHIST("FNMA5.0-GEN",$A8,"Price","tba","")</f>
        <v>107.710938</v>
      </c>
      <c r="AD8" s="2">
        <f>[1]!YBHIST("FNMA5.5-GEN",$A8,"Price","tba","")</f>
        <v>108.546875</v>
      </c>
      <c r="AE8" s="10">
        <f>[1]!YBHIST("FNMA6.0-GEN",$A8,"Price","tba","")</f>
        <v>109.796875</v>
      </c>
      <c r="AF8" s="3">
        <f>[1]!YBHIST(AF$4,$A8,"Price","sec","")</f>
        <v>17.812000000000001</v>
      </c>
      <c r="AG8" s="2">
        <f>[1]!YBHIST(AG$4,$A8,"Price","sec","")</f>
        <v>16.577998999999998</v>
      </c>
      <c r="AH8" s="2">
        <f>[1]!YBHIST(AH$4,$A8,"Price","sec","")</f>
        <v>14.438000000000001</v>
      </c>
      <c r="AI8" s="2">
        <f>[1]!YBHIST(AI$4,$A8,"Price","sec","")</f>
        <v>17.437999999999999</v>
      </c>
      <c r="AJ8" s="2">
        <f>[1]!YBHIST(AJ$4,$A8,"Price","sec","")</f>
        <v>14.281000000000001</v>
      </c>
      <c r="AK8" s="2">
        <f>[1]!YBHIST(AK$4,$A8,"Price","sec","")</f>
        <v>20.391000999999999</v>
      </c>
      <c r="AL8" s="2">
        <f>[1]!YBHIST(AL$4,$A8,"Price","sec","")</f>
        <v>17.483999000000001</v>
      </c>
      <c r="AM8" s="2">
        <f>[1]!YBHIST(AM$4,$A8,"Price","sec","")</f>
        <v>13.843999999999999</v>
      </c>
      <c r="AN8" s="2">
        <f>[1]!YBHIST(AN$4,$A8,"Price","sec","")</f>
        <v>15.031000000000001</v>
      </c>
      <c r="AO8" s="2">
        <f>[1]!YBHIST(AO$4,$A8,"Price","sec","")</f>
        <v>15.172000000000001</v>
      </c>
      <c r="AP8" s="2">
        <f>[1]!YBHIST(AP$4,$A8,"Price","sec","")</f>
        <v>13.031000000000001</v>
      </c>
      <c r="AQ8" s="2">
        <f>[1]!YBHIST(AQ$4,$A8,"Price","sec","")</f>
        <v>15.141</v>
      </c>
      <c r="AR8" s="2">
        <f>[1]!YBHIST(AR$4,$A8,"Price","sec","")</f>
        <v>14.702999999999999</v>
      </c>
      <c r="AS8" s="2">
        <f>[1]!YBHIST(AS$4,$A8,"Price","sec","")</f>
        <v>14.984</v>
      </c>
      <c r="AT8" s="2">
        <f>[1]!YBHIST(AT$4,$A8,"Price","sec","")</f>
        <v>17.155999999999999</v>
      </c>
      <c r="AU8" s="2">
        <f>[1]!YBHIST(AU$4,$A8,"Price","sec","")</f>
        <v>21.608999000000001</v>
      </c>
      <c r="AV8" s="2">
        <f>[1]!YBHIST(AV$4,$A8,"Price","sec","")</f>
        <v>20.844000000000001</v>
      </c>
      <c r="AW8" s="10">
        <f>[1]!YBHIST(AW$4,$A8,"Price","sec","")</f>
        <v>21.141000999999999</v>
      </c>
      <c r="AX8" s="29">
        <f>[1]!YBHIST(AX$4,$A8,"OAS-Lib","sec","")</f>
        <v>-172.050003</v>
      </c>
      <c r="AY8" s="29">
        <f>[1]!YBHIST(AY$4,$A8,"OAS-Lib","sec","")</f>
        <v>-106.82</v>
      </c>
      <c r="AZ8" s="2">
        <f>[1]!YBHIST(AZ$4,$A8,"OAS-Lib","sec","")</f>
        <v>64.5</v>
      </c>
      <c r="BA8" s="2">
        <f>[1]!YBHIST(BA$4,$A8,"OAS-Lib","sec","")</f>
        <v>-200.41000399999999</v>
      </c>
      <c r="BB8" s="29">
        <f>[1]!YBHIST(BB$4,$A8,"OAS-Lib","sec","")</f>
        <v>130.21000699999999</v>
      </c>
      <c r="BC8" s="2">
        <f>[1]!YBHIST(BC$4,$A8,"OAS-Lib","sec","")</f>
        <v>-181.259995</v>
      </c>
      <c r="BD8" s="29">
        <f>[1]!YBHIST(BD$4,$A8,"OAS-Lib","sec","")</f>
        <v>29.309999000000001</v>
      </c>
      <c r="BE8" s="2">
        <f>[1]!YBHIST(BE$4,$A8,"OAS-Lib","sec","")</f>
        <v>751.03997800000002</v>
      </c>
      <c r="BF8" s="2">
        <f>[1]!YBHIST(BF$4,$A8,"OAS-Lib","sec","")</f>
        <v>733.15997300000004</v>
      </c>
      <c r="BG8" s="2">
        <f>[1]!YBHIST(BG$4,$A8,"OAS-Lib","sec","")</f>
        <v>387.64999399999999</v>
      </c>
      <c r="BH8" s="29">
        <f>[1]!YBHIST(BH$4,$A8,"OAS-Lib","sec","")</f>
        <v>1297.790039</v>
      </c>
      <c r="BI8" s="2">
        <f>[1]!YBHIST(BI$4,$A8,"OAS-Lib","sec","")</f>
        <v>837.44000200000005</v>
      </c>
      <c r="BJ8" s="2">
        <f>[1]!YBHIST(BJ$4,$A8,"OAS-Lib","sec","")</f>
        <v>718.39001499999995</v>
      </c>
      <c r="BK8" s="29">
        <f>[1]!YBHIST(BK$4,$A8,"OAS-Lib","sec","")</f>
        <v>627.03997800000002</v>
      </c>
      <c r="BL8" s="30">
        <f>[1]!YBHIST(BL$4,$A8,"OAS-Lib","sec","")</f>
        <v>747.27002000000005</v>
      </c>
      <c r="BM8" s="2">
        <f>[1]!YBHIST(BM$4,$A8,"OAS-Lib","sec","")</f>
        <v>-202.08999600000001</v>
      </c>
      <c r="BN8" s="2">
        <f>[1]!YBHIST(BN$4,$A8,"OAS-Lib","sec","")</f>
        <v>-155.36000100000001</v>
      </c>
      <c r="BO8" s="10">
        <f>[1]!YBHIST(BO$4,$A8,"OAS-Lib","sec","")</f>
        <v>-17.010000000000002</v>
      </c>
      <c r="BP8" s="9"/>
      <c r="BQ8" s="1"/>
      <c r="BR8" s="1"/>
    </row>
    <row r="9" spans="1:72" x14ac:dyDescent="0.25">
      <c r="A9" s="22">
        <f>[1]!ybworkday(A$5,-1*(ROW()-ROW(A$5)),"USD","")</f>
        <v>40900</v>
      </c>
      <c r="B9" s="3">
        <f>[1]!YBHIST("2 Year Treasury",$A9,"Price","govt","")</f>
        <v>99.671997000000005</v>
      </c>
      <c r="C9" s="2">
        <f>[1]!YBHIST("5 Year Treasury",$A9,"Price","govt","")</f>
        <v>99.460999000000001</v>
      </c>
      <c r="D9" s="2">
        <f>[1]!YBHIST("10 Year Treasury",$A9,"Price","govt","")</f>
        <v>99.719002000000003</v>
      </c>
      <c r="E9" s="10">
        <f>[1]!YBHIST("30 Year Treasury",$A9,"Price","govt","")</f>
        <v>100.953003</v>
      </c>
      <c r="F9" s="3">
        <f>[1]!YBHIST("2 Year Treasury",$A9,"YldtoMat","govt","")</f>
        <v>0.28999999999999998</v>
      </c>
      <c r="G9" s="2">
        <f>[1]!YBHIST("5 Year Treasury",$A9,"YldtoMat","govt","")</f>
        <v>0.98599999999999999</v>
      </c>
      <c r="H9" s="2">
        <f>[1]!YBHIST("10 Year Treasury",$A9,"YldtoMat","govt","")</f>
        <v>2.0310000000000001</v>
      </c>
      <c r="I9" s="10">
        <f>[1]!YBHIST("30 Year Treasury",$A9,"YldtoMat","govt","")</f>
        <v>3.0760000000000001</v>
      </c>
      <c r="J9" s="3">
        <f>[1]!YBHIST("2yr Swap Rate",$A9,"YldtoMat","swapvol","")</f>
        <v>0.77328600000000003</v>
      </c>
      <c r="K9" s="2">
        <f>[1]!YBHIST("5yr Swap Rate",$A9,"YldtoMat","swapvol","")</f>
        <v>1.365335</v>
      </c>
      <c r="L9" s="2">
        <f>[1]!YBHIST("10yr Swap Rate",$A9,"YldtoMat","swapvol","")</f>
        <v>2.1919729999999999</v>
      </c>
      <c r="M9" s="10">
        <f>[1]!YBHIST("30yr Swap Rate",$A9,"YldtoMat","swapvol","")</f>
        <v>2.7849140000000001</v>
      </c>
      <c r="N9" s="3">
        <f>[1]!YBHIST("FNMA 30YR Cur Coup (BE)",$A9,"Yield","bmk","")</f>
        <v>3.1680000000000001</v>
      </c>
      <c r="O9" s="2">
        <f>[1]!YBHIST("FHLMC 30YR Cur Coup (BE)",$A9,"Yield","bmk","")</f>
        <v>3.2120000000000002</v>
      </c>
      <c r="P9" s="2">
        <f>[1]!YBHIST("GNMA 30YR Cur Coup (BE)",$A9,"Yield","bmk","")</f>
        <v>3.004</v>
      </c>
      <c r="Q9" s="2">
        <f>[1]!YBHIST("Primary 30-Yr Mtg Rate",$A9,"Yield","bmk","")</f>
        <v>4.1890999999999998</v>
      </c>
      <c r="R9" s="2">
        <f>[1]!YBHIST("FHLM 30-Yr Survey Rate",$A9,"Yield","bmk","")</f>
        <v>3.91</v>
      </c>
      <c r="S9" s="10">
        <f>[1]!YBHIST("Base Mortgage Rate",$A9,"Yield","bmk","")</f>
        <v>3.4929999999999999</v>
      </c>
      <c r="T9" s="27">
        <f>[1]!YBHIST("FNMA 30YR Cur Coup (BE)",$A9,"OAS-Lib","bmk","")</f>
        <v>19.25</v>
      </c>
      <c r="U9" s="28">
        <f>[1]!YBHIST("FHLMC 30YR Cur Coup (BE)",$A9,"OAS-Lib","bmk","")</f>
        <v>22.617000999999998</v>
      </c>
      <c r="V9" s="28">
        <f>[1]!YBHIST("GNMA 30YR Cur Coup (BE)",$A9,"OAS-Lib","bmk","")</f>
        <v>25</v>
      </c>
      <c r="W9" s="29">
        <f t="shared" si="3"/>
        <v>113.7</v>
      </c>
      <c r="X9" s="29">
        <f t="shared" si="4"/>
        <v>113.7</v>
      </c>
      <c r="Y9" s="29">
        <f t="shared" si="5"/>
        <v>118.10000000000001</v>
      </c>
      <c r="Z9" s="3">
        <f>[1]!YBHIST("FNMA3.5-GEN",$A9,"Price","tba","")</f>
        <v>101.96875</v>
      </c>
      <c r="AA9" s="2">
        <f>[1]!YBHIST("FNMA4.0-GEN",$A9,"Price","tba","")</f>
        <v>104.328125</v>
      </c>
      <c r="AB9" s="2">
        <f>[1]!YBHIST("FNMA4.5-GEN",$A9,"Price","tba","")</f>
        <v>105.914062</v>
      </c>
      <c r="AC9" s="2">
        <f>[1]!YBHIST("FNMA5.0-GEN",$A9,"Price","tba","")</f>
        <v>107.601562</v>
      </c>
      <c r="AD9" s="2">
        <f>[1]!YBHIST("FNMA5.5-GEN",$A9,"Price","tba","")</f>
        <v>108.476562</v>
      </c>
      <c r="AE9" s="10">
        <f>[1]!YBHIST("FNMA6.0-GEN",$A9,"Price","tba","")</f>
        <v>109.726562</v>
      </c>
      <c r="AF9" s="3">
        <f>[1]!YBHIST(AF$4,$A9,"Price","sec","")</f>
        <v>17.937999999999999</v>
      </c>
      <c r="AG9" s="2">
        <f>[1]!YBHIST(AG$4,$A9,"Price","sec","")</f>
        <v>16.719000000000001</v>
      </c>
      <c r="AH9" s="2">
        <f>[1]!YBHIST(AH$4,$A9,"Price","sec","")</f>
        <v>14.593999999999999</v>
      </c>
      <c r="AI9" s="2">
        <f>[1]!YBHIST(AI$4,$A9,"Price","sec","")</f>
        <v>17.577998999999998</v>
      </c>
      <c r="AJ9" s="2">
        <f>[1]!YBHIST(AJ$4,$A9,"Price","sec","")</f>
        <v>14.422000000000001</v>
      </c>
      <c r="AK9" s="2">
        <f>[1]!YBHIST(AK$4,$A9,"Price","sec","")</f>
        <v>20.516000999999999</v>
      </c>
      <c r="AL9" s="2">
        <f>[1]!YBHIST(AL$4,$A9,"Price","sec","")</f>
        <v>17.608999000000001</v>
      </c>
      <c r="AM9" s="2">
        <f>[1]!YBHIST(AM$4,$A9,"Price","sec","")</f>
        <v>13.968999999999999</v>
      </c>
      <c r="AN9" s="2">
        <f>[1]!YBHIST(AN$4,$A9,"Price","sec","")</f>
        <v>15.141</v>
      </c>
      <c r="AO9" s="2">
        <f>[1]!YBHIST(AO$4,$A9,"Price","sec","")</f>
        <v>15.281000000000001</v>
      </c>
      <c r="AP9" s="2">
        <f>[1]!YBHIST(AP$4,$A9,"Price","sec","")</f>
        <v>13.109</v>
      </c>
      <c r="AQ9" s="2">
        <f>[1]!YBHIST(AQ$4,$A9,"Price","sec","")</f>
        <v>15.218999999999999</v>
      </c>
      <c r="AR9" s="2">
        <f>[1]!YBHIST(AR$4,$A9,"Price","sec","")</f>
        <v>14.781000000000001</v>
      </c>
      <c r="AS9" s="2">
        <f>[1]!YBHIST(AS$4,$A9,"Price","sec","")</f>
        <v>15.047000000000001</v>
      </c>
      <c r="AT9" s="2">
        <f>[1]!YBHIST(AT$4,$A9,"Price","sec","")</f>
        <v>17.187999999999999</v>
      </c>
      <c r="AU9" s="2">
        <f>[1]!YBHIST(AU$4,$A9,"Price","sec","")</f>
        <v>21.702998999999998</v>
      </c>
      <c r="AV9" s="2">
        <f>[1]!YBHIST(AV$4,$A9,"Price","sec","")</f>
        <v>20.952998999999998</v>
      </c>
      <c r="AW9" s="10">
        <f>[1]!YBHIST(AW$4,$A9,"Price","sec","")</f>
        <v>21.266000999999999</v>
      </c>
      <c r="AX9" s="29">
        <f>[1]!YBHIST(AX$4,$A9,"OAS-Lib","sec","")</f>
        <v>-159.41000399999999</v>
      </c>
      <c r="AY9" s="29">
        <f>[1]!YBHIST(AY$4,$A9,"OAS-Lib","sec","")</f>
        <v>-92.970000999999996</v>
      </c>
      <c r="AZ9" s="2">
        <f>[1]!YBHIST(AZ$4,$A9,"OAS-Lib","sec","")</f>
        <v>73.370002999999997</v>
      </c>
      <c r="BA9" s="2">
        <f>[1]!YBHIST(BA$4,$A9,"OAS-Lib","sec","")</f>
        <v>-186.41000399999999</v>
      </c>
      <c r="BB9" s="29">
        <f>[1]!YBHIST(BB$4,$A9,"OAS-Lib","sec","")</f>
        <v>140.60000600000001</v>
      </c>
      <c r="BC9" s="2">
        <f>[1]!YBHIST(BC$4,$A9,"OAS-Lib","sec","")</f>
        <v>-168.13999899999999</v>
      </c>
      <c r="BD9" s="29">
        <f>[1]!YBHIST(BD$4,$A9,"OAS-Lib","sec","")</f>
        <v>40.389999000000003</v>
      </c>
      <c r="BE9" s="2">
        <f>[1]!YBHIST(BE$4,$A9,"OAS-Lib","sec","")</f>
        <v>753.54998799999998</v>
      </c>
      <c r="BF9" s="2">
        <f>[1]!YBHIST(BF$4,$A9,"OAS-Lib","sec","")</f>
        <v>735.19000200000005</v>
      </c>
      <c r="BG9" s="2">
        <f>[1]!YBHIST(BG$4,$A9,"OAS-Lib","sec","")</f>
        <v>391.82000699999998</v>
      </c>
      <c r="BH9" s="29">
        <f>[1]!YBHIST(BH$4,$A9,"OAS-Lib","sec","")</f>
        <v>1306.329956</v>
      </c>
      <c r="BI9" s="2">
        <f>[1]!YBHIST(BI$4,$A9,"OAS-Lib","sec","")</f>
        <v>843.65997300000004</v>
      </c>
      <c r="BJ9" s="2">
        <f>[1]!YBHIST(BJ$4,$A9,"OAS-Lib","sec","")</f>
        <v>726.65997300000004</v>
      </c>
      <c r="BK9" s="29">
        <f>[1]!YBHIST(BK$4,$A9,"OAS-Lib","sec","")</f>
        <v>638.28997800000002</v>
      </c>
      <c r="BL9" s="30">
        <f>[1]!YBHIST(BL$4,$A9,"OAS-Lib","sec","")</f>
        <v>761.03002900000001</v>
      </c>
      <c r="BM9" s="2">
        <f>[1]!YBHIST(BM$4,$A9,"OAS-Lib","sec","")</f>
        <v>-190.61000100000001</v>
      </c>
      <c r="BN9" s="2">
        <f>[1]!YBHIST(BN$4,$A9,"OAS-Lib","sec","")</f>
        <v>-143.979996</v>
      </c>
      <c r="BO9" s="10">
        <f>[1]!YBHIST(BO$4,$A9,"OAS-Lib","sec","")</f>
        <v>-9.49</v>
      </c>
      <c r="BP9" s="9"/>
      <c r="BQ9" s="1"/>
      <c r="BR9" s="1"/>
    </row>
    <row r="10" spans="1:72" x14ac:dyDescent="0.25">
      <c r="A10" s="22">
        <f>[1]!ybworkday(A$5,-1*(ROW()-ROW(A$5)),"USD","")</f>
        <v>40899</v>
      </c>
      <c r="B10" s="3">
        <f>[1]!YBHIST("2 Year Treasury",$A10,"Price","govt","")</f>
        <v>99.694999999999993</v>
      </c>
      <c r="C10" s="2">
        <f>[1]!YBHIST("5 Year Treasury",$A10,"Price","govt","")</f>
        <v>99.796997000000005</v>
      </c>
      <c r="D10" s="2">
        <f>[1]!YBHIST("10 Year Treasury",$A10,"Price","govt","")</f>
        <v>100.43800400000001</v>
      </c>
      <c r="E10" s="10">
        <f>[1]!YBHIST("30 Year Treasury",$A10,"Price","govt","")</f>
        <v>102.85900100000001</v>
      </c>
      <c r="F10" s="3">
        <f>[1]!YBHIST("2 Year Treasury",$A10,"YldtoMat","govt","")</f>
        <v>0.27900000000000003</v>
      </c>
      <c r="G10" s="2">
        <f>[1]!YBHIST("5 Year Treasury",$A10,"YldtoMat","govt","")</f>
        <v>0.91700000000000004</v>
      </c>
      <c r="H10" s="2">
        <f>[1]!YBHIST("10 Year Treasury",$A10,"YldtoMat","govt","")</f>
        <v>1.9510000000000001</v>
      </c>
      <c r="I10" s="10">
        <f>[1]!YBHIST("30 Year Treasury",$A10,"YldtoMat","govt","")</f>
        <v>2.98</v>
      </c>
      <c r="J10" s="3">
        <f>[1]!YBHIST("2yr Swap Rate",$A10,"YldtoMat","swapvol","")</f>
        <v>0.753992</v>
      </c>
      <c r="K10" s="2">
        <f>[1]!YBHIST("5yr Swap Rate",$A10,"YldtoMat","swapvol","")</f>
        <v>1.3030360000000001</v>
      </c>
      <c r="L10" s="2">
        <f>[1]!YBHIST("10yr Swap Rate",$A10,"YldtoMat","swapvol","")</f>
        <v>2.1076540000000001</v>
      </c>
      <c r="M10" s="10">
        <f>[1]!YBHIST("30yr Swap Rate",$A10,"YldtoMat","swapvol","")</f>
        <v>2.6900170000000001</v>
      </c>
      <c r="N10" s="3">
        <f>[1]!YBHIST("FNMA 30YR Cur Coup (BE)",$A10,"Yield","bmk","")</f>
        <v>3.0939999999999999</v>
      </c>
      <c r="O10" s="2">
        <f>[1]!YBHIST("FHLMC 30YR Cur Coup (BE)",$A10,"Yield","bmk","")</f>
        <v>3.14</v>
      </c>
      <c r="P10" s="2">
        <f>[1]!YBHIST("GNMA 30YR Cur Coup (BE)",$A10,"Yield","bmk","")</f>
        <v>2.93</v>
      </c>
      <c r="Q10" s="2">
        <f>[1]!YBHIST("Primary 30-Yr Mtg Rate",$A10,"Yield","bmk","")</f>
        <v>4.1158000000000001</v>
      </c>
      <c r="R10" s="2">
        <f>[1]!YBHIST("FHLM 30-Yr Survey Rate",$A10,"Yield","bmk","")</f>
        <v>3.91</v>
      </c>
      <c r="S10" s="10">
        <f>[1]!YBHIST("Base Mortgage Rate",$A10,"Yield","bmk","")</f>
        <v>3.419</v>
      </c>
      <c r="T10" s="27">
        <f>[1]!YBHIST("FNMA 30YR Cur Coup (BE)",$A10,"OAS-Lib","bmk","")</f>
        <v>20.98</v>
      </c>
      <c r="U10" s="28">
        <f>[1]!YBHIST("FHLMC 30YR Cur Coup (BE)",$A10,"OAS-Lib","bmk","")</f>
        <v>24.021999000000001</v>
      </c>
      <c r="V10" s="28">
        <f>[1]!YBHIST("GNMA 30YR Cur Coup (BE)",$A10,"OAS-Lib","bmk","")</f>
        <v>24</v>
      </c>
      <c r="W10" s="29">
        <f t="shared" si="3"/>
        <v>114.29999999999998</v>
      </c>
      <c r="X10" s="29">
        <f t="shared" si="4"/>
        <v>114.29999999999998</v>
      </c>
      <c r="Y10" s="29">
        <f t="shared" si="5"/>
        <v>118.9</v>
      </c>
      <c r="Z10" s="3">
        <f>[1]!YBHIST("FNMA3.5-GEN",$A10,"Price","tba","")</f>
        <v>102.3125</v>
      </c>
      <c r="AA10" s="2">
        <f>[1]!YBHIST("FNMA4.0-GEN",$A10,"Price","tba","")</f>
        <v>104.5625</v>
      </c>
      <c r="AB10" s="2">
        <f>[1]!YBHIST("FNMA4.5-GEN",$A10,"Price","tba","")</f>
        <v>106.03125</v>
      </c>
      <c r="AC10" s="2">
        <f>[1]!YBHIST("FNMA5.0-GEN",$A10,"Price","tba","")</f>
        <v>107.640625</v>
      </c>
      <c r="AD10" s="2">
        <f>[1]!YBHIST("FNMA5.5-GEN",$A10,"Price","tba","")</f>
        <v>108.492188</v>
      </c>
      <c r="AE10" s="10">
        <f>[1]!YBHIST("FNMA6.0-GEN",$A10,"Price","tba","")</f>
        <v>109.71875</v>
      </c>
      <c r="AF10" s="3">
        <f>[1]!YBHIST(AF$4,$A10,"Price","sec","")</f>
        <v>17.547001000000002</v>
      </c>
      <c r="AG10" s="2">
        <f>[1]!YBHIST(AG$4,$A10,"Price","sec","")</f>
        <v>16.202998999999998</v>
      </c>
      <c r="AH10" s="2">
        <f>[1]!YBHIST(AH$4,$A10,"Price","sec","")</f>
        <v>14.077999999999999</v>
      </c>
      <c r="AI10" s="2">
        <f>[1]!YBHIST(AI$4,$A10,"Price","sec","")</f>
        <v>17.062000000000001</v>
      </c>
      <c r="AJ10" s="2">
        <f>[1]!YBHIST(AJ$4,$A10,"Price","sec","")</f>
        <v>13.938000000000001</v>
      </c>
      <c r="AK10" s="2">
        <f>[1]!YBHIST(AK$4,$A10,"Price","sec","")</f>
        <v>20.062000000000001</v>
      </c>
      <c r="AL10" s="2">
        <f>[1]!YBHIST(AL$4,$A10,"Price","sec","")</f>
        <v>17.202998999999998</v>
      </c>
      <c r="AM10" s="2">
        <f>[1]!YBHIST(AM$4,$A10,"Price","sec","")</f>
        <v>13.577999999999999</v>
      </c>
      <c r="AN10" s="2">
        <f>[1]!YBHIST(AN$4,$A10,"Price","sec","")</f>
        <v>14.781000000000001</v>
      </c>
      <c r="AO10" s="2">
        <f>[1]!YBHIST(AO$4,$A10,"Price","sec","")</f>
        <v>14.922000000000001</v>
      </c>
      <c r="AP10" s="2">
        <f>[1]!YBHIST(AP$4,$A10,"Price","sec","")</f>
        <v>12.875</v>
      </c>
      <c r="AQ10" s="2">
        <f>[1]!YBHIST(AQ$4,$A10,"Price","sec","")</f>
        <v>15</v>
      </c>
      <c r="AR10" s="2">
        <f>[1]!YBHIST(AR$4,$A10,"Price","sec","")</f>
        <v>14.561999999999999</v>
      </c>
      <c r="AS10" s="2">
        <f>[1]!YBHIST(AS$4,$A10,"Price","sec","")</f>
        <v>14.875</v>
      </c>
      <c r="AT10" s="2">
        <f>[1]!YBHIST(AT$4,$A10,"Price","sec","")</f>
        <v>17.094000000000001</v>
      </c>
      <c r="AU10" s="2">
        <f>[1]!YBHIST(AU$4,$A10,"Price","sec","")</f>
        <v>21.391000999999999</v>
      </c>
      <c r="AV10" s="2">
        <f>[1]!YBHIST(AV$4,$A10,"Price","sec","")</f>
        <v>20.577998999999998</v>
      </c>
      <c r="AW10" s="10">
        <f>[1]!YBHIST(AW$4,$A10,"Price","sec","")</f>
        <v>20.891000999999999</v>
      </c>
      <c r="AX10" s="29">
        <f>[1]!YBHIST(AX$4,$A10,"OAS-Lib","sec","")</f>
        <v>-184.509995</v>
      </c>
      <c r="AY10" s="29">
        <f>[1]!YBHIST(AY$4,$A10,"OAS-Lib","sec","")</f>
        <v>-106.839996</v>
      </c>
      <c r="AZ10" s="2">
        <f>[1]!YBHIST(AZ$4,$A10,"OAS-Lib","sec","")</f>
        <v>73.800003000000004</v>
      </c>
      <c r="BA10" s="2">
        <f>[1]!YBHIST(BA$4,$A10,"OAS-Lib","sec","")</f>
        <v>-199.60000600000001</v>
      </c>
      <c r="BB10" s="29">
        <f>[1]!YBHIST(BB$4,$A10,"OAS-Lib","sec","")</f>
        <v>141.050003</v>
      </c>
      <c r="BC10" s="2">
        <f>[1]!YBHIST(BC$4,$A10,"OAS-Lib","sec","")</f>
        <v>-181.550003</v>
      </c>
      <c r="BD10" s="29">
        <f>[1]!YBHIST(BD$4,$A10,"OAS-Lib","sec","")</f>
        <v>30.34</v>
      </c>
      <c r="BE10" s="2">
        <f>[1]!YBHIST(BE$4,$A10,"OAS-Lib","sec","")</f>
        <v>775.63000499999998</v>
      </c>
      <c r="BF10" s="2">
        <f>[1]!YBHIST(BF$4,$A10,"OAS-Lib","sec","")</f>
        <v>767.27002000000005</v>
      </c>
      <c r="BG10" s="2">
        <f>[1]!YBHIST(BG$4,$A10,"OAS-Lib","sec","")</f>
        <v>413.35998499999999</v>
      </c>
      <c r="BH10" s="29">
        <f>[1]!YBHIST(BH$4,$A10,"OAS-Lib","sec","")</f>
        <v>1317.8599850000001</v>
      </c>
      <c r="BI10" s="2">
        <f>[1]!YBHIST(BI$4,$A10,"OAS-Lib","sec","")</f>
        <v>857.71002199999998</v>
      </c>
      <c r="BJ10" s="2">
        <f>[1]!YBHIST(BJ$4,$A10,"OAS-Lib","sec","")</f>
        <v>729.40997300000004</v>
      </c>
      <c r="BK10" s="29">
        <f>[1]!YBHIST(BK$4,$A10,"OAS-Lib","sec","")</f>
        <v>643.97997999999995</v>
      </c>
      <c r="BL10" s="30">
        <f>[1]!YBHIST(BL$4,$A10,"OAS-Lib","sec","")</f>
        <v>757.080017</v>
      </c>
      <c r="BM10" s="2">
        <f>[1]!YBHIST(BM$4,$A10,"OAS-Lib","sec","")</f>
        <v>-209.83000200000001</v>
      </c>
      <c r="BN10" s="2">
        <f>[1]!YBHIST(BN$4,$A10,"OAS-Lib","sec","")</f>
        <v>-156.41999799999999</v>
      </c>
      <c r="BO10" s="10" t="str">
        <f>[1]!YBHIST(BO$4,$A10,"OAS-Lib","sec","")</f>
        <v>NA</v>
      </c>
      <c r="BP10" s="9"/>
      <c r="BQ10" s="1"/>
      <c r="BR10" s="1"/>
    </row>
    <row r="11" spans="1:72" x14ac:dyDescent="0.25">
      <c r="A11" s="22">
        <f>[1]!ybworkday(A$5,-1*(ROW()-ROW(A$5)),"USD","")</f>
        <v>40898</v>
      </c>
      <c r="B11" s="3">
        <f>[1]!YBHIST("2 Year Treasury",$A11,"Price","govt","")</f>
        <v>99.703002999999995</v>
      </c>
      <c r="C11" s="2">
        <f>[1]!YBHIST("5 Year Treasury",$A11,"Price","govt","")</f>
        <v>99.805000000000007</v>
      </c>
      <c r="D11" s="2">
        <f>[1]!YBHIST("10 Year Treasury",$A11,"Price","govt","")</f>
        <v>100.296997</v>
      </c>
      <c r="E11" s="10">
        <f>[1]!YBHIST("30 Year Treasury",$A11,"Price","govt","")</f>
        <v>102.421997</v>
      </c>
      <c r="F11" s="3">
        <f>[1]!YBHIST("2 Year Treasury",$A11,"YldtoMat","govt","")</f>
        <v>0.27500000000000002</v>
      </c>
      <c r="G11" s="2">
        <f>[1]!YBHIST("5 Year Treasury",$A11,"YldtoMat","govt","")</f>
        <v>0.91500000000000004</v>
      </c>
      <c r="H11" s="2">
        <f>[1]!YBHIST("10 Year Treasury",$A11,"YldtoMat","govt","")</f>
        <v>1.9670000000000001</v>
      </c>
      <c r="I11" s="10">
        <f>[1]!YBHIST("30 Year Treasury",$A11,"YldtoMat","govt","")</f>
        <v>3.0019999999999998</v>
      </c>
      <c r="J11" s="3">
        <f>[1]!YBHIST("2yr Swap Rate",$A11,"YldtoMat","swapvol","")</f>
        <v>0.738456</v>
      </c>
      <c r="K11" s="2">
        <f>[1]!YBHIST("5yr Swap Rate",$A11,"YldtoMat","swapvol","")</f>
        <v>1.2990219999999999</v>
      </c>
      <c r="L11" s="2">
        <f>[1]!YBHIST("10yr Swap Rate",$A11,"YldtoMat","swapvol","")</f>
        <v>2.1245250000000002</v>
      </c>
      <c r="M11" s="10">
        <f>[1]!YBHIST("30yr Swap Rate",$A11,"YldtoMat","swapvol","")</f>
        <v>2.7132619999999998</v>
      </c>
      <c r="N11" s="3">
        <f>[1]!YBHIST("FNMA 30YR Cur Coup (BE)",$A11,"Yield","bmk","")</f>
        <v>3.1059999999999999</v>
      </c>
      <c r="O11" s="2">
        <f>[1]!YBHIST("FHLMC 30YR Cur Coup (BE)",$A11,"Yield","bmk","")</f>
        <v>3.1520000000000001</v>
      </c>
      <c r="P11" s="2">
        <f>[1]!YBHIST("GNMA 30YR Cur Coup (BE)",$A11,"Yield","bmk","")</f>
        <v>2.9420000000000002</v>
      </c>
      <c r="Q11" s="2">
        <f>[1]!YBHIST("Primary 30-Yr Mtg Rate",$A11,"Yield","bmk","")</f>
        <v>4.1307999999999998</v>
      </c>
      <c r="R11" s="2">
        <f>[1]!YBHIST("FHLM 30-Yr Survey Rate",$A11,"Yield","bmk","")</f>
        <v>3.94</v>
      </c>
      <c r="S11" s="10">
        <f>[1]!YBHIST("Base Mortgage Rate",$A11,"Yield","bmk","")</f>
        <v>3.43</v>
      </c>
      <c r="T11" s="27">
        <f>[1]!YBHIST("FNMA 30YR Cur Coup (BE)",$A11,"OAS-Lib","bmk","")</f>
        <v>20.544001000000002</v>
      </c>
      <c r="U11" s="28">
        <f>[1]!YBHIST("FHLMC 30YR Cur Coup (BE)",$A11,"OAS-Lib","bmk","")</f>
        <v>23.76</v>
      </c>
      <c r="V11" s="28">
        <f>[1]!YBHIST("GNMA 30YR Cur Coup (BE)",$A11,"OAS-Lib","bmk","")</f>
        <v>25</v>
      </c>
      <c r="W11" s="29">
        <f t="shared" si="3"/>
        <v>113.89999999999998</v>
      </c>
      <c r="X11" s="29">
        <f t="shared" si="4"/>
        <v>113.89999999999998</v>
      </c>
      <c r="Y11" s="29">
        <f t="shared" si="5"/>
        <v>118.5</v>
      </c>
      <c r="Z11" s="3">
        <f>[1]!YBHIST("FNMA3.5-GEN",$A11,"Price","tba","")</f>
        <v>102.25</v>
      </c>
      <c r="AA11" s="2">
        <f>[1]!YBHIST("FNMA4.0-GEN",$A11,"Price","tba","")</f>
        <v>104.507812</v>
      </c>
      <c r="AB11" s="2">
        <f>[1]!YBHIST("FNMA4.5-GEN",$A11,"Price","tba","")</f>
        <v>105.96875</v>
      </c>
      <c r="AC11" s="2">
        <f>[1]!YBHIST("FNMA5.0-GEN",$A11,"Price","tba","")</f>
        <v>107.585938</v>
      </c>
      <c r="AD11" s="2">
        <f>[1]!YBHIST("FNMA5.5-GEN",$A11,"Price","tba","")</f>
        <v>108.414062</v>
      </c>
      <c r="AE11" s="10">
        <f>[1]!YBHIST("FNMA6.0-GEN",$A11,"Price","tba","")</f>
        <v>109.664062</v>
      </c>
      <c r="AF11" s="3">
        <f>[1]!YBHIST(AF$4,$A11,"Price","sec","")</f>
        <v>17.422001000000002</v>
      </c>
      <c r="AG11" s="2">
        <f>[1]!YBHIST(AG$4,$A11,"Price","sec","")</f>
        <v>16.016000999999999</v>
      </c>
      <c r="AH11" s="2">
        <f>[1]!YBHIST(AH$4,$A11,"Price","sec","")</f>
        <v>14</v>
      </c>
      <c r="AI11" s="2">
        <f>[1]!YBHIST(AI$4,$A11,"Price","sec","")</f>
        <v>16.844000000000001</v>
      </c>
      <c r="AJ11" s="2">
        <f>[1]!YBHIST(AJ$4,$A11,"Price","sec","")</f>
        <v>13.843999999999999</v>
      </c>
      <c r="AK11" s="2">
        <f>[1]!YBHIST(AK$4,$A11,"Price","sec","")</f>
        <v>19.75</v>
      </c>
      <c r="AL11" s="2">
        <f>[1]!YBHIST(AL$4,$A11,"Price","sec","")</f>
        <v>17.141000999999999</v>
      </c>
      <c r="AM11" s="2">
        <f>[1]!YBHIST(AM$4,$A11,"Price","sec","")</f>
        <v>13.5</v>
      </c>
      <c r="AN11" s="2">
        <f>[1]!YBHIST(AN$4,$A11,"Price","sec","")</f>
        <v>14.702999999999999</v>
      </c>
      <c r="AO11" s="2">
        <f>[1]!YBHIST(AO$4,$A11,"Price","sec","")</f>
        <v>14.843999999999999</v>
      </c>
      <c r="AP11" s="2">
        <f>[1]!YBHIST(AP$4,$A11,"Price","sec","")</f>
        <v>12.906000000000001</v>
      </c>
      <c r="AQ11" s="2">
        <f>[1]!YBHIST(AQ$4,$A11,"Price","sec","")</f>
        <v>15.031000000000001</v>
      </c>
      <c r="AR11" s="2">
        <f>[1]!YBHIST(AR$4,$A11,"Price","sec","")</f>
        <v>14.609</v>
      </c>
      <c r="AS11" s="2">
        <f>[1]!YBHIST(AS$4,$A11,"Price","sec","")</f>
        <v>14.859</v>
      </c>
      <c r="AT11" s="2">
        <f>[1]!YBHIST(AT$4,$A11,"Price","sec","")</f>
        <v>17.062000000000001</v>
      </c>
      <c r="AU11" s="2">
        <f>[1]!YBHIST(AU$4,$A11,"Price","sec","")</f>
        <v>21.358999000000001</v>
      </c>
      <c r="AV11" s="2">
        <f>[1]!YBHIST(AV$4,$A11,"Price","sec","")</f>
        <v>20.562000000000001</v>
      </c>
      <c r="AW11" s="10">
        <f>[1]!YBHIST(AW$4,$A11,"Price","sec","")</f>
        <v>20.891000999999999</v>
      </c>
      <c r="AX11" s="29">
        <f>[1]!YBHIST(AX$4,$A11,"OAS-Lib","sec","")</f>
        <v>-157.199997</v>
      </c>
      <c r="AY11" s="29">
        <f>[1]!YBHIST(AY$4,$A11,"OAS-Lib","sec","")</f>
        <v>-65.230002999999996</v>
      </c>
      <c r="AZ11" s="2">
        <f>[1]!YBHIST(AZ$4,$A11,"OAS-Lib","sec","")</f>
        <v>104.730003</v>
      </c>
      <c r="BA11" s="2">
        <f>[1]!YBHIST(BA$4,$A11,"OAS-Lib","sec","")</f>
        <v>-154.33000200000001</v>
      </c>
      <c r="BB11" s="29">
        <f>[1]!YBHIST(BB$4,$A11,"OAS-Lib","sec","")</f>
        <v>177.529999</v>
      </c>
      <c r="BC11" s="2">
        <f>[1]!YBHIST(BC$4,$A11,"OAS-Lib","sec","")</f>
        <v>-131.83000200000001</v>
      </c>
      <c r="BD11" s="29">
        <f>[1]!YBHIST(BD$4,$A11,"OAS-Lib","sec","")</f>
        <v>55.32</v>
      </c>
      <c r="BE11" s="2">
        <f>[1]!YBHIST(BE$4,$A11,"OAS-Lib","sec","")</f>
        <v>811.40997300000004</v>
      </c>
      <c r="BF11" s="2">
        <f>[1]!YBHIST(BF$4,$A11,"OAS-Lib","sec","")</f>
        <v>797.36999500000002</v>
      </c>
      <c r="BG11" s="2">
        <f>[1]!YBHIST(BG$4,$A11,"OAS-Lib","sec","")</f>
        <v>442.05999800000001</v>
      </c>
      <c r="BH11" s="29">
        <f>[1]!YBHIST(BH$4,$A11,"OAS-Lib","sec","")</f>
        <v>1325.0500489999999</v>
      </c>
      <c r="BI11" s="2">
        <f>[1]!YBHIST(BI$4,$A11,"OAS-Lib","sec","")</f>
        <v>862.76000999999997</v>
      </c>
      <c r="BJ11" s="2">
        <f>[1]!YBHIST(BJ$4,$A11,"OAS-Lib","sec","")</f>
        <v>730.63000499999998</v>
      </c>
      <c r="BK11" s="29">
        <f>[1]!YBHIST(BK$4,$A11,"OAS-Lib","sec","")</f>
        <v>661.72997999999995</v>
      </c>
      <c r="BL11" s="30">
        <f>[1]!YBHIST(BL$4,$A11,"OAS-Lib","sec","")</f>
        <v>773.26000999999997</v>
      </c>
      <c r="BM11" s="2">
        <f>[1]!YBHIST(BM$4,$A11,"OAS-Lib","sec","")</f>
        <v>-197.770004</v>
      </c>
      <c r="BN11" s="2">
        <f>[1]!YBHIST(BN$4,$A11,"OAS-Lib","sec","")</f>
        <v>-144.96000699999999</v>
      </c>
      <c r="BO11" s="10">
        <f>[1]!YBHIST(BO$4,$A11,"OAS-Lib","sec","")</f>
        <v>-1.1499999999999999</v>
      </c>
      <c r="BP11" s="9"/>
      <c r="BQ11" s="1"/>
      <c r="BR11" s="1"/>
    </row>
    <row r="12" spans="1:72" x14ac:dyDescent="0.25">
      <c r="A12" s="22">
        <f>[1]!ybworkday(A$5,-1*(ROW()-ROW(A$5)),"USD","")</f>
        <v>40897</v>
      </c>
      <c r="B12" s="3">
        <f>[1]!YBHIST("2 Year Treasury",$A12,"Price","govt","")</f>
        <v>99.734001000000006</v>
      </c>
      <c r="C12" s="2">
        <f>[1]!YBHIST("5 Year Treasury",$A12,"Price","govt","")</f>
        <v>100.078003</v>
      </c>
      <c r="D12" s="2">
        <f>[1]!YBHIST("10 Year Treasury",$A12,"Price","govt","")</f>
        <v>100.64099899999999</v>
      </c>
      <c r="E12" s="10">
        <f>[1]!YBHIST("30 Year Treasury",$A12,"Price","govt","")</f>
        <v>103.905998</v>
      </c>
      <c r="F12" s="3">
        <f>[1]!YBHIST("2 Year Treasury",$A12,"YldtoMat","govt","")</f>
        <v>0.25900000000000001</v>
      </c>
      <c r="G12" s="2">
        <f>[1]!YBHIST("5 Year Treasury",$A12,"YldtoMat","govt","")</f>
        <v>0.85899999999999999</v>
      </c>
      <c r="H12" s="2">
        <f>[1]!YBHIST("10 Year Treasury",$A12,"YldtoMat","govt","")</f>
        <v>1.929</v>
      </c>
      <c r="I12" s="10">
        <f>[1]!YBHIST("30 Year Treasury",$A12,"YldtoMat","govt","")</f>
        <v>2.9279999999999999</v>
      </c>
      <c r="J12" s="3">
        <f>[1]!YBHIST("2yr Swap Rate",$A12,"YldtoMat","swapvol","")</f>
        <v>0.73536400000000002</v>
      </c>
      <c r="K12" s="2">
        <f>[1]!YBHIST("5yr Swap Rate",$A12,"YldtoMat","swapvol","")</f>
        <v>1.27518</v>
      </c>
      <c r="L12" s="2">
        <f>[1]!YBHIST("10yr Swap Rate",$A12,"YldtoMat","swapvol","")</f>
        <v>2.0962879999999999</v>
      </c>
      <c r="M12" s="10">
        <f>[1]!YBHIST("30yr Swap Rate",$A12,"YldtoMat","swapvol","")</f>
        <v>2.6595960000000001</v>
      </c>
      <c r="N12" s="3">
        <f>[1]!YBHIST("FNMA 30YR Cur Coup (BE)",$A12,"Yield","bmk","")</f>
        <v>3.0670000000000002</v>
      </c>
      <c r="O12" s="2">
        <f>[1]!YBHIST("FHLMC 30YR Cur Coup (BE)",$A12,"Yield","bmk","")</f>
        <v>3.117</v>
      </c>
      <c r="P12" s="2">
        <f>[1]!YBHIST("GNMA 30YR Cur Coup (BE)",$A12,"Yield","bmk","")</f>
        <v>2.903</v>
      </c>
      <c r="Q12" s="2">
        <f>[1]!YBHIST("Primary 30-Yr Mtg Rate",$A12,"Yield","bmk","")</f>
        <v>4.0936000000000003</v>
      </c>
      <c r="R12" s="2">
        <f>[1]!YBHIST("FHLM 30-Yr Survey Rate",$A12,"Yield","bmk","")</f>
        <v>3.94</v>
      </c>
      <c r="S12" s="10">
        <f>[1]!YBHIST("Base Mortgage Rate",$A12,"Yield","bmk","")</f>
        <v>3.3929999999999998</v>
      </c>
      <c r="T12" s="27">
        <f>[1]!YBHIST("FNMA 30YR Cur Coup (BE)",$A12,"OAS-Lib","bmk","")</f>
        <v>19</v>
      </c>
      <c r="U12" s="28">
        <f>[1]!YBHIST("FHLMC 30YR Cur Coup (BE)",$A12,"OAS-Lib","bmk","")</f>
        <v>23.028998999999999</v>
      </c>
      <c r="V12" s="28">
        <f>[1]!YBHIST("GNMA 30YR Cur Coup (BE)",$A12,"OAS-Lib","bmk","")</f>
        <v>23</v>
      </c>
      <c r="W12" s="29">
        <f t="shared" si="3"/>
        <v>113.80000000000001</v>
      </c>
      <c r="X12" s="29">
        <f t="shared" si="4"/>
        <v>113.80000000000001</v>
      </c>
      <c r="Y12" s="29">
        <f t="shared" si="5"/>
        <v>118.8</v>
      </c>
      <c r="Z12" s="3">
        <f>[1]!YBHIST("FNMA3.5-GEN",$A12,"Price","tba","")</f>
        <v>102.375</v>
      </c>
      <c r="AA12" s="2">
        <f>[1]!YBHIST("FNMA4.0-GEN",$A12,"Price","tba","")</f>
        <v>104.539062</v>
      </c>
      <c r="AB12" s="2">
        <f>[1]!YBHIST("FNMA4.5-GEN",$A12,"Price","tba","")</f>
        <v>106.023438</v>
      </c>
      <c r="AC12" s="2">
        <f>[1]!YBHIST("FNMA5.0-GEN",$A12,"Price","tba","")</f>
        <v>107.726562</v>
      </c>
      <c r="AD12" s="2">
        <f>[1]!YBHIST("FNMA5.5-GEN",$A12,"Price","tba","")</f>
        <v>108.59375</v>
      </c>
      <c r="AE12" s="10">
        <f>[1]!YBHIST("FNMA6.0-GEN",$A12,"Price","tba","")</f>
        <v>109.84375</v>
      </c>
      <c r="AF12" s="3">
        <f>[1]!YBHIST(AF$4,$A12,"Price","sec","")</f>
        <v>17.172001000000002</v>
      </c>
      <c r="AG12" s="2">
        <f>[1]!YBHIST(AG$4,$A12,"Price","sec","")</f>
        <v>15.797000000000001</v>
      </c>
      <c r="AH12" s="2">
        <f>[1]!YBHIST(AH$4,$A12,"Price","sec","")</f>
        <v>13.827999999999999</v>
      </c>
      <c r="AI12" s="2">
        <f>[1]!YBHIST(AI$4,$A12,"Price","sec","")</f>
        <v>16.608999000000001</v>
      </c>
      <c r="AJ12" s="2">
        <f>[1]!YBHIST(AJ$4,$A12,"Price","sec","")</f>
        <v>13.641</v>
      </c>
      <c r="AK12" s="2">
        <f>[1]!YBHIST(AK$4,$A12,"Price","sec","")</f>
        <v>19.577998999999998</v>
      </c>
      <c r="AL12" s="2">
        <f>[1]!YBHIST(AL$4,$A12,"Price","sec","")</f>
        <v>16.969000000000001</v>
      </c>
      <c r="AM12" s="2">
        <f>[1]!YBHIST(AM$4,$A12,"Price","sec","")</f>
        <v>13.375</v>
      </c>
      <c r="AN12" s="2">
        <f>[1]!YBHIST(AN$4,$A12,"Price","sec","")</f>
        <v>14.593999999999999</v>
      </c>
      <c r="AO12" s="2">
        <f>[1]!YBHIST(AO$4,$A12,"Price","sec","")</f>
        <v>14.718999999999999</v>
      </c>
      <c r="AP12" s="2">
        <f>[1]!YBHIST(AP$4,$A12,"Price","sec","")</f>
        <v>13.125</v>
      </c>
      <c r="AQ12" s="2">
        <f>[1]!YBHIST(AQ$4,$A12,"Price","sec","")</f>
        <v>15.25</v>
      </c>
      <c r="AR12" s="2">
        <f>[1]!YBHIST(AR$4,$A12,"Price","sec","")</f>
        <v>14.811999999999999</v>
      </c>
      <c r="AS12" s="2">
        <f>[1]!YBHIST(AS$4,$A12,"Price","sec","")</f>
        <v>15.156000000000001</v>
      </c>
      <c r="AT12" s="2">
        <f>[1]!YBHIST(AT$4,$A12,"Price","sec","")</f>
        <v>17.437999999999999</v>
      </c>
      <c r="AU12" s="2">
        <f>[1]!YBHIST(AU$4,$A12,"Price","sec","")</f>
        <v>21.202998999999998</v>
      </c>
      <c r="AV12" s="2">
        <f>[1]!YBHIST(AV$4,$A12,"Price","sec","")</f>
        <v>20.391000999999999</v>
      </c>
      <c r="AW12" s="10">
        <f>[1]!YBHIST(AW$4,$A12,"Price","sec","")</f>
        <v>20.719000000000001</v>
      </c>
      <c r="AX12" s="29">
        <f>[1]!YBHIST(AX$4,$A12,"OAS-Lib","sec","")</f>
        <v>-173.94000199999999</v>
      </c>
      <c r="AY12" s="29">
        <f>[1]!YBHIST(AY$4,$A12,"OAS-Lib","sec","")</f>
        <v>-86.300003000000004</v>
      </c>
      <c r="AZ12" s="2">
        <f>[1]!YBHIST(AZ$4,$A12,"OAS-Lib","sec","")</f>
        <v>80.919998000000007</v>
      </c>
      <c r="BA12" s="2">
        <f>[1]!YBHIST(BA$4,$A12,"OAS-Lib","sec","")</f>
        <v>-171.770004</v>
      </c>
      <c r="BB12" s="29">
        <f>[1]!YBHIST(BB$4,$A12,"OAS-Lib","sec","")</f>
        <v>162</v>
      </c>
      <c r="BC12" s="2">
        <f>[1]!YBHIST(BC$4,$A12,"OAS-Lib","sec","")</f>
        <v>-151.36000100000001</v>
      </c>
      <c r="BD12" s="29">
        <f>[1]!YBHIST(BD$4,$A12,"OAS-Lib","sec","")</f>
        <v>38.130001</v>
      </c>
      <c r="BE12" s="2">
        <f>[1]!YBHIST(BE$4,$A12,"OAS-Lib","sec","")</f>
        <v>797.78002900000001</v>
      </c>
      <c r="BF12" s="2">
        <f>[1]!YBHIST(BF$4,$A12,"OAS-Lib","sec","")</f>
        <v>793.64001499999995</v>
      </c>
      <c r="BG12" s="2">
        <f>[1]!YBHIST(BG$4,$A12,"OAS-Lib","sec","")</f>
        <v>435.63000499999998</v>
      </c>
      <c r="BH12" s="29">
        <f>[1]!YBHIST(BH$4,$A12,"OAS-Lib","sec","")</f>
        <v>1220.8900149999999</v>
      </c>
      <c r="BI12" s="2">
        <f>[1]!YBHIST(BI$4,$A12,"OAS-Lib","sec","")</f>
        <v>791.97997999999995</v>
      </c>
      <c r="BJ12" s="2">
        <f>[1]!YBHIST(BJ$4,$A12,"OAS-Lib","sec","")</f>
        <v>651.73999000000003</v>
      </c>
      <c r="BK12" s="29">
        <f>[1]!YBHIST(BK$4,$A12,"OAS-Lib","sec","")</f>
        <v>571.98999000000003</v>
      </c>
      <c r="BL12" s="30">
        <f>[1]!YBHIST(BL$4,$A12,"OAS-Lib","sec","")</f>
        <v>685.53002900000001</v>
      </c>
      <c r="BM12" s="2">
        <f>[1]!YBHIST(BM$4,$A12,"OAS-Lib","sec","")</f>
        <v>-214.63999899999999</v>
      </c>
      <c r="BN12" s="2">
        <f>[1]!YBHIST(BN$4,$A12,"OAS-Lib","sec","")</f>
        <v>-158.44000199999999</v>
      </c>
      <c r="BO12" s="10">
        <f>[1]!YBHIST(BO$4,$A12,"OAS-Lib","sec","")</f>
        <v>-8.02</v>
      </c>
      <c r="BP12" s="9"/>
      <c r="BQ12" s="1"/>
      <c r="BR12" s="1"/>
    </row>
    <row r="13" spans="1:72" x14ac:dyDescent="0.25">
      <c r="A13" s="22">
        <f>[1]!ybworkday(A$5,-1*(ROW()-ROW(A$5)),"USD","")</f>
        <v>40896</v>
      </c>
      <c r="B13" s="3">
        <f>[1]!YBHIST("2 Year Treasury",$A13,"Price","govt","")</f>
        <v>100.023003</v>
      </c>
      <c r="C13" s="2">
        <f>[1]!YBHIST("5 Year Treasury",$A13,"Price","govt","")</f>
        <v>100.335999</v>
      </c>
      <c r="D13" s="2">
        <f>[1]!YBHIST("10 Year Treasury",$A13,"Price","govt","")</f>
        <v>101.655998</v>
      </c>
      <c r="E13" s="10">
        <f>[1]!YBHIST("30 Year Treasury",$A13,"Price","govt","")</f>
        <v>106.546997</v>
      </c>
      <c r="F13" s="3">
        <f>[1]!YBHIST("2 Year Treasury",$A13,"YldtoMat","govt","")</f>
        <v>0.23799999999999999</v>
      </c>
      <c r="G13" s="2">
        <f>[1]!YBHIST("5 Year Treasury",$A13,"YldtoMat","govt","")</f>
        <v>0.80600000000000005</v>
      </c>
      <c r="H13" s="2">
        <f>[1]!YBHIST("10 Year Treasury",$A13,"YldtoMat","govt","")</f>
        <v>1.8160000000000001</v>
      </c>
      <c r="I13" s="10">
        <f>[1]!YBHIST("30 Year Treasury",$A13,"YldtoMat","govt","")</f>
        <v>2.8</v>
      </c>
      <c r="J13" s="3">
        <f>[1]!YBHIST("2yr Swap Rate",$A13,"YldtoMat","swapvol","")</f>
        <v>0.73477199999999998</v>
      </c>
      <c r="K13" s="2">
        <f>[1]!YBHIST("5yr Swap Rate",$A13,"YldtoMat","swapvol","")</f>
        <v>1.2394529999999999</v>
      </c>
      <c r="L13" s="2">
        <f>[1]!YBHIST("10yr Swap Rate",$A13,"YldtoMat","swapvol","")</f>
        <v>2.0017559999999999</v>
      </c>
      <c r="M13" s="10">
        <f>[1]!YBHIST("30yr Swap Rate",$A13,"YldtoMat","swapvol","")</f>
        <v>2.5443920000000002</v>
      </c>
      <c r="N13" s="3">
        <f>[1]!YBHIST("FNMA 30YR Cur Coup (BE)",$A13,"Yield","bmk","")</f>
        <v>2.9769999999999999</v>
      </c>
      <c r="O13" s="2">
        <f>[1]!YBHIST("FHLMC 30YR Cur Coup (BE)",$A13,"Yield","bmk","")</f>
        <v>3.032</v>
      </c>
      <c r="P13" s="2">
        <f>[1]!YBHIST("GNMA 30YR Cur Coup (BE)",$A13,"Yield","bmk","")</f>
        <v>2.8130000000000002</v>
      </c>
      <c r="Q13" s="2">
        <f>[1]!YBHIST("Primary 30-Yr Mtg Rate",$A13,"Yield","bmk","")</f>
        <v>4.0064000000000002</v>
      </c>
      <c r="R13" s="2">
        <f>[1]!YBHIST("FHLM 30-Yr Survey Rate",$A13,"Yield","bmk","")</f>
        <v>3.94</v>
      </c>
      <c r="S13" s="10">
        <f>[1]!YBHIST("Base Mortgage Rate",$A13,"Yield","bmk","")</f>
        <v>3.306</v>
      </c>
      <c r="T13" s="27">
        <f>[1]!YBHIST("FNMA 30YR Cur Coup (BE)",$A13,"OAS-Lib","bmk","")</f>
        <v>16</v>
      </c>
      <c r="U13" s="28">
        <f>[1]!YBHIST("FHLMC 30YR Cur Coup (BE)",$A13,"OAS-Lib","bmk","")</f>
        <v>22</v>
      </c>
      <c r="V13" s="28">
        <f>[1]!YBHIST("GNMA 30YR Cur Coup (BE)",$A13,"OAS-Lib","bmk","")</f>
        <v>20</v>
      </c>
      <c r="W13" s="29">
        <f t="shared" si="3"/>
        <v>116.09999999999998</v>
      </c>
      <c r="X13" s="29">
        <f t="shared" si="4"/>
        <v>116.09999999999998</v>
      </c>
      <c r="Y13" s="29">
        <f t="shared" si="5"/>
        <v>121.6</v>
      </c>
      <c r="Z13" s="3">
        <f>[1]!YBHIST("FNMA3.5-GEN",$A13,"Price","tba","")</f>
        <v>102.710938</v>
      </c>
      <c r="AA13" s="2">
        <f>[1]!YBHIST("FNMA4.0-GEN",$A13,"Price","tba","")</f>
        <v>104.734375</v>
      </c>
      <c r="AB13" s="2">
        <f>[1]!YBHIST("FNMA4.5-GEN",$A13,"Price","tba","")</f>
        <v>106.101562</v>
      </c>
      <c r="AC13" s="2">
        <f>[1]!YBHIST("FNMA5.0-GEN",$A13,"Price","tba","")</f>
        <v>107.726562</v>
      </c>
      <c r="AD13" s="2">
        <f>[1]!YBHIST("FNMA5.5-GEN",$A13,"Price","tba","")</f>
        <v>108.539062</v>
      </c>
      <c r="AE13" s="10">
        <f>[1]!YBHIST("FNMA6.0-GEN",$A13,"Price","tba","")</f>
        <v>109.773438</v>
      </c>
      <c r="AF13" s="3">
        <f>[1]!YBHIST(AF$4,$A13,"Price","sec","")</f>
        <v>16.577998999999998</v>
      </c>
      <c r="AG13" s="2">
        <f>[1]!YBHIST(AG$4,$A13,"Price","sec","")</f>
        <v>15.125</v>
      </c>
      <c r="AH13" s="2">
        <f>[1]!YBHIST(AH$4,$A13,"Price","sec","")</f>
        <v>13.125</v>
      </c>
      <c r="AI13" s="2">
        <f>[1]!YBHIST(AI$4,$A13,"Price","sec","")</f>
        <v>15.968999999999999</v>
      </c>
      <c r="AJ13" s="2">
        <f>[1]!YBHIST(AJ$4,$A13,"Price","sec","")</f>
        <v>12.968999999999999</v>
      </c>
      <c r="AK13" s="2">
        <f>[1]!YBHIST(AK$4,$A13,"Price","sec","")</f>
        <v>18.983999000000001</v>
      </c>
      <c r="AL13" s="2">
        <f>[1]!YBHIST(AL$4,$A13,"Price","sec","")</f>
        <v>16.375</v>
      </c>
      <c r="AM13" s="2">
        <f>[1]!YBHIST(AM$4,$A13,"Price","sec","")</f>
        <v>12.811999999999999</v>
      </c>
      <c r="AN13" s="2">
        <f>[1]!YBHIST(AN$4,$A13,"Price","sec","")</f>
        <v>14.047000000000001</v>
      </c>
      <c r="AO13" s="2">
        <f>[1]!YBHIST(AO$4,$A13,"Price","sec","")</f>
        <v>14.172000000000001</v>
      </c>
      <c r="AP13" s="2">
        <f>[1]!YBHIST(AP$4,$A13,"Price","sec","")</f>
        <v>12.75</v>
      </c>
      <c r="AQ13" s="2">
        <f>[1]!YBHIST(AQ$4,$A13,"Price","sec","")</f>
        <v>14.922000000000001</v>
      </c>
      <c r="AR13" s="2">
        <f>[1]!YBHIST(AR$4,$A13,"Price","sec","")</f>
        <v>14.452999999999999</v>
      </c>
      <c r="AS13" s="2">
        <f>[1]!YBHIST(AS$4,$A13,"Price","sec","")</f>
        <v>14.843999999999999</v>
      </c>
      <c r="AT13" s="2">
        <f>[1]!YBHIST(AT$4,$A13,"Price","sec","")</f>
        <v>17.219000000000001</v>
      </c>
      <c r="AU13" s="2">
        <f>[1]!YBHIST(AU$4,$A13,"Price","sec","")</f>
        <v>20.702998999999998</v>
      </c>
      <c r="AV13" s="2">
        <f>[1]!YBHIST(AV$4,$A13,"Price","sec","")</f>
        <v>19.844000000000001</v>
      </c>
      <c r="AW13" s="10">
        <f>[1]!YBHIST(AW$4,$A13,"Price","sec","")</f>
        <v>20.125</v>
      </c>
      <c r="AX13" s="29">
        <f>[1]!YBHIST(AX$4,$A13,"OAS-Lib","sec","")</f>
        <v>-215.479996</v>
      </c>
      <c r="AY13" s="29">
        <f>[1]!YBHIST(AY$4,$A13,"OAS-Lib","sec","")</f>
        <v>-121.110001</v>
      </c>
      <c r="AZ13" s="2">
        <f>[1]!YBHIST(AZ$4,$A13,"OAS-Lib","sec","")</f>
        <v>71.610000999999997</v>
      </c>
      <c r="BA13" s="2">
        <f>[1]!YBHIST(BA$4,$A13,"OAS-Lib","sec","")</f>
        <v>-210.429993</v>
      </c>
      <c r="BB13" s="29">
        <f>[1]!YBHIST(BB$4,$A13,"OAS-Lib","sec","")</f>
        <v>154.03999300000001</v>
      </c>
      <c r="BC13" s="2">
        <f>[1]!YBHIST(BC$4,$A13,"OAS-Lib","sec","")</f>
        <v>-183.759995</v>
      </c>
      <c r="BD13" s="29">
        <f>[1]!YBHIST(BD$4,$A13,"OAS-Lib","sec","")</f>
        <v>16.629999000000002</v>
      </c>
      <c r="BE13" s="2">
        <f>[1]!YBHIST(BE$4,$A13,"OAS-Lib","sec","")</f>
        <v>825.27002000000005</v>
      </c>
      <c r="BF13" s="2">
        <f>[1]!YBHIST(BF$4,$A13,"OAS-Lib","sec","")</f>
        <v>850.27002000000005</v>
      </c>
      <c r="BG13" s="2">
        <f>[1]!YBHIST(BG$4,$A13,"OAS-Lib","sec","")</f>
        <v>472.60000600000001</v>
      </c>
      <c r="BH13" s="29">
        <f>[1]!YBHIST(BH$4,$A13,"OAS-Lib","sec","")</f>
        <v>1239.0200199999999</v>
      </c>
      <c r="BI13" s="2">
        <f>[1]!YBHIST(BI$4,$A13,"OAS-Lib","sec","")</f>
        <v>814.44000200000005</v>
      </c>
      <c r="BJ13" s="2">
        <f>[1]!YBHIST(BJ$4,$A13,"OAS-Lib","sec","")</f>
        <v>657.34997599999997</v>
      </c>
      <c r="BK13" s="29">
        <f>[1]!YBHIST(BK$4,$A13,"OAS-Lib","sec","")</f>
        <v>593.35998500000005</v>
      </c>
      <c r="BL13" s="30">
        <f>[1]!YBHIST(BL$4,$A13,"OAS-Lib","sec","")</f>
        <v>693.15002400000003</v>
      </c>
      <c r="BM13" s="2">
        <f>[1]!YBHIST(BM$4,$A13,"OAS-Lib","sec","")</f>
        <v>-246.449997</v>
      </c>
      <c r="BN13" s="2">
        <f>[1]!YBHIST(BN$4,$A13,"OAS-Lib","sec","")</f>
        <v>-180.990005</v>
      </c>
      <c r="BO13" s="10">
        <f>[1]!YBHIST(BO$4,$A13,"OAS-Lib","sec","")</f>
        <v>-8.09</v>
      </c>
      <c r="BP13" s="9"/>
      <c r="BQ13" s="1"/>
      <c r="BR13" s="1"/>
    </row>
    <row r="14" spans="1:72" x14ac:dyDescent="0.25">
      <c r="A14" s="22">
        <f>[1]!ybworkday(A$5,-1*(ROW()-ROW(A$5)),"USD","")</f>
        <v>40893</v>
      </c>
      <c r="B14" s="3">
        <f>[1]!YBHIST("2 Year Treasury",$A14,"Price","govt","")</f>
        <v>100.030998</v>
      </c>
      <c r="C14" s="2">
        <f>[1]!YBHIST("5 Year Treasury",$A14,"Price","govt","")</f>
        <v>100.30500000000001</v>
      </c>
      <c r="D14" s="2">
        <f>[1]!YBHIST("10 Year Treasury",$A14,"Price","govt","")</f>
        <v>101.328003</v>
      </c>
      <c r="E14" s="10">
        <f>[1]!YBHIST("30 Year Treasury",$A14,"Price","govt","")</f>
        <v>105.48400100000001</v>
      </c>
      <c r="F14" s="3">
        <f>[1]!YBHIST("2 Year Treasury",$A14,"YldtoMat","govt","")</f>
        <v>0.23400000000000001</v>
      </c>
      <c r="G14" s="2">
        <f>[1]!YBHIST("5 Year Treasury",$A14,"YldtoMat","govt","")</f>
        <v>0.81200000000000006</v>
      </c>
      <c r="H14" s="2">
        <f>[1]!YBHIST("10 Year Treasury",$A14,"YldtoMat","govt","")</f>
        <v>1.853</v>
      </c>
      <c r="I14" s="10">
        <f>[1]!YBHIST("30 Year Treasury",$A14,"YldtoMat","govt","")</f>
        <v>2.851</v>
      </c>
      <c r="J14" s="3">
        <f>[1]!YBHIST("2yr Swap Rate",$A14,"YldtoMat","swapvol","")</f>
        <v>0.72006300000000001</v>
      </c>
      <c r="K14" s="2">
        <f>[1]!YBHIST("5yr Swap Rate",$A14,"YldtoMat","swapvol","")</f>
        <v>1.223619</v>
      </c>
      <c r="L14" s="2">
        <f>[1]!YBHIST("10yr Swap Rate",$A14,"YldtoMat","swapvol","")</f>
        <v>2.0237400000000001</v>
      </c>
      <c r="M14" s="10">
        <f>[1]!YBHIST("30yr Swap Rate",$A14,"YldtoMat","swapvol","")</f>
        <v>2.5921799999999999</v>
      </c>
      <c r="N14" s="3">
        <f>[1]!YBHIST("FNMA 30YR Cur Coup (BE)",$A14,"Yield","bmk","")</f>
        <v>2.9990000000000001</v>
      </c>
      <c r="O14" s="2">
        <f>[1]!YBHIST("FHLMC 30YR Cur Coup (BE)",$A14,"Yield","bmk","")</f>
        <v>3.0569999999999999</v>
      </c>
      <c r="P14" s="2">
        <f>[1]!YBHIST("GNMA 30YR Cur Coup (BE)",$A14,"Yield","bmk","")</f>
        <v>2.835</v>
      </c>
      <c r="Q14" s="2">
        <f>[1]!YBHIST("Primary 30-Yr Mtg Rate",$A14,"Yield","bmk","")</f>
        <v>4.0262000000000002</v>
      </c>
      <c r="R14" s="2">
        <f>[1]!YBHIST("FHLM 30-Yr Survey Rate",$A14,"Yield","bmk","")</f>
        <v>3.94</v>
      </c>
      <c r="S14" s="10">
        <f>[1]!YBHIST("Base Mortgage Rate",$A14,"Yield","bmk","")</f>
        <v>3.3260000000000001</v>
      </c>
      <c r="T14" s="27">
        <f>[1]!YBHIST("FNMA 30YR Cur Coup (BE)",$A14,"OAS-Lib","bmk","")</f>
        <v>17</v>
      </c>
      <c r="U14" s="28">
        <f>[1]!YBHIST("FHLMC 30YR Cur Coup (BE)",$A14,"OAS-Lib","bmk","")</f>
        <v>23</v>
      </c>
      <c r="V14" s="28">
        <f>[1]!YBHIST("GNMA 30YR Cur Coup (BE)",$A14,"OAS-Lib","bmk","")</f>
        <v>22</v>
      </c>
      <c r="W14" s="29">
        <f t="shared" si="3"/>
        <v>114.60000000000001</v>
      </c>
      <c r="X14" s="29">
        <f t="shared" si="4"/>
        <v>114.60000000000001</v>
      </c>
      <c r="Y14" s="29">
        <f t="shared" si="5"/>
        <v>120.39999999999999</v>
      </c>
      <c r="Z14" s="3">
        <f>[1]!YBHIST("FNMA3.5-GEN",$A14,"Price","tba","")</f>
        <v>102.609375</v>
      </c>
      <c r="AA14" s="2">
        <f>[1]!YBHIST("FNMA4.0-GEN",$A14,"Price","tba","")</f>
        <v>104.671875</v>
      </c>
      <c r="AB14" s="2">
        <f>[1]!YBHIST("FNMA4.5-GEN",$A14,"Price","tba","")</f>
        <v>106.078125</v>
      </c>
      <c r="AC14" s="2">
        <f>[1]!YBHIST("FNMA5.0-GEN",$A14,"Price","tba","")</f>
        <v>107.75</v>
      </c>
      <c r="AD14" s="2">
        <f>[1]!YBHIST("FNMA5.5-GEN",$A14,"Price","tba","")</f>
        <v>108.640625</v>
      </c>
      <c r="AE14" s="10">
        <f>[1]!YBHIST("FNMA6.0-GEN",$A14,"Price","tba","")</f>
        <v>109.828125</v>
      </c>
      <c r="AF14" s="3">
        <f>[1]!YBHIST(AF$4,$A14,"Price","sec","")</f>
        <v>16.905999999999999</v>
      </c>
      <c r="AG14" s="2">
        <f>[1]!YBHIST(AG$4,$A14,"Price","sec","")</f>
        <v>15.5</v>
      </c>
      <c r="AH14" s="2">
        <f>[1]!YBHIST(AH$4,$A14,"Price","sec","")</f>
        <v>13.516</v>
      </c>
      <c r="AI14" s="2">
        <f>[1]!YBHIST(AI$4,$A14,"Price","sec","")</f>
        <v>16.312000000000001</v>
      </c>
      <c r="AJ14" s="2">
        <f>[1]!YBHIST(AJ$4,$A14,"Price","sec","")</f>
        <v>13.343999999999999</v>
      </c>
      <c r="AK14" s="2">
        <f>[1]!YBHIST(AK$4,$A14,"Price","sec","")</f>
        <v>19.312000000000001</v>
      </c>
      <c r="AL14" s="2">
        <f>[1]!YBHIST(AL$4,$A14,"Price","sec","")</f>
        <v>16.719000000000001</v>
      </c>
      <c r="AM14" s="2">
        <f>[1]!YBHIST(AM$4,$A14,"Price","sec","")</f>
        <v>13.125</v>
      </c>
      <c r="AN14" s="2">
        <f>[1]!YBHIST(AN$4,$A14,"Price","sec","")</f>
        <v>14.343999999999999</v>
      </c>
      <c r="AO14" s="2">
        <f>[1]!YBHIST(AO$4,$A14,"Price","sec","")</f>
        <v>14.468999999999999</v>
      </c>
      <c r="AP14" s="2">
        <f>[1]!YBHIST(AP$4,$A14,"Price","sec","")</f>
        <v>13.077999999999999</v>
      </c>
      <c r="AQ14" s="2">
        <f>[1]!YBHIST(AQ$4,$A14,"Price","sec","")</f>
        <v>15.25</v>
      </c>
      <c r="AR14" s="2">
        <f>[1]!YBHIST(AR$4,$A14,"Price","sec","")</f>
        <v>14.781000000000001</v>
      </c>
      <c r="AS14" s="2">
        <f>[1]!YBHIST(AS$4,$A14,"Price","sec","")</f>
        <v>15.172000000000001</v>
      </c>
      <c r="AT14" s="2">
        <f>[1]!YBHIST(AT$4,$A14,"Price","sec","")</f>
        <v>17.516000999999999</v>
      </c>
      <c r="AU14" s="2">
        <f>[1]!YBHIST(AU$4,$A14,"Price","sec","")</f>
        <v>21.062000000000001</v>
      </c>
      <c r="AV14" s="2">
        <f>[1]!YBHIST(AV$4,$A14,"Price","sec","")</f>
        <v>20.187999999999999</v>
      </c>
      <c r="AW14" s="10">
        <f>[1]!YBHIST(AW$4,$A14,"Price","sec","")</f>
        <v>20.469000000000001</v>
      </c>
      <c r="AX14" s="29">
        <f>[1]!YBHIST(AX$4,$A14,"OAS-Lib","sec","")</f>
        <v>-212.729996</v>
      </c>
      <c r="AY14" s="29">
        <f>[1]!YBHIST(AY$4,$A14,"OAS-Lib","sec","")</f>
        <v>-125.989998</v>
      </c>
      <c r="AZ14" s="2">
        <f>[1]!YBHIST(AZ$4,$A14,"OAS-Lib","sec","")</f>
        <v>51.830002</v>
      </c>
      <c r="BA14" s="2">
        <f>[1]!YBHIST(BA$4,$A14,"OAS-Lib","sec","")</f>
        <v>-210.429993</v>
      </c>
      <c r="BB14" s="29">
        <f>[1]!YBHIST(BB$4,$A14,"OAS-Lib","sec","")</f>
        <v>132.08000200000001</v>
      </c>
      <c r="BC14" s="2">
        <f>[1]!YBHIST(BC$4,$A14,"OAS-Lib","sec","")</f>
        <v>-182.470001</v>
      </c>
      <c r="BD14" s="29">
        <f>[1]!YBHIST(BD$4,$A14,"OAS-Lib","sec","")</f>
        <v>7.59</v>
      </c>
      <c r="BE14" s="2">
        <f>[1]!YBHIST(BE$4,$A14,"OAS-Lib","sec","")</f>
        <v>790.65997300000004</v>
      </c>
      <c r="BF14" s="2">
        <f>[1]!YBHIST(BF$4,$A14,"OAS-Lib","sec","")</f>
        <v>814.55999799999995</v>
      </c>
      <c r="BG14" s="2">
        <f>[1]!YBHIST(BG$4,$A14,"OAS-Lib","sec","")</f>
        <v>444.25</v>
      </c>
      <c r="BH14" s="29">
        <f>[1]!YBHIST(BH$4,$A14,"OAS-Lib","sec","")</f>
        <v>1181.0500489999999</v>
      </c>
      <c r="BI14" s="2">
        <f>[1]!YBHIST(BI$4,$A14,"OAS-Lib","sec","")</f>
        <v>769.35998500000005</v>
      </c>
      <c r="BJ14" s="2">
        <f>[1]!YBHIST(BJ$4,$A14,"OAS-Lib","sec","")</f>
        <v>616.77002000000005</v>
      </c>
      <c r="BK14" s="29">
        <f>[1]!YBHIST(BK$4,$A14,"OAS-Lib","sec","")</f>
        <v>547.34002699999996</v>
      </c>
      <c r="BL14" s="30">
        <f>[1]!YBHIST(BL$4,$A14,"OAS-Lib","sec","")</f>
        <v>659.419983</v>
      </c>
      <c r="BM14" s="2">
        <f>[1]!YBHIST(BM$4,$A14,"OAS-Lib","sec","")</f>
        <v>-249.28999300000001</v>
      </c>
      <c r="BN14" s="2">
        <f>[1]!YBHIST(BN$4,$A14,"OAS-Lib","sec","")</f>
        <v>-184.820007</v>
      </c>
      <c r="BO14" s="10">
        <f>[1]!YBHIST(BO$4,$A14,"OAS-Lib","sec","")</f>
        <v>-18.09</v>
      </c>
      <c r="BP14" s="9"/>
      <c r="BQ14" s="1"/>
      <c r="BR14" s="1"/>
    </row>
    <row r="15" spans="1:72" x14ac:dyDescent="0.25">
      <c r="A15" s="22">
        <f>[1]!ybworkday(A$5,-1*(ROW()-ROW(A$5)),"USD","")</f>
        <v>40892</v>
      </c>
      <c r="B15" s="3">
        <f>[1]!YBHIST("2 Year Treasury",$A15,"Price","govt","")</f>
        <v>100.01599899999999</v>
      </c>
      <c r="C15" s="2">
        <f>[1]!YBHIST("5 Year Treasury",$A15,"Price","govt","")</f>
        <v>100.101997</v>
      </c>
      <c r="D15" s="2">
        <f>[1]!YBHIST("10 Year Treasury",$A15,"Price","govt","")</f>
        <v>100.76599899999999</v>
      </c>
      <c r="E15" s="10">
        <f>[1]!YBHIST("30 Year Treasury",$A15,"Price","govt","")</f>
        <v>103.98400100000001</v>
      </c>
      <c r="F15" s="3">
        <f>[1]!YBHIST("2 Year Treasury",$A15,"YldtoMat","govt","")</f>
        <v>0.24199999999999999</v>
      </c>
      <c r="G15" s="2">
        <f>[1]!YBHIST("5 Year Treasury",$A15,"YldtoMat","govt","")</f>
        <v>0.85399999999999998</v>
      </c>
      <c r="H15" s="2">
        <f>[1]!YBHIST("10 Year Treasury",$A15,"YldtoMat","govt","")</f>
        <v>1.915</v>
      </c>
      <c r="I15" s="10">
        <f>[1]!YBHIST("30 Year Treasury",$A15,"YldtoMat","govt","")</f>
        <v>2.9239999999999999</v>
      </c>
      <c r="J15" s="3">
        <f>[1]!YBHIST("2yr Swap Rate",$A15,"YldtoMat","swapvol","")</f>
        <v>0.71561600000000003</v>
      </c>
      <c r="K15" s="2">
        <f>[1]!YBHIST("5yr Swap Rate",$A15,"YldtoMat","swapvol","")</f>
        <v>1.2557100000000001</v>
      </c>
      <c r="L15" s="2">
        <f>[1]!YBHIST("10yr Swap Rate",$A15,"YldtoMat","swapvol","")</f>
        <v>2.0707040000000001</v>
      </c>
      <c r="M15" s="10">
        <f>[1]!YBHIST("30yr Swap Rate",$A15,"YldtoMat","swapvol","")</f>
        <v>2.6402329999999998</v>
      </c>
      <c r="N15" s="3">
        <f>[1]!YBHIST("FNMA 30YR Cur Coup (BE)",$A15,"Yield","bmk","")</f>
        <v>3.0510000000000002</v>
      </c>
      <c r="O15" s="2">
        <f>[1]!YBHIST("FHLMC 30YR Cur Coup (BE)",$A15,"Yield","bmk","")</f>
        <v>3.105</v>
      </c>
      <c r="P15" s="2">
        <f>[1]!YBHIST("GNMA 30YR Cur Coup (BE)",$A15,"Yield","bmk","")</f>
        <v>2.887</v>
      </c>
      <c r="Q15" s="2">
        <f>[1]!YBHIST("Primary 30-Yr Mtg Rate",$A15,"Yield","bmk","")</f>
        <v>4.0754999999999999</v>
      </c>
      <c r="R15" s="2">
        <f>[1]!YBHIST("FHLM 30-Yr Survey Rate",$A15,"Yield","bmk","")</f>
        <v>3.94</v>
      </c>
      <c r="S15" s="10">
        <f>[1]!YBHIST("Base Mortgage Rate",$A15,"Yield","bmk","")</f>
        <v>3.375</v>
      </c>
      <c r="T15" s="27">
        <f>[1]!YBHIST("FNMA 30YR Cur Coup (BE)",$A15,"OAS-Lib","bmk","")</f>
        <v>20</v>
      </c>
      <c r="U15" s="28">
        <f>[1]!YBHIST("FHLMC 30YR Cur Coup (BE)",$A15,"OAS-Lib","bmk","")</f>
        <v>25.170999999999999</v>
      </c>
      <c r="V15" s="28">
        <f>[1]!YBHIST("GNMA 30YR Cur Coup (BE)",$A15,"OAS-Lib","bmk","")</f>
        <v>24</v>
      </c>
      <c r="W15" s="29">
        <f t="shared" si="3"/>
        <v>113.60000000000001</v>
      </c>
      <c r="X15" s="29">
        <f t="shared" si="4"/>
        <v>113.60000000000001</v>
      </c>
      <c r="Y15" s="29">
        <f t="shared" si="5"/>
        <v>119</v>
      </c>
      <c r="Z15" s="3">
        <f>[1]!YBHIST("FNMA3.5-GEN",$A15,"Price","tba","")</f>
        <v>102.484375</v>
      </c>
      <c r="AA15" s="2">
        <f>[1]!YBHIST("FNMA4.0-GEN",$A15,"Price","tba","")</f>
        <v>104.648438</v>
      </c>
      <c r="AB15" s="2">
        <f>[1]!YBHIST("FNMA4.5-GEN",$A15,"Price","tba","")</f>
        <v>106.15625</v>
      </c>
      <c r="AC15" s="2">
        <f>[1]!YBHIST("FNMA5.0-GEN",$A15,"Price","tba","")</f>
        <v>107.890625</v>
      </c>
      <c r="AD15" s="2">
        <f>[1]!YBHIST("FNMA5.5-GEN",$A15,"Price","tba","")</f>
        <v>108.804688</v>
      </c>
      <c r="AE15" s="10">
        <f>[1]!YBHIST("FNMA6.0-GEN",$A15,"Price","tba","")</f>
        <v>110</v>
      </c>
      <c r="AF15" s="3">
        <f>[1]!YBHIST(AF$4,$A15,"Price","sec","")</f>
        <v>17.266000999999999</v>
      </c>
      <c r="AG15" s="2">
        <f>[1]!YBHIST(AG$4,$A15,"Price","sec","")</f>
        <v>15.843999999999999</v>
      </c>
      <c r="AH15" s="2">
        <f>[1]!YBHIST(AH$4,$A15,"Price","sec","")</f>
        <v>13.952999999999999</v>
      </c>
      <c r="AI15" s="2">
        <f>[1]!YBHIST(AI$4,$A15,"Price","sec","")</f>
        <v>16.608999000000001</v>
      </c>
      <c r="AJ15" s="2">
        <f>[1]!YBHIST(AJ$4,$A15,"Price","sec","")</f>
        <v>13.811999999999999</v>
      </c>
      <c r="AK15" s="2">
        <f>[1]!YBHIST(AK$4,$A15,"Price","sec","")</f>
        <v>19.562000000000001</v>
      </c>
      <c r="AL15" s="2">
        <f>[1]!YBHIST(AL$4,$A15,"Price","sec","")</f>
        <v>17.047001000000002</v>
      </c>
      <c r="AM15" s="2">
        <f>[1]!YBHIST(AM$4,$A15,"Price","sec","")</f>
        <v>13.5</v>
      </c>
      <c r="AN15" s="2">
        <f>[1]!YBHIST(AN$4,$A15,"Price","sec","")</f>
        <v>14.672000000000001</v>
      </c>
      <c r="AO15" s="2">
        <f>[1]!YBHIST(AO$4,$A15,"Price","sec","")</f>
        <v>14.797000000000001</v>
      </c>
      <c r="AP15" s="2">
        <f>[1]!YBHIST(AP$4,$A15,"Price","sec","")</f>
        <v>13.516</v>
      </c>
      <c r="AQ15" s="2">
        <f>[1]!YBHIST(AQ$4,$A15,"Price","sec","")</f>
        <v>15.625</v>
      </c>
      <c r="AR15" s="2">
        <f>[1]!YBHIST(AR$4,$A15,"Price","sec","")</f>
        <v>15.172000000000001</v>
      </c>
      <c r="AS15" s="2">
        <f>[1]!YBHIST(AS$4,$A15,"Price","sec","")</f>
        <v>15.547000000000001</v>
      </c>
      <c r="AT15" s="2">
        <f>[1]!YBHIST(AT$4,$A15,"Price","sec","")</f>
        <v>17.858999000000001</v>
      </c>
      <c r="AU15" s="2">
        <f>[1]!YBHIST(AU$4,$A15,"Price","sec","")</f>
        <v>21.344000000000001</v>
      </c>
      <c r="AV15" s="2">
        <f>[1]!YBHIST(AV$4,$A15,"Price","sec","")</f>
        <v>20.5</v>
      </c>
      <c r="AW15" s="10">
        <f>[1]!YBHIST(AW$4,$A15,"Price","sec","")</f>
        <v>20.719000000000001</v>
      </c>
      <c r="AX15" s="29">
        <f>[1]!YBHIST(AX$4,$A15,"OAS-Lib","sec","")</f>
        <v>-184.44000199999999</v>
      </c>
      <c r="AY15" s="29">
        <f>[1]!YBHIST(AY$4,$A15,"OAS-Lib","sec","")</f>
        <v>-94.190002000000007</v>
      </c>
      <c r="AZ15" s="2">
        <f>[1]!YBHIST(AZ$4,$A15,"OAS-Lib","sec","")</f>
        <v>59.59</v>
      </c>
      <c r="BA15" s="2">
        <f>[1]!YBHIST(BA$4,$A15,"OAS-Lib","sec","")</f>
        <v>-175.11999499999999</v>
      </c>
      <c r="BB15" s="29">
        <f>[1]!YBHIST(BB$4,$A15,"OAS-Lib","sec","")</f>
        <v>128.14999399999999</v>
      </c>
      <c r="BC15" s="2">
        <f>[1]!YBHIST(BC$4,$A15,"OAS-Lib","sec","")</f>
        <v>-150.699997</v>
      </c>
      <c r="BD15" s="29">
        <f>[1]!YBHIST(BD$4,$A15,"OAS-Lib","sec","")</f>
        <v>25.870000999999998</v>
      </c>
      <c r="BE15" s="2">
        <f>[1]!YBHIST(BE$4,$A15,"OAS-Lib","sec","")</f>
        <v>769.26000999999997</v>
      </c>
      <c r="BF15" s="2">
        <f>[1]!YBHIST(BF$4,$A15,"OAS-Lib","sec","")</f>
        <v>786.02002000000005</v>
      </c>
      <c r="BG15" s="2">
        <f>[1]!YBHIST(BG$4,$A15,"OAS-Lib","sec","")</f>
        <v>428.48998999999998</v>
      </c>
      <c r="BH15" s="29">
        <f>[1]!YBHIST(BH$4,$A15,"OAS-Lib","sec","")</f>
        <v>1113.910034</v>
      </c>
      <c r="BI15" s="2">
        <f>[1]!YBHIST(BI$4,$A15,"OAS-Lib","sec","")</f>
        <v>722.69000200000005</v>
      </c>
      <c r="BJ15" s="2">
        <f>[1]!YBHIST(BJ$4,$A15,"OAS-Lib","sec","")</f>
        <v>580.5</v>
      </c>
      <c r="BK15" s="29">
        <f>[1]!YBHIST(BK$4,$A15,"OAS-Lib","sec","")</f>
        <v>497.51998900000001</v>
      </c>
      <c r="BL15" s="30">
        <f>[1]!YBHIST(BL$4,$A15,"OAS-Lib","sec","")</f>
        <v>620.13000499999998</v>
      </c>
      <c r="BM15" s="2">
        <f>[1]!YBHIST(BM$4,$A15,"OAS-Lib","sec","")</f>
        <v>-227.029999</v>
      </c>
      <c r="BN15" s="2">
        <f>[1]!YBHIST(BN$4,$A15,"OAS-Lib","sec","")</f>
        <v>-168.970001</v>
      </c>
      <c r="BO15" s="10">
        <f>[1]!YBHIST(BO$4,$A15,"OAS-Lib","sec","")</f>
        <v>-6.15</v>
      </c>
      <c r="BP15" s="9"/>
      <c r="BQ15" s="1"/>
      <c r="BR15" s="1"/>
    </row>
    <row r="16" spans="1:72" x14ac:dyDescent="0.25">
      <c r="A16" s="22">
        <f>[1]!ybworkday(A$5,-1*(ROW()-ROW(A$5)),"USD","")</f>
        <v>40891</v>
      </c>
      <c r="B16" s="3">
        <f>[1]!YBHIST("2 Year Treasury",$A16,"Price","govt","")</f>
        <v>100.01599899999999</v>
      </c>
      <c r="C16" s="2">
        <f>[1]!YBHIST("5 Year Treasury",$A16,"Price","govt","")</f>
        <v>100.148003</v>
      </c>
      <c r="D16" s="2">
        <f>[1]!YBHIST("10 Year Treasury",$A16,"Price","govt","")</f>
        <v>100.921997</v>
      </c>
      <c r="E16" s="10">
        <f>[1]!YBHIST("30 Year Treasury",$A16,"Price","govt","")</f>
        <v>104.39099899999999</v>
      </c>
      <c r="F16" s="3">
        <f>[1]!YBHIST("2 Year Treasury",$A16,"YldtoMat","govt","")</f>
        <v>0.24199999999999999</v>
      </c>
      <c r="G16" s="2">
        <f>[1]!YBHIST("5 Year Treasury",$A16,"YldtoMat","govt","")</f>
        <v>0.84399999999999997</v>
      </c>
      <c r="H16" s="2">
        <f>[1]!YBHIST("10 Year Treasury",$A16,"YldtoMat","govt","")</f>
        <v>1.8979999999999999</v>
      </c>
      <c r="I16" s="10">
        <f>[1]!YBHIST("30 Year Treasury",$A16,"YldtoMat","govt","")</f>
        <v>2.9039999999999999</v>
      </c>
      <c r="J16" s="3">
        <f>[1]!YBHIST("2yr Swap Rate",$A16,"YldtoMat","swapvol","")</f>
        <v>0.721279</v>
      </c>
      <c r="K16" s="2">
        <f>[1]!YBHIST("5yr Swap Rate",$A16,"YldtoMat","swapvol","")</f>
        <v>1.246032</v>
      </c>
      <c r="L16" s="2">
        <f>[1]!YBHIST("10yr Swap Rate",$A16,"YldtoMat","swapvol","")</f>
        <v>2.0454400000000001</v>
      </c>
      <c r="M16" s="10">
        <f>[1]!YBHIST("30yr Swap Rate",$A16,"YldtoMat","swapvol","")</f>
        <v>2.603513</v>
      </c>
      <c r="N16" s="3">
        <f>[1]!YBHIST("FNMA 30YR Cur Coup (BE)",$A16,"Yield","bmk","")</f>
        <v>3.0110000000000001</v>
      </c>
      <c r="O16" s="2">
        <f>[1]!YBHIST("FHLMC 30YR Cur Coup (BE)",$A16,"Yield","bmk","")</f>
        <v>3.0659999999999998</v>
      </c>
      <c r="P16" s="2">
        <f>[1]!YBHIST("GNMA 30YR Cur Coup (BE)",$A16,"Yield","bmk","")</f>
        <v>2.847</v>
      </c>
      <c r="Q16" s="2">
        <f>[1]!YBHIST("Primary 30-Yr Mtg Rate",$A16,"Yield","bmk","")</f>
        <v>4.0045999999999999</v>
      </c>
      <c r="R16" s="2">
        <f>[1]!YBHIST("FHLM 30-Yr Survey Rate",$A16,"Yield","bmk","")</f>
        <v>3.99</v>
      </c>
      <c r="S16" s="10">
        <f>[1]!YBHIST("Base Mortgage Rate",$A16,"Yield","bmk","")</f>
        <v>3.3359999999999999</v>
      </c>
      <c r="T16" s="27">
        <f>[1]!YBHIST("FNMA 30YR Cur Coup (BE)",$A16,"OAS-Lib","bmk","")</f>
        <v>16</v>
      </c>
      <c r="U16" s="28">
        <f>[1]!YBHIST("FHLMC 30YR Cur Coup (BE)",$A16,"OAS-Lib","bmk","")</f>
        <v>21.690000999999999</v>
      </c>
      <c r="V16" s="28">
        <f>[1]!YBHIST("GNMA 30YR Cur Coup (BE)",$A16,"OAS-Lib","bmk","")</f>
        <v>20</v>
      </c>
      <c r="W16" s="29">
        <f t="shared" si="3"/>
        <v>111.30000000000003</v>
      </c>
      <c r="X16" s="29">
        <f t="shared" si="4"/>
        <v>111.30000000000003</v>
      </c>
      <c r="Y16" s="29">
        <f t="shared" si="5"/>
        <v>116.8</v>
      </c>
      <c r="Z16" s="3">
        <f>[1]!YBHIST("FNMA3.5-GEN",$A16,"Price","tba","")</f>
        <v>102.671875</v>
      </c>
      <c r="AA16" s="2">
        <f>[1]!YBHIST("FNMA4.0-GEN",$A16,"Price","tba","")</f>
        <v>104.796875</v>
      </c>
      <c r="AB16" s="2">
        <f>[1]!YBHIST("FNMA4.5-GEN",$A16,"Price","tba","")</f>
        <v>106.265625</v>
      </c>
      <c r="AC16" s="2">
        <f>[1]!YBHIST("FNMA5.0-GEN",$A16,"Price","tba","")</f>
        <v>107.953125</v>
      </c>
      <c r="AD16" s="2">
        <f>[1]!YBHIST("FNMA5.5-GEN",$A16,"Price","tba","")</f>
        <v>108.828125</v>
      </c>
      <c r="AE16" s="10">
        <f>[1]!YBHIST("FNMA6.0-GEN",$A16,"Price","tba","")</f>
        <v>109.96875</v>
      </c>
      <c r="AF16" s="3">
        <f>[1]!YBHIST(AF$4,$A16,"Price","sec","")</f>
        <v>17.030999999999999</v>
      </c>
      <c r="AG16" s="2">
        <f>[1]!YBHIST(AG$4,$A16,"Price","sec","")</f>
        <v>15.577999999999999</v>
      </c>
      <c r="AH16" s="2">
        <f>[1]!YBHIST(AH$4,$A16,"Price","sec","")</f>
        <v>13.656000000000001</v>
      </c>
      <c r="AI16" s="2">
        <f>[1]!YBHIST(AI$4,$A16,"Price","sec","")</f>
        <v>16.297001000000002</v>
      </c>
      <c r="AJ16" s="2">
        <f>[1]!YBHIST(AJ$4,$A16,"Price","sec","")</f>
        <v>13.5</v>
      </c>
      <c r="AK16" s="2">
        <f>[1]!YBHIST(AK$4,$A16,"Price","sec","")</f>
        <v>19.375</v>
      </c>
      <c r="AL16" s="2">
        <f>[1]!YBHIST(AL$4,$A16,"Price","sec","")</f>
        <v>16.844000000000001</v>
      </c>
      <c r="AM16" s="2">
        <f>[1]!YBHIST(AM$4,$A16,"Price","sec","")</f>
        <v>13.311999999999999</v>
      </c>
      <c r="AN16" s="2">
        <f>[1]!YBHIST(AN$4,$A16,"Price","sec","")</f>
        <v>14.484</v>
      </c>
      <c r="AO16" s="2">
        <f>[1]!YBHIST(AO$4,$A16,"Price","sec","")</f>
        <v>14.609</v>
      </c>
      <c r="AP16" s="2">
        <f>[1]!YBHIST(AP$4,$A16,"Price","sec","")</f>
        <v>13.406000000000001</v>
      </c>
      <c r="AQ16" s="2">
        <f>[1]!YBHIST(AQ$4,$A16,"Price","sec","")</f>
        <v>15.516</v>
      </c>
      <c r="AR16" s="2">
        <f>[1]!YBHIST(AR$4,$A16,"Price","sec","")</f>
        <v>15.047000000000001</v>
      </c>
      <c r="AS16" s="2">
        <f>[1]!YBHIST(AS$4,$A16,"Price","sec","")</f>
        <v>15.484</v>
      </c>
      <c r="AT16" s="2">
        <f>[1]!YBHIST(AT$4,$A16,"Price","sec","")</f>
        <v>17.827998999999998</v>
      </c>
      <c r="AU16" s="2">
        <f>[1]!YBHIST(AU$4,$A16,"Price","sec","")</f>
        <v>21.172001000000002</v>
      </c>
      <c r="AV16" s="2">
        <f>[1]!YBHIST(AV$4,$A16,"Price","sec","")</f>
        <v>20.312000000000001</v>
      </c>
      <c r="AW16" s="10">
        <f>[1]!YBHIST(AW$4,$A16,"Price","sec","")</f>
        <v>20.5</v>
      </c>
      <c r="AX16" s="29">
        <f>[1]!YBHIST(AX$4,$A16,"OAS-Lib","sec","")</f>
        <v>-215.75</v>
      </c>
      <c r="AY16" s="29">
        <f>[1]!YBHIST(AY$4,$A16,"OAS-Lib","sec","")</f>
        <v>-118.050003</v>
      </c>
      <c r="AZ16" s="2">
        <f>[1]!YBHIST(AZ$4,$A16,"OAS-Lib","sec","")</f>
        <v>48.740001999999997</v>
      </c>
      <c r="BA16" s="2">
        <f>[1]!YBHIST(BA$4,$A16,"OAS-Lib","sec","")</f>
        <v>-188.39999399999999</v>
      </c>
      <c r="BB16" s="29">
        <f>[1]!YBHIST(BB$4,$A16,"OAS-Lib","sec","")</f>
        <v>126.160004</v>
      </c>
      <c r="BC16" s="2">
        <f>[1]!YBHIST(BC$4,$A16,"OAS-Lib","sec","")</f>
        <v>-174</v>
      </c>
      <c r="BD16" s="29">
        <f>[1]!YBHIST(BD$4,$A16,"OAS-Lib","sec","")</f>
        <v>6.97</v>
      </c>
      <c r="BE16" s="2">
        <f>[1]!YBHIST(BE$4,$A16,"OAS-Lib","sec","")</f>
        <v>763.35998500000005</v>
      </c>
      <c r="BF16" s="2">
        <f>[1]!YBHIST(BF$4,$A16,"OAS-Lib","sec","")</f>
        <v>798.07000700000003</v>
      </c>
      <c r="BG16" s="2">
        <f>[1]!YBHIST(BG$4,$A16,"OAS-Lib","sec","")</f>
        <v>431.33999599999999</v>
      </c>
      <c r="BH16" s="29">
        <f>[1]!YBHIST(BH$4,$A16,"OAS-Lib","sec","")</f>
        <v>1103.3100589999999</v>
      </c>
      <c r="BI16" s="2">
        <f>[1]!YBHIST(BI$4,$A16,"OAS-Lib","sec","")</f>
        <v>725.13000499999998</v>
      </c>
      <c r="BJ16" s="2">
        <f>[1]!YBHIST(BJ$4,$A16,"OAS-Lib","sec","")</f>
        <v>572.97997999999995</v>
      </c>
      <c r="BK16" s="29">
        <f>[1]!YBHIST(BK$4,$A16,"OAS-Lib","sec","")</f>
        <v>491.19000199999999</v>
      </c>
      <c r="BL16" s="30">
        <f>[1]!YBHIST(BL$4,$A16,"OAS-Lib","sec","")</f>
        <v>610.82000700000003</v>
      </c>
      <c r="BM16" s="2">
        <f>[1]!YBHIST(BM$4,$A16,"OAS-Lib","sec","")</f>
        <v>-253.83000200000001</v>
      </c>
      <c r="BN16" s="2">
        <f>[1]!YBHIST(BN$4,$A16,"OAS-Lib","sec","")</f>
        <v>-188.020004</v>
      </c>
      <c r="BO16" s="10">
        <f>[1]!YBHIST(BO$4,$A16,"OAS-Lib","sec","")</f>
        <v>-12.26</v>
      </c>
      <c r="BP16" s="9"/>
      <c r="BQ16" s="1"/>
      <c r="BR16" s="1"/>
    </row>
    <row r="17" spans="1:70" x14ac:dyDescent="0.25">
      <c r="A17" s="22">
        <f>[1]!ybworkday(A$5,-1*(ROW()-ROW(A$5)),"USD","")</f>
        <v>40890</v>
      </c>
      <c r="B17" s="3">
        <f>[1]!YBHIST("2 Year Treasury",$A17,"Price","govt","")</f>
        <v>100.039001</v>
      </c>
      <c r="C17" s="2">
        <f>[1]!YBHIST("5 Year Treasury",$A17,"Price","govt","")</f>
        <v>100.14099899999999</v>
      </c>
      <c r="D17" s="2">
        <f>[1]!YBHIST("10 Year Treasury",$A17,"Price","govt","")</f>
        <v>100.35900100000001</v>
      </c>
      <c r="E17" s="10">
        <f>[1]!YBHIST("30 Year Treasury",$A17,"Price","govt","")</f>
        <v>102.578003</v>
      </c>
      <c r="F17" s="3">
        <f>[1]!YBHIST("2 Year Treasury",$A17,"YldtoMat","govt","")</f>
        <v>0.23</v>
      </c>
      <c r="G17" s="2">
        <f>[1]!YBHIST("5 Year Treasury",$A17,"YldtoMat","govt","")</f>
        <v>0.84599999999999997</v>
      </c>
      <c r="H17" s="2">
        <f>[1]!YBHIST("10 Year Treasury",$A17,"YldtoMat","govt","")</f>
        <v>1.96</v>
      </c>
      <c r="I17" s="10">
        <f>[1]!YBHIST("30 Year Treasury",$A17,"YldtoMat","govt","")</f>
        <v>2.9940000000000002</v>
      </c>
      <c r="J17" s="3">
        <f>[1]!YBHIST("2yr Swap Rate",$A17,"YldtoMat","swapvol","")</f>
        <v>0.685581</v>
      </c>
      <c r="K17" s="2">
        <f>[1]!YBHIST("5yr Swap Rate",$A17,"YldtoMat","swapvol","")</f>
        <v>1.24505</v>
      </c>
      <c r="L17" s="2">
        <f>[1]!YBHIST("10yr Swap Rate",$A17,"YldtoMat","swapvol","")</f>
        <v>2.1052499999999998</v>
      </c>
      <c r="M17" s="10">
        <f>[1]!YBHIST("30yr Swap Rate",$A17,"YldtoMat","swapvol","")</f>
        <v>2.69306</v>
      </c>
      <c r="N17" s="3">
        <f>[1]!YBHIST("FNMA 30YR Cur Coup (BE)",$A17,"Yield","bmk","")</f>
        <v>3.0840000000000001</v>
      </c>
      <c r="O17" s="2">
        <f>[1]!YBHIST("FHLMC 30YR Cur Coup (BE)",$A17,"Yield","bmk","")</f>
        <v>3.137</v>
      </c>
      <c r="P17" s="2">
        <f>[1]!YBHIST("GNMA 30YR Cur Coup (BE)",$A17,"Yield","bmk","")</f>
        <v>2.92</v>
      </c>
      <c r="Q17" s="2">
        <f>[1]!YBHIST("Primary 30-Yr Mtg Rate",$A17,"Yield","bmk","")</f>
        <v>4.0766999999999998</v>
      </c>
      <c r="R17" s="2">
        <f>[1]!YBHIST("FHLM 30-Yr Survey Rate",$A17,"Yield","bmk","")</f>
        <v>3.99</v>
      </c>
      <c r="S17" s="10">
        <f>[1]!YBHIST("Base Mortgage Rate",$A17,"Yield","bmk","")</f>
        <v>3.4079999999999999</v>
      </c>
      <c r="T17" s="27">
        <f>[1]!YBHIST("FNMA 30YR Cur Coup (BE)",$A17,"OAS-Lib","bmk","")</f>
        <v>20.882999000000002</v>
      </c>
      <c r="U17" s="28">
        <f>[1]!YBHIST("FHLMC 30YR Cur Coup (BE)",$A17,"OAS-Lib","bmk","")</f>
        <v>23.837999</v>
      </c>
      <c r="V17" s="28">
        <f>[1]!YBHIST("GNMA 30YR Cur Coup (BE)",$A17,"OAS-Lib","bmk","")</f>
        <v>25</v>
      </c>
      <c r="W17" s="29">
        <f t="shared" si="3"/>
        <v>112.4</v>
      </c>
      <c r="X17" s="29">
        <f t="shared" si="4"/>
        <v>112.4</v>
      </c>
      <c r="Y17" s="29">
        <f t="shared" si="5"/>
        <v>117.7</v>
      </c>
      <c r="Z17" s="3">
        <f>[1]!YBHIST("FNMA3.5-GEN",$A17,"Price","tba","")</f>
        <v>102.34375</v>
      </c>
      <c r="AA17" s="2">
        <f>[1]!YBHIST("FNMA4.0-GEN",$A17,"Price","tba","")</f>
        <v>104.578125</v>
      </c>
      <c r="AB17" s="2">
        <f>[1]!YBHIST("FNMA4.5-GEN",$A17,"Price","tba","")</f>
        <v>106.15625</v>
      </c>
      <c r="AC17" s="2">
        <f>[1]!YBHIST("FNMA5.0-GEN",$A17,"Price","tba","")</f>
        <v>107.890625</v>
      </c>
      <c r="AD17" s="2">
        <f>[1]!YBHIST("FNMA5.5-GEN",$A17,"Price","tba","")</f>
        <v>108.8125</v>
      </c>
      <c r="AE17" s="10">
        <f>[1]!YBHIST("FNMA6.0-GEN",$A17,"Price","tba","")</f>
        <v>109.9375</v>
      </c>
      <c r="AF17" s="3">
        <f>[1]!YBHIST(AF$4,$A17,"Price","sec","")</f>
        <v>17.483999000000001</v>
      </c>
      <c r="AG17" s="2">
        <f>[1]!YBHIST(AG$4,$A17,"Price","sec","")</f>
        <v>16.094000000000001</v>
      </c>
      <c r="AH17" s="2">
        <f>[1]!YBHIST(AH$4,$A17,"Price","sec","")</f>
        <v>14.172000000000001</v>
      </c>
      <c r="AI17" s="2">
        <f>[1]!YBHIST(AI$4,$A17,"Price","sec","")</f>
        <v>16.812000000000001</v>
      </c>
      <c r="AJ17" s="2">
        <f>[1]!YBHIST(AJ$4,$A17,"Price","sec","")</f>
        <v>14.047000000000001</v>
      </c>
      <c r="AK17" s="2">
        <f>[1]!YBHIST(AK$4,$A17,"Price","sec","")</f>
        <v>19.844000000000001</v>
      </c>
      <c r="AL17" s="2">
        <f>[1]!YBHIST(AL$4,$A17,"Price","sec","")</f>
        <v>17.327998999999998</v>
      </c>
      <c r="AM17" s="2">
        <f>[1]!YBHIST(AM$4,$A17,"Price","sec","")</f>
        <v>13.766</v>
      </c>
      <c r="AN17" s="2">
        <f>[1]!YBHIST(AN$4,$A17,"Price","sec","")</f>
        <v>14.906000000000001</v>
      </c>
      <c r="AO17" s="2">
        <f>[1]!YBHIST(AO$4,$A17,"Price","sec","")</f>
        <v>15.031000000000001</v>
      </c>
      <c r="AP17" s="2">
        <f>[1]!YBHIST(AP$4,$A17,"Price","sec","")</f>
        <v>13.688000000000001</v>
      </c>
      <c r="AQ17" s="2">
        <f>[1]!YBHIST(AQ$4,$A17,"Price","sec","")</f>
        <v>15.766</v>
      </c>
      <c r="AR17" s="2">
        <f>[1]!YBHIST(AR$4,$A17,"Price","sec","")</f>
        <v>15.311999999999999</v>
      </c>
      <c r="AS17" s="2">
        <f>[1]!YBHIST(AS$4,$A17,"Price","sec","")</f>
        <v>15.625</v>
      </c>
      <c r="AT17" s="2">
        <f>[1]!YBHIST(AT$4,$A17,"Price","sec","")</f>
        <v>17.905999999999999</v>
      </c>
      <c r="AU17" s="2">
        <f>[1]!YBHIST(AU$4,$A17,"Price","sec","")</f>
        <v>21.483999000000001</v>
      </c>
      <c r="AV17" s="2">
        <f>[1]!YBHIST(AV$4,$A17,"Price","sec","")</f>
        <v>20.687999999999999</v>
      </c>
      <c r="AW17" s="10">
        <f>[1]!YBHIST(AW$4,$A17,"Price","sec","")</f>
        <v>20.891000999999999</v>
      </c>
      <c r="AX17" s="29">
        <f>[1]!YBHIST(AX$4,$A17,"OAS-Lib","sec","")</f>
        <v>-165.479996</v>
      </c>
      <c r="AY17" s="29">
        <f>[1]!YBHIST(AY$4,$A17,"OAS-Lib","sec","")</f>
        <v>-72.580001999999993</v>
      </c>
      <c r="AZ17" s="2">
        <f>[1]!YBHIST(AZ$4,$A17,"OAS-Lib","sec","")</f>
        <v>81.330001999999993</v>
      </c>
      <c r="BA17" s="2">
        <f>[1]!YBHIST(BA$4,$A17,"OAS-Lib","sec","")</f>
        <v>-142.21000699999999</v>
      </c>
      <c r="BB17" s="29">
        <f>[1]!YBHIST(BB$4,$A17,"OAS-Lib","sec","")</f>
        <v>150.86999499999999</v>
      </c>
      <c r="BC17" s="2">
        <f>[1]!YBHIST(BC$4,$A17,"OAS-Lib","sec","")</f>
        <v>-130.720001</v>
      </c>
      <c r="BD17" s="29">
        <f>[1]!YBHIST(BD$4,$A17,"OAS-Lib","sec","")</f>
        <v>38.889999000000003</v>
      </c>
      <c r="BE17" s="2">
        <f>[1]!YBHIST(BE$4,$A17,"OAS-Lib","sec","")</f>
        <v>763.14001499999995</v>
      </c>
      <c r="BF17" s="2">
        <f>[1]!YBHIST(BF$4,$A17,"OAS-Lib","sec","")</f>
        <v>775.61999500000002</v>
      </c>
      <c r="BG17" s="2">
        <f>[1]!YBHIST(BG$4,$A17,"OAS-Lib","sec","")</f>
        <v>424.39001500000001</v>
      </c>
      <c r="BH17" s="29">
        <f>[1]!YBHIST(BH$4,$A17,"OAS-Lib","sec","")</f>
        <v>1124.380005</v>
      </c>
      <c r="BI17" s="2">
        <f>[1]!YBHIST(BI$4,$A17,"OAS-Lib","sec","")</f>
        <v>726.47997999999995</v>
      </c>
      <c r="BJ17" s="2">
        <f>[1]!YBHIST(BJ$4,$A17,"OAS-Lib","sec","")</f>
        <v>593.47997999999995</v>
      </c>
      <c r="BK17" s="29">
        <f>[1]!YBHIST(BK$4,$A17,"OAS-Lib","sec","")</f>
        <v>519.22997999999995</v>
      </c>
      <c r="BL17" s="30">
        <f>[1]!YBHIST(BL$4,$A17,"OAS-Lib","sec","")</f>
        <v>636.55999799999995</v>
      </c>
      <c r="BM17" s="2">
        <f>[1]!YBHIST(BM$4,$A17,"OAS-Lib","sec","")</f>
        <v>-206.550003</v>
      </c>
      <c r="BN17" s="2">
        <f>[1]!YBHIST(BN$4,$A17,"OAS-Lib","sec","")</f>
        <v>-149.800003</v>
      </c>
      <c r="BO17" s="10">
        <f>[1]!YBHIST(BO$4,$A17,"OAS-Lib","sec","")</f>
        <v>10.029999999999999</v>
      </c>
      <c r="BP17" s="9"/>
      <c r="BQ17" s="1"/>
      <c r="BR17" s="1"/>
    </row>
    <row r="18" spans="1:70" x14ac:dyDescent="0.25">
      <c r="A18" s="22">
        <f>[1]!ybworkday(A$5,-1*(ROW()-ROW(A$5)),"USD","")</f>
        <v>40889</v>
      </c>
      <c r="B18" s="3">
        <f>[1]!YBHIST("2 Year Treasury",$A18,"Price","govt","")</f>
        <v>100.046997</v>
      </c>
      <c r="C18" s="2">
        <f>[1]!YBHIST("5 Year Treasury",$A18,"Price","govt","")</f>
        <v>100.085999</v>
      </c>
      <c r="D18" s="2">
        <f>[1]!YBHIST("10 Year Treasury",$A18,"Price","govt","")</f>
        <v>99.905997999999997</v>
      </c>
      <c r="E18" s="10">
        <f>[1]!YBHIST("30 Year Treasury",$A18,"Price","govt","")</f>
        <v>101.56300400000001</v>
      </c>
      <c r="F18" s="3">
        <f>[1]!YBHIST("2 Year Treasury",$A18,"YldtoMat","govt","")</f>
        <v>0.22600000000000001</v>
      </c>
      <c r="G18" s="2">
        <f>[1]!YBHIST("5 Year Treasury",$A18,"YldtoMat","govt","")</f>
        <v>0.85699999999999998</v>
      </c>
      <c r="H18" s="2">
        <f>[1]!YBHIST("10 Year Treasury",$A18,"YldtoMat","govt","")</f>
        <v>2.0099999999999998</v>
      </c>
      <c r="I18" s="10">
        <f>[1]!YBHIST("30 Year Treasury",$A18,"YldtoMat","govt","")</f>
        <v>3.0449999999999999</v>
      </c>
      <c r="J18" s="3">
        <f>[1]!YBHIST("2yr Swap Rate",$A18,"YldtoMat","swapvol","")</f>
        <v>0.66941099999999998</v>
      </c>
      <c r="K18" s="2">
        <f>[1]!YBHIST("5yr Swap Rate",$A18,"YldtoMat","swapvol","")</f>
        <v>1.24376</v>
      </c>
      <c r="L18" s="2">
        <f>[1]!YBHIST("10yr Swap Rate",$A18,"YldtoMat","swapvol","")</f>
        <v>2.150709</v>
      </c>
      <c r="M18" s="10">
        <f>[1]!YBHIST("30yr Swap Rate",$A18,"YldtoMat","swapvol","")</f>
        <v>2.7416480000000001</v>
      </c>
      <c r="N18" s="3">
        <f>[1]!YBHIST("FNMA 30YR Cur Coup (BE)",$A18,"Yield","bmk","")</f>
        <v>3.137</v>
      </c>
      <c r="O18" s="2">
        <f>[1]!YBHIST("FHLMC 30YR Cur Coup (BE)",$A18,"Yield","bmk","")</f>
        <v>3.1560000000000001</v>
      </c>
      <c r="P18" s="2">
        <f>[1]!YBHIST("GNMA 30YR Cur Coup (BE)",$A18,"Yield","bmk","")</f>
        <v>2.9729999999999999</v>
      </c>
      <c r="Q18" s="2">
        <f>[1]!YBHIST("Primary 30-Yr Mtg Rate",$A18,"Yield","bmk","")</f>
        <v>4.12</v>
      </c>
      <c r="R18" s="2">
        <f>[1]!YBHIST("FHLM 30-Yr Survey Rate",$A18,"Yield","bmk","")</f>
        <v>3.99</v>
      </c>
      <c r="S18" s="10">
        <f>[1]!YBHIST("Base Mortgage Rate",$A18,"Yield","bmk","")</f>
        <v>3.4510000000000001</v>
      </c>
      <c r="T18" s="27">
        <f>[1]!YBHIST("FNMA 30YR Cur Coup (BE)",$A18,"OAS-Lib","bmk","")</f>
        <v>21.09</v>
      </c>
      <c r="U18" s="28">
        <f>[1]!YBHIST("FHLMC 30YR Cur Coup (BE)",$A18,"OAS-Lib","bmk","")</f>
        <v>24.07</v>
      </c>
      <c r="V18" s="28">
        <f>[1]!YBHIST("GNMA 30YR Cur Coup (BE)",$A18,"OAS-Lib","bmk","")</f>
        <v>27</v>
      </c>
      <c r="W18" s="29">
        <f t="shared" si="3"/>
        <v>112.70000000000002</v>
      </c>
      <c r="X18" s="29">
        <f t="shared" si="4"/>
        <v>112.70000000000002</v>
      </c>
      <c r="Y18" s="29">
        <f t="shared" si="5"/>
        <v>114.60000000000004</v>
      </c>
      <c r="Z18" s="3">
        <f>[1]!YBHIST("FNMA3.5-GEN",$A18,"Price","tba","")</f>
        <v>102.125</v>
      </c>
      <c r="AA18" s="2">
        <f>[1]!YBHIST("FNMA4.0-GEN",$A18,"Price","tba","")</f>
        <v>104.421875</v>
      </c>
      <c r="AB18" s="2">
        <f>[1]!YBHIST("FNMA4.5-GEN",$A18,"Price","tba","")</f>
        <v>106.046875</v>
      </c>
      <c r="AC18" s="2">
        <f>[1]!YBHIST("FNMA5.0-GEN",$A18,"Price","tba","")</f>
        <v>107.84375</v>
      </c>
      <c r="AD18" s="2">
        <f>[1]!YBHIST("FNMA5.5-GEN",$A18,"Price","tba","")</f>
        <v>108.796875</v>
      </c>
      <c r="AE18" s="10">
        <f>[1]!YBHIST("FNMA6.0-GEN",$A18,"Price","tba","")</f>
        <v>109.90625</v>
      </c>
      <c r="AF18" s="3">
        <f>[1]!YBHIST(AF$4,$A18,"Price","sec","")</f>
        <v>17.75</v>
      </c>
      <c r="AG18" s="2">
        <f>[1]!YBHIST(AG$4,$A18,"Price","sec","")</f>
        <v>16.391000999999999</v>
      </c>
      <c r="AH18" s="2">
        <f>[1]!YBHIST(AH$4,$A18,"Price","sec","")</f>
        <v>14.484</v>
      </c>
      <c r="AI18" s="2">
        <f>[1]!YBHIST(AI$4,$A18,"Price","sec","")</f>
        <v>17.108999000000001</v>
      </c>
      <c r="AJ18" s="2">
        <f>[1]!YBHIST(AJ$4,$A18,"Price","sec","")</f>
        <v>14.359</v>
      </c>
      <c r="AK18" s="2">
        <f>[1]!YBHIST(AK$4,$A18,"Price","sec","")</f>
        <v>20.094000000000001</v>
      </c>
      <c r="AL18" s="2">
        <f>[1]!YBHIST(AL$4,$A18,"Price","sec","")</f>
        <v>17.594000000000001</v>
      </c>
      <c r="AM18" s="2">
        <f>[1]!YBHIST(AM$4,$A18,"Price","sec","")</f>
        <v>14</v>
      </c>
      <c r="AN18" s="2">
        <f>[1]!YBHIST(AN$4,$A18,"Price","sec","")</f>
        <v>15.125</v>
      </c>
      <c r="AO18" s="2">
        <f>[1]!YBHIST(AO$4,$A18,"Price","sec","")</f>
        <v>15.25</v>
      </c>
      <c r="AP18" s="2">
        <f>[1]!YBHIST(AP$4,$A18,"Price","sec","")</f>
        <v>13.859</v>
      </c>
      <c r="AQ18" s="2">
        <f>[1]!YBHIST(AQ$4,$A18,"Price","sec","")</f>
        <v>15.891</v>
      </c>
      <c r="AR18" s="2">
        <f>[1]!YBHIST(AR$4,$A18,"Price","sec","")</f>
        <v>15.438000000000001</v>
      </c>
      <c r="AS18" s="2">
        <f>[1]!YBHIST(AS$4,$A18,"Price","sec","")</f>
        <v>15.734</v>
      </c>
      <c r="AT18" s="2">
        <f>[1]!YBHIST(AT$4,$A18,"Price","sec","")</f>
        <v>17.952998999999998</v>
      </c>
      <c r="AU18" s="2">
        <f>[1]!YBHIST(AU$4,$A18,"Price","sec","")</f>
        <v>21.672001000000002</v>
      </c>
      <c r="AV18" s="2">
        <f>[1]!YBHIST(AV$4,$A18,"Price","sec","")</f>
        <v>20.905999999999999</v>
      </c>
      <c r="AW18" s="10">
        <f>[1]!YBHIST(AW$4,$A18,"Price","sec","")</f>
        <v>21.141000999999999</v>
      </c>
      <c r="AX18" s="29">
        <f>[1]!YBHIST(AX$4,$A18,"OAS-Lib","sec","")</f>
        <v>-148</v>
      </c>
      <c r="AY18" s="29">
        <f>[1]!YBHIST(AY$4,$A18,"OAS-Lib","sec","")</f>
        <v>-52.349997999999999</v>
      </c>
      <c r="AZ18" s="2">
        <f>[1]!YBHIST(AZ$4,$A18,"OAS-Lib","sec","")</f>
        <v>92.970000999999996</v>
      </c>
      <c r="BA18" s="2">
        <f>[1]!YBHIST(BA$4,$A18,"OAS-Lib","sec","")</f>
        <v>-118.699997</v>
      </c>
      <c r="BB18" s="29">
        <f>[1]!YBHIST(BB$4,$A18,"OAS-Lib","sec","")</f>
        <v>164.35000600000001</v>
      </c>
      <c r="BC18" s="2">
        <f>[1]!YBHIST(BC$4,$A18,"OAS-Lib","sec","")</f>
        <v>-107.459999</v>
      </c>
      <c r="BD18" s="29">
        <f>[1]!YBHIST(BD$4,$A18,"OAS-Lib","sec","")</f>
        <v>57.630001</v>
      </c>
      <c r="BE18" s="2">
        <f>[1]!YBHIST(BE$4,$A18,"OAS-Lib","sec","")</f>
        <v>768.21002199999998</v>
      </c>
      <c r="BF18" s="2">
        <f>[1]!YBHIST(BF$4,$A18,"OAS-Lib","sec","")</f>
        <v>766.94000200000005</v>
      </c>
      <c r="BG18" s="2">
        <f>[1]!YBHIST(BG$4,$A18,"OAS-Lib","sec","")</f>
        <v>423.72000100000002</v>
      </c>
      <c r="BH18" s="29">
        <f>[1]!YBHIST(BH$4,$A18,"OAS-Lib","sec","")</f>
        <v>1129.98999</v>
      </c>
      <c r="BI18" s="2">
        <f>[1]!YBHIST(BI$4,$A18,"OAS-Lib","sec","")</f>
        <v>731.52002000000005</v>
      </c>
      <c r="BJ18" s="2">
        <f>[1]!YBHIST(BJ$4,$A18,"OAS-Lib","sec","")</f>
        <v>608.95001200000002</v>
      </c>
      <c r="BK18" s="29">
        <f>[1]!YBHIST(BK$4,$A18,"OAS-Lib","sec","")</f>
        <v>528.76000999999997</v>
      </c>
      <c r="BL18" s="30">
        <f>[1]!YBHIST(BL$4,$A18,"OAS-Lib","sec","")</f>
        <v>651.13000499999998</v>
      </c>
      <c r="BM18" s="2">
        <f>[1]!YBHIST(BM$4,$A18,"OAS-Lib","sec","")</f>
        <v>-189.60000600000001</v>
      </c>
      <c r="BN18" s="2">
        <f>[1]!YBHIST(BN$4,$A18,"OAS-Lib","sec","")</f>
        <v>-133.75</v>
      </c>
      <c r="BO18" s="10">
        <f>[1]!YBHIST(BO$4,$A18,"OAS-Lib","sec","")</f>
        <v>17.440000999999999</v>
      </c>
      <c r="BP18" s="9"/>
      <c r="BQ18" s="1"/>
      <c r="BR18" s="1"/>
    </row>
    <row r="19" spans="1:70" x14ac:dyDescent="0.25">
      <c r="A19" s="22">
        <f>[1]!ybworkday(A$5,-1*(ROW()-ROW(A$5)),"USD","")</f>
        <v>40886</v>
      </c>
      <c r="B19" s="3">
        <f>[1]!YBHIST("2 Year Treasury",$A19,"Price","govt","")</f>
        <v>100.046997</v>
      </c>
      <c r="C19" s="2">
        <f>[1]!YBHIST("5 Year Treasury",$A19,"Price","govt","")</f>
        <v>99.969002000000003</v>
      </c>
      <c r="D19" s="2">
        <f>[1]!YBHIST("10 Year Treasury",$A19,"Price","govt","")</f>
        <v>99.563004000000006</v>
      </c>
      <c r="E19" s="10">
        <f>[1]!YBHIST("30 Year Treasury",$A19,"Price","govt","")</f>
        <v>100.469002</v>
      </c>
      <c r="F19" s="3">
        <f>[1]!YBHIST("2 Year Treasury",$A19,"YldtoMat","govt","")</f>
        <v>0.22600000000000001</v>
      </c>
      <c r="G19" s="2">
        <f>[1]!YBHIST("5 Year Treasury",$A19,"YldtoMat","govt","")</f>
        <v>0.88100000000000001</v>
      </c>
      <c r="H19" s="2">
        <f>[1]!YBHIST("10 Year Treasury",$A19,"YldtoMat","govt","")</f>
        <v>2.0489999999999999</v>
      </c>
      <c r="I19" s="10">
        <f>[1]!YBHIST("30 Year Treasury",$A19,"YldtoMat","govt","")</f>
        <v>3.101</v>
      </c>
      <c r="J19" s="3">
        <f>[1]!YBHIST("2yr Swap Rate",$A19,"YldtoMat","swapvol","")</f>
        <v>0.64130500000000001</v>
      </c>
      <c r="K19" s="2">
        <f>[1]!YBHIST("5yr Swap Rate",$A19,"YldtoMat","swapvol","")</f>
        <v>1.2452529999999999</v>
      </c>
      <c r="L19" s="2">
        <f>[1]!YBHIST("10yr Swap Rate",$A19,"YldtoMat","swapvol","")</f>
        <v>2.1698539999999999</v>
      </c>
      <c r="M19" s="10">
        <f>[1]!YBHIST("30yr Swap Rate",$A19,"YldtoMat","swapvol","")</f>
        <v>2.7842310000000001</v>
      </c>
      <c r="N19" s="3">
        <f>[1]!YBHIST("FNMA 30YR Cur Coup (BE)",$A19,"Yield","bmk","")</f>
        <v>3.1429999999999998</v>
      </c>
      <c r="O19" s="2">
        <f>[1]!YBHIST("FHLMC 30YR Cur Coup (BE)",$A19,"Yield","bmk","")</f>
        <v>3.1659999999999999</v>
      </c>
      <c r="P19" s="2">
        <f>[1]!YBHIST("GNMA 30YR Cur Coup (BE)",$A19,"Yield","bmk","")</f>
        <v>2.9790000000000001</v>
      </c>
      <c r="Q19" s="2">
        <f>[1]!YBHIST("Primary 30-Yr Mtg Rate",$A19,"Yield","bmk","")</f>
        <v>4.1276999999999999</v>
      </c>
      <c r="R19" s="2">
        <f>[1]!YBHIST("FHLM 30-Yr Survey Rate",$A19,"Yield","bmk","")</f>
        <v>3.99</v>
      </c>
      <c r="S19" s="10">
        <f>[1]!YBHIST("Base Mortgage Rate",$A19,"Yield","bmk","")</f>
        <v>3.4590000000000001</v>
      </c>
      <c r="T19" s="27">
        <f>[1]!YBHIST("FNMA 30YR Cur Coup (BE)",$A19,"OAS-Lib","bmk","")</f>
        <v>20.606000999999999</v>
      </c>
      <c r="U19" s="28">
        <f>[1]!YBHIST("FHLMC 30YR Cur Coup (BE)",$A19,"OAS-Lib","bmk","")</f>
        <v>23.576000000000001</v>
      </c>
      <c r="V19" s="28">
        <f>[1]!YBHIST("GNMA 30YR Cur Coup (BE)",$A19,"OAS-Lib","bmk","")</f>
        <v>26</v>
      </c>
      <c r="W19" s="29">
        <f t="shared" si="3"/>
        <v>109.39999999999999</v>
      </c>
      <c r="X19" s="29">
        <f t="shared" si="4"/>
        <v>109.39999999999999</v>
      </c>
      <c r="Y19" s="29">
        <f t="shared" si="5"/>
        <v>111.7</v>
      </c>
      <c r="Z19" s="3">
        <f>[1]!YBHIST("FNMA3.5-GEN",$A19,"Price","tba","")</f>
        <v>102.0625</v>
      </c>
      <c r="AA19" s="2">
        <f>[1]!YBHIST("FNMA4.0-GEN",$A19,"Price","tba","")</f>
        <v>104.375</v>
      </c>
      <c r="AB19" s="2">
        <f>[1]!YBHIST("FNMA4.5-GEN",$A19,"Price","tba","")</f>
        <v>106</v>
      </c>
      <c r="AC19" s="2">
        <f>[1]!YBHIST("FNMA5.0-GEN",$A19,"Price","tba","")</f>
        <v>107.796875</v>
      </c>
      <c r="AD19" s="2">
        <f>[1]!YBHIST("FNMA5.5-GEN",$A19,"Price","tba","")</f>
        <v>108.71875</v>
      </c>
      <c r="AE19" s="10">
        <f>[1]!YBHIST("FNMA6.0-GEN",$A19,"Price","tba","")</f>
        <v>109.78125</v>
      </c>
      <c r="AF19" s="3">
        <f>[1]!YBHIST(AF$4,$A19,"Price","sec","")</f>
        <v>17.891000999999999</v>
      </c>
      <c r="AG19" s="2">
        <f>[1]!YBHIST(AG$4,$A19,"Price","sec","")</f>
        <v>16.562000000000001</v>
      </c>
      <c r="AH19" s="2">
        <f>[1]!YBHIST(AH$4,$A19,"Price","sec","")</f>
        <v>14.641</v>
      </c>
      <c r="AI19" s="2">
        <f>[1]!YBHIST(AI$4,$A19,"Price","sec","")</f>
        <v>17.266000999999999</v>
      </c>
      <c r="AJ19" s="2">
        <f>[1]!YBHIST(AJ$4,$A19,"Price","sec","")</f>
        <v>14.5</v>
      </c>
      <c r="AK19" s="2">
        <f>[1]!YBHIST(AK$4,$A19,"Price","sec","")</f>
        <v>20.233999000000001</v>
      </c>
      <c r="AL19" s="2">
        <f>[1]!YBHIST(AL$4,$A19,"Price","sec","")</f>
        <v>17.75</v>
      </c>
      <c r="AM19" s="2">
        <f>[1]!YBHIST(AM$4,$A19,"Price","sec","")</f>
        <v>14.125</v>
      </c>
      <c r="AN19" s="2">
        <f>[1]!YBHIST(AN$4,$A19,"Price","sec","")</f>
        <v>15.234</v>
      </c>
      <c r="AO19" s="2">
        <f>[1]!YBHIST(AO$4,$A19,"Price","sec","")</f>
        <v>15.359</v>
      </c>
      <c r="AP19" s="2">
        <f>[1]!YBHIST(AP$4,$A19,"Price","sec","")</f>
        <v>13.952999999999999</v>
      </c>
      <c r="AQ19" s="2">
        <f>[1]!YBHIST(AQ$4,$A19,"Price","sec","")</f>
        <v>16</v>
      </c>
      <c r="AR19" s="2">
        <f>[1]!YBHIST(AR$4,$A19,"Price","sec","")</f>
        <v>15.547000000000001</v>
      </c>
      <c r="AS19" s="2">
        <f>[1]!YBHIST(AS$4,$A19,"Price","sec","")</f>
        <v>15.797000000000001</v>
      </c>
      <c r="AT19" s="2">
        <f>[1]!YBHIST(AT$4,$A19,"Price","sec","")</f>
        <v>18</v>
      </c>
      <c r="AU19" s="2">
        <f>[1]!YBHIST(AU$4,$A19,"Price","sec","")</f>
        <v>21.780999999999999</v>
      </c>
      <c r="AV19" s="2">
        <f>[1]!YBHIST(AV$4,$A19,"Price","sec","")</f>
        <v>21.030999999999999</v>
      </c>
      <c r="AW19" s="10">
        <f>[1]!YBHIST(AW$4,$A19,"Price","sec","")</f>
        <v>21.266000999999999</v>
      </c>
      <c r="AX19" s="29">
        <f>[1]!YBHIST(AX$4,$A19,"OAS-Lib","sec","")</f>
        <v>-167.08000200000001</v>
      </c>
      <c r="AY19" s="29">
        <f>[1]!YBHIST(AY$4,$A19,"OAS-Lib","sec","")</f>
        <v>-98.150002000000001</v>
      </c>
      <c r="AZ19" s="2">
        <f>[1]!YBHIST(AZ$4,$A19,"OAS-Lib","sec","")</f>
        <v>26.790001</v>
      </c>
      <c r="BA19" s="2">
        <f>[1]!YBHIST(BA$4,$A19,"OAS-Lib","sec","")</f>
        <v>-160.550003</v>
      </c>
      <c r="BB19" s="29">
        <f>[1]!YBHIST(BB$4,$A19,"OAS-Lib","sec","")</f>
        <v>85.279999000000004</v>
      </c>
      <c r="BC19" s="2">
        <f>[1]!YBHIST(BC$4,$A19,"OAS-Lib","sec","")</f>
        <v>-135.5</v>
      </c>
      <c r="BD19" s="29">
        <f>[1]!YBHIST(BD$4,$A19,"OAS-Lib","sec","")</f>
        <v>3.19</v>
      </c>
      <c r="BE19" s="2">
        <f>[1]!YBHIST(BE$4,$A19,"OAS-Lib","sec","")</f>
        <v>652.98999000000003</v>
      </c>
      <c r="BF19" s="2">
        <f>[1]!YBHIST(BF$4,$A19,"OAS-Lib","sec","")</f>
        <v>678.5</v>
      </c>
      <c r="BG19" s="2">
        <f>[1]!YBHIST(BG$4,$A19,"OAS-Lib","sec","")</f>
        <v>323.25</v>
      </c>
      <c r="BH19" s="29">
        <f>[1]!YBHIST(BH$4,$A19,"OAS-Lib","sec","")</f>
        <v>1023.460022</v>
      </c>
      <c r="BI19" s="2">
        <f>[1]!YBHIST(BI$4,$A19,"OAS-Lib","sec","")</f>
        <v>658.48999000000003</v>
      </c>
      <c r="BJ19" s="2">
        <f>[1]!YBHIST(BJ$4,$A19,"OAS-Lib","sec","")</f>
        <v>519.28997800000002</v>
      </c>
      <c r="BK19" s="29">
        <f>[1]!YBHIST(BK$4,$A19,"OAS-Lib","sec","")</f>
        <v>455.17999300000002</v>
      </c>
      <c r="BL19" s="30">
        <f>[1]!YBHIST(BL$4,$A19,"OAS-Lib","sec","")</f>
        <v>597.01000999999997</v>
      </c>
      <c r="BM19" s="2">
        <f>[1]!YBHIST(BM$4,$A19,"OAS-Lib","sec","")</f>
        <v>-198.35000600000001</v>
      </c>
      <c r="BN19" s="2">
        <f>[1]!YBHIST(BN$4,$A19,"OAS-Lib","sec","")</f>
        <v>-153.58000200000001</v>
      </c>
      <c r="BO19" s="10">
        <f>[1]!YBHIST(BO$4,$A19,"OAS-Lib","sec","")</f>
        <v>-18.07</v>
      </c>
      <c r="BP19" s="9"/>
      <c r="BQ19" s="1"/>
      <c r="BR19" s="1"/>
    </row>
    <row r="20" spans="1:70" x14ac:dyDescent="0.25">
      <c r="A20" s="22">
        <f>[1]!ybworkday(A$5,-1*(ROW()-ROW(A$5)),"USD","")</f>
        <v>40885</v>
      </c>
      <c r="B20" s="3">
        <f>[1]!YBHIST("2 Year Treasury",$A20,"Price","govt","")</f>
        <v>100.05500000000001</v>
      </c>
      <c r="C20" s="2">
        <f>[1]!YBHIST("5 Year Treasury",$A20,"Price","govt","")</f>
        <v>100.18</v>
      </c>
      <c r="D20" s="2">
        <f>[1]!YBHIST("10 Year Treasury",$A20,"Price","govt","")</f>
        <v>100.23400100000001</v>
      </c>
      <c r="E20" s="10">
        <f>[1]!YBHIST("30 Year Treasury",$A20,"Price","govt","")</f>
        <v>102.546997</v>
      </c>
      <c r="F20" s="3">
        <f>[1]!YBHIST("2 Year Treasury",$A20,"YldtoMat","govt","")</f>
        <v>0.222</v>
      </c>
      <c r="G20" s="2">
        <f>[1]!YBHIST("5 Year Treasury",$A20,"YldtoMat","govt","")</f>
        <v>0.83799999999999997</v>
      </c>
      <c r="H20" s="2">
        <f>[1]!YBHIST("10 Year Treasury",$A20,"YldtoMat","govt","")</f>
        <v>1.974</v>
      </c>
      <c r="I20" s="10">
        <f>[1]!YBHIST("30 Year Treasury",$A20,"YldtoMat","govt","")</f>
        <v>2.9950000000000001</v>
      </c>
      <c r="J20" s="3">
        <f>[1]!YBHIST("2yr Swap Rate",$A20,"YldtoMat","swapvol","")</f>
        <v>0.63710999999999995</v>
      </c>
      <c r="K20" s="2">
        <f>[1]!YBHIST("5yr Swap Rate",$A20,"YldtoMat","swapvol","")</f>
        <v>1.2021040000000001</v>
      </c>
      <c r="L20" s="2">
        <f>[1]!YBHIST("10yr Swap Rate",$A20,"YldtoMat","swapvol","")</f>
        <v>2.099653</v>
      </c>
      <c r="M20" s="10">
        <f>[1]!YBHIST("30yr Swap Rate",$A20,"YldtoMat","swapvol","")</f>
        <v>2.6865030000000001</v>
      </c>
      <c r="N20" s="3">
        <f>[1]!YBHIST("FNMA 30YR Cur Coup (BE)",$A20,"Yield","bmk","")</f>
        <v>3.0640000000000001</v>
      </c>
      <c r="O20" s="2">
        <f>[1]!YBHIST("FHLMC 30YR Cur Coup (BE)",$A20,"Yield","bmk","")</f>
        <v>3.0819999999999999</v>
      </c>
      <c r="P20" s="2">
        <f>[1]!YBHIST("GNMA 30YR Cur Coup (BE)",$A20,"Yield","bmk","")</f>
        <v>2.9</v>
      </c>
      <c r="Q20" s="2">
        <f>[1]!YBHIST("Primary 30-Yr Mtg Rate",$A20,"Yield","bmk","")</f>
        <v>4.0518000000000001</v>
      </c>
      <c r="R20" s="2">
        <f>[1]!YBHIST("FHLM 30-Yr Survey Rate",$A20,"Yield","bmk","")</f>
        <v>3.99</v>
      </c>
      <c r="S20" s="10">
        <f>[1]!YBHIST("Base Mortgage Rate",$A20,"Yield","bmk","")</f>
        <v>3.383</v>
      </c>
      <c r="T20" s="27">
        <f>[1]!YBHIST("FNMA 30YR Cur Coup (BE)",$A20,"OAS-Lib","bmk","")</f>
        <v>20</v>
      </c>
      <c r="U20" s="28">
        <f>[1]!YBHIST("FHLMC 30YR Cur Coup (BE)",$A20,"OAS-Lib","bmk","")</f>
        <v>24.495000999999998</v>
      </c>
      <c r="V20" s="28">
        <f>[1]!YBHIST("GNMA 30YR Cur Coup (BE)",$A20,"OAS-Lib","bmk","")</f>
        <v>25</v>
      </c>
      <c r="W20" s="29">
        <f t="shared" si="3"/>
        <v>109.00000000000001</v>
      </c>
      <c r="X20" s="29">
        <f t="shared" si="4"/>
        <v>109.00000000000001</v>
      </c>
      <c r="Y20" s="29">
        <f t="shared" si="5"/>
        <v>110.79999999999998</v>
      </c>
      <c r="Z20" s="3">
        <f>[1]!YBHIST("FNMA3.5-GEN",$A20,"Price","tba","")</f>
        <v>102.40625</v>
      </c>
      <c r="AA20" s="2">
        <f>[1]!YBHIST("FNMA4.0-GEN",$A20,"Price","tba","")</f>
        <v>104.59375</v>
      </c>
      <c r="AB20" s="2">
        <f>[1]!YBHIST("FNMA4.5-GEN",$A20,"Price","tba","")</f>
        <v>106.15625</v>
      </c>
      <c r="AC20" s="2">
        <f>[1]!YBHIST("FNMA5.0-GEN",$A20,"Price","tba","")</f>
        <v>107.875</v>
      </c>
      <c r="AD20" s="2">
        <f>[1]!YBHIST("FNMA5.5-GEN",$A20,"Price","tba","")</f>
        <v>108.8125</v>
      </c>
      <c r="AE20" s="10">
        <f>[1]!YBHIST("FNMA6.0-GEN",$A20,"Price","tba","")</f>
        <v>109.875</v>
      </c>
      <c r="AF20" s="3">
        <f>[1]!YBHIST(AF$4,$A20,"Price","sec","")</f>
        <v>17.141000999999999</v>
      </c>
      <c r="AG20" s="2">
        <f>[1]!YBHIST(AG$4,$A20,"Price","sec","")</f>
        <v>15.561999999999999</v>
      </c>
      <c r="AH20" s="2">
        <f>[1]!YBHIST(AH$4,$A20,"Price","sec","")</f>
        <v>13.577999999999999</v>
      </c>
      <c r="AI20" s="2">
        <f>[1]!YBHIST(AI$4,$A20,"Price","sec","")</f>
        <v>16.25</v>
      </c>
      <c r="AJ20" s="2">
        <f>[1]!YBHIST(AJ$4,$A20,"Price","sec","")</f>
        <v>13.375</v>
      </c>
      <c r="AK20" s="2">
        <f>[1]!YBHIST(AK$4,$A20,"Price","sec","")</f>
        <v>19.391000999999999</v>
      </c>
      <c r="AL20" s="2">
        <f>[1]!YBHIST(AL$4,$A20,"Price","sec","")</f>
        <v>16.797001000000002</v>
      </c>
      <c r="AM20" s="2">
        <f>[1]!YBHIST(AM$4,$A20,"Price","sec","")</f>
        <v>13.172000000000001</v>
      </c>
      <c r="AN20" s="2">
        <f>[1]!YBHIST(AN$4,$A20,"Price","sec","")</f>
        <v>14.359</v>
      </c>
      <c r="AO20" s="2">
        <f>[1]!YBHIST(AO$4,$A20,"Price","sec","")</f>
        <v>14.422000000000001</v>
      </c>
      <c r="AP20" s="2">
        <f>[1]!YBHIST(AP$4,$A20,"Price","sec","")</f>
        <v>13.25</v>
      </c>
      <c r="AQ20" s="2">
        <f>[1]!YBHIST(AQ$4,$A20,"Price","sec","")</f>
        <v>15.343999999999999</v>
      </c>
      <c r="AR20" s="2">
        <f>[1]!YBHIST(AR$4,$A20,"Price","sec","")</f>
        <v>14.827999999999999</v>
      </c>
      <c r="AS20" s="2">
        <f>[1]!YBHIST(AS$4,$A20,"Price","sec","")</f>
        <v>15.172000000000001</v>
      </c>
      <c r="AT20" s="2">
        <f>[1]!YBHIST(AT$4,$A20,"Price","sec","")</f>
        <v>17.483999000000001</v>
      </c>
      <c r="AU20" s="2">
        <f>[1]!YBHIST(AU$4,$A20,"Price","sec","")</f>
        <v>21.187999999999999</v>
      </c>
      <c r="AV20" s="2">
        <f>[1]!YBHIST(AV$4,$A20,"Price","sec","")</f>
        <v>20.280999999999999</v>
      </c>
      <c r="AW20" s="10">
        <f>[1]!YBHIST(AW$4,$A20,"Price","sec","")</f>
        <v>20.358999000000001</v>
      </c>
      <c r="AX20" s="29">
        <f>[1]!YBHIST(AX$4,$A20,"OAS-Lib","sec","")</f>
        <v>-158.10000600000001</v>
      </c>
      <c r="AY20" s="29">
        <f>[1]!YBHIST(AY$4,$A20,"OAS-Lib","sec","")</f>
        <v>-55.990001999999997</v>
      </c>
      <c r="AZ20" s="2">
        <f>[1]!YBHIST(AZ$4,$A20,"OAS-Lib","sec","")</f>
        <v>109.19000200000001</v>
      </c>
      <c r="BA20" s="2">
        <f>[1]!YBHIST(BA$4,$A20,"OAS-Lib","sec","")</f>
        <v>-120.029999</v>
      </c>
      <c r="BB20" s="29">
        <f>[1]!YBHIST(BB$4,$A20,"OAS-Lib","sec","")</f>
        <v>187.009995</v>
      </c>
      <c r="BC20" s="2">
        <f>[1]!YBHIST(BC$4,$A20,"OAS-Lib","sec","")</f>
        <v>-115.94000200000001</v>
      </c>
      <c r="BD20" s="29">
        <f>[1]!YBHIST(BD$4,$A20,"OAS-Lib","sec","")</f>
        <v>55.150002000000001</v>
      </c>
      <c r="BE20" s="2">
        <f>[1]!YBHIST(BE$4,$A20,"OAS-Lib","sec","")</f>
        <v>790.95001200000002</v>
      </c>
      <c r="BF20" s="2">
        <f>[1]!YBHIST(BF$4,$A20,"OAS-Lib","sec","")</f>
        <v>816.46002199999998</v>
      </c>
      <c r="BG20" s="2">
        <f>[1]!YBHIST(BG$4,$A20,"OAS-Lib","sec","")</f>
        <v>455.05999800000001</v>
      </c>
      <c r="BH20" s="29">
        <f>[1]!YBHIST(BH$4,$A20,"OAS-Lib","sec","")</f>
        <v>1145.540039</v>
      </c>
      <c r="BI20" s="2">
        <f>[1]!YBHIST(BI$4,$A20,"OAS-Lib","sec","")</f>
        <v>757.44000200000005</v>
      </c>
      <c r="BJ20" s="2">
        <f>[1]!YBHIST(BJ$4,$A20,"OAS-Lib","sec","")</f>
        <v>618.64001499999995</v>
      </c>
      <c r="BK20" s="29">
        <f>[1]!YBHIST(BK$4,$A20,"OAS-Lib","sec","")</f>
        <v>552.09997599999997</v>
      </c>
      <c r="BL20" s="30">
        <f>[1]!YBHIST(BL$4,$A20,"OAS-Lib","sec","")</f>
        <v>666.57000700000003</v>
      </c>
      <c r="BM20" s="2">
        <f>[1]!YBHIST(BM$4,$A20,"OAS-Lib","sec","")</f>
        <v>-198.979996</v>
      </c>
      <c r="BN20" s="2">
        <f>[1]!YBHIST(BN$4,$A20,"OAS-Lib","sec","")</f>
        <v>-136.13999899999999</v>
      </c>
      <c r="BO20" s="10">
        <f>[1]!YBHIST(BO$4,$A20,"OAS-Lib","sec","")</f>
        <v>29.24</v>
      </c>
      <c r="BP20" s="9"/>
      <c r="BQ20" s="1"/>
      <c r="BR20" s="1"/>
    </row>
    <row r="21" spans="1:70" x14ac:dyDescent="0.25">
      <c r="A21" s="22">
        <f>[1]!ybworkday(A$5,-1*(ROW()-ROW(A$5)),"USD","")</f>
        <v>40884</v>
      </c>
      <c r="B21" s="3">
        <f>[1]!YBHIST("2 Year Treasury",$A21,"Price","govt","")</f>
        <v>100.030998</v>
      </c>
      <c r="C21" s="2">
        <f>[1]!YBHIST("5 Year Treasury",$A21,"Price","govt","")</f>
        <v>99.984001000000006</v>
      </c>
      <c r="D21" s="2">
        <f>[1]!YBHIST("10 Year Treasury",$A21,"Price","govt","")</f>
        <v>99.828002999999995</v>
      </c>
      <c r="E21" s="10">
        <f>[1]!YBHIST("30 Year Treasury",$A21,"Price","govt","")</f>
        <v>101.64099899999999</v>
      </c>
      <c r="F21" s="3">
        <f>[1]!YBHIST("2 Year Treasury",$A21,"YldtoMat","govt","")</f>
        <v>0.23400000000000001</v>
      </c>
      <c r="G21" s="2">
        <f>[1]!YBHIST("5 Year Treasury",$A21,"YldtoMat","govt","")</f>
        <v>0.878</v>
      </c>
      <c r="H21" s="2">
        <f>[1]!YBHIST("10 Year Treasury",$A21,"YldtoMat","govt","")</f>
        <v>2.0190000000000001</v>
      </c>
      <c r="I21" s="10">
        <f>[1]!YBHIST("30 Year Treasury",$A21,"YldtoMat","govt","")</f>
        <v>3.0409999999999999</v>
      </c>
      <c r="J21" s="3">
        <f>[1]!YBHIST("2yr Swap Rate",$A21,"YldtoMat","swapvol","")</f>
        <v>0.65526899999999999</v>
      </c>
      <c r="K21" s="2">
        <f>[1]!YBHIST("5yr Swap Rate",$A21,"YldtoMat","swapvol","")</f>
        <v>1.2446839999999999</v>
      </c>
      <c r="L21" s="2">
        <f>[1]!YBHIST("10yr Swap Rate",$A21,"YldtoMat","swapvol","")</f>
        <v>2.1443949999999998</v>
      </c>
      <c r="M21" s="10">
        <f>[1]!YBHIST("30yr Swap Rate",$A21,"YldtoMat","swapvol","")</f>
        <v>2.722734</v>
      </c>
      <c r="N21" s="3">
        <f>[1]!YBHIST("FNMA 30YR Cur Coup (BE)",$A21,"Yield","bmk","")</f>
        <v>3.09</v>
      </c>
      <c r="O21" s="2">
        <f>[1]!YBHIST("FHLMC 30YR Cur Coup (BE)",$A21,"Yield","bmk","")</f>
        <v>3.145</v>
      </c>
      <c r="P21" s="2">
        <f>[1]!YBHIST("GNMA 30YR Cur Coup (BE)",$A21,"Yield","bmk","")</f>
        <v>2.9260000000000002</v>
      </c>
      <c r="Q21" s="2">
        <f>[1]!YBHIST("Primary 30-Yr Mtg Rate",$A21,"Yield","bmk","")</f>
        <v>4.0749000000000004</v>
      </c>
      <c r="R21" s="2">
        <f>[1]!YBHIST("FHLM 30-Yr Survey Rate",$A21,"Yield","bmk","")</f>
        <v>4</v>
      </c>
      <c r="S21" s="10">
        <f>[1]!YBHIST("Base Mortgage Rate",$A21,"Yield","bmk","")</f>
        <v>3.4089999999999998</v>
      </c>
      <c r="T21" s="27">
        <f>[1]!YBHIST("FNMA 30YR Cur Coup (BE)",$A21,"OAS-Lib","bmk","")</f>
        <v>20.398001000000001</v>
      </c>
      <c r="U21" s="28">
        <f>[1]!YBHIST("FHLMC 30YR Cur Coup (BE)",$A21,"OAS-Lib","bmk","")</f>
        <v>23.614999999999998</v>
      </c>
      <c r="V21" s="28">
        <f>[1]!YBHIST("GNMA 30YR Cur Coup (BE)",$A21,"OAS-Lib","bmk","")</f>
        <v>28</v>
      </c>
      <c r="W21" s="29">
        <f t="shared" si="3"/>
        <v>107.09999999999997</v>
      </c>
      <c r="X21" s="29">
        <f t="shared" si="4"/>
        <v>107.09999999999997</v>
      </c>
      <c r="Y21" s="29">
        <f t="shared" si="5"/>
        <v>112.6</v>
      </c>
      <c r="Z21" s="3">
        <f>[1]!YBHIST("FNMA3.5-GEN",$A21,"Price","tba","")</f>
        <v>102.242188</v>
      </c>
      <c r="AA21" s="2">
        <f>[1]!YBHIST("FNMA4.0-GEN",$A21,"Price","tba","")</f>
        <v>104.429688</v>
      </c>
      <c r="AB21" s="2">
        <f>[1]!YBHIST("FNMA4.5-GEN",$A21,"Price","tba","")</f>
        <v>105.992188</v>
      </c>
      <c r="AC21" s="2">
        <f>[1]!YBHIST("FNMA5.0-GEN",$A21,"Price","tba","")</f>
        <v>107.695312</v>
      </c>
      <c r="AD21" s="2">
        <f>[1]!YBHIST("FNMA5.5-GEN",$A21,"Price","tba","")</f>
        <v>108.683594</v>
      </c>
      <c r="AE21" s="10">
        <f>[1]!YBHIST("FNMA6.0-GEN",$A21,"Price","tba","")</f>
        <v>109.714844</v>
      </c>
      <c r="AF21" s="3">
        <f>[1]!YBHIST(AF$4,$A21,"Price","sec","")</f>
        <v>17.141000999999999</v>
      </c>
      <c r="AG21" s="2">
        <f>[1]!YBHIST(AG$4,$A21,"Price","sec","")</f>
        <v>15.547000000000001</v>
      </c>
      <c r="AH21" s="2">
        <f>[1]!YBHIST(AH$4,$A21,"Price","sec","")</f>
        <v>13.593999999999999</v>
      </c>
      <c r="AI21" s="2">
        <f>[1]!YBHIST(AI$4,$A21,"Price","sec","")</f>
        <v>16.202998999999998</v>
      </c>
      <c r="AJ21" s="2">
        <f>[1]!YBHIST(AJ$4,$A21,"Price","sec","")</f>
        <v>13.311999999999999</v>
      </c>
      <c r="AK21" s="2">
        <f>[1]!YBHIST(AK$4,$A21,"Price","sec","")</f>
        <v>19.344000000000001</v>
      </c>
      <c r="AL21" s="2">
        <f>[1]!YBHIST(AL$4,$A21,"Price","sec","")</f>
        <v>16.75</v>
      </c>
      <c r="AM21" s="2">
        <f>[1]!YBHIST(AM$4,$A21,"Price","sec","")</f>
        <v>13.141</v>
      </c>
      <c r="AN21" s="2">
        <f>[1]!YBHIST(AN$4,$A21,"Price","sec","")</f>
        <v>14.281000000000001</v>
      </c>
      <c r="AO21" s="2">
        <f>[1]!YBHIST(AO$4,$A21,"Price","sec","")</f>
        <v>14.375</v>
      </c>
      <c r="AP21" s="2">
        <f>[1]!YBHIST(AP$4,$A21,"Price","sec","")</f>
        <v>13.141</v>
      </c>
      <c r="AQ21" s="2">
        <f>[1]!YBHIST(AQ$4,$A21,"Price","sec","")</f>
        <v>15.25</v>
      </c>
      <c r="AR21" s="2">
        <f>[1]!YBHIST(AR$4,$A21,"Price","sec","")</f>
        <v>14.718999999999999</v>
      </c>
      <c r="AS21" s="2">
        <f>[1]!YBHIST(AS$4,$A21,"Price","sec","")</f>
        <v>15.061999999999999</v>
      </c>
      <c r="AT21" s="2">
        <f>[1]!YBHIST(AT$4,$A21,"Price","sec","")</f>
        <v>17.375</v>
      </c>
      <c r="AU21" s="2">
        <f>[1]!YBHIST(AU$4,$A21,"Price","sec","")</f>
        <v>21.155999999999999</v>
      </c>
      <c r="AV21" s="2">
        <f>[1]!YBHIST(AV$4,$A21,"Price","sec","")</f>
        <v>20.280999999999999</v>
      </c>
      <c r="AW21" s="10">
        <f>[1]!YBHIST(AW$4,$A21,"Price","sec","")</f>
        <v>20.344000000000001</v>
      </c>
      <c r="AX21" s="29">
        <f>[1]!YBHIST(AX$4,$A21,"OAS-Lib","sec","")</f>
        <v>-120.489998</v>
      </c>
      <c r="AY21" s="29">
        <f>[1]!YBHIST(AY$4,$A21,"OAS-Lib","sec","")</f>
        <v>-10.58</v>
      </c>
      <c r="AZ21" s="2">
        <f>[1]!YBHIST(AZ$4,$A21,"OAS-Lib","sec","")</f>
        <v>155.029999</v>
      </c>
      <c r="BA21" s="2">
        <f>[1]!YBHIST(BA$4,$A21,"OAS-Lib","sec","")</f>
        <v>-75.370002999999997</v>
      </c>
      <c r="BB21" s="29">
        <f>[1]!YBHIST(BB$4,$A21,"OAS-Lib","sec","")</f>
        <v>248.86999499999999</v>
      </c>
      <c r="BC21" s="2">
        <f>[1]!YBHIST(BC$4,$A21,"OAS-Lib","sec","")</f>
        <v>-83.419998000000007</v>
      </c>
      <c r="BD21" s="29">
        <f>[1]!YBHIST(BD$4,$A21,"OAS-Lib","sec","")</f>
        <v>95.75</v>
      </c>
      <c r="BE21" s="2">
        <f>[1]!YBHIST(BE$4,$A21,"OAS-Lib","sec","")</f>
        <v>822.30999799999995</v>
      </c>
      <c r="BF21" s="2">
        <f>[1]!YBHIST(BF$4,$A21,"OAS-Lib","sec","")</f>
        <v>856.65002400000003</v>
      </c>
      <c r="BG21" s="2">
        <f>[1]!YBHIST(BG$4,$A21,"OAS-Lib","sec","")</f>
        <v>497.10998499999999</v>
      </c>
      <c r="BH21" s="29">
        <f>[1]!YBHIST(BH$4,$A21,"OAS-Lib","sec","")</f>
        <v>1197.709961</v>
      </c>
      <c r="BI21" s="2">
        <f>[1]!YBHIST(BI$4,$A21,"OAS-Lib","sec","")</f>
        <v>800.22997999999995</v>
      </c>
      <c r="BJ21" s="2">
        <f>[1]!YBHIST(BJ$4,$A21,"OAS-Lib","sec","")</f>
        <v>674.15002400000003</v>
      </c>
      <c r="BK21" s="29">
        <f>[1]!YBHIST(BK$4,$A21,"OAS-Lib","sec","")</f>
        <v>603.04998799999998</v>
      </c>
      <c r="BL21" s="30">
        <f>[1]!YBHIST(BL$4,$A21,"OAS-Lib","sec","")</f>
        <v>703.10998500000005</v>
      </c>
      <c r="BM21" s="2">
        <f>[1]!YBHIST(BM$4,$A21,"OAS-Lib","sec","")</f>
        <v>-171.86000100000001</v>
      </c>
      <c r="BN21" s="2">
        <f>[1]!YBHIST(BN$4,$A21,"OAS-Lib","sec","")</f>
        <v>-122.139999</v>
      </c>
      <c r="BO21" s="10">
        <f>[1]!YBHIST(BO$4,$A21,"OAS-Lib","sec","")</f>
        <v>34.939999</v>
      </c>
      <c r="BP21" s="9"/>
      <c r="BQ21" s="1"/>
      <c r="BR21" s="1"/>
    </row>
    <row r="22" spans="1:70" x14ac:dyDescent="0.25">
      <c r="A22" s="22">
        <f>[1]!ybworkday(A$5,-1*(ROW()-ROW(A$5)),"USD","")</f>
        <v>40883</v>
      </c>
      <c r="B22" s="3">
        <f>[1]!YBHIST("2 Year Treasury",$A22,"Price","govt","")</f>
        <v>99.991996999999998</v>
      </c>
      <c r="C22" s="2">
        <f>[1]!YBHIST("5 Year Treasury",$A22,"Price","govt","")</f>
        <v>99.655997999999997</v>
      </c>
      <c r="D22" s="2">
        <f>[1]!YBHIST("10 Year Treasury",$A22,"Price","govt","")</f>
        <v>99.188004000000006</v>
      </c>
      <c r="E22" s="10">
        <f>[1]!YBHIST("30 Year Treasury",$A22,"Price","govt","")</f>
        <v>100.375</v>
      </c>
      <c r="F22" s="3">
        <f>[1]!YBHIST("2 Year Treasury",$A22,"YldtoMat","govt","")</f>
        <v>0.254</v>
      </c>
      <c r="G22" s="2">
        <f>[1]!YBHIST("5 Year Treasury",$A22,"YldtoMat","govt","")</f>
        <v>0.94599999999999995</v>
      </c>
      <c r="H22" s="2">
        <f>[1]!YBHIST("10 Year Treasury",$A22,"YldtoMat","govt","")</f>
        <v>2.0910000000000002</v>
      </c>
      <c r="I22" s="10">
        <f>[1]!YBHIST("30 Year Treasury",$A22,"YldtoMat","govt","")</f>
        <v>3.1059999999999999</v>
      </c>
      <c r="J22" s="3">
        <f>[1]!YBHIST("2yr Swap Rate",$A22,"YldtoMat","swapvol","")</f>
        <v>0.68603599999999998</v>
      </c>
      <c r="K22" s="2">
        <f>[1]!YBHIST("5yr Swap Rate",$A22,"YldtoMat","swapvol","")</f>
        <v>1.3161389999999999</v>
      </c>
      <c r="L22" s="2">
        <f>[1]!YBHIST("10yr Swap Rate",$A22,"YldtoMat","swapvol","")</f>
        <v>2.226143</v>
      </c>
      <c r="M22" s="10">
        <f>[1]!YBHIST("30yr Swap Rate",$A22,"YldtoMat","swapvol","")</f>
        <v>2.7927550000000001</v>
      </c>
      <c r="N22" s="3">
        <f>[1]!YBHIST("FNMA 30YR Cur Coup (BE)",$A22,"Yield","bmk","")</f>
        <v>3.17</v>
      </c>
      <c r="O22" s="2">
        <f>[1]!YBHIST("FHLMC 30YR Cur Coup (BE)",$A22,"Yield","bmk","")</f>
        <v>3.198</v>
      </c>
      <c r="P22" s="2">
        <f>[1]!YBHIST("GNMA 30YR Cur Coup (BE)",$A22,"Yield","bmk","")</f>
        <v>3.0059999999999998</v>
      </c>
      <c r="Q22" s="2">
        <f>[1]!YBHIST("Primary 30-Yr Mtg Rate",$A22,"Yield","bmk","")</f>
        <v>4.1581999999999999</v>
      </c>
      <c r="R22" s="2">
        <f>[1]!YBHIST("FHLM 30-Yr Survey Rate",$A22,"Yield","bmk","")</f>
        <v>4</v>
      </c>
      <c r="S22" s="10">
        <f>[1]!YBHIST("Base Mortgage Rate",$A22,"Yield","bmk","")</f>
        <v>3.4929999999999999</v>
      </c>
      <c r="T22" s="27">
        <f>[1]!YBHIST("FNMA 30YR Cur Coup (BE)",$A22,"OAS-Lib","bmk","")</f>
        <v>20.225999999999999</v>
      </c>
      <c r="U22" s="28">
        <f>[1]!YBHIST("FHLMC 30YR Cur Coup (BE)",$A22,"OAS-Lib","bmk","")</f>
        <v>23.610001</v>
      </c>
      <c r="V22" s="28">
        <f>[1]!YBHIST("GNMA 30YR Cur Coup (BE)",$A22,"OAS-Lib","bmk","")</f>
        <v>26</v>
      </c>
      <c r="W22" s="29">
        <f t="shared" si="3"/>
        <v>107.89999999999998</v>
      </c>
      <c r="X22" s="29">
        <f t="shared" si="4"/>
        <v>107.89999999999998</v>
      </c>
      <c r="Y22" s="29">
        <f t="shared" si="5"/>
        <v>110.69999999999997</v>
      </c>
      <c r="Z22" s="3">
        <f>[1]!YBHIST("FNMA3.5-GEN",$A22,"Price","tba","")</f>
        <v>102.09375</v>
      </c>
      <c r="AA22" s="2">
        <f>[1]!YBHIST("FNMA4.0-GEN",$A22,"Price","tba","")</f>
        <v>104.296875</v>
      </c>
      <c r="AB22" s="2">
        <f>[1]!YBHIST("FNMA4.5-GEN",$A22,"Price","tba","")</f>
        <v>105.84375</v>
      </c>
      <c r="AC22" s="2">
        <f>[1]!YBHIST("FNMA5.0-GEN",$A22,"Price","tba","")</f>
        <v>107.578125</v>
      </c>
      <c r="AD22" s="2">
        <f>[1]!YBHIST("FNMA5.5-GEN",$A22,"Price","tba","")</f>
        <v>108.578125</v>
      </c>
      <c r="AE22" s="10">
        <f>[1]!YBHIST("FNMA6.0-GEN",$A22,"Price","tba","")</f>
        <v>109.671875</v>
      </c>
      <c r="AF22" s="3">
        <f>[1]!YBHIST(AF$4,$A22,"Price","sec","")</f>
        <v>17.483999000000001</v>
      </c>
      <c r="AG22" s="2">
        <f>[1]!YBHIST(AG$4,$A22,"Price","sec","")</f>
        <v>15.938000000000001</v>
      </c>
      <c r="AH22" s="2">
        <f>[1]!YBHIST(AH$4,$A22,"Price","sec","")</f>
        <v>14.031000000000001</v>
      </c>
      <c r="AI22" s="2">
        <f>[1]!YBHIST(AI$4,$A22,"Price","sec","")</f>
        <v>16.483999000000001</v>
      </c>
      <c r="AJ22" s="2">
        <f>[1]!YBHIST(AJ$4,$A22,"Price","sec","")</f>
        <v>13.702999999999999</v>
      </c>
      <c r="AK22" s="2">
        <f>[1]!YBHIST(AK$4,$A22,"Price","sec","")</f>
        <v>19.608999000000001</v>
      </c>
      <c r="AL22" s="2">
        <f>[1]!YBHIST(AL$4,$A22,"Price","sec","")</f>
        <v>17.062000000000001</v>
      </c>
      <c r="AM22" s="2">
        <f>[1]!YBHIST(AM$4,$A22,"Price","sec","")</f>
        <v>13.422000000000001</v>
      </c>
      <c r="AN22" s="2">
        <f>[1]!YBHIST(AN$4,$A22,"Price","sec","")</f>
        <v>14.702999999999999</v>
      </c>
      <c r="AO22" s="2">
        <f>[1]!YBHIST(AO$4,$A22,"Price","sec","")</f>
        <v>15.172000000000001</v>
      </c>
      <c r="AP22" s="2">
        <f>[1]!YBHIST(AP$4,$A22,"Price","sec","")</f>
        <v>13.281000000000001</v>
      </c>
      <c r="AQ22" s="2">
        <f>[1]!YBHIST(AQ$4,$A22,"Price","sec","")</f>
        <v>15.406000000000001</v>
      </c>
      <c r="AR22" s="2">
        <f>[1]!YBHIST(AR$4,$A22,"Price","sec","")</f>
        <v>14.875</v>
      </c>
      <c r="AS22" s="2">
        <f>[1]!YBHIST(AS$4,$A22,"Price","sec","")</f>
        <v>15.125</v>
      </c>
      <c r="AT22" s="2">
        <f>[1]!YBHIST(AT$4,$A22,"Price","sec","")</f>
        <v>17.344000000000001</v>
      </c>
      <c r="AU22" s="2">
        <f>[1]!YBHIST(AU$4,$A22,"Price","sec","")</f>
        <v>21.358999000000001</v>
      </c>
      <c r="AV22" s="2">
        <f>[1]!YBHIST(AV$4,$A22,"Price","sec","")</f>
        <v>20.530999999999999</v>
      </c>
      <c r="AW22" s="10">
        <f>[1]!YBHIST(AW$4,$A22,"Price","sec","")</f>
        <v>20.687999999999999</v>
      </c>
      <c r="AX22" s="29">
        <f>[1]!YBHIST(AX$4,$A22,"OAS-Lib","sec","")</f>
        <v>-80.519997000000004</v>
      </c>
      <c r="AY22" s="29">
        <f>[1]!YBHIST(AY$4,$A22,"OAS-Lib","sec","")</f>
        <v>19.049999</v>
      </c>
      <c r="AZ22" s="2">
        <f>[1]!YBHIST(AZ$4,$A22,"OAS-Lib","sec","")</f>
        <v>172.36999499999999</v>
      </c>
      <c r="BA22" s="2">
        <f>[1]!YBHIST(BA$4,$A22,"OAS-Lib","sec","")</f>
        <v>-60.990001999999997</v>
      </c>
      <c r="BB22" s="29">
        <f>[1]!YBHIST(BB$4,$A22,"OAS-Lib","sec","")</f>
        <v>255.16999799999999</v>
      </c>
      <c r="BC22" s="2">
        <f>[1]!YBHIST(BC$4,$A22,"OAS-Lib","sec","")</f>
        <v>-81.440002000000007</v>
      </c>
      <c r="BD22" s="29">
        <f>[1]!YBHIST(BD$4,$A22,"OAS-Lib","sec","")</f>
        <v>97.110000999999997</v>
      </c>
      <c r="BE22" s="2">
        <f>[1]!YBHIST(BE$4,$A22,"OAS-Lib","sec","")</f>
        <v>851.26000999999997</v>
      </c>
      <c r="BF22" s="2">
        <f>[1]!YBHIST(BF$4,$A22,"OAS-Lib","sec","")</f>
        <v>820.32000700000003</v>
      </c>
      <c r="BG22" s="2">
        <f>[1]!YBHIST(BG$4,$A22,"OAS-Lib","sec","")</f>
        <v>398.05999800000001</v>
      </c>
      <c r="BH22" s="29">
        <f>[1]!YBHIST(BH$4,$A22,"OAS-Lib","sec","")</f>
        <v>1236.3199460000001</v>
      </c>
      <c r="BI22" s="2">
        <f>[1]!YBHIST(BI$4,$A22,"OAS-Lib","sec","")</f>
        <v>789.28997800000002</v>
      </c>
      <c r="BJ22" s="2">
        <f>[1]!YBHIST(BJ$4,$A22,"OAS-Lib","sec","")</f>
        <v>682.5</v>
      </c>
      <c r="BK22" s="29">
        <f>[1]!YBHIST(BK$4,$A22,"OAS-Lib","sec","")</f>
        <v>606.97997999999995</v>
      </c>
      <c r="BL22" s="30">
        <f>[1]!YBHIST(BL$4,$A22,"OAS-Lib","sec","")</f>
        <v>687.59997599999997</v>
      </c>
      <c r="BM22" s="2">
        <f>[1]!YBHIST(BM$4,$A22,"OAS-Lib","sec","")</f>
        <v>-142.61999499999999</v>
      </c>
      <c r="BN22" s="2">
        <f>[1]!YBHIST(BN$4,$A22,"OAS-Lib","sec","")</f>
        <v>-109.099998</v>
      </c>
      <c r="BO22" s="10">
        <f>[1]!YBHIST(BO$4,$A22,"OAS-Lib","sec","")</f>
        <v>31.540001</v>
      </c>
      <c r="BP22" s="9"/>
      <c r="BQ22" s="1"/>
      <c r="BR22" s="1"/>
    </row>
    <row r="23" spans="1:70" x14ac:dyDescent="0.25">
      <c r="A23" s="22">
        <f>[1]!ybworkday(A$5,-1*(ROW()-ROW(A$5)),"USD","")</f>
        <v>40882</v>
      </c>
      <c r="B23" s="3">
        <f>[1]!YBHIST("2 Year Treasury",$A23,"Price","govt","")</f>
        <v>99.984001000000006</v>
      </c>
      <c r="C23" s="2">
        <f>[1]!YBHIST("5 Year Treasury",$A23,"Price","govt","")</f>
        <v>99.703002999999995</v>
      </c>
      <c r="D23" s="2">
        <f>[1]!YBHIST("10 Year Treasury",$A23,"Price","govt","")</f>
        <v>99.530997999999997</v>
      </c>
      <c r="E23" s="10">
        <f>[1]!YBHIST("30 Year Treasury",$A23,"Price","govt","")</f>
        <v>101.625</v>
      </c>
      <c r="F23" s="3">
        <f>[1]!YBHIST("2 Year Treasury",$A23,"YldtoMat","govt","")</f>
        <v>0.25800000000000001</v>
      </c>
      <c r="G23" s="2">
        <f>[1]!YBHIST("5 Year Treasury",$A23,"YldtoMat","govt","")</f>
        <v>0.93600000000000005</v>
      </c>
      <c r="H23" s="2">
        <f>[1]!YBHIST("10 Year Treasury",$A23,"YldtoMat","govt","")</f>
        <v>2.052</v>
      </c>
      <c r="I23" s="10">
        <f>[1]!YBHIST("30 Year Treasury",$A23,"YldtoMat","govt","")</f>
        <v>3.0419999999999998</v>
      </c>
      <c r="J23" s="3">
        <f>[1]!YBHIST("2yr Swap Rate",$A23,"YldtoMat","swapvol","")</f>
        <v>0.68663399999999997</v>
      </c>
      <c r="K23" s="2">
        <f>[1]!YBHIST("5yr Swap Rate",$A23,"YldtoMat","swapvol","")</f>
        <v>1.319947</v>
      </c>
      <c r="L23" s="2">
        <f>[1]!YBHIST("10yr Swap Rate",$A23,"YldtoMat","swapvol","")</f>
        <v>2.1976040000000001</v>
      </c>
      <c r="M23" s="10">
        <f>[1]!YBHIST("30yr Swap Rate",$A23,"YldtoMat","swapvol","")</f>
        <v>2.7310379999999999</v>
      </c>
      <c r="N23" s="3">
        <f>[1]!YBHIST("FNMA 30YR Cur Coup (BE)",$A23,"Yield","bmk","")</f>
        <v>3.1549999999999998</v>
      </c>
      <c r="O23" s="2">
        <f>[1]!YBHIST("FHLMC 30YR Cur Coup (BE)",$A23,"Yield","bmk","")</f>
        <v>3.1840000000000002</v>
      </c>
      <c r="P23" s="2">
        <f>[1]!YBHIST("GNMA 30YR Cur Coup (BE)",$A23,"Yield","bmk","")</f>
        <v>2.9910000000000001</v>
      </c>
      <c r="Q23" s="2">
        <f>[1]!YBHIST("Primary 30-Yr Mtg Rate",$A23,"Yield","bmk","")</f>
        <v>4.1447000000000003</v>
      </c>
      <c r="R23" s="2">
        <f>[1]!YBHIST("FHLM 30-Yr Survey Rate",$A23,"Yield","bmk","")</f>
        <v>4</v>
      </c>
      <c r="S23" s="10">
        <f>[1]!YBHIST("Base Mortgage Rate",$A23,"Yield","bmk","")</f>
        <v>3.4790000000000001</v>
      </c>
      <c r="T23" s="27">
        <f>[1]!YBHIST("FNMA 30YR Cur Coup (BE)",$A23,"OAS-Lib","bmk","")</f>
        <v>20.709</v>
      </c>
      <c r="U23" s="28">
        <f>[1]!YBHIST("FHLMC 30YR Cur Coup (BE)",$A23,"OAS-Lib","bmk","")</f>
        <v>24.070999</v>
      </c>
      <c r="V23" s="28">
        <f>[1]!YBHIST("GNMA 30YR Cur Coup (BE)",$A23,"OAS-Lib","bmk","")</f>
        <v>26</v>
      </c>
      <c r="W23" s="29">
        <f t="shared" si="3"/>
        <v>110.29999999999998</v>
      </c>
      <c r="X23" s="29">
        <f t="shared" si="4"/>
        <v>110.29999999999998</v>
      </c>
      <c r="Y23" s="29">
        <f t="shared" si="5"/>
        <v>113.20000000000002</v>
      </c>
      <c r="Z23" s="3">
        <f>[1]!YBHIST("FNMA3.5-GEN",$A23,"Price","tba","")</f>
        <v>102.140625</v>
      </c>
      <c r="AA23" s="2">
        <f>[1]!YBHIST("FNMA4.0-GEN",$A23,"Price","tba","")</f>
        <v>104.296875</v>
      </c>
      <c r="AB23" s="2">
        <f>[1]!YBHIST("FNMA4.5-GEN",$A23,"Price","tba","")</f>
        <v>105.828125</v>
      </c>
      <c r="AC23" s="2">
        <f>[1]!YBHIST("FNMA5.0-GEN",$A23,"Price","tba","")</f>
        <v>107.578125</v>
      </c>
      <c r="AD23" s="2">
        <f>[1]!YBHIST("FNMA5.5-GEN",$A23,"Price","tba","")</f>
        <v>108.5625</v>
      </c>
      <c r="AE23" s="10">
        <f>[1]!YBHIST("FNMA6.0-GEN",$A23,"Price","tba","")</f>
        <v>109.625</v>
      </c>
      <c r="AF23" s="3">
        <f>[1]!YBHIST(AF$4,$A23,"Price","sec","")</f>
        <v>17.391000999999999</v>
      </c>
      <c r="AG23" s="2">
        <f>[1]!YBHIST(AG$4,$A23,"Price","sec","")</f>
        <v>15.843999999999999</v>
      </c>
      <c r="AH23" s="2">
        <f>[1]!YBHIST(AH$4,$A23,"Price","sec","")</f>
        <v>13.922000000000001</v>
      </c>
      <c r="AI23" s="2">
        <f>[1]!YBHIST(AI$4,$A23,"Price","sec","")</f>
        <v>16.358999000000001</v>
      </c>
      <c r="AJ23" s="2">
        <f>[1]!YBHIST(AJ$4,$A23,"Price","sec","")</f>
        <v>13.516</v>
      </c>
      <c r="AK23" s="2">
        <f>[1]!YBHIST(AK$4,$A23,"Price","sec","")</f>
        <v>19.547001000000002</v>
      </c>
      <c r="AL23" s="2">
        <f>[1]!YBHIST(AL$4,$A23,"Price","sec","")</f>
        <v>16.983999000000001</v>
      </c>
      <c r="AM23" s="2">
        <f>[1]!YBHIST(AM$4,$A23,"Price","sec","")</f>
        <v>13.359</v>
      </c>
      <c r="AN23" s="2">
        <f>[1]!YBHIST(AN$4,$A23,"Price","sec","")</f>
        <v>14.625</v>
      </c>
      <c r="AO23" s="2">
        <f>[1]!YBHIST(AO$4,$A23,"Price","sec","")</f>
        <v>15.093999999999999</v>
      </c>
      <c r="AP23" s="2">
        <f>[1]!YBHIST(AP$4,$A23,"Price","sec","")</f>
        <v>13.234</v>
      </c>
      <c r="AQ23" s="2">
        <f>[1]!YBHIST(AQ$4,$A23,"Price","sec","")</f>
        <v>15.359</v>
      </c>
      <c r="AR23" s="2">
        <f>[1]!YBHIST(AR$4,$A23,"Price","sec","")</f>
        <v>14.827999999999999</v>
      </c>
      <c r="AS23" s="2">
        <f>[1]!YBHIST(AS$4,$A23,"Price","sec","")</f>
        <v>15.077999999999999</v>
      </c>
      <c r="AT23" s="2">
        <f>[1]!YBHIST(AT$4,$A23,"Price","sec","")</f>
        <v>17.312000000000001</v>
      </c>
      <c r="AU23" s="2">
        <f>[1]!YBHIST(AU$4,$A23,"Price","sec","")</f>
        <v>21.266000999999999</v>
      </c>
      <c r="AV23" s="2">
        <f>[1]!YBHIST(AV$4,$A23,"Price","sec","")</f>
        <v>20.452998999999998</v>
      </c>
      <c r="AW23" s="10">
        <f>[1]!YBHIST(AW$4,$A23,"Price","sec","")</f>
        <v>20.594000000000001</v>
      </c>
      <c r="AX23" s="29">
        <f>[1]!YBHIST(AX$4,$A23,"OAS-Lib","sec","")</f>
        <v>-94.720000999999996</v>
      </c>
      <c r="AY23" s="29">
        <f>[1]!YBHIST(AY$4,$A23,"OAS-Lib","sec","")</f>
        <v>7.06</v>
      </c>
      <c r="AZ23" s="2">
        <f>[1]!YBHIST(AZ$4,$A23,"OAS-Lib","sec","")</f>
        <v>166.08999600000001</v>
      </c>
      <c r="BA23" s="2">
        <f>[1]!YBHIST(BA$4,$A23,"OAS-Lib","sec","")</f>
        <v>-66.959998999999996</v>
      </c>
      <c r="BB23" s="29">
        <f>[1]!YBHIST(BB$4,$A23,"OAS-Lib","sec","")</f>
        <v>266.88000499999998</v>
      </c>
      <c r="BC23" s="2">
        <f>[1]!YBHIST(BC$4,$A23,"OAS-Lib","sec","")</f>
        <v>-94.199996999999996</v>
      </c>
      <c r="BD23" s="29">
        <f>[1]!YBHIST(BD$4,$A23,"OAS-Lib","sec","")</f>
        <v>87.849997999999999</v>
      </c>
      <c r="BE23" s="2">
        <f>[1]!YBHIST(BE$4,$A23,"OAS-Lib","sec","")</f>
        <v>845.42999299999997</v>
      </c>
      <c r="BF23" s="2">
        <f>[1]!YBHIST(BF$4,$A23,"OAS-Lib","sec","")</f>
        <v>824</v>
      </c>
      <c r="BG23" s="2">
        <f>[1]!YBHIST(BG$4,$A23,"OAS-Lib","sec","")</f>
        <v>399.32000699999998</v>
      </c>
      <c r="BH23" s="29">
        <f>[1]!YBHIST(BH$4,$A23,"OAS-Lib","sec","")</f>
        <v>1232.3900149999999</v>
      </c>
      <c r="BI23" s="2">
        <f>[1]!YBHIST(BI$4,$A23,"OAS-Lib","sec","")</f>
        <v>789.580017</v>
      </c>
      <c r="BJ23" s="2">
        <f>[1]!YBHIST(BJ$4,$A23,"OAS-Lib","sec","")</f>
        <v>679.669983</v>
      </c>
      <c r="BK23" s="29">
        <f>[1]!YBHIST(BK$4,$A23,"OAS-Lib","sec","")</f>
        <v>608.14001499999995</v>
      </c>
      <c r="BL23" s="30">
        <f>[1]!YBHIST(BL$4,$A23,"OAS-Lib","sec","")</f>
        <v>686.88000499999998</v>
      </c>
      <c r="BM23" s="2">
        <f>[1]!YBHIST(BM$4,$A23,"OAS-Lib","sec","")</f>
        <v>-153.270004</v>
      </c>
      <c r="BN23" s="2">
        <f>[1]!YBHIST(BN$4,$A23,"OAS-Lib","sec","")</f>
        <v>-118.68</v>
      </c>
      <c r="BO23" s="10">
        <f>[1]!YBHIST(BO$4,$A23,"OAS-Lib","sec","")</f>
        <v>27.6</v>
      </c>
      <c r="BP23" s="9"/>
      <c r="BQ23" s="1"/>
      <c r="BR23" s="1"/>
    </row>
    <row r="24" spans="1:70" x14ac:dyDescent="0.25">
      <c r="A24" s="22">
        <f>[1]!ybworkday(A$5,-1*(ROW()-ROW(A$5)),"USD","")</f>
        <v>40879</v>
      </c>
      <c r="B24" s="3">
        <f>[1]!YBHIST("2 Year Treasury",$A24,"Price","govt","")</f>
        <v>99.991996999999998</v>
      </c>
      <c r="C24" s="2">
        <f>[1]!YBHIST("5 Year Treasury",$A24,"Price","govt","")</f>
        <v>99.765998999999994</v>
      </c>
      <c r="D24" s="2">
        <f>[1]!YBHIST("10 Year Treasury",$A24,"Price","govt","")</f>
        <v>99.609001000000006</v>
      </c>
      <c r="E24" s="10">
        <f>[1]!YBHIST("30 Year Treasury",$A24,"Price","govt","")</f>
        <v>101.828003</v>
      </c>
      <c r="F24" s="3">
        <f>[1]!YBHIST("2 Year Treasury",$A24,"YldtoMat","govt","")</f>
        <v>0.254</v>
      </c>
      <c r="G24" s="2">
        <f>[1]!YBHIST("5 Year Treasury",$A24,"YldtoMat","govt","")</f>
        <v>0.92300000000000004</v>
      </c>
      <c r="H24" s="2">
        <f>[1]!YBHIST("10 Year Treasury",$A24,"YldtoMat","govt","")</f>
        <v>2.044</v>
      </c>
      <c r="I24" s="10">
        <f>[1]!YBHIST("30 Year Treasury",$A24,"YldtoMat","govt","")</f>
        <v>3.032</v>
      </c>
      <c r="J24" s="3">
        <f>[1]!YBHIST("2yr Swap Rate",$A24,"YldtoMat","swapvol","")</f>
        <v>0.69904200000000005</v>
      </c>
      <c r="K24" s="2">
        <f>[1]!YBHIST("5yr Swap Rate",$A24,"YldtoMat","swapvol","")</f>
        <v>1.3353660000000001</v>
      </c>
      <c r="L24" s="2">
        <f>[1]!YBHIST("10yr Swap Rate",$A24,"YldtoMat","swapvol","")</f>
        <v>2.21705</v>
      </c>
      <c r="M24" s="10">
        <f>[1]!YBHIST("30yr Swap Rate",$A24,"YldtoMat","swapvol","")</f>
        <v>2.7426050000000002</v>
      </c>
      <c r="N24" s="3">
        <f>[1]!YBHIST("FNMA 30YR Cur Coup (BE)",$A24,"Yield","bmk","")</f>
        <v>3.1429999999999998</v>
      </c>
      <c r="O24" s="2">
        <f>[1]!YBHIST("FHLMC 30YR Cur Coup (BE)",$A24,"Yield","bmk","")</f>
        <v>3.1749999999999998</v>
      </c>
      <c r="P24" s="2">
        <f>[1]!YBHIST("GNMA 30YR Cur Coup (BE)",$A24,"Yield","bmk","")</f>
        <v>2.9790000000000001</v>
      </c>
      <c r="Q24" s="2">
        <f>[1]!YBHIST("Primary 30-Yr Mtg Rate",$A24,"Yield","bmk","")</f>
        <v>4.1315</v>
      </c>
      <c r="R24" s="2">
        <f>[1]!YBHIST("FHLM 30-Yr Survey Rate",$A24,"Yield","bmk","")</f>
        <v>4</v>
      </c>
      <c r="S24" s="10">
        <f>[1]!YBHIST("Base Mortgage Rate",$A24,"Yield","bmk","")</f>
        <v>3.4660000000000002</v>
      </c>
      <c r="T24" s="27">
        <f>[1]!YBHIST("FNMA 30YR Cur Coup (BE)",$A24,"OAS-Lib","bmk","")</f>
        <v>16.971001000000001</v>
      </c>
      <c r="U24" s="28">
        <f>[1]!YBHIST("FHLMC 30YR Cur Coup (BE)",$A24,"OAS-Lib","bmk","")</f>
        <v>20.350999999999999</v>
      </c>
      <c r="V24" s="28">
        <f>[1]!YBHIST("GNMA 30YR Cur Coup (BE)",$A24,"OAS-Lib","bmk","")</f>
        <v>22</v>
      </c>
      <c r="W24" s="29">
        <f t="shared" si="3"/>
        <v>109.89999999999998</v>
      </c>
      <c r="X24" s="29">
        <f t="shared" si="4"/>
        <v>109.89999999999998</v>
      </c>
      <c r="Y24" s="29">
        <f t="shared" si="5"/>
        <v>113.09999999999998</v>
      </c>
      <c r="Z24" s="3">
        <f>[1]!YBHIST("FNMA3.5-GEN",$A24,"Price","tba","")</f>
        <v>102.15625</v>
      </c>
      <c r="AA24" s="2">
        <f>[1]!YBHIST("FNMA4.0-GEN",$A24,"Price","tba","")</f>
        <v>104.265625</v>
      </c>
      <c r="AB24" s="2">
        <f>[1]!YBHIST("FNMA4.5-GEN",$A24,"Price","tba","")</f>
        <v>105.75</v>
      </c>
      <c r="AC24" s="2">
        <f>[1]!YBHIST("FNMA5.0-GEN",$A24,"Price","tba","")</f>
        <v>107.453125</v>
      </c>
      <c r="AD24" s="2">
        <f>[1]!YBHIST("FNMA5.5-GEN",$A24,"Price","tba","")</f>
        <v>108.484375</v>
      </c>
      <c r="AE24" s="10">
        <f>[1]!YBHIST("FNMA6.0-GEN",$A24,"Price","tba","")</f>
        <v>109.5625</v>
      </c>
      <c r="AF24" s="3">
        <f>[1]!YBHIST(AF$4,$A24,"Price","sec","")</f>
        <v>17.391000999999999</v>
      </c>
      <c r="AG24" s="2">
        <f>[1]!YBHIST(AG$4,$A24,"Price","sec","")</f>
        <v>15.859</v>
      </c>
      <c r="AH24" s="2">
        <f>[1]!YBHIST(AH$4,$A24,"Price","sec","")</f>
        <v>13.922000000000001</v>
      </c>
      <c r="AI24" s="2">
        <f>[1]!YBHIST(AI$4,$A24,"Price","sec","")</f>
        <v>16.358999000000001</v>
      </c>
      <c r="AJ24" s="2">
        <f>[1]!YBHIST(AJ$4,$A24,"Price","sec","")</f>
        <v>13.484</v>
      </c>
      <c r="AK24" s="2">
        <f>[1]!YBHIST(AK$4,$A24,"Price","sec","")</f>
        <v>19.530999999999999</v>
      </c>
      <c r="AL24" s="2">
        <f>[1]!YBHIST(AL$4,$A24,"Price","sec","")</f>
        <v>16.969000000000001</v>
      </c>
      <c r="AM24" s="2">
        <f>[1]!YBHIST(AM$4,$A24,"Price","sec","")</f>
        <v>13.343999999999999</v>
      </c>
      <c r="AN24" s="2">
        <f>[1]!YBHIST(AN$4,$A24,"Price","sec","")</f>
        <v>14.625</v>
      </c>
      <c r="AO24" s="2">
        <f>[1]!YBHIST(AO$4,$A24,"Price","sec","")</f>
        <v>15.093999999999999</v>
      </c>
      <c r="AP24" s="2">
        <f>[1]!YBHIST(AP$4,$A24,"Price","sec","")</f>
        <v>13.234</v>
      </c>
      <c r="AQ24" s="2">
        <f>[1]!YBHIST(AQ$4,$A24,"Price","sec","")</f>
        <v>15.343999999999999</v>
      </c>
      <c r="AR24" s="2">
        <f>[1]!YBHIST(AR$4,$A24,"Price","sec","")</f>
        <v>14.811999999999999</v>
      </c>
      <c r="AS24" s="2">
        <f>[1]!YBHIST(AS$4,$A24,"Price","sec","")</f>
        <v>15.061999999999999</v>
      </c>
      <c r="AT24" s="2">
        <f>[1]!YBHIST(AT$4,$A24,"Price","sec","")</f>
        <v>17.312000000000001</v>
      </c>
      <c r="AU24" s="2">
        <f>[1]!YBHIST(AU$4,$A24,"Price","sec","")</f>
        <v>21.25</v>
      </c>
      <c r="AV24" s="2">
        <f>[1]!YBHIST(AV$4,$A24,"Price","sec","")</f>
        <v>20.422001000000002</v>
      </c>
      <c r="AW24" s="10">
        <f>[1]!YBHIST(AW$4,$A24,"Price","sec","")</f>
        <v>20.594000000000001</v>
      </c>
      <c r="AX24" s="29">
        <f>[1]!YBHIST(AX$4,$A24,"OAS-Lib","sec","")</f>
        <v>-113.910004</v>
      </c>
      <c r="AY24" s="29">
        <f>[1]!YBHIST(AY$4,$A24,"OAS-Lib","sec","")</f>
        <v>-10.75</v>
      </c>
      <c r="AZ24" s="2">
        <f>[1]!YBHIST(AZ$4,$A24,"OAS-Lib","sec","")</f>
        <v>150.78999300000001</v>
      </c>
      <c r="BA24" s="2">
        <f>[1]!YBHIST(BA$4,$A24,"OAS-Lib","sec","")</f>
        <v>-78.129997000000003</v>
      </c>
      <c r="BB24" s="29">
        <f>[1]!YBHIST(BB$4,$A24,"OAS-Lib","sec","")</f>
        <v>262.10000600000001</v>
      </c>
      <c r="BC24" s="2">
        <f>[1]!YBHIST(BC$4,$A24,"OAS-Lib","sec","")</f>
        <v>-101.300003</v>
      </c>
      <c r="BD24" s="29">
        <f>[1]!YBHIST(BD$4,$A24,"OAS-Lib","sec","")</f>
        <v>81.529999000000004</v>
      </c>
      <c r="BE24" s="2">
        <f>[1]!YBHIST(BE$4,$A24,"OAS-Lib","sec","")</f>
        <v>841.40002400000003</v>
      </c>
      <c r="BF24" s="2">
        <f>[1]!YBHIST(BF$4,$A24,"OAS-Lib","sec","")</f>
        <v>820.42999299999997</v>
      </c>
      <c r="BG24" s="2">
        <f>[1]!YBHIST(BG$4,$A24,"OAS-Lib","sec","")</f>
        <v>394.26001000000002</v>
      </c>
      <c r="BH24" s="29">
        <f>[1]!YBHIST(BH$4,$A24,"OAS-Lib","sec","")</f>
        <v>1229.3599850000001</v>
      </c>
      <c r="BI24" s="2">
        <f>[1]!YBHIST(BI$4,$A24,"OAS-Lib","sec","")</f>
        <v>793.169983</v>
      </c>
      <c r="BJ24" s="2">
        <f>[1]!YBHIST(BJ$4,$A24,"OAS-Lib","sec","")</f>
        <v>680.20001200000002</v>
      </c>
      <c r="BK24" s="29">
        <f>[1]!YBHIST(BK$4,$A24,"OAS-Lib","sec","")</f>
        <v>615.34002699999996</v>
      </c>
      <c r="BL24" s="30">
        <f>[1]!YBHIST(BL$4,$A24,"OAS-Lib","sec","")</f>
        <v>689.169983</v>
      </c>
      <c r="BM24" s="2">
        <f>[1]!YBHIST(BM$4,$A24,"OAS-Lib","sec","")</f>
        <v>-165.16000399999999</v>
      </c>
      <c r="BN24" s="2">
        <f>[1]!YBHIST(BN$4,$A24,"OAS-Lib","sec","")</f>
        <v>-125.050003</v>
      </c>
      <c r="BO24" s="10">
        <f>[1]!YBHIST(BO$4,$A24,"OAS-Lib","sec","")</f>
        <v>22.139999</v>
      </c>
      <c r="BP24" s="9"/>
      <c r="BQ24" s="1"/>
      <c r="BR24" s="1"/>
    </row>
    <row r="25" spans="1:70" x14ac:dyDescent="0.25">
      <c r="A25" s="22">
        <f>[1]!ybworkday(A$5,-1*(ROW()-ROW(A$5)),"USD","")</f>
        <v>40878</v>
      </c>
      <c r="B25" s="3">
        <f>[1]!YBHIST("2 Year Treasury",$A25,"Price","govt","")</f>
        <v>99.976996999999997</v>
      </c>
      <c r="C25" s="2">
        <f>[1]!YBHIST("5 Year Treasury",$A25,"Price","govt","")</f>
        <v>99.539000999999999</v>
      </c>
      <c r="D25" s="2">
        <f>[1]!YBHIST("10 Year Treasury",$A25,"Price","govt","")</f>
        <v>99.015998999999994</v>
      </c>
      <c r="E25" s="10">
        <f>[1]!YBHIST("30 Year Treasury",$A25,"Price","govt","")</f>
        <v>99.859001000000006</v>
      </c>
      <c r="F25" s="3">
        <f>[1]!YBHIST("2 Year Treasury",$A25,"YldtoMat","govt","")</f>
        <v>0.26200000000000001</v>
      </c>
      <c r="G25" s="2">
        <f>[1]!YBHIST("5 Year Treasury",$A25,"YldtoMat","govt","")</f>
        <v>0.97</v>
      </c>
      <c r="H25" s="2">
        <f>[1]!YBHIST("10 Year Treasury",$A25,"YldtoMat","govt","")</f>
        <v>2.11</v>
      </c>
      <c r="I25" s="10">
        <f>[1]!YBHIST("30 Year Treasury",$A25,"YldtoMat","govt","")</f>
        <v>3.1320000000000001</v>
      </c>
      <c r="J25" s="3">
        <f>[1]!YBHIST("2yr Swap Rate",$A25,"YldtoMat","swapvol","")</f>
        <v>0.67426200000000003</v>
      </c>
      <c r="K25" s="2">
        <f>[1]!YBHIST("5yr Swap Rate",$A25,"YldtoMat","swapvol","")</f>
        <v>1.3581259999999999</v>
      </c>
      <c r="L25" s="2">
        <f>[1]!YBHIST("10yr Swap Rate",$A25,"YldtoMat","swapvol","")</f>
        <v>2.2706849999999998</v>
      </c>
      <c r="M25" s="10">
        <f>[1]!YBHIST("30yr Swap Rate",$A25,"YldtoMat","swapvol","")</f>
        <v>2.8181340000000001</v>
      </c>
      <c r="N25" s="3">
        <f>[1]!YBHIST("FNMA 30YR Cur Coup (BE)",$A25,"Yield","bmk","")</f>
        <v>3.2109999999999999</v>
      </c>
      <c r="O25" s="2">
        <f>[1]!YBHIST("FHLMC 30YR Cur Coup (BE)",$A25,"Yield","bmk","")</f>
        <v>3.2450000000000001</v>
      </c>
      <c r="P25" s="2">
        <f>[1]!YBHIST("GNMA 30YR Cur Coup (BE)",$A25,"Yield","bmk","")</f>
        <v>3.0470000000000002</v>
      </c>
      <c r="Q25" s="2">
        <f>[1]!YBHIST("Primary 30-Yr Mtg Rate",$A25,"Yield","bmk","")</f>
        <v>4.1958000000000002</v>
      </c>
      <c r="R25" s="2">
        <f>[1]!YBHIST("FHLM 30-Yr Survey Rate",$A25,"Yield","bmk","")</f>
        <v>4</v>
      </c>
      <c r="S25" s="10">
        <f>[1]!YBHIST("Base Mortgage Rate",$A25,"Yield","bmk","")</f>
        <v>3.53</v>
      </c>
      <c r="T25" s="27">
        <f>[1]!YBHIST("FNMA 30YR Cur Coup (BE)",$A25,"OAS-Lib","bmk","")</f>
        <v>18.736000000000001</v>
      </c>
      <c r="U25" s="28">
        <f>[1]!YBHIST("FHLMC 30YR Cur Coup (BE)",$A25,"OAS-Lib","bmk","")</f>
        <v>22.4</v>
      </c>
      <c r="V25" s="28">
        <f>[1]!YBHIST("GNMA 30YR Cur Coup (BE)",$A25,"OAS-Lib","bmk","")</f>
        <v>26</v>
      </c>
      <c r="W25" s="29">
        <f t="shared" si="3"/>
        <v>110.1</v>
      </c>
      <c r="X25" s="29">
        <f t="shared" si="4"/>
        <v>110.1</v>
      </c>
      <c r="Y25" s="29">
        <f t="shared" si="5"/>
        <v>113.50000000000003</v>
      </c>
      <c r="Z25" s="3">
        <f>[1]!YBHIST("FNMA3.5-GEN",$A25,"Price","tba","")</f>
        <v>101.828125</v>
      </c>
      <c r="AA25" s="2">
        <f>[1]!YBHIST("FNMA4.0-GEN",$A25,"Price","tba","")</f>
        <v>104.046875</v>
      </c>
      <c r="AB25" s="2">
        <f>[1]!YBHIST("FNMA4.5-GEN",$A25,"Price","tba","")</f>
        <v>105.625</v>
      </c>
      <c r="AC25" s="2">
        <f>[1]!YBHIST("FNMA5.0-GEN",$A25,"Price","tba","")</f>
        <v>107.375</v>
      </c>
      <c r="AD25" s="2">
        <f>[1]!YBHIST("FNMA5.5-GEN",$A25,"Price","tba","")</f>
        <v>108.4375</v>
      </c>
      <c r="AE25" s="10">
        <f>[1]!YBHIST("FNMA6.0-GEN",$A25,"Price","tba","")</f>
        <v>109.5</v>
      </c>
      <c r="AF25" s="3">
        <f>[1]!YBHIST(AF$4,$A25,"Price","sec","")</f>
        <v>17.702998999999998</v>
      </c>
      <c r="AG25" s="2">
        <f>[1]!YBHIST(AG$4,$A25,"Price","sec","")</f>
        <v>16.233999000000001</v>
      </c>
      <c r="AH25" s="2">
        <f>[1]!YBHIST(AH$4,$A25,"Price","sec","")</f>
        <v>14.327999999999999</v>
      </c>
      <c r="AI25" s="2">
        <f>[1]!YBHIST(AI$4,$A25,"Price","sec","")</f>
        <v>16.719000000000001</v>
      </c>
      <c r="AJ25" s="2">
        <f>[1]!YBHIST(AJ$4,$A25,"Price","sec","")</f>
        <v>13.843999999999999</v>
      </c>
      <c r="AK25" s="2">
        <f>[1]!YBHIST(AK$4,$A25,"Price","sec","")</f>
        <v>19.844000000000001</v>
      </c>
      <c r="AL25" s="2">
        <f>[1]!YBHIST(AL$4,$A25,"Price","sec","")</f>
        <v>17.297001000000002</v>
      </c>
      <c r="AM25" s="2">
        <f>[1]!YBHIST(AM$4,$A25,"Price","sec","")</f>
        <v>13.625</v>
      </c>
      <c r="AN25" s="2">
        <f>[1]!YBHIST(AN$4,$A25,"Price","sec","")</f>
        <v>14.891</v>
      </c>
      <c r="AO25" s="2">
        <f>[1]!YBHIST(AO$4,$A25,"Price","sec","")</f>
        <v>15.375</v>
      </c>
      <c r="AP25" s="2">
        <f>[1]!YBHIST(AP$4,$A25,"Price","sec","")</f>
        <v>13.452999999999999</v>
      </c>
      <c r="AQ25" s="2">
        <f>[1]!YBHIST(AQ$4,$A25,"Price","sec","")</f>
        <v>15.547000000000001</v>
      </c>
      <c r="AR25" s="2">
        <f>[1]!YBHIST(AR$4,$A25,"Price","sec","")</f>
        <v>15.016</v>
      </c>
      <c r="AS25" s="2">
        <f>[1]!YBHIST(AS$4,$A25,"Price","sec","")</f>
        <v>15.218999999999999</v>
      </c>
      <c r="AT25" s="2">
        <f>[1]!YBHIST(AT$4,$A25,"Price","sec","")</f>
        <v>17.405999999999999</v>
      </c>
      <c r="AU25" s="2">
        <f>[1]!YBHIST(AU$4,$A25,"Price","sec","")</f>
        <v>21.483999000000001</v>
      </c>
      <c r="AV25" s="2">
        <f>[1]!YBHIST(AV$4,$A25,"Price","sec","")</f>
        <v>20.733999000000001</v>
      </c>
      <c r="AW25" s="10">
        <f>[1]!YBHIST(AW$4,$A25,"Price","sec","")</f>
        <v>20.922001000000002</v>
      </c>
      <c r="AX25" s="29">
        <f>[1]!YBHIST(AX$4,$A25,"OAS-Lib","sec","")</f>
        <v>-73.819999999999993</v>
      </c>
      <c r="AY25" s="29">
        <f>[1]!YBHIST(AY$4,$A25,"OAS-Lib","sec","")</f>
        <v>26.83</v>
      </c>
      <c r="AZ25" s="2">
        <f>[1]!YBHIST(AZ$4,$A25,"OAS-Lib","sec","")</f>
        <v>173.41999799999999</v>
      </c>
      <c r="BA25" s="2">
        <f>[1]!YBHIST(BA$4,$A25,"OAS-Lib","sec","")</f>
        <v>-39.840000000000003</v>
      </c>
      <c r="BB25" s="29">
        <f>[1]!YBHIST(BB$4,$A25,"OAS-Lib","sec","")</f>
        <v>288.14999399999999</v>
      </c>
      <c r="BC25" s="2">
        <f>[1]!YBHIST(BC$4,$A25,"OAS-Lib","sec","")</f>
        <v>-64.940002000000007</v>
      </c>
      <c r="BD25" s="29">
        <f>[1]!YBHIST(BD$4,$A25,"OAS-Lib","sec","")</f>
        <v>110.480003</v>
      </c>
      <c r="BE25" s="2">
        <f>[1]!YBHIST(BE$4,$A25,"OAS-Lib","sec","")</f>
        <v>853.02002000000005</v>
      </c>
      <c r="BF25" s="2">
        <f>[1]!YBHIST(BF$4,$A25,"OAS-Lib","sec","")</f>
        <v>815.71002199999998</v>
      </c>
      <c r="BG25" s="2">
        <f>[1]!YBHIST(BG$4,$A25,"OAS-Lib","sec","")</f>
        <v>396.11999500000002</v>
      </c>
      <c r="BH25" s="29">
        <f>[1]!YBHIST(BH$4,$A25,"OAS-Lib","sec","")</f>
        <v>1236.219971</v>
      </c>
      <c r="BI25" s="2">
        <f>[1]!YBHIST(BI$4,$A25,"OAS-Lib","sec","")</f>
        <v>792.11999500000002</v>
      </c>
      <c r="BJ25" s="2">
        <f>[1]!YBHIST(BJ$4,$A25,"OAS-Lib","sec","")</f>
        <v>689.35998500000005</v>
      </c>
      <c r="BK25" s="29">
        <f>[1]!YBHIST(BK$4,$A25,"OAS-Lib","sec","")</f>
        <v>623.61999500000002</v>
      </c>
      <c r="BL25" s="30">
        <f>[1]!YBHIST(BL$4,$A25,"OAS-Lib","sec","")</f>
        <v>701.80999799999995</v>
      </c>
      <c r="BM25" s="2">
        <f>[1]!YBHIST(BM$4,$A25,"OAS-Lib","sec","")</f>
        <v>-131.800003</v>
      </c>
      <c r="BN25" s="2">
        <f>[1]!YBHIST(BN$4,$A25,"OAS-Lib","sec","")</f>
        <v>-98.379997000000003</v>
      </c>
      <c r="BO25" s="10">
        <f>[1]!YBHIST(BO$4,$A25,"OAS-Lib","sec","")</f>
        <v>37.669998</v>
      </c>
      <c r="BP25" s="9"/>
      <c r="BQ25" s="1"/>
      <c r="BR25" s="1"/>
    </row>
    <row r="26" spans="1:70" x14ac:dyDescent="0.25">
      <c r="A26" s="22">
        <f>[1]!ybworkday(A$5,-1*(ROW()-ROW(A$5)),"USD","")</f>
        <v>40877</v>
      </c>
      <c r="B26" s="3">
        <f>[1]!YBHIST("2 Year Treasury",$A26,"Price","govt","")</f>
        <v>99.991996999999998</v>
      </c>
      <c r="C26" s="2">
        <f>[1]!YBHIST("5 Year Treasury",$A26,"Price","govt","")</f>
        <v>99.640998999999994</v>
      </c>
      <c r="D26" s="2">
        <f>[1]!YBHIST("10 Year Treasury",$A26,"Price","govt","")</f>
        <v>99.438004000000006</v>
      </c>
      <c r="E26" s="10">
        <f>[1]!YBHIST("30 Year Treasury",$A26,"Price","govt","")</f>
        <v>101.25</v>
      </c>
      <c r="F26" s="3">
        <f>[1]!YBHIST("2 Year Treasury",$A26,"YldtoMat","govt","")</f>
        <v>0.254</v>
      </c>
      <c r="G26" s="2">
        <f>[1]!YBHIST("5 Year Treasury",$A26,"YldtoMat","govt","")</f>
        <v>0.94899999999999995</v>
      </c>
      <c r="H26" s="2">
        <f>[1]!YBHIST("10 Year Treasury",$A26,"YldtoMat","govt","")</f>
        <v>2.0630000000000002</v>
      </c>
      <c r="I26" s="10">
        <f>[1]!YBHIST("30 Year Treasury",$A26,"YldtoMat","govt","")</f>
        <v>3.0609999999999999</v>
      </c>
      <c r="J26" s="3">
        <f>[1]!YBHIST("2yr Swap Rate",$A26,"YldtoMat","swapvol","")</f>
        <v>0.65969500000000003</v>
      </c>
      <c r="K26" s="2">
        <f>[1]!YBHIST("5yr Swap Rate",$A26,"YldtoMat","swapvol","")</f>
        <v>1.3050269999999999</v>
      </c>
      <c r="L26" s="2">
        <f>[1]!YBHIST("10yr Swap Rate",$A26,"YldtoMat","swapvol","")</f>
        <v>2.2029450000000002</v>
      </c>
      <c r="M26" s="10">
        <f>[1]!YBHIST("30yr Swap Rate",$A26,"YldtoMat","swapvol","")</f>
        <v>2.735055</v>
      </c>
      <c r="N26" s="3">
        <f>[1]!YBHIST("FNMA 30YR Cur Coup (BE)",$A26,"Yield","bmk","")</f>
        <v>3.1789999999999998</v>
      </c>
      <c r="O26" s="2">
        <f>[1]!YBHIST("FHLMC 30YR Cur Coup (BE)",$A26,"Yield","bmk","")</f>
        <v>3.2149999999999999</v>
      </c>
      <c r="P26" s="2">
        <f>[1]!YBHIST("GNMA 30YR Cur Coup (BE)",$A26,"Yield","bmk","")</f>
        <v>3.0230000000000001</v>
      </c>
      <c r="Q26" s="2">
        <f>[1]!YBHIST("Primary 30-Yr Mtg Rate",$A26,"Yield","bmk","")</f>
        <v>4.1553000000000004</v>
      </c>
      <c r="R26" s="2">
        <f>[1]!YBHIST("FHLM 30-Yr Survey Rate",$A26,"Yield","bmk","")</f>
        <v>3.98</v>
      </c>
      <c r="S26" s="10">
        <f>[1]!YBHIST("Base Mortgage Rate",$A26,"Yield","bmk","")</f>
        <v>3.4969999999999999</v>
      </c>
      <c r="T26" s="27">
        <f>[1]!YBHIST("FNMA 30YR Cur Coup (BE)",$A26,"OAS-Lib","bmk","")</f>
        <v>21.360001</v>
      </c>
      <c r="U26" s="28">
        <f>[1]!YBHIST("FHLMC 30YR Cur Coup (BE)",$A26,"OAS-Lib","bmk","")</f>
        <v>24.709</v>
      </c>
      <c r="V26" s="28">
        <f>[1]!YBHIST("GNMA 30YR Cur Coup (BE)",$A26,"OAS-Lib","bmk","")</f>
        <v>28</v>
      </c>
      <c r="W26" s="29">
        <f t="shared" si="3"/>
        <v>111.59999999999997</v>
      </c>
      <c r="X26" s="29">
        <f t="shared" si="4"/>
        <v>111.59999999999997</v>
      </c>
      <c r="Y26" s="29">
        <f t="shared" si="5"/>
        <v>115.19999999999997</v>
      </c>
      <c r="Z26" s="3">
        <f>[1]!YBHIST("FNMA3.5-GEN",$A26,"Price","tba","")</f>
        <v>102</v>
      </c>
      <c r="AA26" s="2">
        <f>[1]!YBHIST("FNMA4.0-GEN",$A26,"Price","tba","")</f>
        <v>104.21875</v>
      </c>
      <c r="AB26" s="2">
        <f>[1]!YBHIST("FNMA4.5-GEN",$A26,"Price","tba","")</f>
        <v>105.75</v>
      </c>
      <c r="AC26" s="2">
        <f>[1]!YBHIST("FNMA5.0-GEN",$A26,"Price","tba","")</f>
        <v>107.5</v>
      </c>
      <c r="AD26" s="2">
        <f>[1]!YBHIST("FNMA5.5-GEN",$A26,"Price","tba","")</f>
        <v>108.578125</v>
      </c>
      <c r="AE26" s="10">
        <f>[1]!YBHIST("FNMA6.0-GEN",$A26,"Price","tba","")</f>
        <v>109.625</v>
      </c>
      <c r="AF26" s="3">
        <f>[1]!YBHIST(AF$4,$A26,"Price","sec","")</f>
        <v>17.5</v>
      </c>
      <c r="AG26" s="2">
        <f>[1]!YBHIST(AG$4,$A26,"Price","sec","")</f>
        <v>16.016000999999999</v>
      </c>
      <c r="AH26" s="2">
        <f>[1]!YBHIST(AH$4,$A26,"Price","sec","")</f>
        <v>14.109</v>
      </c>
      <c r="AI26" s="2">
        <f>[1]!YBHIST(AI$4,$A26,"Price","sec","")</f>
        <v>16.5</v>
      </c>
      <c r="AJ26" s="2">
        <f>[1]!YBHIST(AJ$4,$A26,"Price","sec","")</f>
        <v>13.593999999999999</v>
      </c>
      <c r="AK26" s="2">
        <f>[1]!YBHIST(AK$4,$A26,"Price","sec","")</f>
        <v>19.655999999999999</v>
      </c>
      <c r="AL26" s="2">
        <f>[1]!YBHIST(AL$4,$A26,"Price","sec","")</f>
        <v>17.108999000000001</v>
      </c>
      <c r="AM26" s="2">
        <f>[1]!YBHIST(AM$4,$A26,"Price","sec","")</f>
        <v>13.422000000000001</v>
      </c>
      <c r="AN26" s="2">
        <f>[1]!YBHIST(AN$4,$A26,"Price","sec","")</f>
        <v>14.734</v>
      </c>
      <c r="AO26" s="2">
        <f>[1]!YBHIST(AO$4,$A26,"Price","sec","")</f>
        <v>15.202999999999999</v>
      </c>
      <c r="AP26" s="2">
        <f>[1]!YBHIST(AP$4,$A26,"Price","sec","")</f>
        <v>13.343999999999999</v>
      </c>
      <c r="AQ26" s="2">
        <f>[1]!YBHIST(AQ$4,$A26,"Price","sec","")</f>
        <v>15.452999999999999</v>
      </c>
      <c r="AR26" s="2">
        <f>[1]!YBHIST(AR$4,$A26,"Price","sec","")</f>
        <v>14.906000000000001</v>
      </c>
      <c r="AS26" s="2">
        <f>[1]!YBHIST(AS$4,$A26,"Price","sec","")</f>
        <v>15.156000000000001</v>
      </c>
      <c r="AT26" s="2">
        <f>[1]!YBHIST(AT$4,$A26,"Price","sec","")</f>
        <v>17.405999999999999</v>
      </c>
      <c r="AU26" s="2">
        <f>[1]!YBHIST(AU$4,$A26,"Price","sec","")</f>
        <v>21.344000000000001</v>
      </c>
      <c r="AV26" s="2">
        <f>[1]!YBHIST(AV$4,$A26,"Price","sec","")</f>
        <v>20.577998999999998</v>
      </c>
      <c r="AW26" s="10">
        <f>[1]!YBHIST(AW$4,$A26,"Price","sec","")</f>
        <v>20.733999000000001</v>
      </c>
      <c r="AX26" s="29">
        <f>[1]!YBHIST(AX$4,$A26,"OAS-Lib","sec","")</f>
        <v>-98.150002000000001</v>
      </c>
      <c r="AY26" s="29">
        <f>[1]!YBHIST(AY$4,$A26,"OAS-Lib","sec","")</f>
        <v>5.68</v>
      </c>
      <c r="AZ26" s="2">
        <f>[1]!YBHIST(AZ$4,$A26,"OAS-Lib","sec","")</f>
        <v>156.16000399999999</v>
      </c>
      <c r="BA26" s="2">
        <f>[1]!YBHIST(BA$4,$A26,"OAS-Lib","sec","")</f>
        <v>-55.299999</v>
      </c>
      <c r="BB26" s="29">
        <f>[1]!YBHIST(BB$4,$A26,"OAS-Lib","sec","")</f>
        <v>282.94000199999999</v>
      </c>
      <c r="BC26" s="2">
        <f>[1]!YBHIST(BC$4,$A26,"OAS-Lib","sec","")</f>
        <v>-75.120002999999997</v>
      </c>
      <c r="BD26" s="29">
        <f>[1]!YBHIST(BD$4,$A26,"OAS-Lib","sec","")</f>
        <v>94.080001999999993</v>
      </c>
      <c r="BE26" s="2">
        <f>[1]!YBHIST(BE$4,$A26,"OAS-Lib","sec","")</f>
        <v>857.32000700000003</v>
      </c>
      <c r="BF26" s="2">
        <f>[1]!YBHIST(BF$4,$A26,"OAS-Lib","sec","")</f>
        <v>821.46002199999998</v>
      </c>
      <c r="BG26" s="2">
        <f>[1]!YBHIST(BG$4,$A26,"OAS-Lib","sec","")</f>
        <v>395.95001200000002</v>
      </c>
      <c r="BH26" s="29">
        <f>[1]!YBHIST(BH$4,$A26,"OAS-Lib","sec","")</f>
        <v>1226.9399410000001</v>
      </c>
      <c r="BI26" s="2">
        <f>[1]!YBHIST(BI$4,$A26,"OAS-Lib","sec","")</f>
        <v>793.47997999999995</v>
      </c>
      <c r="BJ26" s="2">
        <f>[1]!YBHIST(BJ$4,$A26,"OAS-Lib","sec","")</f>
        <v>681.54998799999998</v>
      </c>
      <c r="BK26" s="29">
        <f>[1]!YBHIST(BK$4,$A26,"OAS-Lib","sec","")</f>
        <v>619.67999299999997</v>
      </c>
      <c r="BL26" s="30">
        <f>[1]!YBHIST(BL$4,$A26,"OAS-Lib","sec","")</f>
        <v>690.73999000000003</v>
      </c>
      <c r="BM26" s="2">
        <f>[1]!YBHIST(BM$4,$A26,"OAS-Lib","sec","")</f>
        <v>-155.259995</v>
      </c>
      <c r="BN26" s="2">
        <f>[1]!YBHIST(BN$4,$A26,"OAS-Lib","sec","")</f>
        <v>-118.989998</v>
      </c>
      <c r="BO26" s="10">
        <f>[1]!YBHIST(BO$4,$A26,"OAS-Lib","sec","")</f>
        <v>26.709999</v>
      </c>
      <c r="BP26" s="9"/>
      <c r="BQ26" s="1"/>
      <c r="BR26" s="1"/>
    </row>
    <row r="27" spans="1:70" x14ac:dyDescent="0.25">
      <c r="A27" s="22">
        <f>[1]!ybworkday(A$5,-1*(ROW()-ROW(A$5)),"USD","")</f>
        <v>40876</v>
      </c>
      <c r="B27" s="3">
        <f>[1]!YBHIST("2 Year Treasury",$A27,"Price","govt","")</f>
        <v>99.991996999999998</v>
      </c>
      <c r="C27" s="2">
        <f>[1]!YBHIST("5 Year Treasury",$A27,"Price","govt","")</f>
        <v>99.741996999999998</v>
      </c>
      <c r="D27" s="2">
        <f>[1]!YBHIST("10 Year Treasury",$A27,"Price","govt","")</f>
        <v>100.046997</v>
      </c>
      <c r="E27" s="10">
        <f>[1]!YBHIST("30 Year Treasury",$A27,"Price","govt","")</f>
        <v>103.375</v>
      </c>
      <c r="F27" s="3">
        <f>[1]!YBHIST("2 Year Treasury",$A27,"YldtoMat","govt","")</f>
        <v>0.254</v>
      </c>
      <c r="G27" s="2">
        <f>[1]!YBHIST("5 Year Treasury",$A27,"YldtoMat","govt","")</f>
        <v>0.92800000000000005</v>
      </c>
      <c r="H27" s="2">
        <f>[1]!YBHIST("10 Year Treasury",$A27,"YldtoMat","govt","")</f>
        <v>1.9950000000000001</v>
      </c>
      <c r="I27" s="10">
        <f>[1]!YBHIST("30 Year Treasury",$A27,"YldtoMat","govt","")</f>
        <v>2.9540000000000002</v>
      </c>
      <c r="J27" s="3">
        <f>[1]!YBHIST("2yr Swap Rate",$A27,"YldtoMat","swapvol","")</f>
        <v>0.77271000000000001</v>
      </c>
      <c r="K27" s="2">
        <f>[1]!YBHIST("5yr Swap Rate",$A27,"YldtoMat","swapvol","")</f>
        <v>1.3417250000000001</v>
      </c>
      <c r="L27" s="2">
        <f>[1]!YBHIST("10yr Swap Rate",$A27,"YldtoMat","swapvol","")</f>
        <v>2.1700550000000001</v>
      </c>
      <c r="M27" s="10">
        <f>[1]!YBHIST("30yr Swap Rate",$A27,"YldtoMat","swapvol","")</f>
        <v>2.6635840000000002</v>
      </c>
      <c r="N27" s="3">
        <f>[1]!YBHIST("FNMA 30YR Cur Coup (BE)",$A27,"Yield","bmk","")</f>
        <v>3.1829999999999998</v>
      </c>
      <c r="O27" s="2">
        <f>[1]!YBHIST("FHLMC 30YR Cur Coup (BE)",$A27,"Yield","bmk","")</f>
        <v>3.2210000000000001</v>
      </c>
      <c r="P27" s="2">
        <f>[1]!YBHIST("GNMA 30YR Cur Coup (BE)",$A27,"Yield","bmk","")</f>
        <v>3.0230000000000001</v>
      </c>
      <c r="Q27" s="2">
        <f>[1]!YBHIST("Primary 30-Yr Mtg Rate",$A27,"Yield","bmk","")</f>
        <v>4.16</v>
      </c>
      <c r="R27" s="2">
        <f>[1]!YBHIST("FHLM 30-Yr Survey Rate",$A27,"Yield","bmk","")</f>
        <v>3.98</v>
      </c>
      <c r="S27" s="10">
        <f>[1]!YBHIST("Base Mortgage Rate",$A27,"Yield","bmk","")</f>
        <v>3.5019999999999998</v>
      </c>
      <c r="T27" s="27">
        <f>[1]!YBHIST("FNMA 30YR Cur Coup (BE)",$A27,"OAS-Lib","bmk","")</f>
        <v>20.205998999999998</v>
      </c>
      <c r="U27" s="28">
        <f>[1]!YBHIST("FHLMC 30YR Cur Coup (BE)",$A27,"OAS-Lib","bmk","")</f>
        <v>23.510999999999999</v>
      </c>
      <c r="V27" s="28">
        <f>[1]!YBHIST("GNMA 30YR Cur Coup (BE)",$A27,"OAS-Lib","bmk","")</f>
        <v>27</v>
      </c>
      <c r="W27" s="29">
        <f t="shared" si="3"/>
        <v>118.79999999999997</v>
      </c>
      <c r="X27" s="29">
        <f t="shared" si="4"/>
        <v>118.79999999999997</v>
      </c>
      <c r="Y27" s="29">
        <f t="shared" si="5"/>
        <v>122.6</v>
      </c>
      <c r="Z27" s="3">
        <f>[1]!YBHIST("FNMA3.5-GEN",$A27,"Price","tba","")</f>
        <v>101.921875</v>
      </c>
      <c r="AA27" s="2">
        <f>[1]!YBHIST("FNMA4.0-GEN",$A27,"Price","tba","")</f>
        <v>104.09375</v>
      </c>
      <c r="AB27" s="2">
        <f>[1]!YBHIST("FNMA4.5-GEN",$A27,"Price","tba","")</f>
        <v>105.59375</v>
      </c>
      <c r="AC27" s="2">
        <f>[1]!YBHIST("FNMA5.0-GEN",$A27,"Price","tba","")</f>
        <v>107.3125</v>
      </c>
      <c r="AD27" s="2">
        <f>[1]!YBHIST("FNMA5.5-GEN",$A27,"Price","tba","")</f>
        <v>108.390625</v>
      </c>
      <c r="AE27" s="10">
        <f>[1]!YBHIST("FNMA6.0-GEN",$A27,"Price","tba","")</f>
        <v>109.476562</v>
      </c>
      <c r="AF27" s="3">
        <f>[1]!YBHIST(AF$4,$A27,"Price","sec","")</f>
        <v>17.358999000000001</v>
      </c>
      <c r="AG27" s="2">
        <f>[1]!YBHIST(AG$4,$A27,"Price","sec","")</f>
        <v>15.859</v>
      </c>
      <c r="AH27" s="2">
        <f>[1]!YBHIST(AH$4,$A27,"Price","sec","")</f>
        <v>13.938000000000001</v>
      </c>
      <c r="AI27" s="2">
        <f>[1]!YBHIST(AI$4,$A27,"Price","sec","")</f>
        <v>16.297001000000002</v>
      </c>
      <c r="AJ27" s="2">
        <f>[1]!YBHIST(AJ$4,$A27,"Price","sec","")</f>
        <v>13.406000000000001</v>
      </c>
      <c r="AK27" s="2">
        <f>[1]!YBHIST(AK$4,$A27,"Price","sec","")</f>
        <v>19.516000999999999</v>
      </c>
      <c r="AL27" s="2">
        <f>[1]!YBHIST(AL$4,$A27,"Price","sec","")</f>
        <v>16.952998999999998</v>
      </c>
      <c r="AM27" s="2">
        <f>[1]!YBHIST(AM$4,$A27,"Price","sec","")</f>
        <v>13.25</v>
      </c>
      <c r="AN27" s="2">
        <f>[1]!YBHIST(AN$4,$A27,"Price","sec","")</f>
        <v>14.625</v>
      </c>
      <c r="AO27" s="2">
        <f>[1]!YBHIST(AO$4,$A27,"Price","sec","")</f>
        <v>15.077999999999999</v>
      </c>
      <c r="AP27" s="2">
        <f>[1]!YBHIST(AP$4,$A27,"Price","sec","")</f>
        <v>13.25</v>
      </c>
      <c r="AQ27" s="2">
        <f>[1]!YBHIST(AQ$4,$A27,"Price","sec","")</f>
        <v>15.391</v>
      </c>
      <c r="AR27" s="2">
        <f>[1]!YBHIST(AR$4,$A27,"Price","sec","")</f>
        <v>14.843999999999999</v>
      </c>
      <c r="AS27" s="2">
        <f>[1]!YBHIST(AS$4,$A27,"Price","sec","")</f>
        <v>15.077999999999999</v>
      </c>
      <c r="AT27" s="2">
        <f>[1]!YBHIST(AT$4,$A27,"Price","sec","")</f>
        <v>17.327998999999998</v>
      </c>
      <c r="AU27" s="2">
        <f>[1]!YBHIST(AU$4,$A27,"Price","sec","")</f>
        <v>21.219000000000001</v>
      </c>
      <c r="AV27" s="2">
        <f>[1]!YBHIST(AV$4,$A27,"Price","sec","")</f>
        <v>20.483999000000001</v>
      </c>
      <c r="AW27" s="10">
        <f>[1]!YBHIST(AW$4,$A27,"Price","sec","")</f>
        <v>20.655999999999999</v>
      </c>
      <c r="AX27" s="29">
        <f>[1]!YBHIST(AX$4,$A27,"OAS-Lib","sec","")</f>
        <v>-124.639999</v>
      </c>
      <c r="AY27" s="29">
        <f>[1]!YBHIST(AY$4,$A27,"OAS-Lib","sec","")</f>
        <v>-12.61</v>
      </c>
      <c r="AZ27" s="2">
        <f>[1]!YBHIST(AZ$4,$A27,"OAS-Lib","sec","")</f>
        <v>145.78999300000001</v>
      </c>
      <c r="BA27" s="2">
        <f>[1]!YBHIST(BA$4,$A27,"OAS-Lib","sec","")</f>
        <v>-64.339995999999999</v>
      </c>
      <c r="BB27" s="29">
        <f>[1]!YBHIST(BB$4,$A27,"OAS-Lib","sec","")</f>
        <v>282.19000199999999</v>
      </c>
      <c r="BC27" s="2">
        <f>[1]!YBHIST(BC$4,$A27,"OAS-Lib","sec","")</f>
        <v>-93.18</v>
      </c>
      <c r="BD27" s="29">
        <f>[1]!YBHIST(BD$4,$A27,"OAS-Lib","sec","")</f>
        <v>82.32</v>
      </c>
      <c r="BE27" s="2">
        <f>[1]!YBHIST(BE$4,$A27,"OAS-Lib","sec","")</f>
        <v>864.07000700000003</v>
      </c>
      <c r="BF27" s="2">
        <f>[1]!YBHIST(BF$4,$A27,"OAS-Lib","sec","")</f>
        <v>817.52002000000005</v>
      </c>
      <c r="BG27" s="2">
        <f>[1]!YBHIST(BG$4,$A27,"OAS-Lib","sec","")</f>
        <v>394.67999300000002</v>
      </c>
      <c r="BH27" s="29">
        <f>[1]!YBHIST(BH$4,$A27,"OAS-Lib","sec","")</f>
        <v>1220.5500489999999</v>
      </c>
      <c r="BI27" s="2">
        <f>[1]!YBHIST(BI$4,$A27,"OAS-Lib","sec","")</f>
        <v>784.72997999999995</v>
      </c>
      <c r="BJ27" s="2">
        <f>[1]!YBHIST(BJ$4,$A27,"OAS-Lib","sec","")</f>
        <v>670.26000999999997</v>
      </c>
      <c r="BK27" s="29">
        <f>[1]!YBHIST(BK$4,$A27,"OAS-Lib","sec","")</f>
        <v>615.28997800000002</v>
      </c>
      <c r="BL27" s="30">
        <f>[1]!YBHIST(BL$4,$A27,"OAS-Lib","sec","")</f>
        <v>687.59997599999997</v>
      </c>
      <c r="BM27" s="2">
        <f>[1]!YBHIST(BM$4,$A27,"OAS-Lib","sec","")</f>
        <v>-177.85000600000001</v>
      </c>
      <c r="BN27" s="2">
        <f>[1]!YBHIST(BN$4,$A27,"OAS-Lib","sec","")</f>
        <v>-140.520004</v>
      </c>
      <c r="BO27" s="10">
        <f>[1]!YBHIST(BO$4,$A27,"OAS-Lib","sec","")</f>
        <v>8.56</v>
      </c>
      <c r="BP27" s="9"/>
      <c r="BQ27" s="1"/>
      <c r="BR27" s="1"/>
    </row>
    <row r="28" spans="1:70" x14ac:dyDescent="0.25">
      <c r="A28" s="22">
        <f>[1]!ybworkday(A$5,-1*(ROW()-ROW(A$5)),"USD","")</f>
        <v>40875</v>
      </c>
      <c r="B28" s="3">
        <f>[1]!YBHIST("2 Year Treasury",$A28,"Price","govt","")</f>
        <v>99.991996999999998</v>
      </c>
      <c r="C28" s="2">
        <f>[1]!YBHIST("5 Year Treasury",$A28,"Price","govt","")</f>
        <v>99.813004000000006</v>
      </c>
      <c r="D28" s="2">
        <f>[1]!YBHIST("10 Year Treasury",$A28,"Price","govt","")</f>
        <v>100.328003</v>
      </c>
      <c r="E28" s="10">
        <f>[1]!YBHIST("30 Year Treasury",$A28,"Price","govt","")</f>
        <v>104.25</v>
      </c>
      <c r="F28" s="3">
        <f>[1]!YBHIST("2 Year Treasury",$A28,"YldtoMat","govt","")</f>
        <v>0.254</v>
      </c>
      <c r="G28" s="2">
        <f>[1]!YBHIST("5 Year Treasury",$A28,"YldtoMat","govt","")</f>
        <v>0.91300000000000003</v>
      </c>
      <c r="H28" s="2">
        <f>[1]!YBHIST("10 Year Treasury",$A28,"YldtoMat","govt","")</f>
        <v>1.964</v>
      </c>
      <c r="I28" s="10">
        <f>[1]!YBHIST("30 Year Treasury",$A28,"YldtoMat","govt","")</f>
        <v>2.911</v>
      </c>
      <c r="J28" s="3">
        <f>[1]!YBHIST("2yr Swap Rate",$A28,"YldtoMat","swapvol","")</f>
        <v>0.80035100000000003</v>
      </c>
      <c r="K28" s="2">
        <f>[1]!YBHIST("5yr Swap Rate",$A28,"YldtoMat","swapvol","")</f>
        <v>1.3424259999999999</v>
      </c>
      <c r="L28" s="2">
        <f>[1]!YBHIST("10yr Swap Rate",$A28,"YldtoMat","swapvol","")</f>
        <v>2.1514679999999999</v>
      </c>
      <c r="M28" s="10">
        <f>[1]!YBHIST("30yr Swap Rate",$A28,"YldtoMat","swapvol","")</f>
        <v>2.620708</v>
      </c>
      <c r="N28" s="3">
        <f>[1]!YBHIST("FNMA 30YR Cur Coup (BE)",$A28,"Yield","bmk","")</f>
        <v>3.1880000000000002</v>
      </c>
      <c r="O28" s="2">
        <f>[1]!YBHIST("FHLMC 30YR Cur Coup (BE)",$A28,"Yield","bmk","")</f>
        <v>3.2280000000000002</v>
      </c>
      <c r="P28" s="2">
        <f>[1]!YBHIST("GNMA 30YR Cur Coup (BE)",$A28,"Yield","bmk","")</f>
        <v>3.024</v>
      </c>
      <c r="Q28" s="2">
        <f>[1]!YBHIST("Primary 30-Yr Mtg Rate",$A28,"Yield","bmk","")</f>
        <v>4.1673</v>
      </c>
      <c r="R28" s="2">
        <f>[1]!YBHIST("FHLM 30-Yr Survey Rate",$A28,"Yield","bmk","")</f>
        <v>3.98</v>
      </c>
      <c r="S28" s="10">
        <f>[1]!YBHIST("Base Mortgage Rate",$A28,"Yield","bmk","")</f>
        <v>3.5089999999999999</v>
      </c>
      <c r="T28" s="27">
        <f>[1]!YBHIST("FNMA 30YR Cur Coup (BE)",$A28,"OAS-Lib","bmk","")</f>
        <v>21</v>
      </c>
      <c r="U28" s="28">
        <f>[1]!YBHIST("FHLMC 30YR Cur Coup (BE)",$A28,"OAS-Lib","bmk","")</f>
        <v>24.259001000000001</v>
      </c>
      <c r="V28" s="28">
        <f>[1]!YBHIST("GNMA 30YR Cur Coup (BE)",$A28,"OAS-Lib","bmk","")</f>
        <v>29</v>
      </c>
      <c r="W28" s="29">
        <f t="shared" si="3"/>
        <v>122.40000000000002</v>
      </c>
      <c r="X28" s="29">
        <f t="shared" si="4"/>
        <v>122.40000000000002</v>
      </c>
      <c r="Y28" s="29">
        <f t="shared" si="5"/>
        <v>126.40000000000002</v>
      </c>
      <c r="Z28" s="3">
        <f>[1]!YBHIST("FNMA3.5-GEN",$A28,"Price","tba","")</f>
        <v>101.875</v>
      </c>
      <c r="AA28" s="2">
        <f>[1]!YBHIST("FNMA4.0-GEN",$A28,"Price","tba","")</f>
        <v>104.03125</v>
      </c>
      <c r="AB28" s="2">
        <f>[1]!YBHIST("FNMA4.5-GEN",$A28,"Price","tba","")</f>
        <v>105.515625</v>
      </c>
      <c r="AC28" s="2">
        <f>[1]!YBHIST("FNMA5.0-GEN",$A28,"Price","tba","")</f>
        <v>107.21875</v>
      </c>
      <c r="AD28" s="2">
        <f>[1]!YBHIST("FNMA5.5-GEN",$A28,"Price","tba","")</f>
        <v>108.328125</v>
      </c>
      <c r="AE28" s="10">
        <f>[1]!YBHIST("FNMA6.0-GEN",$A28,"Price","tba","")</f>
        <v>109.4375</v>
      </c>
      <c r="AF28" s="3">
        <f>[1]!YBHIST(AF$4,$A28,"Price","sec","")</f>
        <v>17.358999000000001</v>
      </c>
      <c r="AG28" s="2">
        <f>[1]!YBHIST(AG$4,$A28,"Price","sec","")</f>
        <v>15.843999999999999</v>
      </c>
      <c r="AH28" s="2">
        <f>[1]!YBHIST(AH$4,$A28,"Price","sec","")</f>
        <v>14.016</v>
      </c>
      <c r="AI28" s="2">
        <f>[1]!YBHIST(AI$4,$A28,"Price","sec","")</f>
        <v>16.344000000000001</v>
      </c>
      <c r="AJ28" s="2">
        <f>[1]!YBHIST(AJ$4,$A28,"Price","sec","")</f>
        <v>13.422000000000001</v>
      </c>
      <c r="AK28" s="2">
        <f>[1]!YBHIST(AK$4,$A28,"Price","sec","")</f>
        <v>19.562000000000001</v>
      </c>
      <c r="AL28" s="2">
        <f>[1]!YBHIST(AL$4,$A28,"Price","sec","")</f>
        <v>16.969000000000001</v>
      </c>
      <c r="AM28" s="2">
        <f>[1]!YBHIST(AM$4,$A28,"Price","sec","")</f>
        <v>13.25</v>
      </c>
      <c r="AN28" s="2">
        <f>[1]!YBHIST(AN$4,$A28,"Price","sec","")</f>
        <v>14.672000000000001</v>
      </c>
      <c r="AO28" s="2">
        <f>[1]!YBHIST(AO$4,$A28,"Price","sec","")</f>
        <v>15.109</v>
      </c>
      <c r="AP28" s="2">
        <f>[1]!YBHIST(AP$4,$A28,"Price","sec","")</f>
        <v>13.281000000000001</v>
      </c>
      <c r="AQ28" s="2">
        <f>[1]!YBHIST(AQ$4,$A28,"Price","sec","")</f>
        <v>15.406000000000001</v>
      </c>
      <c r="AR28" s="2">
        <f>[1]!YBHIST(AR$4,$A28,"Price","sec","")</f>
        <v>14.875</v>
      </c>
      <c r="AS28" s="2">
        <f>[1]!YBHIST(AS$4,$A28,"Price","sec","")</f>
        <v>15.093999999999999</v>
      </c>
      <c r="AT28" s="2">
        <f>[1]!YBHIST(AT$4,$A28,"Price","sec","")</f>
        <v>17.327998999999998</v>
      </c>
      <c r="AU28" s="2">
        <f>[1]!YBHIST(AU$4,$A28,"Price","sec","")</f>
        <v>21.219000000000001</v>
      </c>
      <c r="AV28" s="2">
        <f>[1]!YBHIST(AV$4,$A28,"Price","sec","")</f>
        <v>20.516000999999999</v>
      </c>
      <c r="AW28" s="10">
        <f>[1]!YBHIST(AW$4,$A28,"Price","sec","")</f>
        <v>20.687999999999999</v>
      </c>
      <c r="AX28" s="29">
        <f>[1]!YBHIST(AX$4,$A28,"OAS-Lib","sec","")</f>
        <v>-132.550003</v>
      </c>
      <c r="AY28" s="29">
        <f>[1]!YBHIST(AY$4,$A28,"OAS-Lib","sec","")</f>
        <v>-15.91</v>
      </c>
      <c r="AZ28" s="2">
        <f>[1]!YBHIST(AZ$4,$A28,"OAS-Lib","sec","")</f>
        <v>127.349998</v>
      </c>
      <c r="BA28" s="2">
        <f>[1]!YBHIST(BA$4,$A28,"OAS-Lib","sec","")</f>
        <v>-75.319999999999993</v>
      </c>
      <c r="BB28" s="29">
        <f>[1]!YBHIST(BB$4,$A28,"OAS-Lib","sec","")</f>
        <v>275.48998999999998</v>
      </c>
      <c r="BC28" s="2">
        <f>[1]!YBHIST(BC$4,$A28,"OAS-Lib","sec","")</f>
        <v>-103.790001</v>
      </c>
      <c r="BD28" s="29">
        <f>[1]!YBHIST(BD$4,$A28,"OAS-Lib","sec","")</f>
        <v>75.290001000000004</v>
      </c>
      <c r="BE28" s="2">
        <f>[1]!YBHIST(BE$4,$A28,"OAS-Lib","sec","")</f>
        <v>859.90997300000004</v>
      </c>
      <c r="BF28" s="2">
        <f>[1]!YBHIST(BF$4,$A28,"OAS-Lib","sec","")</f>
        <v>802.72997999999995</v>
      </c>
      <c r="BG28" s="2">
        <f>[1]!YBHIST(BG$4,$A28,"OAS-Lib","sec","")</f>
        <v>385.76998900000001</v>
      </c>
      <c r="BH28" s="29">
        <f>[1]!YBHIST(BH$4,$A28,"OAS-Lib","sec","")</f>
        <v>1207.380005</v>
      </c>
      <c r="BI28" s="2">
        <f>[1]!YBHIST(BI$4,$A28,"OAS-Lib","sec","")</f>
        <v>778.39001499999995</v>
      </c>
      <c r="BJ28" s="2">
        <f>[1]!YBHIST(BJ$4,$A28,"OAS-Lib","sec","")</f>
        <v>661.080017</v>
      </c>
      <c r="BK28" s="29">
        <f>[1]!YBHIST(BK$4,$A28,"OAS-Lib","sec","")</f>
        <v>609.01000999999997</v>
      </c>
      <c r="BL28" s="30">
        <f>[1]!YBHIST(BL$4,$A28,"OAS-Lib","sec","")</f>
        <v>685.53997800000002</v>
      </c>
      <c r="BM28" s="2">
        <f>[1]!YBHIST(BM$4,$A28,"OAS-Lib","sec","")</f>
        <v>-184.740005</v>
      </c>
      <c r="BN28" s="2">
        <f>[1]!YBHIST(BN$4,$A28,"OAS-Lib","sec","")</f>
        <v>-149.16000399999999</v>
      </c>
      <c r="BO28" s="10">
        <f>[1]!YBHIST(BO$4,$A28,"OAS-Lib","sec","")</f>
        <v>0.63</v>
      </c>
      <c r="BP28" s="9"/>
      <c r="BQ28" s="1"/>
      <c r="BR28" s="1"/>
    </row>
    <row r="29" spans="1:70" x14ac:dyDescent="0.25">
      <c r="A29" s="22">
        <f>[1]!ybworkday(A$5,-1*(ROW()-ROW(A$5)),"USD","")</f>
        <v>40872</v>
      </c>
      <c r="B29" s="3">
        <f>[1]!YBHIST("2 Year Treasury",$A29,"Price","govt","")</f>
        <v>99.953002999999995</v>
      </c>
      <c r="C29" s="2">
        <f>[1]!YBHIST("5 Year Treasury",$A29,"Price","govt","")</f>
        <v>99.734001000000006</v>
      </c>
      <c r="D29" s="2">
        <f>[1]!YBHIST("10 Year Treasury",$A29,"Price","govt","")</f>
        <v>100.405998</v>
      </c>
      <c r="E29" s="10">
        <f>[1]!YBHIST("30 Year Treasury",$A29,"Price","govt","")</f>
        <v>104.01599899999999</v>
      </c>
      <c r="F29" s="3">
        <f>[1]!YBHIST("2 Year Treasury",$A29,"YldtoMat","govt","")</f>
        <v>0.27400000000000002</v>
      </c>
      <c r="G29" s="2">
        <f>[1]!YBHIST("5 Year Treasury",$A29,"YldtoMat","govt","")</f>
        <v>0.92900000000000005</v>
      </c>
      <c r="H29" s="2">
        <f>[1]!YBHIST("10 Year Treasury",$A29,"YldtoMat","govt","")</f>
        <v>1.9550000000000001</v>
      </c>
      <c r="I29" s="10">
        <f>[1]!YBHIST("30 Year Treasury",$A29,"YldtoMat","govt","")</f>
        <v>2.923</v>
      </c>
      <c r="J29" s="3">
        <f>[1]!YBHIST("2yr Swap Rate",$A29,"YldtoMat","swapvol","")</f>
        <v>0.81000499999999998</v>
      </c>
      <c r="K29" s="2">
        <f>[1]!YBHIST("5yr Swap Rate",$A29,"YldtoMat","swapvol","")</f>
        <v>1.3608169999999999</v>
      </c>
      <c r="L29" s="2">
        <f>[1]!YBHIST("10yr Swap Rate",$A29,"YldtoMat","swapvol","")</f>
        <v>2.146128</v>
      </c>
      <c r="M29" s="10">
        <f>[1]!YBHIST("30yr Swap Rate",$A29,"YldtoMat","swapvol","")</f>
        <v>2.6371479999999998</v>
      </c>
      <c r="N29" s="3">
        <f>[1]!YBHIST("FNMA 30YR Cur Coup (BE)",$A29,"Yield","bmk","")</f>
        <v>3.2240000000000002</v>
      </c>
      <c r="O29" s="2">
        <f>[1]!YBHIST("FHLMC 30YR Cur Coup (BE)",$A29,"Yield","bmk","")</f>
        <v>3.266</v>
      </c>
      <c r="P29" s="2">
        <f>[1]!YBHIST("GNMA 30YR Cur Coup (BE)",$A29,"Yield","bmk","")</f>
        <v>3.0510000000000002</v>
      </c>
      <c r="Q29" s="2">
        <f>[1]!YBHIST("Primary 30-Yr Mtg Rate",$A29,"Yield","bmk","")</f>
        <v>4.2026000000000003</v>
      </c>
      <c r="R29" s="2">
        <f>[1]!YBHIST("FHLM 30-Yr Survey Rate",$A29,"Yield","bmk","")</f>
        <v>3.98</v>
      </c>
      <c r="S29" s="10">
        <f>[1]!YBHIST("Base Mortgage Rate",$A29,"Yield","bmk","")</f>
        <v>3.5449999999999999</v>
      </c>
      <c r="T29" s="27">
        <f>[1]!YBHIST("FNMA 30YR Cur Coup (BE)",$A29,"OAS-Lib","bmk","")</f>
        <v>24.600999999999999</v>
      </c>
      <c r="U29" s="28">
        <f>[1]!YBHIST("FHLMC 30YR Cur Coup (BE)",$A29,"OAS-Lib","bmk","")</f>
        <v>27.900998999999999</v>
      </c>
      <c r="V29" s="28">
        <f>[1]!YBHIST("GNMA 30YR Cur Coup (BE)",$A29,"OAS-Lib","bmk","")</f>
        <v>33</v>
      </c>
      <c r="W29" s="29">
        <f t="shared" si="3"/>
        <v>126.9</v>
      </c>
      <c r="X29" s="29">
        <f t="shared" si="4"/>
        <v>126.9</v>
      </c>
      <c r="Y29" s="29">
        <f t="shared" si="5"/>
        <v>131.1</v>
      </c>
      <c r="Z29" s="3">
        <f>[1]!YBHIST("FNMA3.5-GEN",$A29,"Price","tba","")</f>
        <v>101.671875</v>
      </c>
      <c r="AA29" s="2">
        <f>[1]!YBHIST("FNMA4.0-GEN",$A29,"Price","tba","")</f>
        <v>103.859375</v>
      </c>
      <c r="AB29" s="2">
        <f>[1]!YBHIST("FNMA4.5-GEN",$A29,"Price","tba","")</f>
        <v>105.359375</v>
      </c>
      <c r="AC29" s="2">
        <f>[1]!YBHIST("FNMA5.0-GEN",$A29,"Price","tba","")</f>
        <v>107.078125</v>
      </c>
      <c r="AD29" s="2">
        <f>[1]!YBHIST("FNMA5.5-GEN",$A29,"Price","tba","")</f>
        <v>108.21875</v>
      </c>
      <c r="AE29" s="10">
        <f>[1]!YBHIST("FNMA6.0-GEN",$A29,"Price","tba","")</f>
        <v>109.34375</v>
      </c>
      <c r="AF29" s="3">
        <f>[1]!YBHIST(AF$4,$A29,"Price","sec","")</f>
        <v>17.5</v>
      </c>
      <c r="AG29" s="2">
        <f>[1]!YBHIST(AG$4,$A29,"Price","sec","")</f>
        <v>15.952999999999999</v>
      </c>
      <c r="AH29" s="2">
        <f>[1]!YBHIST(AH$4,$A29,"Price","sec","")</f>
        <v>14.202999999999999</v>
      </c>
      <c r="AI29" s="2">
        <f>[1]!YBHIST(AI$4,$A29,"Price","sec","")</f>
        <v>16.547001000000002</v>
      </c>
      <c r="AJ29" s="2">
        <f>[1]!YBHIST(AJ$4,$A29,"Price","sec","")</f>
        <v>13.577999999999999</v>
      </c>
      <c r="AK29" s="2">
        <f>[1]!YBHIST(AK$4,$A29,"Price","sec","")</f>
        <v>19.702998999999998</v>
      </c>
      <c r="AL29" s="2">
        <f>[1]!YBHIST(AL$4,$A29,"Price","sec","")</f>
        <v>17.125</v>
      </c>
      <c r="AM29" s="2">
        <f>[1]!YBHIST(AM$4,$A29,"Price","sec","")</f>
        <v>13.311999999999999</v>
      </c>
      <c r="AN29" s="2">
        <f>[1]!YBHIST(AN$4,$A29,"Price","sec","")</f>
        <v>14.797000000000001</v>
      </c>
      <c r="AO29" s="2">
        <f>[1]!YBHIST(AO$4,$A29,"Price","sec","")</f>
        <v>15.266</v>
      </c>
      <c r="AP29" s="2">
        <f>[1]!YBHIST(AP$4,$A29,"Price","sec","")</f>
        <v>13.406000000000001</v>
      </c>
      <c r="AQ29" s="2">
        <f>[1]!YBHIST(AQ$4,$A29,"Price","sec","")</f>
        <v>15.5</v>
      </c>
      <c r="AR29" s="2">
        <f>[1]!YBHIST(AR$4,$A29,"Price","sec","")</f>
        <v>14.984</v>
      </c>
      <c r="AS29" s="2">
        <f>[1]!YBHIST(AS$4,$A29,"Price","sec","")</f>
        <v>15.156000000000001</v>
      </c>
      <c r="AT29" s="2">
        <f>[1]!YBHIST(AT$4,$A29,"Price","sec","")</f>
        <v>17.375</v>
      </c>
      <c r="AU29" s="2">
        <f>[1]!YBHIST(AU$4,$A29,"Price","sec","")</f>
        <v>21.280999999999999</v>
      </c>
      <c r="AV29" s="2">
        <f>[1]!YBHIST(AV$4,$A29,"Price","sec","")</f>
        <v>20.672001000000002</v>
      </c>
      <c r="AW29" s="10">
        <f>[1]!YBHIST(AW$4,$A29,"Price","sec","")</f>
        <v>20.844000000000001</v>
      </c>
      <c r="AX29" s="29">
        <f>[1]!YBHIST(AX$4,$A29,"OAS-Lib","sec","")</f>
        <v>-110.220001</v>
      </c>
      <c r="AY29" s="29">
        <f>[1]!YBHIST(AY$4,$A29,"OAS-Lib","sec","")</f>
        <v>14.97</v>
      </c>
      <c r="AZ29" s="2">
        <f>[1]!YBHIST(AZ$4,$A29,"OAS-Lib","sec","")</f>
        <v>144.66999799999999</v>
      </c>
      <c r="BA29" s="2">
        <f>[1]!YBHIST(BA$4,$A29,"OAS-Lib","sec","")</f>
        <v>-58.759998000000003</v>
      </c>
      <c r="BB29" s="29">
        <f>[1]!YBHIST(BB$4,$A29,"OAS-Lib","sec","")</f>
        <v>295.80999800000001</v>
      </c>
      <c r="BC29" s="2">
        <f>[1]!YBHIST(BC$4,$A29,"OAS-Lib","sec","")</f>
        <v>-84.040001000000004</v>
      </c>
      <c r="BD29" s="29">
        <f>[1]!YBHIST(BD$4,$A29,"OAS-Lib","sec","")</f>
        <v>91.910004000000001</v>
      </c>
      <c r="BE29" s="2">
        <f>[1]!YBHIST(BE$4,$A29,"OAS-Lib","sec","")</f>
        <v>888.44000200000005</v>
      </c>
      <c r="BF29" s="2">
        <f>[1]!YBHIST(BF$4,$A29,"OAS-Lib","sec","")</f>
        <v>806.64001499999995</v>
      </c>
      <c r="BG29" s="2">
        <f>[1]!YBHIST(BG$4,$A29,"OAS-Lib","sec","")</f>
        <v>389.60998499999999</v>
      </c>
      <c r="BH29" s="29">
        <f>[1]!YBHIST(BH$4,$A29,"OAS-Lib","sec","")</f>
        <v>1210.6999510000001</v>
      </c>
      <c r="BI29" s="2">
        <f>[1]!YBHIST(BI$4,$A29,"OAS-Lib","sec","")</f>
        <v>784.03002900000001</v>
      </c>
      <c r="BJ29" s="2">
        <f>[1]!YBHIST(BJ$4,$A29,"OAS-Lib","sec","")</f>
        <v>671.09002699999996</v>
      </c>
      <c r="BK29" s="29">
        <f>[1]!YBHIST(BK$4,$A29,"OAS-Lib","sec","")</f>
        <v>621.63000499999998</v>
      </c>
      <c r="BL29" s="30">
        <f>[1]!YBHIST(BL$4,$A29,"OAS-Lib","sec","")</f>
        <v>697.28997800000002</v>
      </c>
      <c r="BM29" s="2">
        <f>[1]!YBHIST(BM$4,$A29,"OAS-Lib","sec","")</f>
        <v>-162.61999499999999</v>
      </c>
      <c r="BN29" s="2">
        <f>[1]!YBHIST(BN$4,$A29,"OAS-Lib","sec","")</f>
        <v>-135.16000399999999</v>
      </c>
      <c r="BO29" s="10">
        <f>[1]!YBHIST(BO$4,$A29,"OAS-Lib","sec","")</f>
        <v>10.08</v>
      </c>
      <c r="BP29" s="9"/>
      <c r="BQ29" s="1"/>
      <c r="BR29" s="1"/>
    </row>
    <row r="30" spans="1:70" x14ac:dyDescent="0.25">
      <c r="A30" s="22">
        <f>[1]!ybworkday(A$5,-1*(ROW()-ROW(A$5)),"USD","")</f>
        <v>40870</v>
      </c>
      <c r="B30" s="3">
        <f>[1]!YBHIST("2 Year Treasury",$A30,"Price","govt","")</f>
        <v>99.969002000000003</v>
      </c>
      <c r="C30" s="2">
        <f>[1]!YBHIST("5 Year Treasury",$A30,"Price","govt","")</f>
        <v>100</v>
      </c>
      <c r="D30" s="2">
        <f>[1]!YBHIST("10 Year Treasury",$A30,"Price","govt","")</f>
        <v>101.125</v>
      </c>
      <c r="E30" s="10">
        <f>[1]!YBHIST("30 Year Treasury",$A30,"Price","govt","")</f>
        <v>106.10900100000001</v>
      </c>
      <c r="F30" s="3">
        <f>[1]!YBHIST("2 Year Treasury",$A30,"YldtoMat","govt","")</f>
        <v>0.26600000000000001</v>
      </c>
      <c r="G30" s="2">
        <f>[1]!YBHIST("5 Year Treasury",$A30,"YldtoMat","govt","")</f>
        <v>0.875</v>
      </c>
      <c r="H30" s="2">
        <f>[1]!YBHIST("10 Year Treasury",$A30,"YldtoMat","govt","")</f>
        <v>1.8759999999999999</v>
      </c>
      <c r="I30" s="10">
        <f>[1]!YBHIST("30 Year Treasury",$A30,"YldtoMat","govt","")</f>
        <v>2.8220000000000001</v>
      </c>
      <c r="J30" s="3">
        <f>[1]!YBHIST("2yr Swap Rate",$A30,"YldtoMat","swapvol","")</f>
        <v>0.80195099999999997</v>
      </c>
      <c r="K30" s="2">
        <f>[1]!YBHIST("5yr Swap Rate",$A30,"YldtoMat","swapvol","")</f>
        <v>1.318954</v>
      </c>
      <c r="L30" s="2">
        <f>[1]!YBHIST("10yr Swap Rate",$A30,"YldtoMat","swapvol","")</f>
        <v>2.0833339999999998</v>
      </c>
      <c r="M30" s="10">
        <f>[1]!YBHIST("30yr Swap Rate",$A30,"YldtoMat","swapvol","")</f>
        <v>2.5508169999999999</v>
      </c>
      <c r="N30" s="3">
        <f>[1]!YBHIST("FNMA 30YR Cur Coup (BE)",$A30,"Yield","bmk","")</f>
        <v>3.149</v>
      </c>
      <c r="O30" s="2">
        <f>[1]!YBHIST("FHLMC 30YR Cur Coup (BE)",$A30,"Yield","bmk","")</f>
        <v>3.19</v>
      </c>
      <c r="P30" s="2">
        <f>[1]!YBHIST("GNMA 30YR Cur Coup (BE)",$A30,"Yield","bmk","")</f>
        <v>3.032</v>
      </c>
      <c r="Q30" s="2">
        <f>[1]!YBHIST("Primary 30-Yr Mtg Rate",$A30,"Yield","bmk","")</f>
        <v>4.1296999999999997</v>
      </c>
      <c r="R30" s="2">
        <f>[1]!YBHIST("FHLM 30-Yr Survey Rate",$A30,"Yield","bmk","")</f>
        <v>3.98</v>
      </c>
      <c r="S30" s="10" t="str">
        <f>[1]!YBHIST("Base Mortgage Rate",$A30,"Yield","bmk","")</f>
        <v>NA</v>
      </c>
      <c r="T30" s="27">
        <f>[1]!YBHIST("FNMA 30YR Cur Coup (BE)",$A30,"OAS-Lib","bmk","")</f>
        <v>21.399000000000001</v>
      </c>
      <c r="U30" s="28">
        <f>[1]!YBHIST("FHLMC 30YR Cur Coup (BE)",$A30,"OAS-Lib","bmk","")</f>
        <v>24.561001000000001</v>
      </c>
      <c r="V30" s="28">
        <f>[1]!YBHIST("GNMA 30YR Cur Coup (BE)",$A30,"OAS-Lib","bmk","")</f>
        <v>28</v>
      </c>
      <c r="W30" s="29">
        <f t="shared" si="3"/>
        <v>127.30000000000001</v>
      </c>
      <c r="X30" s="29">
        <f t="shared" si="4"/>
        <v>127.30000000000001</v>
      </c>
      <c r="Y30" s="29">
        <f t="shared" si="5"/>
        <v>131.4</v>
      </c>
      <c r="Z30" s="3">
        <f>[1]!YBHIST("FNMA3.5-GEN",$A30,"Price","tba","")</f>
        <v>102.03125</v>
      </c>
      <c r="AA30" s="2">
        <f>[1]!YBHIST("FNMA4.0-GEN",$A30,"Price","tba","")</f>
        <v>104.09375</v>
      </c>
      <c r="AB30" s="2">
        <f>[1]!YBHIST("FNMA4.5-GEN",$A30,"Price","tba","")</f>
        <v>105.484375</v>
      </c>
      <c r="AC30" s="2">
        <f>[1]!YBHIST("FNMA5.0-GEN",$A30,"Price","tba","")</f>
        <v>107.140625</v>
      </c>
      <c r="AD30" s="2">
        <f>[1]!YBHIST("FNMA5.5-GEN",$A30,"Price","tba","")</f>
        <v>108.234375</v>
      </c>
      <c r="AE30" s="10">
        <f>[1]!YBHIST("FNMA6.0-GEN",$A30,"Price","tba","")</f>
        <v>109.3125</v>
      </c>
      <c r="AF30" s="3">
        <f>[1]!YBHIST(AF$4,$A30,"Price","sec","")</f>
        <v>16.969000000000001</v>
      </c>
      <c r="AG30" s="2">
        <f>[1]!YBHIST(AG$4,$A30,"Price","sec","")</f>
        <v>15.391</v>
      </c>
      <c r="AH30" s="2">
        <f>[1]!YBHIST(AH$4,$A30,"Price","sec","")</f>
        <v>13.641</v>
      </c>
      <c r="AI30" s="2">
        <f>[1]!YBHIST(AI$4,$A30,"Price","sec","")</f>
        <v>15.968999999999999</v>
      </c>
      <c r="AJ30" s="2">
        <f>[1]!YBHIST(AJ$4,$A30,"Price","sec","")</f>
        <v>13</v>
      </c>
      <c r="AK30" s="2">
        <f>[1]!YBHIST(AK$4,$A30,"Price","sec","")</f>
        <v>19.233999000000001</v>
      </c>
      <c r="AL30" s="2">
        <f>[1]!YBHIST(AL$4,$A30,"Price","sec","")</f>
        <v>16.641000999999999</v>
      </c>
      <c r="AM30" s="2">
        <f>[1]!YBHIST(AM$4,$A30,"Price","sec","")</f>
        <v>12.811999999999999</v>
      </c>
      <c r="AN30" s="2">
        <f>[1]!YBHIST(AN$4,$A30,"Price","sec","")</f>
        <v>14.343999999999999</v>
      </c>
      <c r="AO30" s="2">
        <f>[1]!YBHIST(AO$4,$A30,"Price","sec","")</f>
        <v>14.797000000000001</v>
      </c>
      <c r="AP30" s="2">
        <f>[1]!YBHIST(AP$4,$A30,"Price","sec","")</f>
        <v>13.047000000000001</v>
      </c>
      <c r="AQ30" s="2">
        <f>[1]!YBHIST(AQ$4,$A30,"Price","sec","")</f>
        <v>15.172000000000001</v>
      </c>
      <c r="AR30" s="2">
        <f>[1]!YBHIST(AR$4,$A30,"Price","sec","")</f>
        <v>14.656000000000001</v>
      </c>
      <c r="AS30" s="2">
        <f>[1]!YBHIST(AS$4,$A30,"Price","sec","")</f>
        <v>14.875</v>
      </c>
      <c r="AT30" s="2">
        <f>[1]!YBHIST(AT$4,$A30,"Price","sec","")</f>
        <v>17.172001000000002</v>
      </c>
      <c r="AU30" s="2">
        <f>[1]!YBHIST(AU$4,$A30,"Price","sec","")</f>
        <v>20.952998999999998</v>
      </c>
      <c r="AV30" s="2">
        <f>[1]!YBHIST(AV$4,$A30,"Price","sec","")</f>
        <v>20.219000000000001</v>
      </c>
      <c r="AW30" s="10">
        <f>[1]!YBHIST(AW$4,$A30,"Price","sec","")</f>
        <v>20.358999000000001</v>
      </c>
      <c r="AX30" s="29">
        <f>[1]!YBHIST(AX$4,$A30,"OAS-Lib","sec","")</f>
        <v>-131.88999899999999</v>
      </c>
      <c r="AY30" s="29">
        <f>[1]!YBHIST(AY$4,$A30,"OAS-Lib","sec","")</f>
        <v>2.09</v>
      </c>
      <c r="AZ30" s="2">
        <f>[1]!YBHIST(AZ$4,$A30,"OAS-Lib","sec","")</f>
        <v>147.69000199999999</v>
      </c>
      <c r="BA30" s="2">
        <f>[1]!YBHIST(BA$4,$A30,"OAS-Lib","sec","")</f>
        <v>-64.580001999999993</v>
      </c>
      <c r="BB30" s="29">
        <f>[1]!YBHIST(BB$4,$A30,"OAS-Lib","sec","")</f>
        <v>318.19000199999999</v>
      </c>
      <c r="BC30" s="2">
        <f>[1]!YBHIST(BC$4,$A30,"OAS-Lib","sec","")</f>
        <v>-99.849997999999999</v>
      </c>
      <c r="BD30" s="29">
        <f>[1]!YBHIST(BD$4,$A30,"OAS-Lib","sec","")</f>
        <v>88.970000999999996</v>
      </c>
      <c r="BE30" s="2">
        <f>[1]!YBHIST(BE$4,$A30,"OAS-Lib","sec","")</f>
        <v>940.47997999999995</v>
      </c>
      <c r="BF30" s="2">
        <f>[1]!YBHIST(BF$4,$A30,"OAS-Lib","sec","")</f>
        <v>858.51000999999997</v>
      </c>
      <c r="BG30" s="2">
        <f>[1]!YBHIST(BG$4,$A30,"OAS-Lib","sec","")</f>
        <v>428.85998499999999</v>
      </c>
      <c r="BH30" s="29">
        <f>[1]!YBHIST(BH$4,$A30,"OAS-Lib","sec","")</f>
        <v>1252.280029</v>
      </c>
      <c r="BI30" s="2">
        <f>[1]!YBHIST(BI$4,$A30,"OAS-Lib","sec","")</f>
        <v>819.080017</v>
      </c>
      <c r="BJ30" s="2">
        <f>[1]!YBHIST(BJ$4,$A30,"OAS-Lib","sec","")</f>
        <v>693.76000999999997</v>
      </c>
      <c r="BK30" s="29">
        <f>[1]!YBHIST(BK$4,$A30,"OAS-Lib","sec","")</f>
        <v>652.35998500000005</v>
      </c>
      <c r="BL30" s="30">
        <f>[1]!YBHIST(BL$4,$A30,"OAS-Lib","sec","")</f>
        <v>712.03997800000002</v>
      </c>
      <c r="BM30" s="2">
        <f>[1]!YBHIST(BM$4,$A30,"OAS-Lib","sec","")</f>
        <v>-192.86000100000001</v>
      </c>
      <c r="BN30" s="2">
        <f>[1]!YBHIST(BN$4,$A30,"OAS-Lib","sec","")</f>
        <v>-148.949997</v>
      </c>
      <c r="BO30" s="10">
        <f>[1]!YBHIST(BO$4,$A30,"OAS-Lib","sec","")</f>
        <v>13.42</v>
      </c>
      <c r="BP30" s="9"/>
      <c r="BQ30" s="1"/>
      <c r="BR30" s="1"/>
    </row>
    <row r="31" spans="1:70" x14ac:dyDescent="0.25">
      <c r="A31" s="22">
        <f>[1]!ybworkday(A$5,-1*(ROW()-ROW(A$5)),"USD","")</f>
        <v>40869</v>
      </c>
      <c r="B31" s="3">
        <f>[1]!YBHIST("2 Year Treasury",$A31,"Price","govt","")</f>
        <v>99.969002000000003</v>
      </c>
      <c r="C31" s="2">
        <f>[1]!YBHIST("5 Year Treasury",$A31,"Price","govt","")</f>
        <v>100.57</v>
      </c>
      <c r="D31" s="2">
        <f>[1]!YBHIST("10 Year Treasury",$A31,"Price","govt","")</f>
        <v>100.56300400000001</v>
      </c>
      <c r="E31" s="10">
        <f>[1]!YBHIST("30 Year Treasury",$A31,"Price","govt","")</f>
        <v>104.328003</v>
      </c>
      <c r="F31" s="3">
        <f>[1]!YBHIST("2 Year Treasury",$A31,"YldtoMat","govt","")</f>
        <v>0.26600000000000001</v>
      </c>
      <c r="G31" s="2">
        <f>[1]!YBHIST("5 Year Treasury",$A31,"YldtoMat","govt","")</f>
        <v>0.88200000000000001</v>
      </c>
      <c r="H31" s="2">
        <f>[1]!YBHIST("10 Year Treasury",$A31,"YldtoMat","govt","")</f>
        <v>1.9379999999999999</v>
      </c>
      <c r="I31" s="10">
        <f>[1]!YBHIST("30 Year Treasury",$A31,"YldtoMat","govt","")</f>
        <v>2.9079999999999999</v>
      </c>
      <c r="J31" s="3">
        <f>[1]!YBHIST("2yr Swap Rate",$A31,"YldtoMat","swapvol","")</f>
        <v>0.77424599999999999</v>
      </c>
      <c r="K31" s="2">
        <f>[1]!YBHIST("5yr Swap Rate",$A31,"YldtoMat","swapvol","")</f>
        <v>1.3143499999999999</v>
      </c>
      <c r="L31" s="2">
        <f>[1]!YBHIST("10yr Swap Rate",$A31,"YldtoMat","swapvol","")</f>
        <v>2.1218870000000001</v>
      </c>
      <c r="M31" s="10">
        <f>[1]!YBHIST("30yr Swap Rate",$A31,"YldtoMat","swapvol","")</f>
        <v>2.6290429999999998</v>
      </c>
      <c r="N31" s="3">
        <f>[1]!YBHIST("FNMA 30YR Cur Coup (BE)",$A31,"Yield","bmk","")</f>
        <v>3.1469999999999998</v>
      </c>
      <c r="O31" s="2">
        <f>[1]!YBHIST("FHLMC 30YR Cur Coup (BE)",$A31,"Yield","bmk","")</f>
        <v>3.19</v>
      </c>
      <c r="P31" s="2">
        <f>[1]!YBHIST("GNMA 30YR Cur Coup (BE)",$A31,"Yield","bmk","")</f>
        <v>3.03</v>
      </c>
      <c r="Q31" s="2">
        <f>[1]!YBHIST("Primary 30-Yr Mtg Rate",$A31,"Yield","bmk","")</f>
        <v>4.1287000000000003</v>
      </c>
      <c r="R31" s="2">
        <f>[1]!YBHIST("FHLM 30-Yr Survey Rate",$A31,"Yield","bmk","")</f>
        <v>4</v>
      </c>
      <c r="S31" s="10">
        <f>[1]!YBHIST("Base Mortgage Rate",$A31,"Yield","bmk","")</f>
        <v>3.468</v>
      </c>
      <c r="T31" s="27">
        <f>[1]!YBHIST("FNMA 30YR Cur Coup (BE)",$A31,"OAS-Lib","bmk","")</f>
        <v>19.48</v>
      </c>
      <c r="U31" s="28">
        <f>[1]!YBHIST("FHLMC 30YR Cur Coup (BE)",$A31,"OAS-Lib","bmk","")</f>
        <v>22.774000000000001</v>
      </c>
      <c r="V31" s="28">
        <f>[1]!YBHIST("GNMA 30YR Cur Coup (BE)",$A31,"OAS-Lib","bmk","")</f>
        <v>26</v>
      </c>
      <c r="W31" s="29">
        <f t="shared" si="3"/>
        <v>120.89999999999999</v>
      </c>
      <c r="X31" s="29">
        <f t="shared" si="4"/>
        <v>120.89999999999999</v>
      </c>
      <c r="Y31" s="29">
        <f t="shared" si="5"/>
        <v>125.2</v>
      </c>
      <c r="Z31" s="3">
        <f>[1]!YBHIST("FNMA3.5-GEN",$A31,"Price","tba","")</f>
        <v>102.015625</v>
      </c>
      <c r="AA31" s="2">
        <f>[1]!YBHIST("FNMA4.0-GEN",$A31,"Price","tba","")</f>
        <v>104.09375</v>
      </c>
      <c r="AB31" s="2">
        <f>[1]!YBHIST("FNMA4.5-GEN",$A31,"Price","tba","")</f>
        <v>105.5</v>
      </c>
      <c r="AC31" s="2">
        <f>[1]!YBHIST("FNMA5.0-GEN",$A31,"Price","tba","")</f>
        <v>107.15625</v>
      </c>
      <c r="AD31" s="2">
        <f>[1]!YBHIST("FNMA5.5-GEN",$A31,"Price","tba","")</f>
        <v>108.234375</v>
      </c>
      <c r="AE31" s="10">
        <f>[1]!YBHIST("FNMA6.0-GEN",$A31,"Price","tba","")</f>
        <v>109.28125</v>
      </c>
      <c r="AF31" s="3">
        <f>[1]!YBHIST(AF$4,$A31,"Price","sec","")</f>
        <v>16.905999999999999</v>
      </c>
      <c r="AG31" s="2">
        <f>[1]!YBHIST(AG$4,$A31,"Price","sec","")</f>
        <v>15.297000000000001</v>
      </c>
      <c r="AH31" s="2">
        <f>[1]!YBHIST(AH$4,$A31,"Price","sec","")</f>
        <v>13.625</v>
      </c>
      <c r="AI31" s="2">
        <f>[1]!YBHIST(AI$4,$A31,"Price","sec","")</f>
        <v>15.906000000000001</v>
      </c>
      <c r="AJ31" s="2">
        <f>[1]!YBHIST(AJ$4,$A31,"Price","sec","")</f>
        <v>12.968999999999999</v>
      </c>
      <c r="AK31" s="2">
        <f>[1]!YBHIST(AK$4,$A31,"Price","sec","")</f>
        <v>19.202998999999998</v>
      </c>
      <c r="AL31" s="2">
        <f>[1]!YBHIST(AL$4,$A31,"Price","sec","")</f>
        <v>16.594000000000001</v>
      </c>
      <c r="AM31" s="2">
        <f>[1]!YBHIST(AM$4,$A31,"Price","sec","")</f>
        <v>12.718999999999999</v>
      </c>
      <c r="AN31" s="2">
        <f>[1]!YBHIST(AN$4,$A31,"Price","sec","")</f>
        <v>14.297000000000001</v>
      </c>
      <c r="AO31" s="2">
        <f>[1]!YBHIST(AO$4,$A31,"Price","sec","")</f>
        <v>14.766</v>
      </c>
      <c r="AP31" s="2">
        <f>[1]!YBHIST(AP$4,$A31,"Price","sec","")</f>
        <v>12.952999999999999</v>
      </c>
      <c r="AQ31" s="2">
        <f>[1]!YBHIST(AQ$4,$A31,"Price","sec","")</f>
        <v>15.109</v>
      </c>
      <c r="AR31" s="2">
        <f>[1]!YBHIST(AR$4,$A31,"Price","sec","")</f>
        <v>14.593999999999999</v>
      </c>
      <c r="AS31" s="2">
        <f>[1]!YBHIST(AS$4,$A31,"Price","sec","")</f>
        <v>14.766</v>
      </c>
      <c r="AT31" s="2">
        <f>[1]!YBHIST(AT$4,$A31,"Price","sec","")</f>
        <v>17.077998999999998</v>
      </c>
      <c r="AU31" s="2">
        <f>[1]!YBHIST(AU$4,$A31,"Price","sec","")</f>
        <v>20.891000999999999</v>
      </c>
      <c r="AV31" s="2">
        <f>[1]!YBHIST(AV$4,$A31,"Price","sec","")</f>
        <v>20.187999999999999</v>
      </c>
      <c r="AW31" s="10">
        <f>[1]!YBHIST(AW$4,$A31,"Price","sec","")</f>
        <v>20.312000000000001</v>
      </c>
      <c r="AX31" s="29">
        <f>[1]!YBHIST(AX$4,$A31,"OAS-Lib","sec","")</f>
        <v>-98.720000999999996</v>
      </c>
      <c r="AY31" s="29">
        <f>[1]!YBHIST(AY$4,$A31,"OAS-Lib","sec","")</f>
        <v>42.799999</v>
      </c>
      <c r="AZ31" s="2">
        <f>[1]!YBHIST(AZ$4,$A31,"OAS-Lib","sec","")</f>
        <v>178.80999800000001</v>
      </c>
      <c r="BA31" s="2">
        <f>[1]!YBHIST(BA$4,$A31,"OAS-Lib","sec","")</f>
        <v>-28.799999</v>
      </c>
      <c r="BB31" s="29">
        <f>[1]!YBHIST(BB$4,$A31,"OAS-Lib","sec","")</f>
        <v>353.77999899999998</v>
      </c>
      <c r="BC31" s="2">
        <f>[1]!YBHIST(BC$4,$A31,"OAS-Lib","sec","")</f>
        <v>-71.769997000000004</v>
      </c>
      <c r="BD31" s="29">
        <f>[1]!YBHIST(BD$4,$A31,"OAS-Lib","sec","")</f>
        <v>121.510002</v>
      </c>
      <c r="BE31" s="2">
        <f>[1]!YBHIST(BE$4,$A31,"OAS-Lib","sec","")</f>
        <v>993.77002000000005</v>
      </c>
      <c r="BF31" s="2">
        <f>[1]!YBHIST(BF$4,$A31,"OAS-Lib","sec","")</f>
        <v>891.26000999999997</v>
      </c>
      <c r="BG31" s="2">
        <f>[1]!YBHIST(BG$4,$A31,"OAS-Lib","sec","")</f>
        <v>456.60000600000001</v>
      </c>
      <c r="BH31" s="29">
        <f>[1]!YBHIST(BH$4,$A31,"OAS-Lib","sec","")</f>
        <v>1307.76001</v>
      </c>
      <c r="BI31" s="2">
        <f>[1]!YBHIST(BI$4,$A31,"OAS-Lib","sec","")</f>
        <v>851.90997300000004</v>
      </c>
      <c r="BJ31" s="2">
        <f>[1]!YBHIST(BJ$4,$A31,"OAS-Lib","sec","")</f>
        <v>729.40997300000004</v>
      </c>
      <c r="BK31" s="29">
        <f>[1]!YBHIST(BK$4,$A31,"OAS-Lib","sec","")</f>
        <v>698.53997800000002</v>
      </c>
      <c r="BL31" s="30">
        <f>[1]!YBHIST(BL$4,$A31,"OAS-Lib","sec","")</f>
        <v>745.73999000000003</v>
      </c>
      <c r="BM31" s="2">
        <f>[1]!YBHIST(BM$4,$A31,"OAS-Lib","sec","")</f>
        <v>-168.35000600000001</v>
      </c>
      <c r="BN31" s="2">
        <f>[1]!YBHIST(BN$4,$A31,"OAS-Lib","sec","")</f>
        <v>-128.070007</v>
      </c>
      <c r="BO31" s="10">
        <f>[1]!YBHIST(BO$4,$A31,"OAS-Lib","sec","")</f>
        <v>29.75</v>
      </c>
      <c r="BP31" s="9"/>
      <c r="BQ31" s="1"/>
      <c r="BR31" s="1"/>
    </row>
    <row r="32" spans="1:70" x14ac:dyDescent="0.25">
      <c r="A32" s="22">
        <f>[1]!ybworkday(A$5,-1*(ROW()-ROW(A$5)),"USD","")</f>
        <v>40868</v>
      </c>
      <c r="B32" s="3">
        <f>[1]!YBHIST("2 Year Treasury",$A32,"Price","govt","")</f>
        <v>99.960999000000001</v>
      </c>
      <c r="C32" s="2">
        <f>[1]!YBHIST("5 Year Treasury",$A32,"Price","govt","")</f>
        <v>100.453003</v>
      </c>
      <c r="D32" s="2">
        <f>[1]!YBHIST("10 Year Treasury",$A32,"Price","govt","")</f>
        <v>100.328003</v>
      </c>
      <c r="E32" s="10">
        <f>[1]!YBHIST("30 Year Treasury",$A32,"Price","govt","")</f>
        <v>103.60900100000001</v>
      </c>
      <c r="F32" s="3">
        <f>[1]!YBHIST("2 Year Treasury",$A32,"YldtoMat","govt","")</f>
        <v>0.27</v>
      </c>
      <c r="G32" s="2">
        <f>[1]!YBHIST("5 Year Treasury",$A32,"YldtoMat","govt","")</f>
        <v>0.90600000000000003</v>
      </c>
      <c r="H32" s="2">
        <f>[1]!YBHIST("10 Year Treasury",$A32,"YldtoMat","govt","")</f>
        <v>1.964</v>
      </c>
      <c r="I32" s="10">
        <f>[1]!YBHIST("30 Year Treasury",$A32,"YldtoMat","govt","")</f>
        <v>2.9430000000000001</v>
      </c>
      <c r="J32" s="3">
        <f>[1]!YBHIST("2yr Swap Rate",$A32,"YldtoMat","swapvol","")</f>
        <v>0.80069199999999996</v>
      </c>
      <c r="K32" s="2">
        <f>[1]!YBHIST("5yr Swap Rate",$A32,"YldtoMat","swapvol","")</f>
        <v>1.3447439999999999</v>
      </c>
      <c r="L32" s="2">
        <f>[1]!YBHIST("10yr Swap Rate",$A32,"YldtoMat","swapvol","")</f>
        <v>2.1488589999999999</v>
      </c>
      <c r="M32" s="10">
        <f>[1]!YBHIST("30yr Swap Rate",$A32,"YldtoMat","swapvol","")</f>
        <v>2.6696260000000001</v>
      </c>
      <c r="N32" s="3">
        <f>[1]!YBHIST("FNMA 30YR Cur Coup (BE)",$A32,"Yield","bmk","")</f>
        <v>3.1789999999999998</v>
      </c>
      <c r="O32" s="2">
        <f>[1]!YBHIST("FHLMC 30YR Cur Coup (BE)",$A32,"Yield","bmk","")</f>
        <v>3.2250000000000001</v>
      </c>
      <c r="P32" s="2">
        <f>[1]!YBHIST("GNMA 30YR Cur Coup (BE)",$A32,"Yield","bmk","")</f>
        <v>3.0619999999999998</v>
      </c>
      <c r="Q32" s="2">
        <f>[1]!YBHIST("Primary 30-Yr Mtg Rate",$A32,"Yield","bmk","")</f>
        <v>4.1597</v>
      </c>
      <c r="R32" s="2">
        <f>[1]!YBHIST("FHLM 30-Yr Survey Rate",$A32,"Yield","bmk","")</f>
        <v>4</v>
      </c>
      <c r="S32" s="10">
        <f>[1]!YBHIST("Base Mortgage Rate",$A32,"Yield","bmk","")</f>
        <v>3.4990000000000001</v>
      </c>
      <c r="T32" s="27">
        <f>[1]!YBHIST("FNMA 30YR Cur Coup (BE)",$A32,"OAS-Lib","bmk","")</f>
        <v>19.077000000000002</v>
      </c>
      <c r="U32" s="28">
        <f>[1]!YBHIST("FHLMC 30YR Cur Coup (BE)",$A32,"OAS-Lib","bmk","")</f>
        <v>22.58</v>
      </c>
      <c r="V32" s="28">
        <f>[1]!YBHIST("GNMA 30YR Cur Coup (BE)",$A32,"OAS-Lib","bmk","")</f>
        <v>27</v>
      </c>
      <c r="W32" s="29">
        <f t="shared" si="3"/>
        <v>121.49999999999999</v>
      </c>
      <c r="X32" s="29">
        <f t="shared" si="4"/>
        <v>121.49999999999999</v>
      </c>
      <c r="Y32" s="29">
        <f t="shared" si="5"/>
        <v>126.10000000000001</v>
      </c>
      <c r="Z32" s="3">
        <f>[1]!YBHIST("FNMA3.5-GEN",$A32,"Price","tba","")</f>
        <v>101.875</v>
      </c>
      <c r="AA32" s="2">
        <f>[1]!YBHIST("FNMA4.0-GEN",$A32,"Price","tba","")</f>
        <v>104.03125</v>
      </c>
      <c r="AB32" s="2">
        <f>[1]!YBHIST("FNMA4.5-GEN",$A32,"Price","tba","")</f>
        <v>105.53125</v>
      </c>
      <c r="AC32" s="2">
        <f>[1]!YBHIST("FNMA5.0-GEN",$A32,"Price","tba","")</f>
        <v>107.21875</v>
      </c>
      <c r="AD32" s="2">
        <f>[1]!YBHIST("FNMA5.5-GEN",$A32,"Price","tba","")</f>
        <v>108.328125</v>
      </c>
      <c r="AE32" s="10">
        <f>[1]!YBHIST("FNMA6.0-GEN",$A32,"Price","tba","")</f>
        <v>109.34375</v>
      </c>
      <c r="AF32" s="3">
        <f>[1]!YBHIST(AF$4,$A32,"Price","sec","")</f>
        <v>17.030999999999999</v>
      </c>
      <c r="AG32" s="2">
        <f>[1]!YBHIST(AG$4,$A32,"Price","sec","")</f>
        <v>15.452999999999999</v>
      </c>
      <c r="AH32" s="2">
        <f>[1]!YBHIST(AH$4,$A32,"Price","sec","")</f>
        <v>13.781000000000001</v>
      </c>
      <c r="AI32" s="2">
        <f>[1]!YBHIST(AI$4,$A32,"Price","sec","")</f>
        <v>16.047001000000002</v>
      </c>
      <c r="AJ32" s="2">
        <f>[1]!YBHIST(AJ$4,$A32,"Price","sec","")</f>
        <v>13.125</v>
      </c>
      <c r="AK32" s="2">
        <f>[1]!YBHIST(AK$4,$A32,"Price","sec","")</f>
        <v>19.344000000000001</v>
      </c>
      <c r="AL32" s="2">
        <f>[1]!YBHIST(AL$4,$A32,"Price","sec","")</f>
        <v>16.75</v>
      </c>
      <c r="AM32" s="2">
        <f>[1]!YBHIST(AM$4,$A32,"Price","sec","")</f>
        <v>12.75</v>
      </c>
      <c r="AN32" s="2">
        <f>[1]!YBHIST(AN$4,$A32,"Price","sec","")</f>
        <v>14.422000000000001</v>
      </c>
      <c r="AO32" s="2">
        <f>[1]!YBHIST(AO$4,$A32,"Price","sec","")</f>
        <v>14.891</v>
      </c>
      <c r="AP32" s="2">
        <f>[1]!YBHIST(AP$4,$A32,"Price","sec","")</f>
        <v>13.061999999999999</v>
      </c>
      <c r="AQ32" s="2">
        <f>[1]!YBHIST(AQ$4,$A32,"Price","sec","")</f>
        <v>15.218999999999999</v>
      </c>
      <c r="AR32" s="2">
        <f>[1]!YBHIST(AR$4,$A32,"Price","sec","")</f>
        <v>14.702999999999999</v>
      </c>
      <c r="AS32" s="2">
        <f>[1]!YBHIST(AS$4,$A32,"Price","sec","")</f>
        <v>14.859</v>
      </c>
      <c r="AT32" s="2">
        <f>[1]!YBHIST(AT$4,$A32,"Price","sec","")</f>
        <v>17.125</v>
      </c>
      <c r="AU32" s="2">
        <f>[1]!YBHIST(AU$4,$A32,"Price","sec","")</f>
        <v>21</v>
      </c>
      <c r="AV32" s="2">
        <f>[1]!YBHIST(AV$4,$A32,"Price","sec","")</f>
        <v>20.327998999999998</v>
      </c>
      <c r="AW32" s="10">
        <f>[1]!YBHIST(AW$4,$A32,"Price","sec","")</f>
        <v>20.452998999999998</v>
      </c>
      <c r="AX32" s="29">
        <f>[1]!YBHIST(AX$4,$A32,"OAS-Lib","sec","")</f>
        <v>-83.349997999999999</v>
      </c>
      <c r="AY32" s="29">
        <f>[1]!YBHIST(AY$4,$A32,"OAS-Lib","sec","")</f>
        <v>59.32</v>
      </c>
      <c r="AZ32" s="2">
        <f>[1]!YBHIST(AZ$4,$A32,"OAS-Lib","sec","")</f>
        <v>192.71000699999999</v>
      </c>
      <c r="BA32" s="2">
        <f>[1]!YBHIST(BA$4,$A32,"OAS-Lib","sec","")</f>
        <v>-7.97</v>
      </c>
      <c r="BB32" s="29">
        <f>[1]!YBHIST(BB$4,$A32,"OAS-Lib","sec","")</f>
        <v>367.959991</v>
      </c>
      <c r="BC32" s="2">
        <f>[1]!YBHIST(BC$4,$A32,"OAS-Lib","sec","")</f>
        <v>-55.470001000000003</v>
      </c>
      <c r="BD32" s="29">
        <f>[1]!YBHIST(BD$4,$A32,"OAS-Lib","sec","")</f>
        <v>134.41999799999999</v>
      </c>
      <c r="BE32" s="2">
        <f>[1]!YBHIST(BE$4,$A32,"OAS-Lib","sec","")</f>
        <v>1025.400024</v>
      </c>
      <c r="BF32" s="2">
        <f>[1]!YBHIST(BF$4,$A32,"OAS-Lib","sec","")</f>
        <v>886.96002199999998</v>
      </c>
      <c r="BG32" s="2">
        <f>[1]!YBHIST(BG$4,$A32,"OAS-Lib","sec","")</f>
        <v>458.75</v>
      </c>
      <c r="BH32" s="29">
        <f>[1]!YBHIST(BH$4,$A32,"OAS-Lib","sec","")</f>
        <v>1307.910034</v>
      </c>
      <c r="BI32" s="2">
        <f>[1]!YBHIST(BI$4,$A32,"OAS-Lib","sec","")</f>
        <v>846.02002000000005</v>
      </c>
      <c r="BJ32" s="2">
        <f>[1]!YBHIST(BJ$4,$A32,"OAS-Lib","sec","")</f>
        <v>731</v>
      </c>
      <c r="BK32" s="29">
        <f>[1]!YBHIST(BK$4,$A32,"OAS-Lib","sec","")</f>
        <v>695.44000200000005</v>
      </c>
      <c r="BL32" s="30">
        <f>[1]!YBHIST(BL$4,$A32,"OAS-Lib","sec","")</f>
        <v>749.27002000000005</v>
      </c>
      <c r="BM32" s="2">
        <f>[1]!YBHIST(BM$4,$A32,"OAS-Lib","sec","")</f>
        <v>-157.88000500000001</v>
      </c>
      <c r="BN32" s="2">
        <f>[1]!YBHIST(BN$4,$A32,"OAS-Lib","sec","")</f>
        <v>-118.529999</v>
      </c>
      <c r="BO32" s="10">
        <f>[1]!YBHIST(BO$4,$A32,"OAS-Lib","sec","")</f>
        <v>35.669998</v>
      </c>
      <c r="BP32" s="9"/>
      <c r="BQ32" s="1"/>
      <c r="BR32" s="1"/>
    </row>
    <row r="33" spans="1:70" x14ac:dyDescent="0.25">
      <c r="A33" s="22">
        <f>[1]!ybworkday(A$5,-1*(ROW()-ROW(A$5)),"USD","")</f>
        <v>40865</v>
      </c>
      <c r="B33" s="3">
        <f>[1]!YBHIST("2 Year Treasury",$A33,"Price","govt","")</f>
        <v>99.93</v>
      </c>
      <c r="C33" s="2">
        <f>[1]!YBHIST("5 Year Treasury",$A33,"Price","govt","")</f>
        <v>100.366997</v>
      </c>
      <c r="D33" s="2">
        <f>[1]!YBHIST("10 Year Treasury",$A33,"Price","govt","")</f>
        <v>99.921997000000005</v>
      </c>
      <c r="E33" s="10">
        <f>[1]!YBHIST("30 Year Treasury",$A33,"Price","govt","")</f>
        <v>102.546997</v>
      </c>
      <c r="F33" s="3">
        <f>[1]!YBHIST("2 Year Treasury",$A33,"YldtoMat","govt","")</f>
        <v>0.28599999999999998</v>
      </c>
      <c r="G33" s="2">
        <f>[1]!YBHIST("5 Year Treasury",$A33,"YldtoMat","govt","")</f>
        <v>0.92400000000000004</v>
      </c>
      <c r="H33" s="2">
        <f>[1]!YBHIST("10 Year Treasury",$A33,"YldtoMat","govt","")</f>
        <v>2.0089999999999999</v>
      </c>
      <c r="I33" s="10">
        <f>[1]!YBHIST("30 Year Treasury",$A33,"YldtoMat","govt","")</f>
        <v>2.996</v>
      </c>
      <c r="J33" s="3">
        <f>[1]!YBHIST("2yr Swap Rate",$A33,"YldtoMat","swapvol","")</f>
        <v>0.77188900000000005</v>
      </c>
      <c r="K33" s="2">
        <f>[1]!YBHIST("5yr Swap Rate",$A33,"YldtoMat","swapvol","")</f>
        <v>1.334829</v>
      </c>
      <c r="L33" s="2">
        <f>[1]!YBHIST("10yr Swap Rate",$A33,"YldtoMat","swapvol","")</f>
        <v>2.1721050000000002</v>
      </c>
      <c r="M33" s="10">
        <f>[1]!YBHIST("30yr Swap Rate",$A33,"YldtoMat","swapvol","")</f>
        <v>2.7041689999999998</v>
      </c>
      <c r="N33" s="3">
        <f>[1]!YBHIST("FNMA 30YR Cur Coup (BE)",$A33,"Yield","bmk","")</f>
        <v>3.214</v>
      </c>
      <c r="O33" s="2">
        <f>[1]!YBHIST("FHLMC 30YR Cur Coup (BE)",$A33,"Yield","bmk","")</f>
        <v>3.2639999999999998</v>
      </c>
      <c r="P33" s="2">
        <f>[1]!YBHIST("GNMA 30YR Cur Coup (BE)",$A33,"Yield","bmk","")</f>
        <v>3.0960000000000001</v>
      </c>
      <c r="Q33" s="2">
        <f>[1]!YBHIST("Primary 30-Yr Mtg Rate",$A33,"Yield","bmk","")</f>
        <v>4.1951999999999998</v>
      </c>
      <c r="R33" s="2">
        <f>[1]!YBHIST("FHLM 30-Yr Survey Rate",$A33,"Yield","bmk","")</f>
        <v>4</v>
      </c>
      <c r="S33" s="10">
        <f>[1]!YBHIST("Base Mortgage Rate",$A33,"Yield","bmk","")</f>
        <v>3.5350000000000001</v>
      </c>
      <c r="T33" s="27">
        <f>[1]!YBHIST("FNMA 30YR Cur Coup (BE)",$A33,"OAS-Lib","bmk","")</f>
        <v>22.532</v>
      </c>
      <c r="U33" s="28">
        <f>[1]!YBHIST("FHLMC 30YR Cur Coup (BE)",$A33,"OAS-Lib","bmk","")</f>
        <v>26.181000000000001</v>
      </c>
      <c r="V33" s="28">
        <f>[1]!YBHIST("GNMA 30YR Cur Coup (BE)",$A33,"OAS-Lib","bmk","")</f>
        <v>31</v>
      </c>
      <c r="W33" s="29">
        <f t="shared" si="3"/>
        <v>120.5</v>
      </c>
      <c r="X33" s="29">
        <f t="shared" si="4"/>
        <v>120.5</v>
      </c>
      <c r="Y33" s="29">
        <f t="shared" si="5"/>
        <v>125.49999999999999</v>
      </c>
      <c r="Z33" s="3">
        <f>[1]!YBHIST("FNMA3.5-GEN",$A33,"Price","tba","")</f>
        <v>101.671875</v>
      </c>
      <c r="AA33" s="2">
        <f>[1]!YBHIST("FNMA4.0-GEN",$A33,"Price","tba","")</f>
        <v>103.890625</v>
      </c>
      <c r="AB33" s="2">
        <f>[1]!YBHIST("FNMA4.5-GEN",$A33,"Price","tba","")</f>
        <v>105.484375</v>
      </c>
      <c r="AC33" s="2">
        <f>[1]!YBHIST("FNMA5.0-GEN",$A33,"Price","tba","")</f>
        <v>107.234375</v>
      </c>
      <c r="AD33" s="2">
        <f>[1]!YBHIST("FNMA5.5-GEN",$A33,"Price","tba","")</f>
        <v>108.375</v>
      </c>
      <c r="AE33" s="10">
        <f>[1]!YBHIST("FNMA6.0-GEN",$A33,"Price","tba","")</f>
        <v>109.40625</v>
      </c>
      <c r="AF33" s="3">
        <f>[1]!YBHIST(AF$4,$A33,"Price","sec","")</f>
        <v>17.233999000000001</v>
      </c>
      <c r="AG33" s="2">
        <f>[1]!YBHIST(AG$4,$A33,"Price","sec","")</f>
        <v>15.718999999999999</v>
      </c>
      <c r="AH33" s="2">
        <f>[1]!YBHIST(AH$4,$A33,"Price","sec","")</f>
        <v>14.077999999999999</v>
      </c>
      <c r="AI33" s="2">
        <f>[1]!YBHIST(AI$4,$A33,"Price","sec","")</f>
        <v>16.312000000000001</v>
      </c>
      <c r="AJ33" s="2">
        <f>[1]!YBHIST(AJ$4,$A33,"Price","sec","")</f>
        <v>13.406000000000001</v>
      </c>
      <c r="AK33" s="2">
        <f>[1]!YBHIST(AK$4,$A33,"Price","sec","")</f>
        <v>19.562000000000001</v>
      </c>
      <c r="AL33" s="2">
        <f>[1]!YBHIST(AL$4,$A33,"Price","sec","")</f>
        <v>16.983999000000001</v>
      </c>
      <c r="AM33" s="2">
        <f>[1]!YBHIST(AM$4,$A33,"Price","sec","")</f>
        <v>12.952999999999999</v>
      </c>
      <c r="AN33" s="2">
        <f>[1]!YBHIST(AN$4,$A33,"Price","sec","")</f>
        <v>14.625</v>
      </c>
      <c r="AO33" s="2">
        <f>[1]!YBHIST(AO$4,$A33,"Price","sec","")</f>
        <v>15.093999999999999</v>
      </c>
      <c r="AP33" s="2">
        <f>[1]!YBHIST(AP$4,$A33,"Price","sec","")</f>
        <v>13.406000000000001</v>
      </c>
      <c r="AQ33" s="2">
        <f>[1]!YBHIST(AQ$4,$A33,"Price","sec","")</f>
        <v>15.516</v>
      </c>
      <c r="AR33" s="2">
        <f>[1]!YBHIST(AR$4,$A33,"Price","sec","")</f>
        <v>14.984</v>
      </c>
      <c r="AS33" s="2">
        <f>[1]!YBHIST(AS$4,$A33,"Price","sec","")</f>
        <v>15.141</v>
      </c>
      <c r="AT33" s="2">
        <f>[1]!YBHIST(AT$4,$A33,"Price","sec","")</f>
        <v>17.312000000000001</v>
      </c>
      <c r="AU33" s="2">
        <f>[1]!YBHIST(AU$4,$A33,"Price","sec","")</f>
        <v>21.172001000000002</v>
      </c>
      <c r="AV33" s="2">
        <f>[1]!YBHIST(AV$4,$A33,"Price","sec","")</f>
        <v>20.530999999999999</v>
      </c>
      <c r="AW33" s="10">
        <f>[1]!YBHIST(AW$4,$A33,"Price","sec","")</f>
        <v>20.655999999999999</v>
      </c>
      <c r="AX33" s="29">
        <f>[1]!YBHIST(AX$4,$A33,"OAS-Lib","sec","")</f>
        <v>-56.830002</v>
      </c>
      <c r="AY33" s="29">
        <f>[1]!YBHIST(AY$4,$A33,"OAS-Lib","sec","")</f>
        <v>79.879997000000003</v>
      </c>
      <c r="AZ33" s="2">
        <f>[1]!YBHIST(AZ$4,$A33,"OAS-Lib","sec","")</f>
        <v>202.10000600000001</v>
      </c>
      <c r="BA33" s="2">
        <f>[1]!YBHIST(BA$4,$A33,"OAS-Lib","sec","")</f>
        <v>12.1</v>
      </c>
      <c r="BB33" s="29">
        <f>[1]!YBHIST(BB$4,$A33,"OAS-Lib","sec","")</f>
        <v>374.82000699999998</v>
      </c>
      <c r="BC33" s="2">
        <f>[1]!YBHIST(BC$4,$A33,"OAS-Lib","sec","")</f>
        <v>-32.560001</v>
      </c>
      <c r="BD33" s="29">
        <f>[1]!YBHIST(BD$4,$A33,"OAS-Lib","sec","")</f>
        <v>151.429993</v>
      </c>
      <c r="BE33" s="2">
        <f>[1]!YBHIST(BE$4,$A33,"OAS-Lib","sec","")</f>
        <v>1028.030029</v>
      </c>
      <c r="BF33" s="2">
        <f>[1]!YBHIST(BF$4,$A33,"OAS-Lib","sec","")</f>
        <v>881.95001200000002</v>
      </c>
      <c r="BG33" s="2">
        <f>[1]!YBHIST(BG$4,$A33,"OAS-Lib","sec","")</f>
        <v>461.32998700000002</v>
      </c>
      <c r="BH33" s="29">
        <f>[1]!YBHIST(BH$4,$A33,"OAS-Lib","sec","")</f>
        <v>1257.4399410000001</v>
      </c>
      <c r="BI33" s="2">
        <f>[1]!YBHIST(BI$4,$A33,"OAS-Lib","sec","")</f>
        <v>815.19000200000005</v>
      </c>
      <c r="BJ33" s="2">
        <f>[1]!YBHIST(BJ$4,$A33,"OAS-Lib","sec","")</f>
        <v>709.61999500000002</v>
      </c>
      <c r="BK33" s="29">
        <f>[1]!YBHIST(BK$4,$A33,"OAS-Lib","sec","")</f>
        <v>665.51000999999997</v>
      </c>
      <c r="BL33" s="30">
        <f>[1]!YBHIST(BL$4,$A33,"OAS-Lib","sec","")</f>
        <v>740.79998799999998</v>
      </c>
      <c r="BM33" s="2">
        <f>[1]!YBHIST(BM$4,$A33,"OAS-Lib","sec","")</f>
        <v>-136.03999300000001</v>
      </c>
      <c r="BN33" s="2">
        <f>[1]!YBHIST(BN$4,$A33,"OAS-Lib","sec","")</f>
        <v>-99.220000999999996</v>
      </c>
      <c r="BO33" s="10">
        <f>[1]!YBHIST(BO$4,$A33,"OAS-Lib","sec","")</f>
        <v>49.299999</v>
      </c>
      <c r="BP33" s="9"/>
      <c r="BQ33" s="1"/>
      <c r="BR33" s="1"/>
    </row>
    <row r="34" spans="1:70" x14ac:dyDescent="0.25">
      <c r="A34" s="22">
        <f>[1]!ybworkday(A$5,-1*(ROW()-ROW(A$5)),"USD","")</f>
        <v>40864</v>
      </c>
      <c r="B34" s="3">
        <f>[1]!YBHIST("2 Year Treasury",$A34,"Price","govt","")</f>
        <v>99.976996999999997</v>
      </c>
      <c r="C34" s="2">
        <f>[1]!YBHIST("5 Year Treasury",$A34,"Price","govt","")</f>
        <v>100.648003</v>
      </c>
      <c r="D34" s="2">
        <f>[1]!YBHIST("10 Year Treasury",$A34,"Price","govt","")</f>
        <v>100.35900100000001</v>
      </c>
      <c r="E34" s="10">
        <f>[1]!YBHIST("30 Year Treasury",$A34,"Price","govt","")</f>
        <v>102.969002</v>
      </c>
      <c r="F34" s="3">
        <f>[1]!YBHIST("2 Year Treasury",$A34,"YldtoMat","govt","")</f>
        <v>0.26200000000000001</v>
      </c>
      <c r="G34" s="2">
        <f>[1]!YBHIST("5 Year Treasury",$A34,"YldtoMat","govt","")</f>
        <v>0.86599999999999999</v>
      </c>
      <c r="H34" s="2">
        <f>[1]!YBHIST("10 Year Treasury",$A34,"YldtoMat","govt","")</f>
        <v>1.96</v>
      </c>
      <c r="I34" s="10">
        <f>[1]!YBHIST("30 Year Treasury",$A34,"YldtoMat","govt","")</f>
        <v>2.9750000000000001</v>
      </c>
      <c r="J34" s="3">
        <f>[1]!YBHIST("2yr Swap Rate",$A34,"YldtoMat","swapvol","")</f>
        <v>0.79205899999999996</v>
      </c>
      <c r="K34" s="2">
        <f>[1]!YBHIST("5yr Swap Rate",$A34,"YldtoMat","swapvol","")</f>
        <v>1.3196810000000001</v>
      </c>
      <c r="L34" s="2">
        <f>[1]!YBHIST("10yr Swap Rate",$A34,"YldtoMat","swapvol","")</f>
        <v>2.150963</v>
      </c>
      <c r="M34" s="10">
        <f>[1]!YBHIST("30yr Swap Rate",$A34,"YldtoMat","swapvol","")</f>
        <v>2.6982339999999998</v>
      </c>
      <c r="N34" s="3">
        <f>[1]!YBHIST("FNMA 30YR Cur Coup (BE)",$A34,"Yield","bmk","")</f>
        <v>3.1659999999999999</v>
      </c>
      <c r="O34" s="2">
        <f>[1]!YBHIST("FHLMC 30YR Cur Coup (BE)",$A34,"Yield","bmk","")</f>
        <v>3.218</v>
      </c>
      <c r="P34" s="2">
        <f>[1]!YBHIST("GNMA 30YR Cur Coup (BE)",$A34,"Yield","bmk","")</f>
        <v>3.0550000000000002</v>
      </c>
      <c r="Q34" s="2">
        <f>[1]!YBHIST("Primary 30-Yr Mtg Rate",$A34,"Yield","bmk","")</f>
        <v>4.1471</v>
      </c>
      <c r="R34" s="2">
        <f>[1]!YBHIST("FHLM 30-Yr Survey Rate",$A34,"Yield","bmk","")</f>
        <v>4</v>
      </c>
      <c r="S34" s="10">
        <f>[1]!YBHIST("Base Mortgage Rate",$A34,"Yield","bmk","")</f>
        <v>3.4870000000000001</v>
      </c>
      <c r="T34" s="27">
        <f>[1]!YBHIST("FNMA 30YR Cur Coup (BE)",$A34,"OAS-Lib","bmk","")</f>
        <v>18.34</v>
      </c>
      <c r="U34" s="28">
        <f>[1]!YBHIST("FHLMC 30YR Cur Coup (BE)",$A34,"OAS-Lib","bmk","")</f>
        <v>21.768999000000001</v>
      </c>
      <c r="V34" s="28">
        <f>[1]!YBHIST("GNMA 30YR Cur Coup (BE)",$A34,"OAS-Lib","bmk","")</f>
        <v>25</v>
      </c>
      <c r="W34" s="29">
        <f t="shared" si="3"/>
        <v>120.6</v>
      </c>
      <c r="X34" s="29">
        <f t="shared" si="4"/>
        <v>120.6</v>
      </c>
      <c r="Y34" s="29">
        <f t="shared" si="5"/>
        <v>125.8</v>
      </c>
      <c r="Z34" s="3">
        <f>[1]!YBHIST("FNMA3.5-GEN",$A34,"Price","tba","")</f>
        <v>101.890625</v>
      </c>
      <c r="AA34" s="2">
        <f>[1]!YBHIST("FNMA4.0-GEN",$A34,"Price","tba","")</f>
        <v>104.015625</v>
      </c>
      <c r="AB34" s="2">
        <f>[1]!YBHIST("FNMA4.5-GEN",$A34,"Price","tba","")</f>
        <v>105.546875</v>
      </c>
      <c r="AC34" s="2">
        <f>[1]!YBHIST("FNMA5.0-GEN",$A34,"Price","tba","")</f>
        <v>107.265625</v>
      </c>
      <c r="AD34" s="2">
        <f>[1]!YBHIST("FNMA5.5-GEN",$A34,"Price","tba","")</f>
        <v>108.328125</v>
      </c>
      <c r="AE34" s="10">
        <f>[1]!YBHIST("FNMA6.0-GEN",$A34,"Price","tba","")</f>
        <v>109.359375</v>
      </c>
      <c r="AF34" s="3">
        <f>[1]!YBHIST(AF$4,$A34,"Price","sec","")</f>
        <v>16.905999999999999</v>
      </c>
      <c r="AG34" s="2">
        <f>[1]!YBHIST(AG$4,$A34,"Price","sec","")</f>
        <v>15.266</v>
      </c>
      <c r="AH34" s="2">
        <f>[1]!YBHIST(AH$4,$A34,"Price","sec","")</f>
        <v>13.641</v>
      </c>
      <c r="AI34" s="2">
        <f>[1]!YBHIST(AI$4,$A34,"Price","sec","")</f>
        <v>15.843999999999999</v>
      </c>
      <c r="AJ34" s="2">
        <f>[1]!YBHIST(AJ$4,$A34,"Price","sec","")</f>
        <v>13</v>
      </c>
      <c r="AK34" s="2">
        <f>[1]!YBHIST(AK$4,$A34,"Price","sec","")</f>
        <v>19.187999999999999</v>
      </c>
      <c r="AL34" s="2">
        <f>[1]!YBHIST(AL$4,$A34,"Price","sec","")</f>
        <v>16.625</v>
      </c>
      <c r="AM34" s="2">
        <f>[1]!YBHIST(AM$4,$A34,"Price","sec","")</f>
        <v>12.577999999999999</v>
      </c>
      <c r="AN34" s="2">
        <f>[1]!YBHIST(AN$4,$A34,"Price","sec","")</f>
        <v>14.311999999999999</v>
      </c>
      <c r="AO34" s="2">
        <f>[1]!YBHIST(AO$4,$A34,"Price","sec","")</f>
        <v>14.797000000000001</v>
      </c>
      <c r="AP34" s="2">
        <f>[1]!YBHIST(AP$4,$A34,"Price","sec","")</f>
        <v>13.234</v>
      </c>
      <c r="AQ34" s="2">
        <f>[1]!YBHIST(AQ$4,$A34,"Price","sec","")</f>
        <v>15.359</v>
      </c>
      <c r="AR34" s="2">
        <f>[1]!YBHIST(AR$4,$A34,"Price","sec","")</f>
        <v>14.827999999999999</v>
      </c>
      <c r="AS34" s="2">
        <f>[1]!YBHIST(AS$4,$A34,"Price","sec","")</f>
        <v>15</v>
      </c>
      <c r="AT34" s="2">
        <f>[1]!YBHIST(AT$4,$A34,"Price","sec","")</f>
        <v>17.233999000000001</v>
      </c>
      <c r="AU34" s="2">
        <f>[1]!YBHIST(AU$4,$A34,"Price","sec","")</f>
        <v>20.922001000000002</v>
      </c>
      <c r="AV34" s="2">
        <f>[1]!YBHIST(AV$4,$A34,"Price","sec","")</f>
        <v>20.266000999999999</v>
      </c>
      <c r="AW34" s="10">
        <f>[1]!YBHIST(AW$4,$A34,"Price","sec","")</f>
        <v>20.344000000000001</v>
      </c>
      <c r="AX34" s="29">
        <f>[1]!YBHIST(AX$4,$A34,"OAS-Lib","sec","")</f>
        <v>-69.470000999999996</v>
      </c>
      <c r="AY34" s="29">
        <f>[1]!YBHIST(AY$4,$A34,"OAS-Lib","sec","")</f>
        <v>88.050003000000004</v>
      </c>
      <c r="AZ34" s="2">
        <f>[1]!YBHIST(AZ$4,$A34,"OAS-Lib","sec","")</f>
        <v>220.94000199999999</v>
      </c>
      <c r="BA34" s="2">
        <f>[1]!YBHIST(BA$4,$A34,"OAS-Lib","sec","")</f>
        <v>25.639999</v>
      </c>
      <c r="BB34" s="29">
        <f>[1]!YBHIST(BB$4,$A34,"OAS-Lib","sec","")</f>
        <v>401.07000699999998</v>
      </c>
      <c r="BC34" s="2">
        <f>[1]!YBHIST(BC$4,$A34,"OAS-Lib","sec","")</f>
        <v>-31.450001</v>
      </c>
      <c r="BD34" s="29">
        <f>[1]!YBHIST(BD$4,$A34,"OAS-Lib","sec","")</f>
        <v>160.38999899999999</v>
      </c>
      <c r="BE34" s="2">
        <f>[1]!YBHIST(BE$4,$A34,"OAS-Lib","sec","")</f>
        <v>1084.540039</v>
      </c>
      <c r="BF34" s="2">
        <f>[1]!YBHIST(BF$4,$A34,"OAS-Lib","sec","")</f>
        <v>923.59002699999996</v>
      </c>
      <c r="BG34" s="2">
        <f>[1]!YBHIST(BG$4,$A34,"OAS-Lib","sec","")</f>
        <v>488.73998999999998</v>
      </c>
      <c r="BH34" s="29">
        <f>[1]!YBHIST(BH$4,$A34,"OAS-Lib","sec","")</f>
        <v>1269.160034</v>
      </c>
      <c r="BI34" s="2">
        <f>[1]!YBHIST(BI$4,$A34,"OAS-Lib","sec","")</f>
        <v>826.11999500000002</v>
      </c>
      <c r="BJ34" s="2">
        <f>[1]!YBHIST(BJ$4,$A34,"OAS-Lib","sec","")</f>
        <v>713.10998500000005</v>
      </c>
      <c r="BK34" s="29">
        <f>[1]!YBHIST(BK$4,$A34,"OAS-Lib","sec","")</f>
        <v>676.330017</v>
      </c>
      <c r="BL34" s="30">
        <f>[1]!YBHIST(BL$4,$A34,"OAS-Lib","sec","")</f>
        <v>740.40002400000003</v>
      </c>
      <c r="BM34" s="2">
        <f>[1]!YBHIST(BM$4,$A34,"OAS-Lib","sec","")</f>
        <v>-149.279999</v>
      </c>
      <c r="BN34" s="2">
        <f>[1]!YBHIST(BN$4,$A34,"OAS-Lib","sec","")</f>
        <v>-108.459999</v>
      </c>
      <c r="BO34" s="10">
        <f>[1]!YBHIST(BO$4,$A34,"OAS-Lib","sec","")</f>
        <v>53.599997999999999</v>
      </c>
      <c r="BP34" s="9"/>
      <c r="BQ34" s="1"/>
      <c r="BR34" s="1"/>
    </row>
    <row r="35" spans="1:70" x14ac:dyDescent="0.25">
      <c r="A35" s="22">
        <f>[1]!ybworkday(A$5,-1*(ROW()-ROW(A$5)),"USD","")</f>
        <v>40863</v>
      </c>
      <c r="B35" s="3">
        <f>[1]!YBHIST("2 Year Treasury",$A35,"Price","govt","")</f>
        <v>99.991996999999998</v>
      </c>
      <c r="C35" s="2">
        <f>[1]!YBHIST("5 Year Treasury",$A35,"Price","govt","")</f>
        <v>100.51599899999999</v>
      </c>
      <c r="D35" s="2">
        <f>[1]!YBHIST("10 Year Treasury",$A35,"Price","govt","")</f>
        <v>99.828002999999995</v>
      </c>
      <c r="E35" s="10">
        <f>[1]!YBHIST("30 Year Treasury",$A35,"Price","govt","")</f>
        <v>101.39099899999999</v>
      </c>
      <c r="F35" s="3">
        <f>[1]!YBHIST("2 Year Treasury",$A35,"YldtoMat","govt","")</f>
        <v>0.254</v>
      </c>
      <c r="G35" s="2">
        <f>[1]!YBHIST("5 Year Treasury",$A35,"YldtoMat","govt","")</f>
        <v>0.89300000000000002</v>
      </c>
      <c r="H35" s="2">
        <f>[1]!YBHIST("10 Year Treasury",$A35,"YldtoMat","govt","")</f>
        <v>2.0190000000000001</v>
      </c>
      <c r="I35" s="10">
        <f>[1]!YBHIST("30 Year Treasury",$A35,"YldtoMat","govt","")</f>
        <v>3.0539999999999998</v>
      </c>
      <c r="J35" s="3">
        <f>[1]!YBHIST("2yr Swap Rate",$A35,"YldtoMat","swapvol","")</f>
        <v>0.74328799999999995</v>
      </c>
      <c r="K35" s="2">
        <f>[1]!YBHIST("5yr Swap Rate",$A35,"YldtoMat","swapvol","")</f>
        <v>1.3295250000000001</v>
      </c>
      <c r="L35" s="2">
        <f>[1]!YBHIST("10yr Swap Rate",$A35,"YldtoMat","swapvol","")</f>
        <v>2.219233</v>
      </c>
      <c r="M35" s="10">
        <f>[1]!YBHIST("30yr Swap Rate",$A35,"YldtoMat","swapvol","")</f>
        <v>2.8005450000000001</v>
      </c>
      <c r="N35" s="3">
        <f>[1]!YBHIST("FNMA 30YR Cur Coup (BE)",$A35,"Yield","bmk","")</f>
        <v>3.2040000000000002</v>
      </c>
      <c r="O35" s="2">
        <f>[1]!YBHIST("FHLMC 30YR Cur Coup (BE)",$A35,"Yield","bmk","")</f>
        <v>3.2559999999999998</v>
      </c>
      <c r="P35" s="2">
        <f>[1]!YBHIST("GNMA 30YR Cur Coup (BE)",$A35,"Yield","bmk","")</f>
        <v>3.0880000000000001</v>
      </c>
      <c r="Q35" s="2">
        <f>[1]!YBHIST("Primary 30-Yr Mtg Rate",$A35,"Yield","bmk","")</f>
        <v>4.2069999999999999</v>
      </c>
      <c r="R35" s="2">
        <f>[1]!YBHIST("FHLM 30-Yr Survey Rate",$A35,"Yield","bmk","")</f>
        <v>3.99</v>
      </c>
      <c r="S35" s="10">
        <f>[1]!YBHIST("Base Mortgage Rate",$A35,"Yield","bmk","")</f>
        <v>3.5219999999999998</v>
      </c>
      <c r="T35" s="27">
        <f>[1]!YBHIST("FNMA 30YR Cur Coup (BE)",$A35,"OAS-Lib","bmk","")</f>
        <v>19.068999999999999</v>
      </c>
      <c r="U35" s="28">
        <f>[1]!YBHIST("FHLMC 30YR Cur Coup (BE)",$A35,"OAS-Lib","bmk","")</f>
        <v>22.834</v>
      </c>
      <c r="V35" s="28">
        <f>[1]!YBHIST("GNMA 30YR Cur Coup (BE)",$A35,"OAS-Lib","bmk","")</f>
        <v>27</v>
      </c>
      <c r="W35" s="29">
        <f t="shared" si="3"/>
        <v>118.5</v>
      </c>
      <c r="X35" s="29">
        <f t="shared" si="4"/>
        <v>118.5</v>
      </c>
      <c r="Y35" s="29">
        <f t="shared" si="5"/>
        <v>123.69999999999996</v>
      </c>
      <c r="Z35" s="3">
        <f>[1]!YBHIST("FNMA3.5-GEN",$A35,"Price","tba","")</f>
        <v>101.734375</v>
      </c>
      <c r="AA35" s="2">
        <f>[1]!YBHIST("FNMA4.0-GEN",$A35,"Price","tba","")</f>
        <v>103.96875</v>
      </c>
      <c r="AB35" s="2">
        <f>[1]!YBHIST("FNMA4.5-GEN",$A35,"Price","tba","")</f>
        <v>105.578125</v>
      </c>
      <c r="AC35" s="2">
        <f>[1]!YBHIST("FNMA5.0-GEN",$A35,"Price","tba","")</f>
        <v>107.359375</v>
      </c>
      <c r="AD35" s="2">
        <f>[1]!YBHIST("FNMA5.5-GEN",$A35,"Price","tba","")</f>
        <v>108.40625</v>
      </c>
      <c r="AE35" s="10">
        <f>[1]!YBHIST("FNMA6.0-GEN",$A35,"Price","tba","")</f>
        <v>109.421875</v>
      </c>
      <c r="AF35" s="3">
        <f>[1]!YBHIST(AF$4,$A35,"Price","sec","")</f>
        <v>17.094000000000001</v>
      </c>
      <c r="AG35" s="2">
        <f>[1]!YBHIST(AG$4,$A35,"Price","sec","")</f>
        <v>15.577999999999999</v>
      </c>
      <c r="AH35" s="2">
        <f>[1]!YBHIST(AH$4,$A35,"Price","sec","")</f>
        <v>13.984</v>
      </c>
      <c r="AI35" s="2">
        <f>[1]!YBHIST(AI$4,$A35,"Price","sec","")</f>
        <v>16.172001000000002</v>
      </c>
      <c r="AJ35" s="2">
        <f>[1]!YBHIST(AJ$4,$A35,"Price","sec","")</f>
        <v>13.391</v>
      </c>
      <c r="AK35" s="2">
        <f>[1]!YBHIST(AK$4,$A35,"Price","sec","")</f>
        <v>19.577998999999998</v>
      </c>
      <c r="AL35" s="2">
        <f>[1]!YBHIST(AL$4,$A35,"Price","sec","")</f>
        <v>17.016000999999999</v>
      </c>
      <c r="AM35" s="2">
        <f>[1]!YBHIST(AM$4,$A35,"Price","sec","")</f>
        <v>12.891</v>
      </c>
      <c r="AN35" s="2">
        <f>[1]!YBHIST(AN$4,$A35,"Price","sec","")</f>
        <v>14.625</v>
      </c>
      <c r="AO35" s="2">
        <f>[1]!YBHIST(AO$4,$A35,"Price","sec","")</f>
        <v>15.093999999999999</v>
      </c>
      <c r="AP35" s="2">
        <f>[1]!YBHIST(AP$4,$A35,"Price","sec","")</f>
        <v>13.5</v>
      </c>
      <c r="AQ35" s="2">
        <f>[1]!YBHIST(AQ$4,$A35,"Price","sec","")</f>
        <v>15.593999999999999</v>
      </c>
      <c r="AR35" s="2">
        <f>[1]!YBHIST(AR$4,$A35,"Price","sec","")</f>
        <v>15.077999999999999</v>
      </c>
      <c r="AS35" s="2">
        <f>[1]!YBHIST(AS$4,$A35,"Price","sec","")</f>
        <v>15.266</v>
      </c>
      <c r="AT35" s="2">
        <f>[1]!YBHIST(AT$4,$A35,"Price","sec","")</f>
        <v>17.452998999999998</v>
      </c>
      <c r="AU35" s="2">
        <f>[1]!YBHIST(AU$4,$A35,"Price","sec","")</f>
        <v>21.108999000000001</v>
      </c>
      <c r="AV35" s="2">
        <f>[1]!YBHIST(AV$4,$A35,"Price","sec","")</f>
        <v>20.5</v>
      </c>
      <c r="AW35" s="10">
        <f>[1]!YBHIST(AW$4,$A35,"Price","sec","")</f>
        <v>20.594000000000001</v>
      </c>
      <c r="AX35" s="29">
        <f>[1]!YBHIST(AX$4,$A35,"OAS-Lib","sec","")</f>
        <v>-19.43</v>
      </c>
      <c r="AY35" s="29">
        <f>[1]!YBHIST(AY$4,$A35,"OAS-Lib","sec","")</f>
        <v>121.290001</v>
      </c>
      <c r="AZ35" s="2">
        <f>[1]!YBHIST(AZ$4,$A35,"OAS-Lib","sec","")</f>
        <v>240.08999600000001</v>
      </c>
      <c r="BA35" s="2">
        <f>[1]!YBHIST(BA$4,$A35,"OAS-Lib","sec","")</f>
        <v>53.450001</v>
      </c>
      <c r="BB35" s="29">
        <f>[1]!YBHIST(BB$4,$A35,"OAS-Lib","sec","")</f>
        <v>400.89999399999999</v>
      </c>
      <c r="BC35" s="2">
        <f>[1]!YBHIST(BC$4,$A35,"OAS-Lib","sec","")</f>
        <v>-14.07</v>
      </c>
      <c r="BD35" s="29">
        <f>[1]!YBHIST(BD$4,$A35,"OAS-Lib","sec","")</f>
        <v>168.13000500000001</v>
      </c>
      <c r="BE35" s="2">
        <f>[1]!YBHIST(BE$4,$A35,"OAS-Lib","sec","")</f>
        <v>1069.0500489999999</v>
      </c>
      <c r="BF35" s="2">
        <f>[1]!YBHIST(BF$4,$A35,"OAS-Lib","sec","")</f>
        <v>899.39001499999995</v>
      </c>
      <c r="BG35" s="2">
        <f>[1]!YBHIST(BG$4,$A35,"OAS-Lib","sec","")</f>
        <v>477.70001200000002</v>
      </c>
      <c r="BH35" s="29">
        <f>[1]!YBHIST(BH$4,$A35,"OAS-Lib","sec","")</f>
        <v>1253.530029</v>
      </c>
      <c r="BI35" s="2">
        <f>[1]!YBHIST(BI$4,$A35,"OAS-Lib","sec","")</f>
        <v>812.71997099999999</v>
      </c>
      <c r="BJ35" s="2">
        <f>[1]!YBHIST(BJ$4,$A35,"OAS-Lib","sec","")</f>
        <v>704.90002400000003</v>
      </c>
      <c r="BK35" s="29">
        <f>[1]!YBHIST(BK$4,$A35,"OAS-Lib","sec","")</f>
        <v>653.32000700000003</v>
      </c>
      <c r="BL35" s="30">
        <f>[1]!YBHIST(BL$4,$A35,"OAS-Lib","sec","")</f>
        <v>726.70001200000002</v>
      </c>
      <c r="BM35" s="2">
        <f>[1]!YBHIST(BM$4,$A35,"OAS-Lib","sec","")</f>
        <v>-112.82</v>
      </c>
      <c r="BN35" s="2">
        <f>[1]!YBHIST(BN$4,$A35,"OAS-Lib","sec","")</f>
        <v>-78.930000000000007</v>
      </c>
      <c r="BO35" s="10">
        <f>[1]!YBHIST(BO$4,$A35,"OAS-Lib","sec","")</f>
        <v>71.559997999999993</v>
      </c>
      <c r="BP35" s="9"/>
      <c r="BQ35" s="1"/>
      <c r="BR35" s="1"/>
    </row>
    <row r="36" spans="1:70" x14ac:dyDescent="0.25">
      <c r="A36" s="22">
        <f>[1]!ybworkday(A$5,-1*(ROW()-ROW(A$5)),"USD","")</f>
        <v>40862</v>
      </c>
      <c r="B36" s="3">
        <f>[1]!YBHIST("2 Year Treasury",$A36,"Price","govt","")</f>
        <v>100.01599899999999</v>
      </c>
      <c r="C36" s="2">
        <f>[1]!YBHIST("5 Year Treasury",$A36,"Price","govt","")</f>
        <v>100.44499999999999</v>
      </c>
      <c r="D36" s="2">
        <f>[1]!YBHIST("10 Year Treasury",$A36,"Price","govt","")</f>
        <v>99.484001000000006</v>
      </c>
      <c r="E36" s="10">
        <f>[1]!YBHIST("30 Year Treasury",$A36,"Price","govt","")</f>
        <v>100.5</v>
      </c>
      <c r="F36" s="3">
        <f>[1]!YBHIST("2 Year Treasury",$A36,"YldtoMat","govt","")</f>
        <v>0.24199999999999999</v>
      </c>
      <c r="G36" s="2">
        <f>[1]!YBHIST("5 Year Treasury",$A36,"YldtoMat","govt","")</f>
        <v>0.90800000000000003</v>
      </c>
      <c r="H36" s="2">
        <f>[1]!YBHIST("10 Year Treasury",$A36,"YldtoMat","govt","")</f>
        <v>2.0569999999999999</v>
      </c>
      <c r="I36" s="10">
        <f>[1]!YBHIST("30 Year Treasury",$A36,"YldtoMat","govt","")</f>
        <v>3.0990000000000002</v>
      </c>
      <c r="J36" s="3">
        <f>[1]!YBHIST("2yr Swap Rate",$A36,"YldtoMat","swapvol","")</f>
        <v>0.70423000000000002</v>
      </c>
      <c r="K36" s="2">
        <f>[1]!YBHIST("5yr Swap Rate",$A36,"YldtoMat","swapvol","")</f>
        <v>1.331548</v>
      </c>
      <c r="L36" s="2">
        <f>[1]!YBHIST("10yr Swap Rate",$A36,"YldtoMat","swapvol","")</f>
        <v>2.2474759999999998</v>
      </c>
      <c r="M36" s="10">
        <f>[1]!YBHIST("30yr Swap Rate",$A36,"YldtoMat","swapvol","")</f>
        <v>2.8459469999999998</v>
      </c>
      <c r="N36" s="3">
        <f>[1]!YBHIST("FNMA 30YR Cur Coup (BE)",$A36,"Yield","bmk","")</f>
        <v>3.2210000000000001</v>
      </c>
      <c r="O36" s="2">
        <f>[1]!YBHIST("FHLMC 30YR Cur Coup (BE)",$A36,"Yield","bmk","")</f>
        <v>3.2759999999999998</v>
      </c>
      <c r="P36" s="2">
        <f>[1]!YBHIST("GNMA 30YR Cur Coup (BE)",$A36,"Yield","bmk","")</f>
        <v>3.101</v>
      </c>
      <c r="Q36" s="2">
        <f>[1]!YBHIST("Primary 30-Yr Mtg Rate",$A36,"Yield","bmk","")</f>
        <v>4.2241</v>
      </c>
      <c r="R36" s="2">
        <f>[1]!YBHIST("FHLM 30-Yr Survey Rate",$A36,"Yield","bmk","")</f>
        <v>3.99</v>
      </c>
      <c r="S36" s="10">
        <f>[1]!YBHIST("Base Mortgage Rate",$A36,"Yield","bmk","")</f>
        <v>3.5390000000000001</v>
      </c>
      <c r="T36" s="27">
        <f>[1]!YBHIST("FNMA 30YR Cur Coup (BE)",$A36,"OAS-Lib","bmk","")</f>
        <v>19.688998999999999</v>
      </c>
      <c r="U36" s="28">
        <f>[1]!YBHIST("FHLMC 30YR Cur Coup (BE)",$A36,"OAS-Lib","bmk","")</f>
        <v>23.618998999999999</v>
      </c>
      <c r="V36" s="28">
        <f>[1]!YBHIST("GNMA 30YR Cur Coup (BE)",$A36,"OAS-Lib","bmk","")</f>
        <v>27.938998999999999</v>
      </c>
      <c r="W36" s="29">
        <f t="shared" si="3"/>
        <v>116.40000000000002</v>
      </c>
      <c r="X36" s="29">
        <f t="shared" si="4"/>
        <v>116.40000000000002</v>
      </c>
      <c r="Y36" s="29">
        <f t="shared" si="5"/>
        <v>121.89999999999999</v>
      </c>
      <c r="Z36" s="3">
        <f>[1]!YBHIST("FNMA3.5-GEN",$A36,"Price","tba","")</f>
        <v>101.609375</v>
      </c>
      <c r="AA36" s="2">
        <f>[1]!YBHIST("FNMA4.0-GEN",$A36,"Price","tba","")</f>
        <v>103.828125</v>
      </c>
      <c r="AB36" s="2">
        <f>[1]!YBHIST("FNMA4.5-GEN",$A36,"Price","tba","")</f>
        <v>105.421875</v>
      </c>
      <c r="AC36" s="2">
        <f>[1]!YBHIST("FNMA5.0-GEN",$A36,"Price","tba","")</f>
        <v>107.171875</v>
      </c>
      <c r="AD36" s="2">
        <f>[1]!YBHIST("FNMA5.5-GEN",$A36,"Price","tba","")</f>
        <v>108.125</v>
      </c>
      <c r="AE36" s="10">
        <f>[1]!YBHIST("FNMA6.0-GEN",$A36,"Price","tba","")</f>
        <v>109.140625</v>
      </c>
      <c r="AF36" s="3">
        <f>[1]!YBHIST(AF$4,$A36,"Price","sec","")</f>
        <v>17.155999999999999</v>
      </c>
      <c r="AG36" s="2">
        <f>[1]!YBHIST(AG$4,$A36,"Price","sec","")</f>
        <v>15.641</v>
      </c>
      <c r="AH36" s="2">
        <f>[1]!YBHIST(AH$4,$A36,"Price","sec","")</f>
        <v>14.077999999999999</v>
      </c>
      <c r="AI36" s="2">
        <f>[1]!YBHIST(AI$4,$A36,"Price","sec","")</f>
        <v>16.187999999999999</v>
      </c>
      <c r="AJ36" s="2">
        <f>[1]!YBHIST(AJ$4,$A36,"Price","sec","")</f>
        <v>13.375</v>
      </c>
      <c r="AK36" s="2">
        <f>[1]!YBHIST(AK$4,$A36,"Price","sec","")</f>
        <v>19.547001000000002</v>
      </c>
      <c r="AL36" s="2">
        <f>[1]!YBHIST(AL$4,$A36,"Price","sec","")</f>
        <v>16.969000000000001</v>
      </c>
      <c r="AM36" s="2">
        <f>[1]!YBHIST(AM$4,$A36,"Price","sec","")</f>
        <v>12.797000000000001</v>
      </c>
      <c r="AN36" s="2">
        <f>[1]!YBHIST(AN$4,$A36,"Price","sec","")</f>
        <v>14.531000000000001</v>
      </c>
      <c r="AO36" s="2">
        <f>[1]!YBHIST(AO$4,$A36,"Price","sec","")</f>
        <v>15</v>
      </c>
      <c r="AP36" s="2">
        <f>[1]!YBHIST(AP$4,$A36,"Price","sec","")</f>
        <v>13.202999999999999</v>
      </c>
      <c r="AQ36" s="2">
        <f>[1]!YBHIST(AQ$4,$A36,"Price","sec","")</f>
        <v>15.311999999999999</v>
      </c>
      <c r="AR36" s="2">
        <f>[1]!YBHIST(AR$4,$A36,"Price","sec","")</f>
        <v>14.781000000000001</v>
      </c>
      <c r="AS36" s="2">
        <f>[1]!YBHIST(AS$4,$A36,"Price","sec","")</f>
        <v>14.718999999999999</v>
      </c>
      <c r="AT36" s="2">
        <f>[1]!YBHIST(AT$4,$A36,"Price","sec","")</f>
        <v>16.891000999999999</v>
      </c>
      <c r="AU36" s="2">
        <f>[1]!YBHIST(AU$4,$A36,"Price","sec","")</f>
        <v>21.155999999999999</v>
      </c>
      <c r="AV36" s="2">
        <f>[1]!YBHIST(AV$4,$A36,"Price","sec","")</f>
        <v>20.516000999999999</v>
      </c>
      <c r="AW36" s="10">
        <f>[1]!YBHIST(AW$4,$A36,"Price","sec","")</f>
        <v>20.562000000000001</v>
      </c>
      <c r="AX36" s="29">
        <f>[1]!YBHIST(AX$4,$A36,"OAS-Lib","sec","")</f>
        <v>7.12</v>
      </c>
      <c r="AY36" s="29">
        <f>[1]!YBHIST(AY$4,$A36,"OAS-Lib","sec","")</f>
        <v>150.11000100000001</v>
      </c>
      <c r="AZ36" s="2">
        <f>[1]!YBHIST(AZ$4,$A36,"OAS-Lib","sec","")</f>
        <v>262.07998700000002</v>
      </c>
      <c r="BA36" s="2">
        <f>[1]!YBHIST(BA$4,$A36,"OAS-Lib","sec","")</f>
        <v>88.019997000000004</v>
      </c>
      <c r="BB36" s="29">
        <f>[1]!YBHIST(BB$4,$A36,"OAS-Lib","sec","")</f>
        <v>443.88000499999998</v>
      </c>
      <c r="BC36" s="2">
        <f>[1]!YBHIST(BC$4,$A36,"OAS-Lib","sec","")</f>
        <v>20.780000999999999</v>
      </c>
      <c r="BD36" s="29">
        <f>[1]!YBHIST(BD$4,$A36,"OAS-Lib","sec","")</f>
        <v>207.759995</v>
      </c>
      <c r="BE36" s="2">
        <f>[1]!YBHIST(BE$4,$A36,"OAS-Lib","sec","")</f>
        <v>1130.3599850000001</v>
      </c>
      <c r="BF36" s="2">
        <f>[1]!YBHIST(BF$4,$A36,"OAS-Lib","sec","")</f>
        <v>945.34002699999996</v>
      </c>
      <c r="BG36" s="2">
        <f>[1]!YBHIST(BG$4,$A36,"OAS-Lib","sec","")</f>
        <v>521.97997999999995</v>
      </c>
      <c r="BH36" s="29">
        <f>[1]!YBHIST(BH$4,$A36,"OAS-Lib","sec","")</f>
        <v>1373.400024</v>
      </c>
      <c r="BI36" s="2">
        <f>[1]!YBHIST(BI$4,$A36,"OAS-Lib","sec","")</f>
        <v>895.17999299999997</v>
      </c>
      <c r="BJ36" s="2">
        <f>[1]!YBHIST(BJ$4,$A36,"OAS-Lib","sec","")</f>
        <v>798.34997599999997</v>
      </c>
      <c r="BK36" s="29">
        <f>[1]!YBHIST(BK$4,$A36,"OAS-Lib","sec","")</f>
        <v>807.40002400000003</v>
      </c>
      <c r="BL36" s="30">
        <f>[1]!YBHIST(BL$4,$A36,"OAS-Lib","sec","")</f>
        <v>855.53002900000001</v>
      </c>
      <c r="BM36" s="2">
        <f>[1]!YBHIST(BM$4,$A36,"OAS-Lib","sec","")</f>
        <v>-91.400002000000001</v>
      </c>
      <c r="BN36" s="2">
        <f>[1]!YBHIST(BN$4,$A36,"OAS-Lib","sec","")</f>
        <v>-54.080002</v>
      </c>
      <c r="BO36" s="10">
        <f>[1]!YBHIST(BO$4,$A36,"OAS-Lib","sec","")</f>
        <v>98.330001999999993</v>
      </c>
      <c r="BP36" s="9"/>
      <c r="BQ36" s="1"/>
      <c r="BR36" s="1"/>
    </row>
    <row r="37" spans="1:70" x14ac:dyDescent="0.25">
      <c r="A37" s="22">
        <f>[1]!ybworkday(A$5,-1*(ROW()-ROW(A$5)),"USD","")</f>
        <v>40861</v>
      </c>
      <c r="B37" s="3">
        <f>[1]!YBHIST("2 Year Treasury",$A37,"Price","govt","")</f>
        <v>100.039001</v>
      </c>
      <c r="C37" s="2">
        <f>[1]!YBHIST("5 Year Treasury",$A37,"Price","govt","")</f>
        <v>100.5</v>
      </c>
      <c r="D37" s="2">
        <f>[1]!YBHIST("10 Year Treasury",$A37,"Price","govt","")</f>
        <v>99.609001000000006</v>
      </c>
      <c r="E37" s="10">
        <f>[1]!YBHIST("30 Year Treasury",$A37,"Price","govt","")</f>
        <v>100.703003</v>
      </c>
      <c r="F37" s="3">
        <f>[1]!YBHIST("2 Year Treasury",$A37,"YldtoMat","govt","")</f>
        <v>0.23</v>
      </c>
      <c r="G37" s="2">
        <f>[1]!YBHIST("5 Year Treasury",$A37,"YldtoMat","govt","")</f>
        <v>0.89700000000000002</v>
      </c>
      <c r="H37" s="2">
        <f>[1]!YBHIST("10 Year Treasury",$A37,"YldtoMat","govt","")</f>
        <v>2.0430000000000001</v>
      </c>
      <c r="I37" s="10">
        <f>[1]!YBHIST("30 Year Treasury",$A37,"YldtoMat","govt","")</f>
        <v>3.089</v>
      </c>
      <c r="J37" s="3">
        <f>[1]!YBHIST("2yr Swap Rate",$A37,"YldtoMat","swapvol","")</f>
        <v>0.70368399999999998</v>
      </c>
      <c r="K37" s="2">
        <f>[1]!YBHIST("5yr Swap Rate",$A37,"YldtoMat","swapvol","")</f>
        <v>1.3253109999999999</v>
      </c>
      <c r="L37" s="2">
        <f>[1]!YBHIST("10yr Swap Rate",$A37,"YldtoMat","swapvol","")</f>
        <v>2.233568</v>
      </c>
      <c r="M37" s="10">
        <f>[1]!YBHIST("30yr Swap Rate",$A37,"YldtoMat","swapvol","")</f>
        <v>2.8355480000000002</v>
      </c>
      <c r="N37" s="3">
        <f>[1]!YBHIST("FNMA 30YR Cur Coup (BE)",$A37,"Yield","bmk","")</f>
        <v>3.2069999999999999</v>
      </c>
      <c r="O37" s="2">
        <f>[1]!YBHIST("FHLMC 30YR Cur Coup (BE)",$A37,"Yield","bmk","")</f>
        <v>3.2330000000000001</v>
      </c>
      <c r="P37" s="2">
        <f>[1]!YBHIST("GNMA 30YR Cur Coup (BE)",$A37,"Yield","bmk","")</f>
        <v>3.0190000000000001</v>
      </c>
      <c r="Q37" s="2">
        <f>[1]!YBHIST("Primary 30-Yr Mtg Rate",$A37,"Yield","bmk","")</f>
        <v>4.1986999999999997</v>
      </c>
      <c r="R37" s="2">
        <f>[1]!YBHIST("FHLM 30-Yr Survey Rate",$A37,"Yield","bmk","")</f>
        <v>3.99</v>
      </c>
      <c r="S37" s="10">
        <f>[1]!YBHIST("Base Mortgage Rate",$A37,"Yield","bmk","")</f>
        <v>3.5139999999999998</v>
      </c>
      <c r="T37" s="27">
        <f>[1]!YBHIST("FNMA 30YR Cur Coup (BE)",$A37,"OAS-Lib","bmk","")</f>
        <v>17.986999999999998</v>
      </c>
      <c r="U37" s="28">
        <f>[1]!YBHIST("FHLMC 30YR Cur Coup (BE)",$A37,"OAS-Lib","bmk","")</f>
        <v>22.058001000000001</v>
      </c>
      <c r="V37" s="28">
        <f>[1]!YBHIST("GNMA 30YR Cur Coup (BE)",$A37,"OAS-Lib","bmk","")</f>
        <v>25</v>
      </c>
      <c r="W37" s="29">
        <f t="shared" si="3"/>
        <v>116.39999999999998</v>
      </c>
      <c r="X37" s="29">
        <f t="shared" si="4"/>
        <v>116.39999999999998</v>
      </c>
      <c r="Y37" s="29">
        <f t="shared" si="5"/>
        <v>119</v>
      </c>
      <c r="Z37" s="3">
        <f>[1]!YBHIST("FNMA3.5-GEN",$A37,"Price","tba","")</f>
        <v>101.671875</v>
      </c>
      <c r="AA37" s="2">
        <f>[1]!YBHIST("FNMA4.0-GEN",$A37,"Price","tba","")</f>
        <v>103.828125</v>
      </c>
      <c r="AB37" s="2">
        <f>[1]!YBHIST("FNMA4.5-GEN",$A37,"Price","tba","")</f>
        <v>105.390625</v>
      </c>
      <c r="AC37" s="2">
        <f>[1]!YBHIST("FNMA5.0-GEN",$A37,"Price","tba","")</f>
        <v>107.140625</v>
      </c>
      <c r="AD37" s="2">
        <f>[1]!YBHIST("FNMA5.5-GEN",$A37,"Price","tba","")</f>
        <v>108.09375</v>
      </c>
      <c r="AE37" s="10">
        <f>[1]!YBHIST("FNMA6.0-GEN",$A37,"Price","tba","")</f>
        <v>109.09375</v>
      </c>
      <c r="AF37" s="3">
        <f>[1]!YBHIST(AF$4,$A37,"Price","sec","")</f>
        <v>17.125</v>
      </c>
      <c r="AG37" s="2">
        <f>[1]!YBHIST(AG$4,$A37,"Price","sec","")</f>
        <v>15.577999999999999</v>
      </c>
      <c r="AH37" s="2">
        <f>[1]!YBHIST(AH$4,$A37,"Price","sec","")</f>
        <v>14.016</v>
      </c>
      <c r="AI37" s="2">
        <f>[1]!YBHIST(AI$4,$A37,"Price","sec","")</f>
        <v>16.108999000000001</v>
      </c>
      <c r="AJ37" s="2">
        <f>[1]!YBHIST(AJ$4,$A37,"Price","sec","")</f>
        <v>13.311999999999999</v>
      </c>
      <c r="AK37" s="2">
        <f>[1]!YBHIST(AK$4,$A37,"Price","sec","")</f>
        <v>19.5</v>
      </c>
      <c r="AL37" s="2">
        <f>[1]!YBHIST(AL$4,$A37,"Price","sec","")</f>
        <v>16.905999999999999</v>
      </c>
      <c r="AM37" s="2">
        <f>[1]!YBHIST(AM$4,$A37,"Price","sec","")</f>
        <v>12.734</v>
      </c>
      <c r="AN37" s="2">
        <f>[1]!YBHIST(AN$4,$A37,"Price","sec","")</f>
        <v>14.468999999999999</v>
      </c>
      <c r="AO37" s="2">
        <f>[1]!YBHIST(AO$4,$A37,"Price","sec","")</f>
        <v>14.938000000000001</v>
      </c>
      <c r="AP37" s="2">
        <f>[1]!YBHIST(AP$4,$A37,"Price","sec","")</f>
        <v>13.172000000000001</v>
      </c>
      <c r="AQ37" s="2">
        <f>[1]!YBHIST(AQ$4,$A37,"Price","sec","")</f>
        <v>15.281000000000001</v>
      </c>
      <c r="AR37" s="2">
        <f>[1]!YBHIST(AR$4,$A37,"Price","sec","")</f>
        <v>14.766</v>
      </c>
      <c r="AS37" s="2">
        <f>[1]!YBHIST(AS$4,$A37,"Price","sec","")</f>
        <v>14.702999999999999</v>
      </c>
      <c r="AT37" s="2">
        <f>[1]!YBHIST(AT$4,$A37,"Price","sec","")</f>
        <v>16.844000000000001</v>
      </c>
      <c r="AU37" s="2">
        <f>[1]!YBHIST(AU$4,$A37,"Price","sec","")</f>
        <v>21.141000999999999</v>
      </c>
      <c r="AV37" s="2">
        <f>[1]!YBHIST(AV$4,$A37,"Price","sec","")</f>
        <v>20.469000000000001</v>
      </c>
      <c r="AW37" s="10">
        <f>[1]!YBHIST(AW$4,$A37,"Price","sec","")</f>
        <v>20.516000999999999</v>
      </c>
      <c r="AX37" s="29">
        <f>[1]!YBHIST(AX$4,$A37,"OAS-Lib","sec","")</f>
        <v>-14.48</v>
      </c>
      <c r="AY37" s="29">
        <f>[1]!YBHIST(AY$4,$A37,"OAS-Lib","sec","")</f>
        <v>129.91000399999999</v>
      </c>
      <c r="AZ37" s="2">
        <f>[1]!YBHIST(AZ$4,$A37,"OAS-Lib","sec","")</f>
        <v>242.35000600000001</v>
      </c>
      <c r="BA37" s="2">
        <f>[1]!YBHIST(BA$4,$A37,"OAS-Lib","sec","")</f>
        <v>73.519997000000004</v>
      </c>
      <c r="BB37" s="29">
        <f>[1]!YBHIST(BB$4,$A37,"OAS-Lib","sec","")</f>
        <v>427.29998799999998</v>
      </c>
      <c r="BC37" s="2">
        <f>[1]!YBHIST(BC$4,$A37,"OAS-Lib","sec","")</f>
        <v>7.43</v>
      </c>
      <c r="BD37" s="29">
        <f>[1]!YBHIST(BD$4,$A37,"OAS-Lib","sec","")</f>
        <v>194.78999300000001</v>
      </c>
      <c r="BE37" s="2">
        <f>[1]!YBHIST(BE$4,$A37,"OAS-Lib","sec","")</f>
        <v>1124.0699460000001</v>
      </c>
      <c r="BF37" s="2">
        <f>[1]!YBHIST(BF$4,$A37,"OAS-Lib","sec","")</f>
        <v>947.02002000000005</v>
      </c>
      <c r="BG37" s="2">
        <f>[1]!YBHIST(BG$4,$A37,"OAS-Lib","sec","")</f>
        <v>518.03002900000001</v>
      </c>
      <c r="BH37" s="29">
        <f>[1]!YBHIST(BH$4,$A37,"OAS-Lib","sec","")</f>
        <v>1367.829956</v>
      </c>
      <c r="BI37" s="2">
        <f>[1]!YBHIST(BI$4,$A37,"OAS-Lib","sec","")</f>
        <v>891.01000999999997</v>
      </c>
      <c r="BJ37" s="2">
        <f>[1]!YBHIST(BJ$4,$A37,"OAS-Lib","sec","")</f>
        <v>786.69000200000005</v>
      </c>
      <c r="BK37" s="29">
        <f>[1]!YBHIST(BK$4,$A37,"OAS-Lib","sec","")</f>
        <v>804.29998799999998</v>
      </c>
      <c r="BL37" s="30">
        <f>[1]!YBHIST(BL$4,$A37,"OAS-Lib","sec","")</f>
        <v>857.21997099999999</v>
      </c>
      <c r="BM37" s="2">
        <f>[1]!YBHIST(BM$4,$A37,"OAS-Lib","sec","")</f>
        <v>-105.760002</v>
      </c>
      <c r="BN37" s="2">
        <f>[1]!YBHIST(BN$4,$A37,"OAS-Lib","sec","")</f>
        <v>-64.510002</v>
      </c>
      <c r="BO37" s="10">
        <f>[1]!YBHIST(BO$4,$A37,"OAS-Lib","sec","")</f>
        <v>90.860000999999997</v>
      </c>
      <c r="BP37" s="9"/>
      <c r="BQ37" s="1"/>
      <c r="BR37" s="1"/>
    </row>
    <row r="38" spans="1:70" x14ac:dyDescent="0.25">
      <c r="A38" s="22">
        <f>[1]!ybworkday(A$5,-1*(ROW()-ROW(A$5)),"USD","")</f>
        <v>40857</v>
      </c>
      <c r="B38" s="3">
        <f>[1]!YBHIST("2 Year Treasury",$A38,"Price","govt","")</f>
        <v>100.030998</v>
      </c>
      <c r="C38" s="2">
        <f>[1]!YBHIST("5 Year Treasury",$A38,"Price","govt","")</f>
        <v>100.460999</v>
      </c>
      <c r="D38" s="2">
        <f>[1]!YBHIST("10 Year Treasury",$A38,"Price","govt","")</f>
        <v>99.515998999999994</v>
      </c>
      <c r="E38" s="10">
        <f>[1]!YBHIST("30 Year Treasury",$A38,"Price","govt","")</f>
        <v>112.344002</v>
      </c>
      <c r="F38" s="3">
        <f>[1]!YBHIST("2 Year Treasury",$A38,"YldtoMat","govt","")</f>
        <v>0.23400000000000001</v>
      </c>
      <c r="G38" s="2">
        <f>[1]!YBHIST("5 Year Treasury",$A38,"YldtoMat","govt","")</f>
        <v>0.90500000000000003</v>
      </c>
      <c r="H38" s="2">
        <f>[1]!YBHIST("10 Year Treasury",$A38,"YldtoMat","govt","")</f>
        <v>2.0539999999999998</v>
      </c>
      <c r="I38" s="10">
        <f>[1]!YBHIST("30 Year Treasury",$A38,"YldtoMat","govt","")</f>
        <v>3.1110000000000002</v>
      </c>
      <c r="J38" s="3">
        <f>[1]!YBHIST("2yr Swap Rate",$A38,"YldtoMat","swapvol","")</f>
        <v>0.67336700000000005</v>
      </c>
      <c r="K38" s="2">
        <f>[1]!YBHIST("5yr Swap Rate",$A38,"YldtoMat","swapvol","")</f>
        <v>1.3032330000000001</v>
      </c>
      <c r="L38" s="2">
        <f>[1]!YBHIST("10yr Swap Rate",$A38,"YldtoMat","swapvol","")</f>
        <v>2.2218650000000002</v>
      </c>
      <c r="M38" s="10">
        <f>[1]!YBHIST("30yr Swap Rate",$A38,"YldtoMat","swapvol","")</f>
        <v>2.8666749999999999</v>
      </c>
      <c r="N38" s="3">
        <f>[1]!YBHIST("FNMA 30YR Cur Coup (BE)",$A38,"Yield","bmk","")</f>
        <v>3.21</v>
      </c>
      <c r="O38" s="2">
        <f>[1]!YBHIST("FHLMC 30YR Cur Coup (BE)",$A38,"Yield","bmk","")</f>
        <v>3.24</v>
      </c>
      <c r="P38" s="2">
        <f>[1]!YBHIST("GNMA 30YR Cur Coup (BE)",$A38,"Yield","bmk","")</f>
        <v>3.0219999999999998</v>
      </c>
      <c r="Q38" s="2">
        <f>[1]!YBHIST("Primary 30-Yr Mtg Rate",$A38,"Yield","bmk","")</f>
        <v>4.2019000000000002</v>
      </c>
      <c r="R38" s="2">
        <f>[1]!YBHIST("FHLM 30-Yr Survey Rate",$A38,"Yield","bmk","")</f>
        <v>3.99</v>
      </c>
      <c r="S38" s="10">
        <f>[1]!YBHIST("Base Mortgage Rate",$A38,"Yield","bmk","")</f>
        <v>3.5169999999999999</v>
      </c>
      <c r="T38" s="27">
        <f>[1]!YBHIST("FNMA 30YR Cur Coup (BE)",$A38,"OAS-Lib","bmk","")</f>
        <v>18.437999999999999</v>
      </c>
      <c r="U38" s="28">
        <f>[1]!YBHIST("FHLMC 30YR Cur Coup (BE)",$A38,"OAS-Lib","bmk","")</f>
        <v>22.785</v>
      </c>
      <c r="V38" s="28">
        <f>[1]!YBHIST("GNMA 30YR Cur Coup (BE)",$A38,"OAS-Lib","bmk","")</f>
        <v>26</v>
      </c>
      <c r="W38" s="29">
        <f t="shared" si="3"/>
        <v>115.60000000000001</v>
      </c>
      <c r="X38" s="29">
        <f t="shared" si="4"/>
        <v>115.60000000000001</v>
      </c>
      <c r="Y38" s="29">
        <f t="shared" si="5"/>
        <v>118.60000000000004</v>
      </c>
      <c r="Z38" s="3">
        <f>[1]!YBHIST("FNMA3.5-GEN",$A38,"Price","tba","")</f>
        <v>101.65625</v>
      </c>
      <c r="AA38" s="2">
        <f>[1]!YBHIST("FNMA4.0-GEN",$A38,"Price","tba","")</f>
        <v>103.875</v>
      </c>
      <c r="AB38" s="2">
        <f>[1]!YBHIST("FNMA4.5-GEN",$A38,"Price","tba","")</f>
        <v>105.5</v>
      </c>
      <c r="AC38" s="2">
        <f>[1]!YBHIST("FNMA5.0-GEN",$A38,"Price","tba","")</f>
        <v>107.328125</v>
      </c>
      <c r="AD38" s="2">
        <f>[1]!YBHIST("FNMA5.5-GEN",$A38,"Price","tba","")</f>
        <v>108.28125</v>
      </c>
      <c r="AE38" s="10">
        <f>[1]!YBHIST("FNMA6.0-GEN",$A38,"Price","tba","")</f>
        <v>109.328125</v>
      </c>
      <c r="AF38" s="3">
        <f>[1]!YBHIST(AF$4,$A38,"Price","sec","")</f>
        <v>17.155999999999999</v>
      </c>
      <c r="AG38" s="2">
        <f>[1]!YBHIST(AG$4,$A38,"Price","sec","")</f>
        <v>15.561999999999999</v>
      </c>
      <c r="AH38" s="2">
        <f>[1]!YBHIST(AH$4,$A38,"Price","sec","")</f>
        <v>14</v>
      </c>
      <c r="AI38" s="2">
        <f>[1]!YBHIST(AI$4,$A38,"Price","sec","")</f>
        <v>16.077998999999998</v>
      </c>
      <c r="AJ38" s="2">
        <f>[1]!YBHIST(AJ$4,$A38,"Price","sec","")</f>
        <v>13.297000000000001</v>
      </c>
      <c r="AK38" s="2">
        <f>[1]!YBHIST(AK$4,$A38,"Price","sec","")</f>
        <v>19.5</v>
      </c>
      <c r="AL38" s="2">
        <f>[1]!YBHIST(AL$4,$A38,"Price","sec","")</f>
        <v>16.891000999999999</v>
      </c>
      <c r="AM38" s="2">
        <f>[1]!YBHIST(AM$4,$A38,"Price","sec","")</f>
        <v>12.688000000000001</v>
      </c>
      <c r="AN38" s="2">
        <f>[1]!YBHIST(AN$4,$A38,"Price","sec","")</f>
        <v>14.422000000000001</v>
      </c>
      <c r="AO38" s="2">
        <f>[1]!YBHIST(AO$4,$A38,"Price","sec","")</f>
        <v>14.875</v>
      </c>
      <c r="AP38" s="2">
        <f>[1]!YBHIST(AP$4,$A38,"Price","sec","")</f>
        <v>13.452999999999999</v>
      </c>
      <c r="AQ38" s="2">
        <f>[1]!YBHIST(AQ$4,$A38,"Price","sec","")</f>
        <v>15.561999999999999</v>
      </c>
      <c r="AR38" s="2">
        <f>[1]!YBHIST(AR$4,$A38,"Price","sec","")</f>
        <v>15.047000000000001</v>
      </c>
      <c r="AS38" s="2">
        <f>[1]!YBHIST(AS$4,$A38,"Price","sec","")</f>
        <v>14.984</v>
      </c>
      <c r="AT38" s="2">
        <f>[1]!YBHIST(AT$4,$A38,"Price","sec","")</f>
        <v>17.141000999999999</v>
      </c>
      <c r="AU38" s="2">
        <f>[1]!YBHIST(AU$4,$A38,"Price","sec","")</f>
        <v>21.172001000000002</v>
      </c>
      <c r="AV38" s="2">
        <f>[1]!YBHIST(AV$4,$A38,"Price","sec","")</f>
        <v>20.516000999999999</v>
      </c>
      <c r="AW38" s="10">
        <f>[1]!YBHIST(AW$4,$A38,"Price","sec","")</f>
        <v>20.530999999999999</v>
      </c>
      <c r="AX38" s="29">
        <f>[1]!YBHIST(AX$4,$A38,"OAS-Lib","sec","")</f>
        <v>-25.57</v>
      </c>
      <c r="AY38" s="29">
        <f>[1]!YBHIST(AY$4,$A38,"OAS-Lib","sec","")</f>
        <v>99.940002000000007</v>
      </c>
      <c r="AZ38" s="2">
        <f>[1]!YBHIST(AZ$4,$A38,"OAS-Lib","sec","")</f>
        <v>198.979996</v>
      </c>
      <c r="BA38" s="2">
        <f>[1]!YBHIST(BA$4,$A38,"OAS-Lib","sec","")</f>
        <v>46.490001999999997</v>
      </c>
      <c r="BB38" s="29">
        <f>[1]!YBHIST(BB$4,$A38,"OAS-Lib","sec","")</f>
        <v>366.76998900000001</v>
      </c>
      <c r="BC38" s="2">
        <f>[1]!YBHIST(BC$4,$A38,"OAS-Lib","sec","")</f>
        <v>-12.93</v>
      </c>
      <c r="BD38" s="29">
        <f>[1]!YBHIST(BD$4,$A38,"OAS-Lib","sec","")</f>
        <v>157.03999300000001</v>
      </c>
      <c r="BE38" s="2">
        <f>[1]!YBHIST(BE$4,$A38,"OAS-Lib","sec","")</f>
        <v>1033.719971</v>
      </c>
      <c r="BF38" s="2">
        <f>[1]!YBHIST(BF$4,$A38,"OAS-Lib","sec","")</f>
        <v>888.05999799999995</v>
      </c>
      <c r="BG38" s="2">
        <f>[1]!YBHIST(BG$4,$A38,"OAS-Lib","sec","")</f>
        <v>451.5</v>
      </c>
      <c r="BH38" s="29">
        <f>[1]!YBHIST(BH$4,$A38,"OAS-Lib","sec","")</f>
        <v>1193.579956</v>
      </c>
      <c r="BI38" s="2">
        <f>[1]!YBHIST(BI$4,$A38,"OAS-Lib","sec","")</f>
        <v>774.14001499999995</v>
      </c>
      <c r="BJ38" s="2">
        <f>[1]!YBHIST(BJ$4,$A38,"OAS-Lib","sec","")</f>
        <v>648.85998500000005</v>
      </c>
      <c r="BK38" s="29">
        <f>[1]!YBHIST(BK$4,$A38,"OAS-Lib","sec","")</f>
        <v>665.85998500000005</v>
      </c>
      <c r="BL38" s="30">
        <f>[1]!YBHIST(BL$4,$A38,"OAS-Lib","sec","")</f>
        <v>741.03002900000001</v>
      </c>
      <c r="BM38" s="2">
        <f>[1]!YBHIST(BM$4,$A38,"OAS-Lib","sec","")</f>
        <v>-110.209999</v>
      </c>
      <c r="BN38" s="2">
        <f>[1]!YBHIST(BN$4,$A38,"OAS-Lib","sec","")</f>
        <v>-79.709998999999996</v>
      </c>
      <c r="BO38" s="10">
        <f>[1]!YBHIST(BO$4,$A38,"OAS-Lib","sec","")</f>
        <v>62.790000999999997</v>
      </c>
      <c r="BP38" s="9"/>
      <c r="BQ38" s="1"/>
      <c r="BR38" s="1"/>
    </row>
    <row r="39" spans="1:70" x14ac:dyDescent="0.25">
      <c r="A39" s="22">
        <f>[1]!ybworkday(A$5,-1*(ROW()-ROW(A$5)),"USD","")</f>
        <v>40856</v>
      </c>
      <c r="B39" s="3">
        <f>[1]!YBHIST("2 Year Treasury",$A39,"Price","govt","")</f>
        <v>100.039001</v>
      </c>
      <c r="C39" s="2">
        <f>[1]!YBHIST("5 Year Treasury",$A39,"Price","govt","")</f>
        <v>100.671997</v>
      </c>
      <c r="D39" s="2">
        <f>[1]!YBHIST("10 Year Treasury",$A39,"Price","govt","")</f>
        <v>101.5</v>
      </c>
      <c r="E39" s="10">
        <f>[1]!YBHIST("30 Year Treasury",$A39,"Price","govt","")</f>
        <v>114.39099899999999</v>
      </c>
      <c r="F39" s="3">
        <f>[1]!YBHIST("2 Year Treasury",$A39,"YldtoMat","govt","")</f>
        <v>0.23</v>
      </c>
      <c r="G39" s="2">
        <f>[1]!YBHIST("5 Year Treasury",$A39,"YldtoMat","govt","")</f>
        <v>0.86199999999999999</v>
      </c>
      <c r="H39" s="2">
        <f>[1]!YBHIST("10 Year Treasury",$A39,"YldtoMat","govt","")</f>
        <v>1.9550000000000001</v>
      </c>
      <c r="I39" s="10">
        <f>[1]!YBHIST("30 Year Treasury",$A39,"YldtoMat","govt","")</f>
        <v>3.0139999999999998</v>
      </c>
      <c r="J39" s="3">
        <f>[1]!YBHIST("2yr Swap Rate",$A39,"YldtoMat","swapvol","")</f>
        <v>0.64159900000000003</v>
      </c>
      <c r="K39" s="2">
        <f>[1]!YBHIST("5yr Swap Rate",$A39,"YldtoMat","swapvol","")</f>
        <v>1.2440979999999999</v>
      </c>
      <c r="L39" s="2">
        <f>[1]!YBHIST("10yr Swap Rate",$A39,"YldtoMat","swapvol","")</f>
        <v>2.150064</v>
      </c>
      <c r="M39" s="10">
        <f>[1]!YBHIST("30yr Swap Rate",$A39,"YldtoMat","swapvol","")</f>
        <v>2.7846950000000001</v>
      </c>
      <c r="N39" s="3">
        <f>[1]!YBHIST("FNMA 30YR Cur Coup (BE)",$A39,"Yield","bmk","")</f>
        <v>3.149</v>
      </c>
      <c r="O39" s="2">
        <f>[1]!YBHIST("FHLMC 30YR Cur Coup (BE)",$A39,"Yield","bmk","")</f>
        <v>3.1739999999999999</v>
      </c>
      <c r="P39" s="2">
        <f>[1]!YBHIST("GNMA 30YR Cur Coup (BE)",$A39,"Yield","bmk","")</f>
        <v>2.9940000000000002</v>
      </c>
      <c r="Q39" s="2">
        <f>[1]!YBHIST("Primary 30-Yr Mtg Rate",$A39,"Yield","bmk","")</f>
        <v>4.1764999999999999</v>
      </c>
      <c r="R39" s="2">
        <f>[1]!YBHIST("FHLM 30-Yr Survey Rate",$A39,"Yield","bmk","")</f>
        <v>4</v>
      </c>
      <c r="S39" s="10">
        <f>[1]!YBHIST("Base Mortgage Rate",$A39,"Yield","bmk","")</f>
        <v>3.4630000000000001</v>
      </c>
      <c r="T39" s="27">
        <f>[1]!YBHIST("FNMA 30YR Cur Coup (BE)",$A39,"OAS-Lib","bmk","")</f>
        <v>19.962999</v>
      </c>
      <c r="U39" s="28">
        <f>[1]!YBHIST("FHLMC 30YR Cur Coup (BE)",$A39,"OAS-Lib","bmk","")</f>
        <v>23.896999000000001</v>
      </c>
      <c r="V39" s="28">
        <f>[1]!YBHIST("GNMA 30YR Cur Coup (BE)",$A39,"OAS-Lib","bmk","")</f>
        <v>26</v>
      </c>
      <c r="W39" s="29">
        <f t="shared" si="3"/>
        <v>119.39999999999999</v>
      </c>
      <c r="X39" s="29">
        <f t="shared" si="4"/>
        <v>119.39999999999999</v>
      </c>
      <c r="Y39" s="29">
        <f t="shared" si="5"/>
        <v>121.89999999999999</v>
      </c>
      <c r="Z39" s="3">
        <f>[1]!YBHIST("FNMA3.5-GEN",$A39,"Price","tba","")</f>
        <v>101.921875</v>
      </c>
      <c r="AA39" s="2">
        <f>[1]!YBHIST("FNMA4.0-GEN",$A39,"Price","tba","")</f>
        <v>104.078125</v>
      </c>
      <c r="AB39" s="2">
        <f>[1]!YBHIST("FNMA4.5-GEN",$A39,"Price","tba","")</f>
        <v>105.671875</v>
      </c>
      <c r="AC39" s="2">
        <f>[1]!YBHIST("FNMA5.0-GEN",$A39,"Price","tba","")</f>
        <v>107.4375</v>
      </c>
      <c r="AD39" s="2">
        <f>[1]!YBHIST("FNMA5.5-GEN",$A39,"Price","tba","")</f>
        <v>108.375</v>
      </c>
      <c r="AE39" s="10">
        <f>[1]!YBHIST("FNMA6.0-GEN",$A39,"Price","tba","")</f>
        <v>109.4375</v>
      </c>
      <c r="AF39" s="3">
        <f>[1]!YBHIST(AF$4,$A39,"Price","sec","")</f>
        <v>16.858999000000001</v>
      </c>
      <c r="AG39" s="2">
        <f>[1]!YBHIST(AG$4,$A39,"Price","sec","")</f>
        <v>15.125</v>
      </c>
      <c r="AH39" s="2">
        <f>[1]!YBHIST(AH$4,$A39,"Price","sec","")</f>
        <v>13.531000000000001</v>
      </c>
      <c r="AI39" s="2">
        <f>[1]!YBHIST(AI$4,$A39,"Price","sec","")</f>
        <v>15.593999999999999</v>
      </c>
      <c r="AJ39" s="2">
        <f>[1]!YBHIST(AJ$4,$A39,"Price","sec","")</f>
        <v>12.75</v>
      </c>
      <c r="AK39" s="2">
        <f>[1]!YBHIST(AK$4,$A39,"Price","sec","")</f>
        <v>19.016000999999999</v>
      </c>
      <c r="AL39" s="2">
        <f>[1]!YBHIST(AL$4,$A39,"Price","sec","")</f>
        <v>16.344000000000001</v>
      </c>
      <c r="AM39" s="2">
        <f>[1]!YBHIST(AM$4,$A39,"Price","sec","")</f>
        <v>12.172000000000001</v>
      </c>
      <c r="AN39" s="2">
        <f>[1]!YBHIST(AN$4,$A39,"Price","sec","")</f>
        <v>13.968999999999999</v>
      </c>
      <c r="AO39" s="2">
        <f>[1]!YBHIST(AO$4,$A39,"Price","sec","")</f>
        <v>14.359</v>
      </c>
      <c r="AP39" s="2">
        <f>[1]!YBHIST(AP$4,$A39,"Price","sec","")</f>
        <v>13.031000000000001</v>
      </c>
      <c r="AQ39" s="2">
        <f>[1]!YBHIST(AQ$4,$A39,"Price","sec","")</f>
        <v>15.202999999999999</v>
      </c>
      <c r="AR39" s="2">
        <f>[1]!YBHIST(AR$4,$A39,"Price","sec","")</f>
        <v>14.641</v>
      </c>
      <c r="AS39" s="2">
        <f>[1]!YBHIST(AS$4,$A39,"Price","sec","")</f>
        <v>14.609</v>
      </c>
      <c r="AT39" s="2">
        <f>[1]!YBHIST(AT$4,$A39,"Price","sec","")</f>
        <v>16.827998999999998</v>
      </c>
      <c r="AU39" s="2">
        <f>[1]!YBHIST(AU$4,$A39,"Price","sec","")</f>
        <v>20.937999999999999</v>
      </c>
      <c r="AV39" s="2">
        <f>[1]!YBHIST(AV$4,$A39,"Price","sec","")</f>
        <v>20.155999999999999</v>
      </c>
      <c r="AW39" s="10">
        <f>[1]!YBHIST(AW$4,$A39,"Price","sec","")</f>
        <v>20</v>
      </c>
      <c r="AX39" s="29">
        <f>[1]!YBHIST(AX$4,$A39,"OAS-Lib","sec","")</f>
        <v>-42.389999000000003</v>
      </c>
      <c r="AY39" s="29">
        <f>[1]!YBHIST(AY$4,$A39,"OAS-Lib","sec","")</f>
        <v>103.199997</v>
      </c>
      <c r="AZ39" s="2">
        <f>[1]!YBHIST(AZ$4,$A39,"OAS-Lib","sec","")</f>
        <v>218.990005</v>
      </c>
      <c r="BA39" s="2">
        <f>[1]!YBHIST(BA$4,$A39,"OAS-Lib","sec","")</f>
        <v>59.07</v>
      </c>
      <c r="BB39" s="29">
        <f>[1]!YBHIST(BB$4,$A39,"OAS-Lib","sec","")</f>
        <v>416.26998900000001</v>
      </c>
      <c r="BC39" s="2">
        <f>[1]!YBHIST(BC$4,$A39,"OAS-Lib","sec","")</f>
        <v>-1.94</v>
      </c>
      <c r="BD39" s="29">
        <f>[1]!YBHIST(BD$4,$A39,"OAS-Lib","sec","")</f>
        <v>189.53999300000001</v>
      </c>
      <c r="BE39" s="2">
        <f>[1]!YBHIST(BE$4,$A39,"OAS-Lib","sec","")</f>
        <v>1125.76001</v>
      </c>
      <c r="BF39" s="2">
        <f>[1]!YBHIST(BF$4,$A39,"OAS-Lib","sec","")</f>
        <v>961.07000700000003</v>
      </c>
      <c r="BG39" s="2">
        <f>[1]!YBHIST(BG$4,$A39,"OAS-Lib","sec","")</f>
        <v>522.77002000000005</v>
      </c>
      <c r="BH39" s="29">
        <f>[1]!YBHIST(BH$4,$A39,"OAS-Lib","sec","")</f>
        <v>1272.7700199999999</v>
      </c>
      <c r="BI39" s="2">
        <f>[1]!YBHIST(BI$4,$A39,"OAS-Lib","sec","")</f>
        <v>828.01000999999997</v>
      </c>
      <c r="BJ39" s="2">
        <f>[1]!YBHIST(BJ$4,$A39,"OAS-Lib","sec","")</f>
        <v>705.57000700000003</v>
      </c>
      <c r="BK39" s="29">
        <f>[1]!YBHIST(BK$4,$A39,"OAS-Lib","sec","")</f>
        <v>733.21997099999999</v>
      </c>
      <c r="BL39" s="30">
        <f>[1]!YBHIST(BL$4,$A39,"OAS-Lib","sec","")</f>
        <v>789.080017</v>
      </c>
      <c r="BM39" s="2">
        <f>[1]!YBHIST(BM$4,$A39,"OAS-Lib","sec","")</f>
        <v>-124.029999</v>
      </c>
      <c r="BN39" s="2">
        <f>[1]!YBHIST(BN$4,$A39,"OAS-Lib","sec","")</f>
        <v>-79.529999000000004</v>
      </c>
      <c r="BO39" s="10">
        <f>[1]!YBHIST(BO$4,$A39,"OAS-Lib","sec","")</f>
        <v>90.919998000000007</v>
      </c>
      <c r="BP39" s="9"/>
      <c r="BQ39" s="1"/>
      <c r="BR39" s="1"/>
    </row>
    <row r="40" spans="1:70" x14ac:dyDescent="0.25">
      <c r="A40" s="22">
        <f>[1]!ybworkday(A$5,-1*(ROW()-ROW(A$5)),"USD","")</f>
        <v>40855</v>
      </c>
      <c r="B40" s="3">
        <f>[1]!YBHIST("2 Year Treasury",$A40,"Price","govt","")</f>
        <v>100.023003</v>
      </c>
      <c r="C40" s="2">
        <f>[1]!YBHIST("5 Year Treasury",$A40,"Price","govt","")</f>
        <v>100.405998</v>
      </c>
      <c r="D40" s="2">
        <f>[1]!YBHIST("10 Year Treasury",$A40,"Price","govt","")</f>
        <v>100.56300400000001</v>
      </c>
      <c r="E40" s="10">
        <f>[1]!YBHIST("30 Year Treasury",$A40,"Price","govt","")</f>
        <v>112.030998</v>
      </c>
      <c r="F40" s="3">
        <f>[1]!YBHIST("2 Year Treasury",$A40,"YldtoMat","govt","")</f>
        <v>0.23799999999999999</v>
      </c>
      <c r="G40" s="2">
        <f>[1]!YBHIST("5 Year Treasury",$A40,"YldtoMat","govt","")</f>
        <v>0.91600000000000004</v>
      </c>
      <c r="H40" s="2">
        <f>[1]!YBHIST("10 Year Treasury",$A40,"YldtoMat","govt","")</f>
        <v>2.0609999999999999</v>
      </c>
      <c r="I40" s="10">
        <f>[1]!YBHIST("30 Year Treasury",$A40,"YldtoMat","govt","")</f>
        <v>3.1259999999999999</v>
      </c>
      <c r="J40" s="3">
        <f>[1]!YBHIST("2yr Swap Rate",$A40,"YldtoMat","swapvol","")</f>
        <v>0.60006000000000004</v>
      </c>
      <c r="K40" s="2">
        <f>[1]!YBHIST("5yr Swap Rate",$A40,"YldtoMat","swapvol","")</f>
        <v>1.25482</v>
      </c>
      <c r="L40" s="2">
        <f>[1]!YBHIST("10yr Swap Rate",$A40,"YldtoMat","swapvol","")</f>
        <v>2.2235239999999998</v>
      </c>
      <c r="M40" s="10">
        <f>[1]!YBHIST("30yr Swap Rate",$A40,"YldtoMat","swapvol","")</f>
        <v>2.884998</v>
      </c>
      <c r="N40" s="3">
        <f>[1]!YBHIST("FNMA 30YR Cur Coup (BE)",$A40,"Yield","bmk","")</f>
        <v>3.1930000000000001</v>
      </c>
      <c r="O40" s="2">
        <f>[1]!YBHIST("FHLMC 30YR Cur Coup (BE)",$A40,"Yield","bmk","")</f>
        <v>3.2320000000000002</v>
      </c>
      <c r="P40" s="2">
        <f>[1]!YBHIST("GNMA 30YR Cur Coup (BE)",$A40,"Yield","bmk","")</f>
        <v>3.0379999999999998</v>
      </c>
      <c r="Q40" s="2">
        <f>[1]!YBHIST("Primary 30-Yr Mtg Rate",$A40,"Yield","bmk","")</f>
        <v>4.2225999999999999</v>
      </c>
      <c r="R40" s="2">
        <f>[1]!YBHIST("FHLM 30-Yr Survey Rate",$A40,"Yield","bmk","")</f>
        <v>4</v>
      </c>
      <c r="S40" s="10">
        <f>[1]!YBHIST("Base Mortgage Rate",$A40,"Yield","bmk","")</f>
        <v>3.5089999999999999</v>
      </c>
      <c r="T40" s="27">
        <f>[1]!YBHIST("FNMA 30YR Cur Coup (BE)",$A40,"OAS-Lib","bmk","")</f>
        <v>21.481000999999999</v>
      </c>
      <c r="U40" s="28">
        <f>[1]!YBHIST("FHLMC 30YR Cur Coup (BE)",$A40,"OAS-Lib","bmk","")</f>
        <v>23.274000000000001</v>
      </c>
      <c r="V40" s="28">
        <f>[1]!YBHIST("GNMA 30YR Cur Coup (BE)",$A40,"OAS-Lib","bmk","")</f>
        <v>30.629000000000001</v>
      </c>
      <c r="W40" s="29">
        <f t="shared" si="3"/>
        <v>113.20000000000002</v>
      </c>
      <c r="X40" s="29">
        <f t="shared" si="4"/>
        <v>113.20000000000002</v>
      </c>
      <c r="Y40" s="29">
        <f t="shared" si="5"/>
        <v>117.10000000000002</v>
      </c>
      <c r="Z40" s="3">
        <f>[1]!YBHIST("FNMA3.5-GEN",$A40,"Price","tba","")</f>
        <v>101.691406</v>
      </c>
      <c r="AA40" s="2">
        <f>[1]!YBHIST("FNMA4.0-GEN",$A40,"Price","tba","")</f>
        <v>103.910156</v>
      </c>
      <c r="AB40" s="2">
        <f>[1]!YBHIST("FNMA4.5-GEN",$A40,"Price","tba","")</f>
        <v>105.597656</v>
      </c>
      <c r="AC40" s="2">
        <f>[1]!YBHIST("FNMA5.0-GEN",$A40,"Price","tba","")</f>
        <v>107.417969</v>
      </c>
      <c r="AD40" s="2">
        <f>[1]!YBHIST("FNMA5.5-GEN",$A40,"Price","tba","")</f>
        <v>108.351562</v>
      </c>
      <c r="AE40" s="10">
        <f>[1]!YBHIST("FNMA6.0-GEN",$A40,"Price","tba","")</f>
        <v>109.480469</v>
      </c>
      <c r="AF40" s="3">
        <f>[1]!YBHIST(AF$4,$A40,"Price","sec","")</f>
        <v>17.280999999999999</v>
      </c>
      <c r="AG40" s="2">
        <f>[1]!YBHIST(AG$4,$A40,"Price","sec","")</f>
        <v>15.577999999999999</v>
      </c>
      <c r="AH40" s="2">
        <f>[1]!YBHIST(AH$4,$A40,"Price","sec","")</f>
        <v>14.047000000000001</v>
      </c>
      <c r="AI40" s="2">
        <f>[1]!YBHIST(AI$4,$A40,"Price","sec","")</f>
        <v>15.968999999999999</v>
      </c>
      <c r="AJ40" s="2">
        <f>[1]!YBHIST(AJ$4,$A40,"Price","sec","")</f>
        <v>13.25</v>
      </c>
      <c r="AK40" s="2">
        <f>[1]!YBHIST(AK$4,$A40,"Price","sec","")</f>
        <v>19.25</v>
      </c>
      <c r="AL40" s="2">
        <f>[1]!YBHIST(AL$4,$A40,"Price","sec","")</f>
        <v>16.562000000000001</v>
      </c>
      <c r="AM40" s="2">
        <f>[1]!YBHIST(AM$4,$A40,"Price","sec","")</f>
        <v>12.359</v>
      </c>
      <c r="AN40" s="2">
        <f>[1]!YBHIST(AN$4,$A40,"Price","sec","")</f>
        <v>14.172000000000001</v>
      </c>
      <c r="AO40" s="2">
        <f>[1]!YBHIST(AO$4,$A40,"Price","sec","")</f>
        <v>14.561999999999999</v>
      </c>
      <c r="AP40" s="2">
        <f>[1]!YBHIST(AP$4,$A40,"Price","sec","")</f>
        <v>13.281000000000001</v>
      </c>
      <c r="AQ40" s="2">
        <f>[1]!YBHIST(AQ$4,$A40,"Price","sec","")</f>
        <v>15.406000000000001</v>
      </c>
      <c r="AR40" s="2">
        <f>[1]!YBHIST(AR$4,$A40,"Price","sec","")</f>
        <v>14.843999999999999</v>
      </c>
      <c r="AS40" s="2">
        <f>[1]!YBHIST(AS$4,$A40,"Price","sec","")</f>
        <v>14.781000000000001</v>
      </c>
      <c r="AT40" s="2">
        <f>[1]!YBHIST(AT$4,$A40,"Price","sec","")</f>
        <v>16.969000000000001</v>
      </c>
      <c r="AU40" s="2">
        <f>[1]!YBHIST(AU$4,$A40,"Price","sec","")</f>
        <v>21.219000000000001</v>
      </c>
      <c r="AV40" s="2">
        <f>[1]!YBHIST(AV$4,$A40,"Price","sec","")</f>
        <v>20.437999999999999</v>
      </c>
      <c r="AW40" s="10">
        <f>[1]!YBHIST(AW$4,$A40,"Price","sec","")</f>
        <v>20.233999000000001</v>
      </c>
      <c r="AX40" s="29">
        <f>[1]!YBHIST(AX$4,$A40,"OAS-Lib","sec","")</f>
        <v>-12.6</v>
      </c>
      <c r="AY40" s="29">
        <f>[1]!YBHIST(AY$4,$A40,"OAS-Lib","sec","")</f>
        <v>123.589996</v>
      </c>
      <c r="AZ40" s="2">
        <f>[1]!YBHIST(AZ$4,$A40,"OAS-Lib","sec","")</f>
        <v>216.03999300000001</v>
      </c>
      <c r="BA40" s="2">
        <f>[1]!YBHIST(BA$4,$A40,"OAS-Lib","sec","")</f>
        <v>85.400002000000001</v>
      </c>
      <c r="BB40" s="29">
        <f>[1]!YBHIST(BB$4,$A40,"OAS-Lib","sec","")</f>
        <v>399.69000199999999</v>
      </c>
      <c r="BC40" s="2">
        <f>[1]!YBHIST(BC$4,$A40,"OAS-Lib","sec","")</f>
        <v>37.900002000000001</v>
      </c>
      <c r="BD40" s="29">
        <f>[1]!YBHIST(BD$4,$A40,"OAS-Lib","sec","")</f>
        <v>227.529999</v>
      </c>
      <c r="BE40" s="2">
        <f>[1]!YBHIST(BE$4,$A40,"OAS-Lib","sec","")</f>
        <v>1149.290039</v>
      </c>
      <c r="BF40" s="2">
        <f>[1]!YBHIST(BF$4,$A40,"OAS-Lib","sec","")</f>
        <v>964.88000499999998</v>
      </c>
      <c r="BG40" s="2">
        <f>[1]!YBHIST(BG$4,$A40,"OAS-Lib","sec","")</f>
        <v>534.97997999999995</v>
      </c>
      <c r="BH40" s="29">
        <f>[1]!YBHIST(BH$4,$A40,"OAS-Lib","sec","")</f>
        <v>1265.6800539999999</v>
      </c>
      <c r="BI40" s="2">
        <f>[1]!YBHIST(BI$4,$A40,"OAS-Lib","sec","")</f>
        <v>824.59997599999997</v>
      </c>
      <c r="BJ40" s="2">
        <f>[1]!YBHIST(BJ$4,$A40,"OAS-Lib","sec","")</f>
        <v>712.52002000000005</v>
      </c>
      <c r="BK40" s="29">
        <f>[1]!YBHIST(BK$4,$A40,"OAS-Lib","sec","")</f>
        <v>733.63000499999998</v>
      </c>
      <c r="BL40" s="30">
        <f>[1]!YBHIST(BL$4,$A40,"OAS-Lib","sec","")</f>
        <v>792.169983</v>
      </c>
      <c r="BM40" s="2">
        <f>[1]!YBHIST(BM$4,$A40,"OAS-Lib","sec","")</f>
        <v>-99.580001999999993</v>
      </c>
      <c r="BN40" s="2">
        <f>[1]!YBHIST(BN$4,$A40,"OAS-Lib","sec","")</f>
        <v>-84.220000999999996</v>
      </c>
      <c r="BO40" s="10">
        <f>[1]!YBHIST(BO$4,$A40,"OAS-Lib","sec","")</f>
        <v>86.900002000000001</v>
      </c>
      <c r="BP40" s="9"/>
      <c r="BQ40" s="1"/>
      <c r="BR40" s="1"/>
    </row>
    <row r="41" spans="1:70" x14ac:dyDescent="0.25">
      <c r="A41" s="22">
        <f>[1]!ybworkday(A$5,-1*(ROW()-ROW(A$5)),"USD","")</f>
        <v>40854</v>
      </c>
      <c r="B41" s="3">
        <f>[1]!YBHIST("2 Year Treasury",$A41,"Price","govt","")</f>
        <v>100.039001</v>
      </c>
      <c r="C41" s="2">
        <f>[1]!YBHIST("5 Year Treasury",$A41,"Price","govt","")</f>
        <v>100.633003</v>
      </c>
      <c r="D41" s="2">
        <f>[1]!YBHIST("10 Year Treasury",$A41,"Price","govt","")</f>
        <v>101.155998</v>
      </c>
      <c r="E41" s="10">
        <f>[1]!YBHIST("30 Year Treasury",$A41,"Price","govt","")</f>
        <v>113.921997</v>
      </c>
      <c r="F41" s="3">
        <f>[1]!YBHIST("2 Year Treasury",$A41,"YldtoMat","govt","")</f>
        <v>0.23</v>
      </c>
      <c r="G41" s="2">
        <f>[1]!YBHIST("5 Year Treasury",$A41,"YldtoMat","govt","")</f>
        <v>0.87</v>
      </c>
      <c r="H41" s="2">
        <f>[1]!YBHIST("10 Year Treasury",$A41,"YldtoMat","govt","")</f>
        <v>1.994</v>
      </c>
      <c r="I41" s="10">
        <f>[1]!YBHIST("30 Year Treasury",$A41,"YldtoMat","govt","")</f>
        <v>3.036</v>
      </c>
      <c r="J41" s="3">
        <f>[1]!YBHIST("2yr Swap Rate",$A41,"YldtoMat","swapvol","")</f>
        <v>0.58926400000000001</v>
      </c>
      <c r="K41" s="2">
        <f>[1]!YBHIST("5yr Swap Rate",$A41,"YldtoMat","swapvol","")</f>
        <v>1.2034130000000001</v>
      </c>
      <c r="L41" s="2">
        <f>[1]!YBHIST("10yr Swap Rate",$A41,"YldtoMat","swapvol","")</f>
        <v>2.1565910000000001</v>
      </c>
      <c r="M41" s="10">
        <f>[1]!YBHIST("30yr Swap Rate",$A41,"YldtoMat","swapvol","")</f>
        <v>2.7977150000000002</v>
      </c>
      <c r="N41" s="3">
        <f>[1]!YBHIST("FNMA 30YR Cur Coup (BE)",$A41,"Yield","bmk","")</f>
        <v>3.1160000000000001</v>
      </c>
      <c r="O41" s="2">
        <f>[1]!YBHIST("FHLMC 30YR Cur Coup (BE)",$A41,"Yield","bmk","")</f>
        <v>3.1509999999999998</v>
      </c>
      <c r="P41" s="2">
        <f>[1]!YBHIST("GNMA 30YR Cur Coup (BE)",$A41,"Yield","bmk","")</f>
        <v>2.9590000000000001</v>
      </c>
      <c r="Q41" s="2">
        <f>[1]!YBHIST("Primary 30-Yr Mtg Rate",$A41,"Yield","bmk","")</f>
        <v>4.1510999999999996</v>
      </c>
      <c r="R41" s="2">
        <f>[1]!YBHIST("FHLM 30-Yr Survey Rate",$A41,"Yield","bmk","")</f>
        <v>4</v>
      </c>
      <c r="S41" s="10">
        <f>[1]!YBHIST("Base Mortgage Rate",$A41,"Yield","bmk","")</f>
        <v>3.4369999999999998</v>
      </c>
      <c r="T41" s="27">
        <f>[1]!YBHIST("FNMA 30YR Cur Coup (BE)",$A41,"OAS-Lib","bmk","")</f>
        <v>20</v>
      </c>
      <c r="U41" s="28">
        <f>[1]!YBHIST("FHLMC 30YR Cur Coup (BE)",$A41,"OAS-Lib","bmk","")</f>
        <v>24.114000000000001</v>
      </c>
      <c r="V41" s="28">
        <f>[1]!YBHIST("GNMA 30YR Cur Coup (BE)",$A41,"OAS-Lib","bmk","")</f>
        <v>25</v>
      </c>
      <c r="W41" s="29">
        <f t="shared" si="3"/>
        <v>112.20000000000002</v>
      </c>
      <c r="X41" s="29">
        <f t="shared" si="4"/>
        <v>112.20000000000002</v>
      </c>
      <c r="Y41" s="29">
        <f t="shared" si="5"/>
        <v>115.69999999999997</v>
      </c>
      <c r="Z41" s="3">
        <f>[1]!YBHIST("FNMA3.5-GEN",$A41,"Price","tba","")</f>
        <v>102.25</v>
      </c>
      <c r="AA41" s="2">
        <f>[1]!YBHIST("FNMA4.0-GEN",$A41,"Price","tba","")</f>
        <v>104.28125</v>
      </c>
      <c r="AB41" s="2">
        <f>[1]!YBHIST("FNMA4.5-GEN",$A41,"Price","tba","")</f>
        <v>105.875</v>
      </c>
      <c r="AC41" s="2">
        <f>[1]!YBHIST("FNMA5.0-GEN",$A41,"Price","tba","")</f>
        <v>107.671875</v>
      </c>
      <c r="AD41" s="2">
        <f>[1]!YBHIST("FNMA5.5-GEN",$A41,"Price","tba","")</f>
        <v>108.578125</v>
      </c>
      <c r="AE41" s="10">
        <f>[1]!YBHIST("FNMA6.0-GEN",$A41,"Price","tba","")</f>
        <v>109.71875</v>
      </c>
      <c r="AF41" s="3">
        <f>[1]!YBHIST(AF$4,$A41,"Price","sec","")</f>
        <v>17.030999999999999</v>
      </c>
      <c r="AG41" s="2">
        <f>[1]!YBHIST(AG$4,$A41,"Price","sec","")</f>
        <v>15.25</v>
      </c>
      <c r="AH41" s="2">
        <f>[1]!YBHIST(AH$4,$A41,"Price","sec","")</f>
        <v>13.718999999999999</v>
      </c>
      <c r="AI41" s="2">
        <f>[1]!YBHIST(AI$4,$A41,"Price","sec","")</f>
        <v>15.561999999999999</v>
      </c>
      <c r="AJ41" s="2">
        <f>[1]!YBHIST(AJ$4,$A41,"Price","sec","")</f>
        <v>12.952999999999999</v>
      </c>
      <c r="AK41" s="2">
        <f>[1]!YBHIST(AK$4,$A41,"Price","sec","")</f>
        <v>18.827998999999998</v>
      </c>
      <c r="AL41" s="2">
        <f>[1]!YBHIST(AL$4,$A41,"Price","sec","")</f>
        <v>16.172001000000002</v>
      </c>
      <c r="AM41" s="2">
        <f>[1]!YBHIST(AM$4,$A41,"Price","sec","")</f>
        <v>12.031000000000001</v>
      </c>
      <c r="AN41" s="2">
        <f>[1]!YBHIST(AN$4,$A41,"Price","sec","")</f>
        <v>13.875</v>
      </c>
      <c r="AO41" s="2">
        <f>[1]!YBHIST(AO$4,$A41,"Price","sec","")</f>
        <v>14.25</v>
      </c>
      <c r="AP41" s="2">
        <f>[1]!YBHIST(AP$4,$A41,"Price","sec","")</f>
        <v>13.156000000000001</v>
      </c>
      <c r="AQ41" s="2">
        <f>[1]!YBHIST(AQ$4,$A41,"Price","sec","")</f>
        <v>15.281000000000001</v>
      </c>
      <c r="AR41" s="2">
        <f>[1]!YBHIST(AR$4,$A41,"Price","sec","")</f>
        <v>14.718999999999999</v>
      </c>
      <c r="AS41" s="2">
        <f>[1]!YBHIST(AS$4,$A41,"Price","sec","")</f>
        <v>14.688000000000001</v>
      </c>
      <c r="AT41" s="2">
        <f>[1]!YBHIST(AT$4,$A41,"Price","sec","")</f>
        <v>16.983999000000001</v>
      </c>
      <c r="AU41" s="2">
        <f>[1]!YBHIST(AU$4,$A41,"Price","sec","")</f>
        <v>21.030999999999999</v>
      </c>
      <c r="AV41" s="2">
        <f>[1]!YBHIST(AV$4,$A41,"Price","sec","")</f>
        <v>20.187999999999999</v>
      </c>
      <c r="AW41" s="10">
        <f>[1]!YBHIST(AW$4,$A41,"Price","sec","")</f>
        <v>19.875</v>
      </c>
      <c r="AX41" s="29">
        <f>[1]!YBHIST(AX$4,$A41,"OAS-Lib","sec","")</f>
        <v>-59.040000999999997</v>
      </c>
      <c r="AY41" s="29">
        <f>[1]!YBHIST(AY$4,$A41,"OAS-Lib","sec","")</f>
        <v>82.160004000000001</v>
      </c>
      <c r="AZ41" s="2">
        <f>[1]!YBHIST(AZ$4,$A41,"OAS-Lib","sec","")</f>
        <v>183.199997</v>
      </c>
      <c r="BA41" s="2">
        <f>[1]!YBHIST(BA$4,$A41,"OAS-Lib","sec","")</f>
        <v>56.360000999999997</v>
      </c>
      <c r="BB41" s="29">
        <f>[1]!YBHIST(BB$4,$A41,"OAS-Lib","sec","")</f>
        <v>367.39999399999999</v>
      </c>
      <c r="BC41" s="2">
        <f>[1]!YBHIST(BC$4,$A41,"OAS-Lib","sec","")</f>
        <v>12.11</v>
      </c>
      <c r="BD41" s="29">
        <f>[1]!YBHIST(BD$4,$A41,"OAS-Lib","sec","")</f>
        <v>210.61999499999999</v>
      </c>
      <c r="BE41" s="2">
        <f>[1]!YBHIST(BE$4,$A41,"OAS-Lib","sec","")</f>
        <v>1150.339966</v>
      </c>
      <c r="BF41" s="2">
        <f>[1]!YBHIST(BF$4,$A41,"OAS-Lib","sec","")</f>
        <v>982.96002199999998</v>
      </c>
      <c r="BG41" s="2">
        <f>[1]!YBHIST(BG$4,$A41,"OAS-Lib","sec","")</f>
        <v>546.86999500000002</v>
      </c>
      <c r="BH41" s="29">
        <f>[1]!YBHIST(BH$4,$A41,"OAS-Lib","sec","")</f>
        <v>1218.6800539999999</v>
      </c>
      <c r="BI41" s="2">
        <f>[1]!YBHIST(BI$4,$A41,"OAS-Lib","sec","")</f>
        <v>818.580017</v>
      </c>
      <c r="BJ41" s="2">
        <f>[1]!YBHIST(BJ$4,$A41,"OAS-Lib","sec","")</f>
        <v>688.38000499999998</v>
      </c>
      <c r="BK41" s="29">
        <f>[1]!YBHIST(BK$4,$A41,"OAS-Lib","sec","")</f>
        <v>726.86999500000002</v>
      </c>
      <c r="BL41" s="30">
        <f>[1]!YBHIST(BL$4,$A41,"OAS-Lib","sec","")</f>
        <v>768.73999000000003</v>
      </c>
      <c r="BM41" s="2">
        <f>[1]!YBHIST(BM$4,$A41,"OAS-Lib","sec","")</f>
        <v>-139.229996</v>
      </c>
      <c r="BN41" s="2">
        <f>[1]!YBHIST(BN$4,$A41,"OAS-Lib","sec","")</f>
        <v>-122.300003</v>
      </c>
      <c r="BO41" s="10">
        <f>[1]!YBHIST(BO$4,$A41,"OAS-Lib","sec","")</f>
        <v>66.900002000000001</v>
      </c>
      <c r="BP41" s="9"/>
      <c r="BQ41" s="1"/>
      <c r="BR41" s="1"/>
    </row>
    <row r="42" spans="1:70" x14ac:dyDescent="0.25">
      <c r="A42" s="22">
        <f>[1]!ybworkday(A$5,-1*(ROW()-ROW(A$5)),"USD","")</f>
        <v>40851</v>
      </c>
      <c r="B42" s="3">
        <f>[1]!YBHIST("2 Year Treasury",$A42,"Price","govt","")</f>
        <v>100.046997</v>
      </c>
      <c r="C42" s="2">
        <f>[1]!YBHIST("5 Year Treasury",$A42,"Price","govt","")</f>
        <v>100.56300400000001</v>
      </c>
      <c r="D42" s="2">
        <f>[1]!YBHIST("10 Year Treasury",$A42,"Price","govt","")</f>
        <v>100.703003</v>
      </c>
      <c r="E42" s="10">
        <f>[1]!YBHIST("30 Year Treasury",$A42,"Price","govt","")</f>
        <v>112.655998</v>
      </c>
      <c r="F42" s="3">
        <f>[1]!YBHIST("2 Year Treasury",$A42,"YldtoMat","govt","")</f>
        <v>0.22600000000000001</v>
      </c>
      <c r="G42" s="2">
        <f>[1]!YBHIST("5 Year Treasury",$A42,"YldtoMat","govt","")</f>
        <v>0.88400000000000001</v>
      </c>
      <c r="H42" s="2">
        <f>[1]!YBHIST("10 Year Treasury",$A42,"YldtoMat","govt","")</f>
        <v>2.0449999999999999</v>
      </c>
      <c r="I42" s="10">
        <f>[1]!YBHIST("30 Year Treasury",$A42,"YldtoMat","govt","")</f>
        <v>3.0960000000000001</v>
      </c>
      <c r="J42" s="3">
        <f>[1]!YBHIST("2yr Swap Rate",$A42,"YldtoMat","swapvol","")</f>
        <v>0.57134399999999996</v>
      </c>
      <c r="K42" s="2">
        <f>[1]!YBHIST("5yr Swap Rate",$A42,"YldtoMat","swapvol","")</f>
        <v>1.2100789999999999</v>
      </c>
      <c r="L42" s="2">
        <f>[1]!YBHIST("10yr Swap Rate",$A42,"YldtoMat","swapvol","")</f>
        <v>2.2032729999999998</v>
      </c>
      <c r="M42" s="10">
        <f>[1]!YBHIST("30yr Swap Rate",$A42,"YldtoMat","swapvol","")</f>
        <v>2.8594349999999999</v>
      </c>
      <c r="N42" s="3">
        <f>[1]!YBHIST("FNMA 30YR Cur Coup (BE)",$A42,"Yield","bmk","")</f>
        <v>3.1459999999999999</v>
      </c>
      <c r="O42" s="2">
        <f>[1]!YBHIST("FHLMC 30YR Cur Coup (BE)",$A42,"Yield","bmk","")</f>
        <v>3.1850000000000001</v>
      </c>
      <c r="P42" s="2">
        <f>[1]!YBHIST("GNMA 30YR Cur Coup (BE)",$A42,"Yield","bmk","")</f>
        <v>2.9889999999999999</v>
      </c>
      <c r="Q42" s="2">
        <f>[1]!YBHIST("Primary 30-Yr Mtg Rate",$A42,"Yield","bmk","")</f>
        <v>4.1805000000000003</v>
      </c>
      <c r="R42" s="2">
        <f>[1]!YBHIST("FHLM 30-Yr Survey Rate",$A42,"Yield","bmk","")</f>
        <v>4</v>
      </c>
      <c r="S42" s="10">
        <f>[1]!YBHIST("Base Mortgage Rate",$A42,"Yield","bmk","")</f>
        <v>3.4670000000000001</v>
      </c>
      <c r="T42" s="27">
        <f>[1]!YBHIST("FNMA 30YR Cur Coup (BE)",$A42,"OAS-Lib","bmk","")</f>
        <v>20.075001</v>
      </c>
      <c r="U42" s="28">
        <f>[1]!YBHIST("FHLMC 30YR Cur Coup (BE)",$A42,"OAS-Lib","bmk","")</f>
        <v>24.045000000000002</v>
      </c>
      <c r="V42" s="28">
        <f>[1]!YBHIST("GNMA 30YR Cur Coup (BE)",$A42,"OAS-Lib","bmk","")</f>
        <v>25</v>
      </c>
      <c r="W42" s="29">
        <f t="shared" si="3"/>
        <v>110.1</v>
      </c>
      <c r="X42" s="29">
        <f t="shared" si="4"/>
        <v>110.1</v>
      </c>
      <c r="Y42" s="29">
        <f t="shared" si="5"/>
        <v>114.00000000000001</v>
      </c>
      <c r="Z42" s="3">
        <f>[1]!YBHIST("FNMA3.5-GEN",$A42,"Price","tba","")</f>
        <v>102.125</v>
      </c>
      <c r="AA42" s="2">
        <f>[1]!YBHIST("FNMA4.0-GEN",$A42,"Price","tba","")</f>
        <v>104.25</v>
      </c>
      <c r="AB42" s="2">
        <f>[1]!YBHIST("FNMA4.5-GEN",$A42,"Price","tba","")</f>
        <v>105.890625</v>
      </c>
      <c r="AC42" s="2">
        <f>[1]!YBHIST("FNMA5.0-GEN",$A42,"Price","tba","")</f>
        <v>107.703125</v>
      </c>
      <c r="AD42" s="2">
        <f>[1]!YBHIST("FNMA5.5-GEN",$A42,"Price","tba","")</f>
        <v>108.671875</v>
      </c>
      <c r="AE42" s="10">
        <f>[1]!YBHIST("FNMA6.0-GEN",$A42,"Price","tba","")</f>
        <v>109.734375</v>
      </c>
      <c r="AF42" s="3">
        <f>[1]!YBHIST(AF$4,$A42,"Price","sec","")</f>
        <v>17.469000000000001</v>
      </c>
      <c r="AG42" s="2">
        <f>[1]!YBHIST(AG$4,$A42,"Price","sec","")</f>
        <v>15.766</v>
      </c>
      <c r="AH42" s="2">
        <f>[1]!YBHIST(AH$4,$A42,"Price","sec","")</f>
        <v>14.25</v>
      </c>
      <c r="AI42" s="2">
        <f>[1]!YBHIST(AI$4,$A42,"Price","sec","")</f>
        <v>15.438000000000001</v>
      </c>
      <c r="AJ42" s="2">
        <f>[1]!YBHIST(AJ$4,$A42,"Price","sec","")</f>
        <v>13.202999999999999</v>
      </c>
      <c r="AK42" s="2">
        <f>[1]!YBHIST(AK$4,$A42,"Price","sec","")</f>
        <v>18.452998999999998</v>
      </c>
      <c r="AL42" s="2">
        <f>[1]!YBHIST(AL$4,$A42,"Price","sec","")</f>
        <v>16.155999999999999</v>
      </c>
      <c r="AM42" s="2">
        <f>[1]!YBHIST(AM$4,$A42,"Price","sec","")</f>
        <v>12.093999999999999</v>
      </c>
      <c r="AN42" s="2">
        <f>[1]!YBHIST(AN$4,$A42,"Price","sec","")</f>
        <v>13.922000000000001</v>
      </c>
      <c r="AO42" s="2">
        <f>[1]!YBHIST(AO$4,$A42,"Price","sec","")</f>
        <v>14.281000000000001</v>
      </c>
      <c r="AP42" s="2">
        <f>[1]!YBHIST(AP$4,$A42,"Price","sec","")</f>
        <v>13.016</v>
      </c>
      <c r="AQ42" s="2">
        <f>[1]!YBHIST(AQ$4,$A42,"Price","sec","")</f>
        <v>15.125</v>
      </c>
      <c r="AR42" s="2">
        <f>[1]!YBHIST(AR$4,$A42,"Price","sec","")</f>
        <v>14.593999999999999</v>
      </c>
      <c r="AS42" s="2">
        <f>[1]!YBHIST(AS$4,$A42,"Price","sec","")</f>
        <v>14.531000000000001</v>
      </c>
      <c r="AT42" s="2">
        <f>[1]!YBHIST(AT$4,$A42,"Price","sec","")</f>
        <v>16.780999999999999</v>
      </c>
      <c r="AU42" s="2">
        <f>[1]!YBHIST(AU$4,$A42,"Price","sec","")</f>
        <v>21.219000000000001</v>
      </c>
      <c r="AV42" s="2">
        <f>[1]!YBHIST(AV$4,$A42,"Price","sec","")</f>
        <v>20.297001000000002</v>
      </c>
      <c r="AW42" s="10">
        <f>[1]!YBHIST(AW$4,$A42,"Price","sec","")</f>
        <v>19.891000999999999</v>
      </c>
      <c r="AX42" s="29">
        <f>[1]!YBHIST(AX$4,$A42,"OAS-Lib","sec","")</f>
        <v>-76.610000999999997</v>
      </c>
      <c r="AY42" s="29">
        <f>[1]!YBHIST(AY$4,$A42,"OAS-Lib","sec","")</f>
        <v>29.42</v>
      </c>
      <c r="AZ42" s="2">
        <f>[1]!YBHIST(AZ$4,$A42,"OAS-Lib","sec","")</f>
        <v>114.739998</v>
      </c>
      <c r="BA42" s="2">
        <f>[1]!YBHIST(BA$4,$A42,"OAS-Lib","sec","")</f>
        <v>61.169998</v>
      </c>
      <c r="BB42" s="29">
        <f>[1]!YBHIST(BB$4,$A42,"OAS-Lib","sec","")</f>
        <v>317.82998700000002</v>
      </c>
      <c r="BC42" s="2">
        <f>[1]!YBHIST(BC$4,$A42,"OAS-Lib","sec","")</f>
        <v>41.07</v>
      </c>
      <c r="BD42" s="29">
        <f>[1]!YBHIST(BD$4,$A42,"OAS-Lib","sec","")</f>
        <v>201.96000699999999</v>
      </c>
      <c r="BE42" s="2">
        <f>[1]!YBHIST(BE$4,$A42,"OAS-Lib","sec","")</f>
        <v>1164.4399410000001</v>
      </c>
      <c r="BF42" s="2">
        <f>[1]!YBHIST(BF$4,$A42,"OAS-Lib","sec","")</f>
        <v>991.580017</v>
      </c>
      <c r="BG42" s="2">
        <f>[1]!YBHIST(BG$4,$A42,"OAS-Lib","sec","")</f>
        <v>560.34002699999996</v>
      </c>
      <c r="BH42" s="29">
        <f>[1]!YBHIST(BH$4,$A42,"OAS-Lib","sec","")</f>
        <v>1287.170044</v>
      </c>
      <c r="BI42" s="2">
        <f>[1]!YBHIST(BI$4,$A42,"OAS-Lib","sec","")</f>
        <v>854.29998799999998</v>
      </c>
      <c r="BJ42" s="2">
        <f>[1]!YBHIST(BJ$4,$A42,"OAS-Lib","sec","")</f>
        <v>720.65997300000004</v>
      </c>
      <c r="BK42" s="29">
        <f>[1]!YBHIST(BK$4,$A42,"OAS-Lib","sec","")</f>
        <v>768.59002699999996</v>
      </c>
      <c r="BL42" s="30">
        <f>[1]!YBHIST(BL$4,$A42,"OAS-Lib","sec","")</f>
        <v>782.80999799999995</v>
      </c>
      <c r="BM42" s="2">
        <f>[1]!YBHIST(BM$4,$A42,"OAS-Lib","sec","")</f>
        <v>-129.41000399999999</v>
      </c>
      <c r="BN42" s="2">
        <f>[1]!YBHIST(BN$4,$A42,"OAS-Lib","sec","")</f>
        <v>-99.989998</v>
      </c>
      <c r="BO42" s="10">
        <f>[1]!YBHIST(BO$4,$A42,"OAS-Lib","sec","")</f>
        <v>92.150002000000001</v>
      </c>
      <c r="BP42" s="9"/>
      <c r="BQ42" s="1"/>
      <c r="BR42" s="1"/>
    </row>
    <row r="43" spans="1:70" x14ac:dyDescent="0.25">
      <c r="A43" s="22">
        <f>[1]!ybworkday(A$5,-1*(ROW()-ROW(A$5)),"USD","")</f>
        <v>40850</v>
      </c>
      <c r="B43" s="3">
        <f>[1]!YBHIST("2 Year Treasury",$A43,"Price","govt","")</f>
        <v>100.023003</v>
      </c>
      <c r="C43" s="2">
        <f>[1]!YBHIST("5 Year Treasury",$A43,"Price","govt","")</f>
        <v>100.421997</v>
      </c>
      <c r="D43" s="2">
        <f>[1]!YBHIST("10 Year Treasury",$A43,"Price","govt","")</f>
        <v>100.546997</v>
      </c>
      <c r="E43" s="10">
        <f>[1]!YBHIST("30 Year Treasury",$A43,"Price","govt","")</f>
        <v>112.203003</v>
      </c>
      <c r="F43" s="3">
        <f>[1]!YBHIST("2 Year Treasury",$A43,"YldtoMat","govt","")</f>
        <v>0.23799999999999999</v>
      </c>
      <c r="G43" s="2">
        <f>[1]!YBHIST("5 Year Treasury",$A43,"YldtoMat","govt","")</f>
        <v>0.91300000000000003</v>
      </c>
      <c r="H43" s="2">
        <f>[1]!YBHIST("10 Year Treasury",$A43,"YldtoMat","govt","")</f>
        <v>2.0630000000000002</v>
      </c>
      <c r="I43" s="10">
        <f>[1]!YBHIST("30 Year Treasury",$A43,"YldtoMat","govt","")</f>
        <v>3.1179999999999999</v>
      </c>
      <c r="J43" s="3">
        <f>[1]!YBHIST("2yr Swap Rate",$A43,"YldtoMat","swapvol","")</f>
        <v>0.57019900000000001</v>
      </c>
      <c r="K43" s="2">
        <f>[1]!YBHIST("5yr Swap Rate",$A43,"YldtoMat","swapvol","")</f>
        <v>1.2315689999999999</v>
      </c>
      <c r="L43" s="2">
        <f>[1]!YBHIST("10yr Swap Rate",$A43,"YldtoMat","swapvol","")</f>
        <v>2.2256849999999999</v>
      </c>
      <c r="M43" s="10">
        <f>[1]!YBHIST("30yr Swap Rate",$A43,"YldtoMat","swapvol","")</f>
        <v>2.8936920000000002</v>
      </c>
      <c r="N43" s="3">
        <f>[1]!YBHIST("FNMA 30YR Cur Coup (BE)",$A43,"Yield","bmk","")</f>
        <v>3.1880000000000002</v>
      </c>
      <c r="O43" s="2">
        <f>[1]!YBHIST("FHLMC 30YR Cur Coup (BE)",$A43,"Yield","bmk","")</f>
        <v>3.2309999999999999</v>
      </c>
      <c r="P43" s="2">
        <f>[1]!YBHIST("GNMA 30YR Cur Coup (BE)",$A43,"Yield","bmk","")</f>
        <v>3.0310000000000001</v>
      </c>
      <c r="Q43" s="2">
        <f>[1]!YBHIST("Primary 30-Yr Mtg Rate",$A43,"Yield","bmk","")</f>
        <v>4.2191999999999998</v>
      </c>
      <c r="R43" s="2">
        <f>[1]!YBHIST("FHLM 30-Yr Survey Rate",$A43,"Yield","bmk","")</f>
        <v>4</v>
      </c>
      <c r="S43" s="10">
        <f>[1]!YBHIST("Base Mortgage Rate",$A43,"Yield","bmk","")</f>
        <v>3.5049999999999999</v>
      </c>
      <c r="T43" s="27">
        <f>[1]!YBHIST("FNMA 30YR Cur Coup (BE)",$A43,"OAS-Lib","bmk","")</f>
        <v>22.608000000000001</v>
      </c>
      <c r="U43" s="28">
        <f>[1]!YBHIST("FHLMC 30YR Cur Coup (BE)",$A43,"OAS-Lib","bmk","")</f>
        <v>25.900998999999999</v>
      </c>
      <c r="V43" s="28">
        <f>[1]!YBHIST("GNMA 30YR Cur Coup (BE)",$A43,"OAS-Lib","bmk","")</f>
        <v>28</v>
      </c>
      <c r="W43" s="29">
        <f t="shared" si="3"/>
        <v>112.5</v>
      </c>
      <c r="X43" s="29">
        <f t="shared" si="4"/>
        <v>112.5</v>
      </c>
      <c r="Y43" s="29">
        <f t="shared" si="5"/>
        <v>116.79999999999997</v>
      </c>
      <c r="Z43" s="3">
        <f>[1]!YBHIST("FNMA3.5-GEN",$A43,"Price","tba","")</f>
        <v>101.921875</v>
      </c>
      <c r="AA43" s="2">
        <f>[1]!YBHIST("FNMA4.0-GEN",$A43,"Price","tba","")</f>
        <v>104.125</v>
      </c>
      <c r="AB43" s="2">
        <f>[1]!YBHIST("FNMA4.5-GEN",$A43,"Price","tba","")</f>
        <v>105.796875</v>
      </c>
      <c r="AC43" s="2">
        <f>[1]!YBHIST("FNMA5.0-GEN",$A43,"Price","tba","")</f>
        <v>107.609375</v>
      </c>
      <c r="AD43" s="2">
        <f>[1]!YBHIST("FNMA5.5-GEN",$A43,"Price","tba","")</f>
        <v>108.609375</v>
      </c>
      <c r="AE43" s="10">
        <f>[1]!YBHIST("FNMA6.0-GEN",$A43,"Price","tba","")</f>
        <v>109.6875</v>
      </c>
      <c r="AF43" s="3">
        <f>[1]!YBHIST(AF$4,$A43,"Price","sec","")</f>
        <v>17.719000000000001</v>
      </c>
      <c r="AG43" s="2">
        <f>[1]!YBHIST(AG$4,$A43,"Price","sec","")</f>
        <v>16.125</v>
      </c>
      <c r="AH43" s="2">
        <f>[1]!YBHIST(AH$4,$A43,"Price","sec","")</f>
        <v>14.718999999999999</v>
      </c>
      <c r="AI43" s="2">
        <f>[1]!YBHIST(AI$4,$A43,"Price","sec","")</f>
        <v>15.891</v>
      </c>
      <c r="AJ43" s="2">
        <f>[1]!YBHIST(AJ$4,$A43,"Price","sec","")</f>
        <v>13.702999999999999</v>
      </c>
      <c r="AK43" s="2">
        <f>[1]!YBHIST(AK$4,$A43,"Price","sec","")</f>
        <v>18.812000000000001</v>
      </c>
      <c r="AL43" s="2">
        <f>[1]!YBHIST(AL$4,$A43,"Price","sec","")</f>
        <v>16.530999999999999</v>
      </c>
      <c r="AM43" s="2">
        <f>[1]!YBHIST(AM$4,$A43,"Price","sec","")</f>
        <v>12.406000000000001</v>
      </c>
      <c r="AN43" s="2">
        <f>[1]!YBHIST(AN$4,$A43,"Price","sec","")</f>
        <v>14.25</v>
      </c>
      <c r="AO43" s="2">
        <f>[1]!YBHIST(AO$4,$A43,"Price","sec","")</f>
        <v>14.625</v>
      </c>
      <c r="AP43" s="2">
        <f>[1]!YBHIST(AP$4,$A43,"Price","sec","")</f>
        <v>13.218999999999999</v>
      </c>
      <c r="AQ43" s="2">
        <f>[1]!YBHIST(AQ$4,$A43,"Price","sec","")</f>
        <v>15.311999999999999</v>
      </c>
      <c r="AR43" s="2">
        <f>[1]!YBHIST(AR$4,$A43,"Price","sec","")</f>
        <v>14.797000000000001</v>
      </c>
      <c r="AS43" s="2">
        <f>[1]!YBHIST(AS$4,$A43,"Price","sec","")</f>
        <v>14.688000000000001</v>
      </c>
      <c r="AT43" s="2">
        <f>[1]!YBHIST(AT$4,$A43,"Price","sec","")</f>
        <v>16.891000999999999</v>
      </c>
      <c r="AU43" s="2">
        <f>[1]!YBHIST(AU$4,$A43,"Price","sec","")</f>
        <v>21.530999999999999</v>
      </c>
      <c r="AV43" s="2">
        <f>[1]!YBHIST(AV$4,$A43,"Price","sec","")</f>
        <v>20.655999999999999</v>
      </c>
      <c r="AW43" s="10">
        <f>[1]!YBHIST(AW$4,$A43,"Price","sec","")</f>
        <v>20.202998999999998</v>
      </c>
      <c r="AX43" s="29">
        <f>[1]!YBHIST(AX$4,$A43,"OAS-Lib","sec","")</f>
        <v>-69.319999999999993</v>
      </c>
      <c r="AY43" s="29">
        <f>[1]!YBHIST(AY$4,$A43,"OAS-Lib","sec","")</f>
        <v>23.74</v>
      </c>
      <c r="AZ43" s="2">
        <f>[1]!YBHIST(AZ$4,$A43,"OAS-Lib","sec","")</f>
        <v>83.599997999999999</v>
      </c>
      <c r="BA43" s="2">
        <f>[1]!YBHIST(BA$4,$A43,"OAS-Lib","sec","")</f>
        <v>38.68</v>
      </c>
      <c r="BB43" s="29">
        <f>[1]!YBHIST(BB$4,$A43,"OAS-Lib","sec","")</f>
        <v>268.60998499999999</v>
      </c>
      <c r="BC43" s="2">
        <f>[1]!YBHIST(BC$4,$A43,"OAS-Lib","sec","")</f>
        <v>32.470001000000003</v>
      </c>
      <c r="BD43" s="29">
        <f>[1]!YBHIST(BD$4,$A43,"OAS-Lib","sec","")</f>
        <v>182.85000600000001</v>
      </c>
      <c r="BE43" s="2">
        <f>[1]!YBHIST(BE$4,$A43,"OAS-Lib","sec","")</f>
        <v>1115.75</v>
      </c>
      <c r="BF43" s="2">
        <f>[1]!YBHIST(BF$4,$A43,"OAS-Lib","sec","")</f>
        <v>940.32000700000003</v>
      </c>
      <c r="BG43" s="2">
        <f>[1]!YBHIST(BG$4,$A43,"OAS-Lib","sec","")</f>
        <v>514.92999299999997</v>
      </c>
      <c r="BH43" s="29">
        <f>[1]!YBHIST(BH$4,$A43,"OAS-Lib","sec","")</f>
        <v>1263.030029</v>
      </c>
      <c r="BI43" s="2">
        <f>[1]!YBHIST(BI$4,$A43,"OAS-Lib","sec","")</f>
        <v>833.79998799999998</v>
      </c>
      <c r="BJ43" s="2">
        <f>[1]!YBHIST(BJ$4,$A43,"OAS-Lib","sec","")</f>
        <v>701.67999299999997</v>
      </c>
      <c r="BK43" s="29">
        <f>[1]!YBHIST(BK$4,$A43,"OAS-Lib","sec","")</f>
        <v>751.84002699999996</v>
      </c>
      <c r="BL43" s="30">
        <f>[1]!YBHIST(BL$4,$A43,"OAS-Lib","sec","")</f>
        <v>775.63000499999998</v>
      </c>
      <c r="BM43" s="2">
        <f>[1]!YBHIST(BM$4,$A43,"OAS-Lib","sec","")</f>
        <v>-131</v>
      </c>
      <c r="BN43" s="2">
        <f>[1]!YBHIST(BN$4,$A43,"OAS-Lib","sec","")</f>
        <v>-107.029999</v>
      </c>
      <c r="BO43" s="10">
        <f>[1]!YBHIST(BO$4,$A43,"OAS-Lib","sec","")</f>
        <v>82.959998999999996</v>
      </c>
      <c r="BP43" s="9"/>
      <c r="BQ43" s="1"/>
      <c r="BR43" s="1"/>
    </row>
    <row r="44" spans="1:70" x14ac:dyDescent="0.25">
      <c r="A44" s="22">
        <f>[1]!ybworkday(A$5,-1*(ROW()-ROW(A$5)),"USD","")</f>
        <v>40849</v>
      </c>
      <c r="B44" s="3">
        <f>[1]!YBHIST("2 Year Treasury",$A44,"Price","govt","")</f>
        <v>100.039001</v>
      </c>
      <c r="C44" s="2">
        <f>[1]!YBHIST("5 Year Treasury",$A44,"Price","govt","")</f>
        <v>100.523003</v>
      </c>
      <c r="D44" s="2">
        <f>[1]!YBHIST("10 Year Treasury",$A44,"Price","govt","")</f>
        <v>101.06300400000001</v>
      </c>
      <c r="E44" s="10">
        <f>[1]!YBHIST("30 Year Treasury",$A44,"Price","govt","")</f>
        <v>113.89099899999999</v>
      </c>
      <c r="F44" s="3">
        <f>[1]!YBHIST("2 Year Treasury",$A44,"YldtoMat","govt","")</f>
        <v>0.23</v>
      </c>
      <c r="G44" s="2">
        <f>[1]!YBHIST("5 Year Treasury",$A44,"YldtoMat","govt","")</f>
        <v>0.89300000000000002</v>
      </c>
      <c r="H44" s="2">
        <f>[1]!YBHIST("10 Year Treasury",$A44,"YldtoMat","govt","")</f>
        <v>2.0049999999999999</v>
      </c>
      <c r="I44" s="10">
        <f>[1]!YBHIST("30 Year Treasury",$A44,"YldtoMat","govt","")</f>
        <v>3.0379999999999998</v>
      </c>
      <c r="J44" s="3">
        <f>[1]!YBHIST("2yr Swap Rate",$A44,"YldtoMat","swapvol","")</f>
        <v>0.563446</v>
      </c>
      <c r="K44" s="2">
        <f>[1]!YBHIST("5yr Swap Rate",$A44,"YldtoMat","swapvol","")</f>
        <v>1.208693</v>
      </c>
      <c r="L44" s="2">
        <f>[1]!YBHIST("10yr Swap Rate",$A44,"YldtoMat","swapvol","")</f>
        <v>2.1722600000000001</v>
      </c>
      <c r="M44" s="10">
        <f>[1]!YBHIST("30yr Swap Rate",$A44,"YldtoMat","swapvol","")</f>
        <v>2.811868</v>
      </c>
      <c r="N44" s="3">
        <f>[1]!YBHIST("FNMA 30YR Cur Coup (BE)",$A44,"Yield","bmk","")</f>
        <v>3.1419999999999999</v>
      </c>
      <c r="O44" s="2">
        <f>[1]!YBHIST("FHLMC 30YR Cur Coup (BE)",$A44,"Yield","bmk","")</f>
        <v>3.173</v>
      </c>
      <c r="P44" s="2">
        <f>[1]!YBHIST("GNMA 30YR Cur Coup (BE)",$A44,"Yield","bmk","")</f>
        <v>2.9689999999999999</v>
      </c>
      <c r="Q44" s="2">
        <f>[1]!YBHIST("Primary 30-Yr Mtg Rate",$A44,"Yield","bmk","")</f>
        <v>4.1692</v>
      </c>
      <c r="R44" s="2">
        <f>[1]!YBHIST("FHLM 30-Yr Survey Rate",$A44,"Yield","bmk","")</f>
        <v>4.0999999999999996</v>
      </c>
      <c r="S44" s="10">
        <f>[1]!YBHIST("Base Mortgage Rate",$A44,"Yield","bmk","")</f>
        <v>3.464</v>
      </c>
      <c r="T44" s="27">
        <f>[1]!YBHIST("FNMA 30YR Cur Coup (BE)",$A44,"OAS-Lib","bmk","")</f>
        <v>21.955998999999998</v>
      </c>
      <c r="U44" s="28">
        <f>[1]!YBHIST("FHLMC 30YR Cur Coup (BE)",$A44,"OAS-Lib","bmk","")</f>
        <v>25.417000000000002</v>
      </c>
      <c r="V44" s="28">
        <f>[1]!YBHIST("GNMA 30YR Cur Coup (BE)",$A44,"OAS-Lib","bmk","")</f>
        <v>27</v>
      </c>
      <c r="W44" s="29">
        <f t="shared" si="3"/>
        <v>113.7</v>
      </c>
      <c r="X44" s="29">
        <f t="shared" si="4"/>
        <v>113.7</v>
      </c>
      <c r="Y44" s="29">
        <f t="shared" si="5"/>
        <v>116.80000000000001</v>
      </c>
      <c r="Z44" s="3">
        <f>[1]!YBHIST("FNMA3.5-GEN",$A44,"Price","tba","")</f>
        <v>102.265625</v>
      </c>
      <c r="AA44" s="2">
        <f>[1]!YBHIST("FNMA4.0-GEN",$A44,"Price","tba","")</f>
        <v>104.390625</v>
      </c>
      <c r="AB44" s="2">
        <f>[1]!YBHIST("FNMA4.5-GEN",$A44,"Price","tba","")</f>
        <v>106.015625</v>
      </c>
      <c r="AC44" s="2">
        <f>[1]!YBHIST("FNMA5.0-GEN",$A44,"Price","tba","")</f>
        <v>107.75</v>
      </c>
      <c r="AD44" s="2">
        <f>[1]!YBHIST("FNMA5.5-GEN",$A44,"Price","tba","")</f>
        <v>108.578125</v>
      </c>
      <c r="AE44" s="10">
        <f>[1]!YBHIST("FNMA6.0-GEN",$A44,"Price","tba","")</f>
        <v>109.640625</v>
      </c>
      <c r="AF44" s="3">
        <f>[1]!YBHIST(AF$4,$A44,"Price","sec","")</f>
        <v>17.108999000000001</v>
      </c>
      <c r="AG44" s="2">
        <f>[1]!YBHIST(AG$4,$A44,"Price","sec","")</f>
        <v>15.484</v>
      </c>
      <c r="AH44" s="2">
        <f>[1]!YBHIST(AH$4,$A44,"Price","sec","")</f>
        <v>14.031000000000001</v>
      </c>
      <c r="AI44" s="2">
        <f>[1]!YBHIST(AI$4,$A44,"Price","sec","")</f>
        <v>15.218999999999999</v>
      </c>
      <c r="AJ44" s="2">
        <f>[1]!YBHIST(AJ$4,$A44,"Price","sec","")</f>
        <v>13.047000000000001</v>
      </c>
      <c r="AK44" s="2">
        <f>[1]!YBHIST(AK$4,$A44,"Price","sec","")</f>
        <v>18.280999999999999</v>
      </c>
      <c r="AL44" s="2">
        <f>[1]!YBHIST(AL$4,$A44,"Price","sec","")</f>
        <v>15.984</v>
      </c>
      <c r="AM44" s="2">
        <f>[1]!YBHIST(AM$4,$A44,"Price","sec","")</f>
        <v>11.875</v>
      </c>
      <c r="AN44" s="2">
        <f>[1]!YBHIST(AN$4,$A44,"Price","sec","")</f>
        <v>13.797000000000001</v>
      </c>
      <c r="AO44" s="2">
        <f>[1]!YBHIST(AO$4,$A44,"Price","sec","")</f>
        <v>14.141</v>
      </c>
      <c r="AP44" s="2">
        <f>[1]!YBHIST(AP$4,$A44,"Price","sec","")</f>
        <v>12.561999999999999</v>
      </c>
      <c r="AQ44" s="2">
        <f>[1]!YBHIST(AQ$4,$A44,"Price","sec","")</f>
        <v>14.75</v>
      </c>
      <c r="AR44" s="2">
        <f>[1]!YBHIST(AR$4,$A44,"Price","sec","")</f>
        <v>14.218999999999999</v>
      </c>
      <c r="AS44" s="2">
        <f>[1]!YBHIST(AS$4,$A44,"Price","sec","")</f>
        <v>14.093999999999999</v>
      </c>
      <c r="AT44" s="2">
        <f>[1]!YBHIST(AT$4,$A44,"Price","sec","")</f>
        <v>16.530999999999999</v>
      </c>
      <c r="AU44" s="2">
        <f>[1]!YBHIST(AU$4,$A44,"Price","sec","")</f>
        <v>21.155999999999999</v>
      </c>
      <c r="AV44" s="2">
        <f>[1]!YBHIST(AV$4,$A44,"Price","sec","")</f>
        <v>20.172001000000002</v>
      </c>
      <c r="AW44" s="10">
        <f>[1]!YBHIST(AW$4,$A44,"Price","sec","")</f>
        <v>19.719000000000001</v>
      </c>
      <c r="AX44" s="29">
        <f>[1]!YBHIST(AX$4,$A44,"OAS-Lib","sec","")</f>
        <v>-50.82</v>
      </c>
      <c r="AY44" s="29">
        <f>[1]!YBHIST(AY$4,$A44,"OAS-Lib","sec","")</f>
        <v>55.419998</v>
      </c>
      <c r="AZ44" s="2">
        <f>[1]!YBHIST(AZ$4,$A44,"OAS-Lib","sec","")</f>
        <v>138.14999399999999</v>
      </c>
      <c r="BA44" s="2">
        <f>[1]!YBHIST(BA$4,$A44,"OAS-Lib","sec","")</f>
        <v>84.089995999999999</v>
      </c>
      <c r="BB44" s="29">
        <f>[1]!YBHIST(BB$4,$A44,"OAS-Lib","sec","")</f>
        <v>339.51001000000002</v>
      </c>
      <c r="BC44" s="2">
        <f>[1]!YBHIST(BC$4,$A44,"OAS-Lib","sec","")</f>
        <v>54.130001</v>
      </c>
      <c r="BD44" s="29">
        <f>[1]!YBHIST(BD$4,$A44,"OAS-Lib","sec","")</f>
        <v>221.13000500000001</v>
      </c>
      <c r="BE44" s="2">
        <f>[1]!YBHIST(BE$4,$A44,"OAS-Lib","sec","")</f>
        <v>1223.6400149999999</v>
      </c>
      <c r="BF44" s="2">
        <f>[1]!YBHIST(BF$4,$A44,"OAS-Lib","sec","")</f>
        <v>1018.51001</v>
      </c>
      <c r="BG44" s="2">
        <f>[1]!YBHIST(BG$4,$A44,"OAS-Lib","sec","")</f>
        <v>586.63000499999998</v>
      </c>
      <c r="BH44" s="29">
        <f>[1]!YBHIST(BH$4,$A44,"OAS-Lib","sec","")</f>
        <v>1424.589966</v>
      </c>
      <c r="BI44" s="2">
        <f>[1]!YBHIST(BI$4,$A44,"OAS-Lib","sec","")</f>
        <v>939.75</v>
      </c>
      <c r="BJ44" s="2">
        <f>[1]!YBHIST(BJ$4,$A44,"OAS-Lib","sec","")</f>
        <v>807.35998500000005</v>
      </c>
      <c r="BK44" s="29">
        <f>[1]!YBHIST(BK$4,$A44,"OAS-Lib","sec","")</f>
        <v>883.03997800000002</v>
      </c>
      <c r="BL44" s="30">
        <f>[1]!YBHIST(BL$4,$A44,"OAS-Lib","sec","")</f>
        <v>835.07000700000003</v>
      </c>
      <c r="BM44" s="2">
        <f>[1]!YBHIST(BM$4,$A44,"OAS-Lib","sec","")</f>
        <v>-134.21000699999999</v>
      </c>
      <c r="BN44" s="2">
        <f>[1]!YBHIST(BN$4,$A44,"OAS-Lib","sec","")</f>
        <v>-95.209998999999996</v>
      </c>
      <c r="BO44" s="10">
        <f>[1]!YBHIST(BO$4,$A44,"OAS-Lib","sec","")</f>
        <v>107.040001</v>
      </c>
      <c r="BP44" s="9"/>
      <c r="BQ44" s="1"/>
      <c r="BR44" s="1"/>
    </row>
    <row r="45" spans="1:70" x14ac:dyDescent="0.25">
      <c r="A45" s="22">
        <f>[1]!ybworkday(A$5,-1*(ROW()-ROW(A$5)),"USD","")</f>
        <v>40848</v>
      </c>
      <c r="B45" s="3">
        <f>[1]!YBHIST("2 Year Treasury",$A45,"Price","govt","")</f>
        <v>100.023003</v>
      </c>
      <c r="C45" s="2">
        <f>[1]!YBHIST("5 Year Treasury",$A45,"Price","govt","")</f>
        <v>100.460999</v>
      </c>
      <c r="D45" s="2">
        <f>[1]!YBHIST("10 Year Treasury",$A45,"Price","govt","")</f>
        <v>101.125</v>
      </c>
      <c r="E45" s="10">
        <f>[1]!YBHIST("30 Year Treasury",$A45,"Price","govt","")</f>
        <v>114.578003</v>
      </c>
      <c r="F45" s="3">
        <f>[1]!YBHIST("2 Year Treasury",$A45,"YldtoMat","govt","")</f>
        <v>0.23799999999999999</v>
      </c>
      <c r="G45" s="2">
        <f>[1]!YBHIST("5 Year Treasury",$A45,"YldtoMat","govt","")</f>
        <v>0.90500000000000003</v>
      </c>
      <c r="H45" s="2">
        <f>[1]!YBHIST("10 Year Treasury",$A45,"YldtoMat","govt","")</f>
        <v>1.998</v>
      </c>
      <c r="I45" s="10">
        <f>[1]!YBHIST("30 Year Treasury",$A45,"YldtoMat","govt","")</f>
        <v>3.0059999999999998</v>
      </c>
      <c r="J45" s="3">
        <f>[1]!YBHIST("2yr Swap Rate",$A45,"YldtoMat","swapvol","")</f>
        <v>0.57535199999999997</v>
      </c>
      <c r="K45" s="2">
        <f>[1]!YBHIST("5yr Swap Rate",$A45,"YldtoMat","swapvol","")</f>
        <v>1.228947</v>
      </c>
      <c r="L45" s="2">
        <f>[1]!YBHIST("10yr Swap Rate",$A45,"YldtoMat","swapvol","")</f>
        <v>2.1678120000000001</v>
      </c>
      <c r="M45" s="10">
        <f>[1]!YBHIST("30yr Swap Rate",$A45,"YldtoMat","swapvol","")</f>
        <v>2.7747410000000001</v>
      </c>
      <c r="N45" s="3">
        <f>[1]!YBHIST("FNMA 30YR Cur Coup (BE)",$A45,"Yield","bmk","")</f>
        <v>3.129</v>
      </c>
      <c r="O45" s="2">
        <f>[1]!YBHIST("FHLMC 30YR Cur Coup (BE)",$A45,"Yield","bmk","")</f>
        <v>3.161</v>
      </c>
      <c r="P45" s="2">
        <f>[1]!YBHIST("GNMA 30YR Cur Coup (BE)",$A45,"Yield","bmk","")</f>
        <v>2.956</v>
      </c>
      <c r="Q45" s="2">
        <f>[1]!YBHIST("Primary 30-Yr Mtg Rate",$A45,"Yield","bmk","")</f>
        <v>4.1581000000000001</v>
      </c>
      <c r="R45" s="2">
        <f>[1]!YBHIST("FHLM 30-Yr Survey Rate",$A45,"Yield","bmk","")</f>
        <v>4.0999999999999996</v>
      </c>
      <c r="S45" s="10">
        <f>[1]!YBHIST("Base Mortgage Rate",$A45,"Yield","bmk","")</f>
        <v>3.4529999999999998</v>
      </c>
      <c r="T45" s="27">
        <f>[1]!YBHIST("FNMA 30YR Cur Coup (BE)",$A45,"OAS-Lib","bmk","")</f>
        <v>19.417998999999998</v>
      </c>
      <c r="U45" s="28">
        <f>[1]!YBHIST("FHLMC 30YR Cur Coup (BE)",$A45,"OAS-Lib","bmk","")</f>
        <v>22.815999999999999</v>
      </c>
      <c r="V45" s="28">
        <f>[1]!YBHIST("GNMA 30YR Cur Coup (BE)",$A45,"OAS-Lib","bmk","")</f>
        <v>25</v>
      </c>
      <c r="W45" s="29">
        <f t="shared" si="3"/>
        <v>113.1</v>
      </c>
      <c r="X45" s="29">
        <f t="shared" si="4"/>
        <v>113.1</v>
      </c>
      <c r="Y45" s="29">
        <f t="shared" si="5"/>
        <v>116.3</v>
      </c>
      <c r="Z45" s="3">
        <f>[1]!YBHIST("FNMA3.5-GEN",$A45,"Price","tba","")</f>
        <v>102.3125</v>
      </c>
      <c r="AA45" s="2">
        <f>[1]!YBHIST("FNMA4.0-GEN",$A45,"Price","tba","")</f>
        <v>104.40625</v>
      </c>
      <c r="AB45" s="2">
        <f>[1]!YBHIST("FNMA4.5-GEN",$A45,"Price","tba","")</f>
        <v>106.046875</v>
      </c>
      <c r="AC45" s="2">
        <f>[1]!YBHIST("FNMA5.0-GEN",$A45,"Price","tba","")</f>
        <v>107.796875</v>
      </c>
      <c r="AD45" s="2">
        <f>[1]!YBHIST("FNMA5.5-GEN",$A45,"Price","tba","")</f>
        <v>108.609375</v>
      </c>
      <c r="AE45" s="10">
        <f>[1]!YBHIST("FNMA6.0-GEN",$A45,"Price","tba","")</f>
        <v>109.671875</v>
      </c>
      <c r="AF45" s="3">
        <f>[1]!YBHIST(AF$4,$A45,"Price","sec","")</f>
        <v>17.030999999999999</v>
      </c>
      <c r="AG45" s="2">
        <f>[1]!YBHIST(AG$4,$A45,"Price","sec","")</f>
        <v>15.359</v>
      </c>
      <c r="AH45" s="2">
        <f>[1]!YBHIST(AH$4,$A45,"Price","sec","")</f>
        <v>13.938000000000001</v>
      </c>
      <c r="AI45" s="2">
        <f>[1]!YBHIST(AI$4,$A45,"Price","sec","")</f>
        <v>15.061999999999999</v>
      </c>
      <c r="AJ45" s="2">
        <f>[1]!YBHIST(AJ$4,$A45,"Price","sec","")</f>
        <v>12.952999999999999</v>
      </c>
      <c r="AK45" s="2">
        <f>[1]!YBHIST(AK$4,$A45,"Price","sec","")</f>
        <v>18.155999999999999</v>
      </c>
      <c r="AL45" s="2">
        <f>[1]!YBHIST(AL$4,$A45,"Price","sec","")</f>
        <v>15.891</v>
      </c>
      <c r="AM45" s="2">
        <f>[1]!YBHIST(AM$4,$A45,"Price","sec","")</f>
        <v>11.781000000000001</v>
      </c>
      <c r="AN45" s="2">
        <f>[1]!YBHIST(AN$4,$A45,"Price","sec","")</f>
        <v>13.75</v>
      </c>
      <c r="AO45" s="2">
        <f>[1]!YBHIST(AO$4,$A45,"Price","sec","")</f>
        <v>14.047000000000001</v>
      </c>
      <c r="AP45" s="2">
        <f>[1]!YBHIST(AP$4,$A45,"Price","sec","")</f>
        <v>12.391</v>
      </c>
      <c r="AQ45" s="2">
        <f>[1]!YBHIST(AQ$4,$A45,"Price","sec","")</f>
        <v>14.625</v>
      </c>
      <c r="AR45" s="2">
        <f>[1]!YBHIST(AR$4,$A45,"Price","sec","")</f>
        <v>14.061999999999999</v>
      </c>
      <c r="AS45" s="2">
        <f>[1]!YBHIST(AS$4,$A45,"Price","sec","")</f>
        <v>13.952999999999999</v>
      </c>
      <c r="AT45" s="2">
        <f>[1]!YBHIST(AT$4,$A45,"Price","sec","")</f>
        <v>16.469000000000001</v>
      </c>
      <c r="AU45" s="2">
        <f>[1]!YBHIST(AU$4,$A45,"Price","sec","")</f>
        <v>21.094000000000001</v>
      </c>
      <c r="AV45" s="2">
        <f>[1]!YBHIST(AV$4,$A45,"Price","sec","")</f>
        <v>20.062000000000001</v>
      </c>
      <c r="AW45" s="10">
        <f>[1]!YBHIST(AW$4,$A45,"Price","sec","")</f>
        <v>19.641000999999999</v>
      </c>
      <c r="AX45" s="29">
        <f>[1]!YBHIST(AX$4,$A45,"OAS-Lib","sec","")</f>
        <v>-69.5</v>
      </c>
      <c r="AY45" s="29">
        <f>[1]!YBHIST(AY$4,$A45,"OAS-Lib","sec","")</f>
        <v>47.700001</v>
      </c>
      <c r="AZ45" s="2">
        <f>[1]!YBHIST(AZ$4,$A45,"OAS-Lib","sec","")</f>
        <v>129.520004</v>
      </c>
      <c r="BA45" s="2">
        <f>[1]!YBHIST(BA$4,$A45,"OAS-Lib","sec","")</f>
        <v>86.260002</v>
      </c>
      <c r="BB45" s="29">
        <f>[1]!YBHIST(BB$4,$A45,"OAS-Lib","sec","")</f>
        <v>337.22000100000002</v>
      </c>
      <c r="BC45" s="2">
        <f>[1]!YBHIST(BC$4,$A45,"OAS-Lib","sec","")</f>
        <v>50.950001</v>
      </c>
      <c r="BD45" s="29">
        <f>[1]!YBHIST(BD$4,$A45,"OAS-Lib","sec","")</f>
        <v>217.570007</v>
      </c>
      <c r="BE45" s="2">
        <f>[1]!YBHIST(BE$4,$A45,"OAS-Lib","sec","")</f>
        <v>1235.1899410000001</v>
      </c>
      <c r="BF45" s="2">
        <f>[1]!YBHIST(BF$4,$A45,"OAS-Lib","sec","")</f>
        <v>1019.900024</v>
      </c>
      <c r="BG45" s="2">
        <f>[1]!YBHIST(BG$4,$A45,"OAS-Lib","sec","")</f>
        <v>597.11999500000002</v>
      </c>
      <c r="BH45" s="29">
        <f>[1]!YBHIST(BH$4,$A45,"OAS-Lib","sec","")</f>
        <v>1467.410034</v>
      </c>
      <c r="BI45" s="2">
        <f>[1]!YBHIST(BI$4,$A45,"OAS-Lib","sec","")</f>
        <v>963.19000200000005</v>
      </c>
      <c r="BJ45" s="2">
        <f>[1]!YBHIST(BJ$4,$A45,"OAS-Lib","sec","")</f>
        <v>837.03002900000001</v>
      </c>
      <c r="BK45" s="29">
        <f>[1]!YBHIST(BK$4,$A45,"OAS-Lib","sec","")</f>
        <v>915.70001200000002</v>
      </c>
      <c r="BL45" s="30">
        <f>[1]!YBHIST(BL$4,$A45,"OAS-Lib","sec","")</f>
        <v>843.28997800000002</v>
      </c>
      <c r="BM45" s="2">
        <f>[1]!YBHIST(BM$4,$A45,"OAS-Lib","sec","")</f>
        <v>-150.759995</v>
      </c>
      <c r="BN45" s="2">
        <f>[1]!YBHIST(BN$4,$A45,"OAS-Lib","sec","")</f>
        <v>-102.800003</v>
      </c>
      <c r="BO45" s="10">
        <f>[1]!YBHIST(BO$4,$A45,"OAS-Lib","sec","")</f>
        <v>101.900002</v>
      </c>
      <c r="BP45" s="9"/>
      <c r="BQ45" s="1"/>
      <c r="BR45" s="1"/>
    </row>
    <row r="46" spans="1:70" x14ac:dyDescent="0.25">
      <c r="A46" s="22">
        <f>[1]!ybworkday(A$5,-1*(ROW()-ROW(A$5)),"USD","")</f>
        <v>40847</v>
      </c>
      <c r="B46" s="3">
        <f>[1]!YBHIST("2 Year Treasury",$A46,"Price","govt","")</f>
        <v>99.984001000000006</v>
      </c>
      <c r="C46" s="2">
        <f>[1]!YBHIST("5 Year Treasury",$A46,"Price","govt","")</f>
        <v>99.969002000000003</v>
      </c>
      <c r="D46" s="2">
        <f>[1]!YBHIST("10 Year Treasury",$A46,"Price","govt","")</f>
        <v>99.640998999999994</v>
      </c>
      <c r="E46" s="10">
        <f>[1]!YBHIST("30 Year Treasury",$A46,"Price","govt","")</f>
        <v>110.530998</v>
      </c>
      <c r="F46" s="3">
        <f>[1]!YBHIST("2 Year Treasury",$A46,"YldtoMat","govt","")</f>
        <v>0.25800000000000001</v>
      </c>
      <c r="G46" s="2">
        <f>[1]!YBHIST("5 Year Treasury",$A46,"YldtoMat","govt","")</f>
        <v>1.006</v>
      </c>
      <c r="H46" s="2">
        <f>[1]!YBHIST("10 Year Treasury",$A46,"YldtoMat","govt","")</f>
        <v>2.1659999999999999</v>
      </c>
      <c r="I46" s="10">
        <f>[1]!YBHIST("30 Year Treasury",$A46,"YldtoMat","govt","")</f>
        <v>3.1989999999999998</v>
      </c>
      <c r="J46" s="3">
        <f>[1]!YBHIST("2yr Swap Rate",$A46,"YldtoMat","swapvol","")</f>
        <v>0.56201900000000005</v>
      </c>
      <c r="K46" s="2">
        <f>[1]!YBHIST("5yr Swap Rate",$A46,"YldtoMat","swapvol","")</f>
        <v>1.30196</v>
      </c>
      <c r="L46" s="2">
        <f>[1]!YBHIST("10yr Swap Rate",$A46,"YldtoMat","swapvol","")</f>
        <v>2.3231480000000002</v>
      </c>
      <c r="M46" s="10">
        <f>[1]!YBHIST("30yr Swap Rate",$A46,"YldtoMat","swapvol","")</f>
        <v>2.9678640000000001</v>
      </c>
      <c r="N46" s="3">
        <f>[1]!YBHIST("FNMA 30YR Cur Coup (BE)",$A46,"Yield","bmk","")</f>
        <v>3.2519999999999998</v>
      </c>
      <c r="O46" s="2">
        <f>[1]!YBHIST("FHLMC 30YR Cur Coup (BE)",$A46,"Yield","bmk","")</f>
        <v>3.234</v>
      </c>
      <c r="P46" s="2">
        <f>[1]!YBHIST("GNMA 30YR Cur Coup (BE)",$A46,"Yield","bmk","")</f>
        <v>3.0790000000000002</v>
      </c>
      <c r="Q46" s="2">
        <f>[1]!YBHIST("Primary 30-Yr Mtg Rate",$A46,"Yield","bmk","")</f>
        <v>4.2798999999999996</v>
      </c>
      <c r="R46" s="2">
        <f>[1]!YBHIST("FHLM 30-Yr Survey Rate",$A46,"Yield","bmk","")</f>
        <v>4.0999999999999996</v>
      </c>
      <c r="S46" s="10">
        <f>[1]!YBHIST("Base Mortgage Rate",$A46,"Yield","bmk","")</f>
        <v>3.5750000000000002</v>
      </c>
      <c r="T46" s="27">
        <f>[1]!YBHIST("FNMA 30YR Cur Coup (BE)",$A46,"OAS-Lib","bmk","")</f>
        <v>21.587</v>
      </c>
      <c r="U46" s="28">
        <f>[1]!YBHIST("FHLMC 30YR Cur Coup (BE)",$A46,"OAS-Lib","bmk","")</f>
        <v>20.440999999999999</v>
      </c>
      <c r="V46" s="28">
        <f>[1]!YBHIST("GNMA 30YR Cur Coup (BE)",$A46,"OAS-Lib","bmk","")</f>
        <v>29.048999999999999</v>
      </c>
      <c r="W46" s="29">
        <f t="shared" si="3"/>
        <v>108.59999999999998</v>
      </c>
      <c r="X46" s="29">
        <f t="shared" si="4"/>
        <v>108.59999999999998</v>
      </c>
      <c r="Y46" s="29">
        <f t="shared" si="5"/>
        <v>106.80000000000001</v>
      </c>
      <c r="Z46" s="3">
        <f>[1]!YBHIST("FNMA3.5-GEN",$A46,"Price","tba","")</f>
        <v>101.65625</v>
      </c>
      <c r="AA46" s="2">
        <f>[1]!YBHIST("FNMA4.0-GEN",$A46,"Price","tba","")</f>
        <v>103.921875</v>
      </c>
      <c r="AB46" s="2">
        <f>[1]!YBHIST("FNMA4.5-GEN",$A46,"Price","tba","")</f>
        <v>105.703125</v>
      </c>
      <c r="AC46" s="2">
        <f>[1]!YBHIST("FNMA5.0-GEN",$A46,"Price","tba","")</f>
        <v>107.546875</v>
      </c>
      <c r="AD46" s="2">
        <f>[1]!YBHIST("FNMA5.5-GEN",$A46,"Price","tba","")</f>
        <v>108.46875</v>
      </c>
      <c r="AE46" s="10">
        <f>[1]!YBHIST("FNMA6.0-GEN",$A46,"Price","tba","")</f>
        <v>109.578125</v>
      </c>
      <c r="AF46" s="3">
        <f>[1]!YBHIST(AF$4,$A46,"Price","sec","")</f>
        <v>17.922001000000002</v>
      </c>
      <c r="AG46" s="2">
        <f>[1]!YBHIST(AG$4,$A46,"Price","sec","")</f>
        <v>16.483999000000001</v>
      </c>
      <c r="AH46" s="2">
        <f>[1]!YBHIST(AH$4,$A46,"Price","sec","")</f>
        <v>15.061999999999999</v>
      </c>
      <c r="AI46" s="2">
        <f>[1]!YBHIST(AI$4,$A46,"Price","sec","")</f>
        <v>16.125</v>
      </c>
      <c r="AJ46" s="2">
        <f>[1]!YBHIST(AJ$4,$A46,"Price","sec","")</f>
        <v>13.906000000000001</v>
      </c>
      <c r="AK46" s="2">
        <f>[1]!YBHIST(AK$4,$A46,"Price","sec","")</f>
        <v>19</v>
      </c>
      <c r="AL46" s="2">
        <f>[1]!YBHIST(AL$4,$A46,"Price","sec","")</f>
        <v>16.780999999999999</v>
      </c>
      <c r="AM46" s="2">
        <f>[1]!YBHIST(AM$4,$A46,"Price","sec","")</f>
        <v>12.561999999999999</v>
      </c>
      <c r="AN46" s="2">
        <f>[1]!YBHIST(AN$4,$A46,"Price","sec","")</f>
        <v>14.672000000000001</v>
      </c>
      <c r="AO46" s="2">
        <f>[1]!YBHIST(AO$4,$A46,"Price","sec","")</f>
        <v>14.875</v>
      </c>
      <c r="AP46" s="2">
        <f>[1]!YBHIST(AP$4,$A46,"Price","sec","")</f>
        <v>12.702999999999999</v>
      </c>
      <c r="AQ46" s="2">
        <f>[1]!YBHIST(AQ$4,$A46,"Price","sec","")</f>
        <v>15</v>
      </c>
      <c r="AR46" s="2">
        <f>[1]!YBHIST(AR$4,$A46,"Price","sec","")</f>
        <v>14.422000000000001</v>
      </c>
      <c r="AS46" s="2">
        <f>[1]!YBHIST(AS$4,$A46,"Price","sec","")</f>
        <v>14.125</v>
      </c>
      <c r="AT46" s="2">
        <f>[1]!YBHIST(AT$4,$A46,"Price","sec","")</f>
        <v>16.530999999999999</v>
      </c>
      <c r="AU46" s="2">
        <f>[1]!YBHIST(AU$4,$A46,"Price","sec","")</f>
        <v>21.719000000000001</v>
      </c>
      <c r="AV46" s="2">
        <f>[1]!YBHIST(AV$4,$A46,"Price","sec","")</f>
        <v>20.780999999999999</v>
      </c>
      <c r="AW46" s="10">
        <f>[1]!YBHIST(AW$4,$A46,"Price","sec","")</f>
        <v>20.469000000000001</v>
      </c>
      <c r="AX46" s="29">
        <f>[1]!YBHIST(AX$4,$A46,"OAS-Lib","sec","")</f>
        <v>-18.129999000000002</v>
      </c>
      <c r="AY46" s="29">
        <f>[1]!YBHIST(AY$4,$A46,"OAS-Lib","sec","")</f>
        <v>63.259998000000003</v>
      </c>
      <c r="AZ46" s="2">
        <f>[1]!YBHIST(AZ$4,$A46,"OAS-Lib","sec","")</f>
        <v>118.849998</v>
      </c>
      <c r="BA46" s="2">
        <f>[1]!YBHIST(BA$4,$A46,"OAS-Lib","sec","")</f>
        <v>91.739998</v>
      </c>
      <c r="BB46" s="29">
        <f>[1]!YBHIST(BB$4,$A46,"OAS-Lib","sec","")</f>
        <v>322.35998499999999</v>
      </c>
      <c r="BC46" s="2">
        <f>[1]!YBHIST(BC$4,$A46,"OAS-Lib","sec","")</f>
        <v>85.080001999999993</v>
      </c>
      <c r="BD46" s="29">
        <f>[1]!YBHIST(BD$4,$A46,"OAS-Lib","sec","")</f>
        <v>216.279999</v>
      </c>
      <c r="BE46" s="2">
        <f>[1]!YBHIST(BE$4,$A46,"OAS-Lib","sec","")</f>
        <v>1151.9399410000001</v>
      </c>
      <c r="BF46" s="2">
        <f>[1]!YBHIST(BF$4,$A46,"OAS-Lib","sec","")</f>
        <v>898.919983</v>
      </c>
      <c r="BG46" s="2">
        <f>[1]!YBHIST(BG$4,$A46,"OAS-Lib","sec","")</f>
        <v>524.419983</v>
      </c>
      <c r="BH46" s="29">
        <f>[1]!YBHIST(BH$4,$A46,"OAS-Lib","sec","")</f>
        <v>1488.6800539999999</v>
      </c>
      <c r="BI46" s="2">
        <f>[1]!YBHIST(BI$4,$A46,"OAS-Lib","sec","")</f>
        <v>952.13000499999998</v>
      </c>
      <c r="BJ46" s="2">
        <f>[1]!YBHIST(BJ$4,$A46,"OAS-Lib","sec","")</f>
        <v>852.21002199999998</v>
      </c>
      <c r="BK46" s="29">
        <f>[1]!YBHIST(BK$4,$A46,"OAS-Lib","sec","")</f>
        <v>947.169983</v>
      </c>
      <c r="BL46" s="30">
        <f>[1]!YBHIST(BL$4,$A46,"OAS-Lib","sec","")</f>
        <v>886.21997099999999</v>
      </c>
      <c r="BM46" s="2">
        <f>[1]!YBHIST(BM$4,$A46,"OAS-Lib","sec","")</f>
        <v>-98.32</v>
      </c>
      <c r="BN46" s="2">
        <f>[1]!YBHIST(BN$4,$A46,"OAS-Lib","sec","")</f>
        <v>-67.800003000000004</v>
      </c>
      <c r="BO46" s="10">
        <f>[1]!YBHIST(BO$4,$A46,"OAS-Lib","sec","")</f>
        <v>98.830001999999993</v>
      </c>
      <c r="BP46" s="9"/>
      <c r="BQ46" s="1"/>
      <c r="BR46" s="1"/>
    </row>
    <row r="47" spans="1:70" x14ac:dyDescent="0.25">
      <c r="A47" s="22">
        <f>[1]!ybworkday(A$5,-1*(ROW()-ROW(A$5)),"USD","")</f>
        <v>40844</v>
      </c>
      <c r="B47" s="3">
        <f>[1]!YBHIST("2 Year Treasury",$A47,"Price","govt","")</f>
        <v>99.914000999999999</v>
      </c>
      <c r="C47" s="2">
        <f>[1]!YBHIST("5 Year Treasury",$A47,"Price","govt","")</f>
        <v>99.421997000000005</v>
      </c>
      <c r="D47" s="2">
        <f>[1]!YBHIST("10 Year Treasury",$A47,"Price","govt","")</f>
        <v>98.421997000000005</v>
      </c>
      <c r="E47" s="10">
        <f>[1]!YBHIST("30 Year Treasury",$A47,"Price","govt","")</f>
        <v>107.56300400000001</v>
      </c>
      <c r="F47" s="3">
        <f>[1]!YBHIST("2 Year Treasury",$A47,"YldtoMat","govt","")</f>
        <v>0.29299999999999998</v>
      </c>
      <c r="G47" s="2">
        <f>[1]!YBHIST("5 Year Treasury",$A47,"YldtoMat","govt","")</f>
        <v>1.119</v>
      </c>
      <c r="H47" s="2">
        <f>[1]!YBHIST("10 Year Treasury",$A47,"YldtoMat","govt","")</f>
        <v>2.306</v>
      </c>
      <c r="I47" s="10">
        <f>[1]!YBHIST("30 Year Treasury",$A47,"YldtoMat","govt","")</f>
        <v>3.347</v>
      </c>
      <c r="J47" s="3">
        <f>[1]!YBHIST("2yr Swap Rate",$A47,"YldtoMat","swapvol","")</f>
        <v>0.58233900000000005</v>
      </c>
      <c r="K47" s="2">
        <f>[1]!YBHIST("5yr Swap Rate",$A47,"YldtoMat","swapvol","")</f>
        <v>1.388803</v>
      </c>
      <c r="L47" s="2">
        <f>[1]!YBHIST("10yr Swap Rate",$A47,"YldtoMat","swapvol","")</f>
        <v>2.4409679999999998</v>
      </c>
      <c r="M47" s="10">
        <f>[1]!YBHIST("30yr Swap Rate",$A47,"YldtoMat","swapvol","")</f>
        <v>3.0923820000000002</v>
      </c>
      <c r="N47" s="3">
        <f>[1]!YBHIST("FNMA 30YR Cur Coup (BE)",$A47,"Yield","bmk","")</f>
        <v>3.359</v>
      </c>
      <c r="O47" s="2">
        <f>[1]!YBHIST("FHLMC 30YR Cur Coup (BE)",$A47,"Yield","bmk","")</f>
        <v>3.371</v>
      </c>
      <c r="P47" s="2">
        <f>[1]!YBHIST("GNMA 30YR Cur Coup (BE)",$A47,"Yield","bmk","")</f>
        <v>3.1749999999999998</v>
      </c>
      <c r="Q47" s="2">
        <f>[1]!YBHIST("Primary 30-Yr Mtg Rate",$A47,"Yield","bmk","")</f>
        <v>4.3861999999999997</v>
      </c>
      <c r="R47" s="2">
        <f>[1]!YBHIST("FHLM 30-Yr Survey Rate",$A47,"Yield","bmk","")</f>
        <v>4.0999999999999996</v>
      </c>
      <c r="S47" s="10">
        <f>[1]!YBHIST("Base Mortgage Rate",$A47,"Yield","bmk","")</f>
        <v>3.681</v>
      </c>
      <c r="T47" s="27">
        <f>[1]!YBHIST("FNMA 30YR Cur Coup (BE)",$A47,"OAS-Lib","bmk","")</f>
        <v>23.374001</v>
      </c>
      <c r="U47" s="28">
        <f>[1]!YBHIST("FHLMC 30YR Cur Coup (BE)",$A47,"OAS-Lib","bmk","")</f>
        <v>23.867999999999999</v>
      </c>
      <c r="V47" s="28">
        <f>[1]!YBHIST("GNMA 30YR Cur Coup (BE)",$A47,"OAS-Lib","bmk","")</f>
        <v>27.785999</v>
      </c>
      <c r="W47" s="29">
        <f t="shared" si="3"/>
        <v>105.3</v>
      </c>
      <c r="X47" s="29">
        <f t="shared" si="4"/>
        <v>105.3</v>
      </c>
      <c r="Y47" s="29">
        <f t="shared" si="5"/>
        <v>106.5</v>
      </c>
      <c r="Z47" s="3">
        <f>[1]!YBHIST("FNMA3.5-GEN",$A47,"Price","tba","")</f>
        <v>101.03125</v>
      </c>
      <c r="AA47" s="2">
        <f>[1]!YBHIST("FNMA4.0-GEN",$A47,"Price","tba","")</f>
        <v>103.515625</v>
      </c>
      <c r="AB47" s="2">
        <f>[1]!YBHIST("FNMA4.5-GEN",$A47,"Price","tba","")</f>
        <v>105.484375</v>
      </c>
      <c r="AC47" s="2">
        <f>[1]!YBHIST("FNMA5.0-GEN",$A47,"Price","tba","")</f>
        <v>107.453125</v>
      </c>
      <c r="AD47" s="2">
        <f>[1]!YBHIST("FNMA5.5-GEN",$A47,"Price","tba","")</f>
        <v>108.421875</v>
      </c>
      <c r="AE47" s="10">
        <f>[1]!YBHIST("FNMA6.0-GEN",$A47,"Price","tba","")</f>
        <v>109.546875</v>
      </c>
      <c r="AF47" s="3">
        <f>[1]!YBHIST(AF$4,$A47,"Price","sec","")</f>
        <v>18.702998999999998</v>
      </c>
      <c r="AG47" s="2">
        <f>[1]!YBHIST(AG$4,$A47,"Price","sec","")</f>
        <v>17.547001000000002</v>
      </c>
      <c r="AH47" s="2">
        <f>[1]!YBHIST(AH$4,$A47,"Price","sec","")</f>
        <v>16.125</v>
      </c>
      <c r="AI47" s="2">
        <f>[1]!YBHIST(AI$4,$A47,"Price","sec","")</f>
        <v>17.266000999999999</v>
      </c>
      <c r="AJ47" s="2">
        <f>[1]!YBHIST(AJ$4,$A47,"Price","sec","")</f>
        <v>15.047000000000001</v>
      </c>
      <c r="AK47" s="2">
        <f>[1]!YBHIST(AK$4,$A47,"Price","sec","")</f>
        <v>19.844000000000001</v>
      </c>
      <c r="AL47" s="2">
        <f>[1]!YBHIST(AL$4,$A47,"Price","sec","")</f>
        <v>17.672001000000002</v>
      </c>
      <c r="AM47" s="2">
        <f>[1]!YBHIST(AM$4,$A47,"Price","sec","")</f>
        <v>13.359</v>
      </c>
      <c r="AN47" s="2">
        <f>[1]!YBHIST(AN$4,$A47,"Price","sec","")</f>
        <v>15.438000000000001</v>
      </c>
      <c r="AO47" s="2">
        <f>[1]!YBHIST(AO$4,$A47,"Price","sec","")</f>
        <v>15.625</v>
      </c>
      <c r="AP47" s="2">
        <f>[1]!YBHIST(AP$4,$A47,"Price","sec","")</f>
        <v>13.422000000000001</v>
      </c>
      <c r="AQ47" s="2">
        <f>[1]!YBHIST(AQ$4,$A47,"Price","sec","")</f>
        <v>15.672000000000001</v>
      </c>
      <c r="AR47" s="2">
        <f>[1]!YBHIST(AR$4,$A47,"Price","sec","")</f>
        <v>15.093999999999999</v>
      </c>
      <c r="AS47" s="2">
        <f>[1]!YBHIST(AS$4,$A47,"Price","sec","")</f>
        <v>14.641</v>
      </c>
      <c r="AT47" s="2">
        <f>[1]!YBHIST(AT$4,$A47,"Price","sec","")</f>
        <v>16.905999999999999</v>
      </c>
      <c r="AU47" s="2">
        <f>[1]!YBHIST(AU$4,$A47,"Price","sec","")</f>
        <v>22.391000999999999</v>
      </c>
      <c r="AV47" s="2">
        <f>[1]!YBHIST(AV$4,$A47,"Price","sec","")</f>
        <v>21.577998999999998</v>
      </c>
      <c r="AW47" s="10">
        <f>[1]!YBHIST(AW$4,$A47,"Price","sec","")</f>
        <v>21.25</v>
      </c>
      <c r="AX47" s="29">
        <f>[1]!YBHIST(AX$4,$A47,"OAS-Lib","sec","")</f>
        <v>0.22</v>
      </c>
      <c r="AY47" s="29">
        <f>[1]!YBHIST(AY$4,$A47,"OAS-Lib","sec","")</f>
        <v>52.75</v>
      </c>
      <c r="AZ47" s="2">
        <f>[1]!YBHIST(AZ$4,$A47,"OAS-Lib","sec","")</f>
        <v>89.629997000000003</v>
      </c>
      <c r="BA47" s="2">
        <f>[1]!YBHIST(BA$4,$A47,"OAS-Lib","sec","")</f>
        <v>58.68</v>
      </c>
      <c r="BB47" s="29">
        <f>[1]!YBHIST(BB$4,$A47,"OAS-Lib","sec","")</f>
        <v>253.199997</v>
      </c>
      <c r="BC47" s="2">
        <f>[1]!YBHIST(BC$4,$A47,"OAS-Lib","sec","")</f>
        <v>84.269997000000004</v>
      </c>
      <c r="BD47" s="29">
        <f>[1]!YBHIST(BD$4,$A47,"OAS-Lib","sec","")</f>
        <v>192.779999</v>
      </c>
      <c r="BE47" s="2">
        <f>[1]!YBHIST(BE$4,$A47,"OAS-Lib","sec","")</f>
        <v>1054.719971</v>
      </c>
      <c r="BF47" s="2">
        <f>[1]!YBHIST(BF$4,$A47,"OAS-Lib","sec","")</f>
        <v>813.77002000000005</v>
      </c>
      <c r="BG47" s="2">
        <f>[1]!YBHIST(BG$4,$A47,"OAS-Lib","sec","")</f>
        <v>457.76998900000001</v>
      </c>
      <c r="BH47" s="29">
        <f>[1]!YBHIST(BH$4,$A47,"OAS-Lib","sec","")</f>
        <v>1372.420044</v>
      </c>
      <c r="BI47" s="2">
        <f>[1]!YBHIST(BI$4,$A47,"OAS-Lib","sec","")</f>
        <v>867.03997800000002</v>
      </c>
      <c r="BJ47" s="2">
        <f>[1]!YBHIST(BJ$4,$A47,"OAS-Lib","sec","")</f>
        <v>775.71997099999999</v>
      </c>
      <c r="BK47" s="29">
        <f>[1]!YBHIST(BK$4,$A47,"OAS-Lib","sec","")</f>
        <v>880.55999799999995</v>
      </c>
      <c r="BL47" s="30">
        <f>[1]!YBHIST(BL$4,$A47,"OAS-Lib","sec","")</f>
        <v>854.96002199999998</v>
      </c>
      <c r="BM47" s="2">
        <f>[1]!YBHIST(BM$4,$A47,"OAS-Lib","sec","")</f>
        <v>-81.449996999999996</v>
      </c>
      <c r="BN47" s="2">
        <f>[1]!YBHIST(BN$4,$A47,"OAS-Lib","sec","")</f>
        <v>-62.5</v>
      </c>
      <c r="BO47" s="10">
        <f>[1]!YBHIST(BO$4,$A47,"OAS-Lib","sec","")</f>
        <v>88.139999000000003</v>
      </c>
      <c r="BP47" s="9"/>
      <c r="BQ47" s="1"/>
      <c r="BR47" s="1"/>
    </row>
    <row r="48" spans="1:70" x14ac:dyDescent="0.25">
      <c r="A48" s="22">
        <f>[1]!ybworkday(A$5,-1*(ROW()-ROW(A$5)),"USD","")</f>
        <v>40843</v>
      </c>
      <c r="B48" s="3">
        <f>[1]!YBHIST("2 Year Treasury",$A48,"Price","govt","")</f>
        <v>99.866996999999998</v>
      </c>
      <c r="C48" s="2">
        <f>[1]!YBHIST("5 Year Treasury",$A48,"Price","govt","")</f>
        <v>99.030997999999997</v>
      </c>
      <c r="D48" s="2">
        <f>[1]!YBHIST("10 Year Treasury",$A48,"Price","govt","")</f>
        <v>97.655997999999997</v>
      </c>
      <c r="E48" s="10">
        <f>[1]!YBHIST("30 Year Treasury",$A48,"Price","govt","")</f>
        <v>105.60900100000001</v>
      </c>
      <c r="F48" s="3">
        <f>[1]!YBHIST("2 Year Treasury",$A48,"YldtoMat","govt","")</f>
        <v>0.317</v>
      </c>
      <c r="G48" s="2">
        <f>[1]!YBHIST("5 Year Treasury",$A48,"YldtoMat","govt","")</f>
        <v>1.2</v>
      </c>
      <c r="H48" s="2">
        <f>[1]!YBHIST("10 Year Treasury",$A48,"YldtoMat","govt","")</f>
        <v>2.395</v>
      </c>
      <c r="I48" s="10">
        <f>[1]!YBHIST("30 Year Treasury",$A48,"YldtoMat","govt","")</f>
        <v>3.4470000000000001</v>
      </c>
      <c r="J48" s="3">
        <f>[1]!YBHIST("2yr Swap Rate",$A48,"YldtoMat","swapvol","")</f>
        <v>0.63752900000000001</v>
      </c>
      <c r="K48" s="2">
        <f>[1]!YBHIST("5yr Swap Rate",$A48,"YldtoMat","swapvol","")</f>
        <v>1.483419</v>
      </c>
      <c r="L48" s="2">
        <f>[1]!YBHIST("10yr Swap Rate",$A48,"YldtoMat","swapvol","")</f>
        <v>2.5477789999999998</v>
      </c>
      <c r="M48" s="10">
        <f>[1]!YBHIST("30yr Swap Rate",$A48,"YldtoMat","swapvol","")</f>
        <v>3.2178339999999999</v>
      </c>
      <c r="N48" s="3">
        <f>[1]!YBHIST("FNMA 30YR Cur Coup (BE)",$A48,"Yield","bmk","")</f>
        <v>3.4420000000000002</v>
      </c>
      <c r="O48" s="2">
        <f>[1]!YBHIST("FHLMC 30YR Cur Coup (BE)",$A48,"Yield","bmk","")</f>
        <v>3.4729999999999999</v>
      </c>
      <c r="P48" s="2">
        <f>[1]!YBHIST("GNMA 30YR Cur Coup (BE)",$A48,"Yield","bmk","")</f>
        <v>3.2429999999999999</v>
      </c>
      <c r="Q48" s="2">
        <f>[1]!YBHIST("Primary 30-Yr Mtg Rate",$A48,"Yield","bmk","")</f>
        <v>4.4644000000000004</v>
      </c>
      <c r="R48" s="2">
        <f>[1]!YBHIST("FHLM 30-Yr Survey Rate",$A48,"Yield","bmk","")</f>
        <v>4.0999999999999996</v>
      </c>
      <c r="S48" s="10">
        <f>[1]!YBHIST("Base Mortgage Rate",$A48,"Yield","bmk","")</f>
        <v>3.7589999999999999</v>
      </c>
      <c r="T48" s="27">
        <f>[1]!YBHIST("FNMA 30YR Cur Coup (BE)",$A48,"OAS-Lib","bmk","")</f>
        <v>22.490998999999999</v>
      </c>
      <c r="U48" s="28">
        <f>[1]!YBHIST("FHLMC 30YR Cur Coup (BE)",$A48,"OAS-Lib","bmk","")</f>
        <v>24.077998999999998</v>
      </c>
      <c r="V48" s="28">
        <f>[1]!YBHIST("GNMA 30YR Cur Coup (BE)",$A48,"OAS-Lib","bmk","")</f>
        <v>24.864999999999998</v>
      </c>
      <c r="W48" s="29">
        <f t="shared" si="3"/>
        <v>104.70000000000002</v>
      </c>
      <c r="X48" s="29">
        <f t="shared" si="4"/>
        <v>104.70000000000002</v>
      </c>
      <c r="Y48" s="29">
        <f t="shared" si="5"/>
        <v>107.79999999999998</v>
      </c>
      <c r="Z48" s="3">
        <f>[1]!YBHIST("FNMA3.5-GEN",$A48,"Price","tba","")</f>
        <v>100.46875</v>
      </c>
      <c r="AA48" s="2">
        <f>[1]!YBHIST("FNMA4.0-GEN",$A48,"Price","tba","")</f>
        <v>102.96875</v>
      </c>
      <c r="AB48" s="2">
        <f>[1]!YBHIST("FNMA4.5-GEN",$A48,"Price","tba","")</f>
        <v>105.015625</v>
      </c>
      <c r="AC48" s="2">
        <f>[1]!YBHIST("FNMA5.0-GEN",$A48,"Price","tba","")</f>
        <v>107.109375</v>
      </c>
      <c r="AD48" s="2">
        <f>[1]!YBHIST("FNMA5.5-GEN",$A48,"Price","tba","")</f>
        <v>108.21875</v>
      </c>
      <c r="AE48" s="10">
        <f>[1]!YBHIST("FNMA6.0-GEN",$A48,"Price","tba","")</f>
        <v>109.40625</v>
      </c>
      <c r="AF48" s="3">
        <f>[1]!YBHIST(AF$4,$A48,"Price","sec","")</f>
        <v>19.125</v>
      </c>
      <c r="AG48" s="2">
        <f>[1]!YBHIST(AG$4,$A48,"Price","sec","")</f>
        <v>18.141000999999999</v>
      </c>
      <c r="AH48" s="2">
        <f>[1]!YBHIST(AH$4,$A48,"Price","sec","")</f>
        <v>16.766000999999999</v>
      </c>
      <c r="AI48" s="2">
        <f>[1]!YBHIST(AI$4,$A48,"Price","sec","")</f>
        <v>17.858999000000001</v>
      </c>
      <c r="AJ48" s="2">
        <f>[1]!YBHIST(AJ$4,$A48,"Price","sec","")</f>
        <v>15.75</v>
      </c>
      <c r="AK48" s="2">
        <f>[1]!YBHIST(AK$4,$A48,"Price","sec","")</f>
        <v>20.327998999999998</v>
      </c>
      <c r="AL48" s="2">
        <f>[1]!YBHIST(AL$4,$A48,"Price","sec","")</f>
        <v>18.280999999999999</v>
      </c>
      <c r="AM48" s="2">
        <f>[1]!YBHIST(AM$4,$A48,"Price","sec","")</f>
        <v>13.891</v>
      </c>
      <c r="AN48" s="2">
        <f>[1]!YBHIST(AN$4,$A48,"Price","sec","")</f>
        <v>15.891</v>
      </c>
      <c r="AO48" s="2">
        <f>[1]!YBHIST(AO$4,$A48,"Price","sec","")</f>
        <v>16.108999000000001</v>
      </c>
      <c r="AP48" s="2">
        <f>[1]!YBHIST(AP$4,$A48,"Price","sec","")</f>
        <v>13.75</v>
      </c>
      <c r="AQ48" s="2">
        <f>[1]!YBHIST(AQ$4,$A48,"Price","sec","")</f>
        <v>16.016000999999999</v>
      </c>
      <c r="AR48" s="2">
        <f>[1]!YBHIST(AR$4,$A48,"Price","sec","")</f>
        <v>15.438000000000001</v>
      </c>
      <c r="AS48" s="2">
        <f>[1]!YBHIST(AS$4,$A48,"Price","sec","")</f>
        <v>14.922000000000001</v>
      </c>
      <c r="AT48" s="2">
        <f>[1]!YBHIST(AT$4,$A48,"Price","sec","")</f>
        <v>17.047001000000002</v>
      </c>
      <c r="AU48" s="2">
        <f>[1]!YBHIST(AU$4,$A48,"Price","sec","")</f>
        <v>22.733999000000001</v>
      </c>
      <c r="AV48" s="2">
        <f>[1]!YBHIST(AV$4,$A48,"Price","sec","")</f>
        <v>22.062000000000001</v>
      </c>
      <c r="AW48" s="10">
        <f>[1]!YBHIST(AW$4,$A48,"Price","sec","")</f>
        <v>21.719000000000001</v>
      </c>
      <c r="AX48" s="29">
        <f>[1]!YBHIST(AX$4,$A48,"OAS-Lib","sec","")</f>
        <v>23.459999</v>
      </c>
      <c r="AY48" s="29">
        <f>[1]!YBHIST(AY$4,$A48,"OAS-Lib","sec","")</f>
        <v>64.050003000000004</v>
      </c>
      <c r="AZ48" s="2">
        <f>[1]!YBHIST(AZ$4,$A48,"OAS-Lib","sec","")</f>
        <v>85.940002000000007</v>
      </c>
      <c r="BA48" s="2">
        <f>[1]!YBHIST(BA$4,$A48,"OAS-Lib","sec","")</f>
        <v>65.010002</v>
      </c>
      <c r="BB48" s="29">
        <f>[1]!YBHIST(BB$4,$A48,"OAS-Lib","sec","")</f>
        <v>228.029999</v>
      </c>
      <c r="BC48" s="2">
        <f>[1]!YBHIST(BC$4,$A48,"OAS-Lib","sec","")</f>
        <v>95.629997000000003</v>
      </c>
      <c r="BD48" s="29">
        <f>[1]!YBHIST(BD$4,$A48,"OAS-Lib","sec","")</f>
        <v>180.220001</v>
      </c>
      <c r="BE48" s="2">
        <f>[1]!YBHIST(BE$4,$A48,"OAS-Lib","sec","")</f>
        <v>999.73999000000003</v>
      </c>
      <c r="BF48" s="2">
        <f>[1]!YBHIST(BF$4,$A48,"OAS-Lib","sec","")</f>
        <v>773.61999500000002</v>
      </c>
      <c r="BG48" s="2">
        <f>[1]!YBHIST(BG$4,$A48,"OAS-Lib","sec","")</f>
        <v>420.39001500000001</v>
      </c>
      <c r="BH48" s="29">
        <f>[1]!YBHIST(BH$4,$A48,"OAS-Lib","sec","")</f>
        <v>1345.599976</v>
      </c>
      <c r="BI48" s="2">
        <f>[1]!YBHIST(BI$4,$A48,"OAS-Lib","sec","")</f>
        <v>834.55999799999995</v>
      </c>
      <c r="BJ48" s="2">
        <f>[1]!YBHIST(BJ$4,$A48,"OAS-Lib","sec","")</f>
        <v>750.71002199999998</v>
      </c>
      <c r="BK48" s="29">
        <f>[1]!YBHIST(BK$4,$A48,"OAS-Lib","sec","")</f>
        <v>851.84997599999997</v>
      </c>
      <c r="BL48" s="30">
        <f>[1]!YBHIST(BL$4,$A48,"OAS-Lib","sec","")</f>
        <v>852.32000700000003</v>
      </c>
      <c r="BM48" s="2">
        <f>[1]!YBHIST(BM$4,$A48,"OAS-Lib","sec","")</f>
        <v>-61.75</v>
      </c>
      <c r="BN48" s="2">
        <f>[1]!YBHIST(BN$4,$A48,"OAS-Lib","sec","")</f>
        <v>-52.959999000000003</v>
      </c>
      <c r="BO48" s="10">
        <f>[1]!YBHIST(BO$4,$A48,"OAS-Lib","sec","")</f>
        <v>87.910004000000001</v>
      </c>
      <c r="BP48" s="9"/>
      <c r="BQ48" s="1"/>
      <c r="BR48" s="1"/>
    </row>
    <row r="49" spans="1:70" x14ac:dyDescent="0.25">
      <c r="A49" s="22">
        <f>[1]!ybworkday(A$5,-1*(ROW()-ROW(A$5)),"USD","")</f>
        <v>40842</v>
      </c>
      <c r="B49" s="3">
        <f>[1]!YBHIST("2 Year Treasury",$A49,"Price","govt","")</f>
        <v>99.921997000000005</v>
      </c>
      <c r="C49" s="2">
        <f>[1]!YBHIST("5 Year Treasury",$A49,"Price","govt","")</f>
        <v>99.710999000000001</v>
      </c>
      <c r="D49" s="2">
        <f>[1]!YBHIST("10 Year Treasury",$A49,"Price","govt","")</f>
        <v>99.359001000000006</v>
      </c>
      <c r="E49" s="10">
        <f>[1]!YBHIST("30 Year Treasury",$A49,"Price","govt","")</f>
        <v>110.030998</v>
      </c>
      <c r="F49" s="3">
        <f>[1]!YBHIST("2 Year Treasury",$A49,"YldtoMat","govt","")</f>
        <v>0.28899999999999998</v>
      </c>
      <c r="G49" s="2">
        <f>[1]!YBHIST("5 Year Treasury",$A49,"YldtoMat","govt","")</f>
        <v>1.06</v>
      </c>
      <c r="H49" s="2">
        <f>[1]!YBHIST("10 Year Treasury",$A49,"YldtoMat","govt","")</f>
        <v>2.198</v>
      </c>
      <c r="I49" s="10">
        <f>[1]!YBHIST("30 Year Treasury",$A49,"YldtoMat","govt","")</f>
        <v>3.2240000000000002</v>
      </c>
      <c r="J49" s="3">
        <f>[1]!YBHIST("2yr Swap Rate",$A49,"YldtoMat","swapvol","")</f>
        <v>0.64859699999999998</v>
      </c>
      <c r="K49" s="2">
        <f>[1]!YBHIST("5yr Swap Rate",$A49,"YldtoMat","swapvol","")</f>
        <v>1.398692</v>
      </c>
      <c r="L49" s="2">
        <f>[1]!YBHIST("10yr Swap Rate",$A49,"YldtoMat","swapvol","")</f>
        <v>2.3853900000000001</v>
      </c>
      <c r="M49" s="10">
        <f>[1]!YBHIST("30yr Swap Rate",$A49,"YldtoMat","swapvol","")</f>
        <v>3.0250650000000001</v>
      </c>
      <c r="N49" s="3">
        <f>[1]!YBHIST("FNMA 30YR Cur Coup (BE)",$A49,"Yield","bmk","")</f>
        <v>3.323</v>
      </c>
      <c r="O49" s="2">
        <f>[1]!YBHIST("FHLMC 30YR Cur Coup (BE)",$A49,"Yield","bmk","")</f>
        <v>3.327</v>
      </c>
      <c r="P49" s="2">
        <f>[1]!YBHIST("GNMA 30YR Cur Coup (BE)",$A49,"Yield","bmk","")</f>
        <v>3.1360000000000001</v>
      </c>
      <c r="Q49" s="2">
        <f>[1]!YBHIST("Primary 30-Yr Mtg Rate",$A49,"Yield","bmk","")</f>
        <v>4.3418999999999999</v>
      </c>
      <c r="R49" s="2">
        <f>[1]!YBHIST("FHLM 30-Yr Survey Rate",$A49,"Yield","bmk","")</f>
        <v>4.1100000000000003</v>
      </c>
      <c r="S49" s="10">
        <f>[1]!YBHIST("Base Mortgage Rate",$A49,"Yield","bmk","")</f>
        <v>3.6429999999999998</v>
      </c>
      <c r="T49" s="27">
        <f>[1]!YBHIST("FNMA 30YR Cur Coup (BE)",$A49,"OAS-Lib","bmk","")</f>
        <v>21.190000999999999</v>
      </c>
      <c r="U49" s="28">
        <f>[1]!YBHIST("FHLMC 30YR Cur Coup (BE)",$A49,"OAS-Lib","bmk","")</f>
        <v>21.506001000000001</v>
      </c>
      <c r="V49" s="28">
        <f>[1]!YBHIST("GNMA 30YR Cur Coup (BE)",$A49,"OAS-Lib","bmk","")</f>
        <v>26.697001</v>
      </c>
      <c r="W49" s="29">
        <f t="shared" si="3"/>
        <v>112.5</v>
      </c>
      <c r="X49" s="29">
        <f t="shared" si="4"/>
        <v>112.5</v>
      </c>
      <c r="Y49" s="29">
        <f t="shared" si="5"/>
        <v>112.9</v>
      </c>
      <c r="Z49" s="3">
        <f>[1]!YBHIST("FNMA3.5-GEN",$A49,"Price","tba","")</f>
        <v>101.171875</v>
      </c>
      <c r="AA49" s="2">
        <f>[1]!YBHIST("FNMA4.0-GEN",$A49,"Price","tba","")</f>
        <v>103.40625</v>
      </c>
      <c r="AB49" s="2">
        <f>[1]!YBHIST("FNMA4.5-GEN",$A49,"Price","tba","")</f>
        <v>105.25</v>
      </c>
      <c r="AC49" s="2">
        <f>[1]!YBHIST("FNMA5.0-GEN",$A49,"Price","tba","")</f>
        <v>107.234375</v>
      </c>
      <c r="AD49" s="2">
        <f>[1]!YBHIST("FNMA5.5-GEN",$A49,"Price","tba","")</f>
        <v>108.234375</v>
      </c>
      <c r="AE49" s="10">
        <f>[1]!YBHIST("FNMA6.0-GEN",$A49,"Price","tba","")</f>
        <v>109.390625</v>
      </c>
      <c r="AF49" s="3">
        <f>[1]!YBHIST(AF$4,$A49,"Price","sec","")</f>
        <v>17.905999999999999</v>
      </c>
      <c r="AG49" s="2">
        <f>[1]!YBHIST(AG$4,$A49,"Price","sec","")</f>
        <v>16.687999999999999</v>
      </c>
      <c r="AH49" s="2">
        <f>[1]!YBHIST(AH$4,$A49,"Price","sec","")</f>
        <v>15.327999999999999</v>
      </c>
      <c r="AI49" s="2">
        <f>[1]!YBHIST(AI$4,$A49,"Price","sec","")</f>
        <v>16.219000000000001</v>
      </c>
      <c r="AJ49" s="2">
        <f>[1]!YBHIST(AJ$4,$A49,"Price","sec","")</f>
        <v>14.188000000000001</v>
      </c>
      <c r="AK49" s="2">
        <f>[1]!YBHIST(AK$4,$A49,"Price","sec","")</f>
        <v>18.858999000000001</v>
      </c>
      <c r="AL49" s="2">
        <f>[1]!YBHIST(AL$4,$A49,"Price","sec","")</f>
        <v>16.891000999999999</v>
      </c>
      <c r="AM49" s="2">
        <f>[1]!YBHIST(AM$4,$A49,"Price","sec","")</f>
        <v>13.391</v>
      </c>
      <c r="AN49" s="2">
        <f>[1]!YBHIST(AN$4,$A49,"Price","sec","")</f>
        <v>15.047000000000001</v>
      </c>
      <c r="AO49" s="2">
        <f>[1]!YBHIST(AO$4,$A49,"Price","sec","")</f>
        <v>15.266</v>
      </c>
      <c r="AP49" s="2">
        <f>[1]!YBHIST(AP$4,$A49,"Price","sec","")</f>
        <v>13.047000000000001</v>
      </c>
      <c r="AQ49" s="2">
        <f>[1]!YBHIST(AQ$4,$A49,"Price","sec","")</f>
        <v>15.422000000000001</v>
      </c>
      <c r="AR49" s="2">
        <f>[1]!YBHIST(AR$4,$A49,"Price","sec","")</f>
        <v>14.827999999999999</v>
      </c>
      <c r="AS49" s="2">
        <f>[1]!YBHIST(AS$4,$A49,"Price","sec","")</f>
        <v>14.234</v>
      </c>
      <c r="AT49" s="2">
        <f>[1]!YBHIST(AT$4,$A49,"Price","sec","")</f>
        <v>16.702998999999998</v>
      </c>
      <c r="AU49" s="2">
        <f>[1]!YBHIST(AU$4,$A49,"Price","sec","")</f>
        <v>21.922001000000002</v>
      </c>
      <c r="AV49" s="2">
        <f>[1]!YBHIST(AV$4,$A49,"Price","sec","")</f>
        <v>21.077998999999998</v>
      </c>
      <c r="AW49" s="10">
        <f>[1]!YBHIST(AW$4,$A49,"Price","sec","")</f>
        <v>20.672001000000002</v>
      </c>
      <c r="AX49" s="29">
        <f>[1]!YBHIST(AX$4,$A49,"OAS-Lib","sec","")</f>
        <v>24.84</v>
      </c>
      <c r="AY49" s="29">
        <f>[1]!YBHIST(AY$4,$A49,"OAS-Lib","sec","")</f>
        <v>91.309997999999993</v>
      </c>
      <c r="AZ49" s="2">
        <f>[1]!YBHIST(AZ$4,$A49,"OAS-Lib","sec","")</f>
        <v>134.770004</v>
      </c>
      <c r="BA49" s="2">
        <f>[1]!YBHIST(BA$4,$A49,"OAS-Lib","sec","")</f>
        <v>135.229996</v>
      </c>
      <c r="BB49" s="29">
        <f>[1]!YBHIST(BB$4,$A49,"OAS-Lib","sec","")</f>
        <v>333.51001000000002</v>
      </c>
      <c r="BC49" s="2">
        <f>[1]!YBHIST(BC$4,$A49,"OAS-Lib","sec","")</f>
        <v>147.11000100000001</v>
      </c>
      <c r="BD49" s="29">
        <f>[1]!YBHIST(BD$4,$A49,"OAS-Lib","sec","")</f>
        <v>248.35000600000001</v>
      </c>
      <c r="BE49" s="2">
        <f>[1]!YBHIST(BE$4,$A49,"OAS-Lib","sec","")</f>
        <v>987.39001499999995</v>
      </c>
      <c r="BF49" s="2">
        <f>[1]!YBHIST(BF$4,$A49,"OAS-Lib","sec","")</f>
        <v>852.330017</v>
      </c>
      <c r="BG49" s="2">
        <f>[1]!YBHIST(BG$4,$A49,"OAS-Lib","sec","")</f>
        <v>483.08999599999999</v>
      </c>
      <c r="BH49" s="29">
        <f>[1]!YBHIST(BH$4,$A49,"OAS-Lib","sec","")</f>
        <v>1432.920044</v>
      </c>
      <c r="BI49" s="2">
        <f>[1]!YBHIST(BI$4,$A49,"OAS-Lib","sec","")</f>
        <v>887.419983</v>
      </c>
      <c r="BJ49" s="2">
        <f>[1]!YBHIST(BJ$4,$A49,"OAS-Lib","sec","")</f>
        <v>794.75</v>
      </c>
      <c r="BK49" s="29">
        <f>[1]!YBHIST(BK$4,$A49,"OAS-Lib","sec","")</f>
        <v>955.22997999999995</v>
      </c>
      <c r="BL49" s="30">
        <f>[1]!YBHIST(BL$4,$A49,"OAS-Lib","sec","")</f>
        <v>874.15997300000004</v>
      </c>
      <c r="BM49" s="2">
        <f>[1]!YBHIST(BM$4,$A49,"OAS-Lib","sec","")</f>
        <v>-85.160004000000001</v>
      </c>
      <c r="BN49" s="2">
        <f>[1]!YBHIST(BN$4,$A49,"OAS-Lib","sec","")</f>
        <v>-59.790000999999997</v>
      </c>
      <c r="BO49" s="10">
        <f>[1]!YBHIST(BO$4,$A49,"OAS-Lib","sec","")</f>
        <v>111</v>
      </c>
      <c r="BP49" s="9"/>
      <c r="BQ49" s="1"/>
      <c r="BR49" s="1"/>
    </row>
    <row r="50" spans="1:70" x14ac:dyDescent="0.25">
      <c r="A50" s="22">
        <f>[1]!ybworkday(A$5,-1*(ROW()-ROW(A$5)),"USD","")</f>
        <v>40841</v>
      </c>
      <c r="B50" s="3">
        <f>[1]!YBHIST("2 Year Treasury",$A50,"Price","govt","")</f>
        <v>99.741996999999998</v>
      </c>
      <c r="C50" s="2">
        <f>[1]!YBHIST("5 Year Treasury",$A50,"Price","govt","")</f>
        <v>100.008003</v>
      </c>
      <c r="D50" s="2">
        <f>[1]!YBHIST("10 Year Treasury",$A50,"Price","govt","")</f>
        <v>99.984001000000006</v>
      </c>
      <c r="E50" s="10">
        <f>[1]!YBHIST("30 Year Treasury",$A50,"Price","govt","")</f>
        <v>111.68800400000001</v>
      </c>
      <c r="F50" s="3">
        <f>[1]!YBHIST("2 Year Treasury",$A50,"YldtoMat","govt","")</f>
        <v>0.25900000000000001</v>
      </c>
      <c r="G50" s="2">
        <f>[1]!YBHIST("5 Year Treasury",$A50,"YldtoMat","govt","")</f>
        <v>0.998</v>
      </c>
      <c r="H50" s="2">
        <f>[1]!YBHIST("10 Year Treasury",$A50,"YldtoMat","govt","")</f>
        <v>2.1269999999999998</v>
      </c>
      <c r="I50" s="10">
        <f>[1]!YBHIST("30 Year Treasury",$A50,"YldtoMat","govt","")</f>
        <v>3.1429999999999998</v>
      </c>
      <c r="J50" s="3">
        <f>[1]!YBHIST("2yr Swap Rate",$A50,"YldtoMat","swapvol","")</f>
        <v>0.62106499999999998</v>
      </c>
      <c r="K50" s="2">
        <f>[1]!YBHIST("5yr Swap Rate",$A50,"YldtoMat","swapvol","")</f>
        <v>1.3367789999999999</v>
      </c>
      <c r="L50" s="2">
        <f>[1]!YBHIST("10yr Swap Rate",$A50,"YldtoMat","swapvol","")</f>
        <v>2.3166519999999999</v>
      </c>
      <c r="M50" s="10">
        <f>[1]!YBHIST("30yr Swap Rate",$A50,"YldtoMat","swapvol","")</f>
        <v>2.9394260000000001</v>
      </c>
      <c r="N50" s="3">
        <f>[1]!YBHIST("FNMA 30YR Cur Coup (BE)",$A50,"Yield","bmk","")</f>
        <v>3.266</v>
      </c>
      <c r="O50" s="2">
        <f>[1]!YBHIST("FHLMC 30YR Cur Coup (BE)",$A50,"Yield","bmk","")</f>
        <v>3.2570000000000001</v>
      </c>
      <c r="P50" s="2">
        <f>[1]!YBHIST("GNMA 30YR Cur Coup (BE)",$A50,"Yield","bmk","")</f>
        <v>3.085</v>
      </c>
      <c r="Q50" s="2">
        <f>[1]!YBHIST("Primary 30-Yr Mtg Rate",$A50,"Yield","bmk","")</f>
        <v>4.2865000000000002</v>
      </c>
      <c r="R50" s="2">
        <f>[1]!YBHIST("FHLM 30-Yr Survey Rate",$A50,"Yield","bmk","")</f>
        <v>4.1100000000000003</v>
      </c>
      <c r="S50" s="10">
        <f>[1]!YBHIST("Base Mortgage Rate",$A50,"Yield","bmk","")</f>
        <v>3.5880000000000001</v>
      </c>
      <c r="T50" s="27">
        <f>[1]!YBHIST("FNMA 30YR Cur Coup (BE)",$A50,"OAS-Lib","bmk","")</f>
        <v>22.914000000000001</v>
      </c>
      <c r="U50" s="28">
        <f>[1]!YBHIST("FHLMC 30YR Cur Coup (BE)",$A50,"OAS-Lib","bmk","")</f>
        <v>21.184000000000001</v>
      </c>
      <c r="V50" s="28">
        <f>[1]!YBHIST("GNMA 30YR Cur Coup (BE)",$A50,"OAS-Lib","bmk","")</f>
        <v>29.209</v>
      </c>
      <c r="W50" s="29">
        <f t="shared" si="3"/>
        <v>113.90000000000002</v>
      </c>
      <c r="X50" s="29">
        <f t="shared" si="4"/>
        <v>113.90000000000002</v>
      </c>
      <c r="Y50" s="29">
        <f t="shared" si="5"/>
        <v>113.00000000000003</v>
      </c>
      <c r="Z50" s="3">
        <f>[1]!YBHIST("FNMA3.5-GEN",$A50,"Price","tba","")</f>
        <v>101.484375</v>
      </c>
      <c r="AA50" s="2">
        <f>[1]!YBHIST("FNMA4.0-GEN",$A50,"Price","tba","")</f>
        <v>103.640625</v>
      </c>
      <c r="AB50" s="2">
        <f>[1]!YBHIST("FNMA4.5-GEN",$A50,"Price","tba","")</f>
        <v>105.34375</v>
      </c>
      <c r="AC50" s="2">
        <f>[1]!YBHIST("FNMA5.0-GEN",$A50,"Price","tba","")</f>
        <v>107.21875</v>
      </c>
      <c r="AD50" s="2">
        <f>[1]!YBHIST("FNMA5.5-GEN",$A50,"Price","tba","")</f>
        <v>108.140625</v>
      </c>
      <c r="AE50" s="10">
        <f>[1]!YBHIST("FNMA6.0-GEN",$A50,"Price","tba","")</f>
        <v>109.25</v>
      </c>
      <c r="AF50" s="3">
        <f>[1]!YBHIST(AF$4,$A50,"Price","sec","")</f>
        <v>17.516000999999999</v>
      </c>
      <c r="AG50" s="2">
        <f>[1]!YBHIST(AG$4,$A50,"Price","sec","")</f>
        <v>16.25</v>
      </c>
      <c r="AH50" s="2">
        <f>[1]!YBHIST(AH$4,$A50,"Price","sec","")</f>
        <v>14.859</v>
      </c>
      <c r="AI50" s="2">
        <f>[1]!YBHIST(AI$4,$A50,"Price","sec","")</f>
        <v>15.734</v>
      </c>
      <c r="AJ50" s="2">
        <f>[1]!YBHIST(AJ$4,$A50,"Price","sec","")</f>
        <v>13.672000000000001</v>
      </c>
      <c r="AK50" s="2">
        <f>[1]!YBHIST(AK$4,$A50,"Price","sec","")</f>
        <v>18.422001000000002</v>
      </c>
      <c r="AL50" s="2">
        <f>[1]!YBHIST(AL$4,$A50,"Price","sec","")</f>
        <v>16.344000000000001</v>
      </c>
      <c r="AM50" s="2">
        <f>[1]!YBHIST(AM$4,$A50,"Price","sec","")</f>
        <v>13.359</v>
      </c>
      <c r="AN50" s="2">
        <f>[1]!YBHIST(AN$4,$A50,"Price","sec","")</f>
        <v>14.688000000000001</v>
      </c>
      <c r="AO50" s="2">
        <f>[1]!YBHIST(AO$4,$A50,"Price","sec","")</f>
        <v>14.906000000000001</v>
      </c>
      <c r="AP50" s="2">
        <f>[1]!YBHIST(AP$4,$A50,"Price","sec","")</f>
        <v>12.641</v>
      </c>
      <c r="AQ50" s="2">
        <f>[1]!YBHIST(AQ$4,$A50,"Price","sec","")</f>
        <v>15.093999999999999</v>
      </c>
      <c r="AR50" s="2">
        <f>[1]!YBHIST(AR$4,$A50,"Price","sec","")</f>
        <v>14.5</v>
      </c>
      <c r="AS50" s="2">
        <f>[1]!YBHIST(AS$4,$A50,"Price","sec","")</f>
        <v>13.827999999999999</v>
      </c>
      <c r="AT50" s="2">
        <f>[1]!YBHIST(AT$4,$A50,"Price","sec","")</f>
        <v>16.5</v>
      </c>
      <c r="AU50" s="2">
        <f>[1]!YBHIST(AU$4,$A50,"Price","sec","")</f>
        <v>21.672001000000002</v>
      </c>
      <c r="AV50" s="2">
        <f>[1]!YBHIST(AV$4,$A50,"Price","sec","")</f>
        <v>20.719000000000001</v>
      </c>
      <c r="AW50" s="10">
        <f>[1]!YBHIST(AW$4,$A50,"Price","sec","")</f>
        <v>20.266000999999999</v>
      </c>
      <c r="AX50" s="29">
        <f>[1]!YBHIST(AX$4,$A50,"OAS-Lib","sec","")</f>
        <v>22.440000999999999</v>
      </c>
      <c r="AY50" s="29">
        <f>[1]!YBHIST(AY$4,$A50,"OAS-Lib","sec","")</f>
        <v>92.470000999999996</v>
      </c>
      <c r="AZ50" s="2">
        <f>[1]!YBHIST(AZ$4,$A50,"OAS-Lib","sec","")</f>
        <v>148.63999899999999</v>
      </c>
      <c r="BA50" s="2">
        <f>[1]!YBHIST(BA$4,$A50,"OAS-Lib","sec","")</f>
        <v>151.03999300000001</v>
      </c>
      <c r="BB50" s="29">
        <f>[1]!YBHIST(BB$4,$A50,"OAS-Lib","sec","")</f>
        <v>370.76001000000002</v>
      </c>
      <c r="BC50" s="2">
        <f>[1]!YBHIST(BC$4,$A50,"OAS-Lib","sec","")</f>
        <v>158.86999499999999</v>
      </c>
      <c r="BD50" s="29">
        <f>[1]!YBHIST(BD$4,$A50,"OAS-Lib","sec","")</f>
        <v>285.92999300000002</v>
      </c>
      <c r="BE50" s="2">
        <f>[1]!YBHIST(BE$4,$A50,"OAS-Lib","sec","")</f>
        <v>946.65002400000003</v>
      </c>
      <c r="BF50" s="2">
        <f>[1]!YBHIST(BF$4,$A50,"OAS-Lib","sec","")</f>
        <v>898.15002400000003</v>
      </c>
      <c r="BG50" s="2">
        <f>[1]!YBHIST(BG$4,$A50,"OAS-Lib","sec","")</f>
        <v>520.52002000000005</v>
      </c>
      <c r="BH50" s="29">
        <f>[1]!YBHIST(BH$4,$A50,"OAS-Lib","sec","")</f>
        <v>1519.26001</v>
      </c>
      <c r="BI50" s="2">
        <f>[1]!YBHIST(BI$4,$A50,"OAS-Lib","sec","")</f>
        <v>936.14001499999995</v>
      </c>
      <c r="BJ50" s="2">
        <f>[1]!YBHIST(BJ$4,$A50,"OAS-Lib","sec","")</f>
        <v>839</v>
      </c>
      <c r="BK50" s="29">
        <f>[1]!YBHIST(BK$4,$A50,"OAS-Lib","sec","")</f>
        <v>1043.160034</v>
      </c>
      <c r="BL50" s="30">
        <f>[1]!YBHIST(BL$4,$A50,"OAS-Lib","sec","")</f>
        <v>901.94000200000005</v>
      </c>
      <c r="BM50" s="2">
        <f>[1]!YBHIST(BM$4,$A50,"OAS-Lib","sec","")</f>
        <v>-95.160004000000001</v>
      </c>
      <c r="BN50" s="2">
        <f>[1]!YBHIST(BN$4,$A50,"OAS-Lib","sec","")</f>
        <v>-59.619999</v>
      </c>
      <c r="BO50" s="10" t="str">
        <f>[1]!YBHIST(BO$4,$A50,"OAS-Lib","sec","")</f>
        <v>NA</v>
      </c>
      <c r="BP50" s="9"/>
      <c r="BQ50" s="1"/>
      <c r="BR50" s="1"/>
    </row>
    <row r="51" spans="1:70" x14ac:dyDescent="0.25">
      <c r="A51" s="22">
        <f>[1]!ybworkday(A$5,-1*(ROW()-ROW(A$5)),"USD","")</f>
        <v>40840</v>
      </c>
      <c r="B51" s="3">
        <f>[1]!YBHIST("2 Year Treasury",$A51,"Price","govt","")</f>
        <v>99.694999999999993</v>
      </c>
      <c r="C51" s="2">
        <f>[1]!YBHIST("5 Year Treasury",$A51,"Price","govt","")</f>
        <v>99.585999000000001</v>
      </c>
      <c r="D51" s="2">
        <f>[1]!YBHIST("10 Year Treasury",$A51,"Price","govt","")</f>
        <v>99.030997999999997</v>
      </c>
      <c r="E51" s="10">
        <f>[1]!YBHIST("30 Year Treasury",$A51,"Price","govt","")</f>
        <v>108.953003</v>
      </c>
      <c r="F51" s="3">
        <f>[1]!YBHIST("2 Year Treasury",$A51,"YldtoMat","govt","")</f>
        <v>0.28299999999999997</v>
      </c>
      <c r="G51" s="2">
        <f>[1]!YBHIST("5 Year Treasury",$A51,"YldtoMat","govt","")</f>
        <v>1.0860000000000001</v>
      </c>
      <c r="H51" s="2">
        <f>[1]!YBHIST("10 Year Treasury",$A51,"YldtoMat","govt","")</f>
        <v>2.2349999999999999</v>
      </c>
      <c r="I51" s="10">
        <f>[1]!YBHIST("30 Year Treasury",$A51,"YldtoMat","govt","")</f>
        <v>3.2770000000000001</v>
      </c>
      <c r="J51" s="3">
        <f>[1]!YBHIST("2yr Swap Rate",$A51,"YldtoMat","swapvol","")</f>
        <v>0.64232800000000001</v>
      </c>
      <c r="K51" s="2">
        <f>[1]!YBHIST("5yr Swap Rate",$A51,"YldtoMat","swapvol","")</f>
        <v>1.424509</v>
      </c>
      <c r="L51" s="2">
        <f>[1]!YBHIST("10yr Swap Rate",$A51,"YldtoMat","swapvol","")</f>
        <v>2.4277799999999998</v>
      </c>
      <c r="M51" s="10">
        <f>[1]!YBHIST("30yr Swap Rate",$A51,"YldtoMat","swapvol","")</f>
        <v>3.0634169999999998</v>
      </c>
      <c r="N51" s="3">
        <f>[1]!YBHIST("FNMA 30YR Cur Coup (BE)",$A51,"Yield","bmk","")</f>
        <v>3.3660000000000001</v>
      </c>
      <c r="O51" s="2">
        <f>[1]!YBHIST("FHLMC 30YR Cur Coup (BE)",$A51,"Yield","bmk","")</f>
        <v>3.3809999999999998</v>
      </c>
      <c r="P51" s="2">
        <f>[1]!YBHIST("GNMA 30YR Cur Coup (BE)",$A51,"Yield","bmk","")</f>
        <v>3.1659999999999999</v>
      </c>
      <c r="Q51" s="2">
        <f>[1]!YBHIST("Primary 30-Yr Mtg Rate",$A51,"Yield","bmk","")</f>
        <v>4.3823999999999996</v>
      </c>
      <c r="R51" s="2">
        <f>[1]!YBHIST("FHLM 30-Yr Survey Rate",$A51,"Yield","bmk","")</f>
        <v>4.1100000000000003</v>
      </c>
      <c r="S51" s="10">
        <f>[1]!YBHIST("Base Mortgage Rate",$A51,"Yield","bmk","")</f>
        <v>3.6840000000000002</v>
      </c>
      <c r="T51" s="27">
        <f>[1]!YBHIST("FNMA 30YR Cur Coup (BE)",$A51,"OAS-Lib","bmk","")</f>
        <v>22.372</v>
      </c>
      <c r="U51" s="28">
        <f>[1]!YBHIST("FHLMC 30YR Cur Coup (BE)",$A51,"OAS-Lib","bmk","")</f>
        <v>22.573</v>
      </c>
      <c r="V51" s="28">
        <f>[1]!YBHIST("GNMA 30YR Cur Coup (BE)",$A51,"OAS-Lib","bmk","")</f>
        <v>26.643999000000001</v>
      </c>
      <c r="W51" s="29">
        <f t="shared" si="3"/>
        <v>113.10000000000002</v>
      </c>
      <c r="X51" s="29">
        <f t="shared" si="4"/>
        <v>113.10000000000002</v>
      </c>
      <c r="Y51" s="29">
        <f t="shared" si="5"/>
        <v>114.6</v>
      </c>
      <c r="Z51" s="3">
        <f>[1]!YBHIST("FNMA3.5-GEN",$A51,"Price","tba","")</f>
        <v>100.890625</v>
      </c>
      <c r="AA51" s="2">
        <f>[1]!YBHIST("FNMA4.0-GEN",$A51,"Price","tba","")</f>
        <v>103.140625</v>
      </c>
      <c r="AB51" s="2">
        <f>[1]!YBHIST("FNMA4.5-GEN",$A51,"Price","tba","")</f>
        <v>104.90625</v>
      </c>
      <c r="AC51" s="2">
        <f>[1]!YBHIST("FNMA5.0-GEN",$A51,"Price","tba","")</f>
        <v>106.84375</v>
      </c>
      <c r="AD51" s="2">
        <f>[1]!YBHIST("FNMA5.5-GEN",$A51,"Price","tba","")</f>
        <v>107.765625</v>
      </c>
      <c r="AE51" s="10">
        <f>[1]!YBHIST("FNMA6.0-GEN",$A51,"Price","tba","")</f>
        <v>109.015625</v>
      </c>
      <c r="AF51" s="3">
        <f>[1]!YBHIST(AF$4,$A51,"Price","sec","")</f>
        <v>17.922001000000002</v>
      </c>
      <c r="AG51" s="2">
        <f>[1]!YBHIST(AG$4,$A51,"Price","sec","")</f>
        <v>16.905999999999999</v>
      </c>
      <c r="AH51" s="2">
        <f>[1]!YBHIST(AH$4,$A51,"Price","sec","")</f>
        <v>15.484</v>
      </c>
      <c r="AI51" s="2">
        <f>[1]!YBHIST(AI$4,$A51,"Price","sec","")</f>
        <v>16.422001000000002</v>
      </c>
      <c r="AJ51" s="2">
        <f>[1]!YBHIST(AJ$4,$A51,"Price","sec","")</f>
        <v>14.359</v>
      </c>
      <c r="AK51" s="2">
        <f>[1]!YBHIST(AK$4,$A51,"Price","sec","")</f>
        <v>19.016000999999999</v>
      </c>
      <c r="AL51" s="2">
        <f>[1]!YBHIST(AL$4,$A51,"Price","sec","")</f>
        <v>16.952998999999998</v>
      </c>
      <c r="AM51" s="2">
        <f>[1]!YBHIST(AM$4,$A51,"Price","sec","")</f>
        <v>13.968999999999999</v>
      </c>
      <c r="AN51" s="2">
        <f>[1]!YBHIST(AN$4,$A51,"Price","sec","")</f>
        <v>15.218999999999999</v>
      </c>
      <c r="AO51" s="2">
        <f>[1]!YBHIST(AO$4,$A51,"Price","sec","")</f>
        <v>15.438000000000001</v>
      </c>
      <c r="AP51" s="2">
        <f>[1]!YBHIST(AP$4,$A51,"Price","sec","")</f>
        <v>12.922000000000001</v>
      </c>
      <c r="AQ51" s="2">
        <f>[1]!YBHIST(AQ$4,$A51,"Price","sec","")</f>
        <v>15.406000000000001</v>
      </c>
      <c r="AR51" s="2">
        <f>[1]!YBHIST(AR$4,$A51,"Price","sec","")</f>
        <v>14.766</v>
      </c>
      <c r="AS51" s="2">
        <f>[1]!YBHIST(AS$4,$A51,"Price","sec","")</f>
        <v>13.968999999999999</v>
      </c>
      <c r="AT51" s="2">
        <f>[1]!YBHIST(AT$4,$A51,"Price","sec","")</f>
        <v>16.577998999999998</v>
      </c>
      <c r="AU51" s="2">
        <f>[1]!YBHIST(AU$4,$A51,"Price","sec","")</f>
        <v>22.047001000000002</v>
      </c>
      <c r="AV51" s="2">
        <f>[1]!YBHIST(AV$4,$A51,"Price","sec","")</f>
        <v>21.202998999999998</v>
      </c>
      <c r="AW51" s="10">
        <f>[1]!YBHIST(AW$4,$A51,"Price","sec","")</f>
        <v>20.812000000000001</v>
      </c>
      <c r="AX51" s="29">
        <f>[1]!YBHIST(AX$4,$A51,"OAS-Lib","sec","")</f>
        <v>62.759998000000003</v>
      </c>
      <c r="AY51" s="29">
        <f>[1]!YBHIST(AY$4,$A51,"OAS-Lib","sec","")</f>
        <v>111.010002</v>
      </c>
      <c r="AZ51" s="2">
        <f>[1]!YBHIST(AZ$4,$A51,"OAS-Lib","sec","")</f>
        <v>160.490005</v>
      </c>
      <c r="BA51" s="2">
        <f>[1]!YBHIST(BA$4,$A51,"OAS-Lib","sec","")</f>
        <v>154.759995</v>
      </c>
      <c r="BB51" s="29">
        <f>[1]!YBHIST(BB$4,$A51,"OAS-Lib","sec","")</f>
        <v>354.58999599999999</v>
      </c>
      <c r="BC51" s="2">
        <f>[1]!YBHIST(BC$4,$A51,"OAS-Lib","sec","")</f>
        <v>167.570007</v>
      </c>
      <c r="BD51" s="29">
        <f>[1]!YBHIST(BD$4,$A51,"OAS-Lib","sec","")</f>
        <v>281.17999300000002</v>
      </c>
      <c r="BE51" s="2">
        <f>[1]!YBHIST(BE$4,$A51,"OAS-Lib","sec","")</f>
        <v>893.20001200000002</v>
      </c>
      <c r="BF51" s="2">
        <f>[1]!YBHIST(BF$4,$A51,"OAS-Lib","sec","")</f>
        <v>847.60998500000005</v>
      </c>
      <c r="BG51" s="2">
        <f>[1]!YBHIST(BG$4,$A51,"OAS-Lib","sec","")</f>
        <v>482.83999599999999</v>
      </c>
      <c r="BH51" s="29">
        <f>[1]!YBHIST(BH$4,$A51,"OAS-Lib","sec","")</f>
        <v>1514.9499510000001</v>
      </c>
      <c r="BI51" s="2">
        <f>[1]!YBHIST(BI$4,$A51,"OAS-Lib","sec","")</f>
        <v>918.38000499999998</v>
      </c>
      <c r="BJ51" s="2">
        <f>[1]!YBHIST(BJ$4,$A51,"OAS-Lib","sec","")</f>
        <v>843.5</v>
      </c>
      <c r="BK51" s="29">
        <f>[1]!YBHIST(BK$4,$A51,"OAS-Lib","sec","")</f>
        <v>1059.4499510000001</v>
      </c>
      <c r="BL51" s="30">
        <f>[1]!YBHIST(BL$4,$A51,"OAS-Lib","sec","")</f>
        <v>922.36999500000002</v>
      </c>
      <c r="BM51" s="2">
        <f>[1]!YBHIST(BM$4,$A51,"OAS-Lib","sec","")</f>
        <v>-66.610000999999997</v>
      </c>
      <c r="BN51" s="2">
        <f>[1]!YBHIST(BN$4,$A51,"OAS-Lib","sec","")</f>
        <v>-40.369999</v>
      </c>
      <c r="BO51" s="10">
        <f>[1]!YBHIST(BO$4,$A51,"OAS-Lib","sec","")</f>
        <v>125</v>
      </c>
      <c r="BP51" s="9"/>
      <c r="BQ51" s="1"/>
      <c r="BR51" s="1"/>
    </row>
    <row r="52" spans="1:70" x14ac:dyDescent="0.25">
      <c r="A52" s="22">
        <f>[1]!ybworkday(A$5,-1*(ROW()-ROW(A$5)),"USD","")</f>
        <v>40837</v>
      </c>
      <c r="B52" s="3">
        <f>[1]!YBHIST("2 Year Treasury",$A52,"Price","govt","")</f>
        <v>99.710999000000001</v>
      </c>
      <c r="C52" s="2">
        <f>[1]!YBHIST("5 Year Treasury",$A52,"Price","govt","")</f>
        <v>99.741996999999998</v>
      </c>
      <c r="D52" s="2">
        <f>[1]!YBHIST("10 Year Treasury",$A52,"Price","govt","")</f>
        <v>99.313004000000006</v>
      </c>
      <c r="E52" s="10">
        <f>[1]!YBHIST("30 Year Treasury",$A52,"Price","govt","")</f>
        <v>109.453003</v>
      </c>
      <c r="F52" s="3">
        <f>[1]!YBHIST("2 Year Treasury",$A52,"YldtoMat","govt","")</f>
        <v>0.27500000000000002</v>
      </c>
      <c r="G52" s="2">
        <f>[1]!YBHIST("5 Year Treasury",$A52,"YldtoMat","govt","")</f>
        <v>1.054</v>
      </c>
      <c r="H52" s="2">
        <f>[1]!YBHIST("10 Year Treasury",$A52,"YldtoMat","govt","")</f>
        <v>2.2029999999999998</v>
      </c>
      <c r="I52" s="10">
        <f>[1]!YBHIST("30 Year Treasury",$A52,"YldtoMat","govt","")</f>
        <v>3.2519999999999998</v>
      </c>
      <c r="J52" s="3">
        <f>[1]!YBHIST("2yr Swap Rate",$A52,"YldtoMat","swapvol","")</f>
        <v>0.64668400000000004</v>
      </c>
      <c r="K52" s="2">
        <f>[1]!YBHIST("5yr Swap Rate",$A52,"YldtoMat","swapvol","")</f>
        <v>1.403934</v>
      </c>
      <c r="L52" s="2">
        <f>[1]!YBHIST("10yr Swap Rate",$A52,"YldtoMat","swapvol","")</f>
        <v>2.3961329999999998</v>
      </c>
      <c r="M52" s="10">
        <f>[1]!YBHIST("30yr Swap Rate",$A52,"YldtoMat","swapvol","")</f>
        <v>3.032842</v>
      </c>
      <c r="N52" s="3">
        <f>[1]!YBHIST("FNMA 30YR Cur Coup (BE)",$A52,"Yield","bmk","")</f>
        <v>3.331</v>
      </c>
      <c r="O52" s="2">
        <f>[1]!YBHIST("FHLMC 30YR Cur Coup (BE)",$A52,"Yield","bmk","")</f>
        <v>3.343</v>
      </c>
      <c r="P52" s="2">
        <f>[1]!YBHIST("GNMA 30YR Cur Coup (BE)",$A52,"Yield","bmk","")</f>
        <v>3.141</v>
      </c>
      <c r="Q52" s="2">
        <f>[1]!YBHIST("Primary 30-Yr Mtg Rate",$A52,"Yield","bmk","")</f>
        <v>4.3505000000000003</v>
      </c>
      <c r="R52" s="2">
        <f>[1]!YBHIST("FHLM 30-Yr Survey Rate",$A52,"Yield","bmk","")</f>
        <v>4.1100000000000003</v>
      </c>
      <c r="S52" s="10">
        <f>[1]!YBHIST("Base Mortgage Rate",$A52,"Yield","bmk","")</f>
        <v>3.6520000000000001</v>
      </c>
      <c r="T52" s="27">
        <f>[1]!YBHIST("FNMA 30YR Cur Coup (BE)",$A52,"OAS-Lib","bmk","")</f>
        <v>21.163</v>
      </c>
      <c r="U52" s="28">
        <f>[1]!YBHIST("FHLMC 30YR Cur Coup (BE)",$A52,"OAS-Lib","bmk","")</f>
        <v>21.292000000000002</v>
      </c>
      <c r="V52" s="28">
        <f>[1]!YBHIST("GNMA 30YR Cur Coup (BE)",$A52,"OAS-Lib","bmk","")</f>
        <v>26.007000000000001</v>
      </c>
      <c r="W52" s="29">
        <f t="shared" si="3"/>
        <v>112.80000000000001</v>
      </c>
      <c r="X52" s="29">
        <f t="shared" si="4"/>
        <v>112.80000000000001</v>
      </c>
      <c r="Y52" s="29">
        <f t="shared" si="5"/>
        <v>114.00000000000001</v>
      </c>
      <c r="Z52" s="3">
        <f>[1]!YBHIST("FNMA3.5-GEN",$A52,"Price","tba","")</f>
        <v>101.0625</v>
      </c>
      <c r="AA52" s="2">
        <f>[1]!YBHIST("FNMA4.0-GEN",$A52,"Price","tba","")</f>
        <v>103.296875</v>
      </c>
      <c r="AB52" s="2">
        <f>[1]!YBHIST("FNMA4.5-GEN",$A52,"Price","tba","")</f>
        <v>105.015625</v>
      </c>
      <c r="AC52" s="2">
        <f>[1]!YBHIST("FNMA5.0-GEN",$A52,"Price","tba","")</f>
        <v>107</v>
      </c>
      <c r="AD52" s="2">
        <f>[1]!YBHIST("FNMA5.5-GEN",$A52,"Price","tba","")</f>
        <v>108.25</v>
      </c>
      <c r="AE52" s="10">
        <f>[1]!YBHIST("FNMA6.0-GEN",$A52,"Price","tba","")</f>
        <v>109.71875</v>
      </c>
      <c r="AF52" s="3">
        <f>[1]!YBHIST(AF$4,$A52,"Price","sec","")</f>
        <v>17.655999999999999</v>
      </c>
      <c r="AG52" s="2">
        <f>[1]!YBHIST(AG$4,$A52,"Price","sec","")</f>
        <v>16.547001000000002</v>
      </c>
      <c r="AH52" s="2">
        <f>[1]!YBHIST(AH$4,$A52,"Price","sec","")</f>
        <v>15.297000000000001</v>
      </c>
      <c r="AI52" s="2">
        <f>[1]!YBHIST(AI$4,$A52,"Price","sec","")</f>
        <v>15.672000000000001</v>
      </c>
      <c r="AJ52" s="2">
        <f>[1]!YBHIST(AJ$4,$A52,"Price","sec","")</f>
        <v>14.188000000000001</v>
      </c>
      <c r="AK52" s="2">
        <f>[1]!YBHIST(AK$4,$A52,"Price","sec","")</f>
        <v>18.344000000000001</v>
      </c>
      <c r="AL52" s="2">
        <f>[1]!YBHIST(AL$4,$A52,"Price","sec","")</f>
        <v>16.812000000000001</v>
      </c>
      <c r="AM52" s="2">
        <f>[1]!YBHIST(AM$4,$A52,"Price","sec","")</f>
        <v>14.125</v>
      </c>
      <c r="AN52" s="2">
        <f>[1]!YBHIST(AN$4,$A52,"Price","sec","")</f>
        <v>15.577999999999999</v>
      </c>
      <c r="AO52" s="2">
        <f>[1]!YBHIST(AO$4,$A52,"Price","sec","")</f>
        <v>15.702999999999999</v>
      </c>
      <c r="AP52" s="2">
        <f>[1]!YBHIST(AP$4,$A52,"Price","sec","")</f>
        <v>13.843999999999999</v>
      </c>
      <c r="AQ52" s="2">
        <f>[1]!YBHIST(AQ$4,$A52,"Price","sec","")</f>
        <v>16.187999999999999</v>
      </c>
      <c r="AR52" s="2">
        <f>[1]!YBHIST(AR$4,$A52,"Price","sec","")</f>
        <v>15.547000000000001</v>
      </c>
      <c r="AS52" s="2">
        <f>[1]!YBHIST(AS$4,$A52,"Price","sec","")</f>
        <v>15.077999999999999</v>
      </c>
      <c r="AT52" s="2">
        <f>[1]!YBHIST(AT$4,$A52,"Price","sec","")</f>
        <v>17.594000000000001</v>
      </c>
      <c r="AU52" s="2">
        <f>[1]!YBHIST(AU$4,$A52,"Price","sec","")</f>
        <v>21.937999999999999</v>
      </c>
      <c r="AV52" s="2">
        <f>[1]!YBHIST(AV$4,$A52,"Price","sec","")</f>
        <v>20.983999000000001</v>
      </c>
      <c r="AW52" s="10">
        <f>[1]!YBHIST(AW$4,$A52,"Price","sec","")</f>
        <v>20.577998999999998</v>
      </c>
      <c r="AX52" s="29">
        <f>[1]!YBHIST(AX$4,$A52,"OAS-Lib","sec","")</f>
        <v>56.939999</v>
      </c>
      <c r="AY52" s="29">
        <f>[1]!YBHIST(AY$4,$A52,"OAS-Lib","sec","")</f>
        <v>116.550003</v>
      </c>
      <c r="AZ52" s="2">
        <f>[1]!YBHIST(AZ$4,$A52,"OAS-Lib","sec","")</f>
        <v>144.83000200000001</v>
      </c>
      <c r="BA52" s="2">
        <f>[1]!YBHIST(BA$4,$A52,"OAS-Lib","sec","")</f>
        <v>227.16999799999999</v>
      </c>
      <c r="BB52" s="29">
        <f>[1]!YBHIST(BB$4,$A52,"OAS-Lib","sec","")</f>
        <v>344.41000400000001</v>
      </c>
      <c r="BC52" s="2">
        <f>[1]!YBHIST(BC$4,$A52,"OAS-Lib","sec","")</f>
        <v>223.520004</v>
      </c>
      <c r="BD52" s="29">
        <f>[1]!YBHIST(BD$4,$A52,"OAS-Lib","sec","")</f>
        <v>271.209991</v>
      </c>
      <c r="BE52" s="2">
        <f>[1]!YBHIST(BE$4,$A52,"OAS-Lib","sec","")</f>
        <v>825.72997999999995</v>
      </c>
      <c r="BF52" s="2">
        <f>[1]!YBHIST(BF$4,$A52,"OAS-Lib","sec","")</f>
        <v>748.46997099999999</v>
      </c>
      <c r="BG52" s="2">
        <f>[1]!YBHIST(BG$4,$A52,"OAS-Lib","sec","")</f>
        <v>402.10998499999999</v>
      </c>
      <c r="BH52" s="29">
        <f>[1]!YBHIST(BH$4,$A52,"OAS-Lib","sec","")</f>
        <v>1218.1899410000001</v>
      </c>
      <c r="BI52" s="2">
        <f>[1]!YBHIST(BI$4,$A52,"OAS-Lib","sec","")</f>
        <v>733.53997800000002</v>
      </c>
      <c r="BJ52" s="2">
        <f>[1]!YBHIST(BJ$4,$A52,"OAS-Lib","sec","")</f>
        <v>641.64001499999995</v>
      </c>
      <c r="BK52" s="29">
        <f>[1]!YBHIST(BK$4,$A52,"OAS-Lib","sec","")</f>
        <v>757.15997300000004</v>
      </c>
      <c r="BL52" s="30">
        <f>[1]!YBHIST(BL$4,$A52,"OAS-Lib","sec","")</f>
        <v>707.65997300000004</v>
      </c>
      <c r="BM52" s="2">
        <f>[1]!YBHIST(BM$4,$A52,"OAS-Lib","sec","")</f>
        <v>-77.800003000000004</v>
      </c>
      <c r="BN52" s="2">
        <f>[1]!YBHIST(BN$4,$A52,"OAS-Lib","sec","")</f>
        <v>-40.669998</v>
      </c>
      <c r="BO52" s="10">
        <f>[1]!YBHIST(BO$4,$A52,"OAS-Lib","sec","")</f>
        <v>132.69000199999999</v>
      </c>
      <c r="BP52" s="9"/>
      <c r="BQ52" s="1"/>
      <c r="BR52" s="1"/>
    </row>
    <row r="53" spans="1:70" x14ac:dyDescent="0.25">
      <c r="A53" s="22">
        <f>[1]!ybworkday(A$5,-1*(ROW()-ROW(A$5)),"USD","")</f>
        <v>40836</v>
      </c>
      <c r="B53" s="3">
        <f>[1]!YBHIST("2 Year Treasury",$A53,"Price","govt","")</f>
        <v>99.726996999999997</v>
      </c>
      <c r="C53" s="2">
        <f>[1]!YBHIST("5 Year Treasury",$A53,"Price","govt","")</f>
        <v>99.734001000000006</v>
      </c>
      <c r="D53" s="2">
        <f>[1]!YBHIST("10 Year Treasury",$A53,"Price","govt","")</f>
        <v>99.515998999999994</v>
      </c>
      <c r="E53" s="10">
        <f>[1]!YBHIST("30 Year Treasury",$A53,"Price","govt","")</f>
        <v>110.48400100000001</v>
      </c>
      <c r="F53" s="3">
        <f>[1]!YBHIST("2 Year Treasury",$A53,"YldtoMat","govt","")</f>
        <v>0.26600000000000001</v>
      </c>
      <c r="G53" s="2">
        <f>[1]!YBHIST("5 Year Treasury",$A53,"YldtoMat","govt","")</f>
        <v>1.0549999999999999</v>
      </c>
      <c r="H53" s="2">
        <f>[1]!YBHIST("10 Year Treasury",$A53,"YldtoMat","govt","")</f>
        <v>2.1800000000000002</v>
      </c>
      <c r="I53" s="10">
        <f>[1]!YBHIST("30 Year Treasury",$A53,"YldtoMat","govt","")</f>
        <v>3.2010000000000001</v>
      </c>
      <c r="J53" s="3">
        <f>[1]!YBHIST("2yr Swap Rate",$A53,"YldtoMat","swapvol","")</f>
        <v>0.63081399999999999</v>
      </c>
      <c r="K53" s="2">
        <f>[1]!YBHIST("5yr Swap Rate",$A53,"YldtoMat","swapvol","")</f>
        <v>1.3955789999999999</v>
      </c>
      <c r="L53" s="2">
        <f>[1]!YBHIST("10yr Swap Rate",$A53,"YldtoMat","swapvol","")</f>
        <v>2.365202</v>
      </c>
      <c r="M53" s="10">
        <f>[1]!YBHIST("30yr Swap Rate",$A53,"YldtoMat","swapvol","")</f>
        <v>2.974729</v>
      </c>
      <c r="N53" s="3">
        <f>[1]!YBHIST("FNMA 30YR Cur Coup (BE)",$A53,"Yield","bmk","")</f>
        <v>3.3290000000000002</v>
      </c>
      <c r="O53" s="2">
        <f>[1]!YBHIST("FHLMC 30YR Cur Coup (BE)",$A53,"Yield","bmk","")</f>
        <v>3.3410000000000002</v>
      </c>
      <c r="P53" s="2">
        <f>[1]!YBHIST("GNMA 30YR Cur Coup (BE)",$A53,"Yield","bmk","")</f>
        <v>3.1850000000000001</v>
      </c>
      <c r="Q53" s="2">
        <f>[1]!YBHIST("Primary 30-Yr Mtg Rate",$A53,"Yield","bmk","")</f>
        <v>4.3467000000000002</v>
      </c>
      <c r="R53" s="2">
        <f>[1]!YBHIST("FHLM 30-Yr Survey Rate",$A53,"Yield","bmk","")</f>
        <v>4.1100000000000003</v>
      </c>
      <c r="S53" s="10">
        <f>[1]!YBHIST("Base Mortgage Rate",$A53,"Yield","bmk","")</f>
        <v>3.6480000000000001</v>
      </c>
      <c r="T53" s="27">
        <f>[1]!YBHIST("FNMA 30YR Cur Coup (BE)",$A53,"OAS-Lib","bmk","")</f>
        <v>23.750999</v>
      </c>
      <c r="U53" s="28">
        <f>[1]!YBHIST("FHLMC 30YR Cur Coup (BE)",$A53,"OAS-Lib","bmk","")</f>
        <v>23.856000999999999</v>
      </c>
      <c r="V53" s="28">
        <f>[1]!YBHIST("GNMA 30YR Cur Coup (BE)",$A53,"OAS-Lib","bmk","")</f>
        <v>29.021000000000001</v>
      </c>
      <c r="W53" s="29">
        <f t="shared" si="3"/>
        <v>114.9</v>
      </c>
      <c r="X53" s="29">
        <f t="shared" si="4"/>
        <v>114.9</v>
      </c>
      <c r="Y53" s="29">
        <f t="shared" si="5"/>
        <v>116.10000000000001</v>
      </c>
      <c r="Z53" s="3">
        <f>[1]!YBHIST("FNMA3.5-GEN",$A53,"Price","tba","")</f>
        <v>101.0625</v>
      </c>
      <c r="AA53" s="2">
        <f>[1]!YBHIST("FNMA4.0-GEN",$A53,"Price","tba","")</f>
        <v>103.265625</v>
      </c>
      <c r="AB53" s="2">
        <f>[1]!YBHIST("FNMA4.5-GEN",$A53,"Price","tba","")</f>
        <v>105.046875</v>
      </c>
      <c r="AC53" s="2">
        <f>[1]!YBHIST("FNMA5.0-GEN",$A53,"Price","tba","")</f>
        <v>107.03125</v>
      </c>
      <c r="AD53" s="2">
        <f>[1]!YBHIST("FNMA5.5-GEN",$A53,"Price","tba","")</f>
        <v>108.28125</v>
      </c>
      <c r="AE53" s="10">
        <f>[1]!YBHIST("FNMA6.0-GEN",$A53,"Price","tba","")</f>
        <v>109.734375</v>
      </c>
      <c r="AF53" s="3">
        <f>[1]!YBHIST(AF$4,$A53,"Price","sec","")</f>
        <v>17.594000000000001</v>
      </c>
      <c r="AG53" s="2">
        <f>[1]!YBHIST(AG$4,$A53,"Price","sec","")</f>
        <v>16.483999000000001</v>
      </c>
      <c r="AH53" s="2">
        <f>[1]!YBHIST(AH$4,$A53,"Price","sec","")</f>
        <v>15.25</v>
      </c>
      <c r="AI53" s="2">
        <f>[1]!YBHIST(AI$4,$A53,"Price","sec","")</f>
        <v>15.641</v>
      </c>
      <c r="AJ53" s="2">
        <f>[1]!YBHIST(AJ$4,$A53,"Price","sec","")</f>
        <v>14.172000000000001</v>
      </c>
      <c r="AK53" s="2">
        <f>[1]!YBHIST(AK$4,$A53,"Price","sec","")</f>
        <v>18.327998999999998</v>
      </c>
      <c r="AL53" s="2">
        <f>[1]!YBHIST(AL$4,$A53,"Price","sec","")</f>
        <v>16.780999999999999</v>
      </c>
      <c r="AM53" s="2">
        <f>[1]!YBHIST(AM$4,$A53,"Price","sec","")</f>
        <v>14.093999999999999</v>
      </c>
      <c r="AN53" s="2">
        <f>[1]!YBHIST(AN$4,$A53,"Price","sec","")</f>
        <v>15.561999999999999</v>
      </c>
      <c r="AO53" s="2">
        <f>[1]!YBHIST(AO$4,$A53,"Price","sec","")</f>
        <v>15.718999999999999</v>
      </c>
      <c r="AP53" s="2">
        <f>[1]!YBHIST(AP$4,$A53,"Price","sec","")</f>
        <v>13.781000000000001</v>
      </c>
      <c r="AQ53" s="2">
        <f>[1]!YBHIST(AQ$4,$A53,"Price","sec","")</f>
        <v>16.141000999999999</v>
      </c>
      <c r="AR53" s="2">
        <f>[1]!YBHIST(AR$4,$A53,"Price","sec","")</f>
        <v>15.5</v>
      </c>
      <c r="AS53" s="2">
        <f>[1]!YBHIST(AS$4,$A53,"Price","sec","")</f>
        <v>14.891</v>
      </c>
      <c r="AT53" s="2">
        <f>[1]!YBHIST(AT$4,$A53,"Price","sec","")</f>
        <v>17.516000999999999</v>
      </c>
      <c r="AU53" s="2">
        <f>[1]!YBHIST(AU$4,$A53,"Price","sec","")</f>
        <v>21.922001000000002</v>
      </c>
      <c r="AV53" s="2">
        <f>[1]!YBHIST(AV$4,$A53,"Price","sec","")</f>
        <v>20.983999000000001</v>
      </c>
      <c r="AW53" s="10">
        <f>[1]!YBHIST(AW$4,$A53,"Price","sec","")</f>
        <v>20.577998999999998</v>
      </c>
      <c r="AX53" s="29">
        <f>[1]!YBHIST(AX$4,$A53,"OAS-Lib","sec","")</f>
        <v>53.759998000000003</v>
      </c>
      <c r="AY53" s="29">
        <f>[1]!YBHIST(AY$4,$A53,"OAS-Lib","sec","")</f>
        <v>114.93</v>
      </c>
      <c r="AZ53" s="2">
        <f>[1]!YBHIST(AZ$4,$A53,"OAS-Lib","sec","")</f>
        <v>142.300003</v>
      </c>
      <c r="BA53" s="2">
        <f>[1]!YBHIST(BA$4,$A53,"OAS-Lib","sec","")</f>
        <v>223.44000199999999</v>
      </c>
      <c r="BB53" s="29">
        <f>[1]!YBHIST(BB$4,$A53,"OAS-Lib","sec","")</f>
        <v>338.91000400000001</v>
      </c>
      <c r="BC53" s="2">
        <f>[1]!YBHIST(BC$4,$A53,"OAS-Lib","sec","")</f>
        <v>218.60000600000001</v>
      </c>
      <c r="BD53" s="29">
        <f>[1]!YBHIST(BD$4,$A53,"OAS-Lib","sec","")</f>
        <v>269.07000699999998</v>
      </c>
      <c r="BE53" s="2">
        <f>[1]!YBHIST(BE$4,$A53,"OAS-Lib","sec","")</f>
        <v>826.02002000000005</v>
      </c>
      <c r="BF53" s="2">
        <f>[1]!YBHIST(BF$4,$A53,"OAS-Lib","sec","")</f>
        <v>747.77002000000005</v>
      </c>
      <c r="BG53" s="2">
        <f>[1]!YBHIST(BG$4,$A53,"OAS-Lib","sec","")</f>
        <v>395.16000400000001</v>
      </c>
      <c r="BH53" s="29">
        <f>[1]!YBHIST(BH$4,$A53,"OAS-Lib","sec","")</f>
        <v>1230.4499510000001</v>
      </c>
      <c r="BI53" s="2">
        <f>[1]!YBHIST(BI$4,$A53,"OAS-Lib","sec","")</f>
        <v>740.78997800000002</v>
      </c>
      <c r="BJ53" s="2">
        <f>[1]!YBHIST(BJ$4,$A53,"OAS-Lib","sec","")</f>
        <v>648.54998799999998</v>
      </c>
      <c r="BK53" s="29">
        <f>[1]!YBHIST(BK$4,$A53,"OAS-Lib","sec","")</f>
        <v>800.96997099999999</v>
      </c>
      <c r="BL53" s="30">
        <f>[1]!YBHIST(BL$4,$A53,"OAS-Lib","sec","")</f>
        <v>721.830017</v>
      </c>
      <c r="BM53" s="2">
        <f>[1]!YBHIST(BM$4,$A53,"OAS-Lib","sec","")</f>
        <v>-83.839995999999999</v>
      </c>
      <c r="BN53" s="2">
        <f>[1]!YBHIST(BN$4,$A53,"OAS-Lib","sec","")</f>
        <v>-46.73</v>
      </c>
      <c r="BO53" s="10">
        <f>[1]!YBHIST(BO$4,$A53,"OAS-Lib","sec","")</f>
        <v>128.33999600000001</v>
      </c>
      <c r="BP53" s="9"/>
      <c r="BQ53" s="1"/>
      <c r="BR53" s="1"/>
    </row>
    <row r="54" spans="1:70" x14ac:dyDescent="0.25">
      <c r="A54" s="22">
        <f>[1]!ybworkday(A$5,-1*(ROW()-ROW(A$5)),"USD","")</f>
        <v>40835</v>
      </c>
      <c r="B54" s="3">
        <f>[1]!YBHIST("2 Year Treasury",$A54,"Price","govt","")</f>
        <v>99.726996999999997</v>
      </c>
      <c r="C54" s="2">
        <f>[1]!YBHIST("5 Year Treasury",$A54,"Price","govt","")</f>
        <v>99.813004000000006</v>
      </c>
      <c r="D54" s="2">
        <f>[1]!YBHIST("10 Year Treasury",$A54,"Price","govt","")</f>
        <v>99.719002000000003</v>
      </c>
      <c r="E54" s="10">
        <f>[1]!YBHIST("30 Year Treasury",$A54,"Price","govt","")</f>
        <v>111.18800400000001</v>
      </c>
      <c r="F54" s="3">
        <f>[1]!YBHIST("2 Year Treasury",$A54,"YldtoMat","govt","")</f>
        <v>0.26600000000000001</v>
      </c>
      <c r="G54" s="2">
        <f>[1]!YBHIST("5 Year Treasury",$A54,"YldtoMat","govt","")</f>
        <v>1.0389999999999999</v>
      </c>
      <c r="H54" s="2">
        <f>[1]!YBHIST("10 Year Treasury",$A54,"YldtoMat","govt","")</f>
        <v>2.157</v>
      </c>
      <c r="I54" s="10">
        <f>[1]!YBHIST("30 Year Treasury",$A54,"YldtoMat","govt","")</f>
        <v>3.1669999999999998</v>
      </c>
      <c r="J54" s="3">
        <f>[1]!YBHIST("2yr Swap Rate",$A54,"YldtoMat","swapvol","")</f>
        <v>0.63595500000000005</v>
      </c>
      <c r="K54" s="2">
        <f>[1]!YBHIST("5yr Swap Rate",$A54,"YldtoMat","swapvol","")</f>
        <v>1.3823890000000001</v>
      </c>
      <c r="L54" s="2">
        <f>[1]!YBHIST("10yr Swap Rate",$A54,"YldtoMat","swapvol","")</f>
        <v>2.3468089999999999</v>
      </c>
      <c r="M54" s="10">
        <f>[1]!YBHIST("30yr Swap Rate",$A54,"YldtoMat","swapvol","")</f>
        <v>2.9387989999999999</v>
      </c>
      <c r="N54" s="3">
        <f>[1]!YBHIST("FNMA 30YR Cur Coup (BE)",$A54,"Yield","bmk","")</f>
        <v>3.3050000000000002</v>
      </c>
      <c r="O54" s="2">
        <f>[1]!YBHIST("FHLMC 30YR Cur Coup (BE)",$A54,"Yield","bmk","")</f>
        <v>3.31</v>
      </c>
      <c r="P54" s="2">
        <f>[1]!YBHIST("GNMA 30YR Cur Coup (BE)",$A54,"Yield","bmk","")</f>
        <v>3.1640000000000001</v>
      </c>
      <c r="Q54" s="2">
        <f>[1]!YBHIST("Primary 30-Yr Mtg Rate",$A54,"Yield","bmk","")</f>
        <v>4.3269000000000002</v>
      </c>
      <c r="R54" s="2">
        <f>[1]!YBHIST("FHLM 30-Yr Survey Rate",$A54,"Yield","bmk","")</f>
        <v>4.12</v>
      </c>
      <c r="S54" s="10">
        <f>[1]!YBHIST("Base Mortgage Rate",$A54,"Yield","bmk","")</f>
        <v>3.6240000000000001</v>
      </c>
      <c r="T54" s="27">
        <f>[1]!YBHIST("FNMA 30YR Cur Coup (BE)",$A54,"OAS-Lib","bmk","")</f>
        <v>22.459999</v>
      </c>
      <c r="U54" s="28">
        <f>[1]!YBHIST("FHLMC 30YR Cur Coup (BE)",$A54,"OAS-Lib","bmk","")</f>
        <v>22.608999000000001</v>
      </c>
      <c r="V54" s="28">
        <f>[1]!YBHIST("GNMA 30YR Cur Coup (BE)",$A54,"OAS-Lib","bmk","")</f>
        <v>28.915001</v>
      </c>
      <c r="W54" s="29">
        <f t="shared" si="3"/>
        <v>114.80000000000001</v>
      </c>
      <c r="X54" s="29">
        <f t="shared" si="4"/>
        <v>114.80000000000001</v>
      </c>
      <c r="Y54" s="29">
        <f t="shared" si="5"/>
        <v>115.3</v>
      </c>
      <c r="Z54" s="3">
        <f>[1]!YBHIST("FNMA3.5-GEN",$A54,"Price","tba","")</f>
        <v>101.210938</v>
      </c>
      <c r="AA54" s="2">
        <f>[1]!YBHIST("FNMA4.0-GEN",$A54,"Price","tba","")</f>
        <v>103.414062</v>
      </c>
      <c r="AB54" s="2">
        <f>[1]!YBHIST("FNMA4.5-GEN",$A54,"Price","tba","")</f>
        <v>105.117188</v>
      </c>
      <c r="AC54" s="2">
        <f>[1]!YBHIST("FNMA5.0-GEN",$A54,"Price","tba","")</f>
        <v>107.015625</v>
      </c>
      <c r="AD54" s="2">
        <f>[1]!YBHIST("FNMA5.5-GEN",$A54,"Price","tba","")</f>
        <v>108.210938</v>
      </c>
      <c r="AE54" s="10">
        <f>[1]!YBHIST("FNMA6.0-GEN",$A54,"Price","tba","")</f>
        <v>109.671875</v>
      </c>
      <c r="AF54" s="3">
        <f>[1]!YBHIST(AF$4,$A54,"Price","sec","")</f>
        <v>17.405999999999999</v>
      </c>
      <c r="AG54" s="2">
        <f>[1]!YBHIST(AG$4,$A54,"Price","sec","")</f>
        <v>16.280999999999999</v>
      </c>
      <c r="AH54" s="2">
        <f>[1]!YBHIST(AH$4,$A54,"Price","sec","")</f>
        <v>15.047000000000001</v>
      </c>
      <c r="AI54" s="2">
        <f>[1]!YBHIST(AI$4,$A54,"Price","sec","")</f>
        <v>15.531000000000001</v>
      </c>
      <c r="AJ54" s="2">
        <f>[1]!YBHIST(AJ$4,$A54,"Price","sec","")</f>
        <v>14.047000000000001</v>
      </c>
      <c r="AK54" s="2">
        <f>[1]!YBHIST(AK$4,$A54,"Price","sec","")</f>
        <v>18.327998999999998</v>
      </c>
      <c r="AL54" s="2">
        <f>[1]!YBHIST(AL$4,$A54,"Price","sec","")</f>
        <v>16.655999999999999</v>
      </c>
      <c r="AM54" s="2">
        <f>[1]!YBHIST(AM$4,$A54,"Price","sec","")</f>
        <v>13.938000000000001</v>
      </c>
      <c r="AN54" s="2">
        <f>[1]!YBHIST(AN$4,$A54,"Price","sec","")</f>
        <v>15.468999999999999</v>
      </c>
      <c r="AO54" s="2">
        <f>[1]!YBHIST(AO$4,$A54,"Price","sec","")</f>
        <v>15.656000000000001</v>
      </c>
      <c r="AP54" s="2">
        <f>[1]!YBHIST(AP$4,$A54,"Price","sec","")</f>
        <v>13.5</v>
      </c>
      <c r="AQ54" s="2">
        <f>[1]!YBHIST(AQ$4,$A54,"Price","sec","")</f>
        <v>15.922000000000001</v>
      </c>
      <c r="AR54" s="2">
        <f>[1]!YBHIST(AR$4,$A54,"Price","sec","")</f>
        <v>15.311999999999999</v>
      </c>
      <c r="AS54" s="2">
        <f>[1]!YBHIST(AS$4,$A54,"Price","sec","")</f>
        <v>14.625</v>
      </c>
      <c r="AT54" s="2">
        <f>[1]!YBHIST(AT$4,$A54,"Price","sec","")</f>
        <v>17.358999000000001</v>
      </c>
      <c r="AU54" s="2">
        <f>[1]!YBHIST(AU$4,$A54,"Price","sec","")</f>
        <v>21.780999999999999</v>
      </c>
      <c r="AV54" s="2">
        <f>[1]!YBHIST(AV$4,$A54,"Price","sec","")</f>
        <v>20.858999000000001</v>
      </c>
      <c r="AW54" s="10">
        <f>[1]!YBHIST(AW$4,$A54,"Price","sec","")</f>
        <v>20.422001000000002</v>
      </c>
      <c r="AX54" s="29">
        <f>[1]!YBHIST(AX$4,$A54,"OAS-Lib","sec","")</f>
        <v>51.650002000000001</v>
      </c>
      <c r="AY54" s="29">
        <f>[1]!YBHIST(AY$4,$A54,"OAS-Lib","sec","")</f>
        <v>115.339996</v>
      </c>
      <c r="AZ54" s="2">
        <f>[1]!YBHIST(AZ$4,$A54,"OAS-Lib","sec","")</f>
        <v>146.66999799999999</v>
      </c>
      <c r="BA54" s="2">
        <f>[1]!YBHIST(BA$4,$A54,"OAS-Lib","sec","")</f>
        <v>215.19000199999999</v>
      </c>
      <c r="BB54" s="29">
        <f>[1]!YBHIST(BB$4,$A54,"OAS-Lib","sec","")</f>
        <v>335.85998499999999</v>
      </c>
      <c r="BC54" s="2">
        <f>[1]!YBHIST(BC$4,$A54,"OAS-Lib","sec","")</f>
        <v>198.28999300000001</v>
      </c>
      <c r="BD54" s="29">
        <f>[1]!YBHIST(BD$4,$A54,"OAS-Lib","sec","")</f>
        <v>267.52999899999998</v>
      </c>
      <c r="BE54" s="2">
        <f>[1]!YBHIST(BE$4,$A54,"OAS-Lib","sec","")</f>
        <v>840.669983</v>
      </c>
      <c r="BF54" s="2">
        <f>[1]!YBHIST(BF$4,$A54,"OAS-Lib","sec","")</f>
        <v>752.65997300000004</v>
      </c>
      <c r="BG54" s="2">
        <f>[1]!YBHIST(BG$4,$A54,"OAS-Lib","sec","")</f>
        <v>392.41000400000001</v>
      </c>
      <c r="BH54" s="29">
        <f>[1]!YBHIST(BH$4,$A54,"OAS-Lib","sec","")</f>
        <v>1291.920044</v>
      </c>
      <c r="BI54" s="2">
        <f>[1]!YBHIST(BI$4,$A54,"OAS-Lib","sec","")</f>
        <v>775.53997800000002</v>
      </c>
      <c r="BJ54" s="2">
        <f>[1]!YBHIST(BJ$4,$A54,"OAS-Lib","sec","")</f>
        <v>676.05999799999995</v>
      </c>
      <c r="BK54" s="29">
        <f>[1]!YBHIST(BK$4,$A54,"OAS-Lib","sec","")</f>
        <v>858.38000499999998</v>
      </c>
      <c r="BL54" s="30">
        <f>[1]!YBHIST(BL$4,$A54,"OAS-Lib","sec","")</f>
        <v>746.04998799999998</v>
      </c>
      <c r="BM54" s="2">
        <f>[1]!YBHIST(BM$4,$A54,"OAS-Lib","sec","")</f>
        <v>-88.760002</v>
      </c>
      <c r="BN54" s="2">
        <f>[1]!YBHIST(BN$4,$A54,"OAS-Lib","sec","")</f>
        <v>-51.700001</v>
      </c>
      <c r="BO54" s="10">
        <f>[1]!YBHIST(BO$4,$A54,"OAS-Lib","sec","")</f>
        <v>131.41000399999999</v>
      </c>
      <c r="BP54" s="9"/>
      <c r="BQ54" s="1"/>
      <c r="BR54" s="1"/>
    </row>
    <row r="55" spans="1:70" x14ac:dyDescent="0.25">
      <c r="A55" s="22">
        <f>[1]!ybworkday(A$5,-1*(ROW()-ROW(A$5)),"USD","")</f>
        <v>40834</v>
      </c>
      <c r="B55" s="3">
        <f>[1]!YBHIST("2 Year Treasury",$A55,"Price","govt","")</f>
        <v>99.719002000000003</v>
      </c>
      <c r="C55" s="2">
        <f>[1]!YBHIST("5 Year Treasury",$A55,"Price","govt","")</f>
        <v>99.828002999999995</v>
      </c>
      <c r="D55" s="2">
        <f>[1]!YBHIST("10 Year Treasury",$A55,"Price","govt","")</f>
        <v>99.75</v>
      </c>
      <c r="E55" s="10">
        <f>[1]!YBHIST("30 Year Treasury",$A55,"Price","govt","")</f>
        <v>111.453003</v>
      </c>
      <c r="F55" s="3">
        <f>[1]!YBHIST("2 Year Treasury",$A55,"YldtoMat","govt","")</f>
        <v>0.27</v>
      </c>
      <c r="G55" s="2">
        <f>[1]!YBHIST("5 Year Treasury",$A55,"YldtoMat","govt","")</f>
        <v>1.036</v>
      </c>
      <c r="H55" s="2">
        <f>[1]!YBHIST("10 Year Treasury",$A55,"YldtoMat","govt","")</f>
        <v>2.153</v>
      </c>
      <c r="I55" s="10">
        <f>[1]!YBHIST("30 Year Treasury",$A55,"YldtoMat","govt","")</f>
        <v>3.1539999999999999</v>
      </c>
      <c r="J55" s="3">
        <f>[1]!YBHIST("2yr Swap Rate",$A55,"YldtoMat","swapvol","")</f>
        <v>0.64002800000000004</v>
      </c>
      <c r="K55" s="2">
        <f>[1]!YBHIST("5yr Swap Rate",$A55,"YldtoMat","swapvol","")</f>
        <v>1.3816010000000001</v>
      </c>
      <c r="L55" s="2">
        <f>[1]!YBHIST("10yr Swap Rate",$A55,"YldtoMat","swapvol","")</f>
        <v>2.3482340000000002</v>
      </c>
      <c r="M55" s="10">
        <f>[1]!YBHIST("30yr Swap Rate",$A55,"YldtoMat","swapvol","")</f>
        <v>2.928474</v>
      </c>
      <c r="N55" s="3">
        <f>[1]!YBHIST("FNMA 30YR Cur Coup (BE)",$A55,"Yield","bmk","")</f>
        <v>3.2959999999999998</v>
      </c>
      <c r="O55" s="2">
        <f>[1]!YBHIST("FHLMC 30YR Cur Coup (BE)",$A55,"Yield","bmk","")</f>
        <v>3.302</v>
      </c>
      <c r="P55" s="2">
        <f>[1]!YBHIST("GNMA 30YR Cur Coup (BE)",$A55,"Yield","bmk","")</f>
        <v>3.157</v>
      </c>
      <c r="Q55" s="2">
        <f>[1]!YBHIST("Primary 30-Yr Mtg Rate",$A55,"Yield","bmk","")</f>
        <v>4.319</v>
      </c>
      <c r="R55" s="2">
        <f>[1]!YBHIST("FHLM 30-Yr Survey Rate",$A55,"Yield","bmk","")</f>
        <v>4.12</v>
      </c>
      <c r="S55" s="10">
        <f>[1]!YBHIST("Base Mortgage Rate",$A55,"Yield","bmk","")</f>
        <v>3.6160000000000001</v>
      </c>
      <c r="T55" s="27">
        <f>[1]!YBHIST("FNMA 30YR Cur Coup (BE)",$A55,"OAS-Lib","bmk","")</f>
        <v>21.646000000000001</v>
      </c>
      <c r="U55" s="28">
        <f>[1]!YBHIST("FHLMC 30YR Cur Coup (BE)",$A55,"OAS-Lib","bmk","")</f>
        <v>21.210999999999999</v>
      </c>
      <c r="V55" s="28">
        <f>[1]!YBHIST("GNMA 30YR Cur Coup (BE)",$A55,"OAS-Lib","bmk","")</f>
        <v>28.065999999999999</v>
      </c>
      <c r="W55" s="29">
        <f t="shared" si="3"/>
        <v>114.29999999999998</v>
      </c>
      <c r="X55" s="29">
        <f t="shared" si="4"/>
        <v>114.29999999999998</v>
      </c>
      <c r="Y55" s="29">
        <f t="shared" si="5"/>
        <v>114.9</v>
      </c>
      <c r="Z55" s="3">
        <f>[1]!YBHIST("FNMA3.5-GEN",$A55,"Price","tba","")</f>
        <v>101.25</v>
      </c>
      <c r="AA55" s="2">
        <f>[1]!YBHIST("FNMA4.0-GEN",$A55,"Price","tba","")</f>
        <v>103.453125</v>
      </c>
      <c r="AB55" s="2">
        <f>[1]!YBHIST("FNMA4.5-GEN",$A55,"Price","tba","")</f>
        <v>105.125</v>
      </c>
      <c r="AC55" s="2">
        <f>[1]!YBHIST("FNMA5.0-GEN",$A55,"Price","tba","")</f>
        <v>107</v>
      </c>
      <c r="AD55" s="2">
        <f>[1]!YBHIST("FNMA5.5-GEN",$A55,"Price","tba","")</f>
        <v>108.109375</v>
      </c>
      <c r="AE55" s="10">
        <f>[1]!YBHIST("FNMA6.0-GEN",$A55,"Price","tba","")</f>
        <v>109.5</v>
      </c>
      <c r="AF55" s="3">
        <f>[1]!YBHIST(AF$4,$A55,"Price","sec","")</f>
        <v>17.280999999999999</v>
      </c>
      <c r="AG55" s="2">
        <f>[1]!YBHIST(AG$4,$A55,"Price","sec","")</f>
        <v>16.141000999999999</v>
      </c>
      <c r="AH55" s="2">
        <f>[1]!YBHIST(AH$4,$A55,"Price","sec","")</f>
        <v>14.891</v>
      </c>
      <c r="AI55" s="2">
        <f>[1]!YBHIST(AI$4,$A55,"Price","sec","")</f>
        <v>15.375</v>
      </c>
      <c r="AJ55" s="2">
        <f>[1]!YBHIST(AJ$4,$A55,"Price","sec","")</f>
        <v>13.875</v>
      </c>
      <c r="AK55" s="2">
        <f>[1]!YBHIST(AK$4,$A55,"Price","sec","")</f>
        <v>18.155999999999999</v>
      </c>
      <c r="AL55" s="2">
        <f>[1]!YBHIST(AL$4,$A55,"Price","sec","")</f>
        <v>16.452998999999998</v>
      </c>
      <c r="AM55" s="2">
        <f>[1]!YBHIST(AM$4,$A55,"Price","sec","")</f>
        <v>13.702999999999999</v>
      </c>
      <c r="AN55" s="2">
        <f>[1]!YBHIST(AN$4,$A55,"Price","sec","")</f>
        <v>15.327999999999999</v>
      </c>
      <c r="AO55" s="2">
        <f>[1]!YBHIST(AO$4,$A55,"Price","sec","")</f>
        <v>15.561999999999999</v>
      </c>
      <c r="AP55" s="2">
        <f>[1]!YBHIST(AP$4,$A55,"Price","sec","")</f>
        <v>13.468999999999999</v>
      </c>
      <c r="AQ55" s="2">
        <f>[1]!YBHIST(AQ$4,$A55,"Price","sec","")</f>
        <v>15.906000000000001</v>
      </c>
      <c r="AR55" s="2">
        <f>[1]!YBHIST(AR$4,$A55,"Price","sec","")</f>
        <v>15.297000000000001</v>
      </c>
      <c r="AS55" s="2">
        <f>[1]!YBHIST(AS$4,$A55,"Price","sec","")</f>
        <v>14.625</v>
      </c>
      <c r="AT55" s="2">
        <f>[1]!YBHIST(AT$4,$A55,"Price","sec","")</f>
        <v>17.280999999999999</v>
      </c>
      <c r="AU55" s="2">
        <f>[1]!YBHIST(AU$4,$A55,"Price","sec","")</f>
        <v>21.75</v>
      </c>
      <c r="AV55" s="2">
        <f>[1]!YBHIST(AV$4,$A55,"Price","sec","")</f>
        <v>20.812000000000001</v>
      </c>
      <c r="AW55" s="10">
        <f>[1]!YBHIST(AW$4,$A55,"Price","sec","")</f>
        <v>20.391000999999999</v>
      </c>
      <c r="AX55" s="29">
        <f>[1]!YBHIST(AX$4,$A55,"OAS-Lib","sec","")</f>
        <v>57.330002</v>
      </c>
      <c r="AY55" s="29">
        <f>[1]!YBHIST(AY$4,$A55,"OAS-Lib","sec","")</f>
        <v>124.980003</v>
      </c>
      <c r="AZ55" s="2">
        <f>[1]!YBHIST(AZ$4,$A55,"OAS-Lib","sec","")</f>
        <v>161.91000399999999</v>
      </c>
      <c r="BA55" s="2">
        <f>[1]!YBHIST(BA$4,$A55,"OAS-Lib","sec","")</f>
        <v>231.66999799999999</v>
      </c>
      <c r="BB55" s="29">
        <f>[1]!YBHIST(BB$4,$A55,"OAS-Lib","sec","")</f>
        <v>360.19000199999999</v>
      </c>
      <c r="BC55" s="2">
        <f>[1]!YBHIST(BC$4,$A55,"OAS-Lib","sec","")</f>
        <v>215.21000699999999</v>
      </c>
      <c r="BD55" s="29">
        <f>[1]!YBHIST(BD$4,$A55,"OAS-Lib","sec","")</f>
        <v>293.07998700000002</v>
      </c>
      <c r="BE55" s="2">
        <f>[1]!YBHIST(BE$4,$A55,"OAS-Lib","sec","")</f>
        <v>890.04998799999998</v>
      </c>
      <c r="BF55" s="2">
        <f>[1]!YBHIST(BF$4,$A55,"OAS-Lib","sec","")</f>
        <v>778.40997300000004</v>
      </c>
      <c r="BG55" s="2">
        <f>[1]!YBHIST(BG$4,$A55,"OAS-Lib","sec","")</f>
        <v>406.790009</v>
      </c>
      <c r="BH55" s="29">
        <f>[1]!YBHIST(BH$4,$A55,"OAS-Lib","sec","")</f>
        <v>1296.6400149999999</v>
      </c>
      <c r="BI55" s="2">
        <f>[1]!YBHIST(BI$4,$A55,"OAS-Lib","sec","")</f>
        <v>777.330017</v>
      </c>
      <c r="BJ55" s="2">
        <f>[1]!YBHIST(BJ$4,$A55,"OAS-Lib","sec","")</f>
        <v>676.21002199999998</v>
      </c>
      <c r="BK55" s="29">
        <f>[1]!YBHIST(BK$4,$A55,"OAS-Lib","sec","")</f>
        <v>857.59997599999997</v>
      </c>
      <c r="BL55" s="30">
        <f>[1]!YBHIST(BL$4,$A55,"OAS-Lib","sec","")</f>
        <v>760.96002199999998</v>
      </c>
      <c r="BM55" s="2">
        <f>[1]!YBHIST(BM$4,$A55,"OAS-Lib","sec","")</f>
        <v>-92.410004000000001</v>
      </c>
      <c r="BN55" s="2">
        <f>[1]!YBHIST(BN$4,$A55,"OAS-Lib","sec","")</f>
        <v>-52.720001000000003</v>
      </c>
      <c r="BO55" s="10">
        <f>[1]!YBHIST(BO$4,$A55,"OAS-Lib","sec","")</f>
        <v>130.800003</v>
      </c>
      <c r="BP55" s="9"/>
      <c r="BQ55" s="1"/>
      <c r="BR55" s="1"/>
    </row>
    <row r="56" spans="1:70" x14ac:dyDescent="0.25">
      <c r="A56" s="22">
        <f>[1]!ybworkday(A$5,-1*(ROW()-ROW(A$5)),"USD","")</f>
        <v>40833</v>
      </c>
      <c r="B56" s="3">
        <f>[1]!YBHIST("2 Year Treasury",$A56,"Price","govt","")</f>
        <v>99.719002000000003</v>
      </c>
      <c r="C56" s="2">
        <f>[1]!YBHIST("5 Year Treasury",$A56,"Price","govt","")</f>
        <v>99.719002000000003</v>
      </c>
      <c r="D56" s="2">
        <f>[1]!YBHIST("10 Year Treasury",$A56,"Price","govt","")</f>
        <v>99.734001000000006</v>
      </c>
      <c r="E56" s="10">
        <f>[1]!YBHIST("30 Year Treasury",$A56,"Price","govt","")</f>
        <v>111.844002</v>
      </c>
      <c r="F56" s="3">
        <f>[1]!YBHIST("2 Year Treasury",$A56,"YldtoMat","govt","")</f>
        <v>0.27</v>
      </c>
      <c r="G56" s="2">
        <f>[1]!YBHIST("5 Year Treasury",$A56,"YldtoMat","govt","")</f>
        <v>1.0580000000000001</v>
      </c>
      <c r="H56" s="2">
        <f>[1]!YBHIST("10 Year Treasury",$A56,"YldtoMat","govt","")</f>
        <v>2.1549999999999998</v>
      </c>
      <c r="I56" s="10">
        <f>[1]!YBHIST("30 Year Treasury",$A56,"YldtoMat","govt","")</f>
        <v>3.1360000000000001</v>
      </c>
      <c r="J56" s="3">
        <f>[1]!YBHIST("2yr Swap Rate",$A56,"YldtoMat","swapvol","")</f>
        <v>0.64948399999999995</v>
      </c>
      <c r="K56" s="2">
        <f>[1]!YBHIST("5yr Swap Rate",$A56,"YldtoMat","swapvol","")</f>
        <v>1.4042539999999999</v>
      </c>
      <c r="L56" s="2">
        <f>[1]!YBHIST("10yr Swap Rate",$A56,"YldtoMat","swapvol","")</f>
        <v>2.3475299999999999</v>
      </c>
      <c r="M56" s="10">
        <f>[1]!YBHIST("30yr Swap Rate",$A56,"YldtoMat","swapvol","")</f>
        <v>2.914663</v>
      </c>
      <c r="N56" s="3">
        <f>[1]!YBHIST("FNMA 30YR Cur Coup (BE)",$A56,"Yield","bmk","")</f>
        <v>3.3</v>
      </c>
      <c r="O56" s="2">
        <f>[1]!YBHIST("FHLMC 30YR Cur Coup (BE)",$A56,"Yield","bmk","")</f>
        <v>3.3069999999999999</v>
      </c>
      <c r="P56" s="2">
        <f>[1]!YBHIST("GNMA 30YR Cur Coup (BE)",$A56,"Yield","bmk","")</f>
        <v>3.0979999999999999</v>
      </c>
      <c r="Q56" s="2">
        <f>[1]!YBHIST("Primary 30-Yr Mtg Rate",$A56,"Yield","bmk","")</f>
        <v>4.3232999999999997</v>
      </c>
      <c r="R56" s="2">
        <f>[1]!YBHIST("FHLM 30-Yr Survey Rate",$A56,"Yield","bmk","")</f>
        <v>4.12</v>
      </c>
      <c r="S56" s="10">
        <f>[1]!YBHIST("Base Mortgage Rate",$A56,"Yield","bmk","")</f>
        <v>3.62</v>
      </c>
      <c r="T56" s="27">
        <f>[1]!YBHIST("FNMA 30YR Cur Coup (BE)",$A56,"OAS-Lib","bmk","")</f>
        <v>22.454999999999998</v>
      </c>
      <c r="U56" s="28">
        <f>[1]!YBHIST("FHLMC 30YR Cur Coup (BE)",$A56,"OAS-Lib","bmk","")</f>
        <v>22.129999000000002</v>
      </c>
      <c r="V56" s="28">
        <f>[1]!YBHIST("GNMA 30YR Cur Coup (BE)",$A56,"OAS-Lib","bmk","")</f>
        <v>25.905999999999999</v>
      </c>
      <c r="W56" s="29">
        <f t="shared" si="3"/>
        <v>114.5</v>
      </c>
      <c r="X56" s="29">
        <f t="shared" si="4"/>
        <v>114.5</v>
      </c>
      <c r="Y56" s="29">
        <f t="shared" si="5"/>
        <v>115.20000000000002</v>
      </c>
      <c r="Z56" s="3">
        <f>[1]!YBHIST("FNMA3.5-GEN",$A56,"Price","tba","")</f>
        <v>101.21875</v>
      </c>
      <c r="AA56" s="2">
        <f>[1]!YBHIST("FNMA4.0-GEN",$A56,"Price","tba","")</f>
        <v>103.4375</v>
      </c>
      <c r="AB56" s="2">
        <f>[1]!YBHIST("FNMA4.5-GEN",$A56,"Price","tba","")</f>
        <v>105.171875</v>
      </c>
      <c r="AC56" s="2">
        <f>[1]!YBHIST("FNMA5.0-GEN",$A56,"Price","tba","")</f>
        <v>107.0625</v>
      </c>
      <c r="AD56" s="2">
        <f>[1]!YBHIST("FNMA5.5-GEN",$A56,"Price","tba","")</f>
        <v>108.164062</v>
      </c>
      <c r="AE56" s="10">
        <f>[1]!YBHIST("FNMA6.0-GEN",$A56,"Price","tba","")</f>
        <v>109.5625</v>
      </c>
      <c r="AF56" s="3">
        <f>[1]!YBHIST(AF$4,$A56,"Price","sec","")</f>
        <v>17.312000000000001</v>
      </c>
      <c r="AG56" s="2">
        <f>[1]!YBHIST(AG$4,$A56,"Price","sec","")</f>
        <v>16.187999999999999</v>
      </c>
      <c r="AH56" s="2">
        <f>[1]!YBHIST(AH$4,$A56,"Price","sec","")</f>
        <v>14.938000000000001</v>
      </c>
      <c r="AI56" s="2">
        <f>[1]!YBHIST(AI$4,$A56,"Price","sec","")</f>
        <v>15.406000000000001</v>
      </c>
      <c r="AJ56" s="2">
        <f>[1]!YBHIST(AJ$4,$A56,"Price","sec","")</f>
        <v>13.938000000000001</v>
      </c>
      <c r="AK56" s="2">
        <f>[1]!YBHIST(AK$4,$A56,"Price","sec","")</f>
        <v>18.125</v>
      </c>
      <c r="AL56" s="2">
        <f>[1]!YBHIST(AL$4,$A56,"Price","sec","")</f>
        <v>16.422001000000002</v>
      </c>
      <c r="AM56" s="2">
        <f>[1]!YBHIST(AM$4,$A56,"Price","sec","")</f>
        <v>13.577999999999999</v>
      </c>
      <c r="AN56" s="2">
        <f>[1]!YBHIST(AN$4,$A56,"Price","sec","")</f>
        <v>15.343999999999999</v>
      </c>
      <c r="AO56" s="2">
        <f>[1]!YBHIST(AO$4,$A56,"Price","sec","")</f>
        <v>15.593999999999999</v>
      </c>
      <c r="AP56" s="2">
        <f>[1]!YBHIST(AP$4,$A56,"Price","sec","")</f>
        <v>13.577999999999999</v>
      </c>
      <c r="AQ56" s="2">
        <f>[1]!YBHIST(AQ$4,$A56,"Price","sec","")</f>
        <v>15.968999999999999</v>
      </c>
      <c r="AR56" s="2">
        <f>[1]!YBHIST(AR$4,$A56,"Price","sec","")</f>
        <v>15.359</v>
      </c>
      <c r="AS56" s="2">
        <f>[1]!YBHIST(AS$4,$A56,"Price","sec","")</f>
        <v>14.811999999999999</v>
      </c>
      <c r="AT56" s="2">
        <f>[1]!YBHIST(AT$4,$A56,"Price","sec","")</f>
        <v>17.375</v>
      </c>
      <c r="AU56" s="2">
        <f>[1]!YBHIST(AU$4,$A56,"Price","sec","")</f>
        <v>21.766000999999999</v>
      </c>
      <c r="AV56" s="2">
        <f>[1]!YBHIST(AV$4,$A56,"Price","sec","")</f>
        <v>20.844000000000001</v>
      </c>
      <c r="AW56" s="10">
        <f>[1]!YBHIST(AW$4,$A56,"Price","sec","")</f>
        <v>20.391000999999999</v>
      </c>
      <c r="AX56" s="29">
        <f>[1]!YBHIST(AX$4,$A56,"OAS-Lib","sec","")</f>
        <v>55.459999000000003</v>
      </c>
      <c r="AY56" s="29">
        <f>[1]!YBHIST(AY$4,$A56,"OAS-Lib","sec","")</f>
        <v>121.91999800000001</v>
      </c>
      <c r="AZ56" s="2">
        <f>[1]!YBHIST(AZ$4,$A56,"OAS-Lib","sec","")</f>
        <v>158.270004</v>
      </c>
      <c r="BA56" s="2">
        <f>[1]!YBHIST(BA$4,$A56,"OAS-Lib","sec","")</f>
        <v>230.720001</v>
      </c>
      <c r="BB56" s="29">
        <f>[1]!YBHIST(BB$4,$A56,"OAS-Lib","sec","")</f>
        <v>352.82998700000002</v>
      </c>
      <c r="BC56" s="2">
        <f>[1]!YBHIST(BC$4,$A56,"OAS-Lib","sec","")</f>
        <v>221.91999799999999</v>
      </c>
      <c r="BD56" s="29">
        <f>[1]!YBHIST(BD$4,$A56,"OAS-Lib","sec","")</f>
        <v>301.02999899999998</v>
      </c>
      <c r="BE56" s="2">
        <f>[1]!YBHIST(BE$4,$A56,"OAS-Lib","sec","")</f>
        <v>923.89001499999995</v>
      </c>
      <c r="BF56" s="2">
        <f>[1]!YBHIST(BF$4,$A56,"OAS-Lib","sec","")</f>
        <v>777.38000499999998</v>
      </c>
      <c r="BG56" s="2">
        <f>[1]!YBHIST(BG$4,$A56,"OAS-Lib","sec","")</f>
        <v>403.39999399999999</v>
      </c>
      <c r="BH56" s="29">
        <f>[1]!YBHIST(BH$4,$A56,"OAS-Lib","sec","")</f>
        <v>1268.6400149999999</v>
      </c>
      <c r="BI56" s="2">
        <f>[1]!YBHIST(BI$4,$A56,"OAS-Lib","sec","")</f>
        <v>765.77002000000005</v>
      </c>
      <c r="BJ56" s="2">
        <f>[1]!YBHIST(BJ$4,$A56,"OAS-Lib","sec","")</f>
        <v>665.28002900000001</v>
      </c>
      <c r="BK56" s="29">
        <f>[1]!YBHIST(BK$4,$A56,"OAS-Lib","sec","")</f>
        <v>811.830017</v>
      </c>
      <c r="BL56" s="30">
        <f>[1]!YBHIST(BL$4,$A56,"OAS-Lib","sec","")</f>
        <v>743.25</v>
      </c>
      <c r="BM56" s="2">
        <f>[1]!YBHIST(BM$4,$A56,"OAS-Lib","sec","")</f>
        <v>-93.400002000000001</v>
      </c>
      <c r="BN56" s="2">
        <f>[1]!YBHIST(BN$4,$A56,"OAS-Lib","sec","")</f>
        <v>-54.419998</v>
      </c>
      <c r="BO56" s="10">
        <f>[1]!YBHIST(BO$4,$A56,"OAS-Lib","sec","")</f>
        <v>132.03999300000001</v>
      </c>
      <c r="BP56" s="9"/>
      <c r="BQ56" s="1"/>
      <c r="BR56" s="1"/>
    </row>
    <row r="57" spans="1:70" x14ac:dyDescent="0.25">
      <c r="A57" s="22">
        <f>[1]!ybworkday(A$5,-1*(ROW()-ROW(A$5)),"USD","")</f>
        <v>40830</v>
      </c>
      <c r="B57" s="3">
        <f>[1]!YBHIST("2 Year Treasury",$A57,"Price","govt","")</f>
        <v>99.734001000000006</v>
      </c>
      <c r="C57" s="2">
        <f>[1]!YBHIST("5 Year Treasury",$A57,"Price","govt","")</f>
        <v>99.508003000000002</v>
      </c>
      <c r="D57" s="2">
        <f>[1]!YBHIST("10 Year Treasury",$A57,"Price","govt","")</f>
        <v>99.078002999999995</v>
      </c>
      <c r="E57" s="10">
        <f>[1]!YBHIST("30 Year Treasury",$A57,"Price","govt","")</f>
        <v>110.296997</v>
      </c>
      <c r="F57" s="3">
        <f>[1]!YBHIST("2 Year Treasury",$A57,"YldtoMat","govt","")</f>
        <v>0.26100000000000001</v>
      </c>
      <c r="G57" s="2">
        <f>[1]!YBHIST("5 Year Treasury",$A57,"YldtoMat","govt","")</f>
        <v>1.1020000000000001</v>
      </c>
      <c r="H57" s="2">
        <f>[1]!YBHIST("10 Year Treasury",$A57,"YldtoMat","govt","")</f>
        <v>2.23</v>
      </c>
      <c r="I57" s="10">
        <f>[1]!YBHIST("30 Year Treasury",$A57,"YldtoMat","govt","")</f>
        <v>3.2109999999999999</v>
      </c>
      <c r="J57" s="3">
        <f>[1]!YBHIST("2yr Swap Rate",$A57,"YldtoMat","swapvol","")</f>
        <v>0.64896699999999996</v>
      </c>
      <c r="K57" s="2">
        <f>[1]!YBHIST("5yr Swap Rate",$A57,"YldtoMat","swapvol","")</f>
        <v>1.4399550000000001</v>
      </c>
      <c r="L57" s="2">
        <f>[1]!YBHIST("10yr Swap Rate",$A57,"YldtoMat","swapvol","")</f>
        <v>2.4128099999999999</v>
      </c>
      <c r="M57" s="10">
        <f>[1]!YBHIST("30yr Swap Rate",$A57,"YldtoMat","swapvol","")</f>
        <v>2.9839950000000002</v>
      </c>
      <c r="N57" s="3">
        <f>[1]!YBHIST("FNMA 30YR Cur Coup (BE)",$A57,"Yield","bmk","")</f>
        <v>3.3420000000000001</v>
      </c>
      <c r="O57" s="2">
        <f>[1]!YBHIST("FHLMC 30YR Cur Coup (BE)",$A57,"Yield","bmk","")</f>
        <v>3.363</v>
      </c>
      <c r="P57" s="2">
        <f>[1]!YBHIST("GNMA 30YR Cur Coup (BE)",$A57,"Yield","bmk","")</f>
        <v>3.097</v>
      </c>
      <c r="Q57" s="2">
        <f>[1]!YBHIST("Primary 30-Yr Mtg Rate",$A57,"Yield","bmk","")</f>
        <v>4.3639000000000001</v>
      </c>
      <c r="R57" s="2">
        <f>[1]!YBHIST("FHLM 30-Yr Survey Rate",$A57,"Yield","bmk","")</f>
        <v>4.12</v>
      </c>
      <c r="S57" s="10">
        <f>[1]!YBHIST("Base Mortgage Rate",$A57,"Yield","bmk","")</f>
        <v>3.661</v>
      </c>
      <c r="T57" s="27">
        <f>[1]!YBHIST("FNMA 30YR Cur Coup (BE)",$A57,"OAS-Lib","bmk","")</f>
        <v>24.695999</v>
      </c>
      <c r="U57" s="28">
        <f>[1]!YBHIST("FHLMC 30YR Cur Coup (BE)",$A57,"OAS-Lib","bmk","")</f>
        <v>25.110001</v>
      </c>
      <c r="V57" s="28">
        <f>[1]!YBHIST("GNMA 30YR Cur Coup (BE)",$A57,"OAS-Lib","bmk","")</f>
        <v>21.500999</v>
      </c>
      <c r="W57" s="29">
        <f t="shared" si="3"/>
        <v>111.20000000000002</v>
      </c>
      <c r="X57" s="29">
        <f t="shared" si="4"/>
        <v>111.20000000000002</v>
      </c>
      <c r="Y57" s="29">
        <f t="shared" si="5"/>
        <v>113.3</v>
      </c>
      <c r="Z57" s="3">
        <f>[1]!YBHIST("FNMA3.5-GEN",$A57,"Price","tba","")</f>
        <v>100.8125</v>
      </c>
      <c r="AA57" s="2">
        <f>[1]!YBHIST("FNMA4.0-GEN",$A57,"Price","tba","")</f>
        <v>103.15625</v>
      </c>
      <c r="AB57" s="2">
        <f>[1]!YBHIST("FNMA4.5-GEN",$A57,"Price","tba","")</f>
        <v>105.015625</v>
      </c>
      <c r="AC57" s="2">
        <f>[1]!YBHIST("FNMA5.0-GEN",$A57,"Price","tba","")</f>
        <v>107</v>
      </c>
      <c r="AD57" s="2">
        <f>[1]!YBHIST("FNMA5.5-GEN",$A57,"Price","tba","")</f>
        <v>108.171875</v>
      </c>
      <c r="AE57" s="10">
        <f>[1]!YBHIST("FNMA6.0-GEN",$A57,"Price","tba","")</f>
        <v>109.546875</v>
      </c>
      <c r="AF57" s="3">
        <f>[1]!YBHIST(AF$4,$A57,"Price","sec","")</f>
        <v>17.608999000000001</v>
      </c>
      <c r="AG57" s="2">
        <f>[1]!YBHIST(AG$4,$A57,"Price","sec","")</f>
        <v>16.562000000000001</v>
      </c>
      <c r="AH57" s="2">
        <f>[1]!YBHIST(AH$4,$A57,"Price","sec","")</f>
        <v>15.343999999999999</v>
      </c>
      <c r="AI57" s="2">
        <f>[1]!YBHIST(AI$4,$A57,"Price","sec","")</f>
        <v>15.811999999999999</v>
      </c>
      <c r="AJ57" s="2">
        <f>[1]!YBHIST(AJ$4,$A57,"Price","sec","")</f>
        <v>14.375</v>
      </c>
      <c r="AK57" s="2">
        <f>[1]!YBHIST(AK$4,$A57,"Price","sec","")</f>
        <v>18.547001000000002</v>
      </c>
      <c r="AL57" s="2">
        <f>[1]!YBHIST(AL$4,$A57,"Price","sec","")</f>
        <v>16.827998999999998</v>
      </c>
      <c r="AM57" s="2">
        <f>[1]!YBHIST(AM$4,$A57,"Price","sec","")</f>
        <v>13.922000000000001</v>
      </c>
      <c r="AN57" s="2">
        <f>[1]!YBHIST(AN$4,$A57,"Price","sec","")</f>
        <v>15.984</v>
      </c>
      <c r="AO57" s="2">
        <f>[1]!YBHIST(AO$4,$A57,"Price","sec","")</f>
        <v>16.187999999999999</v>
      </c>
      <c r="AP57" s="2">
        <f>[1]!YBHIST(AP$4,$A57,"Price","sec","")</f>
        <v>13.827999999999999</v>
      </c>
      <c r="AQ57" s="2">
        <f>[1]!YBHIST(AQ$4,$A57,"Price","sec","")</f>
        <v>16.187999999999999</v>
      </c>
      <c r="AR57" s="2">
        <f>[1]!YBHIST(AR$4,$A57,"Price","sec","")</f>
        <v>15.577999999999999</v>
      </c>
      <c r="AS57" s="2">
        <f>[1]!YBHIST(AS$4,$A57,"Price","sec","")</f>
        <v>15</v>
      </c>
      <c r="AT57" s="2">
        <f>[1]!YBHIST(AT$4,$A57,"Price","sec","")</f>
        <v>17.452998999999998</v>
      </c>
      <c r="AU57" s="2">
        <f>[1]!YBHIST(AU$4,$A57,"Price","sec","")</f>
        <v>22.030999999999999</v>
      </c>
      <c r="AV57" s="2">
        <f>[1]!YBHIST(AV$4,$A57,"Price","sec","")</f>
        <v>21.172001000000002</v>
      </c>
      <c r="AW57" s="10">
        <f>[1]!YBHIST(AW$4,$A57,"Price","sec","")</f>
        <v>20.75</v>
      </c>
      <c r="AX57" s="29">
        <f>[1]!YBHIST(AX$4,$A57,"OAS-Lib","sec","")</f>
        <v>71.980002999999996</v>
      </c>
      <c r="AY57" s="29">
        <f>[1]!YBHIST(AY$4,$A57,"OAS-Lib","sec","")</f>
        <v>131.64999399999999</v>
      </c>
      <c r="AZ57" s="2">
        <f>[1]!YBHIST(AZ$4,$A57,"OAS-Lib","sec","")</f>
        <v>157.240005</v>
      </c>
      <c r="BA57" s="2">
        <f>[1]!YBHIST(BA$4,$A57,"OAS-Lib","sec","")</f>
        <v>228.320007</v>
      </c>
      <c r="BB57" s="29">
        <f>[1]!YBHIST(BB$4,$A57,"OAS-Lib","sec","")</f>
        <v>336.209991</v>
      </c>
      <c r="BC57" s="2">
        <f>[1]!YBHIST(BC$4,$A57,"OAS-Lib","sec","")</f>
        <v>215.86000100000001</v>
      </c>
      <c r="BD57" s="29">
        <f>[1]!YBHIST(BD$4,$A57,"OAS-Lib","sec","")</f>
        <v>290.39999399999999</v>
      </c>
      <c r="BE57" s="2">
        <f>[1]!YBHIST(BE$4,$A57,"OAS-Lib","sec","")</f>
        <v>897.25</v>
      </c>
      <c r="BF57" s="2">
        <f>[1]!YBHIST(BF$4,$A57,"OAS-Lib","sec","")</f>
        <v>689.96997099999999</v>
      </c>
      <c r="BG57" s="2">
        <f>[1]!YBHIST(BG$4,$A57,"OAS-Lib","sec","")</f>
        <v>334.67001299999998</v>
      </c>
      <c r="BH57" s="29">
        <f>[1]!YBHIST(BH$4,$A57,"OAS-Lib","sec","")</f>
        <v>1250.1800539999999</v>
      </c>
      <c r="BI57" s="2">
        <f>[1]!YBHIST(BI$4,$A57,"OAS-Lib","sec","")</f>
        <v>755.03997800000002</v>
      </c>
      <c r="BJ57" s="2">
        <f>[1]!YBHIST(BJ$4,$A57,"OAS-Lib","sec","")</f>
        <v>659.69000200000005</v>
      </c>
      <c r="BK57" s="29">
        <f>[1]!YBHIST(BK$4,$A57,"OAS-Lib","sec","")</f>
        <v>802.20001200000002</v>
      </c>
      <c r="BL57" s="30">
        <f>[1]!YBHIST(BL$4,$A57,"OAS-Lib","sec","")</f>
        <v>754.26000999999997</v>
      </c>
      <c r="BM57" s="2">
        <f>[1]!YBHIST(BM$4,$A57,"OAS-Lib","sec","")</f>
        <v>-80.290001000000004</v>
      </c>
      <c r="BN57" s="2">
        <f>[1]!YBHIST(BN$4,$A57,"OAS-Lib","sec","")</f>
        <v>-46.73</v>
      </c>
      <c r="BO57" s="10">
        <f>[1]!YBHIST(BO$4,$A57,"OAS-Lib","sec","")</f>
        <v>128.070007</v>
      </c>
      <c r="BP57" s="9"/>
      <c r="BQ57" s="1"/>
      <c r="BR57" s="1"/>
    </row>
    <row r="58" spans="1:70" x14ac:dyDescent="0.25">
      <c r="A58" s="22">
        <f>[1]!ybworkday(A$5,-1*(ROW()-ROW(A$5)),"USD","")</f>
        <v>40829</v>
      </c>
      <c r="B58" s="3">
        <f>[1]!YBHIST("2 Year Treasury",$A58,"Price","govt","")</f>
        <v>99.703002999999995</v>
      </c>
      <c r="C58" s="2">
        <f>[1]!YBHIST("5 Year Treasury",$A58,"Price","govt","")</f>
        <v>99.57</v>
      </c>
      <c r="D58" s="2">
        <f>[1]!YBHIST("10 Year Treasury",$A58,"Price","govt","")</f>
        <v>99.609001000000006</v>
      </c>
      <c r="E58" s="10">
        <f>[1]!YBHIST("30 Year Treasury",$A58,"Price","govt","")</f>
        <v>111.796997</v>
      </c>
      <c r="F58" s="3">
        <f>[1]!YBHIST("2 Year Treasury",$A58,"YldtoMat","govt","")</f>
        <v>0.27700000000000002</v>
      </c>
      <c r="G58" s="2">
        <f>[1]!YBHIST("5 Year Treasury",$A58,"YldtoMat","govt","")</f>
        <v>1.089</v>
      </c>
      <c r="H58" s="2">
        <f>[1]!YBHIST("10 Year Treasury",$A58,"YldtoMat","govt","")</f>
        <v>2.169</v>
      </c>
      <c r="I58" s="10">
        <f>[1]!YBHIST("30 Year Treasury",$A58,"YldtoMat","govt","")</f>
        <v>3.1379999999999999</v>
      </c>
      <c r="J58" s="3">
        <f>[1]!YBHIST("2yr Swap Rate",$A58,"YldtoMat","swapvol","")</f>
        <v>0.65603199999999995</v>
      </c>
      <c r="K58" s="2">
        <f>[1]!YBHIST("5yr Swap Rate",$A58,"YldtoMat","swapvol","")</f>
        <v>1.412172</v>
      </c>
      <c r="L58" s="2">
        <f>[1]!YBHIST("10yr Swap Rate",$A58,"YldtoMat","swapvol","")</f>
        <v>2.3395779999999999</v>
      </c>
      <c r="M58" s="10">
        <f>[1]!YBHIST("30yr Swap Rate",$A58,"YldtoMat","swapvol","")</f>
        <v>2.8963359999999998</v>
      </c>
      <c r="N58" s="3">
        <f>[1]!YBHIST("FNMA 30YR Cur Coup (BE)",$A58,"Yield","bmk","")</f>
        <v>3.3140000000000001</v>
      </c>
      <c r="O58" s="2">
        <f>[1]!YBHIST("FHLMC 30YR Cur Coup (BE)",$A58,"Yield","bmk","")</f>
        <v>3.298</v>
      </c>
      <c r="P58" s="2">
        <f>[1]!YBHIST("GNMA 30YR Cur Coup (BE)",$A58,"Yield","bmk","")</f>
        <v>3.0910000000000002</v>
      </c>
      <c r="Q58" s="2">
        <f>[1]!YBHIST("Primary 30-Yr Mtg Rate",$A58,"Yield","bmk","")</f>
        <v>4.3305999999999996</v>
      </c>
      <c r="R58" s="2">
        <f>[1]!YBHIST("FHLM 30-Yr Survey Rate",$A58,"Yield","bmk","")</f>
        <v>4.12</v>
      </c>
      <c r="S58" s="10">
        <f>[1]!YBHIST("Base Mortgage Rate",$A58,"Yield","bmk","")</f>
        <v>3.6269999999999998</v>
      </c>
      <c r="T58" s="27">
        <f>[1]!YBHIST("FNMA 30YR Cur Coup (BE)",$A58,"OAS-Lib","bmk","")</f>
        <v>24.537001</v>
      </c>
      <c r="U58" s="28">
        <f>[1]!YBHIST("FHLMC 30YR Cur Coup (BE)",$A58,"OAS-Lib","bmk","")</f>
        <v>24.426000999999999</v>
      </c>
      <c r="V58" s="28">
        <f>[1]!YBHIST("GNMA 30YR Cur Coup (BE)",$A58,"OAS-Lib","bmk","")</f>
        <v>27.033000999999999</v>
      </c>
      <c r="W58" s="29">
        <f t="shared" si="3"/>
        <v>114.5</v>
      </c>
      <c r="X58" s="29">
        <f t="shared" si="4"/>
        <v>114.5</v>
      </c>
      <c r="Y58" s="29">
        <f t="shared" si="5"/>
        <v>112.9</v>
      </c>
      <c r="Z58" s="3">
        <f>[1]!YBHIST("FNMA3.5-GEN",$A58,"Price","tba","")</f>
        <v>101.140625</v>
      </c>
      <c r="AA58" s="2">
        <f>[1]!YBHIST("FNMA4.0-GEN",$A58,"Price","tba","")</f>
        <v>103.390625</v>
      </c>
      <c r="AB58" s="2">
        <f>[1]!YBHIST("FNMA4.5-GEN",$A58,"Price","tba","")</f>
        <v>105.125</v>
      </c>
      <c r="AC58" s="2">
        <f>[1]!YBHIST("FNMA5.0-GEN",$A58,"Price","tba","")</f>
        <v>107.0625</v>
      </c>
      <c r="AD58" s="2">
        <f>[1]!YBHIST("FNMA5.5-GEN",$A58,"Price","tba","")</f>
        <v>108.171875</v>
      </c>
      <c r="AE58" s="10">
        <f>[1]!YBHIST("FNMA6.0-GEN",$A58,"Price","tba","")</f>
        <v>109.515625</v>
      </c>
      <c r="AF58" s="3">
        <f>[1]!YBHIST(AF$4,$A58,"Price","sec","")</f>
        <v>17.327998999999998</v>
      </c>
      <c r="AG58" s="2">
        <f>[1]!YBHIST(AG$4,$A58,"Price","sec","")</f>
        <v>16.172001000000002</v>
      </c>
      <c r="AH58" s="2">
        <f>[1]!YBHIST(AH$4,$A58,"Price","sec","")</f>
        <v>14.938000000000001</v>
      </c>
      <c r="AI58" s="2">
        <f>[1]!YBHIST(AI$4,$A58,"Price","sec","")</f>
        <v>15.391</v>
      </c>
      <c r="AJ58" s="2">
        <f>[1]!YBHIST(AJ$4,$A58,"Price","sec","")</f>
        <v>13.952999999999999</v>
      </c>
      <c r="AK58" s="2">
        <f>[1]!YBHIST(AK$4,$A58,"Price","sec","")</f>
        <v>18.233999000000001</v>
      </c>
      <c r="AL58" s="2">
        <f>[1]!YBHIST(AL$4,$A58,"Price","sec","")</f>
        <v>16.530999999999999</v>
      </c>
      <c r="AM58" s="2">
        <f>[1]!YBHIST(AM$4,$A58,"Price","sec","")</f>
        <v>13.688000000000001</v>
      </c>
      <c r="AN58" s="2">
        <f>[1]!YBHIST(AN$4,$A58,"Price","sec","")</f>
        <v>15.734</v>
      </c>
      <c r="AO58" s="2">
        <f>[1]!YBHIST(AO$4,$A58,"Price","sec","")</f>
        <v>15.938000000000001</v>
      </c>
      <c r="AP58" s="2">
        <f>[1]!YBHIST(AP$4,$A58,"Price","sec","")</f>
        <v>13.922000000000001</v>
      </c>
      <c r="AQ58" s="2">
        <f>[1]!YBHIST(AQ$4,$A58,"Price","sec","")</f>
        <v>16.233999000000001</v>
      </c>
      <c r="AR58" s="2">
        <f>[1]!YBHIST(AR$4,$A58,"Price","sec","")</f>
        <v>15.625</v>
      </c>
      <c r="AS58" s="2">
        <f>[1]!YBHIST(AS$4,$A58,"Price","sec","")</f>
        <v>15.061999999999999</v>
      </c>
      <c r="AT58" s="2">
        <f>[1]!YBHIST(AT$4,$A58,"Price","sec","")</f>
        <v>17.469000000000001</v>
      </c>
      <c r="AU58" s="2">
        <f>[1]!YBHIST(AU$4,$A58,"Price","sec","")</f>
        <v>21.827998999999998</v>
      </c>
      <c r="AV58" s="2">
        <f>[1]!YBHIST(AV$4,$A58,"Price","sec","")</f>
        <v>20.905999999999999</v>
      </c>
      <c r="AW58" s="10">
        <f>[1]!YBHIST(AW$4,$A58,"Price","sec","")</f>
        <v>20.422001000000002</v>
      </c>
      <c r="AX58" s="29">
        <f>[1]!YBHIST(AX$4,$A58,"OAS-Lib","sec","")</f>
        <v>68.169998000000007</v>
      </c>
      <c r="AY58" s="29">
        <f>[1]!YBHIST(AY$4,$A58,"OAS-Lib","sec","")</f>
        <v>139.94000199999999</v>
      </c>
      <c r="AZ58" s="2">
        <f>[1]!YBHIST(AZ$4,$A58,"OAS-Lib","sec","")</f>
        <v>175.91000399999999</v>
      </c>
      <c r="BA58" s="2">
        <f>[1]!YBHIST(BA$4,$A58,"OAS-Lib","sec","")</f>
        <v>250.14999399999999</v>
      </c>
      <c r="BB58" s="29">
        <f>[1]!YBHIST(BB$4,$A58,"OAS-Lib","sec","")</f>
        <v>369.07998700000002</v>
      </c>
      <c r="BC58" s="2">
        <f>[1]!YBHIST(BC$4,$A58,"OAS-Lib","sec","")</f>
        <v>222.71000699999999</v>
      </c>
      <c r="BD58" s="29">
        <f>[1]!YBHIST(BD$4,$A58,"OAS-Lib","sec","")</f>
        <v>298.67999300000002</v>
      </c>
      <c r="BE58" s="2">
        <f>[1]!YBHIST(BE$4,$A58,"OAS-Lib","sec","")</f>
        <v>915.38000499999998</v>
      </c>
      <c r="BF58" s="2">
        <f>[1]!YBHIST(BF$4,$A58,"OAS-Lib","sec","")</f>
        <v>715.39001499999995</v>
      </c>
      <c r="BG58" s="2">
        <f>[1]!YBHIST(BG$4,$A58,"OAS-Lib","sec","")</f>
        <v>355.66000400000001</v>
      </c>
      <c r="BH58" s="29">
        <f>[1]!YBHIST(BH$4,$A58,"OAS-Lib","sec","")</f>
        <v>1194.3199460000001</v>
      </c>
      <c r="BI58" s="2">
        <f>[1]!YBHIST(BI$4,$A58,"OAS-Lib","sec","")</f>
        <v>726.02002000000005</v>
      </c>
      <c r="BJ58" s="2">
        <f>[1]!YBHIST(BJ$4,$A58,"OAS-Lib","sec","")</f>
        <v>625.95001200000002</v>
      </c>
      <c r="BK58" s="29">
        <f>[1]!YBHIST(BK$4,$A58,"OAS-Lib","sec","")</f>
        <v>767</v>
      </c>
      <c r="BL58" s="30">
        <f>[1]!YBHIST(BL$4,$A58,"OAS-Lib","sec","")</f>
        <v>736.59997599999997</v>
      </c>
      <c r="BM58" s="2">
        <f>[1]!YBHIST(BM$4,$A58,"OAS-Lib","sec","")</f>
        <v>-88.120002999999997</v>
      </c>
      <c r="BN58" s="2">
        <f>[1]!YBHIST(BN$4,$A58,"OAS-Lib","sec","")</f>
        <v>-47.970001000000003</v>
      </c>
      <c r="BO58" s="10">
        <f>[1]!YBHIST(BO$4,$A58,"OAS-Lib","sec","")</f>
        <v>140.33999600000001</v>
      </c>
      <c r="BP58" s="9"/>
      <c r="BQ58" s="1"/>
      <c r="BR58" s="1"/>
    </row>
    <row r="59" spans="1:70" x14ac:dyDescent="0.25">
      <c r="A59" s="22">
        <f>[1]!ybworkday(A$5,-1*(ROW()-ROW(A$5)),"USD","")</f>
        <v>40828</v>
      </c>
      <c r="B59" s="3">
        <f>[1]!YBHIST("2 Year Treasury",$A59,"Price","govt","")</f>
        <v>99.68</v>
      </c>
      <c r="C59" s="2">
        <f>[1]!YBHIST("5 Year Treasury",$A59,"Price","govt","")</f>
        <v>99.234001000000006</v>
      </c>
      <c r="D59" s="2">
        <f>[1]!YBHIST("10 Year Treasury",$A59,"Price","govt","")</f>
        <v>99.140998999999994</v>
      </c>
      <c r="E59" s="10">
        <f>[1]!YBHIST("30 Year Treasury",$A59,"Price","govt","")</f>
        <v>110.328003</v>
      </c>
      <c r="F59" s="3">
        <f>[1]!YBHIST("2 Year Treasury",$A59,"YldtoMat","govt","")</f>
        <v>0.28899999999999998</v>
      </c>
      <c r="G59" s="2">
        <f>[1]!YBHIST("5 Year Treasury",$A59,"YldtoMat","govt","")</f>
        <v>1.159</v>
      </c>
      <c r="H59" s="2">
        <f>[1]!YBHIST("10 Year Treasury",$A59,"YldtoMat","govt","")</f>
        <v>2.2229999999999999</v>
      </c>
      <c r="I59" s="10">
        <f>[1]!YBHIST("30 Year Treasury",$A59,"YldtoMat","govt","")</f>
        <v>3.2090000000000001</v>
      </c>
      <c r="J59" s="3">
        <f>[1]!YBHIST("2yr Swap Rate",$A59,"YldtoMat","swapvol","")</f>
        <v>0.65016499999999999</v>
      </c>
      <c r="K59" s="2">
        <f>[1]!YBHIST("5yr Swap Rate",$A59,"YldtoMat","swapvol","")</f>
        <v>1.4674290000000001</v>
      </c>
      <c r="L59" s="2">
        <f>[1]!YBHIST("10yr Swap Rate",$A59,"YldtoMat","swapvol","")</f>
        <v>2.380128</v>
      </c>
      <c r="M59" s="10">
        <f>[1]!YBHIST("30yr Swap Rate",$A59,"YldtoMat","swapvol","")</f>
        <v>2.950882</v>
      </c>
      <c r="N59" s="3">
        <f>[1]!YBHIST("FNMA 30YR Cur Coup (BE)",$A59,"Yield","bmk","")</f>
        <v>3.343</v>
      </c>
      <c r="O59" s="2">
        <f>[1]!YBHIST("FHLMC 30YR Cur Coup (BE)",$A59,"Yield","bmk","")</f>
        <v>3.335</v>
      </c>
      <c r="P59" s="2">
        <f>[1]!YBHIST("GNMA 30YR Cur Coup (BE)",$A59,"Yield","bmk","")</f>
        <v>3.0960000000000001</v>
      </c>
      <c r="Q59" s="2">
        <f>[1]!YBHIST("Primary 30-Yr Mtg Rate",$A59,"Yield","bmk","")</f>
        <v>4.3810000000000002</v>
      </c>
      <c r="R59" s="2">
        <f>[1]!YBHIST("FHLM 30-Yr Survey Rate",$A59,"Yield","bmk","")</f>
        <v>3.94</v>
      </c>
      <c r="S59" s="10">
        <f>[1]!YBHIST("Base Mortgage Rate",$A59,"Yield","bmk","")</f>
        <v>3.6579999999999999</v>
      </c>
      <c r="T59" s="27">
        <f>[1]!YBHIST("FNMA 30YR Cur Coup (BE)",$A59,"OAS-Lib","bmk","")</f>
        <v>24.455998999999998</v>
      </c>
      <c r="U59" s="28">
        <f>[1]!YBHIST("FHLMC 30YR Cur Coup (BE)",$A59,"OAS-Lib","bmk","")</f>
        <v>24.891000999999999</v>
      </c>
      <c r="V59" s="28">
        <f>[1]!YBHIST("GNMA 30YR Cur Coup (BE)",$A59,"OAS-Lib","bmk","")</f>
        <v>23.358999000000001</v>
      </c>
      <c r="W59" s="29">
        <f t="shared" si="3"/>
        <v>112.00000000000001</v>
      </c>
      <c r="X59" s="29">
        <f t="shared" si="4"/>
        <v>112.00000000000001</v>
      </c>
      <c r="Y59" s="29">
        <f t="shared" si="5"/>
        <v>111.20000000000002</v>
      </c>
      <c r="Z59" s="3">
        <f>[1]!YBHIST("FNMA3.5-GEN",$A59,"Price","tba","")</f>
        <v>100.96875</v>
      </c>
      <c r="AA59" s="2">
        <f>[1]!YBHIST("FNMA4.0-GEN",$A59,"Price","tba","")</f>
        <v>103.3125</v>
      </c>
      <c r="AB59" s="2">
        <f>[1]!YBHIST("FNMA4.5-GEN",$A59,"Price","tba","")</f>
        <v>105.039062</v>
      </c>
      <c r="AC59" s="2">
        <f>[1]!YBHIST("FNMA5.0-GEN",$A59,"Price","tba","")</f>
        <v>107.015625</v>
      </c>
      <c r="AD59" s="2">
        <f>[1]!YBHIST("FNMA5.5-GEN",$A59,"Price","tba","")</f>
        <v>108.171875</v>
      </c>
      <c r="AE59" s="10">
        <f>[1]!YBHIST("FNMA6.0-GEN",$A59,"Price","tba","")</f>
        <v>109.5</v>
      </c>
      <c r="AF59" s="3">
        <f>[1]!YBHIST(AF$4,$A59,"Price","sec","")</f>
        <v>17.719000000000001</v>
      </c>
      <c r="AG59" s="2">
        <f>[1]!YBHIST(AG$4,$A59,"Price","sec","")</f>
        <v>16.969000000000001</v>
      </c>
      <c r="AH59" s="2">
        <f>[1]!YBHIST(AH$4,$A59,"Price","sec","")</f>
        <v>15.391</v>
      </c>
      <c r="AI59" s="2">
        <f>[1]!YBHIST(AI$4,$A59,"Price","sec","")</f>
        <v>15.875</v>
      </c>
      <c r="AJ59" s="2">
        <f>[1]!YBHIST(AJ$4,$A59,"Price","sec","")</f>
        <v>14.516</v>
      </c>
      <c r="AK59" s="2">
        <f>[1]!YBHIST(AK$4,$A59,"Price","sec","")</f>
        <v>18.608999000000001</v>
      </c>
      <c r="AL59" s="2">
        <f>[1]!YBHIST(AL$4,$A59,"Price","sec","")</f>
        <v>16.891000999999999</v>
      </c>
      <c r="AM59" s="2">
        <f>[1]!YBHIST(AM$4,$A59,"Price","sec","")</f>
        <v>13.968999999999999</v>
      </c>
      <c r="AN59" s="2">
        <f>[1]!YBHIST(AN$4,$A59,"Price","sec","")</f>
        <v>16</v>
      </c>
      <c r="AO59" s="2">
        <f>[1]!YBHIST(AO$4,$A59,"Price","sec","")</f>
        <v>16.187999999999999</v>
      </c>
      <c r="AP59" s="2">
        <f>[1]!YBHIST(AP$4,$A59,"Price","sec","")</f>
        <v>14.234</v>
      </c>
      <c r="AQ59" s="2">
        <f>[1]!YBHIST(AQ$4,$A59,"Price","sec","")</f>
        <v>16.516000999999999</v>
      </c>
      <c r="AR59" s="2">
        <f>[1]!YBHIST(AR$4,$A59,"Price","sec","")</f>
        <v>15.891</v>
      </c>
      <c r="AS59" s="2">
        <f>[1]!YBHIST(AS$4,$A59,"Price","sec","")</f>
        <v>15.343999999999999</v>
      </c>
      <c r="AT59" s="2">
        <f>[1]!YBHIST(AT$4,$A59,"Price","sec","")</f>
        <v>17.733999000000001</v>
      </c>
      <c r="AU59" s="2">
        <f>[1]!YBHIST(AU$4,$A59,"Price","sec","")</f>
        <v>22.155999999999999</v>
      </c>
      <c r="AV59" s="2">
        <f>[1]!YBHIST(AV$4,$A59,"Price","sec","")</f>
        <v>21.375</v>
      </c>
      <c r="AW59" s="10">
        <f>[1]!YBHIST(AW$4,$A59,"Price","sec","")</f>
        <v>20.797001000000002</v>
      </c>
      <c r="AX59" s="29">
        <f>[1]!YBHIST(AX$4,$A59,"OAS-Lib","sec","")</f>
        <v>56.400002000000001</v>
      </c>
      <c r="AY59" s="29">
        <f>[1]!YBHIST(AY$4,$A59,"OAS-Lib","sec","")</f>
        <v>74.879997000000003</v>
      </c>
      <c r="AZ59" s="2">
        <f>[1]!YBHIST(AZ$4,$A59,"OAS-Lib","sec","")</f>
        <v>148.38000500000001</v>
      </c>
      <c r="BA59" s="2">
        <f>[1]!YBHIST(BA$4,$A59,"OAS-Lib","sec","")</f>
        <v>216.83000200000001</v>
      </c>
      <c r="BB59" s="29">
        <f>[1]!YBHIST(BB$4,$A59,"OAS-Lib","sec","")</f>
        <v>310.04998799999998</v>
      </c>
      <c r="BC59" s="2">
        <f>[1]!YBHIST(BC$4,$A59,"OAS-Lib","sec","")</f>
        <v>207.179993</v>
      </c>
      <c r="BD59" s="29">
        <f>[1]!YBHIST(BD$4,$A59,"OAS-Lib","sec","")</f>
        <v>279.32998700000002</v>
      </c>
      <c r="BE59" s="2">
        <f>[1]!YBHIST(BE$4,$A59,"OAS-Lib","sec","")</f>
        <v>886.71997099999999</v>
      </c>
      <c r="BF59" s="2">
        <f>[1]!YBHIST(BF$4,$A59,"OAS-Lib","sec","")</f>
        <v>690.47997999999995</v>
      </c>
      <c r="BG59" s="2">
        <f>[1]!YBHIST(BG$4,$A59,"OAS-Lib","sec","")</f>
        <v>338.35000600000001</v>
      </c>
      <c r="BH59" s="29">
        <f>[1]!YBHIST(BH$4,$A59,"OAS-Lib","sec","")</f>
        <v>1145.719971</v>
      </c>
      <c r="BI59" s="2">
        <f>[1]!YBHIST(BI$4,$A59,"OAS-Lib","sec","")</f>
        <v>691.72997999999995</v>
      </c>
      <c r="BJ59" s="2">
        <f>[1]!YBHIST(BJ$4,$A59,"OAS-Lib","sec","")</f>
        <v>597.80999799999995</v>
      </c>
      <c r="BK59" s="29">
        <f>[1]!YBHIST(BK$4,$A59,"OAS-Lib","sec","")</f>
        <v>722.09002699999996</v>
      </c>
      <c r="BL59" s="30">
        <f>[1]!YBHIST(BL$4,$A59,"OAS-Lib","sec","")</f>
        <v>700.59997599999997</v>
      </c>
      <c r="BM59" s="2">
        <f>[1]!YBHIST(BM$4,$A59,"OAS-Lib","sec","")</f>
        <v>-93.470000999999996</v>
      </c>
      <c r="BN59" s="2">
        <f>[1]!YBHIST(BN$4,$A59,"OAS-Lib","sec","")</f>
        <v>-67.029999000000004</v>
      </c>
      <c r="BO59" s="10">
        <f>[1]!YBHIST(BO$4,$A59,"OAS-Lib","sec","")</f>
        <v>122.639999</v>
      </c>
      <c r="BP59" s="9"/>
      <c r="BQ59" s="1"/>
      <c r="BR59" s="1"/>
    </row>
    <row r="60" spans="1:70" x14ac:dyDescent="0.25">
      <c r="A60" s="22">
        <f>[1]!ybworkday(A$5,-1*(ROW()-ROW(A$5)),"USD","")</f>
        <v>40827</v>
      </c>
      <c r="B60" s="3">
        <f>[1]!YBHIST("2 Year Treasury",$A60,"Price","govt","")</f>
        <v>99.640998999999994</v>
      </c>
      <c r="C60" s="2">
        <f>[1]!YBHIST("5 Year Treasury",$A60,"Price","govt","")</f>
        <v>99.351996999999997</v>
      </c>
      <c r="D60" s="2">
        <f>[1]!YBHIST("10 Year Treasury",$A60,"Price","govt","")</f>
        <v>99.688004000000006</v>
      </c>
      <c r="E60" s="10">
        <f>[1]!YBHIST("30 Year Treasury",$A60,"Price","govt","")</f>
        <v>112.328003</v>
      </c>
      <c r="F60" s="3">
        <f>[1]!YBHIST("2 Year Treasury",$A60,"YldtoMat","govt","")</f>
        <v>0.308</v>
      </c>
      <c r="G60" s="2">
        <f>[1]!YBHIST("5 Year Treasury",$A60,"YldtoMat","govt","")</f>
        <v>1.135</v>
      </c>
      <c r="H60" s="2">
        <f>[1]!YBHIST("10 Year Treasury",$A60,"YldtoMat","govt","")</f>
        <v>2.16</v>
      </c>
      <c r="I60" s="10">
        <f>[1]!YBHIST("30 Year Treasury",$A60,"YldtoMat","govt","")</f>
        <v>3.113</v>
      </c>
      <c r="J60" s="3">
        <f>[1]!YBHIST("2yr Swap Rate",$A60,"YldtoMat","swapvol","")</f>
        <v>0.68553699999999995</v>
      </c>
      <c r="K60" s="2">
        <f>[1]!YBHIST("5yr Swap Rate",$A60,"YldtoMat","swapvol","")</f>
        <v>1.470405</v>
      </c>
      <c r="L60" s="2">
        <f>[1]!YBHIST("10yr Swap Rate",$A60,"YldtoMat","swapvol","")</f>
        <v>2.3453309999999998</v>
      </c>
      <c r="M60" s="10">
        <f>[1]!YBHIST("30yr Swap Rate",$A60,"YldtoMat","swapvol","")</f>
        <v>2.8766389999999999</v>
      </c>
      <c r="N60" s="3">
        <f>[1]!YBHIST("FNMA 30YR Cur Coup (BE)",$A60,"Yield","bmk","")</f>
        <v>3.32</v>
      </c>
      <c r="O60" s="2">
        <f>[1]!YBHIST("FHLMC 30YR Cur Coup (BE)",$A60,"Yield","bmk","")</f>
        <v>3.3069999999999999</v>
      </c>
      <c r="P60" s="2">
        <f>[1]!YBHIST("GNMA 30YR Cur Coup (BE)",$A60,"Yield","bmk","")</f>
        <v>3.0939999999999999</v>
      </c>
      <c r="Q60" s="2">
        <f>[1]!YBHIST("Primary 30-Yr Mtg Rate",$A60,"Yield","bmk","")</f>
        <v>4.3604000000000003</v>
      </c>
      <c r="R60" s="2">
        <f>[1]!YBHIST("FHLM 30-Yr Survey Rate",$A60,"Yield","bmk","")</f>
        <v>3.94</v>
      </c>
      <c r="S60" s="10">
        <f>[1]!YBHIST("Base Mortgage Rate",$A60,"Yield","bmk","")</f>
        <v>3.637</v>
      </c>
      <c r="T60" s="27">
        <f>[1]!YBHIST("FNMA 30YR Cur Coup (BE)",$A60,"OAS-Lib","bmk","")</f>
        <v>24.577000000000002</v>
      </c>
      <c r="U60" s="28">
        <f>[1]!YBHIST("FHLMC 30YR Cur Coup (BE)",$A60,"OAS-Lib","bmk","")</f>
        <v>24.138000000000002</v>
      </c>
      <c r="V60" s="28">
        <f>[1]!YBHIST("GNMA 30YR Cur Coup (BE)",$A60,"OAS-Lib","bmk","")</f>
        <v>26.201000000000001</v>
      </c>
      <c r="W60" s="29">
        <f t="shared" si="3"/>
        <v>115.99999999999997</v>
      </c>
      <c r="X60" s="29">
        <f t="shared" si="4"/>
        <v>115.99999999999997</v>
      </c>
      <c r="Y60" s="29">
        <f t="shared" si="5"/>
        <v>114.69999999999997</v>
      </c>
      <c r="Z60" s="3">
        <f>[1]!YBHIST("FNMA3.5-GEN",$A60,"Price","tba","")</f>
        <v>101.109375</v>
      </c>
      <c r="AA60" s="2">
        <f>[1]!YBHIST("FNMA4.0-GEN",$A60,"Price","tba","")</f>
        <v>103.453125</v>
      </c>
      <c r="AB60" s="2">
        <f>[1]!YBHIST("FNMA4.5-GEN",$A60,"Price","tba","")</f>
        <v>105.164062</v>
      </c>
      <c r="AC60" s="2">
        <f>[1]!YBHIST("FNMA5.0-GEN",$A60,"Price","tba","")</f>
        <v>107.0625</v>
      </c>
      <c r="AD60" s="2">
        <f>[1]!YBHIST("FNMA5.5-GEN",$A60,"Price","tba","")</f>
        <v>108.203125</v>
      </c>
      <c r="AE60" s="10">
        <f>[1]!YBHIST("FNMA6.0-GEN",$A60,"Price","tba","")</f>
        <v>109.53125</v>
      </c>
      <c r="AF60" s="3">
        <f>[1]!YBHIST(AF$4,$A60,"Price","sec","")</f>
        <v>17.391000999999999</v>
      </c>
      <c r="AG60" s="2">
        <f>[1]!YBHIST(AG$4,$A60,"Price","sec","")</f>
        <v>16.422001000000002</v>
      </c>
      <c r="AH60" s="2">
        <f>[1]!YBHIST(AH$4,$A60,"Price","sec","")</f>
        <v>14.827999999999999</v>
      </c>
      <c r="AI60" s="2">
        <f>[1]!YBHIST(AI$4,$A60,"Price","sec","")</f>
        <v>15.359</v>
      </c>
      <c r="AJ60" s="2">
        <f>[1]!YBHIST(AJ$4,$A60,"Price","sec","")</f>
        <v>14.016</v>
      </c>
      <c r="AK60" s="2">
        <f>[1]!YBHIST(AK$4,$A60,"Price","sec","")</f>
        <v>18.141000999999999</v>
      </c>
      <c r="AL60" s="2">
        <f>[1]!YBHIST(AL$4,$A60,"Price","sec","")</f>
        <v>16.375</v>
      </c>
      <c r="AM60" s="2">
        <f>[1]!YBHIST(AM$4,$A60,"Price","sec","")</f>
        <v>13.531000000000001</v>
      </c>
      <c r="AN60" s="2">
        <f>[1]!YBHIST(AN$4,$A60,"Price","sec","")</f>
        <v>15.609</v>
      </c>
      <c r="AO60" s="2">
        <f>[1]!YBHIST(AO$4,$A60,"Price","sec","")</f>
        <v>15.766</v>
      </c>
      <c r="AP60" s="2">
        <f>[1]!YBHIST(AP$4,$A60,"Price","sec","")</f>
        <v>14.093999999999999</v>
      </c>
      <c r="AQ60" s="2">
        <f>[1]!YBHIST(AQ$4,$A60,"Price","sec","")</f>
        <v>16.391000999999999</v>
      </c>
      <c r="AR60" s="2">
        <f>[1]!YBHIST(AR$4,$A60,"Price","sec","")</f>
        <v>15.781000000000001</v>
      </c>
      <c r="AS60" s="2">
        <f>[1]!YBHIST(AS$4,$A60,"Price","sec","")</f>
        <v>15.281000000000001</v>
      </c>
      <c r="AT60" s="2">
        <f>[1]!YBHIST(AT$4,$A60,"Price","sec","")</f>
        <v>17.780999999999999</v>
      </c>
      <c r="AU60" s="2">
        <f>[1]!YBHIST(AU$4,$A60,"Price","sec","")</f>
        <v>21.75</v>
      </c>
      <c r="AV60" s="2">
        <f>[1]!YBHIST(AV$4,$A60,"Price","sec","")</f>
        <v>21.016000999999999</v>
      </c>
      <c r="AW60" s="10">
        <f>[1]!YBHIST(AW$4,$A60,"Price","sec","")</f>
        <v>20.422001000000002</v>
      </c>
      <c r="AX60" s="29">
        <f>[1]!YBHIST(AX$4,$A60,"OAS-Lib","sec","")</f>
        <v>44.82</v>
      </c>
      <c r="AY60" s="29">
        <f>[1]!YBHIST(AY$4,$A60,"OAS-Lib","sec","")</f>
        <v>68.080001999999993</v>
      </c>
      <c r="AZ60" s="2">
        <f>[1]!YBHIST(AZ$4,$A60,"OAS-Lib","sec","")</f>
        <v>149.979996</v>
      </c>
      <c r="BA60" s="2">
        <f>[1]!YBHIST(BA$4,$A60,"OAS-Lib","sec","")</f>
        <v>207.55999800000001</v>
      </c>
      <c r="BB60" s="29">
        <f>[1]!YBHIST(BB$4,$A60,"OAS-Lib","sec","")</f>
        <v>296.70001200000002</v>
      </c>
      <c r="BC60" s="2">
        <f>[1]!YBHIST(BC$4,$A60,"OAS-Lib","sec","")</f>
        <v>191.71000699999999</v>
      </c>
      <c r="BD60" s="29">
        <f>[1]!YBHIST(BD$4,$A60,"OAS-Lib","sec","")</f>
        <v>269.26001000000002</v>
      </c>
      <c r="BE60" s="2">
        <f>[1]!YBHIST(BE$4,$A60,"OAS-Lib","sec","")</f>
        <v>839.98999000000003</v>
      </c>
      <c r="BF60" s="2">
        <f>[1]!YBHIST(BF$4,$A60,"OAS-Lib","sec","")</f>
        <v>667.34997599999997</v>
      </c>
      <c r="BG60" s="2">
        <f>[1]!YBHIST(BG$4,$A60,"OAS-Lib","sec","")</f>
        <v>318.98998999999998</v>
      </c>
      <c r="BH60" s="29">
        <f>[1]!YBHIST(BH$4,$A60,"OAS-Lib","sec","")</f>
        <v>1028.9499510000001</v>
      </c>
      <c r="BI60" s="2">
        <f>[1]!YBHIST(BI$4,$A60,"OAS-Lib","sec","")</f>
        <v>639.86999500000002</v>
      </c>
      <c r="BJ60" s="2">
        <f>[1]!YBHIST(BJ$4,$A60,"OAS-Lib","sec","")</f>
        <v>526.22997999999995</v>
      </c>
      <c r="BK60" s="29">
        <f>[1]!YBHIST(BK$4,$A60,"OAS-Lib","sec","")</f>
        <v>641.09997599999997</v>
      </c>
      <c r="BL60" s="30">
        <f>[1]!YBHIST(BL$4,$A60,"OAS-Lib","sec","")</f>
        <v>616.77002000000005</v>
      </c>
      <c r="BM60" s="2">
        <f>[1]!YBHIST(BM$4,$A60,"OAS-Lib","sec","")</f>
        <v>-103.83000199999999</v>
      </c>
      <c r="BN60" s="2">
        <f>[1]!YBHIST(BN$4,$A60,"OAS-Lib","sec","")</f>
        <v>-101.25</v>
      </c>
      <c r="BO60" s="10">
        <f>[1]!YBHIST(BO$4,$A60,"OAS-Lib","sec","")</f>
        <v>75.989998</v>
      </c>
      <c r="BP60" s="9"/>
      <c r="BQ60" s="1"/>
      <c r="BR60" s="1"/>
    </row>
    <row r="61" spans="1:70" x14ac:dyDescent="0.25">
      <c r="A61" s="22">
        <f>[1]!ybworkday(A$5,-1*(ROW()-ROW(A$5)),"USD","")</f>
        <v>40823</v>
      </c>
      <c r="B61" s="3">
        <f>[1]!YBHIST("2 Year Treasury",$A61,"Price","govt","")</f>
        <v>99.671997000000005</v>
      </c>
      <c r="C61" s="2">
        <f>[1]!YBHIST("5 Year Treasury",$A61,"Price","govt","")</f>
        <v>99.648003000000003</v>
      </c>
      <c r="D61" s="2">
        <f>[1]!YBHIST("10 Year Treasury",$A61,"Price","govt","")</f>
        <v>100.530998</v>
      </c>
      <c r="E61" s="10">
        <f>[1]!YBHIST("30 Year Treasury",$A61,"Price","govt","")</f>
        <v>114.43800400000001</v>
      </c>
      <c r="F61" s="3">
        <f>[1]!YBHIST("2 Year Treasury",$A61,"YldtoMat","govt","")</f>
        <v>0.29199999999999998</v>
      </c>
      <c r="G61" s="2">
        <f>[1]!YBHIST("5 Year Treasury",$A61,"YldtoMat","govt","")</f>
        <v>1.073</v>
      </c>
      <c r="H61" s="2">
        <f>[1]!YBHIST("10 Year Treasury",$A61,"YldtoMat","govt","")</f>
        <v>2.0649999999999999</v>
      </c>
      <c r="I61" s="10">
        <f>[1]!YBHIST("30 Year Treasury",$A61,"YldtoMat","govt","")</f>
        <v>3.0129999999999999</v>
      </c>
      <c r="J61" s="3">
        <f>[1]!YBHIST("2yr Swap Rate",$A61,"YldtoMat","swapvol","")</f>
        <v>0.67734899999999998</v>
      </c>
      <c r="K61" s="2">
        <f>[1]!YBHIST("5yr Swap Rate",$A61,"YldtoMat","swapvol","")</f>
        <v>1.4157169999999999</v>
      </c>
      <c r="L61" s="2">
        <f>[1]!YBHIST("10yr Swap Rate",$A61,"YldtoMat","swapvol","")</f>
        <v>2.2630089999999998</v>
      </c>
      <c r="M61" s="10">
        <f>[1]!YBHIST("30yr Swap Rate",$A61,"YldtoMat","swapvol","")</f>
        <v>2.776405</v>
      </c>
      <c r="N61" s="3">
        <f>[1]!YBHIST("FNMA 30YR Cur Coup (BE)",$A61,"Yield","bmk","")</f>
        <v>3.2829999999999999</v>
      </c>
      <c r="O61" s="2">
        <f>[1]!YBHIST("FHLMC 30YR Cur Coup (BE)",$A61,"Yield","bmk","")</f>
        <v>3.2789999999999999</v>
      </c>
      <c r="P61" s="2">
        <f>[1]!YBHIST("GNMA 30YR Cur Coup (BE)",$A61,"Yield","bmk","")</f>
        <v>3.09</v>
      </c>
      <c r="Q61" s="2">
        <f>[1]!YBHIST("Primary 30-Yr Mtg Rate",$A61,"Yield","bmk","")</f>
        <v>4.3276000000000003</v>
      </c>
      <c r="R61" s="2">
        <f>[1]!YBHIST("FHLM 30-Yr Survey Rate",$A61,"Yield","bmk","")</f>
        <v>3.94</v>
      </c>
      <c r="S61" s="10">
        <f>[1]!YBHIST("Base Mortgage Rate",$A61,"Yield","bmk","")</f>
        <v>3.6040000000000001</v>
      </c>
      <c r="T61" s="27">
        <f>[1]!YBHIST("FNMA 30YR Cur Coup (BE)",$A61,"OAS-Lib","bmk","")</f>
        <v>28.643000000000001</v>
      </c>
      <c r="U61" s="28">
        <f>[1]!YBHIST("FHLMC 30YR Cur Coup (BE)",$A61,"OAS-Lib","bmk","")</f>
        <v>26.888000000000002</v>
      </c>
      <c r="V61" s="28">
        <f>[1]!YBHIST("GNMA 30YR Cur Coup (BE)",$A61,"OAS-Lib","bmk","")</f>
        <v>32.011001999999998</v>
      </c>
      <c r="W61" s="29">
        <f t="shared" si="3"/>
        <v>121.8</v>
      </c>
      <c r="X61" s="29">
        <f t="shared" si="4"/>
        <v>121.8</v>
      </c>
      <c r="Y61" s="29">
        <f t="shared" si="5"/>
        <v>121.39999999999999</v>
      </c>
      <c r="Z61" s="3">
        <f>[1]!YBHIST("FNMA3.5-GEN",$A61,"Price","tba","")</f>
        <v>101.273438</v>
      </c>
      <c r="AA61" s="2">
        <f>[1]!YBHIST("FNMA4.0-GEN",$A61,"Price","tba","")</f>
        <v>103.605469</v>
      </c>
      <c r="AB61" s="2">
        <f>[1]!YBHIST("FNMA4.5-GEN",$A61,"Price","tba","")</f>
        <v>105.203125</v>
      </c>
      <c r="AC61" s="2">
        <f>[1]!YBHIST("FNMA5.0-GEN",$A61,"Price","tba","")</f>
        <v>106.925781</v>
      </c>
      <c r="AD61" s="2">
        <f>[1]!YBHIST("FNMA5.5-GEN",$A61,"Price","tba","")</f>
        <v>108.019531</v>
      </c>
      <c r="AE61" s="10">
        <f>[1]!YBHIST("FNMA6.0-GEN",$A61,"Price","tba","")</f>
        <v>109.289062</v>
      </c>
      <c r="AF61" s="3">
        <f>[1]!YBHIST(AF$4,$A61,"Price","sec","")</f>
        <v>17.062000000000001</v>
      </c>
      <c r="AG61" s="2">
        <f>[1]!YBHIST(AG$4,$A61,"Price","sec","")</f>
        <v>15.922000000000001</v>
      </c>
      <c r="AH61" s="2">
        <f>[1]!YBHIST(AH$4,$A61,"Price","sec","")</f>
        <v>14.311999999999999</v>
      </c>
      <c r="AI61" s="2">
        <f>[1]!YBHIST(AI$4,$A61,"Price","sec","")</f>
        <v>14.781000000000001</v>
      </c>
      <c r="AJ61" s="2">
        <f>[1]!YBHIST(AJ$4,$A61,"Price","sec","")</f>
        <v>13.422000000000001</v>
      </c>
      <c r="AK61" s="2">
        <f>[1]!YBHIST(AK$4,$A61,"Price","sec","")</f>
        <v>17.577998999999998</v>
      </c>
      <c r="AL61" s="2">
        <f>[1]!YBHIST(AL$4,$A61,"Price","sec","")</f>
        <v>15.75</v>
      </c>
      <c r="AM61" s="2">
        <f>[1]!YBHIST(AM$4,$A61,"Price","sec","")</f>
        <v>13.172000000000001</v>
      </c>
      <c r="AN61" s="2">
        <f>[1]!YBHIST(AN$4,$A61,"Price","sec","")</f>
        <v>15.077999999999999</v>
      </c>
      <c r="AO61" s="2">
        <f>[1]!YBHIST(AO$4,$A61,"Price","sec","")</f>
        <v>15.234</v>
      </c>
      <c r="AP61" s="2">
        <f>[1]!YBHIST(AP$4,$A61,"Price","sec","")</f>
        <v>13.625</v>
      </c>
      <c r="AQ61" s="2">
        <f>[1]!YBHIST(AQ$4,$A61,"Price","sec","")</f>
        <v>15.968999999999999</v>
      </c>
      <c r="AR61" s="2">
        <f>[1]!YBHIST(AR$4,$A61,"Price","sec","")</f>
        <v>15.327999999999999</v>
      </c>
      <c r="AS61" s="2">
        <f>[1]!YBHIST(AS$4,$A61,"Price","sec","")</f>
        <v>14.827999999999999</v>
      </c>
      <c r="AT61" s="2">
        <f>[1]!YBHIST(AT$4,$A61,"Price","sec","")</f>
        <v>17.297001000000002</v>
      </c>
      <c r="AU61" s="2">
        <f>[1]!YBHIST(AU$4,$A61,"Price","sec","")</f>
        <v>21.358999000000001</v>
      </c>
      <c r="AV61" s="2">
        <f>[1]!YBHIST(AV$4,$A61,"Price","sec","")</f>
        <v>20.719000000000001</v>
      </c>
      <c r="AW61" s="10">
        <f>[1]!YBHIST(AW$4,$A61,"Price","sec","")</f>
        <v>20.030999999999999</v>
      </c>
      <c r="AX61" s="29">
        <f>[1]!YBHIST(AX$4,$A61,"OAS-Lib","sec","")</f>
        <v>53.220001000000003</v>
      </c>
      <c r="AY61" s="29">
        <f>[1]!YBHIST(AY$4,$A61,"OAS-Lib","sec","")</f>
        <v>100.980003</v>
      </c>
      <c r="AZ61" s="2">
        <f>[1]!YBHIST(AZ$4,$A61,"OAS-Lib","sec","")</f>
        <v>198.490005</v>
      </c>
      <c r="BA61" s="2">
        <f>[1]!YBHIST(BA$4,$A61,"OAS-Lib","sec","")</f>
        <v>266.83999599999999</v>
      </c>
      <c r="BB61" s="29">
        <f>[1]!YBHIST(BB$4,$A61,"OAS-Lib","sec","")</f>
        <v>374.89999399999999</v>
      </c>
      <c r="BC61" s="2">
        <f>[1]!YBHIST(BC$4,$A61,"OAS-Lib","sec","")</f>
        <v>240.740005</v>
      </c>
      <c r="BD61" s="29">
        <f>[1]!YBHIST(BD$4,$A61,"OAS-Lib","sec","")</f>
        <v>341.63000499999998</v>
      </c>
      <c r="BE61" s="2">
        <f>[1]!YBHIST(BE$4,$A61,"OAS-Lib","sec","")</f>
        <v>899.22997999999995</v>
      </c>
      <c r="BF61" s="2">
        <f>[1]!YBHIST(BF$4,$A61,"OAS-Lib","sec","")</f>
        <v>756.01000999999997</v>
      </c>
      <c r="BG61" s="2">
        <f>[1]!YBHIST(BG$4,$A61,"OAS-Lib","sec","")</f>
        <v>401.27999899999998</v>
      </c>
      <c r="BH61" s="29">
        <f>[1]!YBHIST(BH$4,$A61,"OAS-Lib","sec","")</f>
        <v>1129.209961</v>
      </c>
      <c r="BI61" s="2">
        <f>[1]!YBHIST(BI$4,$A61,"OAS-Lib","sec","")</f>
        <v>711.30999799999995</v>
      </c>
      <c r="BJ61" s="2">
        <f>[1]!YBHIST(BJ$4,$A61,"OAS-Lib","sec","")</f>
        <v>604.02002000000005</v>
      </c>
      <c r="BK61" s="29">
        <f>[1]!YBHIST(BK$4,$A61,"OAS-Lib","sec","")</f>
        <v>738.830017</v>
      </c>
      <c r="BL61" s="30">
        <f>[1]!YBHIST(BL$4,$A61,"OAS-Lib","sec","")</f>
        <v>704.59997599999997</v>
      </c>
      <c r="BM61" s="2">
        <f>[1]!YBHIST(BM$4,$A61,"OAS-Lib","sec","")</f>
        <v>-89.120002999999997</v>
      </c>
      <c r="BN61" s="2">
        <f>[1]!YBHIST(BN$4,$A61,"OAS-Lib","sec","")</f>
        <v>-93.959998999999996</v>
      </c>
      <c r="BO61" s="10">
        <f>[1]!YBHIST(BO$4,$A61,"OAS-Lib","sec","")</f>
        <v>101.040001</v>
      </c>
      <c r="BP61" s="9"/>
      <c r="BQ61" s="1"/>
      <c r="BR61" s="1"/>
    </row>
    <row r="62" spans="1:70" x14ac:dyDescent="0.25">
      <c r="A62" s="22">
        <f>[1]!ybworkday(A$5,-1*(ROW()-ROW(A$5)),"USD","")</f>
        <v>40822</v>
      </c>
      <c r="B62" s="3">
        <f>[1]!YBHIST("2 Year Treasury",$A62,"Price","govt","")</f>
        <v>99.719002000000003</v>
      </c>
      <c r="C62" s="2">
        <f>[1]!YBHIST("5 Year Treasury",$A62,"Price","govt","")</f>
        <v>99.969002000000003</v>
      </c>
      <c r="D62" s="2">
        <f>[1]!YBHIST("10 Year Treasury",$A62,"Price","govt","")</f>
        <v>101.23400100000001</v>
      </c>
      <c r="E62" s="10">
        <f>[1]!YBHIST("30 Year Treasury",$A62,"Price","govt","")</f>
        <v>115.796997</v>
      </c>
      <c r="F62" s="3">
        <f>[1]!YBHIST("2 Year Treasury",$A62,"YldtoMat","govt","")</f>
        <v>0.26700000000000002</v>
      </c>
      <c r="G62" s="2">
        <f>[1]!YBHIST("5 Year Treasury",$A62,"YldtoMat","govt","")</f>
        <v>1.006</v>
      </c>
      <c r="H62" s="2">
        <f>[1]!YBHIST("10 Year Treasury",$A62,"YldtoMat","govt","")</f>
        <v>1.986</v>
      </c>
      <c r="I62" s="10">
        <f>[1]!YBHIST("30 Year Treasury",$A62,"YldtoMat","govt","")</f>
        <v>2.95</v>
      </c>
      <c r="J62" s="3">
        <f>[1]!YBHIST("2yr Swap Rate",$A62,"YldtoMat","swapvol","")</f>
        <v>0.64288500000000004</v>
      </c>
      <c r="K62" s="2">
        <f>[1]!YBHIST("5yr Swap Rate",$A62,"YldtoMat","swapvol","")</f>
        <v>1.3483510000000001</v>
      </c>
      <c r="L62" s="2">
        <f>[1]!YBHIST("10yr Swap Rate",$A62,"YldtoMat","swapvol","")</f>
        <v>2.1911230000000002</v>
      </c>
      <c r="M62" s="10">
        <f>[1]!YBHIST("30yr Swap Rate",$A62,"YldtoMat","swapvol","")</f>
        <v>2.7258599999999999</v>
      </c>
      <c r="N62" s="3">
        <f>[1]!YBHIST("FNMA 30YR Cur Coup (BE)",$A62,"Yield","bmk","")</f>
        <v>3.1880000000000002</v>
      </c>
      <c r="O62" s="2">
        <f>[1]!YBHIST("FHLMC 30YR Cur Coup (BE)",$A62,"Yield","bmk","")</f>
        <v>3.1720000000000002</v>
      </c>
      <c r="P62" s="2">
        <f>[1]!YBHIST("GNMA 30YR Cur Coup (BE)",$A62,"Yield","bmk","")</f>
        <v>3.0219999999999998</v>
      </c>
      <c r="Q62" s="2">
        <f>[1]!YBHIST("Primary 30-Yr Mtg Rate",$A62,"Yield","bmk","")</f>
        <v>4.2329999999999997</v>
      </c>
      <c r="R62" s="2">
        <f>[1]!YBHIST("FHLM 30-Yr Survey Rate",$A62,"Yield","bmk","")</f>
        <v>3.94</v>
      </c>
      <c r="S62" s="10">
        <f>[1]!YBHIST("Base Mortgage Rate",$A62,"Yield","bmk","")</f>
        <v>3.51</v>
      </c>
      <c r="T62" s="27">
        <f>[1]!YBHIST("FNMA 30YR Cur Coup (BE)",$A62,"OAS-Lib","bmk","")</f>
        <v>30.271000000000001</v>
      </c>
      <c r="U62" s="28">
        <f>[1]!YBHIST("FHLMC 30YR Cur Coup (BE)",$A62,"OAS-Lib","bmk","")</f>
        <v>28.538</v>
      </c>
      <c r="V62" s="28">
        <f>[1]!YBHIST("GNMA 30YR Cur Coup (BE)",$A62,"OAS-Lib","bmk","")</f>
        <v>33</v>
      </c>
      <c r="W62" s="29">
        <f t="shared" si="3"/>
        <v>120.20000000000002</v>
      </c>
      <c r="X62" s="29">
        <f t="shared" si="4"/>
        <v>120.20000000000002</v>
      </c>
      <c r="Y62" s="29">
        <f t="shared" si="5"/>
        <v>118.60000000000002</v>
      </c>
      <c r="Z62" s="3">
        <f>[1]!YBHIST("FNMA3.5-GEN",$A62,"Price","tba","")</f>
        <v>102.140625</v>
      </c>
      <c r="AA62" s="2">
        <f>[1]!YBHIST("FNMA4.0-GEN",$A62,"Price","tba","")</f>
        <v>104.421875</v>
      </c>
      <c r="AB62" s="2">
        <f>[1]!YBHIST("FNMA4.5-GEN",$A62,"Price","tba","")</f>
        <v>105.804688</v>
      </c>
      <c r="AC62" s="2">
        <f>[1]!YBHIST("FNMA5.0-GEN",$A62,"Price","tba","")</f>
        <v>107.304688</v>
      </c>
      <c r="AD62" s="2">
        <f>[1]!YBHIST("FNMA5.5-GEN",$A62,"Price","tba","")</f>
        <v>108.21875</v>
      </c>
      <c r="AE62" s="10">
        <f>[1]!YBHIST("FNMA6.0-GEN",$A62,"Price","tba","")</f>
        <v>109.40625</v>
      </c>
      <c r="AF62" s="3">
        <f>[1]!YBHIST(AF$4,$A62,"Price","sec","")</f>
        <v>18.641000999999999</v>
      </c>
      <c r="AG62" s="2">
        <f>[1]!YBHIST(AG$4,$A62,"Price","sec","")</f>
        <v>17.437999999999999</v>
      </c>
      <c r="AH62" s="2">
        <f>[1]!YBHIST(AH$4,$A62,"Price","sec","")</f>
        <v>15.561999999999999</v>
      </c>
      <c r="AI62" s="2">
        <f>[1]!YBHIST(AI$4,$A62,"Price","sec","")</f>
        <v>15.75</v>
      </c>
      <c r="AJ62" s="2">
        <f>[1]!YBHIST(AJ$4,$A62,"Price","sec","")</f>
        <v>14.141</v>
      </c>
      <c r="AK62" s="2">
        <f>[1]!YBHIST(AK$4,$A62,"Price","sec","")</f>
        <v>17.062000000000001</v>
      </c>
      <c r="AL62" s="2">
        <f>[1]!YBHIST(AL$4,$A62,"Price","sec","")</f>
        <v>15.202999999999999</v>
      </c>
      <c r="AM62" s="2">
        <f>[1]!YBHIST(AM$4,$A62,"Price","sec","")</f>
        <v>12.672000000000001</v>
      </c>
      <c r="AN62" s="2">
        <f>[1]!YBHIST(AN$4,$A62,"Price","sec","")</f>
        <v>14.609</v>
      </c>
      <c r="AO62" s="2">
        <f>[1]!YBHIST(AO$4,$A62,"Price","sec","")</f>
        <v>14.734</v>
      </c>
      <c r="AP62" s="2">
        <f>[1]!YBHIST(AP$4,$A62,"Price","sec","")</f>
        <v>13.141</v>
      </c>
      <c r="AQ62" s="2">
        <f>[1]!YBHIST(AQ$4,$A62,"Price","sec","")</f>
        <v>15.5</v>
      </c>
      <c r="AR62" s="2">
        <f>[1]!YBHIST(AR$4,$A62,"Price","sec","")</f>
        <v>14.922000000000001</v>
      </c>
      <c r="AS62" s="2">
        <f>[1]!YBHIST(AS$4,$A62,"Price","sec","")</f>
        <v>14.516</v>
      </c>
      <c r="AT62" s="2">
        <f>[1]!YBHIST(AT$4,$A62,"Price","sec","")</f>
        <v>17.062000000000001</v>
      </c>
      <c r="AU62" s="2">
        <f>[1]!YBHIST(AU$4,$A62,"Price","sec","")</f>
        <v>21.641000999999999</v>
      </c>
      <c r="AV62" s="2">
        <f>[1]!YBHIST(AV$4,$A62,"Price","sec","")</f>
        <v>20.844000000000001</v>
      </c>
      <c r="AW62" s="10">
        <f>[1]!YBHIST(AW$4,$A62,"Price","sec","")</f>
        <v>19.5</v>
      </c>
      <c r="AX62" s="29">
        <f>[1]!YBHIST(AX$4,$A62,"OAS-Lib","sec","")</f>
        <v>-203.029999</v>
      </c>
      <c r="AY62" s="29">
        <f>[1]!YBHIST(AY$4,$A62,"OAS-Lib","sec","")</f>
        <v>-183.44000199999999</v>
      </c>
      <c r="AZ62" s="2">
        <f>[1]!YBHIST(AZ$4,$A62,"OAS-Lib","sec","")</f>
        <v>-90.25</v>
      </c>
      <c r="BA62" s="2">
        <f>[1]!YBHIST(BA$4,$A62,"OAS-Lib","sec","")</f>
        <v>23.540001</v>
      </c>
      <c r="BB62" s="29">
        <f>[1]!YBHIST(BB$4,$A62,"OAS-Lib","sec","")</f>
        <v>142.61000100000001</v>
      </c>
      <c r="BC62" s="2">
        <f>[1]!YBHIST(BC$4,$A62,"OAS-Lib","sec","")</f>
        <v>240.300003</v>
      </c>
      <c r="BD62" s="29">
        <f>[1]!YBHIST(BD$4,$A62,"OAS-Lib","sec","")</f>
        <v>357.32998700000002</v>
      </c>
      <c r="BE62" s="2">
        <f>[1]!YBHIST(BE$4,$A62,"OAS-Lib","sec","")</f>
        <v>947.419983</v>
      </c>
      <c r="BF62" s="2">
        <f>[1]!YBHIST(BF$4,$A62,"OAS-Lib","sec","")</f>
        <v>803.40002400000003</v>
      </c>
      <c r="BG62" s="2">
        <f>[1]!YBHIST(BG$4,$A62,"OAS-Lib","sec","")</f>
        <v>442.30999800000001</v>
      </c>
      <c r="BH62" s="29">
        <f>[1]!YBHIST(BH$4,$A62,"OAS-Lib","sec","")</f>
        <v>1197.290039</v>
      </c>
      <c r="BI62" s="2">
        <f>[1]!YBHIST(BI$4,$A62,"OAS-Lib","sec","")</f>
        <v>769.54998799999998</v>
      </c>
      <c r="BJ62" s="2">
        <f>[1]!YBHIST(BJ$4,$A62,"OAS-Lib","sec","")</f>
        <v>637.09002699999996</v>
      </c>
      <c r="BK62" s="29">
        <f>[1]!YBHIST(BK$4,$A62,"OAS-Lib","sec","")</f>
        <v>777.75</v>
      </c>
      <c r="BL62" s="30">
        <f>[1]!YBHIST(BL$4,$A62,"OAS-Lib","sec","")</f>
        <v>725.28002900000001</v>
      </c>
      <c r="BM62" s="2">
        <f>[1]!YBHIST(BM$4,$A62,"OAS-Lib","sec","")</f>
        <v>-168.46000699999999</v>
      </c>
      <c r="BN62" s="2">
        <f>[1]!YBHIST(BN$4,$A62,"OAS-Lib","sec","")</f>
        <v>-162.449997</v>
      </c>
      <c r="BO62" s="10">
        <f>[1]!YBHIST(BO$4,$A62,"OAS-Lib","sec","")</f>
        <v>111.959999</v>
      </c>
      <c r="BP62" s="9"/>
      <c r="BQ62" s="1"/>
      <c r="BR62" s="1"/>
    </row>
    <row r="63" spans="1:70" x14ac:dyDescent="0.25">
      <c r="A63" s="22">
        <f>[1]!ybworkday(A$5,-1*(ROW()-ROW(A$5)),"USD","")</f>
        <v>40821</v>
      </c>
      <c r="B63" s="3">
        <f>[1]!YBHIST("2 Year Treasury",$A63,"Price","govt","")</f>
        <v>99.734001000000006</v>
      </c>
      <c r="C63" s="2">
        <f>[1]!YBHIST("5 Year Treasury",$A63,"Price","govt","")</f>
        <v>100.203003</v>
      </c>
      <c r="D63" s="2">
        <f>[1]!YBHIST("10 Year Treasury",$A63,"Price","govt","")</f>
        <v>102</v>
      </c>
      <c r="E63" s="10">
        <f>[1]!YBHIST("30 Year Treasury",$A63,"Price","govt","")</f>
        <v>117.296997</v>
      </c>
      <c r="F63" s="3">
        <f>[1]!YBHIST("2 Year Treasury",$A63,"YldtoMat","govt","")</f>
        <v>0.25900000000000001</v>
      </c>
      <c r="G63" s="2">
        <f>[1]!YBHIST("5 Year Treasury",$A63,"YldtoMat","govt","")</f>
        <v>0.95799999999999996</v>
      </c>
      <c r="H63" s="2">
        <f>[1]!YBHIST("10 Year Treasury",$A63,"YldtoMat","govt","")</f>
        <v>1.901</v>
      </c>
      <c r="I63" s="10">
        <f>[1]!YBHIST("30 Year Treasury",$A63,"YldtoMat","govt","")</f>
        <v>2.8820000000000001</v>
      </c>
      <c r="J63" s="3">
        <f>[1]!YBHIST("2yr Swap Rate",$A63,"YldtoMat","swapvol","")</f>
        <v>0.63357699999999995</v>
      </c>
      <c r="K63" s="2">
        <f>[1]!YBHIST("5yr Swap Rate",$A63,"YldtoMat","swapvol","")</f>
        <v>1.3095110000000001</v>
      </c>
      <c r="L63" s="2">
        <f>[1]!YBHIST("10yr Swap Rate",$A63,"YldtoMat","swapvol","")</f>
        <v>2.1317469999999998</v>
      </c>
      <c r="M63" s="10">
        <f>[1]!YBHIST("30yr Swap Rate",$A63,"YldtoMat","swapvol","")</f>
        <v>2.683729</v>
      </c>
      <c r="N63" s="3">
        <f>[1]!YBHIST("FNMA 30YR Cur Coup (BE)",$A63,"Yield","bmk","")</f>
        <v>3.12</v>
      </c>
      <c r="O63" s="2">
        <f>[1]!YBHIST("FHLMC 30YR Cur Coup (BE)",$A63,"Yield","bmk","")</f>
        <v>3.09</v>
      </c>
      <c r="P63" s="2">
        <f>[1]!YBHIST("GNMA 30YR Cur Coup (BE)",$A63,"Yield","bmk","")</f>
        <v>2.9540000000000002</v>
      </c>
      <c r="Q63" s="2">
        <f>[1]!YBHIST("Primary 30-Yr Mtg Rate",$A63,"Yield","bmk","")</f>
        <v>4.1208999999999998</v>
      </c>
      <c r="R63" s="2">
        <f>[1]!YBHIST("FHLM 30-Yr Survey Rate",$A63,"Yield","bmk","")</f>
        <v>4.01</v>
      </c>
      <c r="S63" s="10">
        <f>[1]!YBHIST("Base Mortgage Rate",$A63,"Yield","bmk","")</f>
        <v>3.444</v>
      </c>
      <c r="T63" s="27">
        <f>[1]!YBHIST("FNMA 30YR Cur Coup (BE)",$A63,"OAS-Lib","bmk","")</f>
        <v>24.881001000000001</v>
      </c>
      <c r="U63" s="28">
        <f>[1]!YBHIST("FHLMC 30YR Cur Coup (BE)",$A63,"OAS-Lib","bmk","")</f>
        <v>20</v>
      </c>
      <c r="V63" s="28">
        <f>[1]!YBHIST("GNMA 30YR Cur Coup (BE)",$A63,"OAS-Lib","bmk","")</f>
        <v>29</v>
      </c>
      <c r="W63" s="29">
        <f t="shared" si="3"/>
        <v>121.9</v>
      </c>
      <c r="X63" s="29">
        <f t="shared" si="4"/>
        <v>121.9</v>
      </c>
      <c r="Y63" s="29">
        <f t="shared" si="5"/>
        <v>118.89999999999998</v>
      </c>
      <c r="Z63" s="3">
        <f>[1]!YBHIST("FNMA3.5-GEN",$A63,"Price","tba","")</f>
        <v>102.4375</v>
      </c>
      <c r="AA63" s="2">
        <f>[1]!YBHIST("FNMA4.0-GEN",$A63,"Price","tba","")</f>
        <v>104.59375</v>
      </c>
      <c r="AB63" s="2">
        <f>[1]!YBHIST("FNMA4.5-GEN",$A63,"Price","tba","")</f>
        <v>105.984375</v>
      </c>
      <c r="AC63" s="2">
        <f>[1]!YBHIST("FNMA5.0-GEN",$A63,"Price","tba","")</f>
        <v>107.515625</v>
      </c>
      <c r="AD63" s="2">
        <f>[1]!YBHIST("FNMA5.5-GEN",$A63,"Price","tba","")</f>
        <v>108.4375</v>
      </c>
      <c r="AE63" s="10">
        <f>[1]!YBHIST("FNMA6.0-GEN",$A63,"Price","tba","")</f>
        <v>109.65625</v>
      </c>
      <c r="AF63" s="3">
        <f>[1]!YBHIST(AF$4,$A63,"Price","sec","")</f>
        <v>18.358999000000001</v>
      </c>
      <c r="AG63" s="2">
        <f>[1]!YBHIST(AG$4,$A63,"Price","sec","")</f>
        <v>17.187999999999999</v>
      </c>
      <c r="AH63" s="2">
        <f>[1]!YBHIST(AH$4,$A63,"Price","sec","")</f>
        <v>15.202999999999999</v>
      </c>
      <c r="AI63" s="2">
        <f>[1]!YBHIST(AI$4,$A63,"Price","sec","")</f>
        <v>15.593999999999999</v>
      </c>
      <c r="AJ63" s="2">
        <f>[1]!YBHIST(AJ$4,$A63,"Price","sec","")</f>
        <v>13.781000000000001</v>
      </c>
      <c r="AK63" s="2">
        <f>[1]!YBHIST(AK$4,$A63,"Price","sec","")</f>
        <v>16.827998999999998</v>
      </c>
      <c r="AL63" s="2">
        <f>[1]!YBHIST(AL$4,$A63,"Price","sec","")</f>
        <v>14.891</v>
      </c>
      <c r="AM63" s="2">
        <f>[1]!YBHIST(AM$4,$A63,"Price","sec","")</f>
        <v>12.359</v>
      </c>
      <c r="AN63" s="2">
        <f>[1]!YBHIST(AN$4,$A63,"Price","sec","")</f>
        <v>14.359</v>
      </c>
      <c r="AO63" s="2">
        <f>[1]!YBHIST(AO$4,$A63,"Price","sec","")</f>
        <v>14.484</v>
      </c>
      <c r="AP63" s="2">
        <f>[1]!YBHIST(AP$4,$A63,"Price","sec","")</f>
        <v>13.077999999999999</v>
      </c>
      <c r="AQ63" s="2">
        <f>[1]!YBHIST(AQ$4,$A63,"Price","sec","")</f>
        <v>15.422000000000001</v>
      </c>
      <c r="AR63" s="2">
        <f>[1]!YBHIST(AR$4,$A63,"Price","sec","")</f>
        <v>14.843999999999999</v>
      </c>
      <c r="AS63" s="2">
        <f>[1]!YBHIST(AS$4,$A63,"Price","sec","")</f>
        <v>14.516</v>
      </c>
      <c r="AT63" s="2">
        <f>[1]!YBHIST(AT$4,$A63,"Price","sec","")</f>
        <v>17.125</v>
      </c>
      <c r="AU63" s="2">
        <f>[1]!YBHIST(AU$4,$A63,"Price","sec","")</f>
        <v>21.483999000000001</v>
      </c>
      <c r="AV63" s="2">
        <f>[1]!YBHIST(AV$4,$A63,"Price","sec","")</f>
        <v>20.687999999999999</v>
      </c>
      <c r="AW63" s="10">
        <f>[1]!YBHIST(AW$4,$A63,"Price","sec","")</f>
        <v>19.25</v>
      </c>
      <c r="AX63" s="29">
        <f>[1]!YBHIST(AX$4,$A63,"OAS-Lib","sec","")</f>
        <v>-229.770004</v>
      </c>
      <c r="AY63" s="29">
        <f>[1]!YBHIST(AY$4,$A63,"OAS-Lib","sec","")</f>
        <v>-225.78999300000001</v>
      </c>
      <c r="AZ63" s="2">
        <f>[1]!YBHIST(AZ$4,$A63,"OAS-Lib","sec","")</f>
        <v>-113.699997</v>
      </c>
      <c r="BA63" s="2">
        <f>[1]!YBHIST(BA$4,$A63,"OAS-Lib","sec","")</f>
        <v>-56.610000999999997</v>
      </c>
      <c r="BB63" s="29">
        <f>[1]!YBHIST(BB$4,$A63,"OAS-Lib","sec","")</f>
        <v>109.05999799999999</v>
      </c>
      <c r="BC63" s="2">
        <f>[1]!YBHIST(BC$4,$A63,"OAS-Lib","sec","")</f>
        <v>173.16999799999999</v>
      </c>
      <c r="BD63" s="29">
        <f>[1]!YBHIST(BD$4,$A63,"OAS-Lib","sec","")</f>
        <v>310.540009</v>
      </c>
      <c r="BE63" s="2">
        <f>[1]!YBHIST(BE$4,$A63,"OAS-Lib","sec","")</f>
        <v>964.45001200000002</v>
      </c>
      <c r="BF63" s="2">
        <f>[1]!YBHIST(BF$4,$A63,"OAS-Lib","sec","")</f>
        <v>809.14001499999995</v>
      </c>
      <c r="BG63" s="2">
        <f>[1]!YBHIST(BG$4,$A63,"OAS-Lib","sec","")</f>
        <v>434.23001099999999</v>
      </c>
      <c r="BH63" s="29">
        <f>[1]!YBHIST(BH$4,$A63,"OAS-Lib","sec","")</f>
        <v>1155.670044</v>
      </c>
      <c r="BI63" s="2">
        <f>[1]!YBHIST(BI$4,$A63,"OAS-Lib","sec","")</f>
        <v>728.53997800000002</v>
      </c>
      <c r="BJ63" s="2">
        <f>[1]!YBHIST(BJ$4,$A63,"OAS-Lib","sec","")</f>
        <v>581.419983</v>
      </c>
      <c r="BK63" s="29">
        <f>[1]!YBHIST(BK$4,$A63,"OAS-Lib","sec","")</f>
        <v>720.419983</v>
      </c>
      <c r="BL63" s="30">
        <f>[1]!YBHIST(BL$4,$A63,"OAS-Lib","sec","")</f>
        <v>640.330017</v>
      </c>
      <c r="BM63" s="2">
        <f>[1]!YBHIST(BM$4,$A63,"OAS-Lib","sec","")</f>
        <v>-196.13000500000001</v>
      </c>
      <c r="BN63" s="2">
        <f>[1]!YBHIST(BN$4,$A63,"OAS-Lib","sec","")</f>
        <v>-193.199997</v>
      </c>
      <c r="BO63" s="10">
        <f>[1]!YBHIST(BO$4,$A63,"OAS-Lib","sec","")</f>
        <v>101.290001</v>
      </c>
      <c r="BP63" s="9"/>
      <c r="BQ63" s="1"/>
      <c r="BR63" s="1"/>
    </row>
    <row r="64" spans="1:70" x14ac:dyDescent="0.25">
      <c r="A64" s="22">
        <f>[1]!ybworkday(A$5,-1*(ROW()-ROW(A$5)),"USD","")</f>
        <v>40820</v>
      </c>
      <c r="B64" s="3">
        <f>[1]!YBHIST("2 Year Treasury",$A64,"Price","govt","")</f>
        <v>99.758003000000002</v>
      </c>
      <c r="C64" s="2">
        <f>[1]!YBHIST("5 Year Treasury",$A64,"Price","govt","")</f>
        <v>100.546997</v>
      </c>
      <c r="D64" s="2">
        <f>[1]!YBHIST("10 Year Treasury",$A64,"Price","govt","")</f>
        <v>103.078003</v>
      </c>
      <c r="E64" s="10">
        <f>[1]!YBHIST("30 Year Treasury",$A64,"Price","govt","")</f>
        <v>120.078003</v>
      </c>
      <c r="F64" s="3">
        <f>[1]!YBHIST("2 Year Treasury",$A64,"YldtoMat","govt","")</f>
        <v>0.247</v>
      </c>
      <c r="G64" s="2">
        <f>[1]!YBHIST("5 Year Treasury",$A64,"YldtoMat","govt","")</f>
        <v>0.88800000000000001</v>
      </c>
      <c r="H64" s="2">
        <f>[1]!YBHIST("10 Year Treasury",$A64,"YldtoMat","govt","")</f>
        <v>1.7829999999999999</v>
      </c>
      <c r="I64" s="10">
        <f>[1]!YBHIST("30 Year Treasury",$A64,"YldtoMat","govt","")</f>
        <v>2.7589999999999999</v>
      </c>
      <c r="J64" s="3">
        <f>[1]!YBHIST("2yr Swap Rate",$A64,"YldtoMat","swapvol","")</f>
        <v>0.63840200000000003</v>
      </c>
      <c r="K64" s="2">
        <f>[1]!YBHIST("5yr Swap Rate",$A64,"YldtoMat","swapvol","")</f>
        <v>1.2415579999999999</v>
      </c>
      <c r="L64" s="2">
        <f>[1]!YBHIST("10yr Swap Rate",$A64,"YldtoMat","swapvol","")</f>
        <v>2.0234459999999999</v>
      </c>
      <c r="M64" s="10">
        <f>[1]!YBHIST("30yr Swap Rate",$A64,"YldtoMat","swapvol","")</f>
        <v>2.5627390000000001</v>
      </c>
      <c r="N64" s="3">
        <f>[1]!YBHIST("FNMA 30YR Cur Coup (BE)",$A64,"Yield","bmk","")</f>
        <v>3.044</v>
      </c>
      <c r="O64" s="2">
        <f>[1]!YBHIST("FHLMC 30YR Cur Coup (BE)",$A64,"Yield","bmk","")</f>
        <v>3.0070000000000001</v>
      </c>
      <c r="P64" s="2">
        <f>[1]!YBHIST("GNMA 30YR Cur Coup (BE)",$A64,"Yield","bmk","")</f>
        <v>2.8780000000000001</v>
      </c>
      <c r="Q64" s="2">
        <f>[1]!YBHIST("Primary 30-Yr Mtg Rate",$A64,"Yield","bmk","")</f>
        <v>4.0475000000000003</v>
      </c>
      <c r="R64" s="2">
        <f>[1]!YBHIST("FHLM 30-Yr Survey Rate",$A64,"Yield","bmk","")</f>
        <v>4.01</v>
      </c>
      <c r="S64" s="10">
        <f>[1]!YBHIST("Base Mortgage Rate",$A64,"Yield","bmk","")</f>
        <v>3.37</v>
      </c>
      <c r="T64" s="27">
        <f>[1]!YBHIST("FNMA 30YR Cur Coup (BE)",$A64,"OAS-Lib","bmk","")</f>
        <v>23</v>
      </c>
      <c r="U64" s="28">
        <f>[1]!YBHIST("FHLMC 30YR Cur Coup (BE)",$A64,"OAS-Lib","bmk","")</f>
        <v>18</v>
      </c>
      <c r="V64" s="28">
        <f>[1]!YBHIST("GNMA 30YR Cur Coup (BE)",$A64,"OAS-Lib","bmk","")</f>
        <v>27</v>
      </c>
      <c r="W64" s="29">
        <f t="shared" si="3"/>
        <v>126.10000000000001</v>
      </c>
      <c r="X64" s="29">
        <f t="shared" si="4"/>
        <v>126.10000000000001</v>
      </c>
      <c r="Y64" s="29">
        <f t="shared" si="5"/>
        <v>122.40000000000002</v>
      </c>
      <c r="Z64" s="3">
        <f>[1]!YBHIST("FNMA3.5-GEN",$A64,"Price","tba","")</f>
        <v>102.78125</v>
      </c>
      <c r="AA64" s="2">
        <f>[1]!YBHIST("FNMA4.0-GEN",$A64,"Price","tba","")</f>
        <v>104.828125</v>
      </c>
      <c r="AB64" s="2">
        <f>[1]!YBHIST("FNMA4.5-GEN",$A64,"Price","tba","")</f>
        <v>106.171875</v>
      </c>
      <c r="AC64" s="2">
        <f>[1]!YBHIST("FNMA5.0-GEN",$A64,"Price","tba","")</f>
        <v>107.640625</v>
      </c>
      <c r="AD64" s="2">
        <f>[1]!YBHIST("FNMA5.5-GEN",$A64,"Price","tba","")</f>
        <v>108.5625</v>
      </c>
      <c r="AE64" s="10">
        <f>[1]!YBHIST("FNMA6.0-GEN",$A64,"Price","tba","")</f>
        <v>109.734375</v>
      </c>
      <c r="AF64" s="3">
        <f>[1]!YBHIST(AF$4,$A64,"Price","sec","")</f>
        <v>17.844000000000001</v>
      </c>
      <c r="AG64" s="2">
        <f>[1]!YBHIST(AG$4,$A64,"Price","sec","")</f>
        <v>16.530999999999999</v>
      </c>
      <c r="AH64" s="2">
        <f>[1]!YBHIST(AH$4,$A64,"Price","sec","")</f>
        <v>14.531000000000001</v>
      </c>
      <c r="AI64" s="2">
        <f>[1]!YBHIST(AI$4,$A64,"Price","sec","")</f>
        <v>14.906000000000001</v>
      </c>
      <c r="AJ64" s="2">
        <f>[1]!YBHIST(AJ$4,$A64,"Price","sec","")</f>
        <v>13.047000000000001</v>
      </c>
      <c r="AK64" s="2">
        <f>[1]!YBHIST(AK$4,$A64,"Price","sec","")</f>
        <v>16.266000999999999</v>
      </c>
      <c r="AL64" s="2">
        <f>[1]!YBHIST(AL$4,$A64,"Price","sec","")</f>
        <v>14.125</v>
      </c>
      <c r="AM64" s="2">
        <f>[1]!YBHIST(AM$4,$A64,"Price","sec","")</f>
        <v>11.75</v>
      </c>
      <c r="AN64" s="2">
        <f>[1]!YBHIST(AN$4,$A64,"Price","sec","")</f>
        <v>13.811999999999999</v>
      </c>
      <c r="AO64" s="2">
        <f>[1]!YBHIST(AO$4,$A64,"Price","sec","")</f>
        <v>13.922000000000001</v>
      </c>
      <c r="AP64" s="2">
        <f>[1]!YBHIST(AP$4,$A64,"Price","sec","")</f>
        <v>12.656000000000001</v>
      </c>
      <c r="AQ64" s="2">
        <f>[1]!YBHIST(AQ$4,$A64,"Price","sec","")</f>
        <v>15.031000000000001</v>
      </c>
      <c r="AR64" s="2">
        <f>[1]!YBHIST(AR$4,$A64,"Price","sec","")</f>
        <v>14.438000000000001</v>
      </c>
      <c r="AS64" s="2">
        <f>[1]!YBHIST(AS$4,$A64,"Price","sec","")</f>
        <v>14.202999999999999</v>
      </c>
      <c r="AT64" s="2">
        <f>[1]!YBHIST(AT$4,$A64,"Price","sec","")</f>
        <v>16.875</v>
      </c>
      <c r="AU64" s="2">
        <f>[1]!YBHIST(AU$4,$A64,"Price","sec","")</f>
        <v>21.062000000000001</v>
      </c>
      <c r="AV64" s="2">
        <f>[1]!YBHIST(AV$4,$A64,"Price","sec","")</f>
        <v>20.187999999999999</v>
      </c>
      <c r="AW64" s="10">
        <f>[1]!YBHIST(AW$4,$A64,"Price","sec","")</f>
        <v>18.827998999999998</v>
      </c>
      <c r="AX64" s="29">
        <f>[1]!YBHIST(AX$4,$A64,"OAS-Lib","sec","")</f>
        <v>-272.08999599999999</v>
      </c>
      <c r="AY64" s="29">
        <f>[1]!YBHIST(AY$4,$A64,"OAS-Lib","sec","")</f>
        <v>-253.36000100000001</v>
      </c>
      <c r="AZ64" s="2">
        <f>[1]!YBHIST(AZ$4,$A64,"OAS-Lib","sec","")</f>
        <v>-123.879997</v>
      </c>
      <c r="BA64" s="2">
        <f>[1]!YBHIST(BA$4,$A64,"OAS-Lib","sec","")</f>
        <v>-61.139999000000003</v>
      </c>
      <c r="BB64" s="29">
        <f>[1]!YBHIST(BB$4,$A64,"OAS-Lib","sec","")</f>
        <v>133.050003</v>
      </c>
      <c r="BC64" s="2">
        <f>[1]!YBHIST(BC$4,$A64,"OAS-Lib","sec","")</f>
        <v>166.449997</v>
      </c>
      <c r="BD64" s="29">
        <f>[1]!YBHIST(BD$4,$A64,"OAS-Lib","sec","")</f>
        <v>357.38000499999998</v>
      </c>
      <c r="BE64" s="2">
        <f>[1]!YBHIST(BE$4,$A64,"OAS-Lib","sec","")</f>
        <v>1039.8900149999999</v>
      </c>
      <c r="BF64" s="2">
        <f>[1]!YBHIST(BF$4,$A64,"OAS-Lib","sec","")</f>
        <v>872.05999799999995</v>
      </c>
      <c r="BG64" s="2">
        <f>[1]!YBHIST(BG$4,$A64,"OAS-Lib","sec","")</f>
        <v>485.35998499999999</v>
      </c>
      <c r="BH64" s="29">
        <f>[1]!YBHIST(BH$4,$A64,"OAS-Lib","sec","")</f>
        <v>1197.219971</v>
      </c>
      <c r="BI64" s="2">
        <f>[1]!YBHIST(BI$4,$A64,"OAS-Lib","sec","")</f>
        <v>766.90002400000003</v>
      </c>
      <c r="BJ64" s="2">
        <f>[1]!YBHIST(BJ$4,$A64,"OAS-Lib","sec","")</f>
        <v>606.669983</v>
      </c>
      <c r="BK64" s="29">
        <f>[1]!YBHIST(BK$4,$A64,"OAS-Lib","sec","")</f>
        <v>754.90997300000004</v>
      </c>
      <c r="BL64" s="30">
        <f>[1]!YBHIST(BL$4,$A64,"OAS-Lib","sec","")</f>
        <v>658.40002400000003</v>
      </c>
      <c r="BM64" s="2">
        <f>[1]!YBHIST(BM$4,$A64,"OAS-Lib","sec","")</f>
        <v>-227.66999799999999</v>
      </c>
      <c r="BN64" s="2">
        <f>[1]!YBHIST(BN$4,$A64,"OAS-Lib","sec","")</f>
        <v>-213.88999899999999</v>
      </c>
      <c r="BO64" s="10">
        <f>[1]!YBHIST(BO$4,$A64,"OAS-Lib","sec","")</f>
        <v>92.309997999999993</v>
      </c>
      <c r="BP64" s="9"/>
      <c r="BQ64" s="1"/>
      <c r="BR64" s="1"/>
    </row>
    <row r="65" spans="1:70" x14ac:dyDescent="0.25">
      <c r="A65" s="22">
        <f>[1]!ybworkday(A$5,-1*(ROW()-ROW(A$5)),"USD","")</f>
        <v>40819</v>
      </c>
      <c r="B65" s="3">
        <f>[1]!YBHIST("2 Year Treasury",$A65,"Price","govt","")</f>
        <v>99.765998999999994</v>
      </c>
      <c r="C65" s="2">
        <f>[1]!YBHIST("5 Year Treasury",$A65,"Price","govt","")</f>
        <v>100.625</v>
      </c>
      <c r="D65" s="2">
        <f>[1]!YBHIST("10 Year Treasury",$A65,"Price","govt","")</f>
        <v>103.06300400000001</v>
      </c>
      <c r="E65" s="10">
        <f>[1]!YBHIST("30 Year Treasury",$A65,"Price","govt","")</f>
        <v>120.06300400000001</v>
      </c>
      <c r="F65" s="3">
        <f>[1]!YBHIST("2 Year Treasury",$A65,"YldtoMat","govt","")</f>
        <v>0.24299999999999999</v>
      </c>
      <c r="G65" s="2">
        <f>[1]!YBHIST("5 Year Treasury",$A65,"YldtoMat","govt","")</f>
        <v>0.872</v>
      </c>
      <c r="H65" s="2">
        <f>[1]!YBHIST("10 Year Treasury",$A65,"YldtoMat","govt","")</f>
        <v>1.7849999999999999</v>
      </c>
      <c r="I65" s="10">
        <f>[1]!YBHIST("30 Year Treasury",$A65,"YldtoMat","govt","")</f>
        <v>2.7589999999999999</v>
      </c>
      <c r="J65" s="3">
        <f>[1]!YBHIST("2yr Swap Rate",$A65,"YldtoMat","swapvol","")</f>
        <v>0.59501099999999996</v>
      </c>
      <c r="K65" s="2">
        <f>[1]!YBHIST("5yr Swap Rate",$A65,"YldtoMat","swapvol","")</f>
        <v>1.1980820000000001</v>
      </c>
      <c r="L65" s="2">
        <f>[1]!YBHIST("10yr Swap Rate",$A65,"YldtoMat","swapvol","")</f>
        <v>1.995215</v>
      </c>
      <c r="M65" s="10">
        <f>[1]!YBHIST("30yr Swap Rate",$A65,"YldtoMat","swapvol","")</f>
        <v>2.5534539999999999</v>
      </c>
      <c r="N65" s="3">
        <f>[1]!YBHIST("FNMA 30YR Cur Coup (BE)",$A65,"Yield","bmk","")</f>
        <v>2.948</v>
      </c>
      <c r="O65" s="2">
        <f>[1]!YBHIST("FHLMC 30YR Cur Coup (BE)",$A65,"Yield","bmk","")</f>
        <v>2.911</v>
      </c>
      <c r="P65" s="2">
        <f>[1]!YBHIST("GNMA 30YR Cur Coup (BE)",$A65,"Yield","bmk","")</f>
        <v>2.782</v>
      </c>
      <c r="Q65" s="2">
        <f>[1]!YBHIST("Primary 30-Yr Mtg Rate",$A65,"Yield","bmk","")</f>
        <v>3.9575999999999998</v>
      </c>
      <c r="R65" s="2">
        <f>[1]!YBHIST("FHLM 30-Yr Survey Rate",$A65,"Yield","bmk","")</f>
        <v>4.01</v>
      </c>
      <c r="S65" s="10">
        <f>[1]!YBHIST("Base Mortgage Rate",$A65,"Yield","bmk","")</f>
        <v>3.28</v>
      </c>
      <c r="T65" s="27">
        <f>[1]!YBHIST("FNMA 30YR Cur Coup (BE)",$A65,"OAS-Lib","bmk","")</f>
        <v>14</v>
      </c>
      <c r="U65" s="28">
        <f>[1]!YBHIST("FHLMC 30YR Cur Coup (BE)",$A65,"OAS-Lib","bmk","")</f>
        <v>9</v>
      </c>
      <c r="V65" s="28">
        <f>[1]!YBHIST("GNMA 30YR Cur Coup (BE)",$A65,"OAS-Lib","bmk","")</f>
        <v>19</v>
      </c>
      <c r="W65" s="29">
        <f t="shared" si="3"/>
        <v>116.3</v>
      </c>
      <c r="X65" s="29">
        <f t="shared" si="4"/>
        <v>116.3</v>
      </c>
      <c r="Y65" s="29">
        <f t="shared" si="5"/>
        <v>112.60000000000001</v>
      </c>
      <c r="Z65" s="3">
        <f>[1]!YBHIST("FNMA3.5-GEN",$A65,"Price","tba","")</f>
        <v>103.203125</v>
      </c>
      <c r="AA65" s="2">
        <f>[1]!YBHIST("FNMA4.0-GEN",$A65,"Price","tba","")</f>
        <v>105.171875</v>
      </c>
      <c r="AB65" s="2">
        <f>[1]!YBHIST("FNMA4.5-GEN",$A65,"Price","tba","")</f>
        <v>106.40625</v>
      </c>
      <c r="AC65" s="2">
        <f>[1]!YBHIST("FNMA5.0-GEN",$A65,"Price","tba","")</f>
        <v>107.8125</v>
      </c>
      <c r="AD65" s="2">
        <f>[1]!YBHIST("FNMA5.5-GEN",$A65,"Price","tba","")</f>
        <v>108.75</v>
      </c>
      <c r="AE65" s="10">
        <f>[1]!YBHIST("FNMA6.0-GEN",$A65,"Price","tba","")</f>
        <v>109.9375</v>
      </c>
      <c r="AF65" s="3">
        <f>[1]!YBHIST(AF$4,$A65,"Price","sec","")</f>
        <v>17.405999999999999</v>
      </c>
      <c r="AG65" s="2">
        <f>[1]!YBHIST(AG$4,$A65,"Price","sec","")</f>
        <v>15.875</v>
      </c>
      <c r="AH65" s="2">
        <f>[1]!YBHIST(AH$4,$A65,"Price","sec","")</f>
        <v>13.859</v>
      </c>
      <c r="AI65" s="2">
        <f>[1]!YBHIST(AI$4,$A65,"Price","sec","")</f>
        <v>14.218999999999999</v>
      </c>
      <c r="AJ65" s="2">
        <f>[1]!YBHIST(AJ$4,$A65,"Price","sec","")</f>
        <v>12.359</v>
      </c>
      <c r="AK65" s="2">
        <f>[1]!YBHIST(AK$4,$A65,"Price","sec","")</f>
        <v>15.718999999999999</v>
      </c>
      <c r="AL65" s="2">
        <f>[1]!YBHIST(AL$4,$A65,"Price","sec","")</f>
        <v>13.531000000000001</v>
      </c>
      <c r="AM65" s="2">
        <f>[1]!YBHIST(AM$4,$A65,"Price","sec","")</f>
        <v>11.25</v>
      </c>
      <c r="AN65" s="2">
        <f>[1]!YBHIST(AN$4,$A65,"Price","sec","")</f>
        <v>13.327999999999999</v>
      </c>
      <c r="AO65" s="2">
        <f>[1]!YBHIST(AO$4,$A65,"Price","sec","")</f>
        <v>13.452999999999999</v>
      </c>
      <c r="AP65" s="2">
        <f>[1]!YBHIST(AP$4,$A65,"Price","sec","")</f>
        <v>12.438000000000001</v>
      </c>
      <c r="AQ65" s="2">
        <f>[1]!YBHIST(AQ$4,$A65,"Price","sec","")</f>
        <v>14.797000000000001</v>
      </c>
      <c r="AR65" s="2">
        <f>[1]!YBHIST(AR$4,$A65,"Price","sec","")</f>
        <v>14.188000000000001</v>
      </c>
      <c r="AS65" s="2">
        <f>[1]!YBHIST(AS$4,$A65,"Price","sec","")</f>
        <v>14.141</v>
      </c>
      <c r="AT65" s="2">
        <f>[1]!YBHIST(AT$4,$A65,"Price","sec","")</f>
        <v>16.937999999999999</v>
      </c>
      <c r="AU65" s="2">
        <f>[1]!YBHIST(AU$4,$A65,"Price","sec","")</f>
        <v>20.702998999999998</v>
      </c>
      <c r="AV65" s="2">
        <f>[1]!YBHIST(AV$4,$A65,"Price","sec","")</f>
        <v>19.719000000000001</v>
      </c>
      <c r="AW65" s="10">
        <f>[1]!YBHIST(AW$4,$A65,"Price","sec","")</f>
        <v>18.547001000000002</v>
      </c>
      <c r="AX65" s="29">
        <f>[1]!YBHIST(AX$4,$A65,"OAS-Lib","sec","")</f>
        <v>-301.85998499999999</v>
      </c>
      <c r="AY65" s="29">
        <f>[1]!YBHIST(AY$4,$A65,"OAS-Lib","sec","")</f>
        <v>-259.19000199999999</v>
      </c>
      <c r="AZ65" s="2">
        <f>[1]!YBHIST(AZ$4,$A65,"OAS-Lib","sec","")</f>
        <v>-109.839996</v>
      </c>
      <c r="BA65" s="2">
        <f>[1]!YBHIST(BA$4,$A65,"OAS-Lib","sec","")</f>
        <v>-41.57</v>
      </c>
      <c r="BB65" s="29">
        <f>[1]!YBHIST(BB$4,$A65,"OAS-Lib","sec","")</f>
        <v>176.470001</v>
      </c>
      <c r="BC65" s="2">
        <f>[1]!YBHIST(BC$4,$A65,"OAS-Lib","sec","")</f>
        <v>179.66999799999999</v>
      </c>
      <c r="BD65" s="29">
        <f>[1]!YBHIST(BD$4,$A65,"OAS-Lib","sec","")</f>
        <v>397.82998700000002</v>
      </c>
      <c r="BE65" s="2">
        <f>[1]!YBHIST(BE$4,$A65,"OAS-Lib","sec","")</f>
        <v>1113.079956</v>
      </c>
      <c r="BF65" s="2">
        <f>[1]!YBHIST(BF$4,$A65,"OAS-Lib","sec","")</f>
        <v>945.34002699999996</v>
      </c>
      <c r="BG65" s="2">
        <f>[1]!YBHIST(BG$4,$A65,"OAS-Lib","sec","")</f>
        <v>536.39001499999995</v>
      </c>
      <c r="BH65" s="29">
        <f>[1]!YBHIST(BH$4,$A65,"OAS-Lib","sec","")</f>
        <v>1199.0699460000001</v>
      </c>
      <c r="BI65" s="2">
        <f>[1]!YBHIST(BI$4,$A65,"OAS-Lib","sec","")</f>
        <v>787.78002900000001</v>
      </c>
      <c r="BJ65" s="2">
        <f>[1]!YBHIST(BJ$4,$A65,"OAS-Lib","sec","")</f>
        <v>611.84002699999996</v>
      </c>
      <c r="BK65" s="29">
        <f>[1]!YBHIST(BK$4,$A65,"OAS-Lib","sec","")</f>
        <v>739.919983</v>
      </c>
      <c r="BL65" s="30">
        <f>[1]!YBHIST(BL$4,$A65,"OAS-Lib","sec","")</f>
        <v>625.59002699999996</v>
      </c>
      <c r="BM65" s="2">
        <f>[1]!YBHIST(BM$4,$A65,"OAS-Lib","sec","")</f>
        <v>-248.89999399999999</v>
      </c>
      <c r="BN65" s="2">
        <f>[1]!YBHIST(BN$4,$A65,"OAS-Lib","sec","")</f>
        <v>-221.03999300000001</v>
      </c>
      <c r="BO65" s="10">
        <f>[1]!YBHIST(BO$4,$A65,"OAS-Lib","sec","")</f>
        <v>81.269997000000004</v>
      </c>
      <c r="BP65" s="9"/>
      <c r="BQ65" s="1"/>
      <c r="BR65" s="1"/>
    </row>
    <row r="66" spans="1:70" x14ac:dyDescent="0.25">
      <c r="A66" s="22">
        <f>[1]!ybworkday(A$5,-1*(ROW()-ROW(A$5)),"USD","")</f>
        <v>40816</v>
      </c>
      <c r="B66" s="3">
        <f>[1]!YBHIST("2 Year Treasury",$A66,"Price","govt","")</f>
        <v>99.75</v>
      </c>
      <c r="C66" s="2">
        <f>[1]!YBHIST("5 Year Treasury",$A66,"Price","govt","")</f>
        <v>100.18</v>
      </c>
      <c r="D66" s="2">
        <f>[1]!YBHIST("10 Year Treasury",$A66,"Price","govt","")</f>
        <v>101.796997</v>
      </c>
      <c r="E66" s="10">
        <f>[1]!YBHIST("30 Year Treasury",$A66,"Price","govt","")</f>
        <v>116.469002</v>
      </c>
      <c r="F66" s="3">
        <f>[1]!YBHIST("2 Year Treasury",$A66,"YldtoMat","govt","")</f>
        <v>0.251</v>
      </c>
      <c r="G66" s="2">
        <f>[1]!YBHIST("5 Year Treasury",$A66,"YldtoMat","govt","")</f>
        <v>0.96299999999999997</v>
      </c>
      <c r="H66" s="2">
        <f>[1]!YBHIST("10 Year Treasury",$A66,"YldtoMat","govt","")</f>
        <v>1.9239999999999999</v>
      </c>
      <c r="I66" s="10">
        <f>[1]!YBHIST("30 Year Treasury",$A66,"YldtoMat","govt","")</f>
        <v>2.92</v>
      </c>
      <c r="J66" s="3">
        <f>[1]!YBHIST("2yr Swap Rate",$A66,"YldtoMat","swapvol","")</f>
        <v>0.57254099999999997</v>
      </c>
      <c r="K66" s="2">
        <f>[1]!YBHIST("5yr Swap Rate",$A66,"YldtoMat","swapvol","")</f>
        <v>1.2512179999999999</v>
      </c>
      <c r="L66" s="2">
        <f>[1]!YBHIST("10yr Swap Rate",$A66,"YldtoMat","swapvol","")</f>
        <v>2.104867</v>
      </c>
      <c r="M66" s="10">
        <f>[1]!YBHIST("30yr Swap Rate",$A66,"YldtoMat","swapvol","")</f>
        <v>2.690582</v>
      </c>
      <c r="N66" s="3">
        <f>[1]!YBHIST("FNMA 30YR Cur Coup (BE)",$A66,"Yield","bmk","")</f>
        <v>3.0379999999999998</v>
      </c>
      <c r="O66" s="2">
        <f>[1]!YBHIST("FHLMC 30YR Cur Coup (BE)",$A66,"Yield","bmk","")</f>
        <v>3.0009999999999999</v>
      </c>
      <c r="P66" s="2">
        <f>[1]!YBHIST("GNMA 30YR Cur Coup (BE)",$A66,"Yield","bmk","")</f>
        <v>2.8719999999999999</v>
      </c>
      <c r="Q66" s="2">
        <f>[1]!YBHIST("Primary 30-Yr Mtg Rate",$A66,"Yield","bmk","")</f>
        <v>4.0425000000000004</v>
      </c>
      <c r="R66" s="2">
        <f>[1]!YBHIST("FHLM 30-Yr Survey Rate",$A66,"Yield","bmk","")</f>
        <v>4.01</v>
      </c>
      <c r="S66" s="10">
        <f>[1]!YBHIST("Base Mortgage Rate",$A66,"Yield","bmk","")</f>
        <v>3.3650000000000002</v>
      </c>
      <c r="T66" s="27">
        <f>[1]!YBHIST("FNMA 30YR Cur Coup (BE)",$A66,"OAS-Lib","bmk","")</f>
        <v>18</v>
      </c>
      <c r="U66" s="28">
        <f>[1]!YBHIST("FHLMC 30YR Cur Coup (BE)",$A66,"OAS-Lib","bmk","")</f>
        <v>13</v>
      </c>
      <c r="V66" s="28">
        <f>[1]!YBHIST("GNMA 30YR Cur Coup (BE)",$A66,"OAS-Lib","bmk","")</f>
        <v>22</v>
      </c>
      <c r="W66" s="29">
        <f t="shared" si="3"/>
        <v>111.39999999999999</v>
      </c>
      <c r="X66" s="29">
        <f t="shared" si="4"/>
        <v>111.39999999999999</v>
      </c>
      <c r="Y66" s="29">
        <f t="shared" si="5"/>
        <v>107.69999999999999</v>
      </c>
      <c r="Z66" s="3">
        <f>[1]!YBHIST("FNMA3.5-GEN",$A66,"Price","tba","")</f>
        <v>102.765625</v>
      </c>
      <c r="AA66" s="2">
        <f>[1]!YBHIST("FNMA4.0-GEN",$A66,"Price","tba","")</f>
        <v>104.84375</v>
      </c>
      <c r="AB66" s="2">
        <f>[1]!YBHIST("FNMA4.5-GEN",$A66,"Price","tba","")</f>
        <v>106.09375</v>
      </c>
      <c r="AC66" s="2">
        <f>[1]!YBHIST("FNMA5.0-GEN",$A66,"Price","tba","")</f>
        <v>107.53125</v>
      </c>
      <c r="AD66" s="2">
        <f>[1]!YBHIST("FNMA5.5-GEN",$A66,"Price","tba","")</f>
        <v>108.53125</v>
      </c>
      <c r="AE66" s="10">
        <f>[1]!YBHIST("FNMA6.0-GEN",$A66,"Price","tba","")</f>
        <v>109.71875</v>
      </c>
      <c r="AF66" s="3">
        <f>[1]!YBHIST(AF$4,$A66,"Price","sec","")</f>
        <v>18.219000000000001</v>
      </c>
      <c r="AG66" s="2">
        <f>[1]!YBHIST(AG$4,$A66,"Price","sec","")</f>
        <v>16.687999999999999</v>
      </c>
      <c r="AH66" s="2">
        <f>[1]!YBHIST(AH$4,$A66,"Price","sec","")</f>
        <v>14.702999999999999</v>
      </c>
      <c r="AI66" s="2">
        <f>[1]!YBHIST(AI$4,$A66,"Price","sec","")</f>
        <v>14.906000000000001</v>
      </c>
      <c r="AJ66" s="2">
        <f>[1]!YBHIST(AJ$4,$A66,"Price","sec","")</f>
        <v>13.047000000000001</v>
      </c>
      <c r="AK66" s="2">
        <f>[1]!YBHIST(AK$4,$A66,"Price","sec","")</f>
        <v>16.391000999999999</v>
      </c>
      <c r="AL66" s="2">
        <f>[1]!YBHIST(AL$4,$A66,"Price","sec","")</f>
        <v>14.047000000000001</v>
      </c>
      <c r="AM66" s="2">
        <f>[1]!YBHIST(AM$4,$A66,"Price","sec","")</f>
        <v>11.688000000000001</v>
      </c>
      <c r="AN66" s="2">
        <f>[1]!YBHIST(AN$4,$A66,"Price","sec","")</f>
        <v>13.718999999999999</v>
      </c>
      <c r="AO66" s="2">
        <f>[1]!YBHIST(AO$4,$A66,"Price","sec","")</f>
        <v>13.875</v>
      </c>
      <c r="AP66" s="2">
        <f>[1]!YBHIST(AP$4,$A66,"Price","sec","")</f>
        <v>12.75</v>
      </c>
      <c r="AQ66" s="2">
        <f>[1]!YBHIST(AQ$4,$A66,"Price","sec","")</f>
        <v>15.047000000000001</v>
      </c>
      <c r="AR66" s="2">
        <f>[1]!YBHIST(AR$4,$A66,"Price","sec","")</f>
        <v>14.484</v>
      </c>
      <c r="AS66" s="2">
        <f>[1]!YBHIST(AS$4,$A66,"Price","sec","")</f>
        <v>14.343999999999999</v>
      </c>
      <c r="AT66" s="2">
        <f>[1]!YBHIST(AT$4,$A66,"Price","sec","")</f>
        <v>17.062000000000001</v>
      </c>
      <c r="AU66" s="2">
        <f>[1]!YBHIST(AU$4,$A66,"Price","sec","")</f>
        <v>21.25</v>
      </c>
      <c r="AV66" s="2">
        <f>[1]!YBHIST(AV$4,$A66,"Price","sec","")</f>
        <v>20.219000000000001</v>
      </c>
      <c r="AW66" s="10">
        <f>[1]!YBHIST(AW$4,$A66,"Price","sec","")</f>
        <v>19.030999999999999</v>
      </c>
      <c r="AX66" s="29">
        <f>[1]!YBHIST(AX$4,$A66,"OAS-Lib","sec","")</f>
        <v>-255.64999399999999</v>
      </c>
      <c r="AY66" s="29">
        <f>[1]!YBHIST(AY$4,$A66,"OAS-Lib","sec","")</f>
        <v>-213.36000100000001</v>
      </c>
      <c r="AZ66" s="2">
        <f>[1]!YBHIST(AZ$4,$A66,"OAS-Lib","sec","")</f>
        <v>-91.809997999999993</v>
      </c>
      <c r="BA66" s="2">
        <f>[1]!YBHIST(BA$4,$A66,"OAS-Lib","sec","")</f>
        <v>1.5</v>
      </c>
      <c r="BB66" s="29">
        <f>[1]!YBHIST(BB$4,$A66,"OAS-Lib","sec","")</f>
        <v>194.66999799999999</v>
      </c>
      <c r="BC66" s="2">
        <f>[1]!YBHIST(BC$4,$A66,"OAS-Lib","sec","")</f>
        <v>212.490005</v>
      </c>
      <c r="BD66" s="29">
        <f>[1]!YBHIST(BD$4,$A66,"OAS-Lib","sec","")</f>
        <v>428.709991</v>
      </c>
      <c r="BE66" s="2">
        <f>[1]!YBHIST(BE$4,$A66,"OAS-Lib","sec","")</f>
        <v>1119.1400149999999</v>
      </c>
      <c r="BF66" s="2">
        <f>[1]!YBHIST(BF$4,$A66,"OAS-Lib","sec","")</f>
        <v>938.42999299999997</v>
      </c>
      <c r="BG66" s="2">
        <f>[1]!YBHIST(BG$4,$A66,"OAS-Lib","sec","")</f>
        <v>540.98999000000003</v>
      </c>
      <c r="BH66" s="29">
        <f>[1]!YBHIST(BH$4,$A66,"OAS-Lib","sec","")</f>
        <v>1221.01001</v>
      </c>
      <c r="BI66" s="2">
        <f>[1]!YBHIST(BI$4,$A66,"OAS-Lib","sec","")</f>
        <v>804.46002199999998</v>
      </c>
      <c r="BJ66" s="2">
        <f>[1]!YBHIST(BJ$4,$A66,"OAS-Lib","sec","")</f>
        <v>641.080017</v>
      </c>
      <c r="BK66" s="29">
        <f>[1]!YBHIST(BK$4,$A66,"OAS-Lib","sec","")</f>
        <v>763.63000499999998</v>
      </c>
      <c r="BL66" s="30">
        <f>[1]!YBHIST(BL$4,$A66,"OAS-Lib","sec","")</f>
        <v>657.03997800000002</v>
      </c>
      <c r="BM66" s="2">
        <f>[1]!YBHIST(BM$4,$A66,"OAS-Lib","sec","")</f>
        <v>-201.55999800000001</v>
      </c>
      <c r="BN66" s="2">
        <f>[1]!YBHIST(BN$4,$A66,"OAS-Lib","sec","")</f>
        <v>-174.490005</v>
      </c>
      <c r="BO66" s="10">
        <f>[1]!YBHIST(BO$4,$A66,"OAS-Lib","sec","")</f>
        <v>105.860001</v>
      </c>
      <c r="BP66" s="9"/>
      <c r="BQ66" s="1"/>
      <c r="BR66" s="1"/>
    </row>
    <row r="67" spans="1:70" x14ac:dyDescent="0.25">
      <c r="A67" s="22">
        <f>[1]!ybworkday(A$5,-1*(ROW()-ROW(A$5)),"USD","")</f>
        <v>40815</v>
      </c>
      <c r="B67" s="3">
        <f>[1]!YBHIST("2 Year Treasury",$A67,"Price","govt","")</f>
        <v>99.734001000000006</v>
      </c>
      <c r="C67" s="2">
        <f>[1]!YBHIST("5 Year Treasury",$A67,"Price","govt","")</f>
        <v>100.148003</v>
      </c>
      <c r="D67" s="2">
        <f>[1]!YBHIST("10 Year Treasury",$A67,"Price","govt","")</f>
        <v>101.5</v>
      </c>
      <c r="E67" s="10">
        <f>[1]!YBHIST("30 Year Treasury",$A67,"Price","govt","")</f>
        <v>114.76599899999999</v>
      </c>
      <c r="F67" s="3">
        <f>[1]!YBHIST("2 Year Treasury",$A67,"YldtoMat","govt","")</f>
        <v>0.25800000000000001</v>
      </c>
      <c r="G67" s="2">
        <f>[1]!YBHIST("5 Year Treasury",$A67,"YldtoMat","govt","")</f>
        <v>0.97</v>
      </c>
      <c r="H67" s="2">
        <f>[1]!YBHIST("10 Year Treasury",$A67,"YldtoMat","govt","")</f>
        <v>1.9570000000000001</v>
      </c>
      <c r="I67" s="10">
        <f>[1]!YBHIST("30 Year Treasury",$A67,"YldtoMat","govt","")</f>
        <v>2.9980000000000002</v>
      </c>
      <c r="J67" s="3">
        <f>[1]!YBHIST("2yr Swap Rate",$A67,"YldtoMat","swapvol","")</f>
        <v>0.55664800000000003</v>
      </c>
      <c r="K67" s="2">
        <f>[1]!YBHIST("5yr Swap Rate",$A67,"YldtoMat","swapvol","")</f>
        <v>1.243023</v>
      </c>
      <c r="L67" s="2">
        <f>[1]!YBHIST("10yr Swap Rate",$A67,"YldtoMat","swapvol","")</f>
        <v>2.1301809999999999</v>
      </c>
      <c r="M67" s="10">
        <f>[1]!YBHIST("30yr Swap Rate",$A67,"YldtoMat","swapvol","")</f>
        <v>2.7615590000000001</v>
      </c>
      <c r="N67" s="3">
        <f>[1]!YBHIST("FNMA 30YR Cur Coup (BE)",$A67,"Yield","bmk","")</f>
        <v>3.0819999999999999</v>
      </c>
      <c r="O67" s="2">
        <f>[1]!YBHIST("FHLMC 30YR Cur Coup (BE)",$A67,"Yield","bmk","")</f>
        <v>3.0449999999999999</v>
      </c>
      <c r="P67" s="2">
        <f>[1]!YBHIST("GNMA 30YR Cur Coup (BE)",$A67,"Yield","bmk","")</f>
        <v>2.9159999999999999</v>
      </c>
      <c r="Q67" s="2">
        <f>[1]!YBHIST("Primary 30-Yr Mtg Rate",$A67,"Yield","bmk","")</f>
        <v>4.0842000000000001</v>
      </c>
      <c r="R67" s="2">
        <f>[1]!YBHIST("FHLM 30-Yr Survey Rate",$A67,"Yield","bmk","")</f>
        <v>4.01</v>
      </c>
      <c r="S67" s="10">
        <f>[1]!YBHIST("Base Mortgage Rate",$A67,"Yield","bmk","")</f>
        <v>3.407</v>
      </c>
      <c r="T67" s="31">
        <f>[1]!YBHIST("FNMA 30YR Cur Coup (BE)",$A67,"OAS-Lib","bmk","")</f>
        <v>20</v>
      </c>
      <c r="U67" s="32">
        <f>[1]!YBHIST("FHLMC 30YR Cur Coup (BE)",$A67,"OAS-Lib","bmk","")</f>
        <v>15</v>
      </c>
      <c r="V67" s="32">
        <f>[1]!YBHIST("GNMA 30YR Cur Coup (BE)",$A67,"OAS-Lib","bmk","")</f>
        <v>24</v>
      </c>
      <c r="W67" s="33">
        <f t="shared" si="3"/>
        <v>112.49999999999997</v>
      </c>
      <c r="X67" s="33">
        <f t="shared" si="4"/>
        <v>112.49999999999997</v>
      </c>
      <c r="Y67" s="33">
        <f t="shared" si="5"/>
        <v>108.79999999999998</v>
      </c>
      <c r="Z67" s="35">
        <f>[1]!YBHIST("FNMA3.5-GEN",$A67,"Price","tba","")</f>
        <v>102.5625</v>
      </c>
      <c r="AA67" s="36">
        <f>[1]!YBHIST("FNMA4.0-GEN",$A67,"Price","tba","")</f>
        <v>104.703125</v>
      </c>
      <c r="AB67" s="36">
        <f>[1]!YBHIST("FNMA4.5-GEN",$A67,"Price","tba","")</f>
        <v>105.953125</v>
      </c>
      <c r="AC67" s="36">
        <f>[1]!YBHIST("FNMA5.0-GEN",$A67,"Price","tba","")</f>
        <v>107.40625</v>
      </c>
      <c r="AD67" s="36">
        <f>[1]!YBHIST("FNMA5.5-GEN",$A67,"Price","tba","")</f>
        <v>108.4375</v>
      </c>
      <c r="AE67" s="37">
        <f>[1]!YBHIST("FNMA6.0-GEN",$A67,"Price","tba","")</f>
        <v>109.609375</v>
      </c>
      <c r="AF67" s="35">
        <f>[1]!YBHIST(AF$4,$A67,"Price","sec","")</f>
        <v>18.530999999999999</v>
      </c>
      <c r="AG67" s="36">
        <f>[1]!YBHIST(AG$4,$A67,"Price","sec","")</f>
        <v>17.030999999999999</v>
      </c>
      <c r="AH67" s="36">
        <f>[1]!YBHIST(AH$4,$A67,"Price","sec","")</f>
        <v>15.016</v>
      </c>
      <c r="AI67" s="36">
        <f>[1]!YBHIST(AI$4,$A67,"Price","sec","")</f>
        <v>15.125</v>
      </c>
      <c r="AJ67" s="36">
        <f>[1]!YBHIST(AJ$4,$A67,"Price","sec","")</f>
        <v>13.202999999999999</v>
      </c>
      <c r="AK67" s="36">
        <f>[1]!YBHIST(AK$4,$A67,"Price","sec","")</f>
        <v>16.516000999999999</v>
      </c>
      <c r="AL67" s="36">
        <f>[1]!YBHIST(AL$4,$A67,"Price","sec","")</f>
        <v>14.172000000000001</v>
      </c>
      <c r="AM67" s="36">
        <f>[1]!YBHIST(AM$4,$A67,"Price","sec","")</f>
        <v>11.797000000000001</v>
      </c>
      <c r="AN67" s="36">
        <f>[1]!YBHIST(AN$4,$A67,"Price","sec","")</f>
        <v>13.811999999999999</v>
      </c>
      <c r="AO67" s="36">
        <f>[1]!YBHIST(AO$4,$A67,"Price","sec","")</f>
        <v>13.984</v>
      </c>
      <c r="AP67" s="36">
        <f>[1]!YBHIST(AP$4,$A67,"Price","sec","")</f>
        <v>12.811999999999999</v>
      </c>
      <c r="AQ67" s="36">
        <f>[1]!YBHIST(AQ$4,$A67,"Price","sec","")</f>
        <v>15.077999999999999</v>
      </c>
      <c r="AR67" s="36">
        <f>[1]!YBHIST(AR$4,$A67,"Price","sec","")</f>
        <v>14.593999999999999</v>
      </c>
      <c r="AS67" s="36">
        <f>[1]!YBHIST(AS$4,$A67,"Price","sec","")</f>
        <v>14.391</v>
      </c>
      <c r="AT67" s="2">
        <f>[1]!YBHIST(AT$4,$A67,"Price","sec","")</f>
        <v>17.062000000000001</v>
      </c>
      <c r="AU67" s="2">
        <f>[1]!YBHIST(AU$4,$A67,"Price","sec","")</f>
        <v>21.405999999999999</v>
      </c>
      <c r="AV67" s="2">
        <f>[1]!YBHIST(AV$4,$A67,"Price","sec","")</f>
        <v>20.391000999999999</v>
      </c>
      <c r="AW67" s="37">
        <f>[1]!YBHIST(AW$4,$A67,"Price","sec","")</f>
        <v>19.172001000000002</v>
      </c>
      <c r="AX67" s="33">
        <f>[1]!YBHIST(AX$4,$A67,"OAS-Lib","sec","")</f>
        <v>-237.91999799999999</v>
      </c>
      <c r="AY67" s="29">
        <f>[1]!YBHIST(AY$4,$A67,"OAS-Lib","sec","")</f>
        <v>-195.60000600000001</v>
      </c>
      <c r="AZ67" s="36">
        <f>[1]!YBHIST(AZ$4,$A67,"OAS-Lib","sec","")</f>
        <v>-77</v>
      </c>
      <c r="BA67" s="36">
        <f>[1]!YBHIST(BA$4,$A67,"OAS-Lib","sec","")</f>
        <v>30.129999000000002</v>
      </c>
      <c r="BB67" s="33">
        <f>[1]!YBHIST(BB$4,$A67,"OAS-Lib","sec","")</f>
        <v>231.19000199999999</v>
      </c>
      <c r="BC67" s="36">
        <f>[1]!YBHIST(BC$4,$A67,"OAS-Lib","sec","")</f>
        <v>247.61999499999999</v>
      </c>
      <c r="BD67" s="33">
        <f>[1]!YBHIST(BD$4,$A67,"OAS-Lib","sec","")</f>
        <v>463</v>
      </c>
      <c r="BE67" s="36">
        <f>[1]!YBHIST(BE$4,$A67,"OAS-Lib","sec","")</f>
        <v>1148.0600589999999</v>
      </c>
      <c r="BF67" s="36">
        <f>[1]!YBHIST(BF$4,$A67,"OAS-Lib","sec","")</f>
        <v>955.61999500000002</v>
      </c>
      <c r="BG67" s="36">
        <f>[1]!YBHIST(BG$4,$A67,"OAS-Lib","sec","")</f>
        <v>560.13000499999998</v>
      </c>
      <c r="BH67" s="33">
        <f>[1]!YBHIST(BH$4,$A67,"OAS-Lib","sec","")</f>
        <v>1255.5699460000001</v>
      </c>
      <c r="BI67" s="36">
        <f>[1]!YBHIST(BI$4,$A67,"OAS-Lib","sec","")</f>
        <v>829.39001499999995</v>
      </c>
      <c r="BJ67" s="36">
        <f>[1]!YBHIST(BJ$4,$A67,"OAS-Lib","sec","")</f>
        <v>657.47997999999995</v>
      </c>
      <c r="BK67" s="33">
        <f>[1]!YBHIST(BK$4,$A67,"OAS-Lib","sec","")</f>
        <v>785.72997999999995</v>
      </c>
      <c r="BL67" s="34">
        <f>[1]!YBHIST(BL$4,$A67,"OAS-Lib","sec","")</f>
        <v>681.25</v>
      </c>
      <c r="BM67" s="2">
        <f>[1]!YBHIST(BM$4,$A67,"OAS-Lib","sec","")</f>
        <v>-177.19000199999999</v>
      </c>
      <c r="BN67" s="2">
        <f>[1]!YBHIST(BN$4,$A67,"OAS-Lib","sec","")</f>
        <v>-150.529999</v>
      </c>
      <c r="BO67" s="37">
        <f>[1]!YBHIST(BO$4,$A67,"OAS-Lib","sec","")</f>
        <v>126.82</v>
      </c>
      <c r="BP67" s="9"/>
      <c r="BQ67" s="1"/>
      <c r="BR67" s="1"/>
    </row>
  </sheetData>
  <mergeCells count="7">
    <mergeCell ref="BB3:BL3"/>
    <mergeCell ref="Z3:AE3"/>
    <mergeCell ref="T3:Y3"/>
    <mergeCell ref="B3:E3"/>
    <mergeCell ref="F3:I3"/>
    <mergeCell ref="J3:M3"/>
    <mergeCell ref="N3:S3"/>
  </mergeCells>
  <pageMargins left="0.7" right="0.7" top="0.75" bottom="0.75" header="0.3" footer="0.3"/>
  <pageSetup scale="35" fitToHeight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 Data</vt:lpstr>
      <vt:lpstr>MBA Inde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antoineps-hp1</dc:creator>
  <cp:lastModifiedBy>Janaki</cp:lastModifiedBy>
  <cp:lastPrinted>2011-03-05T15:43:30Z</cp:lastPrinted>
  <dcterms:created xsi:type="dcterms:W3CDTF">2011-01-27T23:25:08Z</dcterms:created>
  <dcterms:modified xsi:type="dcterms:W3CDTF">2012-01-06T13:26:22Z</dcterms:modified>
</cp:coreProperties>
</file>