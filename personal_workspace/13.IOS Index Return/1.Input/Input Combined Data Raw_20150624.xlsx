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alized Vol" sheetId="2" r:id="rId2"/>
    <sheet name="Yield Curve" sheetId="3" r:id="rId3"/>
    <sheet name="ppm risk premium" sheetId="4" r:id="rId4"/>
    <sheet name="Return&amp;Carry" sheetId="6" r:id="rId5"/>
    <sheet name="LIBOR 1m" sheetId="7" r:id="rId6"/>
    <sheet name="Refi%" sheetId="8" r:id="rId7"/>
  </sheets>
  <definedNames>
    <definedName name="Query_from_Agency_5" localSheetId="1" hidden="1">'Realized Vol'!$A$1:$B$1519</definedName>
    <definedName name="temp" localSheetId="3">'ppm risk premium'!$C$3:$D$261</definedName>
    <definedName name="temp" localSheetId="6">'Refi%'!$AA$3:$AB$236</definedName>
    <definedName name="temp_1" localSheetId="3">'ppm risk premium'!$G$4:$J$1065</definedName>
    <definedName name="temp1" localSheetId="5">'LIBOR 1m'!$B$2:$E$1598</definedName>
  </definedNames>
  <calcPr calcId="145621"/>
</workbook>
</file>

<file path=xl/calcChain.xml><?xml version="1.0" encoding="utf-8"?>
<calcChain xmlns="http://schemas.openxmlformats.org/spreadsheetml/2006/main">
  <c r="P8" i="8" l="1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P236" i="8"/>
  <c r="G8" i="8"/>
  <c r="G11" i="8"/>
  <c r="P11" i="8" s="1"/>
  <c r="G16" i="8"/>
  <c r="P16" i="8" s="1"/>
  <c r="M5" i="1" s="1"/>
  <c r="G19" i="8"/>
  <c r="G24" i="8"/>
  <c r="P24" i="8" s="1"/>
  <c r="M7" i="1" s="1"/>
  <c r="G27" i="8"/>
  <c r="G32" i="8"/>
  <c r="G35" i="8"/>
  <c r="G40" i="8"/>
  <c r="G43" i="8"/>
  <c r="G48" i="8"/>
  <c r="G51" i="8"/>
  <c r="G56" i="8"/>
  <c r="G59" i="8"/>
  <c r="P59" i="8" s="1"/>
  <c r="M15" i="1" s="1"/>
  <c r="G64" i="8"/>
  <c r="G67" i="8"/>
  <c r="G72" i="8"/>
  <c r="P72" i="8" s="1"/>
  <c r="M18" i="1" s="1"/>
  <c r="G75" i="8"/>
  <c r="G80" i="8"/>
  <c r="G83" i="8"/>
  <c r="G88" i="8"/>
  <c r="G91" i="8"/>
  <c r="G96" i="8"/>
  <c r="G99" i="8"/>
  <c r="G104" i="8"/>
  <c r="G107" i="8"/>
  <c r="P107" i="8" s="1"/>
  <c r="M26" i="1" s="1"/>
  <c r="G112" i="8"/>
  <c r="P112" i="8" s="1"/>
  <c r="M27" i="1" s="1"/>
  <c r="G115" i="8"/>
  <c r="G120" i="8"/>
  <c r="P120" i="8" s="1"/>
  <c r="M29" i="1" s="1"/>
  <c r="G123" i="8"/>
  <c r="G128" i="8"/>
  <c r="G131" i="8"/>
  <c r="G136" i="8"/>
  <c r="G139" i="8"/>
  <c r="G144" i="8"/>
  <c r="G147" i="8"/>
  <c r="G152" i="8"/>
  <c r="G155" i="8"/>
  <c r="P155" i="8" s="1"/>
  <c r="M37" i="1" s="1"/>
  <c r="G160" i="8"/>
  <c r="G163" i="8"/>
  <c r="G168" i="8"/>
  <c r="P168" i="8" s="1"/>
  <c r="M40" i="1" s="1"/>
  <c r="G171" i="8"/>
  <c r="G176" i="8"/>
  <c r="P176" i="8" s="1"/>
  <c r="M42" i="1" s="1"/>
  <c r="G179" i="8"/>
  <c r="G184" i="8"/>
  <c r="G187" i="8"/>
  <c r="G192" i="8"/>
  <c r="G195" i="8"/>
  <c r="G200" i="8"/>
  <c r="G203" i="8"/>
  <c r="P203" i="8" s="1"/>
  <c r="M48" i="1" s="1"/>
  <c r="G208" i="8"/>
  <c r="G211" i="8"/>
  <c r="G216" i="8"/>
  <c r="P216" i="8" s="1"/>
  <c r="M51" i="1" s="1"/>
  <c r="G219" i="8"/>
  <c r="G224" i="8"/>
  <c r="P224" i="8" s="1"/>
  <c r="M53" i="1" s="1"/>
  <c r="G227" i="8"/>
  <c r="G232" i="8"/>
  <c r="G235" i="8"/>
  <c r="AC5" i="8"/>
  <c r="G5" i="8" s="1"/>
  <c r="AC6" i="8"/>
  <c r="G6" i="8" s="1"/>
  <c r="AC7" i="8"/>
  <c r="G7" i="8" s="1"/>
  <c r="P7" i="8" s="1"/>
  <c r="AC8" i="8"/>
  <c r="AC9" i="8"/>
  <c r="G9" i="8" s="1"/>
  <c r="AC10" i="8"/>
  <c r="G10" i="8" s="1"/>
  <c r="AC11" i="8"/>
  <c r="AC12" i="8"/>
  <c r="G12" i="8" s="1"/>
  <c r="AC13" i="8"/>
  <c r="G13" i="8" s="1"/>
  <c r="AC14" i="8"/>
  <c r="G14" i="8" s="1"/>
  <c r="AC15" i="8"/>
  <c r="G15" i="8" s="1"/>
  <c r="AC16" i="8"/>
  <c r="AC17" i="8"/>
  <c r="G17" i="8" s="1"/>
  <c r="AC18" i="8"/>
  <c r="G18" i="8" s="1"/>
  <c r="AC19" i="8"/>
  <c r="AC20" i="8"/>
  <c r="G20" i="8" s="1"/>
  <c r="P20" i="8" s="1"/>
  <c r="M6" i="1" s="1"/>
  <c r="AC21" i="8"/>
  <c r="G21" i="8" s="1"/>
  <c r="AC22" i="8"/>
  <c r="G22" i="8" s="1"/>
  <c r="AC23" i="8"/>
  <c r="G23" i="8" s="1"/>
  <c r="AC24" i="8"/>
  <c r="AC25" i="8"/>
  <c r="G25" i="8" s="1"/>
  <c r="AC26" i="8"/>
  <c r="G26" i="8" s="1"/>
  <c r="AC27" i="8"/>
  <c r="AC28" i="8"/>
  <c r="G28" i="8" s="1"/>
  <c r="AC29" i="8"/>
  <c r="G29" i="8" s="1"/>
  <c r="P29" i="8" s="1"/>
  <c r="M8" i="1" s="1"/>
  <c r="AC30" i="8"/>
  <c r="G30" i="8" s="1"/>
  <c r="AC31" i="8"/>
  <c r="G31" i="8" s="1"/>
  <c r="AC32" i="8"/>
  <c r="AC33" i="8"/>
  <c r="G33" i="8" s="1"/>
  <c r="P33" i="8" s="1"/>
  <c r="M9" i="1" s="1"/>
  <c r="AC34" i="8"/>
  <c r="G34" i="8" s="1"/>
  <c r="AC35" i="8"/>
  <c r="AC36" i="8"/>
  <c r="G36" i="8" s="1"/>
  <c r="AC37" i="8"/>
  <c r="G37" i="8" s="1"/>
  <c r="P37" i="8" s="1"/>
  <c r="M10" i="1" s="1"/>
  <c r="AC38" i="8"/>
  <c r="G38" i="8" s="1"/>
  <c r="AC39" i="8"/>
  <c r="G39" i="8" s="1"/>
  <c r="AC40" i="8"/>
  <c r="AC41" i="8"/>
  <c r="G41" i="8" s="1"/>
  <c r="AC42" i="8"/>
  <c r="G42" i="8" s="1"/>
  <c r="P42" i="8" s="1"/>
  <c r="M11" i="1" s="1"/>
  <c r="AC43" i="8"/>
  <c r="AC44" i="8"/>
  <c r="G44" i="8" s="1"/>
  <c r="AC45" i="8"/>
  <c r="G45" i="8" s="1"/>
  <c r="AC46" i="8"/>
  <c r="G46" i="8" s="1"/>
  <c r="P46" i="8" s="1"/>
  <c r="M12" i="1" s="1"/>
  <c r="AC47" i="8"/>
  <c r="G47" i="8" s="1"/>
  <c r="AC48" i="8"/>
  <c r="AC49" i="8"/>
  <c r="G49" i="8" s="1"/>
  <c r="AC50" i="8"/>
  <c r="G50" i="8" s="1"/>
  <c r="P50" i="8" s="1"/>
  <c r="M13" i="1" s="1"/>
  <c r="AC51" i="8"/>
  <c r="AC52" i="8"/>
  <c r="G52" i="8" s="1"/>
  <c r="AC53" i="8"/>
  <c r="G53" i="8" s="1"/>
  <c r="AC54" i="8"/>
  <c r="G54" i="8" s="1"/>
  <c r="AC55" i="8"/>
  <c r="G55" i="8" s="1"/>
  <c r="P55" i="8" s="1"/>
  <c r="M14" i="1" s="1"/>
  <c r="AC56" i="8"/>
  <c r="AC57" i="8"/>
  <c r="G57" i="8" s="1"/>
  <c r="AC58" i="8"/>
  <c r="G58" i="8" s="1"/>
  <c r="AC59" i="8"/>
  <c r="AC60" i="8"/>
  <c r="G60" i="8" s="1"/>
  <c r="AC61" i="8"/>
  <c r="G61" i="8" s="1"/>
  <c r="AC62" i="8"/>
  <c r="G62" i="8" s="1"/>
  <c r="AC63" i="8"/>
  <c r="G63" i="8" s="1"/>
  <c r="P63" i="8" s="1"/>
  <c r="M16" i="1" s="1"/>
  <c r="AC64" i="8"/>
  <c r="AC65" i="8"/>
  <c r="G65" i="8" s="1"/>
  <c r="AC66" i="8"/>
  <c r="G66" i="8" s="1"/>
  <c r="AC67" i="8"/>
  <c r="AC68" i="8"/>
  <c r="G68" i="8" s="1"/>
  <c r="P68" i="8" s="1"/>
  <c r="M17" i="1" s="1"/>
  <c r="AC69" i="8"/>
  <c r="G69" i="8" s="1"/>
  <c r="AC70" i="8"/>
  <c r="G70" i="8" s="1"/>
  <c r="AC71" i="8"/>
  <c r="G71" i="8" s="1"/>
  <c r="AC72" i="8"/>
  <c r="AC73" i="8"/>
  <c r="G73" i="8" s="1"/>
  <c r="AC74" i="8"/>
  <c r="G74" i="8" s="1"/>
  <c r="AC75" i="8"/>
  <c r="AC76" i="8"/>
  <c r="G76" i="8" s="1"/>
  <c r="AC77" i="8"/>
  <c r="G77" i="8" s="1"/>
  <c r="P77" i="8" s="1"/>
  <c r="M19" i="1" s="1"/>
  <c r="AC78" i="8"/>
  <c r="G78" i="8" s="1"/>
  <c r="AC79" i="8"/>
  <c r="G79" i="8" s="1"/>
  <c r="AC80" i="8"/>
  <c r="AC81" i="8"/>
  <c r="G81" i="8" s="1"/>
  <c r="P81" i="8" s="1"/>
  <c r="M20" i="1" s="1"/>
  <c r="AC82" i="8"/>
  <c r="G82" i="8" s="1"/>
  <c r="AC83" i="8"/>
  <c r="AC84" i="8"/>
  <c r="G84" i="8" s="1"/>
  <c r="AC85" i="8"/>
  <c r="G85" i="8" s="1"/>
  <c r="P85" i="8" s="1"/>
  <c r="M21" i="1" s="1"/>
  <c r="AC86" i="8"/>
  <c r="G86" i="8" s="1"/>
  <c r="AC87" i="8"/>
  <c r="G87" i="8" s="1"/>
  <c r="AC88" i="8"/>
  <c r="AC89" i="8"/>
  <c r="G89" i="8" s="1"/>
  <c r="AC90" i="8"/>
  <c r="G90" i="8" s="1"/>
  <c r="P90" i="8" s="1"/>
  <c r="M22" i="1" s="1"/>
  <c r="AC91" i="8"/>
  <c r="AC92" i="8"/>
  <c r="G92" i="8" s="1"/>
  <c r="AC93" i="8"/>
  <c r="G93" i="8" s="1"/>
  <c r="AC94" i="8"/>
  <c r="G94" i="8" s="1"/>
  <c r="P94" i="8" s="1"/>
  <c r="M23" i="1" s="1"/>
  <c r="AC95" i="8"/>
  <c r="G95" i="8" s="1"/>
  <c r="AC96" i="8"/>
  <c r="AC97" i="8"/>
  <c r="G97" i="8" s="1"/>
  <c r="AC98" i="8"/>
  <c r="G98" i="8" s="1"/>
  <c r="P98" i="8" s="1"/>
  <c r="M24" i="1" s="1"/>
  <c r="AC99" i="8"/>
  <c r="AC100" i="8"/>
  <c r="G100" i="8" s="1"/>
  <c r="AC101" i="8"/>
  <c r="G101" i="8" s="1"/>
  <c r="AC102" i="8"/>
  <c r="G102" i="8" s="1"/>
  <c r="AC103" i="8"/>
  <c r="G103" i="8" s="1"/>
  <c r="P103" i="8" s="1"/>
  <c r="M25" i="1" s="1"/>
  <c r="AC104" i="8"/>
  <c r="AC105" i="8"/>
  <c r="G105" i="8" s="1"/>
  <c r="AC106" i="8"/>
  <c r="G106" i="8" s="1"/>
  <c r="AC107" i="8"/>
  <c r="AC108" i="8"/>
  <c r="G108" i="8" s="1"/>
  <c r="AC109" i="8"/>
  <c r="G109" i="8" s="1"/>
  <c r="AC110" i="8"/>
  <c r="G110" i="8" s="1"/>
  <c r="AC111" i="8"/>
  <c r="G111" i="8" s="1"/>
  <c r="AC112" i="8"/>
  <c r="AC113" i="8"/>
  <c r="G113" i="8" s="1"/>
  <c r="AC114" i="8"/>
  <c r="G114" i="8" s="1"/>
  <c r="AC115" i="8"/>
  <c r="AC116" i="8"/>
  <c r="G116" i="8" s="1"/>
  <c r="P116" i="8" s="1"/>
  <c r="M28" i="1" s="1"/>
  <c r="AC117" i="8"/>
  <c r="G117" i="8" s="1"/>
  <c r="AC118" i="8"/>
  <c r="G118" i="8" s="1"/>
  <c r="AC119" i="8"/>
  <c r="G119" i="8" s="1"/>
  <c r="AC120" i="8"/>
  <c r="AC121" i="8"/>
  <c r="G121" i="8" s="1"/>
  <c r="AC122" i="8"/>
  <c r="G122" i="8" s="1"/>
  <c r="AC123" i="8"/>
  <c r="AC124" i="8"/>
  <c r="G124" i="8" s="1"/>
  <c r="P124" i="8" s="1"/>
  <c r="M30" i="1" s="1"/>
  <c r="AC125" i="8"/>
  <c r="G125" i="8" s="1"/>
  <c r="AC126" i="8"/>
  <c r="G126" i="8" s="1"/>
  <c r="AC127" i="8"/>
  <c r="G127" i="8" s="1"/>
  <c r="AC128" i="8"/>
  <c r="AC129" i="8"/>
  <c r="G129" i="8" s="1"/>
  <c r="P129" i="8" s="1"/>
  <c r="M31" i="1" s="1"/>
  <c r="AC130" i="8"/>
  <c r="G130" i="8" s="1"/>
  <c r="AC131" i="8"/>
  <c r="AC132" i="8"/>
  <c r="G132" i="8" s="1"/>
  <c r="AC133" i="8"/>
  <c r="G133" i="8" s="1"/>
  <c r="P133" i="8" s="1"/>
  <c r="M32" i="1" s="1"/>
  <c r="AC134" i="8"/>
  <c r="G134" i="8" s="1"/>
  <c r="AC135" i="8"/>
  <c r="G135" i="8" s="1"/>
  <c r="AC136" i="8"/>
  <c r="AC137" i="8"/>
  <c r="G137" i="8" s="1"/>
  <c r="P137" i="8" s="1"/>
  <c r="M33" i="1" s="1"/>
  <c r="AC138" i="8"/>
  <c r="G138" i="8" s="1"/>
  <c r="AC139" i="8"/>
  <c r="AC140" i="8"/>
  <c r="G140" i="8" s="1"/>
  <c r="AC141" i="8"/>
  <c r="G141" i="8" s="1"/>
  <c r="AC142" i="8"/>
  <c r="G142" i="8" s="1"/>
  <c r="P142" i="8" s="1"/>
  <c r="M34" i="1" s="1"/>
  <c r="AC143" i="8"/>
  <c r="G143" i="8" s="1"/>
  <c r="AC144" i="8"/>
  <c r="AC145" i="8"/>
  <c r="G145" i="8" s="1"/>
  <c r="AC146" i="8"/>
  <c r="G146" i="8" s="1"/>
  <c r="P146" i="8" s="1"/>
  <c r="M35" i="1" s="1"/>
  <c r="AC147" i="8"/>
  <c r="AC148" i="8"/>
  <c r="G148" i="8" s="1"/>
  <c r="AC149" i="8"/>
  <c r="G149" i="8" s="1"/>
  <c r="AC150" i="8"/>
  <c r="G150" i="8" s="1"/>
  <c r="AC151" i="8"/>
  <c r="G151" i="8" s="1"/>
  <c r="P151" i="8" s="1"/>
  <c r="M36" i="1" s="1"/>
  <c r="AC152" i="8"/>
  <c r="AC153" i="8"/>
  <c r="G153" i="8" s="1"/>
  <c r="AC154" i="8"/>
  <c r="G154" i="8" s="1"/>
  <c r="AC155" i="8"/>
  <c r="AC156" i="8"/>
  <c r="G156" i="8" s="1"/>
  <c r="AC157" i="8"/>
  <c r="G157" i="8" s="1"/>
  <c r="AC158" i="8"/>
  <c r="G158" i="8" s="1"/>
  <c r="AC159" i="8"/>
  <c r="G159" i="8" s="1"/>
  <c r="P159" i="8" s="1"/>
  <c r="M38" i="1" s="1"/>
  <c r="AC160" i="8"/>
  <c r="AC161" i="8"/>
  <c r="G161" i="8" s="1"/>
  <c r="AC162" i="8"/>
  <c r="G162" i="8" s="1"/>
  <c r="AC163" i="8"/>
  <c r="AC164" i="8"/>
  <c r="G164" i="8" s="1"/>
  <c r="P164" i="8" s="1"/>
  <c r="M39" i="1" s="1"/>
  <c r="AC165" i="8"/>
  <c r="G165" i="8" s="1"/>
  <c r="AC166" i="8"/>
  <c r="G166" i="8" s="1"/>
  <c r="AC167" i="8"/>
  <c r="G167" i="8" s="1"/>
  <c r="AC168" i="8"/>
  <c r="AC169" i="8"/>
  <c r="G169" i="8" s="1"/>
  <c r="AC170" i="8"/>
  <c r="G170" i="8" s="1"/>
  <c r="AC171" i="8"/>
  <c r="AC172" i="8"/>
  <c r="G172" i="8" s="1"/>
  <c r="P172" i="8" s="1"/>
  <c r="M41" i="1" s="1"/>
  <c r="AC173" i="8"/>
  <c r="G173" i="8" s="1"/>
  <c r="AC174" i="8"/>
  <c r="G174" i="8" s="1"/>
  <c r="AC175" i="8"/>
  <c r="G175" i="8" s="1"/>
  <c r="AC176" i="8"/>
  <c r="AC177" i="8"/>
  <c r="G177" i="8" s="1"/>
  <c r="AC178" i="8"/>
  <c r="G178" i="8" s="1"/>
  <c r="AC179" i="8"/>
  <c r="AC180" i="8"/>
  <c r="G180" i="8" s="1"/>
  <c r="AC181" i="8"/>
  <c r="G181" i="8" s="1"/>
  <c r="P181" i="8" s="1"/>
  <c r="M43" i="1" s="1"/>
  <c r="AC182" i="8"/>
  <c r="G182" i="8" s="1"/>
  <c r="AC183" i="8"/>
  <c r="G183" i="8" s="1"/>
  <c r="AC184" i="8"/>
  <c r="AC185" i="8"/>
  <c r="G185" i="8" s="1"/>
  <c r="P185" i="8" s="1"/>
  <c r="M44" i="1" s="1"/>
  <c r="AC186" i="8"/>
  <c r="G186" i="8" s="1"/>
  <c r="AC187" i="8"/>
  <c r="AC188" i="8"/>
  <c r="G188" i="8" s="1"/>
  <c r="AC189" i="8"/>
  <c r="G189" i="8" s="1"/>
  <c r="AC190" i="8"/>
  <c r="G190" i="8" s="1"/>
  <c r="P190" i="8" s="1"/>
  <c r="M45" i="1" s="1"/>
  <c r="AC191" i="8"/>
  <c r="G191" i="8" s="1"/>
  <c r="AC192" i="8"/>
  <c r="AC193" i="8"/>
  <c r="G193" i="8" s="1"/>
  <c r="AC194" i="8"/>
  <c r="G194" i="8" s="1"/>
  <c r="P194" i="8" s="1"/>
  <c r="M46" i="1" s="1"/>
  <c r="AC195" i="8"/>
  <c r="AC196" i="8"/>
  <c r="G196" i="8" s="1"/>
  <c r="AC197" i="8"/>
  <c r="G197" i="8" s="1"/>
  <c r="AC198" i="8"/>
  <c r="G198" i="8" s="1"/>
  <c r="P198" i="8" s="1"/>
  <c r="M47" i="1" s="1"/>
  <c r="AC199" i="8"/>
  <c r="G199" i="8" s="1"/>
  <c r="AC200" i="8"/>
  <c r="AC201" i="8"/>
  <c r="G201" i="8" s="1"/>
  <c r="AC202" i="8"/>
  <c r="G202" i="8" s="1"/>
  <c r="AC203" i="8"/>
  <c r="AC204" i="8"/>
  <c r="G204" i="8" s="1"/>
  <c r="AC205" i="8"/>
  <c r="G205" i="8" s="1"/>
  <c r="AC206" i="8"/>
  <c r="G206" i="8" s="1"/>
  <c r="AC207" i="8"/>
  <c r="G207" i="8" s="1"/>
  <c r="P207" i="8" s="1"/>
  <c r="M49" i="1" s="1"/>
  <c r="AC208" i="8"/>
  <c r="AC209" i="8"/>
  <c r="G209" i="8" s="1"/>
  <c r="AC210" i="8"/>
  <c r="G210" i="8" s="1"/>
  <c r="AC211" i="8"/>
  <c r="AC212" i="8"/>
  <c r="G212" i="8" s="1"/>
  <c r="P212" i="8" s="1"/>
  <c r="M50" i="1" s="1"/>
  <c r="AC213" i="8"/>
  <c r="G213" i="8" s="1"/>
  <c r="AC214" i="8"/>
  <c r="G214" i="8" s="1"/>
  <c r="AC215" i="8"/>
  <c r="G215" i="8" s="1"/>
  <c r="AC216" i="8"/>
  <c r="AC217" i="8"/>
  <c r="G217" i="8" s="1"/>
  <c r="AC218" i="8"/>
  <c r="G218" i="8" s="1"/>
  <c r="AC219" i="8"/>
  <c r="AC220" i="8"/>
  <c r="G220" i="8" s="1"/>
  <c r="P220" i="8" s="1"/>
  <c r="M52" i="1" s="1"/>
  <c r="AC221" i="8"/>
  <c r="G221" i="8" s="1"/>
  <c r="AC222" i="8"/>
  <c r="G222" i="8" s="1"/>
  <c r="AC223" i="8"/>
  <c r="G223" i="8" s="1"/>
  <c r="AC224" i="8"/>
  <c r="AC225" i="8"/>
  <c r="G225" i="8" s="1"/>
  <c r="AC226" i="8"/>
  <c r="G226" i="8" s="1"/>
  <c r="AC227" i="8"/>
  <c r="AC228" i="8"/>
  <c r="G228" i="8" s="1"/>
  <c r="AC229" i="8"/>
  <c r="G229" i="8" s="1"/>
  <c r="P229" i="8" s="1"/>
  <c r="M54" i="1" s="1"/>
  <c r="AC230" i="8"/>
  <c r="G230" i="8" s="1"/>
  <c r="AC231" i="8"/>
  <c r="G231" i="8" s="1"/>
  <c r="AC232" i="8"/>
  <c r="AC233" i="8"/>
  <c r="G233" i="8" s="1"/>
  <c r="P233" i="8" s="1"/>
  <c r="M55" i="1" s="1"/>
  <c r="AC234" i="8"/>
  <c r="G234" i="8" s="1"/>
  <c r="AC235" i="8"/>
  <c r="AC236" i="8"/>
  <c r="G236" i="8" s="1"/>
  <c r="AC4" i="8"/>
  <c r="G4" i="8" s="1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7" i="8"/>
  <c r="W4" i="8"/>
  <c r="F50" i="8" l="1"/>
  <c r="F155" i="8"/>
  <c r="O155" i="8" s="1"/>
  <c r="N37" i="1" s="1"/>
  <c r="F207" i="8"/>
  <c r="O207" i="8" s="1"/>
  <c r="N49" i="1" s="1"/>
  <c r="F5" i="8"/>
  <c r="F13" i="8"/>
  <c r="F21" i="8"/>
  <c r="F29" i="8"/>
  <c r="O29" i="8" s="1"/>
  <c r="F37" i="8"/>
  <c r="O37" i="8" s="1"/>
  <c r="F45" i="8"/>
  <c r="F53" i="8"/>
  <c r="F61" i="8"/>
  <c r="F69" i="8"/>
  <c r="F77" i="8"/>
  <c r="O77" i="8" s="1"/>
  <c r="F85" i="8"/>
  <c r="O85" i="8" s="1"/>
  <c r="F93" i="8"/>
  <c r="F101" i="8"/>
  <c r="F109" i="8"/>
  <c r="F117" i="8"/>
  <c r="F125" i="8"/>
  <c r="F133" i="8"/>
  <c r="O133" i="8" s="1"/>
  <c r="N32" i="1" s="1"/>
  <c r="F141" i="8"/>
  <c r="F149" i="8"/>
  <c r="F157" i="8"/>
  <c r="F165" i="8"/>
  <c r="F173" i="8"/>
  <c r="F181" i="8"/>
  <c r="O181" i="8" s="1"/>
  <c r="N43" i="1" s="1"/>
  <c r="F189" i="8"/>
  <c r="F197" i="8"/>
  <c r="F205" i="8"/>
  <c r="F213" i="8"/>
  <c r="F221" i="8"/>
  <c r="F229" i="8"/>
  <c r="O229" i="8" s="1"/>
  <c r="F182" i="8"/>
  <c r="F206" i="8"/>
  <c r="F222" i="8"/>
  <c r="F7" i="8"/>
  <c r="O7" i="8" s="1"/>
  <c r="F23" i="8"/>
  <c r="F39" i="8"/>
  <c r="F55" i="8"/>
  <c r="O55" i="8" s="1"/>
  <c r="N14" i="1" s="1"/>
  <c r="F71" i="8"/>
  <c r="F87" i="8"/>
  <c r="F103" i="8"/>
  <c r="O103" i="8" s="1"/>
  <c r="F111" i="8"/>
  <c r="F127" i="8"/>
  <c r="F143" i="8"/>
  <c r="F159" i="8"/>
  <c r="O159" i="8" s="1"/>
  <c r="F175" i="8"/>
  <c r="F191" i="8"/>
  <c r="F223" i="8"/>
  <c r="F73" i="8"/>
  <c r="F89" i="8"/>
  <c r="F105" i="8"/>
  <c r="F121" i="8"/>
  <c r="F145" i="8"/>
  <c r="F161" i="8"/>
  <c r="F177" i="8"/>
  <c r="F193" i="8"/>
  <c r="F217" i="8"/>
  <c r="F10" i="8"/>
  <c r="F34" i="8"/>
  <c r="F42" i="8"/>
  <c r="O42" i="8" s="1"/>
  <c r="F66" i="8"/>
  <c r="F90" i="8"/>
  <c r="O90" i="8" s="1"/>
  <c r="F114" i="8"/>
  <c r="F138" i="8"/>
  <c r="F162" i="8"/>
  <c r="F186" i="8"/>
  <c r="F210" i="8"/>
  <c r="F234" i="8"/>
  <c r="F35" i="8"/>
  <c r="F59" i="8"/>
  <c r="O59" i="8" s="1"/>
  <c r="F83" i="8"/>
  <c r="F99" i="8"/>
  <c r="F123" i="8"/>
  <c r="F187" i="8"/>
  <c r="F219" i="8"/>
  <c r="F20" i="8"/>
  <c r="O20" i="8" s="1"/>
  <c r="N6" i="1" s="1"/>
  <c r="F52" i="8"/>
  <c r="F84" i="8"/>
  <c r="F116" i="8"/>
  <c r="O116" i="8" s="1"/>
  <c r="F148" i="8"/>
  <c r="F172" i="8"/>
  <c r="O172" i="8" s="1"/>
  <c r="F212" i="8"/>
  <c r="O212" i="8" s="1"/>
  <c r="F236" i="8"/>
  <c r="F6" i="8"/>
  <c r="F14" i="8"/>
  <c r="F22" i="8"/>
  <c r="F30" i="8"/>
  <c r="F38" i="8"/>
  <c r="F46" i="8"/>
  <c r="O46" i="8" s="1"/>
  <c r="F54" i="8"/>
  <c r="F62" i="8"/>
  <c r="F70" i="8"/>
  <c r="F78" i="8"/>
  <c r="F86" i="8"/>
  <c r="F94" i="8"/>
  <c r="O94" i="8" s="1"/>
  <c r="N23" i="1" s="1"/>
  <c r="F102" i="8"/>
  <c r="F110" i="8"/>
  <c r="F118" i="8"/>
  <c r="F126" i="8"/>
  <c r="F134" i="8"/>
  <c r="F142" i="8"/>
  <c r="O142" i="8" s="1"/>
  <c r="N34" i="1" s="1"/>
  <c r="F150" i="8"/>
  <c r="F158" i="8"/>
  <c r="F166" i="8"/>
  <c r="F174" i="8"/>
  <c r="F190" i="8"/>
  <c r="O190" i="8" s="1"/>
  <c r="F198" i="8"/>
  <c r="O198" i="8" s="1"/>
  <c r="F214" i="8"/>
  <c r="F230" i="8"/>
  <c r="F15" i="8"/>
  <c r="F31" i="8"/>
  <c r="F47" i="8"/>
  <c r="F63" i="8"/>
  <c r="O63" i="8" s="1"/>
  <c r="F79" i="8"/>
  <c r="F95" i="8"/>
  <c r="F119" i="8"/>
  <c r="F135" i="8"/>
  <c r="F151" i="8"/>
  <c r="O151" i="8" s="1"/>
  <c r="F167" i="8"/>
  <c r="F183" i="8"/>
  <c r="F199" i="8"/>
  <c r="F215" i="8"/>
  <c r="F231" i="8"/>
  <c r="F81" i="8"/>
  <c r="O81" i="8" s="1"/>
  <c r="N20" i="1" s="1"/>
  <c r="F97" i="8"/>
  <c r="F113" i="8"/>
  <c r="F129" i="8"/>
  <c r="O129" i="8" s="1"/>
  <c r="F153" i="8"/>
  <c r="F169" i="8"/>
  <c r="F185" i="8"/>
  <c r="O185" i="8" s="1"/>
  <c r="F209" i="8"/>
  <c r="F233" i="8"/>
  <c r="O233" i="8" s="1"/>
  <c r="N55" i="1" s="1"/>
  <c r="F18" i="8"/>
  <c r="F58" i="8"/>
  <c r="F82" i="8"/>
  <c r="F106" i="8"/>
  <c r="F122" i="8"/>
  <c r="F146" i="8"/>
  <c r="O146" i="8" s="1"/>
  <c r="F170" i="8"/>
  <c r="F194" i="8"/>
  <c r="O194" i="8" s="1"/>
  <c r="N46" i="1" s="1"/>
  <c r="F218" i="8"/>
  <c r="F19" i="8"/>
  <c r="F43" i="8"/>
  <c r="F67" i="8"/>
  <c r="F91" i="8"/>
  <c r="F115" i="8"/>
  <c r="F139" i="8"/>
  <c r="F163" i="8"/>
  <c r="F195" i="8"/>
  <c r="F227" i="8"/>
  <c r="F12" i="8"/>
  <c r="F44" i="8"/>
  <c r="F76" i="8"/>
  <c r="F108" i="8"/>
  <c r="F140" i="8"/>
  <c r="F180" i="8"/>
  <c r="F204" i="8"/>
  <c r="F8" i="8"/>
  <c r="F16" i="8"/>
  <c r="O16" i="8" s="1"/>
  <c r="F24" i="8"/>
  <c r="O24" i="8" s="1"/>
  <c r="F32" i="8"/>
  <c r="F40" i="8"/>
  <c r="F48" i="8"/>
  <c r="F56" i="8"/>
  <c r="F64" i="8"/>
  <c r="F72" i="8"/>
  <c r="O72" i="8" s="1"/>
  <c r="F80" i="8"/>
  <c r="F88" i="8"/>
  <c r="F96" i="8"/>
  <c r="F104" i="8"/>
  <c r="F112" i="8"/>
  <c r="O112" i="8" s="1"/>
  <c r="F120" i="8"/>
  <c r="O120" i="8" s="1"/>
  <c r="N29" i="1" s="1"/>
  <c r="F128" i="8"/>
  <c r="F136" i="8"/>
  <c r="F144" i="8"/>
  <c r="F152" i="8"/>
  <c r="F160" i="8"/>
  <c r="F168" i="8"/>
  <c r="O168" i="8" s="1"/>
  <c r="F176" i="8"/>
  <c r="O176" i="8" s="1"/>
  <c r="F184" i="8"/>
  <c r="F192" i="8"/>
  <c r="F200" i="8"/>
  <c r="F208" i="8"/>
  <c r="F216" i="8"/>
  <c r="O216" i="8" s="1"/>
  <c r="N51" i="1" s="1"/>
  <c r="F224" i="8"/>
  <c r="O224" i="8" s="1"/>
  <c r="F232" i="8"/>
  <c r="F9" i="8"/>
  <c r="F17" i="8"/>
  <c r="F25" i="8"/>
  <c r="F33" i="8"/>
  <c r="O33" i="8" s="1"/>
  <c r="N9" i="1" s="1"/>
  <c r="F41" i="8"/>
  <c r="F49" i="8"/>
  <c r="F57" i="8"/>
  <c r="F65" i="8"/>
  <c r="F137" i="8"/>
  <c r="O137" i="8" s="1"/>
  <c r="F201" i="8"/>
  <c r="F225" i="8"/>
  <c r="F26" i="8"/>
  <c r="O50" i="8"/>
  <c r="F74" i="8"/>
  <c r="F98" i="8"/>
  <c r="O98" i="8" s="1"/>
  <c r="F130" i="8"/>
  <c r="F154" i="8"/>
  <c r="F178" i="8"/>
  <c r="F202" i="8"/>
  <c r="F226" i="8"/>
  <c r="F11" i="8"/>
  <c r="O11" i="8" s="1"/>
  <c r="F51" i="8"/>
  <c r="F75" i="8"/>
  <c r="F107" i="8"/>
  <c r="O107" i="8" s="1"/>
  <c r="F147" i="8"/>
  <c r="F171" i="8"/>
  <c r="F203" i="8"/>
  <c r="O203" i="8" s="1"/>
  <c r="F235" i="8"/>
  <c r="F36" i="8"/>
  <c r="F68" i="8"/>
  <c r="O68" i="8" s="1"/>
  <c r="N17" i="1" s="1"/>
  <c r="F92" i="8"/>
  <c r="F124" i="8"/>
  <c r="O124" i="8" s="1"/>
  <c r="F156" i="8"/>
  <c r="F188" i="8"/>
  <c r="F220" i="8"/>
  <c r="O220" i="8" s="1"/>
  <c r="N52" i="1" s="1"/>
  <c r="F27" i="8"/>
  <c r="F131" i="8"/>
  <c r="F179" i="8"/>
  <c r="F211" i="8"/>
  <c r="F28" i="8"/>
  <c r="F60" i="8"/>
  <c r="F100" i="8"/>
  <c r="F132" i="8"/>
  <c r="F164" i="8"/>
  <c r="O164" i="8" s="1"/>
  <c r="F196" i="8"/>
  <c r="F228" i="8"/>
  <c r="F4" i="8"/>
  <c r="N36" i="1" l="1"/>
  <c r="N11" i="1"/>
  <c r="N7" i="1"/>
  <c r="N13" i="1"/>
  <c r="N5" i="1"/>
  <c r="N31" i="1"/>
  <c r="N28" i="1"/>
  <c r="N54" i="1"/>
  <c r="N10" i="1"/>
  <c r="N15" i="1"/>
  <c r="N48" i="1"/>
  <c r="N19" i="1"/>
  <c r="N42" i="1"/>
  <c r="N47" i="1"/>
  <c r="N26" i="1"/>
  <c r="N35" i="1"/>
  <c r="N45" i="1"/>
  <c r="N50" i="1"/>
  <c r="N39" i="1"/>
  <c r="N18" i="1"/>
  <c r="N38" i="1"/>
  <c r="N21" i="1"/>
  <c r="N33" i="1"/>
  <c r="N30" i="1"/>
  <c r="N40" i="1"/>
  <c r="N44" i="1"/>
  <c r="N24" i="1"/>
  <c r="N53" i="1"/>
  <c r="N16" i="1"/>
  <c r="N12" i="1"/>
  <c r="N41" i="1"/>
  <c r="N25" i="1"/>
  <c r="N22" i="1"/>
  <c r="N8" i="1"/>
  <c r="N27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 s="1"/>
  <c r="L13" i="8"/>
  <c r="K51" i="1" s="1"/>
  <c r="L14" i="8"/>
  <c r="K18" i="1" s="1"/>
  <c r="L15" i="8"/>
  <c r="K44" i="1" s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 l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Q54" i="4" l="1"/>
  <c r="H55" i="1" l="1"/>
  <c r="R54" i="4"/>
  <c r="C54" i="1" l="1"/>
  <c r="C55" i="1"/>
  <c r="E54" i="1"/>
  <c r="E55" i="1"/>
  <c r="B29" i="4"/>
  <c r="B31" i="4"/>
  <c r="J38" i="1"/>
  <c r="J55" i="1"/>
  <c r="P54" i="4"/>
  <c r="G55" i="1"/>
  <c r="F55" i="1"/>
  <c r="G55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D1512" i="2"/>
  <c r="C1519" i="2"/>
  <c r="D53" i="2"/>
  <c r="D60" i="2"/>
  <c r="D69" i="2"/>
  <c r="D133" i="2"/>
  <c r="D141" i="2"/>
  <c r="D150" i="2"/>
  <c r="D197" i="2"/>
  <c r="D198" i="2"/>
  <c r="D206" i="2"/>
  <c r="D244" i="2"/>
  <c r="D252" i="2"/>
  <c r="D253" i="2"/>
  <c r="D269" i="2"/>
  <c r="D286" i="2"/>
  <c r="D296" i="2"/>
  <c r="D300" i="2"/>
  <c r="D312" i="2"/>
  <c r="D334" i="2"/>
  <c r="D342" i="2"/>
  <c r="D344" i="2"/>
  <c r="D360" i="2"/>
  <c r="D388" i="2"/>
  <c r="D389" i="2"/>
  <c r="D397" i="2"/>
  <c r="D405" i="2"/>
  <c r="D428" i="2"/>
  <c r="D436" i="2"/>
  <c r="D444" i="2"/>
  <c r="D454" i="2"/>
  <c r="D472" i="2"/>
  <c r="D478" i="2"/>
  <c r="D484" i="2"/>
  <c r="D494" i="2"/>
  <c r="D509" i="2"/>
  <c r="D518" i="2"/>
  <c r="D520" i="2"/>
  <c r="D533" i="2"/>
  <c r="D552" i="2"/>
  <c r="D556" i="2"/>
  <c r="D557" i="2"/>
  <c r="D570" i="2"/>
  <c r="D582" i="2"/>
  <c r="D585" i="2"/>
  <c r="D588" i="2"/>
  <c r="D592" i="2"/>
  <c r="D604" i="2"/>
  <c r="D605" i="2"/>
  <c r="D612" i="2"/>
  <c r="D616" i="2"/>
  <c r="D626" i="2"/>
  <c r="D630" i="2"/>
  <c r="D633" i="2"/>
  <c r="D640" i="2"/>
  <c r="D646" i="2"/>
  <c r="D653" i="2"/>
  <c r="D654" i="2"/>
  <c r="D660" i="2"/>
  <c r="D672" i="2"/>
  <c r="D674" i="2"/>
  <c r="D676" i="2"/>
  <c r="D682" i="2"/>
  <c r="D694" i="2"/>
  <c r="D695" i="2"/>
  <c r="D697" i="2"/>
  <c r="D701" i="2"/>
  <c r="D712" i="2"/>
  <c r="D713" i="2"/>
  <c r="D718" i="2"/>
  <c r="D722" i="2"/>
  <c r="D730" i="2"/>
  <c r="D733" i="2"/>
  <c r="D734" i="2"/>
  <c r="D739" i="2"/>
  <c r="D745" i="2"/>
  <c r="D750" i="2"/>
  <c r="D751" i="2"/>
  <c r="D754" i="2"/>
  <c r="D763" i="2"/>
  <c r="D765" i="2"/>
  <c r="D767" i="2"/>
  <c r="D771" i="2"/>
  <c r="D781" i="2"/>
  <c r="D782" i="2"/>
  <c r="D785" i="2"/>
  <c r="D787" i="2"/>
  <c r="D797" i="2"/>
  <c r="D798" i="2"/>
  <c r="D801" i="2"/>
  <c r="D806" i="2"/>
  <c r="D814" i="2"/>
  <c r="D816" i="2"/>
  <c r="D817" i="2"/>
  <c r="D823" i="2"/>
  <c r="D829" i="2"/>
  <c r="D833" i="2"/>
  <c r="D834" i="2"/>
  <c r="D838" i="2"/>
  <c r="D847" i="2"/>
  <c r="D849" i="2"/>
  <c r="D850" i="2"/>
  <c r="D855" i="2"/>
  <c r="D864" i="2"/>
  <c r="D865" i="2"/>
  <c r="D869" i="2"/>
  <c r="D871" i="2"/>
  <c r="D880" i="2"/>
  <c r="D881" i="2"/>
  <c r="D886" i="2"/>
  <c r="D889" i="2"/>
  <c r="D897" i="2"/>
  <c r="D899" i="2"/>
  <c r="D901" i="2"/>
  <c r="D906" i="2"/>
  <c r="D913" i="2"/>
  <c r="D917" i="2"/>
  <c r="D918" i="2"/>
  <c r="D922" i="2"/>
  <c r="D931" i="2"/>
  <c r="D933" i="2"/>
  <c r="D934" i="2"/>
  <c r="D938" i="2"/>
  <c r="D947" i="2"/>
  <c r="D950" i="2"/>
  <c r="D952" i="2"/>
  <c r="D954" i="2"/>
  <c r="D963" i="2"/>
  <c r="D965" i="2"/>
  <c r="D969" i="2"/>
  <c r="D973" i="2"/>
  <c r="D981" i="2"/>
  <c r="D983" i="2"/>
  <c r="D984" i="2"/>
  <c r="D989" i="2"/>
  <c r="D995" i="2"/>
  <c r="D998" i="2"/>
  <c r="D999" i="2"/>
  <c r="D1003" i="2"/>
  <c r="D1011" i="2"/>
  <c r="D1012" i="2"/>
  <c r="D1013" i="2"/>
  <c r="D1018" i="2"/>
  <c r="D1026" i="2"/>
  <c r="D1027" i="2"/>
  <c r="D1029" i="2"/>
  <c r="D1031" i="2"/>
  <c r="D1039" i="2"/>
  <c r="D1040" i="2"/>
  <c r="D1044" i="2"/>
  <c r="D1047" i="2"/>
  <c r="D1054" i="2"/>
  <c r="D1056" i="2"/>
  <c r="D1058" i="2"/>
  <c r="D1062" i="2"/>
  <c r="D1068" i="2"/>
  <c r="D1071" i="2"/>
  <c r="D1072" i="2"/>
  <c r="D1076" i="2"/>
  <c r="D1084" i="2"/>
  <c r="D1085" i="2"/>
  <c r="D1086" i="2"/>
  <c r="D1090" i="2"/>
  <c r="D1095" i="2"/>
  <c r="D1096" i="2"/>
  <c r="D1099" i="2"/>
  <c r="D1102" i="2"/>
  <c r="D1108" i="2"/>
  <c r="D1109" i="2"/>
  <c r="D1111" i="2"/>
  <c r="D1114" i="2"/>
  <c r="D1120" i="2"/>
  <c r="D1122" i="2"/>
  <c r="D1123" i="2"/>
  <c r="D1126" i="2"/>
  <c r="D1132" i="2"/>
  <c r="D1133" i="2"/>
  <c r="D1135" i="2"/>
  <c r="D1139" i="2"/>
  <c r="D1144" i="2"/>
  <c r="D1146" i="2"/>
  <c r="D1148" i="2"/>
  <c r="D1150" i="2"/>
  <c r="D1157" i="2"/>
  <c r="D1158" i="2"/>
  <c r="D1159" i="2"/>
  <c r="D1163" i="2"/>
  <c r="D1168" i="2"/>
  <c r="D1170" i="2"/>
  <c r="D1172" i="2"/>
  <c r="D1175" i="2"/>
  <c r="D1181" i="2"/>
  <c r="D1182" i="2"/>
  <c r="D1184" i="2"/>
  <c r="D1187" i="2"/>
  <c r="D1194" i="2"/>
  <c r="D1195" i="2"/>
  <c r="D1196" i="2"/>
  <c r="D1198" i="2"/>
  <c r="D1204" i="2"/>
  <c r="D1205" i="2"/>
  <c r="D1206" i="2"/>
  <c r="D1208" i="2"/>
  <c r="D1214" i="2"/>
  <c r="D1215" i="2"/>
  <c r="D1216" i="2"/>
  <c r="D1219" i="2"/>
  <c r="D1224" i="2"/>
  <c r="D1226" i="2"/>
  <c r="D1227" i="2"/>
  <c r="D1230" i="2"/>
  <c r="D1235" i="2"/>
  <c r="D1236" i="2"/>
  <c r="D1237" i="2"/>
  <c r="D1240" i="2"/>
  <c r="D1245" i="2"/>
  <c r="D1246" i="2"/>
  <c r="D1248" i="2"/>
  <c r="D1251" i="2"/>
  <c r="D1255" i="2"/>
  <c r="D1258" i="2"/>
  <c r="D1259" i="2"/>
  <c r="D1261" i="2"/>
  <c r="D1267" i="2"/>
  <c r="D1268" i="2"/>
  <c r="D1269" i="2"/>
  <c r="D1271" i="2"/>
  <c r="D1277" i="2"/>
  <c r="D1278" i="2"/>
  <c r="D1279" i="2"/>
  <c r="D1282" i="2"/>
  <c r="D1287" i="2"/>
  <c r="D1288" i="2"/>
  <c r="D1290" i="2"/>
  <c r="D1292" i="2"/>
  <c r="D1298" i="2"/>
  <c r="D1299" i="2"/>
  <c r="D1300" i="2"/>
  <c r="D1303" i="2"/>
  <c r="D1308" i="2"/>
  <c r="D1309" i="2"/>
  <c r="D1310" i="2"/>
  <c r="D1314" i="2"/>
  <c r="D1318" i="2"/>
  <c r="D1319" i="2"/>
  <c r="D1322" i="2"/>
  <c r="D1324" i="2"/>
  <c r="D1328" i="2"/>
  <c r="D1331" i="2"/>
  <c r="D1332" i="2"/>
  <c r="D1334" i="2"/>
  <c r="D1340" i="2"/>
  <c r="D1341" i="2"/>
  <c r="D1342" i="2"/>
  <c r="D1344" i="2"/>
  <c r="D1350" i="2"/>
  <c r="D1351" i="2"/>
  <c r="D1352" i="2"/>
  <c r="D1355" i="2"/>
  <c r="D1360" i="2"/>
  <c r="D1362" i="2"/>
  <c r="D1363" i="2"/>
  <c r="D1365" i="2"/>
  <c r="D1371" i="2"/>
  <c r="D1372" i="2"/>
  <c r="D1373" i="2"/>
  <c r="D1376" i="2"/>
  <c r="D1381" i="2"/>
  <c r="D1382" i="2"/>
  <c r="D1383" i="2"/>
  <c r="D1387" i="2"/>
  <c r="D1391" i="2"/>
  <c r="D1392" i="2"/>
  <c r="D1395" i="2"/>
  <c r="D1397" i="2"/>
  <c r="D1402" i="2"/>
  <c r="D1404" i="2"/>
  <c r="D1405" i="2"/>
  <c r="D1407" i="2"/>
  <c r="D1408" i="2"/>
  <c r="D1413" i="2"/>
  <c r="D1414" i="2"/>
  <c r="D1415" i="2"/>
  <c r="D1418" i="2"/>
  <c r="D1419" i="2"/>
  <c r="D1423" i="2"/>
  <c r="D1424" i="2"/>
  <c r="D1426" i="2"/>
  <c r="D1428" i="2"/>
  <c r="D1429" i="2"/>
  <c r="D1434" i="2"/>
  <c r="D1435" i="2"/>
  <c r="D1436" i="2"/>
  <c r="D1438" i="2"/>
  <c r="D1440" i="2"/>
  <c r="D1442" i="2"/>
  <c r="D1443" i="2"/>
  <c r="D1444" i="2"/>
  <c r="D1445" i="2"/>
  <c r="D1446" i="2"/>
  <c r="D1450" i="2"/>
  <c r="D1451" i="2"/>
  <c r="D1452" i="2"/>
  <c r="D1453" i="2"/>
  <c r="D1454" i="2"/>
  <c r="D1455" i="2"/>
  <c r="D1456" i="2"/>
  <c r="D1460" i="2"/>
  <c r="D1461" i="2"/>
  <c r="D1462" i="2"/>
  <c r="D1463" i="2"/>
  <c r="D1464" i="2"/>
  <c r="D1466" i="2"/>
  <c r="D1468" i="2"/>
  <c r="D1470" i="2"/>
  <c r="D1471" i="2"/>
  <c r="D1472" i="2"/>
  <c r="D1474" i="2"/>
  <c r="D1475" i="2"/>
  <c r="D1477" i="2"/>
  <c r="D1478" i="2"/>
  <c r="D1480" i="2"/>
  <c r="D1482" i="2"/>
  <c r="D1483" i="2"/>
  <c r="D1484" i="2"/>
  <c r="D1486" i="2"/>
  <c r="D1487" i="2"/>
  <c r="D1488" i="2"/>
  <c r="D1491" i="2"/>
  <c r="D1492" i="2"/>
  <c r="D1493" i="2"/>
  <c r="D1495" i="2"/>
  <c r="D1496" i="2"/>
  <c r="D1498" i="2"/>
  <c r="D1499" i="2"/>
  <c r="D1501" i="2"/>
  <c r="D1502" i="2"/>
  <c r="D1504" i="2"/>
  <c r="D1506" i="2"/>
  <c r="D1507" i="2"/>
  <c r="D1508" i="2"/>
  <c r="D1509" i="2"/>
  <c r="D1511" i="2"/>
  <c r="D1514" i="2"/>
  <c r="D1515" i="2"/>
  <c r="D1516" i="2"/>
  <c r="D1517" i="2"/>
  <c r="D1518" i="2"/>
  <c r="D1519" i="2"/>
  <c r="D1503" i="2"/>
  <c r="D1510" i="2"/>
  <c r="D1500" i="2"/>
  <c r="D1494" i="2"/>
  <c r="D1490" i="2"/>
  <c r="D1485" i="2"/>
  <c r="D1479" i="2"/>
  <c r="D1476" i="2"/>
  <c r="D1467" i="2"/>
  <c r="D1469" i="2"/>
  <c r="D1458" i="2"/>
  <c r="D1459" i="2"/>
  <c r="D1448" i="2"/>
  <c r="D1447" i="2"/>
  <c r="D1439" i="2"/>
  <c r="D1431" i="2"/>
  <c r="D1432" i="2"/>
  <c r="D1437" i="2"/>
  <c r="D1430" i="2"/>
  <c r="D1427" i="2"/>
  <c r="D1421" i="2"/>
  <c r="D1420" i="2"/>
  <c r="D1422" i="2"/>
  <c r="D1416" i="2"/>
  <c r="D1412" i="2"/>
  <c r="D1410" i="2"/>
  <c r="D1411" i="2"/>
  <c r="D1403" i="2"/>
  <c r="D1399" i="2"/>
  <c r="D1400" i="2"/>
  <c r="D1406" i="2"/>
  <c r="D1394" i="2"/>
  <c r="D1398" i="2"/>
  <c r="D1396" i="2"/>
  <c r="D1384" i="2"/>
  <c r="D1388" i="2"/>
  <c r="D1389" i="2"/>
  <c r="D1390" i="2"/>
  <c r="D1386" i="2"/>
  <c r="D1375" i="2"/>
  <c r="D1378" i="2"/>
  <c r="D1379" i="2"/>
  <c r="D1380" i="2"/>
  <c r="D1367" i="2"/>
  <c r="D1368" i="2"/>
  <c r="D1370" i="2"/>
  <c r="D1374" i="2"/>
  <c r="D1366" i="2"/>
  <c r="D1359" i="2"/>
  <c r="D1364" i="2"/>
  <c r="D1357" i="2"/>
  <c r="D1356" i="2"/>
  <c r="D1358" i="2"/>
  <c r="D1354" i="2"/>
  <c r="D1348" i="2"/>
  <c r="D1346" i="2"/>
  <c r="D1347" i="2"/>
  <c r="D1349" i="2"/>
  <c r="D1343" i="2"/>
  <c r="D1339" i="2"/>
  <c r="D1335" i="2"/>
  <c r="D1336" i="2"/>
  <c r="D1338" i="2"/>
  <c r="D1330" i="2"/>
  <c r="D1327" i="2"/>
  <c r="D1333" i="2"/>
  <c r="D1320" i="2"/>
  <c r="D1325" i="2"/>
  <c r="D1326" i="2"/>
  <c r="D1323" i="2"/>
  <c r="D1311" i="2"/>
  <c r="D1315" i="2"/>
  <c r="D1316" i="2"/>
  <c r="D1317" i="2"/>
  <c r="D1312" i="2"/>
  <c r="D1304" i="2"/>
  <c r="D1306" i="2"/>
  <c r="D1307" i="2"/>
  <c r="D1302" i="2"/>
  <c r="D1295" i="2"/>
  <c r="D1296" i="2"/>
  <c r="D1301" i="2"/>
  <c r="D1293" i="2"/>
  <c r="D1294" i="2"/>
  <c r="D1291" i="2"/>
  <c r="D1284" i="2"/>
  <c r="D1283" i="2"/>
  <c r="D1285" i="2"/>
  <c r="D1286" i="2"/>
  <c r="D1280" i="2"/>
  <c r="D1275" i="2"/>
  <c r="D1272" i="2"/>
  <c r="D1274" i="2"/>
  <c r="D1276" i="2"/>
  <c r="D1266" i="2"/>
  <c r="D1263" i="2"/>
  <c r="D1264" i="2"/>
  <c r="D1270" i="2"/>
  <c r="D1256" i="2"/>
  <c r="D1262" i="2"/>
  <c r="D1260" i="2"/>
  <c r="D1247" i="2"/>
  <c r="D1252" i="2"/>
  <c r="D1253" i="2"/>
  <c r="D1254" i="2"/>
  <c r="D1250" i="2"/>
  <c r="D1242" i="2"/>
  <c r="D1243" i="2"/>
  <c r="D1244" i="2"/>
  <c r="D1239" i="2"/>
  <c r="D1238" i="2"/>
  <c r="D1231" i="2"/>
  <c r="D1232" i="2"/>
  <c r="D1234" i="2"/>
  <c r="D1229" i="2"/>
  <c r="D1223" i="2"/>
  <c r="D1228" i="2"/>
  <c r="D1220" i="2"/>
  <c r="D1221" i="2"/>
  <c r="D1222" i="2"/>
  <c r="D1218" i="2"/>
  <c r="D1211" i="2"/>
  <c r="D1210" i="2"/>
  <c r="D1212" i="2"/>
  <c r="D1213" i="2"/>
  <c r="D1207" i="2"/>
  <c r="D1202" i="2"/>
  <c r="D1199" i="2"/>
  <c r="D1200" i="2"/>
  <c r="D1203" i="2"/>
  <c r="D1192" i="2"/>
  <c r="D1191" i="2"/>
  <c r="D1197" i="2"/>
  <c r="D1189" i="2"/>
  <c r="D1183" i="2"/>
  <c r="D1188" i="2"/>
  <c r="D1190" i="2"/>
  <c r="D1186" i="2"/>
  <c r="D1180" i="2"/>
  <c r="D1176" i="2"/>
  <c r="D1178" i="2"/>
  <c r="D1179" i="2"/>
  <c r="D1171" i="2"/>
  <c r="D1174" i="2"/>
  <c r="D1167" i="2"/>
  <c r="D1173" i="2"/>
  <c r="D1162" i="2"/>
  <c r="D1165" i="2"/>
  <c r="D1164" i="2"/>
  <c r="D1166" i="2"/>
  <c r="D1160" i="2"/>
  <c r="D1152" i="2"/>
  <c r="D1156" i="2"/>
  <c r="D1151" i="2"/>
  <c r="D1154" i="2"/>
  <c r="D1155" i="2"/>
  <c r="D1143" i="2"/>
  <c r="D1147" i="2"/>
  <c r="D1149" i="2"/>
  <c r="D1138" i="2"/>
  <c r="D1140" i="2"/>
  <c r="D1141" i="2"/>
  <c r="D1142" i="2"/>
  <c r="D1136" i="2"/>
  <c r="D1134" i="2"/>
  <c r="D1128" i="2"/>
  <c r="D1127" i="2"/>
  <c r="D1130" i="2"/>
  <c r="D1131" i="2"/>
  <c r="D1125" i="2"/>
  <c r="D1119" i="2"/>
  <c r="D1124" i="2"/>
  <c r="D1116" i="2"/>
  <c r="D1115" i="2"/>
  <c r="D1117" i="2"/>
  <c r="D1118" i="2"/>
  <c r="D1112" i="2"/>
  <c r="D1107" i="2"/>
  <c r="D1110" i="2"/>
  <c r="D1103" i="2"/>
  <c r="D1104" i="2"/>
  <c r="D1106" i="2"/>
  <c r="D1098" i="2"/>
  <c r="D1101" i="2"/>
  <c r="D1100" i="2"/>
  <c r="D1088" i="2"/>
  <c r="D1092" i="2"/>
  <c r="D1091" i="2"/>
  <c r="D1093" i="2"/>
  <c r="D1094" i="2"/>
  <c r="D1087" i="2"/>
  <c r="D1079" i="2"/>
  <c r="D1083" i="2"/>
  <c r="D1080" i="2"/>
  <c r="D1082" i="2"/>
  <c r="D1078" i="2"/>
  <c r="D1074" i="2"/>
  <c r="D1077" i="2"/>
  <c r="D1075" i="2"/>
  <c r="D1069" i="2"/>
  <c r="D1070" i="2"/>
  <c r="D1064" i="2"/>
  <c r="D1063" i="2"/>
  <c r="D1066" i="2"/>
  <c r="D1067" i="2"/>
  <c r="D1060" i="2"/>
  <c r="D1061" i="2"/>
  <c r="D1055" i="2"/>
  <c r="D1059" i="2"/>
  <c r="D1051" i="2"/>
  <c r="D1052" i="2"/>
  <c r="D1048" i="2"/>
  <c r="D1050" i="2"/>
  <c r="D1053" i="2"/>
  <c r="D1042" i="2"/>
  <c r="D1043" i="2"/>
  <c r="D1046" i="2"/>
  <c r="D1045" i="2"/>
  <c r="D1032" i="2"/>
  <c r="D1034" i="2"/>
  <c r="D1037" i="2"/>
  <c r="D1035" i="2"/>
  <c r="D1036" i="2"/>
  <c r="D1038" i="2"/>
  <c r="D1023" i="2"/>
  <c r="D1024" i="2"/>
  <c r="D1028" i="2"/>
  <c r="D1030" i="2"/>
  <c r="D1015" i="2"/>
  <c r="D1019" i="2"/>
  <c r="D1020" i="2"/>
  <c r="D1021" i="2"/>
  <c r="D1022" i="2"/>
  <c r="D1016" i="2"/>
  <c r="D1014" i="2"/>
  <c r="D1010" i="2"/>
  <c r="D1007" i="2"/>
  <c r="D1008" i="2"/>
  <c r="D1005" i="2"/>
  <c r="D1006" i="2"/>
  <c r="D1000" i="2"/>
  <c r="D1004" i="2"/>
  <c r="D1002" i="2"/>
  <c r="D996" i="2"/>
  <c r="D997" i="2"/>
  <c r="D991" i="2"/>
  <c r="D992" i="2"/>
  <c r="D994" i="2"/>
  <c r="D987" i="2"/>
  <c r="D988" i="2"/>
  <c r="D990" i="2"/>
  <c r="D986" i="2"/>
  <c r="D977" i="2"/>
  <c r="D978" i="2"/>
  <c r="D982" i="2"/>
  <c r="D975" i="2"/>
  <c r="D979" i="2"/>
  <c r="D968" i="2"/>
  <c r="D971" i="2"/>
  <c r="D974" i="2"/>
  <c r="D970" i="2"/>
  <c r="D966" i="2"/>
  <c r="D961" i="2"/>
  <c r="F9" i="1"/>
  <c r="D959" i="2"/>
  <c r="D960" i="2"/>
  <c r="D962" i="2"/>
  <c r="D958" i="2"/>
  <c r="D955" i="2"/>
  <c r="D957" i="2"/>
  <c r="D951" i="2"/>
  <c r="D953" i="2"/>
  <c r="D949" i="2"/>
  <c r="D945" i="2"/>
  <c r="D946" i="2"/>
  <c r="D943" i="2"/>
  <c r="D944" i="2"/>
  <c r="D935" i="2"/>
  <c r="D936" i="2"/>
  <c r="D941" i="2"/>
  <c r="D942" i="2"/>
  <c r="D937" i="2"/>
  <c r="D929" i="2"/>
  <c r="D927" i="2"/>
  <c r="D928" i="2"/>
  <c r="D925" i="2"/>
  <c r="D926" i="2"/>
  <c r="D919" i="2"/>
  <c r="D923" i="2"/>
  <c r="D920" i="2"/>
  <c r="D914" i="2"/>
  <c r="D915" i="2"/>
  <c r="D911" i="2"/>
  <c r="D904" i="2"/>
  <c r="D905" i="2"/>
  <c r="D909" i="2"/>
  <c r="D907" i="2"/>
  <c r="D910" i="2"/>
  <c r="D895" i="2"/>
  <c r="D898" i="2"/>
  <c r="D896" i="2"/>
  <c r="D902" i="2"/>
  <c r="D894" i="2"/>
  <c r="D893" i="2"/>
  <c r="D888" i="2"/>
  <c r="D890" i="2"/>
  <c r="D891" i="2"/>
  <c r="D887" i="2"/>
  <c r="D885" i="2"/>
  <c r="D882" i="2"/>
  <c r="D883" i="2"/>
  <c r="D879" i="2"/>
  <c r="D872" i="2"/>
  <c r="D873" i="2"/>
  <c r="D878" i="2"/>
  <c r="D874" i="2"/>
  <c r="D877" i="2"/>
  <c r="F13" i="1"/>
  <c r="D863" i="2"/>
  <c r="D867" i="2"/>
  <c r="D870" i="2"/>
  <c r="D862" i="2"/>
  <c r="D856" i="2"/>
  <c r="D858" i="2"/>
  <c r="D859" i="2"/>
  <c r="D861" i="2"/>
  <c r="D851" i="2"/>
  <c r="D853" i="2"/>
  <c r="D854" i="2"/>
  <c r="D841" i="2"/>
  <c r="D842" i="2"/>
  <c r="D846" i="2"/>
  <c r="D840" i="2"/>
  <c r="D843" i="2"/>
  <c r="D845" i="2"/>
  <c r="D831" i="2"/>
  <c r="D832" i="2"/>
  <c r="D835" i="2"/>
  <c r="D837" i="2"/>
  <c r="D830" i="2"/>
  <c r="D825" i="2"/>
  <c r="D824" i="2"/>
  <c r="D826" i="2"/>
  <c r="D827" i="2"/>
  <c r="D821" i="2"/>
  <c r="D819" i="2"/>
  <c r="D822" i="2"/>
  <c r="D815" i="2"/>
  <c r="D818" i="2"/>
  <c r="D809" i="2"/>
  <c r="D810" i="2"/>
  <c r="D807" i="2"/>
  <c r="D808" i="2"/>
  <c r="D813" i="2"/>
  <c r="D799" i="2"/>
  <c r="D800" i="2"/>
  <c r="D805" i="2"/>
  <c r="D803" i="2"/>
  <c r="D794" i="2"/>
  <c r="D791" i="2"/>
  <c r="D792" i="2"/>
  <c r="D795" i="2"/>
  <c r="D789" i="2"/>
  <c r="D790" i="2"/>
  <c r="D783" i="2"/>
  <c r="D786" i="2"/>
  <c r="D778" i="2"/>
  <c r="D779" i="2"/>
  <c r="D776" i="2"/>
  <c r="D777" i="2"/>
  <c r="D768" i="2"/>
  <c r="D769" i="2"/>
  <c r="D773" i="2"/>
  <c r="D774" i="2"/>
  <c r="D770" i="2"/>
  <c r="D766" i="2"/>
  <c r="D759" i="2"/>
  <c r="D762" i="2"/>
  <c r="D760" i="2"/>
  <c r="D761" i="2"/>
  <c r="D757" i="2"/>
  <c r="D758" i="2"/>
  <c r="D752" i="2"/>
  <c r="D755" i="2"/>
  <c r="D753" i="2"/>
  <c r="D746" i="2"/>
  <c r="D749" i="2"/>
  <c r="D743" i="2"/>
  <c r="D744" i="2"/>
  <c r="D736" i="2"/>
  <c r="D737" i="2"/>
  <c r="D742" i="2"/>
  <c r="D741" i="2"/>
  <c r="D735" i="2"/>
  <c r="D727" i="2"/>
  <c r="D731" i="2"/>
  <c r="D728" i="2"/>
  <c r="D726" i="2"/>
  <c r="D721" i="2"/>
  <c r="D723" i="2"/>
  <c r="D725" i="2"/>
  <c r="D719" i="2"/>
  <c r="D717" i="2"/>
  <c r="D714" i="2"/>
  <c r="D715" i="2"/>
  <c r="D707" i="2"/>
  <c r="D703" i="2"/>
  <c r="D704" i="2"/>
  <c r="D709" i="2"/>
  <c r="F21" i="1"/>
  <c r="D705" i="2"/>
  <c r="D706" i="2"/>
  <c r="D710" i="2"/>
  <c r="D698" i="2"/>
  <c r="D702" i="2"/>
  <c r="D696" i="2"/>
  <c r="D699" i="2"/>
  <c r="D689" i="2"/>
  <c r="D693" i="2"/>
  <c r="D690" i="2"/>
  <c r="D691" i="2"/>
  <c r="D687" i="2"/>
  <c r="D688" i="2"/>
  <c r="D680" i="2"/>
  <c r="D685" i="2"/>
  <c r="D686" i="2"/>
  <c r="F22" i="1"/>
  <c r="D681" i="2"/>
  <c r="D677" i="2"/>
  <c r="D678" i="2"/>
  <c r="D669" i="2"/>
  <c r="D664" i="2"/>
  <c r="D665" i="2"/>
  <c r="D670" i="2"/>
  <c r="D667" i="2"/>
  <c r="F23" i="1"/>
  <c r="D668" i="2"/>
  <c r="D659" i="2"/>
  <c r="D662" i="2"/>
  <c r="D656" i="2"/>
  <c r="D661" i="2"/>
  <c r="D658" i="2"/>
  <c r="D649" i="2"/>
  <c r="D650" i="2"/>
  <c r="D651" i="2"/>
  <c r="D643" i="2"/>
  <c r="D641" i="2"/>
  <c r="D644" i="2"/>
  <c r="D645" i="2"/>
  <c r="D638" i="2"/>
  <c r="D637" i="2"/>
  <c r="D635" i="2"/>
  <c r="D636" i="2"/>
  <c r="D634" i="2"/>
  <c r="D629" i="2"/>
  <c r="D627" i="2"/>
  <c r="D624" i="2"/>
  <c r="D628" i="2"/>
  <c r="D625" i="2"/>
  <c r="D617" i="2"/>
  <c r="D621" i="2"/>
  <c r="D622" i="2"/>
  <c r="D618" i="2"/>
  <c r="D619" i="2"/>
  <c r="D608" i="2"/>
  <c r="D609" i="2"/>
  <c r="D614" i="2"/>
  <c r="D613" i="2"/>
  <c r="D606" i="2"/>
  <c r="F26" i="1"/>
  <c r="D601" i="2"/>
  <c r="D603" i="2"/>
  <c r="D596" i="2"/>
  <c r="D594" i="2"/>
  <c r="D595" i="2"/>
  <c r="D597" i="2"/>
  <c r="D598" i="2"/>
  <c r="D586" i="2"/>
  <c r="D589" i="2"/>
  <c r="D587" i="2"/>
  <c r="D590" i="2"/>
  <c r="D576" i="2"/>
  <c r="D580" i="2"/>
  <c r="D581" i="2"/>
  <c r="D577" i="2"/>
  <c r="D578" i="2"/>
  <c r="D574" i="2"/>
  <c r="D572" i="2"/>
  <c r="D573" i="2"/>
  <c r="D568" i="2"/>
  <c r="D566" i="2"/>
  <c r="D564" i="2"/>
  <c r="D565" i="2"/>
  <c r="D558" i="2"/>
  <c r="D549" i="2"/>
  <c r="D550" i="2"/>
  <c r="D548" i="2"/>
  <c r="D541" i="2"/>
  <c r="D536" i="2"/>
  <c r="D540" i="2"/>
  <c r="D542" i="2"/>
  <c r="D532" i="2"/>
  <c r="D534" i="2"/>
  <c r="D524" i="2"/>
  <c r="D525" i="2"/>
  <c r="D526" i="2"/>
  <c r="D516" i="2"/>
  <c r="D517" i="2"/>
  <c r="D504" i="2"/>
  <c r="D510" i="2"/>
  <c r="D508" i="2"/>
  <c r="D501" i="2"/>
  <c r="D500" i="2"/>
  <c r="D502" i="2"/>
  <c r="D493" i="2"/>
  <c r="D488" i="2"/>
  <c r="D492" i="2"/>
  <c r="D486" i="2"/>
  <c r="D485" i="2"/>
  <c r="D476" i="2"/>
  <c r="D477" i="2"/>
  <c r="D469" i="2"/>
  <c r="D468" i="2"/>
  <c r="D470" i="2"/>
  <c r="D462" i="2"/>
  <c r="D460" i="2"/>
  <c r="F33" i="1"/>
  <c r="D461" i="2"/>
  <c r="D452" i="2"/>
  <c r="D453" i="2"/>
  <c r="D446" i="2"/>
  <c r="D440" i="2"/>
  <c r="D445" i="2"/>
  <c r="D438" i="2"/>
  <c r="D437" i="2"/>
  <c r="D429" i="2"/>
  <c r="D430" i="2"/>
  <c r="D424" i="2"/>
  <c r="D421" i="2"/>
  <c r="D422" i="2"/>
  <c r="D420" i="2"/>
  <c r="D412" i="2"/>
  <c r="D413" i="2"/>
  <c r="D408" i="2"/>
  <c r="D414" i="2"/>
  <c r="D404" i="2"/>
  <c r="D406" i="2"/>
  <c r="D392" i="2"/>
  <c r="D396" i="2"/>
  <c r="F36" i="1"/>
  <c r="D398" i="2"/>
  <c r="D390" i="2"/>
  <c r="D376" i="2"/>
  <c r="D382" i="2"/>
  <c r="D380" i="2"/>
  <c r="D381" i="2"/>
  <c r="D374" i="2"/>
  <c r="D372" i="2"/>
  <c r="D373" i="2"/>
  <c r="D365" i="2"/>
  <c r="D364" i="2"/>
  <c r="D366" i="2"/>
  <c r="D357" i="2"/>
  <c r="D358" i="2"/>
  <c r="D356" i="2"/>
  <c r="D348" i="2"/>
  <c r="D349" i="2"/>
  <c r="D350" i="2"/>
  <c r="D340" i="2"/>
  <c r="D341" i="2"/>
  <c r="D333" i="2"/>
  <c r="D332" i="2"/>
  <c r="D324" i="2"/>
  <c r="D325" i="2"/>
  <c r="D326" i="2"/>
  <c r="D318" i="2"/>
  <c r="D317" i="2"/>
  <c r="D316" i="2"/>
  <c r="D310" i="2"/>
  <c r="D308" i="2"/>
  <c r="D309" i="2"/>
  <c r="D301" i="2"/>
  <c r="D302" i="2"/>
  <c r="D293" i="2"/>
  <c r="D292" i="2"/>
  <c r="D294" i="2"/>
  <c r="D284" i="2"/>
  <c r="D285" i="2"/>
  <c r="D280" i="2"/>
  <c r="D276" i="2"/>
  <c r="D277" i="2"/>
  <c r="D278" i="2"/>
  <c r="D264" i="2"/>
  <c r="D268" i="2"/>
  <c r="D270" i="2"/>
  <c r="D261" i="2"/>
  <c r="D262" i="2"/>
  <c r="D260" i="2"/>
  <c r="D248" i="2"/>
  <c r="D254" i="2"/>
  <c r="D246" i="2"/>
  <c r="D245" i="2"/>
  <c r="D237" i="2"/>
  <c r="D232" i="2"/>
  <c r="F44" i="1"/>
  <c r="D236" i="2"/>
  <c r="D238" i="2"/>
  <c r="D229" i="2"/>
  <c r="D230" i="2"/>
  <c r="D228" i="2"/>
  <c r="D220" i="2"/>
  <c r="D216" i="2"/>
  <c r="D222" i="2"/>
  <c r="D221" i="2"/>
  <c r="D212" i="2"/>
  <c r="D213" i="2"/>
  <c r="D214" i="2"/>
  <c r="D204" i="2"/>
  <c r="D205" i="2"/>
  <c r="D196" i="2"/>
  <c r="D190" i="2"/>
  <c r="D184" i="2"/>
  <c r="D188" i="2"/>
  <c r="D189" i="2"/>
  <c r="F46" i="1"/>
  <c r="D182" i="2"/>
  <c r="D180" i="2"/>
  <c r="D181" i="2"/>
  <c r="D173" i="2"/>
  <c r="D174" i="2"/>
  <c r="D168" i="2"/>
  <c r="D172" i="2"/>
  <c r="D165" i="2"/>
  <c r="D166" i="2"/>
  <c r="D164" i="2"/>
  <c r="D152" i="2"/>
  <c r="D156" i="2"/>
  <c r="D157" i="2"/>
  <c r="D158" i="2"/>
  <c r="D148" i="2"/>
  <c r="D149" i="2"/>
  <c r="D136" i="2"/>
  <c r="D140" i="2"/>
  <c r="D142" i="2"/>
  <c r="D134" i="2"/>
  <c r="D132" i="2"/>
  <c r="D120" i="2"/>
  <c r="D126" i="2"/>
  <c r="D124" i="2"/>
  <c r="D125" i="2"/>
  <c r="D117" i="2"/>
  <c r="D118" i="2"/>
  <c r="D116" i="2"/>
  <c r="D109" i="2"/>
  <c r="D110" i="2"/>
  <c r="D104" i="2"/>
  <c r="D108" i="2"/>
  <c r="D100" i="2"/>
  <c r="D101" i="2"/>
  <c r="D102" i="2"/>
  <c r="D92" i="2"/>
  <c r="D93" i="2"/>
  <c r="D94" i="2"/>
  <c r="D88" i="2"/>
  <c r="D84" i="2"/>
  <c r="D85" i="2"/>
  <c r="D86" i="2"/>
  <c r="D78" i="2"/>
  <c r="D72" i="2"/>
  <c r="D76" i="2"/>
  <c r="D77" i="2"/>
  <c r="D68" i="2"/>
  <c r="D70" i="2"/>
  <c r="D61" i="2"/>
  <c r="D62" i="2"/>
  <c r="D56" i="2"/>
  <c r="D54" i="2"/>
  <c r="D52" i="2"/>
  <c r="D44" i="2"/>
  <c r="D45" i="2"/>
  <c r="F53" i="1"/>
  <c r="D46" i="2"/>
  <c r="D40" i="2"/>
  <c r="D37" i="2"/>
  <c r="D38" i="2"/>
  <c r="D36" i="2"/>
  <c r="D24" i="2"/>
  <c r="D28" i="2"/>
  <c r="D29" i="2"/>
  <c r="D30" i="2"/>
  <c r="D20" i="2"/>
  <c r="D21" i="2"/>
  <c r="D22" i="2"/>
  <c r="D8" i="2"/>
  <c r="D12" i="2"/>
  <c r="D14" i="2"/>
  <c r="D13" i="2"/>
  <c r="D6" i="2"/>
  <c r="D4" i="2"/>
  <c r="D5" i="2"/>
  <c r="D1513" i="2"/>
  <c r="D1505" i="2"/>
  <c r="D1497" i="2"/>
  <c r="D1489" i="2"/>
  <c r="D1481" i="2"/>
  <c r="D1473" i="2"/>
  <c r="D1465" i="2"/>
  <c r="D1457" i="2"/>
  <c r="D652" i="2"/>
  <c r="D939" i="2"/>
  <c r="D875" i="2"/>
  <c r="D811" i="2"/>
  <c r="D747" i="2"/>
  <c r="D683" i="2"/>
  <c r="D579" i="2"/>
  <c r="D1449" i="2"/>
  <c r="D1441" i="2"/>
  <c r="D1433" i="2"/>
  <c r="D1425" i="2"/>
  <c r="D1417" i="2"/>
  <c r="D1409" i="2"/>
  <c r="D1401" i="2"/>
  <c r="D1393" i="2"/>
  <c r="D1385" i="2"/>
  <c r="D1377" i="2"/>
  <c r="D1369" i="2"/>
  <c r="D1361" i="2"/>
  <c r="D1353" i="2"/>
  <c r="D1345" i="2"/>
  <c r="D1337" i="2"/>
  <c r="D1329" i="2"/>
  <c r="D1321" i="2"/>
  <c r="D1313" i="2"/>
  <c r="D1305" i="2"/>
  <c r="D1297" i="2"/>
  <c r="D1289" i="2"/>
  <c r="D1281" i="2"/>
  <c r="D1273" i="2"/>
  <c r="D1265" i="2"/>
  <c r="D1257" i="2"/>
  <c r="D1249" i="2"/>
  <c r="D1241" i="2"/>
  <c r="D1233" i="2"/>
  <c r="D1225" i="2"/>
  <c r="D1217" i="2"/>
  <c r="D1209" i="2"/>
  <c r="D1201" i="2"/>
  <c r="D1193" i="2"/>
  <c r="D1185" i="2"/>
  <c r="D1177" i="2"/>
  <c r="D1169" i="2"/>
  <c r="D1161" i="2"/>
  <c r="D1153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6" i="2"/>
  <c r="D967" i="2"/>
  <c r="D930" i="2"/>
  <c r="D921" i="2"/>
  <c r="D912" i="2"/>
  <c r="D903" i="2"/>
  <c r="D866" i="2"/>
  <c r="D857" i="2"/>
  <c r="D848" i="2"/>
  <c r="D839" i="2"/>
  <c r="D802" i="2"/>
  <c r="D793" i="2"/>
  <c r="D784" i="2"/>
  <c r="D775" i="2"/>
  <c r="D738" i="2"/>
  <c r="D729" i="2"/>
  <c r="D720" i="2"/>
  <c r="D711" i="2"/>
  <c r="D673" i="2"/>
  <c r="D642" i="2"/>
  <c r="D632" i="2"/>
  <c r="D610" i="2"/>
  <c r="D600" i="2"/>
  <c r="D456" i="2"/>
  <c r="D328" i="2"/>
  <c r="D200" i="2"/>
  <c r="D980" i="2"/>
  <c r="D972" i="2"/>
  <c r="D964" i="2"/>
  <c r="D956" i="2"/>
  <c r="D948" i="2"/>
  <c r="D940" i="2"/>
  <c r="D932" i="2"/>
  <c r="D924" i="2"/>
  <c r="D916" i="2"/>
  <c r="D908" i="2"/>
  <c r="D900" i="2"/>
  <c r="D892" i="2"/>
  <c r="D884" i="2"/>
  <c r="D876" i="2"/>
  <c r="D868" i="2"/>
  <c r="D860" i="2"/>
  <c r="D852" i="2"/>
  <c r="D844" i="2"/>
  <c r="D836" i="2"/>
  <c r="F15" i="1"/>
  <c r="D828" i="2"/>
  <c r="D8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708" i="2"/>
  <c r="D700" i="2"/>
  <c r="D692" i="2"/>
  <c r="D684" i="2"/>
  <c r="D620" i="2"/>
  <c r="D675" i="2"/>
  <c r="D611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679" i="2"/>
  <c r="D671" i="2"/>
  <c r="D663" i="2"/>
  <c r="D666" i="2"/>
  <c r="D655" i="2"/>
  <c r="D657" i="2"/>
  <c r="D647" i="2"/>
  <c r="D648" i="2"/>
  <c r="D639" i="2"/>
  <c r="D631" i="2"/>
  <c r="D623" i="2"/>
  <c r="D615" i="2"/>
  <c r="D607" i="2"/>
  <c r="D599" i="2"/>
  <c r="D602" i="2"/>
  <c r="D591" i="2"/>
  <c r="D593" i="2"/>
  <c r="D583" i="2"/>
  <c r="D584" i="2"/>
  <c r="D575" i="2"/>
  <c r="D567" i="2"/>
  <c r="D569" i="2"/>
  <c r="D559" i="2"/>
  <c r="D561" i="2"/>
  <c r="D562" i="2"/>
  <c r="D560" i="2"/>
  <c r="D551" i="2"/>
  <c r="D553" i="2"/>
  <c r="D554" i="2"/>
  <c r="D543" i="2"/>
  <c r="D545" i="2"/>
  <c r="D546" i="2"/>
  <c r="D544" i="2"/>
  <c r="D535" i="2"/>
  <c r="D537" i="2"/>
  <c r="D538" i="2"/>
  <c r="D527" i="2"/>
  <c r="D529" i="2"/>
  <c r="D530" i="2"/>
  <c r="D528" i="2"/>
  <c r="D519" i="2"/>
  <c r="D521" i="2"/>
  <c r="D522" i="2"/>
  <c r="D511" i="2"/>
  <c r="D513" i="2"/>
  <c r="D514" i="2"/>
  <c r="D512" i="2"/>
  <c r="D503" i="2"/>
  <c r="D505" i="2"/>
  <c r="D506" i="2"/>
  <c r="D495" i="2"/>
  <c r="D497" i="2"/>
  <c r="D498" i="2"/>
  <c r="D496" i="2"/>
  <c r="D487" i="2"/>
  <c r="D489" i="2"/>
  <c r="D490" i="2"/>
  <c r="D479" i="2"/>
  <c r="D481" i="2"/>
  <c r="D482" i="2"/>
  <c r="D480" i="2"/>
  <c r="D471" i="2"/>
  <c r="D473" i="2"/>
  <c r="D474" i="2"/>
  <c r="D463" i="2"/>
  <c r="D465" i="2"/>
  <c r="D466" i="2"/>
  <c r="D464" i="2"/>
  <c r="D455" i="2"/>
  <c r="D457" i="2"/>
  <c r="D458" i="2"/>
  <c r="D447" i="2"/>
  <c r="D449" i="2"/>
  <c r="D450" i="2"/>
  <c r="D448" i="2"/>
  <c r="D439" i="2"/>
  <c r="D441" i="2"/>
  <c r="D442" i="2"/>
  <c r="D431" i="2"/>
  <c r="D433" i="2"/>
  <c r="D434" i="2"/>
  <c r="D432" i="2"/>
  <c r="D423" i="2"/>
  <c r="D425" i="2"/>
  <c r="D426" i="2"/>
  <c r="D415" i="2"/>
  <c r="D417" i="2"/>
  <c r="D418" i="2"/>
  <c r="D416" i="2"/>
  <c r="D407" i="2"/>
  <c r="D409" i="2"/>
  <c r="D410" i="2"/>
  <c r="D399" i="2"/>
  <c r="D401" i="2"/>
  <c r="D402" i="2"/>
  <c r="D400" i="2"/>
  <c r="D391" i="2"/>
  <c r="D393" i="2"/>
  <c r="D394" i="2"/>
  <c r="D383" i="2"/>
  <c r="D385" i="2"/>
  <c r="D386" i="2"/>
  <c r="D384" i="2"/>
  <c r="D375" i="2"/>
  <c r="D377" i="2"/>
  <c r="D378" i="2"/>
  <c r="D367" i="2"/>
  <c r="D369" i="2"/>
  <c r="D370" i="2"/>
  <c r="D368" i="2"/>
  <c r="D359" i="2"/>
  <c r="D361" i="2"/>
  <c r="D362" i="2"/>
  <c r="D351" i="2"/>
  <c r="D353" i="2"/>
  <c r="D354" i="2"/>
  <c r="D352" i="2"/>
  <c r="D343" i="2"/>
  <c r="D345" i="2"/>
  <c r="D346" i="2"/>
  <c r="D335" i="2"/>
  <c r="D337" i="2"/>
  <c r="D338" i="2"/>
  <c r="D336" i="2"/>
  <c r="D327" i="2"/>
  <c r="D329" i="2"/>
  <c r="D330" i="2"/>
  <c r="D319" i="2"/>
  <c r="D321" i="2"/>
  <c r="D322" i="2"/>
  <c r="D320" i="2"/>
  <c r="D311" i="2"/>
  <c r="D313" i="2"/>
  <c r="D314" i="2"/>
  <c r="D303" i="2"/>
  <c r="D305" i="2"/>
  <c r="D306" i="2"/>
  <c r="D304" i="2"/>
  <c r="D295" i="2"/>
  <c r="D297" i="2"/>
  <c r="D298" i="2"/>
  <c r="D287" i="2"/>
  <c r="D289" i="2"/>
  <c r="D290" i="2"/>
  <c r="D288" i="2"/>
  <c r="D279" i="2"/>
  <c r="D281" i="2"/>
  <c r="D282" i="2"/>
  <c r="D271" i="2"/>
  <c r="D273" i="2"/>
  <c r="D274" i="2"/>
  <c r="F42" i="1"/>
  <c r="D272" i="2"/>
  <c r="D263" i="2"/>
  <c r="D265" i="2"/>
  <c r="D266" i="2"/>
  <c r="D255" i="2"/>
  <c r="D257" i="2"/>
  <c r="D258" i="2"/>
  <c r="D256" i="2"/>
  <c r="D247" i="2"/>
  <c r="D249" i="2"/>
  <c r="D250" i="2"/>
  <c r="D239" i="2"/>
  <c r="D241" i="2"/>
  <c r="D242" i="2"/>
  <c r="D240" i="2"/>
  <c r="D231" i="2"/>
  <c r="D233" i="2"/>
  <c r="D234" i="2"/>
  <c r="D223" i="2"/>
  <c r="D225" i="2"/>
  <c r="D226" i="2"/>
  <c r="D224" i="2"/>
  <c r="D215" i="2"/>
  <c r="D217" i="2"/>
  <c r="D218" i="2"/>
  <c r="D207" i="2"/>
  <c r="D209" i="2"/>
  <c r="D210" i="2"/>
  <c r="F45" i="1"/>
  <c r="D208" i="2"/>
  <c r="D199" i="2"/>
  <c r="D201" i="2"/>
  <c r="D202" i="2"/>
  <c r="D192" i="2"/>
  <c r="D176" i="2"/>
  <c r="D160" i="2"/>
  <c r="D144" i="2"/>
  <c r="D128" i="2"/>
  <c r="D112" i="2"/>
  <c r="D96" i="2"/>
  <c r="D80" i="2"/>
  <c r="D64" i="2"/>
  <c r="D48" i="2"/>
  <c r="D32" i="2"/>
  <c r="D16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D3" i="2"/>
  <c r="D191" i="2"/>
  <c r="D193" i="2"/>
  <c r="D194" i="2"/>
  <c r="D183" i="2"/>
  <c r="D185" i="2"/>
  <c r="D186" i="2"/>
  <c r="D175" i="2"/>
  <c r="D177" i="2"/>
  <c r="D178" i="2"/>
  <c r="D167" i="2"/>
  <c r="D169" i="2"/>
  <c r="D170" i="2"/>
  <c r="D159" i="2"/>
  <c r="D161" i="2"/>
  <c r="D162" i="2"/>
  <c r="D151" i="2"/>
  <c r="D153" i="2"/>
  <c r="D154" i="2"/>
  <c r="D143" i="2"/>
  <c r="D145" i="2"/>
  <c r="D146" i="2"/>
  <c r="F48" i="1"/>
  <c r="D135" i="2"/>
  <c r="D137" i="2"/>
  <c r="D138" i="2"/>
  <c r="D127" i="2"/>
  <c r="D129" i="2"/>
  <c r="D130" i="2"/>
  <c r="D119" i="2"/>
  <c r="D121" i="2"/>
  <c r="D122" i="2"/>
  <c r="D111" i="2"/>
  <c r="D113" i="2"/>
  <c r="D114" i="2"/>
  <c r="D103" i="2"/>
  <c r="D105" i="2"/>
  <c r="D106" i="2"/>
  <c r="D95" i="2"/>
  <c r="D97" i="2"/>
  <c r="D98" i="2"/>
  <c r="D87" i="2"/>
  <c r="D89" i="2"/>
  <c r="D90" i="2"/>
  <c r="D79" i="2"/>
  <c r="D81" i="2"/>
  <c r="D82" i="2"/>
  <c r="D71" i="2"/>
  <c r="D73" i="2"/>
  <c r="D74" i="2"/>
  <c r="D63" i="2"/>
  <c r="D65" i="2"/>
  <c r="D66" i="2"/>
  <c r="D55" i="2"/>
  <c r="D57" i="2"/>
  <c r="D58" i="2"/>
  <c r="D47" i="2"/>
  <c r="D49" i="2"/>
  <c r="D50" i="2"/>
  <c r="D39" i="2"/>
  <c r="D41" i="2"/>
  <c r="D42" i="2"/>
  <c r="D31" i="2"/>
  <c r="D33" i="2"/>
  <c r="D34" i="2"/>
  <c r="D23" i="2"/>
  <c r="D25" i="2"/>
  <c r="D26" i="2"/>
  <c r="D15" i="2"/>
  <c r="D17" i="2"/>
  <c r="D18" i="2"/>
  <c r="D7" i="2"/>
  <c r="D9" i="2"/>
  <c r="D10" i="2"/>
  <c r="D2" i="2"/>
  <c r="F6" i="1"/>
  <c r="F7" i="1"/>
  <c r="F8" i="1"/>
  <c r="F10" i="1"/>
  <c r="F11" i="1"/>
  <c r="F12" i="1"/>
  <c r="F14" i="1"/>
  <c r="F16" i="1"/>
  <c r="F17" i="1"/>
  <c r="F18" i="1"/>
  <c r="F19" i="1"/>
  <c r="F20" i="1"/>
  <c r="F24" i="1"/>
  <c r="F25" i="1"/>
  <c r="F27" i="1"/>
  <c r="F28" i="1"/>
  <c r="F29" i="1"/>
  <c r="F30" i="1"/>
  <c r="F31" i="1"/>
  <c r="F32" i="1"/>
  <c r="F34" i="1"/>
  <c r="F35" i="1"/>
  <c r="F37" i="1"/>
  <c r="F38" i="1"/>
  <c r="F39" i="1"/>
  <c r="F40" i="1"/>
  <c r="F41" i="1"/>
  <c r="F43" i="1"/>
  <c r="F47" i="1"/>
  <c r="F49" i="1"/>
  <c r="F50" i="1"/>
  <c r="F51" i="1"/>
  <c r="F52" i="1"/>
  <c r="F54" i="1"/>
  <c r="F5" i="1"/>
  <c r="J54" i="1"/>
  <c r="Q53" i="4"/>
  <c r="G54" i="1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R5" i="4" s="1"/>
  <c r="H6" i="1" s="1"/>
  <c r="Q6" i="4"/>
  <c r="R6" i="4" s="1"/>
  <c r="H7" i="1" s="1"/>
  <c r="Q7" i="4"/>
  <c r="Q8" i="4"/>
  <c r="Q9" i="4"/>
  <c r="Q10" i="4"/>
  <c r="R10" i="4" s="1"/>
  <c r="Q11" i="4"/>
  <c r="Q12" i="4"/>
  <c r="R12" i="4" s="1"/>
  <c r="H13" i="1" s="1"/>
  <c r="Q13" i="4"/>
  <c r="R13" i="4" s="1"/>
  <c r="H14" i="1" s="1"/>
  <c r="Q14" i="4"/>
  <c r="R14" i="4" s="1"/>
  <c r="H15" i="1" s="1"/>
  <c r="Q15" i="4"/>
  <c r="Q16" i="4"/>
  <c r="Q17" i="4"/>
  <c r="Q18" i="4"/>
  <c r="Q19" i="4"/>
  <c r="Q20" i="4"/>
  <c r="R20" i="4" s="1"/>
  <c r="H21" i="1" s="1"/>
  <c r="Q21" i="4"/>
  <c r="R21" i="4" s="1"/>
  <c r="H22" i="1" s="1"/>
  <c r="Q22" i="4"/>
  <c r="R22" i="4" s="1"/>
  <c r="H23" i="1" s="1"/>
  <c r="Q23" i="4"/>
  <c r="Q24" i="4"/>
  <c r="Q25" i="4"/>
  <c r="Q26" i="4"/>
  <c r="R26" i="4" s="1"/>
  <c r="H27" i="1" s="1"/>
  <c r="Q27" i="4"/>
  <c r="Q28" i="4"/>
  <c r="R28" i="4" s="1"/>
  <c r="H29" i="1" s="1"/>
  <c r="Q29" i="4"/>
  <c r="R29" i="4" s="1"/>
  <c r="H30" i="1" s="1"/>
  <c r="Q30" i="4"/>
  <c r="R30" i="4" s="1"/>
  <c r="H31" i="1" s="1"/>
  <c r="Q31" i="4"/>
  <c r="R31" i="4" s="1"/>
  <c r="Q32" i="4"/>
  <c r="Q33" i="4"/>
  <c r="Q34" i="4"/>
  <c r="Q35" i="4"/>
  <c r="Q36" i="4"/>
  <c r="R36" i="4" s="1"/>
  <c r="H37" i="1" s="1"/>
  <c r="Q37" i="4"/>
  <c r="R37" i="4" s="1"/>
  <c r="H38" i="1" s="1"/>
  <c r="Q38" i="4"/>
  <c r="R38" i="4" s="1"/>
  <c r="H39" i="1" s="1"/>
  <c r="Q39" i="4"/>
  <c r="R39" i="4" s="1"/>
  <c r="H40" i="1" s="1"/>
  <c r="Q40" i="4"/>
  <c r="Q41" i="4"/>
  <c r="Q42" i="4"/>
  <c r="Q43" i="4"/>
  <c r="Q44" i="4"/>
  <c r="R44" i="4" s="1"/>
  <c r="H45" i="1" s="1"/>
  <c r="Q45" i="4"/>
  <c r="R45" i="4" s="1"/>
  <c r="H46" i="1" s="1"/>
  <c r="Q46" i="4"/>
  <c r="R46" i="4" s="1"/>
  <c r="H47" i="1" s="1"/>
  <c r="Q47" i="4"/>
  <c r="Q48" i="4"/>
  <c r="Q49" i="4"/>
  <c r="Q50" i="4"/>
  <c r="Q51" i="4"/>
  <c r="Q52" i="4"/>
  <c r="R52" i="4" s="1"/>
  <c r="H53" i="1" s="1"/>
  <c r="Q4" i="4"/>
  <c r="R4" i="4" s="1"/>
  <c r="H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M1061" i="4"/>
  <c r="K1060" i="4"/>
  <c r="L1060" i="4"/>
  <c r="L1059" i="4"/>
  <c r="L1058" i="4"/>
  <c r="L1057" i="4" s="1"/>
  <c r="L1056" i="4" s="1"/>
  <c r="L1055" i="4"/>
  <c r="L1054" i="4"/>
  <c r="L1053" i="4"/>
  <c r="L1052" i="4" s="1"/>
  <c r="L1051" i="4" s="1"/>
  <c r="L1050" i="4" s="1"/>
  <c r="L1049" i="4" s="1"/>
  <c r="L1048" i="4" s="1"/>
  <c r="L1047" i="4"/>
  <c r="L1027" i="4"/>
  <c r="L1026" i="4"/>
  <c r="L1025" i="4" s="1"/>
  <c r="L1024" i="4" s="1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/>
  <c r="L1005" i="4" s="1"/>
  <c r="L1004" i="4" s="1"/>
  <c r="L1003" i="4" s="1"/>
  <c r="L1002" i="4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/>
  <c r="L983" i="4" s="1"/>
  <c r="L982" i="4" s="1"/>
  <c r="L981" i="4" s="1"/>
  <c r="L980" i="4" s="1"/>
  <c r="L979" i="4" s="1"/>
  <c r="L978" i="4"/>
  <c r="L977" i="4" s="1"/>
  <c r="L976" i="4" s="1"/>
  <c r="L975" i="4" s="1"/>
  <c r="L974" i="4" s="1"/>
  <c r="L973" i="4"/>
  <c r="L972" i="4" s="1"/>
  <c r="L971" i="4" s="1"/>
  <c r="L970" i="4" s="1"/>
  <c r="L969" i="4" s="1"/>
  <c r="L968" i="4" s="1"/>
  <c r="L967" i="4" s="1"/>
  <c r="L966" i="4" s="1"/>
  <c r="L965" i="4" s="1"/>
  <c r="L964" i="4"/>
  <c r="L963" i="4"/>
  <c r="L962" i="4"/>
  <c r="L961" i="4" s="1"/>
  <c r="L960" i="4" s="1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/>
  <c r="L948" i="4" s="1"/>
  <c r="L947" i="4" s="1"/>
  <c r="L946" i="4" s="1"/>
  <c r="L945" i="4" s="1"/>
  <c r="L944" i="4"/>
  <c r="L943" i="4" s="1"/>
  <c r="L942" i="4" s="1"/>
  <c r="L941" i="4"/>
  <c r="L940" i="4" s="1"/>
  <c r="L939" i="4" s="1"/>
  <c r="L938" i="4" s="1"/>
  <c r="L937" i="4" s="1"/>
  <c r="L936" i="4" s="1"/>
  <c r="L935" i="4" s="1"/>
  <c r="L934" i="4" s="1"/>
  <c r="L933" i="4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/>
  <c r="L919" i="4" s="1"/>
  <c r="L918" i="4" s="1"/>
  <c r="L917" i="4" s="1"/>
  <c r="L916" i="4" s="1"/>
  <c r="L915" i="4" s="1"/>
  <c r="L914" i="4" s="1"/>
  <c r="L913" i="4" s="1"/>
  <c r="L912" i="4" s="1"/>
  <c r="L911" i="4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/>
  <c r="L899" i="4"/>
  <c r="L898" i="4"/>
  <c r="L897" i="4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/>
  <c r="L879" i="4" s="1"/>
  <c r="L878" i="4" s="1"/>
  <c r="L877" i="4" s="1"/>
  <c r="L876" i="4" s="1"/>
  <c r="L875" i="4" s="1"/>
  <c r="L874" i="4" s="1"/>
  <c r="L873" i="4" s="1"/>
  <c r="L872" i="4" s="1"/>
  <c r="L871" i="4"/>
  <c r="L870" i="4" s="1"/>
  <c r="L869" i="4" s="1"/>
  <c r="L868" i="4" s="1"/>
  <c r="L867" i="4" s="1"/>
  <c r="L866" i="4" s="1"/>
  <c r="L865" i="4"/>
  <c r="L864" i="4" s="1"/>
  <c r="L863" i="4" s="1"/>
  <c r="L862" i="4" s="1"/>
  <c r="L861" i="4" s="1"/>
  <c r="L860" i="4" s="1"/>
  <c r="L859" i="4"/>
  <c r="L858" i="4"/>
  <c r="L857" i="4" s="1"/>
  <c r="L856" i="4" s="1"/>
  <c r="L855" i="4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/>
  <c r="L819" i="4"/>
  <c r="L818" i="4"/>
  <c r="L817" i="4"/>
  <c r="L816" i="4" s="1"/>
  <c r="L815" i="4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/>
  <c r="L784" i="4" s="1"/>
  <c r="L783" i="4" s="1"/>
  <c r="L782" i="4"/>
  <c r="L781" i="4" s="1"/>
  <c r="L780" i="4" s="1"/>
  <c r="L779" i="4" s="1"/>
  <c r="L778" i="4" s="1"/>
  <c r="L777" i="4" s="1"/>
  <c r="L776" i="4"/>
  <c r="L775" i="4"/>
  <c r="L774" i="4" s="1"/>
  <c r="L773" i="4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/>
  <c r="L753" i="4"/>
  <c r="L752" i="4" s="1"/>
  <c r="L751" i="4" s="1"/>
  <c r="L750" i="4" s="1"/>
  <c r="L749" i="4" s="1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/>
  <c r="L732" i="4" s="1"/>
  <c r="L731" i="4" s="1"/>
  <c r="L730" i="4" s="1"/>
  <c r="L729" i="4" s="1"/>
  <c r="L728" i="4" s="1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/>
  <c r="L711" i="4" s="1"/>
  <c r="L710" i="4" s="1"/>
  <c r="L709" i="4" s="1"/>
  <c r="L708" i="4" s="1"/>
  <c r="L707" i="4" s="1"/>
  <c r="L706" i="4" s="1"/>
  <c r="L705" i="4" s="1"/>
  <c r="L704" i="4" s="1"/>
  <c r="L703" i="4" s="1"/>
  <c r="L702" i="4" s="1"/>
  <c r="L701" i="4" s="1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L690" i="4" s="1"/>
  <c r="L689" i="4"/>
  <c r="L688" i="4" s="1"/>
  <c r="L687" i="4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/>
  <c r="L670" i="4"/>
  <c r="L669" i="4"/>
  <c r="L668" i="4" s="1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/>
  <c r="L648" i="4" s="1"/>
  <c r="L647" i="4" s="1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/>
  <c r="L628" i="4" s="1"/>
  <c r="L627" i="4" s="1"/>
  <c r="L626" i="4" s="1"/>
  <c r="L625" i="4"/>
  <c r="L624" i="4" s="1"/>
  <c r="L623" i="4" s="1"/>
  <c r="L622" i="4" s="1"/>
  <c r="L621" i="4" s="1"/>
  <c r="L620" i="4" s="1"/>
  <c r="L619" i="4" s="1"/>
  <c r="L618" i="4" s="1"/>
  <c r="L617" i="4" s="1"/>
  <c r="L616" i="4"/>
  <c r="L615" i="4" s="1"/>
  <c r="L614" i="4" s="1"/>
  <c r="L613" i="4" s="1"/>
  <c r="L612" i="4" s="1"/>
  <c r="L611" i="4" s="1"/>
  <c r="L610" i="4" s="1"/>
  <c r="L609" i="4"/>
  <c r="L608" i="4"/>
  <c r="L607" i="4" s="1"/>
  <c r="L606" i="4"/>
  <c r="L605" i="4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/>
  <c r="L590" i="4"/>
  <c r="L589" i="4" s="1"/>
  <c r="L588" i="4"/>
  <c r="L587" i="4"/>
  <c r="L586" i="4"/>
  <c r="L585" i="4" s="1"/>
  <c r="L584" i="4" s="1"/>
  <c r="L583" i="4" s="1"/>
  <c r="L582" i="4" s="1"/>
  <c r="L581" i="4" s="1"/>
  <c r="L580" i="4" s="1"/>
  <c r="L579" i="4" s="1"/>
  <c r="L578" i="4"/>
  <c r="L577" i="4" s="1"/>
  <c r="L576" i="4" s="1"/>
  <c r="L575" i="4"/>
  <c r="L574" i="4" s="1"/>
  <c r="L573" i="4" s="1"/>
  <c r="L572" i="4" s="1"/>
  <c r="L571" i="4" s="1"/>
  <c r="L570" i="4" s="1"/>
  <c r="L569" i="4"/>
  <c r="L568" i="4"/>
  <c r="L567" i="4"/>
  <c r="L566" i="4"/>
  <c r="L565" i="4" s="1"/>
  <c r="L564" i="4" s="1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/>
  <c r="L552" i="4" s="1"/>
  <c r="L551" i="4" s="1"/>
  <c r="L550" i="4"/>
  <c r="L549" i="4"/>
  <c r="L548" i="4" s="1"/>
  <c r="L547" i="4" s="1"/>
  <c r="L546" i="4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/>
  <c r="L526" i="4"/>
  <c r="L525" i="4"/>
  <c r="L524" i="4" s="1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/>
  <c r="L504" i="4"/>
  <c r="L503" i="4" s="1"/>
  <c r="L502" i="4" s="1"/>
  <c r="L501" i="4"/>
  <c r="L500" i="4" s="1"/>
  <c r="L499" i="4" s="1"/>
  <c r="L498" i="4" s="1"/>
  <c r="L497" i="4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P6" i="4"/>
  <c r="P44" i="4"/>
  <c r="P13" i="4"/>
  <c r="P20" i="4"/>
  <c r="P27" i="4"/>
  <c r="R27" i="4"/>
  <c r="H28" i="1" s="1"/>
  <c r="P18" i="4"/>
  <c r="R18" i="4"/>
  <c r="H19" i="1" s="1"/>
  <c r="P14" i="4"/>
  <c r="P51" i="4"/>
  <c r="P40" i="4"/>
  <c r="R40" i="4"/>
  <c r="H41" i="1"/>
  <c r="P52" i="4"/>
  <c r="P37" i="4"/>
  <c r="P39" i="4"/>
  <c r="P24" i="4"/>
  <c r="R24" i="4"/>
  <c r="H25" i="1"/>
  <c r="P50" i="4"/>
  <c r="R50" i="4"/>
  <c r="H51" i="1" s="1"/>
  <c r="P31" i="4"/>
  <c r="H32" i="1"/>
  <c r="P4" i="4"/>
  <c r="P8" i="4"/>
  <c r="P49" i="4"/>
  <c r="P9" i="4"/>
  <c r="R9" i="4"/>
  <c r="H10" i="1"/>
  <c r="P47" i="4"/>
  <c r="R47" i="4"/>
  <c r="H48" i="1"/>
  <c r="P35" i="4"/>
  <c r="R35" i="4"/>
  <c r="H36" i="1" s="1"/>
  <c r="P46" i="4"/>
  <c r="P10" i="4"/>
  <c r="P36" i="4"/>
  <c r="P48" i="4"/>
  <c r="R48" i="4"/>
  <c r="H49" i="1" s="1"/>
  <c r="P42" i="4"/>
  <c r="R42" i="4"/>
  <c r="H43" i="1" s="1"/>
  <c r="P12" i="4"/>
  <c r="P15" i="4"/>
  <c r="R15" i="4"/>
  <c r="H16" i="1"/>
  <c r="P41" i="4"/>
  <c r="R41" i="4"/>
  <c r="H42" i="1"/>
  <c r="P17" i="4"/>
  <c r="R17" i="4"/>
  <c r="H18" i="1"/>
  <c r="P33" i="4"/>
  <c r="P19" i="4"/>
  <c r="P11" i="4"/>
  <c r="P34" i="4"/>
  <c r="R34" i="4"/>
  <c r="H35" i="1" s="1"/>
  <c r="P5" i="4"/>
  <c r="P22" i="4"/>
  <c r="P29" i="4"/>
  <c r="P43" i="4"/>
  <c r="P32" i="4"/>
  <c r="R32" i="4"/>
  <c r="H33" i="1" s="1"/>
  <c r="P23" i="4"/>
  <c r="R23" i="4"/>
  <c r="H24" i="1" s="1"/>
  <c r="P26" i="4"/>
  <c r="G53" i="3"/>
  <c r="G53" i="1"/>
  <c r="R33" i="4"/>
  <c r="H34" i="1" s="1"/>
  <c r="R8" i="4"/>
  <c r="H9" i="1"/>
  <c r="R51" i="4"/>
  <c r="H52" i="1"/>
  <c r="R11" i="4"/>
  <c r="H12" i="1"/>
  <c r="R19" i="4"/>
  <c r="H20" i="1"/>
  <c r="H11" i="1"/>
  <c r="R49" i="4"/>
  <c r="H50" i="1" s="1"/>
  <c r="R43" i="4"/>
  <c r="H44" i="1" s="1"/>
  <c r="K1059" i="4"/>
  <c r="K1058" i="4" s="1"/>
  <c r="M1060" i="4"/>
  <c r="P28" i="4"/>
  <c r="P30" i="4"/>
  <c r="L484" i="4"/>
  <c r="L483" i="4" s="1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/>
  <c r="L465" i="4" s="1"/>
  <c r="L464" i="4" s="1"/>
  <c r="L463" i="4"/>
  <c r="L462" i="4"/>
  <c r="L461" i="4" s="1"/>
  <c r="L460" i="4" s="1"/>
  <c r="L459" i="4" s="1"/>
  <c r="L458" i="4" s="1"/>
  <c r="L457" i="4" s="1"/>
  <c r="L456" i="4" s="1"/>
  <c r="L455" i="4" s="1"/>
  <c r="L454" i="4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/>
  <c r="L440" i="4"/>
  <c r="L439" i="4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/>
  <c r="L420" i="4" s="1"/>
  <c r="P21" i="4"/>
  <c r="P38" i="4"/>
  <c r="P7" i="4"/>
  <c r="R7" i="4"/>
  <c r="H8" i="1"/>
  <c r="P25" i="4"/>
  <c r="R25" i="4"/>
  <c r="H26" i="1"/>
  <c r="P45" i="4"/>
  <c r="P16" i="4"/>
  <c r="R16" i="4"/>
  <c r="H17" i="1"/>
  <c r="P53" i="4"/>
  <c r="R53" i="4"/>
  <c r="H54" i="1" s="1"/>
  <c r="L419" i="4"/>
  <c r="L418" i="4" s="1"/>
  <c r="L417" i="4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K1047" i="4"/>
  <c r="K1046" i="4" s="1"/>
  <c r="K819" i="4"/>
  <c r="K527" i="4"/>
  <c r="M527" i="4" s="1"/>
  <c r="K109" i="4"/>
  <c r="K549" i="4"/>
  <c r="K108" i="4"/>
  <c r="K733" i="4"/>
  <c r="K526" i="4"/>
  <c r="K525" i="4" s="1"/>
  <c r="K298" i="4"/>
  <c r="K297" i="4" s="1"/>
  <c r="K689" i="4"/>
  <c r="M689" i="4" s="1"/>
  <c r="K107" i="4"/>
  <c r="K106" i="4" s="1"/>
  <c r="K732" i="4"/>
  <c r="M549" i="4"/>
  <c r="K548" i="4"/>
  <c r="K649" i="4"/>
  <c r="K131" i="4"/>
  <c r="K670" i="4"/>
  <c r="K89" i="4"/>
  <c r="K648" i="4"/>
  <c r="M649" i="4"/>
  <c r="K399" i="4"/>
  <c r="K296" i="4"/>
  <c r="K130" i="4"/>
  <c r="K129" i="4" s="1"/>
  <c r="K48" i="4"/>
  <c r="K70" i="4"/>
  <c r="K69" i="4" s="1"/>
  <c r="K359" i="4"/>
  <c r="K588" i="4"/>
  <c r="K47" i="4"/>
  <c r="K797" i="4"/>
  <c r="M797" i="4" s="1"/>
  <c r="K839" i="4"/>
  <c r="K380" i="4"/>
  <c r="K398" i="4"/>
  <c r="K105" i="4"/>
  <c r="K104" i="4" s="1"/>
  <c r="K669" i="4"/>
  <c r="K668" i="4" s="1"/>
  <c r="M670" i="4"/>
  <c r="K647" i="4"/>
  <c r="M648" i="4"/>
  <c r="K712" i="4"/>
  <c r="K6" i="4"/>
  <c r="K5" i="4" s="1"/>
  <c r="L298" i="4"/>
  <c r="K128" i="4"/>
  <c r="K796" i="4"/>
  <c r="M796" i="4" s="1"/>
  <c r="K1006" i="4"/>
  <c r="M1006" i="4" s="1"/>
  <c r="K838" i="4"/>
  <c r="K569" i="4"/>
  <c r="K984" i="4"/>
  <c r="K880" i="4"/>
  <c r="K879" i="4" s="1"/>
  <c r="K587" i="4"/>
  <c r="M588" i="4"/>
  <c r="K319" i="4"/>
  <c r="K318" i="4" s="1"/>
  <c r="K149" i="4"/>
  <c r="K358" i="4"/>
  <c r="K964" i="4"/>
  <c r="K609" i="4"/>
  <c r="K608" i="4" s="1"/>
  <c r="K607" i="4" s="1"/>
  <c r="K192" i="4"/>
  <c r="K191" i="4" s="1"/>
  <c r="K629" i="4"/>
  <c r="K628" i="4" s="1"/>
  <c r="K627" i="4" s="1"/>
  <c r="K379" i="4"/>
  <c r="K46" i="4"/>
  <c r="K45" i="4" s="1"/>
  <c r="M45" i="4" s="1"/>
  <c r="K711" i="4"/>
  <c r="M669" i="4"/>
  <c r="K463" i="4"/>
  <c r="K900" i="4"/>
  <c r="M900" i="4" s="1"/>
  <c r="K213" i="4"/>
  <c r="K357" i="4"/>
  <c r="K356" i="4" s="1"/>
  <c r="K710" i="4"/>
  <c r="K709" i="4" s="1"/>
  <c r="K708" i="4" s="1"/>
  <c r="K235" i="4"/>
  <c r="K754" i="4"/>
  <c r="K753" i="4" s="1"/>
  <c r="M753" i="4" s="1"/>
  <c r="K256" i="4"/>
  <c r="M256" i="4" s="1"/>
  <c r="K837" i="4"/>
  <c r="L399" i="4"/>
  <c r="L398" i="4" s="1"/>
  <c r="L397" i="4" s="1"/>
  <c r="L396" i="4" s="1"/>
  <c r="L395" i="4" s="1"/>
  <c r="L394" i="4" s="1"/>
  <c r="L393" i="4" s="1"/>
  <c r="L392" i="4" s="1"/>
  <c r="L391" i="4" s="1"/>
  <c r="L390" i="4" s="1"/>
  <c r="M463" i="4"/>
  <c r="K462" i="4"/>
  <c r="L297" i="4"/>
  <c r="M298" i="4"/>
  <c r="M629" i="4"/>
  <c r="K441" i="4"/>
  <c r="K440" i="4" s="1"/>
  <c r="K484" i="4"/>
  <c r="M484" i="4" s="1"/>
  <c r="K586" i="4"/>
  <c r="M586" i="4" s="1"/>
  <c r="M587" i="4"/>
  <c r="K68" i="4"/>
  <c r="K67" i="4" s="1"/>
  <c r="K421" i="4"/>
  <c r="K420" i="4" s="1"/>
  <c r="M420" i="4" s="1"/>
  <c r="K1005" i="4"/>
  <c r="K859" i="4"/>
  <c r="K317" i="4"/>
  <c r="K316" i="4" s="1"/>
  <c r="K315" i="4" s="1"/>
  <c r="M608" i="4"/>
  <c r="K836" i="4"/>
  <c r="K835" i="4" s="1"/>
  <c r="K585" i="4"/>
  <c r="K190" i="4"/>
  <c r="K189" i="4" s="1"/>
  <c r="K188" i="4" s="1"/>
  <c r="K899" i="4"/>
  <c r="K461" i="4"/>
  <c r="M462" i="4"/>
  <c r="K4" i="4"/>
  <c r="L296" i="4"/>
  <c r="M297" i="4"/>
  <c r="K483" i="4"/>
  <c r="K277" i="4"/>
  <c r="M277" i="4" s="1"/>
  <c r="M441" i="4"/>
  <c r="M859" i="4"/>
  <c r="K858" i="4"/>
  <c r="M399" i="4"/>
  <c r="M421" i="4"/>
  <c r="K776" i="4"/>
  <c r="K212" i="4"/>
  <c r="K234" i="4"/>
  <c r="K233" i="4" s="1"/>
  <c r="K232" i="4" s="1"/>
  <c r="K171" i="4"/>
  <c r="K170" i="4" s="1"/>
  <c r="K169" i="4" s="1"/>
  <c r="K168" i="4" s="1"/>
  <c r="K26" i="4"/>
  <c r="K338" i="4"/>
  <c r="M628" i="4"/>
  <c r="K1027" i="4"/>
  <c r="L149" i="4"/>
  <c r="K941" i="4"/>
  <c r="M941" i="4" s="1"/>
  <c r="M483" i="4"/>
  <c r="K482" i="4"/>
  <c r="K481" i="4" s="1"/>
  <c r="K276" i="4"/>
  <c r="L295" i="4"/>
  <c r="L294" i="4" s="1"/>
  <c r="L293" i="4" s="1"/>
  <c r="L292" i="4" s="1"/>
  <c r="L291" i="4" s="1"/>
  <c r="L290" i="4" s="1"/>
  <c r="L289" i="4" s="1"/>
  <c r="L288" i="4" s="1"/>
  <c r="L287" i="4" s="1"/>
  <c r="L286" i="4" s="1"/>
  <c r="L285" i="4" s="1"/>
  <c r="L284" i="4" s="1"/>
  <c r="L283" i="4" s="1"/>
  <c r="L282" i="4" s="1"/>
  <c r="L281" i="4" s="1"/>
  <c r="L280" i="4" s="1"/>
  <c r="L279" i="4" s="1"/>
  <c r="L278" i="4" s="1"/>
  <c r="M627" i="4"/>
  <c r="K626" i="4"/>
  <c r="K337" i="4"/>
  <c r="K336" i="4" s="1"/>
  <c r="K355" i="4"/>
  <c r="K354" i="4" s="1"/>
  <c r="K353" i="4" s="1"/>
  <c r="K211" i="4"/>
  <c r="K25" i="4"/>
  <c r="K775" i="4"/>
  <c r="K774" i="4" s="1"/>
  <c r="M776" i="4"/>
  <c r="K857" i="4"/>
  <c r="M857" i="4" s="1"/>
  <c r="M858" i="4"/>
  <c r="K856" i="4"/>
  <c r="L148" i="4"/>
  <c r="K210" i="4"/>
  <c r="K920" i="4"/>
  <c r="M920" i="4" s="1"/>
  <c r="K24" i="4"/>
  <c r="K1026" i="4"/>
  <c r="K1025" i="4" s="1"/>
  <c r="M1027" i="4"/>
  <c r="K209" i="4"/>
  <c r="K231" i="4"/>
  <c r="L147" i="4"/>
  <c r="K23" i="4"/>
  <c r="L146" i="4"/>
  <c r="L145" i="4"/>
  <c r="L144" i="4" s="1"/>
  <c r="L143" i="4" s="1"/>
  <c r="L142" i="4" s="1"/>
  <c r="L141" i="4" s="1"/>
  <c r="L140" i="4" s="1"/>
  <c r="L139" i="4" s="1"/>
  <c r="L138" i="4" s="1"/>
  <c r="L137" i="4" s="1"/>
  <c r="L136" i="4" s="1"/>
  <c r="L135" i="4" s="1"/>
  <c r="L134" i="4" s="1"/>
  <c r="L133" i="4" s="1"/>
  <c r="L132" i="4" s="1"/>
  <c r="L389" i="4"/>
  <c r="L388" i="4" s="1"/>
  <c r="L387" i="4" s="1"/>
  <c r="L386" i="4"/>
  <c r="L385" i="4" s="1"/>
  <c r="L384" i="4" s="1"/>
  <c r="L383" i="4" s="1"/>
  <c r="L382" i="4" s="1"/>
  <c r="L381" i="4" s="1"/>
  <c r="K505" i="4"/>
  <c r="M505" i="4" s="1"/>
  <c r="K504" i="4"/>
  <c r="M504" i="4" s="1"/>
  <c r="K503" i="4"/>
  <c r="L380" i="4"/>
  <c r="L277" i="4"/>
  <c r="L379" i="4"/>
  <c r="M380" i="4"/>
  <c r="L131" i="4"/>
  <c r="L130" i="4"/>
  <c r="L129" i="4" s="1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M131" i="4"/>
  <c r="L378" i="4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276" i="4"/>
  <c r="L275" i="4"/>
  <c r="L274" i="4" s="1"/>
  <c r="L273" i="4"/>
  <c r="L272" i="4"/>
  <c r="L271" i="4"/>
  <c r="L270" i="4" s="1"/>
  <c r="L269" i="4" s="1"/>
  <c r="L268" i="4" s="1"/>
  <c r="L267" i="4"/>
  <c r="L266" i="4" s="1"/>
  <c r="L265" i="4" s="1"/>
  <c r="L264" i="4" s="1"/>
  <c r="L263" i="4" s="1"/>
  <c r="L262" i="4" s="1"/>
  <c r="L261" i="4"/>
  <c r="L260" i="4" s="1"/>
  <c r="L259" i="4" s="1"/>
  <c r="L258" i="4" s="1"/>
  <c r="L257" i="4" s="1"/>
  <c r="L359" i="4"/>
  <c r="L256" i="4"/>
  <c r="L109" i="4"/>
  <c r="M109" i="4" s="1"/>
  <c r="L255" i="4"/>
  <c r="L254" i="4" s="1"/>
  <c r="L253" i="4" s="1"/>
  <c r="L252" i="4" s="1"/>
  <c r="L251" i="4" s="1"/>
  <c r="L250" i="4" s="1"/>
  <c r="L249" i="4" s="1"/>
  <c r="L248" i="4" s="1"/>
  <c r="L247" i="4" s="1"/>
  <c r="L246" i="4" s="1"/>
  <c r="L245" i="4" s="1"/>
  <c r="L244" i="4" s="1"/>
  <c r="L243" i="4" s="1"/>
  <c r="L242" i="4" s="1"/>
  <c r="L241" i="4" s="1"/>
  <c r="L240" i="4" s="1"/>
  <c r="L239" i="4" s="1"/>
  <c r="L238" i="4" s="1"/>
  <c r="L237" i="4" s="1"/>
  <c r="L236" i="4" s="1"/>
  <c r="L338" i="4"/>
  <c r="L235" i="4"/>
  <c r="M235" i="4" s="1"/>
  <c r="L89" i="4"/>
  <c r="L337" i="4"/>
  <c r="L336" i="4" s="1"/>
  <c r="L335" i="4" s="1"/>
  <c r="L334" i="4" s="1"/>
  <c r="L333" i="4" s="1"/>
  <c r="L332" i="4" s="1"/>
  <c r="L331" i="4" s="1"/>
  <c r="L330" i="4" s="1"/>
  <c r="M338" i="4"/>
  <c r="L88" i="4"/>
  <c r="L87" i="4"/>
  <c r="L86" i="4" s="1"/>
  <c r="L85" i="4"/>
  <c r="L84" i="4" s="1"/>
  <c r="L83" i="4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72" i="4" s="1"/>
  <c r="L71" i="4" s="1"/>
  <c r="L329" i="4"/>
  <c r="L328" i="4" s="1"/>
  <c r="L327" i="4" s="1"/>
  <c r="L326" i="4" s="1"/>
  <c r="L325" i="4" s="1"/>
  <c r="L324" i="4" s="1"/>
  <c r="L323" i="4" s="1"/>
  <c r="L322" i="4" s="1"/>
  <c r="L321" i="4" s="1"/>
  <c r="L320" i="4" s="1"/>
  <c r="L319" i="4"/>
  <c r="L70" i="4"/>
  <c r="L69" i="4"/>
  <c r="L68" i="4" s="1"/>
  <c r="L67" i="4" s="1"/>
  <c r="L66" i="4" s="1"/>
  <c r="L65" i="4" s="1"/>
  <c r="M70" i="4"/>
  <c r="L213" i="4"/>
  <c r="L212" i="4" s="1"/>
  <c r="M68" i="4"/>
  <c r="L64" i="4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/>
  <c r="L47" i="4" s="1"/>
  <c r="M48" i="4"/>
  <c r="L46" i="4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M47" i="4"/>
  <c r="L192" i="4"/>
  <c r="L191" i="4"/>
  <c r="M192" i="4"/>
  <c r="L190" i="4"/>
  <c r="L189" i="4" s="1"/>
  <c r="M189" i="4" s="1"/>
  <c r="M190" i="4"/>
  <c r="L26" i="4"/>
  <c r="M26" i="4" s="1"/>
  <c r="L25" i="4"/>
  <c r="L24" i="4" s="1"/>
  <c r="L23" i="4" s="1"/>
  <c r="L171" i="4"/>
  <c r="L170" i="4"/>
  <c r="L169" i="4" s="1"/>
  <c r="L168" i="4" s="1"/>
  <c r="L167" i="4" s="1"/>
  <c r="L166" i="4" s="1"/>
  <c r="L165" i="4" s="1"/>
  <c r="L164" i="4" s="1"/>
  <c r="L163" i="4" s="1"/>
  <c r="L162" i="4" s="1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M169" i="4"/>
  <c r="L22" i="4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/>
  <c r="L5" i="4"/>
  <c r="M5" i="4" s="1"/>
  <c r="M6" i="4"/>
  <c r="L4" i="4"/>
  <c r="M4" i="4"/>
  <c r="M336" i="4" l="1"/>
  <c r="K335" i="4"/>
  <c r="M708" i="4"/>
  <c r="K707" i="4"/>
  <c r="M503" i="4"/>
  <c r="K502" i="4"/>
  <c r="K230" i="4"/>
  <c r="M819" i="4"/>
  <c r="K818" i="4"/>
  <c r="M1005" i="4"/>
  <c r="K1004" i="4"/>
  <c r="K397" i="4"/>
  <c r="M398" i="4"/>
  <c r="L1046" i="4"/>
  <c r="L1045" i="4" s="1"/>
  <c r="L1044" i="4" s="1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M1047" i="4"/>
  <c r="K22" i="4"/>
  <c r="M23" i="4"/>
  <c r="M585" i="4"/>
  <c r="K584" i="4"/>
  <c r="M379" i="4"/>
  <c r="K378" i="4"/>
  <c r="K167" i="4"/>
  <c r="M168" i="4"/>
  <c r="K667" i="4"/>
  <c r="M668" i="4"/>
  <c r="K295" i="4"/>
  <c r="M296" i="4"/>
  <c r="K625" i="4"/>
  <c r="M626" i="4"/>
  <c r="M212" i="4"/>
  <c r="L211" i="4"/>
  <c r="K646" i="4"/>
  <c r="M647" i="4"/>
  <c r="K731" i="4"/>
  <c r="M732" i="4"/>
  <c r="L318" i="4"/>
  <c r="M319" i="4"/>
  <c r="K855" i="4"/>
  <c r="M856" i="4"/>
  <c r="K44" i="4"/>
  <c r="K208" i="4"/>
  <c r="M24" i="4"/>
  <c r="M461" i="4"/>
  <c r="K460" i="4"/>
  <c r="K66" i="4"/>
  <c r="M67" i="4"/>
  <c r="M170" i="4"/>
  <c r="K352" i="4"/>
  <c r="M128" i="4"/>
  <c r="L108" i="4"/>
  <c r="K898" i="4"/>
  <c r="M899" i="4"/>
  <c r="K983" i="4"/>
  <c r="M984" i="4"/>
  <c r="M839" i="4"/>
  <c r="L838" i="4"/>
  <c r="M25" i="4"/>
  <c r="L188" i="4"/>
  <c r="L187" i="4" s="1"/>
  <c r="L186" i="4" s="1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M46" i="4"/>
  <c r="M213" i="4"/>
  <c r="M337" i="4"/>
  <c r="K919" i="4"/>
  <c r="M482" i="4"/>
  <c r="M276" i="4"/>
  <c r="K275" i="4"/>
  <c r="K187" i="4"/>
  <c r="M188" i="4"/>
  <c r="M191" i="4"/>
  <c r="K148" i="4"/>
  <c r="M149" i="4"/>
  <c r="M69" i="4"/>
  <c r="K688" i="4"/>
  <c r="M129" i="4"/>
  <c r="M526" i="4"/>
  <c r="M1059" i="4"/>
  <c r="M964" i="4"/>
  <c r="K963" i="4"/>
  <c r="M130" i="4"/>
  <c r="K419" i="4"/>
  <c r="M440" i="4"/>
  <c r="K439" i="4"/>
  <c r="L234" i="4"/>
  <c r="M1025" i="4"/>
  <c r="K1024" i="4"/>
  <c r="M879" i="4"/>
  <c r="K878" i="4"/>
  <c r="K940" i="4"/>
  <c r="M774" i="4"/>
  <c r="K773" i="4"/>
  <c r="K314" i="4"/>
  <c r="M880" i="4"/>
  <c r="K795" i="4"/>
  <c r="K1057" i="4"/>
  <c r="M1058" i="4"/>
  <c r="M709" i="4"/>
  <c r="K255" i="4"/>
  <c r="M609" i="4"/>
  <c r="K547" i="4"/>
  <c r="M548" i="4"/>
  <c r="K524" i="4"/>
  <c r="M525" i="4"/>
  <c r="K103" i="4"/>
  <c r="K834" i="4"/>
  <c r="M171" i="4"/>
  <c r="L358" i="4"/>
  <c r="M359" i="4"/>
  <c r="M1026" i="4"/>
  <c r="M775" i="4"/>
  <c r="K480" i="4"/>
  <c r="M481" i="4"/>
  <c r="M710" i="4"/>
  <c r="K127" i="4"/>
  <c r="M607" i="4"/>
  <c r="K606" i="4"/>
  <c r="K88" i="4"/>
  <c r="M89" i="4"/>
  <c r="M711" i="4"/>
  <c r="M712" i="4"/>
  <c r="M1046" i="4"/>
  <c r="K1045" i="4"/>
  <c r="M569" i="4"/>
  <c r="K568" i="4"/>
  <c r="K752" i="4"/>
  <c r="M754" i="4"/>
  <c r="M733" i="4"/>
  <c r="M1057" i="4" l="1"/>
  <c r="K1056" i="4"/>
  <c r="M940" i="4"/>
  <c r="K939" i="4"/>
  <c r="L317" i="4"/>
  <c r="M318" i="4"/>
  <c r="K501" i="4"/>
  <c r="M502" i="4"/>
  <c r="M547" i="4"/>
  <c r="K546" i="4"/>
  <c r="K351" i="4"/>
  <c r="K1003" i="4"/>
  <c r="M1004" i="4"/>
  <c r="K479" i="4"/>
  <c r="M480" i="4"/>
  <c r="K147" i="4"/>
  <c r="M148" i="4"/>
  <c r="M919" i="4"/>
  <c r="K918" i="4"/>
  <c r="M731" i="4"/>
  <c r="K730" i="4"/>
  <c r="M295" i="4"/>
  <c r="K294" i="4"/>
  <c r="K751" i="4"/>
  <c r="M752" i="4"/>
  <c r="M255" i="4"/>
  <c r="K254" i="4"/>
  <c r="M1024" i="4"/>
  <c r="K1023" i="4"/>
  <c r="K982" i="4"/>
  <c r="M983" i="4"/>
  <c r="K43" i="4"/>
  <c r="M44" i="4"/>
  <c r="K817" i="4"/>
  <c r="M818" i="4"/>
  <c r="L233" i="4"/>
  <c r="M234" i="4"/>
  <c r="M898" i="4"/>
  <c r="K897" i="4"/>
  <c r="K418" i="4"/>
  <c r="M419" i="4"/>
  <c r="L837" i="4"/>
  <c r="M838" i="4"/>
  <c r="K624" i="4"/>
  <c r="M625" i="4"/>
  <c r="M397" i="4"/>
  <c r="K396" i="4"/>
  <c r="M878" i="4"/>
  <c r="K877" i="4"/>
  <c r="K207" i="4"/>
  <c r="K583" i="4"/>
  <c r="M584" i="4"/>
  <c r="M795" i="4"/>
  <c r="K794" i="4"/>
  <c r="M963" i="4"/>
  <c r="K962" i="4"/>
  <c r="K567" i="4"/>
  <c r="M568" i="4"/>
  <c r="K87" i="4"/>
  <c r="M88" i="4"/>
  <c r="K833" i="4"/>
  <c r="K645" i="4"/>
  <c r="M646" i="4"/>
  <c r="K666" i="4"/>
  <c r="M667" i="4"/>
  <c r="K21" i="4"/>
  <c r="M22" i="4"/>
  <c r="K706" i="4"/>
  <c r="M707" i="4"/>
  <c r="K102" i="4"/>
  <c r="L357" i="4"/>
  <c r="M358" i="4"/>
  <c r="L107" i="4"/>
  <c r="M108" i="4"/>
  <c r="M460" i="4"/>
  <c r="K459" i="4"/>
  <c r="M855" i="4"/>
  <c r="K854" i="4"/>
  <c r="K166" i="4"/>
  <c r="M167" i="4"/>
  <c r="K334" i="4"/>
  <c r="M335" i="4"/>
  <c r="M606" i="4"/>
  <c r="K605" i="4"/>
  <c r="K313" i="4"/>
  <c r="K65" i="4"/>
  <c r="M66" i="4"/>
  <c r="L210" i="4"/>
  <c r="M211" i="4"/>
  <c r="K1044" i="4"/>
  <c r="M1045" i="4"/>
  <c r="K772" i="4"/>
  <c r="M773" i="4"/>
  <c r="M439" i="4"/>
  <c r="K438" i="4"/>
  <c r="K186" i="4"/>
  <c r="M187" i="4"/>
  <c r="K126" i="4"/>
  <c r="M127" i="4"/>
  <c r="K523" i="4"/>
  <c r="M524" i="4"/>
  <c r="M688" i="4"/>
  <c r="K687" i="4"/>
  <c r="K274" i="4"/>
  <c r="M275" i="4"/>
  <c r="K377" i="4"/>
  <c r="M378" i="4"/>
  <c r="K229" i="4"/>
  <c r="K832" i="4" l="1"/>
  <c r="K896" i="4"/>
  <c r="M897" i="4"/>
  <c r="M377" i="4"/>
  <c r="K376" i="4"/>
  <c r="K981" i="4"/>
  <c r="M982" i="4"/>
  <c r="K478" i="4"/>
  <c r="M479" i="4"/>
  <c r="K729" i="4"/>
  <c r="M730" i="4"/>
  <c r="K185" i="4"/>
  <c r="M186" i="4"/>
  <c r="L209" i="4"/>
  <c r="M210" i="4"/>
  <c r="K333" i="4"/>
  <c r="M334" i="4"/>
  <c r="L106" i="4"/>
  <c r="M107" i="4"/>
  <c r="K20" i="4"/>
  <c r="M21" i="4"/>
  <c r="M87" i="4"/>
  <c r="K86" i="4"/>
  <c r="K582" i="4"/>
  <c r="M583" i="4"/>
  <c r="M624" i="4"/>
  <c r="K623" i="4"/>
  <c r="L232" i="4"/>
  <c r="M233" i="4"/>
  <c r="M1003" i="4"/>
  <c r="K1002" i="4"/>
  <c r="L316" i="4"/>
  <c r="M317" i="4"/>
  <c r="M396" i="4"/>
  <c r="K395" i="4"/>
  <c r="K1043" i="4"/>
  <c r="M1044" i="4"/>
  <c r="K500" i="4"/>
  <c r="M501" i="4"/>
  <c r="K1022" i="4"/>
  <c r="M1023" i="4"/>
  <c r="K273" i="4"/>
  <c r="M274" i="4"/>
  <c r="K686" i="4"/>
  <c r="M687" i="4"/>
  <c r="K437" i="4"/>
  <c r="M438" i="4"/>
  <c r="M254" i="4"/>
  <c r="K253" i="4"/>
  <c r="M918" i="4"/>
  <c r="K917" i="4"/>
  <c r="K938" i="4"/>
  <c r="M939" i="4"/>
  <c r="K458" i="4"/>
  <c r="M459" i="4"/>
  <c r="K793" i="4"/>
  <c r="M794" i="4"/>
  <c r="K125" i="4"/>
  <c r="M126" i="4"/>
  <c r="K705" i="4"/>
  <c r="M706" i="4"/>
  <c r="M166" i="4"/>
  <c r="K165" i="4"/>
  <c r="K665" i="4"/>
  <c r="M666" i="4"/>
  <c r="K206" i="4"/>
  <c r="M817" i="4"/>
  <c r="K816" i="4"/>
  <c r="K350" i="4"/>
  <c r="K853" i="4"/>
  <c r="M854" i="4"/>
  <c r="M962" i="4"/>
  <c r="K961" i="4"/>
  <c r="M877" i="4"/>
  <c r="K876" i="4"/>
  <c r="M546" i="4"/>
  <c r="K545" i="4"/>
  <c r="K1055" i="4"/>
  <c r="M1056" i="4"/>
  <c r="K604" i="4"/>
  <c r="M605" i="4"/>
  <c r="K293" i="4"/>
  <c r="M294" i="4"/>
  <c r="K64" i="4"/>
  <c r="M65" i="4"/>
  <c r="L356" i="4"/>
  <c r="M357" i="4"/>
  <c r="M567" i="4"/>
  <c r="K566" i="4"/>
  <c r="L836" i="4"/>
  <c r="M837" i="4"/>
  <c r="K228" i="4"/>
  <c r="K522" i="4"/>
  <c r="M523" i="4"/>
  <c r="K771" i="4"/>
  <c r="M772" i="4"/>
  <c r="K312" i="4"/>
  <c r="K101" i="4"/>
  <c r="K644" i="4"/>
  <c r="M645" i="4"/>
  <c r="M418" i="4"/>
  <c r="K417" i="4"/>
  <c r="K42" i="4"/>
  <c r="M43" i="4"/>
  <c r="M751" i="4"/>
  <c r="K750" i="4"/>
  <c r="M147" i="4"/>
  <c r="K146" i="4"/>
  <c r="K85" i="4" l="1"/>
  <c r="M86" i="4"/>
  <c r="K100" i="4"/>
  <c r="L208" i="4"/>
  <c r="M209" i="4"/>
  <c r="M816" i="4"/>
  <c r="K815" i="4"/>
  <c r="K41" i="4"/>
  <c r="M42" i="4"/>
  <c r="L835" i="4"/>
  <c r="M836" i="4"/>
  <c r="K292" i="4"/>
  <c r="M293" i="4"/>
  <c r="K704" i="4"/>
  <c r="M705" i="4"/>
  <c r="M938" i="4"/>
  <c r="K937" i="4"/>
  <c r="M686" i="4"/>
  <c r="K685" i="4"/>
  <c r="K1042" i="4"/>
  <c r="M1043" i="4"/>
  <c r="L231" i="4"/>
  <c r="M232" i="4"/>
  <c r="K19" i="4"/>
  <c r="M20" i="4"/>
  <c r="K184" i="4"/>
  <c r="M185" i="4"/>
  <c r="K1001" i="4"/>
  <c r="M1002" i="4"/>
  <c r="K63" i="4"/>
  <c r="M64" i="4"/>
  <c r="K436" i="4"/>
  <c r="M437" i="4"/>
  <c r="M876" i="4"/>
  <c r="K875" i="4"/>
  <c r="M376" i="4"/>
  <c r="K375" i="4"/>
  <c r="M566" i="4"/>
  <c r="K565" i="4"/>
  <c r="M917" i="4"/>
  <c r="K916" i="4"/>
  <c r="M623" i="4"/>
  <c r="K622" i="4"/>
  <c r="K603" i="4"/>
  <c r="M604" i="4"/>
  <c r="K124" i="4"/>
  <c r="M125" i="4"/>
  <c r="K272" i="4"/>
  <c r="M273" i="4"/>
  <c r="L105" i="4"/>
  <c r="M106" i="4"/>
  <c r="K728" i="4"/>
  <c r="M729" i="4"/>
  <c r="K895" i="4"/>
  <c r="M896" i="4"/>
  <c r="K749" i="4"/>
  <c r="M750" i="4"/>
  <c r="M165" i="4"/>
  <c r="K164" i="4"/>
  <c r="K227" i="4"/>
  <c r="K457" i="4"/>
  <c r="M458" i="4"/>
  <c r="K980" i="4"/>
  <c r="M981" i="4"/>
  <c r="K416" i="4"/>
  <c r="M417" i="4"/>
  <c r="M395" i="4"/>
  <c r="K394" i="4"/>
  <c r="K770" i="4"/>
  <c r="M771" i="4"/>
  <c r="K205" i="4"/>
  <c r="M146" i="4"/>
  <c r="K145" i="4"/>
  <c r="K252" i="4"/>
  <c r="M253" i="4"/>
  <c r="K831" i="4"/>
  <c r="K544" i="4"/>
  <c r="M545" i="4"/>
  <c r="K349" i="4"/>
  <c r="M500" i="4"/>
  <c r="K499" i="4"/>
  <c r="K311" i="4"/>
  <c r="M961" i="4"/>
  <c r="K960" i="4"/>
  <c r="K643" i="4"/>
  <c r="M644" i="4"/>
  <c r="K521" i="4"/>
  <c r="M522" i="4"/>
  <c r="L355" i="4"/>
  <c r="M356" i="4"/>
  <c r="K1054" i="4"/>
  <c r="M1055" i="4"/>
  <c r="M853" i="4"/>
  <c r="K852" i="4"/>
  <c r="M665" i="4"/>
  <c r="K664" i="4"/>
  <c r="K792" i="4"/>
  <c r="M793" i="4"/>
  <c r="M1022" i="4"/>
  <c r="K1021" i="4"/>
  <c r="L315" i="4"/>
  <c r="M316" i="4"/>
  <c r="M582" i="4"/>
  <c r="K581" i="4"/>
  <c r="K332" i="4"/>
  <c r="M333" i="4"/>
  <c r="K477" i="4"/>
  <c r="M478" i="4"/>
  <c r="M332" i="4" l="1"/>
  <c r="K331" i="4"/>
  <c r="K830" i="4"/>
  <c r="M124" i="4"/>
  <c r="K123" i="4"/>
  <c r="K580" i="4"/>
  <c r="M581" i="4"/>
  <c r="K374" i="4"/>
  <c r="M375" i="4"/>
  <c r="K520" i="4"/>
  <c r="M521" i="4"/>
  <c r="K251" i="4"/>
  <c r="M252" i="4"/>
  <c r="K226" i="4"/>
  <c r="K727" i="4"/>
  <c r="M728" i="4"/>
  <c r="M603" i="4"/>
  <c r="K602" i="4"/>
  <c r="M1001" i="4"/>
  <c r="K1000" i="4"/>
  <c r="K1041" i="4"/>
  <c r="M1042" i="4"/>
  <c r="K291" i="4"/>
  <c r="M292" i="4"/>
  <c r="L207" i="4"/>
  <c r="M208" i="4"/>
  <c r="K791" i="4"/>
  <c r="M792" i="4"/>
  <c r="K894" i="4"/>
  <c r="M895" i="4"/>
  <c r="K703" i="4"/>
  <c r="M704" i="4"/>
  <c r="K498" i="4"/>
  <c r="M499" i="4"/>
  <c r="M875" i="4"/>
  <c r="K874" i="4"/>
  <c r="L314" i="4"/>
  <c r="M315" i="4"/>
  <c r="K348" i="4"/>
  <c r="K415" i="4"/>
  <c r="M416" i="4"/>
  <c r="M105" i="4"/>
  <c r="L104" i="4"/>
  <c r="K183" i="4"/>
  <c r="M184" i="4"/>
  <c r="L834" i="4"/>
  <c r="M835" i="4"/>
  <c r="K99" i="4"/>
  <c r="K564" i="4"/>
  <c r="M565" i="4"/>
  <c r="L354" i="4"/>
  <c r="M355" i="4"/>
  <c r="M770" i="4"/>
  <c r="K769" i="4"/>
  <c r="K62" i="4"/>
  <c r="M63" i="4"/>
  <c r="K393" i="4"/>
  <c r="M394" i="4"/>
  <c r="K144" i="4"/>
  <c r="M145" i="4"/>
  <c r="M622" i="4"/>
  <c r="K621" i="4"/>
  <c r="K684" i="4"/>
  <c r="M685" i="4"/>
  <c r="K642" i="4"/>
  <c r="M643" i="4"/>
  <c r="K1020" i="4"/>
  <c r="M1021" i="4"/>
  <c r="K959" i="4"/>
  <c r="M960" i="4"/>
  <c r="K204" i="4"/>
  <c r="K915" i="4"/>
  <c r="M916" i="4"/>
  <c r="K936" i="4"/>
  <c r="M937" i="4"/>
  <c r="K814" i="4"/>
  <c r="M815" i="4"/>
  <c r="K310" i="4"/>
  <c r="M457" i="4"/>
  <c r="K456" i="4"/>
  <c r="L230" i="4"/>
  <c r="M231" i="4"/>
  <c r="M664" i="4"/>
  <c r="K663" i="4"/>
  <c r="M852" i="4"/>
  <c r="K851" i="4"/>
  <c r="K163" i="4"/>
  <c r="M164" i="4"/>
  <c r="K476" i="4"/>
  <c r="M477" i="4"/>
  <c r="K1053" i="4"/>
  <c r="M1054" i="4"/>
  <c r="K543" i="4"/>
  <c r="M544" i="4"/>
  <c r="K979" i="4"/>
  <c r="M980" i="4"/>
  <c r="K748" i="4"/>
  <c r="M749" i="4"/>
  <c r="K271" i="4"/>
  <c r="M272" i="4"/>
  <c r="M436" i="4"/>
  <c r="K435" i="4"/>
  <c r="K18" i="4"/>
  <c r="M19" i="4"/>
  <c r="K40" i="4"/>
  <c r="M41" i="4"/>
  <c r="M85" i="4"/>
  <c r="K84" i="4"/>
  <c r="M40" i="4" l="1"/>
  <c r="K39" i="4"/>
  <c r="L229" i="4"/>
  <c r="M230" i="4"/>
  <c r="K143" i="4"/>
  <c r="M144" i="4"/>
  <c r="L313" i="4"/>
  <c r="M314" i="4"/>
  <c r="M580" i="4"/>
  <c r="K579" i="4"/>
  <c r="K999" i="4"/>
  <c r="M1000" i="4"/>
  <c r="K17" i="4"/>
  <c r="M18" i="4"/>
  <c r="M915" i="4"/>
  <c r="K914" i="4"/>
  <c r="K563" i="4"/>
  <c r="M564" i="4"/>
  <c r="M602" i="4"/>
  <c r="K601" i="4"/>
  <c r="K542" i="4"/>
  <c r="M543" i="4"/>
  <c r="K309" i="4"/>
  <c r="K203" i="4"/>
  <c r="K683" i="4"/>
  <c r="M684" i="4"/>
  <c r="K61" i="4"/>
  <c r="M62" i="4"/>
  <c r="K98" i="4"/>
  <c r="K414" i="4"/>
  <c r="M415" i="4"/>
  <c r="M498" i="4"/>
  <c r="K497" i="4"/>
  <c r="L206" i="4"/>
  <c r="M207" i="4"/>
  <c r="M520" i="4"/>
  <c r="K519" i="4"/>
  <c r="K829" i="4"/>
  <c r="M476" i="4"/>
  <c r="K475" i="4"/>
  <c r="K1019" i="4"/>
  <c r="M1020" i="4"/>
  <c r="K182" i="4"/>
  <c r="M183" i="4"/>
  <c r="M1041" i="4"/>
  <c r="K1040" i="4"/>
  <c r="M456" i="4"/>
  <c r="K455" i="4"/>
  <c r="K873" i="4"/>
  <c r="M874" i="4"/>
  <c r="K978" i="4"/>
  <c r="M979" i="4"/>
  <c r="K392" i="4"/>
  <c r="M393" i="4"/>
  <c r="K250" i="4"/>
  <c r="M251" i="4"/>
  <c r="K850" i="4"/>
  <c r="M851" i="4"/>
  <c r="M84" i="4"/>
  <c r="K83" i="4"/>
  <c r="K662" i="4"/>
  <c r="M663" i="4"/>
  <c r="K620" i="4"/>
  <c r="M621" i="4"/>
  <c r="M769" i="4"/>
  <c r="K768" i="4"/>
  <c r="K347" i="4"/>
  <c r="K330" i="4"/>
  <c r="M331" i="4"/>
  <c r="K225" i="4"/>
  <c r="M748" i="4"/>
  <c r="K747" i="4"/>
  <c r="K935" i="4"/>
  <c r="M936" i="4"/>
  <c r="L353" i="4"/>
  <c r="M354" i="4"/>
  <c r="M894" i="4"/>
  <c r="K893" i="4"/>
  <c r="L103" i="4"/>
  <c r="M104" i="4"/>
  <c r="K122" i="4"/>
  <c r="M123" i="4"/>
  <c r="M163" i="4"/>
  <c r="K162" i="4"/>
  <c r="K641" i="4"/>
  <c r="M642" i="4"/>
  <c r="K790" i="4"/>
  <c r="M791" i="4"/>
  <c r="K434" i="4"/>
  <c r="M435" i="4"/>
  <c r="K270" i="4"/>
  <c r="M271" i="4"/>
  <c r="M1053" i="4"/>
  <c r="K1052" i="4"/>
  <c r="K813" i="4"/>
  <c r="M814" i="4"/>
  <c r="M959" i="4"/>
  <c r="K958" i="4"/>
  <c r="L833" i="4"/>
  <c r="M834" i="4"/>
  <c r="K702" i="4"/>
  <c r="M703" i="4"/>
  <c r="K290" i="4"/>
  <c r="M291" i="4"/>
  <c r="K726" i="4"/>
  <c r="M727" i="4"/>
  <c r="M374" i="4"/>
  <c r="K373" i="4"/>
  <c r="K346" i="4" l="1"/>
  <c r="M726" i="4"/>
  <c r="K725" i="4"/>
  <c r="M978" i="4"/>
  <c r="K977" i="4"/>
  <c r="K746" i="4"/>
  <c r="M747" i="4"/>
  <c r="M290" i="4"/>
  <c r="K289" i="4"/>
  <c r="L102" i="4"/>
  <c r="M103" i="4"/>
  <c r="M850" i="4"/>
  <c r="K849" i="4"/>
  <c r="K872" i="4"/>
  <c r="M873" i="4"/>
  <c r="K1018" i="4"/>
  <c r="M1019" i="4"/>
  <c r="L205" i="4"/>
  <c r="M206" i="4"/>
  <c r="K60" i="4"/>
  <c r="M61" i="4"/>
  <c r="M542" i="4"/>
  <c r="K541" i="4"/>
  <c r="K16" i="4"/>
  <c r="M17" i="4"/>
  <c r="K142" i="4"/>
  <c r="M143" i="4"/>
  <c r="K82" i="4"/>
  <c r="M83" i="4"/>
  <c r="K308" i="4"/>
  <c r="K121" i="4"/>
  <c r="M122" i="4"/>
  <c r="L312" i="4"/>
  <c r="M313" i="4"/>
  <c r="M1052" i="4"/>
  <c r="K1051" i="4"/>
  <c r="K224" i="4"/>
  <c r="K496" i="4"/>
  <c r="M497" i="4"/>
  <c r="K701" i="4"/>
  <c r="M702" i="4"/>
  <c r="K640" i="4"/>
  <c r="M641" i="4"/>
  <c r="M620" i="4"/>
  <c r="K619" i="4"/>
  <c r="K249" i="4"/>
  <c r="M250" i="4"/>
  <c r="M683" i="4"/>
  <c r="K682" i="4"/>
  <c r="K998" i="4"/>
  <c r="M999" i="4"/>
  <c r="L228" i="4"/>
  <c r="M229" i="4"/>
  <c r="K957" i="4"/>
  <c r="M958" i="4"/>
  <c r="M914" i="4"/>
  <c r="K913" i="4"/>
  <c r="M935" i="4"/>
  <c r="K934" i="4"/>
  <c r="K97" i="4"/>
  <c r="K767" i="4"/>
  <c r="M768" i="4"/>
  <c r="M813" i="4"/>
  <c r="K812" i="4"/>
  <c r="M893" i="4"/>
  <c r="K892" i="4"/>
  <c r="M475" i="4"/>
  <c r="K474" i="4"/>
  <c r="K372" i="4"/>
  <c r="M373" i="4"/>
  <c r="K161" i="4"/>
  <c r="M162" i="4"/>
  <c r="K1039" i="4"/>
  <c r="M1040" i="4"/>
  <c r="K828" i="4"/>
  <c r="K578" i="4"/>
  <c r="M579" i="4"/>
  <c r="K38" i="4"/>
  <c r="M39" i="4"/>
  <c r="M519" i="4"/>
  <c r="K518" i="4"/>
  <c r="K433" i="4"/>
  <c r="M434" i="4"/>
  <c r="K181" i="4"/>
  <c r="M182" i="4"/>
  <c r="K789" i="4"/>
  <c r="M790" i="4"/>
  <c r="K454" i="4"/>
  <c r="M455" i="4"/>
  <c r="K600" i="4"/>
  <c r="M601" i="4"/>
  <c r="L832" i="4"/>
  <c r="M833" i="4"/>
  <c r="K269" i="4"/>
  <c r="M270" i="4"/>
  <c r="L352" i="4"/>
  <c r="M353" i="4"/>
  <c r="K329" i="4"/>
  <c r="M330" i="4"/>
  <c r="K661" i="4"/>
  <c r="M662" i="4"/>
  <c r="K391" i="4"/>
  <c r="M392" i="4"/>
  <c r="K413" i="4"/>
  <c r="M414" i="4"/>
  <c r="K202" i="4"/>
  <c r="K562" i="4"/>
  <c r="M563" i="4"/>
  <c r="K96" i="4" l="1"/>
  <c r="M600" i="4"/>
  <c r="K599" i="4"/>
  <c r="K871" i="4"/>
  <c r="M872" i="4"/>
  <c r="M518" i="4"/>
  <c r="K517" i="4"/>
  <c r="M934" i="4"/>
  <c r="K933" i="4"/>
  <c r="M849" i="4"/>
  <c r="K848" i="4"/>
  <c r="K412" i="4"/>
  <c r="M413" i="4"/>
  <c r="K453" i="4"/>
  <c r="M454" i="4"/>
  <c r="M998" i="4"/>
  <c r="K997" i="4"/>
  <c r="K639" i="4"/>
  <c r="M640" i="4"/>
  <c r="K81" i="4"/>
  <c r="M82" i="4"/>
  <c r="K59" i="4"/>
  <c r="M60" i="4"/>
  <c r="M474" i="4"/>
  <c r="K473" i="4"/>
  <c r="K201" i="4"/>
  <c r="L227" i="4"/>
  <c r="M228" i="4"/>
  <c r="M746" i="4"/>
  <c r="K745" i="4"/>
  <c r="K891" i="4"/>
  <c r="M892" i="4"/>
  <c r="K1050" i="4"/>
  <c r="M1051" i="4"/>
  <c r="M977" i="4"/>
  <c r="K976" i="4"/>
  <c r="L351" i="4"/>
  <c r="M352" i="4"/>
  <c r="M1039" i="4"/>
  <c r="K1038" i="4"/>
  <c r="M812" i="4"/>
  <c r="K811" i="4"/>
  <c r="K912" i="4"/>
  <c r="M913" i="4"/>
  <c r="M682" i="4"/>
  <c r="K681" i="4"/>
  <c r="M725" i="4"/>
  <c r="K724" i="4"/>
  <c r="M541" i="4"/>
  <c r="K540" i="4"/>
  <c r="K328" i="4"/>
  <c r="M329" i="4"/>
  <c r="K223" i="4"/>
  <c r="K390" i="4"/>
  <c r="M391" i="4"/>
  <c r="M789" i="4"/>
  <c r="K788" i="4"/>
  <c r="M161" i="4"/>
  <c r="K160" i="4"/>
  <c r="K700" i="4"/>
  <c r="M701" i="4"/>
  <c r="L311" i="4"/>
  <c r="M312" i="4"/>
  <c r="M142" i="4"/>
  <c r="K141" i="4"/>
  <c r="L204" i="4"/>
  <c r="M205" i="4"/>
  <c r="L101" i="4"/>
  <c r="M102" i="4"/>
  <c r="K288" i="4"/>
  <c r="M289" i="4"/>
  <c r="K345" i="4"/>
  <c r="K827" i="4"/>
  <c r="M619" i="4"/>
  <c r="K618" i="4"/>
  <c r="M433" i="4"/>
  <c r="K432" i="4"/>
  <c r="K307" i="4"/>
  <c r="M269" i="4"/>
  <c r="K268" i="4"/>
  <c r="K37" i="4"/>
  <c r="M38" i="4"/>
  <c r="K561" i="4"/>
  <c r="M562" i="4"/>
  <c r="K660" i="4"/>
  <c r="M661" i="4"/>
  <c r="L831" i="4"/>
  <c r="M832" i="4"/>
  <c r="K180" i="4"/>
  <c r="M181" i="4"/>
  <c r="K577" i="4"/>
  <c r="M578" i="4"/>
  <c r="K371" i="4"/>
  <c r="M372" i="4"/>
  <c r="K766" i="4"/>
  <c r="M767" i="4"/>
  <c r="M957" i="4"/>
  <c r="K956" i="4"/>
  <c r="K248" i="4"/>
  <c r="M249" i="4"/>
  <c r="M496" i="4"/>
  <c r="K495" i="4"/>
  <c r="K120" i="4"/>
  <c r="M121" i="4"/>
  <c r="K15" i="4"/>
  <c r="M16" i="4"/>
  <c r="M1018" i="4"/>
  <c r="K1017" i="4"/>
  <c r="K744" i="4" l="1"/>
  <c r="M745" i="4"/>
  <c r="K179" i="4"/>
  <c r="M180" i="4"/>
  <c r="L350" i="4"/>
  <c r="M351" i="4"/>
  <c r="K826" i="4"/>
  <c r="M976" i="4"/>
  <c r="K975" i="4"/>
  <c r="K765" i="4"/>
  <c r="M766" i="4"/>
  <c r="L830" i="4"/>
  <c r="M831" i="4"/>
  <c r="L203" i="4"/>
  <c r="M204" i="4"/>
  <c r="K327" i="4"/>
  <c r="M328" i="4"/>
  <c r="K911" i="4"/>
  <c r="M912" i="4"/>
  <c r="L226" i="4"/>
  <c r="M227" i="4"/>
  <c r="K80" i="4"/>
  <c r="M81" i="4"/>
  <c r="K411" i="4"/>
  <c r="M412" i="4"/>
  <c r="M871" i="4"/>
  <c r="K870" i="4"/>
  <c r="K617" i="4"/>
  <c r="M618" i="4"/>
  <c r="M15" i="4"/>
  <c r="K14" i="4"/>
  <c r="L100" i="4"/>
  <c r="M101" i="4"/>
  <c r="K58" i="4"/>
  <c r="M59" i="4"/>
  <c r="K267" i="4"/>
  <c r="M268" i="4"/>
  <c r="M160" i="4"/>
  <c r="K159" i="4"/>
  <c r="K119" i="4"/>
  <c r="M120" i="4"/>
  <c r="K494" i="4"/>
  <c r="M495" i="4"/>
  <c r="K140" i="4"/>
  <c r="M141" i="4"/>
  <c r="M788" i="4"/>
  <c r="K787" i="4"/>
  <c r="K539" i="4"/>
  <c r="M540" i="4"/>
  <c r="M811" i="4"/>
  <c r="K810" i="4"/>
  <c r="K847" i="4"/>
  <c r="M848" i="4"/>
  <c r="M599" i="4"/>
  <c r="K598" i="4"/>
  <c r="M517" i="4"/>
  <c r="K516" i="4"/>
  <c r="K699" i="4"/>
  <c r="M700" i="4"/>
  <c r="K452" i="4"/>
  <c r="M453" i="4"/>
  <c r="M660" i="4"/>
  <c r="K659" i="4"/>
  <c r="K344" i="4"/>
  <c r="M1050" i="4"/>
  <c r="K1049" i="4"/>
  <c r="K638" i="4"/>
  <c r="M639" i="4"/>
  <c r="M1017" i="4"/>
  <c r="K1016" i="4"/>
  <c r="K431" i="4"/>
  <c r="M432" i="4"/>
  <c r="K723" i="4"/>
  <c r="M724" i="4"/>
  <c r="M1038" i="4"/>
  <c r="K1037" i="4"/>
  <c r="K472" i="4"/>
  <c r="M473" i="4"/>
  <c r="K996" i="4"/>
  <c r="M997" i="4"/>
  <c r="M933" i="4"/>
  <c r="K932" i="4"/>
  <c r="M956" i="4"/>
  <c r="K955" i="4"/>
  <c r="K680" i="4"/>
  <c r="M681" i="4"/>
  <c r="K36" i="4"/>
  <c r="M37" i="4"/>
  <c r="K222" i="4"/>
  <c r="K370" i="4"/>
  <c r="M371" i="4"/>
  <c r="K306" i="4"/>
  <c r="K200" i="4"/>
  <c r="K247" i="4"/>
  <c r="M248" i="4"/>
  <c r="M577" i="4"/>
  <c r="K576" i="4"/>
  <c r="K560" i="4"/>
  <c r="M561" i="4"/>
  <c r="K287" i="4"/>
  <c r="M288" i="4"/>
  <c r="L310" i="4"/>
  <c r="M311" i="4"/>
  <c r="K389" i="4"/>
  <c r="M390" i="4"/>
  <c r="K890" i="4"/>
  <c r="M891" i="4"/>
  <c r="K95" i="4"/>
  <c r="M659" i="4" l="1"/>
  <c r="K658" i="4"/>
  <c r="K13" i="4"/>
  <c r="M14" i="4"/>
  <c r="K305" i="4"/>
  <c r="K825" i="4"/>
  <c r="M955" i="4"/>
  <c r="K954" i="4"/>
  <c r="M389" i="4"/>
  <c r="K388" i="4"/>
  <c r="M847" i="4"/>
  <c r="K846" i="4"/>
  <c r="M617" i="4"/>
  <c r="K616" i="4"/>
  <c r="L829" i="4"/>
  <c r="M830" i="4"/>
  <c r="K1048" i="4"/>
  <c r="M1048" i="4" s="1"/>
  <c r="M1049" i="4"/>
  <c r="M810" i="4"/>
  <c r="K809" i="4"/>
  <c r="L309" i="4"/>
  <c r="M310" i="4"/>
  <c r="K221" i="4"/>
  <c r="M723" i="4"/>
  <c r="K722" i="4"/>
  <c r="K698" i="4"/>
  <c r="M699" i="4"/>
  <c r="M494" i="4"/>
  <c r="K493" i="4"/>
  <c r="M58" i="4"/>
  <c r="K57" i="4"/>
  <c r="K910" i="4"/>
  <c r="M911" i="4"/>
  <c r="M765" i="4"/>
  <c r="K764" i="4"/>
  <c r="K178" i="4"/>
  <c r="M179" i="4"/>
  <c r="M1016" i="4"/>
  <c r="K1015" i="4"/>
  <c r="K158" i="4"/>
  <c r="M159" i="4"/>
  <c r="K889" i="4"/>
  <c r="M890" i="4"/>
  <c r="K679" i="4"/>
  <c r="M680" i="4"/>
  <c r="K79" i="4"/>
  <c r="M80" i="4"/>
  <c r="M1037" i="4"/>
  <c r="K1036" i="4"/>
  <c r="M638" i="4"/>
  <c r="K637" i="4"/>
  <c r="K139" i="4"/>
  <c r="M140" i="4"/>
  <c r="L225" i="4"/>
  <c r="M226" i="4"/>
  <c r="M932" i="4"/>
  <c r="K931" i="4"/>
  <c r="K869" i="4"/>
  <c r="M870" i="4"/>
  <c r="K246" i="4"/>
  <c r="M247" i="4"/>
  <c r="K199" i="4"/>
  <c r="M516" i="4"/>
  <c r="K515" i="4"/>
  <c r="K974" i="4"/>
  <c r="M975" i="4"/>
  <c r="M598" i="4"/>
  <c r="K597" i="4"/>
  <c r="M787" i="4"/>
  <c r="K786" i="4"/>
  <c r="K559" i="4"/>
  <c r="M560" i="4"/>
  <c r="K471" i="4"/>
  <c r="M472" i="4"/>
  <c r="L202" i="4"/>
  <c r="M203" i="4"/>
  <c r="M576" i="4"/>
  <c r="K575" i="4"/>
  <c r="K369" i="4"/>
  <c r="M370" i="4"/>
  <c r="M452" i="4"/>
  <c r="K451" i="4"/>
  <c r="M267" i="4"/>
  <c r="K266" i="4"/>
  <c r="L349" i="4"/>
  <c r="M350" i="4"/>
  <c r="K94" i="4"/>
  <c r="M287" i="4"/>
  <c r="K286" i="4"/>
  <c r="K35" i="4"/>
  <c r="M36" i="4"/>
  <c r="K995" i="4"/>
  <c r="M996" i="4"/>
  <c r="K430" i="4"/>
  <c r="M431" i="4"/>
  <c r="K343" i="4"/>
  <c r="M539" i="4"/>
  <c r="K538" i="4"/>
  <c r="K118" i="4"/>
  <c r="M119" i="4"/>
  <c r="L99" i="4"/>
  <c r="M100" i="4"/>
  <c r="M411" i="4"/>
  <c r="K410" i="4"/>
  <c r="K326" i="4"/>
  <c r="M327" i="4"/>
  <c r="K743" i="4"/>
  <c r="M744" i="4"/>
  <c r="K34" i="4" l="1"/>
  <c r="M35" i="4"/>
  <c r="K138" i="4"/>
  <c r="M139" i="4"/>
  <c r="M515" i="4"/>
  <c r="K514" i="4"/>
  <c r="K537" i="4"/>
  <c r="M538" i="4"/>
  <c r="K265" i="4"/>
  <c r="M266" i="4"/>
  <c r="K596" i="4"/>
  <c r="M597" i="4"/>
  <c r="M493" i="4"/>
  <c r="K492" i="4"/>
  <c r="K615" i="4"/>
  <c r="M616" i="4"/>
  <c r="K824" i="4"/>
  <c r="K245" i="4"/>
  <c r="M246" i="4"/>
  <c r="L308" i="4"/>
  <c r="M309" i="4"/>
  <c r="K409" i="4"/>
  <c r="M410" i="4"/>
  <c r="K285" i="4"/>
  <c r="M286" i="4"/>
  <c r="M451" i="4"/>
  <c r="K450" i="4"/>
  <c r="M637" i="4"/>
  <c r="K636" i="4"/>
  <c r="M764" i="4"/>
  <c r="K763" i="4"/>
  <c r="K808" i="4"/>
  <c r="M809" i="4"/>
  <c r="M846" i="4"/>
  <c r="K845" i="4"/>
  <c r="K304" i="4"/>
  <c r="K342" i="4"/>
  <c r="M471" i="4"/>
  <c r="K470" i="4"/>
  <c r="K973" i="4"/>
  <c r="M974" i="4"/>
  <c r="M869" i="4"/>
  <c r="K868" i="4"/>
  <c r="K888" i="4"/>
  <c r="M889" i="4"/>
  <c r="M698" i="4"/>
  <c r="K697" i="4"/>
  <c r="L201" i="4"/>
  <c r="M202" i="4"/>
  <c r="K177" i="4"/>
  <c r="M178" i="4"/>
  <c r="K1035" i="4"/>
  <c r="M1036" i="4"/>
  <c r="M388" i="4"/>
  <c r="K387" i="4"/>
  <c r="L98" i="4"/>
  <c r="M99" i="4"/>
  <c r="K93" i="4"/>
  <c r="M559" i="4"/>
  <c r="K558" i="4"/>
  <c r="K157" i="4"/>
  <c r="M158" i="4"/>
  <c r="K12" i="4"/>
  <c r="M13" i="4"/>
  <c r="K574" i="4"/>
  <c r="M575" i="4"/>
  <c r="K785" i="4"/>
  <c r="M786" i="4"/>
  <c r="K1014" i="4"/>
  <c r="M1015" i="4"/>
  <c r="K56" i="4"/>
  <c r="M57" i="4"/>
  <c r="K953" i="4"/>
  <c r="M954" i="4"/>
  <c r="K657" i="4"/>
  <c r="M658" i="4"/>
  <c r="M326" i="4"/>
  <c r="K325" i="4"/>
  <c r="K678" i="4"/>
  <c r="M679" i="4"/>
  <c r="K930" i="4"/>
  <c r="M931" i="4"/>
  <c r="M722" i="4"/>
  <c r="K721" i="4"/>
  <c r="K429" i="4"/>
  <c r="M430" i="4"/>
  <c r="K368" i="4"/>
  <c r="M369" i="4"/>
  <c r="K909" i="4"/>
  <c r="M910" i="4"/>
  <c r="M743" i="4"/>
  <c r="K742" i="4"/>
  <c r="K117" i="4"/>
  <c r="M118" i="4"/>
  <c r="K994" i="4"/>
  <c r="M995" i="4"/>
  <c r="L348" i="4"/>
  <c r="M349" i="4"/>
  <c r="K198" i="4"/>
  <c r="L224" i="4"/>
  <c r="M225" i="4"/>
  <c r="K78" i="4"/>
  <c r="M79" i="4"/>
  <c r="K220" i="4"/>
  <c r="L828" i="4"/>
  <c r="M829" i="4"/>
  <c r="M763" i="4" l="1"/>
  <c r="K762" i="4"/>
  <c r="K197" i="4"/>
  <c r="K1034" i="4"/>
  <c r="M1035" i="4"/>
  <c r="K614" i="4"/>
  <c r="M615" i="4"/>
  <c r="L347" i="4"/>
  <c r="M348" i="4"/>
  <c r="M177" i="4"/>
  <c r="K176" i="4"/>
  <c r="K303" i="4"/>
  <c r="L307" i="4"/>
  <c r="M308" i="4"/>
  <c r="M845" i="4"/>
  <c r="K844" i="4"/>
  <c r="K449" i="4"/>
  <c r="M450" i="4"/>
  <c r="M721" i="4"/>
  <c r="K720" i="4"/>
  <c r="K887" i="4"/>
  <c r="M888" i="4"/>
  <c r="K536" i="4"/>
  <c r="M537" i="4"/>
  <c r="M636" i="4"/>
  <c r="K635" i="4"/>
  <c r="M909" i="4"/>
  <c r="K908" i="4"/>
  <c r="K92" i="4"/>
  <c r="K993" i="4"/>
  <c r="M994" i="4"/>
  <c r="M678" i="4"/>
  <c r="K677" i="4"/>
  <c r="M56" i="4"/>
  <c r="K55" i="4"/>
  <c r="K11" i="4"/>
  <c r="M12" i="4"/>
  <c r="L97" i="4"/>
  <c r="M98" i="4"/>
  <c r="L200" i="4"/>
  <c r="M201" i="4"/>
  <c r="M973" i="4"/>
  <c r="K972" i="4"/>
  <c r="K244" i="4"/>
  <c r="M245" i="4"/>
  <c r="K595" i="4"/>
  <c r="M596" i="4"/>
  <c r="K137" i="4"/>
  <c r="M138" i="4"/>
  <c r="M742" i="4"/>
  <c r="K741" i="4"/>
  <c r="L827" i="4"/>
  <c r="M828" i="4"/>
  <c r="K784" i="4"/>
  <c r="M785" i="4"/>
  <c r="K408" i="4"/>
  <c r="M409" i="4"/>
  <c r="K867" i="4"/>
  <c r="M868" i="4"/>
  <c r="K513" i="4"/>
  <c r="M514" i="4"/>
  <c r="M953" i="4"/>
  <c r="K952" i="4"/>
  <c r="M78" i="4"/>
  <c r="K77" i="4"/>
  <c r="M368" i="4"/>
  <c r="K367" i="4"/>
  <c r="K324" i="4"/>
  <c r="M325" i="4"/>
  <c r="M387" i="4"/>
  <c r="K386" i="4"/>
  <c r="K696" i="4"/>
  <c r="M697" i="4"/>
  <c r="M470" i="4"/>
  <c r="K469" i="4"/>
  <c r="K823" i="4"/>
  <c r="M558" i="4"/>
  <c r="K557" i="4"/>
  <c r="K656" i="4"/>
  <c r="M657" i="4"/>
  <c r="K341" i="4"/>
  <c r="K219" i="4"/>
  <c r="K491" i="4"/>
  <c r="M492" i="4"/>
  <c r="K929" i="4"/>
  <c r="M930" i="4"/>
  <c r="K573" i="4"/>
  <c r="M574" i="4"/>
  <c r="L223" i="4"/>
  <c r="M224" i="4"/>
  <c r="K116" i="4"/>
  <c r="M117" i="4"/>
  <c r="K428" i="4"/>
  <c r="M429" i="4"/>
  <c r="K1013" i="4"/>
  <c r="M1014" i="4"/>
  <c r="M157" i="4"/>
  <c r="K156" i="4"/>
  <c r="M808" i="4"/>
  <c r="K807" i="4"/>
  <c r="K284" i="4"/>
  <c r="M285" i="4"/>
  <c r="M265" i="4"/>
  <c r="K264" i="4"/>
  <c r="K33" i="4"/>
  <c r="M34" i="4"/>
  <c r="K822" i="4" l="1"/>
  <c r="K218" i="4"/>
  <c r="L826" i="4"/>
  <c r="M827" i="4"/>
  <c r="M887" i="4"/>
  <c r="K886" i="4"/>
  <c r="M908" i="4"/>
  <c r="K907" i="4"/>
  <c r="M324" i="4"/>
  <c r="K323" i="4"/>
  <c r="K243" i="4"/>
  <c r="M244" i="4"/>
  <c r="L306" i="4"/>
  <c r="M307" i="4"/>
  <c r="K366" i="4"/>
  <c r="M367" i="4"/>
  <c r="K54" i="4"/>
  <c r="M55" i="4"/>
  <c r="M1013" i="4"/>
  <c r="K1012" i="4"/>
  <c r="M867" i="4"/>
  <c r="K866" i="4"/>
  <c r="M635" i="4"/>
  <c r="K634" i="4"/>
  <c r="M428" i="4"/>
  <c r="K427" i="4"/>
  <c r="M929" i="4"/>
  <c r="K928" i="4"/>
  <c r="K655" i="4"/>
  <c r="M656" i="4"/>
  <c r="M696" i="4"/>
  <c r="K695" i="4"/>
  <c r="M408" i="4"/>
  <c r="K407" i="4"/>
  <c r="K136" i="4"/>
  <c r="M137" i="4"/>
  <c r="L199" i="4"/>
  <c r="M200" i="4"/>
  <c r="M449" i="4"/>
  <c r="K448" i="4"/>
  <c r="K196" i="4"/>
  <c r="L222" i="4"/>
  <c r="M223" i="4"/>
  <c r="K10" i="4"/>
  <c r="M11" i="4"/>
  <c r="M614" i="4"/>
  <c r="K613" i="4"/>
  <c r="M469" i="4"/>
  <c r="K468" i="4"/>
  <c r="M741" i="4"/>
  <c r="K740" i="4"/>
  <c r="M720" i="4"/>
  <c r="K719" i="4"/>
  <c r="M573" i="4"/>
  <c r="K572" i="4"/>
  <c r="K1033" i="4"/>
  <c r="M1034" i="4"/>
  <c r="M677" i="4"/>
  <c r="K676" i="4"/>
  <c r="M284" i="4"/>
  <c r="K283" i="4"/>
  <c r="K806" i="4"/>
  <c r="M807" i="4"/>
  <c r="M557" i="4"/>
  <c r="K556" i="4"/>
  <c r="K385" i="4"/>
  <c r="M386" i="4"/>
  <c r="M952" i="4"/>
  <c r="K951" i="4"/>
  <c r="M844" i="4"/>
  <c r="K843" i="4"/>
  <c r="K761" i="4"/>
  <c r="M762" i="4"/>
  <c r="K155" i="4"/>
  <c r="M156" i="4"/>
  <c r="K32" i="4"/>
  <c r="M33" i="4"/>
  <c r="K512" i="4"/>
  <c r="M513" i="4"/>
  <c r="K91" i="4"/>
  <c r="K263" i="4"/>
  <c r="M264" i="4"/>
  <c r="K971" i="4"/>
  <c r="M972" i="4"/>
  <c r="K302" i="4"/>
  <c r="K340" i="4"/>
  <c r="K76" i="4"/>
  <c r="M77" i="4"/>
  <c r="K175" i="4"/>
  <c r="M176" i="4"/>
  <c r="K115" i="4"/>
  <c r="M116" i="4"/>
  <c r="M491" i="4"/>
  <c r="K490" i="4"/>
  <c r="K783" i="4"/>
  <c r="M784" i="4"/>
  <c r="K594" i="4"/>
  <c r="M595" i="4"/>
  <c r="L96" i="4"/>
  <c r="M97" i="4"/>
  <c r="K992" i="4"/>
  <c r="M993" i="4"/>
  <c r="M536" i="4"/>
  <c r="K535" i="4"/>
  <c r="L346" i="4"/>
  <c r="M347" i="4"/>
  <c r="K950" i="4" l="1"/>
  <c r="M951" i="4"/>
  <c r="K865" i="4"/>
  <c r="M866" i="4"/>
  <c r="L345" i="4"/>
  <c r="M346" i="4"/>
  <c r="K31" i="4"/>
  <c r="M32" i="4"/>
  <c r="L198" i="4"/>
  <c r="M199" i="4"/>
  <c r="M535" i="4"/>
  <c r="K534" i="4"/>
  <c r="M676" i="4"/>
  <c r="K675" i="4"/>
  <c r="M928" i="4"/>
  <c r="K927" i="4"/>
  <c r="K262" i="4"/>
  <c r="M263" i="4"/>
  <c r="M136" i="4"/>
  <c r="K135" i="4"/>
  <c r="L825" i="4"/>
  <c r="M826" i="4"/>
  <c r="K555" i="4"/>
  <c r="M556" i="4"/>
  <c r="K406" i="4"/>
  <c r="M407" i="4"/>
  <c r="M992" i="4"/>
  <c r="K991" i="4"/>
  <c r="K339" i="4"/>
  <c r="M761" i="4"/>
  <c r="K760" i="4"/>
  <c r="K1032" i="4"/>
  <c r="M1033" i="4"/>
  <c r="M54" i="4"/>
  <c r="K53" i="4"/>
  <c r="K217" i="4"/>
  <c r="K282" i="4"/>
  <c r="M283" i="4"/>
  <c r="M886" i="4"/>
  <c r="K885" i="4"/>
  <c r="K174" i="4"/>
  <c r="M175" i="4"/>
  <c r="K9" i="4"/>
  <c r="M10" i="4"/>
  <c r="L305" i="4"/>
  <c r="M306" i="4"/>
  <c r="K739" i="4"/>
  <c r="M740" i="4"/>
  <c r="M783" i="4"/>
  <c r="K782" i="4"/>
  <c r="M155" i="4"/>
  <c r="K154" i="4"/>
  <c r="L221" i="4"/>
  <c r="M222" i="4"/>
  <c r="M490" i="4"/>
  <c r="K489" i="4"/>
  <c r="K195" i="4"/>
  <c r="M323" i="4"/>
  <c r="K322" i="4"/>
  <c r="M843" i="4"/>
  <c r="K842" i="4"/>
  <c r="M572" i="4"/>
  <c r="K571" i="4"/>
  <c r="M613" i="4"/>
  <c r="K612" i="4"/>
  <c r="K447" i="4"/>
  <c r="M448" i="4"/>
  <c r="K694" i="4"/>
  <c r="M695" i="4"/>
  <c r="M634" i="4"/>
  <c r="K633" i="4"/>
  <c r="K906" i="4"/>
  <c r="M907" i="4"/>
  <c r="K821" i="4"/>
  <c r="M719" i="4"/>
  <c r="K718" i="4"/>
  <c r="K593" i="4"/>
  <c r="M594" i="4"/>
  <c r="M971" i="4"/>
  <c r="K970" i="4"/>
  <c r="K654" i="4"/>
  <c r="M655" i="4"/>
  <c r="M1012" i="4"/>
  <c r="K1011" i="4"/>
  <c r="M76" i="4"/>
  <c r="K75" i="4"/>
  <c r="K384" i="4"/>
  <c r="M385" i="4"/>
  <c r="M243" i="4"/>
  <c r="K242" i="4"/>
  <c r="K90" i="4"/>
  <c r="M468" i="4"/>
  <c r="K467" i="4"/>
  <c r="K426" i="4"/>
  <c r="M427" i="4"/>
  <c r="L95" i="4"/>
  <c r="M96" i="4"/>
  <c r="K114" i="4"/>
  <c r="M115" i="4"/>
  <c r="K301" i="4"/>
  <c r="M512" i="4"/>
  <c r="K511" i="4"/>
  <c r="M806" i="4"/>
  <c r="K805" i="4"/>
  <c r="K365" i="4"/>
  <c r="M366" i="4"/>
  <c r="M842" i="4" l="1"/>
  <c r="K841" i="4"/>
  <c r="K364" i="4"/>
  <c r="M365" i="4"/>
  <c r="M694" i="4"/>
  <c r="K693" i="4"/>
  <c r="K281" i="4"/>
  <c r="M282" i="4"/>
  <c r="M242" i="4"/>
  <c r="K241" i="4"/>
  <c r="K820" i="4"/>
  <c r="K321" i="4"/>
  <c r="M322" i="4"/>
  <c r="K153" i="4"/>
  <c r="M154" i="4"/>
  <c r="M675" i="4"/>
  <c r="K674" i="4"/>
  <c r="L94" i="4"/>
  <c r="M95" i="4"/>
  <c r="K653" i="4"/>
  <c r="M654" i="4"/>
  <c r="M447" i="4"/>
  <c r="K446" i="4"/>
  <c r="M9" i="4"/>
  <c r="K8" i="4"/>
  <c r="K216" i="4"/>
  <c r="L824" i="4"/>
  <c r="M825" i="4"/>
  <c r="L344" i="4"/>
  <c r="M345" i="4"/>
  <c r="M718" i="4"/>
  <c r="K717" i="4"/>
  <c r="K926" i="4"/>
  <c r="M927" i="4"/>
  <c r="K113" i="4"/>
  <c r="M114" i="4"/>
  <c r="L220" i="4"/>
  <c r="M221" i="4"/>
  <c r="K554" i="4"/>
  <c r="M555" i="4"/>
  <c r="K804" i="4"/>
  <c r="M805" i="4"/>
  <c r="M970" i="4"/>
  <c r="K969" i="4"/>
  <c r="K781" i="4"/>
  <c r="M782" i="4"/>
  <c r="K990" i="4"/>
  <c r="M991" i="4"/>
  <c r="K533" i="4"/>
  <c r="M534" i="4"/>
  <c r="M426" i="4"/>
  <c r="K425" i="4"/>
  <c r="M906" i="4"/>
  <c r="K905" i="4"/>
  <c r="K194" i="4"/>
  <c r="M865" i="4"/>
  <c r="K864" i="4"/>
  <c r="K466" i="4"/>
  <c r="M467" i="4"/>
  <c r="K74" i="4"/>
  <c r="M75" i="4"/>
  <c r="M633" i="4"/>
  <c r="K632" i="4"/>
  <c r="K570" i="4"/>
  <c r="M570" i="4" s="1"/>
  <c r="M571" i="4"/>
  <c r="K488" i="4"/>
  <c r="M489" i="4"/>
  <c r="K884" i="4"/>
  <c r="M885" i="4"/>
  <c r="K1010" i="4"/>
  <c r="M1011" i="4"/>
  <c r="K759" i="4"/>
  <c r="M760" i="4"/>
  <c r="L304" i="4"/>
  <c r="M305" i="4"/>
  <c r="M31" i="4"/>
  <c r="K30" i="4"/>
  <c r="K510" i="4"/>
  <c r="M511" i="4"/>
  <c r="M612" i="4"/>
  <c r="K611" i="4"/>
  <c r="K52" i="4"/>
  <c r="M53" i="4"/>
  <c r="K134" i="4"/>
  <c r="M135" i="4"/>
  <c r="K383" i="4"/>
  <c r="M384" i="4"/>
  <c r="K173" i="4"/>
  <c r="M174" i="4"/>
  <c r="K300" i="4"/>
  <c r="K592" i="4"/>
  <c r="M593" i="4"/>
  <c r="M739" i="4"/>
  <c r="K738" i="4"/>
  <c r="M1032" i="4"/>
  <c r="K1031" i="4"/>
  <c r="M406" i="4"/>
  <c r="K405" i="4"/>
  <c r="M262" i="4"/>
  <c r="K261" i="4"/>
  <c r="L197" i="4"/>
  <c r="M198" i="4"/>
  <c r="K949" i="4"/>
  <c r="M950" i="4"/>
  <c r="K299" i="4" l="1"/>
  <c r="M781" i="4"/>
  <c r="K780" i="4"/>
  <c r="K445" i="4"/>
  <c r="M446" i="4"/>
  <c r="M884" i="4"/>
  <c r="K883" i="4"/>
  <c r="L343" i="4"/>
  <c r="M344" i="4"/>
  <c r="M969" i="4"/>
  <c r="K968" i="4"/>
  <c r="K280" i="4"/>
  <c r="M281" i="4"/>
  <c r="M1031" i="4"/>
  <c r="K1030" i="4"/>
  <c r="M611" i="4"/>
  <c r="K610" i="4"/>
  <c r="M610" i="4" s="1"/>
  <c r="K487" i="4"/>
  <c r="M488" i="4"/>
  <c r="M466" i="4"/>
  <c r="K465" i="4"/>
  <c r="K112" i="4"/>
  <c r="M113" i="4"/>
  <c r="L823" i="4"/>
  <c r="M824" i="4"/>
  <c r="K692" i="4"/>
  <c r="M693" i="4"/>
  <c r="M949" i="4"/>
  <c r="K948" i="4"/>
  <c r="K172" i="4"/>
  <c r="M172" i="4" s="1"/>
  <c r="M173" i="4"/>
  <c r="M864" i="4"/>
  <c r="K863" i="4"/>
  <c r="K652" i="4"/>
  <c r="M653" i="4"/>
  <c r="M321" i="4"/>
  <c r="K320" i="4"/>
  <c r="M320" i="4" s="1"/>
  <c r="K404" i="4"/>
  <c r="M405" i="4"/>
  <c r="L219" i="4"/>
  <c r="M220" i="4"/>
  <c r="L303" i="4"/>
  <c r="M304" i="4"/>
  <c r="M738" i="4"/>
  <c r="K737" i="4"/>
  <c r="M804" i="4"/>
  <c r="K803" i="4"/>
  <c r="L196" i="4"/>
  <c r="M197" i="4"/>
  <c r="M510" i="4"/>
  <c r="K509" i="4"/>
  <c r="M632" i="4"/>
  <c r="K631" i="4"/>
  <c r="K716" i="4"/>
  <c r="M717" i="4"/>
  <c r="L93" i="4"/>
  <c r="M94" i="4"/>
  <c r="K363" i="4"/>
  <c r="M364" i="4"/>
  <c r="K1009" i="4"/>
  <c r="M1010" i="4"/>
  <c r="M990" i="4"/>
  <c r="K989" i="4"/>
  <c r="M554" i="4"/>
  <c r="K553" i="4"/>
  <c r="K7" i="4"/>
  <c r="M7" i="4" s="1"/>
  <c r="M8" i="4"/>
  <c r="M674" i="4"/>
  <c r="K673" i="4"/>
  <c r="K240" i="4"/>
  <c r="M241" i="4"/>
  <c r="M841" i="4"/>
  <c r="K840" i="4"/>
  <c r="M840" i="4" s="1"/>
  <c r="K73" i="4"/>
  <c r="M74" i="4"/>
  <c r="K51" i="4"/>
  <c r="M52" i="4"/>
  <c r="K424" i="4"/>
  <c r="M425" i="4"/>
  <c r="K152" i="4"/>
  <c r="M153" i="4"/>
  <c r="K758" i="4"/>
  <c r="M759" i="4"/>
  <c r="M533" i="4"/>
  <c r="K532" i="4"/>
  <c r="K925" i="4"/>
  <c r="M926" i="4"/>
  <c r="M383" i="4"/>
  <c r="K382" i="4"/>
  <c r="K193" i="4"/>
  <c r="K215" i="4"/>
  <c r="K260" i="4"/>
  <c r="M261" i="4"/>
  <c r="M30" i="4"/>
  <c r="K29" i="4"/>
  <c r="K591" i="4"/>
  <c r="M592" i="4"/>
  <c r="K133" i="4"/>
  <c r="M134" i="4"/>
  <c r="M905" i="4"/>
  <c r="K904" i="4"/>
  <c r="K988" i="4" l="1"/>
  <c r="M989" i="4"/>
  <c r="M716" i="4"/>
  <c r="K715" i="4"/>
  <c r="M112" i="4"/>
  <c r="K111" i="4"/>
  <c r="M532" i="4"/>
  <c r="K531" i="4"/>
  <c r="M737" i="4"/>
  <c r="K736" i="4"/>
  <c r="M1009" i="4"/>
  <c r="K1008" i="4"/>
  <c r="K279" i="4"/>
  <c r="M280" i="4"/>
  <c r="M445" i="4"/>
  <c r="K444" i="4"/>
  <c r="M591" i="4"/>
  <c r="K590" i="4"/>
  <c r="M509" i="4"/>
  <c r="K508" i="4"/>
  <c r="M968" i="4"/>
  <c r="K967" i="4"/>
  <c r="M780" i="4"/>
  <c r="K779" i="4"/>
  <c r="K259" i="4"/>
  <c r="M260" i="4"/>
  <c r="K1029" i="4"/>
  <c r="M1030" i="4"/>
  <c r="M424" i="4"/>
  <c r="K423" i="4"/>
  <c r="K132" i="4"/>
  <c r="M132" i="4" s="1"/>
  <c r="M133" i="4"/>
  <c r="K630" i="4"/>
  <c r="M630" i="4" s="1"/>
  <c r="M631" i="4"/>
  <c r="M465" i="4"/>
  <c r="K464" i="4"/>
  <c r="M464" i="4" s="1"/>
  <c r="K50" i="4"/>
  <c r="M51" i="4"/>
  <c r="M73" i="4"/>
  <c r="K72" i="4"/>
  <c r="K362" i="4"/>
  <c r="M363" i="4"/>
  <c r="L302" i="4"/>
  <c r="M303" i="4"/>
  <c r="M652" i="4"/>
  <c r="K651" i="4"/>
  <c r="K691" i="4"/>
  <c r="M692" i="4"/>
  <c r="K486" i="4"/>
  <c r="M487" i="4"/>
  <c r="M883" i="4"/>
  <c r="K882" i="4"/>
  <c r="K239" i="4"/>
  <c r="M240" i="4"/>
  <c r="M404" i="4"/>
  <c r="K403" i="4"/>
  <c r="M673" i="4"/>
  <c r="K672" i="4"/>
  <c r="M29" i="4"/>
  <c r="K28" i="4"/>
  <c r="M758" i="4"/>
  <c r="K757" i="4"/>
  <c r="K381" i="4"/>
  <c r="M381" i="4" s="1"/>
  <c r="M382" i="4"/>
  <c r="M553" i="4"/>
  <c r="K552" i="4"/>
  <c r="M863" i="4"/>
  <c r="K862" i="4"/>
  <c r="M803" i="4"/>
  <c r="K802" i="4"/>
  <c r="M925" i="4"/>
  <c r="K924" i="4"/>
  <c r="M948" i="4"/>
  <c r="K947" i="4"/>
  <c r="K214" i="4"/>
  <c r="M904" i="4"/>
  <c r="K903" i="4"/>
  <c r="K151" i="4"/>
  <c r="M152" i="4"/>
  <c r="L92" i="4"/>
  <c r="M93" i="4"/>
  <c r="L195" i="4"/>
  <c r="M196" i="4"/>
  <c r="L218" i="4"/>
  <c r="M219" i="4"/>
  <c r="L822" i="4"/>
  <c r="M823" i="4"/>
  <c r="L342" i="4"/>
  <c r="M343" i="4"/>
  <c r="K150" i="4" l="1"/>
  <c r="M150" i="4" s="1"/>
  <c r="M151" i="4"/>
  <c r="M903" i="4"/>
  <c r="K902" i="4"/>
  <c r="K690" i="4"/>
  <c r="M690" i="4" s="1"/>
  <c r="M691" i="4"/>
  <c r="K443" i="4"/>
  <c r="M444" i="4"/>
  <c r="M239" i="4"/>
  <c r="K238" i="4"/>
  <c r="M423" i="4"/>
  <c r="K422" i="4"/>
  <c r="M422" i="4" s="1"/>
  <c r="K27" i="4"/>
  <c r="M27" i="4" s="1"/>
  <c r="M28" i="4"/>
  <c r="K278" i="4"/>
  <c r="M278" i="4" s="1"/>
  <c r="M279" i="4"/>
  <c r="L301" i="4"/>
  <c r="M302" i="4"/>
  <c r="K1007" i="4"/>
  <c r="M1007" i="4" s="1"/>
  <c r="M1008" i="4"/>
  <c r="K714" i="4"/>
  <c r="M715" i="4"/>
  <c r="M947" i="4"/>
  <c r="K946" i="4"/>
  <c r="M552" i="4"/>
  <c r="K551" i="4"/>
  <c r="K671" i="4"/>
  <c r="M671" i="4" s="1"/>
  <c r="M672" i="4"/>
  <c r="M1029" i="4"/>
  <c r="K1028" i="4"/>
  <c r="M1028" i="4" s="1"/>
  <c r="M531" i="4"/>
  <c r="K530" i="4"/>
  <c r="M757" i="4"/>
  <c r="K756" i="4"/>
  <c r="M967" i="4"/>
  <c r="K966" i="4"/>
  <c r="M862" i="4"/>
  <c r="K861" i="4"/>
  <c r="K49" i="4"/>
  <c r="M49" i="4" s="1"/>
  <c r="M50" i="4"/>
  <c r="M508" i="4"/>
  <c r="K507" i="4"/>
  <c r="L341" i="4"/>
  <c r="M342" i="4"/>
  <c r="L91" i="4"/>
  <c r="M92" i="4"/>
  <c r="K485" i="4"/>
  <c r="M485" i="4" s="1"/>
  <c r="M486" i="4"/>
  <c r="K361" i="4"/>
  <c r="M362" i="4"/>
  <c r="M590" i="4"/>
  <c r="K589" i="4"/>
  <c r="M589" i="4" s="1"/>
  <c r="M736" i="4"/>
  <c r="K735" i="4"/>
  <c r="L821" i="4"/>
  <c r="M822" i="4"/>
  <c r="K778" i="4"/>
  <c r="M779" i="4"/>
  <c r="K801" i="4"/>
  <c r="M802" i="4"/>
  <c r="K650" i="4"/>
  <c r="M650" i="4" s="1"/>
  <c r="M651" i="4"/>
  <c r="L217" i="4"/>
  <c r="M218" i="4"/>
  <c r="K110" i="4"/>
  <c r="M110" i="4" s="1"/>
  <c r="M111" i="4"/>
  <c r="K881" i="4"/>
  <c r="M881" i="4" s="1"/>
  <c r="M882" i="4"/>
  <c r="L194" i="4"/>
  <c r="M195" i="4"/>
  <c r="K923" i="4"/>
  <c r="M924" i="4"/>
  <c r="M403" i="4"/>
  <c r="K402" i="4"/>
  <c r="M72" i="4"/>
  <c r="K71" i="4"/>
  <c r="M71" i="4" s="1"/>
  <c r="M259" i="4"/>
  <c r="K258" i="4"/>
  <c r="M988" i="4"/>
  <c r="K987" i="4"/>
  <c r="K442" i="4" l="1"/>
  <c r="M442" i="4" s="1"/>
  <c r="M443" i="4"/>
  <c r="L340" i="4"/>
  <c r="M341" i="4"/>
  <c r="M923" i="4"/>
  <c r="K922" i="4"/>
  <c r="L216" i="4"/>
  <c r="M217" i="4"/>
  <c r="L820" i="4"/>
  <c r="M820" i="4" s="1"/>
  <c r="M821" i="4"/>
  <c r="K529" i="4"/>
  <c r="M530" i="4"/>
  <c r="M946" i="4"/>
  <c r="K945" i="4"/>
  <c r="M735" i="4"/>
  <c r="K734" i="4"/>
  <c r="M734" i="4" s="1"/>
  <c r="K860" i="4"/>
  <c r="M860" i="4" s="1"/>
  <c r="M861" i="4"/>
  <c r="K713" i="4"/>
  <c r="M713" i="4" s="1"/>
  <c r="M714" i="4"/>
  <c r="L193" i="4"/>
  <c r="M193" i="4" s="1"/>
  <c r="M194" i="4"/>
  <c r="M801" i="4"/>
  <c r="K800" i="4"/>
  <c r="M902" i="4"/>
  <c r="K901" i="4"/>
  <c r="M901" i="4" s="1"/>
  <c r="M507" i="4"/>
  <c r="K506" i="4"/>
  <c r="M506" i="4" s="1"/>
  <c r="K777" i="4"/>
  <c r="M777" i="4" s="1"/>
  <c r="M778" i="4"/>
  <c r="K360" i="4"/>
  <c r="M360" i="4" s="1"/>
  <c r="M361" i="4"/>
  <c r="M756" i="4"/>
  <c r="K755" i="4"/>
  <c r="M755" i="4" s="1"/>
  <c r="K550" i="4"/>
  <c r="M550" i="4" s="1"/>
  <c r="M551" i="4"/>
  <c r="M238" i="4"/>
  <c r="K237" i="4"/>
  <c r="K257" i="4"/>
  <c r="M257" i="4" s="1"/>
  <c r="M258" i="4"/>
  <c r="L90" i="4"/>
  <c r="M90" i="4" s="1"/>
  <c r="M91" i="4"/>
  <c r="M966" i="4"/>
  <c r="K965" i="4"/>
  <c r="M965" i="4" s="1"/>
  <c r="M402" i="4"/>
  <c r="K401" i="4"/>
  <c r="M987" i="4"/>
  <c r="K986" i="4"/>
  <c r="L300" i="4"/>
  <c r="M301" i="4"/>
  <c r="K236" i="4" l="1"/>
  <c r="M236" i="4" s="1"/>
  <c r="M237" i="4"/>
  <c r="M922" i="4"/>
  <c r="K921" i="4"/>
  <c r="M921" i="4" s="1"/>
  <c r="K985" i="4"/>
  <c r="M985" i="4" s="1"/>
  <c r="M986" i="4"/>
  <c r="L215" i="4"/>
  <c r="M216" i="4"/>
  <c r="K400" i="4"/>
  <c r="M400" i="4" s="1"/>
  <c r="M401" i="4"/>
  <c r="M945" i="4"/>
  <c r="K944" i="4"/>
  <c r="L339" i="4"/>
  <c r="M339" i="4" s="1"/>
  <c r="M340" i="4"/>
  <c r="K799" i="4"/>
  <c r="M800" i="4"/>
  <c r="M529" i="4"/>
  <c r="K528" i="4"/>
  <c r="M528" i="4" s="1"/>
  <c r="L299" i="4"/>
  <c r="M299" i="4" s="1"/>
  <c r="M300" i="4"/>
  <c r="M944" i="4" l="1"/>
  <c r="K943" i="4"/>
  <c r="M799" i="4"/>
  <c r="K798" i="4"/>
  <c r="M798" i="4" s="1"/>
  <c r="L214" i="4"/>
  <c r="M214" i="4" s="1"/>
  <c r="M215" i="4"/>
  <c r="M943" i="4" l="1"/>
  <c r="K942" i="4"/>
  <c r="M942" i="4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5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<sst xmlns="http://schemas.openxmlformats.org/spreadsheetml/2006/main" count="4764" uniqueCount="1560">
  <si>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</si>
  <si>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</si>
  <si>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</si>
  <si>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</si>
  <si>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</si>
  <si>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</si>
  <si>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</si>
  <si>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</si>
  <si>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</si>
  <si>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</si>
  <si>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</si>
  <si>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</si>
  <si>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</si>
  <si>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</si>
  <si>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</si>
  <si>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</si>
  <si>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</si>
  <si>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</si>
  <si>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</si>
  <si>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</si>
  <si>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</si>
  <si>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</si>
  <si>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</si>
  <si>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</si>
  <si>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</si>
  <si>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</si>
  <si>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</si>
  <si>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</si>
  <si>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</si>
  <si>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</si>
  <si>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</si>
  <si>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</si>
  <si>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</si>
  <si>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</si>
  <si>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</si>
  <si>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</si>
  <si>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</si>
  <si>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</si>
  <si>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</si>
  <si>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</si>
  <si>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</si>
  <si>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</si>
  <si>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</si>
  <si>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</si>
  <si>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</si>
  <si>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</si>
  <si>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</si>
  <si>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</si>
  <si>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</si>
  <si>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</si>
  <si>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</si>
  <si>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</si>
  <si>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</si>
  <si>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</si>
  <si>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</si>
  <si>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</si>
  <si>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</si>
  <si>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</si>
  <si>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</si>
  <si>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</si>
  <si>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</si>
  <si>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</si>
  <si>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</si>
  <si>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</si>
  <si>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</si>
  <si>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</si>
  <si>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</si>
  <si>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</si>
  <si>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</si>
  <si>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</si>
  <si>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</si>
  <si>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</si>
  <si>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</si>
  <si>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</si>
  <si>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</si>
  <si>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</si>
  <si>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</si>
  <si>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</si>
  <si>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</si>
  <si>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</si>
  <si>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</si>
  <si>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</si>
  <si>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</si>
  <si>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</si>
  <si>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</si>
  <si>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</si>
  <si>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</si>
  <si>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</si>
  <si>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</si>
  <si>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</si>
  <si>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</si>
  <si>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</si>
  <si>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</si>
  <si>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</si>
  <si>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</si>
  <si>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</si>
  <si>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</si>
  <si>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</si>
  <si>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</si>
  <si>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</si>
  <si>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</si>
  <si>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</si>
  <si>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</si>
  <si>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</si>
  <si>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</si>
  <si>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</si>
  <si>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</si>
  <si>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</si>
  <si>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</si>
  <si>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</si>
  <si>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</si>
  <si>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</si>
  <si>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</si>
  <si>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</si>
  <si>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</si>
  <si>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</si>
  <si>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</si>
  <si>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</si>
  <si>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</si>
  <si>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</si>
  <si>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</si>
  <si>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</si>
  <si>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</si>
  <si>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</si>
  <si>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</si>
  <si>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</si>
  <si>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</si>
  <si>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</si>
  <si>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</si>
  <si>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</si>
  <si>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</si>
  <si>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</si>
  <si>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</si>
  <si>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</si>
  <si>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</si>
  <si>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</si>
  <si>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</si>
  <si>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</si>
  <si>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</si>
  <si>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</si>
  <si>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</si>
  <si>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</si>
  <si>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</si>
  <si>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</si>
  <si>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</si>
  <si>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</si>
  <si>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</si>
  <si>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</si>
  <si>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</si>
  <si>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</si>
  <si>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</si>
  <si>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</si>
  <si>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</si>
  <si>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</si>
  <si>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</si>
  <si>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</si>
  <si>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</si>
  <si>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</si>
  <si>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</si>
  <si>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</si>
  <si>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</si>
  <si>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</si>
  <si>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</si>
  <si>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</si>
  <si>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</si>
  <si>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</si>
  <si>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</si>
  <si>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</si>
  <si>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</si>
  <si>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</si>
  <si>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</si>
  <si>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</si>
  <si>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</si>
  <si>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</si>
  <si>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</si>
  <si>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</si>
  <si>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</si>
  <si>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</si>
  <si>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</si>
  <si>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</si>
  <si>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</si>
  <si>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</si>
  <si>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</si>
  <si>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</si>
  <si>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</si>
  <si>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</si>
  <si>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</si>
  <si>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</si>
  <si>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</si>
  <si>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</si>
  <si>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</si>
  <si>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</si>
  <si>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</si>
  <si>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</si>
  <si>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</si>
  <si>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</si>
  <si>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</si>
  <si>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</si>
  <si>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</si>
  <si>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</si>
  <si>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</si>
  <si>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</si>
  <si>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</si>
  <si>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</si>
  <si>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</si>
  <si>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</si>
  <si>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</si>
  <si>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</si>
  <si>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</si>
  <si>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</si>
  <si>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</si>
  <si>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</si>
  <si>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</si>
  <si>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</si>
  <si>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</si>
  <si>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</si>
  <si>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</si>
  <si>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</si>
  <si>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</si>
  <si>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</si>
  <si>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</si>
  <si>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</si>
  <si>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</si>
  <si>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</si>
  <si>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</si>
  <si>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</si>
  <si>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</si>
  <si>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</si>
  <si>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</si>
  <si>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</si>
  <si>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</si>
  <si>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</si>
  <si>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</si>
  <si>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</si>
  <si>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</si>
  <si>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</si>
  <si>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</si>
  <si>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</si>
  <si>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</si>
  <si>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</si>
  <si>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</si>
  <si>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</si>
  <si>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</si>
  <si>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</si>
  <si>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</si>
  <si>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</si>
  <si>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</si>
  <si>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</si>
  <si>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</si>
  <si>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</si>
  <si>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</si>
  <si>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</si>
  <si>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</si>
  <si>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</si>
  <si>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</si>
  <si>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</si>
  <si>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</si>
  <si>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</si>
  <si>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</si>
  <si>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</si>
  <si>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</si>
  <si>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</si>
  <si>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</si>
  <si>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</si>
  <si>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</si>
  <si>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</si>
  <si>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</si>
  <si>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</si>
  <si>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</si>
  <si>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</si>
  <si>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</si>
  <si>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</si>
  <si>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</si>
  <si>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</si>
  <si>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</si>
  <si>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</si>
  <si>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</si>
  <si>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</si>
  <si>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</si>
  <si>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</si>
  <si>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</si>
  <si>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</si>
  <si>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</si>
  <si>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</si>
  <si>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</si>
  <si>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</si>
  <si>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</si>
  <si>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</si>
  <si>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</si>
  <si>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</si>
  <si>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</si>
  <si>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</si>
  <si>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</si>
  <si>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</si>
  <si>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</si>
  <si>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</si>
  <si>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</si>
  <si>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</si>
  <si>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</si>
  <si>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</si>
  <si>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</si>
  <si>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</si>
  <si>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</si>
  <si>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</si>
  <si>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</si>
  <si>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</si>
  <si>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</si>
  <si>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</si>
  <si>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</si>
  <si>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</si>
  <si>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</si>
  <si>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</si>
  <si>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</si>
  <si>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</si>
  <si>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</si>
  <si>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</si>
  <si>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</si>
  <si>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</si>
  <si>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</si>
  <si>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</si>
  <si>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</si>
  <si>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</si>
  <si>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</si>
  <si>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</si>
  <si>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</si>
  <si>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</si>
  <si>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</si>
  <si>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</si>
  <si>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</si>
  <si>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</si>
  <si>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</si>
  <si>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</si>
  <si>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</si>
  <si>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</si>
  <si>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</si>
  <si>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</si>
  <si>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</si>
  <si>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</si>
  <si>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</si>
  <si>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</si>
  <si>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</si>
  <si>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</si>
  <si>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</si>
  <si>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</si>
  <si>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</si>
  <si>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</si>
  <si>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</si>
  <si>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</si>
  <si>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</si>
  <si>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</si>
  <si>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</si>
  <si>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</si>
  <si>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</si>
  <si>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</si>
  <si>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</si>
  <si>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</si>
  <si>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</si>
  <si>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</si>
  <si>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</si>
  <si>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</si>
  <si>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</si>
  <si>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</si>
  <si>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</si>
  <si>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</si>
  <si>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</si>
  <si>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</si>
  <si>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</si>
  <si>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</si>
  <si>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</si>
  <si>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</si>
  <si>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</si>
  <si>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</si>
  <si>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</si>
  <si>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</si>
  <si>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</si>
  <si>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</si>
  <si>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</si>
  <si>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</si>
  <si>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</si>
  <si>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</si>
  <si>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</si>
  <si>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</si>
  <si>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</si>
  <si>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</si>
  <si>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</si>
  <si>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</si>
  <si>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</si>
  <si>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</si>
  <si>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</si>
  <si>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</si>
  <si>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</si>
  <si>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</si>
  <si>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</si>
  <si>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</si>
  <si>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</si>
  <si>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</si>
  <si>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</si>
  <si>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</si>
  <si>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</si>
  <si>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</si>
  <si>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</si>
  <si>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</si>
  <si>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</si>
  <si>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</si>
  <si>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</si>
  <si>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</si>
  <si>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</si>
  <si>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</si>
  <si>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</si>
  <si>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</si>
  <si>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</si>
  <si>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</si>
  <si>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</si>
  <si>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</si>
  <si>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</si>
  <si>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</si>
  <si>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</si>
  <si>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</si>
  <si>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</si>
  <si>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</si>
  <si>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</si>
  <si>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</si>
  <si>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</si>
  <si>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</si>
  <si>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</si>
  <si>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</si>
  <si>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</si>
  <si>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</si>
  <si>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</si>
  <si>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</si>
  <si>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</si>
  <si>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</si>
  <si>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</si>
  <si>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</si>
  <si>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</si>
  <si>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</si>
  <si>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</si>
  <si>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</si>
  <si>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</si>
  <si>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</si>
  <si>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</si>
  <si>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</si>
  <si>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</si>
  <si>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</si>
  <si>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</si>
  <si>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</si>
  <si>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</si>
  <si>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</si>
  <si>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</si>
  <si>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</si>
  <si>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</si>
  <si>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</si>
  <si>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</si>
  <si>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</si>
  <si>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</si>
  <si>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</si>
  <si>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</si>
  <si>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</si>
  <si>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</si>
  <si>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</si>
  <si>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</si>
  <si>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</si>
  <si>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</si>
  <si>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</si>
  <si>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</si>
  <si>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</si>
  <si>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</si>
  <si>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</si>
  <si>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</si>
  <si>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</si>
  <si>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</si>
  <si>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</si>
  <si>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</si>
  <si>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</si>
  <si>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</si>
  <si>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</si>
  <si>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</si>
  <si>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</si>
  <si>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</si>
  <si>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</si>
  <si>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</si>
  <si>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</si>
  <si>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</si>
  <si>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</si>
  <si>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</si>
  <si>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</si>
  <si>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</si>
  <si>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</si>
  <si>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</si>
  <si>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</si>
  <si>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</si>
  <si>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</si>
  <si>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</si>
  <si>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</si>
  <si>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</si>
  <si>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</si>
  <si>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</si>
  <si>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</si>
  <si>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</si>
  <si>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</si>
  <si>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</si>
  <si>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</si>
  <si>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</si>
  <si>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</si>
  <si>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</si>
  <si>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</si>
  <si>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</si>
  <si>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</si>
  <si>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</si>
  <si>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</si>
  <si>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</si>
  <si>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</si>
  <si>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</si>
  <si>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</si>
  <si>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</si>
  <si>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</si>
  <si>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</si>
  <si>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</si>
  <si>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</si>
  <si>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</si>
  <si>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</si>
  <si>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</si>
  <si>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</si>
  <si>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</si>
  <si>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</si>
  <si>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</si>
  <si>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</si>
  <si>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</si>
  <si>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</si>
  <si>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</si>
  <si>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</si>
  <si>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</si>
  <si>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</si>
  <si>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</si>
  <si>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</si>
  <si>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</si>
  <si>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</si>
  <si>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</si>
  <si>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</si>
  <si>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</si>
  <si>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</si>
  <si>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</si>
  <si>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</si>
  <si>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</si>
  <si>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</si>
  <si>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</si>
  <si>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</si>
  <si>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</si>
  <si>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</si>
  <si>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</si>
  <si>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</si>
  <si>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</si>
  <si>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</si>
  <si>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</si>
  <si>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</si>
  <si>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</si>
  <si>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</si>
  <si>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</si>
  <si>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</si>
  <si>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</si>
  <si>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</si>
  <si>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</si>
  <si>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</si>
  <si>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</si>
  <si>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</si>
  <si>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</si>
  <si>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</si>
  <si>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</si>
  <si>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</si>
  <si>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</si>
  <si>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</si>
  <si>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</si>
  <si>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</si>
  <si>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</si>
  <si>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</si>
  <si>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</si>
  <si>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</si>
  <si>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</si>
  <si>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</si>
  <si>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</si>
  <si>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</si>
  <si>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</si>
  <si>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</si>
  <si>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</si>
  <si>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</si>
  <si>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</si>
  <si>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</si>
  <si>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</si>
  <si>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</si>
  <si>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</si>
  <si>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</si>
  <si>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</si>
  <si>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</si>
  <si>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</si>
  <si>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</si>
  <si>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</si>
  <si>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</si>
  <si>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</si>
  <si>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</si>
  <si>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</si>
  <si>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</si>
  <si>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</si>
  <si>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</si>
  <si>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</si>
  <si>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</si>
  <si>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</si>
  <si>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</si>
  <si>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</si>
  <si>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</si>
  <si>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</si>
  <si>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</si>
  <si>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</si>
  <si>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</si>
  <si>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</si>
  <si>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</si>
  <si>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</si>
  <si>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</si>
  <si>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</si>
  <si>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</si>
  <si>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</si>
  <si>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</si>
  <si>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</si>
  <si>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</si>
  <si>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</si>
  <si>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</si>
  <si>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</si>
  <si>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</si>
  <si>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</si>
  <si>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</si>
  <si>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</si>
  <si>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</si>
  <si>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</si>
  <si>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</si>
  <si>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</si>
  <si>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</si>
  <si>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</si>
  <si>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</si>
  <si>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</si>
  <si>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</si>
  <si>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</si>
  <si>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</si>
  <si>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</si>
  <si>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</si>
  <si>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</si>
  <si>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</si>
  <si>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</si>
  <si>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</si>
  <si>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</si>
  <si>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</si>
  <si>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</si>
  <si>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</si>
  <si>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</si>
  <si>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</si>
  <si>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</si>
  <si>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</si>
  <si>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</si>
  <si>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</si>
  <si>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</si>
  <si>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</si>
  <si>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</si>
  <si>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</si>
  <si>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</si>
  <si>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</si>
  <si>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</si>
  <si>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</si>
  <si>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</si>
  <si>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</si>
  <si>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</si>
  <si>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</si>
  <si>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</si>
  <si>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</si>
  <si>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</si>
  <si>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</si>
  <si>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</si>
  <si>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</si>
  <si>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</si>
  <si>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</si>
  <si>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</si>
  <si>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</si>
  <si>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</si>
  <si>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</si>
  <si>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</si>
  <si>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</si>
  <si>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</si>
  <si>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</si>
  <si>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</si>
  <si>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</si>
  <si>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</si>
  <si>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</si>
  <si>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</si>
  <si>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</si>
  <si>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</si>
  <si>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</si>
  <si>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</si>
  <si>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</si>
  <si>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</si>
  <si>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</si>
  <si>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</si>
  <si>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</si>
  <si>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</si>
  <si>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</si>
  <si>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</si>
  <si>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</si>
  <si>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</si>
  <si>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</si>
  <si>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</si>
  <si>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</si>
  <si>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</si>
  <si>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</si>
  <si>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</si>
  <si>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</si>
  <si>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</si>
  <si>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</si>
  <si>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</si>
  <si>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</si>
  <si>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</si>
  <si>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</si>
  <si>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</si>
  <si>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</si>
  <si>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</si>
  <si>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</si>
  <si>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</si>
  <si>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</si>
  <si>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</si>
  <si>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</si>
  <si>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</si>
  <si>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</si>
  <si>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</si>
  <si>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</si>
  <si>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</si>
  <si>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</si>
  <si>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</si>
  <si>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</si>
  <si>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</si>
  <si>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</si>
  <si>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</si>
  <si>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</si>
  <si>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</si>
  <si>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</si>
  <si>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</si>
  <si>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</si>
  <si>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</si>
  <si>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</si>
  <si>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</si>
  <si>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</si>
  <si>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</si>
  <si>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</si>
  <si>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</si>
  <si>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</si>
  <si>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</si>
  <si>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</si>
  <si>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</si>
  <si>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</si>
  <si>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</si>
  <si>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</si>
  <si>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</si>
  <si>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</si>
  <si>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</si>
  <si>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</si>
  <si>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</si>
  <si>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</si>
  <si>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</si>
  <si>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</si>
  <si>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</si>
  <si>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</si>
  <si>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</si>
  <si>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</si>
  <si>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</si>
  <si>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</si>
  <si>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</si>
  <si>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</si>
  <si>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</si>
  <si>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</si>
  <si>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</si>
  <si>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</si>
  <si>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</si>
  <si>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</si>
  <si>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</si>
  <si>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</si>
  <si>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</si>
  <si>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</si>
  <si>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</si>
  <si>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</si>
  <si>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</si>
  <si>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</si>
  <si>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</si>
  <si>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</si>
  <si>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</si>
  <si>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</si>
  <si>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</si>
  <si>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</si>
  <si>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</si>
  <si>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</si>
  <si>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</si>
  <si>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</si>
  <si>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</si>
  <si>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</si>
  <si>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</si>
  <si>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</si>
  <si>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</si>
  <si>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</si>
  <si>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</si>
  <si>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</si>
  <si>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</si>
  <si>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</si>
  <si>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</si>
  <si>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</si>
  <si>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</si>
  <si>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</si>
  <si>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</si>
  <si>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</si>
  <si>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</si>
  <si>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</si>
  <si>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</si>
  <si>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</si>
  <si>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</si>
  <si>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</si>
  <si>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</si>
  <si>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</si>
  <si>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</si>
  <si>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</si>
  <si>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</si>
  <si>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</si>
  <si>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</si>
  <si>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</si>
  <si>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</si>
  <si>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</si>
  <si>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</si>
  <si>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</si>
  <si>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</si>
  <si>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</si>
  <si>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</si>
  <si>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</si>
  <si>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</si>
  <si>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</si>
  <si>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</si>
  <si>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</si>
  <si>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</si>
  <si>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</si>
  <si>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</si>
  <si>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</si>
  <si>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</si>
  <si>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</si>
  <si>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</si>
  <si>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</si>
  <si>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</si>
  <si>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</si>
  <si>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</si>
  <si>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</si>
  <si>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</si>
  <si>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</si>
  <si>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</si>
  <si>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</si>
  <si>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</si>
  <si>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</si>
  <si>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</si>
  <si>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</si>
  <si>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</si>
  <si>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</si>
  <si>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</si>
  <si>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</si>
  <si>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</si>
  <si>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</si>
  <si>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</si>
  <si>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</si>
  <si>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</si>
  <si>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</si>
  <si>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</si>
  <si>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</si>
  <si>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</si>
  <si>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</si>
  <si>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</si>
  <si>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</si>
  <si>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</si>
  <si>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</si>
  <si>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</si>
  <si>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</si>
  <si>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</si>
  <si>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</si>
  <si>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</si>
  <si>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</si>
  <si>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</si>
  <si>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</si>
  <si>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</si>
  <si>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</si>
  <si>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</si>
  <si>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</si>
  <si>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</si>
  <si>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</si>
  <si>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</si>
  <si>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</si>
  <si>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</si>
  <si>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</si>
  <si>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</si>
  <si>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</si>
  <si>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</si>
  <si>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</si>
  <si>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</si>
  <si>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</si>
  <si>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</si>
  <si>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</si>
  <si>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</si>
  <si>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</si>
  <si>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</si>
  <si>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</si>
  <si>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</si>
  <si>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</si>
  <si>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</si>
  <si>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</si>
  <si>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</si>
  <si>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</si>
  <si>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</si>
  <si>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</si>
  <si>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</si>
  <si>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</si>
  <si>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</si>
  <si>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</si>
  <si>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</si>
  <si>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</si>
  <si>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</si>
  <si>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</si>
  <si>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</si>
  <si>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</si>
  <si>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</si>
  <si>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</si>
  <si>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</si>
  <si>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</si>
  <si>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</si>
  <si>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</si>
  <si>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</si>
  <si>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</si>
  <si>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</si>
  <si>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</si>
  <si>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</si>
  <si>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</si>
  <si>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</si>
  <si>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</si>
  <si>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</si>
  <si>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</si>
  <si>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</si>
  <si>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</si>
  <si>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</si>
  <si>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</si>
  <si>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</si>
  <si>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</si>
  <si>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</si>
  <si>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</si>
  <si>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</si>
  <si>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</si>
  <si>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</si>
  <si>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</si>
  <si>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</si>
  <si>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</si>
  <si>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</si>
  <si>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</si>
  <si>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</si>
  <si>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</si>
  <si>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</si>
  <si>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</si>
  <si>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</si>
  <si>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</si>
  <si>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</si>
  <si>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</si>
  <si>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</si>
  <si>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</si>
  <si>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</si>
  <si>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</si>
  <si>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</si>
  <si>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</si>
  <si>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</si>
  <si>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</si>
  <si>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</si>
  <si>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</si>
  <si>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</si>
  <si>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</si>
  <si>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</si>
  <si>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</si>
  <si>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</si>
  <si>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</si>
  <si>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</si>
  <si>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</si>
  <si>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</si>
  <si>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</si>
  <si>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</si>
  <si>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</si>
  <si>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</si>
  <si>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</si>
  <si>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</si>
  <si>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</si>
  <si>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</si>
  <si>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</si>
  <si>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</si>
  <si>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</si>
  <si>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</si>
  <si>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</si>
  <si>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</si>
  <si>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</si>
  <si>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</si>
  <si>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</si>
  <si>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</si>
  <si>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</si>
  <si>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</si>
  <si>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</si>
  <si>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</si>
  <si>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</si>
  <si>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</si>
  <si>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</si>
  <si>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</si>
  <si>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</si>
  <si>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</si>
  <si>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</si>
  <si>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</si>
  <si>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</si>
  <si>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</si>
  <si>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</si>
  <si>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</si>
  <si>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</si>
  <si>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</si>
  <si>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</si>
  <si>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</si>
  <si>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</si>
  <si>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</si>
  <si>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</si>
  <si>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</si>
  <si>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</si>
  <si>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</si>
  <si>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</si>
  <si>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</si>
  <si>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</si>
  <si>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</si>
  <si>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</si>
  <si>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</si>
  <si>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</si>
  <si>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</si>
  <si>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</si>
  <si>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</si>
  <si>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</si>
  <si>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</si>
  <si>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</si>
  <si>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</si>
  <si>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</si>
  <si>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</si>
  <si>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</si>
  <si>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</si>
  <si>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</si>
  <si>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</si>
  <si>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</si>
  <si>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</si>
  <si>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</si>
  <si>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</si>
  <si>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</si>
  <si>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</si>
  <si>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</si>
  <si>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</si>
  <si>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</si>
  <si>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</si>
  <si>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</si>
  <si>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</si>
  <si>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</si>
  <si>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</si>
  <si>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</si>
  <si>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</si>
  <si>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</si>
  <si>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</si>
  <si>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</si>
  <si>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</si>
  <si>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</si>
  <si>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</si>
  <si>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</si>
  <si>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</si>
  <si>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</si>
  <si>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</si>
  <si>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</si>
  <si>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</si>
  <si>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</si>
  <si>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</si>
  <si>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</si>
  <si>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</si>
  <si>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</si>
  <si>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</si>
  <si>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</si>
  <si>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</si>
  <si>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</si>
  <si>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</si>
  <si>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</si>
  <si>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</si>
  <si>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</si>
  <si>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</si>
  <si>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</si>
  <si>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</si>
  <si>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</si>
  <si>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</si>
  <si>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</si>
  <si>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</si>
  <si>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</si>
  <si>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</si>
  <si>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</si>
  <si>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</si>
  <si>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</si>
  <si>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</si>
  <si>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</si>
  <si>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</si>
  <si>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</si>
  <si>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</si>
  <si>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</si>
  <si>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</si>
  <si>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</si>
  <si>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</si>
  <si>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</si>
  <si>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</si>
  <si>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</si>
  <si>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</si>
  <si>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</si>
  <si>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</si>
  <si>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</si>
  <si>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</si>
  <si>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</si>
  <si>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</si>
  <si>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</si>
  <si>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</si>
  <si>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</si>
  <si>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</si>
  <si>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</si>
  <si>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</si>
  <si>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</si>
  <si>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</si>
  <si>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</si>
  <si>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</si>
  <si>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</si>
  <si>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</si>
  <si>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</si>
  <si>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</si>
  <si>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</si>
  <si>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</si>
  <si>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</si>
  <si>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</si>
  <si>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</si>
  <si>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</si>
  <si>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</si>
  <si>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</si>
  <si>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</si>
  <si>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</si>
  <si>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</si>
  <si>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</si>
  <si>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</si>
  <si>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</si>
  <si>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</si>
  <si>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</si>
  <si>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</si>
  <si>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</si>
  <si>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</si>
  <si>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</si>
  <si>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</si>
  <si>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</si>
  <si>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</si>
  <si>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</si>
  <si>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</si>
  <si>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</si>
  <si>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</si>
  <si>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</si>
  <si>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</si>
  <si>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</si>
  <si>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</si>
  <si>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</si>
  <si>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</si>
  <si>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</si>
  <si>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</si>
  <si>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</si>
  <si>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</si>
  <si>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</si>
  <si>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</si>
  <si>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</si>
  <si>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</si>
  <si>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</si>
  <si>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</si>
  <si>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</si>
  <si>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</si>
  <si>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</si>
  <si>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</si>
  <si>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</si>
  <si>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</si>
  <si>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</si>
  <si>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</si>
  <si>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</si>
  <si>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</si>
  <si>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</si>
  <si>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</si>
  <si>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</si>
  <si>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</si>
  <si>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</si>
  <si>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</si>
  <si>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</si>
  <si>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</si>
  <si>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</si>
  <si>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</si>
  <si>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</si>
  <si>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</si>
  <si>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</si>
  <si>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</si>
  <si>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</si>
  <si>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</si>
  <si>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</si>
  <si>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</si>
  <si>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</si>
  <si>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</si>
  <si>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</si>
  <si>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</si>
  <si>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</si>
  <si>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</si>
  <si>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</si>
  <si>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</si>
  <si>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</si>
  <si>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</si>
  <si>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</si>
  <si>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</si>
  <si>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</si>
  <si>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</si>
  <si>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</si>
  <si>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</si>
  <si>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</si>
  <si>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</si>
  <si>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</si>
  <si>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</si>
  <si>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</si>
  <si>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</si>
  <si>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</si>
  <si>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</si>
  <si>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</si>
  <si>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</si>
  <si>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</si>
  <si>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</si>
  <si>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</si>
  <si>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</si>
  <si>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</si>
  <si>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</si>
  <si>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</si>
  <si>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</si>
  <si>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</si>
  <si>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</si>
  <si>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</si>
  <si>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</si>
  <si>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</si>
  <si>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</si>
  <si>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</si>
  <si>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</si>
  <si>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</si>
  <si>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</si>
  <si>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</si>
  <si>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</si>
  <si>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</si>
  <si>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</si>
  <si>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</si>
  <si>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</si>
  <si>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</si>
  <si>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</si>
  <si>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</si>
  <si>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</si>
  <si>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</si>
  <si>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</si>
  <si>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</si>
  <si>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</si>
  <si>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</si>
  <si>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</si>
  <si>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</si>
  <si>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</si>
  <si>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</si>
  <si>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</si>
  <si>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</si>
  <si>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</si>
  <si>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</si>
  <si>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</si>
  <si>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</si>
  <si>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</si>
  <si>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</si>
  <si>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</si>
  <si>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</si>
  <si>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</si>
  <si>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</si>
  <si>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</si>
  <si>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</si>
  <si>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</si>
  <si>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</si>
  <si>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</si>
  <si>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</si>
  <si>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</si>
  <si>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</si>
  <si>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</si>
  <si>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</si>
  <si>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</si>
  <si>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</si>
  <si>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</si>
  <si>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</si>
  <si>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</si>
  <si>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</si>
  <si>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</si>
  <si>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</si>
  <si>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</si>
  <si>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</si>
  <si>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</si>
  <si>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</si>
  <si>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</si>
  <si>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</si>
  <si>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</si>
  <si>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</si>
  <si>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</si>
  <si>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</si>
  <si>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</si>
  <si>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</si>
  <si>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</si>
  <si>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</si>
  <si>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</si>
  <si>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</si>
  <si>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</si>
  <si>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</si>
  <si>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</si>
  <si>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</si>
  <si>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</si>
  <si>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</si>
  <si>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</si>
  <si>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</si>
  <si>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</si>
  <si>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</si>
  <si>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</si>
  <si>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</si>
  <si>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</si>
  <si>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</si>
  <si>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</si>
  <si>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</si>
  <si>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</si>
  <si>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</si>
  <si>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</si>
  <si>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</si>
  <si>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</si>
  <si>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</si>
  <si>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</si>
  <si>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</si>
  <si>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</si>
  <si>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</si>
  <si>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</si>
  <si>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</si>
  <si>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</si>
  <si>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</si>
  <si>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</si>
  <si>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</si>
  <si>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</si>
  <si>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</si>
  <si>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</si>
  <si>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</si>
  <si>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</si>
  <si>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</si>
  <si>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</si>
  <si>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</si>
  <si>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</si>
  <si>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</si>
  <si>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</si>
  <si>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</si>
  <si>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</si>
  <si>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</si>
  <si>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</si>
  <si>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</si>
  <si>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</si>
  <si>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</si>
  <si>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</si>
  <si>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</si>
  <si>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</si>
  <si>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</si>
  <si>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</si>
  <si>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</si>
  <si>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</si>
  <si>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</si>
  <si>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</si>
  <si>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</si>
  <si>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</si>
  <si>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</si>
  <si>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</si>
  <si>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</si>
  <si>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</si>
  <si>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</si>
  <si>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</si>
  <si>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</si>
  <si>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</si>
  <si>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</si>
  <si>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</si>
  <si>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</si>
  <si>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</si>
  <si>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</si>
  <si>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</si>
  <si>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</si>
  <si>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</si>
  <si>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</si>
  <si>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</si>
  <si>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</si>
  <si>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</si>
  <si>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</si>
  <si>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</si>
  <si>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</si>
  <si>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</si>
  <si>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</si>
  <si>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</si>
  <si>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</si>
  <si>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</si>
  <si>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</si>
  <si>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</si>
  <si>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</si>
  <si>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</si>
  <si>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</si>
  <si>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</si>
  <si>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</si>
  <si>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</si>
  <si>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</si>
  <si>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</si>
  <si>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</si>
  <si>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</si>
  <si>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</si>
  <si>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</si>
  <si>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</si>
  <si>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</si>
  <si>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</si>
  <si>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</si>
  <si>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</si>
  <si>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</si>
  <si>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</si>
  <si>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</si>
  <si>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</si>
  <si>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</si>
  <si>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</si>
  <si>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</si>
  <si>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</si>
  <si>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</si>
  <si>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</si>
  <si>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</si>
  <si>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</si>
  <si>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</si>
  <si>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</si>
  <si>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</si>
  <si>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</si>
  <si>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</si>
  <si>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</si>
  <si>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</si>
  <si>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</si>
  <si>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</si>
  <si>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</si>
  <si>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</si>
  <si>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</si>
  <si>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</si>
  <si>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</si>
  <si>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</si>
  <si>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</si>
  <si>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</si>
  <si>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</si>
  <si>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</si>
  <si>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</si>
  <si>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</si>
  <si>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</si>
  <si>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</si>
  <si>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</si>
  <si>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</si>
  <si>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</si>
  <si>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</si>
  <si>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</si>
  <si>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</si>
  <si>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</si>
  <si>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</si>
  <si>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</si>
  <si>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</si>
  <si>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</si>
  <si>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</si>
  <si>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</si>
  <si>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</si>
  <si>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</si>
  <si>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</si>
  <si>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</si>
  <si>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</si>
  <si>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</si>
  <si>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</si>
  <si>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</si>
  <si>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</si>
  <si>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</si>
  <si>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</si>
  <si>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</si>
  <si>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</si>
  <si>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</si>
  <si>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</si>
  <si>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</si>
  <si>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</si>
  <si>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</si>
  <si>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</si>
  <si>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</si>
  <si>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</si>
  <si>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</si>
  <si>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</si>
  <si>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</si>
  <si>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</si>
  <si>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</si>
  <si>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</si>
  <si>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</si>
  <si>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</si>
  <si>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</si>
  <si>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</si>
  <si>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</si>
  <si>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</si>
  <si>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</si>
  <si>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</si>
  <si>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</si>
  <si>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</si>
  <si>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</si>
  <si>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</si>
  <si>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</si>
  <si>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</si>
  <si>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</si>
  <si>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</si>
  <si>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</si>
  <si>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</si>
  <si>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</si>
  <si>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</si>
  <si>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</si>
  <si>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</si>
  <si>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</si>
  <si>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</si>
  <si>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</si>
  <si>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</si>
  <si>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</si>
  <si>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</si>
  <si>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</si>
  <si>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</si>
  <si>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</si>
  <si>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</si>
  <si>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</si>
  <si>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</si>
  <si>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</si>
  <si>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</si>
  <si>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</si>
  <si>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</si>
  <si>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</si>
  <si>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</si>
  <si>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</si>
  <si>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</si>
  <si>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</si>
  <si>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</si>
  <si>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</si>
  <si>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</si>
  <si>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</si>
  <si>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</si>
  <si>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</si>
  <si>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</si>
  <si>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</si>
  <si>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</si>
  <si>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</si>
  <si>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</si>
  <si>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</si>
  <si>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</si>
  <si>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</si>
  <si>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</si>
  <si>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</si>
  <si>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</si>
  <si>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</si>
  <si>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</si>
  <si>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</si>
  <si>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</si>
  <si>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LL_Incentive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</si>
</sst>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1"/>
      <tableStyleElement type="headerRow" dxfId="20"/>
      <tableStyleElement type="firstColumn" dxfId="19"/>
      <tableStyleElement type="firstColumnStripe" size="2" dxfId="18"/>
      <tableStyleElement type="secondColumnStripe" size="2" dxfId="17"/>
      <tableStyleElement type="firstSubtotalColumn" dxfId="16"/>
      <tableStyleElement type="firstRowSubheading" dxfId="15"/>
      <tableStyleElement type="secondRowSubheading" dxfId="14"/>
      <tableStyleElement type="thirdRowSubheading" dxfId="13"/>
      <tableStyleElement type="pageFieldValues" dxfId="12"/>
    </tableStyle>
    <tableStyle name="Cell Pivot Table 2" table="0" count="6">
      <tableStyleElement type="headerRow" dxfId="11"/>
      <tableStyleElement type="firstRowStripe" dxfId="10"/>
      <tableStyleElement type="firstColumnStripe" dxfId="9"/>
      <tableStyleElement type="firstSubtotalRow" dxfId="8"/>
      <tableStyleElement type="firstRowSubheading" dxfId="7"/>
      <tableStyleElement type="secondRowSubheading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5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19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N56"/>
  <sheetViews>
    <sheetView tabSelected="1" topLeftCell="A4" workbookViewId="0">
      <selection activeCell="M4" sqref="M4:M55"/>
    </sheetView>
  </sheetViews>
  <sheetFormatPr defaultRowHeight="15"/>
  <cols>
    <col min="2" max="2" width="9.7109375" bestFit="1" customWidth="1"/>
    <col min="12" max="12" width="9.140625" customWidth="1"/>
    <col min="13" max="13" width="11" bestFit="1" customWidth="1"/>
  </cols>
  <sheetData>
    <row r="3" spans="2:14">
      <c r="B3" s="31" t="s">
        <v>0</v>
      </c>
      <c r="C3" s="32"/>
      <c r="D3" s="32"/>
      <c r="E3" s="33"/>
    </row>
    <row r="4" spans="2:14" ht="60">
      <c r="B4" s="14" t="s">
        <v>1</v>
      </c>
      <c r="C4" s="17" t="s">
        <v>19</v>
      </c>
      <c r="D4" s="14" t="s">
        <v>2</v>
      </c>
      <c r="E4" s="14" t="s">
        <v>3</v>
      </c>
      <c r="F4" s="14" t="s">
        <v>21</v>
      </c>
      <c r="G4" s="14" t="s">
        <v>22</v>
      </c>
      <c r="H4" s="14" t="s">
        <v>23</v>
      </c>
      <c r="I4" s="14" t="s">
        <v>20</v>
      </c>
      <c r="J4" s="14" t="s">
        <v>24</v>
      </c>
      <c r="K4" s="14" t="s">
        <v>1550</v>
      </c>
      <c r="L4" s="14" t="s">
        <v>1551</v>
      </c>
      <c r="M4" s="14" t="s">
        <v>1559</v>
      </c>
      <c r="N4" s="14" t="s">
        <v>1554</v>
      </c>
    </row>
    <row r="5" spans="2:14">
      <c r="B5" s="15">
        <v>40633</v>
      </c>
      <c r="C5" s="21">
        <f>'Return&amp;Carry'!C3*100</f>
        <v>3.2147753175075899</v>
      </c>
      <c r="D5" s="16">
        <v>12.454245092935345</v>
      </c>
      <c r="E5" s="21">
        <f>'Return&amp;Carry'!D3*100</f>
        <v>1.0991113530483745</v>
      </c>
      <c r="F5" s="22">
        <f>VLOOKUP(TEXT(B5,"yyyy-mm-dd"),OneWeekMtgRatesDataTable7[],4,0)*SQRT(225)*100</f>
        <v>74.358831882797247</v>
      </c>
      <c r="G5" s="18">
        <f>VLOOKUP(B5,'Yield Curve'!B5:G52,5,0)*100</f>
        <v>450.7</v>
      </c>
      <c r="H5" s="18">
        <f>VLOOKUP(B5,'ppm risk premium'!$O$3:$R$51,4,0)*100</f>
        <v>74.369809247864978</v>
      </c>
      <c r="I5" s="18">
        <v>5.4040030648877693</v>
      </c>
      <c r="J5" s="18">
        <f>VLOOKUP(B5,'LIBOR 1m'!$C$2:$E$4387,3,0)</f>
        <v>0.24345</v>
      </c>
      <c r="K5" s="18">
        <f>VLOOKUP(B5,'Refi%'!L:N,2,0)</f>
        <v>0.593225708201635</v>
      </c>
      <c r="L5" s="18">
        <f>VLOOKUP(B5,'Refi%'!L:N,3,0)</f>
        <v>0.42282958858632702</v>
      </c>
      <c r="M5" s="18">
        <f>VLOOKUP(B5,'Refi%'!L:P,5,0)</f>
        <v>73.249069860176391</v>
      </c>
      <c r="N5" s="18">
        <f ca="1">VLOOKUP(B5,'Refi%'!L:P,4,0)</f>
        <v>2194.4</v>
      </c>
    </row>
    <row r="6" spans="2:14">
      <c r="B6" s="15">
        <v>40662</v>
      </c>
      <c r="C6" s="21">
        <f>'Return&amp;Carry'!C4*100</f>
        <v>3.9945300504856651</v>
      </c>
      <c r="D6" s="16">
        <v>-13.523941730477457</v>
      </c>
      <c r="E6" s="21">
        <f>'Return&amp;Carry'!D4*100</f>
        <v>1.0984369457682011</v>
      </c>
      <c r="F6" s="22">
        <f>VLOOKUP(TEXT(B6,"yyyy-mm-dd"),OneWeekMtgRatesDataTable7[],4,0)*SQRT(225)*100</f>
        <v>60.151041929580515</v>
      </c>
      <c r="G6" s="18">
        <f>VLOOKUP(B6,'Yield Curve'!B6:G53,5,0)*100</f>
        <v>440.4</v>
      </c>
      <c r="H6" s="18">
        <f>VLOOKUP(B6,'ppm risk premium'!$O$3:$R$51,4,0)*100</f>
        <v>89.192469707673979</v>
      </c>
      <c r="I6" s="18">
        <v>5.4712822921760953</v>
      </c>
      <c r="J6" s="18">
        <f>VLOOKUP(B6,'LIBOR 1m'!$C$2:$E$4387,3,0)</f>
        <v>0.21024999999999999</v>
      </c>
      <c r="K6" s="18">
        <f>VLOOKUP(B6,'Refi%'!L:N,2,0)</f>
        <v>0.59445921362542997</v>
      </c>
      <c r="L6" s="18">
        <f>VLOOKUP(B6,'Refi%'!L:N,3,0)</f>
        <v>0.44565511936132601</v>
      </c>
      <c r="M6" s="18">
        <f>VLOOKUP(B6,'Refi%'!L:P,5,0)</f>
        <v>80.106005022859804</v>
      </c>
      <c r="N6" s="18">
        <f ca="1">VLOOKUP(B6,'Refi%'!L:P,4,0)</f>
        <v>2220.1</v>
      </c>
    </row>
    <row r="7" spans="2:14">
      <c r="B7" s="15">
        <v>40694</v>
      </c>
      <c r="C7" s="21">
        <f>'Return&amp;Carry'!C5*100</f>
        <v>3.6836948680963522</v>
      </c>
      <c r="D7" s="16">
        <v>-39.195910729297935</v>
      </c>
      <c r="E7" s="21">
        <f>'Return&amp;Carry'!D5*100</f>
        <v>1.2359978510225116</v>
      </c>
      <c r="F7" s="22">
        <f>VLOOKUP(TEXT(B7,"yyyy-mm-dd"),OneWeekMtgRatesDataTable7[],4,0)*SQRT(225)*100</f>
        <v>48.820059111137653</v>
      </c>
      <c r="G7" s="18">
        <f>VLOOKUP(B7,'Yield Curve'!B7:G54,5,0)*100</f>
        <v>421.5</v>
      </c>
      <c r="H7" s="18">
        <f>VLOOKUP(B7,'ppm risk premium'!$O$3:$R$51,4,0)*100</f>
        <v>106.68959579912797</v>
      </c>
      <c r="I7" s="18">
        <v>5.4954374413528742</v>
      </c>
      <c r="J7" s="18">
        <f>VLOOKUP(B7,'LIBOR 1m'!$C$2:$E$4387,3,0)</f>
        <v>0.19042999999999999</v>
      </c>
      <c r="K7" s="18">
        <f>VLOOKUP(B7,'Refi%'!L:N,2,0)</f>
        <v>0.61599363608099678</v>
      </c>
      <c r="L7" s="18">
        <f>VLOOKUP(B7,'Refi%'!L:N,3,0)</f>
        <v>0.50568534347274297</v>
      </c>
      <c r="M7" s="18">
        <f>VLOOKUP(B7,'Refi%'!L:P,5,0)</f>
        <v>96.90582954189199</v>
      </c>
      <c r="N7" s="18">
        <f ca="1">VLOOKUP(B7,'Refi%'!L:P,4,0)</f>
        <v>2619.6999999999998</v>
      </c>
    </row>
    <row r="8" spans="2:14">
      <c r="B8" s="15">
        <v>40724</v>
      </c>
      <c r="C8" s="21">
        <f>'Return&amp;Carry'!C6*100</f>
        <v>-0.89725230837073866</v>
      </c>
      <c r="D8" s="16">
        <v>-71.812762532091284</v>
      </c>
      <c r="E8" s="21">
        <f>'Return&amp;Carry'!D6*100</f>
        <v>1.1611305017469562</v>
      </c>
      <c r="F8" s="22">
        <f>VLOOKUP(TEXT(B8,"yyyy-mm-dd"),OneWeekMtgRatesDataTable7[],4,0)*SQRT(225)*100</f>
        <v>51.642384254590226</v>
      </c>
      <c r="G8" s="18">
        <f>VLOOKUP(B8,'Yield Curve'!B8:G55,5,0)*100</f>
        <v>438.2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1m'!$C$2:$E$4387,3,0)</f>
        <v>0.18554999999999999</v>
      </c>
      <c r="K8" s="18">
        <f>VLOOKUP(B8,'Refi%'!L:N,2,0)</f>
        <v>0.69050447134038251</v>
      </c>
      <c r="L8" s="18">
        <f>VLOOKUP(B8,'Refi%'!L:N,3,0)</f>
        <v>0.55445082777023702</v>
      </c>
      <c r="M8" s="18">
        <f>VLOOKUP(B8,'Refi%'!L:P,5,0)</f>
        <v>105.06414787551299</v>
      </c>
      <c r="N8" s="18">
        <f ca="1">VLOOKUP(B8,'Refi%'!L:P,4,0)</f>
        <v>2527.5</v>
      </c>
    </row>
    <row r="9" spans="2:14">
      <c r="B9" s="15">
        <v>40753</v>
      </c>
      <c r="C9" s="21">
        <f>'Return&amp;Carry'!C7*100</f>
        <v>-0.70542451766380854</v>
      </c>
      <c r="D9" s="16">
        <v>14.555567089358632</v>
      </c>
      <c r="E9" s="21">
        <f>'Return&amp;Carry'!D7*100</f>
        <v>0.94859999077979362</v>
      </c>
      <c r="F9" s="22">
        <f>VLOOKUP(TEXT(B9,"yyyy-mm-dd"),OneWeekMtgRatesDataTable7[],4,0)*SQRT(225)*100</f>
        <v>60.008169089606966</v>
      </c>
      <c r="G9" s="18">
        <f>VLOOKUP(B9,'Yield Curve'!B9:G56,5,0)*100</f>
        <v>413.3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1m'!$C$2:$E$4387,3,0)</f>
        <v>0.19109999999999999</v>
      </c>
      <c r="K9" s="18">
        <f>VLOOKUP(B9,'Refi%'!L:N,2,0)</f>
        <v>0.61660059317974736</v>
      </c>
      <c r="L9" s="18">
        <f>VLOOKUP(B9,'Refi%'!L:N,3,0)</f>
        <v>0.52333294764067595</v>
      </c>
      <c r="M9" s="18">
        <f>VLOOKUP(B9,'Refi%'!L:P,5,0)</f>
        <v>97.844637187538197</v>
      </c>
      <c r="N9" s="18">
        <f ca="1">VLOOKUP(B9,'Refi%'!L:P,4,0)</f>
        <v>2974.1</v>
      </c>
    </row>
    <row r="10" spans="2:14">
      <c r="B10" s="15">
        <v>40786</v>
      </c>
      <c r="C10" s="21">
        <f>'Return&amp;Carry'!C8*100</f>
        <v>-12.940148616743233</v>
      </c>
      <c r="D10" s="16">
        <v>413.1307634556174</v>
      </c>
      <c r="E10" s="21">
        <f>'Return&amp;Carry'!D8*100</f>
        <v>0.98897455980434257</v>
      </c>
      <c r="F10" s="22">
        <f>VLOOKUP(TEXT(B10,"yyyy-mm-dd"),OneWeekMtgRatesDataTable7[],4,0)*SQRT(225)*100</f>
        <v>99.218155472222577</v>
      </c>
      <c r="G10" s="18">
        <f>VLOOKUP(B10,'Yield Curve'!B10:G57,5,0)*100</f>
        <v>359.5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1m'!$C$2:$E$4387,3,0)</f>
        <v>0.2215</v>
      </c>
      <c r="K10" s="18">
        <f>VLOOKUP(B10,'Refi%'!L:N,2,0)</f>
        <v>0.84714025108084823</v>
      </c>
      <c r="L10" s="18">
        <f>VLOOKUP(B10,'Refi%'!L:N,3,0)</f>
        <v>0.73013076231760698</v>
      </c>
      <c r="M10" s="18">
        <f>VLOOKUP(B10,'Refi%'!L:P,5,0)</f>
        <v>131.04921283540801</v>
      </c>
      <c r="N10" s="18">
        <f ca="1">VLOOKUP(B10,'Refi%'!L:P,4,0)</f>
        <v>3601.3</v>
      </c>
    </row>
    <row r="11" spans="2:14">
      <c r="B11" s="15">
        <v>40816</v>
      </c>
      <c r="C11" s="21">
        <f>'Return&amp;Carry'!C9*100</f>
        <v>-10.646399375777179</v>
      </c>
      <c r="D11" s="16">
        <v>707.36595401615773</v>
      </c>
      <c r="E11" s="21">
        <f>'Return&amp;Carry'!D9*100</f>
        <v>1.4023413556404363</v>
      </c>
      <c r="F11" s="22">
        <f>VLOOKUP(TEXT(B11,"yyyy-mm-dd"),OneWeekMtgRatesDataTable7[],4,0)*SQRT(225)*100</f>
        <v>121.17161432290366</v>
      </c>
      <c r="G11" s="18">
        <f>VLOOKUP(B11,'Yield Curve'!B11:G58,5,0)*100</f>
        <v>292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1m'!$C$2:$E$4387,3,0)</f>
        <v>0.23943999999999999</v>
      </c>
      <c r="K11" s="18">
        <f>VLOOKUP(B11,'Refi%'!L:N,2,0)</f>
        <v>0.94644262124543443</v>
      </c>
      <c r="L11" s="18">
        <f>VLOOKUP(B11,'Refi%'!L:N,3,0)</f>
        <v>0.83535228019697605</v>
      </c>
      <c r="M11" s="18">
        <f>VLOOKUP(B11,'Refi%'!L:P,5,0)</f>
        <v>149.98980546937099</v>
      </c>
      <c r="N11" s="18">
        <f ca="1">VLOOKUP(B11,'Refi%'!L:P,4,0)</f>
        <v>4241.8</v>
      </c>
    </row>
    <row r="12" spans="2:14">
      <c r="B12" s="15">
        <v>40847</v>
      </c>
      <c r="C12" s="21">
        <f>'Return&amp;Carry'!C10*100</f>
        <v>2.3593584560071421</v>
      </c>
      <c r="D12" s="16">
        <v>688.11426559475387</v>
      </c>
      <c r="E12" s="21">
        <f>'Return&amp;Carry'!D10*100</f>
        <v>1.2905991827933823</v>
      </c>
      <c r="F12" s="22">
        <f>VLOOKUP(TEXT(B12,"yyyy-mm-dd"),OneWeekMtgRatesDataTable7[],4,0)*SQRT(225)*100</f>
        <v>126.48880223316846</v>
      </c>
      <c r="G12" s="18">
        <f>VLOOKUP(B12,'Yield Curve'!B12:G59,5,0)*100</f>
        <v>319.89999999999998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1m'!$C$2:$E$4387,3,0)</f>
        <v>0.24528</v>
      </c>
      <c r="K12" s="18">
        <f>VLOOKUP(B12,'Refi%'!L:N,2,0)</f>
        <v>0.86512672485653175</v>
      </c>
      <c r="L12" s="18">
        <f>VLOOKUP(B12,'Refi%'!L:N,3,0)</f>
        <v>0.77033919514702098</v>
      </c>
      <c r="M12" s="18">
        <f>VLOOKUP(B12,'Refi%'!L:P,5,0)</f>
        <v>135.74535499682</v>
      </c>
      <c r="N12" s="18">
        <f ca="1">VLOOKUP(B12,'Refi%'!L:P,4,0)</f>
        <v>3695</v>
      </c>
    </row>
    <row r="13" spans="2:14">
      <c r="B13" s="15">
        <v>40877</v>
      </c>
      <c r="C13" s="21">
        <f>'Return&amp;Carry'!C11*100</f>
        <v>1.4407938862063669</v>
      </c>
      <c r="D13" s="16">
        <v>623.10168528876363</v>
      </c>
      <c r="E13" s="21">
        <f>'Return&amp;Carry'!D11*100</f>
        <v>0.70135917459659247</v>
      </c>
      <c r="F13" s="22">
        <f>VLOOKUP(TEXT(B13,"yyyy-mm-dd"),OneWeekMtgRatesDataTable7[],4,0)*SQRT(225)*100</f>
        <v>107.84839079435224</v>
      </c>
      <c r="G13" s="18">
        <f>VLOOKUP(B13,'Yield Curve'!B13:G60,5,0)*100</f>
        <v>306.10000000000002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1m'!$C$2:$E$4387,3,0)</f>
        <v>0.27144000000000001</v>
      </c>
      <c r="K13" s="18">
        <f>VLOOKUP(B13,'Refi%'!L:N,2,0)</f>
        <v>0.94997170807452469</v>
      </c>
      <c r="L13" s="18">
        <f>VLOOKUP(B13,'Refi%'!L:N,3,0)</f>
        <v>0.80850149462655696</v>
      </c>
      <c r="M13" s="18">
        <f>VLOOKUP(B13,'Refi%'!L:P,5,0)</f>
        <v>146.78788031826301</v>
      </c>
      <c r="N13" s="18">
        <f ca="1">VLOOKUP(B13,'Refi%'!L:P,4,0)</f>
        <v>2941.3</v>
      </c>
    </row>
    <row r="14" spans="2:14">
      <c r="B14" s="15">
        <v>40907</v>
      </c>
      <c r="C14" s="21">
        <f>'Return&amp;Carry'!C12*100</f>
        <v>0.58326880120871194</v>
      </c>
      <c r="D14" s="16">
        <v>610.59817697721678</v>
      </c>
      <c r="E14" s="21">
        <f>'Return&amp;Carry'!D12*100</f>
        <v>0.39545840537859589</v>
      </c>
      <c r="F14" s="22">
        <f>VLOOKUP(TEXT(B14,"yyyy-mm-dd"),OneWeekMtgRatesDataTable7[],4,0)*SQRT(225)*100</f>
        <v>84.157329778157802</v>
      </c>
      <c r="G14" s="18">
        <f>VLOOKUP(B14,'Yield Curve'!B14:G61,5,0)*100</f>
        <v>289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1m'!$C$2:$E$4387,3,0)</f>
        <v>0.29530000000000001</v>
      </c>
      <c r="K14" s="18">
        <f>VLOOKUP(B14,'Refi%'!L:N,2,0)</f>
        <v>0.94762260030460288</v>
      </c>
      <c r="L14" s="18">
        <f>VLOOKUP(B14,'Refi%'!L:N,3,0)</f>
        <v>0.81734633197465201</v>
      </c>
      <c r="M14" s="18">
        <f>VLOOKUP(B14,'Refi%'!L:P,5,0)</f>
        <v>147.011635223479</v>
      </c>
      <c r="N14" s="18">
        <f ca="1">VLOOKUP(B14,'Refi%'!L:P,4,0)</f>
        <v>3608.1</v>
      </c>
    </row>
    <row r="15" spans="2:14">
      <c r="B15" s="15">
        <v>40939</v>
      </c>
      <c r="C15" s="21">
        <f>'Return&amp;Carry'!C13*100</f>
        <v>-3.0247514562330213</v>
      </c>
      <c r="D15" s="16">
        <v>465.33199143048387</v>
      </c>
      <c r="E15" s="21">
        <f>'Return&amp;Carry'!D13*100</f>
        <v>0.93155584712633765</v>
      </c>
      <c r="F15" s="22">
        <f>VLOOKUP(TEXT(B15,"yyyy-mm-dd"),OneWeekMtgRatesDataTable7[],4,0)*SQRT(225)*100</f>
        <v>67.218530932369276</v>
      </c>
      <c r="G15" s="18">
        <f>VLOOKUP(B15,'Yield Curve'!B15:G62,5,0)*100</f>
        <v>293.40000000000003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1m'!$C$2:$E$4387,3,0)</f>
        <v>0.26474999999999999</v>
      </c>
      <c r="K15" s="18">
        <f>VLOOKUP(B15,'Refi%'!L:N,2,0)</f>
        <v>0.91861521434498927</v>
      </c>
      <c r="L15" s="18">
        <f>VLOOKUP(B15,'Refi%'!L:N,3,0)</f>
        <v>0.78339393568549298</v>
      </c>
      <c r="M15" s="18">
        <f>VLOOKUP(B15,'Refi%'!L:P,5,0)</f>
        <v>141.20356477181699</v>
      </c>
      <c r="N15" s="18">
        <f ca="1">VLOOKUP(B15,'Refi%'!L:P,4,0)</f>
        <v>4184.3</v>
      </c>
    </row>
    <row r="16" spans="2:14">
      <c r="B16" s="15">
        <v>40968</v>
      </c>
      <c r="C16" s="21">
        <f>'Return&amp;Carry'!C14*100</f>
        <v>11.557043677865355</v>
      </c>
      <c r="D16" s="16">
        <v>220.00245023070019</v>
      </c>
      <c r="E16" s="21">
        <f>'Return&amp;Carry'!D14*100</f>
        <v>1.7106233225619445</v>
      </c>
      <c r="F16" s="22">
        <f>VLOOKUP(TEXT(B16,"yyyy-mm-dd"),OneWeekMtgRatesDataTable7[],4,0)*SQRT(225)*100</f>
        <v>70.470812963070983</v>
      </c>
      <c r="G16" s="18">
        <f>VLOOKUP(B16,'Yield Curve'!B16:G63,5,0)*100</f>
        <v>308.59999999999997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1m'!$C$2:$E$4387,3,0)</f>
        <v>0.24349999999999999</v>
      </c>
      <c r="K16" s="18">
        <f>VLOOKUP(B16,'Refi%'!L:N,2,0)</f>
        <v>0.90921329115869776</v>
      </c>
      <c r="L16" s="18">
        <f>VLOOKUP(B16,'Refi%'!L:N,3,0)</f>
        <v>0.76669716579457303</v>
      </c>
      <c r="M16" s="18">
        <f>VLOOKUP(B16,'Refi%'!L:P,5,0)</f>
        <v>138.01155467372499</v>
      </c>
      <c r="N16" s="18">
        <f ca="1">VLOOKUP(B16,'Refi%'!L:P,4,0)</f>
        <v>4379.1000000000004</v>
      </c>
    </row>
    <row r="17" spans="2:14">
      <c r="B17" s="15">
        <v>40998</v>
      </c>
      <c r="C17" s="21">
        <f>'Return&amp;Carry'!C15*100</f>
        <v>7.1400249822738751</v>
      </c>
      <c r="D17" s="16">
        <v>105.2548909642519</v>
      </c>
      <c r="E17" s="21">
        <f>'Return&amp;Carry'!D15*100</f>
        <v>1.0372252911672175</v>
      </c>
      <c r="F17" s="22">
        <f>VLOOKUP(TEXT(B17,"yyyy-mm-dd"),OneWeekMtgRatesDataTable7[],4,0)*SQRT(225)*100</f>
        <v>75.771275275546074</v>
      </c>
      <c r="G17" s="18">
        <f>VLOOKUP(B17,'Yield Curve'!B17:G64,5,0)*100</f>
        <v>334.90000000000003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1m'!$C$2:$E$4387,3,0)</f>
        <v>0.24124999999999999</v>
      </c>
      <c r="K17" s="18">
        <f>VLOOKUP(B17,'Refi%'!L:N,2,0)</f>
        <v>0.87490910290764468</v>
      </c>
      <c r="L17" s="18">
        <f>VLOOKUP(B17,'Refi%'!L:N,3,0)</f>
        <v>0.749723434167341</v>
      </c>
      <c r="M17" s="18">
        <f>VLOOKUP(B17,'Refi%'!L:P,5,0)</f>
        <v>132.64106043271801</v>
      </c>
      <c r="N17" s="18">
        <f ca="1">VLOOKUP(B17,'Refi%'!L:P,4,0)</f>
        <v>3699.5</v>
      </c>
    </row>
    <row r="18" spans="2:14">
      <c r="B18" s="15">
        <v>41029</v>
      </c>
      <c r="C18" s="21">
        <f>'Return&amp;Carry'!C16*100</f>
        <v>-2.0065317048366835</v>
      </c>
      <c r="D18" s="16">
        <v>167.57420337750975</v>
      </c>
      <c r="E18" s="21">
        <f>'Return&amp;Carry'!D16*100</f>
        <v>0.24221036505354493</v>
      </c>
      <c r="F18" s="22">
        <f>VLOOKUP(TEXT(B18,"yyyy-mm-dd"),OneWeekMtgRatesDataTable7[],4,0)*SQRT(225)*100</f>
        <v>76.62744460326428</v>
      </c>
      <c r="G18" s="18">
        <f>VLOOKUP(B18,'Yield Curve'!B18:G65,5,0)*100</f>
        <v>310.89999999999998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1m'!$C$2:$E$4387,3,0)</f>
        <v>0.23874999999999999</v>
      </c>
      <c r="K18" s="18">
        <f>VLOOKUP(B18,'Refi%'!L:N,2,0)</f>
        <v>0.90849340717481886</v>
      </c>
      <c r="L18" s="18">
        <f>VLOOKUP(B18,'Refi%'!L:N,3,0)</f>
        <v>0.80193881910043296</v>
      </c>
      <c r="M18" s="18">
        <f>VLOOKUP(B18,'Refi%'!L:P,5,0)</f>
        <v>143.85435275781299</v>
      </c>
      <c r="N18" s="18">
        <f ca="1">VLOOKUP(B18,'Refi%'!L:P,4,0)</f>
        <v>3856</v>
      </c>
    </row>
    <row r="19" spans="2:14">
      <c r="B19" s="15">
        <v>41060</v>
      </c>
      <c r="C19" s="21">
        <f>'Return&amp;Carry'!C17*100</f>
        <v>-7.1845658545824875</v>
      </c>
      <c r="D19" s="16">
        <v>286.25597142369679</v>
      </c>
      <c r="E19" s="21">
        <f>'Return&amp;Carry'!D17*100</f>
        <v>0.83669300797166046</v>
      </c>
      <c r="F19" s="22">
        <f>VLOOKUP(TEXT(B19,"yyyy-mm-dd"),OneWeekMtgRatesDataTable7[],4,0)*SQRT(225)*100</f>
        <v>73.16928504765356</v>
      </c>
      <c r="G19" s="18">
        <f>VLOOKUP(B19,'Yield Curve'!B19:G66,5,0)*100</f>
        <v>267.3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1m'!$C$2:$E$4387,3,0)</f>
        <v>0.23874999999999999</v>
      </c>
      <c r="K19" s="18">
        <f>VLOOKUP(B19,'Refi%'!L:N,2,0)</f>
        <v>0.89512122084695944</v>
      </c>
      <c r="L19" s="18">
        <f>VLOOKUP(B19,'Refi%'!L:N,3,0)</f>
        <v>0.83268888035603505</v>
      </c>
      <c r="M19" s="18">
        <f>VLOOKUP(B19,'Refi%'!L:P,5,0)</f>
        <v>154.73233237004399</v>
      </c>
      <c r="N19" s="18">
        <f ca="1">VLOOKUP(B19,'Refi%'!L:P,4,0)</f>
        <v>4736</v>
      </c>
    </row>
    <row r="20" spans="2:14">
      <c r="B20" s="15">
        <v>41089</v>
      </c>
      <c r="C20" s="21">
        <f>'Return&amp;Carry'!C18*100</f>
        <v>4.3888393396695449</v>
      </c>
      <c r="D20" s="16">
        <v>293.96700252585657</v>
      </c>
      <c r="E20" s="21">
        <f>'Return&amp;Carry'!D18*100</f>
        <v>1.4315087535371647</v>
      </c>
      <c r="F20" s="22">
        <f>VLOOKUP(TEXT(B20,"yyyy-mm-dd"),OneWeekMtgRatesDataTable7[],4,0)*SQRT(225)*100</f>
        <v>63.355130556356201</v>
      </c>
      <c r="G20" s="18">
        <f>VLOOKUP(B20,'Yield Curve'!B20:G67,5,0)*100</f>
        <v>276.7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1m'!$C$2:$E$4387,3,0)</f>
        <v>0.24575</v>
      </c>
      <c r="K20" s="18">
        <f>VLOOKUP(B20,'Refi%'!L:N,2,0)</f>
        <v>0.89407594990163874</v>
      </c>
      <c r="L20" s="18">
        <f>VLOOKUP(B20,'Refi%'!L:N,3,0)</f>
        <v>0.86306170802286497</v>
      </c>
      <c r="M20" s="18">
        <f>VLOOKUP(B20,'Refi%'!L:P,5,0)</f>
        <v>164.97427343377601</v>
      </c>
      <c r="N20" s="18">
        <f ca="1">VLOOKUP(B20,'Refi%'!L:P,4,0)</f>
        <v>4372.2</v>
      </c>
    </row>
    <row r="21" spans="2:14">
      <c r="B21" s="15">
        <v>41121</v>
      </c>
      <c r="C21" s="21">
        <f>'Return&amp;Carry'!C19*100</f>
        <v>6.2058842757472279</v>
      </c>
      <c r="D21" s="16">
        <v>171.71550081323352</v>
      </c>
      <c r="E21" s="21">
        <f>'Return&amp;Carry'!D19*100</f>
        <v>1.1971428116081346</v>
      </c>
      <c r="F21" s="22">
        <f>VLOOKUP(TEXT(B21,"yyyy-mm-dd"),OneWeekMtgRatesDataTable7[],4,0)*SQRT(225)*100</f>
        <v>78.601415012872124</v>
      </c>
      <c r="G21" s="18">
        <f>VLOOKUP(B21,'Yield Curve'!B21:G68,5,0)*100</f>
        <v>257.7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1m'!$C$2:$E$4387,3,0)</f>
        <v>0.2457</v>
      </c>
      <c r="K21" s="18">
        <f>VLOOKUP(B21,'Refi%'!L:N,2,0)</f>
        <v>0.98451993370244106</v>
      </c>
      <c r="L21" s="18">
        <f>VLOOKUP(B21,'Refi%'!L:N,3,0)</f>
        <v>0.89814744996460805</v>
      </c>
      <c r="M21" s="18">
        <f>VLOOKUP(B21,'Refi%'!L:P,5,0)</f>
        <v>179.16640403002799</v>
      </c>
      <c r="N21" s="18">
        <f ca="1">VLOOKUP(B21,'Refi%'!L:P,4,0)</f>
        <v>5492.1</v>
      </c>
    </row>
    <row r="22" spans="2:14">
      <c r="B22" s="15">
        <v>41152</v>
      </c>
      <c r="C22" s="21">
        <f>'Return&amp;Carry'!C20*100</f>
        <v>6.0125210413104178</v>
      </c>
      <c r="D22" s="16">
        <v>79.354763942629233</v>
      </c>
      <c r="E22" s="21">
        <f>'Return&amp;Carry'!D20*100</f>
        <v>0.838377417320047</v>
      </c>
      <c r="F22" s="22">
        <f>VLOOKUP(TEXT(B22,"yyyy-mm-dd"),OneWeekMtgRatesDataTable7[],4,0)*SQRT(225)*100</f>
        <v>84.442873213559807</v>
      </c>
      <c r="G22" s="18">
        <f>VLOOKUP(B22,'Yield Curve'!B22:G69,5,0)*100</f>
        <v>268.5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1m'!$C$2:$E$4387,3,0)</f>
        <v>0.23050000000000001</v>
      </c>
      <c r="K22" s="18">
        <f>VLOOKUP(B22,'Refi%'!L:N,2,0)</f>
        <v>0.92408794393225557</v>
      </c>
      <c r="L22" s="18">
        <f>VLOOKUP(B22,'Refi%'!L:N,3,0)</f>
        <v>0.86745968477328095</v>
      </c>
      <c r="M22" s="18">
        <f>VLOOKUP(B22,'Refi%'!L:P,5,0)</f>
        <v>168.20614369673601</v>
      </c>
      <c r="N22" s="18">
        <f ca="1">VLOOKUP(B22,'Refi%'!L:P,4,0)</f>
        <v>4274.8</v>
      </c>
    </row>
    <row r="23" spans="2:14">
      <c r="B23" s="15">
        <v>41180</v>
      </c>
      <c r="C23" s="21">
        <f>'Return&amp;Carry'!C21*100</f>
        <v>-3.9837098241825215</v>
      </c>
      <c r="D23" s="16">
        <v>247.78680771652574</v>
      </c>
      <c r="E23" s="21">
        <f>'Return&amp;Carry'!D21*100</f>
        <v>-0.20653799591469671</v>
      </c>
      <c r="F23" s="22">
        <f>VLOOKUP(TEXT(B23,"yyyy-mm-dd"),OneWeekMtgRatesDataTable7[],4,0)*SQRT(225)*100</f>
        <v>94.746297024583441</v>
      </c>
      <c r="G23" s="18">
        <f>VLOOKUP(B23,'Yield Curve'!B23:G70,5,0)*100</f>
        <v>283.40000000000003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1m'!$C$2:$E$4387,3,0)</f>
        <v>0.21425</v>
      </c>
      <c r="K23" s="18">
        <f>VLOOKUP(B23,'Refi%'!L:N,2,0)</f>
        <v>0.96459917415866681</v>
      </c>
      <c r="L23" s="18">
        <f>VLOOKUP(B23,'Refi%'!L:N,3,0)</f>
        <v>0.91259028169208301</v>
      </c>
      <c r="M23" s="18">
        <f>VLOOKUP(B23,'Refi%'!L:P,5,0)</f>
        <v>184.01775502432599</v>
      </c>
      <c r="N23" s="18">
        <f ca="1">VLOOKUP(B23,'Refi%'!L:P,4,0)</f>
        <v>5965.5</v>
      </c>
    </row>
    <row r="24" spans="2:14">
      <c r="B24" s="15">
        <v>41213</v>
      </c>
      <c r="C24" s="21">
        <f>'Return&amp;Carry'!C22*100</f>
        <v>0.15619117433484145</v>
      </c>
      <c r="D24" s="16">
        <v>309.68943904644351</v>
      </c>
      <c r="E24" s="21">
        <f>'Return&amp;Carry'!D22*100</f>
        <v>0.62727320444405654</v>
      </c>
      <c r="F24" s="22">
        <f>VLOOKUP(TEXT(B24,"yyyy-mm-dd"),OneWeekMtgRatesDataTable7[],4,0)*SQRT(225)*100</f>
        <v>89.651563507206617</v>
      </c>
      <c r="G24" s="18">
        <f>VLOOKUP(B24,'Yield Curve'!B24:G71,5,0)*100</f>
        <v>285.10000000000002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1m'!$C$2:$E$4387,3,0)</f>
        <v>0.21199999999999999</v>
      </c>
      <c r="K24" s="18">
        <f>VLOOKUP(B24,'Refi%'!L:N,2,0)</f>
        <v>0.95079229345734595</v>
      </c>
      <c r="L24" s="18">
        <f>VLOOKUP(B24,'Refi%'!L:N,3,0)</f>
        <v>0.87683234085301398</v>
      </c>
      <c r="M24" s="18">
        <f>VLOOKUP(B24,'Refi%'!L:P,5,0)</f>
        <v>175.46236630868199</v>
      </c>
      <c r="N24" s="18">
        <f ca="1">VLOOKUP(B24,'Refi%'!L:P,4,0)</f>
        <v>4550.7</v>
      </c>
    </row>
    <row r="25" spans="2:14">
      <c r="B25" s="15">
        <v>41243</v>
      </c>
      <c r="C25" s="21">
        <f>'Return&amp;Carry'!C23*100</f>
        <v>-3.7250678881232226</v>
      </c>
      <c r="D25" s="16">
        <v>312.18893683514722</v>
      </c>
      <c r="E25" s="21">
        <f>'Return&amp;Carry'!D23*100</f>
        <v>-0.28508675740747547</v>
      </c>
      <c r="F25" s="22">
        <f>VLOOKUP(TEXT(B25,"yyyy-mm-dd"),OneWeekMtgRatesDataTable7[],4,0)*SQRT(225)*100</f>
        <v>93.740889163237611</v>
      </c>
      <c r="G25" s="18">
        <f>VLOOKUP(B25,'Yield Curve'!B25:G72,5,0)*100</f>
        <v>279.59999999999997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1m'!$C$2:$E$4387,3,0)</f>
        <v>0.2145</v>
      </c>
      <c r="K25" s="18">
        <f>VLOOKUP(B25,'Refi%'!L:N,2,0)</f>
        <v>0.92756020040727527</v>
      </c>
      <c r="L25" s="18">
        <f>VLOOKUP(B25,'Refi%'!L:N,3,0)</f>
        <v>0.86996445945149903</v>
      </c>
      <c r="M25" s="18">
        <f>VLOOKUP(B25,'Refi%'!L:P,5,0)</f>
        <v>175.13406011676599</v>
      </c>
      <c r="N25" s="18">
        <f ca="1">VLOOKUP(B25,'Refi%'!L:P,4,0)</f>
        <v>4943</v>
      </c>
    </row>
    <row r="26" spans="2:14">
      <c r="B26" s="15">
        <v>41274</v>
      </c>
      <c r="C26" s="21">
        <f>'Return&amp;Carry'!C24*100</f>
        <v>2.6619862655127955</v>
      </c>
      <c r="D26" s="16">
        <v>327.64421827416106</v>
      </c>
      <c r="E26" s="21">
        <f>'Return&amp;Carry'!D24*100</f>
        <v>7.0328489174527414E-2</v>
      </c>
      <c r="F26" s="22">
        <f>VLOOKUP(TEXT(B26,"yyyy-mm-dd"),OneWeekMtgRatesDataTable7[],4,0)*SQRT(225)*100</f>
        <v>77.697858654920822</v>
      </c>
      <c r="G26" s="18">
        <f>VLOOKUP(B26,'Yield Curve'!B26:G73,5,0)*100</f>
        <v>293.40000000000003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1m'!$C$2:$E$4387,3,0)</f>
        <v>0.2087</v>
      </c>
      <c r="K26" s="18">
        <f>VLOOKUP(B26,'Refi%'!L:N,2,0)</f>
        <v>0.91018597538933266</v>
      </c>
      <c r="L26" s="18">
        <f>VLOOKUP(B26,'Refi%'!L:N,3,0)</f>
        <v>0.85626060279274896</v>
      </c>
      <c r="M26" s="18">
        <f>VLOOKUP(B26,'Refi%'!L:P,5,0)</f>
        <v>171.004451352925</v>
      </c>
      <c r="N26" s="18">
        <f ca="1">VLOOKUP(B26,'Refi%'!L:P,4,0)</f>
        <v>3488.9</v>
      </c>
    </row>
    <row r="27" spans="2:14">
      <c r="B27" s="15">
        <v>41305</v>
      </c>
      <c r="C27" s="21">
        <f>'Return&amp;Carry'!C25*100</f>
        <v>2.8918724279014381</v>
      </c>
      <c r="D27" s="16">
        <v>428.37292591191772</v>
      </c>
      <c r="E27" s="21">
        <f>'Return&amp;Carry'!D25*100</f>
        <v>-0.45343840325552881</v>
      </c>
      <c r="F27" s="22">
        <f>VLOOKUP(TEXT(B27,"yyyy-mm-dd"),OneWeekMtgRatesDataTable7[],4,0)*SQRT(225)*100</f>
        <v>73.886216771110682</v>
      </c>
      <c r="G27" s="18">
        <f>VLOOKUP(B27,'Yield Curve'!B27:G74,5,0)*100</f>
        <v>316.89999999999998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1m'!$C$2:$E$4387,3,0)</f>
        <v>0.19969999999999999</v>
      </c>
      <c r="K27" s="18">
        <f>VLOOKUP(B27,'Refi%'!L:N,2,0)</f>
        <v>0.84748759806752005</v>
      </c>
      <c r="L27" s="18">
        <f>VLOOKUP(B27,'Refi%'!L:N,3,0)</f>
        <v>0.77322369572310801</v>
      </c>
      <c r="M27" s="18">
        <f>VLOOKUP(B27,'Refi%'!L:P,5,0)</f>
        <v>148.6687850534</v>
      </c>
      <c r="N27" s="18">
        <f ca="1">VLOOKUP(B27,'Refi%'!L:P,4,0)</f>
        <v>4579</v>
      </c>
    </row>
    <row r="28" spans="2:14">
      <c r="B28" s="15">
        <v>41333</v>
      </c>
      <c r="C28" s="21">
        <f>'Return&amp;Carry'!C26*100</f>
        <v>-0.18837838201561088</v>
      </c>
      <c r="D28" s="16">
        <v>447.98054231586696</v>
      </c>
      <c r="E28" s="21">
        <f>'Return&amp;Carry'!D26*100</f>
        <v>-0.44958851549103168</v>
      </c>
      <c r="F28" s="22">
        <f>VLOOKUP(TEXT(B28,"yyyy-mm-dd"),OneWeekMtgRatesDataTable7[],4,0)*SQRT(225)*100</f>
        <v>58.653056717787258</v>
      </c>
      <c r="G28" s="18">
        <f>VLOOKUP(B28,'Yield Curve'!B28:G75,5,0)*100</f>
        <v>309.39999999999998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1m'!$C$2:$E$4387,3,0)</f>
        <v>0.20369999999999999</v>
      </c>
      <c r="K28" s="18">
        <f>VLOOKUP(B28,'Refi%'!L:N,2,0)</f>
        <v>0.81599621049204552</v>
      </c>
      <c r="L28" s="18">
        <f>VLOOKUP(B28,'Refi%'!L:N,3,0)</f>
        <v>0.75332777657917305</v>
      </c>
      <c r="M28" s="18">
        <f>VLOOKUP(B28,'Refi%'!L:P,5,0)</f>
        <v>143.440808054059</v>
      </c>
      <c r="N28" s="18">
        <f ca="1">VLOOKUP(B28,'Refi%'!L:P,4,0)</f>
        <v>4724.8999999999996</v>
      </c>
    </row>
    <row r="29" spans="2:14">
      <c r="B29" s="15">
        <v>41361</v>
      </c>
      <c r="C29" s="21">
        <f>'Return&amp;Carry'!C27*100</f>
        <v>4.4045395668783867</v>
      </c>
      <c r="D29" s="16">
        <v>342.66581343894296</v>
      </c>
      <c r="E29" s="21">
        <f>'Return&amp;Carry'!D27*100</f>
        <v>0.37234474488990627</v>
      </c>
      <c r="F29" s="22">
        <f>VLOOKUP(TEXT(B29,"yyyy-mm-dd"),OneWeekMtgRatesDataTable7[],4,0)*SQRT(225)*100</f>
        <v>59.498817261238088</v>
      </c>
      <c r="G29" s="18">
        <f>VLOOKUP(B29,'Yield Curve'!B29:G76,5,0)*100</f>
        <v>311.39999999999998</v>
      </c>
      <c r="H29" s="18">
        <f>VLOOKUP(B29,'ppm risk premium'!$O$3:$R$51,4,0)*100</f>
        <v>136.53417742290301</v>
      </c>
      <c r="I29" s="18">
        <v>4.4592698063448344</v>
      </c>
      <c r="J29" s="18">
        <f>VLOOKUP(B29,'LIBOR 1m'!$C$2:$E$4387,3,0)</f>
        <v>0.20369999999999999</v>
      </c>
      <c r="K29" s="18">
        <f>VLOOKUP(B29,'Refi%'!L:N,2,0)</f>
        <v>0.73085022058809757</v>
      </c>
      <c r="L29" s="18">
        <f>VLOOKUP(B29,'Refi%'!L:N,3,0)</f>
        <v>0.712062870316722</v>
      </c>
      <c r="M29" s="18">
        <f>VLOOKUP(B29,'Refi%'!L:P,5,0)</f>
        <v>131.92347665116998</v>
      </c>
      <c r="N29" s="18">
        <f ca="1">VLOOKUP(B29,'Refi%'!L:P,4,0)</f>
        <v>4119.2</v>
      </c>
    </row>
    <row r="30" spans="2:14">
      <c r="B30" s="15">
        <v>41394</v>
      </c>
      <c r="C30" s="21">
        <f>'Return&amp;Carry'!C28*100</f>
        <v>-9.0801513932905831</v>
      </c>
      <c r="D30" s="16">
        <v>522.24020429541497</v>
      </c>
      <c r="E30" s="21">
        <f>'Return&amp;Carry'!D28*100</f>
        <v>0.25360137802357469</v>
      </c>
      <c r="F30" s="22">
        <f>VLOOKUP(TEXT(B30,"yyyy-mm-dd"),OneWeekMtgRatesDataTable7[],4,0)*SQRT(225)*100</f>
        <v>52.140172277231386</v>
      </c>
      <c r="G30" s="18">
        <f>VLOOKUP(B30,'Yield Curve'!B30:G77,5,0)*100</f>
        <v>286.90000000000003</v>
      </c>
      <c r="H30" s="18">
        <f>VLOOKUP(B30,'ppm risk premium'!$O$3:$R$51,4,0)*100</f>
        <v>154.04791000097703</v>
      </c>
      <c r="I30" s="18">
        <v>3.9097834380284753</v>
      </c>
      <c r="J30" s="18">
        <f>VLOOKUP(B30,'LIBOR 1m'!$C$2:$E$4387,3,0)</f>
        <v>0.19819999999999999</v>
      </c>
      <c r="K30" s="18">
        <f>VLOOKUP(B30,'Refi%'!L:N,2,0)</f>
        <v>0.82478602429419701</v>
      </c>
      <c r="L30" s="18">
        <f>VLOOKUP(B30,'Refi%'!L:N,3,0)</f>
        <v>0.759939269856726</v>
      </c>
      <c r="M30" s="18">
        <f>VLOOKUP(B30,'Refi%'!L:P,5,0)</f>
        <v>146.14982352525701</v>
      </c>
      <c r="N30" s="18">
        <f ca="1">VLOOKUP(B30,'Refi%'!L:P,4,0)</f>
        <v>4854.1000000000004</v>
      </c>
    </row>
    <row r="31" spans="2:14">
      <c r="B31" s="15">
        <v>41425</v>
      </c>
      <c r="C31" s="21">
        <f>'Return&amp;Carry'!C29*100</f>
        <v>7.8437853172549072</v>
      </c>
      <c r="D31" s="16">
        <v>459.7873533470638</v>
      </c>
      <c r="E31" s="21">
        <f>'Return&amp;Carry'!D29*100</f>
        <v>0.5124810691805799</v>
      </c>
      <c r="F31" s="22">
        <f>VLOOKUP(TEXT(B31,"yyyy-mm-dd"),OneWeekMtgRatesDataTable7[],4,0)*SQRT(225)*100</f>
        <v>73.191194882509734</v>
      </c>
      <c r="G31" s="18">
        <f>VLOOKUP(B31,'Yield Curve'!B31:G78,5,0)*100</f>
        <v>330.4</v>
      </c>
      <c r="H31" s="18">
        <f>VLOOKUP(B31,'ppm risk premium'!$O$3:$R$51,4,0)*100</f>
        <v>93.885054394902042</v>
      </c>
      <c r="I31" s="18">
        <v>4.7140274811031571</v>
      </c>
      <c r="J31" s="18">
        <f>VLOOKUP(B31,'LIBOR 1m'!$C$2:$E$4387,3,0)</f>
        <v>0.19428000000000001</v>
      </c>
      <c r="K31" s="18">
        <f>VLOOKUP(B31,'Refi%'!L:N,2,0)</f>
        <v>0.63267241864898449</v>
      </c>
      <c r="L31" s="18">
        <f>VLOOKUP(B31,'Refi%'!L:N,3,0)</f>
        <v>0.61546645850988302</v>
      </c>
      <c r="M31" s="18">
        <f>VLOOKUP(B31,'Refi%'!L:P,5,0)</f>
        <v>103.87981259407699</v>
      </c>
      <c r="N31" s="18">
        <f ca="1">VLOOKUP(B31,'Refi%'!L:P,4,0)</f>
        <v>3163.6</v>
      </c>
    </row>
    <row r="32" spans="2:14">
      <c r="B32" s="15">
        <v>41453</v>
      </c>
      <c r="C32" s="21">
        <f>'Return&amp;Carry'!C30*100</f>
        <v>4.903376486255123</v>
      </c>
      <c r="D32" s="16">
        <v>381.68905385820221</v>
      </c>
      <c r="E32" s="21">
        <f>'Return&amp;Carry'!D30*100</f>
        <v>-0.3514015023900961</v>
      </c>
      <c r="F32" s="22">
        <f>VLOOKUP(TEXT(B32,"yyyy-mm-dd"),OneWeekMtgRatesDataTable7[],4,0)*SQRT(225)*100</f>
        <v>88.427000358681639</v>
      </c>
      <c r="G32" s="18">
        <f>VLOOKUP(B32,'Yield Curve'!B32:G79,5,0)*100</f>
        <v>349.8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1m'!$C$2:$E$4387,3,0)</f>
        <v>0.19464999999999999</v>
      </c>
      <c r="K32" s="18">
        <f>VLOOKUP(B32,'Refi%'!L:N,2,0)</f>
        <v>0.39082116641682313</v>
      </c>
      <c r="L32" s="18">
        <f>VLOOKUP(B32,'Refi%'!L:N,3,0)</f>
        <v>0.35042164075900101</v>
      </c>
      <c r="M32" s="18">
        <f>VLOOKUP(B32,'Refi%'!L:P,5,0)</f>
        <v>36.847370124273198</v>
      </c>
      <c r="N32" s="18">
        <f ca="1">VLOOKUP(B32,'Refi%'!L:P,4,0)</f>
        <v>2573.4</v>
      </c>
    </row>
    <row r="33" spans="2:14">
      <c r="B33" s="15">
        <v>41486</v>
      </c>
      <c r="C33" s="21">
        <f>'Return&amp;Carry'!C31*100</f>
        <v>4.5699741276733672</v>
      </c>
      <c r="D33" s="16">
        <v>333.34538926140164</v>
      </c>
      <c r="E33" s="21">
        <f>'Return&amp;Carry'!D31*100</f>
        <v>-0.44551318867113704</v>
      </c>
      <c r="F33" s="22">
        <f>VLOOKUP(TEXT(B33,"yyyy-mm-dd"),OneWeekMtgRatesDataTable7[],4,0)*SQRT(225)*100</f>
        <v>111.39247651589004</v>
      </c>
      <c r="G33" s="18">
        <f>VLOOKUP(B33,'Yield Curve'!B33:G80,5,0)*100</f>
        <v>364.29999999999995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1m'!$C$2:$E$4387,3,0)</f>
        <v>0.18673000000000001</v>
      </c>
      <c r="K33" s="18">
        <f>VLOOKUP(B33,'Refi%'!L:N,2,0)</f>
        <v>0.42922629610906576</v>
      </c>
      <c r="L33" s="18">
        <f>VLOOKUP(B33,'Refi%'!L:N,3,0)</f>
        <v>0.40895553727695599</v>
      </c>
      <c r="M33" s="18">
        <f>VLOOKUP(B33,'Refi%'!L:P,5,0)</f>
        <v>48.091558176638202</v>
      </c>
      <c r="N33" s="18">
        <f ca="1">VLOOKUP(B33,'Refi%'!L:P,4,0)</f>
        <v>2218.3000000000002</v>
      </c>
    </row>
    <row r="34" spans="2:14">
      <c r="B34" s="15">
        <v>41516</v>
      </c>
      <c r="C34" s="21">
        <f>'Return&amp;Carry'!C32*100</f>
        <v>2.4720201222230633</v>
      </c>
      <c r="D34" s="16">
        <v>273.22545878341941</v>
      </c>
      <c r="E34" s="21">
        <f>'Return&amp;Carry'!D32*100</f>
        <v>-0.24630779528221847</v>
      </c>
      <c r="F34" s="22">
        <f>VLOOKUP(TEXT(B34,"yyyy-mm-dd"),OneWeekMtgRatesDataTable7[],4,0)*SQRT(225)*100</f>
        <v>116.17425312662482</v>
      </c>
      <c r="G34" s="18">
        <f>VLOOKUP(B34,'Yield Curve'!B34:G81,5,0)*100</f>
        <v>367.3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1m'!$C$2:$E$4387,3,0)</f>
        <v>0.18206</v>
      </c>
      <c r="K34" s="18">
        <f>VLOOKUP(B34,'Refi%'!L:N,2,0)</f>
        <v>0.32707732602530493</v>
      </c>
      <c r="L34" s="18">
        <f>VLOOKUP(B34,'Refi%'!L:N,3,0)</f>
        <v>0.32738957382411199</v>
      </c>
      <c r="M34" s="18">
        <f>VLOOKUP(B34,'Refi%'!L:P,5,0)</f>
        <v>27.593373344471399</v>
      </c>
      <c r="N34" s="18">
        <f ca="1">VLOOKUP(B34,'Refi%'!L:P,4,0)</f>
        <v>1909</v>
      </c>
    </row>
    <row r="35" spans="2:14">
      <c r="B35" s="15">
        <v>41547</v>
      </c>
      <c r="C35" s="21">
        <f>'Return&amp;Carry'!C33*100</f>
        <v>1.8592263834684388</v>
      </c>
      <c r="D35" s="16">
        <v>225.37600805135614</v>
      </c>
      <c r="E35" s="21">
        <f>'Return&amp;Carry'!D33*100</f>
        <v>0.24923593019947937</v>
      </c>
      <c r="F35" s="22">
        <f>VLOOKUP(TEXT(B35,"yyyy-mm-dd"),OneWeekMtgRatesDataTable7[],4,0)*SQRT(225)*100</f>
        <v>96.642036758773102</v>
      </c>
      <c r="G35" s="18">
        <f>VLOOKUP(B35,'Yield Curve'!B35:G82,5,0)*100</f>
        <v>368.7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1m'!$C$2:$E$4387,3,0)</f>
        <v>0.17885000000000001</v>
      </c>
      <c r="K35" s="18">
        <f>VLOOKUP(B35,'Refi%'!L:N,2,0)</f>
        <v>0.40445747526612724</v>
      </c>
      <c r="L35" s="18">
        <f>VLOOKUP(B35,'Refi%'!L:N,3,0)</f>
        <v>0.41607421536967498</v>
      </c>
      <c r="M35" s="18">
        <f>VLOOKUP(B35,'Refi%'!L:P,5,0)</f>
        <v>44.478050912900102</v>
      </c>
      <c r="N35" s="18">
        <f ca="1">VLOOKUP(B35,'Refi%'!L:P,4,0)</f>
        <v>1956.6</v>
      </c>
    </row>
    <row r="36" spans="2:14">
      <c r="B36" s="15">
        <v>41578</v>
      </c>
      <c r="C36" s="21">
        <f>'Return&amp;Carry'!C34*100</f>
        <v>-0.64166832462646561</v>
      </c>
      <c r="D36" s="16">
        <v>233.9023628112142</v>
      </c>
      <c r="E36" s="21">
        <f>'Return&amp;Carry'!D34*100</f>
        <v>0.76568844511756018</v>
      </c>
      <c r="F36" s="22">
        <f>VLOOKUP(TEXT(B36,"yyyy-mm-dd"),OneWeekMtgRatesDataTable7[],4,0)*SQRT(225)*100</f>
        <v>81.686241393329468</v>
      </c>
      <c r="G36" s="18">
        <f>VLOOKUP(B36,'Yield Curve'!B36:G83,5,0)*100</f>
        <v>363.2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1m'!$C$2:$E$4387,3,0)</f>
        <v>0.16800000000000001</v>
      </c>
      <c r="K36" s="18">
        <f>VLOOKUP(B36,'Refi%'!L:N,2,0)</f>
        <v>0.4605405147219428</v>
      </c>
      <c r="L36" s="18">
        <f>VLOOKUP(B36,'Refi%'!L:N,3,0)</f>
        <v>0.47501022290439499</v>
      </c>
      <c r="M36" s="18">
        <f>VLOOKUP(B36,'Refi%'!L:P,5,0)</f>
        <v>63.652691646932205</v>
      </c>
      <c r="N36" s="18">
        <f ca="1">VLOOKUP(B36,'Refi%'!L:P,4,0)</f>
        <v>2105.6</v>
      </c>
    </row>
    <row r="37" spans="2:14">
      <c r="B37" s="15">
        <v>41607</v>
      </c>
      <c r="C37" s="21">
        <f>'Return&amp;Carry'!C35*100</f>
        <v>4.9738644252027004</v>
      </c>
      <c r="D37" s="16">
        <v>180.5090255081054</v>
      </c>
      <c r="E37" s="21">
        <f>'Return&amp;Carry'!D35*100</f>
        <v>0.77706553488175134</v>
      </c>
      <c r="F37" s="22">
        <f>VLOOKUP(TEXT(B37,"yyyy-mm-dd"),OneWeekMtgRatesDataTable7[],4,0)*SQRT(225)*100</f>
        <v>73.439013123205882</v>
      </c>
      <c r="G37" s="18">
        <f>VLOOKUP(B37,'Yield Curve'!B37:G84,5,0)*100</f>
        <v>381.1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1m'!$C$2:$E$4387,3,0)</f>
        <v>0.16825000000000001</v>
      </c>
      <c r="K37" s="18">
        <f>VLOOKUP(B37,'Refi%'!L:N,2,0)</f>
        <v>0.3969981593322805</v>
      </c>
      <c r="L37" s="18">
        <f>VLOOKUP(B37,'Refi%'!L:N,3,0)</f>
        <v>0.401262959025458</v>
      </c>
      <c r="M37" s="18">
        <f>VLOOKUP(B37,'Refi%'!L:P,5,0)</f>
        <v>42.748534320790398</v>
      </c>
      <c r="N37" s="18">
        <f ca="1">VLOOKUP(B37,'Refi%'!L:P,4,0)</f>
        <v>1561.6</v>
      </c>
    </row>
    <row r="38" spans="2:14">
      <c r="B38" s="15">
        <v>41639</v>
      </c>
      <c r="C38" s="21">
        <f>'Return&amp;Carry'!C36*100</f>
        <v>4.9663667583236766</v>
      </c>
      <c r="D38" s="16">
        <v>106.61579764411411</v>
      </c>
      <c r="E38" s="21">
        <f>'Return&amp;Carry'!D36*100</f>
        <v>0.70536743907776289</v>
      </c>
      <c r="F38" s="22">
        <f>VLOOKUP(TEXT(B38,"yyyy-mm-dd"),OneWeekMtgRatesDataTable7[],4,0)*SQRT(225)*100</f>
        <v>61.180466485688669</v>
      </c>
      <c r="G38" s="18">
        <f>VLOOKUP(B38,'Yield Curve'!B38:G85,5,0)*100</f>
        <v>394.20000000000005</v>
      </c>
      <c r="H38" s="18">
        <f>VLOOKUP(B38,'ppm risk premium'!$O$3:$R$51,4,0)*100</f>
        <v>14.597517067378973</v>
      </c>
      <c r="I38" s="18">
        <v>6.2713675347454272</v>
      </c>
      <c r="J38" s="18">
        <f>VLOOKUP(B38,'LIBOR 1m'!$C$2:$E$4387,3,0)</f>
        <v>0.17019999999999999</v>
      </c>
      <c r="K38" s="18">
        <f>VLOOKUP(B38,'Refi%'!L:N,2,0)</f>
        <v>0.33029809597210952</v>
      </c>
      <c r="L38" s="18">
        <f>VLOOKUP(B38,'Refi%'!L:N,3,0)</f>
        <v>0.29162362501885603</v>
      </c>
      <c r="M38" s="18">
        <f>VLOOKUP(B38,'Refi%'!L:P,5,0)</f>
        <v>18.712858153072801</v>
      </c>
      <c r="N38" s="18">
        <f ca="1">VLOOKUP(B38,'Refi%'!L:P,4,0)</f>
        <v>1277.8</v>
      </c>
    </row>
    <row r="39" spans="2:14">
      <c r="B39" s="15">
        <v>41670</v>
      </c>
      <c r="C39" s="21">
        <f>'Return&amp;Carry'!C37*100</f>
        <v>-0.6046175270055355</v>
      </c>
      <c r="D39" s="16">
        <v>94.950156430588521</v>
      </c>
      <c r="E39" s="21">
        <f>'Return&amp;Carry'!D37*100</f>
        <v>0.64418591402733516</v>
      </c>
      <c r="F39" s="22">
        <f>VLOOKUP(TEXT(B39,"yyyy-mm-dd"),OneWeekMtgRatesDataTable7[],4,0)*SQRT(225)*100</f>
        <v>62.826433322715793</v>
      </c>
      <c r="G39" s="18">
        <f>VLOOKUP(B39,'Yield Curve'!B39:G86,5,0)*100</f>
        <v>361.90000000000003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1m'!$C$2:$E$4387,3,0)</f>
        <v>0.1565</v>
      </c>
      <c r="K39" s="18">
        <f>VLOOKUP(B39,'Refi%'!L:N,2,0)</f>
        <v>0.38160196936392621</v>
      </c>
      <c r="L39" s="18">
        <f>VLOOKUP(B39,'Refi%'!L:N,3,0)</f>
        <v>0.38449844249950499</v>
      </c>
      <c r="M39" s="18">
        <f>VLOOKUP(B39,'Refi%'!L:P,5,0)</f>
        <v>38.714898607996702</v>
      </c>
      <c r="N39" s="18">
        <f ca="1">VLOOKUP(B39,'Refi%'!L:P,4,0)</f>
        <v>1667.5</v>
      </c>
    </row>
    <row r="40" spans="2:14">
      <c r="B40" s="15">
        <v>41698</v>
      </c>
      <c r="C40" s="21">
        <f>'Return&amp;Carry'!C38*100</f>
        <v>2.4008316230912179</v>
      </c>
      <c r="D40" s="16">
        <v>61.235127244121664</v>
      </c>
      <c r="E40" s="21">
        <f>'Return&amp;Carry'!D38*100</f>
        <v>0.92566743417696828</v>
      </c>
      <c r="F40" s="22">
        <f>VLOOKUP(TEXT(B40,"yyyy-mm-dd"),OneWeekMtgRatesDataTable7[],4,0)*SQRT(225)*100</f>
        <v>56.805163145824565</v>
      </c>
      <c r="G40" s="18">
        <f>VLOOKUP(B40,'Yield Curve'!B40:G87,5,0)*100</f>
        <v>359.2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1m'!$C$2:$E$4387,3,0)</f>
        <v>0.1555</v>
      </c>
      <c r="K40" s="18">
        <f>VLOOKUP(B40,'Refi%'!L:N,2,0)</f>
        <v>0.36967404481869215</v>
      </c>
      <c r="L40" s="18">
        <f>VLOOKUP(B40,'Refi%'!L:N,3,0)</f>
        <v>0.34853875137296803</v>
      </c>
      <c r="M40" s="18">
        <f>VLOOKUP(B40,'Refi%'!L:P,5,0)</f>
        <v>32.630752095315898</v>
      </c>
      <c r="N40" s="18">
        <f ca="1">VLOOKUP(B40,'Refi%'!L:P,4,0)</f>
        <v>1600.6</v>
      </c>
    </row>
    <row r="41" spans="2:14">
      <c r="B41" s="15">
        <v>41729</v>
      </c>
      <c r="C41" s="21">
        <f>'Return&amp;Carry'!C39*100</f>
        <v>1.6295809607463407</v>
      </c>
      <c r="D41" s="16">
        <v>55.945192208047438</v>
      </c>
      <c r="E41" s="21">
        <f>'Return&amp;Carry'!D39*100</f>
        <v>0.9070792232599757</v>
      </c>
      <c r="F41" s="22">
        <f>VLOOKUP(TEXT(B41,"yyyy-mm-dd"),OneWeekMtgRatesDataTable7[],4,0)*SQRT(225)*100</f>
        <v>56.833962700453924</v>
      </c>
      <c r="G41" s="18">
        <f>VLOOKUP(B41,'Yield Curve'!B41:G88,5,0)*100</f>
        <v>356.1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1m'!$C$2:$E$4387,3,0)</f>
        <v>0.152</v>
      </c>
      <c r="K41" s="18">
        <f>VLOOKUP(B41,'Refi%'!L:N,2,0)</f>
        <v>0.36565400061256043</v>
      </c>
      <c r="L41" s="18">
        <f>VLOOKUP(B41,'Refi%'!L:N,3,0)</f>
        <v>0.34373332978073601</v>
      </c>
      <c r="M41" s="18">
        <f>VLOOKUP(B41,'Refi%'!L:P,5,0)</f>
        <v>31.132450440538502</v>
      </c>
      <c r="N41" s="18">
        <f ca="1">VLOOKUP(B41,'Refi%'!L:P,4,0)</f>
        <v>1383.5</v>
      </c>
    </row>
    <row r="42" spans="2:14">
      <c r="B42" s="15">
        <v>41759</v>
      </c>
      <c r="C42" s="21">
        <f>'Return&amp;Carry'!C40*100</f>
        <v>0.67848038432565949</v>
      </c>
      <c r="D42" s="16">
        <v>41.829857551285244</v>
      </c>
      <c r="E42" s="21">
        <f>'Return&amp;Carry'!D40*100</f>
        <v>0.72662252048615017</v>
      </c>
      <c r="F42" s="22">
        <f>VLOOKUP(TEXT(B42,"yyyy-mm-dd"),OneWeekMtgRatesDataTable7[],4,0)*SQRT(225)*100</f>
        <v>49.260858552354101</v>
      </c>
      <c r="G42" s="18">
        <f>VLOOKUP(B42,'Yield Curve'!B42:G89,5,0)*100</f>
        <v>345.6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1m'!$C$2:$E$4387,3,0)</f>
        <v>0.15049999999999999</v>
      </c>
      <c r="K42" s="18">
        <f>VLOOKUP(B42,'Refi%'!L:N,2,0)</f>
        <v>0.37393962817107157</v>
      </c>
      <c r="L42" s="18">
        <f>VLOOKUP(B42,'Refi%'!L:N,3,0)</f>
        <v>0.37394334466633</v>
      </c>
      <c r="M42" s="18">
        <f>VLOOKUP(B42,'Refi%'!L:P,5,0)</f>
        <v>41.008123890030099</v>
      </c>
      <c r="N42" s="18">
        <f ca="1">VLOOKUP(B42,'Refi%'!L:P,4,0)</f>
        <v>1298.0999999999999</v>
      </c>
    </row>
    <row r="43" spans="2:14">
      <c r="B43" s="15">
        <v>41789</v>
      </c>
      <c r="C43" s="21">
        <f>'Return&amp;Carry'!C41*100</f>
        <v>-1.0696001897399787</v>
      </c>
      <c r="D43" s="16">
        <v>27.53135237199016</v>
      </c>
      <c r="E43" s="21">
        <f>'Return&amp;Carry'!D41*100</f>
        <v>0.87548162238832072</v>
      </c>
      <c r="F43" s="22">
        <f>VLOOKUP(TEXT(B43,"yyyy-mm-dd"),OneWeekMtgRatesDataTable7[],4,0)*SQRT(225)*100</f>
        <v>48.963222646528294</v>
      </c>
      <c r="G43" s="18">
        <f>VLOOKUP(B43,'Yield Curve'!B43:G90,5,0)*100</f>
        <v>331.4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1m'!$C$2:$E$4387,3,0)</f>
        <v>0.151</v>
      </c>
      <c r="K43" s="18">
        <f>VLOOKUP(B43,'Refi%'!L:N,2,0)</f>
        <v>0.46362020494951672</v>
      </c>
      <c r="L43" s="18">
        <f>VLOOKUP(B43,'Refi%'!L:N,3,0)</f>
        <v>0.44740081291084099</v>
      </c>
      <c r="M43" s="18">
        <f>VLOOKUP(B43,'Refi%'!L:P,5,0)</f>
        <v>62.592409617617697</v>
      </c>
      <c r="N43" s="18">
        <f ca="1">VLOOKUP(B43,'Refi%'!L:P,4,0)</f>
        <v>1382.6</v>
      </c>
    </row>
    <row r="44" spans="2:14">
      <c r="B44" s="15">
        <v>41820</v>
      </c>
      <c r="C44" s="21">
        <f>'Return&amp;Carry'!C42*100</f>
        <v>2.8037930402820392</v>
      </c>
      <c r="D44" s="16">
        <v>-6.8831389142531894</v>
      </c>
      <c r="E44" s="21">
        <f>'Return&amp;Carry'!D42*100</f>
        <v>0.86109888830040759</v>
      </c>
      <c r="F44" s="22">
        <f>VLOOKUP(TEXT(B44,"yyyy-mm-dd"),OneWeekMtgRatesDataTable7[],4,0)*SQRT(225)*100</f>
        <v>47.443011682060451</v>
      </c>
      <c r="G44" s="18">
        <f>VLOOKUP(B44,'Yield Curve'!B44:G91,5,0)*100</f>
        <v>333.8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1m'!$C$2:$E$4387,3,0)</f>
        <v>0.1552</v>
      </c>
      <c r="K44" s="18">
        <f>VLOOKUP(B44,'Refi%'!L:N,2,0)</f>
        <v>0.46847875373528863</v>
      </c>
      <c r="L44" s="18">
        <f>VLOOKUP(B44,'Refi%'!L:N,3,0)</f>
        <v>0.447997908024105</v>
      </c>
      <c r="M44" s="18">
        <f>VLOOKUP(B44,'Refi%'!L:P,5,0)</f>
        <v>63.896853562838899</v>
      </c>
      <c r="N44" s="18">
        <f ca="1">VLOOKUP(B44,'Refi%'!L:P,4,0)</f>
        <v>1341.8</v>
      </c>
    </row>
    <row r="45" spans="2:14">
      <c r="B45" s="15">
        <v>41851</v>
      </c>
      <c r="C45" s="21">
        <f>'Return&amp;Carry'!C43*100</f>
        <v>-0.2327545264738822</v>
      </c>
      <c r="D45" s="16">
        <v>-9.2666841525615986</v>
      </c>
      <c r="E45" s="21">
        <f>'Return&amp;Carry'!D43*100</f>
        <v>0.58393975407138765</v>
      </c>
      <c r="F45" s="22">
        <f>VLOOKUP(TEXT(B45,"yyyy-mm-dd"),OneWeekMtgRatesDataTable7[],4,0)*SQRT(225)*100</f>
        <v>49.801058413822716</v>
      </c>
      <c r="G45" s="18">
        <f>VLOOKUP(B45,'Yield Curve'!B45:G92,5,0)*100</f>
        <v>330.90000000000003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1m'!$C$2:$E$4387,3,0)</f>
        <v>0.156</v>
      </c>
      <c r="K45" s="18">
        <f>VLOOKUP(B45,'Refi%'!L:N,2,0)</f>
        <v>0.45923072088835232</v>
      </c>
      <c r="L45" s="18">
        <f>VLOOKUP(B45,'Refi%'!L:N,3,0)</f>
        <v>0.44366576481104603</v>
      </c>
      <c r="M45" s="18">
        <f>VLOOKUP(B45,'Refi%'!L:P,5,0)</f>
        <v>62.7231984794726</v>
      </c>
      <c r="N45" s="18">
        <f ca="1">VLOOKUP(B45,'Refi%'!L:P,4,0)</f>
        <v>1373.9</v>
      </c>
    </row>
    <row r="46" spans="2:14">
      <c r="B46" s="15">
        <v>41880</v>
      </c>
      <c r="C46" s="21">
        <f>'Return&amp;Carry'!C44*100</f>
        <v>-1.7827173821292213</v>
      </c>
      <c r="D46" s="16">
        <v>-5.386986735314931</v>
      </c>
      <c r="E46" s="21">
        <f>'Return&amp;Carry'!D44*100</f>
        <v>0.6125172413559441</v>
      </c>
      <c r="F46" s="22">
        <f>VLOOKUP(TEXT(B46,"yyyy-mm-dd"),OneWeekMtgRatesDataTable7[],4,0)*SQRT(225)*100</f>
        <v>42.285726053550711</v>
      </c>
      <c r="G46" s="18">
        <f>VLOOKUP(B46,'Yield Curve'!B46:G93,5,0)*100</f>
        <v>308.40000000000003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1m'!$C$2:$E$4387,3,0)</f>
        <v>0.157</v>
      </c>
      <c r="K46" s="18">
        <f>VLOOKUP(B46,'Refi%'!L:N,2,0)</f>
        <v>0.49084413664233395</v>
      </c>
      <c r="L46" s="18">
        <f>VLOOKUP(B46,'Refi%'!L:N,3,0)</f>
        <v>0.46725416935729103</v>
      </c>
      <c r="M46" s="18">
        <f>VLOOKUP(B46,'Refi%'!L:P,5,0)</f>
        <v>66.032726328260807</v>
      </c>
      <c r="N46" s="18">
        <f ca="1">VLOOKUP(B46,'Refi%'!L:P,4,0)</f>
        <v>1436</v>
      </c>
    </row>
    <row r="47" spans="2:14">
      <c r="B47" s="15">
        <v>41912</v>
      </c>
      <c r="C47" s="21">
        <f>'Return&amp;Carry'!C45*100</f>
        <v>2.9347490686823097</v>
      </c>
      <c r="D47" s="16">
        <v>-45.021233160825901</v>
      </c>
      <c r="E47" s="21">
        <f>'Return&amp;Carry'!D45*100</f>
        <v>0.78697356644138128</v>
      </c>
      <c r="F47" s="22">
        <f>VLOOKUP(TEXT(B47,"yyyy-mm-dd"),OneWeekMtgRatesDataTable7[],4,0)*SQRT(225)*100</f>
        <v>42.935889583307393</v>
      </c>
      <c r="G47" s="18">
        <f>VLOOKUP(B47,'Yield Curve'!B47:G94,5,0)*100</f>
        <v>321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1m'!$C$2:$E$4387,3,0)</f>
        <v>0.1565</v>
      </c>
      <c r="K47" s="18">
        <f>VLOOKUP(B47,'Refi%'!L:N,2,0)</f>
        <v>0.41373230170663788</v>
      </c>
      <c r="L47" s="18">
        <f>VLOOKUP(B47,'Refi%'!L:N,3,0)</f>
        <v>0.40569534905697002</v>
      </c>
      <c r="M47" s="18">
        <f>VLOOKUP(B47,'Refi%'!L:P,5,0)</f>
        <v>55.213021151995001</v>
      </c>
      <c r="N47" s="18">
        <f ca="1">VLOOKUP(B47,'Refi%'!L:P,4,0)</f>
        <v>1326.2</v>
      </c>
    </row>
    <row r="48" spans="2:14">
      <c r="B48" s="15">
        <v>41943</v>
      </c>
      <c r="C48" s="21">
        <f>'Return&amp;Carry'!C46*100</f>
        <v>-0.89203972294613632</v>
      </c>
      <c r="D48" s="16">
        <v>-45.98502665383706</v>
      </c>
      <c r="E48" s="21">
        <f>'Return&amp;Carry'!D46*100</f>
        <v>0.77528402645097427</v>
      </c>
      <c r="F48" s="22">
        <f>VLOOKUP(TEXT(B48,"yyyy-mm-dd"),OneWeekMtgRatesDataTable7[],4,0)*SQRT(225)*100</f>
        <v>54.466781665320482</v>
      </c>
      <c r="G48" s="18">
        <f>VLOOKUP(B48,'Yield Curve'!B48:G95,5,0)*100</f>
        <v>305.79999999999995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1m'!$C$2:$E$4387,3,0)</f>
        <v>0.15590000000000001</v>
      </c>
      <c r="K48" s="18">
        <f>VLOOKUP(B48,'Refi%'!L:N,2,0)</f>
        <v>0.57181297396619646</v>
      </c>
      <c r="L48" s="18">
        <f>VLOOKUP(B48,'Refi%'!L:N,3,0)</f>
        <v>0.519221652370358</v>
      </c>
      <c r="M48" s="18">
        <f>VLOOKUP(B48,'Refi%'!L:P,5,0)</f>
        <v>74.862193519776895</v>
      </c>
      <c r="N48" s="18">
        <f ca="1">VLOOKUP(B48,'Refi%'!L:P,4,0)</f>
        <v>1604.8</v>
      </c>
    </row>
    <row r="49" spans="2:14">
      <c r="B49" s="15">
        <v>41971</v>
      </c>
      <c r="C49" s="21">
        <f>'Return&amp;Carry'!C47*100</f>
        <v>-0.29385887025119994</v>
      </c>
      <c r="D49" s="16">
        <v>-67.68150624217175</v>
      </c>
      <c r="E49" s="21">
        <f>'Return&amp;Carry'!D47*100</f>
        <v>1.0005318206497076</v>
      </c>
      <c r="F49" s="22">
        <f>VLOOKUP(TEXT(B49,"yyyy-mm-dd"),OneWeekMtgRatesDataTable7[],4,0)*SQRT(225)*100</f>
        <v>54.084441277578613</v>
      </c>
      <c r="G49" s="18">
        <f>VLOOKUP(B49,'Yield Curve'!B49:G96,5,0)*100</f>
        <v>290.89999999999998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1m'!$C$2:$E$4387,3,0)</f>
        <v>0.154</v>
      </c>
      <c r="K49" s="18">
        <f>VLOOKUP(B49,'Refi%'!L:N,2,0)</f>
        <v>0.57290983086857539</v>
      </c>
      <c r="L49" s="18">
        <f>VLOOKUP(B49,'Refi%'!L:N,3,0)</f>
        <v>0.51222876537846296</v>
      </c>
      <c r="M49" s="18">
        <f>VLOOKUP(B49,'Refi%'!L:P,5,0)</f>
        <v>73.837514257320407</v>
      </c>
      <c r="N49" s="18">
        <f ca="1">VLOOKUP(B49,'Refi%'!L:P,4,0)</f>
        <v>1366.6</v>
      </c>
    </row>
    <row r="50" spans="2:14">
      <c r="B50" s="15">
        <v>42004</v>
      </c>
      <c r="C50" s="21">
        <f>'Return&amp;Carry'!C48*100</f>
        <v>-1.5828849942557015</v>
      </c>
      <c r="D50" s="16">
        <v>-82.306011671367912</v>
      </c>
      <c r="E50" s="21">
        <f>'Return&amp;Carry'!D48*100</f>
        <v>1.1149482364602563</v>
      </c>
      <c r="F50" s="22">
        <f>VLOOKUP(TEXT(B50,"yyyy-mm-dd"),OneWeekMtgRatesDataTable7[],4,0)*SQRT(225)*100</f>
        <v>56.938653710194473</v>
      </c>
      <c r="G50" s="18">
        <f>VLOOKUP(B50,'Yield Curve'!B50:G97,5,0)*100</f>
        <v>274.8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1m'!$C$2:$E$4387,3,0)</f>
        <v>0.17125000000000001</v>
      </c>
      <c r="K50" s="18">
        <f>VLOOKUP(B50,'Refi%'!L:N,2,0)</f>
        <v>0.59072795930158906</v>
      </c>
      <c r="L50" s="18">
        <f>VLOOKUP(B50,'Refi%'!L:N,3,0)</f>
        <v>0.53680415412734395</v>
      </c>
      <c r="M50" s="18">
        <f>VLOOKUP(B50,'Refi%'!L:P,5,0)</f>
        <v>79.447606896310504</v>
      </c>
      <c r="N50" s="18">
        <f ca="1">VLOOKUP(B50,'Refi%'!L:P,4,0)</f>
        <v>1347.6</v>
      </c>
    </row>
    <row r="51" spans="2:14">
      <c r="B51" s="15">
        <v>42034</v>
      </c>
      <c r="C51" s="21">
        <f>'Return&amp;Carry'!C49*100</f>
        <v>-11.821020972503634</v>
      </c>
      <c r="D51" s="16">
        <v>64.72540859605499</v>
      </c>
      <c r="E51" s="21">
        <f>'Return&amp;Carry'!D49*100</f>
        <v>1.1037806776258101</v>
      </c>
      <c r="F51" s="22">
        <f>VLOOKUP(TEXT(B51,"yyyy-mm-dd"),OneWeekMtgRatesDataTable7[],4,0)*SQRT(225)*100</f>
        <v>60.215273067942157</v>
      </c>
      <c r="G51" s="18">
        <f>VLOOKUP(B51,'Yield Curve'!B51:G98,5,0)*100</f>
        <v>225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1m'!$C$2:$E$4387,3,0)</f>
        <v>0.17125000000000001</v>
      </c>
      <c r="K51" s="18">
        <f>VLOOKUP(B51,'Refi%'!L:N,2,0)</f>
        <v>0.66264885680249008</v>
      </c>
      <c r="L51" s="18">
        <f>VLOOKUP(B51,'Refi%'!L:N,3,0)</f>
        <v>0.65582330233583797</v>
      </c>
      <c r="M51" s="18">
        <f>VLOOKUP(B51,'Refi%'!L:P,5,0)</f>
        <v>94.432097566956102</v>
      </c>
      <c r="N51" s="18">
        <f ca="1">VLOOKUP(B51,'Refi%'!L:P,4,0)</f>
        <v>2584.8000000000002</v>
      </c>
    </row>
    <row r="52" spans="2:14">
      <c r="B52" s="15">
        <v>42062</v>
      </c>
      <c r="C52" s="21">
        <f>'Return&amp;Carry'!C50*100</f>
        <v>11.157648727960535</v>
      </c>
      <c r="D52" s="16">
        <v>-86.739530977079625</v>
      </c>
      <c r="E52" s="21">
        <f>'Return&amp;Carry'!D50*100</f>
        <v>1.6224448600633588</v>
      </c>
      <c r="F52" s="22">
        <f>VLOOKUP(TEXT(B52,"yyyy-mm-dd"),OneWeekMtgRatesDataTable7[],4,0)*SQRT(225)*100</f>
        <v>73.252678383658733</v>
      </c>
      <c r="G52" s="18">
        <f>VLOOKUP(B52,'Yield Curve'!B52:G99,5,0)*100</f>
        <v>259.7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1m'!$C$2:$E$4387,3,0)</f>
        <v>0.17299999999999999</v>
      </c>
      <c r="K52" s="18">
        <f>VLOOKUP(B52,'Refi%'!L:N,2,0)</f>
        <v>0.61098575112407738</v>
      </c>
      <c r="L52" s="18">
        <f>VLOOKUP(B52,'Refi%'!L:N,3,0)</f>
        <v>0.56144623129586702</v>
      </c>
      <c r="M52" s="18">
        <f>VLOOKUP(B52,'Refi%'!L:P,5,0)</f>
        <v>79.0902178654556</v>
      </c>
      <c r="N52" s="18">
        <f ca="1">VLOOKUP(B52,'Refi%'!L:P,4,0)</f>
        <v>1740.3</v>
      </c>
    </row>
    <row r="53" spans="2:14">
      <c r="B53" s="15">
        <v>42094</v>
      </c>
      <c r="C53" s="21">
        <f>'Return&amp;Carry'!C51*100</f>
        <v>-0.70144080857749391</v>
      </c>
      <c r="D53" s="19">
        <v>-96.81451688649824</v>
      </c>
      <c r="E53" s="21">
        <f>'Return&amp;Carry'!D51*100</f>
        <v>0.98971486625815153</v>
      </c>
      <c r="F53" s="22">
        <f>VLOOKUP(TEXT(B53,"yyyy-mm-dd"),OneWeekMtgRatesDataTable7[],4,0)*SQRT(225)*100</f>
        <v>78.458334250589758</v>
      </c>
      <c r="G53" s="18">
        <f>VLOOKUP(B53,'Yield Curve'!B53:G100,5,0)*100</f>
        <v>254.4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1m'!$C$2:$E$4387,3,0)</f>
        <v>0.17624999999999999</v>
      </c>
      <c r="K53" s="18">
        <f>VLOOKUP(B53,'Refi%'!L:N,2,0)</f>
        <v>0.64195316325793905</v>
      </c>
      <c r="L53" s="18">
        <f>VLOOKUP(B53,'Refi%'!L:N,3,0)</f>
        <v>0.61985540937113104</v>
      </c>
      <c r="M53" s="18">
        <f>VLOOKUP(B53,'Refi%'!L:P,5,0)</f>
        <v>88.714641389029609</v>
      </c>
      <c r="N53" s="18">
        <f ca="1">VLOOKUP(B53,'Refi%'!L:P,4,0)</f>
        <v>1941.6</v>
      </c>
    </row>
    <row r="54" spans="2:14">
      <c r="B54" s="15">
        <v>42124</v>
      </c>
      <c r="C54" s="21">
        <f>'Return&amp;Carry'!C52*100</f>
        <v>4.8601435231548509</v>
      </c>
      <c r="D54" s="19">
        <v>27.78209099475113</v>
      </c>
      <c r="E54" s="21">
        <f>'Return&amp;Carry'!D52*100</f>
        <v>0.23403691447318403</v>
      </c>
      <c r="F54" s="22">
        <f>VLOOKUP(TEXT(B54,"yyyy-mm-dd"),OneWeekMtgRatesDataTable7[],4,0)*SQRT(225)*100</f>
        <v>69.088668025320771</v>
      </c>
      <c r="G54" s="18">
        <f>VLOOKUP(B54,'Yield Curve'!B54:G101,5,0)*100</f>
        <v>275</v>
      </c>
      <c r="H54" s="18">
        <f>VLOOKUP(B54,'ppm risk premium'!$O$3:$R$53,4,0)*100</f>
        <v>80.976701039273991</v>
      </c>
      <c r="I54" s="18">
        <v>5.55</v>
      </c>
      <c r="J54" s="18">
        <f>VLOOKUP(B54,'LIBOR 1m'!$C$2:$E$4387,3,0)</f>
        <v>0.18099999999999999</v>
      </c>
      <c r="K54" s="18">
        <f>VLOOKUP(B54,'Refi%'!L:N,2,0)</f>
        <v>0.63639402671923606</v>
      </c>
      <c r="L54" s="18">
        <f>VLOOKUP(B54,'Refi%'!L:N,3,0)</f>
        <v>0.608876308109219</v>
      </c>
      <c r="M54" s="18">
        <f>VLOOKUP(B54,'Refi%'!L:P,5,0)</f>
        <v>87.871549194363794</v>
      </c>
      <c r="N54" s="18">
        <f ca="1">VLOOKUP(B54,'Refi%'!L:P,4,0)</f>
        <v>1559.4</v>
      </c>
    </row>
    <row r="55" spans="2:14">
      <c r="B55" s="15">
        <v>42153</v>
      </c>
      <c r="C55" s="21">
        <f>'Return&amp;Carry'!C53*100</f>
        <v>1.2029246613529649</v>
      </c>
      <c r="D55" s="19">
        <v>27</v>
      </c>
      <c r="E55" s="21">
        <f>'Return&amp;Carry'!D53*100</f>
        <v>0.36245946746782176</v>
      </c>
      <c r="F55" s="22">
        <f>VLOOKUP(TEXT(B55,"yyyy-mm-dd"),OneWeekMtgRatesDataTable7[],4,0)*SQRT(225)*100</f>
        <v>68.401578285219188</v>
      </c>
      <c r="G55" s="18">
        <f>VLOOKUP(B55,'Yield Curve'!B55:G102,5,0)*100</f>
        <v>284.7</v>
      </c>
      <c r="H55" s="18">
        <f>VLOOKUP(B55,'ppm risk premium'!$O$3:$R$54,4,0)*100</f>
        <v>72.745830765210016</v>
      </c>
      <c r="I55" s="18">
        <v>5.6436002114359507</v>
      </c>
      <c r="J55" s="18">
        <f>VLOOKUP(B55,'LIBOR 1m'!$C$2:$E$4387,3,0)</f>
        <v>0.184</v>
      </c>
      <c r="K55" s="18">
        <f>VLOOKUP(B55,'Refi%'!L:N,2,0)</f>
        <v>0.54951676769042945</v>
      </c>
      <c r="L55" s="18">
        <f>VLOOKUP(B55,'Refi%'!L:N,3,0)</f>
        <v>0.49518214427458052</v>
      </c>
      <c r="M55" s="18">
        <f>VLOOKUP(B55,'Refi%'!L:P,5,0)</f>
        <v>67.318101513318496</v>
      </c>
      <c r="N55" s="18">
        <f ca="1">VLOOKUP(B55,'Refi%'!L:P,4,0)</f>
        <v>1233.9000000000001</v>
      </c>
    </row>
    <row r="56" spans="2:14" s="26" customFormat="1">
      <c r="B56" s="15"/>
      <c r="C56" s="21"/>
      <c r="D56" s="19"/>
      <c r="E56" s="21"/>
      <c r="F56" s="22"/>
      <c r="G56" s="18"/>
      <c r="H56" s="18"/>
      <c r="I56" s="18"/>
      <c r="J56" s="18"/>
      <c r="K56" s="18"/>
      <c r="L56" s="18"/>
      <c r="M56" s="18"/>
      <c r="N56" s="18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19"/>
  <sheetViews>
    <sheetView topLeftCell="A1463" workbookViewId="0">
      <selection sqref="A1:B1519"/>
    </sheetView>
  </sheetViews>
  <sheetFormatPr defaultRowHeight="15"/>
  <cols>
    <col min="1" max="1" width="10.7109375" bestFit="1" customWidth="1"/>
    <col min="3" max="4" width="9.140625" style="26"/>
    <col min="6" max="6" width="9.140625" style="26"/>
  </cols>
  <sheetData>
    <row r="1" spans="1:4">
      <c r="A1" s="23" t="s">
        <v>26</v>
      </c>
      <c r="B1" s="23" t="s">
        <v>27</v>
      </c>
      <c r="C1" s="26" t="s">
        <v>4</v>
      </c>
      <c r="D1" s="26" t="s">
        <v>5</v>
      </c>
    </row>
    <row r="2" spans="1:4">
      <c r="A2" s="24" t="s">
        <v>1531</v>
      </c>
      <c r="B2" s="23">
        <v>2.8873082715202201</v>
      </c>
      <c r="C2" s="23">
        <f t="shared" ref="C2:C65" si="0">B2-B3</f>
        <v>7.4749329083670268E-2</v>
      </c>
      <c r="D2" s="25">
        <f t="shared" ref="D2:D65" si="1">STDEV(C2:C61)</f>
        <v>4.4163769736525429E-2</v>
      </c>
    </row>
    <row r="3" spans="1:4">
      <c r="A3" s="23" t="s">
        <v>1532</v>
      </c>
      <c r="B3" s="23">
        <v>2.8125589424365498</v>
      </c>
      <c r="C3" s="23">
        <f t="shared" si="0"/>
        <v>-2.8808272780890043E-2</v>
      </c>
      <c r="D3" s="25">
        <f t="shared" si="1"/>
        <v>4.5601052190146124E-2</v>
      </c>
    </row>
    <row r="4" spans="1:4">
      <c r="A4" s="23" t="s">
        <v>1533</v>
      </c>
      <c r="B4" s="23">
        <v>2.8413672152174398</v>
      </c>
      <c r="C4" s="23">
        <f t="shared" si="0"/>
        <v>-4.699318275450004E-3</v>
      </c>
      <c r="D4" s="25">
        <f t="shared" si="1"/>
        <v>4.5459528582604505E-2</v>
      </c>
    </row>
    <row r="5" spans="1:4">
      <c r="A5" s="23" t="s">
        <v>1534</v>
      </c>
      <c r="B5" s="23">
        <v>2.8460665334928898</v>
      </c>
      <c r="C5" s="23">
        <f t="shared" si="0"/>
        <v>-4.0039051206899323E-3</v>
      </c>
      <c r="D5" s="25">
        <f t="shared" si="1"/>
        <v>4.5474591692681379E-2</v>
      </c>
    </row>
    <row r="6" spans="1:4">
      <c r="A6" s="23" t="s">
        <v>1535</v>
      </c>
      <c r="B6" s="23">
        <v>2.8500704386135798</v>
      </c>
      <c r="C6" s="23">
        <f t="shared" si="0"/>
        <v>-4.145057721679013E-2</v>
      </c>
      <c r="D6" s="25">
        <f t="shared" si="1"/>
        <v>4.5797926196727179E-2</v>
      </c>
    </row>
    <row r="7" spans="1:4">
      <c r="A7" s="23" t="s">
        <v>1536</v>
      </c>
      <c r="B7" s="23">
        <v>2.8915210158303699</v>
      </c>
      <c r="C7" s="23">
        <f t="shared" si="0"/>
        <v>3.1544972245759695E-2</v>
      </c>
      <c r="D7" s="25">
        <f t="shared" si="1"/>
        <v>4.5976652461913979E-2</v>
      </c>
    </row>
    <row r="8" spans="1:4">
      <c r="A8" s="23" t="s">
        <v>1537</v>
      </c>
      <c r="B8" s="23">
        <v>2.8599760435846102</v>
      </c>
      <c r="C8" s="23">
        <f t="shared" si="0"/>
        <v>-5.0286282926449655E-2</v>
      </c>
      <c r="D8" s="25">
        <f t="shared" si="1"/>
        <v>4.5979146837641122E-2</v>
      </c>
    </row>
    <row r="9" spans="1:4">
      <c r="A9" s="23" t="s">
        <v>1538</v>
      </c>
      <c r="B9" s="23">
        <v>2.9102623265110599</v>
      </c>
      <c r="C9" s="23">
        <f t="shared" si="0"/>
        <v>-1.1186028867629982E-2</v>
      </c>
      <c r="D9" s="25">
        <f t="shared" si="1"/>
        <v>4.5701929519374199E-2</v>
      </c>
    </row>
    <row r="10" spans="1:4">
      <c r="A10" s="23" t="s">
        <v>1539</v>
      </c>
      <c r="B10" s="23">
        <v>2.9214483553786899</v>
      </c>
      <c r="C10" s="23">
        <f t="shared" si="0"/>
        <v>3.1768424584039945E-2</v>
      </c>
      <c r="D10" s="25">
        <f t="shared" si="1"/>
        <v>4.5758004792653816E-2</v>
      </c>
    </row>
    <row r="11" spans="1:4">
      <c r="A11" s="23" t="s">
        <v>1540</v>
      </c>
      <c r="B11" s="23">
        <v>2.8896799307946499</v>
      </c>
      <c r="C11" s="23">
        <f t="shared" si="0"/>
        <v>6.3363231754419935E-2</v>
      </c>
      <c r="D11" s="25">
        <f t="shared" si="1"/>
        <v>4.6296574412356663E-2</v>
      </c>
    </row>
    <row r="12" spans="1:4">
      <c r="A12" s="23" t="s">
        <v>1541</v>
      </c>
      <c r="B12" s="23">
        <v>2.82631669904023</v>
      </c>
      <c r="C12" s="23">
        <f t="shared" si="0"/>
        <v>-8.0573849753129867E-2</v>
      </c>
      <c r="D12" s="25">
        <f t="shared" si="1"/>
        <v>4.5940715657167307E-2</v>
      </c>
    </row>
    <row r="13" spans="1:4">
      <c r="A13" s="23" t="s">
        <v>1542</v>
      </c>
      <c r="B13" s="23">
        <v>2.9068905487933598</v>
      </c>
      <c r="C13" s="23">
        <f t="shared" si="0"/>
        <v>-5.1718716479959959E-2</v>
      </c>
      <c r="D13" s="25">
        <f t="shared" si="1"/>
        <v>4.4775139138174741E-2</v>
      </c>
    </row>
    <row r="14" spans="1:4">
      <c r="A14" s="23" t="s">
        <v>1543</v>
      </c>
      <c r="B14" s="23">
        <v>2.9586092652733198</v>
      </c>
      <c r="C14" s="23">
        <f t="shared" si="0"/>
        <v>2.2319520160919648E-2</v>
      </c>
      <c r="D14" s="25">
        <f t="shared" si="1"/>
        <v>4.4324976857277522E-2</v>
      </c>
    </row>
    <row r="15" spans="1:4">
      <c r="A15" s="23" t="s">
        <v>1544</v>
      </c>
      <c r="B15" s="23">
        <v>2.9362897451124002</v>
      </c>
      <c r="C15" s="23">
        <f t="shared" si="0"/>
        <v>1.6308154683920328E-2</v>
      </c>
      <c r="D15" s="25">
        <f t="shared" si="1"/>
        <v>4.4928489928004259E-2</v>
      </c>
    </row>
    <row r="16" spans="1:4">
      <c r="A16" s="23" t="s">
        <v>1545</v>
      </c>
      <c r="B16" s="23">
        <v>2.9199815904284798</v>
      </c>
      <c r="C16" s="23">
        <f t="shared" si="0"/>
        <v>0.10987389717521001</v>
      </c>
      <c r="D16" s="25">
        <f t="shared" si="1"/>
        <v>4.7476933158671249E-2</v>
      </c>
    </row>
    <row r="17" spans="1:4">
      <c r="A17" s="23" t="s">
        <v>1530</v>
      </c>
      <c r="B17" s="23">
        <v>2.8101076932532698</v>
      </c>
      <c r="C17" s="23">
        <f t="shared" si="0"/>
        <v>-5.1670274790850179E-2</v>
      </c>
      <c r="D17" s="25">
        <f t="shared" si="1"/>
        <v>4.5435114970744282E-2</v>
      </c>
    </row>
    <row r="18" spans="1:4">
      <c r="A18" s="23" t="s">
        <v>28</v>
      </c>
      <c r="B18" s="23">
        <v>2.86177796804412</v>
      </c>
      <c r="C18" s="23">
        <f t="shared" si="0"/>
        <v>-5.7527228912459982E-2</v>
      </c>
      <c r="D18" s="25">
        <f t="shared" si="1"/>
        <v>4.4968352341139113E-2</v>
      </c>
    </row>
    <row r="19" spans="1:4">
      <c r="A19" s="23" t="s">
        <v>1529</v>
      </c>
      <c r="B19" s="23">
        <v>2.91930519695658</v>
      </c>
      <c r="C19" s="23">
        <f t="shared" si="0"/>
        <v>4.3656721521890152E-2</v>
      </c>
      <c r="D19" s="25">
        <f t="shared" si="1"/>
        <v>4.4298310828526019E-2</v>
      </c>
    </row>
    <row r="20" spans="1:4">
      <c r="A20" s="23" t="s">
        <v>1528</v>
      </c>
      <c r="B20" s="23">
        <v>2.8756484754346898</v>
      </c>
      <c r="C20" s="23">
        <f t="shared" si="0"/>
        <v>3.3972469820039652E-2</v>
      </c>
      <c r="D20" s="25">
        <f t="shared" si="1"/>
        <v>4.4589394617845501E-2</v>
      </c>
    </row>
    <row r="21" spans="1:4">
      <c r="A21" s="23" t="s">
        <v>1527</v>
      </c>
      <c r="B21" s="23">
        <v>2.8416760056146502</v>
      </c>
      <c r="C21" s="23">
        <f t="shared" si="0"/>
        <v>3.526609855049001E-2</v>
      </c>
      <c r="D21" s="25">
        <f t="shared" si="1"/>
        <v>4.4418096643407005E-2</v>
      </c>
    </row>
    <row r="22" spans="1:4">
      <c r="A22" s="23" t="s">
        <v>1526</v>
      </c>
      <c r="B22" s="23">
        <v>2.8064099070641602</v>
      </c>
      <c r="C22" s="23">
        <f t="shared" si="0"/>
        <v>5.839518409721034E-2</v>
      </c>
      <c r="D22" s="25">
        <f t="shared" si="1"/>
        <v>4.6587164212315325E-2</v>
      </c>
    </row>
    <row r="23" spans="1:4">
      <c r="A23" s="23" t="s">
        <v>1525</v>
      </c>
      <c r="B23" s="23">
        <v>2.7480147229669498</v>
      </c>
      <c r="C23" s="23">
        <f t="shared" si="0"/>
        <v>1.2688514096299564E-3</v>
      </c>
      <c r="D23" s="25">
        <f t="shared" si="1"/>
        <v>4.6059112016880517E-2</v>
      </c>
    </row>
    <row r="24" spans="1:4">
      <c r="A24" s="23" t="s">
        <v>1524</v>
      </c>
      <c r="B24" s="23">
        <v>2.7467458715573199</v>
      </c>
      <c r="C24" s="23">
        <f t="shared" si="0"/>
        <v>4.7604416926769755E-2</v>
      </c>
      <c r="D24" s="25">
        <f t="shared" si="1"/>
        <v>4.6167318226541784E-2</v>
      </c>
    </row>
    <row r="25" spans="1:4">
      <c r="A25" s="23" t="s">
        <v>1523</v>
      </c>
      <c r="B25" s="23">
        <v>2.6991414546305501</v>
      </c>
      <c r="C25" s="23">
        <f t="shared" si="0"/>
        <v>5.5407604211860306E-2</v>
      </c>
      <c r="D25" s="25">
        <f t="shared" si="1"/>
        <v>4.7179218887090014E-2</v>
      </c>
    </row>
    <row r="26" spans="1:4">
      <c r="A26" s="23" t="s">
        <v>1522</v>
      </c>
      <c r="B26" s="23">
        <v>2.6437338504186898</v>
      </c>
      <c r="C26" s="23">
        <f t="shared" si="0"/>
        <v>1.4174632649449848E-2</v>
      </c>
      <c r="D26" s="25">
        <f t="shared" si="1"/>
        <v>4.6708107539903822E-2</v>
      </c>
    </row>
    <row r="27" spans="1:4">
      <c r="A27" s="23" t="s">
        <v>1521</v>
      </c>
      <c r="B27" s="23">
        <v>2.62955921776924</v>
      </c>
      <c r="C27" s="23">
        <f t="shared" si="0"/>
        <v>-2.6728363760100127E-2</v>
      </c>
      <c r="D27" s="25">
        <f t="shared" si="1"/>
        <v>4.7404343255888853E-2</v>
      </c>
    </row>
    <row r="28" spans="1:4">
      <c r="A28" s="23" t="s">
        <v>1520</v>
      </c>
      <c r="B28" s="23">
        <v>2.6562875815293401</v>
      </c>
      <c r="C28" s="23">
        <f t="shared" si="0"/>
        <v>-1.9038832217389778E-2</v>
      </c>
      <c r="D28" s="25">
        <f t="shared" si="1"/>
        <v>4.7256705256542977E-2</v>
      </c>
    </row>
    <row r="29" spans="1:4">
      <c r="A29" s="23" t="s">
        <v>1519</v>
      </c>
      <c r="B29" s="23">
        <v>2.6753264137467299</v>
      </c>
      <c r="C29" s="23">
        <f t="shared" si="0"/>
        <v>5.2805333661659848E-2</v>
      </c>
      <c r="D29" s="25">
        <f t="shared" si="1"/>
        <v>4.8315264943955112E-2</v>
      </c>
    </row>
    <row r="30" spans="1:4">
      <c r="A30" s="23" t="s">
        <v>1518</v>
      </c>
      <c r="B30" s="23">
        <v>2.62252108008507</v>
      </c>
      <c r="C30" s="23">
        <f t="shared" si="0"/>
        <v>2.3931863014809984E-2</v>
      </c>
      <c r="D30" s="25">
        <f t="shared" si="1"/>
        <v>4.7865865689240575E-2</v>
      </c>
    </row>
    <row r="31" spans="1:4">
      <c r="A31" s="23" t="s">
        <v>1517</v>
      </c>
      <c r="B31" s="23">
        <v>2.59858921707026</v>
      </c>
      <c r="C31" s="23">
        <f t="shared" si="0"/>
        <v>3.1468796612490024E-2</v>
      </c>
      <c r="D31" s="25">
        <f t="shared" si="1"/>
        <v>4.7898833496792616E-2</v>
      </c>
    </row>
    <row r="32" spans="1:4">
      <c r="A32" s="23" t="s">
        <v>1516</v>
      </c>
      <c r="B32" s="23">
        <v>2.56712042045777</v>
      </c>
      <c r="C32" s="23">
        <f t="shared" si="0"/>
        <v>-8.7825213409797875E-3</v>
      </c>
      <c r="D32" s="25">
        <f t="shared" si="1"/>
        <v>4.8129624283717885E-2</v>
      </c>
    </row>
    <row r="33" spans="1:4">
      <c r="A33" s="23" t="s">
        <v>1515</v>
      </c>
      <c r="B33" s="23">
        <v>2.5759029417987498</v>
      </c>
      <c r="C33" s="23">
        <f t="shared" si="0"/>
        <v>-8.7906427710402468E-3</v>
      </c>
      <c r="D33" s="25">
        <f t="shared" si="1"/>
        <v>4.8133032922734853E-2</v>
      </c>
    </row>
    <row r="34" spans="1:4">
      <c r="A34" s="23" t="s">
        <v>1514</v>
      </c>
      <c r="B34" s="23">
        <v>2.58469358456979</v>
      </c>
      <c r="C34" s="23">
        <f t="shared" si="0"/>
        <v>-1.2165182691600052E-2</v>
      </c>
      <c r="D34" s="25">
        <f t="shared" si="1"/>
        <v>4.8578445027368224E-2</v>
      </c>
    </row>
    <row r="35" spans="1:4">
      <c r="A35" s="23" t="s">
        <v>1513</v>
      </c>
      <c r="B35" s="23">
        <v>2.5968587672613901</v>
      </c>
      <c r="C35" s="23">
        <f t="shared" si="0"/>
        <v>-4.4481683155519924E-2</v>
      </c>
      <c r="D35" s="25">
        <f t="shared" si="1"/>
        <v>4.8571794401842144E-2</v>
      </c>
    </row>
    <row r="36" spans="1:4">
      <c r="A36" s="23" t="s">
        <v>1512</v>
      </c>
      <c r="B36" s="23">
        <v>2.64134045041691</v>
      </c>
      <c r="C36" s="23">
        <f t="shared" si="0"/>
        <v>-2.6054112115000194E-2</v>
      </c>
      <c r="D36" s="25">
        <f t="shared" si="1"/>
        <v>4.9541911091635221E-2</v>
      </c>
    </row>
    <row r="37" spans="1:4">
      <c r="A37" s="23" t="s">
        <v>1511</v>
      </c>
      <c r="B37" s="23">
        <v>2.6673945625319102</v>
      </c>
      <c r="C37" s="23">
        <f t="shared" si="0"/>
        <v>1.9736284103810231E-2</v>
      </c>
      <c r="D37" s="25">
        <f t="shared" si="1"/>
        <v>4.9654127894161793E-2</v>
      </c>
    </row>
    <row r="38" spans="1:4">
      <c r="A38" s="23" t="s">
        <v>1510</v>
      </c>
      <c r="B38" s="23">
        <v>2.6476582784281</v>
      </c>
      <c r="C38" s="23">
        <f t="shared" si="0"/>
        <v>2.7336766776909993E-2</v>
      </c>
      <c r="D38" s="25">
        <f t="shared" si="1"/>
        <v>5.098123062617281E-2</v>
      </c>
    </row>
    <row r="39" spans="1:4">
      <c r="A39" s="23" t="s">
        <v>1509</v>
      </c>
      <c r="B39" s="23">
        <v>2.62032151165119</v>
      </c>
      <c r="C39" s="23">
        <f t="shared" si="0"/>
        <v>-8.4609472273298181E-3</v>
      </c>
      <c r="D39" s="25">
        <f t="shared" si="1"/>
        <v>5.0900754645999316E-2</v>
      </c>
    </row>
    <row r="40" spans="1:4">
      <c r="A40" s="23" t="s">
        <v>1508</v>
      </c>
      <c r="B40" s="23">
        <v>2.6287824588785198</v>
      </c>
      <c r="C40" s="23">
        <f t="shared" si="0"/>
        <v>-5.134644862000215E-3</v>
      </c>
      <c r="D40" s="25">
        <f t="shared" si="1"/>
        <v>5.1349905477378568E-2</v>
      </c>
    </row>
    <row r="41" spans="1:4">
      <c r="A41" s="23" t="s">
        <v>1507</v>
      </c>
      <c r="B41" s="23">
        <v>2.63391710374052</v>
      </c>
      <c r="C41" s="23">
        <f t="shared" si="0"/>
        <v>4.3028682204710123E-2</v>
      </c>
      <c r="D41" s="25">
        <f t="shared" si="1"/>
        <v>5.1500973920222307E-2</v>
      </c>
    </row>
    <row r="42" spans="1:4">
      <c r="A42" s="23" t="s">
        <v>1506</v>
      </c>
      <c r="B42" s="23">
        <v>2.5908884215358099</v>
      </c>
      <c r="C42" s="23">
        <f t="shared" si="0"/>
        <v>-6.0394246464800183E-2</v>
      </c>
      <c r="D42" s="25">
        <f t="shared" si="1"/>
        <v>5.1653152037348424E-2</v>
      </c>
    </row>
    <row r="43" spans="1:4">
      <c r="A43" s="23" t="s">
        <v>1505</v>
      </c>
      <c r="B43" s="23">
        <v>2.6512826680006101</v>
      </c>
      <c r="C43" s="23">
        <f t="shared" si="0"/>
        <v>5.2016892610319942E-2</v>
      </c>
      <c r="D43" s="25">
        <f t="shared" si="1"/>
        <v>5.1062964454997355E-2</v>
      </c>
    </row>
    <row r="44" spans="1:4">
      <c r="A44" s="23" t="s">
        <v>1504</v>
      </c>
      <c r="B44" s="23">
        <v>2.5992657753902901</v>
      </c>
      <c r="C44" s="23">
        <f t="shared" si="0"/>
        <v>-6.1769385888649886E-2</v>
      </c>
      <c r="D44" s="25">
        <f t="shared" si="1"/>
        <v>5.1647565557648038E-2</v>
      </c>
    </row>
    <row r="45" spans="1:4">
      <c r="A45" s="23" t="s">
        <v>1503</v>
      </c>
      <c r="B45" s="23">
        <v>2.66103516127894</v>
      </c>
      <c r="C45" s="23">
        <f t="shared" si="0"/>
        <v>-2.9586269164330048E-2</v>
      </c>
      <c r="D45" s="25">
        <f t="shared" si="1"/>
        <v>5.2305556167059834E-2</v>
      </c>
    </row>
    <row r="46" spans="1:4">
      <c r="A46" s="23" t="s">
        <v>1502</v>
      </c>
      <c r="B46" s="23">
        <v>2.6906214304432701</v>
      </c>
      <c r="C46" s="23">
        <f t="shared" si="0"/>
        <v>-2.8618158563897822E-3</v>
      </c>
      <c r="D46" s="25">
        <f t="shared" si="1"/>
        <v>5.2529510292846429E-2</v>
      </c>
    </row>
    <row r="47" spans="1:4">
      <c r="A47" s="23" t="s">
        <v>1501</v>
      </c>
      <c r="B47" s="23">
        <v>2.6934832462996599</v>
      </c>
      <c r="C47" s="23">
        <f t="shared" si="0"/>
        <v>-5.8515813978840203E-2</v>
      </c>
      <c r="D47" s="25">
        <f t="shared" si="1"/>
        <v>5.2568824336332379E-2</v>
      </c>
    </row>
    <row r="48" spans="1:4">
      <c r="A48" s="23" t="s">
        <v>1500</v>
      </c>
      <c r="B48" s="23">
        <v>2.7519990602785001</v>
      </c>
      <c r="C48" s="23">
        <f t="shared" si="0"/>
        <v>8.7829664233180171E-2</v>
      </c>
      <c r="D48" s="25">
        <f t="shared" si="1"/>
        <v>5.2063000189669403E-2</v>
      </c>
    </row>
    <row r="49" spans="1:4">
      <c r="A49" s="23" t="s">
        <v>1499</v>
      </c>
      <c r="B49" s="23">
        <v>2.6641693960453199</v>
      </c>
      <c r="C49" s="23">
        <f t="shared" si="0"/>
        <v>5.4322680498939846E-2</v>
      </c>
      <c r="D49" s="25">
        <f t="shared" si="1"/>
        <v>5.0834255640575129E-2</v>
      </c>
    </row>
    <row r="50" spans="1:4">
      <c r="A50" s="23" t="s">
        <v>1498</v>
      </c>
      <c r="B50" s="23">
        <v>2.60984671554638</v>
      </c>
      <c r="C50" s="23">
        <f t="shared" si="0"/>
        <v>-4.7662762445280116E-2</v>
      </c>
      <c r="D50" s="25">
        <f t="shared" si="1"/>
        <v>5.028986318675964E-2</v>
      </c>
    </row>
    <row r="51" spans="1:4">
      <c r="A51" s="23" t="s">
        <v>1497</v>
      </c>
      <c r="B51" s="23">
        <v>2.6575094779916602</v>
      </c>
      <c r="C51" s="23">
        <f t="shared" si="0"/>
        <v>-1.4263460552039753E-2</v>
      </c>
      <c r="D51" s="25">
        <f t="shared" si="1"/>
        <v>4.9979240085224877E-2</v>
      </c>
    </row>
    <row r="52" spans="1:4">
      <c r="A52" s="23" t="s">
        <v>1496</v>
      </c>
      <c r="B52" s="23">
        <v>2.6717729385436999</v>
      </c>
      <c r="C52" s="23">
        <f t="shared" si="0"/>
        <v>-3.7783625217580052E-2</v>
      </c>
      <c r="D52" s="25">
        <f t="shared" si="1"/>
        <v>5.1257985488287174E-2</v>
      </c>
    </row>
    <row r="53" spans="1:4">
      <c r="A53" s="23" t="s">
        <v>1495</v>
      </c>
      <c r="B53" s="23">
        <v>2.70955656376128</v>
      </c>
      <c r="C53" s="23">
        <f t="shared" si="0"/>
        <v>1.6707660665860047E-2</v>
      </c>
      <c r="D53" s="25">
        <f t="shared" si="1"/>
        <v>5.105513837458095E-2</v>
      </c>
    </row>
    <row r="54" spans="1:4">
      <c r="A54" s="23" t="s">
        <v>1494</v>
      </c>
      <c r="B54" s="23">
        <v>2.6928489030954199</v>
      </c>
      <c r="C54" s="23">
        <f t="shared" si="0"/>
        <v>-0.10299210620924004</v>
      </c>
      <c r="D54" s="25">
        <f t="shared" si="1"/>
        <v>5.1075351440029074E-2</v>
      </c>
    </row>
    <row r="55" spans="1:4">
      <c r="A55" s="23" t="s">
        <v>1493</v>
      </c>
      <c r="B55" s="23">
        <v>2.79584100930466</v>
      </c>
      <c r="C55" s="23">
        <f t="shared" si="0"/>
        <v>-2.8335842523260268E-2</v>
      </c>
      <c r="D55" s="25">
        <f t="shared" si="1"/>
        <v>4.9433604663992513E-2</v>
      </c>
    </row>
    <row r="56" spans="1:4">
      <c r="A56" s="23" t="s">
        <v>1492</v>
      </c>
      <c r="B56" s="23">
        <v>2.8241768518279202</v>
      </c>
      <c r="C56" s="23">
        <f t="shared" si="0"/>
        <v>-7.328897314579752E-3</v>
      </c>
      <c r="D56" s="25">
        <f t="shared" si="1"/>
        <v>4.972298024627448E-2</v>
      </c>
    </row>
    <row r="57" spans="1:4">
      <c r="A57" s="23" t="s">
        <v>1491</v>
      </c>
      <c r="B57" s="23">
        <v>2.8315057491425</v>
      </c>
      <c r="C57" s="23">
        <f t="shared" si="0"/>
        <v>1.7686638888520179E-2</v>
      </c>
      <c r="D57" s="25">
        <f t="shared" si="1"/>
        <v>5.0016408280578802E-2</v>
      </c>
    </row>
    <row r="58" spans="1:4">
      <c r="A58" s="23" t="s">
        <v>1490</v>
      </c>
      <c r="B58" s="23">
        <v>2.8138191102539798</v>
      </c>
      <c r="C58" s="23">
        <f t="shared" si="0"/>
        <v>-1.4016193064140037E-2</v>
      </c>
      <c r="D58" s="25">
        <f t="shared" si="1"/>
        <v>5.0101418365163755E-2</v>
      </c>
    </row>
    <row r="59" spans="1:4">
      <c r="A59" s="23" t="s">
        <v>1489</v>
      </c>
      <c r="B59" s="23">
        <v>2.8278353033181198</v>
      </c>
      <c r="C59" s="23">
        <f t="shared" si="0"/>
        <v>-1.8515033488640142E-2</v>
      </c>
      <c r="D59" s="25">
        <f t="shared" si="1"/>
        <v>5.0729469681339956E-2</v>
      </c>
    </row>
    <row r="60" spans="1:4">
      <c r="A60" s="23" t="s">
        <v>1488</v>
      </c>
      <c r="B60" s="23">
        <v>2.84635033680676</v>
      </c>
      <c r="C60" s="23">
        <f t="shared" si="0"/>
        <v>-5.5877186723169991E-2</v>
      </c>
      <c r="D60" s="25">
        <f t="shared" si="1"/>
        <v>5.0699413076051386E-2</v>
      </c>
    </row>
    <row r="61" spans="1:4">
      <c r="A61" s="23" t="s">
        <v>1487</v>
      </c>
      <c r="B61" s="23">
        <v>2.90222752352993</v>
      </c>
      <c r="C61" s="23">
        <f t="shared" si="0"/>
        <v>-2.8089487371969923E-2</v>
      </c>
      <c r="D61" s="25">
        <f t="shared" si="1"/>
        <v>5.0374968930745459E-2</v>
      </c>
    </row>
    <row r="62" spans="1:4">
      <c r="A62" s="23" t="s">
        <v>1486</v>
      </c>
      <c r="B62" s="23">
        <v>2.9303170109018999</v>
      </c>
      <c r="C62" s="23">
        <f t="shared" si="0"/>
        <v>0.11475543592522985</v>
      </c>
      <c r="D62" s="25">
        <f t="shared" si="1"/>
        <v>5.0328597652899563E-2</v>
      </c>
    </row>
    <row r="63" spans="1:4">
      <c r="A63" s="23" t="s">
        <v>1485</v>
      </c>
      <c r="B63" s="23">
        <v>2.81556157497667</v>
      </c>
      <c r="C63" s="23">
        <f t="shared" si="0"/>
        <v>-8.6221477767698396E-3</v>
      </c>
      <c r="D63" s="25">
        <f t="shared" si="1"/>
        <v>4.8374651260484278E-2</v>
      </c>
    </row>
    <row r="64" spans="1:4">
      <c r="A64" s="23" t="s">
        <v>1484</v>
      </c>
      <c r="B64" s="23">
        <v>2.8241837227534399</v>
      </c>
      <c r="C64" s="23">
        <f t="shared" si="0"/>
        <v>-1.0016217275850003E-2</v>
      </c>
      <c r="D64" s="25">
        <f t="shared" si="1"/>
        <v>4.8873598650616391E-2</v>
      </c>
    </row>
    <row r="65" spans="1:4">
      <c r="A65" s="23" t="s">
        <v>1483</v>
      </c>
      <c r="B65" s="23">
        <v>2.8341999400292899</v>
      </c>
      <c r="C65" s="23">
        <f t="shared" si="0"/>
        <v>4.2564983082550079E-2</v>
      </c>
      <c r="D65" s="25">
        <f t="shared" si="1"/>
        <v>4.8999995156893128E-2</v>
      </c>
    </row>
    <row r="66" spans="1:4">
      <c r="A66" s="23" t="s">
        <v>1482</v>
      </c>
      <c r="B66" s="23">
        <v>2.7916349569467398</v>
      </c>
      <c r="C66" s="23">
        <f t="shared" ref="C66:C129" si="2">B66-B67</f>
        <v>5.5036386074329702E-2</v>
      </c>
      <c r="D66" s="25">
        <f t="shared" ref="D66:D129" si="3">STDEV(C66:C125)</f>
        <v>4.8671144863370444E-2</v>
      </c>
    </row>
    <row r="67" spans="1:4">
      <c r="A67" s="23" t="s">
        <v>1481</v>
      </c>
      <c r="B67" s="23">
        <v>2.7365985708724101</v>
      </c>
      <c r="C67" s="23">
        <f t="shared" si="2"/>
        <v>-2.7595391396399993E-2</v>
      </c>
      <c r="D67" s="25">
        <f t="shared" si="3"/>
        <v>4.8835118922439157E-2</v>
      </c>
    </row>
    <row r="68" spans="1:4">
      <c r="A68" s="23" t="s">
        <v>1480</v>
      </c>
      <c r="B68" s="23">
        <v>2.7641939622688101</v>
      </c>
      <c r="C68" s="23">
        <f t="shared" si="2"/>
        <v>3.795665390006997E-2</v>
      </c>
      <c r="D68" s="25">
        <f t="shared" si="3"/>
        <v>4.8777204966250189E-2</v>
      </c>
    </row>
    <row r="69" spans="1:4">
      <c r="A69" s="23" t="s">
        <v>1479</v>
      </c>
      <c r="B69" s="23">
        <v>2.7262373083687401</v>
      </c>
      <c r="C69" s="23">
        <f t="shared" si="2"/>
        <v>-1.9446876118589973E-2</v>
      </c>
      <c r="D69" s="25">
        <f t="shared" si="3"/>
        <v>4.8730269650620842E-2</v>
      </c>
    </row>
    <row r="70" spans="1:4">
      <c r="A70" s="23" t="s">
        <v>1478</v>
      </c>
      <c r="B70" s="23">
        <v>2.7456841844873301</v>
      </c>
      <c r="C70" s="23">
        <f t="shared" si="2"/>
        <v>-5.9485066782420049E-2</v>
      </c>
      <c r="D70" s="25">
        <f t="shared" si="3"/>
        <v>4.8706051121354101E-2</v>
      </c>
    </row>
    <row r="71" spans="1:4">
      <c r="A71" s="23" t="s">
        <v>1477</v>
      </c>
      <c r="B71" s="23">
        <v>2.8051692512697501</v>
      </c>
      <c r="C71" s="23">
        <f t="shared" si="2"/>
        <v>-4.4365142381239675E-2</v>
      </c>
      <c r="D71" s="25">
        <f t="shared" si="3"/>
        <v>4.8614203119420829E-2</v>
      </c>
    </row>
    <row r="72" spans="1:4">
      <c r="A72" s="23" t="s">
        <v>1476</v>
      </c>
      <c r="B72" s="23">
        <v>2.8495343936509898</v>
      </c>
      <c r="C72" s="23">
        <f t="shared" si="2"/>
        <v>1.8452754343909916E-2</v>
      </c>
      <c r="D72" s="25">
        <f t="shared" si="3"/>
        <v>4.8318934244069009E-2</v>
      </c>
    </row>
    <row r="73" spans="1:4">
      <c r="A73" s="23" t="s">
        <v>1475</v>
      </c>
      <c r="B73" s="23">
        <v>2.8310816393070799</v>
      </c>
      <c r="C73" s="23">
        <f t="shared" si="2"/>
        <v>2.4443887319999913E-2</v>
      </c>
      <c r="D73" s="25">
        <f t="shared" si="3"/>
        <v>4.8284458751208729E-2</v>
      </c>
    </row>
    <row r="74" spans="1:4">
      <c r="A74" s="23" t="s">
        <v>1474</v>
      </c>
      <c r="B74" s="23">
        <v>2.80663775198708</v>
      </c>
      <c r="C74" s="23">
        <f t="shared" si="2"/>
        <v>-5.8108678008930159E-2</v>
      </c>
      <c r="D74" s="25">
        <f t="shared" si="3"/>
        <v>4.8213802976306563E-2</v>
      </c>
    </row>
    <row r="75" spans="1:4">
      <c r="A75" s="23" t="s">
        <v>1473</v>
      </c>
      <c r="B75" s="23">
        <v>2.8647464299960101</v>
      </c>
      <c r="C75" s="23">
        <f t="shared" si="2"/>
        <v>0.12079316985187027</v>
      </c>
      <c r="D75" s="25">
        <f t="shared" si="3"/>
        <v>4.7774632124184847E-2</v>
      </c>
    </row>
    <row r="76" spans="1:4">
      <c r="A76" s="23" t="s">
        <v>1472</v>
      </c>
      <c r="B76" s="23">
        <v>2.7439532601441399</v>
      </c>
      <c r="C76" s="23">
        <f t="shared" si="2"/>
        <v>2.2205975577179959E-2</v>
      </c>
      <c r="D76" s="25">
        <f t="shared" si="3"/>
        <v>4.4985681726900435E-2</v>
      </c>
    </row>
    <row r="77" spans="1:4">
      <c r="A77" s="23" t="s">
        <v>1471</v>
      </c>
      <c r="B77" s="23">
        <v>2.7217472845669599</v>
      </c>
      <c r="C77" s="23">
        <f t="shared" si="2"/>
        <v>-1.7347179969899873E-2</v>
      </c>
      <c r="D77" s="25">
        <f t="shared" si="3"/>
        <v>4.4872328078617019E-2</v>
      </c>
    </row>
    <row r="78" spans="1:4">
      <c r="A78" s="23" t="s">
        <v>1470</v>
      </c>
      <c r="B78" s="23">
        <v>2.7390944645368598</v>
      </c>
      <c r="C78" s="23">
        <f t="shared" si="2"/>
        <v>-5.9674368390703059E-3</v>
      </c>
      <c r="D78" s="25">
        <f t="shared" si="3"/>
        <v>4.5025013859554035E-2</v>
      </c>
    </row>
    <row r="79" spans="1:4">
      <c r="A79" s="23" t="s">
        <v>1469</v>
      </c>
      <c r="B79" s="23">
        <v>2.7450619013759301</v>
      </c>
      <c r="C79" s="23">
        <f t="shared" si="2"/>
        <v>5.9397077375229923E-2</v>
      </c>
      <c r="D79" s="25">
        <f t="shared" si="3"/>
        <v>4.5035608664267382E-2</v>
      </c>
    </row>
    <row r="80" spans="1:4">
      <c r="A80" s="23" t="s">
        <v>1468</v>
      </c>
      <c r="B80" s="23">
        <v>2.6856648240007002</v>
      </c>
      <c r="C80" s="23">
        <f t="shared" si="2"/>
        <v>1.0808124104940031E-2</v>
      </c>
      <c r="D80" s="25">
        <f t="shared" si="3"/>
        <v>4.4245483467881958E-2</v>
      </c>
    </row>
    <row r="81" spans="1:4">
      <c r="A81" s="23" t="s">
        <v>1467</v>
      </c>
      <c r="B81" s="23">
        <v>2.6748566998957601</v>
      </c>
      <c r="C81" s="23">
        <f t="shared" si="2"/>
        <v>0.11596271941853997</v>
      </c>
      <c r="D81" s="25">
        <f t="shared" si="3"/>
        <v>4.4508871341636246E-2</v>
      </c>
    </row>
    <row r="82" spans="1:4">
      <c r="A82" s="23" t="s">
        <v>1466</v>
      </c>
      <c r="B82" s="23">
        <v>2.5588939804772202</v>
      </c>
      <c r="C82" s="23">
        <f t="shared" si="2"/>
        <v>-7.3104605452298799E-3</v>
      </c>
      <c r="D82" s="25">
        <f t="shared" si="3"/>
        <v>4.1928794734256765E-2</v>
      </c>
    </row>
    <row r="83" spans="1:4">
      <c r="A83" s="23" t="s">
        <v>1465</v>
      </c>
      <c r="B83" s="23">
        <v>2.56620444102245</v>
      </c>
      <c r="C83" s="23">
        <f t="shared" si="2"/>
        <v>2.7595236635180154E-2</v>
      </c>
      <c r="D83" s="25">
        <f t="shared" si="3"/>
        <v>4.1978182766690166E-2</v>
      </c>
    </row>
    <row r="84" spans="1:4">
      <c r="A84" s="23" t="s">
        <v>1464</v>
      </c>
      <c r="B84" s="23">
        <v>2.5386092043872699</v>
      </c>
      <c r="C84" s="23">
        <f t="shared" si="2"/>
        <v>9.0367772242049949E-2</v>
      </c>
      <c r="D84" s="25">
        <f t="shared" si="3"/>
        <v>4.1733080024083408E-2</v>
      </c>
    </row>
    <row r="85" spans="1:4">
      <c r="A85" s="23" t="s">
        <v>1463</v>
      </c>
      <c r="B85" s="23">
        <v>2.4482414321452199</v>
      </c>
      <c r="C85" s="23">
        <f t="shared" si="2"/>
        <v>-4.4273579895102166E-3</v>
      </c>
      <c r="D85" s="25">
        <f t="shared" si="3"/>
        <v>3.9676778566298351E-2</v>
      </c>
    </row>
    <row r="86" spans="1:4">
      <c r="A86" s="23" t="s">
        <v>1462</v>
      </c>
      <c r="B86" s="23">
        <v>2.4526687901347302</v>
      </c>
      <c r="C86" s="23">
        <f t="shared" si="2"/>
        <v>-6.0691580805549705E-2</v>
      </c>
      <c r="D86" s="25">
        <f t="shared" si="3"/>
        <v>4.0143515378628106E-2</v>
      </c>
    </row>
    <row r="87" spans="1:4">
      <c r="A87" s="23" t="s">
        <v>1461</v>
      </c>
      <c r="B87" s="23">
        <v>2.5133603709402799</v>
      </c>
      <c r="C87" s="23">
        <f t="shared" si="2"/>
        <v>5.7748827323300667E-3</v>
      </c>
      <c r="D87" s="25">
        <f t="shared" si="3"/>
        <v>3.9757918546835878E-2</v>
      </c>
    </row>
    <row r="88" spans="1:4">
      <c r="A88" s="23" t="s">
        <v>1460</v>
      </c>
      <c r="B88" s="23">
        <v>2.5075854882079498</v>
      </c>
      <c r="C88" s="23">
        <f t="shared" si="2"/>
        <v>-7.8082427514220232E-2</v>
      </c>
      <c r="D88" s="25">
        <f t="shared" si="3"/>
        <v>3.9750209998650643E-2</v>
      </c>
    </row>
    <row r="89" spans="1:4">
      <c r="A89" s="23" t="s">
        <v>1459</v>
      </c>
      <c r="B89" s="23">
        <v>2.58566791572217</v>
      </c>
      <c r="C89" s="23">
        <f t="shared" si="2"/>
        <v>-1.0750876200657622E-2</v>
      </c>
      <c r="D89" s="25">
        <f t="shared" si="3"/>
        <v>3.9078409681371384E-2</v>
      </c>
    </row>
    <row r="90" spans="1:4">
      <c r="A90" s="23" t="s">
        <v>1458</v>
      </c>
      <c r="B90" s="23">
        <v>2.5964187919228277</v>
      </c>
      <c r="C90" s="23">
        <f t="shared" si="2"/>
        <v>2.7612206981508791E-2</v>
      </c>
      <c r="D90" s="25">
        <f t="shared" si="3"/>
        <v>3.925352183409251E-2</v>
      </c>
    </row>
    <row r="91" spans="1:4">
      <c r="A91" s="23" t="s">
        <v>1457</v>
      </c>
      <c r="B91" s="23">
        <v>2.5688065849413189</v>
      </c>
      <c r="C91" s="23">
        <f t="shared" si="2"/>
        <v>-4.8213988411841324E-2</v>
      </c>
      <c r="D91" s="25">
        <f t="shared" si="3"/>
        <v>3.9027314195075054E-2</v>
      </c>
    </row>
    <row r="92" spans="1:4">
      <c r="A92" s="23" t="s">
        <v>1456</v>
      </c>
      <c r="B92" s="23">
        <v>2.6170205733531602</v>
      </c>
      <c r="C92" s="23">
        <f t="shared" si="2"/>
        <v>8.5261385200503526E-3</v>
      </c>
      <c r="D92" s="25">
        <f t="shared" si="3"/>
        <v>3.8699044111572226E-2</v>
      </c>
    </row>
    <row r="93" spans="1:4">
      <c r="A93" s="23" t="s">
        <v>1455</v>
      </c>
      <c r="B93" s="23">
        <v>2.6084944348331098</v>
      </c>
      <c r="C93" s="23">
        <f t="shared" si="2"/>
        <v>5.112264301887981E-2</v>
      </c>
      <c r="D93" s="25">
        <f t="shared" si="3"/>
        <v>3.9132938174154155E-2</v>
      </c>
    </row>
    <row r="94" spans="1:4">
      <c r="A94" s="23" t="s">
        <v>1454</v>
      </c>
      <c r="B94" s="23">
        <v>2.55737179181423</v>
      </c>
      <c r="C94" s="23">
        <f t="shared" si="2"/>
        <v>1.1892309749669927E-2</v>
      </c>
      <c r="D94" s="25">
        <f t="shared" si="3"/>
        <v>3.850883723427715E-2</v>
      </c>
    </row>
    <row r="95" spans="1:4">
      <c r="A95" s="23" t="s">
        <v>1453</v>
      </c>
      <c r="B95" s="23">
        <v>2.5454794820645601</v>
      </c>
      <c r="C95" s="23">
        <f t="shared" si="2"/>
        <v>9.0149950076189977E-2</v>
      </c>
      <c r="D95" s="25">
        <f t="shared" si="3"/>
        <v>3.8589614779699077E-2</v>
      </c>
    </row>
    <row r="96" spans="1:4">
      <c r="A96" s="23" t="s">
        <v>1452</v>
      </c>
      <c r="B96" s="23">
        <v>2.4553295319883701</v>
      </c>
      <c r="C96" s="23">
        <f t="shared" si="2"/>
        <v>-3.5736548494909925E-2</v>
      </c>
      <c r="D96" s="25">
        <f t="shared" si="3"/>
        <v>3.657039827726697E-2</v>
      </c>
    </row>
    <row r="97" spans="1:4">
      <c r="A97" s="23" t="s">
        <v>1451</v>
      </c>
      <c r="B97" s="23">
        <v>2.49106608048328</v>
      </c>
      <c r="C97" s="23">
        <f t="shared" si="2"/>
        <v>-8.8477713734659957E-2</v>
      </c>
      <c r="D97" s="25">
        <f t="shared" si="3"/>
        <v>3.6538219418835567E-2</v>
      </c>
    </row>
    <row r="98" spans="1:4">
      <c r="A98" s="23" t="s">
        <v>1450</v>
      </c>
      <c r="B98" s="23">
        <v>2.57954379421794</v>
      </c>
      <c r="C98" s="23">
        <f t="shared" si="2"/>
        <v>-1.4075228090470127E-2</v>
      </c>
      <c r="D98" s="25">
        <f t="shared" si="3"/>
        <v>3.6969910765682928E-2</v>
      </c>
    </row>
    <row r="99" spans="1:4">
      <c r="A99" s="23" t="s">
        <v>1449</v>
      </c>
      <c r="B99" s="23">
        <v>2.5936190223084101</v>
      </c>
      <c r="C99" s="23">
        <f t="shared" si="2"/>
        <v>-5.2673008604519733E-2</v>
      </c>
      <c r="D99" s="25">
        <f t="shared" si="3"/>
        <v>3.9620884818353977E-2</v>
      </c>
    </row>
    <row r="100" spans="1:4">
      <c r="A100" s="23" t="s">
        <v>1448</v>
      </c>
      <c r="B100" s="23">
        <v>2.6462920309129299</v>
      </c>
      <c r="C100" s="23">
        <f t="shared" si="2"/>
        <v>-3.1137175314603027E-2</v>
      </c>
      <c r="D100" s="25">
        <f t="shared" si="3"/>
        <v>4.0683848859350634E-2</v>
      </c>
    </row>
    <row r="101" spans="1:4">
      <c r="A101" s="23" t="s">
        <v>1447</v>
      </c>
      <c r="B101" s="23">
        <v>2.6774292062275329</v>
      </c>
      <c r="C101" s="23">
        <f t="shared" si="2"/>
        <v>5.2586101040574817E-2</v>
      </c>
      <c r="D101" s="25">
        <f t="shared" si="3"/>
        <v>4.0551301828243867E-2</v>
      </c>
    </row>
    <row r="102" spans="1:4">
      <c r="A102" s="23" t="s">
        <v>1446</v>
      </c>
      <c r="B102" s="23">
        <v>2.6248431051869581</v>
      </c>
      <c r="C102" s="23">
        <f t="shared" si="2"/>
        <v>8.4785680934680308E-3</v>
      </c>
      <c r="D102" s="25">
        <f t="shared" si="3"/>
        <v>3.9843592371344654E-2</v>
      </c>
    </row>
    <row r="103" spans="1:4">
      <c r="A103" s="23" t="s">
        <v>1445</v>
      </c>
      <c r="B103" s="23">
        <v>2.61636453709349</v>
      </c>
      <c r="C103" s="23">
        <f t="shared" si="2"/>
        <v>-7.9905589575259839E-2</v>
      </c>
      <c r="D103" s="25">
        <f t="shared" si="3"/>
        <v>4.019176979917824E-2</v>
      </c>
    </row>
    <row r="104" spans="1:4">
      <c r="A104" s="23" t="s">
        <v>1444</v>
      </c>
      <c r="B104" s="23">
        <v>2.6962701266687499</v>
      </c>
      <c r="C104" s="23">
        <f t="shared" si="2"/>
        <v>-8.9175115728910015E-2</v>
      </c>
      <c r="D104" s="25">
        <f t="shared" si="3"/>
        <v>3.9799811186183129E-2</v>
      </c>
    </row>
    <row r="105" spans="1:4">
      <c r="A105" s="23" t="s">
        <v>1443</v>
      </c>
      <c r="B105" s="23">
        <v>2.7854452423976599</v>
      </c>
      <c r="C105" s="23">
        <f t="shared" si="2"/>
        <v>-4.8420899064709921E-2</v>
      </c>
      <c r="D105" s="25">
        <f t="shared" si="3"/>
        <v>3.8345660999403459E-2</v>
      </c>
    </row>
    <row r="106" spans="1:4">
      <c r="A106" s="23" t="s">
        <v>1442</v>
      </c>
      <c r="B106" s="23">
        <v>2.8338661414623698</v>
      </c>
      <c r="C106" s="23">
        <f t="shared" si="2"/>
        <v>-1.8131932255370131E-2</v>
      </c>
      <c r="D106" s="25">
        <f t="shared" si="3"/>
        <v>3.7959102473462986E-2</v>
      </c>
    </row>
    <row r="107" spans="1:4">
      <c r="A107" s="23" t="s">
        <v>1441</v>
      </c>
      <c r="B107" s="23">
        <v>2.8519980737177399</v>
      </c>
      <c r="C107" s="23">
        <f t="shared" si="2"/>
        <v>-8.9817518207402358E-3</v>
      </c>
      <c r="D107" s="25">
        <f t="shared" si="3"/>
        <v>3.802762713005909E-2</v>
      </c>
    </row>
    <row r="108" spans="1:4">
      <c r="A108" s="23" t="s">
        <v>1440</v>
      </c>
      <c r="B108" s="23">
        <v>2.8609798255384802</v>
      </c>
      <c r="C108" s="23">
        <f t="shared" si="2"/>
        <v>-3.0262891342709874E-2</v>
      </c>
      <c r="D108" s="25">
        <f t="shared" si="3"/>
        <v>3.9565456314958843E-2</v>
      </c>
    </row>
    <row r="109" spans="1:4">
      <c r="A109" s="23" t="s">
        <v>1439</v>
      </c>
      <c r="B109" s="23">
        <v>2.8912427168811901</v>
      </c>
      <c r="C109" s="23">
        <f t="shared" si="2"/>
        <v>-1.8510033397189929E-2</v>
      </c>
      <c r="D109" s="25">
        <f t="shared" si="3"/>
        <v>3.9524089086147698E-2</v>
      </c>
    </row>
    <row r="110" spans="1:4">
      <c r="A110" s="23" t="s">
        <v>1438</v>
      </c>
      <c r="B110" s="23">
        <v>2.90975275027838</v>
      </c>
      <c r="C110" s="23">
        <f t="shared" si="2"/>
        <v>-5.7165407914006039E-4</v>
      </c>
      <c r="D110" s="25">
        <f t="shared" si="3"/>
        <v>3.9550399452483689E-2</v>
      </c>
    </row>
    <row r="111" spans="1:4">
      <c r="A111" s="23" t="s">
        <v>1437</v>
      </c>
      <c r="B111" s="23">
        <v>2.91032440435752</v>
      </c>
      <c r="C111" s="23">
        <f t="shared" si="2"/>
        <v>8.4680207248629902E-2</v>
      </c>
      <c r="D111" s="25">
        <f t="shared" si="3"/>
        <v>3.9663743746241445E-2</v>
      </c>
    </row>
    <row r="112" spans="1:4">
      <c r="A112" s="23" t="s">
        <v>1436</v>
      </c>
      <c r="B112" s="23">
        <v>2.8256441971088901</v>
      </c>
      <c r="C112" s="23">
        <f t="shared" si="2"/>
        <v>-8.0956601932897776E-3</v>
      </c>
      <c r="D112" s="25">
        <f t="shared" si="3"/>
        <v>3.8189062387787798E-2</v>
      </c>
    </row>
    <row r="113" spans="1:4">
      <c r="A113" s="23" t="s">
        <v>1435</v>
      </c>
      <c r="B113" s="23">
        <v>2.8337398573021799</v>
      </c>
      <c r="C113" s="23">
        <f t="shared" si="2"/>
        <v>-2.4490149494340141E-2</v>
      </c>
      <c r="D113" s="25">
        <f t="shared" si="3"/>
        <v>3.8416827935437492E-2</v>
      </c>
    </row>
    <row r="114" spans="1:4">
      <c r="A114" s="23" t="s">
        <v>1434</v>
      </c>
      <c r="B114" s="23">
        <v>2.8582300067965201</v>
      </c>
      <c r="C114" s="23">
        <f t="shared" si="2"/>
        <v>2.1079875526280212E-2</v>
      </c>
      <c r="D114" s="25">
        <f t="shared" si="3"/>
        <v>3.8421355666461841E-2</v>
      </c>
    </row>
    <row r="115" spans="1:4">
      <c r="A115" s="23" t="s">
        <v>1433</v>
      </c>
      <c r="B115" s="23">
        <v>2.8371501312702399</v>
      </c>
      <c r="C115" s="23">
        <f t="shared" si="2"/>
        <v>4.990113420623965E-2</v>
      </c>
      <c r="D115" s="25">
        <f t="shared" si="3"/>
        <v>3.827350091635847E-2</v>
      </c>
    </row>
    <row r="116" spans="1:4">
      <c r="A116" s="23" t="s">
        <v>1432</v>
      </c>
      <c r="B116" s="23">
        <v>2.7872489970640002</v>
      </c>
      <c r="C116" s="23">
        <f t="shared" si="2"/>
        <v>-4.1925995901509694E-2</v>
      </c>
      <c r="D116" s="25">
        <f t="shared" si="3"/>
        <v>3.7819871623247701E-2</v>
      </c>
    </row>
    <row r="117" spans="1:4">
      <c r="A117" s="23" t="s">
        <v>1431</v>
      </c>
      <c r="B117" s="23">
        <v>2.8291749929655099</v>
      </c>
      <c r="C117" s="23">
        <f t="shared" si="2"/>
        <v>2.8597190921559879E-2</v>
      </c>
      <c r="D117" s="25">
        <f t="shared" si="3"/>
        <v>3.7646930210114213E-2</v>
      </c>
    </row>
    <row r="118" spans="1:4">
      <c r="A118" s="23" t="s">
        <v>1430</v>
      </c>
      <c r="B118" s="23">
        <v>2.80057780204395</v>
      </c>
      <c r="C118" s="23">
        <f t="shared" si="2"/>
        <v>-6.2856537704409909E-2</v>
      </c>
      <c r="D118" s="25">
        <f t="shared" si="3"/>
        <v>3.7383241473699244E-2</v>
      </c>
    </row>
    <row r="119" spans="1:4">
      <c r="A119" s="23" t="s">
        <v>1429</v>
      </c>
      <c r="B119" s="23">
        <v>2.8634343397483599</v>
      </c>
      <c r="C119" s="23">
        <f t="shared" si="2"/>
        <v>1.1927291005609852E-2</v>
      </c>
      <c r="D119" s="25">
        <f t="shared" si="3"/>
        <v>3.6706576369274872E-2</v>
      </c>
    </row>
    <row r="120" spans="1:4">
      <c r="A120" s="23" t="s">
        <v>1428</v>
      </c>
      <c r="B120" s="23">
        <v>2.8515070487427501</v>
      </c>
      <c r="C120" s="23">
        <f t="shared" si="2"/>
        <v>-3.4516754097070113E-2</v>
      </c>
      <c r="D120" s="25">
        <f t="shared" si="3"/>
        <v>3.6659240843625887E-2</v>
      </c>
    </row>
    <row r="121" spans="1:4">
      <c r="A121" s="23" t="s">
        <v>1427</v>
      </c>
      <c r="B121" s="23">
        <v>2.8860238028398202</v>
      </c>
      <c r="C121" s="23">
        <f t="shared" si="2"/>
        <v>-2.2734860883669938E-2</v>
      </c>
      <c r="D121" s="25">
        <f t="shared" si="3"/>
        <v>3.7583590672207075E-2</v>
      </c>
    </row>
    <row r="122" spans="1:4">
      <c r="A122" s="23" t="s">
        <v>1426</v>
      </c>
      <c r="B122" s="23">
        <v>2.9087586637234901</v>
      </c>
      <c r="C122" s="23">
        <f t="shared" si="2"/>
        <v>-4.5876246667779785E-2</v>
      </c>
      <c r="D122" s="25">
        <f t="shared" si="3"/>
        <v>3.7522780753941096E-2</v>
      </c>
    </row>
    <row r="123" spans="1:4">
      <c r="A123" s="23" t="s">
        <v>1425</v>
      </c>
      <c r="B123" s="23">
        <v>2.9546349103912699</v>
      </c>
      <c r="C123" s="23">
        <f t="shared" si="2"/>
        <v>5.2125028013259911E-2</v>
      </c>
      <c r="D123" s="25">
        <f t="shared" si="3"/>
        <v>3.7508107830465827E-2</v>
      </c>
    </row>
    <row r="124" spans="1:4">
      <c r="A124" s="23" t="s">
        <v>1424</v>
      </c>
      <c r="B124" s="23">
        <v>2.90250988237801</v>
      </c>
      <c r="C124" s="23">
        <f t="shared" si="2"/>
        <v>-2.9806084462260074E-2</v>
      </c>
      <c r="D124" s="25">
        <f t="shared" si="3"/>
        <v>3.7023386758112821E-2</v>
      </c>
    </row>
    <row r="125" spans="1:4">
      <c r="A125" s="23" t="s">
        <v>1423</v>
      </c>
      <c r="B125" s="23">
        <v>2.9323159668402701</v>
      </c>
      <c r="C125" s="23">
        <f t="shared" si="2"/>
        <v>7.2746756426300685E-3</v>
      </c>
      <c r="D125" s="25">
        <f t="shared" si="3"/>
        <v>3.6907392521607518E-2</v>
      </c>
    </row>
    <row r="126" spans="1:4">
      <c r="A126" s="23" t="s">
        <v>1422</v>
      </c>
      <c r="B126" s="23">
        <v>2.92504129119764</v>
      </c>
      <c r="C126" s="23">
        <f t="shared" si="2"/>
        <v>6.2761201406940081E-2</v>
      </c>
      <c r="D126" s="25">
        <f t="shared" si="3"/>
        <v>3.6963658618803914E-2</v>
      </c>
    </row>
    <row r="127" spans="1:4">
      <c r="A127" s="23" t="s">
        <v>1421</v>
      </c>
      <c r="B127" s="23">
        <v>2.8622800897906999</v>
      </c>
      <c r="C127" s="23">
        <f t="shared" si="2"/>
        <v>1.6594826232549931E-2</v>
      </c>
      <c r="D127" s="25">
        <f t="shared" si="3"/>
        <v>3.6158719637817367E-2</v>
      </c>
    </row>
    <row r="128" spans="1:4">
      <c r="A128" s="23" t="s">
        <v>1420</v>
      </c>
      <c r="B128" s="23">
        <v>2.84568526355815</v>
      </c>
      <c r="C128" s="23">
        <f t="shared" si="2"/>
        <v>-3.8410024279449839E-2</v>
      </c>
      <c r="D128" s="25">
        <f t="shared" si="3"/>
        <v>3.6056294185052407E-2</v>
      </c>
    </row>
    <row r="129" spans="1:4">
      <c r="A129" s="23" t="s">
        <v>1419</v>
      </c>
      <c r="B129" s="23">
        <v>2.8840952878375998</v>
      </c>
      <c r="C129" s="23">
        <f t="shared" si="2"/>
        <v>-1.4628287001710039E-2</v>
      </c>
      <c r="D129" s="25">
        <f t="shared" si="3"/>
        <v>3.6543332416857116E-2</v>
      </c>
    </row>
    <row r="130" spans="1:4">
      <c r="A130" s="23" t="s">
        <v>1418</v>
      </c>
      <c r="B130" s="23">
        <v>2.8987235748393099</v>
      </c>
      <c r="C130" s="23">
        <f t="shared" ref="C130:C193" si="4">B130-B131</f>
        <v>-5.4651854407870015E-2</v>
      </c>
      <c r="D130" s="25">
        <f t="shared" ref="D130:D193" si="5">STDEV(C130:C189)</f>
        <v>3.6519291349701152E-2</v>
      </c>
    </row>
    <row r="131" spans="1:4">
      <c r="A131" s="23" t="s">
        <v>1417</v>
      </c>
      <c r="B131" s="23">
        <v>2.9533754292471799</v>
      </c>
      <c r="C131" s="23">
        <f t="shared" si="4"/>
        <v>-1.1655286849260094E-2</v>
      </c>
      <c r="D131" s="25">
        <f t="shared" si="5"/>
        <v>3.5964457248524193E-2</v>
      </c>
    </row>
    <row r="132" spans="1:4">
      <c r="A132" s="23" t="s">
        <v>1416</v>
      </c>
      <c r="B132" s="23">
        <v>2.96503071609644</v>
      </c>
      <c r="C132" s="23">
        <f t="shared" si="4"/>
        <v>-1.7423506940649869E-2</v>
      </c>
      <c r="D132" s="25">
        <f t="shared" si="5"/>
        <v>3.6129214996356782E-2</v>
      </c>
    </row>
    <row r="133" spans="1:4">
      <c r="A133" s="23" t="s">
        <v>1415</v>
      </c>
      <c r="B133" s="23">
        <v>2.9824542230370898</v>
      </c>
      <c r="C133" s="23">
        <f t="shared" si="4"/>
        <v>-2.1499571598450284E-2</v>
      </c>
      <c r="D133" s="25">
        <f t="shared" si="5"/>
        <v>3.6087903965425022E-2</v>
      </c>
    </row>
    <row r="134" spans="1:4">
      <c r="A134" s="23" t="s">
        <v>1414</v>
      </c>
      <c r="B134" s="23">
        <v>3.0039537946355401</v>
      </c>
      <c r="C134" s="23">
        <f t="shared" si="4"/>
        <v>2.1695852010600092E-2</v>
      </c>
      <c r="D134" s="25">
        <f t="shared" si="5"/>
        <v>3.6025567653629319E-2</v>
      </c>
    </row>
    <row r="135" spans="1:4">
      <c r="A135" s="23" t="s">
        <v>1413</v>
      </c>
      <c r="B135" s="23">
        <v>2.98225794262494</v>
      </c>
      <c r="C135" s="23">
        <f t="shared" si="4"/>
        <v>-1.1839790757810054E-2</v>
      </c>
      <c r="D135" s="25">
        <f t="shared" si="5"/>
        <v>3.5888081616786152E-2</v>
      </c>
    </row>
    <row r="136" spans="1:4">
      <c r="A136" s="23" t="s">
        <v>1412</v>
      </c>
      <c r="B136" s="23">
        <v>2.9940977333827501</v>
      </c>
      <c r="C136" s="23">
        <f t="shared" si="4"/>
        <v>5.789670002219971E-3</v>
      </c>
      <c r="D136" s="25">
        <f t="shared" si="5"/>
        <v>3.5995337339573899E-2</v>
      </c>
    </row>
    <row r="137" spans="1:4">
      <c r="A137" s="23" t="s">
        <v>1411</v>
      </c>
      <c r="B137" s="23">
        <v>2.9883080633805301</v>
      </c>
      <c r="C137" s="23">
        <f t="shared" si="4"/>
        <v>-3.5779967797910039E-2</v>
      </c>
      <c r="D137" s="25">
        <f t="shared" si="5"/>
        <v>3.6081578240200432E-2</v>
      </c>
    </row>
    <row r="138" spans="1:4">
      <c r="A138" s="23" t="s">
        <v>1410</v>
      </c>
      <c r="B138" s="23">
        <v>3.0240880311784402</v>
      </c>
      <c r="C138" s="23">
        <f t="shared" si="4"/>
        <v>-1.2396301056179837E-2</v>
      </c>
      <c r="D138" s="25">
        <f t="shared" si="5"/>
        <v>3.5995356928727483E-2</v>
      </c>
    </row>
    <row r="139" spans="1:4">
      <c r="A139" s="23" t="s">
        <v>1409</v>
      </c>
      <c r="B139" s="23">
        <v>3.03648433223462</v>
      </c>
      <c r="C139" s="23">
        <f t="shared" si="4"/>
        <v>1.4779985008983587E-4</v>
      </c>
      <c r="D139" s="25">
        <f t="shared" si="5"/>
        <v>3.6502448439253127E-2</v>
      </c>
    </row>
    <row r="140" spans="1:4">
      <c r="A140" s="23" t="s">
        <v>1408</v>
      </c>
      <c r="B140" s="23">
        <v>3.0363365323845302</v>
      </c>
      <c r="C140" s="23">
        <f t="shared" si="4"/>
        <v>3.4975535976620176E-2</v>
      </c>
      <c r="D140" s="25">
        <f t="shared" si="5"/>
        <v>3.6969900659750386E-2</v>
      </c>
    </row>
    <row r="141" spans="1:4">
      <c r="A141" s="23" t="s">
        <v>1407</v>
      </c>
      <c r="B141" s="23">
        <v>3.00136099640791</v>
      </c>
      <c r="C141" s="23">
        <f t="shared" si="4"/>
        <v>-5.0649841039219989E-2</v>
      </c>
      <c r="D141" s="25">
        <f t="shared" si="5"/>
        <v>3.6735271392222928E-2</v>
      </c>
    </row>
    <row r="142" spans="1:4">
      <c r="A142" s="23" t="s">
        <v>1406</v>
      </c>
      <c r="B142" s="23">
        <v>3.05201083744713</v>
      </c>
      <c r="C142" s="23">
        <f t="shared" si="4"/>
        <v>7.5613397192899612E-3</v>
      </c>
      <c r="D142" s="25">
        <f t="shared" si="5"/>
        <v>3.6385664281636275E-2</v>
      </c>
    </row>
    <row r="143" spans="1:4">
      <c r="A143" s="23" t="s">
        <v>1405</v>
      </c>
      <c r="B143" s="23">
        <v>3.04444949772784</v>
      </c>
      <c r="C143" s="23">
        <f t="shared" si="4"/>
        <v>2.0769727959990547E-4</v>
      </c>
      <c r="D143" s="25">
        <f t="shared" si="5"/>
        <v>3.6395341720631649E-2</v>
      </c>
    </row>
    <row r="144" spans="1:4">
      <c r="A144" s="23" t="s">
        <v>1404</v>
      </c>
      <c r="B144" s="23">
        <v>3.0442418004482401</v>
      </c>
      <c r="C144" s="23">
        <f t="shared" si="4"/>
        <v>-3.0361204051798651E-3</v>
      </c>
      <c r="D144" s="25">
        <f t="shared" si="5"/>
        <v>3.6431426135568643E-2</v>
      </c>
    </row>
    <row r="145" spans="1:4">
      <c r="A145" s="23" t="s">
        <v>1403</v>
      </c>
      <c r="B145" s="23">
        <v>3.04727792085342</v>
      </c>
      <c r="C145" s="23">
        <f t="shared" si="4"/>
        <v>3.7537373407659835E-2</v>
      </c>
      <c r="D145" s="25">
        <f t="shared" si="5"/>
        <v>3.6442444066505708E-2</v>
      </c>
    </row>
    <row r="146" spans="1:4">
      <c r="A146" s="23" t="s">
        <v>1402</v>
      </c>
      <c r="B146" s="23">
        <v>3.0097405474457601</v>
      </c>
      <c r="C146" s="23">
        <f t="shared" si="4"/>
        <v>2.1326350870110033E-2</v>
      </c>
      <c r="D146" s="25">
        <f t="shared" si="5"/>
        <v>3.6311187776880326E-2</v>
      </c>
    </row>
    <row r="147" spans="1:4">
      <c r="A147" s="23" t="s">
        <v>1401</v>
      </c>
      <c r="B147" s="23">
        <v>2.9884141965756501</v>
      </c>
      <c r="C147" s="23">
        <f t="shared" si="4"/>
        <v>-2.0684341935520045E-2</v>
      </c>
      <c r="D147" s="25">
        <f t="shared" si="5"/>
        <v>3.616954633921262E-2</v>
      </c>
    </row>
    <row r="148" spans="1:4">
      <c r="A148" s="23" t="s">
        <v>1400</v>
      </c>
      <c r="B148" s="23">
        <v>3.0090985385111702</v>
      </c>
      <c r="C148" s="23">
        <f t="shared" si="4"/>
        <v>3.5836973834470154E-2</v>
      </c>
      <c r="D148" s="25">
        <f t="shared" si="5"/>
        <v>3.6102480377113617E-2</v>
      </c>
    </row>
    <row r="149" spans="1:4">
      <c r="A149" s="23" t="s">
        <v>1399</v>
      </c>
      <c r="B149" s="23">
        <v>2.9732615646767</v>
      </c>
      <c r="C149" s="23">
        <f t="shared" si="4"/>
        <v>2.2631007271689985E-2</v>
      </c>
      <c r="D149" s="25">
        <f t="shared" si="5"/>
        <v>3.5741308918750048E-2</v>
      </c>
    </row>
    <row r="150" spans="1:4">
      <c r="A150" s="23" t="s">
        <v>1398</v>
      </c>
      <c r="B150" s="23">
        <v>2.95063055740501</v>
      </c>
      <c r="C150" s="23">
        <f t="shared" si="4"/>
        <v>-1.6433621586959823E-2</v>
      </c>
      <c r="D150" s="25">
        <f t="shared" si="5"/>
        <v>3.59967232300017E-2</v>
      </c>
    </row>
    <row r="151" spans="1:4">
      <c r="A151" s="23" t="s">
        <v>1397</v>
      </c>
      <c r="B151" s="23">
        <v>2.9670641789919698</v>
      </c>
      <c r="C151" s="23">
        <f t="shared" si="4"/>
        <v>1.009118178733992E-2</v>
      </c>
      <c r="D151" s="25">
        <f t="shared" si="5"/>
        <v>3.6023691330213971E-2</v>
      </c>
    </row>
    <row r="152" spans="1:4">
      <c r="A152" s="23" t="s">
        <v>1396</v>
      </c>
      <c r="B152" s="23">
        <v>2.9569729972046299</v>
      </c>
      <c r="C152" s="23">
        <f t="shared" si="4"/>
        <v>4.1364597412969939E-2</v>
      </c>
      <c r="D152" s="25">
        <f t="shared" si="5"/>
        <v>3.7746181525318938E-2</v>
      </c>
    </row>
    <row r="153" spans="1:4">
      <c r="A153" s="23" t="s">
        <v>1395</v>
      </c>
      <c r="B153" s="23">
        <v>2.91560839979166</v>
      </c>
      <c r="C153" s="23">
        <f t="shared" si="4"/>
        <v>1.3002437574940018E-2</v>
      </c>
      <c r="D153" s="25">
        <f t="shared" si="5"/>
        <v>3.7351303319638561E-2</v>
      </c>
    </row>
    <row r="154" spans="1:4">
      <c r="A154" s="23" t="s">
        <v>1394</v>
      </c>
      <c r="B154" s="23">
        <v>2.90260596221672</v>
      </c>
      <c r="C154" s="23">
        <f t="shared" si="4"/>
        <v>2.0323195956799989E-2</v>
      </c>
      <c r="D154" s="25">
        <f t="shared" si="5"/>
        <v>3.7354798544498996E-2</v>
      </c>
    </row>
    <row r="155" spans="1:4">
      <c r="A155" s="23" t="s">
        <v>1393</v>
      </c>
      <c r="B155" s="23">
        <v>2.88228276625992</v>
      </c>
      <c r="C155" s="23">
        <f t="shared" si="4"/>
        <v>-2.668538903667983E-2</v>
      </c>
      <c r="D155" s="25">
        <f t="shared" si="5"/>
        <v>3.7550476878037815E-2</v>
      </c>
    </row>
    <row r="156" spans="1:4">
      <c r="A156" s="23" t="s">
        <v>1392</v>
      </c>
      <c r="B156" s="23">
        <v>2.9089681552965998</v>
      </c>
      <c r="C156" s="23">
        <f t="shared" si="4"/>
        <v>1.8991188676409809E-2</v>
      </c>
      <c r="D156" s="25">
        <f t="shared" si="5"/>
        <v>3.8168114917544058E-2</v>
      </c>
    </row>
    <row r="157" spans="1:4">
      <c r="A157" s="23" t="s">
        <v>1391</v>
      </c>
      <c r="B157" s="23">
        <v>2.88997696662019</v>
      </c>
      <c r="C157" s="23">
        <f t="shared" si="4"/>
        <v>8.8700617840590024E-2</v>
      </c>
      <c r="D157" s="25">
        <f t="shared" si="5"/>
        <v>3.8113873242403624E-2</v>
      </c>
    </row>
    <row r="158" spans="1:4">
      <c r="A158" s="23" t="s">
        <v>1390</v>
      </c>
      <c r="B158" s="23">
        <v>2.8012763487796</v>
      </c>
      <c r="C158" s="23">
        <f t="shared" si="4"/>
        <v>-0.1143971772691601</v>
      </c>
      <c r="D158" s="25">
        <f t="shared" si="5"/>
        <v>3.6088929507024671E-2</v>
      </c>
    </row>
    <row r="159" spans="1:4">
      <c r="A159" s="23" t="s">
        <v>1389</v>
      </c>
      <c r="B159" s="23">
        <v>2.9156735260487601</v>
      </c>
      <c r="C159" s="23">
        <f t="shared" si="4"/>
        <v>-9.079784312810979E-2</v>
      </c>
      <c r="D159" s="25">
        <f t="shared" si="5"/>
        <v>3.3181932413889476E-2</v>
      </c>
    </row>
    <row r="160" spans="1:4">
      <c r="A160" s="23" t="s">
        <v>1388</v>
      </c>
      <c r="B160" s="23">
        <v>3.0064713691768699</v>
      </c>
      <c r="C160" s="23">
        <f t="shared" si="4"/>
        <v>-2.87983830764027E-3</v>
      </c>
      <c r="D160" s="25">
        <f t="shared" si="5"/>
        <v>3.1187593910979153E-2</v>
      </c>
    </row>
    <row r="161" spans="1:4">
      <c r="A161" s="23" t="s">
        <v>1387</v>
      </c>
      <c r="B161" s="23">
        <v>3.0093512074845101</v>
      </c>
      <c r="C161" s="23">
        <f t="shared" si="4"/>
        <v>2.394319714670079E-3</v>
      </c>
      <c r="D161" s="25">
        <f t="shared" si="5"/>
        <v>3.1820637003298527E-2</v>
      </c>
    </row>
    <row r="162" spans="1:4">
      <c r="A162" s="23" t="s">
        <v>1386</v>
      </c>
      <c r="B162" s="23">
        <v>3.00695688776984</v>
      </c>
      <c r="C162" s="23">
        <f t="shared" si="4"/>
        <v>-5.0208779761589994E-2</v>
      </c>
      <c r="D162" s="25">
        <f t="shared" si="5"/>
        <v>3.1823153913728017E-2</v>
      </c>
    </row>
    <row r="163" spans="1:4">
      <c r="A163" s="23" t="s">
        <v>1385</v>
      </c>
      <c r="B163" s="23">
        <v>3.05716566753143</v>
      </c>
      <c r="C163" s="23">
        <f t="shared" si="4"/>
        <v>-6.5812528868649967E-2</v>
      </c>
      <c r="D163" s="25">
        <f t="shared" si="5"/>
        <v>3.1271410830401199E-2</v>
      </c>
    </row>
    <row r="164" spans="1:4">
      <c r="A164" s="23" t="s">
        <v>1384</v>
      </c>
      <c r="B164" s="23">
        <v>3.12297819640008</v>
      </c>
      <c r="C164" s="23">
        <f t="shared" si="4"/>
        <v>-1.7824258937439996E-2</v>
      </c>
      <c r="D164" s="25">
        <f t="shared" si="5"/>
        <v>3.0555343423683514E-2</v>
      </c>
    </row>
    <row r="165" spans="1:4">
      <c r="A165" s="23" t="s">
        <v>1383</v>
      </c>
      <c r="B165" s="23">
        <v>3.14080245533752</v>
      </c>
      <c r="C165" s="23">
        <f t="shared" si="4"/>
        <v>4.7007695378500358E-3</v>
      </c>
      <c r="D165" s="25">
        <f t="shared" si="5"/>
        <v>3.0520813970077224E-2</v>
      </c>
    </row>
    <row r="166" spans="1:4">
      <c r="A166" s="23" t="s">
        <v>1382</v>
      </c>
      <c r="B166" s="23">
        <v>3.13610168579967</v>
      </c>
      <c r="C166" s="23">
        <f t="shared" si="4"/>
        <v>1.7314984042290149E-2</v>
      </c>
      <c r="D166" s="25">
        <f t="shared" si="5"/>
        <v>3.0585195238212924E-2</v>
      </c>
    </row>
    <row r="167" spans="1:4">
      <c r="A167" s="23" t="s">
        <v>1381</v>
      </c>
      <c r="B167" s="23">
        <v>3.1187867017573798</v>
      </c>
      <c r="C167" s="23">
        <f t="shared" si="4"/>
        <v>-8.9109010748479989E-2</v>
      </c>
      <c r="D167" s="25">
        <f t="shared" si="5"/>
        <v>3.0530978500973239E-2</v>
      </c>
    </row>
    <row r="168" spans="1:4">
      <c r="A168" s="23" t="s">
        <v>1380</v>
      </c>
      <c r="B168" s="23">
        <v>3.2078957125058598</v>
      </c>
      <c r="C168" s="23">
        <f t="shared" si="4"/>
        <v>1.521217620367965E-2</v>
      </c>
      <c r="D168" s="25">
        <f t="shared" si="5"/>
        <v>2.8623926388871596E-2</v>
      </c>
    </row>
    <row r="169" spans="1:4">
      <c r="A169" s="23" t="s">
        <v>1379</v>
      </c>
      <c r="B169" s="23">
        <v>3.1926835363021802</v>
      </c>
      <c r="C169" s="23">
        <f t="shared" si="4"/>
        <v>-2.2484950289579864E-2</v>
      </c>
      <c r="D169" s="25">
        <f t="shared" si="5"/>
        <v>2.8601835261423601E-2</v>
      </c>
    </row>
    <row r="170" spans="1:4">
      <c r="A170" s="23" t="s">
        <v>1378</v>
      </c>
      <c r="B170" s="23">
        <v>3.21516848659176</v>
      </c>
      <c r="C170" s="23">
        <f t="shared" si="4"/>
        <v>1.8493753042529981E-2</v>
      </c>
      <c r="D170" s="25">
        <f t="shared" si="5"/>
        <v>2.864775252698613E-2</v>
      </c>
    </row>
    <row r="171" spans="1:4">
      <c r="A171" s="23" t="s">
        <v>1377</v>
      </c>
      <c r="B171" s="23">
        <v>3.19667473354923</v>
      </c>
      <c r="C171" s="23">
        <f t="shared" si="4"/>
        <v>-4.3529070041349982E-2</v>
      </c>
      <c r="D171" s="25">
        <f t="shared" si="5"/>
        <v>2.9210074922564222E-2</v>
      </c>
    </row>
    <row r="172" spans="1:4">
      <c r="A172" s="23" t="s">
        <v>1376</v>
      </c>
      <c r="B172" s="23">
        <v>3.24020380359058</v>
      </c>
      <c r="C172" s="23">
        <f t="shared" si="4"/>
        <v>2.5488959227359942E-2</v>
      </c>
      <c r="D172" s="25">
        <f t="shared" si="5"/>
        <v>2.9376199296060956E-2</v>
      </c>
    </row>
    <row r="173" spans="1:4">
      <c r="A173" s="23" t="s">
        <v>1375</v>
      </c>
      <c r="B173" s="23">
        <v>3.2147148443632201</v>
      </c>
      <c r="C173" s="23">
        <f t="shared" si="4"/>
        <v>-2.5047486224009763E-2</v>
      </c>
      <c r="D173" s="25">
        <f t="shared" si="5"/>
        <v>2.9254561928496264E-2</v>
      </c>
    </row>
    <row r="174" spans="1:4">
      <c r="A174" s="23" t="s">
        <v>1374</v>
      </c>
      <c r="B174" s="23">
        <v>3.2397623305872298</v>
      </c>
      <c r="C174" s="23">
        <f t="shared" si="4"/>
        <v>-1.6735582422140016E-2</v>
      </c>
      <c r="D174" s="25">
        <f t="shared" si="5"/>
        <v>2.9058677322509666E-2</v>
      </c>
    </row>
    <row r="175" spans="1:4">
      <c r="A175" s="23" t="s">
        <v>1373</v>
      </c>
      <c r="B175" s="23">
        <v>3.2564979130093699</v>
      </c>
      <c r="C175" s="23">
        <f t="shared" si="4"/>
        <v>-4.3675253514760204E-2</v>
      </c>
      <c r="D175" s="25">
        <f t="shared" si="5"/>
        <v>2.9155260821326003E-2</v>
      </c>
    </row>
    <row r="176" spans="1:4">
      <c r="A176" s="23" t="s">
        <v>1372</v>
      </c>
      <c r="B176" s="23">
        <v>3.3001731665241301</v>
      </c>
      <c r="C176" s="23">
        <f t="shared" si="4"/>
        <v>1.1227537082839856E-2</v>
      </c>
      <c r="D176" s="25">
        <f t="shared" si="5"/>
        <v>2.8739389691942303E-2</v>
      </c>
    </row>
    <row r="177" spans="1:4">
      <c r="A177" s="23" t="s">
        <v>1371</v>
      </c>
      <c r="B177" s="23">
        <v>3.2889456294412902</v>
      </c>
      <c r="C177" s="23">
        <f t="shared" si="4"/>
        <v>4.862606594050245E-3</v>
      </c>
      <c r="D177" s="25">
        <f t="shared" si="5"/>
        <v>2.8893312734423443E-2</v>
      </c>
    </row>
    <row r="178" spans="1:4">
      <c r="A178" s="23" t="s">
        <v>1370</v>
      </c>
      <c r="B178" s="23">
        <v>3.28408302284724</v>
      </c>
      <c r="C178" s="23">
        <f t="shared" si="4"/>
        <v>2.7419170763200995E-3</v>
      </c>
      <c r="D178" s="25">
        <f t="shared" si="5"/>
        <v>2.8890271686135987E-2</v>
      </c>
    </row>
    <row r="179" spans="1:4">
      <c r="A179" s="23" t="s">
        <v>1369</v>
      </c>
      <c r="B179" s="23">
        <v>3.2813411057709199</v>
      </c>
      <c r="C179" s="23">
        <f t="shared" si="4"/>
        <v>-1.9964280591719952E-2</v>
      </c>
      <c r="D179" s="25">
        <f t="shared" si="5"/>
        <v>2.8891218463128466E-2</v>
      </c>
    </row>
    <row r="180" spans="1:4">
      <c r="A180" s="23" t="s">
        <v>1368</v>
      </c>
      <c r="B180" s="23">
        <v>3.3013053863626398</v>
      </c>
      <c r="C180" s="23">
        <f t="shared" si="4"/>
        <v>6.2765526465869748E-2</v>
      </c>
      <c r="D180" s="25">
        <f t="shared" si="5"/>
        <v>2.8835875277383159E-2</v>
      </c>
    </row>
    <row r="181" spans="1:4">
      <c r="A181" s="23" t="s">
        <v>1367</v>
      </c>
      <c r="B181" s="23">
        <v>3.2385398598967701</v>
      </c>
      <c r="C181" s="23">
        <f t="shared" si="4"/>
        <v>-1.1251801859999411E-3</v>
      </c>
      <c r="D181" s="25">
        <f t="shared" si="5"/>
        <v>2.8135932334420199E-2</v>
      </c>
    </row>
    <row r="182" spans="1:4">
      <c r="A182" s="23" t="s">
        <v>1366</v>
      </c>
      <c r="B182" s="23">
        <v>3.23966504008277</v>
      </c>
      <c r="C182" s="23">
        <f t="shared" si="4"/>
        <v>3.5401496968610058E-2</v>
      </c>
      <c r="D182" s="25">
        <f t="shared" si="5"/>
        <v>2.9058675698102734E-2</v>
      </c>
    </row>
    <row r="183" spans="1:4">
      <c r="A183" s="23" t="s">
        <v>1365</v>
      </c>
      <c r="B183" s="23">
        <v>3.20426354311416</v>
      </c>
      <c r="C183" s="23">
        <f t="shared" si="4"/>
        <v>2.8183291452290149E-2</v>
      </c>
      <c r="D183" s="25">
        <f t="shared" si="5"/>
        <v>2.872901027501323E-2</v>
      </c>
    </row>
    <row r="184" spans="1:4">
      <c r="A184" s="23" t="s">
        <v>1364</v>
      </c>
      <c r="B184" s="23">
        <v>3.1760802516618698</v>
      </c>
      <c r="C184" s="23">
        <f t="shared" si="4"/>
        <v>7.8953132280399352E-3</v>
      </c>
      <c r="D184" s="25">
        <f t="shared" si="5"/>
        <v>2.8567032990746057E-2</v>
      </c>
    </row>
    <row r="185" spans="1:4">
      <c r="A185" s="23" t="s">
        <v>1363</v>
      </c>
      <c r="B185" s="23">
        <v>3.1681849384338299</v>
      </c>
      <c r="C185" s="23">
        <f t="shared" si="4"/>
        <v>1.535324697684004E-2</v>
      </c>
      <c r="D185" s="25">
        <f t="shared" si="5"/>
        <v>2.9144057425730136E-2</v>
      </c>
    </row>
    <row r="186" spans="1:4">
      <c r="A186" s="23" t="s">
        <v>1362</v>
      </c>
      <c r="B186" s="23">
        <v>3.1528316914569898</v>
      </c>
      <c r="C186" s="23">
        <f t="shared" si="4"/>
        <v>2.7476399904939885E-2</v>
      </c>
      <c r="D186" s="25">
        <f t="shared" si="5"/>
        <v>2.9055747189737056E-2</v>
      </c>
    </row>
    <row r="187" spans="1:4">
      <c r="A187" s="23" t="s">
        <v>1361</v>
      </c>
      <c r="B187" s="23">
        <v>3.1253552915520499</v>
      </c>
      <c r="C187" s="23">
        <f t="shared" si="4"/>
        <v>-8.114000660909948E-3</v>
      </c>
      <c r="D187" s="25">
        <f t="shared" si="5"/>
        <v>2.8963533137027181E-2</v>
      </c>
    </row>
    <row r="188" spans="1:4">
      <c r="A188" s="23" t="s">
        <v>1360</v>
      </c>
      <c r="B188" s="23">
        <v>3.1334692922129599</v>
      </c>
      <c r="C188" s="23">
        <f t="shared" si="4"/>
        <v>5.3132094491069815E-2</v>
      </c>
      <c r="D188" s="25">
        <f t="shared" si="5"/>
        <v>2.9041319142933609E-2</v>
      </c>
    </row>
    <row r="189" spans="1:4">
      <c r="A189" s="23" t="s">
        <v>1359</v>
      </c>
      <c r="B189" s="23">
        <v>3.0803371977218901</v>
      </c>
      <c r="C189" s="23">
        <f t="shared" si="4"/>
        <v>2.2146635159101535E-3</v>
      </c>
      <c r="D189" s="25">
        <f t="shared" si="5"/>
        <v>2.8190484035700472E-2</v>
      </c>
    </row>
    <row r="190" spans="1:4">
      <c r="A190" s="23" t="s">
        <v>1358</v>
      </c>
      <c r="B190" s="23">
        <v>3.0781225342059799</v>
      </c>
      <c r="C190" s="23">
        <f t="shared" si="4"/>
        <v>-2.0747694206550094E-2</v>
      </c>
      <c r="D190" s="25">
        <f t="shared" si="5"/>
        <v>2.8340081405816602E-2</v>
      </c>
    </row>
    <row r="191" spans="1:4">
      <c r="A191" s="23" t="s">
        <v>1357</v>
      </c>
      <c r="B191" s="23">
        <v>3.09887022841253</v>
      </c>
      <c r="C191" s="23">
        <f t="shared" si="4"/>
        <v>-3.0566732408400021E-2</v>
      </c>
      <c r="D191" s="25">
        <f t="shared" si="5"/>
        <v>2.8258991623105644E-2</v>
      </c>
    </row>
    <row r="192" spans="1:4">
      <c r="A192" s="23" t="s">
        <v>1356</v>
      </c>
      <c r="B192" s="23">
        <v>3.12943696082093</v>
      </c>
      <c r="C192" s="23">
        <f t="shared" si="4"/>
        <v>-9.1222954727898653E-3</v>
      </c>
      <c r="D192" s="25">
        <f t="shared" si="5"/>
        <v>2.8872554482710974E-2</v>
      </c>
    </row>
    <row r="193" spans="1:4">
      <c r="A193" s="23" t="s">
        <v>1355</v>
      </c>
      <c r="B193" s="23">
        <v>3.1385592562937199</v>
      </c>
      <c r="C193" s="23">
        <f t="shared" si="4"/>
        <v>-1.2262379533060308E-2</v>
      </c>
      <c r="D193" s="25">
        <f t="shared" si="5"/>
        <v>3.0484797423611959E-2</v>
      </c>
    </row>
    <row r="194" spans="1:4">
      <c r="A194" s="23" t="s">
        <v>1354</v>
      </c>
      <c r="B194" s="23">
        <v>3.1508216358267802</v>
      </c>
      <c r="C194" s="23">
        <f t="shared" ref="C194:C257" si="6">B194-B195</f>
        <v>-5.957940774389936E-3</v>
      </c>
      <c r="D194" s="25">
        <f t="shared" ref="D194:D257" si="7">STDEV(C194:C253)</f>
        <v>3.046282037870859E-2</v>
      </c>
    </row>
    <row r="195" spans="1:4">
      <c r="A195" s="23" t="s">
        <v>1353</v>
      </c>
      <c r="B195" s="23">
        <v>3.1567795766011701</v>
      </c>
      <c r="C195" s="23">
        <f t="shared" si="6"/>
        <v>-2.6104391351200018E-2</v>
      </c>
      <c r="D195" s="25">
        <f t="shared" si="7"/>
        <v>3.064211963593395E-2</v>
      </c>
    </row>
    <row r="196" spans="1:4">
      <c r="A196" s="23" t="s">
        <v>1352</v>
      </c>
      <c r="B196" s="23">
        <v>3.1828839679523702</v>
      </c>
      <c r="C196" s="23">
        <f t="shared" si="6"/>
        <v>1.8045546220690323E-2</v>
      </c>
      <c r="D196" s="25">
        <f t="shared" si="7"/>
        <v>3.2633536125883288E-2</v>
      </c>
    </row>
    <row r="197" spans="1:4">
      <c r="A197" s="23" t="s">
        <v>1351</v>
      </c>
      <c r="B197" s="23">
        <v>3.1648384217316798</v>
      </c>
      <c r="C197" s="23">
        <f t="shared" si="6"/>
        <v>2.485976194304973E-2</v>
      </c>
      <c r="D197" s="25">
        <f t="shared" si="7"/>
        <v>3.2644930442761927E-2</v>
      </c>
    </row>
    <row r="198" spans="1:4">
      <c r="A198" s="23" t="s">
        <v>1350</v>
      </c>
      <c r="B198" s="23">
        <v>3.1399786597886301</v>
      </c>
      <c r="C198" s="23">
        <f t="shared" si="6"/>
        <v>4.6402238137579932E-2</v>
      </c>
      <c r="D198" s="25">
        <f t="shared" si="7"/>
        <v>3.2484779747363343E-2</v>
      </c>
    </row>
    <row r="199" spans="1:4">
      <c r="A199" s="23" t="s">
        <v>1349</v>
      </c>
      <c r="B199" s="23">
        <v>3.0935764216510502</v>
      </c>
      <c r="C199" s="23">
        <f t="shared" si="6"/>
        <v>-4.6378741861639927E-2</v>
      </c>
      <c r="D199" s="25">
        <f t="shared" si="7"/>
        <v>3.1944643938179057E-2</v>
      </c>
    </row>
    <row r="200" spans="1:4">
      <c r="A200" s="23" t="s">
        <v>1348</v>
      </c>
      <c r="B200" s="23">
        <v>3.1399551635126901</v>
      </c>
      <c r="C200" s="23">
        <f t="shared" si="6"/>
        <v>-2.1204333076330073E-2</v>
      </c>
      <c r="D200" s="25">
        <f t="shared" si="7"/>
        <v>3.1434217887769941E-2</v>
      </c>
    </row>
    <row r="201" spans="1:4">
      <c r="A201" s="23" t="s">
        <v>1347</v>
      </c>
      <c r="B201" s="23">
        <v>3.1611594965890202</v>
      </c>
      <c r="C201" s="23">
        <f t="shared" si="6"/>
        <v>-3.096373280055964E-2</v>
      </c>
      <c r="D201" s="25">
        <f t="shared" si="7"/>
        <v>3.1623703563725257E-2</v>
      </c>
    </row>
    <row r="202" spans="1:4">
      <c r="A202" s="23" t="s">
        <v>1346</v>
      </c>
      <c r="B202" s="23">
        <v>3.1921232293895798</v>
      </c>
      <c r="C202" s="23">
        <f t="shared" si="6"/>
        <v>9.4782842008798163E-3</v>
      </c>
      <c r="D202" s="25">
        <f t="shared" si="7"/>
        <v>3.146846621772096E-2</v>
      </c>
    </row>
    <row r="203" spans="1:4">
      <c r="A203" s="23" t="s">
        <v>1345</v>
      </c>
      <c r="B203" s="23">
        <v>3.1826449451887</v>
      </c>
      <c r="C203" s="23">
        <f t="shared" si="6"/>
        <v>1.0468047913830159E-2</v>
      </c>
      <c r="D203" s="25">
        <f t="shared" si="7"/>
        <v>3.1650792024156368E-2</v>
      </c>
    </row>
    <row r="204" spans="1:4">
      <c r="A204" s="23" t="s">
        <v>1344</v>
      </c>
      <c r="B204" s="23">
        <v>3.1721768972748698</v>
      </c>
      <c r="C204" s="23">
        <f t="shared" si="6"/>
        <v>-9.118364787449984E-3</v>
      </c>
      <c r="D204" s="25">
        <f t="shared" si="7"/>
        <v>3.1701430958555654E-2</v>
      </c>
    </row>
    <row r="205" spans="1:4">
      <c r="A205" s="23" t="s">
        <v>1343</v>
      </c>
      <c r="B205" s="23">
        <v>3.1812952620623198</v>
      </c>
      <c r="C205" s="23">
        <f t="shared" si="6"/>
        <v>-3.5508968123350027E-2</v>
      </c>
      <c r="D205" s="25">
        <f t="shared" si="7"/>
        <v>3.3144272730196392E-2</v>
      </c>
    </row>
    <row r="206" spans="1:4">
      <c r="A206" s="23" t="s">
        <v>1342</v>
      </c>
      <c r="B206" s="23">
        <v>3.2168042301856699</v>
      </c>
      <c r="C206" s="23">
        <f t="shared" si="6"/>
        <v>4.7994222844982559E-4</v>
      </c>
      <c r="D206" s="25">
        <f t="shared" si="7"/>
        <v>3.2964953269568123E-2</v>
      </c>
    </row>
    <row r="207" spans="1:4">
      <c r="A207" s="23" t="s">
        <v>1341</v>
      </c>
      <c r="B207" s="23">
        <v>3.21632428795722</v>
      </c>
      <c r="C207" s="23">
        <f t="shared" si="6"/>
        <v>-1.4975017964697912E-3</v>
      </c>
      <c r="D207" s="25">
        <f t="shared" si="7"/>
        <v>3.3178120425131158E-2</v>
      </c>
    </row>
    <row r="208" spans="1:4">
      <c r="A208" s="23" t="s">
        <v>1340</v>
      </c>
      <c r="B208" s="23">
        <v>3.2178217897536898</v>
      </c>
      <c r="C208" s="23">
        <f t="shared" si="6"/>
        <v>-1.0601848127490321E-2</v>
      </c>
      <c r="D208" s="25">
        <f t="shared" si="7"/>
        <v>3.3549832823152118E-2</v>
      </c>
    </row>
    <row r="209" spans="1:4">
      <c r="A209" s="23" t="s">
        <v>1339</v>
      </c>
      <c r="B209" s="23">
        <v>3.2284236378811801</v>
      </c>
      <c r="C209" s="23">
        <f t="shared" si="6"/>
        <v>-4.7682955133599769E-2</v>
      </c>
      <c r="D209" s="25">
        <f t="shared" si="7"/>
        <v>3.3532015157695168E-2</v>
      </c>
    </row>
    <row r="210" spans="1:4">
      <c r="A210" s="23" t="s">
        <v>1338</v>
      </c>
      <c r="B210" s="23">
        <v>3.2761065930147799</v>
      </c>
      <c r="C210" s="23">
        <f t="shared" si="6"/>
        <v>1.0314388650949802E-2</v>
      </c>
      <c r="D210" s="25">
        <f t="shared" si="7"/>
        <v>3.3200705609215141E-2</v>
      </c>
    </row>
    <row r="211" spans="1:4">
      <c r="A211" s="23" t="s">
        <v>1337</v>
      </c>
      <c r="B211" s="23">
        <v>3.2657922043638301</v>
      </c>
      <c r="C211" s="23">
        <f t="shared" si="6"/>
        <v>8.3416444614450302E-2</v>
      </c>
      <c r="D211" s="25">
        <f t="shared" si="7"/>
        <v>3.3282060163079372E-2</v>
      </c>
    </row>
    <row r="212" spans="1:4">
      <c r="A212" s="23" t="s">
        <v>1336</v>
      </c>
      <c r="B212" s="23">
        <v>3.1823757597493798</v>
      </c>
      <c r="C212" s="23">
        <f t="shared" si="6"/>
        <v>-2.2584441633320296E-2</v>
      </c>
      <c r="D212" s="25">
        <f t="shared" si="7"/>
        <v>3.1466831842204605E-2</v>
      </c>
    </row>
    <row r="213" spans="1:4">
      <c r="A213" s="23" t="s">
        <v>1335</v>
      </c>
      <c r="B213" s="23">
        <v>3.2049602013827001</v>
      </c>
      <c r="C213" s="23">
        <f t="shared" si="6"/>
        <v>1.3429545833340217E-2</v>
      </c>
      <c r="D213" s="25">
        <f t="shared" si="7"/>
        <v>3.1374819773543013E-2</v>
      </c>
    </row>
    <row r="214" spans="1:4">
      <c r="A214" s="23" t="s">
        <v>1334</v>
      </c>
      <c r="B214" s="23">
        <v>3.1915306555493599</v>
      </c>
      <c r="C214" s="23">
        <f t="shared" si="6"/>
        <v>-4.4394950775660025E-2</v>
      </c>
      <c r="D214" s="25">
        <f t="shared" si="7"/>
        <v>3.1701994720616244E-2</v>
      </c>
    </row>
    <row r="215" spans="1:4">
      <c r="A215" s="23" t="s">
        <v>1333</v>
      </c>
      <c r="B215" s="23">
        <v>3.2359256063250199</v>
      </c>
      <c r="C215" s="23">
        <f t="shared" si="6"/>
        <v>5.1493938785939886E-2</v>
      </c>
      <c r="D215" s="25">
        <f t="shared" si="7"/>
        <v>3.1737575638007269E-2</v>
      </c>
    </row>
    <row r="216" spans="1:4">
      <c r="A216" s="23" t="s">
        <v>1332</v>
      </c>
      <c r="B216" s="23">
        <v>3.18443166753908</v>
      </c>
      <c r="C216" s="23">
        <f t="shared" si="6"/>
        <v>1.3088898880650124E-2</v>
      </c>
      <c r="D216" s="25">
        <f t="shared" si="7"/>
        <v>3.1111499792854016E-2</v>
      </c>
    </row>
    <row r="217" spans="1:4">
      <c r="A217" s="23" t="s">
        <v>1331</v>
      </c>
      <c r="B217" s="23">
        <v>3.1713427686584299</v>
      </c>
      <c r="C217" s="23">
        <f t="shared" si="6"/>
        <v>-8.3859361621398953E-3</v>
      </c>
      <c r="D217" s="25">
        <f t="shared" si="7"/>
        <v>3.1070885984468066E-2</v>
      </c>
    </row>
    <row r="218" spans="1:4">
      <c r="A218" s="23" t="s">
        <v>1330</v>
      </c>
      <c r="B218" s="23">
        <v>3.1797287048205698</v>
      </c>
      <c r="C218" s="23">
        <f t="shared" si="6"/>
        <v>-3.7265456375004113E-3</v>
      </c>
      <c r="D218" s="25">
        <f t="shared" si="7"/>
        <v>3.1153730906036264E-2</v>
      </c>
    </row>
    <row r="219" spans="1:4">
      <c r="A219" s="23" t="s">
        <v>1329</v>
      </c>
      <c r="B219" s="23">
        <v>3.1834552504580702</v>
      </c>
      <c r="C219" s="23">
        <f t="shared" si="6"/>
        <v>-5.4376574802983413E-4</v>
      </c>
      <c r="D219" s="25">
        <f t="shared" si="7"/>
        <v>3.1155811126280075E-2</v>
      </c>
    </row>
    <row r="220" spans="1:4">
      <c r="A220" s="23" t="s">
        <v>1328</v>
      </c>
      <c r="B220" s="23">
        <v>3.1839990162061</v>
      </c>
      <c r="C220" s="23">
        <f t="shared" si="6"/>
        <v>-5.1880700290539927E-2</v>
      </c>
      <c r="D220" s="25">
        <f t="shared" si="7"/>
        <v>3.1608625119583567E-2</v>
      </c>
    </row>
    <row r="221" spans="1:4">
      <c r="A221" s="23" t="s">
        <v>1327</v>
      </c>
      <c r="B221" s="23">
        <v>3.23587971649664</v>
      </c>
      <c r="C221" s="23">
        <f t="shared" si="6"/>
        <v>3.1184399486301473E-3</v>
      </c>
      <c r="D221" s="25">
        <f t="shared" si="7"/>
        <v>3.0975468100117073E-2</v>
      </c>
    </row>
    <row r="222" spans="1:4">
      <c r="A222" s="23" t="s">
        <v>1326</v>
      </c>
      <c r="B222" s="23">
        <v>3.2327612765480098</v>
      </c>
      <c r="C222" s="23">
        <f t="shared" si="6"/>
        <v>8.9484631958498539E-3</v>
      </c>
      <c r="D222" s="25">
        <f t="shared" si="7"/>
        <v>3.1039447530726186E-2</v>
      </c>
    </row>
    <row r="223" spans="1:4">
      <c r="A223" s="23" t="s">
        <v>1325</v>
      </c>
      <c r="B223" s="23">
        <v>3.22381281335216</v>
      </c>
      <c r="C223" s="23">
        <f t="shared" si="6"/>
        <v>3.6408220061369789E-2</v>
      </c>
      <c r="D223" s="25">
        <f t="shared" si="7"/>
        <v>3.196412174429044E-2</v>
      </c>
    </row>
    <row r="224" spans="1:4">
      <c r="A224" s="23" t="s">
        <v>1324</v>
      </c>
      <c r="B224" s="23">
        <v>3.1874045932907902</v>
      </c>
      <c r="C224" s="23">
        <f t="shared" si="6"/>
        <v>-1.3581853954789835E-2</v>
      </c>
      <c r="D224" s="25">
        <f t="shared" si="7"/>
        <v>3.1625938621069251E-2</v>
      </c>
    </row>
    <row r="225" spans="1:4">
      <c r="A225" s="23" t="s">
        <v>1323</v>
      </c>
      <c r="B225" s="23">
        <v>3.20098644724558</v>
      </c>
      <c r="C225" s="23">
        <f t="shared" si="6"/>
        <v>-1.7522009305179775E-2</v>
      </c>
      <c r="D225" s="25">
        <f t="shared" si="7"/>
        <v>3.1592595511725746E-2</v>
      </c>
    </row>
    <row r="226" spans="1:4">
      <c r="A226" s="23" t="s">
        <v>1322</v>
      </c>
      <c r="B226" s="23">
        <v>3.2185084565507598</v>
      </c>
      <c r="C226" s="23">
        <f t="shared" si="6"/>
        <v>-1.4433268698970103E-2</v>
      </c>
      <c r="D226" s="25">
        <f t="shared" si="7"/>
        <v>3.1717825814803056E-2</v>
      </c>
    </row>
    <row r="227" spans="1:4">
      <c r="A227" s="23" t="s">
        <v>1321</v>
      </c>
      <c r="B227" s="23">
        <v>3.2329417252497299</v>
      </c>
      <c r="C227" s="23">
        <f t="shared" si="6"/>
        <v>-3.353420102647009E-2</v>
      </c>
      <c r="D227" s="25">
        <f t="shared" si="7"/>
        <v>3.1674353740965312E-2</v>
      </c>
    </row>
    <row r="228" spans="1:4">
      <c r="A228" s="23" t="s">
        <v>1320</v>
      </c>
      <c r="B228" s="23">
        <v>3.2664759262762</v>
      </c>
      <c r="C228" s="23">
        <f t="shared" si="6"/>
        <v>-1.5221259105670182E-2</v>
      </c>
      <c r="D228" s="25">
        <f t="shared" si="7"/>
        <v>3.2294637683786084E-2</v>
      </c>
    </row>
    <row r="229" spans="1:4">
      <c r="A229" s="23" t="s">
        <v>1319</v>
      </c>
      <c r="B229" s="23">
        <v>3.2816971853818702</v>
      </c>
      <c r="C229" s="23">
        <f t="shared" si="6"/>
        <v>2.3648610680380155E-2</v>
      </c>
      <c r="D229" s="25">
        <f t="shared" si="7"/>
        <v>3.2249761293738535E-2</v>
      </c>
    </row>
    <row r="230" spans="1:4">
      <c r="A230" s="23" t="s">
        <v>1318</v>
      </c>
      <c r="B230" s="23">
        <v>3.25804857470149</v>
      </c>
      <c r="C230" s="23">
        <f t="shared" si="6"/>
        <v>4.7267754403089945E-2</v>
      </c>
      <c r="D230" s="25">
        <f t="shared" si="7"/>
        <v>3.2183315900047429E-2</v>
      </c>
    </row>
    <row r="231" spans="1:4">
      <c r="A231" s="23" t="s">
        <v>1317</v>
      </c>
      <c r="B231" s="23">
        <v>3.2107808202984001</v>
      </c>
      <c r="C231" s="23">
        <f t="shared" si="6"/>
        <v>5.0722200564480069E-2</v>
      </c>
      <c r="D231" s="25">
        <f t="shared" si="7"/>
        <v>3.1777495341674539E-2</v>
      </c>
    </row>
    <row r="232" spans="1:4">
      <c r="A232" s="23" t="s">
        <v>1316</v>
      </c>
      <c r="B232" s="23">
        <v>3.16005861973392</v>
      </c>
      <c r="C232" s="23">
        <f t="shared" si="6"/>
        <v>-1.2318206119129815E-2</v>
      </c>
      <c r="D232" s="25">
        <f t="shared" si="7"/>
        <v>3.1628674454706969E-2</v>
      </c>
    </row>
    <row r="233" spans="1:4">
      <c r="A233" s="23" t="s">
        <v>1315</v>
      </c>
      <c r="B233" s="23">
        <v>3.1723768258530498</v>
      </c>
      <c r="C233" s="23">
        <f t="shared" si="6"/>
        <v>1.8741774509196674E-3</v>
      </c>
      <c r="D233" s="25">
        <f t="shared" si="7"/>
        <v>3.169453506067002E-2</v>
      </c>
    </row>
    <row r="234" spans="1:4">
      <c r="A234" s="23" t="s">
        <v>1314</v>
      </c>
      <c r="B234" s="23">
        <v>3.1705026484021301</v>
      </c>
      <c r="C234" s="23">
        <f t="shared" si="6"/>
        <v>-2.4394731621010024E-2</v>
      </c>
      <c r="D234" s="25">
        <f t="shared" si="7"/>
        <v>3.2089774897225101E-2</v>
      </c>
    </row>
    <row r="235" spans="1:4">
      <c r="A235" s="23" t="s">
        <v>1313</v>
      </c>
      <c r="B235" s="23">
        <v>3.1948973800231402</v>
      </c>
      <c r="C235" s="23">
        <f t="shared" si="6"/>
        <v>-2.3155019066089633E-2</v>
      </c>
      <c r="D235" s="25">
        <f t="shared" si="7"/>
        <v>3.2231202910939352E-2</v>
      </c>
    </row>
    <row r="236" spans="1:4">
      <c r="A236" s="23" t="s">
        <v>1312</v>
      </c>
      <c r="B236" s="23">
        <v>3.2180523990892298</v>
      </c>
      <c r="C236" s="23">
        <f t="shared" si="6"/>
        <v>-2.3953535927260017E-2</v>
      </c>
      <c r="D236" s="25">
        <f t="shared" si="7"/>
        <v>3.2239872543344331E-2</v>
      </c>
    </row>
    <row r="237" spans="1:4">
      <c r="A237" s="23" t="s">
        <v>1311</v>
      </c>
      <c r="B237" s="23">
        <v>3.2420059350164898</v>
      </c>
      <c r="C237" s="23">
        <f t="shared" si="6"/>
        <v>3.2966677746300022E-3</v>
      </c>
      <c r="D237" s="25">
        <f t="shared" si="7"/>
        <v>3.2338878602784366E-2</v>
      </c>
    </row>
    <row r="238" spans="1:4">
      <c r="A238" s="23" t="s">
        <v>1310</v>
      </c>
      <c r="B238" s="23">
        <v>3.2387092672418598</v>
      </c>
      <c r="C238" s="23">
        <f t="shared" si="6"/>
        <v>-1.9903804770500244E-3</v>
      </c>
      <c r="D238" s="25">
        <f t="shared" si="7"/>
        <v>3.2377220756740391E-2</v>
      </c>
    </row>
    <row r="239" spans="1:4">
      <c r="A239" s="23" t="s">
        <v>1309</v>
      </c>
      <c r="B239" s="23">
        <v>3.2406996477189098</v>
      </c>
      <c r="C239" s="23">
        <f t="shared" si="6"/>
        <v>-1.4751087201819946E-2</v>
      </c>
      <c r="D239" s="25">
        <f t="shared" si="7"/>
        <v>3.256623748346904E-2</v>
      </c>
    </row>
    <row r="240" spans="1:4">
      <c r="A240" s="23" t="s">
        <v>1308</v>
      </c>
      <c r="B240" s="23">
        <v>3.2554507349207298</v>
      </c>
      <c r="C240" s="23">
        <f t="shared" si="6"/>
        <v>-4.0072965915130432E-2</v>
      </c>
      <c r="D240" s="25">
        <f t="shared" si="7"/>
        <v>3.2534622114478821E-2</v>
      </c>
    </row>
    <row r="241" spans="1:4">
      <c r="A241" s="23" t="s">
        <v>1307</v>
      </c>
      <c r="B241" s="23">
        <v>3.2955237008358602</v>
      </c>
      <c r="C241" s="23">
        <f t="shared" si="6"/>
        <v>5.5325692201710019E-2</v>
      </c>
      <c r="D241" s="25">
        <f t="shared" si="7"/>
        <v>3.2176464345818473E-2</v>
      </c>
    </row>
    <row r="242" spans="1:4">
      <c r="A242" s="23" t="s">
        <v>1306</v>
      </c>
      <c r="B242" s="23">
        <v>3.2401980086341502</v>
      </c>
      <c r="C242" s="23">
        <f t="shared" si="6"/>
        <v>-1.3007607262779608E-2</v>
      </c>
      <c r="D242" s="25">
        <f t="shared" si="7"/>
        <v>3.1501157421714915E-2</v>
      </c>
    </row>
    <row r="243" spans="1:4">
      <c r="A243" s="23" t="s">
        <v>1305</v>
      </c>
      <c r="B243" s="23">
        <v>3.2532056158969298</v>
      </c>
      <c r="C243" s="23">
        <f t="shared" si="6"/>
        <v>1.6380362370239876E-2</v>
      </c>
      <c r="D243" s="25">
        <f t="shared" si="7"/>
        <v>3.1558929176080448E-2</v>
      </c>
    </row>
    <row r="244" spans="1:4">
      <c r="A244" s="23" t="s">
        <v>1304</v>
      </c>
      <c r="B244" s="23">
        <v>3.2368252535266899</v>
      </c>
      <c r="C244" s="23">
        <f t="shared" si="6"/>
        <v>-4.6771538722989892E-2</v>
      </c>
      <c r="D244" s="25">
        <f t="shared" si="7"/>
        <v>3.3190233067925991E-2</v>
      </c>
    </row>
    <row r="245" spans="1:4">
      <c r="A245" s="23" t="s">
        <v>1303</v>
      </c>
      <c r="B245" s="23">
        <v>3.2835967922496798</v>
      </c>
      <c r="C245" s="23">
        <f t="shared" si="6"/>
        <v>-2.7755513377401009E-3</v>
      </c>
      <c r="D245" s="25">
        <f t="shared" si="7"/>
        <v>3.2796336331901814E-2</v>
      </c>
    </row>
    <row r="246" spans="1:4">
      <c r="A246" s="23" t="s">
        <v>1302</v>
      </c>
      <c r="B246" s="23">
        <v>3.2863723435874199</v>
      </c>
      <c r="C246" s="23">
        <f t="shared" si="6"/>
        <v>2.1588808553079986E-2</v>
      </c>
      <c r="D246" s="25">
        <f t="shared" si="7"/>
        <v>3.3589102825221755E-2</v>
      </c>
    </row>
    <row r="247" spans="1:4">
      <c r="A247" s="23" t="s">
        <v>1301</v>
      </c>
      <c r="B247" s="23">
        <v>3.2647835350343399</v>
      </c>
      <c r="C247" s="23">
        <f t="shared" si="6"/>
        <v>1.5249758817009962E-2</v>
      </c>
      <c r="D247" s="25">
        <f t="shared" si="7"/>
        <v>3.3524164479535788E-2</v>
      </c>
    </row>
    <row r="248" spans="1:4">
      <c r="A248" s="23" t="s">
        <v>1300</v>
      </c>
      <c r="B248" s="23">
        <v>3.24953377621733</v>
      </c>
      <c r="C248" s="23">
        <f t="shared" si="6"/>
        <v>1.1770965717159854E-2</v>
      </c>
      <c r="D248" s="25">
        <f t="shared" si="7"/>
        <v>3.429405135251197E-2</v>
      </c>
    </row>
    <row r="249" spans="1:4">
      <c r="A249" s="23" t="s">
        <v>1299</v>
      </c>
      <c r="B249" s="23">
        <v>3.2377628105001701</v>
      </c>
      <c r="C249" s="23">
        <f t="shared" si="6"/>
        <v>-2.576265520781007E-2</v>
      </c>
      <c r="D249" s="25">
        <f t="shared" si="7"/>
        <v>3.4495721398885154E-2</v>
      </c>
    </row>
    <row r="250" spans="1:4">
      <c r="A250" s="23" t="s">
        <v>1298</v>
      </c>
      <c r="B250" s="23">
        <v>3.2635254657079802</v>
      </c>
      <c r="C250" s="23">
        <f t="shared" si="6"/>
        <v>4.0703448559602506E-3</v>
      </c>
      <c r="D250" s="25">
        <f t="shared" si="7"/>
        <v>3.4370972598288772E-2</v>
      </c>
    </row>
    <row r="251" spans="1:4">
      <c r="A251" s="23" t="s">
        <v>1297</v>
      </c>
      <c r="B251" s="23">
        <v>3.2594551208520199</v>
      </c>
      <c r="C251" s="23">
        <f t="shared" si="6"/>
        <v>5.171929774645978E-2</v>
      </c>
      <c r="D251" s="25">
        <f t="shared" si="7"/>
        <v>3.4391035337902554E-2</v>
      </c>
    </row>
    <row r="252" spans="1:4">
      <c r="A252" s="23" t="s">
        <v>1296</v>
      </c>
      <c r="B252" s="23">
        <v>3.2077358231055602</v>
      </c>
      <c r="C252" s="23">
        <f t="shared" si="6"/>
        <v>7.5018773816810214E-2</v>
      </c>
      <c r="D252" s="25">
        <f t="shared" si="7"/>
        <v>3.405568475238379E-2</v>
      </c>
    </row>
    <row r="253" spans="1:4">
      <c r="A253" s="23" t="s">
        <v>1295</v>
      </c>
      <c r="B253" s="23">
        <v>3.1327170492887499</v>
      </c>
      <c r="C253" s="23">
        <f t="shared" si="6"/>
        <v>9.1170109198199789E-3</v>
      </c>
      <c r="D253" s="25">
        <f t="shared" si="7"/>
        <v>3.2642148431018862E-2</v>
      </c>
    </row>
    <row r="254" spans="1:4">
      <c r="A254" s="23" t="s">
        <v>1294</v>
      </c>
      <c r="B254" s="23">
        <v>3.12360003836893</v>
      </c>
      <c r="C254" s="23">
        <f t="shared" si="6"/>
        <v>2.7017584002119843E-2</v>
      </c>
      <c r="D254" s="25">
        <f t="shared" si="7"/>
        <v>3.2609316290484441E-2</v>
      </c>
    </row>
    <row r="255" spans="1:4">
      <c r="A255" s="23" t="s">
        <v>1293</v>
      </c>
      <c r="B255" s="23">
        <v>3.0965824543668101</v>
      </c>
      <c r="C255" s="23">
        <f t="shared" si="6"/>
        <v>-8.9753695496159747E-2</v>
      </c>
      <c r="D255" s="25">
        <f t="shared" si="7"/>
        <v>3.3880592455389574E-2</v>
      </c>
    </row>
    <row r="256" spans="1:4">
      <c r="A256" s="23" t="s">
        <v>1292</v>
      </c>
      <c r="B256" s="23">
        <v>3.1863361498629699</v>
      </c>
      <c r="C256" s="23">
        <f t="shared" si="6"/>
        <v>-1.9948881636940197E-2</v>
      </c>
      <c r="D256" s="25">
        <f t="shared" si="7"/>
        <v>3.2094433712245636E-2</v>
      </c>
    </row>
    <row r="257" spans="1:4">
      <c r="A257" s="23" t="s">
        <v>1291</v>
      </c>
      <c r="B257" s="23">
        <v>3.2062850314999101</v>
      </c>
      <c r="C257" s="23">
        <f t="shared" si="6"/>
        <v>-8.1461798226998283E-3</v>
      </c>
      <c r="D257" s="25">
        <f t="shared" si="7"/>
        <v>3.2089418674667192E-2</v>
      </c>
    </row>
    <row r="258" spans="1:4">
      <c r="A258" s="23" t="s">
        <v>1290</v>
      </c>
      <c r="B258" s="23">
        <v>3.2144312113226099</v>
      </c>
      <c r="C258" s="23">
        <f t="shared" ref="C258:C321" si="8">B258-B259</f>
        <v>1.4058279162080023E-2</v>
      </c>
      <c r="D258" s="25">
        <f t="shared" ref="D258:D321" si="9">STDEV(C258:C317)</f>
        <v>3.2214105386314827E-2</v>
      </c>
    </row>
    <row r="259" spans="1:4">
      <c r="A259" s="23" t="s">
        <v>1289</v>
      </c>
      <c r="B259" s="23">
        <v>3.2003729321605299</v>
      </c>
      <c r="C259" s="23">
        <f t="shared" si="8"/>
        <v>9.7479968914599979E-3</v>
      </c>
      <c r="D259" s="25">
        <f t="shared" si="9"/>
        <v>3.2176256959272773E-2</v>
      </c>
    </row>
    <row r="260" spans="1:4">
      <c r="A260" s="23" t="s">
        <v>1288</v>
      </c>
      <c r="B260" s="23">
        <v>3.1906249352690699</v>
      </c>
      <c r="C260" s="23">
        <f t="shared" si="8"/>
        <v>-3.4346246227560329E-2</v>
      </c>
      <c r="D260" s="25">
        <f t="shared" si="9"/>
        <v>3.2787406737828304E-2</v>
      </c>
    </row>
    <row r="261" spans="1:4">
      <c r="A261" s="23" t="s">
        <v>1287</v>
      </c>
      <c r="B261" s="23">
        <v>3.2249711814966302</v>
      </c>
      <c r="C261" s="23">
        <f t="shared" si="8"/>
        <v>1.7798887717340062E-2</v>
      </c>
      <c r="D261" s="25">
        <f t="shared" si="9"/>
        <v>3.2567514782051568E-2</v>
      </c>
    </row>
    <row r="262" spans="1:4">
      <c r="A262" s="23" t="s">
        <v>1286</v>
      </c>
      <c r="B262" s="23">
        <v>3.2071722937792901</v>
      </c>
      <c r="C262" s="23">
        <f t="shared" si="8"/>
        <v>2.7662520325260065E-2</v>
      </c>
      <c r="D262" s="25">
        <f t="shared" si="9"/>
        <v>3.2496113838653015E-2</v>
      </c>
    </row>
    <row r="263" spans="1:4">
      <c r="A263" s="23" t="s">
        <v>1285</v>
      </c>
      <c r="B263" s="23">
        <v>3.1795097734540301</v>
      </c>
      <c r="C263" s="23">
        <f t="shared" si="8"/>
        <v>-1.7579453820280033E-2</v>
      </c>
      <c r="D263" s="25">
        <f t="shared" si="9"/>
        <v>3.2386631640404652E-2</v>
      </c>
    </row>
    <row r="264" spans="1:4">
      <c r="A264" s="23" t="s">
        <v>1284</v>
      </c>
      <c r="B264" s="23">
        <v>3.1970892272743101</v>
      </c>
      <c r="C264" s="23">
        <f t="shared" si="8"/>
        <v>-7.5713434876290009E-2</v>
      </c>
      <c r="D264" s="25">
        <f t="shared" si="9"/>
        <v>3.246658847855536E-2</v>
      </c>
    </row>
    <row r="265" spans="1:4">
      <c r="A265" s="23" t="s">
        <v>1283</v>
      </c>
      <c r="B265" s="23">
        <v>3.2728026621506001</v>
      </c>
      <c r="C265" s="23">
        <f t="shared" si="8"/>
        <v>-2.2928717523249986E-2</v>
      </c>
      <c r="D265" s="25">
        <f t="shared" si="9"/>
        <v>3.1151214662009572E-2</v>
      </c>
    </row>
    <row r="266" spans="1:4">
      <c r="A266" s="23" t="s">
        <v>1282</v>
      </c>
      <c r="B266" s="23">
        <v>3.2957313796738501</v>
      </c>
      <c r="C266" s="23">
        <f t="shared" si="8"/>
        <v>2.7796963385330109E-2</v>
      </c>
      <c r="D266" s="25">
        <f t="shared" si="9"/>
        <v>3.1273943371821392E-2</v>
      </c>
    </row>
    <row r="267" spans="1:4">
      <c r="A267" s="23" t="s">
        <v>1281</v>
      </c>
      <c r="B267" s="23">
        <v>3.26793441628852</v>
      </c>
      <c r="C267" s="23">
        <f t="shared" si="8"/>
        <v>3.7733486250199899E-2</v>
      </c>
      <c r="D267" s="25">
        <f t="shared" si="9"/>
        <v>3.1423471061054142E-2</v>
      </c>
    </row>
    <row r="268" spans="1:4">
      <c r="A268" s="23" t="s">
        <v>1280</v>
      </c>
      <c r="B268" s="23">
        <v>3.2302009300383201</v>
      </c>
      <c r="C268" s="23">
        <f t="shared" si="8"/>
        <v>-6.3583811790399736E-3</v>
      </c>
      <c r="D268" s="25">
        <f t="shared" si="9"/>
        <v>3.1712854731946016E-2</v>
      </c>
    </row>
    <row r="269" spans="1:4">
      <c r="A269" s="23" t="s">
        <v>1279</v>
      </c>
      <c r="B269" s="23">
        <v>3.2365593112173601</v>
      </c>
      <c r="C269" s="23">
        <f t="shared" si="8"/>
        <v>-3.1133564423009741E-2</v>
      </c>
      <c r="D269" s="25">
        <f t="shared" si="9"/>
        <v>3.2176875286225703E-2</v>
      </c>
    </row>
    <row r="270" spans="1:4">
      <c r="A270" s="23" t="s">
        <v>1278</v>
      </c>
      <c r="B270" s="23">
        <v>3.2676928756403698</v>
      </c>
      <c r="C270" s="23">
        <f t="shared" si="8"/>
        <v>-2.0806543811690226E-2</v>
      </c>
      <c r="D270" s="25">
        <f t="shared" si="9"/>
        <v>3.1955659273626494E-2</v>
      </c>
    </row>
    <row r="271" spans="1:4">
      <c r="A271" s="23" t="s">
        <v>1277</v>
      </c>
      <c r="B271" s="23">
        <v>3.28849941945206</v>
      </c>
      <c r="C271" s="23">
        <f t="shared" si="8"/>
        <v>1.2678191358300062E-2</v>
      </c>
      <c r="D271" s="25">
        <f t="shared" si="9"/>
        <v>3.2189756549999129E-2</v>
      </c>
    </row>
    <row r="272" spans="1:4">
      <c r="A272" s="23" t="s">
        <v>1276</v>
      </c>
      <c r="B272" s="23">
        <v>3.27582122809376</v>
      </c>
      <c r="C272" s="23">
        <f t="shared" si="8"/>
        <v>-1.1704304565760104E-2</v>
      </c>
      <c r="D272" s="25">
        <f t="shared" si="9"/>
        <v>3.2276005756697215E-2</v>
      </c>
    </row>
    <row r="273" spans="1:4">
      <c r="A273" s="23" t="s">
        <v>1275</v>
      </c>
      <c r="B273" s="23">
        <v>3.2875255326595201</v>
      </c>
      <c r="C273" s="23">
        <f t="shared" si="8"/>
        <v>-3.9901432360879951E-2</v>
      </c>
      <c r="D273" s="25">
        <f t="shared" si="9"/>
        <v>3.2848492076924564E-2</v>
      </c>
    </row>
    <row r="274" spans="1:4">
      <c r="A274" s="23" t="s">
        <v>1274</v>
      </c>
      <c r="B274" s="23">
        <v>3.3274269650204</v>
      </c>
      <c r="C274" s="23">
        <f t="shared" si="8"/>
        <v>-4.5947373755999887E-2</v>
      </c>
      <c r="D274" s="25">
        <f t="shared" si="9"/>
        <v>3.2840572368236065E-2</v>
      </c>
    </row>
    <row r="275" spans="1:4">
      <c r="A275" s="23" t="s">
        <v>1273</v>
      </c>
      <c r="B275" s="23">
        <v>3.3733743387763999</v>
      </c>
      <c r="C275" s="23">
        <f t="shared" si="8"/>
        <v>2.191319813556003E-2</v>
      </c>
      <c r="D275" s="25">
        <f t="shared" si="9"/>
        <v>3.3546429780722663E-2</v>
      </c>
    </row>
    <row r="276" spans="1:4">
      <c r="A276" s="23" t="s">
        <v>1272</v>
      </c>
      <c r="B276" s="23">
        <v>3.3514611406408399</v>
      </c>
      <c r="C276" s="23">
        <f t="shared" si="8"/>
        <v>7.3888112548798901E-3</v>
      </c>
      <c r="D276" s="25">
        <f t="shared" si="9"/>
        <v>3.3660513363983374E-2</v>
      </c>
    </row>
    <row r="277" spans="1:4">
      <c r="A277" s="23" t="s">
        <v>1271</v>
      </c>
      <c r="B277" s="23">
        <v>3.34407232938596</v>
      </c>
      <c r="C277" s="23">
        <f t="shared" si="8"/>
        <v>-2.1242588449419841E-2</v>
      </c>
      <c r="D277" s="25">
        <f t="shared" si="9"/>
        <v>3.3671713027716856E-2</v>
      </c>
    </row>
    <row r="278" spans="1:4">
      <c r="A278" s="23" t="s">
        <v>1270</v>
      </c>
      <c r="B278" s="23">
        <v>3.3653149178353798</v>
      </c>
      <c r="C278" s="23">
        <f t="shared" si="8"/>
        <v>-5.9445377568003721E-3</v>
      </c>
      <c r="D278" s="25">
        <f t="shared" si="9"/>
        <v>3.4264903280828304E-2</v>
      </c>
    </row>
    <row r="279" spans="1:4">
      <c r="A279" s="23" t="s">
        <v>1269</v>
      </c>
      <c r="B279" s="23">
        <v>3.3712594555921802</v>
      </c>
      <c r="C279" s="23">
        <f t="shared" si="8"/>
        <v>-4.4552094901639805E-2</v>
      </c>
      <c r="D279" s="25">
        <f t="shared" si="9"/>
        <v>3.4280191895385149E-2</v>
      </c>
    </row>
    <row r="280" spans="1:4">
      <c r="A280" s="23" t="s">
        <v>1268</v>
      </c>
      <c r="B280" s="23">
        <v>3.41581155049382</v>
      </c>
      <c r="C280" s="23">
        <f t="shared" si="8"/>
        <v>-5.6829192099301373E-3</v>
      </c>
      <c r="D280" s="25">
        <f t="shared" si="9"/>
        <v>3.4247702365354515E-2</v>
      </c>
    </row>
    <row r="281" spans="1:4">
      <c r="A281" s="23" t="s">
        <v>1267</v>
      </c>
      <c r="B281" s="23">
        <v>3.4214944697037502</v>
      </c>
      <c r="C281" s="23">
        <f t="shared" si="8"/>
        <v>1.3473538119470163E-2</v>
      </c>
      <c r="D281" s="25">
        <f t="shared" si="9"/>
        <v>3.4715924706202224E-2</v>
      </c>
    </row>
    <row r="282" spans="1:4">
      <c r="A282" s="23" t="s">
        <v>1266</v>
      </c>
      <c r="B282" s="23">
        <v>3.40802093158428</v>
      </c>
      <c r="C282" s="23">
        <f t="shared" si="8"/>
        <v>5.7219909792129986E-2</v>
      </c>
      <c r="D282" s="25">
        <f t="shared" si="9"/>
        <v>3.5390229596834709E-2</v>
      </c>
    </row>
    <row r="283" spans="1:4">
      <c r="A283" s="23" t="s">
        <v>1265</v>
      </c>
      <c r="B283" s="23">
        <v>3.35080102179215</v>
      </c>
      <c r="C283" s="23">
        <f t="shared" si="8"/>
        <v>1.2869725917100006E-2</v>
      </c>
      <c r="D283" s="25">
        <f t="shared" si="9"/>
        <v>3.5216921850707475E-2</v>
      </c>
    </row>
    <row r="284" spans="1:4">
      <c r="A284" s="23" t="s">
        <v>1264</v>
      </c>
      <c r="B284" s="23">
        <v>3.33793129587505</v>
      </c>
      <c r="C284" s="23">
        <f t="shared" si="8"/>
        <v>-2.8959464759599207E-3</v>
      </c>
      <c r="D284" s="25">
        <f t="shared" si="9"/>
        <v>3.5173223743144626E-2</v>
      </c>
    </row>
    <row r="285" spans="1:4">
      <c r="A285" s="23" t="s">
        <v>1263</v>
      </c>
      <c r="B285" s="23">
        <v>3.3408272423510099</v>
      </c>
      <c r="C285" s="23">
        <f t="shared" si="8"/>
        <v>2.4654477121099916E-2</v>
      </c>
      <c r="D285" s="25">
        <f t="shared" si="9"/>
        <v>3.5252447204950514E-2</v>
      </c>
    </row>
    <row r="286" spans="1:4">
      <c r="A286" s="23" t="s">
        <v>1262</v>
      </c>
      <c r="B286" s="23">
        <v>3.31617276522991</v>
      </c>
      <c r="C286" s="23">
        <f t="shared" si="8"/>
        <v>6.4844007053022068E-4</v>
      </c>
      <c r="D286" s="25">
        <f t="shared" si="9"/>
        <v>3.5374532352065072E-2</v>
      </c>
    </row>
    <row r="287" spans="1:4">
      <c r="A287" s="23" t="s">
        <v>1261</v>
      </c>
      <c r="B287" s="23">
        <v>3.3155243251593798</v>
      </c>
      <c r="C287" s="23">
        <f t="shared" si="8"/>
        <v>-5.9569852315100036E-2</v>
      </c>
      <c r="D287" s="25">
        <f t="shared" si="9"/>
        <v>3.5420197184725083E-2</v>
      </c>
    </row>
    <row r="288" spans="1:4">
      <c r="A288" s="23" t="s">
        <v>1260</v>
      </c>
      <c r="B288" s="23">
        <v>3.3750941774744798</v>
      </c>
      <c r="C288" s="23">
        <f t="shared" si="8"/>
        <v>1.9114153433399395E-3</v>
      </c>
      <c r="D288" s="25">
        <f t="shared" si="9"/>
        <v>3.5449121489264997E-2</v>
      </c>
    </row>
    <row r="289" spans="1:4">
      <c r="A289" s="23" t="s">
        <v>1259</v>
      </c>
      <c r="B289" s="23">
        <v>3.3731827621311399</v>
      </c>
      <c r="C289" s="23">
        <f t="shared" si="8"/>
        <v>-2.1913517315930164E-2</v>
      </c>
      <c r="D289" s="25">
        <f t="shared" si="9"/>
        <v>3.5909330110532767E-2</v>
      </c>
    </row>
    <row r="290" spans="1:4">
      <c r="A290" s="23" t="s">
        <v>1258</v>
      </c>
      <c r="B290" s="23">
        <v>3.39509627944707</v>
      </c>
      <c r="C290" s="23">
        <f t="shared" si="8"/>
        <v>-3.4459773255299808E-2</v>
      </c>
      <c r="D290" s="25">
        <f t="shared" si="9"/>
        <v>3.8146124021942771E-2</v>
      </c>
    </row>
    <row r="291" spans="1:4">
      <c r="A291" s="23" t="s">
        <v>1257</v>
      </c>
      <c r="B291" s="23">
        <v>3.4295560527023699</v>
      </c>
      <c r="C291" s="23">
        <f t="shared" si="8"/>
        <v>-5.4475760781790061E-2</v>
      </c>
      <c r="D291" s="25">
        <f t="shared" si="9"/>
        <v>3.8000783854556276E-2</v>
      </c>
    </row>
    <row r="292" spans="1:4">
      <c r="A292" s="23" t="s">
        <v>1256</v>
      </c>
      <c r="B292" s="23">
        <v>3.4840318134841599</v>
      </c>
      <c r="C292" s="23">
        <f t="shared" si="8"/>
        <v>-2.2595128300470169E-2</v>
      </c>
      <c r="D292" s="25">
        <f t="shared" si="9"/>
        <v>3.8068305105818108E-2</v>
      </c>
    </row>
    <row r="293" spans="1:4">
      <c r="A293" s="23" t="s">
        <v>1255</v>
      </c>
      <c r="B293" s="23">
        <v>3.5066269417846301</v>
      </c>
      <c r="C293" s="23">
        <f t="shared" si="8"/>
        <v>3.3925308581310265E-2</v>
      </c>
      <c r="D293" s="25">
        <f t="shared" si="9"/>
        <v>3.8199034933007629E-2</v>
      </c>
    </row>
    <row r="294" spans="1:4">
      <c r="A294" s="23" t="s">
        <v>1254</v>
      </c>
      <c r="B294" s="23">
        <v>3.4727016332033198</v>
      </c>
      <c r="C294" s="23">
        <f t="shared" si="8"/>
        <v>2.5842282556309826E-2</v>
      </c>
      <c r="D294" s="25">
        <f t="shared" si="9"/>
        <v>3.8059006598016372E-2</v>
      </c>
    </row>
    <row r="295" spans="1:4">
      <c r="A295" s="23" t="s">
        <v>1253</v>
      </c>
      <c r="B295" s="23">
        <v>3.44685935064701</v>
      </c>
      <c r="C295" s="23">
        <f t="shared" si="8"/>
        <v>1.6249922929960192E-2</v>
      </c>
      <c r="D295" s="25">
        <f t="shared" si="9"/>
        <v>3.7889308466969279E-2</v>
      </c>
    </row>
    <row r="296" spans="1:4">
      <c r="A296" s="23" t="s">
        <v>1252</v>
      </c>
      <c r="B296" s="23">
        <v>3.4306094277170498</v>
      </c>
      <c r="C296" s="23">
        <f t="shared" si="8"/>
        <v>2.5342229872339583E-2</v>
      </c>
      <c r="D296" s="25">
        <f t="shared" si="9"/>
        <v>3.7828895153110241E-2</v>
      </c>
    </row>
    <row r="297" spans="1:4">
      <c r="A297" s="23" t="s">
        <v>1251</v>
      </c>
      <c r="B297" s="23">
        <v>3.4052671978447102</v>
      </c>
      <c r="C297" s="23">
        <f t="shared" si="8"/>
        <v>-1.6473356626799607E-2</v>
      </c>
      <c r="D297" s="25">
        <f t="shared" si="9"/>
        <v>3.7751723768731857E-2</v>
      </c>
    </row>
    <row r="298" spans="1:4">
      <c r="A298" s="23" t="s">
        <v>1250</v>
      </c>
      <c r="B298" s="23">
        <v>3.4217405544715098</v>
      </c>
      <c r="C298" s="23">
        <f t="shared" si="8"/>
        <v>-3.0228871274480262E-2</v>
      </c>
      <c r="D298" s="25">
        <f t="shared" si="9"/>
        <v>3.7936389820651097E-2</v>
      </c>
    </row>
    <row r="299" spans="1:4">
      <c r="A299" s="23" t="s">
        <v>1249</v>
      </c>
      <c r="B299" s="23">
        <v>3.4519694257459901</v>
      </c>
      <c r="C299" s="23">
        <f t="shared" si="8"/>
        <v>-6.9812308875993878E-4</v>
      </c>
      <c r="D299" s="25">
        <f t="shared" si="9"/>
        <v>3.7769367580299119E-2</v>
      </c>
    </row>
    <row r="300" spans="1:4">
      <c r="A300" s="23" t="s">
        <v>1248</v>
      </c>
      <c r="B300" s="23">
        <v>3.45266754883475</v>
      </c>
      <c r="C300" s="23">
        <f t="shared" si="8"/>
        <v>3.1392686183995266E-4</v>
      </c>
      <c r="D300" s="25">
        <f t="shared" si="9"/>
        <v>3.7771528575460483E-2</v>
      </c>
    </row>
    <row r="301" spans="1:4">
      <c r="A301" s="23" t="s">
        <v>1247</v>
      </c>
      <c r="B301" s="23">
        <v>3.4523536219729101</v>
      </c>
      <c r="C301" s="23">
        <f t="shared" si="8"/>
        <v>-3.3456077669359985E-2</v>
      </c>
      <c r="D301" s="25">
        <f t="shared" si="9"/>
        <v>3.8850192965733096E-2</v>
      </c>
    </row>
    <row r="302" spans="1:4">
      <c r="A302" s="23" t="s">
        <v>1246</v>
      </c>
      <c r="B302" s="23">
        <v>3.4858096996422701</v>
      </c>
      <c r="C302" s="23">
        <f t="shared" si="8"/>
        <v>1.3400070104370165E-2</v>
      </c>
      <c r="D302" s="25">
        <f t="shared" si="9"/>
        <v>3.8731947747424736E-2</v>
      </c>
    </row>
    <row r="303" spans="1:4">
      <c r="A303" s="23" t="s">
        <v>1245</v>
      </c>
      <c r="B303" s="23">
        <v>3.4724096295378999</v>
      </c>
      <c r="C303" s="23">
        <f t="shared" si="8"/>
        <v>7.818128437856009E-2</v>
      </c>
      <c r="D303" s="25">
        <f t="shared" si="9"/>
        <v>3.9669577629534901E-2</v>
      </c>
    </row>
    <row r="304" spans="1:4">
      <c r="A304" s="23" t="s">
        <v>1244</v>
      </c>
      <c r="B304" s="23">
        <v>3.3942283451593398</v>
      </c>
      <c r="C304" s="23">
        <f t="shared" si="8"/>
        <v>-2.3233377799640298E-2</v>
      </c>
      <c r="D304" s="25">
        <f t="shared" si="9"/>
        <v>3.8800565488237293E-2</v>
      </c>
    </row>
    <row r="305" spans="1:4">
      <c r="A305" s="23" t="s">
        <v>1243</v>
      </c>
      <c r="B305" s="23">
        <v>3.4174617229589801</v>
      </c>
      <c r="C305" s="23">
        <f t="shared" si="8"/>
        <v>5.3974193031609996E-2</v>
      </c>
      <c r="D305" s="25">
        <f t="shared" si="9"/>
        <v>3.9128724631984843E-2</v>
      </c>
    </row>
    <row r="306" spans="1:4">
      <c r="A306" s="23" t="s">
        <v>1242</v>
      </c>
      <c r="B306" s="23">
        <v>3.3634875299273701</v>
      </c>
      <c r="C306" s="23">
        <f t="shared" si="8"/>
        <v>1.5048770175380088E-2</v>
      </c>
      <c r="D306" s="25">
        <f t="shared" si="9"/>
        <v>3.8624010633888671E-2</v>
      </c>
    </row>
    <row r="307" spans="1:4">
      <c r="A307" s="23" t="s">
        <v>1241</v>
      </c>
      <c r="B307" s="23">
        <v>3.34843875975199</v>
      </c>
      <c r="C307" s="23">
        <f t="shared" si="8"/>
        <v>-6.0150577307819919E-2</v>
      </c>
      <c r="D307" s="25">
        <f t="shared" si="9"/>
        <v>3.8557765675161969E-2</v>
      </c>
    </row>
    <row r="308" spans="1:4">
      <c r="A308" s="23" t="s">
        <v>1240</v>
      </c>
      <c r="B308" s="23">
        <v>3.4085893370598099</v>
      </c>
      <c r="C308" s="23">
        <f t="shared" si="8"/>
        <v>-3.5260028491149953E-2</v>
      </c>
      <c r="D308" s="25">
        <f t="shared" si="9"/>
        <v>3.7850667846656402E-2</v>
      </c>
    </row>
    <row r="309" spans="1:4">
      <c r="A309" s="23" t="s">
        <v>1239</v>
      </c>
      <c r="B309" s="23">
        <v>3.4438493655509599</v>
      </c>
      <c r="C309" s="23">
        <f t="shared" si="8"/>
        <v>-2.7177742055899401E-3</v>
      </c>
      <c r="D309" s="25">
        <f t="shared" si="9"/>
        <v>3.7784194665157735E-2</v>
      </c>
    </row>
    <row r="310" spans="1:4">
      <c r="A310" s="23" t="s">
        <v>1238</v>
      </c>
      <c r="B310" s="23">
        <v>3.4465671397565498</v>
      </c>
      <c r="C310" s="23">
        <f t="shared" si="8"/>
        <v>-1.4799630840840017E-2</v>
      </c>
      <c r="D310" s="25">
        <f t="shared" si="9"/>
        <v>3.8377571534773815E-2</v>
      </c>
    </row>
    <row r="311" spans="1:4">
      <c r="A311" s="23" t="s">
        <v>1237</v>
      </c>
      <c r="B311" s="23">
        <v>3.4613667705973898</v>
      </c>
      <c r="C311" s="23">
        <f t="shared" si="8"/>
        <v>3.7663197667249904E-2</v>
      </c>
      <c r="D311" s="25">
        <f t="shared" si="9"/>
        <v>3.8670942047436034E-2</v>
      </c>
    </row>
    <row r="312" spans="1:4">
      <c r="A312" s="23" t="s">
        <v>1236</v>
      </c>
      <c r="B312" s="23">
        <v>3.4237035729301399</v>
      </c>
      <c r="C312" s="23">
        <f t="shared" si="8"/>
        <v>2.2185061126219985E-2</v>
      </c>
      <c r="D312" s="25">
        <f t="shared" si="9"/>
        <v>3.8535227069680149E-2</v>
      </c>
    </row>
    <row r="313" spans="1:4">
      <c r="A313" s="23" t="s">
        <v>1235</v>
      </c>
      <c r="B313" s="23">
        <v>3.40151851180392</v>
      </c>
      <c r="C313" s="23">
        <f t="shared" si="8"/>
        <v>3.2052524548698003E-3</v>
      </c>
      <c r="D313" s="25">
        <f t="shared" si="9"/>
        <v>3.8448623632843425E-2</v>
      </c>
    </row>
    <row r="314" spans="1:4">
      <c r="A314" s="23" t="s">
        <v>1234</v>
      </c>
      <c r="B314" s="23">
        <v>3.3983132593490502</v>
      </c>
      <c r="C314" s="23">
        <f t="shared" si="8"/>
        <v>7.3014441493500115E-2</v>
      </c>
      <c r="D314" s="25">
        <f t="shared" si="9"/>
        <v>3.8502256324317308E-2</v>
      </c>
    </row>
    <row r="315" spans="1:4">
      <c r="A315" s="23" t="s">
        <v>1233</v>
      </c>
      <c r="B315" s="23">
        <v>3.32529881785555</v>
      </c>
      <c r="C315" s="23">
        <f t="shared" si="8"/>
        <v>-2.6187366951150093E-2</v>
      </c>
      <c r="D315" s="25">
        <f t="shared" si="9"/>
        <v>3.7995928470661106E-2</v>
      </c>
    </row>
    <row r="316" spans="1:4">
      <c r="A316" s="23" t="s">
        <v>1232</v>
      </c>
      <c r="B316" s="23">
        <v>3.3514861848067001</v>
      </c>
      <c r="C316" s="23">
        <f t="shared" si="8"/>
        <v>1.4465618865429963E-2</v>
      </c>
      <c r="D316" s="25">
        <f t="shared" si="9"/>
        <v>3.7870108763883047E-2</v>
      </c>
    </row>
    <row r="317" spans="1:4">
      <c r="A317" s="23" t="s">
        <v>1231</v>
      </c>
      <c r="B317" s="23">
        <v>3.3370205659412702</v>
      </c>
      <c r="C317" s="23">
        <f t="shared" si="8"/>
        <v>-2.4835050562639793E-2</v>
      </c>
      <c r="D317" s="25">
        <f t="shared" si="9"/>
        <v>3.8873456276544982E-2</v>
      </c>
    </row>
    <row r="318" spans="1:4">
      <c r="A318" s="23" t="s">
        <v>1230</v>
      </c>
      <c r="B318" s="23">
        <v>3.36185561650391</v>
      </c>
      <c r="C318" s="23">
        <f t="shared" si="8"/>
        <v>-1.4392756595470235E-2</v>
      </c>
      <c r="D318" s="25">
        <f t="shared" si="9"/>
        <v>3.8754371662243096E-2</v>
      </c>
    </row>
    <row r="319" spans="1:4">
      <c r="A319" s="23" t="s">
        <v>1229</v>
      </c>
      <c r="B319" s="23">
        <v>3.3762483730993802</v>
      </c>
      <c r="C319" s="23">
        <f t="shared" si="8"/>
        <v>-5.3627948778119716E-2</v>
      </c>
      <c r="D319" s="25">
        <f t="shared" si="9"/>
        <v>3.9181954837968054E-2</v>
      </c>
    </row>
    <row r="320" spans="1:4">
      <c r="A320" s="23" t="s">
        <v>1228</v>
      </c>
      <c r="B320" s="23">
        <v>3.4298763218774999</v>
      </c>
      <c r="C320" s="23">
        <f t="shared" si="8"/>
        <v>6.0610751551100073E-3</v>
      </c>
      <c r="D320" s="25">
        <f t="shared" si="9"/>
        <v>3.8582401990322389E-2</v>
      </c>
    </row>
    <row r="321" spans="1:4">
      <c r="A321" s="23" t="s">
        <v>1227</v>
      </c>
      <c r="B321" s="23">
        <v>3.4238152467223899</v>
      </c>
      <c r="C321" s="23">
        <f t="shared" si="8"/>
        <v>-1.7172250679440282E-2</v>
      </c>
      <c r="D321" s="25">
        <f t="shared" si="9"/>
        <v>3.85766917670292E-2</v>
      </c>
    </row>
    <row r="322" spans="1:4">
      <c r="A322" s="23" t="s">
        <v>1226</v>
      </c>
      <c r="B322" s="23">
        <v>3.4409874974018302</v>
      </c>
      <c r="C322" s="23">
        <f t="shared" ref="C322:C385" si="10">B322-B323</f>
        <v>2.0141263493929973E-2</v>
      </c>
      <c r="D322" s="25">
        <f t="shared" ref="D322:D385" si="11">STDEV(C322:C381)</f>
        <v>3.8551585590492127E-2</v>
      </c>
    </row>
    <row r="323" spans="1:4">
      <c r="A323" s="23" t="s">
        <v>1225</v>
      </c>
      <c r="B323" s="23">
        <v>3.4208462339079002</v>
      </c>
      <c r="C323" s="23">
        <f t="shared" si="10"/>
        <v>1.8595179784060001E-2</v>
      </c>
      <c r="D323" s="25">
        <f t="shared" si="11"/>
        <v>3.8475264199161661E-2</v>
      </c>
    </row>
    <row r="324" spans="1:4">
      <c r="A324" s="23" t="s">
        <v>1224</v>
      </c>
      <c r="B324" s="23">
        <v>3.4022510541238402</v>
      </c>
      <c r="C324" s="23">
        <f t="shared" si="10"/>
        <v>-2.1795820875779803E-2</v>
      </c>
      <c r="D324" s="25">
        <f t="shared" si="11"/>
        <v>3.9460802089712782E-2</v>
      </c>
    </row>
    <row r="325" spans="1:4">
      <c r="A325" s="23" t="s">
        <v>1223</v>
      </c>
      <c r="B325" s="23">
        <v>3.42404687499962</v>
      </c>
      <c r="C325" s="23">
        <f t="shared" si="10"/>
        <v>2.7664816323190067E-2</v>
      </c>
      <c r="D325" s="25">
        <f t="shared" si="11"/>
        <v>3.9588606165713691E-2</v>
      </c>
    </row>
    <row r="326" spans="1:4">
      <c r="A326" s="23" t="s">
        <v>1222</v>
      </c>
      <c r="B326" s="23">
        <v>3.3963820586764299</v>
      </c>
      <c r="C326" s="23">
        <f t="shared" si="10"/>
        <v>-4.0399364959270212E-2</v>
      </c>
      <c r="D326" s="25">
        <f t="shared" si="11"/>
        <v>3.9785900703734216E-2</v>
      </c>
    </row>
    <row r="327" spans="1:4">
      <c r="A327" s="23" t="s">
        <v>1221</v>
      </c>
      <c r="B327" s="23">
        <v>3.4367814236357002</v>
      </c>
      <c r="C327" s="23">
        <f t="shared" si="10"/>
        <v>4.9381054360780219E-2</v>
      </c>
      <c r="D327" s="25">
        <f t="shared" si="11"/>
        <v>3.9426420771434378E-2</v>
      </c>
    </row>
    <row r="328" spans="1:4">
      <c r="A328" s="23" t="s">
        <v>1220</v>
      </c>
      <c r="B328" s="23">
        <v>3.3874003692749199</v>
      </c>
      <c r="C328" s="23">
        <f t="shared" si="10"/>
        <v>3.9789826325089983E-2</v>
      </c>
      <c r="D328" s="25">
        <f t="shared" si="11"/>
        <v>3.95192847983196E-2</v>
      </c>
    </row>
    <row r="329" spans="1:4">
      <c r="A329" s="23" t="s">
        <v>1219</v>
      </c>
      <c r="B329" s="23">
        <v>3.34761054294983</v>
      </c>
      <c r="C329" s="23">
        <f t="shared" si="10"/>
        <v>4.6088411431699505E-3</v>
      </c>
      <c r="D329" s="25">
        <f t="shared" si="11"/>
        <v>3.9462301035280721E-2</v>
      </c>
    </row>
    <row r="330" spans="1:4">
      <c r="A330" s="23" t="s">
        <v>1218</v>
      </c>
      <c r="B330" s="23">
        <v>3.34300170180666</v>
      </c>
      <c r="C330" s="23">
        <f t="shared" si="10"/>
        <v>-3.6927945340179846E-2</v>
      </c>
      <c r="D330" s="25">
        <f t="shared" si="11"/>
        <v>3.9464458508872494E-2</v>
      </c>
    </row>
    <row r="331" spans="1:4">
      <c r="A331" s="23" t="s">
        <v>1217</v>
      </c>
      <c r="B331" s="23">
        <v>3.3799296471468399</v>
      </c>
      <c r="C331" s="23">
        <f t="shared" si="10"/>
        <v>2.1520639256420004E-2</v>
      </c>
      <c r="D331" s="25">
        <f t="shared" si="11"/>
        <v>4.2510205848781416E-2</v>
      </c>
    </row>
    <row r="332" spans="1:4">
      <c r="A332" s="23" t="s">
        <v>1216</v>
      </c>
      <c r="B332" s="23">
        <v>3.3584090078904199</v>
      </c>
      <c r="C332" s="23">
        <f t="shared" si="10"/>
        <v>4.7247359556620072E-2</v>
      </c>
      <c r="D332" s="25">
        <f t="shared" si="11"/>
        <v>4.2445772373555991E-2</v>
      </c>
    </row>
    <row r="333" spans="1:4">
      <c r="A333" s="23" t="s">
        <v>1215</v>
      </c>
      <c r="B333" s="23">
        <v>3.3111616483337998</v>
      </c>
      <c r="C333" s="23">
        <f t="shared" si="10"/>
        <v>4.0062444074749681E-2</v>
      </c>
      <c r="D333" s="25">
        <f t="shared" si="11"/>
        <v>4.2039665738446114E-2</v>
      </c>
    </row>
    <row r="334" spans="1:4">
      <c r="A334" s="23" t="s">
        <v>1214</v>
      </c>
      <c r="B334" s="23">
        <v>3.2710992042590501</v>
      </c>
      <c r="C334" s="23">
        <f t="shared" si="10"/>
        <v>-6.9576052441629788E-2</v>
      </c>
      <c r="D334" s="25">
        <f t="shared" si="11"/>
        <v>4.2787585568918249E-2</v>
      </c>
    </row>
    <row r="335" spans="1:4">
      <c r="A335" s="23" t="s">
        <v>1213</v>
      </c>
      <c r="B335" s="23">
        <v>3.3406752567006799</v>
      </c>
      <c r="C335" s="23">
        <f t="shared" si="10"/>
        <v>-3.0349830497210295E-2</v>
      </c>
      <c r="D335" s="25">
        <f t="shared" si="11"/>
        <v>4.1884288881810526E-2</v>
      </c>
    </row>
    <row r="336" spans="1:4">
      <c r="A336" s="23" t="s">
        <v>1212</v>
      </c>
      <c r="B336" s="23">
        <v>3.3710250871978902</v>
      </c>
      <c r="C336" s="23">
        <f t="shared" si="10"/>
        <v>9.8775786547000699E-3</v>
      </c>
      <c r="D336" s="25">
        <f t="shared" si="11"/>
        <v>4.2847010026669449E-2</v>
      </c>
    </row>
    <row r="337" spans="1:4">
      <c r="A337" s="23" t="s">
        <v>1211</v>
      </c>
      <c r="B337" s="23">
        <v>3.3611475085431901</v>
      </c>
      <c r="C337" s="23">
        <f t="shared" si="10"/>
        <v>-5.3522404400450085E-2</v>
      </c>
      <c r="D337" s="25">
        <f t="shared" si="11"/>
        <v>4.2888711883363066E-2</v>
      </c>
    </row>
    <row r="338" spans="1:4">
      <c r="A338" s="23" t="s">
        <v>1210</v>
      </c>
      <c r="B338" s="23">
        <v>3.4146699129436402</v>
      </c>
      <c r="C338" s="23">
        <f t="shared" si="10"/>
        <v>-1.02230687676097E-2</v>
      </c>
      <c r="D338" s="25">
        <f t="shared" si="11"/>
        <v>4.2235399016665516E-2</v>
      </c>
    </row>
    <row r="339" spans="1:4">
      <c r="A339" s="23" t="s">
        <v>1209</v>
      </c>
      <c r="B339" s="23">
        <v>3.4248929817112499</v>
      </c>
      <c r="C339" s="23">
        <f t="shared" si="10"/>
        <v>4.2713446872260086E-2</v>
      </c>
      <c r="D339" s="25">
        <f t="shared" si="11"/>
        <v>4.2210251114116498E-2</v>
      </c>
    </row>
    <row r="340" spans="1:4">
      <c r="A340" s="23" t="s">
        <v>1208</v>
      </c>
      <c r="B340" s="23">
        <v>3.3821795348389898</v>
      </c>
      <c r="C340" s="23">
        <f t="shared" si="10"/>
        <v>-4.3805343305080235E-2</v>
      </c>
      <c r="D340" s="25">
        <f t="shared" si="11"/>
        <v>4.1912213761926255E-2</v>
      </c>
    </row>
    <row r="341" spans="1:4">
      <c r="A341" s="23" t="s">
        <v>1207</v>
      </c>
      <c r="B341" s="23">
        <v>3.42598487814407</v>
      </c>
      <c r="C341" s="23">
        <f t="shared" si="10"/>
        <v>-5.5315463222439742E-2</v>
      </c>
      <c r="D341" s="25">
        <f t="shared" si="11"/>
        <v>4.1620490284344676E-2</v>
      </c>
    </row>
    <row r="342" spans="1:4">
      <c r="A342" s="23" t="s">
        <v>1206</v>
      </c>
      <c r="B342" s="23">
        <v>3.4813003413665098</v>
      </c>
      <c r="C342" s="23">
        <f t="shared" si="10"/>
        <v>5.0683595294389594E-2</v>
      </c>
      <c r="D342" s="25">
        <f t="shared" si="11"/>
        <v>4.0947104182661918E-2</v>
      </c>
    </row>
    <row r="343" spans="1:4">
      <c r="A343" s="23" t="s">
        <v>1205</v>
      </c>
      <c r="B343" s="23">
        <v>3.4306167460721202</v>
      </c>
      <c r="C343" s="23">
        <f t="shared" si="10"/>
        <v>-6.4676589516996508E-3</v>
      </c>
      <c r="D343" s="25">
        <f t="shared" si="11"/>
        <v>4.0753718890497212E-2</v>
      </c>
    </row>
    <row r="344" spans="1:4">
      <c r="A344" s="23" t="s">
        <v>1204</v>
      </c>
      <c r="B344" s="23">
        <v>3.4370844050238198</v>
      </c>
      <c r="C344" s="23">
        <f t="shared" si="10"/>
        <v>-1.9971619354780312E-2</v>
      </c>
      <c r="D344" s="25">
        <f t="shared" si="11"/>
        <v>4.2789490004139875E-2</v>
      </c>
    </row>
    <row r="345" spans="1:4">
      <c r="A345" s="23" t="s">
        <v>1203</v>
      </c>
      <c r="B345" s="23">
        <v>3.4570560243786002</v>
      </c>
      <c r="C345" s="23">
        <f t="shared" si="10"/>
        <v>-3.7723922196699622E-2</v>
      </c>
      <c r="D345" s="25">
        <f t="shared" si="11"/>
        <v>4.2760150620203219E-2</v>
      </c>
    </row>
    <row r="346" spans="1:4">
      <c r="A346" s="23" t="s">
        <v>1202</v>
      </c>
      <c r="B346" s="23">
        <v>3.4947799465752998</v>
      </c>
      <c r="C346" s="23">
        <f t="shared" si="10"/>
        <v>1.1368757408019903E-2</v>
      </c>
      <c r="D346" s="25">
        <f t="shared" si="11"/>
        <v>4.2419462000623569E-2</v>
      </c>
    </row>
    <row r="347" spans="1:4">
      <c r="A347" s="23" t="s">
        <v>1201</v>
      </c>
      <c r="B347" s="23">
        <v>3.4834111891672799</v>
      </c>
      <c r="C347" s="23">
        <f t="shared" si="10"/>
        <v>5.6953591357129962E-2</v>
      </c>
      <c r="D347" s="25">
        <f t="shared" si="11"/>
        <v>4.4131703517507871E-2</v>
      </c>
    </row>
    <row r="348" spans="1:4">
      <c r="A348" s="23" t="s">
        <v>1200</v>
      </c>
      <c r="B348" s="23">
        <v>3.4264575978101499</v>
      </c>
      <c r="C348" s="23">
        <f t="shared" si="10"/>
        <v>-4.5381128800729975E-2</v>
      </c>
      <c r="D348" s="25">
        <f t="shared" si="11"/>
        <v>4.3943724404380179E-2</v>
      </c>
    </row>
    <row r="349" spans="1:4">
      <c r="A349" s="23" t="s">
        <v>1199</v>
      </c>
      <c r="B349" s="23">
        <v>3.4718387266108799</v>
      </c>
      <c r="C349" s="23">
        <f t="shared" si="10"/>
        <v>-0.10310295306701001</v>
      </c>
      <c r="D349" s="25">
        <f t="shared" si="11"/>
        <v>4.3823956902207216E-2</v>
      </c>
    </row>
    <row r="350" spans="1:4">
      <c r="A350" s="23" t="s">
        <v>1198</v>
      </c>
      <c r="B350" s="23">
        <v>3.5749416796778899</v>
      </c>
      <c r="C350" s="23">
        <f t="shared" si="10"/>
        <v>-2.1429573910360045E-2</v>
      </c>
      <c r="D350" s="25">
        <f t="shared" si="11"/>
        <v>4.1592896044128774E-2</v>
      </c>
    </row>
    <row r="351" spans="1:4">
      <c r="A351" s="23" t="s">
        <v>1197</v>
      </c>
      <c r="B351" s="23">
        <v>3.5963712535882499</v>
      </c>
      <c r="C351" s="23">
        <f t="shared" si="10"/>
        <v>5.3521213052440064E-2</v>
      </c>
      <c r="D351" s="25">
        <f t="shared" si="11"/>
        <v>4.1482634557136265E-2</v>
      </c>
    </row>
    <row r="352" spans="1:4">
      <c r="A352" s="23" t="s">
        <v>1196</v>
      </c>
      <c r="B352" s="23">
        <v>3.5428500405358099</v>
      </c>
      <c r="C352" s="23">
        <f t="shared" si="10"/>
        <v>-3.3498554125710012E-2</v>
      </c>
      <c r="D352" s="25">
        <f t="shared" si="11"/>
        <v>4.0979062803634267E-2</v>
      </c>
    </row>
    <row r="353" spans="1:4">
      <c r="A353" s="23" t="s">
        <v>1195</v>
      </c>
      <c r="B353" s="23">
        <v>3.5763485946615199</v>
      </c>
      <c r="C353" s="23">
        <f t="shared" si="10"/>
        <v>-2.6906490602790267E-2</v>
      </c>
      <c r="D353" s="25">
        <f t="shared" si="11"/>
        <v>4.0708008382990095E-2</v>
      </c>
    </row>
    <row r="354" spans="1:4">
      <c r="A354" s="23" t="s">
        <v>1194</v>
      </c>
      <c r="B354" s="23">
        <v>3.6032550852643102</v>
      </c>
      <c r="C354" s="23">
        <f t="shared" si="10"/>
        <v>3.558662076710295E-3</v>
      </c>
      <c r="D354" s="25">
        <f t="shared" si="11"/>
        <v>4.050400392946913E-2</v>
      </c>
    </row>
    <row r="355" spans="1:4">
      <c r="A355" s="23" t="s">
        <v>1193</v>
      </c>
      <c r="B355" s="23">
        <v>3.5996964231875999</v>
      </c>
      <c r="C355" s="23">
        <f t="shared" si="10"/>
        <v>6.6709271257998637E-3</v>
      </c>
      <c r="D355" s="25">
        <f t="shared" si="11"/>
        <v>4.0626745031629781E-2</v>
      </c>
    </row>
    <row r="356" spans="1:4">
      <c r="A356" s="23" t="s">
        <v>1192</v>
      </c>
      <c r="B356" s="23">
        <v>3.5930254960618</v>
      </c>
      <c r="C356" s="23">
        <f t="shared" si="10"/>
        <v>1.835115677116006E-2</v>
      </c>
      <c r="D356" s="25">
        <f t="shared" si="11"/>
        <v>4.0786977657125779E-2</v>
      </c>
    </row>
    <row r="357" spans="1:4">
      <c r="A357" s="23" t="s">
        <v>1191</v>
      </c>
      <c r="B357" s="23">
        <v>3.5746743392906399</v>
      </c>
      <c r="C357" s="23">
        <f t="shared" si="10"/>
        <v>-3.4706126860180042E-2</v>
      </c>
      <c r="D357" s="25">
        <f t="shared" si="11"/>
        <v>4.0777772721379946E-2</v>
      </c>
    </row>
    <row r="358" spans="1:4">
      <c r="A358" s="23" t="s">
        <v>1190</v>
      </c>
      <c r="B358" s="23">
        <v>3.60938046615082</v>
      </c>
      <c r="C358" s="23">
        <f t="shared" si="10"/>
        <v>-1.7037174821599166E-3</v>
      </c>
      <c r="D358" s="25">
        <f t="shared" si="11"/>
        <v>4.0502229545461357E-2</v>
      </c>
    </row>
    <row r="359" spans="1:4">
      <c r="A359" s="23" t="s">
        <v>1189</v>
      </c>
      <c r="B359" s="23">
        <v>3.6110841836329799</v>
      </c>
      <c r="C359" s="23">
        <f t="shared" si="10"/>
        <v>1.0220466949597551E-3</v>
      </c>
      <c r="D359" s="25">
        <f t="shared" si="11"/>
        <v>4.0497108848933192E-2</v>
      </c>
    </row>
    <row r="360" spans="1:4">
      <c r="A360" s="23" t="s">
        <v>1188</v>
      </c>
      <c r="B360" s="23">
        <v>3.6100621369380201</v>
      </c>
      <c r="C360" s="23">
        <f t="shared" si="10"/>
        <v>6.7810087465729918E-2</v>
      </c>
      <c r="D360" s="25">
        <f t="shared" si="11"/>
        <v>4.0727748794947484E-2</v>
      </c>
    </row>
    <row r="361" spans="1:4">
      <c r="A361" s="23" t="s">
        <v>1187</v>
      </c>
      <c r="B361" s="23">
        <v>3.5422520494722902</v>
      </c>
      <c r="C361" s="23">
        <f t="shared" si="10"/>
        <v>2.1533120323980359E-2</v>
      </c>
      <c r="D361" s="25">
        <f t="shared" si="11"/>
        <v>3.9993249325424619E-2</v>
      </c>
    </row>
    <row r="362" spans="1:4">
      <c r="A362" s="23" t="s">
        <v>1186</v>
      </c>
      <c r="B362" s="23">
        <v>3.5207189291483099</v>
      </c>
      <c r="C362" s="23">
        <f t="shared" si="10"/>
        <v>-6.8736936931000248E-2</v>
      </c>
      <c r="D362" s="25">
        <f t="shared" si="11"/>
        <v>4.0412517289955471E-2</v>
      </c>
    </row>
    <row r="363" spans="1:4">
      <c r="A363" s="23" t="s">
        <v>1185</v>
      </c>
      <c r="B363" s="23">
        <v>3.5894558660793101</v>
      </c>
      <c r="C363" s="23">
        <f t="shared" si="10"/>
        <v>4.7180329229860263E-2</v>
      </c>
      <c r="D363" s="25">
        <f t="shared" si="11"/>
        <v>4.0224530536350285E-2</v>
      </c>
    </row>
    <row r="364" spans="1:4">
      <c r="A364" s="23" t="s">
        <v>1184</v>
      </c>
      <c r="B364" s="23">
        <v>3.5422755368494498</v>
      </c>
      <c r="C364" s="23">
        <f t="shared" si="10"/>
        <v>4.2385722860149855E-2</v>
      </c>
      <c r="D364" s="25">
        <f t="shared" si="11"/>
        <v>4.0007757305297459E-2</v>
      </c>
    </row>
    <row r="365" spans="1:4">
      <c r="A365" s="23" t="s">
        <v>1183</v>
      </c>
      <c r="B365" s="23">
        <v>3.4998898139893</v>
      </c>
      <c r="C365" s="23">
        <f t="shared" si="10"/>
        <v>-3.0834718324660226E-2</v>
      </c>
      <c r="D365" s="25">
        <f t="shared" si="11"/>
        <v>3.966232972510033E-2</v>
      </c>
    </row>
    <row r="366" spans="1:4">
      <c r="A366" s="23" t="s">
        <v>1182</v>
      </c>
      <c r="B366" s="23">
        <v>3.5307245323139602</v>
      </c>
      <c r="C366" s="23">
        <f t="shared" si="10"/>
        <v>1.6248429089400496E-3</v>
      </c>
      <c r="D366" s="25">
        <f t="shared" si="11"/>
        <v>3.9502756783524835E-2</v>
      </c>
    </row>
    <row r="367" spans="1:4">
      <c r="A367" s="23" t="s">
        <v>1181</v>
      </c>
      <c r="B367" s="23">
        <v>3.5290996894050202</v>
      </c>
      <c r="C367" s="23">
        <f t="shared" si="10"/>
        <v>-1.3654989285299735E-2</v>
      </c>
      <c r="D367" s="25">
        <f t="shared" si="11"/>
        <v>4.611523525418898E-2</v>
      </c>
    </row>
    <row r="368" spans="1:4">
      <c r="A368" s="23" t="s">
        <v>1180</v>
      </c>
      <c r="B368" s="23">
        <v>3.5427546786903199</v>
      </c>
      <c r="C368" s="23">
        <f t="shared" si="10"/>
        <v>2.7067356499309803E-2</v>
      </c>
      <c r="D368" s="25">
        <f t="shared" si="11"/>
        <v>4.6143592960413246E-2</v>
      </c>
    </row>
    <row r="369" spans="1:4">
      <c r="A369" s="23" t="s">
        <v>1179</v>
      </c>
      <c r="B369" s="23">
        <v>3.5156873221910101</v>
      </c>
      <c r="C369" s="23">
        <f t="shared" si="10"/>
        <v>5.0924044237150135E-2</v>
      </c>
      <c r="D369" s="25">
        <f t="shared" si="11"/>
        <v>4.6348271599595127E-2</v>
      </c>
    </row>
    <row r="370" spans="1:4">
      <c r="A370" s="23" t="s">
        <v>1178</v>
      </c>
      <c r="B370" s="23">
        <v>3.46476327795386</v>
      </c>
      <c r="C370" s="23">
        <f t="shared" si="10"/>
        <v>-3.9725617216570086E-2</v>
      </c>
      <c r="D370" s="25">
        <f t="shared" si="11"/>
        <v>4.5847483982746712E-2</v>
      </c>
    </row>
    <row r="371" spans="1:4">
      <c r="A371" s="23" t="s">
        <v>1177</v>
      </c>
      <c r="B371" s="23">
        <v>3.5044888951704301</v>
      </c>
      <c r="C371" s="23">
        <f t="shared" si="10"/>
        <v>-3.128327613640014E-2</v>
      </c>
      <c r="D371" s="25">
        <f t="shared" si="11"/>
        <v>4.5598831836547678E-2</v>
      </c>
    </row>
    <row r="372" spans="1:4">
      <c r="A372" s="23" t="s">
        <v>1176</v>
      </c>
      <c r="B372" s="23">
        <v>3.5357721713068302</v>
      </c>
      <c r="C372" s="23">
        <f t="shared" si="10"/>
        <v>-1.6357189862370003E-2</v>
      </c>
      <c r="D372" s="25">
        <f t="shared" si="11"/>
        <v>4.564535723116489E-2</v>
      </c>
    </row>
    <row r="373" spans="1:4">
      <c r="A373" s="23" t="s">
        <v>1175</v>
      </c>
      <c r="B373" s="23">
        <v>3.5521293611692002</v>
      </c>
      <c r="C373" s="23">
        <f t="shared" si="10"/>
        <v>1.4168163012360235E-2</v>
      </c>
      <c r="D373" s="25">
        <f t="shared" si="11"/>
        <v>4.6172194465260795E-2</v>
      </c>
    </row>
    <row r="374" spans="1:4">
      <c r="A374" s="23" t="s">
        <v>1174</v>
      </c>
      <c r="B374" s="23">
        <v>3.53796119815684</v>
      </c>
      <c r="C374" s="23">
        <f t="shared" si="10"/>
        <v>5.5947751744069851E-2</v>
      </c>
      <c r="D374" s="25">
        <f t="shared" si="11"/>
        <v>4.6998975595423272E-2</v>
      </c>
    </row>
    <row r="375" spans="1:4">
      <c r="A375" s="23" t="s">
        <v>1173</v>
      </c>
      <c r="B375" s="23">
        <v>3.4820134464127701</v>
      </c>
      <c r="C375" s="23">
        <f t="shared" si="10"/>
        <v>-7.7148899694989836E-4</v>
      </c>
      <c r="D375" s="25">
        <f t="shared" si="11"/>
        <v>4.7029110648609401E-2</v>
      </c>
    </row>
    <row r="376" spans="1:4">
      <c r="A376" s="23" t="s">
        <v>1172</v>
      </c>
      <c r="B376" s="23">
        <v>3.48278493540972</v>
      </c>
      <c r="C376" s="23">
        <f t="shared" si="10"/>
        <v>6.7578420483009882E-2</v>
      </c>
      <c r="D376" s="25">
        <f t="shared" si="11"/>
        <v>4.9208747295700815E-2</v>
      </c>
    </row>
    <row r="377" spans="1:4">
      <c r="A377" s="23" t="s">
        <v>1171</v>
      </c>
      <c r="B377" s="23">
        <v>3.4152065149267101</v>
      </c>
      <c r="C377" s="23">
        <f t="shared" si="10"/>
        <v>3.3414863146701279E-3</v>
      </c>
      <c r="D377" s="25">
        <f t="shared" si="11"/>
        <v>4.8959342082137258E-2</v>
      </c>
    </row>
    <row r="378" spans="1:4">
      <c r="A378" s="23" t="s">
        <v>1170</v>
      </c>
      <c r="B378" s="23">
        <v>3.41186502861204</v>
      </c>
      <c r="C378" s="23">
        <f t="shared" si="10"/>
        <v>4.6189431743079989E-2</v>
      </c>
      <c r="D378" s="25">
        <f t="shared" si="11"/>
        <v>5.0916028553126345E-2</v>
      </c>
    </row>
    <row r="379" spans="1:4">
      <c r="A379" s="23" t="s">
        <v>1169</v>
      </c>
      <c r="B379" s="23">
        <v>3.36567559686896</v>
      </c>
      <c r="C379" s="23">
        <f t="shared" si="10"/>
        <v>-1.292687044744989E-2</v>
      </c>
      <c r="D379" s="25">
        <f t="shared" si="11"/>
        <v>5.0528231478621635E-2</v>
      </c>
    </row>
    <row r="380" spans="1:4">
      <c r="A380" s="23" t="s">
        <v>1168</v>
      </c>
      <c r="B380" s="23">
        <v>3.3786024673164099</v>
      </c>
      <c r="C380" s="23">
        <f t="shared" si="10"/>
        <v>2.0307197107900521E-3</v>
      </c>
      <c r="D380" s="25">
        <f t="shared" si="11"/>
        <v>5.0854421299135373E-2</v>
      </c>
    </row>
    <row r="381" spans="1:4">
      <c r="A381" s="23" t="s">
        <v>1167</v>
      </c>
      <c r="B381" s="23">
        <v>3.3765717476056198</v>
      </c>
      <c r="C381" s="23">
        <f t="shared" si="10"/>
        <v>-1.3652409869099991E-2</v>
      </c>
      <c r="D381" s="25">
        <f t="shared" si="11"/>
        <v>5.1708750927869827E-2</v>
      </c>
    </row>
    <row r="382" spans="1:4">
      <c r="A382" s="23" t="s">
        <v>1166</v>
      </c>
      <c r="B382" s="23">
        <v>3.3902241574747198</v>
      </c>
      <c r="C382" s="23">
        <f t="shared" si="10"/>
        <v>-5.1647065797002512E-3</v>
      </c>
      <c r="D382" s="25">
        <f t="shared" si="11"/>
        <v>5.2429587406225345E-2</v>
      </c>
    </row>
    <row r="383" spans="1:4">
      <c r="A383" s="23" t="s">
        <v>1165</v>
      </c>
      <c r="B383" s="23">
        <v>3.3953888640544201</v>
      </c>
      <c r="C383" s="23">
        <f t="shared" si="10"/>
        <v>7.0472583599829886E-2</v>
      </c>
      <c r="D383" s="25">
        <f t="shared" si="11"/>
        <v>5.2608344878707324E-2</v>
      </c>
    </row>
    <row r="384" spans="1:4">
      <c r="A384" s="23" t="s">
        <v>1164</v>
      </c>
      <c r="B384" s="23">
        <v>3.3249162804545902</v>
      </c>
      <c r="C384" s="23">
        <f t="shared" si="10"/>
        <v>3.5699185898740105E-2</v>
      </c>
      <c r="D384" s="25">
        <f t="shared" si="11"/>
        <v>5.3422086658116555E-2</v>
      </c>
    </row>
    <row r="385" spans="1:4">
      <c r="A385" s="23" t="s">
        <v>1163</v>
      </c>
      <c r="B385" s="23">
        <v>3.2892170945558501</v>
      </c>
      <c r="C385" s="23">
        <f t="shared" si="10"/>
        <v>-3.8280431776979817E-2</v>
      </c>
      <c r="D385" s="25">
        <f t="shared" si="11"/>
        <v>5.3420089716990783E-2</v>
      </c>
    </row>
    <row r="386" spans="1:4">
      <c r="A386" s="23" t="s">
        <v>1162</v>
      </c>
      <c r="B386" s="23">
        <v>3.3274975263328299</v>
      </c>
      <c r="C386" s="23">
        <f t="shared" ref="C386:C449" si="12">B386-B387</f>
        <v>-6.9047969709901125E-3</v>
      </c>
      <c r="D386" s="25">
        <f t="shared" ref="D386:D449" si="13">STDEV(C386:C445)</f>
        <v>5.3643476596559957E-2</v>
      </c>
    </row>
    <row r="387" spans="1:4">
      <c r="A387" s="23" t="s">
        <v>1161</v>
      </c>
      <c r="B387" s="23">
        <v>3.33440232330382</v>
      </c>
      <c r="C387" s="23">
        <f t="shared" si="12"/>
        <v>-5.1926468036089801E-2</v>
      </c>
      <c r="D387" s="25">
        <f t="shared" si="13"/>
        <v>5.4517641122513491E-2</v>
      </c>
    </row>
    <row r="388" spans="1:4">
      <c r="A388" s="23" t="s">
        <v>1160</v>
      </c>
      <c r="B388" s="23">
        <v>3.3863287913399098</v>
      </c>
      <c r="C388" s="23">
        <f t="shared" si="12"/>
        <v>-3.7613572625620151E-2</v>
      </c>
      <c r="D388" s="25">
        <f t="shared" si="13"/>
        <v>5.5219622117912703E-2</v>
      </c>
    </row>
    <row r="389" spans="1:4">
      <c r="A389" s="23" t="s">
        <v>1159</v>
      </c>
      <c r="B389" s="23">
        <v>3.42394236396553</v>
      </c>
      <c r="C389" s="23">
        <f t="shared" si="12"/>
        <v>5.4094160673998637E-3</v>
      </c>
      <c r="D389" s="25">
        <f t="shared" si="13"/>
        <v>5.6403501702142499E-2</v>
      </c>
    </row>
    <row r="390" spans="1:4">
      <c r="A390" s="23" t="s">
        <v>1158</v>
      </c>
      <c r="B390" s="23">
        <v>3.4185329478981301</v>
      </c>
      <c r="C390" s="23">
        <f t="shared" si="12"/>
        <v>0.12700237440173012</v>
      </c>
      <c r="D390" s="25">
        <f t="shared" si="13"/>
        <v>5.6932972435489698E-2</v>
      </c>
    </row>
    <row r="391" spans="1:4">
      <c r="A391" s="23" t="s">
        <v>1157</v>
      </c>
      <c r="B391" s="23">
        <v>3.2915305734964</v>
      </c>
      <c r="C391" s="23">
        <f t="shared" si="12"/>
        <v>-8.2042172178100614E-3</v>
      </c>
      <c r="D391" s="25">
        <f t="shared" si="13"/>
        <v>5.4392573302333658E-2</v>
      </c>
    </row>
    <row r="392" spans="1:4">
      <c r="A392" s="23" t="s">
        <v>1156</v>
      </c>
      <c r="B392" s="23">
        <v>3.2997347907142101</v>
      </c>
      <c r="C392" s="23">
        <f t="shared" si="12"/>
        <v>-1.2274017059529907E-2</v>
      </c>
      <c r="D392" s="25">
        <f t="shared" si="13"/>
        <v>5.6080080998729111E-2</v>
      </c>
    </row>
    <row r="393" spans="1:4">
      <c r="A393" s="23" t="s">
        <v>1155</v>
      </c>
      <c r="B393" s="23">
        <v>3.31200880777374</v>
      </c>
      <c r="C393" s="23">
        <f t="shared" si="12"/>
        <v>7.3250355330240158E-2</v>
      </c>
      <c r="D393" s="25">
        <f t="shared" si="13"/>
        <v>5.6128375490589959E-2</v>
      </c>
    </row>
    <row r="394" spans="1:4">
      <c r="A394" s="23" t="s">
        <v>1154</v>
      </c>
      <c r="B394" s="23">
        <v>3.2387584524434998</v>
      </c>
      <c r="C394" s="23">
        <f t="shared" si="12"/>
        <v>-2.0524639204840156E-2</v>
      </c>
      <c r="D394" s="25">
        <f t="shared" si="13"/>
        <v>5.5314301816110419E-2</v>
      </c>
    </row>
    <row r="395" spans="1:4">
      <c r="A395" s="23" t="s">
        <v>1153</v>
      </c>
      <c r="B395" s="23">
        <v>3.25928309164834</v>
      </c>
      <c r="C395" s="23">
        <f t="shared" si="12"/>
        <v>7.892650324992978E-2</v>
      </c>
      <c r="D395" s="25">
        <f t="shared" si="13"/>
        <v>5.5364585889972104E-2</v>
      </c>
    </row>
    <row r="396" spans="1:4">
      <c r="A396" s="23" t="s">
        <v>1152</v>
      </c>
      <c r="B396" s="23">
        <v>3.1803565883984102</v>
      </c>
      <c r="C396" s="23">
        <f t="shared" si="12"/>
        <v>1.9217943959760397E-2</v>
      </c>
      <c r="D396" s="25">
        <f t="shared" si="13"/>
        <v>5.4457494262219644E-2</v>
      </c>
    </row>
    <row r="397" spans="1:4">
      <c r="A397" s="23" t="s">
        <v>1151</v>
      </c>
      <c r="B397" s="23">
        <v>3.1611386444386498</v>
      </c>
      <c r="C397" s="23">
        <f t="shared" si="12"/>
        <v>6.8149003222797155E-3</v>
      </c>
      <c r="D397" s="25">
        <f t="shared" si="13"/>
        <v>5.4507570756538205E-2</v>
      </c>
    </row>
    <row r="398" spans="1:4">
      <c r="A398" s="23" t="s">
        <v>1150</v>
      </c>
      <c r="B398" s="23">
        <v>3.1543237441163701</v>
      </c>
      <c r="C398" s="23">
        <f t="shared" si="12"/>
        <v>-4.9999175742798663E-3</v>
      </c>
      <c r="D398" s="25">
        <f t="shared" si="13"/>
        <v>5.4541632111425077E-2</v>
      </c>
    </row>
    <row r="399" spans="1:4">
      <c r="A399" s="23" t="s">
        <v>1149</v>
      </c>
      <c r="B399" s="23">
        <v>3.1593236616906499</v>
      </c>
      <c r="C399" s="23">
        <f t="shared" si="12"/>
        <v>7.2023754986698663E-3</v>
      </c>
      <c r="D399" s="25">
        <f t="shared" si="13"/>
        <v>5.6884805375266384E-2</v>
      </c>
    </row>
    <row r="400" spans="1:4">
      <c r="A400" s="23" t="s">
        <v>1148</v>
      </c>
      <c r="B400" s="23">
        <v>3.1521212861919801</v>
      </c>
      <c r="C400" s="23">
        <f t="shared" si="12"/>
        <v>-2.5107435055720106E-2</v>
      </c>
      <c r="D400" s="25">
        <f t="shared" si="13"/>
        <v>5.9274853830953725E-2</v>
      </c>
    </row>
    <row r="401" spans="1:4">
      <c r="A401" s="23" t="s">
        <v>1147</v>
      </c>
      <c r="B401" s="23">
        <v>3.1772287212477002</v>
      </c>
      <c r="C401" s="23">
        <f t="shared" si="12"/>
        <v>2.3057227238470368E-2</v>
      </c>
      <c r="D401" s="25">
        <f t="shared" si="13"/>
        <v>5.9243979355366974E-2</v>
      </c>
    </row>
    <row r="402" spans="1:4">
      <c r="A402" s="23" t="s">
        <v>1146</v>
      </c>
      <c r="B402" s="23">
        <v>3.1541714940092298</v>
      </c>
      <c r="C402" s="23">
        <f t="shared" si="12"/>
        <v>-2.9488151757380177E-2</v>
      </c>
      <c r="D402" s="25">
        <f t="shared" si="13"/>
        <v>5.9239300167579424E-2</v>
      </c>
    </row>
    <row r="403" spans="1:4">
      <c r="A403" s="23" t="s">
        <v>1145</v>
      </c>
      <c r="B403" s="23">
        <v>3.18365964576661</v>
      </c>
      <c r="C403" s="23">
        <f t="shared" si="12"/>
        <v>-9.7293705457170088E-2</v>
      </c>
      <c r="D403" s="25">
        <f t="shared" si="13"/>
        <v>5.9176202055979177E-2</v>
      </c>
    </row>
    <row r="404" spans="1:4">
      <c r="A404" s="23" t="s">
        <v>1144</v>
      </c>
      <c r="B404" s="23">
        <v>3.2809533512237801</v>
      </c>
      <c r="C404" s="23">
        <f t="shared" si="12"/>
        <v>2.238577956314991E-2</v>
      </c>
      <c r="D404" s="25">
        <f t="shared" si="13"/>
        <v>5.8153729476053975E-2</v>
      </c>
    </row>
    <row r="405" spans="1:4">
      <c r="A405" s="23" t="s">
        <v>1143</v>
      </c>
      <c r="B405" s="23">
        <v>3.2585675716606302</v>
      </c>
      <c r="C405" s="23">
        <f t="shared" si="12"/>
        <v>3.9526605335002962E-3</v>
      </c>
      <c r="D405" s="25">
        <f t="shared" si="13"/>
        <v>5.8089594196394354E-2</v>
      </c>
    </row>
    <row r="406" spans="1:4">
      <c r="A406" s="23" t="s">
        <v>1142</v>
      </c>
      <c r="B406" s="23">
        <v>3.2546149111271299</v>
      </c>
      <c r="C406" s="23">
        <f t="shared" si="12"/>
        <v>-9.0715452116810091E-2</v>
      </c>
      <c r="D406" s="25">
        <f t="shared" si="13"/>
        <v>5.8756707587669148E-2</v>
      </c>
    </row>
    <row r="407" spans="1:4">
      <c r="A407" s="23" t="s">
        <v>1141</v>
      </c>
      <c r="B407" s="23">
        <v>3.34533036324394</v>
      </c>
      <c r="C407" s="23">
        <f t="shared" si="12"/>
        <v>-4.4402633075169895E-2</v>
      </c>
      <c r="D407" s="25">
        <f t="shared" si="13"/>
        <v>5.7842356936239632E-2</v>
      </c>
    </row>
    <row r="408" spans="1:4">
      <c r="A408" s="23" t="s">
        <v>1140</v>
      </c>
      <c r="B408" s="23">
        <v>3.3897329963191098</v>
      </c>
      <c r="C408" s="23">
        <f t="shared" si="12"/>
        <v>4.0850301072709705E-2</v>
      </c>
      <c r="D408" s="25">
        <f t="shared" si="13"/>
        <v>5.7558501975904196E-2</v>
      </c>
    </row>
    <row r="409" spans="1:4">
      <c r="A409" s="23" t="s">
        <v>1139</v>
      </c>
      <c r="B409" s="23">
        <v>3.3488826952464001</v>
      </c>
      <c r="C409" s="23">
        <f t="shared" si="12"/>
        <v>2.9556229294200875E-3</v>
      </c>
      <c r="D409" s="25">
        <f t="shared" si="13"/>
        <v>5.7802773159319372E-2</v>
      </c>
    </row>
    <row r="410" spans="1:4">
      <c r="A410" s="23" t="s">
        <v>1138</v>
      </c>
      <c r="B410" s="23">
        <v>3.3459270723169801</v>
      </c>
      <c r="C410" s="23">
        <f t="shared" si="12"/>
        <v>1.4712502025340246E-2</v>
      </c>
      <c r="D410" s="25">
        <f t="shared" si="13"/>
        <v>5.8101262145474654E-2</v>
      </c>
    </row>
    <row r="411" spans="1:4">
      <c r="A411" s="23" t="s">
        <v>1137</v>
      </c>
      <c r="B411" s="23">
        <v>3.3312145702916398</v>
      </c>
      <c r="C411" s="23">
        <f t="shared" si="12"/>
        <v>2.2091595732698366E-3</v>
      </c>
      <c r="D411" s="25">
        <f t="shared" si="13"/>
        <v>5.8390703366322738E-2</v>
      </c>
    </row>
    <row r="412" spans="1:4">
      <c r="A412" s="23" t="s">
        <v>1136</v>
      </c>
      <c r="B412" s="23">
        <v>3.32900541071837</v>
      </c>
      <c r="C412" s="23">
        <f t="shared" si="12"/>
        <v>1.3789067491440044E-2</v>
      </c>
      <c r="D412" s="25">
        <f t="shared" si="13"/>
        <v>5.8411486741143659E-2</v>
      </c>
    </row>
    <row r="413" spans="1:4">
      <c r="A413" s="23" t="s">
        <v>1135</v>
      </c>
      <c r="B413" s="23">
        <v>3.3152163432269299</v>
      </c>
      <c r="C413" s="23">
        <f t="shared" si="12"/>
        <v>8.2588105326975025E-4</v>
      </c>
      <c r="D413" s="25">
        <f t="shared" si="13"/>
        <v>5.9039449476314454E-2</v>
      </c>
    </row>
    <row r="414" spans="1:4">
      <c r="A414" s="23" t="s">
        <v>1134</v>
      </c>
      <c r="B414" s="23">
        <v>3.3143904621736602</v>
      </c>
      <c r="C414" s="23">
        <f t="shared" si="12"/>
        <v>2.9312529507000029E-2</v>
      </c>
      <c r="D414" s="25">
        <f t="shared" si="13"/>
        <v>5.9050585272587226E-2</v>
      </c>
    </row>
    <row r="415" spans="1:4">
      <c r="A415" s="23" t="s">
        <v>1133</v>
      </c>
      <c r="B415" s="23">
        <v>3.2850779326666601</v>
      </c>
      <c r="C415" s="23">
        <f t="shared" si="12"/>
        <v>-2.2795097020009703E-2</v>
      </c>
      <c r="D415" s="25">
        <f t="shared" si="13"/>
        <v>6.0722336560341435E-2</v>
      </c>
    </row>
    <row r="416" spans="1:4">
      <c r="A416" s="23" t="s">
        <v>1132</v>
      </c>
      <c r="B416" s="23">
        <v>3.3078730296866699</v>
      </c>
      <c r="C416" s="23">
        <f t="shared" si="12"/>
        <v>-7.569103002900146E-3</v>
      </c>
      <c r="D416" s="25">
        <f t="shared" si="13"/>
        <v>6.2091457675736518E-2</v>
      </c>
    </row>
    <row r="417" spans="1:4">
      <c r="A417" s="23" t="s">
        <v>1131</v>
      </c>
      <c r="B417" s="23">
        <v>3.31544213268957</v>
      </c>
      <c r="C417" s="23">
        <f t="shared" si="12"/>
        <v>2.0193148426140173E-2</v>
      </c>
      <c r="D417" s="25">
        <f t="shared" si="13"/>
        <v>6.2474377931323065E-2</v>
      </c>
    </row>
    <row r="418" spans="1:4">
      <c r="A418" s="23" t="s">
        <v>1130</v>
      </c>
      <c r="B418" s="23">
        <v>3.2952489842634298</v>
      </c>
      <c r="C418" s="23">
        <f t="shared" si="12"/>
        <v>3.6186246572000869E-4</v>
      </c>
      <c r="D418" s="25">
        <f t="shared" si="13"/>
        <v>6.4428024505848738E-2</v>
      </c>
    </row>
    <row r="419" spans="1:4">
      <c r="A419" s="23" t="s">
        <v>1129</v>
      </c>
      <c r="B419" s="23">
        <v>3.2948871217977098</v>
      </c>
      <c r="C419" s="23">
        <f t="shared" si="12"/>
        <v>-2.8461650493520008E-2</v>
      </c>
      <c r="D419" s="25">
        <f t="shared" si="13"/>
        <v>7.5891539582144688E-2</v>
      </c>
    </row>
    <row r="420" spans="1:4">
      <c r="A420" s="23" t="s">
        <v>1128</v>
      </c>
      <c r="B420" s="23">
        <v>3.3233487722912298</v>
      </c>
      <c r="C420" s="23">
        <f t="shared" si="12"/>
        <v>2.7192570436439745E-2</v>
      </c>
      <c r="D420" s="25">
        <f t="shared" si="13"/>
        <v>7.6174668019580311E-2</v>
      </c>
    </row>
    <row r="421" spans="1:4">
      <c r="A421" s="23" t="s">
        <v>1127</v>
      </c>
      <c r="B421" s="23">
        <v>3.2961562018547901</v>
      </c>
      <c r="C421" s="23">
        <f t="shared" si="12"/>
        <v>-4.4535751886519925E-2</v>
      </c>
      <c r="D421" s="25">
        <f t="shared" si="13"/>
        <v>7.6114029510511619E-2</v>
      </c>
    </row>
    <row r="422" spans="1:4">
      <c r="A422" s="23" t="s">
        <v>1126</v>
      </c>
      <c r="B422" s="23">
        <v>3.34069195374131</v>
      </c>
      <c r="C422" s="23">
        <f t="shared" si="12"/>
        <v>-6.2211506358570201E-2</v>
      </c>
      <c r="D422" s="25">
        <f t="shared" si="13"/>
        <v>7.5905836675026442E-2</v>
      </c>
    </row>
    <row r="423" spans="1:4">
      <c r="A423" s="23" t="s">
        <v>1125</v>
      </c>
      <c r="B423" s="23">
        <v>3.4029034600998802</v>
      </c>
      <c r="C423" s="23">
        <f t="shared" si="12"/>
        <v>-2.8704278957779827E-2</v>
      </c>
      <c r="D423" s="25">
        <f t="shared" si="13"/>
        <v>7.5475773887661093E-2</v>
      </c>
    </row>
    <row r="424" spans="1:4">
      <c r="A424" s="23" t="s">
        <v>1124</v>
      </c>
      <c r="B424" s="23">
        <v>3.43160773905766</v>
      </c>
      <c r="C424" s="23">
        <f t="shared" si="12"/>
        <v>8.126269231920169E-3</v>
      </c>
      <c r="D424" s="25">
        <f t="shared" si="13"/>
        <v>7.7052889702481558E-2</v>
      </c>
    </row>
    <row r="425" spans="1:4">
      <c r="A425" s="23" t="s">
        <v>1123</v>
      </c>
      <c r="B425" s="23">
        <v>3.4234814698257399</v>
      </c>
      <c r="C425" s="23">
        <f t="shared" si="12"/>
        <v>1.9373951671749712E-2</v>
      </c>
      <c r="D425" s="25">
        <f t="shared" si="13"/>
        <v>7.7369676570039528E-2</v>
      </c>
    </row>
    <row r="426" spans="1:4">
      <c r="A426" s="23" t="s">
        <v>1122</v>
      </c>
      <c r="B426" s="23">
        <v>3.4041075181539902</v>
      </c>
      <c r="C426" s="23">
        <f t="shared" si="12"/>
        <v>-0.18218849188538</v>
      </c>
      <c r="D426" s="25">
        <f t="shared" si="13"/>
        <v>7.7347272006672241E-2</v>
      </c>
    </row>
    <row r="427" spans="1:4">
      <c r="A427" s="23" t="s">
        <v>1121</v>
      </c>
      <c r="B427" s="23">
        <v>3.5862960100393702</v>
      </c>
      <c r="C427" s="23">
        <f t="shared" si="12"/>
        <v>-1.8733094384909776E-2</v>
      </c>
      <c r="D427" s="25">
        <f t="shared" si="13"/>
        <v>7.3936042293396745E-2</v>
      </c>
    </row>
    <row r="428" spans="1:4">
      <c r="A428" s="23" t="s">
        <v>1120</v>
      </c>
      <c r="B428" s="23">
        <v>3.6050291044242799</v>
      </c>
      <c r="C428" s="23">
        <f t="shared" si="12"/>
        <v>-4.5704490040650025E-2</v>
      </c>
      <c r="D428" s="25">
        <f t="shared" si="13"/>
        <v>7.6473840179902983E-2</v>
      </c>
    </row>
    <row r="429" spans="1:4">
      <c r="A429" s="23" t="s">
        <v>1119</v>
      </c>
      <c r="B429" s="23">
        <v>3.65073359446493</v>
      </c>
      <c r="C429" s="23">
        <f t="shared" si="12"/>
        <v>-1.5561440675019966E-2</v>
      </c>
      <c r="D429" s="25">
        <f t="shared" si="13"/>
        <v>7.8274586406387972E-2</v>
      </c>
    </row>
    <row r="430" spans="1:4">
      <c r="A430" s="23" t="s">
        <v>1118</v>
      </c>
      <c r="B430" s="23">
        <v>3.6662950351399499</v>
      </c>
      <c r="C430" s="23">
        <f t="shared" si="12"/>
        <v>-8.841705557101065E-4</v>
      </c>
      <c r="D430" s="25">
        <f t="shared" si="13"/>
        <v>8.0159449559020379E-2</v>
      </c>
    </row>
    <row r="431" spans="1:4">
      <c r="A431" s="23" t="s">
        <v>1117</v>
      </c>
      <c r="B431" s="23">
        <v>3.66717920569566</v>
      </c>
      <c r="C431" s="23">
        <f t="shared" si="12"/>
        <v>-3.5377858888629987E-2</v>
      </c>
      <c r="D431" s="25">
        <f t="shared" si="13"/>
        <v>8.0161696899320761E-2</v>
      </c>
    </row>
    <row r="432" spans="1:4">
      <c r="A432" s="23" t="s">
        <v>1116</v>
      </c>
      <c r="B432" s="23">
        <v>3.70255706458429</v>
      </c>
      <c r="C432" s="23">
        <f t="shared" si="12"/>
        <v>5.3065332968630141E-2</v>
      </c>
      <c r="D432" s="25">
        <f t="shared" si="13"/>
        <v>8.0083394819687126E-2</v>
      </c>
    </row>
    <row r="433" spans="1:4">
      <c r="A433" s="23" t="s">
        <v>1115</v>
      </c>
      <c r="B433" s="23">
        <v>3.6494917316156599</v>
      </c>
      <c r="C433" s="23">
        <f t="shared" si="12"/>
        <v>-7.1745954053219929E-2</v>
      </c>
      <c r="D433" s="25">
        <f t="shared" si="13"/>
        <v>8.0167613022894615E-2</v>
      </c>
    </row>
    <row r="434" spans="1:4">
      <c r="A434" s="23" t="s">
        <v>1114</v>
      </c>
      <c r="B434" s="23">
        <v>3.7212376856688798</v>
      </c>
      <c r="C434" s="23">
        <f t="shared" si="12"/>
        <v>-6.5457420638590058E-2</v>
      </c>
      <c r="D434" s="25">
        <f t="shared" si="13"/>
        <v>7.9793110130532946E-2</v>
      </c>
    </row>
    <row r="435" spans="1:4">
      <c r="A435" s="23" t="s">
        <v>1113</v>
      </c>
      <c r="B435" s="23">
        <v>3.7866951063074699</v>
      </c>
      <c r="C435" s="23">
        <f t="shared" si="12"/>
        <v>0.10712094464779964</v>
      </c>
      <c r="D435" s="25">
        <f t="shared" si="13"/>
        <v>7.9172692166165487E-2</v>
      </c>
    </row>
    <row r="436" spans="1:4">
      <c r="A436" s="23" t="s">
        <v>1112</v>
      </c>
      <c r="B436" s="23">
        <v>3.6795741616596702</v>
      </c>
      <c r="C436" s="23">
        <f t="shared" si="12"/>
        <v>5.6539798374630301E-2</v>
      </c>
      <c r="D436" s="25">
        <f t="shared" si="13"/>
        <v>7.8394965741731756E-2</v>
      </c>
    </row>
    <row r="437" spans="1:4">
      <c r="A437" s="23" t="s">
        <v>1111</v>
      </c>
      <c r="B437" s="23">
        <v>3.6230343632850399</v>
      </c>
      <c r="C437" s="23">
        <f t="shared" si="12"/>
        <v>0.10492607647307972</v>
      </c>
      <c r="D437" s="25">
        <f t="shared" si="13"/>
        <v>7.8192037448341439E-2</v>
      </c>
    </row>
    <row r="438" spans="1:4">
      <c r="A438" s="23" t="s">
        <v>1110</v>
      </c>
      <c r="B438" s="23">
        <v>3.5181082868119602</v>
      </c>
      <c r="C438" s="23">
        <f t="shared" si="12"/>
        <v>1.7084655469901122E-3</v>
      </c>
      <c r="D438" s="25">
        <f t="shared" si="13"/>
        <v>7.7449502084416547E-2</v>
      </c>
    </row>
    <row r="439" spans="1:4">
      <c r="A439" s="23" t="s">
        <v>1109</v>
      </c>
      <c r="B439" s="23">
        <v>3.5163998212649701</v>
      </c>
      <c r="C439" s="23">
        <f t="shared" si="12"/>
        <v>-4.8121741291629938E-2</v>
      </c>
      <c r="D439" s="25">
        <f t="shared" si="13"/>
        <v>7.7681353939766412E-2</v>
      </c>
    </row>
    <row r="440" spans="1:4">
      <c r="A440" s="23" t="s">
        <v>1108</v>
      </c>
      <c r="B440" s="23">
        <v>3.5645215625566</v>
      </c>
      <c r="C440" s="23">
        <f t="shared" si="12"/>
        <v>6.9509494336600142E-2</v>
      </c>
      <c r="D440" s="25">
        <f t="shared" si="13"/>
        <v>7.7390920523486381E-2</v>
      </c>
    </row>
    <row r="441" spans="1:4">
      <c r="A441" s="23" t="s">
        <v>1107</v>
      </c>
      <c r="B441" s="23">
        <v>3.4950120682199999</v>
      </c>
      <c r="C441" s="23">
        <f t="shared" si="12"/>
        <v>-6.9930672298000207E-2</v>
      </c>
      <c r="D441" s="25">
        <f t="shared" si="13"/>
        <v>7.7036953164624056E-2</v>
      </c>
    </row>
    <row r="442" spans="1:4">
      <c r="A442" s="23" t="s">
        <v>1106</v>
      </c>
      <c r="B442" s="23">
        <v>3.5649427405180001</v>
      </c>
      <c r="C442" s="23">
        <f t="shared" si="12"/>
        <v>-3.6516434060239966E-2</v>
      </c>
      <c r="D442" s="25">
        <f t="shared" si="13"/>
        <v>7.6344102309858136E-2</v>
      </c>
    </row>
    <row r="443" spans="1:4">
      <c r="A443" s="23" t="s">
        <v>1105</v>
      </c>
      <c r="B443" s="23">
        <v>3.6014591745782401</v>
      </c>
      <c r="C443" s="23">
        <f t="shared" si="12"/>
        <v>-0.10873461714591004</v>
      </c>
      <c r="D443" s="25">
        <f t="shared" si="13"/>
        <v>7.6288750633184535E-2</v>
      </c>
    </row>
    <row r="444" spans="1:4">
      <c r="A444" s="23" t="s">
        <v>1104</v>
      </c>
      <c r="B444" s="23">
        <v>3.7101937917241501</v>
      </c>
      <c r="C444" s="23">
        <f t="shared" si="12"/>
        <v>3.5549494711830221E-2</v>
      </c>
      <c r="D444" s="25">
        <f t="shared" si="13"/>
        <v>7.4726537303433871E-2</v>
      </c>
    </row>
    <row r="445" spans="1:4">
      <c r="A445" s="23" t="s">
        <v>1103</v>
      </c>
      <c r="B445" s="23">
        <v>3.6746442970123199</v>
      </c>
      <c r="C445" s="23">
        <f t="shared" si="12"/>
        <v>4.3961263381179894E-2</v>
      </c>
      <c r="D445" s="25">
        <f t="shared" si="13"/>
        <v>7.4821923050039388E-2</v>
      </c>
    </row>
    <row r="446" spans="1:4">
      <c r="A446" s="23" t="s">
        <v>1102</v>
      </c>
      <c r="B446" s="23">
        <v>3.63068303363114</v>
      </c>
      <c r="C446" s="23">
        <f t="shared" si="12"/>
        <v>-8.0364807235079994E-2</v>
      </c>
      <c r="D446" s="25">
        <f t="shared" si="13"/>
        <v>7.6226065309422733E-2</v>
      </c>
    </row>
    <row r="447" spans="1:4">
      <c r="A447" s="23" t="s">
        <v>1101</v>
      </c>
      <c r="B447" s="23">
        <v>3.71104784086622</v>
      </c>
      <c r="C447" s="23">
        <f t="shared" si="12"/>
        <v>7.6819313294679947E-2</v>
      </c>
      <c r="D447" s="25">
        <f t="shared" si="13"/>
        <v>7.527548084003495E-2</v>
      </c>
    </row>
    <row r="448" spans="1:4">
      <c r="A448" s="23" t="s">
        <v>1100</v>
      </c>
      <c r="B448" s="23">
        <v>3.63422852757154</v>
      </c>
      <c r="C448" s="23">
        <f t="shared" si="12"/>
        <v>9.1768203715859809E-2</v>
      </c>
      <c r="D448" s="25">
        <f t="shared" si="13"/>
        <v>7.4877287950672611E-2</v>
      </c>
    </row>
    <row r="449" spans="1:4">
      <c r="A449" s="23" t="s">
        <v>1099</v>
      </c>
      <c r="B449" s="23">
        <v>3.5424603238556802</v>
      </c>
      <c r="C449" s="23">
        <f t="shared" si="12"/>
        <v>5.8371835967020225E-2</v>
      </c>
      <c r="D449" s="25">
        <f t="shared" si="13"/>
        <v>7.5554407121994502E-2</v>
      </c>
    </row>
    <row r="450" spans="1:4">
      <c r="A450" s="23" t="s">
        <v>1098</v>
      </c>
      <c r="B450" s="23">
        <v>3.48408848788866</v>
      </c>
      <c r="C450" s="23">
        <f t="shared" ref="C450:C513" si="14">B450-B451</f>
        <v>-2.5092109652300465E-3</v>
      </c>
      <c r="D450" s="25">
        <f t="shared" ref="D450:D513" si="15">STDEV(C450:C509)</f>
        <v>7.5763272834246304E-2</v>
      </c>
    </row>
    <row r="451" spans="1:4">
      <c r="A451" s="23" t="s">
        <v>1097</v>
      </c>
      <c r="B451" s="23">
        <v>3.48659769885389</v>
      </c>
      <c r="C451" s="23">
        <f t="shared" si="14"/>
        <v>0.10271379885331999</v>
      </c>
      <c r="D451" s="25">
        <f t="shared" si="15"/>
        <v>7.5757850078856021E-2</v>
      </c>
    </row>
    <row r="452" spans="1:4">
      <c r="A452" s="23" t="s">
        <v>1096</v>
      </c>
      <c r="B452" s="23">
        <v>3.38388390000057</v>
      </c>
      <c r="C452" s="23">
        <f t="shared" si="14"/>
        <v>1.9932986807530195E-2</v>
      </c>
      <c r="D452" s="25">
        <f t="shared" si="15"/>
        <v>7.6181636202107578E-2</v>
      </c>
    </row>
    <row r="453" spans="1:4">
      <c r="A453" s="23" t="s">
        <v>1095</v>
      </c>
      <c r="B453" s="23">
        <v>3.3639509131930398</v>
      </c>
      <c r="C453" s="23">
        <f t="shared" si="14"/>
        <v>-1.7536989855490237E-2</v>
      </c>
      <c r="D453" s="25">
        <f t="shared" si="15"/>
        <v>7.7526467120697412E-2</v>
      </c>
    </row>
    <row r="454" spans="1:4">
      <c r="A454" s="23" t="s">
        <v>1094</v>
      </c>
      <c r="B454" s="23">
        <v>3.3814879030485301</v>
      </c>
      <c r="C454" s="23">
        <f t="shared" si="14"/>
        <v>-2.8041443789379894E-2</v>
      </c>
      <c r="D454" s="25">
        <f t="shared" si="15"/>
        <v>7.7449716166336877E-2</v>
      </c>
    </row>
    <row r="455" spans="1:4">
      <c r="A455" s="23" t="s">
        <v>1093</v>
      </c>
      <c r="B455" s="23">
        <v>3.40952934683791</v>
      </c>
      <c r="C455" s="23">
        <f t="shared" si="14"/>
        <v>-3.3557590646720037E-2</v>
      </c>
      <c r="D455" s="25">
        <f t="shared" si="15"/>
        <v>7.7362350234671848E-2</v>
      </c>
    </row>
    <row r="456" spans="1:4">
      <c r="A456" s="23" t="s">
        <v>1092</v>
      </c>
      <c r="B456" s="23">
        <v>3.44308693748463</v>
      </c>
      <c r="C456" s="23">
        <f t="shared" si="14"/>
        <v>2.527513841834983E-2</v>
      </c>
      <c r="D456" s="25">
        <f t="shared" si="15"/>
        <v>7.7163135307168285E-2</v>
      </c>
    </row>
    <row r="457" spans="1:4">
      <c r="A457" s="23" t="s">
        <v>1091</v>
      </c>
      <c r="B457" s="23">
        <v>3.4178117990662802</v>
      </c>
      <c r="C457" s="23">
        <f t="shared" si="14"/>
        <v>1.424554791831012E-2</v>
      </c>
      <c r="D457" s="25">
        <f t="shared" si="15"/>
        <v>7.7772929203854327E-2</v>
      </c>
    </row>
    <row r="458" spans="1:4">
      <c r="A458" s="23" t="s">
        <v>1090</v>
      </c>
      <c r="B458" s="23">
        <v>3.4035662511479701</v>
      </c>
      <c r="C458" s="23">
        <f t="shared" si="14"/>
        <v>-0.12930450394343973</v>
      </c>
      <c r="D458" s="25">
        <f t="shared" si="15"/>
        <v>7.7781162775315382E-2</v>
      </c>
    </row>
    <row r="459" spans="1:4">
      <c r="A459" s="23" t="s">
        <v>1089</v>
      </c>
      <c r="B459" s="23">
        <v>3.5328707550914098</v>
      </c>
      <c r="C459" s="23">
        <f t="shared" si="14"/>
        <v>0.12333148934801974</v>
      </c>
      <c r="D459" s="25">
        <f t="shared" si="15"/>
        <v>7.5552636029083756E-2</v>
      </c>
    </row>
    <row r="460" spans="1:4">
      <c r="A460" s="23" t="s">
        <v>1088</v>
      </c>
      <c r="B460" s="23">
        <v>3.4095392657433901</v>
      </c>
      <c r="C460" s="23">
        <f t="shared" si="14"/>
        <v>-1.9057491468149834E-2</v>
      </c>
      <c r="D460" s="25">
        <f t="shared" si="15"/>
        <v>7.4261651010593357E-2</v>
      </c>
    </row>
    <row r="461" spans="1:4">
      <c r="A461" s="23" t="s">
        <v>1087</v>
      </c>
      <c r="B461" s="23">
        <v>3.4285967572115399</v>
      </c>
      <c r="C461" s="23">
        <f t="shared" si="14"/>
        <v>2.2450325805319693E-2</v>
      </c>
      <c r="D461" s="25">
        <f t="shared" si="15"/>
        <v>7.4121972636532044E-2</v>
      </c>
    </row>
    <row r="462" spans="1:4">
      <c r="A462" s="23" t="s">
        <v>1086</v>
      </c>
      <c r="B462" s="23">
        <v>3.4061464314062202</v>
      </c>
      <c r="C462" s="23">
        <f t="shared" si="14"/>
        <v>1.0825823152060376E-2</v>
      </c>
      <c r="D462" s="25">
        <f t="shared" si="15"/>
        <v>7.5188306884471437E-2</v>
      </c>
    </row>
    <row r="463" spans="1:4">
      <c r="A463" s="23" t="s">
        <v>1085</v>
      </c>
      <c r="B463" s="23">
        <v>3.3953206082541598</v>
      </c>
      <c r="C463" s="23">
        <f t="shared" si="14"/>
        <v>-4.5465783333580312E-2</v>
      </c>
      <c r="D463" s="25">
        <f t="shared" si="15"/>
        <v>7.5204238512573629E-2</v>
      </c>
    </row>
    <row r="464" spans="1:4">
      <c r="A464" s="23" t="s">
        <v>1084</v>
      </c>
      <c r="B464" s="23">
        <v>3.4407863915877401</v>
      </c>
      <c r="C464" s="23">
        <f t="shared" si="14"/>
        <v>1.1110796130170186E-2</v>
      </c>
      <c r="D464" s="25">
        <f t="shared" si="15"/>
        <v>7.5172092718889263E-2</v>
      </c>
    </row>
    <row r="465" spans="1:4">
      <c r="A465" s="23" t="s">
        <v>1083</v>
      </c>
      <c r="B465" s="23">
        <v>3.4296755954575699</v>
      </c>
      <c r="C465" s="23">
        <f t="shared" si="14"/>
        <v>6.5770541108809866E-2</v>
      </c>
      <c r="D465" s="25">
        <f t="shared" si="15"/>
        <v>7.5336464942433651E-2</v>
      </c>
    </row>
    <row r="466" spans="1:4">
      <c r="A466" s="23" t="s">
        <v>1082</v>
      </c>
      <c r="B466" s="23">
        <v>3.3639050543487601</v>
      </c>
      <c r="C466" s="23">
        <f t="shared" si="14"/>
        <v>4.1822183372050237E-2</v>
      </c>
      <c r="D466" s="25">
        <f t="shared" si="15"/>
        <v>7.5123132733813144E-2</v>
      </c>
    </row>
    <row r="467" spans="1:4">
      <c r="A467" s="23" t="s">
        <v>1081</v>
      </c>
      <c r="B467" s="23">
        <v>3.3220828709767098</v>
      </c>
      <c r="C467" s="23">
        <f t="shared" si="14"/>
        <v>-9.3084046809099874E-3</v>
      </c>
      <c r="D467" s="25">
        <f t="shared" si="15"/>
        <v>7.5572957507084246E-2</v>
      </c>
    </row>
    <row r="468" spans="1:4">
      <c r="A468" s="23" t="s">
        <v>1080</v>
      </c>
      <c r="B468" s="23">
        <v>3.3313912756576198</v>
      </c>
      <c r="C468" s="23">
        <f t="shared" si="14"/>
        <v>-5.7456281977290136E-2</v>
      </c>
      <c r="D468" s="25">
        <f t="shared" si="15"/>
        <v>7.5532255500375609E-2</v>
      </c>
    </row>
    <row r="469" spans="1:4">
      <c r="A469" s="23" t="s">
        <v>1079</v>
      </c>
      <c r="B469" s="23">
        <v>3.38884755763491</v>
      </c>
      <c r="C469" s="23">
        <f t="shared" si="14"/>
        <v>4.4981721651899953E-2</v>
      </c>
      <c r="D469" s="25">
        <f t="shared" si="15"/>
        <v>7.4981825111964495E-2</v>
      </c>
    </row>
    <row r="470" spans="1:4">
      <c r="A470" s="23" t="s">
        <v>1078</v>
      </c>
      <c r="B470" s="23">
        <v>3.34386583598301</v>
      </c>
      <c r="C470" s="23">
        <f t="shared" si="14"/>
        <v>-4.760501643175008E-2</v>
      </c>
      <c r="D470" s="25">
        <f t="shared" si="15"/>
        <v>7.4947942314462432E-2</v>
      </c>
    </row>
    <row r="471" spans="1:4">
      <c r="A471" s="23" t="s">
        <v>1077</v>
      </c>
      <c r="B471" s="23">
        <v>3.3914708524147601</v>
      </c>
      <c r="C471" s="23">
        <f t="shared" si="14"/>
        <v>-1.3562006482279898E-2</v>
      </c>
      <c r="D471" s="25">
        <f t="shared" si="15"/>
        <v>7.4531680257984595E-2</v>
      </c>
    </row>
    <row r="472" spans="1:4">
      <c r="A472" s="23" t="s">
        <v>1076</v>
      </c>
      <c r="B472" s="23">
        <v>3.40503285889704</v>
      </c>
      <c r="C472" s="23">
        <f t="shared" si="14"/>
        <v>-6.9784507366760007E-2</v>
      </c>
      <c r="D472" s="25">
        <f t="shared" si="15"/>
        <v>7.4432428829586172E-2</v>
      </c>
    </row>
    <row r="473" spans="1:4">
      <c r="A473" s="23" t="s">
        <v>1075</v>
      </c>
      <c r="B473" s="23">
        <v>3.4748173662638</v>
      </c>
      <c r="C473" s="23">
        <f t="shared" si="14"/>
        <v>6.8448157232801066E-3</v>
      </c>
      <c r="D473" s="25">
        <f t="shared" si="15"/>
        <v>7.3716116623554637E-2</v>
      </c>
    </row>
    <row r="474" spans="1:4">
      <c r="A474" s="23" t="s">
        <v>1074</v>
      </c>
      <c r="B474" s="23">
        <v>3.4679725505405199</v>
      </c>
      <c r="C474" s="23">
        <f t="shared" si="14"/>
        <v>-0.11739950778944008</v>
      </c>
      <c r="D474" s="25">
        <f t="shared" si="15"/>
        <v>7.3757836028943785E-2</v>
      </c>
    </row>
    <row r="475" spans="1:4">
      <c r="A475" s="23" t="s">
        <v>1073</v>
      </c>
      <c r="B475" s="23">
        <v>3.58537205832996</v>
      </c>
      <c r="C475" s="23">
        <f t="shared" si="14"/>
        <v>9.735606030672006E-2</v>
      </c>
      <c r="D475" s="25">
        <f t="shared" si="15"/>
        <v>7.1622457679235349E-2</v>
      </c>
    </row>
    <row r="476" spans="1:4">
      <c r="A476" s="23" t="s">
        <v>1072</v>
      </c>
      <c r="B476" s="23">
        <v>3.4880159980232399</v>
      </c>
      <c r="C476" s="23">
        <f t="shared" si="14"/>
        <v>-5.6623162933219895E-2</v>
      </c>
      <c r="D476" s="25">
        <f t="shared" si="15"/>
        <v>7.1077060252924915E-2</v>
      </c>
    </row>
    <row r="477" spans="1:4">
      <c r="A477" s="23" t="s">
        <v>1071</v>
      </c>
      <c r="B477" s="23">
        <v>3.5446391609564598</v>
      </c>
      <c r="C477" s="23">
        <f t="shared" si="14"/>
        <v>-0.12861219219312003</v>
      </c>
      <c r="D477" s="25">
        <f t="shared" si="15"/>
        <v>7.1229515620040998E-2</v>
      </c>
    </row>
    <row r="478" spans="1:4">
      <c r="A478" s="23" t="s">
        <v>1070</v>
      </c>
      <c r="B478" s="23">
        <v>3.6732513531495798</v>
      </c>
      <c r="C478" s="23">
        <f t="shared" si="14"/>
        <v>0.30432684873944993</v>
      </c>
      <c r="D478" s="25">
        <f t="shared" si="15"/>
        <v>6.8872002182443229E-2</v>
      </c>
    </row>
    <row r="479" spans="1:4">
      <c r="A479" s="23" t="s">
        <v>1069</v>
      </c>
      <c r="B479" s="23">
        <v>3.3689245044101299</v>
      </c>
      <c r="C479" s="23">
        <f t="shared" si="14"/>
        <v>5.7106254717799843E-2</v>
      </c>
      <c r="D479" s="25">
        <f t="shared" si="15"/>
        <v>5.802454176939148E-2</v>
      </c>
    </row>
    <row r="480" spans="1:4">
      <c r="A480" s="23" t="s">
        <v>1068</v>
      </c>
      <c r="B480" s="23">
        <v>3.3118182496923301</v>
      </c>
      <c r="C480" s="23">
        <f t="shared" si="14"/>
        <v>1.387207231151022E-2</v>
      </c>
      <c r="D480" s="25">
        <f t="shared" si="15"/>
        <v>5.7756641422545836E-2</v>
      </c>
    </row>
    <row r="481" spans="1:4">
      <c r="A481" s="23" t="s">
        <v>1067</v>
      </c>
      <c r="B481" s="23">
        <v>3.2979461773808199</v>
      </c>
      <c r="C481" s="23">
        <f t="shared" si="14"/>
        <v>-1.1503496189390283E-2</v>
      </c>
      <c r="D481" s="25">
        <f t="shared" si="15"/>
        <v>5.80565554954314E-2</v>
      </c>
    </row>
    <row r="482" spans="1:4">
      <c r="A482" s="23" t="s">
        <v>1066</v>
      </c>
      <c r="B482" s="23">
        <v>3.3094496735702101</v>
      </c>
      <c r="C482" s="23">
        <f t="shared" si="14"/>
        <v>-1.120845719059993E-2</v>
      </c>
      <c r="D482" s="25">
        <f t="shared" si="15"/>
        <v>5.8951333572454426E-2</v>
      </c>
    </row>
    <row r="483" spans="1:4">
      <c r="A483" s="23" t="s">
        <v>1065</v>
      </c>
      <c r="B483" s="23">
        <v>3.3206581307608101</v>
      </c>
      <c r="C483" s="23">
        <f t="shared" si="14"/>
        <v>-0.12209026435496995</v>
      </c>
      <c r="D483" s="25">
        <f t="shared" si="15"/>
        <v>6.0072256542245198E-2</v>
      </c>
    </row>
    <row r="484" spans="1:4">
      <c r="A484" s="23" t="s">
        <v>1064</v>
      </c>
      <c r="B484" s="23">
        <v>3.44274839511578</v>
      </c>
      <c r="C484" s="23">
        <f t="shared" si="14"/>
        <v>-5.5158964095800123E-2</v>
      </c>
      <c r="D484" s="25">
        <f t="shared" si="15"/>
        <v>5.7937150690430705E-2</v>
      </c>
    </row>
    <row r="485" spans="1:4">
      <c r="A485" s="23" t="s">
        <v>1063</v>
      </c>
      <c r="B485" s="23">
        <v>3.4979073592115801</v>
      </c>
      <c r="C485" s="23">
        <f t="shared" si="14"/>
        <v>1.3625234119180263E-2</v>
      </c>
      <c r="D485" s="25">
        <f t="shared" si="15"/>
        <v>5.722384163658413E-2</v>
      </c>
    </row>
    <row r="486" spans="1:4">
      <c r="A486" s="23" t="s">
        <v>1062</v>
      </c>
      <c r="B486" s="23">
        <v>3.4842821250923999</v>
      </c>
      <c r="C486" s="23">
        <f t="shared" si="14"/>
        <v>5.5226091767049734E-2</v>
      </c>
      <c r="D486" s="25">
        <f t="shared" si="15"/>
        <v>5.7394356500739409E-2</v>
      </c>
    </row>
    <row r="487" spans="1:4">
      <c r="A487" s="23" t="s">
        <v>1061</v>
      </c>
      <c r="B487" s="23">
        <v>3.4290560333253501</v>
      </c>
      <c r="C487" s="23">
        <f t="shared" si="14"/>
        <v>0.15586870907134021</v>
      </c>
      <c r="D487" s="25">
        <f t="shared" si="15"/>
        <v>5.7153047606324926E-2</v>
      </c>
    </row>
    <row r="488" spans="1:4">
      <c r="A488" s="23" t="s">
        <v>1060</v>
      </c>
      <c r="B488" s="23">
        <v>3.2731873242540099</v>
      </c>
      <c r="C488" s="23">
        <f t="shared" si="14"/>
        <v>0.14580691441645977</v>
      </c>
      <c r="D488" s="25">
        <f t="shared" si="15"/>
        <v>5.4340691280240161E-2</v>
      </c>
    </row>
    <row r="489" spans="1:4">
      <c r="A489" s="23" t="s">
        <v>1059</v>
      </c>
      <c r="B489" s="23">
        <v>3.1273804098375502</v>
      </c>
      <c r="C489" s="23">
        <f t="shared" si="14"/>
        <v>0.14524976102515996</v>
      </c>
      <c r="D489" s="25">
        <f t="shared" si="15"/>
        <v>5.1359860350052834E-2</v>
      </c>
    </row>
    <row r="490" spans="1:4">
      <c r="A490" s="23" t="s">
        <v>1058</v>
      </c>
      <c r="B490" s="23">
        <v>2.9821306488123902</v>
      </c>
      <c r="C490" s="23">
        <f t="shared" si="14"/>
        <v>-1.7211817492599479E-3</v>
      </c>
      <c r="D490" s="25">
        <f t="shared" si="15"/>
        <v>4.8112216469274237E-2</v>
      </c>
    </row>
    <row r="491" spans="1:4">
      <c r="A491" s="23" t="s">
        <v>1057</v>
      </c>
      <c r="B491" s="23">
        <v>2.9838518305616502</v>
      </c>
      <c r="C491" s="23">
        <f t="shared" si="14"/>
        <v>5.1027756137190128E-2</v>
      </c>
      <c r="D491" s="25">
        <f t="shared" si="15"/>
        <v>4.8387037985474758E-2</v>
      </c>
    </row>
    <row r="492" spans="1:4">
      <c r="A492" s="23" t="s">
        <v>1056</v>
      </c>
      <c r="B492" s="23">
        <v>2.93282407442446</v>
      </c>
      <c r="C492" s="23">
        <f t="shared" si="14"/>
        <v>-3.7693641318579996E-2</v>
      </c>
      <c r="D492" s="25">
        <f t="shared" si="15"/>
        <v>4.8118179744575142E-2</v>
      </c>
    </row>
    <row r="493" spans="1:4">
      <c r="A493" s="23" t="s">
        <v>1055</v>
      </c>
      <c r="B493" s="23">
        <v>2.97051771574304</v>
      </c>
      <c r="C493" s="23">
        <f t="shared" si="14"/>
        <v>-4.6780884574990189E-2</v>
      </c>
      <c r="D493" s="25">
        <f t="shared" si="15"/>
        <v>4.8002935824341522E-2</v>
      </c>
    </row>
    <row r="494" spans="1:4">
      <c r="A494" s="23" t="s">
        <v>1054</v>
      </c>
      <c r="B494" s="23">
        <v>3.0172986003180302</v>
      </c>
      <c r="C494" s="23">
        <f t="shared" si="14"/>
        <v>2.8674806260830188E-2</v>
      </c>
      <c r="D494" s="25">
        <f t="shared" si="15"/>
        <v>4.7653695554375819E-2</v>
      </c>
    </row>
    <row r="495" spans="1:4">
      <c r="A495" s="23" t="s">
        <v>1053</v>
      </c>
      <c r="B495" s="23">
        <v>2.9886237940572</v>
      </c>
      <c r="C495" s="23">
        <f t="shared" si="14"/>
        <v>-3.0126534625240176E-2</v>
      </c>
      <c r="D495" s="25">
        <f t="shared" si="15"/>
        <v>4.7855047850531414E-2</v>
      </c>
    </row>
    <row r="496" spans="1:4">
      <c r="A496" s="23" t="s">
        <v>1052</v>
      </c>
      <c r="B496" s="23">
        <v>3.0187503286824402</v>
      </c>
      <c r="C496" s="23">
        <f t="shared" si="14"/>
        <v>2.5634329672949985E-2</v>
      </c>
      <c r="D496" s="25">
        <f t="shared" si="15"/>
        <v>4.8014211556754352E-2</v>
      </c>
    </row>
    <row r="497" spans="1:4">
      <c r="A497" s="23" t="s">
        <v>1051</v>
      </c>
      <c r="B497" s="23">
        <v>2.9931159990094902</v>
      </c>
      <c r="C497" s="23">
        <f t="shared" si="14"/>
        <v>5.6722824399420002E-2</v>
      </c>
      <c r="D497" s="25">
        <f t="shared" si="15"/>
        <v>4.7939365273360422E-2</v>
      </c>
    </row>
    <row r="498" spans="1:4">
      <c r="A498" s="23" t="s">
        <v>1050</v>
      </c>
      <c r="B498" s="23">
        <v>2.9363931746100702</v>
      </c>
      <c r="C498" s="23">
        <f t="shared" si="14"/>
        <v>-3.7328810787779609E-2</v>
      </c>
      <c r="D498" s="25">
        <f t="shared" si="15"/>
        <v>4.7471307849779147E-2</v>
      </c>
    </row>
    <row r="499" spans="1:4">
      <c r="A499" s="23" t="s">
        <v>1049</v>
      </c>
      <c r="B499" s="23">
        <v>2.9737219853978498</v>
      </c>
      <c r="C499" s="23">
        <f t="shared" si="14"/>
        <v>-1.6013781891730083E-2</v>
      </c>
      <c r="D499" s="25">
        <f t="shared" si="15"/>
        <v>4.7417973757082899E-2</v>
      </c>
    </row>
    <row r="500" spans="1:4">
      <c r="A500" s="23" t="s">
        <v>1048</v>
      </c>
      <c r="B500" s="23">
        <v>2.9897357672895799</v>
      </c>
      <c r="C500" s="23">
        <f t="shared" si="14"/>
        <v>2.9411236647639782E-2</v>
      </c>
      <c r="D500" s="25">
        <f t="shared" si="15"/>
        <v>4.7391840804764107E-2</v>
      </c>
    </row>
    <row r="501" spans="1:4">
      <c r="A501" s="23" t="s">
        <v>1047</v>
      </c>
      <c r="B501" s="23">
        <v>2.9603245306419401</v>
      </c>
      <c r="C501" s="23">
        <f t="shared" si="14"/>
        <v>3.0110344354201679E-3</v>
      </c>
      <c r="D501" s="25">
        <f t="shared" si="15"/>
        <v>4.8257268086785682E-2</v>
      </c>
    </row>
    <row r="502" spans="1:4">
      <c r="A502" s="23" t="s">
        <v>1046</v>
      </c>
      <c r="B502" s="23">
        <v>2.95731349620652</v>
      </c>
      <c r="C502" s="23">
        <f t="shared" si="14"/>
        <v>5.2668055466630115E-2</v>
      </c>
      <c r="D502" s="25">
        <f t="shared" si="15"/>
        <v>4.879412992167316E-2</v>
      </c>
    </row>
    <row r="503" spans="1:4">
      <c r="A503" s="23" t="s">
        <v>1045</v>
      </c>
      <c r="B503" s="23">
        <v>2.9046454407398898</v>
      </c>
      <c r="C503" s="23">
        <f t="shared" si="14"/>
        <v>-1.5047363922800372E-2</v>
      </c>
      <c r="D503" s="25">
        <f t="shared" si="15"/>
        <v>4.8780043704308544E-2</v>
      </c>
    </row>
    <row r="504" spans="1:4">
      <c r="A504" s="23" t="s">
        <v>1044</v>
      </c>
      <c r="B504" s="23">
        <v>2.9196928046626902</v>
      </c>
      <c r="C504" s="23">
        <f t="shared" si="14"/>
        <v>-2.4266573785109991E-2</v>
      </c>
      <c r="D504" s="25">
        <f t="shared" si="15"/>
        <v>4.8717244067040852E-2</v>
      </c>
    </row>
    <row r="505" spans="1:4">
      <c r="A505" s="23" t="s">
        <v>1043</v>
      </c>
      <c r="B505" s="23">
        <v>2.9439593784478002</v>
      </c>
      <c r="C505" s="23">
        <f t="shared" si="14"/>
        <v>0.12898620203696032</v>
      </c>
      <c r="D505" s="25">
        <f t="shared" si="15"/>
        <v>4.856661945115183E-2</v>
      </c>
    </row>
    <row r="506" spans="1:4">
      <c r="A506" s="23" t="s">
        <v>1042</v>
      </c>
      <c r="B506" s="23">
        <v>2.8149731764108399</v>
      </c>
      <c r="C506" s="23">
        <f t="shared" si="14"/>
        <v>-6.9342695015399691E-3</v>
      </c>
      <c r="D506" s="25">
        <f t="shared" si="15"/>
        <v>4.5916255365082564E-2</v>
      </c>
    </row>
    <row r="507" spans="1:4">
      <c r="A507" s="23" t="s">
        <v>1041</v>
      </c>
      <c r="B507" s="23">
        <v>2.8219074459123799</v>
      </c>
      <c r="C507" s="23">
        <f t="shared" si="14"/>
        <v>3.3467463727769875E-2</v>
      </c>
      <c r="D507" s="25">
        <f t="shared" si="15"/>
        <v>4.6089961931210503E-2</v>
      </c>
    </row>
    <row r="508" spans="1:4">
      <c r="A508" s="23" t="s">
        <v>1040</v>
      </c>
      <c r="B508" s="23">
        <v>2.78843998218461</v>
      </c>
      <c r="C508" s="23">
        <f t="shared" si="14"/>
        <v>0.12391391822959008</v>
      </c>
      <c r="D508" s="25">
        <f t="shared" si="15"/>
        <v>4.6098653225723443E-2</v>
      </c>
    </row>
    <row r="509" spans="1:4">
      <c r="A509" s="23" t="s">
        <v>1039</v>
      </c>
      <c r="B509" s="23">
        <v>2.6645260639550199</v>
      </c>
      <c r="C509" s="23">
        <f t="shared" si="14"/>
        <v>-4.8357478376410246E-2</v>
      </c>
      <c r="D509" s="25">
        <f t="shared" si="15"/>
        <v>4.3419596071460898E-2</v>
      </c>
    </row>
    <row r="510" spans="1:4">
      <c r="A510" s="23" t="s">
        <v>1038</v>
      </c>
      <c r="B510" s="23">
        <v>2.7128835423314301</v>
      </c>
      <c r="C510" s="23">
        <f t="shared" si="14"/>
        <v>2.7070114300850268E-2</v>
      </c>
      <c r="D510" s="25">
        <f t="shared" si="15"/>
        <v>4.3856474170724226E-2</v>
      </c>
    </row>
    <row r="511" spans="1:4">
      <c r="A511" s="23" t="s">
        <v>1037</v>
      </c>
      <c r="B511" s="23">
        <v>2.6858134280305799</v>
      </c>
      <c r="C511" s="23">
        <f t="shared" si="14"/>
        <v>0.12193595403058</v>
      </c>
      <c r="D511" s="25">
        <f t="shared" si="15"/>
        <v>4.372792786362948E-2</v>
      </c>
    </row>
    <row r="512" spans="1:4">
      <c r="A512" s="23" t="s">
        <v>1036</v>
      </c>
      <c r="B512" s="23">
        <v>2.5638774739999999</v>
      </c>
      <c r="C512" s="23">
        <f t="shared" si="14"/>
        <v>-9.7988939393230279E-2</v>
      </c>
      <c r="D512" s="25">
        <f t="shared" si="15"/>
        <v>4.076921229259587E-2</v>
      </c>
    </row>
    <row r="513" spans="1:4">
      <c r="A513" s="23" t="s">
        <v>1035</v>
      </c>
      <c r="B513" s="23">
        <v>2.6618664133932302</v>
      </c>
      <c r="C513" s="23">
        <f t="shared" si="14"/>
        <v>-8.5807949310989784E-4</v>
      </c>
      <c r="D513" s="25">
        <f t="shared" si="15"/>
        <v>3.8739849243363107E-2</v>
      </c>
    </row>
    <row r="514" spans="1:4">
      <c r="A514" s="23" t="s">
        <v>1034</v>
      </c>
      <c r="B514" s="23">
        <v>2.6627244928863401</v>
      </c>
      <c r="C514" s="23">
        <f t="shared" ref="C514:C577" si="16">B514-B515</f>
        <v>4.1724925364940102E-2</v>
      </c>
      <c r="D514" s="25">
        <f t="shared" ref="D514:D577" si="17">STDEV(C514:C573)</f>
        <v>3.8800285760589207E-2</v>
      </c>
    </row>
    <row r="515" spans="1:4">
      <c r="A515" s="23" t="s">
        <v>1033</v>
      </c>
      <c r="B515" s="23">
        <v>2.6209995675214</v>
      </c>
      <c r="C515" s="23">
        <f t="shared" si="16"/>
        <v>3.4142449316919787E-2</v>
      </c>
      <c r="D515" s="25">
        <f t="shared" si="17"/>
        <v>3.8457055420496093E-2</v>
      </c>
    </row>
    <row r="516" spans="1:4">
      <c r="A516" s="23" t="s">
        <v>1032</v>
      </c>
      <c r="B516" s="23">
        <v>2.5868571182044802</v>
      </c>
      <c r="C516" s="23">
        <f t="shared" si="16"/>
        <v>9.0202215078300174E-2</v>
      </c>
      <c r="D516" s="25">
        <f t="shared" si="17"/>
        <v>3.8633547259173506E-2</v>
      </c>
    </row>
    <row r="517" spans="1:4">
      <c r="A517" s="23" t="s">
        <v>1031</v>
      </c>
      <c r="B517" s="23">
        <v>2.49665490312618</v>
      </c>
      <c r="C517" s="23">
        <f t="shared" si="16"/>
        <v>2.4209559535790071E-2</v>
      </c>
      <c r="D517" s="25">
        <f t="shared" si="17"/>
        <v>3.7275253756497345E-2</v>
      </c>
    </row>
    <row r="518" spans="1:4">
      <c r="A518" s="23" t="s">
        <v>1030</v>
      </c>
      <c r="B518" s="23">
        <v>2.4724453435903899</v>
      </c>
      <c r="C518" s="23">
        <f t="shared" si="16"/>
        <v>-1.6497643574850063E-2</v>
      </c>
      <c r="D518" s="25">
        <f t="shared" si="17"/>
        <v>3.7549864796698945E-2</v>
      </c>
    </row>
    <row r="519" spans="1:4">
      <c r="A519" s="23" t="s">
        <v>1029</v>
      </c>
      <c r="B519" s="23">
        <v>2.48894298716524</v>
      </c>
      <c r="C519" s="23">
        <f t="shared" si="16"/>
        <v>1.6539813864150155E-2</v>
      </c>
      <c r="D519" s="25">
        <f t="shared" si="17"/>
        <v>3.7508132702762091E-2</v>
      </c>
    </row>
    <row r="520" spans="1:4">
      <c r="A520" s="23" t="s">
        <v>1028</v>
      </c>
      <c r="B520" s="23">
        <v>2.4724031733010898</v>
      </c>
      <c r="C520" s="23">
        <f t="shared" si="16"/>
        <v>1.6253051885779968E-2</v>
      </c>
      <c r="D520" s="25">
        <f t="shared" si="17"/>
        <v>3.7557036330206274E-2</v>
      </c>
    </row>
    <row r="521" spans="1:4">
      <c r="A521" s="23" t="s">
        <v>1027</v>
      </c>
      <c r="B521" s="23">
        <v>2.4561501214153099</v>
      </c>
      <c r="C521" s="23">
        <f t="shared" si="16"/>
        <v>0.11404644226922001</v>
      </c>
      <c r="D521" s="25">
        <f t="shared" si="17"/>
        <v>3.7495402594694797E-2</v>
      </c>
    </row>
    <row r="522" spans="1:4">
      <c r="A522" s="23" t="s">
        <v>1026</v>
      </c>
      <c r="B522" s="23">
        <v>2.3421036791460899</v>
      </c>
      <c r="C522" s="23">
        <f t="shared" si="16"/>
        <v>3.17477125377299E-2</v>
      </c>
      <c r="D522" s="25">
        <f t="shared" si="17"/>
        <v>3.4615273232179757E-2</v>
      </c>
    </row>
    <row r="523" spans="1:4">
      <c r="A523" s="23" t="s">
        <v>1025</v>
      </c>
      <c r="B523" s="23">
        <v>2.31035596660836</v>
      </c>
      <c r="C523" s="23">
        <f t="shared" si="16"/>
        <v>-4.3181423940279906E-2</v>
      </c>
      <c r="D523" s="25">
        <f t="shared" si="17"/>
        <v>3.4887857063948972E-2</v>
      </c>
    </row>
    <row r="524" spans="1:4">
      <c r="A524" s="23" t="s">
        <v>1024</v>
      </c>
      <c r="B524" s="23">
        <v>2.3535373905486399</v>
      </c>
      <c r="C524" s="23">
        <f t="shared" si="16"/>
        <v>-2.0941817287320141E-2</v>
      </c>
      <c r="D524" s="25">
        <f t="shared" si="17"/>
        <v>3.476011485148759E-2</v>
      </c>
    </row>
    <row r="525" spans="1:4">
      <c r="A525" s="23" t="s">
        <v>1023</v>
      </c>
      <c r="B525" s="23">
        <v>2.37447920783596</v>
      </c>
      <c r="C525" s="23">
        <f t="shared" si="16"/>
        <v>-5.0288600714698539E-3</v>
      </c>
      <c r="D525" s="25">
        <f t="shared" si="17"/>
        <v>3.4797549295367505E-2</v>
      </c>
    </row>
    <row r="526" spans="1:4">
      <c r="A526" s="23" t="s">
        <v>1022</v>
      </c>
      <c r="B526" s="23">
        <v>2.3795080679074299</v>
      </c>
      <c r="C526" s="23">
        <f t="shared" si="16"/>
        <v>-5.2837260230070182E-2</v>
      </c>
      <c r="D526" s="25">
        <f t="shared" si="17"/>
        <v>3.4796840229985936E-2</v>
      </c>
    </row>
    <row r="527" spans="1:4">
      <c r="A527" s="23" t="s">
        <v>1021</v>
      </c>
      <c r="B527" s="23">
        <v>2.4323453281375</v>
      </c>
      <c r="C527" s="23">
        <f t="shared" si="16"/>
        <v>-4.3037235240017679E-5</v>
      </c>
      <c r="D527" s="25">
        <f t="shared" si="17"/>
        <v>3.4280366454887481E-2</v>
      </c>
    </row>
    <row r="528" spans="1:4">
      <c r="A528" s="23" t="s">
        <v>1020</v>
      </c>
      <c r="B528" s="23">
        <v>2.4323883653727401</v>
      </c>
      <c r="C528" s="23">
        <f t="shared" si="16"/>
        <v>-5.1439777962101196E-3</v>
      </c>
      <c r="D528" s="25">
        <f t="shared" si="17"/>
        <v>3.4403665638762883E-2</v>
      </c>
    </row>
    <row r="529" spans="1:4">
      <c r="A529" s="23" t="s">
        <v>1019</v>
      </c>
      <c r="B529" s="23">
        <v>2.4375323431689502</v>
      </c>
      <c r="C529" s="23">
        <f t="shared" si="16"/>
        <v>-8.5664349472196477E-3</v>
      </c>
      <c r="D529" s="25">
        <f t="shared" si="17"/>
        <v>3.4708798637347708E-2</v>
      </c>
    </row>
    <row r="530" spans="1:4">
      <c r="A530" s="23" t="s">
        <v>1018</v>
      </c>
      <c r="B530" s="23">
        <v>2.4460987781161698</v>
      </c>
      <c r="C530" s="23">
        <f t="shared" si="16"/>
        <v>-1.7304844748702308E-3</v>
      </c>
      <c r="D530" s="25">
        <f t="shared" si="17"/>
        <v>3.9055298706380991E-2</v>
      </c>
    </row>
    <row r="531" spans="1:4">
      <c r="A531" s="23" t="s">
        <v>1017</v>
      </c>
      <c r="B531" s="23">
        <v>2.4478292625910401</v>
      </c>
      <c r="C531" s="23">
        <f t="shared" si="16"/>
        <v>1.5908160500150093E-2</v>
      </c>
      <c r="D531" s="25">
        <f t="shared" si="17"/>
        <v>3.9163477472546816E-2</v>
      </c>
    </row>
    <row r="532" spans="1:4">
      <c r="A532" s="23" t="s">
        <v>1016</v>
      </c>
      <c r="B532" s="23">
        <v>2.43192110209089</v>
      </c>
      <c r="C532" s="23">
        <f t="shared" si="16"/>
        <v>-1.8130775033009972E-2</v>
      </c>
      <c r="D532" s="25">
        <f t="shared" si="17"/>
        <v>3.9142311856442194E-2</v>
      </c>
    </row>
    <row r="533" spans="1:4">
      <c r="A533" s="23" t="s">
        <v>1015</v>
      </c>
      <c r="B533" s="23">
        <v>2.4500518771238999</v>
      </c>
      <c r="C533" s="23">
        <f t="shared" si="16"/>
        <v>-4.5984139350601083E-3</v>
      </c>
      <c r="D533" s="25">
        <f t="shared" si="17"/>
        <v>3.9058865231547682E-2</v>
      </c>
    </row>
    <row r="534" spans="1:4">
      <c r="A534" s="23" t="s">
        <v>1014</v>
      </c>
      <c r="B534" s="23">
        <v>2.45465029105896</v>
      </c>
      <c r="C534" s="23">
        <f t="shared" si="16"/>
        <v>2.3990501564170152E-2</v>
      </c>
      <c r="D534" s="25">
        <f t="shared" si="17"/>
        <v>3.9138930719397766E-2</v>
      </c>
    </row>
    <row r="535" spans="1:4">
      <c r="A535" s="23" t="s">
        <v>1013</v>
      </c>
      <c r="B535" s="23">
        <v>2.4306597894947899</v>
      </c>
      <c r="C535" s="23">
        <f t="shared" si="16"/>
        <v>-2.2578158689470218E-2</v>
      </c>
      <c r="D535" s="25">
        <f t="shared" si="17"/>
        <v>4.0162281305962451E-2</v>
      </c>
    </row>
    <row r="536" spans="1:4">
      <c r="A536" s="23" t="s">
        <v>1012</v>
      </c>
      <c r="B536" s="23">
        <v>2.4532379481842601</v>
      </c>
      <c r="C536" s="23">
        <f t="shared" si="16"/>
        <v>-6.4838113697889721E-2</v>
      </c>
      <c r="D536" s="25">
        <f t="shared" si="17"/>
        <v>4.003050164386885E-2</v>
      </c>
    </row>
    <row r="537" spans="1:4">
      <c r="A537" s="23" t="s">
        <v>1011</v>
      </c>
      <c r="B537" s="23">
        <v>2.5180760618821498</v>
      </c>
      <c r="C537" s="23">
        <f t="shared" si="16"/>
        <v>-2.6715774613120136E-2</v>
      </c>
      <c r="D537" s="25">
        <f t="shared" si="17"/>
        <v>3.9066334007676139E-2</v>
      </c>
    </row>
    <row r="538" spans="1:4">
      <c r="A538" s="23" t="s">
        <v>1010</v>
      </c>
      <c r="B538" s="23">
        <v>2.54479183649527</v>
      </c>
      <c r="C538" s="23">
        <f t="shared" si="16"/>
        <v>5.5414018227569972E-2</v>
      </c>
      <c r="D538" s="25">
        <f t="shared" si="17"/>
        <v>3.88707627855737E-2</v>
      </c>
    </row>
    <row r="539" spans="1:4">
      <c r="A539" s="23" t="s">
        <v>1009</v>
      </c>
      <c r="B539" s="23">
        <v>2.4893778182677</v>
      </c>
      <c r="C539" s="23">
        <f t="shared" si="16"/>
        <v>1.2428035992110065E-2</v>
      </c>
      <c r="D539" s="25">
        <f t="shared" si="17"/>
        <v>3.8455002200065973E-2</v>
      </c>
    </row>
    <row r="540" spans="1:4">
      <c r="A540" s="23" t="s">
        <v>1008</v>
      </c>
      <c r="B540" s="23">
        <v>2.4769497822755899</v>
      </c>
      <c r="C540" s="23">
        <f t="shared" si="16"/>
        <v>5.9566505432859795E-2</v>
      </c>
      <c r="D540" s="25">
        <f t="shared" si="17"/>
        <v>3.8945477246923127E-2</v>
      </c>
    </row>
    <row r="541" spans="1:4">
      <c r="A541" s="23" t="s">
        <v>1007</v>
      </c>
      <c r="B541" s="23">
        <v>2.4173832768427301</v>
      </c>
      <c r="C541" s="23">
        <f t="shared" si="16"/>
        <v>-6.8489822783759813E-2</v>
      </c>
      <c r="D541" s="25">
        <f t="shared" si="17"/>
        <v>3.8526293277811686E-2</v>
      </c>
    </row>
    <row r="542" spans="1:4">
      <c r="A542" s="23" t="s">
        <v>1006</v>
      </c>
      <c r="B542" s="23">
        <v>2.4858730996264899</v>
      </c>
      <c r="C542" s="23">
        <f t="shared" si="16"/>
        <v>-7.8845574502400151E-2</v>
      </c>
      <c r="D542" s="25">
        <f t="shared" si="17"/>
        <v>3.7584753786500835E-2</v>
      </c>
    </row>
    <row r="543" spans="1:4">
      <c r="A543" s="23" t="s">
        <v>1005</v>
      </c>
      <c r="B543" s="23">
        <v>2.5647186741288901</v>
      </c>
      <c r="C543" s="23">
        <f t="shared" si="16"/>
        <v>-4.5480448138759844E-2</v>
      </c>
      <c r="D543" s="25">
        <f t="shared" si="17"/>
        <v>3.6581255767353507E-2</v>
      </c>
    </row>
    <row r="544" spans="1:4">
      <c r="A544" s="23" t="s">
        <v>1004</v>
      </c>
      <c r="B544" s="23">
        <v>2.6101991222676499</v>
      </c>
      <c r="C544" s="23">
        <f t="shared" si="16"/>
        <v>1.5069566715369742E-2</v>
      </c>
      <c r="D544" s="25">
        <f t="shared" si="17"/>
        <v>3.6066383566446973E-2</v>
      </c>
    </row>
    <row r="545" spans="1:4">
      <c r="A545" s="23" t="s">
        <v>1003</v>
      </c>
      <c r="B545" s="23">
        <v>2.5951295555522802</v>
      </c>
      <c r="C545" s="23">
        <f t="shared" si="16"/>
        <v>-1.9204022537559595E-2</v>
      </c>
      <c r="D545" s="25">
        <f t="shared" si="17"/>
        <v>3.9057906546859283E-2</v>
      </c>
    </row>
    <row r="546" spans="1:4">
      <c r="A546" s="23" t="s">
        <v>1002</v>
      </c>
      <c r="B546" s="23">
        <v>2.6143335780898398</v>
      </c>
      <c r="C546" s="23">
        <f t="shared" si="16"/>
        <v>6.265047086049691E-3</v>
      </c>
      <c r="D546" s="25">
        <f t="shared" si="17"/>
        <v>3.9665878174158731E-2</v>
      </c>
    </row>
    <row r="547" spans="1:4">
      <c r="A547" s="23" t="s">
        <v>1001</v>
      </c>
      <c r="B547" s="23">
        <v>2.6080685310037901</v>
      </c>
      <c r="C547" s="23">
        <f t="shared" si="16"/>
        <v>-3.4489819727359983E-2</v>
      </c>
      <c r="D547" s="25">
        <f t="shared" si="17"/>
        <v>3.96684898724948E-2</v>
      </c>
    </row>
    <row r="548" spans="1:4">
      <c r="A548" s="23" t="s">
        <v>1000</v>
      </c>
      <c r="B548" s="23">
        <v>2.6425583507311501</v>
      </c>
      <c r="C548" s="23">
        <f t="shared" si="16"/>
        <v>3.0824191342002649E-3</v>
      </c>
      <c r="D548" s="25">
        <f t="shared" si="17"/>
        <v>3.9296732055867284E-2</v>
      </c>
    </row>
    <row r="549" spans="1:4">
      <c r="A549" s="23" t="s">
        <v>999</v>
      </c>
      <c r="B549" s="23">
        <v>2.6394759315969498</v>
      </c>
      <c r="C549" s="23">
        <f t="shared" si="16"/>
        <v>-2.00852702127996E-3</v>
      </c>
      <c r="D549" s="25">
        <f t="shared" si="17"/>
        <v>3.9698324288187856E-2</v>
      </c>
    </row>
    <row r="550" spans="1:4">
      <c r="A550" s="23" t="s">
        <v>998</v>
      </c>
      <c r="B550" s="23">
        <v>2.6414844586182298</v>
      </c>
      <c r="C550" s="23">
        <f t="shared" si="16"/>
        <v>-3.4790452541770378E-2</v>
      </c>
      <c r="D550" s="25">
        <f t="shared" si="17"/>
        <v>3.9850986532637536E-2</v>
      </c>
    </row>
    <row r="551" spans="1:4">
      <c r="A551" s="23" t="s">
        <v>997</v>
      </c>
      <c r="B551" s="23">
        <v>2.6762749111600002</v>
      </c>
      <c r="C551" s="23">
        <f t="shared" si="16"/>
        <v>2.929220980054037E-2</v>
      </c>
      <c r="D551" s="25">
        <f t="shared" si="17"/>
        <v>3.9543852531062129E-2</v>
      </c>
    </row>
    <row r="552" spans="1:4">
      <c r="A552" s="23" t="s">
        <v>996</v>
      </c>
      <c r="B552" s="23">
        <v>2.6469827013594598</v>
      </c>
      <c r="C552" s="23">
        <f t="shared" si="16"/>
        <v>4.0119399592299931E-2</v>
      </c>
      <c r="D552" s="25">
        <f t="shared" si="17"/>
        <v>3.9938459326291365E-2</v>
      </c>
    </row>
    <row r="553" spans="1:4">
      <c r="A553" s="23" t="s">
        <v>995</v>
      </c>
      <c r="B553" s="23">
        <v>2.6068633017671599</v>
      </c>
      <c r="C553" s="23">
        <f t="shared" si="16"/>
        <v>-2.2763511763870259E-2</v>
      </c>
      <c r="D553" s="25">
        <f t="shared" si="17"/>
        <v>3.9852229713010535E-2</v>
      </c>
    </row>
    <row r="554" spans="1:4">
      <c r="A554" s="23" t="s">
        <v>994</v>
      </c>
      <c r="B554" s="23">
        <v>2.6296268135310301</v>
      </c>
      <c r="C554" s="23">
        <f t="shared" si="16"/>
        <v>-3.4709513738649722E-2</v>
      </c>
      <c r="D554" s="25">
        <f t="shared" si="17"/>
        <v>4.0269341549156838E-2</v>
      </c>
    </row>
    <row r="555" spans="1:4">
      <c r="A555" s="23" t="s">
        <v>993</v>
      </c>
      <c r="B555" s="23">
        <v>2.6643363272696798</v>
      </c>
      <c r="C555" s="23">
        <f t="shared" si="16"/>
        <v>-4.1122251528720177E-2</v>
      </c>
      <c r="D555" s="25">
        <f t="shared" si="17"/>
        <v>4.0701948472028217E-2</v>
      </c>
    </row>
    <row r="556" spans="1:4">
      <c r="A556" s="23" t="s">
        <v>992</v>
      </c>
      <c r="B556" s="23">
        <v>2.7054585787984</v>
      </c>
      <c r="C556" s="23">
        <f t="shared" si="16"/>
        <v>5.0199040130900485E-3</v>
      </c>
      <c r="D556" s="25">
        <f t="shared" si="17"/>
        <v>4.0189766971573497E-2</v>
      </c>
    </row>
    <row r="557" spans="1:4">
      <c r="A557" s="23" t="s">
        <v>991</v>
      </c>
      <c r="B557" s="23">
        <v>2.70043867478531</v>
      </c>
      <c r="C557" s="23">
        <f t="shared" si="16"/>
        <v>-6.0166136983701435E-3</v>
      </c>
      <c r="D557" s="25">
        <f t="shared" si="17"/>
        <v>4.0225803712473224E-2</v>
      </c>
    </row>
    <row r="558" spans="1:4">
      <c r="A558" s="23" t="s">
        <v>990</v>
      </c>
      <c r="B558" s="23">
        <v>2.7064552884836801</v>
      </c>
      <c r="C558" s="23">
        <f t="shared" si="16"/>
        <v>-3.3529290464649808E-2</v>
      </c>
      <c r="D558" s="25">
        <f t="shared" si="17"/>
        <v>4.0179614095316708E-2</v>
      </c>
    </row>
    <row r="559" spans="1:4">
      <c r="A559" s="23" t="s">
        <v>989</v>
      </c>
      <c r="B559" s="23">
        <v>2.7399845789483299</v>
      </c>
      <c r="C559" s="23">
        <f t="shared" si="16"/>
        <v>-1.1930945522210301E-2</v>
      </c>
      <c r="D559" s="25">
        <f t="shared" si="17"/>
        <v>4.0038970846179245E-2</v>
      </c>
    </row>
    <row r="560" spans="1:4">
      <c r="A560" s="23" t="s">
        <v>988</v>
      </c>
      <c r="B560" s="23">
        <v>2.7519155244705402</v>
      </c>
      <c r="C560" s="23">
        <f t="shared" si="16"/>
        <v>7.8608033601630378E-2</v>
      </c>
      <c r="D560" s="25">
        <f t="shared" si="17"/>
        <v>3.9959349868638368E-2</v>
      </c>
    </row>
    <row r="561" spans="1:4">
      <c r="A561" s="23" t="s">
        <v>987</v>
      </c>
      <c r="B561" s="23">
        <v>2.6733074908689098</v>
      </c>
      <c r="C561" s="23">
        <f t="shared" si="16"/>
        <v>6.0755067594129741E-2</v>
      </c>
      <c r="D561" s="25">
        <f t="shared" si="17"/>
        <v>3.9460157215712249E-2</v>
      </c>
    </row>
    <row r="562" spans="1:4">
      <c r="A562" s="23" t="s">
        <v>986</v>
      </c>
      <c r="B562" s="23">
        <v>2.6125524232747801</v>
      </c>
      <c r="C562" s="23">
        <f t="shared" si="16"/>
        <v>5.1795965511300057E-2</v>
      </c>
      <c r="D562" s="25">
        <f t="shared" si="17"/>
        <v>3.9401079268771184E-2</v>
      </c>
    </row>
    <row r="563" spans="1:4">
      <c r="A563" s="23" t="s">
        <v>985</v>
      </c>
      <c r="B563" s="23">
        <v>2.56075645776348</v>
      </c>
      <c r="C563" s="23">
        <f t="shared" si="16"/>
        <v>1.4980453119319836E-2</v>
      </c>
      <c r="D563" s="25">
        <f t="shared" si="17"/>
        <v>3.9078231017408267E-2</v>
      </c>
    </row>
    <row r="564" spans="1:4">
      <c r="A564" s="23" t="s">
        <v>984</v>
      </c>
      <c r="B564" s="23">
        <v>2.5457760046441602</v>
      </c>
      <c r="C564" s="23">
        <f t="shared" si="16"/>
        <v>1.5845965045760302E-2</v>
      </c>
      <c r="D564" s="25">
        <f t="shared" si="17"/>
        <v>3.9071316077489968E-2</v>
      </c>
    </row>
    <row r="565" spans="1:4">
      <c r="A565" s="23" t="s">
        <v>983</v>
      </c>
      <c r="B565" s="23">
        <v>2.5299300395983999</v>
      </c>
      <c r="C565" s="23">
        <f t="shared" si="16"/>
        <v>-1.4907392723940038E-2</v>
      </c>
      <c r="D565" s="25">
        <f t="shared" si="17"/>
        <v>3.9204075081458692E-2</v>
      </c>
    </row>
    <row r="566" spans="1:4">
      <c r="A566" s="23" t="s">
        <v>982</v>
      </c>
      <c r="B566" s="23">
        <v>2.5448374323223399</v>
      </c>
      <c r="C566" s="23">
        <f t="shared" si="16"/>
        <v>-2.8382449791270137E-2</v>
      </c>
      <c r="D566" s="25">
        <f t="shared" si="17"/>
        <v>3.910203781185817E-2</v>
      </c>
    </row>
    <row r="567" spans="1:4">
      <c r="A567" s="23" t="s">
        <v>981</v>
      </c>
      <c r="B567" s="23">
        <v>2.5732198821136101</v>
      </c>
      <c r="C567" s="23">
        <f t="shared" si="16"/>
        <v>3.4262937537610227E-2</v>
      </c>
      <c r="D567" s="25">
        <f t="shared" si="17"/>
        <v>3.8826401075918712E-2</v>
      </c>
    </row>
    <row r="568" spans="1:4">
      <c r="A568" s="23" t="s">
        <v>980</v>
      </c>
      <c r="B568" s="23">
        <v>2.5389569445759999</v>
      </c>
      <c r="C568" s="23">
        <f t="shared" si="16"/>
        <v>-1.8901898417350349E-2</v>
      </c>
      <c r="D568" s="25">
        <f t="shared" si="17"/>
        <v>3.8716635968878525E-2</v>
      </c>
    </row>
    <row r="569" spans="1:4">
      <c r="A569" s="23" t="s">
        <v>979</v>
      </c>
      <c r="B569" s="23">
        <v>2.5578588429933502</v>
      </c>
      <c r="C569" s="23">
        <f t="shared" si="16"/>
        <v>-6.7281060491059641E-2</v>
      </c>
      <c r="D569" s="25">
        <f t="shared" si="17"/>
        <v>3.8554198966485938E-2</v>
      </c>
    </row>
    <row r="570" spans="1:4">
      <c r="A570" s="23" t="s">
        <v>978</v>
      </c>
      <c r="B570" s="23">
        <v>2.6251399034844098</v>
      </c>
      <c r="C570" s="23">
        <f t="shared" si="16"/>
        <v>-6.006316288802438E-4</v>
      </c>
      <c r="D570" s="25">
        <f t="shared" si="17"/>
        <v>3.9365383723340981E-2</v>
      </c>
    </row>
    <row r="571" spans="1:4">
      <c r="A571" s="23" t="s">
        <v>977</v>
      </c>
      <c r="B571" s="23">
        <v>2.6257405351132901</v>
      </c>
      <c r="C571" s="23">
        <f t="shared" si="16"/>
        <v>-1.2228964024529887E-2</v>
      </c>
      <c r="D571" s="25">
        <f t="shared" si="17"/>
        <v>4.057577114984294E-2</v>
      </c>
    </row>
    <row r="572" spans="1:4">
      <c r="A572" s="23" t="s">
        <v>976</v>
      </c>
      <c r="B572" s="23">
        <v>2.63796949913782</v>
      </c>
      <c r="C572" s="23">
        <f t="shared" si="16"/>
        <v>-5.1695580080224346E-5</v>
      </c>
      <c r="D572" s="25">
        <f t="shared" si="17"/>
        <v>4.0496906971935531E-2</v>
      </c>
    </row>
    <row r="573" spans="1:4">
      <c r="A573" s="23" t="s">
        <v>975</v>
      </c>
      <c r="B573" s="23">
        <v>2.6380211947179002</v>
      </c>
      <c r="C573" s="23">
        <f t="shared" si="16"/>
        <v>1.7235522144610105E-2</v>
      </c>
      <c r="D573" s="25">
        <f t="shared" si="17"/>
        <v>4.0862972696985009E-2</v>
      </c>
    </row>
    <row r="574" spans="1:4">
      <c r="A574" s="23" t="s">
        <v>974</v>
      </c>
      <c r="B574" s="23">
        <v>2.6207856725732901</v>
      </c>
      <c r="C574" s="23">
        <f t="shared" si="16"/>
        <v>1.2236493629429912E-2</v>
      </c>
      <c r="D574" s="25">
        <f t="shared" si="17"/>
        <v>4.1672239264831344E-2</v>
      </c>
    </row>
    <row r="575" spans="1:4">
      <c r="A575" s="23" t="s">
        <v>973</v>
      </c>
      <c r="B575" s="23">
        <v>2.6085491789438602</v>
      </c>
      <c r="C575" s="23">
        <f t="shared" si="16"/>
        <v>-4.5170558370349667E-2</v>
      </c>
      <c r="D575" s="25">
        <f t="shared" si="17"/>
        <v>4.1792452858598124E-2</v>
      </c>
    </row>
    <row r="576" spans="1:4">
      <c r="A576" s="23" t="s">
        <v>972</v>
      </c>
      <c r="B576" s="23">
        <v>2.6537197373142098</v>
      </c>
      <c r="C576" s="23">
        <f t="shared" si="16"/>
        <v>4.6707896145250061E-2</v>
      </c>
      <c r="D576" s="25">
        <f t="shared" si="17"/>
        <v>4.2061408111915964E-2</v>
      </c>
    </row>
    <row r="577" spans="1:4">
      <c r="A577" s="23" t="s">
        <v>971</v>
      </c>
      <c r="B577" s="23">
        <v>2.6070118411689598</v>
      </c>
      <c r="C577" s="23">
        <f t="shared" si="16"/>
        <v>4.1703376509569789E-2</v>
      </c>
      <c r="D577" s="25">
        <f t="shared" si="17"/>
        <v>4.2285006908558027E-2</v>
      </c>
    </row>
    <row r="578" spans="1:4">
      <c r="A578" s="23" t="s">
        <v>970</v>
      </c>
      <c r="B578" s="23">
        <v>2.56530846465939</v>
      </c>
      <c r="C578" s="23">
        <f t="shared" ref="C578:C641" si="18">B578-B579</f>
        <v>-7.8670841655799073E-3</v>
      </c>
      <c r="D578" s="25">
        <f t="shared" ref="D578:D641" si="19">STDEV(C578:C637)</f>
        <v>4.2434330173016663E-2</v>
      </c>
    </row>
    <row r="579" spans="1:4">
      <c r="A579" s="23" t="s">
        <v>969</v>
      </c>
      <c r="B579" s="23">
        <v>2.5731755488249699</v>
      </c>
      <c r="C579" s="23">
        <f t="shared" si="18"/>
        <v>2.1813058380089956E-2</v>
      </c>
      <c r="D579" s="25">
        <f t="shared" si="19"/>
        <v>4.242756859676014E-2</v>
      </c>
    </row>
    <row r="580" spans="1:4">
      <c r="A580" s="23" t="s">
        <v>968</v>
      </c>
      <c r="B580" s="23">
        <v>2.5513624904448799</v>
      </c>
      <c r="C580" s="23">
        <f t="shared" si="18"/>
        <v>-8.0695847291401002E-3</v>
      </c>
      <c r="D580" s="25">
        <f t="shared" si="19"/>
        <v>4.2392439357279391E-2</v>
      </c>
    </row>
    <row r="581" spans="1:4">
      <c r="A581" s="23" t="s">
        <v>967</v>
      </c>
      <c r="B581" s="23">
        <v>2.55943207517402</v>
      </c>
      <c r="C581" s="23">
        <f t="shared" si="18"/>
        <v>-4.108757450427003E-2</v>
      </c>
      <c r="D581" s="25">
        <f t="shared" si="19"/>
        <v>4.2847396346058504E-2</v>
      </c>
    </row>
    <row r="582" spans="1:4">
      <c r="A582" s="23" t="s">
        <v>966</v>
      </c>
      <c r="B582" s="23">
        <v>2.6005196496782901</v>
      </c>
      <c r="C582" s="23">
        <f t="shared" si="18"/>
        <v>4.4892636419380239E-2</v>
      </c>
      <c r="D582" s="25">
        <f t="shared" si="19"/>
        <v>4.7449278496312836E-2</v>
      </c>
    </row>
    <row r="583" spans="1:4">
      <c r="A583" s="23" t="s">
        <v>965</v>
      </c>
      <c r="B583" s="23">
        <v>2.5556270132589098</v>
      </c>
      <c r="C583" s="23">
        <f t="shared" si="18"/>
        <v>-3.5778522427330373E-2</v>
      </c>
      <c r="D583" s="25">
        <f t="shared" si="19"/>
        <v>4.8764489220793357E-2</v>
      </c>
    </row>
    <row r="584" spans="1:4">
      <c r="A584" s="23" t="s">
        <v>964</v>
      </c>
      <c r="B584" s="23">
        <v>2.5914055356862402</v>
      </c>
      <c r="C584" s="23">
        <f t="shared" si="18"/>
        <v>1.7637944712720177E-2</v>
      </c>
      <c r="D584" s="25">
        <f t="shared" si="19"/>
        <v>4.8951489857426457E-2</v>
      </c>
    </row>
    <row r="585" spans="1:4">
      <c r="A585" s="23" t="s">
        <v>963</v>
      </c>
      <c r="B585" s="23">
        <v>2.57376759097352</v>
      </c>
      <c r="C585" s="23">
        <f t="shared" si="18"/>
        <v>-3.5249323962398549E-3</v>
      </c>
      <c r="D585" s="25">
        <f t="shared" si="19"/>
        <v>4.9257477847407118E-2</v>
      </c>
    </row>
    <row r="586" spans="1:4">
      <c r="A586" s="23" t="s">
        <v>962</v>
      </c>
      <c r="B586" s="23">
        <v>2.5772925233697599</v>
      </c>
      <c r="C586" s="23">
        <f t="shared" si="18"/>
        <v>1.7483269627720066E-2</v>
      </c>
      <c r="D586" s="25">
        <f t="shared" si="19"/>
        <v>5.0429080429682194E-2</v>
      </c>
    </row>
    <row r="587" spans="1:4">
      <c r="A587" s="23" t="s">
        <v>961</v>
      </c>
      <c r="B587" s="23">
        <v>2.5598092537420398</v>
      </c>
      <c r="C587" s="23">
        <f t="shared" si="18"/>
        <v>2.0481023255229935E-2</v>
      </c>
      <c r="D587" s="25">
        <f t="shared" si="19"/>
        <v>5.0682784625107342E-2</v>
      </c>
    </row>
    <row r="588" spans="1:4">
      <c r="A588" s="23" t="s">
        <v>960</v>
      </c>
      <c r="B588" s="23">
        <v>2.5393282304868099</v>
      </c>
      <c r="C588" s="23">
        <f t="shared" si="18"/>
        <v>3.4009735124839846E-2</v>
      </c>
      <c r="D588" s="25">
        <f t="shared" si="19"/>
        <v>5.086823865736613E-2</v>
      </c>
    </row>
    <row r="589" spans="1:4">
      <c r="A589" s="23" t="s">
        <v>959</v>
      </c>
      <c r="B589" s="23">
        <v>2.50531849536197</v>
      </c>
      <c r="C589" s="23">
        <f t="shared" si="18"/>
        <v>0.13789960152710012</v>
      </c>
      <c r="D589" s="25">
        <f t="shared" si="19"/>
        <v>5.1679828447247694E-2</v>
      </c>
    </row>
    <row r="590" spans="1:4">
      <c r="A590" s="23" t="s">
        <v>958</v>
      </c>
      <c r="B590" s="23">
        <v>2.3674188938348699</v>
      </c>
      <c r="C590" s="23">
        <f t="shared" si="18"/>
        <v>2.4106361235039842E-2</v>
      </c>
      <c r="D590" s="25">
        <f t="shared" si="19"/>
        <v>4.9032369327702024E-2</v>
      </c>
    </row>
    <row r="591" spans="1:4">
      <c r="A591" s="23" t="s">
        <v>957</v>
      </c>
      <c r="B591" s="23">
        <v>2.3433125325998301</v>
      </c>
      <c r="C591" s="23">
        <f t="shared" si="18"/>
        <v>-8.8952098618899633E-3</v>
      </c>
      <c r="D591" s="25">
        <f t="shared" si="19"/>
        <v>4.9153817796208331E-2</v>
      </c>
    </row>
    <row r="592" spans="1:4">
      <c r="A592" s="23" t="s">
        <v>956</v>
      </c>
      <c r="B592" s="23">
        <v>2.35220774246172</v>
      </c>
      <c r="C592" s="23">
        <f t="shared" si="18"/>
        <v>1.9285752087299102E-3</v>
      </c>
      <c r="D592" s="25">
        <f t="shared" si="19"/>
        <v>4.9193628889013914E-2</v>
      </c>
    </row>
    <row r="593" spans="1:4">
      <c r="A593" s="23" t="s">
        <v>955</v>
      </c>
      <c r="B593" s="23">
        <v>2.3502791672529901</v>
      </c>
      <c r="C593" s="23">
        <f t="shared" si="18"/>
        <v>-1.8631994638029781E-2</v>
      </c>
      <c r="D593" s="25">
        <f t="shared" si="19"/>
        <v>4.9354474727923939E-2</v>
      </c>
    </row>
    <row r="594" spans="1:4">
      <c r="A594" s="23" t="s">
        <v>954</v>
      </c>
      <c r="B594" s="23">
        <v>2.3689111618910199</v>
      </c>
      <c r="C594" s="23">
        <f t="shared" si="18"/>
        <v>7.4501333046629981E-2</v>
      </c>
      <c r="D594" s="25">
        <f t="shared" si="19"/>
        <v>5.0092293830375681E-2</v>
      </c>
    </row>
    <row r="595" spans="1:4">
      <c r="A595" s="23" t="s">
        <v>953</v>
      </c>
      <c r="B595" s="23">
        <v>2.2944098288443899</v>
      </c>
      <c r="C595" s="23">
        <f t="shared" si="18"/>
        <v>5.673015612397414E-4</v>
      </c>
      <c r="D595" s="25">
        <f t="shared" si="19"/>
        <v>4.9417449150567797E-2</v>
      </c>
    </row>
    <row r="596" spans="1:4">
      <c r="A596" s="23" t="s">
        <v>952</v>
      </c>
      <c r="B596" s="23">
        <v>2.2938425272831502</v>
      </c>
      <c r="C596" s="23">
        <f t="shared" si="18"/>
        <v>1.544153630575007E-2</v>
      </c>
      <c r="D596" s="25">
        <f t="shared" si="19"/>
        <v>5.1347764825307431E-2</v>
      </c>
    </row>
    <row r="597" spans="1:4">
      <c r="A597" s="23" t="s">
        <v>951</v>
      </c>
      <c r="B597" s="23">
        <v>2.2784009909774001</v>
      </c>
      <c r="C597" s="23">
        <f t="shared" si="18"/>
        <v>-3.284405741249774E-3</v>
      </c>
      <c r="D597" s="25">
        <f t="shared" si="19"/>
        <v>5.1632913024160502E-2</v>
      </c>
    </row>
    <row r="598" spans="1:4">
      <c r="A598" s="23" t="s">
        <v>950</v>
      </c>
      <c r="B598" s="23">
        <v>2.2816853967186499</v>
      </c>
      <c r="C598" s="23">
        <f t="shared" si="18"/>
        <v>-2.4120827024410207E-2</v>
      </c>
      <c r="D598" s="25">
        <f t="shared" si="19"/>
        <v>5.1720973362477496E-2</v>
      </c>
    </row>
    <row r="599" spans="1:4">
      <c r="A599" s="23" t="s">
        <v>949</v>
      </c>
      <c r="B599" s="23">
        <v>2.3058062237430601</v>
      </c>
      <c r="C599" s="23">
        <f t="shared" si="18"/>
        <v>5.1568485595069991E-2</v>
      </c>
      <c r="D599" s="25">
        <f t="shared" si="19"/>
        <v>5.1597530009021023E-2</v>
      </c>
    </row>
    <row r="600" spans="1:4">
      <c r="A600" s="23" t="s">
        <v>948</v>
      </c>
      <c r="B600" s="23">
        <v>2.2542377381479901</v>
      </c>
      <c r="C600" s="23">
        <f t="shared" si="18"/>
        <v>-3.2982482444499972E-2</v>
      </c>
      <c r="D600" s="25">
        <f t="shared" si="19"/>
        <v>5.1515047771362309E-2</v>
      </c>
    </row>
    <row r="601" spans="1:4">
      <c r="A601" s="23" t="s">
        <v>947</v>
      </c>
      <c r="B601" s="23">
        <v>2.2872202205924901</v>
      </c>
      <c r="C601" s="23">
        <f t="shared" si="18"/>
        <v>-2.6021933534090103E-2</v>
      </c>
      <c r="D601" s="25">
        <f t="shared" si="19"/>
        <v>5.1864642501717177E-2</v>
      </c>
    </row>
    <row r="602" spans="1:4">
      <c r="A602" s="23" t="s">
        <v>946</v>
      </c>
      <c r="B602" s="23">
        <v>2.3132421541265802</v>
      </c>
      <c r="C602" s="23">
        <f t="shared" si="18"/>
        <v>-4.5148155578369931E-2</v>
      </c>
      <c r="D602" s="25">
        <f t="shared" si="19"/>
        <v>5.1737984977523729E-2</v>
      </c>
    </row>
    <row r="603" spans="1:4">
      <c r="A603" s="23" t="s">
        <v>945</v>
      </c>
      <c r="B603" s="23">
        <v>2.3583903097049501</v>
      </c>
      <c r="C603" s="23">
        <f t="shared" si="18"/>
        <v>1.9455036536180081E-2</v>
      </c>
      <c r="D603" s="25">
        <f t="shared" si="19"/>
        <v>5.1483871769481146E-2</v>
      </c>
    </row>
    <row r="604" spans="1:4">
      <c r="A604" s="23" t="s">
        <v>944</v>
      </c>
      <c r="B604" s="23">
        <v>2.33893527316877</v>
      </c>
      <c r="C604" s="23">
        <f t="shared" si="18"/>
        <v>0.12095804326993997</v>
      </c>
      <c r="D604" s="25">
        <f t="shared" si="19"/>
        <v>5.2654755413831807E-2</v>
      </c>
    </row>
    <row r="605" spans="1:4">
      <c r="A605" s="23" t="s">
        <v>943</v>
      </c>
      <c r="B605" s="23">
        <v>2.2179772298988301</v>
      </c>
      <c r="C605" s="23">
        <f t="shared" si="18"/>
        <v>6.6246518640120211E-2</v>
      </c>
      <c r="D605" s="25">
        <f t="shared" si="19"/>
        <v>5.127538628798637E-2</v>
      </c>
    </row>
    <row r="606" spans="1:4">
      <c r="A606" s="23" t="s">
        <v>942</v>
      </c>
      <c r="B606" s="23">
        <v>2.1517307112587098</v>
      </c>
      <c r="C606" s="23">
        <f t="shared" si="18"/>
        <v>1.155438926766994E-2</v>
      </c>
      <c r="D606" s="25">
        <f t="shared" si="19"/>
        <v>5.1798572436613885E-2</v>
      </c>
    </row>
    <row r="607" spans="1:4">
      <c r="A607" s="23" t="s">
        <v>941</v>
      </c>
      <c r="B607" s="23">
        <v>2.1401763219910399</v>
      </c>
      <c r="C607" s="23">
        <f t="shared" si="18"/>
        <v>1.7898652463979925E-2</v>
      </c>
      <c r="D607" s="25">
        <f t="shared" si="19"/>
        <v>5.2431656767890716E-2</v>
      </c>
    </row>
    <row r="608" spans="1:4">
      <c r="A608" s="23" t="s">
        <v>940</v>
      </c>
      <c r="B608" s="23">
        <v>2.12227766952706</v>
      </c>
      <c r="C608" s="23">
        <f t="shared" si="18"/>
        <v>-3.5230881903599798E-2</v>
      </c>
      <c r="D608" s="25">
        <f t="shared" si="19"/>
        <v>5.2413031803842325E-2</v>
      </c>
    </row>
    <row r="609" spans="1:4">
      <c r="A609" s="23" t="s">
        <v>939</v>
      </c>
      <c r="B609" s="23">
        <v>2.1575085514306598</v>
      </c>
      <c r="C609" s="23">
        <f t="shared" si="18"/>
        <v>-2.0657466992180407E-2</v>
      </c>
      <c r="D609" s="25">
        <f t="shared" si="19"/>
        <v>5.3096918149312902E-2</v>
      </c>
    </row>
    <row r="610" spans="1:4">
      <c r="A610" s="23" t="s">
        <v>938</v>
      </c>
      <c r="B610" s="23">
        <v>2.1781660184228402</v>
      </c>
      <c r="C610" s="23">
        <f t="shared" si="18"/>
        <v>2.8591939205300232E-2</v>
      </c>
      <c r="D610" s="25">
        <f t="shared" si="19"/>
        <v>5.3019273525338619E-2</v>
      </c>
    </row>
    <row r="611" spans="1:4">
      <c r="A611" s="23" t="s">
        <v>937</v>
      </c>
      <c r="B611" s="23">
        <v>2.14957407921754</v>
      </c>
      <c r="C611" s="23">
        <f t="shared" si="18"/>
        <v>-3.9705195919299996E-2</v>
      </c>
      <c r="D611" s="25">
        <f t="shared" si="19"/>
        <v>5.3610758568175723E-2</v>
      </c>
    </row>
    <row r="612" spans="1:4">
      <c r="A612" s="23" t="s">
        <v>936</v>
      </c>
      <c r="B612" s="23">
        <v>2.18927927513684</v>
      </c>
      <c r="C612" s="23">
        <f t="shared" si="18"/>
        <v>-1.8978685859130096E-2</v>
      </c>
      <c r="D612" s="25">
        <f t="shared" si="19"/>
        <v>5.3818275249250508E-2</v>
      </c>
    </row>
    <row r="613" spans="1:4">
      <c r="A613" s="23" t="s">
        <v>935</v>
      </c>
      <c r="B613" s="23">
        <v>2.20825796099597</v>
      </c>
      <c r="C613" s="23">
        <f t="shared" si="18"/>
        <v>-4.6705250626600137E-2</v>
      </c>
      <c r="D613" s="25">
        <f t="shared" si="19"/>
        <v>5.4618763938662974E-2</v>
      </c>
    </row>
    <row r="614" spans="1:4">
      <c r="A614" s="23" t="s">
        <v>934</v>
      </c>
      <c r="B614" s="23">
        <v>2.2549632116225702</v>
      </c>
      <c r="C614" s="23">
        <f t="shared" si="18"/>
        <v>6.8876268433720078E-2</v>
      </c>
      <c r="D614" s="25">
        <f t="shared" si="19"/>
        <v>5.4538847915248698E-2</v>
      </c>
    </row>
    <row r="615" spans="1:4">
      <c r="A615" s="23" t="s">
        <v>933</v>
      </c>
      <c r="B615" s="23">
        <v>2.1860869431888501</v>
      </c>
      <c r="C615" s="23">
        <f t="shared" si="18"/>
        <v>1.1381135252060304E-2</v>
      </c>
      <c r="D615" s="25">
        <f t="shared" si="19"/>
        <v>5.4320867481891667E-2</v>
      </c>
    </row>
    <row r="616" spans="1:4">
      <c r="A616" s="23" t="s">
        <v>932</v>
      </c>
      <c r="B616" s="23">
        <v>2.1747058079367898</v>
      </c>
      <c r="C616" s="23">
        <f t="shared" si="18"/>
        <v>-4.8374880607502391E-3</v>
      </c>
      <c r="D616" s="25">
        <f t="shared" si="19"/>
        <v>5.4310836208664962E-2</v>
      </c>
    </row>
    <row r="617" spans="1:4">
      <c r="A617" s="23" t="s">
        <v>931</v>
      </c>
      <c r="B617" s="23">
        <v>2.17954329599754</v>
      </c>
      <c r="C617" s="23">
        <f t="shared" si="18"/>
        <v>9.6980511152802151E-3</v>
      </c>
      <c r="D617" s="25">
        <f t="shared" si="19"/>
        <v>5.4343120916599104E-2</v>
      </c>
    </row>
    <row r="618" spans="1:4">
      <c r="A618" s="23" t="s">
        <v>930</v>
      </c>
      <c r="B618" s="23">
        <v>2.1698452448822598</v>
      </c>
      <c r="C618" s="23">
        <f t="shared" si="18"/>
        <v>4.4140537800079649E-2</v>
      </c>
      <c r="D618" s="25">
        <f t="shared" si="19"/>
        <v>5.4942256369421724E-2</v>
      </c>
    </row>
    <row r="619" spans="1:4">
      <c r="A619" s="23" t="s">
        <v>929</v>
      </c>
      <c r="B619" s="23">
        <v>2.1257047070821802</v>
      </c>
      <c r="C619" s="23">
        <f t="shared" si="18"/>
        <v>-6.1525086517999483E-4</v>
      </c>
      <c r="D619" s="25">
        <f t="shared" si="19"/>
        <v>6.1679623234359084E-2</v>
      </c>
    </row>
    <row r="620" spans="1:4">
      <c r="A620" s="23" t="s">
        <v>928</v>
      </c>
      <c r="B620" s="23">
        <v>2.1263199579473602</v>
      </c>
      <c r="C620" s="23">
        <f t="shared" si="18"/>
        <v>-4.0012791064919728E-2</v>
      </c>
      <c r="D620" s="25">
        <f t="shared" si="19"/>
        <v>6.1899604688602783E-2</v>
      </c>
    </row>
    <row r="621" spans="1:4">
      <c r="A621" s="23" t="s">
        <v>927</v>
      </c>
      <c r="B621" s="23">
        <v>2.1663327490122799</v>
      </c>
      <c r="C621" s="23">
        <f t="shared" si="18"/>
        <v>5.8059120780300066E-2</v>
      </c>
      <c r="D621" s="25">
        <f t="shared" si="19"/>
        <v>6.1775808139149561E-2</v>
      </c>
    </row>
    <row r="622" spans="1:4">
      <c r="A622" s="23" t="s">
        <v>926</v>
      </c>
      <c r="B622" s="23">
        <v>2.1082736282319798</v>
      </c>
      <c r="C622" s="23">
        <f t="shared" si="18"/>
        <v>2.8332136029439958E-2</v>
      </c>
      <c r="D622" s="25">
        <f t="shared" si="19"/>
        <v>6.1254432715603671E-2</v>
      </c>
    </row>
    <row r="623" spans="1:4">
      <c r="A623" s="23" t="s">
        <v>925</v>
      </c>
      <c r="B623" s="23">
        <v>2.0799414922025399</v>
      </c>
      <c r="C623" s="23">
        <f t="shared" si="18"/>
        <v>1.211125546309999E-2</v>
      </c>
      <c r="D623" s="25">
        <f t="shared" si="19"/>
        <v>6.1911856207120641E-2</v>
      </c>
    </row>
    <row r="624" spans="1:4">
      <c r="A624" s="23" t="s">
        <v>924</v>
      </c>
      <c r="B624" s="23">
        <v>2.0678302367394399</v>
      </c>
      <c r="C624" s="23">
        <f t="shared" si="18"/>
        <v>-1.8392334406200028E-2</v>
      </c>
      <c r="D624" s="25">
        <f t="shared" si="19"/>
        <v>6.2473312091605268E-2</v>
      </c>
    </row>
    <row r="625" spans="1:4">
      <c r="A625" s="23" t="s">
        <v>923</v>
      </c>
      <c r="B625" s="23">
        <v>2.0862225711456399</v>
      </c>
      <c r="C625" s="23">
        <f t="shared" si="18"/>
        <v>1.3689022087609803E-2</v>
      </c>
      <c r="D625" s="25">
        <f t="shared" si="19"/>
        <v>6.2485876709417479E-2</v>
      </c>
    </row>
    <row r="626" spans="1:4">
      <c r="A626" s="23" t="s">
        <v>922</v>
      </c>
      <c r="B626" s="23">
        <v>2.0725335490580301</v>
      </c>
      <c r="C626" s="23">
        <f t="shared" si="18"/>
        <v>8.9687628740175995E-5</v>
      </c>
      <c r="D626" s="25">
        <f t="shared" si="19"/>
        <v>6.2493926108825072E-2</v>
      </c>
    </row>
    <row r="627" spans="1:4">
      <c r="A627" s="23" t="s">
        <v>921</v>
      </c>
      <c r="B627" s="23">
        <v>2.0724438614292899</v>
      </c>
      <c r="C627" s="23">
        <f t="shared" si="18"/>
        <v>2.1469603796520076E-2</v>
      </c>
      <c r="D627" s="25">
        <f t="shared" si="19"/>
        <v>6.2964466794064936E-2</v>
      </c>
    </row>
    <row r="628" spans="1:4">
      <c r="A628" s="23" t="s">
        <v>920</v>
      </c>
      <c r="B628" s="23">
        <v>2.0509742576327699</v>
      </c>
      <c r="C628" s="23">
        <f t="shared" si="18"/>
        <v>6.9253048331496814E-3</v>
      </c>
      <c r="D628" s="25">
        <f t="shared" si="19"/>
        <v>6.2969197361743834E-2</v>
      </c>
    </row>
    <row r="629" spans="1:4">
      <c r="A629" s="23" t="s">
        <v>919</v>
      </c>
      <c r="B629" s="23">
        <v>2.0440489527996202</v>
      </c>
      <c r="C629" s="23">
        <f t="shared" si="18"/>
        <v>-8.8849920620849954E-2</v>
      </c>
      <c r="D629" s="25">
        <f t="shared" si="19"/>
        <v>6.3498751582088814E-2</v>
      </c>
    </row>
    <row r="630" spans="1:4">
      <c r="A630" s="23" t="s">
        <v>918</v>
      </c>
      <c r="B630" s="23">
        <v>2.1328988734204701</v>
      </c>
      <c r="C630" s="23">
        <f t="shared" si="18"/>
        <v>-6.8365446040719924E-2</v>
      </c>
      <c r="D630" s="25">
        <f t="shared" si="19"/>
        <v>6.264605223969294E-2</v>
      </c>
    </row>
    <row r="631" spans="1:4">
      <c r="A631" s="23" t="s">
        <v>917</v>
      </c>
      <c r="B631" s="23">
        <v>2.2012643194611901</v>
      </c>
      <c r="C631" s="23">
        <f t="shared" si="18"/>
        <v>8.7217867077802325E-3</v>
      </c>
      <c r="D631" s="25">
        <f t="shared" si="19"/>
        <v>6.2224715615326553E-2</v>
      </c>
    </row>
    <row r="632" spans="1:4">
      <c r="A632" s="23" t="s">
        <v>916</v>
      </c>
      <c r="B632" s="23">
        <v>2.1925425327534098</v>
      </c>
      <c r="C632" s="23">
        <f t="shared" si="18"/>
        <v>5.0501352633959939E-2</v>
      </c>
      <c r="D632" s="25">
        <f t="shared" si="19"/>
        <v>6.2375467696273362E-2</v>
      </c>
    </row>
    <row r="633" spans="1:4">
      <c r="A633" s="23" t="s">
        <v>915</v>
      </c>
      <c r="B633" s="23">
        <v>2.1420411801194499</v>
      </c>
      <c r="C633" s="23">
        <f t="shared" si="18"/>
        <v>7.2073485651189984E-2</v>
      </c>
      <c r="D633" s="25">
        <f t="shared" si="19"/>
        <v>6.2479381292126837E-2</v>
      </c>
    </row>
    <row r="634" spans="1:4">
      <c r="A634" s="23" t="s">
        <v>914</v>
      </c>
      <c r="B634" s="23">
        <v>2.0699676944682599</v>
      </c>
      <c r="C634" s="23">
        <f t="shared" si="18"/>
        <v>3.3860565190529712E-2</v>
      </c>
      <c r="D634" s="25">
        <f t="shared" si="19"/>
        <v>6.3139399711995003E-2</v>
      </c>
    </row>
    <row r="635" spans="1:4">
      <c r="A635" s="23" t="s">
        <v>913</v>
      </c>
      <c r="B635" s="23">
        <v>2.0361071292777302</v>
      </c>
      <c r="C635" s="23">
        <f t="shared" si="18"/>
        <v>-5.6231513751519913E-2</v>
      </c>
      <c r="D635" s="25">
        <f t="shared" si="19"/>
        <v>6.2924267975543194E-2</v>
      </c>
    </row>
    <row r="636" spans="1:4">
      <c r="A636" s="23" t="s">
        <v>912</v>
      </c>
      <c r="B636" s="23">
        <v>2.0923386430292501</v>
      </c>
      <c r="C636" s="23">
        <f t="shared" si="18"/>
        <v>-4.2015437422679991E-2</v>
      </c>
      <c r="D636" s="25">
        <f t="shared" si="19"/>
        <v>6.2644549898311364E-2</v>
      </c>
    </row>
    <row r="637" spans="1:4">
      <c r="A637" s="23" t="s">
        <v>911</v>
      </c>
      <c r="B637" s="23">
        <v>2.1343540804519301</v>
      </c>
      <c r="C637" s="23">
        <f t="shared" si="18"/>
        <v>5.1376181825089962E-2</v>
      </c>
      <c r="D637" s="25">
        <f t="shared" si="19"/>
        <v>6.2563516344164252E-2</v>
      </c>
    </row>
    <row r="638" spans="1:4">
      <c r="A638" s="23" t="s">
        <v>910</v>
      </c>
      <c r="B638" s="23">
        <v>2.0829778986268401</v>
      </c>
      <c r="C638" s="23">
        <f t="shared" si="18"/>
        <v>2.3382233214390258E-2</v>
      </c>
      <c r="D638" s="25">
        <f t="shared" si="19"/>
        <v>6.2297071757619928E-2</v>
      </c>
    </row>
    <row r="639" spans="1:4">
      <c r="A639" s="23" t="s">
        <v>909</v>
      </c>
      <c r="B639" s="23">
        <v>2.0595956654124499</v>
      </c>
      <c r="C639" s="23">
        <f t="shared" si="18"/>
        <v>1.003134503707992E-2</v>
      </c>
      <c r="D639" s="25">
        <f t="shared" si="19"/>
        <v>6.4897419352383745E-2</v>
      </c>
    </row>
    <row r="640" spans="1:4">
      <c r="A640" s="23" t="s">
        <v>908</v>
      </c>
      <c r="B640" s="23">
        <v>2.04956432037537</v>
      </c>
      <c r="C640" s="23">
        <f t="shared" si="18"/>
        <v>-4.2408137397489831E-2</v>
      </c>
      <c r="D640" s="25">
        <f t="shared" si="19"/>
        <v>6.5639697003674558E-2</v>
      </c>
    </row>
    <row r="641" spans="1:4">
      <c r="A641" s="23" t="s">
        <v>907</v>
      </c>
      <c r="B641" s="23">
        <v>2.0919724577728598</v>
      </c>
      <c r="C641" s="23">
        <f t="shared" si="18"/>
        <v>-0.15691866966488011</v>
      </c>
      <c r="D641" s="25">
        <f t="shared" si="19"/>
        <v>6.5469229605504414E-2</v>
      </c>
    </row>
    <row r="642" spans="1:4">
      <c r="A642" s="23" t="s">
        <v>906</v>
      </c>
      <c r="B642" s="23">
        <v>2.2488911274377399</v>
      </c>
      <c r="C642" s="23">
        <f t="shared" ref="C642:C705" si="20">B642-B643</f>
        <v>0.10094897547157977</v>
      </c>
      <c r="D642" s="25">
        <f t="shared" ref="D642:D705" si="21">STDEV(C642:C701)</f>
        <v>6.2425759244083646E-2</v>
      </c>
    </row>
    <row r="643" spans="1:4">
      <c r="A643" s="23" t="s">
        <v>905</v>
      </c>
      <c r="B643" s="23">
        <v>2.1479421519661601</v>
      </c>
      <c r="C643" s="23">
        <f t="shared" si="20"/>
        <v>-4.6988911007659784E-2</v>
      </c>
      <c r="D643" s="25">
        <f t="shared" si="21"/>
        <v>6.0911822994298551E-2</v>
      </c>
    </row>
    <row r="644" spans="1:4">
      <c r="A644" s="23" t="s">
        <v>904</v>
      </c>
      <c r="B644" s="23">
        <v>2.1949310629738199</v>
      </c>
      <c r="C644" s="23">
        <f t="shared" si="20"/>
        <v>-3.749790648059026E-2</v>
      </c>
      <c r="D644" s="25">
        <f t="shared" si="21"/>
        <v>6.0668951765056205E-2</v>
      </c>
    </row>
    <row r="645" spans="1:4">
      <c r="A645" s="23" t="s">
        <v>903</v>
      </c>
      <c r="B645" s="23">
        <v>2.2324289694544102</v>
      </c>
      <c r="C645" s="23">
        <f t="shared" si="20"/>
        <v>9.007922416457026E-2</v>
      </c>
      <c r="D645" s="25">
        <f t="shared" si="21"/>
        <v>6.0983699434873181E-2</v>
      </c>
    </row>
    <row r="646" spans="1:4">
      <c r="A646" s="23" t="s">
        <v>902</v>
      </c>
      <c r="B646" s="23">
        <v>2.1423497452898399</v>
      </c>
      <c r="C646" s="23">
        <f t="shared" si="20"/>
        <v>-3.351345505922021E-2</v>
      </c>
      <c r="D646" s="25">
        <f t="shared" si="21"/>
        <v>5.9767709004804409E-2</v>
      </c>
    </row>
    <row r="647" spans="1:4">
      <c r="A647" s="23" t="s">
        <v>901</v>
      </c>
      <c r="B647" s="23">
        <v>2.1758632003490601</v>
      </c>
      <c r="C647" s="23">
        <f t="shared" si="20"/>
        <v>-3.0378080943679997E-2</v>
      </c>
      <c r="D647" s="25">
        <f t="shared" si="21"/>
        <v>6.0881363373131728E-2</v>
      </c>
    </row>
    <row r="648" spans="1:4">
      <c r="A648" s="23" t="s">
        <v>900</v>
      </c>
      <c r="B648" s="23">
        <v>2.2062412812927401</v>
      </c>
      <c r="C648" s="23">
        <f t="shared" si="20"/>
        <v>-7.1293044380469794E-2</v>
      </c>
      <c r="D648" s="25">
        <f t="shared" si="21"/>
        <v>6.0873278939991955E-2</v>
      </c>
    </row>
    <row r="649" spans="1:4">
      <c r="A649" s="23" t="s">
        <v>899</v>
      </c>
      <c r="B649" s="23">
        <v>2.2775343256732099</v>
      </c>
      <c r="C649" s="23">
        <f t="shared" si="20"/>
        <v>5.2519196603030061E-2</v>
      </c>
      <c r="D649" s="25">
        <f t="shared" si="21"/>
        <v>6.0587120837323698E-2</v>
      </c>
    </row>
    <row r="650" spans="1:4">
      <c r="A650" s="23" t="s">
        <v>898</v>
      </c>
      <c r="B650" s="23">
        <v>2.2250151290701798</v>
      </c>
      <c r="C650" s="23">
        <f t="shared" si="20"/>
        <v>3.6702909418769636E-2</v>
      </c>
      <c r="D650" s="25">
        <f t="shared" si="21"/>
        <v>6.0241722923739541E-2</v>
      </c>
    </row>
    <row r="651" spans="1:4">
      <c r="A651" s="23" t="s">
        <v>897</v>
      </c>
      <c r="B651" s="23">
        <v>2.1883122196514102</v>
      </c>
      <c r="C651" s="23">
        <f t="shared" si="20"/>
        <v>-1.6488153099689651E-2</v>
      </c>
      <c r="D651" s="25">
        <f t="shared" si="21"/>
        <v>6.2313729257722071E-2</v>
      </c>
    </row>
    <row r="652" spans="1:4">
      <c r="A652" s="23" t="s">
        <v>896</v>
      </c>
      <c r="B652" s="23">
        <v>2.2048003727510999</v>
      </c>
      <c r="C652" s="23">
        <f t="shared" si="20"/>
        <v>3.3309731846829838E-2</v>
      </c>
      <c r="D652" s="25">
        <f t="shared" si="21"/>
        <v>6.6725930160429353E-2</v>
      </c>
    </row>
    <row r="653" spans="1:4">
      <c r="A653" s="23" t="s">
        <v>895</v>
      </c>
      <c r="B653" s="23">
        <v>2.17149064090427</v>
      </c>
      <c r="C653" s="23">
        <f t="shared" si="20"/>
        <v>-6.6549959734369946E-2</v>
      </c>
      <c r="D653" s="25">
        <f t="shared" si="21"/>
        <v>6.6657436911545978E-2</v>
      </c>
    </row>
    <row r="654" spans="1:4">
      <c r="A654" s="23" t="s">
        <v>894</v>
      </c>
      <c r="B654" s="23">
        <v>2.23804060063864</v>
      </c>
      <c r="C654" s="23">
        <f t="shared" si="20"/>
        <v>3.8100874208350177E-2</v>
      </c>
      <c r="D654" s="25">
        <f t="shared" si="21"/>
        <v>6.6143416250649775E-2</v>
      </c>
    </row>
    <row r="655" spans="1:4">
      <c r="A655" s="23" t="s">
        <v>893</v>
      </c>
      <c r="B655" s="23">
        <v>2.1999397264302898</v>
      </c>
      <c r="C655" s="23">
        <f t="shared" si="20"/>
        <v>0.10962661097204984</v>
      </c>
      <c r="D655" s="25">
        <f t="shared" si="21"/>
        <v>6.6060516843161901E-2</v>
      </c>
    </row>
    <row r="656" spans="1:4">
      <c r="A656" s="23" t="s">
        <v>892</v>
      </c>
      <c r="B656" s="23">
        <v>2.0903131154582399</v>
      </c>
      <c r="C656" s="23">
        <f t="shared" si="20"/>
        <v>4.6914765715739826E-2</v>
      </c>
      <c r="D656" s="25">
        <f t="shared" si="21"/>
        <v>6.4691897099339576E-2</v>
      </c>
    </row>
    <row r="657" spans="1:4">
      <c r="A657" s="23" t="s">
        <v>891</v>
      </c>
      <c r="B657" s="23">
        <v>2.0433983497425001</v>
      </c>
      <c r="C657" s="23">
        <f t="shared" si="20"/>
        <v>2.8527771245200118E-2</v>
      </c>
      <c r="D657" s="25">
        <f t="shared" si="21"/>
        <v>6.4865132924602539E-2</v>
      </c>
    </row>
    <row r="658" spans="1:4">
      <c r="A658" s="23" t="s">
        <v>890</v>
      </c>
      <c r="B658" s="23">
        <v>2.0148705784973</v>
      </c>
      <c r="C658" s="23">
        <f t="shared" si="20"/>
        <v>-3.9444857114299126E-3</v>
      </c>
      <c r="D658" s="25">
        <f t="shared" si="21"/>
        <v>6.4780303324217789E-2</v>
      </c>
    </row>
    <row r="659" spans="1:4">
      <c r="A659" s="23" t="s">
        <v>889</v>
      </c>
      <c r="B659" s="23">
        <v>2.0188150642087299</v>
      </c>
      <c r="C659" s="23">
        <f t="shared" si="20"/>
        <v>-3.788333867761029E-2</v>
      </c>
      <c r="D659" s="25">
        <f t="shared" si="21"/>
        <v>6.5156454986227269E-2</v>
      </c>
    </row>
    <row r="660" spans="1:4">
      <c r="A660" s="23" t="s">
        <v>888</v>
      </c>
      <c r="B660" s="23">
        <v>2.0566984028863402</v>
      </c>
      <c r="C660" s="23">
        <f t="shared" si="20"/>
        <v>-5.5500801515369957E-2</v>
      </c>
      <c r="D660" s="25">
        <f t="shared" si="21"/>
        <v>6.5296702756640401E-2</v>
      </c>
    </row>
    <row r="661" spans="1:4">
      <c r="A661" s="23" t="s">
        <v>887</v>
      </c>
      <c r="B661" s="23">
        <v>2.1121992044017102</v>
      </c>
      <c r="C661" s="23">
        <f t="shared" si="20"/>
        <v>1.2282690381089978E-2</v>
      </c>
      <c r="D661" s="25">
        <f t="shared" si="21"/>
        <v>6.5381160440107458E-2</v>
      </c>
    </row>
    <row r="662" spans="1:4">
      <c r="A662" s="23" t="s">
        <v>886</v>
      </c>
      <c r="B662" s="23">
        <v>2.0999165140206202</v>
      </c>
      <c r="C662" s="23">
        <f t="shared" si="20"/>
        <v>3.4034348101739997E-2</v>
      </c>
      <c r="D662" s="25">
        <f t="shared" si="21"/>
        <v>6.5813426659251315E-2</v>
      </c>
    </row>
    <row r="663" spans="1:4">
      <c r="A663" s="23" t="s">
        <v>885</v>
      </c>
      <c r="B663" s="23">
        <v>2.0658821659188802</v>
      </c>
      <c r="C663" s="23">
        <f t="shared" si="20"/>
        <v>9.1437542292730267E-2</v>
      </c>
      <c r="D663" s="25">
        <f t="shared" si="21"/>
        <v>6.5613772844435897E-2</v>
      </c>
    </row>
    <row r="664" spans="1:4">
      <c r="A664" s="23" t="s">
        <v>884</v>
      </c>
      <c r="B664" s="23">
        <v>1.9744446236261499</v>
      </c>
      <c r="C664" s="23">
        <f t="shared" si="20"/>
        <v>7.5175923163109948E-2</v>
      </c>
      <c r="D664" s="25">
        <f t="shared" si="21"/>
        <v>6.4362939063185673E-2</v>
      </c>
    </row>
    <row r="665" spans="1:4">
      <c r="A665" s="23" t="s">
        <v>883</v>
      </c>
      <c r="B665" s="23">
        <v>1.89926870046304</v>
      </c>
      <c r="C665" s="23">
        <f t="shared" si="20"/>
        <v>-7.9837469316589971E-2</v>
      </c>
      <c r="D665" s="25">
        <f t="shared" si="21"/>
        <v>6.3480873361928675E-2</v>
      </c>
    </row>
    <row r="666" spans="1:4">
      <c r="A666" s="23" t="s">
        <v>882</v>
      </c>
      <c r="B666" s="23">
        <v>1.9791061697796299</v>
      </c>
      <c r="C666" s="23">
        <f t="shared" si="20"/>
        <v>-6.0807870359850247E-2</v>
      </c>
      <c r="D666" s="25">
        <f t="shared" si="21"/>
        <v>6.2849502784157449E-2</v>
      </c>
    </row>
    <row r="667" spans="1:4">
      <c r="A667" s="23" t="s">
        <v>881</v>
      </c>
      <c r="B667" s="23">
        <v>2.0399140401394802</v>
      </c>
      <c r="C667" s="23">
        <f t="shared" si="20"/>
        <v>-1.1060893226269908E-2</v>
      </c>
      <c r="D667" s="25">
        <f t="shared" si="21"/>
        <v>6.3164198016388964E-2</v>
      </c>
    </row>
    <row r="668" spans="1:4">
      <c r="A668" s="23" t="s">
        <v>880</v>
      </c>
      <c r="B668" s="23">
        <v>2.0509749333657501</v>
      </c>
      <c r="C668" s="23">
        <f t="shared" si="20"/>
        <v>7.7311375366799995E-2</v>
      </c>
      <c r="D668" s="25">
        <f t="shared" si="21"/>
        <v>6.3207720874856752E-2</v>
      </c>
    </row>
    <row r="669" spans="1:4">
      <c r="A669" s="23" t="s">
        <v>879</v>
      </c>
      <c r="B669" s="23">
        <v>1.9736635579989501</v>
      </c>
      <c r="C669" s="23">
        <f t="shared" si="20"/>
        <v>-5.8926743808898063E-3</v>
      </c>
      <c r="D669" s="25">
        <f t="shared" si="21"/>
        <v>6.2498538274247388E-2</v>
      </c>
    </row>
    <row r="670" spans="1:4">
      <c r="A670" s="23" t="s">
        <v>878</v>
      </c>
      <c r="B670" s="23">
        <v>1.9795562323798399</v>
      </c>
      <c r="C670" s="23">
        <f t="shared" si="20"/>
        <v>-6.3790844787180223E-2</v>
      </c>
      <c r="D670" s="25">
        <f t="shared" si="21"/>
        <v>6.3124923426842949E-2</v>
      </c>
    </row>
    <row r="671" spans="1:4">
      <c r="A671" s="23" t="s">
        <v>877</v>
      </c>
      <c r="B671" s="23">
        <v>2.0433470771670201</v>
      </c>
      <c r="C671" s="23">
        <f t="shared" si="20"/>
        <v>-5.3353405455379921E-2</v>
      </c>
      <c r="D671" s="25">
        <f t="shared" si="21"/>
        <v>6.3639056163506805E-2</v>
      </c>
    </row>
    <row r="672" spans="1:4">
      <c r="A672" s="23" t="s">
        <v>876</v>
      </c>
      <c r="B672" s="23">
        <v>2.0967004826224001</v>
      </c>
      <c r="C672" s="23">
        <f t="shared" si="20"/>
        <v>-7.32337121851101E-2</v>
      </c>
      <c r="D672" s="25">
        <f t="shared" si="21"/>
        <v>6.3483861665996469E-2</v>
      </c>
    </row>
    <row r="673" spans="1:4">
      <c r="A673" s="23" t="s">
        <v>875</v>
      </c>
      <c r="B673" s="23">
        <v>2.1699341948075102</v>
      </c>
      <c r="C673" s="23">
        <f t="shared" si="20"/>
        <v>-4.0922390764919658E-2</v>
      </c>
      <c r="D673" s="25">
        <f t="shared" si="21"/>
        <v>6.2963361778298185E-2</v>
      </c>
    </row>
    <row r="674" spans="1:4">
      <c r="A674" s="23" t="s">
        <v>874</v>
      </c>
      <c r="B674" s="23">
        <v>2.2108565855724298</v>
      </c>
      <c r="C674" s="23">
        <f t="shared" si="20"/>
        <v>-5.8542033733430365E-2</v>
      </c>
      <c r="D674" s="25">
        <f t="shared" si="21"/>
        <v>6.3074984439187368E-2</v>
      </c>
    </row>
    <row r="675" spans="1:4">
      <c r="A675" s="23" t="s">
        <v>873</v>
      </c>
      <c r="B675" s="23">
        <v>2.2693986193058602</v>
      </c>
      <c r="C675" s="23">
        <f t="shared" si="20"/>
        <v>-1.1766453311250036E-2</v>
      </c>
      <c r="D675" s="25">
        <f t="shared" si="21"/>
        <v>6.3639387721353677E-2</v>
      </c>
    </row>
    <row r="676" spans="1:4">
      <c r="A676" s="23" t="s">
        <v>872</v>
      </c>
      <c r="B676" s="23">
        <v>2.2811650726171102</v>
      </c>
      <c r="C676" s="23">
        <f t="shared" si="20"/>
        <v>1.3115906589300064E-2</v>
      </c>
      <c r="D676" s="25">
        <f t="shared" si="21"/>
        <v>6.4116629158196756E-2</v>
      </c>
    </row>
    <row r="677" spans="1:4">
      <c r="A677" s="23" t="s">
        <v>871</v>
      </c>
      <c r="B677" s="23">
        <v>2.2680491660278101</v>
      </c>
      <c r="C677" s="23">
        <f t="shared" si="20"/>
        <v>6.2035696305920318E-2</v>
      </c>
      <c r="D677" s="25">
        <f t="shared" si="21"/>
        <v>6.4134451517426611E-2</v>
      </c>
    </row>
    <row r="678" spans="1:4">
      <c r="A678" s="23" t="s">
        <v>870</v>
      </c>
      <c r="B678" s="23">
        <v>2.2060134697218898</v>
      </c>
      <c r="C678" s="23">
        <f t="shared" si="20"/>
        <v>-0.22320315482687025</v>
      </c>
      <c r="D678" s="25">
        <f t="shared" si="21"/>
        <v>6.3841501245036847E-2</v>
      </c>
    </row>
    <row r="679" spans="1:4">
      <c r="A679" s="23" t="s">
        <v>869</v>
      </c>
      <c r="B679" s="23">
        <v>2.4292166245487601</v>
      </c>
      <c r="C679" s="23">
        <f t="shared" si="20"/>
        <v>3.5505129150469994E-2</v>
      </c>
      <c r="D679" s="25">
        <f t="shared" si="21"/>
        <v>5.7161189339473457E-2</v>
      </c>
    </row>
    <row r="680" spans="1:4">
      <c r="A680" s="23" t="s">
        <v>868</v>
      </c>
      <c r="B680" s="23">
        <v>2.3937114953982901</v>
      </c>
      <c r="C680" s="23">
        <f t="shared" si="20"/>
        <v>1.5864938844869947E-2</v>
      </c>
      <c r="D680" s="25">
        <f t="shared" si="21"/>
        <v>5.6972784192279406E-2</v>
      </c>
    </row>
    <row r="681" spans="1:4">
      <c r="A681" s="23" t="s">
        <v>867</v>
      </c>
      <c r="B681" s="23">
        <v>2.3778465565534201</v>
      </c>
      <c r="C681" s="23">
        <f t="shared" si="20"/>
        <v>4.0093686943802886E-3</v>
      </c>
      <c r="D681" s="25">
        <f t="shared" si="21"/>
        <v>5.6941332051921992E-2</v>
      </c>
    </row>
    <row r="682" spans="1:4">
      <c r="A682" s="23" t="s">
        <v>866</v>
      </c>
      <c r="B682" s="23">
        <v>2.3738371878590399</v>
      </c>
      <c r="C682" s="23">
        <f t="shared" si="20"/>
        <v>-8.2234946890080263E-2</v>
      </c>
      <c r="D682" s="25">
        <f t="shared" si="21"/>
        <v>5.6974716750181315E-2</v>
      </c>
    </row>
    <row r="683" spans="1:4">
      <c r="A683" s="23" t="s">
        <v>865</v>
      </c>
      <c r="B683" s="23">
        <v>2.4560721347491201</v>
      </c>
      <c r="C683" s="23">
        <f t="shared" si="20"/>
        <v>6.0796063797360134E-2</v>
      </c>
      <c r="D683" s="25">
        <f t="shared" si="21"/>
        <v>5.6294802280317788E-2</v>
      </c>
    </row>
    <row r="684" spans="1:4">
      <c r="A684" s="23" t="s">
        <v>864</v>
      </c>
      <c r="B684" s="23">
        <v>2.39527607095176</v>
      </c>
      <c r="C684" s="23">
        <f t="shared" si="20"/>
        <v>1.1109136760150129E-2</v>
      </c>
      <c r="D684" s="25">
        <f t="shared" si="21"/>
        <v>5.6205696518895037E-2</v>
      </c>
    </row>
    <row r="685" spans="1:4">
      <c r="A685" s="23" t="s">
        <v>863</v>
      </c>
      <c r="B685" s="23">
        <v>2.3841669341916099</v>
      </c>
      <c r="C685" s="23">
        <f t="shared" si="20"/>
        <v>1.5218259981829796E-2</v>
      </c>
      <c r="D685" s="25">
        <f t="shared" si="21"/>
        <v>5.6350468163727296E-2</v>
      </c>
    </row>
    <row r="686" spans="1:4">
      <c r="A686" s="23" t="s">
        <v>862</v>
      </c>
      <c r="B686" s="23">
        <v>2.3689486742097801</v>
      </c>
      <c r="C686" s="23">
        <f t="shared" si="20"/>
        <v>-6.4759598486490155E-2</v>
      </c>
      <c r="D686" s="25">
        <f t="shared" si="21"/>
        <v>5.6295248809039876E-2</v>
      </c>
    </row>
    <row r="687" spans="1:4">
      <c r="A687" s="23" t="s">
        <v>861</v>
      </c>
      <c r="B687" s="23">
        <v>2.4337082726962702</v>
      </c>
      <c r="C687" s="23">
        <f t="shared" si="20"/>
        <v>-3.50757723552797E-2</v>
      </c>
      <c r="D687" s="25">
        <f t="shared" si="21"/>
        <v>5.5843940575089575E-2</v>
      </c>
    </row>
    <row r="688" spans="1:4">
      <c r="A688" s="23" t="s">
        <v>860</v>
      </c>
      <c r="B688" s="23">
        <v>2.4687840450515499</v>
      </c>
      <c r="C688" s="23">
        <f t="shared" si="20"/>
        <v>5.7745625108829746E-2</v>
      </c>
      <c r="D688" s="25">
        <f t="shared" si="21"/>
        <v>5.5925561398809005E-2</v>
      </c>
    </row>
    <row r="689" spans="1:4">
      <c r="A689" s="23" t="s">
        <v>859</v>
      </c>
      <c r="B689" s="23">
        <v>2.4110384199427202</v>
      </c>
      <c r="C689" s="23">
        <f t="shared" si="20"/>
        <v>-2.971421014761999E-2</v>
      </c>
      <c r="D689" s="25">
        <f t="shared" si="21"/>
        <v>5.5789251405766613E-2</v>
      </c>
    </row>
    <row r="690" spans="1:4">
      <c r="A690" s="23" t="s">
        <v>858</v>
      </c>
      <c r="B690" s="23">
        <v>2.4407526300903402</v>
      </c>
      <c r="C690" s="23">
        <f t="shared" si="20"/>
        <v>-3.5340834180439984E-2</v>
      </c>
      <c r="D690" s="25">
        <f t="shared" si="21"/>
        <v>5.6983214488432993E-2</v>
      </c>
    </row>
    <row r="691" spans="1:4">
      <c r="A691" s="23" t="s">
        <v>857</v>
      </c>
      <c r="B691" s="23">
        <v>2.4760934642707801</v>
      </c>
      <c r="C691" s="23">
        <f t="shared" si="20"/>
        <v>3.138830322764008E-2</v>
      </c>
      <c r="D691" s="25">
        <f t="shared" si="21"/>
        <v>5.8680886016979905E-2</v>
      </c>
    </row>
    <row r="692" spans="1:4">
      <c r="A692" s="23" t="s">
        <v>856</v>
      </c>
      <c r="B692" s="23">
        <v>2.4447051610431401</v>
      </c>
      <c r="C692" s="23">
        <f t="shared" si="20"/>
        <v>-6.7365603361839721E-2</v>
      </c>
      <c r="D692" s="25">
        <f t="shared" si="21"/>
        <v>5.8683352744546238E-2</v>
      </c>
    </row>
    <row r="693" spans="1:4">
      <c r="A693" s="23" t="s">
        <v>855</v>
      </c>
      <c r="B693" s="23">
        <v>2.5120707644049798</v>
      </c>
      <c r="C693" s="23">
        <f t="shared" si="20"/>
        <v>-0.11382065145611042</v>
      </c>
      <c r="D693" s="25">
        <f t="shared" si="21"/>
        <v>5.9087064622510378E-2</v>
      </c>
    </row>
    <row r="694" spans="1:4">
      <c r="A694" s="23" t="s">
        <v>854</v>
      </c>
      <c r="B694" s="23">
        <v>2.6258914158610902</v>
      </c>
      <c r="C694" s="23">
        <f t="shared" si="20"/>
        <v>7.2144296971501376E-3</v>
      </c>
      <c r="D694" s="25">
        <f t="shared" si="21"/>
        <v>5.7327668478920339E-2</v>
      </c>
    </row>
    <row r="695" spans="1:4">
      <c r="A695" s="23" t="s">
        <v>853</v>
      </c>
      <c r="B695" s="23">
        <v>2.6186769861639401</v>
      </c>
      <c r="C695" s="23">
        <f t="shared" si="20"/>
        <v>-2.036011764126E-2</v>
      </c>
      <c r="D695" s="25">
        <f t="shared" si="21"/>
        <v>5.7318264073178526E-2</v>
      </c>
    </row>
    <row r="696" spans="1:4">
      <c r="A696" s="23" t="s">
        <v>852</v>
      </c>
      <c r="B696" s="23">
        <v>2.6390371038052001</v>
      </c>
      <c r="C696" s="23">
        <f t="shared" si="20"/>
        <v>-3.1157221298979909E-2</v>
      </c>
      <c r="D696" s="25">
        <f t="shared" si="21"/>
        <v>5.7379650486621345E-2</v>
      </c>
    </row>
    <row r="697" spans="1:4">
      <c r="A697" s="23" t="s">
        <v>851</v>
      </c>
      <c r="B697" s="23">
        <v>2.67019432510418</v>
      </c>
      <c r="C697" s="23">
        <f t="shared" si="20"/>
        <v>3.2060759101829817E-2</v>
      </c>
      <c r="D697" s="25">
        <f t="shared" si="21"/>
        <v>5.7411540535677645E-2</v>
      </c>
    </row>
    <row r="698" spans="1:4">
      <c r="A698" s="23" t="s">
        <v>850</v>
      </c>
      <c r="B698" s="23">
        <v>2.6381335660023502</v>
      </c>
      <c r="C698" s="23">
        <f t="shared" si="20"/>
        <v>0.13492310224974036</v>
      </c>
      <c r="D698" s="25">
        <f t="shared" si="21"/>
        <v>5.7454363197229706E-2</v>
      </c>
    </row>
    <row r="699" spans="1:4">
      <c r="A699" s="23" t="s">
        <v>849</v>
      </c>
      <c r="B699" s="23">
        <v>2.5032104637526098</v>
      </c>
      <c r="C699" s="23">
        <f t="shared" si="20"/>
        <v>7.0590675818799742E-2</v>
      </c>
      <c r="D699" s="25">
        <f t="shared" si="21"/>
        <v>5.5125265817790321E-2</v>
      </c>
    </row>
    <row r="700" spans="1:4">
      <c r="A700" s="23" t="s">
        <v>848</v>
      </c>
      <c r="B700" s="23">
        <v>2.4326197879338101</v>
      </c>
      <c r="C700" s="23">
        <f t="shared" si="20"/>
        <v>-4.7270928759299835E-3</v>
      </c>
      <c r="D700" s="25">
        <f t="shared" si="21"/>
        <v>5.4290290190085272E-2</v>
      </c>
    </row>
    <row r="701" spans="1:4">
      <c r="A701" s="23" t="s">
        <v>847</v>
      </c>
      <c r="B701" s="23">
        <v>2.43734688080974</v>
      </c>
      <c r="C701" s="23">
        <f t="shared" si="20"/>
        <v>-1.982386051149998E-2</v>
      </c>
      <c r="D701" s="25">
        <f t="shared" si="21"/>
        <v>5.4921428973912043E-2</v>
      </c>
    </row>
    <row r="702" spans="1:4">
      <c r="A702" s="23" t="s">
        <v>846</v>
      </c>
      <c r="B702" s="23">
        <v>2.45717074132124</v>
      </c>
      <c r="C702" s="23">
        <f t="shared" si="20"/>
        <v>3.2929575994500304E-3</v>
      </c>
      <c r="D702" s="25">
        <f t="shared" si="21"/>
        <v>5.4980335570483263E-2</v>
      </c>
    </row>
    <row r="703" spans="1:4">
      <c r="A703" s="23" t="s">
        <v>845</v>
      </c>
      <c r="B703" s="23">
        <v>2.45387778372179</v>
      </c>
      <c r="C703" s="23">
        <f t="shared" si="20"/>
        <v>-1.0950197492220148E-2</v>
      </c>
      <c r="D703" s="25">
        <f t="shared" si="21"/>
        <v>5.4969183249147915E-2</v>
      </c>
    </row>
    <row r="704" spans="1:4">
      <c r="A704" s="23" t="s">
        <v>844</v>
      </c>
      <c r="B704" s="23">
        <v>2.4648279812140101</v>
      </c>
      <c r="C704" s="23">
        <f t="shared" si="20"/>
        <v>5.4572534923200244E-2</v>
      </c>
      <c r="D704" s="25">
        <f t="shared" si="21"/>
        <v>5.5067127573590134E-2</v>
      </c>
    </row>
    <row r="705" spans="1:4">
      <c r="A705" s="23" t="s">
        <v>843</v>
      </c>
      <c r="B705" s="23">
        <v>2.4102554462908099</v>
      </c>
      <c r="C705" s="23">
        <f t="shared" si="20"/>
        <v>-1.6498648155410134E-2</v>
      </c>
      <c r="D705" s="25">
        <f t="shared" si="21"/>
        <v>5.4520518970507546E-2</v>
      </c>
    </row>
    <row r="706" spans="1:4">
      <c r="A706" s="23" t="s">
        <v>842</v>
      </c>
      <c r="B706" s="23">
        <v>2.42675409444622</v>
      </c>
      <c r="C706" s="23">
        <f t="shared" ref="C706:C769" si="22">B706-B707</f>
        <v>9.0182203257390015E-2</v>
      </c>
      <c r="D706" s="25">
        <f t="shared" ref="D706:D769" si="23">STDEV(C706:C765)</f>
        <v>5.4506276274086718E-2</v>
      </c>
    </row>
    <row r="707" spans="1:4">
      <c r="A707" s="23" t="s">
        <v>841</v>
      </c>
      <c r="B707" s="23">
        <v>2.33657189118883</v>
      </c>
      <c r="C707" s="23">
        <f t="shared" si="22"/>
        <v>-2.930951843466989E-2</v>
      </c>
      <c r="D707" s="25">
        <f t="shared" si="23"/>
        <v>5.3002534725926462E-2</v>
      </c>
    </row>
    <row r="708" spans="1:4">
      <c r="A708" s="23" t="s">
        <v>840</v>
      </c>
      <c r="B708" s="23">
        <v>2.3658814096234999</v>
      </c>
      <c r="C708" s="23">
        <f t="shared" si="22"/>
        <v>5.1285336861579989E-2</v>
      </c>
      <c r="D708" s="25">
        <f t="shared" si="23"/>
        <v>5.2935365648638689E-2</v>
      </c>
    </row>
    <row r="709" spans="1:4">
      <c r="A709" s="23" t="s">
        <v>839</v>
      </c>
      <c r="B709" s="23">
        <v>2.3145960727619199</v>
      </c>
      <c r="C709" s="23">
        <f t="shared" si="22"/>
        <v>-2.1914680684619992E-2</v>
      </c>
      <c r="D709" s="25">
        <f t="shared" si="23"/>
        <v>5.2400943341914752E-2</v>
      </c>
    </row>
    <row r="710" spans="1:4">
      <c r="A710" s="23" t="s">
        <v>838</v>
      </c>
      <c r="B710" s="23">
        <v>2.3365107534465399</v>
      </c>
      <c r="C710" s="23">
        <f t="shared" si="22"/>
        <v>-0.13202607401749988</v>
      </c>
      <c r="D710" s="25">
        <f t="shared" si="23"/>
        <v>5.2455516992638535E-2</v>
      </c>
    </row>
    <row r="711" spans="1:4">
      <c r="A711" s="23" t="s">
        <v>837</v>
      </c>
      <c r="B711" s="23">
        <v>2.4685368274640398</v>
      </c>
      <c r="C711" s="23">
        <f t="shared" si="22"/>
        <v>0.18074697264105</v>
      </c>
      <c r="D711" s="25">
        <f t="shared" si="23"/>
        <v>4.9953593348283795E-2</v>
      </c>
    </row>
    <row r="712" spans="1:4">
      <c r="A712" s="23" t="s">
        <v>836</v>
      </c>
      <c r="B712" s="23">
        <v>2.2877898548229898</v>
      </c>
      <c r="C712" s="23">
        <f t="shared" si="22"/>
        <v>2.4421830607579853E-2</v>
      </c>
      <c r="D712" s="25">
        <f t="shared" si="23"/>
        <v>4.3478475314131369E-2</v>
      </c>
    </row>
    <row r="713" spans="1:4">
      <c r="A713" s="23" t="s">
        <v>835</v>
      </c>
      <c r="B713" s="23">
        <v>2.2633680242154099</v>
      </c>
      <c r="C713" s="23">
        <f t="shared" si="22"/>
        <v>1.6190034678320142E-2</v>
      </c>
      <c r="D713" s="25">
        <f t="shared" si="23"/>
        <v>4.3595332383428956E-2</v>
      </c>
    </row>
    <row r="714" spans="1:4">
      <c r="A714" s="23" t="s">
        <v>834</v>
      </c>
      <c r="B714" s="23">
        <v>2.2471779895370898</v>
      </c>
      <c r="C714" s="23">
        <f t="shared" si="22"/>
        <v>-3.0053867288330149E-2</v>
      </c>
      <c r="D714" s="25">
        <f t="shared" si="23"/>
        <v>4.3461762586051382E-2</v>
      </c>
    </row>
    <row r="715" spans="1:4">
      <c r="A715" s="23" t="s">
        <v>833</v>
      </c>
      <c r="B715" s="23">
        <v>2.27723185682542</v>
      </c>
      <c r="C715" s="23">
        <f t="shared" si="22"/>
        <v>-4.7728521841960081E-2</v>
      </c>
      <c r="D715" s="25">
        <f t="shared" si="23"/>
        <v>4.3406958500400238E-2</v>
      </c>
    </row>
    <row r="716" spans="1:4">
      <c r="A716" s="23" t="s">
        <v>832</v>
      </c>
      <c r="B716" s="23">
        <v>2.32496037866738</v>
      </c>
      <c r="C716" s="23">
        <f t="shared" si="22"/>
        <v>-6.816136516700988E-2</v>
      </c>
      <c r="D716" s="25">
        <f t="shared" si="23"/>
        <v>4.3207497729496683E-2</v>
      </c>
    </row>
    <row r="717" spans="1:4">
      <c r="A717" s="23" t="s">
        <v>831</v>
      </c>
      <c r="B717" s="23">
        <v>2.3931217438343899</v>
      </c>
      <c r="C717" s="23">
        <f t="shared" si="22"/>
        <v>1.727132103152984E-2</v>
      </c>
      <c r="D717" s="25">
        <f t="shared" si="23"/>
        <v>4.2707275917066238E-2</v>
      </c>
    </row>
    <row r="718" spans="1:4">
      <c r="A718" s="23" t="s">
        <v>830</v>
      </c>
      <c r="B718" s="23">
        <v>2.3758504228028601</v>
      </c>
      <c r="C718" s="23">
        <f t="shared" si="22"/>
        <v>-6.0245495695899987E-2</v>
      </c>
      <c r="D718" s="25">
        <f t="shared" si="23"/>
        <v>4.2870954472133765E-2</v>
      </c>
    </row>
    <row r="719" spans="1:4">
      <c r="A719" s="23" t="s">
        <v>829</v>
      </c>
      <c r="B719" s="23">
        <v>2.4360959184987601</v>
      </c>
      <c r="C719" s="23">
        <f t="shared" si="22"/>
        <v>3.9253546675869888E-2</v>
      </c>
      <c r="D719" s="25">
        <f t="shared" si="23"/>
        <v>4.244851581881659E-2</v>
      </c>
    </row>
    <row r="720" spans="1:4">
      <c r="A720" s="23" t="s">
        <v>828</v>
      </c>
      <c r="B720" s="23">
        <v>2.3968423718228902</v>
      </c>
      <c r="C720" s="23">
        <f t="shared" si="22"/>
        <v>-6.166015803801983E-2</v>
      </c>
      <c r="D720" s="25">
        <f t="shared" si="23"/>
        <v>4.2115750686174958E-2</v>
      </c>
    </row>
    <row r="721" spans="1:4">
      <c r="A721" s="23" t="s">
        <v>827</v>
      </c>
      <c r="B721" s="23">
        <v>2.45850252986091</v>
      </c>
      <c r="C721" s="23">
        <f t="shared" si="22"/>
        <v>5.5075883167090112E-2</v>
      </c>
      <c r="D721" s="25">
        <f t="shared" si="23"/>
        <v>4.1781931201688653E-2</v>
      </c>
    </row>
    <row r="722" spans="1:4">
      <c r="A722" s="23" t="s">
        <v>826</v>
      </c>
      <c r="B722" s="23">
        <v>2.4034266466938199</v>
      </c>
      <c r="C722" s="23">
        <f t="shared" si="22"/>
        <v>-8.1906239673301684E-3</v>
      </c>
      <c r="D722" s="25">
        <f t="shared" si="23"/>
        <v>4.1020389446619683E-2</v>
      </c>
    </row>
    <row r="723" spans="1:4">
      <c r="A723" s="23" t="s">
        <v>825</v>
      </c>
      <c r="B723" s="23">
        <v>2.4116172706611501</v>
      </c>
      <c r="C723" s="23">
        <f t="shared" si="22"/>
        <v>-1.1412548611029916E-2</v>
      </c>
      <c r="D723" s="25">
        <f t="shared" si="23"/>
        <v>4.1490647189042718E-2</v>
      </c>
    </row>
    <row r="724" spans="1:4">
      <c r="A724" s="23" t="s">
        <v>824</v>
      </c>
      <c r="B724" s="23">
        <v>2.42302981927218</v>
      </c>
      <c r="C724" s="23">
        <f t="shared" si="22"/>
        <v>-2.6167390785849953E-2</v>
      </c>
      <c r="D724" s="25">
        <f t="shared" si="23"/>
        <v>4.1495550331000004E-2</v>
      </c>
    </row>
    <row r="725" spans="1:4">
      <c r="A725" s="23" t="s">
        <v>823</v>
      </c>
      <c r="B725" s="23">
        <v>2.4491972100580299</v>
      </c>
      <c r="C725" s="23">
        <f t="shared" si="22"/>
        <v>-2.7450835672880203E-2</v>
      </c>
      <c r="D725" s="25">
        <f t="shared" si="23"/>
        <v>4.1576914532420954E-2</v>
      </c>
    </row>
    <row r="726" spans="1:4">
      <c r="A726" s="23" t="s">
        <v>822</v>
      </c>
      <c r="B726" s="23">
        <v>2.4766480457309101</v>
      </c>
      <c r="C726" s="23">
        <f t="shared" si="22"/>
        <v>-7.9731467759639685E-2</v>
      </c>
      <c r="D726" s="25">
        <f t="shared" si="23"/>
        <v>4.1907845369687675E-2</v>
      </c>
    </row>
    <row r="727" spans="1:4">
      <c r="A727" s="23" t="s">
        <v>821</v>
      </c>
      <c r="B727" s="23">
        <v>2.5563795134905498</v>
      </c>
      <c r="C727" s="23">
        <f t="shared" si="22"/>
        <v>-2.6902690057270195E-2</v>
      </c>
      <c r="D727" s="25">
        <f t="shared" si="23"/>
        <v>4.0962196420117183E-2</v>
      </c>
    </row>
    <row r="728" spans="1:4">
      <c r="A728" s="23" t="s">
        <v>820</v>
      </c>
      <c r="B728" s="23">
        <v>2.58328220354782</v>
      </c>
      <c r="C728" s="23">
        <f t="shared" si="22"/>
        <v>3.7963761870769996E-2</v>
      </c>
      <c r="D728" s="25">
        <f t="shared" si="23"/>
        <v>4.0874517852002586E-2</v>
      </c>
    </row>
    <row r="729" spans="1:4">
      <c r="A729" s="23" t="s">
        <v>819</v>
      </c>
      <c r="B729" s="23">
        <v>2.54531844167705</v>
      </c>
      <c r="C729" s="23">
        <f t="shared" si="22"/>
        <v>-7.8400413645769884E-2</v>
      </c>
      <c r="D729" s="25">
        <f t="shared" si="23"/>
        <v>4.0509570687149242E-2</v>
      </c>
    </row>
    <row r="730" spans="1:4">
      <c r="A730" s="23" t="s">
        <v>818</v>
      </c>
      <c r="B730" s="23">
        <v>2.6237188553228199</v>
      </c>
      <c r="C730" s="23">
        <f t="shared" si="22"/>
        <v>7.2755251536630094E-2</v>
      </c>
      <c r="D730" s="25">
        <f t="shared" si="23"/>
        <v>4.2236753704237469E-2</v>
      </c>
    </row>
    <row r="731" spans="1:4">
      <c r="A731" s="23" t="s">
        <v>817</v>
      </c>
      <c r="B731" s="23">
        <v>2.5509636037861898</v>
      </c>
      <c r="C731" s="23">
        <f t="shared" si="22"/>
        <v>-3.7708771154860266E-2</v>
      </c>
      <c r="D731" s="25">
        <f t="shared" si="23"/>
        <v>4.1347041566150301E-2</v>
      </c>
    </row>
    <row r="732" spans="1:4">
      <c r="A732" s="23" t="s">
        <v>816</v>
      </c>
      <c r="B732" s="23">
        <v>2.5886723749410501</v>
      </c>
      <c r="C732" s="23">
        <f t="shared" si="22"/>
        <v>-2.7714840317739853E-2</v>
      </c>
      <c r="D732" s="25">
        <f t="shared" si="23"/>
        <v>4.162877656197108E-2</v>
      </c>
    </row>
    <row r="733" spans="1:4">
      <c r="A733" s="23" t="s">
        <v>815</v>
      </c>
      <c r="B733" s="23">
        <v>2.6163872152587899</v>
      </c>
      <c r="C733" s="23">
        <f t="shared" si="22"/>
        <v>3.7886602541719938E-2</v>
      </c>
      <c r="D733" s="25">
        <f t="shared" si="23"/>
        <v>4.4785300653016877E-2</v>
      </c>
    </row>
    <row r="734" spans="1:4">
      <c r="A734" s="23" t="s">
        <v>814</v>
      </c>
      <c r="B734" s="23">
        <v>2.57850061271707</v>
      </c>
      <c r="C734" s="23">
        <f t="shared" si="22"/>
        <v>-8.9691915324820126E-2</v>
      </c>
      <c r="D734" s="25">
        <f t="shared" si="23"/>
        <v>4.4430442998917213E-2</v>
      </c>
    </row>
    <row r="735" spans="1:4">
      <c r="A735" s="23" t="s">
        <v>813</v>
      </c>
      <c r="B735" s="23">
        <v>2.6681925280418901</v>
      </c>
      <c r="C735" s="23">
        <f t="shared" si="22"/>
        <v>5.4147191409640083E-2</v>
      </c>
      <c r="D735" s="25">
        <f t="shared" si="23"/>
        <v>4.3634987960039229E-2</v>
      </c>
    </row>
    <row r="736" spans="1:4">
      <c r="A736" s="23" t="s">
        <v>812</v>
      </c>
      <c r="B736" s="23">
        <v>2.61404533663225</v>
      </c>
      <c r="C736" s="23">
        <f t="shared" si="22"/>
        <v>-2.816667452480992E-2</v>
      </c>
      <c r="D736" s="25">
        <f t="shared" si="23"/>
        <v>4.3068663912089418E-2</v>
      </c>
    </row>
    <row r="737" spans="1:4">
      <c r="A737" s="23" t="s">
        <v>811</v>
      </c>
      <c r="B737" s="23">
        <v>2.6422120111570599</v>
      </c>
      <c r="C737" s="23">
        <f t="shared" si="22"/>
        <v>4.3311198871039736E-2</v>
      </c>
      <c r="D737" s="25">
        <f t="shared" si="23"/>
        <v>4.3093352742657985E-2</v>
      </c>
    </row>
    <row r="738" spans="1:4">
      <c r="A738" s="23" t="s">
        <v>810</v>
      </c>
      <c r="B738" s="23">
        <v>2.5989008122860202</v>
      </c>
      <c r="C738" s="23">
        <f t="shared" si="22"/>
        <v>3.7505253913203696E-3</v>
      </c>
      <c r="D738" s="25">
        <f t="shared" si="23"/>
        <v>4.3564087547365855E-2</v>
      </c>
    </row>
    <row r="739" spans="1:4">
      <c r="A739" s="23" t="s">
        <v>809</v>
      </c>
      <c r="B739" s="23">
        <v>2.5951502868946998</v>
      </c>
      <c r="C739" s="23">
        <f t="shared" si="22"/>
        <v>-1.8397868049560007E-2</v>
      </c>
      <c r="D739" s="25">
        <f t="shared" si="23"/>
        <v>4.3539013139057482E-2</v>
      </c>
    </row>
    <row r="740" spans="1:4">
      <c r="A740" s="23" t="s">
        <v>808</v>
      </c>
      <c r="B740" s="23">
        <v>2.6135481549442598</v>
      </c>
      <c r="C740" s="23">
        <f t="shared" si="22"/>
        <v>-1.7390625028160134E-2</v>
      </c>
      <c r="D740" s="25">
        <f t="shared" si="23"/>
        <v>4.3569370742909501E-2</v>
      </c>
    </row>
    <row r="741" spans="1:4">
      <c r="A741" s="23" t="s">
        <v>807</v>
      </c>
      <c r="B741" s="23">
        <v>2.63093877997242</v>
      </c>
      <c r="C741" s="23">
        <f t="shared" si="22"/>
        <v>-2.1625840038200117E-2</v>
      </c>
      <c r="D741" s="25">
        <f t="shared" si="23"/>
        <v>4.3570054645498416E-2</v>
      </c>
    </row>
    <row r="742" spans="1:4">
      <c r="A742" s="23" t="s">
        <v>806</v>
      </c>
      <c r="B742" s="23">
        <v>2.6525646200106201</v>
      </c>
      <c r="C742" s="23">
        <f t="shared" si="22"/>
        <v>-4.3394272611509965E-2</v>
      </c>
      <c r="D742" s="25">
        <f t="shared" si="23"/>
        <v>4.461693900948048E-2</v>
      </c>
    </row>
    <row r="743" spans="1:4">
      <c r="A743" s="23" t="s">
        <v>805</v>
      </c>
      <c r="B743" s="23">
        <v>2.6959588926221301</v>
      </c>
      <c r="C743" s="23">
        <f t="shared" si="22"/>
        <v>5.6061996497279942E-2</v>
      </c>
      <c r="D743" s="25">
        <f t="shared" si="23"/>
        <v>4.4437016822019969E-2</v>
      </c>
    </row>
    <row r="744" spans="1:4">
      <c r="A744" s="23" t="s">
        <v>804</v>
      </c>
      <c r="B744" s="23">
        <v>2.6398968961248501</v>
      </c>
      <c r="C744" s="23">
        <f t="shared" si="22"/>
        <v>-3.9208457848659783E-2</v>
      </c>
      <c r="D744" s="25">
        <f t="shared" si="23"/>
        <v>4.6088360593583171E-2</v>
      </c>
    </row>
    <row r="745" spans="1:4">
      <c r="A745" s="23" t="s">
        <v>803</v>
      </c>
      <c r="B745" s="23">
        <v>2.6791053539735099</v>
      </c>
      <c r="C745" s="23">
        <f t="shared" si="22"/>
        <v>1.52679761046981E-3</v>
      </c>
      <c r="D745" s="25">
        <f t="shared" si="23"/>
        <v>4.5983104282981947E-2</v>
      </c>
    </row>
    <row r="746" spans="1:4">
      <c r="A746" s="23" t="s">
        <v>802</v>
      </c>
      <c r="B746" s="23">
        <v>2.6775785563630401</v>
      </c>
      <c r="C746" s="23">
        <f t="shared" si="22"/>
        <v>-2.9411373631480053E-2</v>
      </c>
      <c r="D746" s="25">
        <f t="shared" si="23"/>
        <v>4.5967206247232696E-2</v>
      </c>
    </row>
    <row r="747" spans="1:4">
      <c r="A747" s="23" t="s">
        <v>801</v>
      </c>
      <c r="B747" s="23">
        <v>2.7069899299945201</v>
      </c>
      <c r="C747" s="23">
        <f t="shared" si="22"/>
        <v>3.4830908195980115E-2</v>
      </c>
      <c r="D747" s="25">
        <f t="shared" si="23"/>
        <v>5.1787859088723243E-2</v>
      </c>
    </row>
    <row r="748" spans="1:4">
      <c r="A748" s="23" t="s">
        <v>800</v>
      </c>
      <c r="B748" s="23">
        <v>2.67215902179854</v>
      </c>
      <c r="C748" s="23">
        <f t="shared" si="22"/>
        <v>4.9902967276870047E-2</v>
      </c>
      <c r="D748" s="25">
        <f t="shared" si="23"/>
        <v>5.2565983466358081E-2</v>
      </c>
    </row>
    <row r="749" spans="1:4">
      <c r="A749" s="23" t="s">
        <v>799</v>
      </c>
      <c r="B749" s="23">
        <v>2.62225605452167</v>
      </c>
      <c r="C749" s="23">
        <f t="shared" si="22"/>
        <v>9.0669851286770076E-2</v>
      </c>
      <c r="D749" s="25">
        <f t="shared" si="23"/>
        <v>5.2086311790927736E-2</v>
      </c>
    </row>
    <row r="750" spans="1:4">
      <c r="A750" s="23" t="s">
        <v>798</v>
      </c>
      <c r="B750" s="23">
        <v>2.5315862032348999</v>
      </c>
      <c r="C750" s="23">
        <f t="shared" si="22"/>
        <v>-0.11480432539961027</v>
      </c>
      <c r="D750" s="25">
        <f t="shared" si="23"/>
        <v>5.0553629166214628E-2</v>
      </c>
    </row>
    <row r="751" spans="1:4">
      <c r="A751" s="23" t="s">
        <v>797</v>
      </c>
      <c r="B751" s="23">
        <v>2.6463905286345102</v>
      </c>
      <c r="C751" s="23">
        <f t="shared" si="22"/>
        <v>-3.8473733051749726E-2</v>
      </c>
      <c r="D751" s="25">
        <f t="shared" si="23"/>
        <v>4.8779523365102377E-2</v>
      </c>
    </row>
    <row r="752" spans="1:4">
      <c r="A752" s="23" t="s">
        <v>796</v>
      </c>
      <c r="B752" s="23">
        <v>2.6848642616862599</v>
      </c>
      <c r="C752" s="23">
        <f t="shared" si="22"/>
        <v>-8.6623584105800067E-2</v>
      </c>
      <c r="D752" s="25">
        <f t="shared" si="23"/>
        <v>4.8821510844404503E-2</v>
      </c>
    </row>
    <row r="753" spans="1:4">
      <c r="A753" s="23" t="s">
        <v>795</v>
      </c>
      <c r="B753" s="23">
        <v>2.77148784579206</v>
      </c>
      <c r="C753" s="23">
        <f t="shared" si="22"/>
        <v>8.0343498658401735E-3</v>
      </c>
      <c r="D753" s="25">
        <f t="shared" si="23"/>
        <v>4.7774715916713277E-2</v>
      </c>
    </row>
    <row r="754" spans="1:4">
      <c r="A754" s="23" t="s">
        <v>794</v>
      </c>
      <c r="B754" s="23">
        <v>2.7634534959262198</v>
      </c>
      <c r="C754" s="23">
        <f t="shared" si="22"/>
        <v>2.9113086117900089E-3</v>
      </c>
      <c r="D754" s="25">
        <f t="shared" si="23"/>
        <v>4.7782356219915494E-2</v>
      </c>
    </row>
    <row r="755" spans="1:4">
      <c r="A755" s="23" t="s">
        <v>793</v>
      </c>
      <c r="B755" s="23">
        <v>2.7605421873144298</v>
      </c>
      <c r="C755" s="23">
        <f t="shared" si="22"/>
        <v>2.546094032171986E-2</v>
      </c>
      <c r="D755" s="25">
        <f t="shared" si="23"/>
        <v>4.7999724247623242E-2</v>
      </c>
    </row>
    <row r="756" spans="1:4">
      <c r="A756" s="23" t="s">
        <v>792</v>
      </c>
      <c r="B756" s="23">
        <v>2.7350812469927099</v>
      </c>
      <c r="C756" s="23">
        <f t="shared" si="22"/>
        <v>-3.4612338373340101E-2</v>
      </c>
      <c r="D756" s="25">
        <f t="shared" si="23"/>
        <v>4.829419202342454E-2</v>
      </c>
    </row>
    <row r="757" spans="1:4">
      <c r="A757" s="23" t="s">
        <v>791</v>
      </c>
      <c r="B757" s="23">
        <v>2.76969358536605</v>
      </c>
      <c r="C757" s="23">
        <f t="shared" si="22"/>
        <v>3.6123479079110066E-2</v>
      </c>
      <c r="D757" s="25">
        <f t="shared" si="23"/>
        <v>4.9034371197716357E-2</v>
      </c>
    </row>
    <row r="758" spans="1:4">
      <c r="A758" s="23" t="s">
        <v>790</v>
      </c>
      <c r="B758" s="23">
        <v>2.73357010628694</v>
      </c>
      <c r="C758" s="23">
        <f t="shared" si="22"/>
        <v>5.5598039952049927E-2</v>
      </c>
      <c r="D758" s="25">
        <f t="shared" si="23"/>
        <v>4.8809757726279573E-2</v>
      </c>
    </row>
    <row r="759" spans="1:4">
      <c r="A759" s="23" t="s">
        <v>789</v>
      </c>
      <c r="B759" s="23">
        <v>2.67797206633489</v>
      </c>
      <c r="C759" s="23">
        <f t="shared" si="22"/>
        <v>6.13138012278025E-3</v>
      </c>
      <c r="D759" s="25">
        <f t="shared" si="23"/>
        <v>4.8330232642396373E-2</v>
      </c>
    </row>
    <row r="760" spans="1:4">
      <c r="A760" s="23" t="s">
        <v>788</v>
      </c>
      <c r="B760" s="23">
        <v>2.6718406862121098</v>
      </c>
      <c r="C760" s="23">
        <f t="shared" si="22"/>
        <v>-6.8288012123130404E-2</v>
      </c>
      <c r="D760" s="25">
        <f t="shared" si="23"/>
        <v>4.8354650076343514E-2</v>
      </c>
    </row>
    <row r="761" spans="1:4">
      <c r="A761" s="23" t="s">
        <v>787</v>
      </c>
      <c r="B761" s="23">
        <v>2.7401286983352402</v>
      </c>
      <c r="C761" s="23">
        <f t="shared" si="22"/>
        <v>-2.9580489652319741E-2</v>
      </c>
      <c r="D761" s="25">
        <f t="shared" si="23"/>
        <v>4.7817384105056045E-2</v>
      </c>
    </row>
    <row r="762" spans="1:4">
      <c r="A762" s="23" t="s">
        <v>786</v>
      </c>
      <c r="B762" s="23">
        <v>2.7697091879875599</v>
      </c>
      <c r="C762" s="23">
        <f t="shared" si="22"/>
        <v>-4.265723849040004E-3</v>
      </c>
      <c r="D762" s="25">
        <f t="shared" si="23"/>
        <v>4.8087752321728149E-2</v>
      </c>
    </row>
    <row r="763" spans="1:4">
      <c r="A763" s="23" t="s">
        <v>785</v>
      </c>
      <c r="B763" s="23">
        <v>2.7739749118365999</v>
      </c>
      <c r="C763" s="23">
        <f t="shared" si="22"/>
        <v>-3.1302295878799846E-2</v>
      </c>
      <c r="D763" s="25">
        <f t="shared" si="23"/>
        <v>4.8653351006888543E-2</v>
      </c>
    </row>
    <row r="764" spans="1:4">
      <c r="A764" s="23" t="s">
        <v>784</v>
      </c>
      <c r="B764" s="23">
        <v>2.8052772077153998</v>
      </c>
      <c r="C764" s="23">
        <f t="shared" si="22"/>
        <v>-1.9330656002480406E-2</v>
      </c>
      <c r="D764" s="25">
        <f t="shared" si="23"/>
        <v>4.8740888842513888E-2</v>
      </c>
    </row>
    <row r="765" spans="1:4">
      <c r="A765" s="23" t="s">
        <v>783</v>
      </c>
      <c r="B765" s="23">
        <v>2.8246078637178802</v>
      </c>
      <c r="C765" s="23">
        <f t="shared" si="22"/>
        <v>-8.1564341220197178E-3</v>
      </c>
      <c r="D765" s="25">
        <f t="shared" si="23"/>
        <v>4.9096786241626673E-2</v>
      </c>
    </row>
    <row r="766" spans="1:4">
      <c r="A766" s="23" t="s">
        <v>782</v>
      </c>
      <c r="B766" s="23">
        <v>2.8327642978398999</v>
      </c>
      <c r="C766" s="23">
        <f t="shared" si="22"/>
        <v>-1.2938024094069966E-2</v>
      </c>
      <c r="D766" s="25">
        <f t="shared" si="23"/>
        <v>4.9118877911786513E-2</v>
      </c>
    </row>
    <row r="767" spans="1:4">
      <c r="A767" s="23" t="s">
        <v>781</v>
      </c>
      <c r="B767" s="23">
        <v>2.8457023219339699</v>
      </c>
      <c r="C767" s="23">
        <f t="shared" si="22"/>
        <v>-1.2771372245670154E-2</v>
      </c>
      <c r="D767" s="25">
        <f t="shared" si="23"/>
        <v>4.9541379105309785E-2</v>
      </c>
    </row>
    <row r="768" spans="1:4">
      <c r="A768" s="23" t="s">
        <v>780</v>
      </c>
      <c r="B768" s="23">
        <v>2.85847369417964</v>
      </c>
      <c r="C768" s="23">
        <f t="shared" si="22"/>
        <v>7.6055700016501859E-3</v>
      </c>
      <c r="D768" s="25">
        <f t="shared" si="23"/>
        <v>4.9519212747237265E-2</v>
      </c>
    </row>
    <row r="769" spans="1:4">
      <c r="A769" s="23" t="s">
        <v>779</v>
      </c>
      <c r="B769" s="23">
        <v>2.8508681241779898</v>
      </c>
      <c r="C769" s="23">
        <f t="shared" si="22"/>
        <v>-3.1466513637650184E-2</v>
      </c>
      <c r="D769" s="25">
        <f t="shared" si="23"/>
        <v>4.9738622426706292E-2</v>
      </c>
    </row>
    <row r="770" spans="1:4">
      <c r="A770" s="23" t="s">
        <v>778</v>
      </c>
      <c r="B770" s="23">
        <v>2.88233463781564</v>
      </c>
      <c r="C770" s="23">
        <f t="shared" ref="C770:C833" si="24">B770-B771</f>
        <v>8.9536828068199625E-3</v>
      </c>
      <c r="D770" s="25">
        <f t="shared" ref="D770:D833" si="25">STDEV(C770:C829)</f>
        <v>5.0583674591049572E-2</v>
      </c>
    </row>
    <row r="771" spans="1:4">
      <c r="A771" s="23" t="s">
        <v>777</v>
      </c>
      <c r="B771" s="23">
        <v>2.8733809550088201</v>
      </c>
      <c r="C771" s="23">
        <f t="shared" si="24"/>
        <v>-1.7467477330650016E-2</v>
      </c>
      <c r="D771" s="25">
        <f t="shared" si="25"/>
        <v>5.0717219159186713E-2</v>
      </c>
    </row>
    <row r="772" spans="1:4">
      <c r="A772" s="23" t="s">
        <v>776</v>
      </c>
      <c r="B772" s="23">
        <v>2.8908484323394701</v>
      </c>
      <c r="C772" s="23">
        <f t="shared" si="24"/>
        <v>3.2254260661670031E-2</v>
      </c>
      <c r="D772" s="25">
        <f t="shared" si="25"/>
        <v>5.082169101782813E-2</v>
      </c>
    </row>
    <row r="773" spans="1:4">
      <c r="A773" s="23" t="s">
        <v>775</v>
      </c>
      <c r="B773" s="23">
        <v>2.8585941716778001</v>
      </c>
      <c r="C773" s="23">
        <f t="shared" si="24"/>
        <v>-1.3077945133900037E-2</v>
      </c>
      <c r="D773" s="25">
        <f t="shared" si="25"/>
        <v>5.1084963068842852E-2</v>
      </c>
    </row>
    <row r="774" spans="1:4">
      <c r="A774" s="23" t="s">
        <v>774</v>
      </c>
      <c r="B774" s="23">
        <v>2.8716721168117001</v>
      </c>
      <c r="C774" s="23">
        <f t="shared" si="24"/>
        <v>-2.0728856792830097E-2</v>
      </c>
      <c r="D774" s="25">
        <f t="shared" si="25"/>
        <v>5.2436267291959077E-2</v>
      </c>
    </row>
    <row r="775" spans="1:4">
      <c r="A775" s="23" t="s">
        <v>773</v>
      </c>
      <c r="B775" s="23">
        <v>2.8924009736045302</v>
      </c>
      <c r="C775" s="23">
        <f t="shared" si="24"/>
        <v>-3.0010487796469754E-2</v>
      </c>
      <c r="D775" s="25">
        <f t="shared" si="25"/>
        <v>5.2907864510620448E-2</v>
      </c>
    </row>
    <row r="776" spans="1:4">
      <c r="A776" s="23" t="s">
        <v>772</v>
      </c>
      <c r="B776" s="23">
        <v>2.9224114614009999</v>
      </c>
      <c r="C776" s="23">
        <f t="shared" si="24"/>
        <v>2.1441341603360087E-2</v>
      </c>
      <c r="D776" s="25">
        <f t="shared" si="25"/>
        <v>5.2746258252246644E-2</v>
      </c>
    </row>
    <row r="777" spans="1:4">
      <c r="A777" s="23" t="s">
        <v>771</v>
      </c>
      <c r="B777" s="23">
        <v>2.9009701197976399</v>
      </c>
      <c r="C777" s="23">
        <f t="shared" si="24"/>
        <v>3.0155968906739883E-2</v>
      </c>
      <c r="D777" s="25">
        <f t="shared" si="25"/>
        <v>5.2878024929942917E-2</v>
      </c>
    </row>
    <row r="778" spans="1:4">
      <c r="A778" s="23" t="s">
        <v>770</v>
      </c>
      <c r="B778" s="23">
        <v>2.8708141508909</v>
      </c>
      <c r="C778" s="23">
        <f t="shared" si="24"/>
        <v>-3.2537210740950062E-2</v>
      </c>
      <c r="D778" s="25">
        <f t="shared" si="25"/>
        <v>5.274435363274959E-2</v>
      </c>
    </row>
    <row r="779" spans="1:4">
      <c r="A779" s="23" t="s">
        <v>769</v>
      </c>
      <c r="B779" s="23">
        <v>2.90335136163185</v>
      </c>
      <c r="C779" s="23">
        <f t="shared" si="24"/>
        <v>1.5912335181900161E-2</v>
      </c>
      <c r="D779" s="25">
        <f t="shared" si="25"/>
        <v>5.2775825821444335E-2</v>
      </c>
    </row>
    <row r="780" spans="1:4">
      <c r="A780" s="23" t="s">
        <v>768</v>
      </c>
      <c r="B780" s="23">
        <v>2.8874390264499499</v>
      </c>
      <c r="C780" s="23">
        <f t="shared" si="24"/>
        <v>-4.3017508036359953E-2</v>
      </c>
      <c r="D780" s="25">
        <f t="shared" si="25"/>
        <v>5.3349542369785778E-2</v>
      </c>
    </row>
    <row r="781" spans="1:4">
      <c r="A781" s="23" t="s">
        <v>767</v>
      </c>
      <c r="B781" s="23">
        <v>2.9304565344863098</v>
      </c>
      <c r="C781" s="23">
        <f t="shared" si="24"/>
        <v>-2.664300411662035E-2</v>
      </c>
      <c r="D781" s="25">
        <f t="shared" si="25"/>
        <v>5.3529546002516776E-2</v>
      </c>
    </row>
    <row r="782" spans="1:4">
      <c r="A782" s="23" t="s">
        <v>766</v>
      </c>
      <c r="B782" s="23">
        <v>2.9570995386029302</v>
      </c>
      <c r="C782" s="23">
        <f t="shared" si="24"/>
        <v>3.9016323049480217E-2</v>
      </c>
      <c r="D782" s="25">
        <f t="shared" si="25"/>
        <v>5.3444218449523677E-2</v>
      </c>
    </row>
    <row r="783" spans="1:4">
      <c r="A783" s="23" t="s">
        <v>765</v>
      </c>
      <c r="B783" s="23">
        <v>2.91808321555345</v>
      </c>
      <c r="C783" s="23">
        <f t="shared" si="24"/>
        <v>-1.4182534966610039E-2</v>
      </c>
      <c r="D783" s="25">
        <f t="shared" si="25"/>
        <v>5.3195984979135386E-2</v>
      </c>
    </row>
    <row r="784" spans="1:4">
      <c r="A784" s="23" t="s">
        <v>764</v>
      </c>
      <c r="B784" s="23">
        <v>2.93226575052006</v>
      </c>
      <c r="C784" s="23">
        <f t="shared" si="24"/>
        <v>-3.518427397027013E-2</v>
      </c>
      <c r="D784" s="25">
        <f t="shared" si="25"/>
        <v>5.3190577458175438E-2</v>
      </c>
    </row>
    <row r="785" spans="1:4">
      <c r="A785" s="23" t="s">
        <v>763</v>
      </c>
      <c r="B785" s="23">
        <v>2.9674500244903301</v>
      </c>
      <c r="C785" s="23">
        <f t="shared" si="24"/>
        <v>3.6666879652849982E-2</v>
      </c>
      <c r="D785" s="25">
        <f t="shared" si="25"/>
        <v>5.3592372673204575E-2</v>
      </c>
    </row>
    <row r="786" spans="1:4">
      <c r="A786" s="23" t="s">
        <v>762</v>
      </c>
      <c r="B786" s="23">
        <v>2.9307831448374801</v>
      </c>
      <c r="C786" s="23">
        <f t="shared" si="24"/>
        <v>1.9797905268690297E-2</v>
      </c>
      <c r="D786" s="25">
        <f t="shared" si="25"/>
        <v>5.3635436914120746E-2</v>
      </c>
    </row>
    <row r="787" spans="1:4">
      <c r="A787" s="23" t="s">
        <v>761</v>
      </c>
      <c r="B787" s="23">
        <v>2.9109852395687899</v>
      </c>
      <c r="C787" s="23">
        <f t="shared" si="24"/>
        <v>-5.308752704999975E-4</v>
      </c>
      <c r="D787" s="25">
        <f t="shared" si="25"/>
        <v>5.3900708628230327E-2</v>
      </c>
    </row>
    <row r="788" spans="1:4">
      <c r="A788" s="23" t="s">
        <v>760</v>
      </c>
      <c r="B788" s="23">
        <v>2.9115161148392898</v>
      </c>
      <c r="C788" s="23">
        <f t="shared" si="24"/>
        <v>-1.9205959916260174E-2</v>
      </c>
      <c r="D788" s="25">
        <f t="shared" si="25"/>
        <v>5.411869271383276E-2</v>
      </c>
    </row>
    <row r="789" spans="1:4">
      <c r="A789" s="23" t="s">
        <v>759</v>
      </c>
      <c r="B789" s="23">
        <v>2.93072207475555</v>
      </c>
      <c r="C789" s="23">
        <f t="shared" si="24"/>
        <v>-0.12324106162192017</v>
      </c>
      <c r="D789" s="25">
        <f t="shared" si="25"/>
        <v>5.4218933886974151E-2</v>
      </c>
    </row>
    <row r="790" spans="1:4">
      <c r="A790" s="23" t="s">
        <v>758</v>
      </c>
      <c r="B790" s="23">
        <v>3.0539631363774702</v>
      </c>
      <c r="C790" s="23">
        <f t="shared" si="24"/>
        <v>-5.4835413126849808E-2</v>
      </c>
      <c r="D790" s="25">
        <f t="shared" si="25"/>
        <v>5.1935139826178908E-2</v>
      </c>
    </row>
    <row r="791" spans="1:4">
      <c r="A791" s="23" t="s">
        <v>757</v>
      </c>
      <c r="B791" s="23">
        <v>3.10879854950432</v>
      </c>
      <c r="C791" s="23">
        <f t="shared" si="24"/>
        <v>-5.6117296050219867E-2</v>
      </c>
      <c r="D791" s="25">
        <f t="shared" si="25"/>
        <v>5.1635102942159186E-2</v>
      </c>
    </row>
    <row r="792" spans="1:4">
      <c r="A792" s="23" t="s">
        <v>756</v>
      </c>
      <c r="B792" s="23">
        <v>3.1649158455545399</v>
      </c>
      <c r="C792" s="23">
        <f t="shared" si="24"/>
        <v>0.11995189032693965</v>
      </c>
      <c r="D792" s="25">
        <f t="shared" si="25"/>
        <v>5.1060147827269732E-2</v>
      </c>
    </row>
    <row r="793" spans="1:4">
      <c r="A793" s="23" t="s">
        <v>755</v>
      </c>
      <c r="B793" s="23">
        <v>3.0449639552276002</v>
      </c>
      <c r="C793" s="23">
        <f t="shared" si="24"/>
        <v>-2.1957620186349835E-2</v>
      </c>
      <c r="D793" s="25">
        <f t="shared" si="25"/>
        <v>4.9315097516776901E-2</v>
      </c>
    </row>
    <row r="794" spans="1:4">
      <c r="A794" s="23" t="s">
        <v>754</v>
      </c>
      <c r="B794" s="23">
        <v>3.0669215754139501</v>
      </c>
      <c r="C794" s="23">
        <f t="shared" si="24"/>
        <v>4.4961210114319972E-2</v>
      </c>
      <c r="D794" s="25">
        <f t="shared" si="25"/>
        <v>5.0514183517030721E-2</v>
      </c>
    </row>
    <row r="795" spans="1:4">
      <c r="A795" s="23" t="s">
        <v>753</v>
      </c>
      <c r="B795" s="23">
        <v>3.0219603652996301</v>
      </c>
      <c r="C795" s="23">
        <f t="shared" si="24"/>
        <v>-3.4883522680480006E-2</v>
      </c>
      <c r="D795" s="25">
        <f t="shared" si="25"/>
        <v>5.0187746596708202E-2</v>
      </c>
    </row>
    <row r="796" spans="1:4">
      <c r="A796" s="23" t="s">
        <v>752</v>
      </c>
      <c r="B796" s="23">
        <v>3.0568438879801101</v>
      </c>
      <c r="C796" s="23">
        <f t="shared" si="24"/>
        <v>1.6940911036260164E-2</v>
      </c>
      <c r="D796" s="25">
        <f t="shared" si="25"/>
        <v>5.0083145287489146E-2</v>
      </c>
    </row>
    <row r="797" spans="1:4">
      <c r="A797" s="23" t="s">
        <v>751</v>
      </c>
      <c r="B797" s="23">
        <v>3.0399029769438499</v>
      </c>
      <c r="C797" s="23">
        <f t="shared" si="24"/>
        <v>-7.8374253842699915E-2</v>
      </c>
      <c r="D797" s="25">
        <f t="shared" si="25"/>
        <v>5.0063031933049139E-2</v>
      </c>
    </row>
    <row r="798" spans="1:4">
      <c r="A798" s="23" t="s">
        <v>750</v>
      </c>
      <c r="B798" s="23">
        <v>3.1182772307865498</v>
      </c>
      <c r="C798" s="23">
        <f t="shared" si="24"/>
        <v>-1.4171959390240296E-2</v>
      </c>
      <c r="D798" s="25">
        <f t="shared" si="25"/>
        <v>4.9063187784513414E-2</v>
      </c>
    </row>
    <row r="799" spans="1:4">
      <c r="A799" s="23" t="s">
        <v>749</v>
      </c>
      <c r="B799" s="23">
        <v>3.1324491901767901</v>
      </c>
      <c r="C799" s="23">
        <f t="shared" si="24"/>
        <v>-2.4634139662049748E-2</v>
      </c>
      <c r="D799" s="25">
        <f t="shared" si="25"/>
        <v>5.0886590079586132E-2</v>
      </c>
    </row>
    <row r="800" spans="1:4">
      <c r="A800" s="23" t="s">
        <v>748</v>
      </c>
      <c r="B800" s="23">
        <v>3.1570833298388399</v>
      </c>
      <c r="C800" s="23">
        <f t="shared" si="24"/>
        <v>-2.3634031661012855E-4</v>
      </c>
      <c r="D800" s="25">
        <f t="shared" si="25"/>
        <v>5.0839863426723961E-2</v>
      </c>
    </row>
    <row r="801" spans="1:4">
      <c r="A801" s="23" t="s">
        <v>747</v>
      </c>
      <c r="B801" s="23">
        <v>3.15731967015545</v>
      </c>
      <c r="C801" s="23">
        <f t="shared" si="24"/>
        <v>-8.412062205159998E-2</v>
      </c>
      <c r="D801" s="25">
        <f t="shared" si="25"/>
        <v>5.1753662757672111E-2</v>
      </c>
    </row>
    <row r="802" spans="1:4">
      <c r="A802" s="23" t="s">
        <v>746</v>
      </c>
      <c r="B802" s="23">
        <v>3.24144029220705</v>
      </c>
      <c r="C802" s="23">
        <f t="shared" si="24"/>
        <v>5.0645248679699328E-3</v>
      </c>
      <c r="D802" s="25">
        <f t="shared" si="25"/>
        <v>5.0559582106258473E-2</v>
      </c>
    </row>
    <row r="803" spans="1:4">
      <c r="A803" s="23" t="s">
        <v>745</v>
      </c>
      <c r="B803" s="23">
        <v>3.2363757673390801</v>
      </c>
      <c r="C803" s="23">
        <f t="shared" si="24"/>
        <v>0.10542381683236002</v>
      </c>
      <c r="D803" s="25">
        <f t="shared" si="25"/>
        <v>5.0768260067846703E-2</v>
      </c>
    </row>
    <row r="804" spans="1:4">
      <c r="A804" s="23" t="s">
        <v>744</v>
      </c>
      <c r="B804" s="23">
        <v>3.13095195050672</v>
      </c>
      <c r="C804" s="23">
        <f t="shared" si="24"/>
        <v>-2.8003905879229851E-2</v>
      </c>
      <c r="D804" s="25">
        <f t="shared" si="25"/>
        <v>4.9966629874595152E-2</v>
      </c>
    </row>
    <row r="805" spans="1:4">
      <c r="A805" s="23" t="s">
        <v>743</v>
      </c>
      <c r="B805" s="23">
        <v>3.1589558563859499</v>
      </c>
      <c r="C805" s="23">
        <f t="shared" si="24"/>
        <v>-1.0629504246880028E-2</v>
      </c>
      <c r="D805" s="25">
        <f t="shared" si="25"/>
        <v>4.984235439971977E-2</v>
      </c>
    </row>
    <row r="806" spans="1:4">
      <c r="A806" s="23" t="s">
        <v>742</v>
      </c>
      <c r="B806" s="23">
        <v>3.1695853606328299</v>
      </c>
      <c r="C806" s="23">
        <f t="shared" si="24"/>
        <v>0.1781841187567399</v>
      </c>
      <c r="D806" s="25">
        <f t="shared" si="25"/>
        <v>5.0280826339600973E-2</v>
      </c>
    </row>
    <row r="807" spans="1:4">
      <c r="A807" s="23" t="s">
        <v>741</v>
      </c>
      <c r="B807" s="23">
        <v>2.99140124187609</v>
      </c>
      <c r="C807" s="23">
        <f t="shared" si="24"/>
        <v>7.5158451848490238E-2</v>
      </c>
      <c r="D807" s="25">
        <f t="shared" si="25"/>
        <v>4.4976268589635278E-2</v>
      </c>
    </row>
    <row r="808" spans="1:4">
      <c r="A808" s="23" t="s">
        <v>740</v>
      </c>
      <c r="B808" s="23">
        <v>2.9162427900275998</v>
      </c>
      <c r="C808" s="23">
        <f t="shared" si="24"/>
        <v>-5.7079454719199951E-3</v>
      </c>
      <c r="D808" s="25">
        <f t="shared" si="25"/>
        <v>4.4848293791148734E-2</v>
      </c>
    </row>
    <row r="809" spans="1:4">
      <c r="A809" s="23" t="s">
        <v>739</v>
      </c>
      <c r="B809" s="23">
        <v>2.9219507354995198</v>
      </c>
      <c r="C809" s="23">
        <f t="shared" si="24"/>
        <v>-1.1689544841030131E-2</v>
      </c>
      <c r="D809" s="25">
        <f t="shared" si="25"/>
        <v>4.5170855406518141E-2</v>
      </c>
    </row>
    <row r="810" spans="1:4">
      <c r="A810" s="23" t="s">
        <v>738</v>
      </c>
      <c r="B810" s="23">
        <v>2.9336402803405499</v>
      </c>
      <c r="C810" s="23">
        <f t="shared" si="24"/>
        <v>3.401842259424992E-2</v>
      </c>
      <c r="D810" s="25">
        <f t="shared" si="25"/>
        <v>4.5162853623997572E-2</v>
      </c>
    </row>
    <row r="811" spans="1:4">
      <c r="A811" s="23" t="s">
        <v>737</v>
      </c>
      <c r="B811" s="23">
        <v>2.8996218577463</v>
      </c>
      <c r="C811" s="23">
        <f t="shared" si="24"/>
        <v>3.4560473741370057E-2</v>
      </c>
      <c r="D811" s="25">
        <f t="shared" si="25"/>
        <v>4.614100962208792E-2</v>
      </c>
    </row>
    <row r="812" spans="1:4">
      <c r="A812" s="23" t="s">
        <v>736</v>
      </c>
      <c r="B812" s="23">
        <v>2.8650613840049299</v>
      </c>
      <c r="C812" s="23">
        <f t="shared" si="24"/>
        <v>-3.570938047575023E-2</v>
      </c>
      <c r="D812" s="25">
        <f t="shared" si="25"/>
        <v>4.6030437049134752E-2</v>
      </c>
    </row>
    <row r="813" spans="1:4">
      <c r="A813" s="23" t="s">
        <v>735</v>
      </c>
      <c r="B813" s="23">
        <v>2.9007707644806802</v>
      </c>
      <c r="C813" s="23">
        <f t="shared" si="24"/>
        <v>9.9677582633201922E-3</v>
      </c>
      <c r="D813" s="25">
        <f t="shared" si="25"/>
        <v>4.6900718200990309E-2</v>
      </c>
    </row>
    <row r="814" spans="1:4">
      <c r="A814" s="23" t="s">
        <v>734</v>
      </c>
      <c r="B814" s="23">
        <v>2.89080300621736</v>
      </c>
      <c r="C814" s="23">
        <f t="shared" si="24"/>
        <v>-3.7920596654439809E-2</v>
      </c>
      <c r="D814" s="25">
        <f t="shared" si="25"/>
        <v>4.6922691292056541E-2</v>
      </c>
    </row>
    <row r="815" spans="1:4">
      <c r="A815" s="23" t="s">
        <v>733</v>
      </c>
      <c r="B815" s="23">
        <v>2.9287236028717998</v>
      </c>
      <c r="C815" s="23">
        <f t="shared" si="24"/>
        <v>4.6992056529899795E-2</v>
      </c>
      <c r="D815" s="25">
        <f t="shared" si="25"/>
        <v>4.6770337556967689E-2</v>
      </c>
    </row>
    <row r="816" spans="1:4">
      <c r="A816" s="23" t="s">
        <v>732</v>
      </c>
      <c r="B816" s="23">
        <v>2.8817315463419</v>
      </c>
      <c r="C816" s="23">
        <f t="shared" si="24"/>
        <v>7.1535378708010189E-2</v>
      </c>
      <c r="D816" s="25">
        <f t="shared" si="25"/>
        <v>4.6980541975380652E-2</v>
      </c>
    </row>
    <row r="817" spans="1:4">
      <c r="A817" s="23" t="s">
        <v>731</v>
      </c>
      <c r="B817" s="23">
        <v>2.8101961676338898</v>
      </c>
      <c r="C817" s="23">
        <f t="shared" si="24"/>
        <v>-1.0342884267940278E-2</v>
      </c>
      <c r="D817" s="25">
        <f t="shared" si="25"/>
        <v>4.615506574118107E-2</v>
      </c>
    </row>
    <row r="818" spans="1:4">
      <c r="A818" s="23" t="s">
        <v>730</v>
      </c>
      <c r="B818" s="23">
        <v>2.8205390519018301</v>
      </c>
      <c r="C818" s="23">
        <f t="shared" si="24"/>
        <v>-2.6308026466059786E-2</v>
      </c>
      <c r="D818" s="25">
        <f t="shared" si="25"/>
        <v>4.6152108706323892E-2</v>
      </c>
    </row>
    <row r="819" spans="1:4">
      <c r="A819" s="23" t="s">
        <v>729</v>
      </c>
      <c r="B819" s="23">
        <v>2.8468470783678899</v>
      </c>
      <c r="C819" s="23">
        <f t="shared" si="24"/>
        <v>1.2014242258209684E-2</v>
      </c>
      <c r="D819" s="25">
        <f t="shared" si="25"/>
        <v>4.6075237125528364E-2</v>
      </c>
    </row>
    <row r="820" spans="1:4">
      <c r="A820" s="23" t="s">
        <v>728</v>
      </c>
      <c r="B820" s="23">
        <v>2.8348328361096802</v>
      </c>
      <c r="C820" s="23">
        <f t="shared" si="24"/>
        <v>-3.8298557133619848E-2</v>
      </c>
      <c r="D820" s="25">
        <f t="shared" si="25"/>
        <v>4.6165934591029002E-2</v>
      </c>
    </row>
    <row r="821" spans="1:4">
      <c r="A821" s="23" t="s">
        <v>727</v>
      </c>
      <c r="B821" s="23">
        <v>2.8731313932433</v>
      </c>
      <c r="C821" s="23">
        <f t="shared" si="24"/>
        <v>-5.0024605523499854E-2</v>
      </c>
      <c r="D821" s="25">
        <f t="shared" si="25"/>
        <v>4.7219730497466028E-2</v>
      </c>
    </row>
    <row r="822" spans="1:4">
      <c r="A822" s="23" t="s">
        <v>726</v>
      </c>
      <c r="B822" s="23">
        <v>2.9231559987667999</v>
      </c>
      <c r="C822" s="23">
        <f t="shared" si="24"/>
        <v>5.4795292829100006E-2</v>
      </c>
      <c r="D822" s="25">
        <f t="shared" si="25"/>
        <v>4.6844547718794337E-2</v>
      </c>
    </row>
    <row r="823" spans="1:4">
      <c r="A823" s="23" t="s">
        <v>725</v>
      </c>
      <c r="B823" s="23">
        <v>2.8683607059376999</v>
      </c>
      <c r="C823" s="23">
        <f t="shared" si="24"/>
        <v>3.6687644872429814E-2</v>
      </c>
      <c r="D823" s="25">
        <f t="shared" si="25"/>
        <v>4.6350649088934361E-2</v>
      </c>
    </row>
    <row r="824" spans="1:4">
      <c r="A824" s="23" t="s">
        <v>724</v>
      </c>
      <c r="B824" s="23">
        <v>2.8316730610652701</v>
      </c>
      <c r="C824" s="23">
        <f t="shared" si="24"/>
        <v>4.9461188656700017E-2</v>
      </c>
      <c r="D824" s="25">
        <f t="shared" si="25"/>
        <v>4.6195756502597558E-2</v>
      </c>
    </row>
    <row r="825" spans="1:4">
      <c r="A825" s="23" t="s">
        <v>723</v>
      </c>
      <c r="B825" s="23">
        <v>2.78221187240857</v>
      </c>
      <c r="C825" s="23">
        <f t="shared" si="24"/>
        <v>1.5397235040920165E-2</v>
      </c>
      <c r="D825" s="25">
        <f t="shared" si="25"/>
        <v>4.6199295498823886E-2</v>
      </c>
    </row>
    <row r="826" spans="1:4">
      <c r="A826" s="23" t="s">
        <v>722</v>
      </c>
      <c r="B826" s="23">
        <v>2.7668146373676499</v>
      </c>
      <c r="C826" s="23">
        <f t="shared" si="24"/>
        <v>-5.0670835001480174E-2</v>
      </c>
      <c r="D826" s="25">
        <f t="shared" si="25"/>
        <v>4.6284369574009554E-2</v>
      </c>
    </row>
    <row r="827" spans="1:4">
      <c r="A827" s="23" t="s">
        <v>721</v>
      </c>
      <c r="B827" s="23">
        <v>2.8174854723691301</v>
      </c>
      <c r="C827" s="23">
        <f t="shared" si="24"/>
        <v>7.7365030048501815E-3</v>
      </c>
      <c r="D827" s="25">
        <f t="shared" si="25"/>
        <v>4.5954995969663022E-2</v>
      </c>
    </row>
    <row r="828" spans="1:4">
      <c r="A828" s="23" t="s">
        <v>720</v>
      </c>
      <c r="B828" s="23">
        <v>2.8097489693642799</v>
      </c>
      <c r="C828" s="23">
        <f t="shared" si="24"/>
        <v>-3.6105470365650039E-2</v>
      </c>
      <c r="D828" s="25">
        <f t="shared" si="25"/>
        <v>4.6111981831937918E-2</v>
      </c>
    </row>
    <row r="829" spans="1:4">
      <c r="A829" s="23" t="s">
        <v>719</v>
      </c>
      <c r="B829" s="23">
        <v>2.8458544397299299</v>
      </c>
      <c r="C829" s="23">
        <f t="shared" si="24"/>
        <v>7.8823744707749999E-2</v>
      </c>
      <c r="D829" s="25">
        <f t="shared" si="25"/>
        <v>4.5947665703828605E-2</v>
      </c>
    </row>
    <row r="830" spans="1:4">
      <c r="A830" s="23" t="s">
        <v>718</v>
      </c>
      <c r="B830" s="23">
        <v>2.7670306950221799</v>
      </c>
      <c r="C830" s="23">
        <f t="shared" si="24"/>
        <v>-2.7571417763150308E-2</v>
      </c>
      <c r="D830" s="25">
        <f t="shared" si="25"/>
        <v>4.5325010616477923E-2</v>
      </c>
    </row>
    <row r="831" spans="1:4">
      <c r="A831" s="23" t="s">
        <v>717</v>
      </c>
      <c r="B831" s="23">
        <v>2.7946021127853302</v>
      </c>
      <c r="C831" s="23">
        <f t="shared" si="24"/>
        <v>3.3273679199120387E-2</v>
      </c>
      <c r="D831" s="25">
        <f t="shared" si="25"/>
        <v>4.5607066392698736E-2</v>
      </c>
    </row>
    <row r="832" spans="1:4">
      <c r="A832" s="23" t="s">
        <v>716</v>
      </c>
      <c r="B832" s="23">
        <v>2.7613284335862098</v>
      </c>
      <c r="C832" s="23">
        <f t="shared" si="24"/>
        <v>-4.8813875777440341E-2</v>
      </c>
      <c r="D832" s="25">
        <f t="shared" si="25"/>
        <v>4.656921176470926E-2</v>
      </c>
    </row>
    <row r="833" spans="1:4">
      <c r="A833" s="23" t="s">
        <v>715</v>
      </c>
      <c r="B833" s="23">
        <v>2.8101423093636502</v>
      </c>
      <c r="C833" s="23">
        <f t="shared" si="24"/>
        <v>9.3739793870110333E-2</v>
      </c>
      <c r="D833" s="25">
        <f t="shared" si="25"/>
        <v>4.6343219826463368E-2</v>
      </c>
    </row>
    <row r="834" spans="1:4">
      <c r="A834" s="23" t="s">
        <v>714</v>
      </c>
      <c r="B834" s="23">
        <v>2.7164025154935398</v>
      </c>
      <c r="C834" s="23">
        <f t="shared" ref="C834:C897" si="26">B834-B835</f>
        <v>-5.6540527752530156E-2</v>
      </c>
      <c r="D834" s="25">
        <f t="shared" ref="D834:D897" si="27">STDEV(C834:C893)</f>
        <v>4.4678783705727802E-2</v>
      </c>
    </row>
    <row r="835" spans="1:4">
      <c r="A835" s="23" t="s">
        <v>713</v>
      </c>
      <c r="B835" s="23">
        <v>2.77294304324607</v>
      </c>
      <c r="C835" s="23">
        <f t="shared" si="26"/>
        <v>-3.3522277110598075E-3</v>
      </c>
      <c r="D835" s="25">
        <f t="shared" si="27"/>
        <v>4.4749941733171525E-2</v>
      </c>
    </row>
    <row r="836" spans="1:4">
      <c r="A836" s="23" t="s">
        <v>712</v>
      </c>
      <c r="B836" s="23">
        <v>2.7762952709571298</v>
      </c>
      <c r="C836" s="23">
        <f t="shared" si="26"/>
        <v>-3.2652443324550084E-2</v>
      </c>
      <c r="D836" s="25">
        <f t="shared" si="27"/>
        <v>4.4812353954912856E-2</v>
      </c>
    </row>
    <row r="837" spans="1:4">
      <c r="A837" s="23" t="s">
        <v>711</v>
      </c>
      <c r="B837" s="23">
        <v>2.8089477142816799</v>
      </c>
      <c r="C837" s="23">
        <f t="shared" si="26"/>
        <v>7.0354173961995059E-4</v>
      </c>
      <c r="D837" s="25">
        <f t="shared" si="27"/>
        <v>4.7207182425334553E-2</v>
      </c>
    </row>
    <row r="838" spans="1:4">
      <c r="A838" s="23" t="s">
        <v>710</v>
      </c>
      <c r="B838" s="23">
        <v>2.8082441725420599</v>
      </c>
      <c r="C838" s="23">
        <f t="shared" si="26"/>
        <v>-3.5339667502269911E-2</v>
      </c>
      <c r="D838" s="25">
        <f t="shared" si="27"/>
        <v>4.8967466542859779E-2</v>
      </c>
    </row>
    <row r="839" spans="1:4">
      <c r="A839" s="23" t="s">
        <v>709</v>
      </c>
      <c r="B839" s="23">
        <v>2.8435838400443298</v>
      </c>
      <c r="C839" s="23">
        <f t="shared" si="26"/>
        <v>-6.1572437551310255E-2</v>
      </c>
      <c r="D839" s="25">
        <f t="shared" si="27"/>
        <v>4.9722354087923797E-2</v>
      </c>
    </row>
    <row r="840" spans="1:4">
      <c r="A840" s="23" t="s">
        <v>708</v>
      </c>
      <c r="B840" s="23">
        <v>2.9051562775956401</v>
      </c>
      <c r="C840" s="23">
        <f t="shared" si="26"/>
        <v>-5.4724610708329902E-2</v>
      </c>
      <c r="D840" s="25">
        <f t="shared" si="27"/>
        <v>5.1964457002211063E-2</v>
      </c>
    </row>
    <row r="841" spans="1:4">
      <c r="A841" s="23" t="s">
        <v>707</v>
      </c>
      <c r="B841" s="23">
        <v>2.95988088830397</v>
      </c>
      <c r="C841" s="23">
        <f t="shared" si="26"/>
        <v>-1.2683253815290119E-2</v>
      </c>
      <c r="D841" s="25">
        <f t="shared" si="27"/>
        <v>5.222706946068198E-2</v>
      </c>
    </row>
    <row r="842" spans="1:4">
      <c r="A842" s="23" t="s">
        <v>706</v>
      </c>
      <c r="B842" s="23">
        <v>2.9725641421192601</v>
      </c>
      <c r="C842" s="23">
        <f t="shared" si="26"/>
        <v>-3.5467340699897321E-3</v>
      </c>
      <c r="D842" s="25">
        <f t="shared" si="27"/>
        <v>5.3605611145727199E-2</v>
      </c>
    </row>
    <row r="843" spans="1:4">
      <c r="A843" s="23" t="s">
        <v>705</v>
      </c>
      <c r="B843" s="23">
        <v>2.9761108761892499</v>
      </c>
      <c r="C843" s="23">
        <f t="shared" si="26"/>
        <v>1.1344051540299827E-2</v>
      </c>
      <c r="D843" s="25">
        <f t="shared" si="27"/>
        <v>5.38450419960462E-2</v>
      </c>
    </row>
    <row r="844" spans="1:4">
      <c r="A844" s="23" t="s">
        <v>704</v>
      </c>
      <c r="B844" s="23">
        <v>2.96476682464895</v>
      </c>
      <c r="C844" s="23">
        <f t="shared" si="26"/>
        <v>6.1814629858820247E-2</v>
      </c>
      <c r="D844" s="25">
        <f t="shared" si="27"/>
        <v>5.3812467702842905E-2</v>
      </c>
    </row>
    <row r="845" spans="1:4">
      <c r="A845" s="23" t="s">
        <v>703</v>
      </c>
      <c r="B845" s="23">
        <v>2.9029521947901298</v>
      </c>
      <c r="C845" s="23">
        <f t="shared" si="26"/>
        <v>4.0310778351489773E-2</v>
      </c>
      <c r="D845" s="25">
        <f t="shared" si="27"/>
        <v>5.3235250978466181E-2</v>
      </c>
    </row>
    <row r="846" spans="1:4">
      <c r="A846" s="23" t="s">
        <v>702</v>
      </c>
      <c r="B846" s="23">
        <v>2.86264141643864</v>
      </c>
      <c r="C846" s="23">
        <f t="shared" si="26"/>
        <v>4.6335999420100027E-2</v>
      </c>
      <c r="D846" s="25">
        <f t="shared" si="27"/>
        <v>5.2914512191604035E-2</v>
      </c>
    </row>
    <row r="847" spans="1:4">
      <c r="A847" s="23" t="s">
        <v>701</v>
      </c>
      <c r="B847" s="23">
        <v>2.81630541701854</v>
      </c>
      <c r="C847" s="23">
        <f t="shared" si="26"/>
        <v>-3.603449973140016E-2</v>
      </c>
      <c r="D847" s="25">
        <f t="shared" si="27"/>
        <v>5.2448058424227957E-2</v>
      </c>
    </row>
    <row r="848" spans="1:4">
      <c r="A848" s="23" t="s">
        <v>700</v>
      </c>
      <c r="B848" s="23">
        <v>2.8523399167499401</v>
      </c>
      <c r="C848" s="23">
        <f t="shared" si="26"/>
        <v>-3.1432104672290073E-2</v>
      </c>
      <c r="D848" s="25">
        <f t="shared" si="27"/>
        <v>5.2866048956574457E-2</v>
      </c>
    </row>
    <row r="849" spans="1:4">
      <c r="A849" s="23" t="s">
        <v>699</v>
      </c>
      <c r="B849" s="23">
        <v>2.8837720214222302</v>
      </c>
      <c r="C849" s="23">
        <f t="shared" si="26"/>
        <v>-3.401579393970966E-2</v>
      </c>
      <c r="D849" s="25">
        <f t="shared" si="27"/>
        <v>5.3461397566049798E-2</v>
      </c>
    </row>
    <row r="850" spans="1:4">
      <c r="A850" s="23" t="s">
        <v>698</v>
      </c>
      <c r="B850" s="23">
        <v>2.9177878153619399</v>
      </c>
      <c r="C850" s="23">
        <f t="shared" si="26"/>
        <v>4.2070010391139778E-2</v>
      </c>
      <c r="D850" s="25">
        <f t="shared" si="27"/>
        <v>5.343769778016326E-2</v>
      </c>
    </row>
    <row r="851" spans="1:4">
      <c r="A851" s="23" t="s">
        <v>697</v>
      </c>
      <c r="B851" s="23">
        <v>2.8757178049708001</v>
      </c>
      <c r="C851" s="23">
        <f t="shared" si="26"/>
        <v>1.8340546451160122E-2</v>
      </c>
      <c r="D851" s="25">
        <f t="shared" si="27"/>
        <v>5.3178422987661504E-2</v>
      </c>
    </row>
    <row r="852" spans="1:4">
      <c r="A852" s="23" t="s">
        <v>696</v>
      </c>
      <c r="B852" s="23">
        <v>2.85737725851964</v>
      </c>
      <c r="C852" s="23">
        <f t="shared" si="26"/>
        <v>-5.2733130262800021E-2</v>
      </c>
      <c r="D852" s="25">
        <f t="shared" si="27"/>
        <v>5.3345344841937085E-2</v>
      </c>
    </row>
    <row r="853" spans="1:4">
      <c r="A853" s="23" t="s">
        <v>695</v>
      </c>
      <c r="B853" s="23">
        <v>2.91011038878244</v>
      </c>
      <c r="C853" s="23">
        <f t="shared" si="26"/>
        <v>-8.559269790709001E-2</v>
      </c>
      <c r="D853" s="25">
        <f t="shared" si="27"/>
        <v>5.4653871874557086E-2</v>
      </c>
    </row>
    <row r="854" spans="1:4">
      <c r="A854" s="23" t="s">
        <v>694</v>
      </c>
      <c r="B854" s="23">
        <v>2.99570308668953</v>
      </c>
      <c r="C854" s="23">
        <f t="shared" si="26"/>
        <v>3.497881271969927E-3</v>
      </c>
      <c r="D854" s="25">
        <f t="shared" si="27"/>
        <v>5.4383168402858333E-2</v>
      </c>
    </row>
    <row r="855" spans="1:4">
      <c r="A855" s="23" t="s">
        <v>693</v>
      </c>
      <c r="B855" s="23">
        <v>2.9922052054175601</v>
      </c>
      <c r="C855" s="23">
        <f t="shared" si="26"/>
        <v>-2.4695652037820093E-2</v>
      </c>
      <c r="D855" s="25">
        <f t="shared" si="27"/>
        <v>5.5295783079482672E-2</v>
      </c>
    </row>
    <row r="856" spans="1:4">
      <c r="A856" s="23" t="s">
        <v>692</v>
      </c>
      <c r="B856" s="23">
        <v>3.0169008574553802</v>
      </c>
      <c r="C856" s="23">
        <f t="shared" si="26"/>
        <v>-1.198270581457983E-2</v>
      </c>
      <c r="D856" s="25">
        <f t="shared" si="27"/>
        <v>5.6104886518771865E-2</v>
      </c>
    </row>
    <row r="857" spans="1:4">
      <c r="A857" s="23" t="s">
        <v>691</v>
      </c>
      <c r="B857" s="23">
        <v>3.02888356326996</v>
      </c>
      <c r="C857" s="23">
        <f t="shared" si="26"/>
        <v>-1.9357565113459874E-2</v>
      </c>
      <c r="D857" s="25">
        <f t="shared" si="27"/>
        <v>5.688265700015694E-2</v>
      </c>
    </row>
    <row r="858" spans="1:4">
      <c r="A858" s="23" t="s">
        <v>690</v>
      </c>
      <c r="B858" s="23">
        <v>3.0482411283834199</v>
      </c>
      <c r="C858" s="23">
        <f t="shared" si="26"/>
        <v>-0.10430001063782024</v>
      </c>
      <c r="D858" s="25">
        <f t="shared" si="27"/>
        <v>5.7093133489712858E-2</v>
      </c>
    </row>
    <row r="859" spans="1:4">
      <c r="A859" s="23" t="s">
        <v>689</v>
      </c>
      <c r="B859" s="23">
        <v>3.1525411390212401</v>
      </c>
      <c r="C859" s="23">
        <f t="shared" si="26"/>
        <v>-1.7962956752000103E-2</v>
      </c>
      <c r="D859" s="25">
        <f t="shared" si="27"/>
        <v>5.6492891196130206E-2</v>
      </c>
    </row>
    <row r="860" spans="1:4">
      <c r="A860" s="23" t="s">
        <v>688</v>
      </c>
      <c r="B860" s="23">
        <v>3.1705040957732402</v>
      </c>
      <c r="C860" s="23">
        <f t="shared" si="26"/>
        <v>7.47764944989604E-2</v>
      </c>
      <c r="D860" s="25">
        <f t="shared" si="27"/>
        <v>5.6560352159081416E-2</v>
      </c>
    </row>
    <row r="861" spans="1:4">
      <c r="A861" s="23" t="s">
        <v>687</v>
      </c>
      <c r="B861" s="23">
        <v>3.0957276012742798</v>
      </c>
      <c r="C861" s="23">
        <f t="shared" si="26"/>
        <v>-1.0479002034320395E-2</v>
      </c>
      <c r="D861" s="25">
        <f t="shared" si="27"/>
        <v>5.7896659391405751E-2</v>
      </c>
    </row>
    <row r="862" spans="1:4">
      <c r="A862" s="23" t="s">
        <v>686</v>
      </c>
      <c r="B862" s="23">
        <v>3.1062066033086002</v>
      </c>
      <c r="C862" s="23">
        <f t="shared" si="26"/>
        <v>3.7939476135350425E-2</v>
      </c>
      <c r="D862" s="25">
        <f t="shared" si="27"/>
        <v>5.9067495305334561E-2</v>
      </c>
    </row>
    <row r="863" spans="1:4">
      <c r="A863" s="23" t="s">
        <v>685</v>
      </c>
      <c r="B863" s="23">
        <v>3.0682671271732498</v>
      </c>
      <c r="C863" s="23">
        <f t="shared" si="26"/>
        <v>7.8819551817849831E-2</v>
      </c>
      <c r="D863" s="25">
        <f t="shared" si="27"/>
        <v>6.1082654279575106E-2</v>
      </c>
    </row>
    <row r="864" spans="1:4">
      <c r="A864" s="23" t="s">
        <v>684</v>
      </c>
      <c r="B864" s="23">
        <v>2.9894475753554</v>
      </c>
      <c r="C864" s="23">
        <f t="shared" si="26"/>
        <v>-1.1589209182139903E-2</v>
      </c>
      <c r="D864" s="25">
        <f t="shared" si="27"/>
        <v>6.4164453637397423E-2</v>
      </c>
    </row>
    <row r="865" spans="1:4">
      <c r="A865" s="23" t="s">
        <v>683</v>
      </c>
      <c r="B865" s="23">
        <v>3.0010367845375399</v>
      </c>
      <c r="C865" s="23">
        <f t="shared" si="26"/>
        <v>-5.0208784325490363E-2</v>
      </c>
      <c r="D865" s="25">
        <f t="shared" si="27"/>
        <v>7.1216692445717447E-2</v>
      </c>
    </row>
    <row r="866" spans="1:4">
      <c r="A866" s="23" t="s">
        <v>682</v>
      </c>
      <c r="B866" s="23">
        <v>3.0512455688630302</v>
      </c>
      <c r="C866" s="23">
        <f t="shared" si="26"/>
        <v>4.1344530537570368E-2</v>
      </c>
      <c r="D866" s="25">
        <f t="shared" si="27"/>
        <v>7.1032528307996126E-2</v>
      </c>
    </row>
    <row r="867" spans="1:4">
      <c r="A867" s="23" t="s">
        <v>681</v>
      </c>
      <c r="B867" s="23">
        <v>3.0099010383254599</v>
      </c>
      <c r="C867" s="23">
        <f t="shared" si="26"/>
        <v>-7.3699932039509974E-2</v>
      </c>
      <c r="D867" s="25">
        <f t="shared" si="27"/>
        <v>7.2075532838128509E-2</v>
      </c>
    </row>
    <row r="868" spans="1:4">
      <c r="A868" s="23" t="s">
        <v>680</v>
      </c>
      <c r="B868" s="23">
        <v>3.0836009703649698</v>
      </c>
      <c r="C868" s="23">
        <f t="shared" si="26"/>
        <v>-4.458494189224016E-2</v>
      </c>
      <c r="D868" s="25">
        <f t="shared" si="27"/>
        <v>7.1521082185800375E-2</v>
      </c>
    </row>
    <row r="869" spans="1:4">
      <c r="A869" s="23" t="s">
        <v>679</v>
      </c>
      <c r="B869" s="23">
        <v>3.12818591225721</v>
      </c>
      <c r="C869" s="23">
        <f t="shared" si="26"/>
        <v>-8.499164901770051E-3</v>
      </c>
      <c r="D869" s="25">
        <f t="shared" si="27"/>
        <v>7.1623139923947032E-2</v>
      </c>
    </row>
    <row r="870" spans="1:4">
      <c r="A870" s="23" t="s">
        <v>678</v>
      </c>
      <c r="B870" s="23">
        <v>3.13668507715898</v>
      </c>
      <c r="C870" s="23">
        <f t="shared" si="26"/>
        <v>7.847644160080991E-2</v>
      </c>
      <c r="D870" s="25">
        <f t="shared" si="27"/>
        <v>7.1619871974942947E-2</v>
      </c>
    </row>
    <row r="871" spans="1:4">
      <c r="A871" s="23" t="s">
        <v>677</v>
      </c>
      <c r="B871" s="23">
        <v>3.0582086355581701</v>
      </c>
      <c r="C871" s="23">
        <f t="shared" si="26"/>
        <v>-3.1908020311279817E-2</v>
      </c>
      <c r="D871" s="25">
        <f t="shared" si="27"/>
        <v>7.1001628899534611E-2</v>
      </c>
    </row>
    <row r="872" spans="1:4">
      <c r="A872" s="23" t="s">
        <v>676</v>
      </c>
      <c r="B872" s="23">
        <v>3.0901166558694499</v>
      </c>
      <c r="C872" s="23">
        <f t="shared" si="26"/>
        <v>-8.0078181719219987E-2</v>
      </c>
      <c r="D872" s="25">
        <f t="shared" si="27"/>
        <v>7.1210463511906547E-2</v>
      </c>
    </row>
    <row r="873" spans="1:4">
      <c r="A873" s="23" t="s">
        <v>675</v>
      </c>
      <c r="B873" s="23">
        <v>3.1701948375886699</v>
      </c>
      <c r="C873" s="23">
        <f t="shared" si="26"/>
        <v>1.3700376992269891E-2</v>
      </c>
      <c r="D873" s="25">
        <f t="shared" si="27"/>
        <v>7.0989650424815531E-2</v>
      </c>
    </row>
    <row r="874" spans="1:4">
      <c r="A874" s="23" t="s">
        <v>674</v>
      </c>
      <c r="B874" s="23">
        <v>3.1564944605964</v>
      </c>
      <c r="C874" s="23">
        <f t="shared" si="26"/>
        <v>1.3564161854110246E-2</v>
      </c>
      <c r="D874" s="25">
        <f t="shared" si="27"/>
        <v>7.1058107134482879E-2</v>
      </c>
    </row>
    <row r="875" spans="1:4">
      <c r="A875" s="23" t="s">
        <v>673</v>
      </c>
      <c r="B875" s="23">
        <v>3.1429302987422898</v>
      </c>
      <c r="C875" s="23">
        <f t="shared" si="26"/>
        <v>-6.6284517000300358E-2</v>
      </c>
      <c r="D875" s="25">
        <f t="shared" si="27"/>
        <v>7.1393923106387577E-2</v>
      </c>
    </row>
    <row r="876" spans="1:4">
      <c r="A876" s="23" t="s">
        <v>672</v>
      </c>
      <c r="B876" s="23">
        <v>3.2092148157425902</v>
      </c>
      <c r="C876" s="23">
        <f t="shared" si="26"/>
        <v>3.2195496666090229E-2</v>
      </c>
      <c r="D876" s="25">
        <f t="shared" si="27"/>
        <v>7.0893372332207702E-2</v>
      </c>
    </row>
    <row r="877" spans="1:4">
      <c r="A877" s="23" t="s">
        <v>671</v>
      </c>
      <c r="B877" s="23">
        <v>3.1770193190764999</v>
      </c>
      <c r="C877" s="23">
        <f t="shared" si="26"/>
        <v>-4.5860360208900275E-3</v>
      </c>
      <c r="D877" s="25">
        <f t="shared" si="27"/>
        <v>7.1898927196234835E-2</v>
      </c>
    </row>
    <row r="878" spans="1:4">
      <c r="A878" s="23" t="s">
        <v>670</v>
      </c>
      <c r="B878" s="23">
        <v>3.18160535509739</v>
      </c>
      <c r="C878" s="23">
        <f t="shared" si="26"/>
        <v>-6.2973579312601835E-3</v>
      </c>
      <c r="D878" s="25">
        <f t="shared" si="27"/>
        <v>7.2324312711396097E-2</v>
      </c>
    </row>
    <row r="879" spans="1:4">
      <c r="A879" s="23" t="s">
        <v>669</v>
      </c>
      <c r="B879" s="23">
        <v>3.1879027130286501</v>
      </c>
      <c r="C879" s="23">
        <f t="shared" si="26"/>
        <v>-3.4722843732289732E-2</v>
      </c>
      <c r="D879" s="25">
        <f t="shared" si="27"/>
        <v>7.2927798497612745E-2</v>
      </c>
    </row>
    <row r="880" spans="1:4">
      <c r="A880" s="23" t="s">
        <v>668</v>
      </c>
      <c r="B880" s="23">
        <v>3.2226255567609399</v>
      </c>
      <c r="C880" s="23">
        <f t="shared" si="26"/>
        <v>7.7459232914109943E-2</v>
      </c>
      <c r="D880" s="25">
        <f t="shared" si="27"/>
        <v>7.3516125823575335E-2</v>
      </c>
    </row>
    <row r="881" spans="1:4">
      <c r="A881" s="23" t="s">
        <v>667</v>
      </c>
      <c r="B881" s="23">
        <v>3.1451663238468299</v>
      </c>
      <c r="C881" s="23">
        <f t="shared" si="26"/>
        <v>9.9828700968007666E-4</v>
      </c>
      <c r="D881" s="25">
        <f t="shared" si="27"/>
        <v>7.3712497923900847E-2</v>
      </c>
    </row>
    <row r="882" spans="1:4">
      <c r="A882" s="23" t="s">
        <v>666</v>
      </c>
      <c r="B882" s="23">
        <v>3.1441680368371498</v>
      </c>
      <c r="C882" s="23">
        <f t="shared" si="26"/>
        <v>-3.2512468189469956E-2</v>
      </c>
      <c r="D882" s="25">
        <f t="shared" si="27"/>
        <v>7.3856338238211139E-2</v>
      </c>
    </row>
    <row r="883" spans="1:4">
      <c r="A883" s="23" t="s">
        <v>665</v>
      </c>
      <c r="B883" s="23">
        <v>3.1766805050266198</v>
      </c>
      <c r="C883" s="23">
        <f t="shared" si="26"/>
        <v>-3.6656033136630128E-2</v>
      </c>
      <c r="D883" s="25">
        <f t="shared" si="27"/>
        <v>7.4625897847426167E-2</v>
      </c>
    </row>
    <row r="884" spans="1:4">
      <c r="A884" s="23" t="s">
        <v>664</v>
      </c>
      <c r="B884" s="23">
        <v>3.2133365381632499</v>
      </c>
      <c r="C884" s="23">
        <f t="shared" si="26"/>
        <v>4.9633726370100106E-2</v>
      </c>
      <c r="D884" s="25">
        <f t="shared" si="27"/>
        <v>7.4828307691537463E-2</v>
      </c>
    </row>
    <row r="885" spans="1:4">
      <c r="A885" s="23" t="s">
        <v>663</v>
      </c>
      <c r="B885" s="23">
        <v>3.1637028117931498</v>
      </c>
      <c r="C885" s="23">
        <f t="shared" si="26"/>
        <v>-3.7735882940950205E-2</v>
      </c>
      <c r="D885" s="25">
        <f t="shared" si="27"/>
        <v>7.497902877851205E-2</v>
      </c>
    </row>
    <row r="886" spans="1:4">
      <c r="A886" s="23" t="s">
        <v>662</v>
      </c>
      <c r="B886" s="23">
        <v>3.2014386947341</v>
      </c>
      <c r="C886" s="23">
        <f t="shared" si="26"/>
        <v>-1.779977493924001E-2</v>
      </c>
      <c r="D886" s="25">
        <f t="shared" si="27"/>
        <v>7.4887452744657343E-2</v>
      </c>
    </row>
    <row r="887" spans="1:4">
      <c r="A887" s="23" t="s">
        <v>661</v>
      </c>
      <c r="B887" s="23">
        <v>3.21923846967334</v>
      </c>
      <c r="C887" s="23">
        <f t="shared" si="26"/>
        <v>2.5962497596680123E-2</v>
      </c>
      <c r="D887" s="25">
        <f t="shared" si="27"/>
        <v>7.4997657649033059E-2</v>
      </c>
    </row>
    <row r="888" spans="1:4">
      <c r="A888" s="23" t="s">
        <v>660</v>
      </c>
      <c r="B888" s="23">
        <v>3.1932759720766599</v>
      </c>
      <c r="C888" s="23">
        <f t="shared" si="26"/>
        <v>-3.5535113288802656E-3</v>
      </c>
      <c r="D888" s="25">
        <f t="shared" si="27"/>
        <v>7.4957878532467229E-2</v>
      </c>
    </row>
    <row r="889" spans="1:4">
      <c r="A889" s="23" t="s">
        <v>659</v>
      </c>
      <c r="B889" s="23">
        <v>3.1968294834055402</v>
      </c>
      <c r="C889" s="23">
        <f t="shared" si="26"/>
        <v>5.5998643991770347E-2</v>
      </c>
      <c r="D889" s="25">
        <f t="shared" si="27"/>
        <v>7.5146374647647507E-2</v>
      </c>
    </row>
    <row r="890" spans="1:4">
      <c r="A890" s="23" t="s">
        <v>658</v>
      </c>
      <c r="B890" s="23">
        <v>3.1408308394137698</v>
      </c>
      <c r="C890" s="23">
        <f t="shared" si="26"/>
        <v>-5.0700203945110101E-2</v>
      </c>
      <c r="D890" s="25">
        <f t="shared" si="27"/>
        <v>7.525785774733601E-2</v>
      </c>
    </row>
    <row r="891" spans="1:4">
      <c r="A891" s="23" t="s">
        <v>657</v>
      </c>
      <c r="B891" s="23">
        <v>3.1915310433588799</v>
      </c>
      <c r="C891" s="23">
        <f t="shared" si="26"/>
        <v>7.6175538721349856E-2</v>
      </c>
      <c r="D891" s="25">
        <f t="shared" si="27"/>
        <v>7.5521816833003422E-2</v>
      </c>
    </row>
    <row r="892" spans="1:4">
      <c r="A892" s="23" t="s">
        <v>656</v>
      </c>
      <c r="B892" s="23">
        <v>3.1153555046375301</v>
      </c>
      <c r="C892" s="23">
        <f t="shared" si="26"/>
        <v>-3.0563442605749724E-2</v>
      </c>
      <c r="D892" s="25">
        <f t="shared" si="27"/>
        <v>7.5170864067481274E-2</v>
      </c>
    </row>
    <row r="893" spans="1:4">
      <c r="A893" s="23" t="s">
        <v>655</v>
      </c>
      <c r="B893" s="23">
        <v>3.1459189472432798</v>
      </c>
      <c r="C893" s="23">
        <f t="shared" si="26"/>
        <v>-4.0671074674180296E-2</v>
      </c>
      <c r="D893" s="25">
        <f t="shared" si="27"/>
        <v>7.74668648853436E-2</v>
      </c>
    </row>
    <row r="894" spans="1:4">
      <c r="A894" s="23" t="s">
        <v>654</v>
      </c>
      <c r="B894" s="23">
        <v>3.1865900219174601</v>
      </c>
      <c r="C894" s="23">
        <f t="shared" si="26"/>
        <v>4.6233675446280209E-2</v>
      </c>
      <c r="D894" s="25">
        <f t="shared" si="27"/>
        <v>7.904024158484256E-2</v>
      </c>
    </row>
    <row r="895" spans="1:4">
      <c r="A895" s="23" t="s">
        <v>653</v>
      </c>
      <c r="B895" s="23">
        <v>3.1403563464711799</v>
      </c>
      <c r="C895" s="23">
        <f t="shared" si="26"/>
        <v>1.2358631957799737E-2</v>
      </c>
      <c r="D895" s="25">
        <f t="shared" si="27"/>
        <v>8.1506345116537052E-2</v>
      </c>
    </row>
    <row r="896" spans="1:4">
      <c r="A896" s="23" t="s">
        <v>652</v>
      </c>
      <c r="B896" s="23">
        <v>3.1279977145133802</v>
      </c>
      <c r="C896" s="23">
        <f t="shared" si="26"/>
        <v>-0.12357928338321988</v>
      </c>
      <c r="D896" s="25">
        <f t="shared" si="27"/>
        <v>8.2819368751826328E-2</v>
      </c>
    </row>
    <row r="897" spans="1:4">
      <c r="A897" s="23" t="s">
        <v>651</v>
      </c>
      <c r="B897" s="23">
        <v>3.2515769978966</v>
      </c>
      <c r="C897" s="23">
        <f t="shared" si="26"/>
        <v>-0.10863390760804981</v>
      </c>
      <c r="D897" s="25">
        <f t="shared" si="27"/>
        <v>8.4325868155445627E-2</v>
      </c>
    </row>
    <row r="898" spans="1:4">
      <c r="A898" s="23" t="s">
        <v>650</v>
      </c>
      <c r="B898" s="23">
        <v>3.3602109055046498</v>
      </c>
      <c r="C898" s="23">
        <f t="shared" ref="C898:C961" si="28">B898-B899</f>
        <v>-8.0705356032720221E-2</v>
      </c>
      <c r="D898" s="25">
        <f t="shared" ref="D898:D961" si="29">STDEV(C898:C957)</f>
        <v>8.477895581169706E-2</v>
      </c>
    </row>
    <row r="899" spans="1:4">
      <c r="A899" s="23" t="s">
        <v>649</v>
      </c>
      <c r="B899" s="23">
        <v>3.4409162615373701</v>
      </c>
      <c r="C899" s="23">
        <f t="shared" si="28"/>
        <v>0.11911808432158999</v>
      </c>
      <c r="D899" s="25">
        <f t="shared" si="29"/>
        <v>8.4334154569347508E-2</v>
      </c>
    </row>
    <row r="900" spans="1:4">
      <c r="A900" s="23" t="s">
        <v>648</v>
      </c>
      <c r="B900" s="23">
        <v>3.3217981772157801</v>
      </c>
      <c r="C900" s="23">
        <f t="shared" si="28"/>
        <v>5.7133086378640119E-2</v>
      </c>
      <c r="D900" s="25">
        <f t="shared" si="29"/>
        <v>8.3815495744063134E-2</v>
      </c>
    </row>
    <row r="901" spans="1:4">
      <c r="A901" s="23" t="s">
        <v>647</v>
      </c>
      <c r="B901" s="23">
        <v>3.26466509083714</v>
      </c>
      <c r="C901" s="23">
        <f t="shared" si="28"/>
        <v>-9.8830976291929939E-2</v>
      </c>
      <c r="D901" s="25">
        <f t="shared" si="29"/>
        <v>8.3515069620035201E-2</v>
      </c>
    </row>
    <row r="902" spans="1:4">
      <c r="A902" s="23" t="s">
        <v>646</v>
      </c>
      <c r="B902" s="23">
        <v>3.3634960671290699</v>
      </c>
      <c r="C902" s="23">
        <f t="shared" si="28"/>
        <v>3.2838909680109829E-2</v>
      </c>
      <c r="D902" s="25">
        <f t="shared" si="29"/>
        <v>8.4026113727558679E-2</v>
      </c>
    </row>
    <row r="903" spans="1:4">
      <c r="A903" s="23" t="s">
        <v>645</v>
      </c>
      <c r="B903" s="23">
        <v>3.3306571574489601</v>
      </c>
      <c r="C903" s="23">
        <f t="shared" si="28"/>
        <v>3.6694076827701316E-3</v>
      </c>
      <c r="D903" s="25">
        <f t="shared" si="29"/>
        <v>8.3940119138792166E-2</v>
      </c>
    </row>
    <row r="904" spans="1:4">
      <c r="A904" s="23" t="s">
        <v>644</v>
      </c>
      <c r="B904" s="23">
        <v>3.3269877497661899</v>
      </c>
      <c r="C904" s="23">
        <f t="shared" si="28"/>
        <v>2.5275964683010077E-2</v>
      </c>
      <c r="D904" s="25">
        <f t="shared" si="29"/>
        <v>8.4199350346491647E-2</v>
      </c>
    </row>
    <row r="905" spans="1:4">
      <c r="A905" s="23" t="s">
        <v>643</v>
      </c>
      <c r="B905" s="23">
        <v>3.3017117850831799</v>
      </c>
      <c r="C905" s="23">
        <f t="shared" si="28"/>
        <v>7.9702904927496654E-3</v>
      </c>
      <c r="D905" s="25">
        <f t="shared" si="29"/>
        <v>8.4103379140072751E-2</v>
      </c>
    </row>
    <row r="906" spans="1:4">
      <c r="A906" s="23" t="s">
        <v>642</v>
      </c>
      <c r="B906" s="23">
        <v>3.2937414945904302</v>
      </c>
      <c r="C906" s="23">
        <f t="shared" si="28"/>
        <v>-4.4021580599498122E-3</v>
      </c>
      <c r="D906" s="25">
        <f t="shared" si="29"/>
        <v>8.4277035220966273E-2</v>
      </c>
    </row>
    <row r="907" spans="1:4">
      <c r="A907" s="23" t="s">
        <v>641</v>
      </c>
      <c r="B907" s="23">
        <v>3.29814365265038</v>
      </c>
      <c r="C907" s="23">
        <f t="shared" si="28"/>
        <v>-6.6311788347659828E-2</v>
      </c>
      <c r="D907" s="25">
        <f t="shared" si="29"/>
        <v>8.4292936810860808E-2</v>
      </c>
    </row>
    <row r="908" spans="1:4">
      <c r="A908" s="23" t="s">
        <v>640</v>
      </c>
      <c r="B908" s="23">
        <v>3.3644554409980398</v>
      </c>
      <c r="C908" s="23">
        <f t="shared" si="28"/>
        <v>5.7733789702709704E-2</v>
      </c>
      <c r="D908" s="25">
        <f t="shared" si="29"/>
        <v>8.4184549405513925E-2</v>
      </c>
    </row>
    <row r="909" spans="1:4">
      <c r="A909" s="23" t="s">
        <v>639</v>
      </c>
      <c r="B909" s="23">
        <v>3.3067216512953301</v>
      </c>
      <c r="C909" s="23">
        <f t="shared" si="28"/>
        <v>-3.1088015075519948E-2</v>
      </c>
      <c r="D909" s="25">
        <f t="shared" si="29"/>
        <v>8.3773775662472114E-2</v>
      </c>
    </row>
    <row r="910" spans="1:4">
      <c r="A910" s="23" t="s">
        <v>638</v>
      </c>
      <c r="B910" s="23">
        <v>3.3378096663708501</v>
      </c>
      <c r="C910" s="23">
        <f t="shared" si="28"/>
        <v>2.1006187232550211E-2</v>
      </c>
      <c r="D910" s="25">
        <f t="shared" si="29"/>
        <v>8.3728071066634421E-2</v>
      </c>
    </row>
    <row r="911" spans="1:4">
      <c r="A911" s="23" t="s">
        <v>637</v>
      </c>
      <c r="B911" s="23">
        <v>3.3168034791382999</v>
      </c>
      <c r="C911" s="23">
        <f t="shared" si="28"/>
        <v>3.4040275581099788E-2</v>
      </c>
      <c r="D911" s="25">
        <f t="shared" si="29"/>
        <v>8.3803041041612888E-2</v>
      </c>
    </row>
    <row r="912" spans="1:4">
      <c r="A912" s="23" t="s">
        <v>636</v>
      </c>
      <c r="B912" s="23">
        <v>3.2827632035572001</v>
      </c>
      <c r="C912" s="23">
        <f t="shared" si="28"/>
        <v>9.6803828228249955E-2</v>
      </c>
      <c r="D912" s="25">
        <f t="shared" si="29"/>
        <v>8.3611385856715043E-2</v>
      </c>
    </row>
    <row r="913" spans="1:4">
      <c r="A913" s="23" t="s">
        <v>635</v>
      </c>
      <c r="B913" s="23">
        <v>3.1859593753289501</v>
      </c>
      <c r="C913" s="23">
        <f t="shared" si="28"/>
        <v>6.7581302639170282E-2</v>
      </c>
      <c r="D913" s="25">
        <f t="shared" si="29"/>
        <v>8.2637741573998363E-2</v>
      </c>
    </row>
    <row r="914" spans="1:4">
      <c r="A914" s="23" t="s">
        <v>634</v>
      </c>
      <c r="B914" s="23">
        <v>3.1183780726897798</v>
      </c>
      <c r="C914" s="23">
        <f t="shared" si="28"/>
        <v>7.5562482645979756E-2</v>
      </c>
      <c r="D914" s="25">
        <f t="shared" si="29"/>
        <v>8.2037329328648073E-2</v>
      </c>
    </row>
    <row r="915" spans="1:4">
      <c r="A915" s="23" t="s">
        <v>633</v>
      </c>
      <c r="B915" s="23">
        <v>3.0428155900438001</v>
      </c>
      <c r="C915" s="23">
        <f t="shared" si="28"/>
        <v>7.6997539975649953E-2</v>
      </c>
      <c r="D915" s="25">
        <f t="shared" si="29"/>
        <v>8.1209084313331473E-2</v>
      </c>
    </row>
    <row r="916" spans="1:4">
      <c r="A916" s="23" t="s">
        <v>632</v>
      </c>
      <c r="B916" s="23">
        <v>2.9658180500681501</v>
      </c>
      <c r="C916" s="23">
        <f t="shared" si="28"/>
        <v>-7.2708102721459777E-2</v>
      </c>
      <c r="D916" s="25">
        <f t="shared" si="29"/>
        <v>8.0394398432280065E-2</v>
      </c>
    </row>
    <row r="917" spans="1:4">
      <c r="A917" s="23" t="s">
        <v>631</v>
      </c>
      <c r="B917" s="23">
        <v>3.0385261527896099</v>
      </c>
      <c r="C917" s="23">
        <f t="shared" si="28"/>
        <v>-4.2502314371930083E-2</v>
      </c>
      <c r="D917" s="25">
        <f t="shared" si="29"/>
        <v>8.0781076215269115E-2</v>
      </c>
    </row>
    <row r="918" spans="1:4">
      <c r="A918" s="23" t="s">
        <v>630</v>
      </c>
      <c r="B918" s="23">
        <v>3.08102846716154</v>
      </c>
      <c r="C918" s="23">
        <f t="shared" si="28"/>
        <v>-8.2704861537099994E-2</v>
      </c>
      <c r="D918" s="25">
        <f t="shared" si="29"/>
        <v>8.1231109574588262E-2</v>
      </c>
    </row>
    <row r="919" spans="1:4">
      <c r="A919" s="23" t="s">
        <v>629</v>
      </c>
      <c r="B919" s="23">
        <v>3.16373332869864</v>
      </c>
      <c r="C919" s="23">
        <f t="shared" si="28"/>
        <v>-2.7892465981909975E-2</v>
      </c>
      <c r="D919" s="25">
        <f t="shared" si="29"/>
        <v>8.0749705363900207E-2</v>
      </c>
    </row>
    <row r="920" spans="1:4">
      <c r="A920" s="23" t="s">
        <v>628</v>
      </c>
      <c r="B920" s="23">
        <v>3.19162579468055</v>
      </c>
      <c r="C920" s="23">
        <f t="shared" si="28"/>
        <v>0.12090718365982012</v>
      </c>
      <c r="D920" s="25">
        <f t="shared" si="29"/>
        <v>8.0792277297732085E-2</v>
      </c>
    </row>
    <row r="921" spans="1:4">
      <c r="A921" s="23" t="s">
        <v>627</v>
      </c>
      <c r="B921" s="23">
        <v>3.0707186110207298</v>
      </c>
      <c r="C921" s="23">
        <f t="shared" si="28"/>
        <v>9.1922503830550006E-2</v>
      </c>
      <c r="D921" s="25">
        <f t="shared" si="29"/>
        <v>7.903256378702575E-2</v>
      </c>
    </row>
    <row r="922" spans="1:4">
      <c r="A922" s="23" t="s">
        <v>626</v>
      </c>
      <c r="B922" s="23">
        <v>2.9787961071901798</v>
      </c>
      <c r="C922" s="23">
        <f t="shared" si="28"/>
        <v>0.1274288695229</v>
      </c>
      <c r="D922" s="25">
        <f t="shared" si="29"/>
        <v>7.8008857604293491E-2</v>
      </c>
    </row>
    <row r="923" spans="1:4">
      <c r="A923" s="23" t="s">
        <v>625</v>
      </c>
      <c r="B923" s="23">
        <v>2.8513672376672798</v>
      </c>
      <c r="C923" s="23">
        <f t="shared" si="28"/>
        <v>-0.16797775922024005</v>
      </c>
      <c r="D923" s="25">
        <f t="shared" si="29"/>
        <v>7.5894535790390141E-2</v>
      </c>
    </row>
    <row r="924" spans="1:4">
      <c r="A924" s="23" t="s">
        <v>624</v>
      </c>
      <c r="B924" s="23">
        <v>3.0193449968875199</v>
      </c>
      <c r="C924" s="23">
        <f t="shared" si="28"/>
        <v>-0.23991753715537012</v>
      </c>
      <c r="D924" s="25">
        <f t="shared" si="29"/>
        <v>7.4343879570503382E-2</v>
      </c>
    </row>
    <row r="925" spans="1:4">
      <c r="A925" s="23" t="s">
        <v>623</v>
      </c>
      <c r="B925" s="23">
        <v>3.25926253404289</v>
      </c>
      <c r="C925" s="23">
        <f t="shared" si="28"/>
        <v>2.1121337324140121E-2</v>
      </c>
      <c r="D925" s="25">
        <f t="shared" si="29"/>
        <v>6.8556777876511779E-2</v>
      </c>
    </row>
    <row r="926" spans="1:4">
      <c r="A926" s="23" t="s">
        <v>622</v>
      </c>
      <c r="B926" s="23">
        <v>3.2381411967187499</v>
      </c>
      <c r="C926" s="23">
        <f t="shared" si="28"/>
        <v>-0.10874915917429018</v>
      </c>
      <c r="D926" s="25">
        <f t="shared" si="29"/>
        <v>6.8447560805360783E-2</v>
      </c>
    </row>
    <row r="927" spans="1:4">
      <c r="A927" s="23" t="s">
        <v>621</v>
      </c>
      <c r="B927" s="23">
        <v>3.3468903558930401</v>
      </c>
      <c r="C927" s="23">
        <f t="shared" si="28"/>
        <v>-3.6578230684014557E-4</v>
      </c>
      <c r="D927" s="25">
        <f t="shared" si="29"/>
        <v>6.7649013953910334E-2</v>
      </c>
    </row>
    <row r="928" spans="1:4">
      <c r="A928" s="23" t="s">
        <v>620</v>
      </c>
      <c r="B928" s="23">
        <v>3.3472561381998802</v>
      </c>
      <c r="C928" s="23">
        <f t="shared" si="28"/>
        <v>4.675524920547014E-2</v>
      </c>
      <c r="D928" s="25">
        <f t="shared" si="29"/>
        <v>6.7661086083795688E-2</v>
      </c>
    </row>
    <row r="929" spans="1:4">
      <c r="A929" s="23" t="s">
        <v>619</v>
      </c>
      <c r="B929" s="23">
        <v>3.3005008889944101</v>
      </c>
      <c r="C929" s="23">
        <f t="shared" si="28"/>
        <v>-6.1742046875012946E-4</v>
      </c>
      <c r="D929" s="25">
        <f t="shared" si="29"/>
        <v>6.7293161906116117E-2</v>
      </c>
    </row>
    <row r="930" spans="1:4">
      <c r="A930" s="23" t="s">
        <v>618</v>
      </c>
      <c r="B930" s="23">
        <v>3.3011183094631602</v>
      </c>
      <c r="C930" s="23">
        <f t="shared" si="28"/>
        <v>3.5013564895620242E-2</v>
      </c>
      <c r="D930" s="25">
        <f t="shared" si="29"/>
        <v>6.7401131015603619E-2</v>
      </c>
    </row>
    <row r="931" spans="1:4">
      <c r="A931" s="23" t="s">
        <v>617</v>
      </c>
      <c r="B931" s="23">
        <v>3.26610474456754</v>
      </c>
      <c r="C931" s="23">
        <f t="shared" si="28"/>
        <v>4.8189350222210159E-2</v>
      </c>
      <c r="D931" s="25">
        <f t="shared" si="29"/>
        <v>6.7268789689114095E-2</v>
      </c>
    </row>
    <row r="932" spans="1:4">
      <c r="A932" s="23" t="s">
        <v>616</v>
      </c>
      <c r="B932" s="23">
        <v>3.2179153943453298</v>
      </c>
      <c r="C932" s="23">
        <f t="shared" si="28"/>
        <v>-6.7138699098780119E-2</v>
      </c>
      <c r="D932" s="25">
        <f t="shared" si="29"/>
        <v>6.6842660131505596E-2</v>
      </c>
    </row>
    <row r="933" spans="1:4">
      <c r="A933" s="23" t="s">
        <v>615</v>
      </c>
      <c r="B933" s="23">
        <v>3.2850540934441099</v>
      </c>
      <c r="C933" s="23">
        <f t="shared" si="28"/>
        <v>-3.1085744264550019E-2</v>
      </c>
      <c r="D933" s="25">
        <f t="shared" si="29"/>
        <v>6.6875800803111771E-2</v>
      </c>
    </row>
    <row r="934" spans="1:4">
      <c r="A934" s="23" t="s">
        <v>614</v>
      </c>
      <c r="B934" s="23">
        <v>3.3161398377086599</v>
      </c>
      <c r="C934" s="23">
        <f t="shared" si="28"/>
        <v>5.3122315635649731E-2</v>
      </c>
      <c r="D934" s="25">
        <f t="shared" si="29"/>
        <v>6.7614436457219221E-2</v>
      </c>
    </row>
    <row r="935" spans="1:4">
      <c r="A935" s="23" t="s">
        <v>613</v>
      </c>
      <c r="B935" s="23">
        <v>3.2630175220730102</v>
      </c>
      <c r="C935" s="23">
        <f t="shared" si="28"/>
        <v>-4.0519875902989E-4</v>
      </c>
      <c r="D935" s="25">
        <f t="shared" si="29"/>
        <v>6.7160550313655171E-2</v>
      </c>
    </row>
    <row r="936" spans="1:4">
      <c r="A936" s="23" t="s">
        <v>612</v>
      </c>
      <c r="B936" s="23">
        <v>3.2634227208320401</v>
      </c>
      <c r="C936" s="23">
        <f t="shared" si="28"/>
        <v>-0.10019704498427995</v>
      </c>
      <c r="D936" s="25">
        <f t="shared" si="29"/>
        <v>6.7164153471750171E-2</v>
      </c>
    </row>
    <row r="937" spans="1:4">
      <c r="A937" s="23" t="s">
        <v>611</v>
      </c>
      <c r="B937" s="23">
        <v>3.3636197658163201</v>
      </c>
      <c r="C937" s="23">
        <f t="shared" si="28"/>
        <v>-6.377503673732976E-2</v>
      </c>
      <c r="D937" s="25">
        <f t="shared" si="29"/>
        <v>6.6419181221607573E-2</v>
      </c>
    </row>
    <row r="938" spans="1:4">
      <c r="A938" s="23" t="s">
        <v>610</v>
      </c>
      <c r="B938" s="23">
        <v>3.4273948025536498</v>
      </c>
      <c r="C938" s="23">
        <f t="shared" si="28"/>
        <v>6.8497441489469679E-2</v>
      </c>
      <c r="D938" s="25">
        <f t="shared" si="29"/>
        <v>6.6145436981481717E-2</v>
      </c>
    </row>
    <row r="939" spans="1:4">
      <c r="A939" s="23" t="s">
        <v>609</v>
      </c>
      <c r="B939" s="23">
        <v>3.3588973610641801</v>
      </c>
      <c r="C939" s="23">
        <f t="shared" si="28"/>
        <v>-8.1176859515169841E-2</v>
      </c>
      <c r="D939" s="25">
        <f t="shared" si="29"/>
        <v>6.5384677446647749E-2</v>
      </c>
    </row>
    <row r="940" spans="1:4">
      <c r="A940" s="23" t="s">
        <v>608</v>
      </c>
      <c r="B940" s="23">
        <v>3.44007422057935</v>
      </c>
      <c r="C940" s="23">
        <f t="shared" si="28"/>
        <v>8.7381013820039932E-2</v>
      </c>
      <c r="D940" s="25">
        <f t="shared" si="29"/>
        <v>6.4724867472557415E-2</v>
      </c>
    </row>
    <row r="941" spans="1:4">
      <c r="A941" s="23" t="s">
        <v>607</v>
      </c>
      <c r="B941" s="23">
        <v>3.35269320675931</v>
      </c>
      <c r="C941" s="23">
        <f t="shared" si="28"/>
        <v>-3.9508279900950072E-2</v>
      </c>
      <c r="D941" s="25">
        <f t="shared" si="29"/>
        <v>6.3530605481601998E-2</v>
      </c>
    </row>
    <row r="942" spans="1:4">
      <c r="A942" s="23" t="s">
        <v>606</v>
      </c>
      <c r="B942" s="23">
        <v>3.3922014866602601</v>
      </c>
      <c r="C942" s="23">
        <f t="shared" si="28"/>
        <v>8.40330797137403E-2</v>
      </c>
      <c r="D942" s="25">
        <f t="shared" si="29"/>
        <v>6.3866282044155537E-2</v>
      </c>
    </row>
    <row r="943" spans="1:4">
      <c r="A943" s="23" t="s">
        <v>605</v>
      </c>
      <c r="B943" s="23">
        <v>3.3081684069465198</v>
      </c>
      <c r="C943" s="23">
        <f t="shared" si="28"/>
        <v>-5.6774995604280232E-2</v>
      </c>
      <c r="D943" s="25">
        <f t="shared" si="29"/>
        <v>6.3184400962429096E-2</v>
      </c>
    </row>
    <row r="944" spans="1:4">
      <c r="A944" s="23" t="s">
        <v>604</v>
      </c>
      <c r="B944" s="23">
        <v>3.3649434025508</v>
      </c>
      <c r="C944" s="23">
        <f t="shared" si="28"/>
        <v>6.1152873448610201E-2</v>
      </c>
      <c r="D944" s="25">
        <f t="shared" si="29"/>
        <v>6.2898804943036554E-2</v>
      </c>
    </row>
    <row r="945" spans="1:4">
      <c r="A945" s="23" t="s">
        <v>603</v>
      </c>
      <c r="B945" s="23">
        <v>3.3037905291021898</v>
      </c>
      <c r="C945" s="23">
        <f t="shared" si="28"/>
        <v>2.0005254433459907E-2</v>
      </c>
      <c r="D945" s="25">
        <f t="shared" si="29"/>
        <v>6.2362436556360153E-2</v>
      </c>
    </row>
    <row r="946" spans="1:4">
      <c r="A946" s="23" t="s">
        <v>602</v>
      </c>
      <c r="B946" s="23">
        <v>3.2837852746687299</v>
      </c>
      <c r="C946" s="23">
        <f t="shared" si="28"/>
        <v>3.4545387528739813E-2</v>
      </c>
      <c r="D946" s="25">
        <f t="shared" si="29"/>
        <v>6.2731740648507936E-2</v>
      </c>
    </row>
    <row r="947" spans="1:4">
      <c r="A947" s="23" t="s">
        <v>601</v>
      </c>
      <c r="B947" s="23">
        <v>3.2492398871399901</v>
      </c>
      <c r="C947" s="23">
        <f t="shared" si="28"/>
        <v>-2.0087455990129843E-2</v>
      </c>
      <c r="D947" s="25">
        <f t="shared" si="29"/>
        <v>6.2454243574440231E-2</v>
      </c>
    </row>
    <row r="948" spans="1:4">
      <c r="A948" s="23" t="s">
        <v>600</v>
      </c>
      <c r="B948" s="23">
        <v>3.26932734313012</v>
      </c>
      <c r="C948" s="23">
        <f t="shared" si="28"/>
        <v>-4.2496785524369862E-2</v>
      </c>
      <c r="D948" s="25">
        <f t="shared" si="29"/>
        <v>6.2445758459083248E-2</v>
      </c>
    </row>
    <row r="949" spans="1:4">
      <c r="A949" s="23" t="s">
        <v>599</v>
      </c>
      <c r="B949" s="23">
        <v>3.3118241286544898</v>
      </c>
      <c r="C949" s="23">
        <f t="shared" si="28"/>
        <v>-6.9792802594480285E-2</v>
      </c>
      <c r="D949" s="25">
        <f t="shared" si="29"/>
        <v>6.2347950571872458E-2</v>
      </c>
    </row>
    <row r="950" spans="1:4">
      <c r="A950" s="23" t="s">
        <v>598</v>
      </c>
      <c r="B950" s="23">
        <v>3.3816169312489701</v>
      </c>
      <c r="C950" s="23">
        <f t="shared" si="28"/>
        <v>6.4911745091360107E-2</v>
      </c>
      <c r="D950" s="25">
        <f t="shared" si="29"/>
        <v>6.1874841742352284E-2</v>
      </c>
    </row>
    <row r="951" spans="1:4">
      <c r="A951" s="23" t="s">
        <v>597</v>
      </c>
      <c r="B951" s="23">
        <v>3.31670518615761</v>
      </c>
      <c r="C951" s="23">
        <f t="shared" si="28"/>
        <v>-5.9636615844159913E-2</v>
      </c>
      <c r="D951" s="25">
        <f t="shared" si="29"/>
        <v>6.112978207995249E-2</v>
      </c>
    </row>
    <row r="952" spans="1:4">
      <c r="A952" s="23" t="s">
        <v>596</v>
      </c>
      <c r="B952" s="23">
        <v>3.3763418020017699</v>
      </c>
      <c r="C952" s="23">
        <f t="shared" si="28"/>
        <v>0.14353274688394979</v>
      </c>
      <c r="D952" s="25">
        <f t="shared" si="29"/>
        <v>6.1177135724723004E-2</v>
      </c>
    </row>
    <row r="953" spans="1:4">
      <c r="A953" s="23" t="s">
        <v>595</v>
      </c>
      <c r="B953" s="23">
        <v>3.2328090551178201</v>
      </c>
      <c r="C953" s="23">
        <f t="shared" si="28"/>
        <v>-0.12871189562342966</v>
      </c>
      <c r="D953" s="25">
        <f t="shared" si="29"/>
        <v>5.7777707541728202E-2</v>
      </c>
    </row>
    <row r="954" spans="1:4">
      <c r="A954" s="23" t="s">
        <v>594</v>
      </c>
      <c r="B954" s="23">
        <v>3.3615209507412498</v>
      </c>
      <c r="C954" s="23">
        <f t="shared" si="28"/>
        <v>-0.16577846772270011</v>
      </c>
      <c r="D954" s="25">
        <f t="shared" si="29"/>
        <v>5.5727031844426421E-2</v>
      </c>
    </row>
    <row r="955" spans="1:4">
      <c r="A955" s="23" t="s">
        <v>593</v>
      </c>
      <c r="B955" s="23">
        <v>3.5272994184639499</v>
      </c>
      <c r="C955" s="23">
        <f t="shared" si="28"/>
        <v>-0.12214388083244998</v>
      </c>
      <c r="D955" s="25">
        <f t="shared" si="29"/>
        <v>5.187417538853701E-2</v>
      </c>
    </row>
    <row r="956" spans="1:4">
      <c r="A956" s="23" t="s">
        <v>592</v>
      </c>
      <c r="B956" s="23">
        <v>3.6494432992963999</v>
      </c>
      <c r="C956" s="23">
        <f t="shared" si="28"/>
        <v>0.16284085715044005</v>
      </c>
      <c r="D956" s="25">
        <f t="shared" si="29"/>
        <v>4.9798008934450903E-2</v>
      </c>
    </row>
    <row r="957" spans="1:4">
      <c r="A957" s="23" t="s">
        <v>591</v>
      </c>
      <c r="B957" s="23">
        <v>3.4866024421459598</v>
      </c>
      <c r="C957" s="23">
        <f t="shared" si="28"/>
        <v>-0.1283865798876902</v>
      </c>
      <c r="D957" s="25">
        <f t="shared" si="29"/>
        <v>4.468963358346812E-2</v>
      </c>
    </row>
    <row r="958" spans="1:4">
      <c r="A958" s="23" t="s">
        <v>590</v>
      </c>
      <c r="B958" s="23">
        <v>3.61498902203365</v>
      </c>
      <c r="C958" s="23">
        <f t="shared" si="28"/>
        <v>-4.2097954082279898E-2</v>
      </c>
      <c r="D958" s="25">
        <f t="shared" si="29"/>
        <v>4.2326235699850813E-2</v>
      </c>
    </row>
    <row r="959" spans="1:4">
      <c r="A959" s="23" t="s">
        <v>589</v>
      </c>
      <c r="B959" s="23">
        <v>3.6570869761159299</v>
      </c>
      <c r="C959" s="23">
        <f t="shared" si="28"/>
        <v>-0.10738113014055006</v>
      </c>
      <c r="D959" s="25">
        <f t="shared" si="29"/>
        <v>4.2072790941871004E-2</v>
      </c>
    </row>
    <row r="960" spans="1:4">
      <c r="A960" s="23" t="s">
        <v>588</v>
      </c>
      <c r="B960" s="23">
        <v>3.76446810625648</v>
      </c>
      <c r="C960" s="23">
        <f t="shared" si="28"/>
        <v>-4.4355759659179927E-2</v>
      </c>
      <c r="D960" s="25">
        <f t="shared" si="29"/>
        <v>3.9890824859539785E-2</v>
      </c>
    </row>
    <row r="961" spans="1:4">
      <c r="A961" s="23" t="s">
        <v>587</v>
      </c>
      <c r="B961" s="23">
        <v>3.8088238659156599</v>
      </c>
      <c r="C961" s="23">
        <f t="shared" si="28"/>
        <v>-0.12360761529839026</v>
      </c>
      <c r="D961" s="25">
        <f t="shared" si="29"/>
        <v>4.0005446059737979E-2</v>
      </c>
    </row>
    <row r="962" spans="1:4">
      <c r="A962" s="23" t="s">
        <v>586</v>
      </c>
      <c r="B962" s="23">
        <v>3.9324314812140502</v>
      </c>
      <c r="C962" s="23">
        <f t="shared" ref="C962:C1025" si="30">B962-B963</f>
        <v>-4.1594772390979973E-2</v>
      </c>
      <c r="D962" s="25">
        <f t="shared" ref="D962:D1025" si="31">STDEV(C962:C1021)</f>
        <v>3.6977518423987901E-2</v>
      </c>
    </row>
    <row r="963" spans="1:4">
      <c r="A963" s="23" t="s">
        <v>585</v>
      </c>
      <c r="B963" s="23">
        <v>3.9740262536050301</v>
      </c>
      <c r="C963" s="23">
        <f t="shared" si="30"/>
        <v>4.2225699127170113E-2</v>
      </c>
      <c r="D963" s="25">
        <f t="shared" si="31"/>
        <v>3.6805946590130811E-2</v>
      </c>
    </row>
    <row r="964" spans="1:4">
      <c r="A964" s="23" t="s">
        <v>584</v>
      </c>
      <c r="B964" s="23">
        <v>3.93180055447786</v>
      </c>
      <c r="C964" s="23">
        <f t="shared" si="30"/>
        <v>-2.867003407506985E-2</v>
      </c>
      <c r="D964" s="25">
        <f t="shared" si="31"/>
        <v>3.638400926267403E-2</v>
      </c>
    </row>
    <row r="965" spans="1:4">
      <c r="A965" s="23" t="s">
        <v>583</v>
      </c>
      <c r="B965" s="23">
        <v>3.9604705885529299</v>
      </c>
      <c r="C965" s="23">
        <f t="shared" si="30"/>
        <v>3.480568946526974E-2</v>
      </c>
      <c r="D965" s="25">
        <f t="shared" si="31"/>
        <v>3.6276284107596611E-2</v>
      </c>
    </row>
    <row r="966" spans="1:4">
      <c r="A966" s="23" t="s">
        <v>582</v>
      </c>
      <c r="B966" s="23">
        <v>3.9256648990876601</v>
      </c>
      <c r="C966" s="23">
        <f t="shared" si="30"/>
        <v>-2.4767196632459854E-2</v>
      </c>
      <c r="D966" s="25">
        <f t="shared" si="31"/>
        <v>3.6829212783488607E-2</v>
      </c>
    </row>
    <row r="967" spans="1:4">
      <c r="A967" s="23" t="s">
        <v>581</v>
      </c>
      <c r="B967" s="23">
        <v>3.95043209572012</v>
      </c>
      <c r="C967" s="23">
        <f t="shared" si="30"/>
        <v>3.5708656374649816E-2</v>
      </c>
      <c r="D967" s="25">
        <f t="shared" si="31"/>
        <v>3.6916586688317932E-2</v>
      </c>
    </row>
    <row r="968" spans="1:4">
      <c r="A968" s="23" t="s">
        <v>580</v>
      </c>
      <c r="B968" s="23">
        <v>3.9147234393454702</v>
      </c>
      <c r="C968" s="23">
        <f t="shared" si="30"/>
        <v>1.1824511433780049E-2</v>
      </c>
      <c r="D968" s="25">
        <f t="shared" si="31"/>
        <v>3.6725769841672397E-2</v>
      </c>
    </row>
    <row r="969" spans="1:4">
      <c r="A969" s="23" t="s">
        <v>579</v>
      </c>
      <c r="B969" s="23">
        <v>3.9028989279116901</v>
      </c>
      <c r="C969" s="23">
        <f t="shared" si="30"/>
        <v>-1.1409118163059784E-2</v>
      </c>
      <c r="D969" s="25">
        <f t="shared" si="31"/>
        <v>3.6833743471792649E-2</v>
      </c>
    </row>
    <row r="970" spans="1:4">
      <c r="A970" s="23" t="s">
        <v>578</v>
      </c>
      <c r="B970" s="23">
        <v>3.9143080460747499</v>
      </c>
      <c r="C970" s="23">
        <f t="shared" si="30"/>
        <v>3.1380342441159836E-2</v>
      </c>
      <c r="D970" s="25">
        <f t="shared" si="31"/>
        <v>3.6834713302310432E-2</v>
      </c>
    </row>
    <row r="971" spans="1:4">
      <c r="A971" s="23" t="s">
        <v>577</v>
      </c>
      <c r="B971" s="23">
        <v>3.8829277036335901</v>
      </c>
      <c r="C971" s="23">
        <f t="shared" si="30"/>
        <v>-1.5612818665549977E-2</v>
      </c>
      <c r="D971" s="25">
        <f t="shared" si="31"/>
        <v>3.6806791529571496E-2</v>
      </c>
    </row>
    <row r="972" spans="1:4">
      <c r="A972" s="23" t="s">
        <v>576</v>
      </c>
      <c r="B972" s="23">
        <v>3.8985405222991401</v>
      </c>
      <c r="C972" s="23">
        <f t="shared" si="30"/>
        <v>3.4216249432270196E-2</v>
      </c>
      <c r="D972" s="25">
        <f t="shared" si="31"/>
        <v>3.6790551115386518E-2</v>
      </c>
    </row>
    <row r="973" spans="1:4">
      <c r="A973" s="23" t="s">
        <v>575</v>
      </c>
      <c r="B973" s="23">
        <v>3.8643242728668699</v>
      </c>
      <c r="C973" s="23">
        <f t="shared" si="30"/>
        <v>-3.5083922613710072E-2</v>
      </c>
      <c r="D973" s="25">
        <f t="shared" si="31"/>
        <v>3.6605576017340713E-2</v>
      </c>
    </row>
    <row r="974" spans="1:4">
      <c r="A974" s="23" t="s">
        <v>574</v>
      </c>
      <c r="B974" s="23">
        <v>3.8994081954805799</v>
      </c>
      <c r="C974" s="23">
        <f t="shared" si="30"/>
        <v>-1.3067619710670275E-2</v>
      </c>
      <c r="D974" s="25">
        <f t="shared" si="31"/>
        <v>3.7293236084206649E-2</v>
      </c>
    </row>
    <row r="975" spans="1:4">
      <c r="A975" s="23" t="s">
        <v>573</v>
      </c>
      <c r="B975" s="23">
        <v>3.9124758151912502</v>
      </c>
      <c r="C975" s="23">
        <f t="shared" si="30"/>
        <v>-4.3568826094329882E-2</v>
      </c>
      <c r="D975" s="25">
        <f t="shared" si="31"/>
        <v>3.7321795815584653E-2</v>
      </c>
    </row>
    <row r="976" spans="1:4">
      <c r="A976" s="23" t="s">
        <v>572</v>
      </c>
      <c r="B976" s="23">
        <v>3.9560446412855801</v>
      </c>
      <c r="C976" s="23">
        <f t="shared" si="30"/>
        <v>-9.9254771973680267E-2</v>
      </c>
      <c r="D976" s="25">
        <f t="shared" si="31"/>
        <v>3.7040523963056855E-2</v>
      </c>
    </row>
    <row r="977" spans="1:4">
      <c r="A977" s="23" t="s">
        <v>571</v>
      </c>
      <c r="B977" s="23">
        <v>4.0552994132592604</v>
      </c>
      <c r="C977" s="23">
        <f t="shared" si="30"/>
        <v>5.4550948471730365E-2</v>
      </c>
      <c r="D977" s="25">
        <f t="shared" si="31"/>
        <v>3.5472991582120562E-2</v>
      </c>
    </row>
    <row r="978" spans="1:4">
      <c r="A978" s="23" t="s">
        <v>570</v>
      </c>
      <c r="B978" s="23">
        <v>4.00074846478753</v>
      </c>
      <c r="C978" s="23">
        <f t="shared" si="30"/>
        <v>-1.0181193582109671E-2</v>
      </c>
      <c r="D978" s="25">
        <f t="shared" si="31"/>
        <v>3.4600007292480771E-2</v>
      </c>
    </row>
    <row r="979" spans="1:4">
      <c r="A979" s="23" t="s">
        <v>569</v>
      </c>
      <c r="B979" s="23">
        <v>4.0109296583696397</v>
      </c>
      <c r="C979" s="23">
        <f t="shared" si="30"/>
        <v>-3.8560301701820343E-2</v>
      </c>
      <c r="D979" s="25">
        <f t="shared" si="31"/>
        <v>3.4648001178217376E-2</v>
      </c>
    </row>
    <row r="980" spans="1:4">
      <c r="A980" s="23" t="s">
        <v>568</v>
      </c>
      <c r="B980" s="23">
        <v>4.04948996007146</v>
      </c>
      <c r="C980" s="23">
        <f t="shared" si="30"/>
        <v>2.8472162327860318E-2</v>
      </c>
      <c r="D980" s="25">
        <f t="shared" si="31"/>
        <v>3.4378538636063521E-2</v>
      </c>
    </row>
    <row r="981" spans="1:4">
      <c r="A981" s="23" t="s">
        <v>567</v>
      </c>
      <c r="B981" s="23">
        <v>4.0210177977435997</v>
      </c>
      <c r="C981" s="23">
        <f t="shared" si="30"/>
        <v>3.0951222047149507E-2</v>
      </c>
      <c r="D981" s="25">
        <f t="shared" si="31"/>
        <v>3.4428256169726813E-2</v>
      </c>
    </row>
    <row r="982" spans="1:4">
      <c r="A982" s="23" t="s">
        <v>566</v>
      </c>
      <c r="B982" s="23">
        <v>3.9900665756964502</v>
      </c>
      <c r="C982" s="23">
        <f t="shared" si="30"/>
        <v>2.5480361214350378E-2</v>
      </c>
      <c r="D982" s="25">
        <f t="shared" si="31"/>
        <v>3.5022996351767956E-2</v>
      </c>
    </row>
    <row r="983" spans="1:4">
      <c r="A983" s="23" t="s">
        <v>565</v>
      </c>
      <c r="B983" s="23">
        <v>3.9645862144820998</v>
      </c>
      <c r="C983" s="23">
        <f t="shared" si="30"/>
        <v>7.9439725321779786E-2</v>
      </c>
      <c r="D983" s="25">
        <f t="shared" si="31"/>
        <v>3.4801216450180854E-2</v>
      </c>
    </row>
    <row r="984" spans="1:4">
      <c r="A984" s="23" t="s">
        <v>564</v>
      </c>
      <c r="B984" s="23">
        <v>3.88514648916032</v>
      </c>
      <c r="C984" s="23">
        <f t="shared" si="30"/>
        <v>4.3833809584150174E-2</v>
      </c>
      <c r="D984" s="25">
        <f t="shared" si="31"/>
        <v>3.3046045835694343E-2</v>
      </c>
    </row>
    <row r="985" spans="1:4">
      <c r="A985" s="23" t="s">
        <v>563</v>
      </c>
      <c r="B985" s="23">
        <v>3.8413126795761698</v>
      </c>
      <c r="C985" s="23">
        <f t="shared" si="30"/>
        <v>-1.0205222705601535E-3</v>
      </c>
      <c r="D985" s="25">
        <f t="shared" si="31"/>
        <v>3.2384506566932848E-2</v>
      </c>
    </row>
    <row r="986" spans="1:4">
      <c r="A986" s="23" t="s">
        <v>562</v>
      </c>
      <c r="B986" s="23">
        <v>3.84233320184673</v>
      </c>
      <c r="C986" s="23">
        <f t="shared" si="30"/>
        <v>-6.7976853520950176E-2</v>
      </c>
      <c r="D986" s="25">
        <f t="shared" si="31"/>
        <v>3.256302760788933E-2</v>
      </c>
    </row>
    <row r="987" spans="1:4">
      <c r="A987" s="23" t="s">
        <v>561</v>
      </c>
      <c r="B987" s="23">
        <v>3.9103100553676802</v>
      </c>
      <c r="C987" s="23">
        <f t="shared" si="30"/>
        <v>-2.3042747965899668E-2</v>
      </c>
      <c r="D987" s="25">
        <f t="shared" si="31"/>
        <v>3.21567676156626E-2</v>
      </c>
    </row>
    <row r="988" spans="1:4">
      <c r="A988" s="23" t="s">
        <v>560</v>
      </c>
      <c r="B988" s="23">
        <v>3.9333528033335798</v>
      </c>
      <c r="C988" s="23">
        <f t="shared" si="30"/>
        <v>7.3001511972798916E-3</v>
      </c>
      <c r="D988" s="25">
        <f t="shared" si="31"/>
        <v>3.2093914769184835E-2</v>
      </c>
    </row>
    <row r="989" spans="1:4">
      <c r="A989" s="23" t="s">
        <v>559</v>
      </c>
      <c r="B989" s="23">
        <v>3.9260526521362999</v>
      </c>
      <c r="C989" s="23">
        <f t="shared" si="30"/>
        <v>2.0585829456050142E-2</v>
      </c>
      <c r="D989" s="25">
        <f t="shared" si="31"/>
        <v>3.2422054137917787E-2</v>
      </c>
    </row>
    <row r="990" spans="1:4">
      <c r="A990" s="23" t="s">
        <v>558</v>
      </c>
      <c r="B990" s="23">
        <v>3.9054668226802498</v>
      </c>
      <c r="C990" s="23">
        <f t="shared" si="30"/>
        <v>2.1302085552979744E-2</v>
      </c>
      <c r="D990" s="25">
        <f t="shared" si="31"/>
        <v>3.2404858316799075E-2</v>
      </c>
    </row>
    <row r="991" spans="1:4">
      <c r="A991" s="23" t="s">
        <v>557</v>
      </c>
      <c r="B991" s="23">
        <v>3.8841647371272701</v>
      </c>
      <c r="C991" s="23">
        <f t="shared" si="30"/>
        <v>-2.1739509260100043E-2</v>
      </c>
      <c r="D991" s="25">
        <f t="shared" si="31"/>
        <v>3.238616320813676E-2</v>
      </c>
    </row>
    <row r="992" spans="1:4">
      <c r="A992" s="23" t="s">
        <v>556</v>
      </c>
      <c r="B992" s="23">
        <v>3.9059042463873701</v>
      </c>
      <c r="C992" s="23">
        <f t="shared" si="30"/>
        <v>-6.944012846332992E-2</v>
      </c>
      <c r="D992" s="25">
        <f t="shared" si="31"/>
        <v>3.255569137164023E-2</v>
      </c>
    </row>
    <row r="993" spans="1:4">
      <c r="A993" s="23" t="s">
        <v>555</v>
      </c>
      <c r="B993" s="23">
        <v>3.9753443748507</v>
      </c>
      <c r="C993" s="23">
        <f t="shared" si="30"/>
        <v>6.855706186619015E-2</v>
      </c>
      <c r="D993" s="25">
        <f t="shared" si="31"/>
        <v>3.2215775359231369E-2</v>
      </c>
    </row>
    <row r="994" spans="1:4">
      <c r="A994" s="23" t="s">
        <v>554</v>
      </c>
      <c r="B994" s="23">
        <v>3.9067873129845099</v>
      </c>
      <c r="C994" s="23">
        <f t="shared" si="30"/>
        <v>9.8241413589996718E-3</v>
      </c>
      <c r="D994" s="25">
        <f t="shared" si="31"/>
        <v>3.0859646024952704E-2</v>
      </c>
    </row>
    <row r="995" spans="1:4">
      <c r="A995" s="23" t="s">
        <v>553</v>
      </c>
      <c r="B995" s="23">
        <v>3.8969631716255102</v>
      </c>
      <c r="C995" s="23">
        <f t="shared" si="30"/>
        <v>9.1560199578033519E-4</v>
      </c>
      <c r="D995" s="25">
        <f t="shared" si="31"/>
        <v>3.1040794614017281E-2</v>
      </c>
    </row>
    <row r="996" spans="1:4">
      <c r="A996" s="23" t="s">
        <v>552</v>
      </c>
      <c r="B996" s="23">
        <v>3.8960475696297299</v>
      </c>
      <c r="C996" s="23">
        <f t="shared" si="30"/>
        <v>3.9365209986099714E-2</v>
      </c>
      <c r="D996" s="25">
        <f t="shared" si="31"/>
        <v>3.3059501449510559E-2</v>
      </c>
    </row>
    <row r="997" spans="1:4">
      <c r="A997" s="23" t="s">
        <v>551</v>
      </c>
      <c r="B997" s="23">
        <v>3.8566823596436302</v>
      </c>
      <c r="C997" s="23">
        <f t="shared" si="30"/>
        <v>-3.9132084821599911E-2</v>
      </c>
      <c r="D997" s="25">
        <f t="shared" si="31"/>
        <v>3.2551719133210845E-2</v>
      </c>
    </row>
    <row r="998" spans="1:4">
      <c r="A998" s="23" t="s">
        <v>550</v>
      </c>
      <c r="B998" s="23">
        <v>3.8958144444652301</v>
      </c>
      <c r="C998" s="23">
        <f t="shared" si="30"/>
        <v>-4.9002250014598125E-3</v>
      </c>
      <c r="D998" s="25">
        <f t="shared" si="31"/>
        <v>3.2475177253678801E-2</v>
      </c>
    </row>
    <row r="999" spans="1:4">
      <c r="A999" s="23" t="s">
        <v>549</v>
      </c>
      <c r="B999" s="23">
        <v>3.9007146694666899</v>
      </c>
      <c r="C999" s="23">
        <f t="shared" si="30"/>
        <v>7.4310874931700077E-3</v>
      </c>
      <c r="D999" s="25">
        <f t="shared" si="31"/>
        <v>3.2587024937568695E-2</v>
      </c>
    </row>
    <row r="1000" spans="1:4">
      <c r="A1000" s="23" t="s">
        <v>548</v>
      </c>
      <c r="B1000" s="23">
        <v>3.8932835819735199</v>
      </c>
      <c r="C1000" s="23">
        <f t="shared" si="30"/>
        <v>-2.0582762454420145E-2</v>
      </c>
      <c r="D1000" s="25">
        <f t="shared" si="31"/>
        <v>3.3057730651273903E-2</v>
      </c>
    </row>
    <row r="1001" spans="1:4">
      <c r="A1001" s="23" t="s">
        <v>547</v>
      </c>
      <c r="B1001" s="23">
        <v>3.91386634442794</v>
      </c>
      <c r="C1001" s="23">
        <f t="shared" si="30"/>
        <v>5.037210069991005E-2</v>
      </c>
      <c r="D1001" s="25">
        <f t="shared" si="31"/>
        <v>3.3840370927903166E-2</v>
      </c>
    </row>
    <row r="1002" spans="1:4">
      <c r="A1002" s="23" t="s">
        <v>546</v>
      </c>
      <c r="B1002" s="23">
        <v>3.86349424372803</v>
      </c>
      <c r="C1002" s="23">
        <f t="shared" si="30"/>
        <v>-6.8860027197950036E-2</v>
      </c>
      <c r="D1002" s="25">
        <f t="shared" si="31"/>
        <v>3.348732027021914E-2</v>
      </c>
    </row>
    <row r="1003" spans="1:4">
      <c r="A1003" s="23" t="s">
        <v>545</v>
      </c>
      <c r="B1003" s="23">
        <v>3.93235427092598</v>
      </c>
      <c r="C1003" s="23">
        <f t="shared" si="30"/>
        <v>-1.6589760313898694E-3</v>
      </c>
      <c r="D1003" s="25">
        <f t="shared" si="31"/>
        <v>3.2546706074091769E-2</v>
      </c>
    </row>
    <row r="1004" spans="1:4">
      <c r="A1004" s="23" t="s">
        <v>544</v>
      </c>
      <c r="B1004" s="23">
        <v>3.9340132469573699</v>
      </c>
      <c r="C1004" s="23">
        <f t="shared" si="30"/>
        <v>2.2919473718070016E-2</v>
      </c>
      <c r="D1004" s="25">
        <f t="shared" si="31"/>
        <v>3.4320742050488483E-2</v>
      </c>
    </row>
    <row r="1005" spans="1:4">
      <c r="A1005" s="23" t="s">
        <v>543</v>
      </c>
      <c r="B1005" s="23">
        <v>3.9110937732392999</v>
      </c>
      <c r="C1005" s="23">
        <f t="shared" si="30"/>
        <v>-7.1546468463659973E-2</v>
      </c>
      <c r="D1005" s="25">
        <f t="shared" si="31"/>
        <v>3.5789174248417835E-2</v>
      </c>
    </row>
    <row r="1006" spans="1:4">
      <c r="A1006" s="23" t="s">
        <v>542</v>
      </c>
      <c r="B1006" s="23">
        <v>3.9826402417029598</v>
      </c>
      <c r="C1006" s="23">
        <f t="shared" si="30"/>
        <v>-1.3665771310602537E-3</v>
      </c>
      <c r="D1006" s="25">
        <f t="shared" si="31"/>
        <v>3.5280215242544648E-2</v>
      </c>
    </row>
    <row r="1007" spans="1:4">
      <c r="A1007" s="23" t="s">
        <v>541</v>
      </c>
      <c r="B1007" s="23">
        <v>3.9840068188340201</v>
      </c>
      <c r="C1007" s="23">
        <f t="shared" si="30"/>
        <v>-1.2146684183319767E-2</v>
      </c>
      <c r="D1007" s="25">
        <f t="shared" si="31"/>
        <v>3.5302496236588071E-2</v>
      </c>
    </row>
    <row r="1008" spans="1:4">
      <c r="A1008" s="23" t="s">
        <v>540</v>
      </c>
      <c r="B1008" s="23">
        <v>3.9961535030173398</v>
      </c>
      <c r="C1008" s="23">
        <f t="shared" si="30"/>
        <v>3.3121589783697836E-3</v>
      </c>
      <c r="D1008" s="25">
        <f t="shared" si="31"/>
        <v>3.5338844195306036E-2</v>
      </c>
    </row>
    <row r="1009" spans="1:4">
      <c r="A1009" s="23" t="s">
        <v>539</v>
      </c>
      <c r="B1009" s="23">
        <v>3.9928413440389701</v>
      </c>
      <c r="C1009" s="23">
        <f t="shared" si="30"/>
        <v>-1.2816448067850317E-2</v>
      </c>
      <c r="D1009" s="25">
        <f t="shared" si="31"/>
        <v>3.5346726164455708E-2</v>
      </c>
    </row>
    <row r="1010" spans="1:4">
      <c r="A1010" s="23" t="s">
        <v>538</v>
      </c>
      <c r="B1010" s="23">
        <v>4.0056577921068204</v>
      </c>
      <c r="C1010" s="23">
        <f t="shared" si="30"/>
        <v>7.4830512784003211E-3</v>
      </c>
      <c r="D1010" s="25">
        <f t="shared" si="31"/>
        <v>3.5684411216091269E-2</v>
      </c>
    </row>
    <row r="1011" spans="1:4">
      <c r="A1011" s="23" t="s">
        <v>537</v>
      </c>
      <c r="B1011" s="23">
        <v>3.9981747408284201</v>
      </c>
      <c r="C1011" s="23">
        <f t="shared" si="30"/>
        <v>4.1977345715430214E-2</v>
      </c>
      <c r="D1011" s="25">
        <f t="shared" si="31"/>
        <v>3.5680923264775219E-2</v>
      </c>
    </row>
    <row r="1012" spans="1:4">
      <c r="A1012" s="23" t="s">
        <v>536</v>
      </c>
      <c r="B1012" s="23">
        <v>3.9561973951129898</v>
      </c>
      <c r="C1012" s="23">
        <f t="shared" si="30"/>
        <v>-1.5248873694019949E-2</v>
      </c>
      <c r="D1012" s="25">
        <f t="shared" si="31"/>
        <v>3.6002976364805803E-2</v>
      </c>
    </row>
    <row r="1013" spans="1:4">
      <c r="A1013" s="23" t="s">
        <v>535</v>
      </c>
      <c r="B1013" s="23">
        <v>3.9714462688070098</v>
      </c>
      <c r="C1013" s="23">
        <f t="shared" si="30"/>
        <v>-1.7175953069650252E-2</v>
      </c>
      <c r="D1013" s="25">
        <f t="shared" si="31"/>
        <v>3.6104561460597623E-2</v>
      </c>
    </row>
    <row r="1014" spans="1:4">
      <c r="A1014" s="23" t="s">
        <v>534</v>
      </c>
      <c r="B1014" s="23">
        <v>3.98862222187666</v>
      </c>
      <c r="C1014" s="23">
        <f t="shared" si="30"/>
        <v>-1.6586209691909826E-2</v>
      </c>
      <c r="D1014" s="25">
        <f t="shared" si="31"/>
        <v>3.6489088960448349E-2</v>
      </c>
    </row>
    <row r="1015" spans="1:4">
      <c r="A1015" s="23" t="s">
        <v>533</v>
      </c>
      <c r="B1015" s="23">
        <v>4.0052084315685699</v>
      </c>
      <c r="C1015" s="23">
        <f t="shared" si="30"/>
        <v>2.255591426302983E-2</v>
      </c>
      <c r="D1015" s="25">
        <f t="shared" si="31"/>
        <v>3.6562799324997813E-2</v>
      </c>
    </row>
    <row r="1016" spans="1:4">
      <c r="A1016" s="23" t="s">
        <v>532</v>
      </c>
      <c r="B1016" s="23">
        <v>3.98265251730554</v>
      </c>
      <c r="C1016" s="23">
        <f t="shared" si="30"/>
        <v>-2.7521580367519949E-2</v>
      </c>
      <c r="D1016" s="25">
        <f t="shared" si="31"/>
        <v>3.636590797962562E-2</v>
      </c>
    </row>
    <row r="1017" spans="1:4">
      <c r="A1017" s="23" t="s">
        <v>531</v>
      </c>
      <c r="B1017" s="23">
        <v>4.01017409767306</v>
      </c>
      <c r="C1017" s="23">
        <f t="shared" si="30"/>
        <v>4.29900803534502E-2</v>
      </c>
      <c r="D1017" s="25">
        <f t="shared" si="31"/>
        <v>3.653960486747692E-2</v>
      </c>
    </row>
    <row r="1018" spans="1:4">
      <c r="A1018" s="23" t="s">
        <v>530</v>
      </c>
      <c r="B1018" s="23">
        <v>3.9671840173196098</v>
      </c>
      <c r="C1018" s="23">
        <f t="shared" si="30"/>
        <v>-1.3852905868290133E-2</v>
      </c>
      <c r="D1018" s="25">
        <f t="shared" si="31"/>
        <v>3.6742487248377462E-2</v>
      </c>
    </row>
    <row r="1019" spans="1:4">
      <c r="A1019" s="23" t="s">
        <v>529</v>
      </c>
      <c r="B1019" s="23">
        <v>3.9810369231878999</v>
      </c>
      <c r="C1019" s="23">
        <f t="shared" si="30"/>
        <v>-8.7057616469499166E-3</v>
      </c>
      <c r="D1019" s="25">
        <f t="shared" si="31"/>
        <v>3.7469629073587314E-2</v>
      </c>
    </row>
    <row r="1020" spans="1:4">
      <c r="A1020" s="23" t="s">
        <v>528</v>
      </c>
      <c r="B1020" s="23">
        <v>3.9897426848348498</v>
      </c>
      <c r="C1020" s="23">
        <f t="shared" si="30"/>
        <v>-5.0545657204330574E-2</v>
      </c>
      <c r="D1020" s="25">
        <f t="shared" si="31"/>
        <v>3.762337651716112E-2</v>
      </c>
    </row>
    <row r="1021" spans="1:4">
      <c r="A1021" s="23" t="s">
        <v>527</v>
      </c>
      <c r="B1021" s="23">
        <v>4.0402883420391804</v>
      </c>
      <c r="C1021" s="23">
        <f t="shared" si="30"/>
        <v>-3.0885334452649182E-2</v>
      </c>
      <c r="D1021" s="25">
        <f t="shared" si="31"/>
        <v>3.8712589764322958E-2</v>
      </c>
    </row>
    <row r="1022" spans="1:4">
      <c r="A1022" s="23" t="s">
        <v>526</v>
      </c>
      <c r="B1022" s="23">
        <v>4.0711736764918296</v>
      </c>
      <c r="C1022" s="23">
        <f t="shared" si="30"/>
        <v>-3.0565579105710228E-2</v>
      </c>
      <c r="D1022" s="25">
        <f t="shared" si="31"/>
        <v>3.8691807945586368E-2</v>
      </c>
    </row>
    <row r="1023" spans="1:4">
      <c r="A1023" s="23" t="s">
        <v>525</v>
      </c>
      <c r="B1023" s="23">
        <v>4.1017392555975398</v>
      </c>
      <c r="C1023" s="23">
        <f t="shared" si="30"/>
        <v>1.0597747649489619E-2</v>
      </c>
      <c r="D1023" s="25">
        <f t="shared" si="31"/>
        <v>3.9682721442118152E-2</v>
      </c>
    </row>
    <row r="1024" spans="1:4">
      <c r="A1024" s="23" t="s">
        <v>524</v>
      </c>
      <c r="B1024" s="23">
        <v>4.0911415079480502</v>
      </c>
      <c r="C1024" s="23">
        <f t="shared" si="30"/>
        <v>-1.73884547955101E-2</v>
      </c>
      <c r="D1024" s="25">
        <f t="shared" si="31"/>
        <v>4.0100694619720344E-2</v>
      </c>
    </row>
    <row r="1025" spans="1:4">
      <c r="A1025" s="23" t="s">
        <v>523</v>
      </c>
      <c r="B1025" s="23">
        <v>4.1085299627435603</v>
      </c>
      <c r="C1025" s="23">
        <f t="shared" si="30"/>
        <v>-6.524539677913932E-2</v>
      </c>
      <c r="D1025" s="25">
        <f t="shared" si="31"/>
        <v>4.0651785354445462E-2</v>
      </c>
    </row>
    <row r="1026" spans="1:4">
      <c r="A1026" s="23" t="s">
        <v>522</v>
      </c>
      <c r="B1026" s="23">
        <v>4.1737753595226996</v>
      </c>
      <c r="C1026" s="23">
        <f t="shared" ref="C1026:C1089" si="32">B1026-B1027</f>
        <v>2.4969346298719941E-2</v>
      </c>
      <c r="D1026" s="25">
        <f t="shared" ref="D1026:D1089" si="33">STDEV(C1026:C1085)</f>
        <v>4.0557297044644218E-2</v>
      </c>
    </row>
    <row r="1027" spans="1:4">
      <c r="A1027" s="23" t="s">
        <v>521</v>
      </c>
      <c r="B1027" s="23">
        <v>4.1488060132239797</v>
      </c>
      <c r="C1027" s="23">
        <f t="shared" si="32"/>
        <v>-3.100572140205049E-2</v>
      </c>
      <c r="D1027" s="25">
        <f t="shared" si="33"/>
        <v>4.0555908792082672E-2</v>
      </c>
    </row>
    <row r="1028" spans="1:4">
      <c r="A1028" s="23" t="s">
        <v>520</v>
      </c>
      <c r="B1028" s="23">
        <v>4.1798117346260302</v>
      </c>
      <c r="C1028" s="23">
        <f t="shared" si="32"/>
        <v>-3.2068460592419967E-2</v>
      </c>
      <c r="D1028" s="25">
        <f t="shared" si="33"/>
        <v>4.0544798873117592E-2</v>
      </c>
    </row>
    <row r="1029" spans="1:4">
      <c r="A1029" s="23" t="s">
        <v>519</v>
      </c>
      <c r="B1029" s="23">
        <v>4.2118801952184501</v>
      </c>
      <c r="C1029" s="23">
        <f t="shared" si="32"/>
        <v>1.6501797685597452E-3</v>
      </c>
      <c r="D1029" s="25">
        <f t="shared" si="33"/>
        <v>4.0879588987844891E-2</v>
      </c>
    </row>
    <row r="1030" spans="1:4">
      <c r="A1030" s="23" t="s">
        <v>518</v>
      </c>
      <c r="B1030" s="23">
        <v>4.2102300154498904</v>
      </c>
      <c r="C1030" s="23">
        <f t="shared" si="32"/>
        <v>2.9670300253940241E-2</v>
      </c>
      <c r="D1030" s="25">
        <f t="shared" si="33"/>
        <v>4.2227772959120273E-2</v>
      </c>
    </row>
    <row r="1031" spans="1:4">
      <c r="A1031" s="23" t="s">
        <v>517</v>
      </c>
      <c r="B1031" s="23">
        <v>4.1805597151959502</v>
      </c>
      <c r="C1031" s="23">
        <f t="shared" si="32"/>
        <v>-1.1535367654639472E-2</v>
      </c>
      <c r="D1031" s="25">
        <f t="shared" si="33"/>
        <v>4.2508253363257191E-2</v>
      </c>
    </row>
    <row r="1032" spans="1:4">
      <c r="A1032" s="23" t="s">
        <v>516</v>
      </c>
      <c r="B1032" s="23">
        <v>4.1920950828505896</v>
      </c>
      <c r="C1032" s="23">
        <f t="shared" si="32"/>
        <v>-3.3253807974270799E-2</v>
      </c>
      <c r="D1032" s="25">
        <f t="shared" si="33"/>
        <v>4.2518645087149282E-2</v>
      </c>
    </row>
    <row r="1033" spans="1:4">
      <c r="A1033" s="23" t="s">
        <v>515</v>
      </c>
      <c r="B1033" s="23">
        <v>4.2253488908248604</v>
      </c>
      <c r="C1033" s="23">
        <f t="shared" si="32"/>
        <v>-6.815667865418984E-2</v>
      </c>
      <c r="D1033" s="25">
        <f t="shared" si="33"/>
        <v>4.2530306614453048E-2</v>
      </c>
    </row>
    <row r="1034" spans="1:4">
      <c r="A1034" s="23" t="s">
        <v>514</v>
      </c>
      <c r="B1034" s="23">
        <v>4.2935055694790503</v>
      </c>
      <c r="C1034" s="23">
        <f t="shared" si="32"/>
        <v>6.6393664782404826E-3</v>
      </c>
      <c r="D1034" s="25">
        <f t="shared" si="33"/>
        <v>4.3524680141390534E-2</v>
      </c>
    </row>
    <row r="1035" spans="1:4">
      <c r="A1035" s="23" t="s">
        <v>513</v>
      </c>
      <c r="B1035" s="23">
        <v>4.2868662030008098</v>
      </c>
      <c r="C1035" s="23">
        <f t="shared" si="32"/>
        <v>-1.9250003183960196E-2</v>
      </c>
      <c r="D1035" s="25">
        <f t="shared" si="33"/>
        <v>4.3683014955972363E-2</v>
      </c>
    </row>
    <row r="1036" spans="1:4">
      <c r="A1036" s="23" t="s">
        <v>512</v>
      </c>
      <c r="B1036" s="23">
        <v>4.30611620618477</v>
      </c>
      <c r="C1036" s="23">
        <f t="shared" si="32"/>
        <v>-5.121552893930037E-2</v>
      </c>
      <c r="D1036" s="25">
        <f t="shared" si="33"/>
        <v>4.4115780985791109E-2</v>
      </c>
    </row>
    <row r="1037" spans="1:4">
      <c r="A1037" s="23" t="s">
        <v>511</v>
      </c>
      <c r="B1037" s="23">
        <v>4.3573317351240703</v>
      </c>
      <c r="C1037" s="23">
        <f t="shared" si="32"/>
        <v>-4.875878407649914E-3</v>
      </c>
      <c r="D1037" s="25">
        <f t="shared" si="33"/>
        <v>4.3537067993565458E-2</v>
      </c>
    </row>
    <row r="1038" spans="1:4">
      <c r="A1038" s="23" t="s">
        <v>510</v>
      </c>
      <c r="B1038" s="23">
        <v>4.3622076135317203</v>
      </c>
      <c r="C1038" s="23">
        <f t="shared" si="32"/>
        <v>8.786529114019892E-3</v>
      </c>
      <c r="D1038" s="25">
        <f t="shared" si="33"/>
        <v>4.4195741226937597E-2</v>
      </c>
    </row>
    <row r="1039" spans="1:4">
      <c r="A1039" s="23" t="s">
        <v>509</v>
      </c>
      <c r="B1039" s="23">
        <v>4.3534210844177004</v>
      </c>
      <c r="C1039" s="23">
        <f t="shared" si="32"/>
        <v>-4.7610284229300248E-3</v>
      </c>
      <c r="D1039" s="25">
        <f t="shared" si="33"/>
        <v>4.4199671689602184E-2</v>
      </c>
    </row>
    <row r="1040" spans="1:4">
      <c r="A1040" s="23" t="s">
        <v>508</v>
      </c>
      <c r="B1040" s="23">
        <v>4.3581821128406304</v>
      </c>
      <c r="C1040" s="23">
        <f t="shared" si="32"/>
        <v>3.1352753318410365E-2</v>
      </c>
      <c r="D1040" s="25">
        <f t="shared" si="33"/>
        <v>4.4660426729225079E-2</v>
      </c>
    </row>
    <row r="1041" spans="1:4">
      <c r="A1041" s="23" t="s">
        <v>507</v>
      </c>
      <c r="B1041" s="23">
        <v>4.32682935952222</v>
      </c>
      <c r="C1041" s="23">
        <f t="shared" si="32"/>
        <v>5.6116214164210199E-2</v>
      </c>
      <c r="D1041" s="25">
        <f t="shared" si="33"/>
        <v>4.4691928577591036E-2</v>
      </c>
    </row>
    <row r="1042" spans="1:4">
      <c r="A1042" s="23" t="s">
        <v>506</v>
      </c>
      <c r="B1042" s="23">
        <v>4.2707131453580098</v>
      </c>
      <c r="C1042" s="23">
        <f t="shared" si="32"/>
        <v>-1.8050625842498391E-3</v>
      </c>
      <c r="D1042" s="25">
        <f t="shared" si="33"/>
        <v>4.6038301174510889E-2</v>
      </c>
    </row>
    <row r="1043" spans="1:4">
      <c r="A1043" s="23" t="s">
        <v>505</v>
      </c>
      <c r="B1043" s="23">
        <v>4.2725182079422597</v>
      </c>
      <c r="C1043" s="23">
        <f t="shared" si="32"/>
        <v>9.3060053612896709E-3</v>
      </c>
      <c r="D1043" s="25">
        <f t="shared" si="33"/>
        <v>4.6453321831144569E-2</v>
      </c>
    </row>
    <row r="1044" spans="1:4">
      <c r="A1044" s="23" t="s">
        <v>504</v>
      </c>
      <c r="B1044" s="23">
        <v>4.26321220258097</v>
      </c>
      <c r="C1044" s="23">
        <f t="shared" si="32"/>
        <v>-5.6205969691802693E-3</v>
      </c>
      <c r="D1044" s="25">
        <f t="shared" si="33"/>
        <v>4.9572554588531499E-2</v>
      </c>
    </row>
    <row r="1045" spans="1:4">
      <c r="A1045" s="23" t="s">
        <v>503</v>
      </c>
      <c r="B1045" s="23">
        <v>4.2688327995501503</v>
      </c>
      <c r="C1045" s="23">
        <f t="shared" si="32"/>
        <v>-3.4325169606799655E-2</v>
      </c>
      <c r="D1045" s="25">
        <f t="shared" si="33"/>
        <v>4.9576929508676822E-2</v>
      </c>
    </row>
    <row r="1046" spans="1:4">
      <c r="A1046" s="23" t="s">
        <v>502</v>
      </c>
      <c r="B1046" s="23">
        <v>4.3031579691569499</v>
      </c>
      <c r="C1046" s="23">
        <f t="shared" si="32"/>
        <v>4.005734101339975E-2</v>
      </c>
      <c r="D1046" s="25">
        <f t="shared" si="33"/>
        <v>4.935928147839698E-2</v>
      </c>
    </row>
    <row r="1047" spans="1:4">
      <c r="A1047" s="23" t="s">
        <v>501</v>
      </c>
      <c r="B1047" s="23">
        <v>4.2631006281435502</v>
      </c>
      <c r="C1047" s="23">
        <f t="shared" si="32"/>
        <v>2.3062992282598671E-3</v>
      </c>
      <c r="D1047" s="25">
        <f t="shared" si="33"/>
        <v>5.035254552772795E-2</v>
      </c>
    </row>
    <row r="1048" spans="1:4">
      <c r="A1048" s="23" t="s">
        <v>500</v>
      </c>
      <c r="B1048" s="23">
        <v>4.2607943289152903</v>
      </c>
      <c r="C1048" s="23">
        <f t="shared" si="32"/>
        <v>3.2254392176340296E-2</v>
      </c>
      <c r="D1048" s="25">
        <f t="shared" si="33"/>
        <v>5.0396633686662744E-2</v>
      </c>
    </row>
    <row r="1049" spans="1:4">
      <c r="A1049" s="23" t="s">
        <v>499</v>
      </c>
      <c r="B1049" s="23">
        <v>4.22853993673895</v>
      </c>
      <c r="C1049" s="23">
        <f t="shared" si="32"/>
        <v>1.9269370261690177E-2</v>
      </c>
      <c r="D1049" s="25">
        <f t="shared" si="33"/>
        <v>5.4147626385641849E-2</v>
      </c>
    </row>
    <row r="1050" spans="1:4">
      <c r="A1050" s="23" t="s">
        <v>498</v>
      </c>
      <c r="B1050" s="23">
        <v>4.2092705664772598</v>
      </c>
      <c r="C1050" s="23">
        <f t="shared" si="32"/>
        <v>1.9910703511789585E-2</v>
      </c>
      <c r="D1050" s="25">
        <f t="shared" si="33"/>
        <v>5.6110855328444655E-2</v>
      </c>
    </row>
    <row r="1051" spans="1:4">
      <c r="A1051" s="23" t="s">
        <v>497</v>
      </c>
      <c r="B1051" s="23">
        <v>4.1893598629654702</v>
      </c>
      <c r="C1051" s="23">
        <f t="shared" si="32"/>
        <v>2.5975021194840409E-2</v>
      </c>
      <c r="D1051" s="25">
        <f t="shared" si="33"/>
        <v>5.6075737362910869E-2</v>
      </c>
    </row>
    <row r="1052" spans="1:4">
      <c r="A1052" s="23" t="s">
        <v>496</v>
      </c>
      <c r="B1052" s="23">
        <v>4.1633848417706298</v>
      </c>
      <c r="C1052" s="23">
        <f t="shared" si="32"/>
        <v>5.2206453757180249E-2</v>
      </c>
      <c r="D1052" s="25">
        <f t="shared" si="33"/>
        <v>5.6324386122839638E-2</v>
      </c>
    </row>
    <row r="1053" spans="1:4">
      <c r="A1053" s="23" t="s">
        <v>495</v>
      </c>
      <c r="B1053" s="23">
        <v>4.1111783880134496</v>
      </c>
      <c r="C1053" s="23">
        <f t="shared" si="32"/>
        <v>3.9360420382994477E-3</v>
      </c>
      <c r="D1053" s="25">
        <f t="shared" si="33"/>
        <v>5.590526375743133E-2</v>
      </c>
    </row>
    <row r="1054" spans="1:4">
      <c r="A1054" s="23" t="s">
        <v>494</v>
      </c>
      <c r="B1054" s="23">
        <v>4.1072423459751501</v>
      </c>
      <c r="C1054" s="23">
        <f t="shared" si="32"/>
        <v>2.562557481340999E-2</v>
      </c>
      <c r="D1054" s="25">
        <f t="shared" si="33"/>
        <v>5.6080597629978843E-2</v>
      </c>
    </row>
    <row r="1055" spans="1:4">
      <c r="A1055" s="23" t="s">
        <v>493</v>
      </c>
      <c r="B1055" s="23">
        <v>4.0816167711617402</v>
      </c>
      <c r="C1055" s="23">
        <f t="shared" si="32"/>
        <v>-9.1352229047640066E-2</v>
      </c>
      <c r="D1055" s="25">
        <f t="shared" si="33"/>
        <v>5.6276814626458657E-2</v>
      </c>
    </row>
    <row r="1056" spans="1:4">
      <c r="A1056" s="23" t="s">
        <v>492</v>
      </c>
      <c r="B1056" s="23">
        <v>4.1729690002093802</v>
      </c>
      <c r="C1056" s="23">
        <f t="shared" si="32"/>
        <v>-6.5616515981599122E-3</v>
      </c>
      <c r="D1056" s="25">
        <f t="shared" si="33"/>
        <v>6.0216247205212542E-2</v>
      </c>
    </row>
    <row r="1057" spans="1:4">
      <c r="A1057" s="23" t="s">
        <v>491</v>
      </c>
      <c r="B1057" s="23">
        <v>4.1795306518075401</v>
      </c>
      <c r="C1057" s="23">
        <f t="shared" si="32"/>
        <v>-3.4464347580390076E-2</v>
      </c>
      <c r="D1057" s="25">
        <f t="shared" si="33"/>
        <v>6.0299116869662099E-2</v>
      </c>
    </row>
    <row r="1058" spans="1:4">
      <c r="A1058" s="23" t="s">
        <v>490</v>
      </c>
      <c r="B1058" s="23">
        <v>4.2139949993879302</v>
      </c>
      <c r="C1058" s="23">
        <f t="shared" si="32"/>
        <v>1.5589713624080126E-2</v>
      </c>
      <c r="D1058" s="25">
        <f t="shared" si="33"/>
        <v>6.1517944693527234E-2</v>
      </c>
    </row>
    <row r="1059" spans="1:4">
      <c r="A1059" s="23" t="s">
        <v>489</v>
      </c>
      <c r="B1059" s="23">
        <v>4.1984052857638501</v>
      </c>
      <c r="C1059" s="23">
        <f t="shared" si="32"/>
        <v>-5.0035663253259699E-2</v>
      </c>
      <c r="D1059" s="25">
        <f t="shared" si="33"/>
        <v>6.5724213954835339E-2</v>
      </c>
    </row>
    <row r="1060" spans="1:4">
      <c r="A1060" s="23" t="s">
        <v>488</v>
      </c>
      <c r="B1060" s="23">
        <v>4.2484409490171098</v>
      </c>
      <c r="C1060" s="23">
        <f t="shared" si="32"/>
        <v>-6.366900477452031E-2</v>
      </c>
      <c r="D1060" s="25">
        <f t="shared" si="33"/>
        <v>6.5435449694674463E-2</v>
      </c>
    </row>
    <row r="1061" spans="1:4">
      <c r="A1061" s="23" t="s">
        <v>487</v>
      </c>
      <c r="B1061" s="23">
        <v>4.3121099537916301</v>
      </c>
      <c r="C1061" s="23">
        <f t="shared" si="32"/>
        <v>3.6384788259050005E-2</v>
      </c>
      <c r="D1061" s="25">
        <f t="shared" si="33"/>
        <v>6.5476899481292122E-2</v>
      </c>
    </row>
    <row r="1062" spans="1:4">
      <c r="A1062" s="23" t="s">
        <v>486</v>
      </c>
      <c r="B1062" s="23">
        <v>4.2757251655325801</v>
      </c>
      <c r="C1062" s="23">
        <f t="shared" si="32"/>
        <v>9.9063086742097184E-3</v>
      </c>
      <c r="D1062" s="25">
        <f t="shared" si="33"/>
        <v>6.5698816274654182E-2</v>
      </c>
    </row>
    <row r="1063" spans="1:4">
      <c r="A1063" s="23" t="s">
        <v>485</v>
      </c>
      <c r="B1063" s="23">
        <v>4.2658188568583704</v>
      </c>
      <c r="C1063" s="23">
        <f t="shared" si="32"/>
        <v>-9.0082307993639255E-2</v>
      </c>
      <c r="D1063" s="25">
        <f t="shared" si="33"/>
        <v>6.5979126592381629E-2</v>
      </c>
    </row>
    <row r="1064" spans="1:4">
      <c r="A1064" s="23" t="s">
        <v>484</v>
      </c>
      <c r="B1064" s="23">
        <v>4.3559011648520096</v>
      </c>
      <c r="C1064" s="23">
        <f t="shared" si="32"/>
        <v>7.675101404127993E-2</v>
      </c>
      <c r="D1064" s="25">
        <f t="shared" si="33"/>
        <v>6.9727097372690963E-2</v>
      </c>
    </row>
    <row r="1065" spans="1:4">
      <c r="A1065" s="23" t="s">
        <v>483</v>
      </c>
      <c r="B1065" s="23">
        <v>4.2791501508107297</v>
      </c>
      <c r="C1065" s="23">
        <f t="shared" si="32"/>
        <v>4.2458539339889967E-2</v>
      </c>
      <c r="D1065" s="25">
        <f t="shared" si="33"/>
        <v>7.0361261475734738E-2</v>
      </c>
    </row>
    <row r="1066" spans="1:4">
      <c r="A1066" s="23" t="s">
        <v>482</v>
      </c>
      <c r="B1066" s="23">
        <v>4.2366916114708397</v>
      </c>
      <c r="C1066" s="23">
        <f t="shared" si="32"/>
        <v>5.8593710716197123E-3</v>
      </c>
      <c r="D1066" s="25">
        <f t="shared" si="33"/>
        <v>7.024088961989694E-2</v>
      </c>
    </row>
    <row r="1067" spans="1:4">
      <c r="A1067" s="23" t="s">
        <v>481</v>
      </c>
      <c r="B1067" s="23">
        <v>4.23083224039922</v>
      </c>
      <c r="C1067" s="23">
        <f t="shared" si="32"/>
        <v>-1.8836742790020011E-2</v>
      </c>
      <c r="D1067" s="25">
        <f t="shared" si="33"/>
        <v>7.0290202022613144E-2</v>
      </c>
    </row>
    <row r="1068" spans="1:4">
      <c r="A1068" s="23" t="s">
        <v>480</v>
      </c>
      <c r="B1068" s="23">
        <v>4.24966898318924</v>
      </c>
      <c r="C1068" s="23">
        <f t="shared" si="32"/>
        <v>-1.3954225200629722E-2</v>
      </c>
      <c r="D1068" s="25">
        <f t="shared" si="33"/>
        <v>7.281808521394241E-2</v>
      </c>
    </row>
    <row r="1069" spans="1:4">
      <c r="A1069" s="23" t="s">
        <v>479</v>
      </c>
      <c r="B1069" s="23">
        <v>4.2636232083898697</v>
      </c>
      <c r="C1069" s="23">
        <f t="shared" si="32"/>
        <v>-4.3237098232660642E-2</v>
      </c>
      <c r="D1069" s="25">
        <f t="shared" si="33"/>
        <v>7.2762018251980115E-2</v>
      </c>
    </row>
    <row r="1070" spans="1:4">
      <c r="A1070" s="23" t="s">
        <v>478</v>
      </c>
      <c r="B1070" s="23">
        <v>4.3068603066225304</v>
      </c>
      <c r="C1070" s="23">
        <f t="shared" si="32"/>
        <v>6.8815193332607549E-3</v>
      </c>
      <c r="D1070" s="25">
        <f t="shared" si="33"/>
        <v>7.2879696182775358E-2</v>
      </c>
    </row>
    <row r="1071" spans="1:4">
      <c r="A1071" s="23" t="s">
        <v>477</v>
      </c>
      <c r="B1071" s="23">
        <v>4.2999787872892696</v>
      </c>
      <c r="C1071" s="23">
        <f t="shared" si="32"/>
        <v>-6.6410612850870798E-2</v>
      </c>
      <c r="D1071" s="25">
        <f t="shared" si="33"/>
        <v>7.3053849174867139E-2</v>
      </c>
    </row>
    <row r="1072" spans="1:4">
      <c r="A1072" s="23" t="s">
        <v>476</v>
      </c>
      <c r="B1072" s="23">
        <v>4.3663894001401404</v>
      </c>
      <c r="C1072" s="23">
        <f t="shared" si="32"/>
        <v>1.5948702265920822E-2</v>
      </c>
      <c r="D1072" s="25">
        <f t="shared" si="33"/>
        <v>7.4729504978247555E-2</v>
      </c>
    </row>
    <row r="1073" spans="1:4">
      <c r="A1073" s="23" t="s">
        <v>475</v>
      </c>
      <c r="B1073" s="23">
        <v>4.3504406978742196</v>
      </c>
      <c r="C1073" s="23">
        <f t="shared" si="32"/>
        <v>-4.8521345075560163E-2</v>
      </c>
      <c r="D1073" s="25">
        <f t="shared" si="33"/>
        <v>7.4877287304222773E-2</v>
      </c>
    </row>
    <row r="1074" spans="1:4">
      <c r="A1074" s="23" t="s">
        <v>474</v>
      </c>
      <c r="B1074" s="23">
        <v>4.3989620429497798</v>
      </c>
      <c r="C1074" s="23">
        <f t="shared" si="32"/>
        <v>1.3852703653720155E-2</v>
      </c>
      <c r="D1074" s="25">
        <f t="shared" si="33"/>
        <v>7.4750116777483583E-2</v>
      </c>
    </row>
    <row r="1075" spans="1:4">
      <c r="A1075" s="23" t="s">
        <v>473</v>
      </c>
      <c r="B1075" s="23">
        <v>4.3851093392960596</v>
      </c>
      <c r="C1075" s="23">
        <f t="shared" si="32"/>
        <v>-8.0374276742105621E-3</v>
      </c>
      <c r="D1075" s="25">
        <f t="shared" si="33"/>
        <v>7.4751422854205815E-2</v>
      </c>
    </row>
    <row r="1076" spans="1:4">
      <c r="A1076" s="23" t="s">
        <v>472</v>
      </c>
      <c r="B1076" s="23">
        <v>4.3931467669702702</v>
      </c>
      <c r="C1076" s="23">
        <f t="shared" si="32"/>
        <v>-4.1162236617469539E-2</v>
      </c>
      <c r="D1076" s="25">
        <f t="shared" si="33"/>
        <v>7.4757052476065899E-2</v>
      </c>
    </row>
    <row r="1077" spans="1:4">
      <c r="A1077" s="23" t="s">
        <v>471</v>
      </c>
      <c r="B1077" s="23">
        <v>4.4343090035877397</v>
      </c>
      <c r="C1077" s="23">
        <f t="shared" si="32"/>
        <v>-6.6939635318790103E-2</v>
      </c>
      <c r="D1077" s="25">
        <f t="shared" si="33"/>
        <v>7.4463467335353584E-2</v>
      </c>
    </row>
    <row r="1078" spans="1:4">
      <c r="A1078" s="23" t="s">
        <v>470</v>
      </c>
      <c r="B1078" s="23">
        <v>4.5012486389065298</v>
      </c>
      <c r="C1078" s="23">
        <f t="shared" si="32"/>
        <v>4.8306602879270244E-2</v>
      </c>
      <c r="D1078" s="25">
        <f t="shared" si="33"/>
        <v>7.3825662377899837E-2</v>
      </c>
    </row>
    <row r="1079" spans="1:4">
      <c r="A1079" s="23" t="s">
        <v>469</v>
      </c>
      <c r="B1079" s="23">
        <v>4.4529420360272596</v>
      </c>
      <c r="C1079" s="23">
        <f t="shared" si="32"/>
        <v>-3.4184320003040725E-2</v>
      </c>
      <c r="D1079" s="25">
        <f t="shared" si="33"/>
        <v>7.5164499921973438E-2</v>
      </c>
    </row>
    <row r="1080" spans="1:4">
      <c r="A1080" s="23" t="s">
        <v>468</v>
      </c>
      <c r="B1080" s="23">
        <v>4.4871263560303003</v>
      </c>
      <c r="C1080" s="23">
        <f t="shared" si="32"/>
        <v>7.5102787947749938E-2</v>
      </c>
      <c r="D1080" s="25">
        <f t="shared" si="33"/>
        <v>7.6138171147340561E-2</v>
      </c>
    </row>
    <row r="1081" spans="1:4">
      <c r="A1081" s="23" t="s">
        <v>467</v>
      </c>
      <c r="B1081" s="23">
        <v>4.4120235680825504</v>
      </c>
      <c r="C1081" s="23">
        <f t="shared" si="32"/>
        <v>1.7329296666760641E-2</v>
      </c>
      <c r="D1081" s="25">
        <f t="shared" si="33"/>
        <v>7.5840856848427257E-2</v>
      </c>
    </row>
    <row r="1082" spans="1:4">
      <c r="A1082" s="23" t="s">
        <v>466</v>
      </c>
      <c r="B1082" s="23">
        <v>4.3946942714157897</v>
      </c>
      <c r="C1082" s="23">
        <f t="shared" si="32"/>
        <v>6.7939496102109587E-2</v>
      </c>
      <c r="D1082" s="25">
        <f t="shared" si="33"/>
        <v>7.6601167930726702E-2</v>
      </c>
    </row>
    <row r="1083" spans="1:4">
      <c r="A1083" s="23" t="s">
        <v>465</v>
      </c>
      <c r="B1083" s="23">
        <v>4.3267547753136801</v>
      </c>
      <c r="C1083" s="23">
        <f t="shared" si="32"/>
        <v>4.3056980770740161E-2</v>
      </c>
      <c r="D1083" s="25">
        <f t="shared" si="33"/>
        <v>7.6355209141644953E-2</v>
      </c>
    </row>
    <row r="1084" spans="1:4">
      <c r="A1084" s="23" t="s">
        <v>464</v>
      </c>
      <c r="B1084" s="23">
        <v>4.28369779454294</v>
      </c>
      <c r="C1084" s="23">
        <f t="shared" si="32"/>
        <v>5.0678409983540007E-2</v>
      </c>
      <c r="D1084" s="25">
        <f t="shared" si="33"/>
        <v>7.6610000024067232E-2</v>
      </c>
    </row>
    <row r="1085" spans="1:4">
      <c r="A1085" s="23" t="s">
        <v>463</v>
      </c>
      <c r="B1085" s="23">
        <v>4.2330193845594</v>
      </c>
      <c r="C1085" s="23">
        <f t="shared" si="32"/>
        <v>5.9547833793920368E-2</v>
      </c>
      <c r="D1085" s="25">
        <f t="shared" si="33"/>
        <v>7.7593483502598315E-2</v>
      </c>
    </row>
    <row r="1086" spans="1:4">
      <c r="A1086" s="23" t="s">
        <v>462</v>
      </c>
      <c r="B1086" s="23">
        <v>4.1734715507654796</v>
      </c>
      <c r="C1086" s="23">
        <f t="shared" si="32"/>
        <v>2.4835931003769574E-2</v>
      </c>
      <c r="D1086" s="25">
        <f t="shared" si="33"/>
        <v>7.7454526215626512E-2</v>
      </c>
    </row>
    <row r="1087" spans="1:4">
      <c r="A1087" s="23" t="s">
        <v>461</v>
      </c>
      <c r="B1087" s="23">
        <v>4.14863561976171</v>
      </c>
      <c r="C1087" s="23">
        <f t="shared" si="32"/>
        <v>-3.0136555410999577E-2</v>
      </c>
      <c r="D1087" s="25">
        <f t="shared" si="33"/>
        <v>7.7855895748115495E-2</v>
      </c>
    </row>
    <row r="1088" spans="1:4">
      <c r="A1088" s="23" t="s">
        <v>460</v>
      </c>
      <c r="B1088" s="23">
        <v>4.1787721751727096</v>
      </c>
      <c r="C1088" s="23">
        <f t="shared" si="32"/>
        <v>-5.1403224192100083E-2</v>
      </c>
      <c r="D1088" s="25">
        <f t="shared" si="33"/>
        <v>7.7781608229199675E-2</v>
      </c>
    </row>
    <row r="1089" spans="1:4">
      <c r="A1089" s="23" t="s">
        <v>459</v>
      </c>
      <c r="B1089" s="23">
        <v>4.2301753993648097</v>
      </c>
      <c r="C1089" s="23">
        <f t="shared" si="32"/>
        <v>8.167775748124928E-2</v>
      </c>
      <c r="D1089" s="25">
        <f t="shared" si="33"/>
        <v>7.7602725405146539E-2</v>
      </c>
    </row>
    <row r="1090" spans="1:4">
      <c r="A1090" s="23" t="s">
        <v>458</v>
      </c>
      <c r="B1090" s="23">
        <v>4.1484976418835604</v>
      </c>
      <c r="C1090" s="23">
        <f t="shared" ref="C1090:C1153" si="34">B1090-B1091</f>
        <v>-4.7147062111419835E-2</v>
      </c>
      <c r="D1090" s="25">
        <f t="shared" ref="D1090:D1153" si="35">STDEV(C1090:C1149)</f>
        <v>7.767740689270794E-2</v>
      </c>
    </row>
    <row r="1091" spans="1:4">
      <c r="A1091" s="23" t="s">
        <v>457</v>
      </c>
      <c r="B1091" s="23">
        <v>4.1956447039949802</v>
      </c>
      <c r="C1091" s="23">
        <f t="shared" si="34"/>
        <v>1.353008649993015E-2</v>
      </c>
      <c r="D1091" s="25">
        <f t="shared" si="35"/>
        <v>7.7462276324058651E-2</v>
      </c>
    </row>
    <row r="1092" spans="1:4">
      <c r="A1092" s="23" t="s">
        <v>456</v>
      </c>
      <c r="B1092" s="23">
        <v>4.1821146174950501</v>
      </c>
      <c r="C1092" s="23">
        <f t="shared" si="34"/>
        <v>-3.4118277301820044E-2</v>
      </c>
      <c r="D1092" s="25">
        <f t="shared" si="35"/>
        <v>7.7857610966308805E-2</v>
      </c>
    </row>
    <row r="1093" spans="1:4">
      <c r="A1093" s="23" t="s">
        <v>455</v>
      </c>
      <c r="B1093" s="23">
        <v>4.2162328947968701</v>
      </c>
      <c r="C1093" s="23">
        <f t="shared" si="34"/>
        <v>0.10110863764283984</v>
      </c>
      <c r="D1093" s="25">
        <f t="shared" si="35"/>
        <v>7.7791180766964993E-2</v>
      </c>
    </row>
    <row r="1094" spans="1:4">
      <c r="A1094" s="23" t="s">
        <v>454</v>
      </c>
      <c r="B1094" s="23">
        <v>4.1151242571540303</v>
      </c>
      <c r="C1094" s="23">
        <f t="shared" si="34"/>
        <v>-2.6112945328909731E-2</v>
      </c>
      <c r="D1094" s="25">
        <f t="shared" si="35"/>
        <v>7.6980709700802813E-2</v>
      </c>
    </row>
    <row r="1095" spans="1:4">
      <c r="A1095" s="23" t="s">
        <v>453</v>
      </c>
      <c r="B1095" s="23">
        <v>4.14123720248294</v>
      </c>
      <c r="C1095" s="23">
        <f t="shared" si="34"/>
        <v>5.5384890429579947E-2</v>
      </c>
      <c r="D1095" s="25">
        <f t="shared" si="35"/>
        <v>7.6859806486661478E-2</v>
      </c>
    </row>
    <row r="1096" spans="1:4">
      <c r="A1096" s="23" t="s">
        <v>452</v>
      </c>
      <c r="B1096" s="23">
        <v>4.0858523120533601</v>
      </c>
      <c r="C1096" s="23">
        <f t="shared" si="34"/>
        <v>1.3085036067650435E-2</v>
      </c>
      <c r="D1096" s="25">
        <f t="shared" si="35"/>
        <v>7.6764636169223466E-2</v>
      </c>
    </row>
    <row r="1097" spans="1:4">
      <c r="A1097" s="23" t="s">
        <v>451</v>
      </c>
      <c r="B1097" s="23">
        <v>4.0727672759857096</v>
      </c>
      <c r="C1097" s="23">
        <f t="shared" si="34"/>
        <v>-5.4784396604820707E-2</v>
      </c>
      <c r="D1097" s="25">
        <f t="shared" si="35"/>
        <v>7.6971516163121728E-2</v>
      </c>
    </row>
    <row r="1098" spans="1:4">
      <c r="A1098" s="23" t="s">
        <v>450</v>
      </c>
      <c r="B1098" s="23">
        <v>4.1275516725905304</v>
      </c>
      <c r="C1098" s="23">
        <f t="shared" si="34"/>
        <v>-2.9118960235097191E-3</v>
      </c>
      <c r="D1098" s="25">
        <f t="shared" si="35"/>
        <v>7.7324509323108609E-2</v>
      </c>
    </row>
    <row r="1099" spans="1:4">
      <c r="A1099" s="23" t="s">
        <v>449</v>
      </c>
      <c r="B1099" s="23">
        <v>4.1304635686140401</v>
      </c>
      <c r="C1099" s="23">
        <f t="shared" si="34"/>
        <v>5.4167490114130246E-2</v>
      </c>
      <c r="D1099" s="25">
        <f t="shared" si="35"/>
        <v>7.7945219223867032E-2</v>
      </c>
    </row>
    <row r="1100" spans="1:4">
      <c r="A1100" s="23" t="s">
        <v>448</v>
      </c>
      <c r="B1100" s="23">
        <v>4.0762960784999098</v>
      </c>
      <c r="C1100" s="23">
        <f t="shared" si="34"/>
        <v>-2.5814348838170353E-2</v>
      </c>
      <c r="D1100" s="25">
        <f t="shared" si="35"/>
        <v>7.7777408010223634E-2</v>
      </c>
    </row>
    <row r="1101" spans="1:4">
      <c r="A1101" s="23" t="s">
        <v>447</v>
      </c>
      <c r="B1101" s="23">
        <v>4.1021104273380802</v>
      </c>
      <c r="C1101" s="23">
        <f t="shared" si="34"/>
        <v>-9.796828522708001E-2</v>
      </c>
      <c r="D1101" s="25">
        <f t="shared" si="35"/>
        <v>7.7760698176219237E-2</v>
      </c>
    </row>
    <row r="1102" spans="1:4">
      <c r="A1102" s="23" t="s">
        <v>446</v>
      </c>
      <c r="B1102" s="23">
        <v>4.2000787125651602</v>
      </c>
      <c r="C1102" s="23">
        <f t="shared" si="34"/>
        <v>-4.6859156426569903E-2</v>
      </c>
      <c r="D1102" s="25">
        <f t="shared" si="35"/>
        <v>7.6540529541858665E-2</v>
      </c>
    </row>
    <row r="1103" spans="1:4">
      <c r="A1103" s="23" t="s">
        <v>445</v>
      </c>
      <c r="B1103" s="23">
        <v>4.2469378689917301</v>
      </c>
      <c r="C1103" s="23">
        <f t="shared" si="34"/>
        <v>0.13463791233307987</v>
      </c>
      <c r="D1103" s="25">
        <f t="shared" si="35"/>
        <v>7.6103939271892268E-2</v>
      </c>
    </row>
    <row r="1104" spans="1:4">
      <c r="A1104" s="23" t="s">
        <v>444</v>
      </c>
      <c r="B1104" s="23">
        <v>4.1122999566586502</v>
      </c>
      <c r="C1104" s="23">
        <f t="shared" si="34"/>
        <v>-7.0669992207097465E-3</v>
      </c>
      <c r="D1104" s="25">
        <f t="shared" si="35"/>
        <v>7.4849591492650538E-2</v>
      </c>
    </row>
    <row r="1105" spans="1:4">
      <c r="A1105" s="23" t="s">
        <v>443</v>
      </c>
      <c r="B1105" s="23">
        <v>4.11936695587936</v>
      </c>
      <c r="C1105" s="23">
        <f t="shared" si="34"/>
        <v>1.3592584695709675E-2</v>
      </c>
      <c r="D1105" s="25">
        <f t="shared" si="35"/>
        <v>7.5661670391667948E-2</v>
      </c>
    </row>
    <row r="1106" spans="1:4">
      <c r="A1106" s="23" t="s">
        <v>442</v>
      </c>
      <c r="B1106" s="23">
        <v>4.1057743711836503</v>
      </c>
      <c r="C1106" s="23">
        <f t="shared" si="34"/>
        <v>-8.3010065487689744E-2</v>
      </c>
      <c r="D1106" s="25">
        <f t="shared" si="35"/>
        <v>7.567755739707191E-2</v>
      </c>
    </row>
    <row r="1107" spans="1:4">
      <c r="A1107" s="23" t="s">
        <v>441</v>
      </c>
      <c r="B1107" s="23">
        <v>4.18878443667134</v>
      </c>
      <c r="C1107" s="23">
        <f t="shared" si="34"/>
        <v>1.7581732001829664E-2</v>
      </c>
      <c r="D1107" s="25">
        <f t="shared" si="35"/>
        <v>7.5132519933902395E-2</v>
      </c>
    </row>
    <row r="1108" spans="1:4">
      <c r="A1108" s="23" t="s">
        <v>440</v>
      </c>
      <c r="B1108" s="23">
        <v>4.1712027046695104</v>
      </c>
      <c r="C1108" s="23">
        <f t="shared" si="34"/>
        <v>-0.15557620981496001</v>
      </c>
      <c r="D1108" s="25">
        <f t="shared" si="35"/>
        <v>7.5138107075641225E-2</v>
      </c>
    </row>
    <row r="1109" spans="1:4">
      <c r="A1109" s="23" t="s">
        <v>439</v>
      </c>
      <c r="B1109" s="23">
        <v>4.3267789144844704</v>
      </c>
      <c r="C1109" s="23">
        <f t="shared" si="34"/>
        <v>0.11393844242331053</v>
      </c>
      <c r="D1109" s="25">
        <f t="shared" si="35"/>
        <v>7.1811937190534136E-2</v>
      </c>
    </row>
    <row r="1110" spans="1:4">
      <c r="A1110" s="23" t="s">
        <v>438</v>
      </c>
      <c r="B1110" s="23">
        <v>4.2128404720611599</v>
      </c>
      <c r="C1110" s="23">
        <f t="shared" si="34"/>
        <v>-1.366660812043996E-2</v>
      </c>
      <c r="D1110" s="25">
        <f t="shared" si="35"/>
        <v>7.0956105806632128E-2</v>
      </c>
    </row>
    <row r="1111" spans="1:4">
      <c r="A1111" s="23" t="s">
        <v>437</v>
      </c>
      <c r="B1111" s="23">
        <v>4.2265070801815998</v>
      </c>
      <c r="C1111" s="23">
        <f t="shared" si="34"/>
        <v>4.8004719018869935E-2</v>
      </c>
      <c r="D1111" s="25">
        <f t="shared" si="35"/>
        <v>7.1242377547454508E-2</v>
      </c>
    </row>
    <row r="1112" spans="1:4">
      <c r="A1112" s="23" t="s">
        <v>436</v>
      </c>
      <c r="B1112" s="23">
        <v>4.1785023611627299</v>
      </c>
      <c r="C1112" s="23">
        <f t="shared" si="34"/>
        <v>3.7253760410802528E-3</v>
      </c>
      <c r="D1112" s="25">
        <f t="shared" si="35"/>
        <v>7.2441253301217562E-2</v>
      </c>
    </row>
    <row r="1113" spans="1:4">
      <c r="A1113" s="23" t="s">
        <v>435</v>
      </c>
      <c r="B1113" s="23">
        <v>4.1747769851216496</v>
      </c>
      <c r="C1113" s="23">
        <f t="shared" si="34"/>
        <v>-3.5842037600990473E-2</v>
      </c>
      <c r="D1113" s="25">
        <f t="shared" si="35"/>
        <v>7.2770133118377781E-2</v>
      </c>
    </row>
    <row r="1114" spans="1:4">
      <c r="A1114" s="23" t="s">
        <v>434</v>
      </c>
      <c r="B1114" s="23">
        <v>4.2106190227226401</v>
      </c>
      <c r="C1114" s="23">
        <f t="shared" si="34"/>
        <v>4.3598850320460514E-2</v>
      </c>
      <c r="D1114" s="25">
        <f t="shared" si="35"/>
        <v>7.2524136309508741E-2</v>
      </c>
    </row>
    <row r="1115" spans="1:4">
      <c r="A1115" s="23" t="s">
        <v>433</v>
      </c>
      <c r="B1115" s="23">
        <v>4.1670201724021796</v>
      </c>
      <c r="C1115" s="23">
        <f t="shared" si="34"/>
        <v>-0.18936857718841082</v>
      </c>
      <c r="D1115" s="25">
        <f t="shared" si="35"/>
        <v>7.2675702948913054E-2</v>
      </c>
    </row>
    <row r="1116" spans="1:4">
      <c r="A1116" s="23" t="s">
        <v>432</v>
      </c>
      <c r="B1116" s="23">
        <v>4.3563887495905904</v>
      </c>
      <c r="C1116" s="23">
        <f t="shared" si="34"/>
        <v>-2.77347444147793E-2</v>
      </c>
      <c r="D1116" s="25">
        <f t="shared" si="35"/>
        <v>7.0084794074889351E-2</v>
      </c>
    </row>
    <row r="1117" spans="1:4">
      <c r="A1117" s="23" t="s">
        <v>431</v>
      </c>
      <c r="B1117" s="23">
        <v>4.3841234940053697</v>
      </c>
      <c r="C1117" s="23">
        <f t="shared" si="34"/>
        <v>9.6644297686769853E-2</v>
      </c>
      <c r="D1117" s="25">
        <f t="shared" si="35"/>
        <v>7.0802734861288033E-2</v>
      </c>
    </row>
    <row r="1118" spans="1:4">
      <c r="A1118" s="23" t="s">
        <v>430</v>
      </c>
      <c r="B1118" s="23">
        <v>4.2874791963185999</v>
      </c>
      <c r="C1118" s="23">
        <f t="shared" si="34"/>
        <v>0.17850493243810028</v>
      </c>
      <c r="D1118" s="25">
        <f t="shared" si="35"/>
        <v>7.00223194672496E-2</v>
      </c>
    </row>
    <row r="1119" spans="1:4">
      <c r="A1119" s="23" t="s">
        <v>429</v>
      </c>
      <c r="B1119" s="23">
        <v>4.1089742638804996</v>
      </c>
      <c r="C1119" s="23">
        <f t="shared" si="34"/>
        <v>-1.9390577413030741E-2</v>
      </c>
      <c r="D1119" s="25">
        <f t="shared" si="35"/>
        <v>6.6698156191762087E-2</v>
      </c>
    </row>
    <row r="1120" spans="1:4">
      <c r="A1120" s="23" t="s">
        <v>428</v>
      </c>
      <c r="B1120" s="23">
        <v>4.1283648412935303</v>
      </c>
      <c r="C1120" s="23">
        <f t="shared" si="34"/>
        <v>7.2292285247810284E-2</v>
      </c>
      <c r="D1120" s="25">
        <f t="shared" si="35"/>
        <v>6.7116839631736189E-2</v>
      </c>
    </row>
    <row r="1121" spans="1:4">
      <c r="A1121" s="23" t="s">
        <v>427</v>
      </c>
      <c r="B1121" s="23">
        <v>4.05607255604572</v>
      </c>
      <c r="C1121" s="23">
        <f t="shared" si="34"/>
        <v>-4.9318595187619607E-2</v>
      </c>
      <c r="D1121" s="25">
        <f t="shared" si="35"/>
        <v>6.72426874512638E-2</v>
      </c>
    </row>
    <row r="1122" spans="1:4">
      <c r="A1122" s="23" t="s">
        <v>426</v>
      </c>
      <c r="B1122" s="23">
        <v>4.1053911512333396</v>
      </c>
      <c r="C1122" s="23">
        <f t="shared" si="34"/>
        <v>5.0324753366929542E-2</v>
      </c>
      <c r="D1122" s="25">
        <f t="shared" si="35"/>
        <v>6.8298267472949259E-2</v>
      </c>
    </row>
    <row r="1123" spans="1:4">
      <c r="A1123" s="23" t="s">
        <v>425</v>
      </c>
      <c r="B1123" s="23">
        <v>4.0550663978664101</v>
      </c>
      <c r="C1123" s="23">
        <f t="shared" si="34"/>
        <v>0.20403817908421029</v>
      </c>
      <c r="D1123" s="25">
        <f t="shared" si="35"/>
        <v>7.8335995922985749E-2</v>
      </c>
    </row>
    <row r="1124" spans="1:4">
      <c r="A1124" s="23" t="s">
        <v>424</v>
      </c>
      <c r="B1124" s="23">
        <v>3.8510282187821998</v>
      </c>
      <c r="C1124" s="23">
        <f t="shared" si="34"/>
        <v>-9.3539803329630189E-2</v>
      </c>
      <c r="D1124" s="25">
        <f t="shared" si="35"/>
        <v>8.9606910622353514E-2</v>
      </c>
    </row>
    <row r="1125" spans="1:4">
      <c r="A1125" s="23" t="s">
        <v>423</v>
      </c>
      <c r="B1125" s="23">
        <v>3.94456802211183</v>
      </c>
      <c r="C1125" s="23">
        <f t="shared" si="34"/>
        <v>-1.4830674928130172E-2</v>
      </c>
      <c r="D1125" s="25">
        <f t="shared" si="35"/>
        <v>8.8783932181647582E-2</v>
      </c>
    </row>
    <row r="1126" spans="1:4">
      <c r="A1126" s="23" t="s">
        <v>422</v>
      </c>
      <c r="B1126" s="23">
        <v>3.9593986970399602</v>
      </c>
      <c r="C1126" s="23">
        <f t="shared" si="34"/>
        <v>2.5030451814300303E-2</v>
      </c>
      <c r="D1126" s="25">
        <f t="shared" si="35"/>
        <v>0.11654831393296784</v>
      </c>
    </row>
    <row r="1127" spans="1:4">
      <c r="A1127" s="23" t="s">
        <v>421</v>
      </c>
      <c r="B1127" s="23">
        <v>3.9343682452256599</v>
      </c>
      <c r="C1127" s="23">
        <f t="shared" si="34"/>
        <v>0.15464369261554989</v>
      </c>
      <c r="D1127" s="25">
        <f t="shared" si="35"/>
        <v>0.11709543284512956</v>
      </c>
    </row>
    <row r="1128" spans="1:4">
      <c r="A1128" s="23" t="s">
        <v>420</v>
      </c>
      <c r="B1128" s="23">
        <v>3.77972455261011</v>
      </c>
      <c r="C1128" s="23">
        <f t="shared" si="34"/>
        <v>9.2739310550600251E-3</v>
      </c>
      <c r="D1128" s="25">
        <f t="shared" si="35"/>
        <v>0.11576480835936552</v>
      </c>
    </row>
    <row r="1129" spans="1:4">
      <c r="A1129" s="23" t="s">
        <v>419</v>
      </c>
      <c r="B1129" s="23">
        <v>3.77045062155505</v>
      </c>
      <c r="C1129" s="23">
        <f t="shared" si="34"/>
        <v>-5.2281195063939911E-2</v>
      </c>
      <c r="D1129" s="25">
        <f t="shared" si="35"/>
        <v>0.1165016201952867</v>
      </c>
    </row>
    <row r="1130" spans="1:4">
      <c r="A1130" s="23" t="s">
        <v>418</v>
      </c>
      <c r="B1130" s="23">
        <v>3.8227318166189899</v>
      </c>
      <c r="C1130" s="23">
        <f t="shared" si="34"/>
        <v>-3.0979516674410235E-2</v>
      </c>
      <c r="D1130" s="25">
        <f t="shared" si="35"/>
        <v>0.11772641132221706</v>
      </c>
    </row>
    <row r="1131" spans="1:4">
      <c r="A1131" s="23" t="s">
        <v>417</v>
      </c>
      <c r="B1131" s="23">
        <v>3.8537113332934001</v>
      </c>
      <c r="C1131" s="23">
        <f t="shared" si="34"/>
        <v>0.15186090443891009</v>
      </c>
      <c r="D1131" s="25">
        <f t="shared" si="35"/>
        <v>0.11882884338006844</v>
      </c>
    </row>
    <row r="1132" spans="1:4">
      <c r="A1132" s="23" t="s">
        <v>416</v>
      </c>
      <c r="B1132" s="23">
        <v>3.70185042885449</v>
      </c>
      <c r="C1132" s="23">
        <f t="shared" si="34"/>
        <v>-2.5764431184069903E-2</v>
      </c>
      <c r="D1132" s="25">
        <f t="shared" si="35"/>
        <v>0.1189760869941085</v>
      </c>
    </row>
    <row r="1133" spans="1:4">
      <c r="A1133" s="23" t="s">
        <v>415</v>
      </c>
      <c r="B1133" s="23">
        <v>3.7276148600385599</v>
      </c>
      <c r="C1133" s="23">
        <f t="shared" si="34"/>
        <v>-3.8081637915039934E-2</v>
      </c>
      <c r="D1133" s="25">
        <f t="shared" si="35"/>
        <v>0.11924110209605354</v>
      </c>
    </row>
    <row r="1134" spans="1:4">
      <c r="A1134" s="23" t="s">
        <v>414</v>
      </c>
      <c r="B1134" s="23">
        <v>3.7656964979535998</v>
      </c>
      <c r="C1134" s="23">
        <f t="shared" si="34"/>
        <v>1.5290824737729913E-2</v>
      </c>
      <c r="D1134" s="25">
        <f t="shared" si="35"/>
        <v>0.1191042875393107</v>
      </c>
    </row>
    <row r="1135" spans="1:4">
      <c r="A1135" s="23" t="s">
        <v>413</v>
      </c>
      <c r="B1135" s="23">
        <v>3.7504056732158699</v>
      </c>
      <c r="C1135" s="23">
        <f t="shared" si="34"/>
        <v>3.1115103161110103E-2</v>
      </c>
      <c r="D1135" s="25">
        <f t="shared" si="35"/>
        <v>0.11944030423532941</v>
      </c>
    </row>
    <row r="1136" spans="1:4">
      <c r="A1136" s="23" t="s">
        <v>412</v>
      </c>
      <c r="B1136" s="23">
        <v>3.7192905700547598</v>
      </c>
      <c r="C1136" s="23">
        <f t="shared" si="34"/>
        <v>-2.3844879772401129E-3</v>
      </c>
      <c r="D1136" s="25">
        <f t="shared" si="35"/>
        <v>0.11939297116767042</v>
      </c>
    </row>
    <row r="1137" spans="1:4">
      <c r="A1137" s="23" t="s">
        <v>411</v>
      </c>
      <c r="B1137" s="23">
        <v>3.7216750580319999</v>
      </c>
      <c r="C1137" s="23">
        <f t="shared" si="34"/>
        <v>-1.4167361519799915E-2</v>
      </c>
      <c r="D1137" s="25">
        <f t="shared" si="35"/>
        <v>0.12017480280001776</v>
      </c>
    </row>
    <row r="1138" spans="1:4">
      <c r="A1138" s="23" t="s">
        <v>410</v>
      </c>
      <c r="B1138" s="23">
        <v>3.7358424195517999</v>
      </c>
      <c r="C1138" s="23">
        <f t="shared" si="34"/>
        <v>0.12737320225911963</v>
      </c>
      <c r="D1138" s="25">
        <f t="shared" si="35"/>
        <v>0.1215689636031977</v>
      </c>
    </row>
    <row r="1139" spans="1:4">
      <c r="A1139" s="23" t="s">
        <v>409</v>
      </c>
      <c r="B1139" s="23">
        <v>3.6084692172926802</v>
      </c>
      <c r="C1139" s="23">
        <f t="shared" si="34"/>
        <v>0.12094756018253028</v>
      </c>
      <c r="D1139" s="25">
        <f t="shared" si="35"/>
        <v>0.12064378326305709</v>
      </c>
    </row>
    <row r="1140" spans="1:4">
      <c r="A1140" s="23" t="s">
        <v>408</v>
      </c>
      <c r="B1140" s="23">
        <v>3.4875216571101499</v>
      </c>
      <c r="C1140" s="23">
        <f t="shared" si="34"/>
        <v>-1.2986724690480234E-2</v>
      </c>
      <c r="D1140" s="25">
        <f t="shared" si="35"/>
        <v>0.12023539973072608</v>
      </c>
    </row>
    <row r="1141" spans="1:4">
      <c r="A1141" s="23" t="s">
        <v>407</v>
      </c>
      <c r="B1141" s="23">
        <v>3.5005083818006302</v>
      </c>
      <c r="C1141" s="23">
        <f t="shared" si="34"/>
        <v>9.8575871679789984E-2</v>
      </c>
      <c r="D1141" s="25">
        <f t="shared" si="35"/>
        <v>0.1206988899609347</v>
      </c>
    </row>
    <row r="1142" spans="1:4">
      <c r="A1142" s="23" t="s">
        <v>406</v>
      </c>
      <c r="B1142" s="23">
        <v>3.4019325101208402</v>
      </c>
      <c r="C1142" s="23">
        <f t="shared" si="34"/>
        <v>3.7453945377530218E-2</v>
      </c>
      <c r="D1142" s="25">
        <f t="shared" si="35"/>
        <v>0.12032149335994154</v>
      </c>
    </row>
    <row r="1143" spans="1:4">
      <c r="A1143" s="23" t="s">
        <v>405</v>
      </c>
      <c r="B1143" s="23">
        <v>3.36447856474331</v>
      </c>
      <c r="C1143" s="23">
        <f t="shared" si="34"/>
        <v>7.1198631544959756E-2</v>
      </c>
      <c r="D1143" s="25">
        <f t="shared" si="35"/>
        <v>0.12087615406087716</v>
      </c>
    </row>
    <row r="1144" spans="1:4">
      <c r="A1144" s="23" t="s">
        <v>404</v>
      </c>
      <c r="B1144" s="23">
        <v>3.2932799331983502</v>
      </c>
      <c r="C1144" s="23">
        <f t="shared" si="34"/>
        <v>-8.5595611365849589E-2</v>
      </c>
      <c r="D1144" s="25">
        <f t="shared" si="35"/>
        <v>0.1211329556868319</v>
      </c>
    </row>
    <row r="1145" spans="1:4">
      <c r="A1145" s="23" t="s">
        <v>403</v>
      </c>
      <c r="B1145" s="23">
        <v>3.3788755445641998</v>
      </c>
      <c r="C1145" s="23">
        <f t="shared" si="34"/>
        <v>-1.5353669702240058E-2</v>
      </c>
      <c r="D1145" s="25">
        <f t="shared" si="35"/>
        <v>0.12073350284002154</v>
      </c>
    </row>
    <row r="1146" spans="1:4">
      <c r="A1146" s="23" t="s">
        <v>402</v>
      </c>
      <c r="B1146" s="23">
        <v>3.3942292142664399</v>
      </c>
      <c r="C1146" s="23">
        <f t="shared" si="34"/>
        <v>-4.9546426682050004E-2</v>
      </c>
      <c r="D1146" s="25">
        <f t="shared" si="35"/>
        <v>0.1207215854090629</v>
      </c>
    </row>
    <row r="1147" spans="1:4">
      <c r="A1147" s="23" t="s">
        <v>401</v>
      </c>
      <c r="B1147" s="23">
        <v>3.4437756409484899</v>
      </c>
      <c r="C1147" s="23">
        <f t="shared" si="34"/>
        <v>4.5932095109659787E-2</v>
      </c>
      <c r="D1147" s="25">
        <f t="shared" si="35"/>
        <v>0.12083145730038754</v>
      </c>
    </row>
    <row r="1148" spans="1:4">
      <c r="A1148" s="23" t="s">
        <v>400</v>
      </c>
      <c r="B1148" s="23">
        <v>3.3978435458388301</v>
      </c>
      <c r="C1148" s="23">
        <f t="shared" si="34"/>
        <v>-3.7116659566959864E-2</v>
      </c>
      <c r="D1148" s="25">
        <f t="shared" si="35"/>
        <v>0.12071425225065277</v>
      </c>
    </row>
    <row r="1149" spans="1:4">
      <c r="A1149" s="23" t="s">
        <v>399</v>
      </c>
      <c r="B1149" s="23">
        <v>3.4349602054057899</v>
      </c>
      <c r="C1149" s="23">
        <f t="shared" si="34"/>
        <v>-6.2321953819389986E-2</v>
      </c>
      <c r="D1149" s="25">
        <f t="shared" si="35"/>
        <v>0.12088860313039371</v>
      </c>
    </row>
    <row r="1150" spans="1:4">
      <c r="A1150" s="23" t="s">
        <v>398</v>
      </c>
      <c r="B1150" s="23">
        <v>3.4972821592251799</v>
      </c>
      <c r="C1150" s="23">
        <f t="shared" si="34"/>
        <v>5.0262704199569797E-2</v>
      </c>
      <c r="D1150" s="25">
        <f t="shared" si="35"/>
        <v>0.12079085477105793</v>
      </c>
    </row>
    <row r="1151" spans="1:4">
      <c r="A1151" s="23" t="s">
        <v>397</v>
      </c>
      <c r="B1151" s="23">
        <v>3.4470194550256101</v>
      </c>
      <c r="C1151" s="23">
        <f t="shared" si="34"/>
        <v>7.3166295947350246E-2</v>
      </c>
      <c r="D1151" s="25">
        <f t="shared" si="35"/>
        <v>0.12110116275283524</v>
      </c>
    </row>
    <row r="1152" spans="1:4">
      <c r="A1152" s="23" t="s">
        <v>396</v>
      </c>
      <c r="B1152" s="23">
        <v>3.3738531590782599</v>
      </c>
      <c r="C1152" s="23">
        <f t="shared" si="34"/>
        <v>5.5771915203009836E-2</v>
      </c>
      <c r="D1152" s="25">
        <f t="shared" si="35"/>
        <v>0.12100040718611793</v>
      </c>
    </row>
    <row r="1153" spans="1:4">
      <c r="A1153" s="23" t="s">
        <v>395</v>
      </c>
      <c r="B1153" s="23">
        <v>3.3180812438752501</v>
      </c>
      <c r="C1153" s="23">
        <f t="shared" si="34"/>
        <v>2.5648911076590064E-2</v>
      </c>
      <c r="D1153" s="25">
        <f t="shared" si="35"/>
        <v>0.12076198580799041</v>
      </c>
    </row>
    <row r="1154" spans="1:4">
      <c r="A1154" s="23" t="s">
        <v>394</v>
      </c>
      <c r="B1154" s="23">
        <v>3.29243233279866</v>
      </c>
      <c r="C1154" s="23">
        <f t="shared" ref="C1154:C1217" si="36">B1154-B1155</f>
        <v>3.728233462241981E-2</v>
      </c>
      <c r="D1154" s="25">
        <f t="shared" ref="D1154:D1217" si="37">STDEV(C1154:C1213)</f>
        <v>0.1208320513887283</v>
      </c>
    </row>
    <row r="1155" spans="1:4">
      <c r="A1155" s="23" t="s">
        <v>393</v>
      </c>
      <c r="B1155" s="23">
        <v>3.2551499981762402</v>
      </c>
      <c r="C1155" s="23">
        <f t="shared" si="36"/>
        <v>-1.4710741209229994E-2</v>
      </c>
      <c r="D1155" s="25">
        <f t="shared" si="37"/>
        <v>0.12070407186762465</v>
      </c>
    </row>
    <row r="1156" spans="1:4">
      <c r="A1156" s="23" t="s">
        <v>392</v>
      </c>
      <c r="B1156" s="23">
        <v>3.2698607393854702</v>
      </c>
      <c r="C1156" s="23">
        <f t="shared" si="36"/>
        <v>-3.0078599931819827E-2</v>
      </c>
      <c r="D1156" s="25">
        <f t="shared" si="37"/>
        <v>0.12070276633611773</v>
      </c>
    </row>
    <row r="1157" spans="1:4">
      <c r="A1157" s="23" t="s">
        <v>391</v>
      </c>
      <c r="B1157" s="23">
        <v>3.29993933931729</v>
      </c>
      <c r="C1157" s="23">
        <f t="shared" si="36"/>
        <v>-7.5432047991479845E-2</v>
      </c>
      <c r="D1157" s="25">
        <f t="shared" si="37"/>
        <v>0.12083027051577314</v>
      </c>
    </row>
    <row r="1158" spans="1:4">
      <c r="A1158" s="23" t="s">
        <v>390</v>
      </c>
      <c r="B1158" s="23">
        <v>3.3753713873087698</v>
      </c>
      <c r="C1158" s="23">
        <f t="shared" si="36"/>
        <v>9.0447729696979895E-2</v>
      </c>
      <c r="D1158" s="25">
        <f t="shared" si="37"/>
        <v>0.12047850167557543</v>
      </c>
    </row>
    <row r="1159" spans="1:4">
      <c r="A1159" s="23" t="s">
        <v>389</v>
      </c>
      <c r="B1159" s="23">
        <v>3.2849236576117899</v>
      </c>
      <c r="C1159" s="23">
        <f t="shared" si="36"/>
        <v>2.305678367235986E-2</v>
      </c>
      <c r="D1159" s="25">
        <f t="shared" si="37"/>
        <v>0.12012735247156971</v>
      </c>
    </row>
    <row r="1160" spans="1:4">
      <c r="A1160" s="23" t="s">
        <v>388</v>
      </c>
      <c r="B1160" s="23">
        <v>3.2618668739394301</v>
      </c>
      <c r="C1160" s="23">
        <f t="shared" si="36"/>
        <v>-2.3818055111179959E-2</v>
      </c>
      <c r="D1160" s="25">
        <f t="shared" si="37"/>
        <v>0.1200833126959629</v>
      </c>
    </row>
    <row r="1161" spans="1:4">
      <c r="A1161" s="23" t="s">
        <v>387</v>
      </c>
      <c r="B1161" s="23">
        <v>3.28568492905061</v>
      </c>
      <c r="C1161" s="23">
        <f t="shared" si="36"/>
        <v>5.5225169251159834E-2</v>
      </c>
      <c r="D1161" s="25">
        <f t="shared" si="37"/>
        <v>0.12036378547591767</v>
      </c>
    </row>
    <row r="1162" spans="1:4">
      <c r="A1162" s="23" t="s">
        <v>386</v>
      </c>
      <c r="B1162" s="23">
        <v>3.2304597597994502</v>
      </c>
      <c r="C1162" s="23">
        <f t="shared" si="36"/>
        <v>6.8056334566000132E-3</v>
      </c>
      <c r="D1162" s="25">
        <f t="shared" si="37"/>
        <v>0.12010683776720561</v>
      </c>
    </row>
    <row r="1163" spans="1:4">
      <c r="A1163" s="23" t="s">
        <v>385</v>
      </c>
      <c r="B1163" s="23">
        <v>3.2236541263428502</v>
      </c>
      <c r="C1163" s="23">
        <f t="shared" si="36"/>
        <v>-3.9137418199119978E-2</v>
      </c>
      <c r="D1163" s="25">
        <f t="shared" si="37"/>
        <v>0.12055543515495831</v>
      </c>
    </row>
    <row r="1164" spans="1:4">
      <c r="A1164" s="23" t="s">
        <v>384</v>
      </c>
      <c r="B1164" s="23">
        <v>3.2627915445419702</v>
      </c>
      <c r="C1164" s="23">
        <f t="shared" si="36"/>
        <v>-7.379679516476978E-2</v>
      </c>
      <c r="D1164" s="25">
        <f t="shared" si="37"/>
        <v>0.12062716369384544</v>
      </c>
    </row>
    <row r="1165" spans="1:4">
      <c r="A1165" s="23" t="s">
        <v>383</v>
      </c>
      <c r="B1165" s="23">
        <v>3.33658833970674</v>
      </c>
      <c r="C1165" s="23">
        <f t="shared" si="36"/>
        <v>1.0133978161599444E-3</v>
      </c>
      <c r="D1165" s="25">
        <f t="shared" si="37"/>
        <v>0.12046661188517983</v>
      </c>
    </row>
    <row r="1166" spans="1:4">
      <c r="A1166" s="23" t="s">
        <v>382</v>
      </c>
      <c r="B1166" s="23">
        <v>3.33557494189058</v>
      </c>
      <c r="C1166" s="23">
        <f t="shared" si="36"/>
        <v>-5.3131830378029932E-2</v>
      </c>
      <c r="D1166" s="25">
        <f t="shared" si="37"/>
        <v>0.12046426699131732</v>
      </c>
    </row>
    <row r="1167" spans="1:4">
      <c r="A1167" s="23" t="s">
        <v>381</v>
      </c>
      <c r="B1167" s="23">
        <v>3.3887067722686099</v>
      </c>
      <c r="C1167" s="23">
        <f t="shared" si="36"/>
        <v>4.9542418715398107E-3</v>
      </c>
      <c r="D1167" s="25">
        <f t="shared" si="37"/>
        <v>0.120313902793607</v>
      </c>
    </row>
    <row r="1168" spans="1:4">
      <c r="A1168" s="23" t="s">
        <v>380</v>
      </c>
      <c r="B1168" s="23">
        <v>3.3837525303970701</v>
      </c>
      <c r="C1168" s="23">
        <f t="shared" si="36"/>
        <v>5.6934714807201914E-3</v>
      </c>
      <c r="D1168" s="25">
        <f t="shared" si="37"/>
        <v>0.12033091300475247</v>
      </c>
    </row>
    <row r="1169" spans="1:4">
      <c r="A1169" s="23" t="s">
        <v>379</v>
      </c>
      <c r="B1169" s="23">
        <v>3.3780590589163499</v>
      </c>
      <c r="C1169" s="23">
        <f t="shared" si="36"/>
        <v>6.5401573434530125E-2</v>
      </c>
      <c r="D1169" s="25">
        <f t="shared" si="37"/>
        <v>0.12064845809757405</v>
      </c>
    </row>
    <row r="1170" spans="1:4">
      <c r="A1170" s="23" t="s">
        <v>378</v>
      </c>
      <c r="B1170" s="23">
        <v>3.3126574854818198</v>
      </c>
      <c r="C1170" s="23">
        <f t="shared" si="36"/>
        <v>-4.1891269010730259E-2</v>
      </c>
      <c r="D1170" s="25">
        <f t="shared" si="37"/>
        <v>0.12070434301473321</v>
      </c>
    </row>
    <row r="1171" spans="1:4">
      <c r="A1171" s="23" t="s">
        <v>377</v>
      </c>
      <c r="B1171" s="23">
        <v>3.3545487544925501</v>
      </c>
      <c r="C1171" s="23">
        <f t="shared" si="36"/>
        <v>-9.3245739450679821E-2</v>
      </c>
      <c r="D1171" s="25">
        <f t="shared" si="37"/>
        <v>0.12067546454075664</v>
      </c>
    </row>
    <row r="1172" spans="1:4">
      <c r="A1172" s="23" t="s">
        <v>376</v>
      </c>
      <c r="B1172" s="23">
        <v>3.4477944939432299</v>
      </c>
      <c r="C1172" s="23">
        <f t="shared" si="36"/>
        <v>6.653726145624006E-2</v>
      </c>
      <c r="D1172" s="25">
        <f t="shared" si="37"/>
        <v>0.12017547357502509</v>
      </c>
    </row>
    <row r="1173" spans="1:4">
      <c r="A1173" s="23" t="s">
        <v>375</v>
      </c>
      <c r="B1173" s="23">
        <v>3.3812572324869898</v>
      </c>
      <c r="C1173" s="23">
        <f t="shared" si="36"/>
        <v>3.2641820351029693E-2</v>
      </c>
      <c r="D1173" s="25">
        <f t="shared" si="37"/>
        <v>0.11981367378362734</v>
      </c>
    </row>
    <row r="1174" spans="1:4">
      <c r="A1174" s="23" t="s">
        <v>374</v>
      </c>
      <c r="B1174" s="23">
        <v>3.3486154121359601</v>
      </c>
      <c r="C1174" s="23">
        <f t="shared" si="36"/>
        <v>-3.3077388911489702E-2</v>
      </c>
      <c r="D1174" s="25">
        <f t="shared" si="37"/>
        <v>0.11976973339113509</v>
      </c>
    </row>
    <row r="1175" spans="1:4">
      <c r="A1175" s="23" t="s">
        <v>373</v>
      </c>
      <c r="B1175" s="23">
        <v>3.3816928010474498</v>
      </c>
      <c r="C1175" s="23">
        <f t="shared" si="36"/>
        <v>-0.12559746682661022</v>
      </c>
      <c r="D1175" s="25">
        <f t="shared" si="37"/>
        <v>0.12036771770057181</v>
      </c>
    </row>
    <row r="1176" spans="1:4">
      <c r="A1176" s="23" t="s">
        <v>372</v>
      </c>
      <c r="B1176" s="23">
        <v>3.5072902678740601</v>
      </c>
      <c r="C1176" s="23">
        <f t="shared" si="36"/>
        <v>-7.3926826017570058E-2</v>
      </c>
      <c r="D1176" s="25">
        <f t="shared" si="37"/>
        <v>0.11947242693061312</v>
      </c>
    </row>
    <row r="1177" spans="1:4">
      <c r="A1177" s="23" t="s">
        <v>371</v>
      </c>
      <c r="B1177" s="23">
        <v>3.5812170938916301</v>
      </c>
      <c r="C1177" s="23">
        <f t="shared" si="36"/>
        <v>3.5960586399500283E-2</v>
      </c>
      <c r="D1177" s="25">
        <f t="shared" si="37"/>
        <v>0.11962387492019357</v>
      </c>
    </row>
    <row r="1178" spans="1:4">
      <c r="A1178" s="23" t="s">
        <v>370</v>
      </c>
      <c r="B1178" s="23">
        <v>3.5452565074921298</v>
      </c>
      <c r="C1178" s="23">
        <f t="shared" si="36"/>
        <v>4.5266786098259626E-2</v>
      </c>
      <c r="D1178" s="25">
        <f t="shared" si="37"/>
        <v>0.11961473231171549</v>
      </c>
    </row>
    <row r="1179" spans="1:4">
      <c r="A1179" s="23" t="s">
        <v>369</v>
      </c>
      <c r="B1179" s="23">
        <v>3.4999897213938702</v>
      </c>
      <c r="C1179" s="23">
        <f t="shared" si="36"/>
        <v>7.5949960506620062E-2</v>
      </c>
      <c r="D1179" s="25">
        <f t="shared" si="37"/>
        <v>0.11980800248960911</v>
      </c>
    </row>
    <row r="1180" spans="1:4">
      <c r="A1180" s="23" t="s">
        <v>368</v>
      </c>
      <c r="B1180" s="23">
        <v>3.4240397608872502</v>
      </c>
      <c r="C1180" s="23">
        <f t="shared" si="36"/>
        <v>-5.8617306291399718E-2</v>
      </c>
      <c r="D1180" s="25">
        <f t="shared" si="37"/>
        <v>0.11930785345669741</v>
      </c>
    </row>
    <row r="1181" spans="1:4">
      <c r="A1181" s="23" t="s">
        <v>367</v>
      </c>
      <c r="B1181" s="23">
        <v>3.4826570671786499</v>
      </c>
      <c r="C1181" s="23">
        <f t="shared" si="36"/>
        <v>-9.9759665905279959E-2</v>
      </c>
      <c r="D1181" s="25">
        <f t="shared" si="37"/>
        <v>0.11913838261490488</v>
      </c>
    </row>
    <row r="1182" spans="1:4">
      <c r="A1182" s="23" t="s">
        <v>366</v>
      </c>
      <c r="B1182" s="23">
        <v>3.5824167330839298</v>
      </c>
      <c r="C1182" s="23">
        <f t="shared" si="36"/>
        <v>0.30818254192426986</v>
      </c>
      <c r="D1182" s="25">
        <f t="shared" si="37"/>
        <v>0.1189797234091803</v>
      </c>
    </row>
    <row r="1183" spans="1:4">
      <c r="A1183" s="23" t="s">
        <v>365</v>
      </c>
      <c r="B1183" s="23">
        <v>3.27423419115966</v>
      </c>
      <c r="C1183" s="23">
        <f t="shared" si="36"/>
        <v>0.39876195200228004</v>
      </c>
      <c r="D1183" s="25">
        <f t="shared" si="37"/>
        <v>0.11151374830872772</v>
      </c>
    </row>
    <row r="1184" spans="1:4">
      <c r="A1184" s="23" t="s">
        <v>364</v>
      </c>
      <c r="B1184" s="23">
        <v>2.8754722391573799</v>
      </c>
      <c r="C1184" s="23">
        <f t="shared" si="36"/>
        <v>-4.2371569632320139E-2</v>
      </c>
      <c r="D1184" s="25">
        <f t="shared" si="37"/>
        <v>9.7785933081708395E-2</v>
      </c>
    </row>
    <row r="1185" spans="1:4">
      <c r="A1185" s="23" t="s">
        <v>363</v>
      </c>
      <c r="B1185" s="23">
        <v>2.9178438087897001</v>
      </c>
      <c r="C1185" s="23">
        <f t="shared" si="36"/>
        <v>-0.56810295439726</v>
      </c>
      <c r="D1185" s="25">
        <f t="shared" si="37"/>
        <v>9.7848608310761032E-2</v>
      </c>
    </row>
    <row r="1186" spans="1:4">
      <c r="A1186" s="23" t="s">
        <v>362</v>
      </c>
      <c r="B1186" s="23">
        <v>3.4859467631869601</v>
      </c>
      <c r="C1186" s="23">
        <f t="shared" si="36"/>
        <v>9.6895731909889982E-2</v>
      </c>
      <c r="D1186" s="25">
        <f t="shared" si="37"/>
        <v>6.6789080759348224E-2</v>
      </c>
    </row>
    <row r="1187" spans="1:4">
      <c r="A1187" s="23" t="s">
        <v>361</v>
      </c>
      <c r="B1187" s="23">
        <v>3.3890510312770701</v>
      </c>
      <c r="C1187" s="23">
        <f t="shared" si="36"/>
        <v>6.4237312029030047E-2</v>
      </c>
      <c r="D1187" s="25">
        <f t="shared" si="37"/>
        <v>6.7235879577582064E-2</v>
      </c>
    </row>
    <row r="1188" spans="1:4">
      <c r="A1188" s="23" t="s">
        <v>360</v>
      </c>
      <c r="B1188" s="23">
        <v>3.32481371924804</v>
      </c>
      <c r="C1188" s="23">
        <f t="shared" si="36"/>
        <v>0.10889990061397992</v>
      </c>
      <c r="D1188" s="25">
        <f t="shared" si="37"/>
        <v>6.6528576569081982E-2</v>
      </c>
    </row>
    <row r="1189" spans="1:4">
      <c r="A1189" s="23" t="s">
        <v>359</v>
      </c>
      <c r="B1189" s="23">
        <v>3.2159138186340601</v>
      </c>
      <c r="C1189" s="23">
        <f t="shared" si="36"/>
        <v>-0.13506748615813002</v>
      </c>
      <c r="D1189" s="25">
        <f t="shared" si="37"/>
        <v>6.4679888659264051E-2</v>
      </c>
    </row>
    <row r="1190" spans="1:4">
      <c r="A1190" s="23" t="s">
        <v>358</v>
      </c>
      <c r="B1190" s="23">
        <v>3.3509813047921901</v>
      </c>
      <c r="C1190" s="23">
        <f t="shared" si="36"/>
        <v>-0.12265630166603003</v>
      </c>
      <c r="D1190" s="25">
        <f t="shared" si="37"/>
        <v>6.2686999119593093E-2</v>
      </c>
    </row>
    <row r="1191" spans="1:4">
      <c r="A1191" s="23" t="s">
        <v>357</v>
      </c>
      <c r="B1191" s="23">
        <v>3.4736376064582202</v>
      </c>
      <c r="C1191" s="23">
        <f t="shared" si="36"/>
        <v>0.15879642024852014</v>
      </c>
      <c r="D1191" s="25">
        <f t="shared" si="37"/>
        <v>6.356803207197291E-2</v>
      </c>
    </row>
    <row r="1192" spans="1:4">
      <c r="A1192" s="23" t="s">
        <v>356</v>
      </c>
      <c r="B1192" s="23">
        <v>3.3148411862097</v>
      </c>
      <c r="C1192" s="23">
        <f t="shared" si="36"/>
        <v>-6.2725609920649905E-2</v>
      </c>
      <c r="D1192" s="25">
        <f t="shared" si="37"/>
        <v>5.9579214306689103E-2</v>
      </c>
    </row>
    <row r="1193" spans="1:4">
      <c r="A1193" s="23" t="s">
        <v>355</v>
      </c>
      <c r="B1193" s="23">
        <v>3.3775667961303499</v>
      </c>
      <c r="C1193" s="23">
        <f t="shared" si="36"/>
        <v>1.2741104206259735E-2</v>
      </c>
      <c r="D1193" s="25">
        <f t="shared" si="37"/>
        <v>5.9455115990905229E-2</v>
      </c>
    </row>
    <row r="1194" spans="1:4">
      <c r="A1194" s="23" t="s">
        <v>354</v>
      </c>
      <c r="B1194" s="23">
        <v>3.3648256919240902</v>
      </c>
      <c r="C1194" s="23">
        <f t="shared" si="36"/>
        <v>-6.3364373798519669E-2</v>
      </c>
      <c r="D1194" s="25">
        <f t="shared" si="37"/>
        <v>5.9372901531694028E-2</v>
      </c>
    </row>
    <row r="1195" spans="1:4">
      <c r="A1195" s="23" t="s">
        <v>353</v>
      </c>
      <c r="B1195" s="23">
        <v>3.4281900657226099</v>
      </c>
      <c r="C1195" s="23">
        <f t="shared" si="36"/>
        <v>2.2557834266696553E-3</v>
      </c>
      <c r="D1195" s="25">
        <f t="shared" si="37"/>
        <v>5.9035932608190039E-2</v>
      </c>
    </row>
    <row r="1196" spans="1:4">
      <c r="A1196" s="23" t="s">
        <v>352</v>
      </c>
      <c r="B1196" s="23">
        <v>3.4259342822959402</v>
      </c>
      <c r="C1196" s="23">
        <f t="shared" si="36"/>
        <v>0.11128021795526033</v>
      </c>
      <c r="D1196" s="25">
        <f t="shared" si="37"/>
        <v>6.0675110431743021E-2</v>
      </c>
    </row>
    <row r="1197" spans="1:4">
      <c r="A1197" s="23" t="s">
        <v>351</v>
      </c>
      <c r="B1197" s="23">
        <v>3.3146540643406799</v>
      </c>
      <c r="C1197" s="23">
        <f t="shared" si="36"/>
        <v>-0.13665180135569033</v>
      </c>
      <c r="D1197" s="25">
        <f t="shared" si="37"/>
        <v>5.8737604575362812E-2</v>
      </c>
    </row>
    <row r="1198" spans="1:4">
      <c r="A1198" s="23" t="s">
        <v>350</v>
      </c>
      <c r="B1198" s="23">
        <v>3.4513058656963702</v>
      </c>
      <c r="C1198" s="23">
        <f t="shared" si="36"/>
        <v>4.856596755615028E-2</v>
      </c>
      <c r="D1198" s="25">
        <f t="shared" si="37"/>
        <v>5.6725534551352055E-2</v>
      </c>
    </row>
    <row r="1199" spans="1:4">
      <c r="A1199" s="23" t="s">
        <v>349</v>
      </c>
      <c r="B1199" s="23">
        <v>3.4027398981402199</v>
      </c>
      <c r="C1199" s="23">
        <f t="shared" si="36"/>
        <v>9.2982123707679776E-2</v>
      </c>
      <c r="D1199" s="25">
        <f t="shared" si="37"/>
        <v>5.7175519843071954E-2</v>
      </c>
    </row>
    <row r="1200" spans="1:4">
      <c r="A1200" s="23" t="s">
        <v>348</v>
      </c>
      <c r="B1200" s="23">
        <v>3.3097577744325402</v>
      </c>
      <c r="C1200" s="23">
        <f t="shared" si="36"/>
        <v>-8.0213465545059925E-2</v>
      </c>
      <c r="D1200" s="25">
        <f t="shared" si="37"/>
        <v>5.5535150315351306E-2</v>
      </c>
    </row>
    <row r="1201" spans="1:4">
      <c r="A1201" s="23" t="s">
        <v>347</v>
      </c>
      <c r="B1201" s="23">
        <v>3.3899712399776001</v>
      </c>
      <c r="C1201" s="23">
        <f t="shared" si="36"/>
        <v>-6.4756160767169835E-2</v>
      </c>
      <c r="D1201" s="25">
        <f t="shared" si="37"/>
        <v>5.5295712835471279E-2</v>
      </c>
    </row>
    <row r="1202" spans="1:4">
      <c r="A1202" s="23" t="s">
        <v>346</v>
      </c>
      <c r="B1202" s="23">
        <v>3.4547274007447699</v>
      </c>
      <c r="C1202" s="23">
        <f t="shared" si="36"/>
        <v>9.617753040495991E-2</v>
      </c>
      <c r="D1202" s="25">
        <f t="shared" si="37"/>
        <v>5.4866130460417134E-2</v>
      </c>
    </row>
    <row r="1203" spans="1:4">
      <c r="A1203" s="23" t="s">
        <v>345</v>
      </c>
      <c r="B1203" s="23">
        <v>3.35854987033981</v>
      </c>
      <c r="C1203" s="23">
        <f t="shared" si="36"/>
        <v>-9.5747163912649924E-2</v>
      </c>
      <c r="D1203" s="25">
        <f t="shared" si="37"/>
        <v>5.3273962596926225E-2</v>
      </c>
    </row>
    <row r="1204" spans="1:4">
      <c r="A1204" s="23" t="s">
        <v>344</v>
      </c>
      <c r="B1204" s="23">
        <v>3.4542970342524599</v>
      </c>
      <c r="C1204" s="23">
        <f t="shared" si="36"/>
        <v>-3.7507450613730065E-2</v>
      </c>
      <c r="D1204" s="25">
        <f t="shared" si="37"/>
        <v>5.2196507521282395E-2</v>
      </c>
    </row>
    <row r="1205" spans="1:4">
      <c r="A1205" s="23" t="s">
        <v>343</v>
      </c>
      <c r="B1205" s="23">
        <v>3.49180448486619</v>
      </c>
      <c r="C1205" s="23">
        <f t="shared" si="36"/>
        <v>2.2236129677999372E-3</v>
      </c>
      <c r="D1205" s="25">
        <f t="shared" si="37"/>
        <v>5.3074926457561233E-2</v>
      </c>
    </row>
    <row r="1206" spans="1:4">
      <c r="A1206" s="23" t="s">
        <v>342</v>
      </c>
      <c r="B1206" s="23">
        <v>3.4895808718983901</v>
      </c>
      <c r="C1206" s="23">
        <f t="shared" si="36"/>
        <v>-6.3791538959229843E-2</v>
      </c>
      <c r="D1206" s="25">
        <f t="shared" si="37"/>
        <v>5.3038062854160198E-2</v>
      </c>
    </row>
    <row r="1207" spans="1:4">
      <c r="A1207" s="23" t="s">
        <v>341</v>
      </c>
      <c r="B1207" s="23">
        <v>3.5533724108576199</v>
      </c>
      <c r="C1207" s="23">
        <f t="shared" si="36"/>
        <v>-2.8331320502560153E-2</v>
      </c>
      <c r="D1207" s="25">
        <f t="shared" si="37"/>
        <v>5.2679643768984839E-2</v>
      </c>
    </row>
    <row r="1208" spans="1:4">
      <c r="A1208" s="23" t="s">
        <v>340</v>
      </c>
      <c r="B1208" s="23">
        <v>3.5817037313601801</v>
      </c>
      <c r="C1208" s="23">
        <f t="shared" si="36"/>
        <v>5.8558879521540153E-2</v>
      </c>
      <c r="D1208" s="25">
        <f t="shared" si="37"/>
        <v>5.266524959565333E-2</v>
      </c>
    </row>
    <row r="1209" spans="1:4">
      <c r="A1209" s="23" t="s">
        <v>339</v>
      </c>
      <c r="B1209" s="23">
        <v>3.5231448518386399</v>
      </c>
      <c r="C1209" s="23">
        <f t="shared" si="36"/>
        <v>-4.9552036214000061E-2</v>
      </c>
      <c r="D1209" s="25">
        <f t="shared" si="37"/>
        <v>5.2549173079714281E-2</v>
      </c>
    </row>
    <row r="1210" spans="1:4">
      <c r="A1210" s="23" t="s">
        <v>338</v>
      </c>
      <c r="B1210" s="23">
        <v>3.57269688805264</v>
      </c>
      <c r="C1210" s="23">
        <f t="shared" si="36"/>
        <v>8.3008995932010166E-2</v>
      </c>
      <c r="D1210" s="25">
        <f t="shared" si="37"/>
        <v>5.2677735062483341E-2</v>
      </c>
    </row>
    <row r="1211" spans="1:4">
      <c r="A1211" s="23" t="s">
        <v>337</v>
      </c>
      <c r="B1211" s="23">
        <v>3.4896878921206298</v>
      </c>
      <c r="C1211" s="23">
        <f t="shared" si="36"/>
        <v>-6.6622958913780117E-2</v>
      </c>
      <c r="D1211" s="25">
        <f t="shared" si="37"/>
        <v>5.2824285415072385E-2</v>
      </c>
    </row>
    <row r="1212" spans="1:4">
      <c r="A1212" s="23" t="s">
        <v>336</v>
      </c>
      <c r="B1212" s="23">
        <v>3.5563108510344099</v>
      </c>
      <c r="C1212" s="23">
        <f t="shared" si="36"/>
        <v>-1.4933727529120144E-2</v>
      </c>
      <c r="D1212" s="25">
        <f t="shared" si="37"/>
        <v>5.2535584887463287E-2</v>
      </c>
    </row>
    <row r="1213" spans="1:4">
      <c r="A1213" s="23" t="s">
        <v>335</v>
      </c>
      <c r="B1213" s="23">
        <v>3.5712445785635301</v>
      </c>
      <c r="C1213" s="23">
        <f t="shared" si="36"/>
        <v>-4.8751287608209903E-2</v>
      </c>
      <c r="D1213" s="25">
        <f t="shared" si="37"/>
        <v>5.2774479579290358E-2</v>
      </c>
    </row>
    <row r="1214" spans="1:4">
      <c r="A1214" s="23" t="s">
        <v>334</v>
      </c>
      <c r="B1214" s="23">
        <v>3.61999586617174</v>
      </c>
      <c r="C1214" s="23">
        <f t="shared" si="36"/>
        <v>-3.0108455138000423E-4</v>
      </c>
      <c r="D1214" s="25">
        <f t="shared" si="37"/>
        <v>5.3077440882822305E-2</v>
      </c>
    </row>
    <row r="1215" spans="1:4">
      <c r="A1215" s="23" t="s">
        <v>333</v>
      </c>
      <c r="B1215" s="23">
        <v>3.62029695072312</v>
      </c>
      <c r="C1215" s="23">
        <f t="shared" si="36"/>
        <v>1.6776940685101494E-3</v>
      </c>
      <c r="D1215" s="25">
        <f t="shared" si="37"/>
        <v>5.3111035920935259E-2</v>
      </c>
    </row>
    <row r="1216" spans="1:4">
      <c r="A1216" s="23" t="s">
        <v>332</v>
      </c>
      <c r="B1216" s="23">
        <v>3.6186192566546098</v>
      </c>
      <c r="C1216" s="23">
        <f t="shared" si="36"/>
        <v>4.4164306404369746E-2</v>
      </c>
      <c r="D1216" s="25">
        <f t="shared" si="37"/>
        <v>5.3201412336903876E-2</v>
      </c>
    </row>
    <row r="1217" spans="1:4">
      <c r="A1217" s="23" t="s">
        <v>331</v>
      </c>
      <c r="B1217" s="23">
        <v>3.5744549502502401</v>
      </c>
      <c r="C1217" s="23">
        <f t="shared" si="36"/>
        <v>6.5868751952802285E-3</v>
      </c>
      <c r="D1217" s="25">
        <f t="shared" si="37"/>
        <v>5.3430720651039043E-2</v>
      </c>
    </row>
    <row r="1218" spans="1:4">
      <c r="A1218" s="23" t="s">
        <v>330</v>
      </c>
      <c r="B1218" s="23">
        <v>3.5678680750549598</v>
      </c>
      <c r="C1218" s="23">
        <f t="shared" ref="C1218:C1281" si="38">B1218-B1219</f>
        <v>-6.8056964100680073E-2</v>
      </c>
      <c r="D1218" s="25">
        <f t="shared" ref="D1218:D1281" si="39">STDEV(C1218:C1277)</f>
        <v>5.3976717041093032E-2</v>
      </c>
    </row>
    <row r="1219" spans="1:4">
      <c r="A1219" s="23" t="s">
        <v>329</v>
      </c>
      <c r="B1219" s="23">
        <v>3.6359250391556399</v>
      </c>
      <c r="C1219" s="23">
        <f t="shared" si="38"/>
        <v>-2.1487233816010143E-2</v>
      </c>
      <c r="D1219" s="25">
        <f t="shared" si="39"/>
        <v>5.3534404315799554E-2</v>
      </c>
    </row>
    <row r="1220" spans="1:4">
      <c r="A1220" s="23" t="s">
        <v>328</v>
      </c>
      <c r="B1220" s="23">
        <v>3.6574122729716501</v>
      </c>
      <c r="C1220" s="23">
        <f t="shared" si="38"/>
        <v>5.9678305710519908E-2</v>
      </c>
      <c r="D1220" s="25">
        <f t="shared" si="39"/>
        <v>5.3740260569162354E-2</v>
      </c>
    </row>
    <row r="1221" spans="1:4">
      <c r="A1221" s="23" t="s">
        <v>327</v>
      </c>
      <c r="B1221" s="23">
        <v>3.5977339672611302</v>
      </c>
      <c r="C1221" s="23">
        <f t="shared" si="38"/>
        <v>-1.4520715034339826E-2</v>
      </c>
      <c r="D1221" s="25">
        <f t="shared" si="39"/>
        <v>5.3433102954154058E-2</v>
      </c>
    </row>
    <row r="1222" spans="1:4">
      <c r="A1222" s="23" t="s">
        <v>326</v>
      </c>
      <c r="B1222" s="23">
        <v>3.61225468229547</v>
      </c>
      <c r="C1222" s="23">
        <f t="shared" si="38"/>
        <v>-8.817674314988988E-2</v>
      </c>
      <c r="D1222" s="25">
        <f t="shared" si="39"/>
        <v>5.3565285466196266E-2</v>
      </c>
    </row>
    <row r="1223" spans="1:4">
      <c r="A1223" s="23" t="s">
        <v>325</v>
      </c>
      <c r="B1223" s="23">
        <v>3.7004314254453599</v>
      </c>
      <c r="C1223" s="23">
        <f t="shared" si="38"/>
        <v>-5.2629634560739991E-2</v>
      </c>
      <c r="D1223" s="25">
        <f t="shared" si="39"/>
        <v>5.2743540545686113E-2</v>
      </c>
    </row>
    <row r="1224" spans="1:4">
      <c r="A1224" s="23" t="s">
        <v>324</v>
      </c>
      <c r="B1224" s="23">
        <v>3.7530610600060998</v>
      </c>
      <c r="C1224" s="23">
        <f t="shared" si="38"/>
        <v>3.9108981208179738E-2</v>
      </c>
      <c r="D1224" s="25">
        <f t="shared" si="39"/>
        <v>5.2972927436567049E-2</v>
      </c>
    </row>
    <row r="1225" spans="1:4">
      <c r="A1225" s="23" t="s">
        <v>323</v>
      </c>
      <c r="B1225" s="23">
        <v>3.7139520787979201</v>
      </c>
      <c r="C1225" s="23">
        <f t="shared" si="38"/>
        <v>-1.802695037109725E-3</v>
      </c>
      <c r="D1225" s="25">
        <f t="shared" si="39"/>
        <v>5.2892363569385571E-2</v>
      </c>
    </row>
    <row r="1226" spans="1:4">
      <c r="A1226" s="23" t="s">
        <v>322</v>
      </c>
      <c r="B1226" s="23">
        <v>3.7157547738350298</v>
      </c>
      <c r="C1226" s="23">
        <f t="shared" si="38"/>
        <v>4.0700361826999654E-3</v>
      </c>
      <c r="D1226" s="25">
        <f t="shared" si="39"/>
        <v>5.2877563053372191E-2</v>
      </c>
    </row>
    <row r="1227" spans="1:4">
      <c r="A1227" s="23" t="s">
        <v>321</v>
      </c>
      <c r="B1227" s="23">
        <v>3.7116847376523299</v>
      </c>
      <c r="C1227" s="23">
        <f t="shared" si="38"/>
        <v>1.3312863379239648E-2</v>
      </c>
      <c r="D1227" s="25">
        <f t="shared" si="39"/>
        <v>5.3454370566073148E-2</v>
      </c>
    </row>
    <row r="1228" spans="1:4">
      <c r="A1228" s="23" t="s">
        <v>320</v>
      </c>
      <c r="B1228" s="23">
        <v>3.6983718742730902</v>
      </c>
      <c r="C1228" s="23">
        <f t="shared" si="38"/>
        <v>6.3236965635400377E-2</v>
      </c>
      <c r="D1228" s="25">
        <f t="shared" si="39"/>
        <v>5.3371613542405646E-2</v>
      </c>
    </row>
    <row r="1229" spans="1:4">
      <c r="A1229" s="23" t="s">
        <v>319</v>
      </c>
      <c r="B1229" s="23">
        <v>3.6351349086376898</v>
      </c>
      <c r="C1229" s="23">
        <f t="shared" si="38"/>
        <v>-8.1829663538889985E-2</v>
      </c>
      <c r="D1229" s="25">
        <f t="shared" si="39"/>
        <v>5.3137167174321556E-2</v>
      </c>
    </row>
    <row r="1230" spans="1:4">
      <c r="A1230" s="23" t="s">
        <v>318</v>
      </c>
      <c r="B1230" s="23">
        <v>3.7169645721765798</v>
      </c>
      <c r="C1230" s="23">
        <f t="shared" si="38"/>
        <v>2.3178402264089737E-2</v>
      </c>
      <c r="D1230" s="25">
        <f t="shared" si="39"/>
        <v>5.2410219669918288E-2</v>
      </c>
    </row>
    <row r="1231" spans="1:4">
      <c r="A1231" s="23" t="s">
        <v>317</v>
      </c>
      <c r="B1231" s="23">
        <v>3.6937861699124901</v>
      </c>
      <c r="C1231" s="23">
        <f t="shared" si="38"/>
        <v>-3.0800262749020035E-2</v>
      </c>
      <c r="D1231" s="25">
        <f t="shared" si="39"/>
        <v>5.2382444783686463E-2</v>
      </c>
    </row>
    <row r="1232" spans="1:4">
      <c r="A1232" s="23" t="s">
        <v>316</v>
      </c>
      <c r="B1232" s="23">
        <v>3.7245864326615101</v>
      </c>
      <c r="C1232" s="23">
        <f t="shared" si="38"/>
        <v>-7.429910534000328E-4</v>
      </c>
      <c r="D1232" s="25">
        <f t="shared" si="39"/>
        <v>5.3667628912540365E-2</v>
      </c>
    </row>
    <row r="1233" spans="1:4">
      <c r="A1233" s="23" t="s">
        <v>315</v>
      </c>
      <c r="B1233" s="23">
        <v>3.7253294237149102</v>
      </c>
      <c r="C1233" s="23">
        <f t="shared" si="38"/>
        <v>-3.6242110743459843E-2</v>
      </c>
      <c r="D1233" s="25">
        <f t="shared" si="39"/>
        <v>5.3694503539190024E-2</v>
      </c>
    </row>
    <row r="1234" spans="1:4">
      <c r="A1234" s="23" t="s">
        <v>314</v>
      </c>
      <c r="B1234" s="23">
        <v>3.76157153445837</v>
      </c>
      <c r="C1234" s="23">
        <f t="shared" si="38"/>
        <v>-0.10300740400621988</v>
      </c>
      <c r="D1234" s="25">
        <f t="shared" si="39"/>
        <v>5.6404386943641006E-2</v>
      </c>
    </row>
    <row r="1235" spans="1:4">
      <c r="A1235" s="23" t="s">
        <v>313</v>
      </c>
      <c r="B1235" s="23">
        <v>3.8645789384645899</v>
      </c>
      <c r="C1235" s="23">
        <f t="shared" si="38"/>
        <v>-4.3560731107920247E-2</v>
      </c>
      <c r="D1235" s="25">
        <f t="shared" si="39"/>
        <v>5.5762897225458311E-2</v>
      </c>
    </row>
    <row r="1236" spans="1:4">
      <c r="A1236" s="23" t="s">
        <v>312</v>
      </c>
      <c r="B1236" s="23">
        <v>3.9081396695725101</v>
      </c>
      <c r="C1236" s="23">
        <f t="shared" si="38"/>
        <v>7.7219148221590039E-2</v>
      </c>
      <c r="D1236" s="25">
        <f t="shared" si="39"/>
        <v>5.5677988720043196E-2</v>
      </c>
    </row>
    <row r="1237" spans="1:4">
      <c r="A1237" s="23" t="s">
        <v>311</v>
      </c>
      <c r="B1237" s="23">
        <v>3.8309205213509201</v>
      </c>
      <c r="C1237" s="23">
        <f t="shared" si="38"/>
        <v>-4.4002914832889761E-2</v>
      </c>
      <c r="D1237" s="25">
        <f t="shared" si="39"/>
        <v>5.4762480093855037E-2</v>
      </c>
    </row>
    <row r="1238" spans="1:4">
      <c r="A1238" s="23" t="s">
        <v>310</v>
      </c>
      <c r="B1238" s="23">
        <v>3.8749234361838099</v>
      </c>
      <c r="C1238" s="23">
        <f t="shared" si="38"/>
        <v>-8.0119200710360161E-2</v>
      </c>
      <c r="D1238" s="25">
        <f t="shared" si="39"/>
        <v>5.4608710995491798E-2</v>
      </c>
    </row>
    <row r="1239" spans="1:4">
      <c r="A1239" s="23" t="s">
        <v>309</v>
      </c>
      <c r="B1239" s="23">
        <v>3.95504263689417</v>
      </c>
      <c r="C1239" s="23">
        <f t="shared" si="38"/>
        <v>-1.539459530336984E-2</v>
      </c>
      <c r="D1239" s="25">
        <f t="shared" si="39"/>
        <v>5.4140212330181181E-2</v>
      </c>
    </row>
    <row r="1240" spans="1:4">
      <c r="A1240" s="23" t="s">
        <v>308</v>
      </c>
      <c r="B1240" s="23">
        <v>3.9704372321975399</v>
      </c>
      <c r="C1240" s="23">
        <f t="shared" si="38"/>
        <v>2.2456703136097822E-3</v>
      </c>
      <c r="D1240" s="25">
        <f t="shared" si="39"/>
        <v>5.4924187737235591E-2</v>
      </c>
    </row>
    <row r="1241" spans="1:4">
      <c r="A1241" s="23" t="s">
        <v>307</v>
      </c>
      <c r="B1241" s="23">
        <v>3.9681915618839301</v>
      </c>
      <c r="C1241" s="23">
        <f t="shared" si="38"/>
        <v>-8.6684657257360076E-2</v>
      </c>
      <c r="D1241" s="25">
        <f t="shared" si="39"/>
        <v>5.7315359075628541E-2</v>
      </c>
    </row>
    <row r="1242" spans="1:4">
      <c r="A1242" s="23" t="s">
        <v>306</v>
      </c>
      <c r="B1242" s="23">
        <v>4.0548762191412902</v>
      </c>
      <c r="C1242" s="23">
        <f t="shared" si="38"/>
        <v>-2.0667324451779656E-2</v>
      </c>
      <c r="D1242" s="25">
        <f t="shared" si="39"/>
        <v>5.6335632106252059E-2</v>
      </c>
    </row>
    <row r="1243" spans="1:4">
      <c r="A1243" s="23" t="s">
        <v>305</v>
      </c>
      <c r="B1243" s="23">
        <v>4.0755435435930698</v>
      </c>
      <c r="C1243" s="23">
        <f t="shared" si="38"/>
        <v>3.6694583584520046E-2</v>
      </c>
      <c r="D1243" s="25">
        <f t="shared" si="39"/>
        <v>5.638968414531538E-2</v>
      </c>
    </row>
    <row r="1244" spans="1:4">
      <c r="A1244" s="23" t="s">
        <v>304</v>
      </c>
      <c r="B1244" s="23">
        <v>4.0388489600085498</v>
      </c>
      <c r="C1244" s="23">
        <f t="shared" si="38"/>
        <v>1.6803719298069453E-2</v>
      </c>
      <c r="D1244" s="25">
        <f t="shared" si="39"/>
        <v>5.6251182754651567E-2</v>
      </c>
    </row>
    <row r="1245" spans="1:4">
      <c r="A1245" s="23" t="s">
        <v>303</v>
      </c>
      <c r="B1245" s="23">
        <v>4.0220452407104803</v>
      </c>
      <c r="C1245" s="23">
        <f t="shared" si="38"/>
        <v>-8.4487748289379994E-2</v>
      </c>
      <c r="D1245" s="25">
        <f t="shared" si="39"/>
        <v>5.6436197998555655E-2</v>
      </c>
    </row>
    <row r="1246" spans="1:4">
      <c r="A1246" s="23" t="s">
        <v>302</v>
      </c>
      <c r="B1246" s="23">
        <v>4.1065329889998603</v>
      </c>
      <c r="C1246" s="23">
        <f t="shared" si="38"/>
        <v>0.11228300868545027</v>
      </c>
      <c r="D1246" s="25">
        <f t="shared" si="39"/>
        <v>5.5497948717245685E-2</v>
      </c>
    </row>
    <row r="1247" spans="1:4">
      <c r="A1247" s="23" t="s">
        <v>301</v>
      </c>
      <c r="B1247" s="23">
        <v>3.99424998031441</v>
      </c>
      <c r="C1247" s="23">
        <f t="shared" si="38"/>
        <v>-5.3318982970598228E-3</v>
      </c>
      <c r="D1247" s="25">
        <f t="shared" si="39"/>
        <v>5.3419703107840798E-2</v>
      </c>
    </row>
    <row r="1248" spans="1:4">
      <c r="A1248" s="23" t="s">
        <v>300</v>
      </c>
      <c r="B1248" s="23">
        <v>3.9995818786114699</v>
      </c>
      <c r="C1248" s="23">
        <f t="shared" si="38"/>
        <v>-3.2640483018649746E-2</v>
      </c>
      <c r="D1248" s="25">
        <f t="shared" si="39"/>
        <v>5.3419926200626557E-2</v>
      </c>
    </row>
    <row r="1249" spans="1:4">
      <c r="A1249" s="23" t="s">
        <v>299</v>
      </c>
      <c r="B1249" s="23">
        <v>4.0322223616301196</v>
      </c>
      <c r="C1249" s="23">
        <f t="shared" si="38"/>
        <v>-6.2780669882807061E-3</v>
      </c>
      <c r="D1249" s="25">
        <f t="shared" si="39"/>
        <v>5.3384580569598973E-2</v>
      </c>
    </row>
    <row r="1250" spans="1:4">
      <c r="A1250" s="23" t="s">
        <v>298</v>
      </c>
      <c r="B1250" s="23">
        <v>4.0385004286184003</v>
      </c>
      <c r="C1250" s="23">
        <f t="shared" si="38"/>
        <v>-0.14907917795671999</v>
      </c>
      <c r="D1250" s="25">
        <f t="shared" si="39"/>
        <v>5.3412514304545945E-2</v>
      </c>
    </row>
    <row r="1251" spans="1:4">
      <c r="A1251" s="23" t="s">
        <v>297</v>
      </c>
      <c r="B1251" s="23">
        <v>4.1875796065751203</v>
      </c>
      <c r="C1251" s="23">
        <f t="shared" si="38"/>
        <v>1.0903844777220506E-2</v>
      </c>
      <c r="D1251" s="25">
        <f t="shared" si="39"/>
        <v>4.9952788024805433E-2</v>
      </c>
    </row>
    <row r="1252" spans="1:4">
      <c r="A1252" s="23" t="s">
        <v>296</v>
      </c>
      <c r="B1252" s="23">
        <v>4.1766757617978998</v>
      </c>
      <c r="C1252" s="23">
        <f t="shared" si="38"/>
        <v>2.5602830499590112E-2</v>
      </c>
      <c r="D1252" s="25">
        <f t="shared" si="39"/>
        <v>5.0091695664612038E-2</v>
      </c>
    </row>
    <row r="1253" spans="1:4">
      <c r="A1253" s="23" t="s">
        <v>295</v>
      </c>
      <c r="B1253" s="23">
        <v>4.1510729312983097</v>
      </c>
      <c r="C1253" s="23">
        <f t="shared" si="38"/>
        <v>-3.6648192974499949E-3</v>
      </c>
      <c r="D1253" s="25">
        <f t="shared" si="39"/>
        <v>5.0015838240167566E-2</v>
      </c>
    </row>
    <row r="1254" spans="1:4">
      <c r="A1254" s="23" t="s">
        <v>294</v>
      </c>
      <c r="B1254" s="23">
        <v>4.1547377505957597</v>
      </c>
      <c r="C1254" s="23">
        <f t="shared" si="38"/>
        <v>-2.6877928113220761E-2</v>
      </c>
      <c r="D1254" s="25">
        <f t="shared" si="39"/>
        <v>5.0364132071384758E-2</v>
      </c>
    </row>
    <row r="1255" spans="1:4">
      <c r="A1255" s="23" t="s">
        <v>293</v>
      </c>
      <c r="B1255" s="23">
        <v>4.1816156787089804</v>
      </c>
      <c r="C1255" s="23">
        <f t="shared" si="38"/>
        <v>9.673901591198053E-2</v>
      </c>
      <c r="D1255" s="25">
        <f t="shared" si="39"/>
        <v>5.0341738150687862E-2</v>
      </c>
    </row>
    <row r="1256" spans="1:4">
      <c r="A1256" s="23" t="s">
        <v>292</v>
      </c>
      <c r="B1256" s="23">
        <v>4.0848766627969999</v>
      </c>
      <c r="C1256" s="23">
        <f t="shared" si="38"/>
        <v>2.6661647487640217E-2</v>
      </c>
      <c r="D1256" s="25">
        <f t="shared" si="39"/>
        <v>4.8731312186096012E-2</v>
      </c>
    </row>
    <row r="1257" spans="1:4">
      <c r="A1257" s="23" t="s">
        <v>291</v>
      </c>
      <c r="B1257" s="23">
        <v>4.0582150153093597</v>
      </c>
      <c r="C1257" s="23">
        <f t="shared" si="38"/>
        <v>-5.5330684372870031E-2</v>
      </c>
      <c r="D1257" s="25">
        <f t="shared" si="39"/>
        <v>4.8582604591277605E-2</v>
      </c>
    </row>
    <row r="1258" spans="1:4">
      <c r="A1258" s="23" t="s">
        <v>290</v>
      </c>
      <c r="B1258" s="23">
        <v>4.1135456996822297</v>
      </c>
      <c r="C1258" s="23">
        <f t="shared" si="38"/>
        <v>7.0106124325469921E-2</v>
      </c>
      <c r="D1258" s="25">
        <f t="shared" si="39"/>
        <v>4.841601689863851E-2</v>
      </c>
    </row>
    <row r="1259" spans="1:4">
      <c r="A1259" s="23" t="s">
        <v>289</v>
      </c>
      <c r="B1259" s="23">
        <v>4.0434395753567598</v>
      </c>
      <c r="C1259" s="23">
        <f t="shared" si="38"/>
        <v>-1.6862595653099888E-2</v>
      </c>
      <c r="D1259" s="25">
        <f t="shared" si="39"/>
        <v>4.8068737894422946E-2</v>
      </c>
    </row>
    <row r="1260" spans="1:4">
      <c r="A1260" s="23" t="s">
        <v>288</v>
      </c>
      <c r="B1260" s="23">
        <v>4.0603021710098597</v>
      </c>
      <c r="C1260" s="23">
        <f t="shared" si="38"/>
        <v>-6.7471823073930182E-2</v>
      </c>
      <c r="D1260" s="25">
        <f t="shared" si="39"/>
        <v>4.8277098872957697E-2</v>
      </c>
    </row>
    <row r="1261" spans="1:4">
      <c r="A1261" s="23" t="s">
        <v>287</v>
      </c>
      <c r="B1261" s="23">
        <v>4.1277739940837899</v>
      </c>
      <c r="C1261" s="23">
        <f t="shared" si="38"/>
        <v>-8.8274480368601971E-3</v>
      </c>
      <c r="D1261" s="25">
        <f t="shared" si="39"/>
        <v>4.7602681208571501E-2</v>
      </c>
    </row>
    <row r="1262" spans="1:4">
      <c r="A1262" s="23" t="s">
        <v>286</v>
      </c>
      <c r="B1262" s="23">
        <v>4.1366014421206501</v>
      </c>
      <c r="C1262" s="23">
        <f t="shared" si="38"/>
        <v>-5.3561050126970322E-2</v>
      </c>
      <c r="D1262" s="25">
        <f t="shared" si="39"/>
        <v>4.8371614849406094E-2</v>
      </c>
    </row>
    <row r="1263" spans="1:4">
      <c r="A1263" s="23" t="s">
        <v>285</v>
      </c>
      <c r="B1263" s="23">
        <v>4.1901624922476204</v>
      </c>
      <c r="C1263" s="23">
        <f t="shared" si="38"/>
        <v>-1.6870262559800508E-3</v>
      </c>
      <c r="D1263" s="25">
        <f t="shared" si="39"/>
        <v>4.8021387084901793E-2</v>
      </c>
    </row>
    <row r="1264" spans="1:4">
      <c r="A1264" s="23" t="s">
        <v>284</v>
      </c>
      <c r="B1264" s="23">
        <v>4.1918495185036004</v>
      </c>
      <c r="C1264" s="23">
        <f t="shared" si="38"/>
        <v>-9.0642526042199911E-2</v>
      </c>
      <c r="D1264" s="25">
        <f t="shared" si="39"/>
        <v>4.8112312966777607E-2</v>
      </c>
    </row>
    <row r="1265" spans="1:4">
      <c r="A1265" s="23" t="s">
        <v>283</v>
      </c>
      <c r="B1265" s="23">
        <v>4.2824920445458003</v>
      </c>
      <c r="C1265" s="23">
        <f t="shared" si="38"/>
        <v>-1.0180274319809612E-2</v>
      </c>
      <c r="D1265" s="25">
        <f t="shared" si="39"/>
        <v>4.7891810237314633E-2</v>
      </c>
    </row>
    <row r="1266" spans="1:4">
      <c r="A1266" s="23" t="s">
        <v>282</v>
      </c>
      <c r="B1266" s="23">
        <v>4.29267231886561</v>
      </c>
      <c r="C1266" s="23">
        <f t="shared" si="38"/>
        <v>6.2901940417301461E-3</v>
      </c>
      <c r="D1266" s="25">
        <f t="shared" si="39"/>
        <v>4.8719712413154939E-2</v>
      </c>
    </row>
    <row r="1267" spans="1:4">
      <c r="A1267" s="23" t="s">
        <v>281</v>
      </c>
      <c r="B1267" s="23">
        <v>4.2863821248238798</v>
      </c>
      <c r="C1267" s="23">
        <f t="shared" si="38"/>
        <v>-2.5269349580939959E-2</v>
      </c>
      <c r="D1267" s="25">
        <f t="shared" si="39"/>
        <v>4.879550673534809E-2</v>
      </c>
    </row>
    <row r="1268" spans="1:4">
      <c r="A1268" s="23" t="s">
        <v>280</v>
      </c>
      <c r="B1268" s="23">
        <v>4.3116514744048198</v>
      </c>
      <c r="C1268" s="23">
        <f t="shared" si="38"/>
        <v>5.3270305517870042E-2</v>
      </c>
      <c r="D1268" s="25">
        <f t="shared" si="39"/>
        <v>4.9154441840754182E-2</v>
      </c>
    </row>
    <row r="1269" spans="1:4">
      <c r="A1269" s="23" t="s">
        <v>279</v>
      </c>
      <c r="B1269" s="23">
        <v>4.2583811688869497</v>
      </c>
      <c r="C1269" s="23">
        <f t="shared" si="38"/>
        <v>3.5816572338379871E-2</v>
      </c>
      <c r="D1269" s="25">
        <f t="shared" si="39"/>
        <v>4.863118126655408E-2</v>
      </c>
    </row>
    <row r="1270" spans="1:4">
      <c r="A1270" s="23" t="s">
        <v>278</v>
      </c>
      <c r="B1270" s="23">
        <v>4.2225645965485699</v>
      </c>
      <c r="C1270" s="23">
        <f t="shared" si="38"/>
        <v>-0.11259492687779016</v>
      </c>
      <c r="D1270" s="25">
        <f t="shared" si="39"/>
        <v>4.870547853405071E-2</v>
      </c>
    </row>
    <row r="1271" spans="1:4">
      <c r="A1271" s="23" t="s">
        <v>277</v>
      </c>
      <c r="B1271" s="23">
        <v>4.33515952342636</v>
      </c>
      <c r="C1271" s="23">
        <f t="shared" si="38"/>
        <v>-4.5276943609939835E-2</v>
      </c>
      <c r="D1271" s="25">
        <f t="shared" si="39"/>
        <v>4.6710548590773851E-2</v>
      </c>
    </row>
    <row r="1272" spans="1:4">
      <c r="A1272" s="23" t="s">
        <v>276</v>
      </c>
      <c r="B1272" s="23">
        <v>4.3804364670362999</v>
      </c>
      <c r="C1272" s="23">
        <f t="shared" si="38"/>
        <v>-5.2586262042360055E-2</v>
      </c>
      <c r="D1272" s="25">
        <f t="shared" si="39"/>
        <v>4.6863376139329012E-2</v>
      </c>
    </row>
    <row r="1273" spans="1:4">
      <c r="A1273" s="23" t="s">
        <v>275</v>
      </c>
      <c r="B1273" s="23">
        <v>4.4330227290786599</v>
      </c>
      <c r="C1273" s="23">
        <f t="shared" si="38"/>
        <v>4.2319125826930204E-2</v>
      </c>
      <c r="D1273" s="25">
        <f t="shared" si="39"/>
        <v>4.6763551937535848E-2</v>
      </c>
    </row>
    <row r="1274" spans="1:4">
      <c r="A1274" s="23" t="s">
        <v>274</v>
      </c>
      <c r="B1274" s="23">
        <v>4.3907036032517297</v>
      </c>
      <c r="C1274" s="23">
        <f t="shared" si="38"/>
        <v>-3.2468474288290139E-2</v>
      </c>
      <c r="D1274" s="25">
        <f t="shared" si="39"/>
        <v>4.738250938500755E-2</v>
      </c>
    </row>
    <row r="1275" spans="1:4">
      <c r="A1275" s="23" t="s">
        <v>273</v>
      </c>
      <c r="B1275" s="23">
        <v>4.4231720775400198</v>
      </c>
      <c r="C1275" s="23">
        <f t="shared" si="38"/>
        <v>-4.2114769164619759E-2</v>
      </c>
      <c r="D1275" s="25">
        <f t="shared" si="39"/>
        <v>4.737587799566003E-2</v>
      </c>
    </row>
    <row r="1276" spans="1:4">
      <c r="A1276" s="23" t="s">
        <v>272</v>
      </c>
      <c r="B1276" s="23">
        <v>4.4652868467046396</v>
      </c>
      <c r="C1276" s="23">
        <f t="shared" si="38"/>
        <v>5.5464737515229956E-2</v>
      </c>
      <c r="D1276" s="25">
        <f t="shared" si="39"/>
        <v>4.7128712133661259E-2</v>
      </c>
    </row>
    <row r="1277" spans="1:4">
      <c r="A1277" s="23" t="s">
        <v>271</v>
      </c>
      <c r="B1277" s="23">
        <v>4.4098221091894096</v>
      </c>
      <c r="C1277" s="23">
        <f t="shared" si="38"/>
        <v>-7.7148627993079977E-2</v>
      </c>
      <c r="D1277" s="25">
        <f t="shared" si="39"/>
        <v>4.6666051926073468E-2</v>
      </c>
    </row>
    <row r="1278" spans="1:4">
      <c r="A1278" s="23" t="s">
        <v>270</v>
      </c>
      <c r="B1278" s="23">
        <v>4.4869707371824896</v>
      </c>
      <c r="C1278" s="23">
        <f t="shared" si="38"/>
        <v>-9.6048954589900148E-3</v>
      </c>
      <c r="D1278" s="25">
        <f t="shared" si="39"/>
        <v>4.5877357188349725E-2</v>
      </c>
    </row>
    <row r="1279" spans="1:4">
      <c r="A1279" s="23" t="s">
        <v>269</v>
      </c>
      <c r="B1279" s="23">
        <v>4.4965756326414796</v>
      </c>
      <c r="C1279" s="23">
        <f t="shared" si="38"/>
        <v>2.2895043598099463E-2</v>
      </c>
      <c r="D1279" s="25">
        <f t="shared" si="39"/>
        <v>4.5894624664696862E-2</v>
      </c>
    </row>
    <row r="1280" spans="1:4">
      <c r="A1280" s="23" t="s">
        <v>268</v>
      </c>
      <c r="B1280" s="23">
        <v>4.4736805890433802</v>
      </c>
      <c r="C1280" s="23">
        <f t="shared" si="38"/>
        <v>4.4976583655380153E-2</v>
      </c>
      <c r="D1280" s="25">
        <f t="shared" si="39"/>
        <v>4.585123325617458E-2</v>
      </c>
    </row>
    <row r="1281" spans="1:4">
      <c r="A1281" s="23" t="s">
        <v>267</v>
      </c>
      <c r="B1281" s="23">
        <v>4.428704005388</v>
      </c>
      <c r="C1281" s="23">
        <f t="shared" si="38"/>
        <v>-4.2976841942180322E-2</v>
      </c>
      <c r="D1281" s="25">
        <f t="shared" si="39"/>
        <v>4.5520125796537692E-2</v>
      </c>
    </row>
    <row r="1282" spans="1:4">
      <c r="A1282" s="23" t="s">
        <v>266</v>
      </c>
      <c r="B1282" s="23">
        <v>4.4716808473301803</v>
      </c>
      <c r="C1282" s="23">
        <f t="shared" ref="C1282:C1345" si="40">B1282-B1283</f>
        <v>6.9078296725404442E-3</v>
      </c>
      <c r="D1282" s="25">
        <f t="shared" ref="D1282:D1345" si="41">STDEV(C1282:C1341)</f>
        <v>4.536819781850758E-2</v>
      </c>
    </row>
    <row r="1283" spans="1:4">
      <c r="A1283" s="23" t="s">
        <v>265</v>
      </c>
      <c r="B1283" s="23">
        <v>4.4647730176576399</v>
      </c>
      <c r="C1283" s="23">
        <f t="shared" si="40"/>
        <v>4.3620629602259875E-2</v>
      </c>
      <c r="D1283" s="25">
        <f t="shared" si="41"/>
        <v>4.5375918541100464E-2</v>
      </c>
    </row>
    <row r="1284" spans="1:4">
      <c r="A1284" s="23" t="s">
        <v>264</v>
      </c>
      <c r="B1284" s="23">
        <v>4.42115238805538</v>
      </c>
      <c r="C1284" s="23">
        <f t="shared" si="40"/>
        <v>-5.7801374040789888E-2</v>
      </c>
      <c r="D1284" s="25">
        <f t="shared" si="41"/>
        <v>4.5262475099881259E-2</v>
      </c>
    </row>
    <row r="1285" spans="1:4">
      <c r="A1285" s="23" t="s">
        <v>263</v>
      </c>
      <c r="B1285" s="23">
        <v>4.4789537620961699</v>
      </c>
      <c r="C1285" s="23">
        <f t="shared" si="40"/>
        <v>-7.4570661854798104E-3</v>
      </c>
      <c r="D1285" s="25">
        <f t="shared" si="41"/>
        <v>4.4844203332776271E-2</v>
      </c>
    </row>
    <row r="1286" spans="1:4">
      <c r="A1286" s="23" t="s">
        <v>262</v>
      </c>
      <c r="B1286" s="23">
        <v>4.4864108282816497</v>
      </c>
      <c r="C1286" s="23">
        <f t="shared" si="40"/>
        <v>4.9923449938529707E-2</v>
      </c>
      <c r="D1286" s="25">
        <f t="shared" si="41"/>
        <v>4.5006306469440059E-2</v>
      </c>
    </row>
    <row r="1287" spans="1:4">
      <c r="A1287" s="23" t="s">
        <v>261</v>
      </c>
      <c r="B1287" s="23">
        <v>4.43648737834312</v>
      </c>
      <c r="C1287" s="23">
        <f t="shared" si="40"/>
        <v>-2.4189754538689989E-2</v>
      </c>
      <c r="D1287" s="25">
        <f t="shared" si="41"/>
        <v>4.5189216255676776E-2</v>
      </c>
    </row>
    <row r="1288" spans="1:4">
      <c r="A1288" s="23" t="s">
        <v>260</v>
      </c>
      <c r="B1288" s="23">
        <v>4.46067713288181</v>
      </c>
      <c r="C1288" s="23">
        <f t="shared" si="40"/>
        <v>-8.0821236014560149E-2</v>
      </c>
      <c r="D1288" s="25">
        <f t="shared" si="41"/>
        <v>4.5222045743748766E-2</v>
      </c>
    </row>
    <row r="1289" spans="1:4">
      <c r="A1289" s="23" t="s">
        <v>259</v>
      </c>
      <c r="B1289" s="23">
        <v>4.5414983688963702</v>
      </c>
      <c r="C1289" s="23">
        <f t="shared" si="40"/>
        <v>-1.3206668524909482E-2</v>
      </c>
      <c r="D1289" s="25">
        <f t="shared" si="41"/>
        <v>4.4320055345793495E-2</v>
      </c>
    </row>
    <row r="1290" spans="1:4">
      <c r="A1290" s="23" t="s">
        <v>258</v>
      </c>
      <c r="B1290" s="23">
        <v>4.5547050374212796</v>
      </c>
      <c r="C1290" s="23">
        <f t="shared" si="40"/>
        <v>2.079113564627999E-2</v>
      </c>
      <c r="D1290" s="25">
        <f t="shared" si="41"/>
        <v>4.5539415257670142E-2</v>
      </c>
    </row>
    <row r="1291" spans="1:4">
      <c r="A1291" s="23" t="s">
        <v>257</v>
      </c>
      <c r="B1291" s="23">
        <v>4.5339139017749996</v>
      </c>
      <c r="C1291" s="23">
        <f t="shared" si="40"/>
        <v>-0.10574706207933016</v>
      </c>
      <c r="D1291" s="25">
        <f t="shared" si="41"/>
        <v>4.5489866365718348E-2</v>
      </c>
    </row>
    <row r="1292" spans="1:4">
      <c r="A1292" s="23" t="s">
        <v>256</v>
      </c>
      <c r="B1292" s="23">
        <v>4.6396609638543298</v>
      </c>
      <c r="C1292" s="23">
        <f t="shared" si="40"/>
        <v>-3.5265910132050493E-2</v>
      </c>
      <c r="D1292" s="25">
        <f t="shared" si="41"/>
        <v>4.3307296447662388E-2</v>
      </c>
    </row>
    <row r="1293" spans="1:4">
      <c r="A1293" s="23" t="s">
        <v>255</v>
      </c>
      <c r="B1293" s="23">
        <v>4.6749268739863803</v>
      </c>
      <c r="C1293" s="23">
        <f t="shared" si="40"/>
        <v>0.11991640889803001</v>
      </c>
      <c r="D1293" s="25">
        <f t="shared" si="41"/>
        <v>4.3161318034512917E-2</v>
      </c>
    </row>
    <row r="1294" spans="1:4">
      <c r="A1294" s="23" t="s">
        <v>254</v>
      </c>
      <c r="B1294" s="23">
        <v>4.5550104650883503</v>
      </c>
      <c r="C1294" s="23">
        <f t="shared" si="40"/>
        <v>5.1696393463940282E-2</v>
      </c>
      <c r="D1294" s="25">
        <f t="shared" si="41"/>
        <v>4.064863235476348E-2</v>
      </c>
    </row>
    <row r="1295" spans="1:4">
      <c r="A1295" s="23" t="s">
        <v>253</v>
      </c>
      <c r="B1295" s="23">
        <v>4.50331407162441</v>
      </c>
      <c r="C1295" s="23">
        <f t="shared" si="40"/>
        <v>1.342201863634962E-2</v>
      </c>
      <c r="D1295" s="25">
        <f t="shared" si="41"/>
        <v>4.2029949616994876E-2</v>
      </c>
    </row>
    <row r="1296" spans="1:4">
      <c r="A1296" s="23" t="s">
        <v>252</v>
      </c>
      <c r="B1296" s="23">
        <v>4.4898920529880604</v>
      </c>
      <c r="C1296" s="23">
        <f t="shared" si="40"/>
        <v>3.06151294411805E-2</v>
      </c>
      <c r="D1296" s="25">
        <f t="shared" si="41"/>
        <v>4.2124152863663056E-2</v>
      </c>
    </row>
    <row r="1297" spans="1:4">
      <c r="A1297" s="23" t="s">
        <v>251</v>
      </c>
      <c r="B1297" s="23">
        <v>4.4592769235468799</v>
      </c>
      <c r="C1297" s="23">
        <f t="shared" si="40"/>
        <v>2.4909128746299913E-3</v>
      </c>
      <c r="D1297" s="25">
        <f t="shared" si="41"/>
        <v>4.2205885515308329E-2</v>
      </c>
    </row>
    <row r="1298" spans="1:4">
      <c r="A1298" s="23" t="s">
        <v>250</v>
      </c>
      <c r="B1298" s="23">
        <v>4.4567860106722499</v>
      </c>
      <c r="C1298" s="23">
        <f t="shared" si="40"/>
        <v>-5.402110583307973E-2</v>
      </c>
      <c r="D1298" s="25">
        <f t="shared" si="41"/>
        <v>4.2409428091114434E-2</v>
      </c>
    </row>
    <row r="1299" spans="1:4">
      <c r="A1299" s="23" t="s">
        <v>249</v>
      </c>
      <c r="B1299" s="23">
        <v>4.5108071165053296</v>
      </c>
      <c r="C1299" s="23">
        <f t="shared" si="40"/>
        <v>6.2737735221939595E-2</v>
      </c>
      <c r="D1299" s="25">
        <f t="shared" si="41"/>
        <v>4.2162378798397009E-2</v>
      </c>
    </row>
    <row r="1300" spans="1:4">
      <c r="A1300" s="23" t="s">
        <v>248</v>
      </c>
      <c r="B1300" s="23">
        <v>4.44806938128339</v>
      </c>
      <c r="C1300" s="23">
        <f t="shared" si="40"/>
        <v>0.1191879875364501</v>
      </c>
      <c r="D1300" s="25">
        <f t="shared" si="41"/>
        <v>4.1866957835698701E-2</v>
      </c>
    </row>
    <row r="1301" spans="1:4">
      <c r="A1301" s="23" t="s">
        <v>247</v>
      </c>
      <c r="B1301" s="23">
        <v>4.3288813937469399</v>
      </c>
      <c r="C1301" s="23">
        <f t="shared" si="40"/>
        <v>2.4147012661401845E-3</v>
      </c>
      <c r="D1301" s="25">
        <f t="shared" si="41"/>
        <v>3.9377123108920886E-2</v>
      </c>
    </row>
    <row r="1302" spans="1:4">
      <c r="A1302" s="23" t="s">
        <v>246</v>
      </c>
      <c r="B1302" s="23">
        <v>4.3264666924807997</v>
      </c>
      <c r="C1302" s="23">
        <f t="shared" si="40"/>
        <v>-2.9452422457560523E-2</v>
      </c>
      <c r="D1302" s="25">
        <f t="shared" si="41"/>
        <v>3.9409266287105102E-2</v>
      </c>
    </row>
    <row r="1303" spans="1:4">
      <c r="A1303" s="23" t="s">
        <v>245</v>
      </c>
      <c r="B1303" s="23">
        <v>4.3559191149383603</v>
      </c>
      <c r="C1303" s="23">
        <f t="shared" si="40"/>
        <v>2.3500081466170109E-2</v>
      </c>
      <c r="D1303" s="25">
        <f t="shared" si="41"/>
        <v>4.0508586512422104E-2</v>
      </c>
    </row>
    <row r="1304" spans="1:4">
      <c r="A1304" s="23" t="s">
        <v>244</v>
      </c>
      <c r="B1304" s="23">
        <v>4.3324190334721902</v>
      </c>
      <c r="C1304" s="23">
        <f t="shared" si="40"/>
        <v>3.6425947581400386E-2</v>
      </c>
      <c r="D1304" s="25">
        <f t="shared" si="41"/>
        <v>4.4698590655244168E-2</v>
      </c>
    </row>
    <row r="1305" spans="1:4">
      <c r="A1305" s="23" t="s">
        <v>243</v>
      </c>
      <c r="B1305" s="23">
        <v>4.2959930858907898</v>
      </c>
      <c r="C1305" s="23">
        <f t="shared" si="40"/>
        <v>-2.0662585631209929E-2</v>
      </c>
      <c r="D1305" s="25">
        <f t="shared" si="41"/>
        <v>4.5222316160646092E-2</v>
      </c>
    </row>
    <row r="1306" spans="1:4">
      <c r="A1306" s="23" t="s">
        <v>242</v>
      </c>
      <c r="B1306" s="23">
        <v>4.3166556715219997</v>
      </c>
      <c r="C1306" s="23">
        <f t="shared" si="40"/>
        <v>-2.228766178174002E-2</v>
      </c>
      <c r="D1306" s="25">
        <f t="shared" si="41"/>
        <v>4.8089332860313985E-2</v>
      </c>
    </row>
    <row r="1307" spans="1:4">
      <c r="A1307" s="23" t="s">
        <v>241</v>
      </c>
      <c r="B1307" s="23">
        <v>4.3389433333037397</v>
      </c>
      <c r="C1307" s="23">
        <f t="shared" si="40"/>
        <v>-4.4844107491304186E-3</v>
      </c>
      <c r="D1307" s="25">
        <f t="shared" si="41"/>
        <v>4.8151010406316204E-2</v>
      </c>
    </row>
    <row r="1308" spans="1:4">
      <c r="A1308" s="23" t="s">
        <v>240</v>
      </c>
      <c r="B1308" s="23">
        <v>4.3434277440528701</v>
      </c>
      <c r="C1308" s="23">
        <f t="shared" si="40"/>
        <v>1.7581042898700439E-2</v>
      </c>
      <c r="D1308" s="25">
        <f t="shared" si="41"/>
        <v>4.9014560509981847E-2</v>
      </c>
    </row>
    <row r="1309" spans="1:4">
      <c r="A1309" s="23" t="s">
        <v>239</v>
      </c>
      <c r="B1309" s="23">
        <v>4.3258467011541697</v>
      </c>
      <c r="C1309" s="23">
        <f t="shared" si="40"/>
        <v>8.5824704006798314E-3</v>
      </c>
      <c r="D1309" s="25">
        <f t="shared" si="41"/>
        <v>4.9178459008803722E-2</v>
      </c>
    </row>
    <row r="1310" spans="1:4">
      <c r="A1310" s="23" t="s">
        <v>238</v>
      </c>
      <c r="B1310" s="23">
        <v>4.3172642307534899</v>
      </c>
      <c r="C1310" s="23">
        <f t="shared" si="40"/>
        <v>8.624533735579476E-3</v>
      </c>
      <c r="D1310" s="25">
        <f t="shared" si="41"/>
        <v>4.9242116636799525E-2</v>
      </c>
    </row>
    <row r="1311" spans="1:4">
      <c r="A1311" s="23" t="s">
        <v>237</v>
      </c>
      <c r="B1311" s="23">
        <v>4.3086396970179104</v>
      </c>
      <c r="C1311" s="23">
        <f t="shared" si="40"/>
        <v>-3.3961901775299452E-2</v>
      </c>
      <c r="D1311" s="25">
        <f t="shared" si="41"/>
        <v>4.9407019088024702E-2</v>
      </c>
    </row>
    <row r="1312" spans="1:4">
      <c r="A1312" s="23" t="s">
        <v>236</v>
      </c>
      <c r="B1312" s="23">
        <v>4.3426015987932098</v>
      </c>
      <c r="C1312" s="23">
        <f t="shared" si="40"/>
        <v>1.6160847616450091E-2</v>
      </c>
      <c r="D1312" s="25">
        <f t="shared" si="41"/>
        <v>4.94345437825068E-2</v>
      </c>
    </row>
    <row r="1313" spans="1:4">
      <c r="A1313" s="23" t="s">
        <v>235</v>
      </c>
      <c r="B1313" s="23">
        <v>4.3264407511767597</v>
      </c>
      <c r="C1313" s="23">
        <f t="shared" si="40"/>
        <v>4.289668836382976E-2</v>
      </c>
      <c r="D1313" s="25">
        <f t="shared" si="41"/>
        <v>4.9778989428131026E-2</v>
      </c>
    </row>
    <row r="1314" spans="1:4">
      <c r="A1314" s="23" t="s">
        <v>234</v>
      </c>
      <c r="B1314" s="23">
        <v>4.28354406281293</v>
      </c>
      <c r="C1314" s="23">
        <f t="shared" si="40"/>
        <v>-2.4026188508050161E-2</v>
      </c>
      <c r="D1314" s="25">
        <f t="shared" si="41"/>
        <v>4.9931044370571095E-2</v>
      </c>
    </row>
    <row r="1315" spans="1:4">
      <c r="A1315" s="23" t="s">
        <v>233</v>
      </c>
      <c r="B1315" s="23">
        <v>4.3075702513209801</v>
      </c>
      <c r="C1315" s="23">
        <f t="shared" si="40"/>
        <v>-2.6795579845329875E-2</v>
      </c>
      <c r="D1315" s="25">
        <f t="shared" si="41"/>
        <v>5.0728661948472815E-2</v>
      </c>
    </row>
    <row r="1316" spans="1:4">
      <c r="A1316" s="23" t="s">
        <v>232</v>
      </c>
      <c r="B1316" s="23">
        <v>4.33436583116631</v>
      </c>
      <c r="C1316" s="23">
        <f t="shared" si="40"/>
        <v>5.9990140536001491E-3</v>
      </c>
      <c r="D1316" s="25">
        <f t="shared" si="41"/>
        <v>5.117670168834005E-2</v>
      </c>
    </row>
    <row r="1317" spans="1:4">
      <c r="A1317" s="23" t="s">
        <v>231</v>
      </c>
      <c r="B1317" s="23">
        <v>4.3283668171127099</v>
      </c>
      <c r="C1317" s="23">
        <f t="shared" si="40"/>
        <v>3.7617819740550118E-2</v>
      </c>
      <c r="D1317" s="25">
        <f t="shared" si="41"/>
        <v>5.1741513388037071E-2</v>
      </c>
    </row>
    <row r="1318" spans="1:4">
      <c r="A1318" s="23" t="s">
        <v>230</v>
      </c>
      <c r="B1318" s="23">
        <v>4.2907489973721598</v>
      </c>
      <c r="C1318" s="23">
        <f t="shared" si="40"/>
        <v>-6.3434716052860551E-2</v>
      </c>
      <c r="D1318" s="25">
        <f t="shared" si="41"/>
        <v>5.2867298031839399E-2</v>
      </c>
    </row>
    <row r="1319" spans="1:4">
      <c r="A1319" s="23" t="s">
        <v>229</v>
      </c>
      <c r="B1319" s="23">
        <v>4.3541837134250203</v>
      </c>
      <c r="C1319" s="23">
        <f t="shared" si="40"/>
        <v>-4.1664200819319319E-2</v>
      </c>
      <c r="D1319" s="25">
        <f t="shared" si="41"/>
        <v>5.2104743806038419E-2</v>
      </c>
    </row>
    <row r="1320" spans="1:4">
      <c r="A1320" s="23" t="s">
        <v>228</v>
      </c>
      <c r="B1320" s="23">
        <v>4.3958479142443396</v>
      </c>
      <c r="C1320" s="23">
        <f t="shared" si="40"/>
        <v>4.4105339288300627E-3</v>
      </c>
      <c r="D1320" s="25">
        <f t="shared" si="41"/>
        <v>5.2134236055682182E-2</v>
      </c>
    </row>
    <row r="1321" spans="1:4">
      <c r="A1321" s="23" t="s">
        <v>227</v>
      </c>
      <c r="B1321" s="23">
        <v>4.3914373803155096</v>
      </c>
      <c r="C1321" s="23">
        <f t="shared" si="40"/>
        <v>-7.1014048447270106E-2</v>
      </c>
      <c r="D1321" s="25">
        <f t="shared" si="41"/>
        <v>5.2178473685169896E-2</v>
      </c>
    </row>
    <row r="1322" spans="1:4">
      <c r="A1322" s="23" t="s">
        <v>226</v>
      </c>
      <c r="B1322" s="23">
        <v>4.4624514287627797</v>
      </c>
      <c r="C1322" s="23">
        <f t="shared" si="40"/>
        <v>-2.3854062451619917E-2</v>
      </c>
      <c r="D1322" s="25">
        <f t="shared" si="41"/>
        <v>5.2460914914148039E-2</v>
      </c>
    </row>
    <row r="1323" spans="1:4">
      <c r="A1323" s="23" t="s">
        <v>225</v>
      </c>
      <c r="B1323" s="23">
        <v>4.4863054912143996</v>
      </c>
      <c r="C1323" s="23">
        <f t="shared" si="40"/>
        <v>1.8147441796569908E-2</v>
      </c>
      <c r="D1323" s="25">
        <f t="shared" si="41"/>
        <v>5.2471583782981911E-2</v>
      </c>
    </row>
    <row r="1324" spans="1:4">
      <c r="A1324" s="23" t="s">
        <v>224</v>
      </c>
      <c r="B1324" s="23">
        <v>4.4681580494178297</v>
      </c>
      <c r="C1324" s="23">
        <f t="shared" si="40"/>
        <v>7.67614257156497E-2</v>
      </c>
      <c r="D1324" s="25">
        <f t="shared" si="41"/>
        <v>5.2631113906693623E-2</v>
      </c>
    </row>
    <row r="1325" spans="1:4">
      <c r="A1325" s="23" t="s">
        <v>223</v>
      </c>
      <c r="B1325" s="23">
        <v>4.39139662370218</v>
      </c>
      <c r="C1325" s="23">
        <f t="shared" si="40"/>
        <v>6.8122566996460243E-2</v>
      </c>
      <c r="D1325" s="25">
        <f t="shared" si="41"/>
        <v>5.1796432593022829E-2</v>
      </c>
    </row>
    <row r="1326" spans="1:4">
      <c r="A1326" s="23" t="s">
        <v>222</v>
      </c>
      <c r="B1326" s="23">
        <v>4.3232740567057197</v>
      </c>
      <c r="C1326" s="23">
        <f t="shared" si="40"/>
        <v>-2.2790346739800071E-2</v>
      </c>
      <c r="D1326" s="25">
        <f t="shared" si="41"/>
        <v>5.1448326563279009E-2</v>
      </c>
    </row>
    <row r="1327" spans="1:4">
      <c r="A1327" s="23" t="s">
        <v>221</v>
      </c>
      <c r="B1327" s="23">
        <v>4.3460644034455198</v>
      </c>
      <c r="C1327" s="23">
        <f t="shared" si="40"/>
        <v>-5.2725987911370176E-2</v>
      </c>
      <c r="D1327" s="25">
        <f t="shared" si="41"/>
        <v>5.1757659358140286E-2</v>
      </c>
    </row>
    <row r="1328" spans="1:4">
      <c r="A1328" s="23" t="s">
        <v>220</v>
      </c>
      <c r="B1328" s="23">
        <v>4.39879039135689</v>
      </c>
      <c r="C1328" s="23">
        <f t="shared" si="40"/>
        <v>-7.5658076157800735E-3</v>
      </c>
      <c r="D1328" s="25">
        <f t="shared" si="41"/>
        <v>5.2945916702183016E-2</v>
      </c>
    </row>
    <row r="1329" spans="1:4">
      <c r="A1329" s="23" t="s">
        <v>219</v>
      </c>
      <c r="B1329" s="23">
        <v>4.4063561989726701</v>
      </c>
      <c r="C1329" s="23">
        <f t="shared" si="40"/>
        <v>4.1039014844909794E-2</v>
      </c>
      <c r="D1329" s="25">
        <f t="shared" si="41"/>
        <v>5.4028274386931037E-2</v>
      </c>
    </row>
    <row r="1330" spans="1:4">
      <c r="A1330" s="23" t="s">
        <v>218</v>
      </c>
      <c r="B1330" s="23">
        <v>4.3653171841277603</v>
      </c>
      <c r="C1330" s="23">
        <f t="shared" si="40"/>
        <v>3.3280514659630001E-2</v>
      </c>
      <c r="D1330" s="25">
        <f t="shared" si="41"/>
        <v>5.4146319809657686E-2</v>
      </c>
    </row>
    <row r="1331" spans="1:4">
      <c r="A1331" s="23" t="s">
        <v>217</v>
      </c>
      <c r="B1331" s="23">
        <v>4.3320366694681303</v>
      </c>
      <c r="C1331" s="23">
        <f t="shared" si="40"/>
        <v>5.5437178720070257E-2</v>
      </c>
      <c r="D1331" s="25">
        <f t="shared" si="41"/>
        <v>5.4114936920938057E-2</v>
      </c>
    </row>
    <row r="1332" spans="1:4">
      <c r="A1332" s="23" t="s">
        <v>216</v>
      </c>
      <c r="B1332" s="23">
        <v>4.27659949074806</v>
      </c>
      <c r="C1332" s="23">
        <f t="shared" si="40"/>
        <v>-4.7252744253209578E-2</v>
      </c>
      <c r="D1332" s="25">
        <f t="shared" si="41"/>
        <v>5.3679093165895593E-2</v>
      </c>
    </row>
    <row r="1333" spans="1:4">
      <c r="A1333" s="23" t="s">
        <v>215</v>
      </c>
      <c r="B1333" s="23">
        <v>4.3238522350012696</v>
      </c>
      <c r="C1333" s="23">
        <f t="shared" si="40"/>
        <v>-7.0926867748480227E-2</v>
      </c>
      <c r="D1333" s="25">
        <f t="shared" si="41"/>
        <v>5.3676780632998425E-2</v>
      </c>
    </row>
    <row r="1334" spans="1:4">
      <c r="A1334" s="23" t="s">
        <v>214</v>
      </c>
      <c r="B1334" s="23">
        <v>4.3947791027497498</v>
      </c>
      <c r="C1334" s="23">
        <f t="shared" si="40"/>
        <v>3.285376656076977E-2</v>
      </c>
      <c r="D1334" s="25">
        <f t="shared" si="41"/>
        <v>5.3394524330768849E-2</v>
      </c>
    </row>
    <row r="1335" spans="1:4">
      <c r="A1335" s="23" t="s">
        <v>213</v>
      </c>
      <c r="B1335" s="23">
        <v>4.36192533618898</v>
      </c>
      <c r="C1335" s="23">
        <f t="shared" si="40"/>
        <v>-2.1112608194860272E-2</v>
      </c>
      <c r="D1335" s="25">
        <f t="shared" si="41"/>
        <v>5.3312823177648017E-2</v>
      </c>
    </row>
    <row r="1336" spans="1:4">
      <c r="A1336" s="23" t="s">
        <v>212</v>
      </c>
      <c r="B1336" s="23">
        <v>4.3830379443838403</v>
      </c>
      <c r="C1336" s="23">
        <f t="shared" si="40"/>
        <v>2.1008247368260236E-2</v>
      </c>
      <c r="D1336" s="25">
        <f t="shared" si="41"/>
        <v>5.3406085843280111E-2</v>
      </c>
    </row>
    <row r="1337" spans="1:4">
      <c r="A1337" s="23" t="s">
        <v>211</v>
      </c>
      <c r="B1337" s="23">
        <v>4.3620296970155801</v>
      </c>
      <c r="C1337" s="23">
        <f t="shared" si="40"/>
        <v>-4.1515278687540125E-2</v>
      </c>
      <c r="D1337" s="25">
        <f t="shared" si="41"/>
        <v>5.3740320753543895E-2</v>
      </c>
    </row>
    <row r="1338" spans="1:4">
      <c r="A1338" s="23" t="s">
        <v>210</v>
      </c>
      <c r="B1338" s="23">
        <v>4.4035449757031202</v>
      </c>
      <c r="C1338" s="23">
        <f t="shared" si="40"/>
        <v>1.6412906832250052E-2</v>
      </c>
      <c r="D1338" s="25">
        <f t="shared" si="41"/>
        <v>5.4157664243939189E-2</v>
      </c>
    </row>
    <row r="1339" spans="1:4">
      <c r="A1339" s="23" t="s">
        <v>209</v>
      </c>
      <c r="B1339" s="23">
        <v>4.3871320688708701</v>
      </c>
      <c r="C1339" s="23">
        <f t="shared" si="40"/>
        <v>1.6309612048420519E-2</v>
      </c>
      <c r="D1339" s="25">
        <f t="shared" si="41"/>
        <v>5.470396395052482E-2</v>
      </c>
    </row>
    <row r="1340" spans="1:4">
      <c r="A1340" s="23" t="s">
        <v>208</v>
      </c>
      <c r="B1340" s="23">
        <v>4.3708224568224496</v>
      </c>
      <c r="C1340" s="23">
        <f t="shared" si="40"/>
        <v>-9.990887606700305E-3</v>
      </c>
      <c r="D1340" s="25">
        <f t="shared" si="41"/>
        <v>5.5885440764869149E-2</v>
      </c>
    </row>
    <row r="1341" spans="1:4">
      <c r="A1341" s="23" t="s">
        <v>207</v>
      </c>
      <c r="B1341" s="23">
        <v>4.3808133444291499</v>
      </c>
      <c r="C1341" s="23">
        <f t="shared" si="40"/>
        <v>3.5499688188790124E-2</v>
      </c>
      <c r="D1341" s="25">
        <f t="shared" si="41"/>
        <v>5.6753779685399693E-2</v>
      </c>
    </row>
    <row r="1342" spans="1:4">
      <c r="A1342" s="23" t="s">
        <v>206</v>
      </c>
      <c r="B1342" s="23">
        <v>4.3453136562403598</v>
      </c>
      <c r="C1342" s="23">
        <f t="shared" si="40"/>
        <v>1.0141459841289446E-2</v>
      </c>
      <c r="D1342" s="25">
        <f t="shared" si="41"/>
        <v>5.7319811574136896E-2</v>
      </c>
    </row>
    <row r="1343" spans="1:4">
      <c r="A1343" s="23" t="s">
        <v>205</v>
      </c>
      <c r="B1343" s="23">
        <v>4.3351721963990704</v>
      </c>
      <c r="C1343" s="23">
        <f t="shared" si="40"/>
        <v>-3.2613329579429973E-2</v>
      </c>
      <c r="D1343" s="25">
        <f t="shared" si="41"/>
        <v>5.7537558628061487E-2</v>
      </c>
    </row>
    <row r="1344" spans="1:4">
      <c r="A1344" s="23" t="s">
        <v>204</v>
      </c>
      <c r="B1344" s="23">
        <v>4.3677855259785003</v>
      </c>
      <c r="C1344" s="23">
        <f t="shared" si="40"/>
        <v>-3.418550086856964E-2</v>
      </c>
      <c r="D1344" s="25">
        <f t="shared" si="41"/>
        <v>5.7381879065815274E-2</v>
      </c>
    </row>
    <row r="1345" spans="1:4">
      <c r="A1345" s="23" t="s">
        <v>203</v>
      </c>
      <c r="B1345" s="23">
        <v>4.40197102684707</v>
      </c>
      <c r="C1345" s="23">
        <f t="shared" si="40"/>
        <v>3.2300325322819567E-2</v>
      </c>
      <c r="D1345" s="25">
        <f t="shared" si="41"/>
        <v>5.7510267864377775E-2</v>
      </c>
    </row>
    <row r="1346" spans="1:4">
      <c r="A1346" s="23" t="s">
        <v>202</v>
      </c>
      <c r="B1346" s="23">
        <v>4.3696707015242504</v>
      </c>
      <c r="C1346" s="23">
        <f t="shared" ref="C1346:C1409" si="42">B1346-B1347</f>
        <v>-5.69228047038699E-2</v>
      </c>
      <c r="D1346" s="25">
        <f t="shared" ref="D1346:D1409" si="43">STDEV(C1346:C1405)</f>
        <v>5.7581803119401045E-2</v>
      </c>
    </row>
    <row r="1347" spans="1:4">
      <c r="A1347" s="23" t="s">
        <v>201</v>
      </c>
      <c r="B1347" s="23">
        <v>4.4265935062281203</v>
      </c>
      <c r="C1347" s="23">
        <f t="shared" si="42"/>
        <v>-2.7556197845999719E-2</v>
      </c>
      <c r="D1347" s="25">
        <f t="shared" si="43"/>
        <v>5.7130388111232167E-2</v>
      </c>
    </row>
    <row r="1348" spans="1:4">
      <c r="A1348" s="23" t="s">
        <v>200</v>
      </c>
      <c r="B1348" s="23">
        <v>4.45414970407412</v>
      </c>
      <c r="C1348" s="23">
        <f t="shared" si="42"/>
        <v>4.5385001525939828E-2</v>
      </c>
      <c r="D1348" s="25">
        <f t="shared" si="43"/>
        <v>5.7286673323706051E-2</v>
      </c>
    </row>
    <row r="1349" spans="1:4">
      <c r="A1349" s="23" t="s">
        <v>199</v>
      </c>
      <c r="B1349" s="23">
        <v>4.4087647025481802</v>
      </c>
      <c r="C1349" s="23">
        <f t="shared" si="42"/>
        <v>-8.0110524830080188E-2</v>
      </c>
      <c r="D1349" s="25">
        <f t="shared" si="43"/>
        <v>5.7854880974329663E-2</v>
      </c>
    </row>
    <row r="1350" spans="1:4">
      <c r="A1350" s="23" t="s">
        <v>198</v>
      </c>
      <c r="B1350" s="23">
        <v>4.4888752273782604</v>
      </c>
      <c r="C1350" s="23">
        <f t="shared" si="42"/>
        <v>-1.0659745174919522E-2</v>
      </c>
      <c r="D1350" s="25">
        <f t="shared" si="43"/>
        <v>5.8338170341537772E-2</v>
      </c>
    </row>
    <row r="1351" spans="1:4">
      <c r="A1351" s="23" t="s">
        <v>197</v>
      </c>
      <c r="B1351" s="23">
        <v>4.4995349725531799</v>
      </c>
      <c r="C1351" s="23">
        <f t="shared" si="42"/>
        <v>-5.5004488763703563E-3</v>
      </c>
      <c r="D1351" s="25">
        <f t="shared" si="43"/>
        <v>5.8503724693450408E-2</v>
      </c>
    </row>
    <row r="1352" spans="1:4">
      <c r="A1352" s="23" t="s">
        <v>196</v>
      </c>
      <c r="B1352" s="23">
        <v>4.5050354214295503</v>
      </c>
      <c r="C1352" s="23">
        <f t="shared" si="42"/>
        <v>2.9293915212580401E-2</v>
      </c>
      <c r="D1352" s="25">
        <f t="shared" si="43"/>
        <v>6.0700195521853254E-2</v>
      </c>
    </row>
    <row r="1353" spans="1:4">
      <c r="A1353" s="23" t="s">
        <v>195</v>
      </c>
      <c r="B1353" s="23">
        <v>4.4757415062169699</v>
      </c>
      <c r="C1353" s="23">
        <f t="shared" si="42"/>
        <v>3.9082660789580004E-2</v>
      </c>
      <c r="D1353" s="25">
        <f t="shared" si="43"/>
        <v>6.070416876216448E-2</v>
      </c>
    </row>
    <row r="1354" spans="1:4">
      <c r="A1354" s="23" t="s">
        <v>194</v>
      </c>
      <c r="B1354" s="23">
        <v>4.4366588454273899</v>
      </c>
      <c r="C1354" s="23">
        <f t="shared" si="42"/>
        <v>-9.587183091466045E-2</v>
      </c>
      <c r="D1354" s="25">
        <f t="shared" si="43"/>
        <v>6.0972130878953042E-2</v>
      </c>
    </row>
    <row r="1355" spans="1:4">
      <c r="A1355" s="23" t="s">
        <v>193</v>
      </c>
      <c r="B1355" s="23">
        <v>4.5325306763420503</v>
      </c>
      <c r="C1355" s="23">
        <f t="shared" si="42"/>
        <v>-2.6717459569259638E-2</v>
      </c>
      <c r="D1355" s="25">
        <f t="shared" si="43"/>
        <v>5.9519601234626011E-2</v>
      </c>
    </row>
    <row r="1356" spans="1:4">
      <c r="A1356" s="23" t="s">
        <v>192</v>
      </c>
      <c r="B1356" s="23">
        <v>4.55924813591131</v>
      </c>
      <c r="C1356" s="23">
        <f t="shared" si="42"/>
        <v>3.6482247718709893E-2</v>
      </c>
      <c r="D1356" s="25">
        <f t="shared" si="43"/>
        <v>5.9405651393288142E-2</v>
      </c>
    </row>
    <row r="1357" spans="1:4">
      <c r="A1357" s="23" t="s">
        <v>191</v>
      </c>
      <c r="B1357" s="23">
        <v>4.5227658881926001</v>
      </c>
      <c r="C1357" s="23">
        <f t="shared" si="42"/>
        <v>-3.3466341161680013E-2</v>
      </c>
      <c r="D1357" s="25">
        <f t="shared" si="43"/>
        <v>5.9286860487051229E-2</v>
      </c>
    </row>
    <row r="1358" spans="1:4">
      <c r="A1358" s="23" t="s">
        <v>190</v>
      </c>
      <c r="B1358" s="23">
        <v>4.5562322293542801</v>
      </c>
      <c r="C1358" s="23">
        <f t="shared" si="42"/>
        <v>-4.0545346640469937E-2</v>
      </c>
      <c r="D1358" s="25">
        <f t="shared" si="43"/>
        <v>6.1340742809563677E-2</v>
      </c>
    </row>
    <row r="1359" spans="1:4">
      <c r="A1359" s="23" t="s">
        <v>189</v>
      </c>
      <c r="B1359" s="23">
        <v>4.59677757599475</v>
      </c>
      <c r="C1359" s="23">
        <f t="shared" si="42"/>
        <v>5.0102641808670079E-2</v>
      </c>
      <c r="D1359" s="25">
        <f t="shared" si="43"/>
        <v>6.1054760980246238E-2</v>
      </c>
    </row>
    <row r="1360" spans="1:4">
      <c r="A1360" s="23" t="s">
        <v>188</v>
      </c>
      <c r="B1360" s="23">
        <v>4.5466749341860799</v>
      </c>
      <c r="C1360" s="23">
        <f t="shared" si="42"/>
        <v>5.0735486909750271E-2</v>
      </c>
      <c r="D1360" s="25">
        <f t="shared" si="43"/>
        <v>6.0808163898060735E-2</v>
      </c>
    </row>
    <row r="1361" spans="1:4">
      <c r="A1361" s="23" t="s">
        <v>187</v>
      </c>
      <c r="B1361" s="23">
        <v>4.4959394472763297</v>
      </c>
      <c r="C1361" s="23">
        <f t="shared" si="42"/>
        <v>1.0540273815789369E-2</v>
      </c>
      <c r="D1361" s="25">
        <f t="shared" si="43"/>
        <v>6.0984884479686259E-2</v>
      </c>
    </row>
    <row r="1362" spans="1:4">
      <c r="A1362" s="23" t="s">
        <v>186</v>
      </c>
      <c r="B1362" s="23">
        <v>4.4853991734605403</v>
      </c>
      <c r="C1362" s="23">
        <f t="shared" si="42"/>
        <v>7.535739783382045E-2</v>
      </c>
      <c r="D1362" s="25">
        <f t="shared" si="43"/>
        <v>6.1219399475842394E-2</v>
      </c>
    </row>
    <row r="1363" spans="1:4">
      <c r="A1363" s="23" t="s">
        <v>185</v>
      </c>
      <c r="B1363" s="23">
        <v>4.4100417756267198</v>
      </c>
      <c r="C1363" s="23">
        <f t="shared" si="42"/>
        <v>0.14713275381588975</v>
      </c>
      <c r="D1363" s="25">
        <f t="shared" si="43"/>
        <v>6.1123445302912964E-2</v>
      </c>
    </row>
    <row r="1364" spans="1:4">
      <c r="A1364" s="23" t="s">
        <v>184</v>
      </c>
      <c r="B1364" s="23">
        <v>4.2629090218108301</v>
      </c>
      <c r="C1364" s="23">
        <f t="shared" si="42"/>
        <v>6.4685195896659664E-2</v>
      </c>
      <c r="D1364" s="25">
        <f t="shared" si="43"/>
        <v>5.8029006384037518E-2</v>
      </c>
    </row>
    <row r="1365" spans="1:4">
      <c r="A1365" s="23" t="s">
        <v>183</v>
      </c>
      <c r="B1365" s="23">
        <v>4.1982238259141704</v>
      </c>
      <c r="C1365" s="23">
        <f t="shared" si="42"/>
        <v>-0.12669966545901978</v>
      </c>
      <c r="D1365" s="25">
        <f t="shared" si="43"/>
        <v>5.7450581239211401E-2</v>
      </c>
    </row>
    <row r="1366" spans="1:4">
      <c r="A1366" s="23" t="s">
        <v>182</v>
      </c>
      <c r="B1366" s="23">
        <v>4.3249234913731902</v>
      </c>
      <c r="C1366" s="23">
        <f t="shared" si="42"/>
        <v>-2.9148437074329792E-2</v>
      </c>
      <c r="D1366" s="25">
        <f t="shared" si="43"/>
        <v>5.5246688840190211E-2</v>
      </c>
    </row>
    <row r="1367" spans="1:4">
      <c r="A1367" s="23" t="s">
        <v>181</v>
      </c>
      <c r="B1367" s="23">
        <v>4.35407192844752</v>
      </c>
      <c r="C1367" s="23">
        <f t="shared" si="42"/>
        <v>7.0903798985000321E-2</v>
      </c>
      <c r="D1367" s="25">
        <f t="shared" si="43"/>
        <v>5.6016855008510828E-2</v>
      </c>
    </row>
    <row r="1368" spans="1:4">
      <c r="A1368" s="23" t="s">
        <v>180</v>
      </c>
      <c r="B1368" s="23">
        <v>4.2831681294625197</v>
      </c>
      <c r="C1368" s="23">
        <f t="shared" si="42"/>
        <v>3.607591281164968E-2</v>
      </c>
      <c r="D1368" s="25">
        <f t="shared" si="43"/>
        <v>5.6127876667276984E-2</v>
      </c>
    </row>
    <row r="1369" spans="1:4">
      <c r="A1369" s="23" t="s">
        <v>179</v>
      </c>
      <c r="B1369" s="23">
        <v>4.24709221665087</v>
      </c>
      <c r="C1369" s="23">
        <f t="shared" si="42"/>
        <v>2.1939569700360373E-2</v>
      </c>
      <c r="D1369" s="25">
        <f t="shared" si="43"/>
        <v>5.5908789283851568E-2</v>
      </c>
    </row>
    <row r="1370" spans="1:4">
      <c r="A1370" s="23" t="s">
        <v>178</v>
      </c>
      <c r="B1370" s="23">
        <v>4.2251526469505096</v>
      </c>
      <c r="C1370" s="23">
        <f t="shared" si="42"/>
        <v>3.3477878245319559E-2</v>
      </c>
      <c r="D1370" s="25">
        <f t="shared" si="43"/>
        <v>5.6037765287825808E-2</v>
      </c>
    </row>
    <row r="1371" spans="1:4">
      <c r="A1371" s="23" t="s">
        <v>177</v>
      </c>
      <c r="B1371" s="23">
        <v>4.1916747687051901</v>
      </c>
      <c r="C1371" s="23">
        <f t="shared" si="42"/>
        <v>4.1248445451190108E-2</v>
      </c>
      <c r="D1371" s="25">
        <f t="shared" si="43"/>
        <v>5.6570719857100195E-2</v>
      </c>
    </row>
    <row r="1372" spans="1:4">
      <c r="A1372" s="23" t="s">
        <v>176</v>
      </c>
      <c r="B1372" s="23">
        <v>4.150426323254</v>
      </c>
      <c r="C1372" s="23">
        <f t="shared" si="42"/>
        <v>-4.4176730616600324E-2</v>
      </c>
      <c r="D1372" s="25">
        <f t="shared" si="43"/>
        <v>5.6296747471725223E-2</v>
      </c>
    </row>
    <row r="1373" spans="1:4">
      <c r="A1373" s="23" t="s">
        <v>175</v>
      </c>
      <c r="B1373" s="23">
        <v>4.1946030538706003</v>
      </c>
      <c r="C1373" s="23">
        <f t="shared" si="42"/>
        <v>-4.9705328479989319E-2</v>
      </c>
      <c r="D1373" s="25">
        <f t="shared" si="43"/>
        <v>5.790676116640904E-2</v>
      </c>
    </row>
    <row r="1374" spans="1:4">
      <c r="A1374" s="23" t="s">
        <v>174</v>
      </c>
      <c r="B1374" s="23">
        <v>4.2443083823505896</v>
      </c>
      <c r="C1374" s="23">
        <f t="shared" si="42"/>
        <v>7.4877437693919191E-2</v>
      </c>
      <c r="D1374" s="25">
        <f t="shared" si="43"/>
        <v>5.760860562893378E-2</v>
      </c>
    </row>
    <row r="1375" spans="1:4">
      <c r="A1375" s="23" t="s">
        <v>173</v>
      </c>
      <c r="B1375" s="23">
        <v>4.1694309446566704</v>
      </c>
      <c r="C1375" s="23">
        <f t="shared" si="42"/>
        <v>6.2921137949030204E-2</v>
      </c>
      <c r="D1375" s="25">
        <f t="shared" si="43"/>
        <v>5.6701250717612457E-2</v>
      </c>
    </row>
    <row r="1376" spans="1:4">
      <c r="A1376" s="23" t="s">
        <v>172</v>
      </c>
      <c r="B1376" s="23">
        <v>4.1065098067076402</v>
      </c>
      <c r="C1376" s="23">
        <f t="shared" si="42"/>
        <v>6.2860005842329869E-2</v>
      </c>
      <c r="D1376" s="25">
        <f t="shared" si="43"/>
        <v>5.6677319011753401E-2</v>
      </c>
    </row>
    <row r="1377" spans="1:4">
      <c r="A1377" s="23" t="s">
        <v>171</v>
      </c>
      <c r="B1377" s="23">
        <v>4.0436498008653103</v>
      </c>
      <c r="C1377" s="23">
        <f t="shared" si="42"/>
        <v>9.4651176880500287E-2</v>
      </c>
      <c r="D1377" s="25">
        <f t="shared" si="43"/>
        <v>5.6399564928274123E-2</v>
      </c>
    </row>
    <row r="1378" spans="1:4">
      <c r="A1378" s="23" t="s">
        <v>170</v>
      </c>
      <c r="B1378" s="23">
        <v>3.9489986239848101</v>
      </c>
      <c r="C1378" s="23">
        <f t="shared" si="42"/>
        <v>-4.947501910559815E-3</v>
      </c>
      <c r="D1378" s="25">
        <f t="shared" si="43"/>
        <v>5.5861526525647666E-2</v>
      </c>
    </row>
    <row r="1379" spans="1:4">
      <c r="A1379" s="23" t="s">
        <v>169</v>
      </c>
      <c r="B1379" s="23">
        <v>3.9539461258953699</v>
      </c>
      <c r="C1379" s="23">
        <f t="shared" si="42"/>
        <v>-4.3505985056360164E-2</v>
      </c>
      <c r="D1379" s="25">
        <f t="shared" si="43"/>
        <v>5.5883598518869725E-2</v>
      </c>
    </row>
    <row r="1380" spans="1:4">
      <c r="A1380" s="23" t="s">
        <v>168</v>
      </c>
      <c r="B1380" s="23">
        <v>3.99745211095173</v>
      </c>
      <c r="C1380" s="23">
        <f t="shared" si="42"/>
        <v>-1.0115524375729823E-2</v>
      </c>
      <c r="D1380" s="25">
        <f t="shared" si="43"/>
        <v>5.6137193084879515E-2</v>
      </c>
    </row>
    <row r="1381" spans="1:4">
      <c r="A1381" s="23" t="s">
        <v>167</v>
      </c>
      <c r="B1381" s="23">
        <v>4.0075676353274599</v>
      </c>
      <c r="C1381" s="23">
        <f t="shared" si="42"/>
        <v>-8.1569038276319894E-2</v>
      </c>
      <c r="D1381" s="25">
        <f t="shared" si="43"/>
        <v>5.6137719172619935E-2</v>
      </c>
    </row>
    <row r="1382" spans="1:4">
      <c r="A1382" s="23" t="s">
        <v>166</v>
      </c>
      <c r="B1382" s="23">
        <v>4.0891366736037797</v>
      </c>
      <c r="C1382" s="23">
        <f t="shared" si="42"/>
        <v>-2.4933100376280493E-2</v>
      </c>
      <c r="D1382" s="25">
        <f t="shared" si="43"/>
        <v>5.5471064279574045E-2</v>
      </c>
    </row>
    <row r="1383" spans="1:4">
      <c r="A1383" s="23" t="s">
        <v>165</v>
      </c>
      <c r="B1383" s="23">
        <v>4.1140697739800602</v>
      </c>
      <c r="C1383" s="23">
        <f t="shared" si="42"/>
        <v>-2.7962407829029701E-2</v>
      </c>
      <c r="D1383" s="25">
        <f t="shared" si="43"/>
        <v>5.5417047391362592E-2</v>
      </c>
    </row>
    <row r="1384" spans="1:4">
      <c r="A1384" s="23" t="s">
        <v>164</v>
      </c>
      <c r="B1384" s="23">
        <v>4.1420321818090899</v>
      </c>
      <c r="C1384" s="23">
        <f t="shared" si="42"/>
        <v>9.8380960349899738E-3</v>
      </c>
      <c r="D1384" s="25">
        <f t="shared" si="43"/>
        <v>5.5386766582843208E-2</v>
      </c>
    </row>
    <row r="1385" spans="1:4">
      <c r="A1385" s="23" t="s">
        <v>163</v>
      </c>
      <c r="B1385" s="23">
        <v>4.1321940857741</v>
      </c>
      <c r="C1385" s="23">
        <f t="shared" si="42"/>
        <v>4.8554381751180209E-2</v>
      </c>
      <c r="D1385" s="25">
        <f t="shared" si="43"/>
        <v>5.5450989505339957E-2</v>
      </c>
    </row>
    <row r="1386" spans="1:4">
      <c r="A1386" s="23" t="s">
        <v>162</v>
      </c>
      <c r="B1386" s="23">
        <v>4.0836397040229198</v>
      </c>
      <c r="C1386" s="23">
        <f t="shared" si="42"/>
        <v>5.5998051397399884E-2</v>
      </c>
      <c r="D1386" s="25">
        <f t="shared" si="43"/>
        <v>5.5998705085578332E-2</v>
      </c>
    </row>
    <row r="1387" spans="1:4">
      <c r="A1387" s="23" t="s">
        <v>161</v>
      </c>
      <c r="B1387" s="23">
        <v>4.0276416526255199</v>
      </c>
      <c r="C1387" s="23">
        <f t="shared" si="42"/>
        <v>-9.8341326667489959E-2</v>
      </c>
      <c r="D1387" s="25">
        <f t="shared" si="43"/>
        <v>5.5484783200497781E-2</v>
      </c>
    </row>
    <row r="1388" spans="1:4">
      <c r="A1388" s="23" t="s">
        <v>160</v>
      </c>
      <c r="B1388" s="23">
        <v>4.1259829792930098</v>
      </c>
      <c r="C1388" s="23">
        <f t="shared" si="42"/>
        <v>-7.9502233863060212E-2</v>
      </c>
      <c r="D1388" s="25">
        <f t="shared" si="43"/>
        <v>5.4287262817590554E-2</v>
      </c>
    </row>
    <row r="1389" spans="1:4">
      <c r="A1389" s="23" t="s">
        <v>159</v>
      </c>
      <c r="B1389" s="23">
        <v>4.20548521315607</v>
      </c>
      <c r="C1389" s="23">
        <f t="shared" si="42"/>
        <v>-4.4570574471910263E-2</v>
      </c>
      <c r="D1389" s="25">
        <f t="shared" si="43"/>
        <v>5.3784496636358675E-2</v>
      </c>
    </row>
    <row r="1390" spans="1:4">
      <c r="A1390" s="23" t="s">
        <v>158</v>
      </c>
      <c r="B1390" s="23">
        <v>4.2500557876279803</v>
      </c>
      <c r="C1390" s="23">
        <f t="shared" si="42"/>
        <v>-2.7126863298399861E-2</v>
      </c>
      <c r="D1390" s="25">
        <f t="shared" si="43"/>
        <v>5.3591619439705085E-2</v>
      </c>
    </row>
    <row r="1391" spans="1:4">
      <c r="A1391" s="23" t="s">
        <v>157</v>
      </c>
      <c r="B1391" s="23">
        <v>4.2771826509263802</v>
      </c>
      <c r="C1391" s="23">
        <f t="shared" si="42"/>
        <v>-1.5994110091630098E-2</v>
      </c>
      <c r="D1391" s="25">
        <f t="shared" si="43"/>
        <v>5.3673615331934432E-2</v>
      </c>
    </row>
    <row r="1392" spans="1:4">
      <c r="A1392" s="23" t="s">
        <v>156</v>
      </c>
      <c r="B1392" s="23">
        <v>4.2931767610180103</v>
      </c>
      <c r="C1392" s="23">
        <f t="shared" si="42"/>
        <v>-4.7096585662269597E-2</v>
      </c>
      <c r="D1392" s="25">
        <f t="shared" si="43"/>
        <v>5.5345114036138933E-2</v>
      </c>
    </row>
    <row r="1393" spans="1:4">
      <c r="A1393" s="23" t="s">
        <v>155</v>
      </c>
      <c r="B1393" s="23">
        <v>4.3402733466802799</v>
      </c>
      <c r="C1393" s="23">
        <f t="shared" si="42"/>
        <v>-5.6948699137210568E-2</v>
      </c>
      <c r="D1393" s="25">
        <f t="shared" si="43"/>
        <v>5.5107063611219601E-2</v>
      </c>
    </row>
    <row r="1394" spans="1:4">
      <c r="A1394" s="23" t="s">
        <v>154</v>
      </c>
      <c r="B1394" s="23">
        <v>4.3972220458174904</v>
      </c>
      <c r="C1394" s="23">
        <f t="shared" si="42"/>
        <v>2.3813849445490476E-2</v>
      </c>
      <c r="D1394" s="25">
        <f t="shared" si="43"/>
        <v>5.52783813941514E-2</v>
      </c>
    </row>
    <row r="1395" spans="1:4">
      <c r="A1395" s="23" t="s">
        <v>153</v>
      </c>
      <c r="B1395" s="23">
        <v>4.373408196372</v>
      </c>
      <c r="C1395" s="23">
        <f t="shared" si="42"/>
        <v>3.2564359470390158E-2</v>
      </c>
      <c r="D1395" s="25">
        <f t="shared" si="43"/>
        <v>5.6722152736159367E-2</v>
      </c>
    </row>
    <row r="1396" spans="1:4">
      <c r="A1396" s="23" t="s">
        <v>152</v>
      </c>
      <c r="B1396" s="23">
        <v>4.3408438369016098</v>
      </c>
      <c r="C1396" s="23">
        <f t="shared" si="42"/>
        <v>5.1104645634719503E-2</v>
      </c>
      <c r="D1396" s="25">
        <f t="shared" si="43"/>
        <v>5.7977147227023525E-2</v>
      </c>
    </row>
    <row r="1397" spans="1:4">
      <c r="A1397" s="23" t="s">
        <v>151</v>
      </c>
      <c r="B1397" s="23">
        <v>4.2897391912668903</v>
      </c>
      <c r="C1397" s="23">
        <f t="shared" si="42"/>
        <v>-6.5814936605119279E-2</v>
      </c>
      <c r="D1397" s="25">
        <f t="shared" si="43"/>
        <v>5.7573055769354703E-2</v>
      </c>
    </row>
    <row r="1398" spans="1:4">
      <c r="A1398" s="23" t="s">
        <v>150</v>
      </c>
      <c r="B1398" s="23">
        <v>4.3555541278720096</v>
      </c>
      <c r="C1398" s="23">
        <f t="shared" si="42"/>
        <v>6.2344324595379419E-2</v>
      </c>
      <c r="D1398" s="25">
        <f t="shared" si="43"/>
        <v>5.908734664026323E-2</v>
      </c>
    </row>
    <row r="1399" spans="1:4">
      <c r="A1399" s="23" t="s">
        <v>149</v>
      </c>
      <c r="B1399" s="23">
        <v>4.2932098032766302</v>
      </c>
      <c r="C1399" s="23">
        <f t="shared" si="42"/>
        <v>-8.848627621001004E-2</v>
      </c>
      <c r="D1399" s="25">
        <f t="shared" si="43"/>
        <v>5.9010434507625484E-2</v>
      </c>
    </row>
    <row r="1400" spans="1:4">
      <c r="A1400" s="23" t="s">
        <v>148</v>
      </c>
      <c r="B1400" s="23">
        <v>4.3816960794866402</v>
      </c>
      <c r="C1400" s="23">
        <f t="shared" si="42"/>
        <v>-7.7268183195619677E-2</v>
      </c>
      <c r="D1400" s="25">
        <f t="shared" si="43"/>
        <v>6.0183972700214035E-2</v>
      </c>
    </row>
    <row r="1401" spans="1:4">
      <c r="A1401" s="23" t="s">
        <v>147</v>
      </c>
      <c r="B1401" s="23">
        <v>4.4589642626822599</v>
      </c>
      <c r="C1401" s="23">
        <f t="shared" si="42"/>
        <v>7.0701954252649912E-2</v>
      </c>
      <c r="D1401" s="25">
        <f t="shared" si="43"/>
        <v>6.2233103918441668E-2</v>
      </c>
    </row>
    <row r="1402" spans="1:4">
      <c r="A1402" s="23" t="s">
        <v>146</v>
      </c>
      <c r="B1402" s="23">
        <v>4.38826230842961</v>
      </c>
      <c r="C1402" s="23">
        <f t="shared" si="42"/>
        <v>3.9380452764260276E-2</v>
      </c>
      <c r="D1402" s="25">
        <f t="shared" si="43"/>
        <v>6.1510094098832124E-2</v>
      </c>
    </row>
    <row r="1403" spans="1:4">
      <c r="A1403" s="23" t="s">
        <v>145</v>
      </c>
      <c r="B1403" s="23">
        <v>4.3488818556653497</v>
      </c>
      <c r="C1403" s="23">
        <f t="shared" si="42"/>
        <v>-3.0253658776402403E-3</v>
      </c>
      <c r="D1403" s="25">
        <f t="shared" si="43"/>
        <v>6.146980146147233E-2</v>
      </c>
    </row>
    <row r="1404" spans="1:4">
      <c r="A1404" s="23" t="s">
        <v>144</v>
      </c>
      <c r="B1404" s="23">
        <v>4.3519072215429899</v>
      </c>
      <c r="C1404" s="23">
        <f t="shared" si="42"/>
        <v>4.6809781844899589E-2</v>
      </c>
      <c r="D1404" s="25">
        <f t="shared" si="43"/>
        <v>6.176306585712768E-2</v>
      </c>
    </row>
    <row r="1405" spans="1:4">
      <c r="A1405" s="23" t="s">
        <v>143</v>
      </c>
      <c r="B1405" s="23">
        <v>4.3050974396980903</v>
      </c>
      <c r="C1405" s="23">
        <f t="shared" si="42"/>
        <v>-3.7217342129340025E-2</v>
      </c>
      <c r="D1405" s="25">
        <f t="shared" si="43"/>
        <v>6.1553629117678713E-2</v>
      </c>
    </row>
    <row r="1406" spans="1:4">
      <c r="A1406" s="23" t="s">
        <v>142</v>
      </c>
      <c r="B1406" s="23">
        <v>4.3423147818274304</v>
      </c>
      <c r="C1406" s="23">
        <f t="shared" si="42"/>
        <v>-1.5831355443779671E-2</v>
      </c>
      <c r="D1406" s="25">
        <f t="shared" si="43"/>
        <v>6.1851672085107598E-2</v>
      </c>
    </row>
    <row r="1407" spans="1:4">
      <c r="A1407" s="23" t="s">
        <v>141</v>
      </c>
      <c r="B1407" s="23">
        <v>4.35814613727121</v>
      </c>
      <c r="C1407" s="23">
        <f t="shared" si="42"/>
        <v>-4.2242755655370168E-2</v>
      </c>
      <c r="D1407" s="25">
        <f t="shared" si="43"/>
        <v>6.6096870290991802E-2</v>
      </c>
    </row>
    <row r="1408" spans="1:4">
      <c r="A1408" s="23" t="s">
        <v>140</v>
      </c>
      <c r="B1408" s="23">
        <v>4.4003888929265802</v>
      </c>
      <c r="C1408" s="23">
        <f t="shared" si="42"/>
        <v>7.7423210728389869E-2</v>
      </c>
      <c r="D1408" s="25">
        <f t="shared" si="43"/>
        <v>6.6234947085702572E-2</v>
      </c>
    </row>
    <row r="1409" spans="1:4">
      <c r="A1409" s="23" t="s">
        <v>139</v>
      </c>
      <c r="B1409" s="23">
        <v>4.3229656821981903</v>
      </c>
      <c r="C1409" s="23">
        <f t="shared" si="42"/>
        <v>0.10403179423042008</v>
      </c>
      <c r="D1409" s="25">
        <f t="shared" si="43"/>
        <v>6.7282430460886333E-2</v>
      </c>
    </row>
    <row r="1410" spans="1:4">
      <c r="A1410" s="23" t="s">
        <v>138</v>
      </c>
      <c r="B1410" s="23">
        <v>4.2189338879677702</v>
      </c>
      <c r="C1410" s="23">
        <f t="shared" ref="C1410:C1473" si="44">B1410-B1411</f>
        <v>-3.2637427548509734E-2</v>
      </c>
      <c r="D1410" s="25">
        <f t="shared" ref="D1410:D1473" si="45">STDEV(C1410:C1469)</f>
        <v>6.6166202683739406E-2</v>
      </c>
    </row>
    <row r="1411" spans="1:4">
      <c r="A1411" s="23" t="s">
        <v>137</v>
      </c>
      <c r="B1411" s="23">
        <v>4.25157131551628</v>
      </c>
      <c r="C1411" s="23">
        <f t="shared" si="44"/>
        <v>0.13001651105599965</v>
      </c>
      <c r="D1411" s="25">
        <f t="shared" si="45"/>
        <v>6.6606381360585026E-2</v>
      </c>
    </row>
    <row r="1412" spans="1:4">
      <c r="A1412" s="23" t="s">
        <v>136</v>
      </c>
      <c r="B1412" s="23">
        <v>4.1215548044602803</v>
      </c>
      <c r="C1412" s="23">
        <f t="shared" si="44"/>
        <v>2.9907163988069918E-2</v>
      </c>
      <c r="D1412" s="25">
        <f t="shared" si="45"/>
        <v>6.4748601997054317E-2</v>
      </c>
    </row>
    <row r="1413" spans="1:4">
      <c r="A1413" s="23" t="s">
        <v>135</v>
      </c>
      <c r="B1413" s="23">
        <v>4.0916476404722104</v>
      </c>
      <c r="C1413" s="23">
        <f t="shared" si="44"/>
        <v>-4.9477251323929217E-2</v>
      </c>
      <c r="D1413" s="25">
        <f t="shared" si="45"/>
        <v>6.859286408221027E-2</v>
      </c>
    </row>
    <row r="1414" spans="1:4">
      <c r="A1414" s="23" t="s">
        <v>134</v>
      </c>
      <c r="B1414" s="23">
        <v>4.1411248917961396</v>
      </c>
      <c r="C1414" s="23">
        <f t="shared" si="44"/>
        <v>9.1590419663596379E-3</v>
      </c>
      <c r="D1414" s="25">
        <f t="shared" si="45"/>
        <v>6.9068417308935773E-2</v>
      </c>
    </row>
    <row r="1415" spans="1:4">
      <c r="A1415" s="23" t="s">
        <v>133</v>
      </c>
      <c r="B1415" s="23">
        <v>4.13196584982978</v>
      </c>
      <c r="C1415" s="23">
        <f t="shared" si="44"/>
        <v>2.5685472770179629E-2</v>
      </c>
      <c r="D1415" s="25">
        <f t="shared" si="45"/>
        <v>6.9714184366349491E-2</v>
      </c>
    </row>
    <row r="1416" spans="1:4">
      <c r="A1416" s="23" t="s">
        <v>132</v>
      </c>
      <c r="B1416" s="23">
        <v>4.1062803770596004</v>
      </c>
      <c r="C1416" s="23">
        <f t="shared" si="44"/>
        <v>2.6152555883500739E-3</v>
      </c>
      <c r="D1416" s="25">
        <f t="shared" si="45"/>
        <v>7.0689321593737045E-2</v>
      </c>
    </row>
    <row r="1417" spans="1:4">
      <c r="A1417" s="23" t="s">
        <v>131</v>
      </c>
      <c r="B1417" s="23">
        <v>4.1036651214712503</v>
      </c>
      <c r="C1417" s="23">
        <f t="shared" si="44"/>
        <v>-0.12100549327763943</v>
      </c>
      <c r="D1417" s="25">
        <f t="shared" si="45"/>
        <v>7.2090716651661418E-2</v>
      </c>
    </row>
    <row r="1418" spans="1:4">
      <c r="A1418" s="23" t="s">
        <v>130</v>
      </c>
      <c r="B1418" s="23">
        <v>4.2246706147488897</v>
      </c>
      <c r="C1418" s="23">
        <f t="shared" si="44"/>
        <v>1.6051608544209728E-2</v>
      </c>
      <c r="D1418" s="25">
        <f t="shared" si="45"/>
        <v>7.2891723182070906E-2</v>
      </c>
    </row>
    <row r="1419" spans="1:4">
      <c r="A1419" s="23" t="s">
        <v>129</v>
      </c>
      <c r="B1419" s="23">
        <v>4.20861900620468</v>
      </c>
      <c r="C1419" s="23">
        <f t="shared" si="44"/>
        <v>-7.1500679165401593E-3</v>
      </c>
      <c r="D1419" s="25">
        <f t="shared" si="45"/>
        <v>7.2961564199815379E-2</v>
      </c>
    </row>
    <row r="1420" spans="1:4">
      <c r="A1420" s="23" t="s">
        <v>128</v>
      </c>
      <c r="B1420" s="23">
        <v>4.2157690741212202</v>
      </c>
      <c r="C1420" s="23">
        <f t="shared" si="44"/>
        <v>-5.3613918379859626E-2</v>
      </c>
      <c r="D1420" s="25">
        <f t="shared" si="45"/>
        <v>7.2964988587861365E-2</v>
      </c>
    </row>
    <row r="1421" spans="1:4">
      <c r="A1421" s="23" t="s">
        <v>127</v>
      </c>
      <c r="B1421" s="23">
        <v>4.2693829925010798</v>
      </c>
      <c r="C1421" s="23">
        <f t="shared" si="44"/>
        <v>-3.8372559830920139E-2</v>
      </c>
      <c r="D1421" s="25">
        <f t="shared" si="45"/>
        <v>7.2828930602123643E-2</v>
      </c>
    </row>
    <row r="1422" spans="1:4">
      <c r="A1422" s="23" t="s">
        <v>126</v>
      </c>
      <c r="B1422" s="23">
        <v>4.3077555523319999</v>
      </c>
      <c r="C1422" s="23">
        <f t="shared" si="44"/>
        <v>-6.6940170656479836E-2</v>
      </c>
      <c r="D1422" s="25">
        <f t="shared" si="45"/>
        <v>7.2781734204229259E-2</v>
      </c>
    </row>
    <row r="1423" spans="1:4">
      <c r="A1423" s="23" t="s">
        <v>125</v>
      </c>
      <c r="B1423" s="23">
        <v>4.3746957229884798</v>
      </c>
      <c r="C1423" s="23">
        <f t="shared" si="44"/>
        <v>-1.1199524021909824E-2</v>
      </c>
      <c r="D1423" s="25">
        <f t="shared" si="45"/>
        <v>7.2596260781784105E-2</v>
      </c>
    </row>
    <row r="1424" spans="1:4">
      <c r="A1424" s="23" t="s">
        <v>124</v>
      </c>
      <c r="B1424" s="23">
        <v>4.3858952470103896</v>
      </c>
      <c r="C1424" s="23">
        <f t="shared" si="44"/>
        <v>-2.7635426909710326E-2</v>
      </c>
      <c r="D1424" s="25">
        <f t="shared" si="45"/>
        <v>7.2602097919222536E-2</v>
      </c>
    </row>
    <row r="1425" spans="1:4">
      <c r="A1425" s="23" t="s">
        <v>123</v>
      </c>
      <c r="B1425" s="23">
        <v>4.4135306739200999</v>
      </c>
      <c r="C1425" s="23">
        <f t="shared" si="44"/>
        <v>2.6285625302779891E-2</v>
      </c>
      <c r="D1425" s="25">
        <f t="shared" si="45"/>
        <v>7.2602646002443524E-2</v>
      </c>
    </row>
    <row r="1426" spans="1:4">
      <c r="A1426" s="23" t="s">
        <v>122</v>
      </c>
      <c r="B1426" s="23">
        <v>4.38724504861732</v>
      </c>
      <c r="C1426" s="23">
        <f t="shared" si="44"/>
        <v>7.6630066965550192E-2</v>
      </c>
      <c r="D1426" s="25">
        <f t="shared" si="45"/>
        <v>7.5727087646953878E-2</v>
      </c>
    </row>
    <row r="1427" spans="1:4">
      <c r="A1427" s="23" t="s">
        <v>121</v>
      </c>
      <c r="B1427" s="23">
        <v>4.3106149816517698</v>
      </c>
      <c r="C1427" s="23">
        <f t="shared" si="44"/>
        <v>-7.6888782260560617E-2</v>
      </c>
      <c r="D1427" s="25">
        <f t="shared" si="45"/>
        <v>7.4993704137223588E-2</v>
      </c>
    </row>
    <row r="1428" spans="1:4">
      <c r="A1428" s="23" t="s">
        <v>120</v>
      </c>
      <c r="B1428" s="23">
        <v>4.3875037639123304</v>
      </c>
      <c r="C1428" s="23">
        <f t="shared" si="44"/>
        <v>-4.8490695295999586E-3</v>
      </c>
      <c r="D1428" s="25">
        <f t="shared" si="45"/>
        <v>7.4454712239401602E-2</v>
      </c>
    </row>
    <row r="1429" spans="1:4">
      <c r="A1429" s="23" t="s">
        <v>119</v>
      </c>
      <c r="B1429" s="23">
        <v>4.3923528334419304</v>
      </c>
      <c r="C1429" s="23">
        <f t="shared" si="44"/>
        <v>3.5637256947440576E-2</v>
      </c>
      <c r="D1429" s="25">
        <f t="shared" si="45"/>
        <v>7.5307044372617343E-2</v>
      </c>
    </row>
    <row r="1430" spans="1:4">
      <c r="A1430" s="23" t="s">
        <v>118</v>
      </c>
      <c r="B1430" s="23">
        <v>4.3567155764944898</v>
      </c>
      <c r="C1430" s="23">
        <f t="shared" si="44"/>
        <v>6.7322603272099713E-2</v>
      </c>
      <c r="D1430" s="25">
        <f t="shared" si="45"/>
        <v>7.5529533332454726E-2</v>
      </c>
    </row>
    <row r="1431" spans="1:4">
      <c r="A1431" s="23" t="s">
        <v>117</v>
      </c>
      <c r="B1431" s="23">
        <v>4.2893929732223901</v>
      </c>
      <c r="C1431" s="23">
        <f t="shared" si="44"/>
        <v>4.4224129592098649E-3</v>
      </c>
      <c r="D1431" s="25">
        <f t="shared" si="45"/>
        <v>8.5887310261668015E-2</v>
      </c>
    </row>
    <row r="1432" spans="1:4">
      <c r="A1432" s="23" t="s">
        <v>116</v>
      </c>
      <c r="B1432" s="23">
        <v>4.2849705602631802</v>
      </c>
      <c r="C1432" s="23">
        <f t="shared" si="44"/>
        <v>-0.11489282522764999</v>
      </c>
      <c r="D1432" s="25">
        <f t="shared" si="45"/>
        <v>8.6723884952328384E-2</v>
      </c>
    </row>
    <row r="1433" spans="1:4">
      <c r="A1433" s="23" t="s">
        <v>115</v>
      </c>
      <c r="B1433" s="23">
        <v>4.3998633854908302</v>
      </c>
      <c r="C1433" s="23">
        <f t="shared" si="44"/>
        <v>-1.4842238882059711E-2</v>
      </c>
      <c r="D1433" s="25">
        <f t="shared" si="45"/>
        <v>8.5891602818573651E-2</v>
      </c>
    </row>
    <row r="1434" spans="1:4">
      <c r="A1434" s="23" t="s">
        <v>114</v>
      </c>
      <c r="B1434" s="23">
        <v>4.4147056243728899</v>
      </c>
      <c r="C1434" s="23">
        <f t="shared" si="44"/>
        <v>-8.9839006705503266E-3</v>
      </c>
      <c r="D1434" s="25">
        <f t="shared" si="45"/>
        <v>8.7318821323926946E-2</v>
      </c>
    </row>
    <row r="1435" spans="1:4">
      <c r="A1435" s="23" t="s">
        <v>113</v>
      </c>
      <c r="B1435" s="23">
        <v>4.4236895250434403</v>
      </c>
      <c r="C1435" s="23">
        <f t="shared" si="44"/>
        <v>6.1718696680260088E-2</v>
      </c>
      <c r="D1435" s="25">
        <f t="shared" si="45"/>
        <v>8.8754069422549209E-2</v>
      </c>
    </row>
    <row r="1436" spans="1:4">
      <c r="A1436" s="23" t="s">
        <v>112</v>
      </c>
      <c r="B1436" s="23">
        <v>4.3619708283631802</v>
      </c>
      <c r="C1436" s="23">
        <f t="shared" si="44"/>
        <v>4.7276627214060341E-2</v>
      </c>
      <c r="D1436" s="25">
        <f t="shared" si="45"/>
        <v>8.878416805525452E-2</v>
      </c>
    </row>
    <row r="1437" spans="1:4">
      <c r="A1437" s="23" t="s">
        <v>111</v>
      </c>
      <c r="B1437" s="23">
        <v>4.3146942011491198</v>
      </c>
      <c r="C1437" s="23">
        <f t="shared" si="44"/>
        <v>-8.7109021696240241E-2</v>
      </c>
      <c r="D1437" s="25">
        <f t="shared" si="45"/>
        <v>8.943220636923925E-2</v>
      </c>
    </row>
    <row r="1438" spans="1:4">
      <c r="A1438" s="23" t="s">
        <v>110</v>
      </c>
      <c r="B1438" s="23">
        <v>4.4018032228453601</v>
      </c>
      <c r="C1438" s="23">
        <f t="shared" si="44"/>
        <v>-2.0039624467569794E-2</v>
      </c>
      <c r="D1438" s="25">
        <f t="shared" si="45"/>
        <v>8.9046558042134766E-2</v>
      </c>
    </row>
    <row r="1439" spans="1:4">
      <c r="A1439" s="23" t="s">
        <v>109</v>
      </c>
      <c r="B1439" s="23">
        <v>4.4218428473129299</v>
      </c>
      <c r="C1439" s="23">
        <f t="shared" si="44"/>
        <v>-6.217578903622023E-2</v>
      </c>
      <c r="D1439" s="25">
        <f t="shared" si="45"/>
        <v>9.0327406576548197E-2</v>
      </c>
    </row>
    <row r="1440" spans="1:4">
      <c r="A1440" s="23" t="s">
        <v>108</v>
      </c>
      <c r="B1440" s="23">
        <v>4.4840186363491501</v>
      </c>
      <c r="C1440" s="23">
        <f t="shared" si="44"/>
        <v>-5.2994852350902732E-3</v>
      </c>
      <c r="D1440" s="25">
        <f t="shared" si="45"/>
        <v>9.3531617466945924E-2</v>
      </c>
    </row>
    <row r="1441" spans="1:4">
      <c r="A1441" s="23" t="s">
        <v>107</v>
      </c>
      <c r="B1441" s="23">
        <v>4.4893181215842404</v>
      </c>
      <c r="C1441" s="23">
        <f t="shared" si="44"/>
        <v>2.68136689318208E-2</v>
      </c>
      <c r="D1441" s="25">
        <f t="shared" si="45"/>
        <v>9.6930948980365014E-2</v>
      </c>
    </row>
    <row r="1442" spans="1:4">
      <c r="A1442" s="23" t="s">
        <v>106</v>
      </c>
      <c r="B1442" s="23">
        <v>4.4625044526524196</v>
      </c>
      <c r="C1442" s="23">
        <f t="shared" si="44"/>
        <v>-4.2768180437500192E-3</v>
      </c>
      <c r="D1442" s="25">
        <f t="shared" si="45"/>
        <v>9.7296261928756261E-2</v>
      </c>
    </row>
    <row r="1443" spans="1:4">
      <c r="A1443" s="23" t="s">
        <v>105</v>
      </c>
      <c r="B1443" s="23">
        <v>4.4667812706961696</v>
      </c>
      <c r="C1443" s="23">
        <f t="shared" si="44"/>
        <v>-2.2912736234160569E-2</v>
      </c>
      <c r="D1443" s="25">
        <f t="shared" si="45"/>
        <v>9.751872620091781E-2</v>
      </c>
    </row>
    <row r="1444" spans="1:4">
      <c r="A1444" s="23" t="s">
        <v>104</v>
      </c>
      <c r="B1444" s="23">
        <v>4.4896940069303302</v>
      </c>
      <c r="C1444" s="23">
        <f t="shared" si="44"/>
        <v>-3.2132819425319425E-2</v>
      </c>
      <c r="D1444" s="25">
        <f t="shared" si="45"/>
        <v>0.10546439639411802</v>
      </c>
    </row>
    <row r="1445" spans="1:4">
      <c r="A1445" s="23" t="s">
        <v>103</v>
      </c>
      <c r="B1445" s="23">
        <v>4.5218268263556496</v>
      </c>
      <c r="C1445" s="23">
        <f t="shared" si="44"/>
        <v>7.5013793440129817E-2</v>
      </c>
      <c r="D1445" s="25">
        <f t="shared" si="45"/>
        <v>0.11473135886857812</v>
      </c>
    </row>
    <row r="1446" spans="1:4">
      <c r="A1446" s="23" t="s">
        <v>102</v>
      </c>
      <c r="B1446" s="23">
        <v>4.4468130329155198</v>
      </c>
      <c r="C1446" s="23">
        <f t="shared" si="44"/>
        <v>-3.0435186968880146E-2</v>
      </c>
      <c r="D1446" s="25">
        <f t="shared" si="45"/>
        <v>0.11601585880044719</v>
      </c>
    </row>
    <row r="1447" spans="1:4">
      <c r="A1447" s="23" t="s">
        <v>101</v>
      </c>
      <c r="B1447" s="23">
        <v>4.4772482198843999</v>
      </c>
      <c r="C1447" s="23">
        <f t="shared" si="44"/>
        <v>-3.1413958195879665E-2</v>
      </c>
      <c r="D1447" s="25">
        <f t="shared" si="45"/>
        <v>0.12504174217088465</v>
      </c>
    </row>
    <row r="1448" spans="1:4">
      <c r="A1448" s="23" t="s">
        <v>100</v>
      </c>
      <c r="B1448" s="23">
        <v>4.5086621780802796</v>
      </c>
      <c r="C1448" s="23">
        <f t="shared" si="44"/>
        <v>4.2504471823029633E-2</v>
      </c>
      <c r="D1448" s="25">
        <f t="shared" si="45"/>
        <v>0.12513476947150171</v>
      </c>
    </row>
    <row r="1449" spans="1:4">
      <c r="A1449" s="23" t="s">
        <v>99</v>
      </c>
      <c r="B1449" s="23">
        <v>4.4661577062572499</v>
      </c>
      <c r="C1449" s="23">
        <f t="shared" si="44"/>
        <v>-2.4419100209180478E-2</v>
      </c>
      <c r="D1449" s="25">
        <f t="shared" si="45"/>
        <v>0.12527298555478986</v>
      </c>
    </row>
    <row r="1450" spans="1:4">
      <c r="A1450" s="23" t="s">
        <v>98</v>
      </c>
      <c r="B1450" s="23">
        <v>4.4905768064664304</v>
      </c>
      <c r="C1450" s="23">
        <f t="shared" si="44"/>
        <v>-3.6486885668769453E-2</v>
      </c>
      <c r="D1450" s="25">
        <f t="shared" si="45"/>
        <v>0.12573643300153711</v>
      </c>
    </row>
    <row r="1451" spans="1:4">
      <c r="A1451" s="23" t="s">
        <v>97</v>
      </c>
      <c r="B1451" s="23">
        <v>4.5270636921351999</v>
      </c>
      <c r="C1451" s="23">
        <f t="shared" si="44"/>
        <v>-0.10921720890434017</v>
      </c>
      <c r="D1451" s="25">
        <f t="shared" si="45"/>
        <v>0.12573378595552973</v>
      </c>
    </row>
    <row r="1452" spans="1:4">
      <c r="A1452" s="23" t="s">
        <v>96</v>
      </c>
      <c r="B1452" s="23">
        <v>4.63628090103954</v>
      </c>
      <c r="C1452" s="23">
        <f t="shared" si="44"/>
        <v>8.8787410173400971E-3</v>
      </c>
      <c r="D1452" s="25">
        <f t="shared" si="45"/>
        <v>0.12478033710656422</v>
      </c>
    </row>
    <row r="1453" spans="1:4">
      <c r="A1453" s="23" t="s">
        <v>95</v>
      </c>
      <c r="B1453" s="23">
        <v>4.6274021600222</v>
      </c>
      <c r="C1453" s="23">
        <f t="shared" si="44"/>
        <v>-6.6739879477800024E-2</v>
      </c>
      <c r="D1453" s="25">
        <f t="shared" si="45"/>
        <v>0.12488700081758816</v>
      </c>
    </row>
    <row r="1454" spans="1:4">
      <c r="A1454" s="23" t="s">
        <v>94</v>
      </c>
      <c r="B1454" s="23">
        <v>4.6941420395</v>
      </c>
      <c r="C1454" s="23">
        <f t="shared" si="44"/>
        <v>-0.10818709451845976</v>
      </c>
      <c r="D1454" s="25">
        <f t="shared" si="45"/>
        <v>0.1244660938730779</v>
      </c>
    </row>
    <row r="1455" spans="1:4">
      <c r="A1455" s="23" t="s">
        <v>93</v>
      </c>
      <c r="B1455" s="23">
        <v>4.8023291340184597</v>
      </c>
      <c r="C1455" s="23">
        <f t="shared" si="44"/>
        <v>9.3508664893970028E-2</v>
      </c>
      <c r="D1455" s="25">
        <f t="shared" si="45"/>
        <v>0.12346038321650529</v>
      </c>
    </row>
    <row r="1456" spans="1:4">
      <c r="A1456" s="23" t="s">
        <v>92</v>
      </c>
      <c r="B1456" s="23">
        <v>4.7088204691244897</v>
      </c>
      <c r="C1456" s="23">
        <f t="shared" si="44"/>
        <v>1.7116082173499692E-2</v>
      </c>
      <c r="D1456" s="25">
        <f t="shared" si="45"/>
        <v>0.12328651431716102</v>
      </c>
    </row>
    <row r="1457" spans="1:4">
      <c r="A1457" s="23" t="s">
        <v>91</v>
      </c>
      <c r="B1457" s="23">
        <v>4.69170438695099</v>
      </c>
      <c r="C1457" s="23">
        <f t="shared" si="44"/>
        <v>0.11352324798053015</v>
      </c>
      <c r="D1457" s="25">
        <f t="shared" si="45"/>
        <v>0.12333709152530051</v>
      </c>
    </row>
    <row r="1458" spans="1:4">
      <c r="A1458" s="23" t="s">
        <v>90</v>
      </c>
      <c r="B1458" s="23">
        <v>4.5781811389704599</v>
      </c>
      <c r="C1458" s="23">
        <f t="shared" si="44"/>
        <v>5.8157307784600043E-2</v>
      </c>
      <c r="D1458" s="25">
        <f t="shared" si="45"/>
        <v>0.12392524717643358</v>
      </c>
    </row>
    <row r="1459" spans="1:4">
      <c r="A1459" s="23" t="s">
        <v>89</v>
      </c>
      <c r="B1459" s="23">
        <v>4.5200238311858598</v>
      </c>
      <c r="C1459" s="23">
        <f t="shared" si="44"/>
        <v>0.1234058112808496</v>
      </c>
      <c r="D1459" s="25">
        <f t="shared" si="45"/>
        <v>0.12383978554707809</v>
      </c>
    </row>
    <row r="1460" spans="1:4">
      <c r="A1460" s="23" t="s">
        <v>88</v>
      </c>
      <c r="B1460" s="23">
        <v>4.3966180199050102</v>
      </c>
      <c r="C1460" s="23">
        <f t="shared" si="44"/>
        <v>-0.14449639814530979</v>
      </c>
      <c r="D1460" s="25">
        <f t="shared" si="45"/>
        <v>0.54089128590525126</v>
      </c>
    </row>
    <row r="1461" spans="1:4">
      <c r="A1461" s="23" t="s">
        <v>87</v>
      </c>
      <c r="B1461" s="23">
        <v>4.54111441805032</v>
      </c>
      <c r="C1461" s="23">
        <f t="shared" si="44"/>
        <v>-4.5303895499495539E-3</v>
      </c>
      <c r="D1461" s="25">
        <f t="shared" si="45"/>
        <v>0.54477155210103512</v>
      </c>
    </row>
    <row r="1462" spans="1:4">
      <c r="A1462" s="23" t="s">
        <v>86</v>
      </c>
      <c r="B1462" s="23">
        <v>4.5456448076002696</v>
      </c>
      <c r="C1462" s="23">
        <f t="shared" si="44"/>
        <v>-4.241559833251074E-2</v>
      </c>
      <c r="D1462" s="25">
        <f t="shared" si="45"/>
        <v>0.5494216103822529</v>
      </c>
    </row>
    <row r="1463" spans="1:4">
      <c r="A1463" s="23" t="s">
        <v>85</v>
      </c>
      <c r="B1463" s="23">
        <v>4.5880604059327803</v>
      </c>
      <c r="C1463" s="23">
        <f t="shared" si="44"/>
        <v>-5.0578810456779699E-2</v>
      </c>
      <c r="D1463" s="25">
        <f t="shared" si="45"/>
        <v>0.55406626965104566</v>
      </c>
    </row>
    <row r="1464" spans="1:4">
      <c r="A1464" s="23" t="s">
        <v>84</v>
      </c>
      <c r="B1464" s="23">
        <v>4.63863921638956</v>
      </c>
      <c r="C1464" s="23">
        <f t="shared" si="44"/>
        <v>2.9027392086610426E-2</v>
      </c>
      <c r="D1464" s="25">
        <f t="shared" si="45"/>
        <v>0.55879613672901285</v>
      </c>
    </row>
    <row r="1465" spans="1:4">
      <c r="A1465" s="23" t="s">
        <v>83</v>
      </c>
      <c r="B1465" s="23">
        <v>4.6096118243029496</v>
      </c>
      <c r="C1465" s="23">
        <f t="shared" si="44"/>
        <v>-6.1760147332860171E-2</v>
      </c>
      <c r="D1465" s="25">
        <f t="shared" si="45"/>
        <v>0.56389804157655321</v>
      </c>
    </row>
    <row r="1466" spans="1:4">
      <c r="A1466" s="23" t="s">
        <v>82</v>
      </c>
      <c r="B1466" s="23">
        <v>4.6713719716358098</v>
      </c>
      <c r="C1466" s="23">
        <f t="shared" si="44"/>
        <v>0.17552453899134957</v>
      </c>
      <c r="D1466" s="25">
        <f t="shared" si="45"/>
        <v>0.56883513294382149</v>
      </c>
    </row>
    <row r="1467" spans="1:4">
      <c r="A1467" s="23" t="s">
        <v>81</v>
      </c>
      <c r="B1467" s="23">
        <v>4.4958474326444602</v>
      </c>
      <c r="C1467" s="23">
        <f t="shared" si="44"/>
        <v>5.0790957970909822E-2</v>
      </c>
      <c r="D1467" s="25">
        <f t="shared" si="45"/>
        <v>0.57414345893445728</v>
      </c>
    </row>
    <row r="1468" spans="1:4">
      <c r="A1468" s="23" t="s">
        <v>80</v>
      </c>
      <c r="B1468" s="23">
        <v>4.4450564746735504</v>
      </c>
      <c r="C1468" s="23">
        <f t="shared" si="44"/>
        <v>-0.12335618098945922</v>
      </c>
      <c r="D1468" s="25">
        <f t="shared" si="45"/>
        <v>0.57972502344359922</v>
      </c>
    </row>
    <row r="1469" spans="1:4">
      <c r="A1469" s="23" t="s">
        <v>79</v>
      </c>
      <c r="B1469" s="23">
        <v>4.5684126556630096</v>
      </c>
      <c r="C1469" s="23">
        <f t="shared" si="44"/>
        <v>-6.2071330976560368E-2</v>
      </c>
      <c r="D1469" s="25">
        <f t="shared" si="45"/>
        <v>0.58473357616104027</v>
      </c>
    </row>
    <row r="1470" spans="1:4">
      <c r="A1470" s="23" t="s">
        <v>78</v>
      </c>
      <c r="B1470" s="23">
        <v>4.6304839866395699</v>
      </c>
      <c r="C1470" s="23">
        <f t="shared" si="44"/>
        <v>5.8337733007319592E-2</v>
      </c>
      <c r="D1470" s="25">
        <f t="shared" si="45"/>
        <v>0.59026473965124282</v>
      </c>
    </row>
    <row r="1471" spans="1:4">
      <c r="A1471" s="23" t="s">
        <v>77</v>
      </c>
      <c r="B1471" s="23">
        <v>4.5721462536322504</v>
      </c>
      <c r="C1471" s="23">
        <f t="shared" si="44"/>
        <v>-7.3263463300009768E-2</v>
      </c>
      <c r="D1471" s="25">
        <f t="shared" si="45"/>
        <v>0.59636070153033394</v>
      </c>
    </row>
    <row r="1472" spans="1:4">
      <c r="A1472" s="23" t="s">
        <v>76</v>
      </c>
      <c r="B1472" s="23">
        <v>4.6454097169322601</v>
      </c>
      <c r="C1472" s="23">
        <f t="shared" si="44"/>
        <v>0.1703359575940997</v>
      </c>
      <c r="D1472" s="25">
        <f t="shared" si="45"/>
        <v>0.60217138424447747</v>
      </c>
    </row>
    <row r="1473" spans="1:4">
      <c r="A1473" s="23" t="s">
        <v>75</v>
      </c>
      <c r="B1473" s="23">
        <v>4.4750737593381604</v>
      </c>
      <c r="C1473" s="23">
        <f t="shared" si="44"/>
        <v>7.0811114475920256E-2</v>
      </c>
      <c r="D1473" s="25">
        <f t="shared" si="45"/>
        <v>0.60858285102571918</v>
      </c>
    </row>
    <row r="1474" spans="1:4">
      <c r="A1474" s="23" t="s">
        <v>74</v>
      </c>
      <c r="B1474" s="23">
        <v>4.4042626448622402</v>
      </c>
      <c r="C1474" s="23">
        <f t="shared" ref="C1474:C1519" si="46">B1474-B1475</f>
        <v>6.9997156149880446E-2</v>
      </c>
      <c r="D1474" s="25">
        <f t="shared" ref="D1474:D1519" si="47">STDEV(C1474:C1533)</f>
        <v>0.61529673994958856</v>
      </c>
    </row>
    <row r="1475" spans="1:4">
      <c r="A1475" s="23" t="s">
        <v>73</v>
      </c>
      <c r="B1475" s="23">
        <v>4.3342654887123597</v>
      </c>
      <c r="C1475" s="23">
        <f t="shared" si="46"/>
        <v>-9.9194850430349923E-2</v>
      </c>
      <c r="D1475" s="25">
        <f t="shared" si="47"/>
        <v>0.62223709021572415</v>
      </c>
    </row>
    <row r="1476" spans="1:4">
      <c r="A1476" s="23" t="s">
        <v>72</v>
      </c>
      <c r="B1476" s="23">
        <v>4.4334603391427096</v>
      </c>
      <c r="C1476" s="23">
        <f t="shared" si="46"/>
        <v>0.10428652872368982</v>
      </c>
      <c r="D1476" s="25">
        <f t="shared" si="47"/>
        <v>0.62870820325282606</v>
      </c>
    </row>
    <row r="1477" spans="1:4">
      <c r="A1477" s="23" t="s">
        <v>71</v>
      </c>
      <c r="B1477" s="23">
        <v>4.3291738104190198</v>
      </c>
      <c r="C1477" s="23">
        <f t="shared" si="46"/>
        <v>-0.14732095677261015</v>
      </c>
      <c r="D1477" s="25">
        <f t="shared" si="47"/>
        <v>0.63614855792907976</v>
      </c>
    </row>
    <row r="1478" spans="1:4">
      <c r="A1478" s="23" t="s">
        <v>70</v>
      </c>
      <c r="B1478" s="23">
        <v>4.47649476719163</v>
      </c>
      <c r="C1478" s="23">
        <f t="shared" si="46"/>
        <v>-3.6715068858629962E-2</v>
      </c>
      <c r="D1478" s="25">
        <f t="shared" si="47"/>
        <v>0.64266596794566089</v>
      </c>
    </row>
    <row r="1479" spans="1:4">
      <c r="A1479" s="23" t="s">
        <v>69</v>
      </c>
      <c r="B1479" s="23">
        <v>4.5132098360502599</v>
      </c>
      <c r="C1479" s="23">
        <f t="shared" si="46"/>
        <v>8.2626784551997901E-4</v>
      </c>
      <c r="D1479" s="25">
        <f t="shared" si="47"/>
        <v>0.6502454568329884</v>
      </c>
    </row>
    <row r="1480" spans="1:4">
      <c r="A1480" s="23" t="s">
        <v>68</v>
      </c>
      <c r="B1480" s="23">
        <v>4.51238356820474</v>
      </c>
      <c r="C1480" s="23">
        <f t="shared" si="46"/>
        <v>-3.9609435651749791E-2</v>
      </c>
      <c r="D1480" s="25">
        <f t="shared" si="47"/>
        <v>0.65829094497328333</v>
      </c>
    </row>
    <row r="1481" spans="1:4">
      <c r="A1481" s="23" t="s">
        <v>67</v>
      </c>
      <c r="B1481" s="23">
        <v>4.5519930038564898</v>
      </c>
      <c r="C1481" s="23">
        <f t="shared" si="46"/>
        <v>-3.1699668368910139E-2</v>
      </c>
      <c r="D1481" s="25">
        <f t="shared" si="47"/>
        <v>0.66642614233207165</v>
      </c>
    </row>
    <row r="1482" spans="1:4">
      <c r="A1482" s="23" t="s">
        <v>66</v>
      </c>
      <c r="B1482" s="23">
        <v>4.5836926722253999</v>
      </c>
      <c r="C1482" s="23">
        <f t="shared" si="46"/>
        <v>4.5462393521809474E-2</v>
      </c>
      <c r="D1482" s="25">
        <f t="shared" si="47"/>
        <v>0.67491935670234582</v>
      </c>
    </row>
    <row r="1483" spans="1:4">
      <c r="A1483" s="23" t="s">
        <v>65</v>
      </c>
      <c r="B1483" s="23">
        <v>4.5382302787035904</v>
      </c>
      <c r="C1483" s="23">
        <f t="shared" si="46"/>
        <v>8.6035388514806854E-3</v>
      </c>
      <c r="D1483" s="25">
        <f t="shared" si="47"/>
        <v>0.68411124900299092</v>
      </c>
    </row>
    <row r="1484" spans="1:4">
      <c r="A1484" s="23" t="s">
        <v>64</v>
      </c>
      <c r="B1484" s="23">
        <v>4.5296267398521097</v>
      </c>
      <c r="C1484" s="23">
        <f t="shared" si="46"/>
        <v>-2.7728275833910132E-2</v>
      </c>
      <c r="D1484" s="25">
        <f t="shared" si="47"/>
        <v>0.69354011532093807</v>
      </c>
    </row>
    <row r="1485" spans="1:4">
      <c r="A1485" s="23" t="s">
        <v>63</v>
      </c>
      <c r="B1485" s="23">
        <v>4.5573550156860199</v>
      </c>
      <c r="C1485" s="23">
        <f t="shared" si="46"/>
        <v>-0.1721690057745402</v>
      </c>
      <c r="D1485" s="25">
        <f t="shared" si="47"/>
        <v>0.70315830709284088</v>
      </c>
    </row>
    <row r="1486" spans="1:4">
      <c r="A1486" s="23" t="s">
        <v>62</v>
      </c>
      <c r="B1486" s="23">
        <v>4.7295240214605601</v>
      </c>
      <c r="C1486" s="23">
        <f t="shared" si="46"/>
        <v>1.235700936520967E-2</v>
      </c>
      <c r="D1486" s="25">
        <f t="shared" si="47"/>
        <v>0.71173182309619154</v>
      </c>
    </row>
    <row r="1487" spans="1:4">
      <c r="A1487" s="23" t="s">
        <v>61</v>
      </c>
      <c r="B1487" s="23">
        <v>4.7171670120953504</v>
      </c>
      <c r="C1487" s="23">
        <f t="shared" si="46"/>
        <v>1.0248582465390399E-2</v>
      </c>
      <c r="D1487" s="25">
        <f t="shared" si="47"/>
        <v>0.72240917864565901</v>
      </c>
    </row>
    <row r="1488" spans="1:4">
      <c r="A1488" s="23" t="s">
        <v>60</v>
      </c>
      <c r="B1488" s="23">
        <v>4.70691842962996</v>
      </c>
      <c r="C1488" s="23">
        <f t="shared" si="46"/>
        <v>-9.2847551992299771E-2</v>
      </c>
      <c r="D1488" s="25">
        <f t="shared" si="47"/>
        <v>0.7335693171258566</v>
      </c>
    </row>
    <row r="1489" spans="1:4">
      <c r="A1489" s="23" t="s">
        <v>59</v>
      </c>
      <c r="B1489" s="23">
        <v>4.7997659816222598</v>
      </c>
      <c r="C1489" s="23">
        <f t="shared" si="46"/>
        <v>-6.9760403325520137E-2</v>
      </c>
      <c r="D1489" s="25">
        <f t="shared" si="47"/>
        <v>0.7443658265583345</v>
      </c>
    </row>
    <row r="1490" spans="1:4">
      <c r="A1490" s="23" t="s">
        <v>58</v>
      </c>
      <c r="B1490" s="23">
        <v>4.8695263849477799</v>
      </c>
      <c r="C1490" s="23">
        <f t="shared" si="46"/>
        <v>0.31615516120734011</v>
      </c>
      <c r="D1490" s="25">
        <f t="shared" si="47"/>
        <v>0.75590301701376517</v>
      </c>
    </row>
    <row r="1491" spans="1:4">
      <c r="A1491" s="23" t="s">
        <v>57</v>
      </c>
      <c r="B1491" s="23">
        <v>4.5533712237404398</v>
      </c>
      <c r="C1491" s="23">
        <f t="shared" si="46"/>
        <v>-9.8061829367160236E-2</v>
      </c>
      <c r="D1491" s="25">
        <f t="shared" si="47"/>
        <v>0.76871436460055187</v>
      </c>
    </row>
    <row r="1492" spans="1:4">
      <c r="A1492" s="23" t="s">
        <v>56</v>
      </c>
      <c r="B1492" s="23">
        <v>4.6514330531076</v>
      </c>
      <c r="C1492" s="23">
        <f t="shared" si="46"/>
        <v>-6.4420966483740294E-2</v>
      </c>
      <c r="D1492" s="25">
        <f t="shared" si="47"/>
        <v>0.78122465431319954</v>
      </c>
    </row>
    <row r="1493" spans="1:4">
      <c r="A1493" s="23" t="s">
        <v>55</v>
      </c>
      <c r="B1493" s="23">
        <v>4.7158540195913403</v>
      </c>
      <c r="C1493" s="23">
        <f t="shared" si="46"/>
        <v>-0.1272818535595901</v>
      </c>
      <c r="D1493" s="25">
        <f t="shared" si="47"/>
        <v>0.79477389291519362</v>
      </c>
    </row>
    <row r="1494" spans="1:4">
      <c r="A1494" s="23" t="s">
        <v>54</v>
      </c>
      <c r="B1494" s="23">
        <v>4.8431358731509304</v>
      </c>
      <c r="C1494" s="23">
        <f t="shared" si="46"/>
        <v>-0.13025962017300952</v>
      </c>
      <c r="D1494" s="25">
        <f t="shared" si="47"/>
        <v>0.80817393904455392</v>
      </c>
    </row>
    <row r="1495" spans="1:4">
      <c r="A1495" s="23" t="s">
        <v>53</v>
      </c>
      <c r="B1495" s="23">
        <v>4.9733954933239399</v>
      </c>
      <c r="C1495" s="23">
        <f t="shared" si="46"/>
        <v>-8.4635663312270459E-2</v>
      </c>
      <c r="D1495" s="25">
        <f t="shared" si="47"/>
        <v>0.82220299397162255</v>
      </c>
    </row>
    <row r="1496" spans="1:4">
      <c r="A1496" s="23" t="s">
        <v>52</v>
      </c>
      <c r="B1496" s="23">
        <v>5.0580311566362104</v>
      </c>
      <c r="C1496" s="23">
        <f t="shared" si="46"/>
        <v>8.9941523268200818E-2</v>
      </c>
      <c r="D1496" s="25">
        <f t="shared" si="47"/>
        <v>0.83771591636854204</v>
      </c>
    </row>
    <row r="1497" spans="1:4">
      <c r="A1497" s="23" t="s">
        <v>51</v>
      </c>
      <c r="B1497" s="23">
        <v>4.9680896333680096</v>
      </c>
      <c r="C1497" s="23">
        <f t="shared" si="46"/>
        <v>-5.2935641375870368E-2</v>
      </c>
      <c r="D1497" s="25">
        <f t="shared" si="47"/>
        <v>0.85613915163965215</v>
      </c>
    </row>
    <row r="1498" spans="1:4">
      <c r="A1498" s="23" t="s">
        <v>50</v>
      </c>
      <c r="B1498" s="23">
        <v>5.0210252747438799</v>
      </c>
      <c r="C1498" s="23">
        <f t="shared" si="46"/>
        <v>0.10766943106007965</v>
      </c>
      <c r="D1498" s="25">
        <f t="shared" si="47"/>
        <v>0.87422938310638032</v>
      </c>
    </row>
    <row r="1499" spans="1:4">
      <c r="A1499" s="23" t="s">
        <v>49</v>
      </c>
      <c r="B1499" s="23">
        <v>4.9133558436838003</v>
      </c>
      <c r="C1499" s="23">
        <f t="shared" si="46"/>
        <v>0.18858343884714035</v>
      </c>
      <c r="D1499" s="25">
        <f t="shared" si="47"/>
        <v>0.8953935088047732</v>
      </c>
    </row>
    <row r="1500" spans="1:4">
      <c r="A1500" s="23" t="s">
        <v>48</v>
      </c>
      <c r="B1500" s="23">
        <v>4.7247724048366599</v>
      </c>
      <c r="C1500" s="23">
        <f t="shared" si="46"/>
        <v>0.19310931803481957</v>
      </c>
      <c r="D1500" s="25">
        <f t="shared" si="47"/>
        <v>0.91859239685151162</v>
      </c>
    </row>
    <row r="1501" spans="1:4">
      <c r="A1501" s="23" t="s">
        <v>47</v>
      </c>
      <c r="B1501" s="23">
        <v>4.5316630868018404</v>
      </c>
      <c r="C1501" s="23">
        <f t="shared" si="46"/>
        <v>-7.2168170678429178E-2</v>
      </c>
      <c r="D1501" s="25">
        <f t="shared" si="47"/>
        <v>0.94370633970748519</v>
      </c>
    </row>
    <row r="1502" spans="1:4">
      <c r="A1502" s="23" t="s">
        <v>46</v>
      </c>
      <c r="B1502" s="23">
        <v>4.6038312574802696</v>
      </c>
      <c r="C1502" s="23">
        <f t="shared" si="46"/>
        <v>-5.3354051428930127E-2</v>
      </c>
      <c r="D1502" s="25">
        <f t="shared" si="47"/>
        <v>0.96797507048968556</v>
      </c>
    </row>
    <row r="1503" spans="1:4">
      <c r="A1503" s="23" t="s">
        <v>45</v>
      </c>
      <c r="B1503" s="23">
        <v>4.6571853089091997</v>
      </c>
      <c r="C1503" s="23">
        <f t="shared" si="46"/>
        <v>0.30888729144820992</v>
      </c>
      <c r="D1503" s="25">
        <f t="shared" si="47"/>
        <v>0.99459193443499994</v>
      </c>
    </row>
    <row r="1504" spans="1:4">
      <c r="A1504" s="23" t="s">
        <v>44</v>
      </c>
      <c r="B1504" s="23">
        <v>4.3482980174609898</v>
      </c>
      <c r="C1504" s="23">
        <f t="shared" si="46"/>
        <v>-0.34871624165276049</v>
      </c>
      <c r="D1504" s="25">
        <f t="shared" si="47"/>
        <v>1.0271680520783348</v>
      </c>
    </row>
    <row r="1505" spans="1:4">
      <c r="A1505" s="23" t="s">
        <v>43</v>
      </c>
      <c r="B1505" s="23">
        <v>4.6970142591137503</v>
      </c>
      <c r="C1505" s="28">
        <f t="shared" si="46"/>
        <v>0.15088815625427987</v>
      </c>
      <c r="D1505" s="29">
        <f t="shared" si="47"/>
        <v>1.0493346487967872</v>
      </c>
    </row>
    <row r="1506" spans="1:4">
      <c r="A1506" s="23" t="s">
        <v>42</v>
      </c>
      <c r="B1506" s="23">
        <v>4.5461261028594704</v>
      </c>
      <c r="C1506" s="28">
        <f t="shared" si="46"/>
        <v>0.36132681213523021</v>
      </c>
      <c r="D1506" s="29">
        <f t="shared" si="47"/>
        <v>1.0879494047382423</v>
      </c>
    </row>
    <row r="1507" spans="1:4">
      <c r="A1507" s="23" t="s">
        <v>41</v>
      </c>
      <c r="B1507" s="23">
        <v>4.1847992907242402</v>
      </c>
      <c r="C1507" s="28">
        <f t="shared" si="46"/>
        <v>5.8008130710570427E-2</v>
      </c>
      <c r="D1507" s="29">
        <f t="shared" si="47"/>
        <v>1.132320549211967</v>
      </c>
    </row>
    <row r="1508" spans="1:4">
      <c r="A1508" s="23" t="s">
        <v>40</v>
      </c>
      <c r="B1508" s="23">
        <v>4.1267911600136697</v>
      </c>
      <c r="C1508" s="28">
        <f t="shared" si="46"/>
        <v>6.429570895933967E-2</v>
      </c>
      <c r="D1508" s="29">
        <f t="shared" si="47"/>
        <v>1.1797669794977796</v>
      </c>
    </row>
    <row r="1509" spans="1:4">
      <c r="A1509" s="23" t="s">
        <v>39</v>
      </c>
      <c r="B1509" s="23">
        <v>4.0624954510543301</v>
      </c>
      <c r="C1509" s="28">
        <f t="shared" si="46"/>
        <v>9.660363300159025E-2</v>
      </c>
      <c r="D1509" s="29">
        <f t="shared" si="47"/>
        <v>1.233898947770774</v>
      </c>
    </row>
    <row r="1510" spans="1:4">
      <c r="A1510" s="23" t="s">
        <v>38</v>
      </c>
      <c r="B1510" s="23">
        <v>3.9658918180527398</v>
      </c>
      <c r="C1510" s="28">
        <f t="shared" si="46"/>
        <v>-3.6050679401490537E-2</v>
      </c>
      <c r="D1510" s="29">
        <f t="shared" si="47"/>
        <v>1.2971445491951807</v>
      </c>
    </row>
    <row r="1511" spans="1:4">
      <c r="A1511" s="23" t="s">
        <v>37</v>
      </c>
      <c r="B1511" s="23">
        <v>4.0019424974542304</v>
      </c>
      <c r="C1511" s="28">
        <f t="shared" si="46"/>
        <v>2.9190921524504532E-3</v>
      </c>
      <c r="D1511" s="29">
        <f t="shared" si="47"/>
        <v>1.3663492009680709</v>
      </c>
    </row>
    <row r="1512" spans="1:4">
      <c r="A1512" s="23" t="s">
        <v>36</v>
      </c>
      <c r="B1512" s="23">
        <v>3.9990234053017799</v>
      </c>
      <c r="C1512" s="28">
        <f t="shared" si="46"/>
        <v>5.0662557699469701E-2</v>
      </c>
      <c r="D1512" s="29">
        <f t="shared" si="47"/>
        <v>1.4499139840352822</v>
      </c>
    </row>
    <row r="1513" spans="1:4">
      <c r="A1513" s="23" t="s">
        <v>35</v>
      </c>
      <c r="B1513" s="23">
        <v>3.9483608476023102</v>
      </c>
      <c r="C1513" s="28">
        <f t="shared" si="46"/>
        <v>1.0651555853339989E-2</v>
      </c>
      <c r="D1513" s="29">
        <f t="shared" si="47"/>
        <v>1.5537659467015803</v>
      </c>
    </row>
    <row r="1514" spans="1:4">
      <c r="A1514" s="23" t="s">
        <v>34</v>
      </c>
      <c r="B1514" s="23">
        <v>3.9377092917489702</v>
      </c>
      <c r="C1514" s="28">
        <f t="shared" si="46"/>
        <v>3.2731228004401203E-3</v>
      </c>
      <c r="D1514" s="29">
        <f t="shared" si="47"/>
        <v>1.6809424870655512</v>
      </c>
    </row>
    <row r="1515" spans="1:4">
      <c r="A1515" s="23" t="s">
        <v>33</v>
      </c>
      <c r="B1515" s="23">
        <v>3.9344361689485301</v>
      </c>
      <c r="C1515" s="28">
        <f t="shared" si="46"/>
        <v>-4.9223952632940104E-2</v>
      </c>
      <c r="D1515" s="29">
        <f t="shared" si="47"/>
        <v>1.8450019644293529</v>
      </c>
    </row>
    <row r="1516" spans="1:4">
      <c r="A1516" s="23" t="s">
        <v>32</v>
      </c>
      <c r="B1516" s="23">
        <v>3.9836601215814702</v>
      </c>
      <c r="C1516" s="28">
        <f t="shared" si="46"/>
        <v>-1.5830502446999795E-2</v>
      </c>
      <c r="D1516" s="29">
        <f t="shared" si="47"/>
        <v>2.0609283183326497</v>
      </c>
    </row>
    <row r="1517" spans="1:4">
      <c r="A1517" s="23" t="s">
        <v>31</v>
      </c>
      <c r="B1517" s="23">
        <v>3.99949062402847</v>
      </c>
      <c r="C1517" s="28">
        <f t="shared" si="46"/>
        <v>-0.12977145577690008</v>
      </c>
      <c r="D1517" s="29">
        <f t="shared" si="47"/>
        <v>2.3851035514502317</v>
      </c>
    </row>
    <row r="1518" spans="1:4">
      <c r="A1518" s="23" t="s">
        <v>30</v>
      </c>
      <c r="B1518" s="23">
        <v>4.1292620798053701</v>
      </c>
      <c r="C1518" s="28">
        <f t="shared" si="46"/>
        <v>4.3842865255910191E-2</v>
      </c>
      <c r="D1518" s="29">
        <f t="shared" si="47"/>
        <v>2.85782604326864</v>
      </c>
    </row>
    <row r="1519" spans="1:4">
      <c r="A1519" s="23" t="s">
        <v>29</v>
      </c>
      <c r="B1519" s="23">
        <v>4.0854192145494599</v>
      </c>
      <c r="C1519" s="28">
        <f t="shared" si="46"/>
        <v>4.0854192145494599</v>
      </c>
      <c r="D1519" s="29" t="e">
        <f t="shared" si="47"/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5"/>
  <sheetViews>
    <sheetView workbookViewId="0">
      <selection activeCell="I54" sqref="I54"/>
    </sheetView>
  </sheetViews>
  <sheetFormatPr defaultRowHeight="15"/>
  <cols>
    <col min="2" max="2" width="9.7109375" bestFit="1" customWidth="1"/>
  </cols>
  <sheetData>
    <row r="3" spans="2:7">
      <c r="C3" s="34" t="s">
        <v>6</v>
      </c>
      <c r="D3" s="35"/>
      <c r="E3" s="35"/>
      <c r="F3" s="36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5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109"/>
  <sheetViews>
    <sheetView workbookViewId="0">
      <selection activeCell="Q54" sqref="Q54"/>
    </sheetView>
  </sheetViews>
  <sheetFormatPr defaultRowHeight="15"/>
  <cols>
    <col min="1" max="1" width="9.7109375" bestFit="1" customWidth="1"/>
    <col min="2" max="2" width="10.7109375" style="4" bestFit="1" customWidth="1"/>
    <col min="3" max="3" width="9.7109375" bestFit="1" customWidth="1"/>
    <col min="4" max="4" width="9.140625" customWidth="1"/>
    <col min="7" max="7" width="10.7109375" bestFit="1" customWidth="1"/>
    <col min="8" max="8" width="9.140625" customWidth="1"/>
    <col min="9" max="9" width="7.85546875" customWidth="1"/>
    <col min="10" max="10" width="5" customWidth="1"/>
    <col min="12" max="13" width="9.140625" style="4"/>
  </cols>
  <sheetData>
    <row r="3" spans="1:18">
      <c r="C3" t="s">
        <v>8</v>
      </c>
      <c r="D3" t="s">
        <v>9</v>
      </c>
      <c r="G3" t="s">
        <v>8</v>
      </c>
      <c r="H3" t="s">
        <v>10</v>
      </c>
      <c r="I3" t="s">
        <v>11</v>
      </c>
      <c r="J3" t="s">
        <v>12</v>
      </c>
      <c r="K3" t="s">
        <v>15</v>
      </c>
      <c r="L3" s="4" t="s">
        <v>16</v>
      </c>
      <c r="M3" s="4" t="s">
        <v>17</v>
      </c>
      <c r="O3" s="14" t="s">
        <v>1</v>
      </c>
      <c r="P3" t="s">
        <v>13</v>
      </c>
      <c r="Q3" t="s">
        <v>14</v>
      </c>
      <c r="R3" t="s">
        <v>18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42185</v>
      </c>
      <c r="C4" s="11">
        <v>42156</v>
      </c>
      <c r="D4" s="13">
        <v>4.0873809246172899</v>
      </c>
      <c r="G4" s="27">
        <v>42158</v>
      </c>
      <c r="H4" s="26">
        <v>3.87</v>
      </c>
      <c r="I4" s="26">
        <v>0.6</v>
      </c>
      <c r="J4" s="26">
        <v>3.77</v>
      </c>
      <c r="K4" s="13">
        <f t="shared" ref="K4:K67" si="0">IF(MONTH(G4)=MONTH(G5),J4+K5,J4)</f>
        <v>11.31</v>
      </c>
      <c r="L4" s="13">
        <f t="shared" ref="L4:L67" si="1">IF(MONTH(G4)=MONTH(G5),L5+1,1)</f>
        <v>3</v>
      </c>
      <c r="M4" s="13">
        <f>K4/L4</f>
        <v>3.77</v>
      </c>
      <c r="O4" s="15">
        <v>40633</v>
      </c>
      <c r="P4" s="13">
        <f>VLOOKUP(O4,$B$4:$D$259,3,0)</f>
        <v>5.5386980924786497</v>
      </c>
      <c r="Q4" s="13">
        <f>VLOOKUP(O4,$G$4:$M$1060,4,0)</f>
        <v>4.7949999999999999</v>
      </c>
      <c r="R4" s="13">
        <f>P4-Q4</f>
        <v>0.74369809247864982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42153</v>
      </c>
      <c r="C5" s="11">
        <v>42125</v>
      </c>
      <c r="D5" s="13">
        <v>4.4974583076521002</v>
      </c>
      <c r="G5" s="27">
        <v>42157</v>
      </c>
      <c r="H5" s="26">
        <v>3.87</v>
      </c>
      <c r="I5" s="26">
        <v>0.6</v>
      </c>
      <c r="J5" s="26">
        <v>3.77</v>
      </c>
      <c r="K5" s="13">
        <f t="shared" si="0"/>
        <v>7.54</v>
      </c>
      <c r="L5" s="13">
        <f t="shared" si="1"/>
        <v>2</v>
      </c>
      <c r="M5" s="13">
        <f t="shared" ref="M5:M68" si="3">K5/L5</f>
        <v>3.77</v>
      </c>
      <c r="O5" s="15">
        <v>40662</v>
      </c>
      <c r="P5" s="13">
        <f t="shared" ref="P5:P52" si="4">VLOOKUP(O5,$B$4:$D$259,3,0)</f>
        <v>5.5269246970767396</v>
      </c>
      <c r="Q5" s="13">
        <f t="shared" ref="Q5:Q52" si="5">VLOOKUP(O5,$G$4:$M$1060,4,0)</f>
        <v>4.6349999999999998</v>
      </c>
      <c r="R5" s="13">
        <f t="shared" ref="R5:R52" si="6">P5-Q5</f>
        <v>0.89192469707673983</v>
      </c>
    </row>
    <row r="6" spans="1:18">
      <c r="B6" s="11">
        <f t="shared" si="2"/>
        <v>42124</v>
      </c>
      <c r="C6" s="11">
        <v>42095</v>
      </c>
      <c r="D6" s="13">
        <v>4.5097670103927401</v>
      </c>
      <c r="G6" s="27">
        <v>42156</v>
      </c>
      <c r="H6" s="26">
        <v>3.87</v>
      </c>
      <c r="I6" s="26">
        <v>0.6</v>
      </c>
      <c r="J6" s="26">
        <v>3.77</v>
      </c>
      <c r="K6" s="13">
        <f t="shared" si="0"/>
        <v>3.77</v>
      </c>
      <c r="L6" s="13">
        <f t="shared" si="1"/>
        <v>1</v>
      </c>
      <c r="M6" s="13">
        <f t="shared" si="3"/>
        <v>3.77</v>
      </c>
      <c r="O6" s="15">
        <v>40694</v>
      </c>
      <c r="P6" s="13">
        <f t="shared" si="4"/>
        <v>5.51689595799128</v>
      </c>
      <c r="Q6" s="13">
        <f t="shared" si="5"/>
        <v>4.45</v>
      </c>
      <c r="R6" s="13">
        <f t="shared" si="6"/>
        <v>1.0668959579912798</v>
      </c>
    </row>
    <row r="7" spans="1:18">
      <c r="B7" s="11">
        <f t="shared" si="2"/>
        <v>42094</v>
      </c>
      <c r="C7" s="11">
        <v>42064</v>
      </c>
      <c r="D7" s="13">
        <v>4.5238127948380598</v>
      </c>
      <c r="G7" s="27">
        <v>42153</v>
      </c>
      <c r="H7" s="26">
        <v>3.87</v>
      </c>
      <c r="I7" s="26">
        <v>0.6</v>
      </c>
      <c r="J7" s="26">
        <v>3.77</v>
      </c>
      <c r="K7" s="13">
        <f t="shared" si="0"/>
        <v>74.995000000000005</v>
      </c>
      <c r="L7" s="13">
        <f t="shared" si="1"/>
        <v>20</v>
      </c>
      <c r="M7" s="13">
        <f t="shared" si="3"/>
        <v>3.7497500000000001</v>
      </c>
      <c r="O7" s="15">
        <v>40724</v>
      </c>
      <c r="P7" s="13">
        <f t="shared" si="4"/>
        <v>5.5064525221557803</v>
      </c>
      <c r="Q7" s="13">
        <f t="shared" si="5"/>
        <v>4.5250000000000004</v>
      </c>
      <c r="R7" s="13">
        <f t="shared" si="6"/>
        <v>0.98145252215577994</v>
      </c>
    </row>
    <row r="8" spans="1:18">
      <c r="B8" s="11">
        <f t="shared" si="2"/>
        <v>42062</v>
      </c>
      <c r="C8" s="11">
        <v>42036</v>
      </c>
      <c r="D8" s="13">
        <v>4.53618658666276</v>
      </c>
      <c r="G8" s="27">
        <v>42152</v>
      </c>
      <c r="H8" s="26">
        <v>3.87</v>
      </c>
      <c r="I8" s="26">
        <v>0.6</v>
      </c>
      <c r="J8" s="26">
        <v>3.77</v>
      </c>
      <c r="K8" s="13">
        <f t="shared" si="0"/>
        <v>71.225000000000009</v>
      </c>
      <c r="L8" s="13">
        <f t="shared" si="1"/>
        <v>19</v>
      </c>
      <c r="M8" s="13">
        <f t="shared" si="3"/>
        <v>3.7486842105263163</v>
      </c>
      <c r="O8" s="15">
        <v>40753</v>
      </c>
      <c r="P8" s="13">
        <f t="shared" si="4"/>
        <v>5.4966046806114601</v>
      </c>
      <c r="Q8" s="13">
        <f t="shared" si="5"/>
        <v>4.34</v>
      </c>
      <c r="R8" s="13">
        <f t="shared" si="6"/>
        <v>1.1566046806114603</v>
      </c>
    </row>
    <row r="9" spans="1:18">
      <c r="B9" s="11">
        <f t="shared" si="2"/>
        <v>42034</v>
      </c>
      <c r="C9" s="11">
        <v>42005</v>
      </c>
      <c r="D9" s="13">
        <v>4.5446755242495396</v>
      </c>
      <c r="G9" s="27">
        <v>42151</v>
      </c>
      <c r="H9" s="26">
        <v>3.87</v>
      </c>
      <c r="I9" s="26">
        <v>0.6</v>
      </c>
      <c r="J9" s="26">
        <v>3.77</v>
      </c>
      <c r="K9" s="13">
        <f t="shared" si="0"/>
        <v>67.455000000000013</v>
      </c>
      <c r="L9" s="13">
        <f t="shared" si="1"/>
        <v>18</v>
      </c>
      <c r="M9" s="13">
        <f t="shared" si="3"/>
        <v>3.7475000000000005</v>
      </c>
      <c r="O9" s="15">
        <v>40786</v>
      </c>
      <c r="P9" s="13">
        <f t="shared" si="4"/>
        <v>5.4853483193438404</v>
      </c>
      <c r="Q9" s="13">
        <f t="shared" si="5"/>
        <v>4.1449999999999996</v>
      </c>
      <c r="R9" s="13">
        <f t="shared" si="6"/>
        <v>1.3403483193438408</v>
      </c>
    </row>
    <row r="10" spans="1:18">
      <c r="B10" s="11">
        <f t="shared" si="2"/>
        <v>42004</v>
      </c>
      <c r="C10" s="11">
        <v>41974</v>
      </c>
      <c r="D10" s="13">
        <v>4.5528471823468299</v>
      </c>
      <c r="G10" s="27">
        <v>42150</v>
      </c>
      <c r="H10" s="26">
        <v>3.87</v>
      </c>
      <c r="I10" s="26">
        <v>0.6</v>
      </c>
      <c r="J10" s="26">
        <v>3.77</v>
      </c>
      <c r="K10" s="13">
        <f t="shared" si="0"/>
        <v>63.685000000000009</v>
      </c>
      <c r="L10" s="13">
        <f t="shared" si="1"/>
        <v>17</v>
      </c>
      <c r="M10" s="13">
        <f t="shared" si="3"/>
        <v>3.7461764705882357</v>
      </c>
      <c r="O10" s="15">
        <v>40816</v>
      </c>
      <c r="P10" s="13">
        <f t="shared" si="4"/>
        <v>5.4705693261233499</v>
      </c>
      <c r="Q10" s="13">
        <f t="shared" si="5"/>
        <v>3.89</v>
      </c>
      <c r="R10" s="13">
        <f t="shared" si="6"/>
        <v>1.5805693261233498</v>
      </c>
    </row>
    <row r="11" spans="1:18">
      <c r="B11" s="11">
        <f t="shared" si="2"/>
        <v>41971</v>
      </c>
      <c r="C11" s="11">
        <v>41944</v>
      </c>
      <c r="D11" s="13">
        <v>4.5602421215425704</v>
      </c>
      <c r="G11" s="27">
        <v>42146</v>
      </c>
      <c r="H11" s="26">
        <v>3.87</v>
      </c>
      <c r="I11" s="26">
        <v>0.6</v>
      </c>
      <c r="J11" s="26">
        <v>3.77</v>
      </c>
      <c r="K11" s="13">
        <f t="shared" si="0"/>
        <v>59.915000000000006</v>
      </c>
      <c r="L11" s="13">
        <f t="shared" si="1"/>
        <v>16</v>
      </c>
      <c r="M11" s="13">
        <f t="shared" si="3"/>
        <v>3.7446875000000004</v>
      </c>
      <c r="O11" s="15">
        <v>40847</v>
      </c>
      <c r="P11" s="13">
        <f t="shared" si="4"/>
        <v>5.4564253789048802</v>
      </c>
      <c r="Q11" s="13">
        <f t="shared" si="5"/>
        <v>3.9249999999999998</v>
      </c>
      <c r="R11" s="13">
        <f t="shared" si="6"/>
        <v>1.5314253789048804</v>
      </c>
    </row>
    <row r="12" spans="1:18">
      <c r="B12" s="11">
        <f t="shared" si="2"/>
        <v>41943</v>
      </c>
      <c r="C12" s="11">
        <v>41913</v>
      </c>
      <c r="D12" s="13">
        <v>4.56589439066643</v>
      </c>
      <c r="G12" s="27">
        <v>42145</v>
      </c>
      <c r="H12" s="26">
        <v>3.87</v>
      </c>
      <c r="I12" s="26">
        <v>0.6</v>
      </c>
      <c r="J12" s="26">
        <v>3.77</v>
      </c>
      <c r="K12" s="13">
        <f t="shared" si="0"/>
        <v>56.145000000000003</v>
      </c>
      <c r="L12" s="13">
        <f t="shared" si="1"/>
        <v>15</v>
      </c>
      <c r="M12" s="13">
        <f t="shared" si="3"/>
        <v>3.7430000000000003</v>
      </c>
      <c r="O12" s="15">
        <v>40877</v>
      </c>
      <c r="P12" s="13">
        <f t="shared" si="4"/>
        <v>5.4364668645164897</v>
      </c>
      <c r="Q12" s="13">
        <f t="shared" si="5"/>
        <v>3.9249999999999998</v>
      </c>
      <c r="R12" s="13">
        <f t="shared" si="6"/>
        <v>1.5114668645164899</v>
      </c>
    </row>
    <row r="13" spans="1:18">
      <c r="B13" s="11">
        <f t="shared" si="2"/>
        <v>41912</v>
      </c>
      <c r="C13" s="11">
        <v>41883</v>
      </c>
      <c r="D13" s="13">
        <v>4.5722568157169796</v>
      </c>
      <c r="G13" s="27">
        <v>42144</v>
      </c>
      <c r="H13" s="26">
        <v>3.84</v>
      </c>
      <c r="I13" s="26">
        <v>0.7</v>
      </c>
      <c r="J13" s="26">
        <v>3.7650000000000001</v>
      </c>
      <c r="K13" s="13">
        <f t="shared" si="0"/>
        <v>52.375</v>
      </c>
      <c r="L13" s="13">
        <f t="shared" si="1"/>
        <v>14</v>
      </c>
      <c r="M13" s="13">
        <f t="shared" si="3"/>
        <v>3.7410714285714284</v>
      </c>
      <c r="O13" s="15">
        <v>40907</v>
      </c>
      <c r="P13" s="13">
        <f t="shared" si="4"/>
        <v>5.4070810969259098</v>
      </c>
      <c r="Q13" s="13">
        <f t="shared" si="5"/>
        <v>3.86</v>
      </c>
      <c r="R13" s="13">
        <f t="shared" si="6"/>
        <v>1.5470810969259099</v>
      </c>
    </row>
    <row r="14" spans="1:18">
      <c r="B14" s="11">
        <f t="shared" si="2"/>
        <v>41880</v>
      </c>
      <c r="C14" s="11">
        <v>41852</v>
      </c>
      <c r="D14" s="13">
        <v>4.5792978774360797</v>
      </c>
      <c r="G14" s="27">
        <v>42143</v>
      </c>
      <c r="H14" s="26">
        <v>3.84</v>
      </c>
      <c r="I14" s="26">
        <v>0.7</v>
      </c>
      <c r="J14" s="26">
        <v>3.7650000000000001</v>
      </c>
      <c r="K14" s="13">
        <f t="shared" si="0"/>
        <v>48.61</v>
      </c>
      <c r="L14" s="13">
        <f t="shared" si="1"/>
        <v>13</v>
      </c>
      <c r="M14" s="13">
        <f t="shared" si="3"/>
        <v>3.7392307692307694</v>
      </c>
      <c r="O14" s="15">
        <v>40939</v>
      </c>
      <c r="P14" s="13">
        <f t="shared" si="4"/>
        <v>5.3841264551661103</v>
      </c>
      <c r="Q14" s="13">
        <f t="shared" si="5"/>
        <v>3.82</v>
      </c>
      <c r="R14" s="13">
        <f t="shared" si="6"/>
        <v>1.5641264551661105</v>
      </c>
    </row>
    <row r="15" spans="1:18">
      <c r="B15" s="11">
        <f t="shared" si="2"/>
        <v>41851</v>
      </c>
      <c r="C15" s="11">
        <v>41821</v>
      </c>
      <c r="D15" s="13">
        <v>4.5858312437735398</v>
      </c>
      <c r="G15" s="27">
        <v>42142</v>
      </c>
      <c r="H15" s="26">
        <v>3.84</v>
      </c>
      <c r="I15" s="26">
        <v>0.7</v>
      </c>
      <c r="J15" s="26">
        <v>3.7650000000000001</v>
      </c>
      <c r="K15" s="13">
        <f t="shared" si="0"/>
        <v>44.844999999999999</v>
      </c>
      <c r="L15" s="13">
        <f t="shared" si="1"/>
        <v>12</v>
      </c>
      <c r="M15" s="13">
        <f t="shared" si="3"/>
        <v>3.7370833333333331</v>
      </c>
      <c r="O15" s="15">
        <v>40968</v>
      </c>
      <c r="P15" s="13">
        <f t="shared" si="4"/>
        <v>5.3594348559218998</v>
      </c>
      <c r="Q15" s="13">
        <f t="shared" si="5"/>
        <v>3.85</v>
      </c>
      <c r="R15" s="13">
        <f t="shared" si="6"/>
        <v>1.5094348559218997</v>
      </c>
    </row>
    <row r="16" spans="1:18">
      <c r="B16" s="11">
        <f t="shared" si="2"/>
        <v>41820</v>
      </c>
      <c r="C16" s="11">
        <v>41791</v>
      </c>
      <c r="D16" s="13">
        <v>4.5918833919769302</v>
      </c>
      <c r="G16" s="27">
        <v>42139</v>
      </c>
      <c r="H16" s="26">
        <v>3.84</v>
      </c>
      <c r="I16" s="26">
        <v>0.7</v>
      </c>
      <c r="J16" s="26">
        <v>3.7650000000000001</v>
      </c>
      <c r="K16" s="13">
        <f t="shared" si="0"/>
        <v>41.08</v>
      </c>
      <c r="L16" s="13">
        <f t="shared" si="1"/>
        <v>11</v>
      </c>
      <c r="M16" s="13">
        <f t="shared" si="3"/>
        <v>3.7345454545454544</v>
      </c>
      <c r="O16" s="15">
        <v>40998</v>
      </c>
      <c r="P16" s="13">
        <f t="shared" si="4"/>
        <v>5.3179671663260297</v>
      </c>
      <c r="Q16" s="13">
        <f t="shared" si="5"/>
        <v>3.9049999999999998</v>
      </c>
      <c r="R16" s="13">
        <f t="shared" si="6"/>
        <v>1.4129671663260299</v>
      </c>
    </row>
    <row r="17" spans="2:24">
      <c r="B17" s="11">
        <f t="shared" si="2"/>
        <v>41789</v>
      </c>
      <c r="C17" s="11">
        <v>41760</v>
      </c>
      <c r="D17" s="13">
        <v>4.5969808299056298</v>
      </c>
      <c r="G17" s="27">
        <v>42138</v>
      </c>
      <c r="H17" s="26">
        <v>3.84</v>
      </c>
      <c r="I17" s="26">
        <v>0.7</v>
      </c>
      <c r="J17" s="26">
        <v>3.7650000000000001</v>
      </c>
      <c r="K17" s="13">
        <f t="shared" si="0"/>
        <v>37.314999999999998</v>
      </c>
      <c r="L17" s="13">
        <f t="shared" si="1"/>
        <v>10</v>
      </c>
      <c r="M17" s="13">
        <f t="shared" si="3"/>
        <v>3.7314999999999996</v>
      </c>
      <c r="O17" s="15">
        <v>41029</v>
      </c>
      <c r="P17" s="13">
        <f t="shared" si="4"/>
        <v>5.2953192445801802</v>
      </c>
      <c r="Q17" s="13">
        <f t="shared" si="5"/>
        <v>3.79</v>
      </c>
      <c r="R17" s="13">
        <f t="shared" si="6"/>
        <v>1.5053192445801802</v>
      </c>
    </row>
    <row r="18" spans="2:24">
      <c r="B18" s="11">
        <f t="shared" si="2"/>
        <v>41759</v>
      </c>
      <c r="C18" s="11">
        <v>41730</v>
      </c>
      <c r="D18" s="13">
        <v>4.6020514387582301</v>
      </c>
      <c r="G18" s="27">
        <v>42137</v>
      </c>
      <c r="H18" s="26">
        <v>3.85</v>
      </c>
      <c r="I18" s="26">
        <v>0.6</v>
      </c>
      <c r="J18" s="26">
        <v>3.75</v>
      </c>
      <c r="K18" s="13">
        <f t="shared" si="0"/>
        <v>33.549999999999997</v>
      </c>
      <c r="L18" s="13">
        <f t="shared" si="1"/>
        <v>9</v>
      </c>
      <c r="M18" s="13">
        <f t="shared" si="3"/>
        <v>3.7277777777777774</v>
      </c>
      <c r="O18" s="15">
        <v>41060</v>
      </c>
      <c r="P18" s="13">
        <f t="shared" si="4"/>
        <v>5.2629157012999999</v>
      </c>
      <c r="Q18" s="13">
        <f t="shared" si="5"/>
        <v>3.5950000000000002</v>
      </c>
      <c r="R18" s="13">
        <f t="shared" si="6"/>
        <v>1.6679157012999997</v>
      </c>
    </row>
    <row r="19" spans="2:24">
      <c r="B19" s="11">
        <f t="shared" si="2"/>
        <v>41729</v>
      </c>
      <c r="C19" s="11">
        <v>41699</v>
      </c>
      <c r="D19" s="13">
        <v>4.6074732109581298</v>
      </c>
      <c r="G19" s="27">
        <v>42136</v>
      </c>
      <c r="H19" s="26">
        <v>3.85</v>
      </c>
      <c r="I19" s="26">
        <v>0.6</v>
      </c>
      <c r="J19" s="26">
        <v>3.75</v>
      </c>
      <c r="K19" s="13">
        <f t="shared" si="0"/>
        <v>29.8</v>
      </c>
      <c r="L19" s="13">
        <f t="shared" si="1"/>
        <v>8</v>
      </c>
      <c r="M19" s="13">
        <f t="shared" si="3"/>
        <v>3.7250000000000001</v>
      </c>
      <c r="O19" s="15">
        <v>41089</v>
      </c>
      <c r="P19" s="13">
        <f t="shared" si="4"/>
        <v>5.2343159846207703</v>
      </c>
      <c r="Q19" s="13">
        <f t="shared" si="5"/>
        <v>3.57</v>
      </c>
      <c r="R19" s="13">
        <f t="shared" si="6"/>
        <v>1.6643159846207705</v>
      </c>
      <c r="X19" s="27"/>
    </row>
    <row r="20" spans="2:24">
      <c r="B20" s="11">
        <f t="shared" si="2"/>
        <v>41698</v>
      </c>
      <c r="C20" s="11">
        <v>41671</v>
      </c>
      <c r="D20" s="13">
        <v>4.6123161256965197</v>
      </c>
      <c r="G20" s="27">
        <v>42135</v>
      </c>
      <c r="H20" s="26">
        <v>3.85</v>
      </c>
      <c r="I20" s="26">
        <v>0.6</v>
      </c>
      <c r="J20" s="26">
        <v>3.75</v>
      </c>
      <c r="K20" s="13">
        <f t="shared" si="0"/>
        <v>26.05</v>
      </c>
      <c r="L20" s="13">
        <f t="shared" si="1"/>
        <v>7</v>
      </c>
      <c r="M20" s="13">
        <f t="shared" si="3"/>
        <v>3.7214285714285715</v>
      </c>
      <c r="O20" s="15">
        <v>41121</v>
      </c>
      <c r="P20" s="13">
        <f t="shared" si="4"/>
        <v>5.1996687925293399</v>
      </c>
      <c r="Q20" s="13">
        <f t="shared" si="5"/>
        <v>3.4750000000000001</v>
      </c>
      <c r="R20" s="13">
        <f t="shared" si="6"/>
        <v>1.7246687925293398</v>
      </c>
    </row>
    <row r="21" spans="2:24">
      <c r="B21" s="11">
        <f t="shared" si="2"/>
        <v>41670</v>
      </c>
      <c r="C21" s="11">
        <v>41640</v>
      </c>
      <c r="D21" s="13">
        <v>4.61811048887773</v>
      </c>
      <c r="G21" s="27">
        <v>42132</v>
      </c>
      <c r="H21" s="26">
        <v>3.85</v>
      </c>
      <c r="I21" s="26">
        <v>0.6</v>
      </c>
      <c r="J21" s="26">
        <v>3.75</v>
      </c>
      <c r="K21" s="13">
        <f t="shared" si="0"/>
        <v>22.3</v>
      </c>
      <c r="L21" s="13">
        <f t="shared" si="1"/>
        <v>6</v>
      </c>
      <c r="M21" s="13">
        <f t="shared" si="3"/>
        <v>3.7166666666666668</v>
      </c>
      <c r="O21" s="15">
        <v>41152</v>
      </c>
      <c r="P21" s="13">
        <f t="shared" si="4"/>
        <v>5.1603138017447998</v>
      </c>
      <c r="Q21" s="13">
        <f t="shared" si="5"/>
        <v>3.4750000000000001</v>
      </c>
      <c r="R21" s="13">
        <f t="shared" si="6"/>
        <v>1.6853138017447997</v>
      </c>
    </row>
    <row r="22" spans="2:24">
      <c r="B22" s="11">
        <f t="shared" si="2"/>
        <v>41639</v>
      </c>
      <c r="C22" s="11">
        <v>41609</v>
      </c>
      <c r="D22" s="13">
        <v>4.6259751706737902</v>
      </c>
      <c r="G22" s="27">
        <v>42131</v>
      </c>
      <c r="H22" s="26">
        <v>3.85</v>
      </c>
      <c r="I22" s="26">
        <v>0.6</v>
      </c>
      <c r="J22" s="26">
        <v>3.75</v>
      </c>
      <c r="K22" s="13">
        <f t="shared" si="0"/>
        <v>18.55</v>
      </c>
      <c r="L22" s="13">
        <f t="shared" si="1"/>
        <v>5</v>
      </c>
      <c r="M22" s="13">
        <f t="shared" si="3"/>
        <v>3.71</v>
      </c>
      <c r="O22" s="15">
        <v>41180</v>
      </c>
      <c r="P22" s="13">
        <f t="shared" si="4"/>
        <v>5.1180011299138704</v>
      </c>
      <c r="Q22" s="13">
        <f t="shared" si="5"/>
        <v>3.26</v>
      </c>
      <c r="R22" s="13">
        <f t="shared" si="6"/>
        <v>1.8580011299138706</v>
      </c>
    </row>
    <row r="23" spans="2:24">
      <c r="B23" s="11">
        <f t="shared" si="2"/>
        <v>41607</v>
      </c>
      <c r="C23" s="11">
        <v>41579</v>
      </c>
      <c r="D23" s="13">
        <v>4.6346558364573696</v>
      </c>
      <c r="G23" s="27">
        <v>42130</v>
      </c>
      <c r="H23" s="26">
        <v>3.8</v>
      </c>
      <c r="I23" s="26">
        <v>0.6</v>
      </c>
      <c r="J23" s="26">
        <v>3.7</v>
      </c>
      <c r="K23" s="13">
        <f t="shared" si="0"/>
        <v>14.8</v>
      </c>
      <c r="L23" s="13">
        <f t="shared" si="1"/>
        <v>4</v>
      </c>
      <c r="M23" s="13">
        <f t="shared" si="3"/>
        <v>3.7</v>
      </c>
      <c r="O23" s="15">
        <v>41213</v>
      </c>
      <c r="P23" s="13">
        <f t="shared" si="4"/>
        <v>5.08700146937759</v>
      </c>
      <c r="Q23" s="13">
        <f t="shared" si="5"/>
        <v>3.3149999999999999</v>
      </c>
      <c r="R23" s="13">
        <f t="shared" si="6"/>
        <v>1.7720014693775901</v>
      </c>
    </row>
    <row r="24" spans="2:24">
      <c r="B24" s="11">
        <f t="shared" si="2"/>
        <v>41578</v>
      </c>
      <c r="C24" s="11">
        <v>41548</v>
      </c>
      <c r="D24" s="13">
        <v>4.6436535921033197</v>
      </c>
      <c r="G24" s="27">
        <v>42129</v>
      </c>
      <c r="H24" s="26">
        <v>3.8</v>
      </c>
      <c r="I24" s="26">
        <v>0.6</v>
      </c>
      <c r="J24" s="26">
        <v>3.7</v>
      </c>
      <c r="K24" s="13">
        <f t="shared" si="0"/>
        <v>11.100000000000001</v>
      </c>
      <c r="L24" s="13">
        <f t="shared" si="1"/>
        <v>3</v>
      </c>
      <c r="M24" s="13">
        <f t="shared" si="3"/>
        <v>3.7000000000000006</v>
      </c>
      <c r="O24" s="15">
        <v>41243</v>
      </c>
      <c r="P24" s="13">
        <f t="shared" si="4"/>
        <v>5.0273809883485496</v>
      </c>
      <c r="Q24" s="13">
        <f t="shared" si="5"/>
        <v>3.2650000000000001</v>
      </c>
      <c r="R24" s="13">
        <f t="shared" si="6"/>
        <v>1.7623809883485495</v>
      </c>
    </row>
    <row r="25" spans="2:24">
      <c r="B25" s="11">
        <f t="shared" si="2"/>
        <v>41547</v>
      </c>
      <c r="C25" s="11">
        <v>41518</v>
      </c>
      <c r="D25" s="13">
        <v>4.6534289800810402</v>
      </c>
      <c r="G25" s="27">
        <v>42128</v>
      </c>
      <c r="H25" s="26">
        <v>3.8</v>
      </c>
      <c r="I25" s="26">
        <v>0.6</v>
      </c>
      <c r="J25" s="26">
        <v>3.7</v>
      </c>
      <c r="K25" s="13">
        <f t="shared" si="0"/>
        <v>7.4</v>
      </c>
      <c r="L25" s="13">
        <f t="shared" si="1"/>
        <v>2</v>
      </c>
      <c r="M25" s="13">
        <f t="shared" si="3"/>
        <v>3.7</v>
      </c>
      <c r="O25" s="15">
        <v>41274</v>
      </c>
      <c r="P25" s="13">
        <f t="shared" si="4"/>
        <v>4.98967156441861</v>
      </c>
      <c r="Q25" s="13">
        <f t="shared" si="5"/>
        <v>3.2650000000000001</v>
      </c>
      <c r="R25" s="13">
        <f t="shared" si="6"/>
        <v>1.7246715644186099</v>
      </c>
    </row>
    <row r="26" spans="2:24">
      <c r="B26" s="11">
        <f t="shared" si="2"/>
        <v>41516</v>
      </c>
      <c r="C26" s="11">
        <v>41487</v>
      </c>
      <c r="D26" s="13">
        <v>4.6705040054490201</v>
      </c>
      <c r="G26" s="27">
        <v>42125</v>
      </c>
      <c r="H26" s="26">
        <v>3.8</v>
      </c>
      <c r="I26" s="26">
        <v>0.6</v>
      </c>
      <c r="J26" s="26">
        <v>3.7</v>
      </c>
      <c r="K26" s="13">
        <f t="shared" si="0"/>
        <v>3.7</v>
      </c>
      <c r="L26" s="13">
        <f t="shared" si="1"/>
        <v>1</v>
      </c>
      <c r="M26" s="13">
        <f t="shared" si="3"/>
        <v>3.7</v>
      </c>
      <c r="O26" s="15">
        <v>41305</v>
      </c>
      <c r="P26" s="13">
        <f t="shared" si="4"/>
        <v>4.9407582426292702</v>
      </c>
      <c r="Q26" s="13">
        <f t="shared" si="5"/>
        <v>3.48</v>
      </c>
      <c r="R26" s="13">
        <f t="shared" si="6"/>
        <v>1.4607582426292702</v>
      </c>
    </row>
    <row r="27" spans="2:24">
      <c r="B27" s="11">
        <f t="shared" si="2"/>
        <v>41486</v>
      </c>
      <c r="C27" s="11">
        <v>41456</v>
      </c>
      <c r="D27" s="13">
        <v>4.6979710267704702</v>
      </c>
      <c r="G27" s="27">
        <v>42124</v>
      </c>
      <c r="H27" s="26">
        <v>3.8</v>
      </c>
      <c r="I27" s="26">
        <v>0.6</v>
      </c>
      <c r="J27" s="26">
        <v>3.7</v>
      </c>
      <c r="K27" s="13">
        <f t="shared" si="0"/>
        <v>78.72499999999998</v>
      </c>
      <c r="L27" s="13">
        <f t="shared" si="1"/>
        <v>22</v>
      </c>
      <c r="M27" s="13">
        <f t="shared" si="3"/>
        <v>3.5784090909090902</v>
      </c>
      <c r="O27" s="15">
        <v>41333</v>
      </c>
      <c r="P27" s="13">
        <f t="shared" si="4"/>
        <v>4.8929881644935698</v>
      </c>
      <c r="Q27" s="13">
        <f t="shared" si="5"/>
        <v>3.4449999999999998</v>
      </c>
      <c r="R27" s="13">
        <f t="shared" si="6"/>
        <v>1.4479881644935699</v>
      </c>
    </row>
    <row r="28" spans="2:24">
      <c r="B28" s="11">
        <f t="shared" si="2"/>
        <v>41453</v>
      </c>
      <c r="C28" s="11">
        <v>41426</v>
      </c>
      <c r="D28" s="13">
        <v>4.73544355899375</v>
      </c>
      <c r="G28" s="27">
        <v>42123</v>
      </c>
      <c r="H28" s="26">
        <v>3.68</v>
      </c>
      <c r="I28" s="26">
        <v>0.6</v>
      </c>
      <c r="J28" s="26">
        <v>3.58</v>
      </c>
      <c r="K28" s="13">
        <f t="shared" si="0"/>
        <v>75.024999999999977</v>
      </c>
      <c r="L28" s="13">
        <f t="shared" si="1"/>
        <v>21</v>
      </c>
      <c r="M28" s="13">
        <f t="shared" si="3"/>
        <v>3.5726190476190465</v>
      </c>
      <c r="O28" s="15">
        <v>41361</v>
      </c>
      <c r="P28" s="13">
        <f t="shared" si="4"/>
        <v>4.8553417742290303</v>
      </c>
      <c r="Q28" s="13">
        <f t="shared" si="5"/>
        <v>3.49</v>
      </c>
      <c r="R28" s="13">
        <f t="shared" si="6"/>
        <v>1.3653417742290301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41425</v>
      </c>
      <c r="C29" s="11">
        <v>41395</v>
      </c>
      <c r="D29" s="13">
        <v>4.7738505439490204</v>
      </c>
      <c r="G29" s="27">
        <v>42122</v>
      </c>
      <c r="H29" s="26">
        <v>3.68</v>
      </c>
      <c r="I29" s="26">
        <v>0.6</v>
      </c>
      <c r="J29" s="26">
        <v>3.58</v>
      </c>
      <c r="K29" s="13">
        <f t="shared" si="0"/>
        <v>71.444999999999979</v>
      </c>
      <c r="L29" s="13">
        <f t="shared" si="1"/>
        <v>20</v>
      </c>
      <c r="M29" s="13">
        <f t="shared" si="3"/>
        <v>3.572249999999999</v>
      </c>
      <c r="O29" s="15">
        <v>41394</v>
      </c>
      <c r="P29" s="13">
        <f t="shared" si="4"/>
        <v>4.8154791000097701</v>
      </c>
      <c r="Q29" s="13">
        <f t="shared" si="5"/>
        <v>3.2749999999999999</v>
      </c>
      <c r="R29" s="13">
        <f t="shared" si="6"/>
        <v>1.5404791000097702</v>
      </c>
    </row>
    <row r="30" spans="2:24">
      <c r="B30" s="11">
        <f t="shared" si="2"/>
        <v>41394</v>
      </c>
      <c r="C30" s="11">
        <v>41365</v>
      </c>
      <c r="D30" s="13">
        <v>4.8154791000097701</v>
      </c>
      <c r="G30" s="27">
        <v>42121</v>
      </c>
      <c r="H30" s="26">
        <v>3.68</v>
      </c>
      <c r="I30" s="26">
        <v>0.6</v>
      </c>
      <c r="J30" s="26">
        <v>3.58</v>
      </c>
      <c r="K30" s="13">
        <f t="shared" si="0"/>
        <v>67.864999999999981</v>
      </c>
      <c r="L30" s="13">
        <f t="shared" si="1"/>
        <v>19</v>
      </c>
      <c r="M30" s="13">
        <f t="shared" si="3"/>
        <v>3.571842105263157</v>
      </c>
      <c r="O30" s="15">
        <v>41425</v>
      </c>
      <c r="P30" s="13">
        <f t="shared" si="4"/>
        <v>4.7738505439490204</v>
      </c>
      <c r="Q30" s="13">
        <f t="shared" si="5"/>
        <v>3.835</v>
      </c>
      <c r="R30" s="13">
        <f t="shared" si="6"/>
        <v>0.93885054394902046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41361</v>
      </c>
      <c r="C31" s="11">
        <v>41334</v>
      </c>
      <c r="D31" s="13">
        <v>4.8553417742290303</v>
      </c>
      <c r="G31" s="27">
        <v>42118</v>
      </c>
      <c r="H31" s="26">
        <v>3.68</v>
      </c>
      <c r="I31" s="26">
        <v>0.6</v>
      </c>
      <c r="J31" s="26">
        <v>3.58</v>
      </c>
      <c r="K31" s="13">
        <f t="shared" si="0"/>
        <v>64.284999999999982</v>
      </c>
      <c r="L31" s="13">
        <f t="shared" si="1"/>
        <v>18</v>
      </c>
      <c r="M31" s="13">
        <f t="shared" si="3"/>
        <v>3.5713888888888881</v>
      </c>
      <c r="O31" s="15">
        <v>41453</v>
      </c>
      <c r="P31" s="13">
        <f t="shared" si="4"/>
        <v>4.73544355899375</v>
      </c>
      <c r="Q31" s="13">
        <f t="shared" si="5"/>
        <v>4.2149999999999999</v>
      </c>
      <c r="R31" s="13">
        <f t="shared" si="6"/>
        <v>0.52044355899375017</v>
      </c>
    </row>
    <row r="32" spans="2:24">
      <c r="B32" s="11">
        <f t="shared" si="2"/>
        <v>41333</v>
      </c>
      <c r="C32" s="11">
        <v>41306</v>
      </c>
      <c r="D32" s="13">
        <v>4.8929881644935698</v>
      </c>
      <c r="G32" s="27">
        <v>42117</v>
      </c>
      <c r="H32" s="26">
        <v>3.68</v>
      </c>
      <c r="I32" s="26">
        <v>0.6</v>
      </c>
      <c r="J32" s="26">
        <v>3.58</v>
      </c>
      <c r="K32" s="13">
        <f t="shared" si="0"/>
        <v>60.704999999999977</v>
      </c>
      <c r="L32" s="13">
        <f t="shared" si="1"/>
        <v>17</v>
      </c>
      <c r="M32" s="13">
        <f t="shared" si="3"/>
        <v>3.5708823529411751</v>
      </c>
      <c r="O32" s="15">
        <v>41486</v>
      </c>
      <c r="P32" s="13">
        <f t="shared" si="4"/>
        <v>4.6979710267704702</v>
      </c>
      <c r="Q32" s="13">
        <f t="shared" si="5"/>
        <v>4.3150000000000004</v>
      </c>
      <c r="R32" s="13">
        <f t="shared" si="6"/>
        <v>0.38297102677046979</v>
      </c>
    </row>
    <row r="33" spans="2:18">
      <c r="B33" s="11">
        <f t="shared" si="2"/>
        <v>41305</v>
      </c>
      <c r="C33" s="11">
        <v>41275</v>
      </c>
      <c r="D33" s="13">
        <v>4.9407582426292702</v>
      </c>
      <c r="G33" s="27">
        <v>42116</v>
      </c>
      <c r="H33" s="26">
        <v>3.65</v>
      </c>
      <c r="I33" s="26">
        <v>0.6</v>
      </c>
      <c r="J33" s="26">
        <v>3.55</v>
      </c>
      <c r="K33" s="13">
        <f t="shared" si="0"/>
        <v>57.124999999999979</v>
      </c>
      <c r="L33" s="13">
        <f t="shared" si="1"/>
        <v>16</v>
      </c>
      <c r="M33" s="13">
        <f t="shared" si="3"/>
        <v>3.5703124999999987</v>
      </c>
      <c r="O33" s="15">
        <v>41516</v>
      </c>
      <c r="P33" s="13">
        <f t="shared" si="4"/>
        <v>4.6705040054490201</v>
      </c>
      <c r="Q33" s="13">
        <f t="shared" si="5"/>
        <v>4.4950000000000001</v>
      </c>
      <c r="R33" s="13">
        <f t="shared" si="6"/>
        <v>0.17550400544902001</v>
      </c>
    </row>
    <row r="34" spans="2:18">
      <c r="B34" s="11">
        <f t="shared" si="2"/>
        <v>41274</v>
      </c>
      <c r="C34" s="11">
        <v>41244</v>
      </c>
      <c r="D34" s="13">
        <v>4.98967156441861</v>
      </c>
      <c r="G34" s="27">
        <v>42115</v>
      </c>
      <c r="H34" s="26">
        <v>3.65</v>
      </c>
      <c r="I34" s="26">
        <v>0.6</v>
      </c>
      <c r="J34" s="26">
        <v>3.55</v>
      </c>
      <c r="K34" s="13">
        <f t="shared" si="0"/>
        <v>53.574999999999982</v>
      </c>
      <c r="L34" s="13">
        <f t="shared" si="1"/>
        <v>15</v>
      </c>
      <c r="M34" s="13">
        <f t="shared" si="3"/>
        <v>3.5716666666666654</v>
      </c>
      <c r="O34" s="15">
        <v>41547</v>
      </c>
      <c r="P34" s="13">
        <f t="shared" si="4"/>
        <v>4.6534289800810402</v>
      </c>
      <c r="Q34" s="13">
        <f t="shared" si="5"/>
        <v>4.1449999999999996</v>
      </c>
      <c r="R34" s="13">
        <f t="shared" si="6"/>
        <v>0.50842898008104065</v>
      </c>
    </row>
    <row r="35" spans="2:18">
      <c r="B35" s="11">
        <f t="shared" si="2"/>
        <v>41243</v>
      </c>
      <c r="C35" s="11">
        <v>41214</v>
      </c>
      <c r="D35" s="13">
        <v>5.0273809883485496</v>
      </c>
      <c r="G35" s="27">
        <v>42114</v>
      </c>
      <c r="H35" s="26">
        <v>3.65</v>
      </c>
      <c r="I35" s="26">
        <v>0.6</v>
      </c>
      <c r="J35" s="26">
        <v>3.55</v>
      </c>
      <c r="K35" s="13">
        <f t="shared" si="0"/>
        <v>50.024999999999984</v>
      </c>
      <c r="L35" s="13">
        <f t="shared" si="1"/>
        <v>14</v>
      </c>
      <c r="M35" s="13">
        <f t="shared" si="3"/>
        <v>3.5732142857142848</v>
      </c>
      <c r="O35" s="15">
        <v>41578</v>
      </c>
      <c r="P35" s="13">
        <f t="shared" si="4"/>
        <v>4.6436535921033197</v>
      </c>
      <c r="Q35" s="13">
        <f t="shared" si="5"/>
        <v>4.1100000000000003</v>
      </c>
      <c r="R35" s="13">
        <f t="shared" si="6"/>
        <v>0.53365359210331942</v>
      </c>
    </row>
    <row r="36" spans="2:18">
      <c r="B36" s="11">
        <f t="shared" si="2"/>
        <v>41213</v>
      </c>
      <c r="C36" s="11">
        <v>41183</v>
      </c>
      <c r="D36" s="13">
        <v>5.08700146937759</v>
      </c>
      <c r="G36" s="27">
        <v>42111</v>
      </c>
      <c r="H36" s="26">
        <v>3.65</v>
      </c>
      <c r="I36" s="26">
        <v>0.6</v>
      </c>
      <c r="J36" s="26">
        <v>3.55</v>
      </c>
      <c r="K36" s="13">
        <f t="shared" si="0"/>
        <v>46.474999999999987</v>
      </c>
      <c r="L36" s="13">
        <f t="shared" si="1"/>
        <v>13</v>
      </c>
      <c r="M36" s="13">
        <f t="shared" si="3"/>
        <v>3.5749999999999988</v>
      </c>
      <c r="O36" s="15">
        <v>41607</v>
      </c>
      <c r="P36" s="13">
        <f t="shared" si="4"/>
        <v>4.6346558364573696</v>
      </c>
      <c r="Q36" s="13">
        <f t="shared" si="5"/>
        <v>4.335</v>
      </c>
      <c r="R36" s="13">
        <f t="shared" si="6"/>
        <v>0.2996558364573696</v>
      </c>
    </row>
    <row r="37" spans="2:18">
      <c r="B37" s="11">
        <f t="shared" si="2"/>
        <v>41180</v>
      </c>
      <c r="C37" s="11">
        <v>41153</v>
      </c>
      <c r="D37" s="13">
        <v>5.1180011299138704</v>
      </c>
      <c r="G37" s="27">
        <v>42110</v>
      </c>
      <c r="H37" s="26">
        <v>3.65</v>
      </c>
      <c r="I37" s="26">
        <v>0.6</v>
      </c>
      <c r="J37" s="26">
        <v>3.55</v>
      </c>
      <c r="K37" s="13">
        <f t="shared" si="0"/>
        <v>42.92499999999999</v>
      </c>
      <c r="L37" s="13">
        <f t="shared" si="1"/>
        <v>12</v>
      </c>
      <c r="M37" s="13">
        <f t="shared" si="3"/>
        <v>3.5770833333333325</v>
      </c>
      <c r="O37" s="15">
        <v>41639</v>
      </c>
      <c r="P37" s="13">
        <f t="shared" si="4"/>
        <v>4.6259751706737902</v>
      </c>
      <c r="Q37" s="13">
        <f t="shared" si="5"/>
        <v>4.4800000000000004</v>
      </c>
      <c r="R37" s="13">
        <f t="shared" si="6"/>
        <v>0.14597517067378973</v>
      </c>
    </row>
    <row r="38" spans="2:18">
      <c r="B38" s="11">
        <f t="shared" si="2"/>
        <v>41152</v>
      </c>
      <c r="C38" s="11">
        <v>41122</v>
      </c>
      <c r="D38" s="13">
        <v>5.1603138017447998</v>
      </c>
      <c r="G38" s="27">
        <v>42109</v>
      </c>
      <c r="H38" s="26">
        <v>3.67</v>
      </c>
      <c r="I38" s="26">
        <v>0.7</v>
      </c>
      <c r="J38" s="26">
        <v>3.5950000000000002</v>
      </c>
      <c r="K38" s="13">
        <f t="shared" si="0"/>
        <v>39.374999999999993</v>
      </c>
      <c r="L38" s="13">
        <f t="shared" si="1"/>
        <v>11</v>
      </c>
      <c r="M38" s="13">
        <f t="shared" si="3"/>
        <v>3.5795454545454537</v>
      </c>
      <c r="O38" s="15">
        <v>41670</v>
      </c>
      <c r="P38" s="13">
        <f t="shared" si="4"/>
        <v>4.61811048887773</v>
      </c>
      <c r="Q38" s="13">
        <f t="shared" si="5"/>
        <v>4.1550000000000002</v>
      </c>
      <c r="R38" s="13">
        <f t="shared" si="6"/>
        <v>0.46311048887772976</v>
      </c>
    </row>
    <row r="39" spans="2:18">
      <c r="B39" s="11">
        <f t="shared" si="2"/>
        <v>41121</v>
      </c>
      <c r="C39" s="11">
        <v>41091</v>
      </c>
      <c r="D39" s="13">
        <v>5.1996687925293399</v>
      </c>
      <c r="G39" s="27">
        <v>42108</v>
      </c>
      <c r="H39" s="26">
        <v>3.67</v>
      </c>
      <c r="I39" s="26">
        <v>0.7</v>
      </c>
      <c r="J39" s="26">
        <v>3.5950000000000002</v>
      </c>
      <c r="K39" s="13">
        <f t="shared" si="0"/>
        <v>35.779999999999994</v>
      </c>
      <c r="L39" s="13">
        <f t="shared" si="1"/>
        <v>10</v>
      </c>
      <c r="M39" s="13">
        <f t="shared" si="3"/>
        <v>3.5779999999999994</v>
      </c>
      <c r="O39" s="15">
        <v>41698</v>
      </c>
      <c r="P39" s="13">
        <f t="shared" si="4"/>
        <v>4.6123161256965197</v>
      </c>
      <c r="Q39" s="13">
        <f t="shared" si="5"/>
        <v>4.2050000000000001</v>
      </c>
      <c r="R39" s="13">
        <f t="shared" si="6"/>
        <v>0.40731612569651965</v>
      </c>
    </row>
    <row r="40" spans="2:18">
      <c r="B40" s="11">
        <f t="shared" si="2"/>
        <v>41089</v>
      </c>
      <c r="C40" s="11">
        <v>41061</v>
      </c>
      <c r="D40" s="13">
        <v>5.2343159846207703</v>
      </c>
      <c r="G40" s="27">
        <v>42107</v>
      </c>
      <c r="H40" s="26">
        <v>3.67</v>
      </c>
      <c r="I40" s="26">
        <v>0.7</v>
      </c>
      <c r="J40" s="26">
        <v>3.5950000000000002</v>
      </c>
      <c r="K40" s="13">
        <f t="shared" si="0"/>
        <v>32.184999999999995</v>
      </c>
      <c r="L40" s="13">
        <f t="shared" si="1"/>
        <v>9</v>
      </c>
      <c r="M40" s="13">
        <f t="shared" si="3"/>
        <v>3.5761111111111106</v>
      </c>
      <c r="O40" s="15">
        <v>41729</v>
      </c>
      <c r="P40" s="13">
        <f t="shared" si="4"/>
        <v>4.6074732109581298</v>
      </c>
      <c r="Q40" s="13">
        <f t="shared" si="5"/>
        <v>4.335</v>
      </c>
      <c r="R40" s="13">
        <f t="shared" si="6"/>
        <v>0.27247321095812982</v>
      </c>
    </row>
    <row r="41" spans="2:18">
      <c r="B41" s="11">
        <f t="shared" si="2"/>
        <v>41060</v>
      </c>
      <c r="C41" s="11">
        <v>41030</v>
      </c>
      <c r="D41" s="13">
        <v>5.2629157012999999</v>
      </c>
      <c r="G41" s="27">
        <v>42104</v>
      </c>
      <c r="H41" s="26">
        <v>3.67</v>
      </c>
      <c r="I41" s="26">
        <v>0.7</v>
      </c>
      <c r="J41" s="26">
        <v>3.5950000000000002</v>
      </c>
      <c r="K41" s="13">
        <f t="shared" si="0"/>
        <v>28.589999999999996</v>
      </c>
      <c r="L41" s="13">
        <f t="shared" si="1"/>
        <v>8</v>
      </c>
      <c r="M41" s="13">
        <f t="shared" si="3"/>
        <v>3.5737499999999995</v>
      </c>
      <c r="O41" s="15">
        <v>41759</v>
      </c>
      <c r="P41" s="13">
        <f t="shared" si="4"/>
        <v>4.6020514387582301</v>
      </c>
      <c r="Q41" s="13">
        <f t="shared" si="5"/>
        <v>4.2149999999999999</v>
      </c>
      <c r="R41" s="13">
        <f t="shared" si="6"/>
        <v>0.38705143875823023</v>
      </c>
    </row>
    <row r="42" spans="2:18">
      <c r="B42" s="11">
        <f t="shared" si="2"/>
        <v>41029</v>
      </c>
      <c r="C42" s="11">
        <v>41000</v>
      </c>
      <c r="D42" s="13">
        <v>5.2953192445801802</v>
      </c>
      <c r="G42" s="27">
        <v>42103</v>
      </c>
      <c r="H42" s="26">
        <v>3.67</v>
      </c>
      <c r="I42" s="26">
        <v>0.7</v>
      </c>
      <c r="J42" s="26">
        <v>3.5950000000000002</v>
      </c>
      <c r="K42" s="13">
        <f t="shared" si="0"/>
        <v>24.994999999999997</v>
      </c>
      <c r="L42" s="13">
        <f t="shared" si="1"/>
        <v>7</v>
      </c>
      <c r="M42" s="13">
        <f t="shared" si="3"/>
        <v>3.5707142857142853</v>
      </c>
      <c r="O42" s="15">
        <v>41789</v>
      </c>
      <c r="P42" s="13">
        <f t="shared" si="4"/>
        <v>4.5969808299056298</v>
      </c>
      <c r="Q42" s="13">
        <f t="shared" si="5"/>
        <v>4.0149999999999997</v>
      </c>
      <c r="R42" s="13">
        <f t="shared" si="6"/>
        <v>0.58198082990563016</v>
      </c>
    </row>
    <row r="43" spans="2:18">
      <c r="B43" s="11">
        <f t="shared" si="2"/>
        <v>40998</v>
      </c>
      <c r="C43" s="11">
        <v>40969</v>
      </c>
      <c r="D43" s="13">
        <v>5.3179671663260297</v>
      </c>
      <c r="G43" s="27">
        <v>42102</v>
      </c>
      <c r="H43" s="26">
        <v>3.66</v>
      </c>
      <c r="I43" s="26">
        <v>0.6</v>
      </c>
      <c r="J43" s="26">
        <v>3.56</v>
      </c>
      <c r="K43" s="13">
        <f t="shared" si="0"/>
        <v>21.4</v>
      </c>
      <c r="L43" s="13">
        <f t="shared" si="1"/>
        <v>6</v>
      </c>
      <c r="M43" s="13">
        <f t="shared" si="3"/>
        <v>3.5666666666666664</v>
      </c>
      <c r="O43" s="15">
        <v>41820</v>
      </c>
      <c r="P43" s="13">
        <f t="shared" si="4"/>
        <v>4.5918833919769302</v>
      </c>
      <c r="Q43" s="13">
        <f t="shared" si="5"/>
        <v>3.9950000000000001</v>
      </c>
      <c r="R43" s="13">
        <f t="shared" si="6"/>
        <v>0.59688339197693008</v>
      </c>
    </row>
    <row r="44" spans="2:18">
      <c r="B44" s="11">
        <f t="shared" si="2"/>
        <v>40968</v>
      </c>
      <c r="C44" s="11">
        <v>40940</v>
      </c>
      <c r="D44" s="13">
        <v>5.3594348559218998</v>
      </c>
      <c r="G44" s="27">
        <v>42101</v>
      </c>
      <c r="H44" s="26">
        <v>3.66</v>
      </c>
      <c r="I44" s="26">
        <v>0.6</v>
      </c>
      <c r="J44" s="26">
        <v>3.56</v>
      </c>
      <c r="K44" s="13">
        <f t="shared" si="0"/>
        <v>17.84</v>
      </c>
      <c r="L44" s="13">
        <f t="shared" si="1"/>
        <v>5</v>
      </c>
      <c r="M44" s="13">
        <f t="shared" si="3"/>
        <v>3.5680000000000001</v>
      </c>
      <c r="O44" s="15">
        <v>41851</v>
      </c>
      <c r="P44" s="13">
        <f t="shared" si="4"/>
        <v>4.5858312437735398</v>
      </c>
      <c r="Q44" s="13">
        <f t="shared" si="5"/>
        <v>4.0650000000000004</v>
      </c>
      <c r="R44" s="13">
        <f t="shared" si="6"/>
        <v>0.5208312437735394</v>
      </c>
    </row>
    <row r="45" spans="2:18">
      <c r="B45" s="11">
        <f t="shared" si="2"/>
        <v>40939</v>
      </c>
      <c r="C45" s="11">
        <v>40909</v>
      </c>
      <c r="D45" s="13">
        <v>5.3841264551661103</v>
      </c>
      <c r="G45" s="27">
        <v>42100</v>
      </c>
      <c r="H45" s="26">
        <v>3.66</v>
      </c>
      <c r="I45" s="26">
        <v>0.6</v>
      </c>
      <c r="J45" s="26">
        <v>3.56</v>
      </c>
      <c r="K45" s="13">
        <f t="shared" si="0"/>
        <v>14.280000000000001</v>
      </c>
      <c r="L45" s="13">
        <f t="shared" si="1"/>
        <v>4</v>
      </c>
      <c r="M45" s="13">
        <f t="shared" si="3"/>
        <v>3.5700000000000003</v>
      </c>
      <c r="O45" s="15">
        <v>41880</v>
      </c>
      <c r="P45" s="13">
        <f t="shared" si="4"/>
        <v>4.5792978774360797</v>
      </c>
      <c r="Q45" s="13">
        <f t="shared" si="5"/>
        <v>3.9750000000000001</v>
      </c>
      <c r="R45" s="13">
        <f t="shared" si="6"/>
        <v>0.60429787743607966</v>
      </c>
    </row>
    <row r="46" spans="2:18">
      <c r="B46" s="11">
        <f t="shared" si="2"/>
        <v>40907</v>
      </c>
      <c r="C46" s="11">
        <v>40878</v>
      </c>
      <c r="D46" s="13">
        <v>5.4070810969259098</v>
      </c>
      <c r="G46" s="27">
        <v>42097</v>
      </c>
      <c r="H46" s="26">
        <v>3.66</v>
      </c>
      <c r="I46" s="26">
        <v>0.6</v>
      </c>
      <c r="J46" s="26">
        <v>3.56</v>
      </c>
      <c r="K46" s="13">
        <f t="shared" si="0"/>
        <v>10.72</v>
      </c>
      <c r="L46" s="13">
        <f t="shared" si="1"/>
        <v>3</v>
      </c>
      <c r="M46" s="13">
        <f t="shared" si="3"/>
        <v>3.5733333333333337</v>
      </c>
      <c r="O46" s="15">
        <v>41912</v>
      </c>
      <c r="P46" s="13">
        <f t="shared" si="4"/>
        <v>4.5722568157169796</v>
      </c>
      <c r="Q46" s="13">
        <f t="shared" si="5"/>
        <v>4.04</v>
      </c>
      <c r="R46" s="13">
        <f t="shared" si="6"/>
        <v>0.53225681571697958</v>
      </c>
    </row>
    <row r="47" spans="2:18">
      <c r="B47" s="11">
        <f t="shared" si="2"/>
        <v>40877</v>
      </c>
      <c r="C47" s="11">
        <v>40848</v>
      </c>
      <c r="D47" s="13">
        <v>5.4364668645164897</v>
      </c>
      <c r="G47" s="27">
        <v>42096</v>
      </c>
      <c r="H47" s="26">
        <v>3.66</v>
      </c>
      <c r="I47" s="26">
        <v>0.6</v>
      </c>
      <c r="J47" s="26">
        <v>3.56</v>
      </c>
      <c r="K47" s="13">
        <f t="shared" si="0"/>
        <v>7.16</v>
      </c>
      <c r="L47" s="13">
        <f t="shared" si="1"/>
        <v>2</v>
      </c>
      <c r="M47" s="13">
        <f t="shared" si="3"/>
        <v>3.58</v>
      </c>
      <c r="O47" s="15">
        <v>41943</v>
      </c>
      <c r="P47" s="13">
        <f t="shared" si="4"/>
        <v>4.56589439066643</v>
      </c>
      <c r="Q47" s="13">
        <f t="shared" si="5"/>
        <v>3.895</v>
      </c>
      <c r="R47" s="13">
        <f t="shared" si="6"/>
        <v>0.67089439066642997</v>
      </c>
    </row>
    <row r="48" spans="2:18">
      <c r="B48" s="11">
        <f t="shared" si="2"/>
        <v>40847</v>
      </c>
      <c r="C48" s="11">
        <v>40817</v>
      </c>
      <c r="D48" s="13">
        <v>5.4564253789048802</v>
      </c>
      <c r="G48" s="27">
        <v>42095</v>
      </c>
      <c r="H48" s="26">
        <v>3.7</v>
      </c>
      <c r="I48" s="26">
        <v>0.6</v>
      </c>
      <c r="J48" s="26">
        <v>3.6</v>
      </c>
      <c r="K48" s="13">
        <f t="shared" si="0"/>
        <v>3.6</v>
      </c>
      <c r="L48" s="13">
        <f t="shared" si="1"/>
        <v>1</v>
      </c>
      <c r="M48" s="13">
        <f t="shared" si="3"/>
        <v>3.6</v>
      </c>
      <c r="O48" s="15">
        <v>41971</v>
      </c>
      <c r="P48" s="13">
        <f t="shared" si="4"/>
        <v>4.5602421215425704</v>
      </c>
      <c r="Q48" s="13">
        <f t="shared" si="5"/>
        <v>3.7650000000000001</v>
      </c>
      <c r="R48" s="13">
        <f t="shared" si="6"/>
        <v>0.79524212154257023</v>
      </c>
    </row>
    <row r="49" spans="2:18">
      <c r="B49" s="11">
        <f t="shared" si="2"/>
        <v>40816</v>
      </c>
      <c r="C49" s="11">
        <v>40787</v>
      </c>
      <c r="D49" s="13">
        <v>5.4705693261233499</v>
      </c>
      <c r="G49" s="27">
        <v>42094</v>
      </c>
      <c r="H49" s="26">
        <v>3.7</v>
      </c>
      <c r="I49" s="26">
        <v>0.6</v>
      </c>
      <c r="J49" s="26">
        <v>3.6</v>
      </c>
      <c r="K49" s="13">
        <f t="shared" si="0"/>
        <v>80.499999999999986</v>
      </c>
      <c r="L49" s="13">
        <f t="shared" si="1"/>
        <v>22</v>
      </c>
      <c r="M49" s="13">
        <f t="shared" si="3"/>
        <v>3.6590909090909083</v>
      </c>
      <c r="O49" s="15">
        <v>42004</v>
      </c>
      <c r="P49" s="13">
        <f t="shared" si="4"/>
        <v>4.5528471823468299</v>
      </c>
      <c r="Q49" s="13" t="e">
        <f t="shared" si="5"/>
        <v>#N/A</v>
      </c>
      <c r="R49" s="13" t="e">
        <f t="shared" si="6"/>
        <v>#N/A</v>
      </c>
    </row>
    <row r="50" spans="2:18">
      <c r="B50" s="11">
        <f t="shared" si="2"/>
        <v>40786</v>
      </c>
      <c r="C50" s="11">
        <v>40756</v>
      </c>
      <c r="D50" s="13">
        <v>5.4853483193438404</v>
      </c>
      <c r="G50" s="27">
        <v>42093</v>
      </c>
      <c r="H50" s="26">
        <v>3.7</v>
      </c>
      <c r="I50" s="26">
        <v>0.6</v>
      </c>
      <c r="J50" s="26">
        <v>3.6</v>
      </c>
      <c r="K50" s="13">
        <f t="shared" si="0"/>
        <v>76.899999999999991</v>
      </c>
      <c r="L50" s="13">
        <f t="shared" si="1"/>
        <v>21</v>
      </c>
      <c r="M50" s="13">
        <f t="shared" si="3"/>
        <v>3.6619047619047613</v>
      </c>
      <c r="O50" s="15">
        <v>42034</v>
      </c>
      <c r="P50" s="13">
        <f t="shared" si="4"/>
        <v>4.5446755242495396</v>
      </c>
      <c r="Q50" s="13">
        <f t="shared" si="5"/>
        <v>3.5150000000000001</v>
      </c>
      <c r="R50" s="13">
        <f t="shared" si="6"/>
        <v>1.0296755242495395</v>
      </c>
    </row>
    <row r="51" spans="2:18">
      <c r="B51" s="11">
        <f t="shared" si="2"/>
        <v>40753</v>
      </c>
      <c r="C51" s="11">
        <v>40725</v>
      </c>
      <c r="D51" s="13">
        <v>5.4966046806114601</v>
      </c>
      <c r="G51" s="27">
        <v>42090</v>
      </c>
      <c r="H51" s="26">
        <v>3.7</v>
      </c>
      <c r="I51" s="26">
        <v>0.6</v>
      </c>
      <c r="J51" s="26">
        <v>3.6</v>
      </c>
      <c r="K51" s="13">
        <f t="shared" si="0"/>
        <v>73.3</v>
      </c>
      <c r="L51" s="13">
        <f t="shared" si="1"/>
        <v>20</v>
      </c>
      <c r="M51" s="13">
        <f t="shared" si="3"/>
        <v>3.665</v>
      </c>
      <c r="O51" s="15">
        <v>42062</v>
      </c>
      <c r="P51" s="13">
        <f t="shared" si="4"/>
        <v>4.53618658666276</v>
      </c>
      <c r="Q51" s="13">
        <f t="shared" si="5"/>
        <v>3.65</v>
      </c>
      <c r="R51" s="13">
        <f t="shared" si="6"/>
        <v>0.88618658666276007</v>
      </c>
    </row>
    <row r="52" spans="2:18">
      <c r="B52" s="11">
        <f t="shared" si="2"/>
        <v>40724</v>
      </c>
      <c r="C52" s="11">
        <v>40695</v>
      </c>
      <c r="D52" s="13">
        <v>5.5064525221557803</v>
      </c>
      <c r="G52" s="27">
        <v>42089</v>
      </c>
      <c r="H52" s="26">
        <v>3.7</v>
      </c>
      <c r="I52" s="26">
        <v>0.6</v>
      </c>
      <c r="J52" s="26">
        <v>3.6</v>
      </c>
      <c r="K52" s="13">
        <f t="shared" si="0"/>
        <v>69.7</v>
      </c>
      <c r="L52" s="13">
        <f t="shared" si="1"/>
        <v>19</v>
      </c>
      <c r="M52" s="13">
        <f t="shared" si="3"/>
        <v>3.668421052631579</v>
      </c>
      <c r="O52" s="15">
        <v>42094</v>
      </c>
      <c r="P52" s="13">
        <f t="shared" si="4"/>
        <v>4.5238127948380598</v>
      </c>
      <c r="Q52" s="13">
        <f t="shared" si="5"/>
        <v>3.6</v>
      </c>
      <c r="R52" s="13">
        <f t="shared" si="6"/>
        <v>0.92381279483805967</v>
      </c>
    </row>
    <row r="53" spans="2:18">
      <c r="B53" s="11">
        <f t="shared" si="2"/>
        <v>40694</v>
      </c>
      <c r="C53" s="11">
        <v>40664</v>
      </c>
      <c r="D53" s="13">
        <v>5.51689595799128</v>
      </c>
      <c r="G53" s="27">
        <v>42088</v>
      </c>
      <c r="H53" s="26">
        <v>3.69</v>
      </c>
      <c r="I53" s="26">
        <v>0.6</v>
      </c>
      <c r="J53" s="26">
        <v>3.59</v>
      </c>
      <c r="K53" s="13">
        <f t="shared" si="0"/>
        <v>66.100000000000009</v>
      </c>
      <c r="L53" s="13">
        <f t="shared" si="1"/>
        <v>18</v>
      </c>
      <c r="M53" s="13">
        <f t="shared" si="3"/>
        <v>3.6722222222222225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40662</v>
      </c>
      <c r="C54" s="11">
        <v>40634</v>
      </c>
      <c r="D54" s="13">
        <v>5.5269246970767396</v>
      </c>
      <c r="G54" s="27">
        <v>42087</v>
      </c>
      <c r="H54" s="26">
        <v>3.69</v>
      </c>
      <c r="I54" s="26">
        <v>0.6</v>
      </c>
      <c r="J54" s="26">
        <v>3.59</v>
      </c>
      <c r="K54" s="13">
        <f t="shared" si="0"/>
        <v>62.510000000000005</v>
      </c>
      <c r="L54" s="13">
        <f t="shared" si="1"/>
        <v>17</v>
      </c>
      <c r="M54" s="13">
        <f t="shared" si="3"/>
        <v>3.6770588235294119</v>
      </c>
      <c r="O54" s="3">
        <v>42153</v>
      </c>
      <c r="P54" s="13">
        <f>VLOOKUP(O54,$B$4:$D$259,3,0)</f>
        <v>4.4974583076521002</v>
      </c>
      <c r="Q54" s="13">
        <f>VLOOKUP(O54,$G$4:$M$1060,4,0)</f>
        <v>3.77</v>
      </c>
      <c r="R54" s="13">
        <f>P54-Q54</f>
        <v>0.72745830765210018</v>
      </c>
    </row>
    <row r="55" spans="2:18">
      <c r="B55" s="11">
        <f t="shared" si="2"/>
        <v>40633</v>
      </c>
      <c r="C55" s="11">
        <v>40603</v>
      </c>
      <c r="D55" s="13">
        <v>5.5386980924786497</v>
      </c>
      <c r="G55" s="27">
        <v>42086</v>
      </c>
      <c r="H55" s="26">
        <v>3.69</v>
      </c>
      <c r="I55" s="26">
        <v>0.6</v>
      </c>
      <c r="J55" s="26">
        <v>3.59</v>
      </c>
      <c r="K55" s="13">
        <f t="shared" si="0"/>
        <v>58.92</v>
      </c>
      <c r="L55" s="13">
        <f t="shared" si="1"/>
        <v>16</v>
      </c>
      <c r="M55" s="13">
        <f t="shared" si="3"/>
        <v>3.6825000000000001</v>
      </c>
    </row>
    <row r="56" spans="2:18">
      <c r="B56" s="11">
        <f t="shared" si="2"/>
        <v>40602</v>
      </c>
      <c r="C56" s="11">
        <v>40575</v>
      </c>
      <c r="D56" s="13">
        <v>5.5560536064770298</v>
      </c>
      <c r="G56" s="27">
        <v>42083</v>
      </c>
      <c r="H56" s="26">
        <v>3.69</v>
      </c>
      <c r="I56" s="26">
        <v>0.6</v>
      </c>
      <c r="J56" s="26">
        <v>3.59</v>
      </c>
      <c r="K56" s="13">
        <f t="shared" si="0"/>
        <v>55.33</v>
      </c>
      <c r="L56" s="13">
        <f t="shared" si="1"/>
        <v>15</v>
      </c>
      <c r="M56" s="13">
        <f t="shared" si="3"/>
        <v>3.6886666666666668</v>
      </c>
    </row>
    <row r="57" spans="2:18">
      <c r="B57" s="11">
        <f t="shared" si="2"/>
        <v>40574</v>
      </c>
      <c r="C57" s="11">
        <v>40544</v>
      </c>
      <c r="D57" s="13">
        <v>5.5763436778925604</v>
      </c>
      <c r="G57" s="27">
        <v>42082</v>
      </c>
      <c r="H57" s="26">
        <v>3.69</v>
      </c>
      <c r="I57" s="26">
        <v>0.6</v>
      </c>
      <c r="J57" s="26">
        <v>3.59</v>
      </c>
      <c r="K57" s="13">
        <f t="shared" si="0"/>
        <v>51.739999999999995</v>
      </c>
      <c r="L57" s="13">
        <f t="shared" si="1"/>
        <v>14</v>
      </c>
      <c r="M57" s="13">
        <f t="shared" si="3"/>
        <v>3.6957142857142853</v>
      </c>
    </row>
    <row r="58" spans="2:18">
      <c r="B58" s="11">
        <f t="shared" si="2"/>
        <v>40543</v>
      </c>
      <c r="C58" s="11">
        <v>40513</v>
      </c>
      <c r="D58" s="13">
        <v>5.6013602514067697</v>
      </c>
      <c r="G58" s="27">
        <v>42081</v>
      </c>
      <c r="H58" s="26">
        <v>3.78</v>
      </c>
      <c r="I58" s="26">
        <v>0.6</v>
      </c>
      <c r="J58" s="26">
        <v>3.68</v>
      </c>
      <c r="K58" s="13">
        <f t="shared" si="0"/>
        <v>48.149999999999991</v>
      </c>
      <c r="L58" s="13">
        <f t="shared" si="1"/>
        <v>13</v>
      </c>
      <c r="M58" s="13">
        <f t="shared" si="3"/>
        <v>3.7038461538461531</v>
      </c>
    </row>
    <row r="59" spans="2:18">
      <c r="B59" s="11">
        <f t="shared" si="2"/>
        <v>40512</v>
      </c>
      <c r="C59" s="11">
        <v>40483</v>
      </c>
      <c r="D59" s="13">
        <v>5.6324669288986797</v>
      </c>
      <c r="G59" s="27">
        <v>42080</v>
      </c>
      <c r="H59" s="26">
        <v>3.78</v>
      </c>
      <c r="I59" s="26">
        <v>0.6</v>
      </c>
      <c r="J59" s="26">
        <v>3.68</v>
      </c>
      <c r="K59" s="13">
        <f t="shared" si="0"/>
        <v>44.469999999999992</v>
      </c>
      <c r="L59" s="13">
        <f t="shared" si="1"/>
        <v>12</v>
      </c>
      <c r="M59" s="13">
        <f t="shared" si="3"/>
        <v>3.7058333333333326</v>
      </c>
    </row>
    <row r="60" spans="2:18">
      <c r="B60" s="11">
        <f t="shared" si="2"/>
        <v>40480</v>
      </c>
      <c r="C60" s="11">
        <v>40452</v>
      </c>
      <c r="D60" s="13">
        <v>5.6590403305137604</v>
      </c>
      <c r="G60" s="27">
        <v>42079</v>
      </c>
      <c r="H60" s="26">
        <v>3.78</v>
      </c>
      <c r="I60" s="26">
        <v>0.6</v>
      </c>
      <c r="J60" s="26">
        <v>3.68</v>
      </c>
      <c r="K60" s="13">
        <f t="shared" si="0"/>
        <v>40.789999999999992</v>
      </c>
      <c r="L60" s="13">
        <f t="shared" si="1"/>
        <v>11</v>
      </c>
      <c r="M60" s="13">
        <f t="shared" si="3"/>
        <v>3.7081818181818176</v>
      </c>
    </row>
    <row r="61" spans="2:18">
      <c r="B61" s="11">
        <f t="shared" si="2"/>
        <v>40451</v>
      </c>
      <c r="C61" s="11">
        <v>40422</v>
      </c>
      <c r="D61" s="13">
        <v>5.6844642521451503</v>
      </c>
      <c r="G61" s="27">
        <v>42076</v>
      </c>
      <c r="H61" s="26">
        <v>3.78</v>
      </c>
      <c r="I61" s="26">
        <v>0.6</v>
      </c>
      <c r="J61" s="26">
        <v>3.68</v>
      </c>
      <c r="K61" s="13">
        <f t="shared" si="0"/>
        <v>37.109999999999992</v>
      </c>
      <c r="L61" s="13">
        <f t="shared" si="1"/>
        <v>10</v>
      </c>
      <c r="M61" s="13">
        <f t="shared" si="3"/>
        <v>3.7109999999999994</v>
      </c>
    </row>
    <row r="62" spans="2:18">
      <c r="B62" s="11">
        <f t="shared" si="2"/>
        <v>40421</v>
      </c>
      <c r="C62" s="11">
        <v>40391</v>
      </c>
      <c r="D62" s="13">
        <v>5.7099766814081203</v>
      </c>
      <c r="G62" s="27">
        <v>42075</v>
      </c>
      <c r="H62" s="26">
        <v>3.78</v>
      </c>
      <c r="I62" s="26">
        <v>0.6</v>
      </c>
      <c r="J62" s="26">
        <v>3.68</v>
      </c>
      <c r="K62" s="13">
        <f t="shared" si="0"/>
        <v>33.429999999999993</v>
      </c>
      <c r="L62" s="13">
        <f t="shared" si="1"/>
        <v>9</v>
      </c>
      <c r="M62" s="13">
        <f t="shared" si="3"/>
        <v>3.7144444444444438</v>
      </c>
    </row>
    <row r="63" spans="2:18">
      <c r="B63" s="11">
        <f t="shared" si="2"/>
        <v>40389</v>
      </c>
      <c r="C63" s="11">
        <v>40360</v>
      </c>
      <c r="D63" s="13">
        <v>5.7262137777287299</v>
      </c>
      <c r="G63" s="27">
        <v>42074</v>
      </c>
      <c r="H63" s="26">
        <v>3.86</v>
      </c>
      <c r="I63" s="26">
        <v>0.6</v>
      </c>
      <c r="J63" s="26">
        <v>3.76</v>
      </c>
      <c r="K63" s="13">
        <f t="shared" si="0"/>
        <v>29.749999999999993</v>
      </c>
      <c r="L63" s="13">
        <f t="shared" si="1"/>
        <v>8</v>
      </c>
      <c r="M63" s="13">
        <f t="shared" si="3"/>
        <v>3.7187499999999991</v>
      </c>
    </row>
    <row r="64" spans="2:18">
      <c r="B64" s="11">
        <f t="shared" si="2"/>
        <v>40359</v>
      </c>
      <c r="C64" s="11">
        <v>40330</v>
      </c>
      <c r="D64" s="13">
        <v>5.74038261403612</v>
      </c>
      <c r="G64" s="27">
        <v>42073</v>
      </c>
      <c r="H64" s="26">
        <v>3.86</v>
      </c>
      <c r="I64" s="26">
        <v>0.6</v>
      </c>
      <c r="J64" s="26">
        <v>3.76</v>
      </c>
      <c r="K64" s="13">
        <f t="shared" si="0"/>
        <v>25.989999999999995</v>
      </c>
      <c r="L64" s="13">
        <f t="shared" si="1"/>
        <v>7</v>
      </c>
      <c r="M64" s="13">
        <f t="shared" si="3"/>
        <v>3.7128571428571422</v>
      </c>
    </row>
    <row r="65" spans="2:13">
      <c r="B65" s="11">
        <f t="shared" si="2"/>
        <v>40329</v>
      </c>
      <c r="C65" s="11">
        <v>40299</v>
      </c>
      <c r="D65" s="13">
        <v>5.7574014669319897</v>
      </c>
      <c r="G65" s="27">
        <v>42072</v>
      </c>
      <c r="H65" s="26">
        <v>3.86</v>
      </c>
      <c r="I65" s="26">
        <v>0.6</v>
      </c>
      <c r="J65" s="26">
        <v>3.76</v>
      </c>
      <c r="K65" s="13">
        <f t="shared" si="0"/>
        <v>22.229999999999997</v>
      </c>
      <c r="L65" s="13">
        <f t="shared" si="1"/>
        <v>6</v>
      </c>
      <c r="M65" s="13">
        <f t="shared" si="3"/>
        <v>3.7049999999999996</v>
      </c>
    </row>
    <row r="66" spans="2:13">
      <c r="B66" s="11">
        <f t="shared" si="2"/>
        <v>40298</v>
      </c>
      <c r="C66" s="11">
        <v>40269</v>
      </c>
      <c r="D66" s="13">
        <v>5.7816058373302299</v>
      </c>
      <c r="G66" s="27">
        <v>42069</v>
      </c>
      <c r="H66" s="26">
        <v>3.86</v>
      </c>
      <c r="I66" s="26">
        <v>0.6</v>
      </c>
      <c r="J66" s="26">
        <v>3.76</v>
      </c>
      <c r="K66" s="13">
        <f t="shared" si="0"/>
        <v>18.47</v>
      </c>
      <c r="L66" s="13">
        <f t="shared" si="1"/>
        <v>5</v>
      </c>
      <c r="M66" s="13">
        <f t="shared" si="3"/>
        <v>3.694</v>
      </c>
    </row>
    <row r="67" spans="2:13">
      <c r="B67" s="11">
        <f t="shared" si="2"/>
        <v>40268</v>
      </c>
      <c r="C67" s="11">
        <v>40238</v>
      </c>
      <c r="D67" s="13">
        <v>5.8119794794187101</v>
      </c>
      <c r="G67" s="27">
        <v>42068</v>
      </c>
      <c r="H67" s="26">
        <v>3.86</v>
      </c>
      <c r="I67" s="26">
        <v>0.6</v>
      </c>
      <c r="J67" s="26">
        <v>3.76</v>
      </c>
      <c r="K67" s="13">
        <f t="shared" si="0"/>
        <v>14.709999999999999</v>
      </c>
      <c r="L67" s="13">
        <f t="shared" si="1"/>
        <v>4</v>
      </c>
      <c r="M67" s="13">
        <f t="shared" si="3"/>
        <v>3.6774999999999998</v>
      </c>
    </row>
    <row r="68" spans="2:13">
      <c r="B68" s="11">
        <f t="shared" si="2"/>
        <v>40235</v>
      </c>
      <c r="C68" s="11">
        <v>40210</v>
      </c>
      <c r="D68" s="13">
        <v>5.8256235615266396</v>
      </c>
      <c r="G68" s="27">
        <v>42067</v>
      </c>
      <c r="H68" s="26">
        <v>3.75</v>
      </c>
      <c r="I68" s="26">
        <v>0.6</v>
      </c>
      <c r="J68" s="26">
        <v>3.65</v>
      </c>
      <c r="K68" s="13">
        <f t="shared" ref="K68:K131" si="7">IF(MONTH(G68)=MONTH(G69),J68+K69,J68)</f>
        <v>10.95</v>
      </c>
      <c r="L68" s="13">
        <f t="shared" ref="L68:L131" si="8">IF(MONTH(G68)=MONTH(G69),L69+1,1)</f>
        <v>3</v>
      </c>
      <c r="M68" s="13">
        <f t="shared" si="3"/>
        <v>3.65</v>
      </c>
    </row>
    <row r="69" spans="2:13">
      <c r="B69" s="11">
        <f t="shared" ref="B69:B132" si="9">IF(WEEKDAY(DATE(YEAR(C69),MONTH(C69)+1,0),2)=6,DATE(YEAR(C69),MONTH(C69)+1,0)-1,IF(WEEKDAY(DATE(YEAR(C69),MONTH(C69)+1,0),2)=7,DATE(YEAR(C69),MONTH(C69)+1,0)-2,DATE(YEAR(C69),MONTH(C69)+1,0)))</f>
        <v>40207</v>
      </c>
      <c r="C69" s="11">
        <v>40179</v>
      </c>
      <c r="D69" s="13">
        <v>5.8412259886338997</v>
      </c>
      <c r="G69" s="27">
        <v>42066</v>
      </c>
      <c r="H69" s="26">
        <v>3.75</v>
      </c>
      <c r="I69" s="26">
        <v>0.6</v>
      </c>
      <c r="J69" s="26">
        <v>3.65</v>
      </c>
      <c r="K69" s="13">
        <f t="shared" si="7"/>
        <v>7.3</v>
      </c>
      <c r="L69" s="13">
        <f t="shared" si="8"/>
        <v>2</v>
      </c>
      <c r="M69" s="13">
        <f t="shared" ref="M69:M132" si="10">K69/L69</f>
        <v>3.65</v>
      </c>
    </row>
    <row r="70" spans="2:13">
      <c r="B70" s="11">
        <f t="shared" si="9"/>
        <v>40178</v>
      </c>
      <c r="C70" s="11">
        <v>40148</v>
      </c>
      <c r="D70" s="13">
        <v>5.8570059579039597</v>
      </c>
      <c r="G70" s="27">
        <v>42065</v>
      </c>
      <c r="H70" s="26">
        <v>3.75</v>
      </c>
      <c r="I70" s="26">
        <v>0.6</v>
      </c>
      <c r="J70" s="26">
        <v>3.65</v>
      </c>
      <c r="K70" s="13">
        <f t="shared" si="7"/>
        <v>3.65</v>
      </c>
      <c r="L70" s="13">
        <f t="shared" si="8"/>
        <v>1</v>
      </c>
      <c r="M70" s="13">
        <f t="shared" si="10"/>
        <v>3.65</v>
      </c>
    </row>
    <row r="71" spans="2:13">
      <c r="B71" s="11">
        <f t="shared" si="9"/>
        <v>40147</v>
      </c>
      <c r="C71" s="11">
        <v>40118</v>
      </c>
      <c r="D71" s="13">
        <v>5.87372266521011</v>
      </c>
      <c r="G71" s="27">
        <v>42062</v>
      </c>
      <c r="H71" s="26">
        <v>3.75</v>
      </c>
      <c r="I71" s="26">
        <v>0.6</v>
      </c>
      <c r="J71" s="26">
        <v>3.65</v>
      </c>
      <c r="K71" s="13">
        <f t="shared" si="7"/>
        <v>68.935000000000016</v>
      </c>
      <c r="L71" s="13">
        <f t="shared" si="8"/>
        <v>19</v>
      </c>
      <c r="M71" s="13">
        <f t="shared" si="10"/>
        <v>3.6281578947368431</v>
      </c>
    </row>
    <row r="72" spans="2:13">
      <c r="B72" s="11">
        <f t="shared" si="9"/>
        <v>40116</v>
      </c>
      <c r="C72" s="11">
        <v>40087</v>
      </c>
      <c r="D72" s="13">
        <v>5.8884242763485304</v>
      </c>
      <c r="G72" s="27">
        <v>42061</v>
      </c>
      <c r="H72" s="26">
        <v>3.75</v>
      </c>
      <c r="I72" s="26">
        <v>0.6</v>
      </c>
      <c r="J72" s="26">
        <v>3.65</v>
      </c>
      <c r="K72" s="13">
        <f t="shared" si="7"/>
        <v>65.285000000000011</v>
      </c>
      <c r="L72" s="13">
        <f t="shared" si="8"/>
        <v>18</v>
      </c>
      <c r="M72" s="13">
        <f t="shared" si="10"/>
        <v>3.6269444444444452</v>
      </c>
    </row>
    <row r="73" spans="2:13">
      <c r="B73" s="11">
        <f t="shared" si="9"/>
        <v>40086</v>
      </c>
      <c r="C73" s="11">
        <v>40057</v>
      </c>
      <c r="D73" s="13">
        <v>5.9020652824616802</v>
      </c>
      <c r="G73" s="27">
        <v>42060</v>
      </c>
      <c r="H73" s="26">
        <v>3.8</v>
      </c>
      <c r="I73" s="26">
        <v>0.6</v>
      </c>
      <c r="J73" s="26">
        <v>3.7</v>
      </c>
      <c r="K73" s="13">
        <f t="shared" si="7"/>
        <v>61.635000000000005</v>
      </c>
      <c r="L73" s="13">
        <f t="shared" si="8"/>
        <v>17</v>
      </c>
      <c r="M73" s="13">
        <f t="shared" si="10"/>
        <v>3.625588235294118</v>
      </c>
    </row>
    <row r="74" spans="2:13">
      <c r="B74" s="11">
        <f t="shared" si="9"/>
        <v>40056</v>
      </c>
      <c r="C74" s="11">
        <v>40026</v>
      </c>
      <c r="D74" s="13">
        <v>5.9206737443856197</v>
      </c>
      <c r="G74" s="27">
        <v>42059</v>
      </c>
      <c r="H74" s="26">
        <v>3.8</v>
      </c>
      <c r="I74" s="26">
        <v>0.6</v>
      </c>
      <c r="J74" s="26">
        <v>3.7</v>
      </c>
      <c r="K74" s="13">
        <f t="shared" si="7"/>
        <v>57.935000000000002</v>
      </c>
      <c r="L74" s="13">
        <f t="shared" si="8"/>
        <v>16</v>
      </c>
      <c r="M74" s="13">
        <f t="shared" si="10"/>
        <v>3.6209375000000001</v>
      </c>
    </row>
    <row r="75" spans="2:13">
      <c r="B75" s="11">
        <f t="shared" si="9"/>
        <v>40025</v>
      </c>
      <c r="C75" s="11">
        <v>39995</v>
      </c>
      <c r="D75" s="13">
        <v>5.9459184821418702</v>
      </c>
      <c r="G75" s="27">
        <v>42058</v>
      </c>
      <c r="H75" s="26">
        <v>3.8</v>
      </c>
      <c r="I75" s="26">
        <v>0.6</v>
      </c>
      <c r="J75" s="26">
        <v>3.7</v>
      </c>
      <c r="K75" s="13">
        <f t="shared" si="7"/>
        <v>54.234999999999999</v>
      </c>
      <c r="L75" s="13">
        <f t="shared" si="8"/>
        <v>15</v>
      </c>
      <c r="M75" s="13">
        <f t="shared" si="10"/>
        <v>3.6156666666666668</v>
      </c>
    </row>
    <row r="76" spans="2:13">
      <c r="B76" s="11">
        <f t="shared" si="9"/>
        <v>39994</v>
      </c>
      <c r="C76" s="11">
        <v>39965</v>
      </c>
      <c r="D76" s="13">
        <v>5.9842586230380101</v>
      </c>
      <c r="G76" s="27">
        <v>42055</v>
      </c>
      <c r="H76" s="26">
        <v>3.8</v>
      </c>
      <c r="I76" s="26">
        <v>0.6</v>
      </c>
      <c r="J76" s="26">
        <v>3.7</v>
      </c>
      <c r="K76" s="13">
        <f t="shared" si="7"/>
        <v>50.534999999999997</v>
      </c>
      <c r="L76" s="13">
        <f t="shared" si="8"/>
        <v>14</v>
      </c>
      <c r="M76" s="13">
        <f t="shared" si="10"/>
        <v>3.6096428571428567</v>
      </c>
    </row>
    <row r="77" spans="2:13">
      <c r="B77" s="11">
        <f t="shared" si="9"/>
        <v>39962</v>
      </c>
      <c r="C77" s="11">
        <v>39934</v>
      </c>
      <c r="D77" s="13">
        <v>6.0295570630048099</v>
      </c>
      <c r="G77" s="27">
        <v>42054</v>
      </c>
      <c r="H77" s="26">
        <v>3.8</v>
      </c>
      <c r="I77" s="26">
        <v>0.6</v>
      </c>
      <c r="J77" s="26">
        <v>3.7</v>
      </c>
      <c r="K77" s="13">
        <f t="shared" si="7"/>
        <v>46.834999999999994</v>
      </c>
      <c r="L77" s="13">
        <f t="shared" si="8"/>
        <v>13</v>
      </c>
      <c r="M77" s="13">
        <f t="shared" si="10"/>
        <v>3.6026923076923074</v>
      </c>
    </row>
    <row r="78" spans="2:13">
      <c r="B78" s="11">
        <f t="shared" si="9"/>
        <v>39933</v>
      </c>
      <c r="C78" s="11">
        <v>39904</v>
      </c>
      <c r="D78" s="13">
        <v>6.0659289653431303</v>
      </c>
      <c r="G78" s="27">
        <v>42053</v>
      </c>
      <c r="H78" s="26">
        <v>3.76</v>
      </c>
      <c r="I78" s="26">
        <v>0.6</v>
      </c>
      <c r="J78" s="26">
        <v>3.66</v>
      </c>
      <c r="K78" s="13">
        <f t="shared" si="7"/>
        <v>43.134999999999991</v>
      </c>
      <c r="L78" s="13">
        <f t="shared" si="8"/>
        <v>12</v>
      </c>
      <c r="M78" s="13">
        <f t="shared" si="10"/>
        <v>3.5945833333333326</v>
      </c>
    </row>
    <row r="79" spans="2:13">
      <c r="B79" s="11">
        <f t="shared" si="9"/>
        <v>39903</v>
      </c>
      <c r="C79" s="11">
        <v>39873</v>
      </c>
      <c r="D79" s="13">
        <v>6.0941745852813298</v>
      </c>
      <c r="G79" s="27">
        <v>42052</v>
      </c>
      <c r="H79" s="26">
        <v>3.76</v>
      </c>
      <c r="I79" s="26">
        <v>0.6</v>
      </c>
      <c r="J79" s="26">
        <v>3.66</v>
      </c>
      <c r="K79" s="13">
        <f t="shared" si="7"/>
        <v>39.474999999999994</v>
      </c>
      <c r="L79" s="13">
        <f t="shared" si="8"/>
        <v>11</v>
      </c>
      <c r="M79" s="13">
        <f t="shared" si="10"/>
        <v>3.588636363636363</v>
      </c>
    </row>
    <row r="80" spans="2:13">
      <c r="B80" s="11">
        <f t="shared" si="9"/>
        <v>39871</v>
      </c>
      <c r="C80" s="11">
        <v>39845</v>
      </c>
      <c r="D80" s="13">
        <v>6.1416460306786798</v>
      </c>
      <c r="G80" s="27">
        <v>42048</v>
      </c>
      <c r="H80" s="26">
        <v>3.76</v>
      </c>
      <c r="I80" s="26">
        <v>0.6</v>
      </c>
      <c r="J80" s="26">
        <v>3.66</v>
      </c>
      <c r="K80" s="13">
        <f t="shared" si="7"/>
        <v>35.814999999999998</v>
      </c>
      <c r="L80" s="13">
        <f t="shared" si="8"/>
        <v>10</v>
      </c>
      <c r="M80" s="13">
        <f t="shared" si="10"/>
        <v>3.5814999999999997</v>
      </c>
    </row>
    <row r="81" spans="2:13">
      <c r="B81" s="11">
        <f t="shared" si="9"/>
        <v>39843</v>
      </c>
      <c r="C81" s="11">
        <v>39814</v>
      </c>
      <c r="D81" s="13">
        <v>6.1646201319513603</v>
      </c>
      <c r="G81" s="27">
        <v>42047</v>
      </c>
      <c r="H81" s="26">
        <v>3.76</v>
      </c>
      <c r="I81" s="26">
        <v>0.6</v>
      </c>
      <c r="J81" s="26">
        <v>3.66</v>
      </c>
      <c r="K81" s="13">
        <f t="shared" si="7"/>
        <v>32.155000000000001</v>
      </c>
      <c r="L81" s="13">
        <f t="shared" si="8"/>
        <v>9</v>
      </c>
      <c r="M81" s="13">
        <f t="shared" si="10"/>
        <v>3.5727777777777781</v>
      </c>
    </row>
    <row r="82" spans="2:13">
      <c r="B82" s="11">
        <f t="shared" si="9"/>
        <v>39813</v>
      </c>
      <c r="C82" s="11">
        <v>39783</v>
      </c>
      <c r="D82" s="13">
        <v>6.1702958742138998</v>
      </c>
      <c r="G82" s="27">
        <v>42046</v>
      </c>
      <c r="H82" s="26">
        <v>3.69</v>
      </c>
      <c r="I82" s="26">
        <v>0.6</v>
      </c>
      <c r="J82" s="26">
        <v>3.59</v>
      </c>
      <c r="K82" s="13">
        <f t="shared" si="7"/>
        <v>28.495000000000001</v>
      </c>
      <c r="L82" s="13">
        <f t="shared" si="8"/>
        <v>8</v>
      </c>
      <c r="M82" s="13">
        <f t="shared" si="10"/>
        <v>3.5618750000000001</v>
      </c>
    </row>
    <row r="83" spans="2:13">
      <c r="B83" s="11">
        <f t="shared" si="9"/>
        <v>39780</v>
      </c>
      <c r="C83" s="11">
        <v>39753</v>
      </c>
      <c r="D83" s="13">
        <v>6.1748878016905904</v>
      </c>
      <c r="G83" s="27">
        <v>42045</v>
      </c>
      <c r="H83" s="26">
        <v>3.69</v>
      </c>
      <c r="I83" s="26">
        <v>0.6</v>
      </c>
      <c r="J83" s="26">
        <v>3.59</v>
      </c>
      <c r="K83" s="13">
        <f t="shared" si="7"/>
        <v>24.905000000000001</v>
      </c>
      <c r="L83" s="13">
        <f t="shared" si="8"/>
        <v>7</v>
      </c>
      <c r="M83" s="13">
        <f t="shared" si="10"/>
        <v>3.5578571428571428</v>
      </c>
    </row>
    <row r="84" spans="2:13">
      <c r="B84" s="11">
        <f t="shared" si="9"/>
        <v>39752</v>
      </c>
      <c r="C84" s="11">
        <v>39722</v>
      </c>
      <c r="D84" s="13">
        <v>6.17650144811582</v>
      </c>
      <c r="G84" s="27">
        <v>42044</v>
      </c>
      <c r="H84" s="26">
        <v>3.69</v>
      </c>
      <c r="I84" s="26">
        <v>0.6</v>
      </c>
      <c r="J84" s="26">
        <v>3.59</v>
      </c>
      <c r="K84" s="13">
        <f t="shared" si="7"/>
        <v>21.315000000000001</v>
      </c>
      <c r="L84" s="13">
        <f t="shared" si="8"/>
        <v>6</v>
      </c>
      <c r="M84" s="13">
        <f t="shared" si="10"/>
        <v>3.5525000000000002</v>
      </c>
    </row>
    <row r="85" spans="2:13">
      <c r="B85" s="11">
        <f t="shared" si="9"/>
        <v>39721</v>
      </c>
      <c r="C85" s="11">
        <v>39692</v>
      </c>
      <c r="D85" s="13">
        <v>6.1752963107168899</v>
      </c>
      <c r="G85" s="27">
        <v>42041</v>
      </c>
      <c r="H85" s="26">
        <v>3.69</v>
      </c>
      <c r="I85" s="26">
        <v>0.6</v>
      </c>
      <c r="J85" s="26">
        <v>3.59</v>
      </c>
      <c r="K85" s="13">
        <f t="shared" si="7"/>
        <v>17.725000000000001</v>
      </c>
      <c r="L85" s="13">
        <f t="shared" si="8"/>
        <v>5</v>
      </c>
      <c r="M85" s="13">
        <f t="shared" si="10"/>
        <v>3.5450000000000004</v>
      </c>
    </row>
    <row r="86" spans="2:13">
      <c r="B86" s="11">
        <f t="shared" si="9"/>
        <v>39689</v>
      </c>
      <c r="C86" s="11">
        <v>39661</v>
      </c>
      <c r="D86" s="13">
        <v>6.1715895277030999</v>
      </c>
      <c r="G86" s="27">
        <v>42040</v>
      </c>
      <c r="H86" s="26">
        <v>3.69</v>
      </c>
      <c r="I86" s="26">
        <v>0.6</v>
      </c>
      <c r="J86" s="26">
        <v>3.59</v>
      </c>
      <c r="K86" s="13">
        <f t="shared" si="7"/>
        <v>14.135</v>
      </c>
      <c r="L86" s="13">
        <f t="shared" si="8"/>
        <v>4</v>
      </c>
      <c r="M86" s="13">
        <f t="shared" si="10"/>
        <v>3.5337499999999999</v>
      </c>
    </row>
    <row r="87" spans="2:13">
      <c r="B87" s="11">
        <f t="shared" si="9"/>
        <v>39660</v>
      </c>
      <c r="C87" s="11">
        <v>39630</v>
      </c>
      <c r="D87" s="13">
        <v>6.17054883921847</v>
      </c>
      <c r="G87" s="27">
        <v>42039</v>
      </c>
      <c r="H87" s="26">
        <v>3.59</v>
      </c>
      <c r="I87" s="26">
        <v>0.7</v>
      </c>
      <c r="J87" s="26">
        <v>3.5150000000000001</v>
      </c>
      <c r="K87" s="13">
        <f t="shared" si="7"/>
        <v>10.545</v>
      </c>
      <c r="L87" s="13">
        <f t="shared" si="8"/>
        <v>3</v>
      </c>
      <c r="M87" s="13">
        <f t="shared" si="10"/>
        <v>3.5150000000000001</v>
      </c>
    </row>
    <row r="88" spans="2:13">
      <c r="B88" s="11">
        <f t="shared" si="9"/>
        <v>39629</v>
      </c>
      <c r="C88" s="11">
        <v>39600</v>
      </c>
      <c r="D88" s="13">
        <v>6.1726451947693297</v>
      </c>
      <c r="G88" s="27">
        <v>42038</v>
      </c>
      <c r="H88" s="26">
        <v>3.59</v>
      </c>
      <c r="I88" s="26">
        <v>0.7</v>
      </c>
      <c r="J88" s="26">
        <v>3.5150000000000001</v>
      </c>
      <c r="K88" s="13">
        <f t="shared" si="7"/>
        <v>7.03</v>
      </c>
      <c r="L88" s="13">
        <f t="shared" si="8"/>
        <v>2</v>
      </c>
      <c r="M88" s="13">
        <f t="shared" si="10"/>
        <v>3.5150000000000001</v>
      </c>
    </row>
    <row r="89" spans="2:13">
      <c r="B89" s="11">
        <f t="shared" si="9"/>
        <v>39598</v>
      </c>
      <c r="C89" s="11">
        <v>39569</v>
      </c>
      <c r="D89" s="13">
        <v>6.1782766844115304</v>
      </c>
      <c r="G89" s="27">
        <v>42037</v>
      </c>
      <c r="H89" s="26">
        <v>3.59</v>
      </c>
      <c r="I89" s="26">
        <v>0.7</v>
      </c>
      <c r="J89" s="26">
        <v>3.5150000000000001</v>
      </c>
      <c r="K89" s="13">
        <f t="shared" si="7"/>
        <v>3.5150000000000001</v>
      </c>
      <c r="L89" s="13">
        <f t="shared" si="8"/>
        <v>1</v>
      </c>
      <c r="M89" s="13">
        <f t="shared" si="10"/>
        <v>3.5150000000000001</v>
      </c>
    </row>
    <row r="90" spans="2:13">
      <c r="B90" s="11">
        <f t="shared" si="9"/>
        <v>39568</v>
      </c>
      <c r="C90" s="11">
        <v>39539</v>
      </c>
      <c r="D90" s="13">
        <v>6.1848396466282702</v>
      </c>
      <c r="G90" s="27">
        <v>42034</v>
      </c>
      <c r="H90" s="26">
        <v>3.59</v>
      </c>
      <c r="I90" s="26">
        <v>0.7</v>
      </c>
      <c r="J90" s="26">
        <v>3.5150000000000001</v>
      </c>
      <c r="K90" s="13">
        <f t="shared" si="7"/>
        <v>71.37</v>
      </c>
      <c r="L90" s="13">
        <f t="shared" si="8"/>
        <v>20</v>
      </c>
      <c r="M90" s="13">
        <f t="shared" si="10"/>
        <v>3.5685000000000002</v>
      </c>
    </row>
    <row r="91" spans="2:13">
      <c r="B91" s="11">
        <f t="shared" si="9"/>
        <v>39538</v>
      </c>
      <c r="C91" s="11">
        <v>39508</v>
      </c>
      <c r="D91" s="13">
        <v>6.1930936320383498</v>
      </c>
      <c r="G91" s="27">
        <v>42033</v>
      </c>
      <c r="H91" s="26">
        <v>3.59</v>
      </c>
      <c r="I91" s="26">
        <v>0.7</v>
      </c>
      <c r="J91" s="26">
        <v>3.5150000000000001</v>
      </c>
      <c r="K91" s="13">
        <f t="shared" si="7"/>
        <v>67.855000000000004</v>
      </c>
      <c r="L91" s="13">
        <f t="shared" si="8"/>
        <v>19</v>
      </c>
      <c r="M91" s="13">
        <f t="shared" si="10"/>
        <v>3.5713157894736844</v>
      </c>
    </row>
    <row r="92" spans="2:13">
      <c r="B92" s="11">
        <f t="shared" si="9"/>
        <v>39507</v>
      </c>
      <c r="C92" s="11">
        <v>39479</v>
      </c>
      <c r="D92" s="13">
        <v>6.2021993835017097</v>
      </c>
      <c r="G92" s="27">
        <v>42032</v>
      </c>
      <c r="H92" s="26">
        <v>3.66</v>
      </c>
      <c r="I92" s="26">
        <v>0.6</v>
      </c>
      <c r="J92" s="26">
        <v>3.56</v>
      </c>
      <c r="K92" s="13">
        <f t="shared" si="7"/>
        <v>64.34</v>
      </c>
      <c r="L92" s="13">
        <f t="shared" si="8"/>
        <v>18</v>
      </c>
      <c r="M92" s="13">
        <f t="shared" si="10"/>
        <v>3.5744444444444445</v>
      </c>
    </row>
    <row r="93" spans="2:13">
      <c r="B93" s="11">
        <f t="shared" si="9"/>
        <v>39478</v>
      </c>
      <c r="C93" s="11">
        <v>39448</v>
      </c>
      <c r="D93" s="13">
        <v>6.2057051806566497</v>
      </c>
      <c r="G93" s="27">
        <v>42031</v>
      </c>
      <c r="H93" s="26">
        <v>3.66</v>
      </c>
      <c r="I93" s="26">
        <v>0.6</v>
      </c>
      <c r="J93" s="26">
        <v>3.56</v>
      </c>
      <c r="K93" s="13">
        <f t="shared" si="7"/>
        <v>60.78</v>
      </c>
      <c r="L93" s="13">
        <f t="shared" si="8"/>
        <v>17</v>
      </c>
      <c r="M93" s="13">
        <f t="shared" si="10"/>
        <v>3.5752941176470587</v>
      </c>
    </row>
    <row r="94" spans="2:13">
      <c r="B94" s="11">
        <f t="shared" si="9"/>
        <v>39447</v>
      </c>
      <c r="C94" s="11">
        <v>39417</v>
      </c>
      <c r="D94" s="13">
        <v>6.2022670055416604</v>
      </c>
      <c r="G94" s="27">
        <v>42030</v>
      </c>
      <c r="H94" s="26">
        <v>3.66</v>
      </c>
      <c r="I94" s="26">
        <v>0.6</v>
      </c>
      <c r="J94" s="26">
        <v>3.56</v>
      </c>
      <c r="K94" s="13">
        <f t="shared" si="7"/>
        <v>57.22</v>
      </c>
      <c r="L94" s="13">
        <f t="shared" si="8"/>
        <v>16</v>
      </c>
      <c r="M94" s="13">
        <f t="shared" si="10"/>
        <v>3.5762499999999999</v>
      </c>
    </row>
    <row r="95" spans="2:13">
      <c r="B95" s="11">
        <f t="shared" si="9"/>
        <v>39416</v>
      </c>
      <c r="C95" s="11">
        <v>39387</v>
      </c>
      <c r="D95" s="13">
        <v>6.1936750967948901</v>
      </c>
      <c r="G95" s="27">
        <v>42027</v>
      </c>
      <c r="H95" s="26">
        <v>3.66</v>
      </c>
      <c r="I95" s="26">
        <v>0.6</v>
      </c>
      <c r="J95" s="26">
        <v>3.56</v>
      </c>
      <c r="K95" s="13">
        <f t="shared" si="7"/>
        <v>53.66</v>
      </c>
      <c r="L95" s="13">
        <f t="shared" si="8"/>
        <v>15</v>
      </c>
      <c r="M95" s="13">
        <f t="shared" si="10"/>
        <v>3.5773333333333333</v>
      </c>
    </row>
    <row r="96" spans="2:13">
      <c r="B96" s="11">
        <f t="shared" si="9"/>
        <v>39386</v>
      </c>
      <c r="C96" s="11">
        <v>39356</v>
      </c>
      <c r="D96" s="13">
        <v>6.1835135173344398</v>
      </c>
      <c r="G96" s="27">
        <v>42026</v>
      </c>
      <c r="H96" s="26">
        <v>3.66</v>
      </c>
      <c r="I96" s="26">
        <v>0.6</v>
      </c>
      <c r="J96" s="26">
        <v>3.56</v>
      </c>
      <c r="K96" s="13">
        <f t="shared" si="7"/>
        <v>50.099999999999994</v>
      </c>
      <c r="L96" s="13">
        <f t="shared" si="8"/>
        <v>14</v>
      </c>
      <c r="M96" s="13">
        <f t="shared" si="10"/>
        <v>3.5785714285714283</v>
      </c>
    </row>
    <row r="97" spans="2:13">
      <c r="B97" s="11">
        <f t="shared" si="9"/>
        <v>39353</v>
      </c>
      <c r="C97" s="11">
        <v>39326</v>
      </c>
      <c r="D97" s="13">
        <v>6.1699407294909898</v>
      </c>
      <c r="G97" s="27">
        <v>42025</v>
      </c>
      <c r="H97" s="26">
        <v>3.63</v>
      </c>
      <c r="I97" s="26">
        <v>0.7</v>
      </c>
      <c r="J97" s="26">
        <v>3.5550000000000002</v>
      </c>
      <c r="K97" s="13">
        <f t="shared" si="7"/>
        <v>46.539999999999992</v>
      </c>
      <c r="L97" s="13">
        <f t="shared" si="8"/>
        <v>13</v>
      </c>
      <c r="M97" s="13">
        <f t="shared" si="10"/>
        <v>3.5799999999999992</v>
      </c>
    </row>
    <row r="98" spans="2:13">
      <c r="B98" s="11">
        <f t="shared" si="9"/>
        <v>39325</v>
      </c>
      <c r="C98" s="11">
        <v>39295</v>
      </c>
      <c r="D98" s="13">
        <v>6.1541075963807197</v>
      </c>
      <c r="G98" s="27">
        <v>42024</v>
      </c>
      <c r="H98" s="26">
        <v>3.63</v>
      </c>
      <c r="I98" s="26">
        <v>0.7</v>
      </c>
      <c r="J98" s="26">
        <v>3.5550000000000002</v>
      </c>
      <c r="K98" s="13">
        <f t="shared" si="7"/>
        <v>42.984999999999992</v>
      </c>
      <c r="L98" s="13">
        <f t="shared" si="8"/>
        <v>12</v>
      </c>
      <c r="M98" s="13">
        <f t="shared" si="10"/>
        <v>3.5820833333333328</v>
      </c>
    </row>
    <row r="99" spans="2:13">
      <c r="B99" s="11">
        <f t="shared" si="9"/>
        <v>39294</v>
      </c>
      <c r="C99" s="11">
        <v>39264</v>
      </c>
      <c r="D99" s="13">
        <v>6.1419055944067704</v>
      </c>
      <c r="G99" s="27">
        <v>42020</v>
      </c>
      <c r="H99" s="26">
        <v>3.63</v>
      </c>
      <c r="I99" s="26">
        <v>0.7</v>
      </c>
      <c r="J99" s="26">
        <v>3.5550000000000002</v>
      </c>
      <c r="K99" s="13">
        <f t="shared" si="7"/>
        <v>39.429999999999993</v>
      </c>
      <c r="L99" s="13">
        <f t="shared" si="8"/>
        <v>11</v>
      </c>
      <c r="M99" s="13">
        <f t="shared" si="10"/>
        <v>3.584545454545454</v>
      </c>
    </row>
    <row r="100" spans="2:13">
      <c r="B100" s="11">
        <f t="shared" si="9"/>
        <v>39262</v>
      </c>
      <c r="C100" s="11">
        <v>39234</v>
      </c>
      <c r="D100" s="13">
        <v>6.1330324127615699</v>
      </c>
      <c r="G100" s="27">
        <v>42019</v>
      </c>
      <c r="H100" s="26">
        <v>3.63</v>
      </c>
      <c r="I100" s="26">
        <v>0.7</v>
      </c>
      <c r="J100" s="26">
        <v>3.5550000000000002</v>
      </c>
      <c r="K100" s="13">
        <f t="shared" si="7"/>
        <v>35.874999999999993</v>
      </c>
      <c r="L100" s="13">
        <f t="shared" si="8"/>
        <v>10</v>
      </c>
      <c r="M100" s="13">
        <f t="shared" si="10"/>
        <v>3.5874999999999995</v>
      </c>
    </row>
    <row r="101" spans="2:13">
      <c r="B101" s="11">
        <f t="shared" si="9"/>
        <v>39233</v>
      </c>
      <c r="C101" s="11">
        <v>39203</v>
      </c>
      <c r="D101" s="13">
        <v>6.1283038205221798</v>
      </c>
      <c r="G101" s="27">
        <v>42018</v>
      </c>
      <c r="H101" s="26">
        <v>3.66</v>
      </c>
      <c r="I101" s="26">
        <v>0.6</v>
      </c>
      <c r="J101" s="26">
        <v>3.56</v>
      </c>
      <c r="K101" s="13">
        <f t="shared" si="7"/>
        <v>32.319999999999993</v>
      </c>
      <c r="L101" s="13">
        <f t="shared" si="8"/>
        <v>9</v>
      </c>
      <c r="M101" s="13">
        <f t="shared" si="10"/>
        <v>3.5911111111111103</v>
      </c>
    </row>
    <row r="102" spans="2:13">
      <c r="B102" s="11">
        <f t="shared" si="9"/>
        <v>39202</v>
      </c>
      <c r="C102" s="11">
        <v>39173</v>
      </c>
      <c r="D102" s="13">
        <v>6.1248802423649904</v>
      </c>
      <c r="G102" s="27">
        <v>42017</v>
      </c>
      <c r="H102" s="26">
        <v>3.66</v>
      </c>
      <c r="I102" s="26">
        <v>0.6</v>
      </c>
      <c r="J102" s="26">
        <v>3.56</v>
      </c>
      <c r="K102" s="13">
        <f t="shared" si="7"/>
        <v>28.759999999999994</v>
      </c>
      <c r="L102" s="13">
        <f t="shared" si="8"/>
        <v>8</v>
      </c>
      <c r="M102" s="13">
        <f t="shared" si="10"/>
        <v>3.5949999999999993</v>
      </c>
    </row>
    <row r="103" spans="2:13">
      <c r="B103" s="11">
        <f t="shared" si="9"/>
        <v>39171</v>
      </c>
      <c r="C103" s="11">
        <v>39142</v>
      </c>
      <c r="D103" s="13">
        <v>6.1208978214506899</v>
      </c>
      <c r="G103" s="27">
        <v>42016</v>
      </c>
      <c r="H103" s="26">
        <v>3.66</v>
      </c>
      <c r="I103" s="26">
        <v>0.6</v>
      </c>
      <c r="J103" s="26">
        <v>3.56</v>
      </c>
      <c r="K103" s="13">
        <f t="shared" si="7"/>
        <v>25.199999999999996</v>
      </c>
      <c r="L103" s="13">
        <f t="shared" si="8"/>
        <v>7</v>
      </c>
      <c r="M103" s="13">
        <f t="shared" si="10"/>
        <v>3.5999999999999992</v>
      </c>
    </row>
    <row r="104" spans="2:13">
      <c r="B104" s="11">
        <f t="shared" si="9"/>
        <v>39141</v>
      </c>
      <c r="C104" s="11">
        <v>39114</v>
      </c>
      <c r="D104" s="13">
        <v>6.1174359987783404</v>
      </c>
      <c r="G104" s="27">
        <v>42013</v>
      </c>
      <c r="H104" s="26">
        <v>3.66</v>
      </c>
      <c r="I104" s="26">
        <v>0.6</v>
      </c>
      <c r="J104" s="26">
        <v>3.56</v>
      </c>
      <c r="K104" s="13">
        <f t="shared" si="7"/>
        <v>21.639999999999997</v>
      </c>
      <c r="L104" s="13">
        <f t="shared" si="8"/>
        <v>6</v>
      </c>
      <c r="M104" s="13">
        <f t="shared" si="10"/>
        <v>3.606666666666666</v>
      </c>
    </row>
    <row r="105" spans="2:13">
      <c r="B105" s="11">
        <f t="shared" si="9"/>
        <v>39113</v>
      </c>
      <c r="C105" s="11">
        <v>39083</v>
      </c>
      <c r="D105" s="13">
        <v>6.1151773281207404</v>
      </c>
      <c r="G105" s="27">
        <v>42012</v>
      </c>
      <c r="H105" s="26">
        <v>3.66</v>
      </c>
      <c r="I105" s="26">
        <v>0.6</v>
      </c>
      <c r="J105" s="26">
        <v>3.56</v>
      </c>
      <c r="K105" s="13">
        <f t="shared" si="7"/>
        <v>18.079999999999998</v>
      </c>
      <c r="L105" s="13">
        <f t="shared" si="8"/>
        <v>5</v>
      </c>
      <c r="M105" s="13">
        <f t="shared" si="10"/>
        <v>3.6159999999999997</v>
      </c>
    </row>
    <row r="106" spans="2:13">
      <c r="B106" s="11">
        <f t="shared" si="9"/>
        <v>39080</v>
      </c>
      <c r="C106" s="11">
        <v>39052</v>
      </c>
      <c r="D106" s="13">
        <v>6.11158368669102</v>
      </c>
      <c r="G106" s="27">
        <v>42011</v>
      </c>
      <c r="H106" s="26">
        <v>3.73</v>
      </c>
      <c r="I106" s="26">
        <v>0.6</v>
      </c>
      <c r="J106" s="26">
        <v>3.63</v>
      </c>
      <c r="K106" s="13">
        <f t="shared" si="7"/>
        <v>14.52</v>
      </c>
      <c r="L106" s="13">
        <f t="shared" si="8"/>
        <v>4</v>
      </c>
      <c r="M106" s="13">
        <f t="shared" si="10"/>
        <v>3.63</v>
      </c>
    </row>
    <row r="107" spans="2:13">
      <c r="B107" s="11">
        <f t="shared" si="9"/>
        <v>39051</v>
      </c>
      <c r="C107" s="11">
        <v>39022</v>
      </c>
      <c r="D107" s="13">
        <v>6.1050261156587302</v>
      </c>
      <c r="G107" s="27">
        <v>42010</v>
      </c>
      <c r="H107" s="26">
        <v>3.73</v>
      </c>
      <c r="I107" s="26">
        <v>0.6</v>
      </c>
      <c r="J107" s="26">
        <v>3.63</v>
      </c>
      <c r="K107" s="13">
        <f t="shared" si="7"/>
        <v>10.89</v>
      </c>
      <c r="L107" s="13">
        <f t="shared" si="8"/>
        <v>3</v>
      </c>
      <c r="M107" s="13">
        <f t="shared" si="10"/>
        <v>3.6300000000000003</v>
      </c>
    </row>
    <row r="108" spans="2:13">
      <c r="B108" s="11">
        <f t="shared" si="9"/>
        <v>39021</v>
      </c>
      <c r="C108" s="11">
        <v>38991</v>
      </c>
      <c r="D108" s="13">
        <v>6.0967656028976602</v>
      </c>
      <c r="G108" s="27">
        <v>42009</v>
      </c>
      <c r="H108" s="26">
        <v>3.73</v>
      </c>
      <c r="I108" s="26">
        <v>0.6</v>
      </c>
      <c r="J108" s="26">
        <v>3.63</v>
      </c>
      <c r="K108" s="13">
        <f t="shared" si="7"/>
        <v>7.26</v>
      </c>
      <c r="L108" s="13">
        <f t="shared" si="8"/>
        <v>2</v>
      </c>
      <c r="M108" s="13">
        <f t="shared" si="10"/>
        <v>3.63</v>
      </c>
    </row>
    <row r="109" spans="2:13">
      <c r="B109" s="11">
        <f t="shared" si="9"/>
        <v>38989</v>
      </c>
      <c r="C109" s="11">
        <v>38961</v>
      </c>
      <c r="D109" s="13">
        <v>6.0837266053371</v>
      </c>
      <c r="G109" s="27">
        <v>42006</v>
      </c>
      <c r="H109" s="26">
        <v>3.73</v>
      </c>
      <c r="I109" s="26">
        <v>0.6</v>
      </c>
      <c r="J109" s="26">
        <v>3.63</v>
      </c>
      <c r="K109" s="13">
        <f t="shared" si="7"/>
        <v>3.63</v>
      </c>
      <c r="L109" s="13">
        <f t="shared" si="8"/>
        <v>1</v>
      </c>
      <c r="M109" s="13">
        <f t="shared" si="10"/>
        <v>3.63</v>
      </c>
    </row>
    <row r="110" spans="2:13">
      <c r="B110" s="11">
        <f t="shared" si="9"/>
        <v>38960</v>
      </c>
      <c r="C110" s="11">
        <v>38930</v>
      </c>
      <c r="D110" s="13">
        <v>6.0697856531146401</v>
      </c>
      <c r="G110" s="27">
        <v>42003</v>
      </c>
      <c r="H110" s="26">
        <v>3.87</v>
      </c>
      <c r="I110" s="26">
        <v>0.6</v>
      </c>
      <c r="J110" s="26">
        <v>3.77</v>
      </c>
      <c r="K110" s="13">
        <f t="shared" si="7"/>
        <v>82.549999999999983</v>
      </c>
      <c r="L110" s="13">
        <f t="shared" si="8"/>
        <v>22</v>
      </c>
      <c r="M110" s="13">
        <f t="shared" si="10"/>
        <v>3.7522727272727265</v>
      </c>
    </row>
    <row r="111" spans="2:13">
      <c r="B111" s="11">
        <f t="shared" si="9"/>
        <v>38929</v>
      </c>
      <c r="C111" s="11">
        <v>38899</v>
      </c>
      <c r="D111" s="13">
        <v>6.0550007104116101</v>
      </c>
      <c r="G111" s="27">
        <v>42002</v>
      </c>
      <c r="H111" s="26">
        <v>3.87</v>
      </c>
      <c r="I111" s="26">
        <v>0.6</v>
      </c>
      <c r="J111" s="26">
        <v>3.77</v>
      </c>
      <c r="K111" s="13">
        <f t="shared" si="7"/>
        <v>78.779999999999987</v>
      </c>
      <c r="L111" s="13">
        <f t="shared" si="8"/>
        <v>21</v>
      </c>
      <c r="M111" s="13">
        <f t="shared" si="10"/>
        <v>3.7514285714285709</v>
      </c>
    </row>
    <row r="112" spans="2:13">
      <c r="B112" s="11">
        <f t="shared" si="9"/>
        <v>38898</v>
      </c>
      <c r="C112" s="11">
        <v>38869</v>
      </c>
      <c r="D112" s="13">
        <v>6.0428022320421197</v>
      </c>
      <c r="G112" s="27">
        <v>41999</v>
      </c>
      <c r="H112" s="26">
        <v>3.87</v>
      </c>
      <c r="I112" s="26">
        <v>0.6</v>
      </c>
      <c r="J112" s="26">
        <v>3.77</v>
      </c>
      <c r="K112" s="13">
        <f t="shared" si="7"/>
        <v>75.009999999999991</v>
      </c>
      <c r="L112" s="13">
        <f t="shared" si="8"/>
        <v>20</v>
      </c>
      <c r="M112" s="13">
        <f t="shared" si="10"/>
        <v>3.7504999999999997</v>
      </c>
    </row>
    <row r="113" spans="2:13">
      <c r="B113" s="11">
        <f t="shared" si="9"/>
        <v>38868</v>
      </c>
      <c r="C113" s="11">
        <v>38838</v>
      </c>
      <c r="D113" s="13">
        <v>6.0321812195439097</v>
      </c>
      <c r="G113" s="27">
        <v>41997</v>
      </c>
      <c r="H113" s="26">
        <v>3.87</v>
      </c>
      <c r="I113" s="26">
        <v>0.6</v>
      </c>
      <c r="J113" s="26">
        <v>3.77</v>
      </c>
      <c r="K113" s="13">
        <f t="shared" si="7"/>
        <v>71.239999999999995</v>
      </c>
      <c r="L113" s="13">
        <f t="shared" si="8"/>
        <v>19</v>
      </c>
      <c r="M113" s="13">
        <f t="shared" si="10"/>
        <v>3.7494736842105261</v>
      </c>
    </row>
    <row r="114" spans="2:13">
      <c r="B114" s="11">
        <f t="shared" si="9"/>
        <v>38835</v>
      </c>
      <c r="C114" s="11">
        <v>38808</v>
      </c>
      <c r="D114" s="13">
        <v>6.0247026465371096</v>
      </c>
      <c r="G114" s="27">
        <v>41996</v>
      </c>
      <c r="H114" s="26">
        <v>3.83</v>
      </c>
      <c r="I114" s="26">
        <v>0.6</v>
      </c>
      <c r="J114" s="26">
        <v>3.73</v>
      </c>
      <c r="K114" s="13">
        <f t="shared" si="7"/>
        <v>67.47</v>
      </c>
      <c r="L114" s="13">
        <f t="shared" si="8"/>
        <v>18</v>
      </c>
      <c r="M114" s="13">
        <f t="shared" si="10"/>
        <v>3.7483333333333331</v>
      </c>
    </row>
    <row r="115" spans="2:13">
      <c r="B115" s="11">
        <f t="shared" si="9"/>
        <v>38807</v>
      </c>
      <c r="C115" s="11">
        <v>38777</v>
      </c>
      <c r="D115" s="13">
        <v>6.0200183295153602</v>
      </c>
      <c r="G115" s="27">
        <v>41995</v>
      </c>
      <c r="H115" s="26">
        <v>3.83</v>
      </c>
      <c r="I115" s="26">
        <v>0.6</v>
      </c>
      <c r="J115" s="26">
        <v>3.73</v>
      </c>
      <c r="K115" s="13">
        <f t="shared" si="7"/>
        <v>63.74</v>
      </c>
      <c r="L115" s="13">
        <f t="shared" si="8"/>
        <v>17</v>
      </c>
      <c r="M115" s="13">
        <f t="shared" si="10"/>
        <v>3.7494117647058824</v>
      </c>
    </row>
    <row r="116" spans="2:13">
      <c r="B116" s="11">
        <f t="shared" si="9"/>
        <v>38776</v>
      </c>
      <c r="C116" s="11">
        <v>38749</v>
      </c>
      <c r="D116" s="13">
        <v>6.0154132596131404</v>
      </c>
      <c r="G116" s="27">
        <v>41992</v>
      </c>
      <c r="H116" s="26">
        <v>3.83</v>
      </c>
      <c r="I116" s="26">
        <v>0.6</v>
      </c>
      <c r="J116" s="26">
        <v>3.73</v>
      </c>
      <c r="K116" s="13">
        <f t="shared" si="7"/>
        <v>60.010000000000005</v>
      </c>
      <c r="L116" s="13">
        <f t="shared" si="8"/>
        <v>16</v>
      </c>
      <c r="M116" s="13">
        <f t="shared" si="10"/>
        <v>3.7506250000000003</v>
      </c>
    </row>
    <row r="117" spans="2:13">
      <c r="B117" s="11">
        <f t="shared" si="9"/>
        <v>38748</v>
      </c>
      <c r="C117" s="11">
        <v>38718</v>
      </c>
      <c r="D117" s="13">
        <v>6.0114448276697701</v>
      </c>
      <c r="G117" s="27">
        <v>41991</v>
      </c>
      <c r="H117" s="26">
        <v>3.83</v>
      </c>
      <c r="I117" s="26">
        <v>0.6</v>
      </c>
      <c r="J117" s="26">
        <v>3.73</v>
      </c>
      <c r="K117" s="13">
        <f t="shared" si="7"/>
        <v>56.280000000000008</v>
      </c>
      <c r="L117" s="13">
        <f t="shared" si="8"/>
        <v>15</v>
      </c>
      <c r="M117" s="13">
        <f t="shared" si="10"/>
        <v>3.7520000000000007</v>
      </c>
    </row>
    <row r="118" spans="2:13">
      <c r="B118" s="11">
        <f t="shared" si="9"/>
        <v>38716</v>
      </c>
      <c r="C118" s="11">
        <v>38687</v>
      </c>
      <c r="D118" s="13">
        <v>6.00810374146503</v>
      </c>
      <c r="G118" s="27">
        <v>41990</v>
      </c>
      <c r="H118" s="26">
        <v>3.8</v>
      </c>
      <c r="I118" s="26">
        <v>0.6</v>
      </c>
      <c r="J118" s="26">
        <v>3.7</v>
      </c>
      <c r="K118" s="13">
        <f t="shared" si="7"/>
        <v>52.550000000000011</v>
      </c>
      <c r="L118" s="13">
        <f t="shared" si="8"/>
        <v>14</v>
      </c>
      <c r="M118" s="13">
        <f t="shared" si="10"/>
        <v>3.7535714285714294</v>
      </c>
    </row>
    <row r="119" spans="2:13">
      <c r="B119" s="11">
        <f t="shared" si="9"/>
        <v>38686</v>
      </c>
      <c r="C119" s="11">
        <v>38657</v>
      </c>
      <c r="D119" s="13">
        <v>6.0095922398203498</v>
      </c>
      <c r="G119" s="27">
        <v>41990</v>
      </c>
      <c r="H119" s="26">
        <v>3.83</v>
      </c>
      <c r="I119" s="26">
        <v>0.6</v>
      </c>
      <c r="J119" s="26">
        <v>3.73</v>
      </c>
      <c r="K119" s="13">
        <f t="shared" si="7"/>
        <v>48.850000000000009</v>
      </c>
      <c r="L119" s="13">
        <f t="shared" si="8"/>
        <v>13</v>
      </c>
      <c r="M119" s="13">
        <f t="shared" si="10"/>
        <v>3.7576923076923086</v>
      </c>
    </row>
    <row r="120" spans="2:13">
      <c r="B120" s="11">
        <f t="shared" si="9"/>
        <v>38656</v>
      </c>
      <c r="C120" s="11">
        <v>38626</v>
      </c>
      <c r="D120" s="13">
        <v>6.0150666133711299</v>
      </c>
      <c r="G120" s="27">
        <v>41989</v>
      </c>
      <c r="H120" s="26">
        <v>3.8</v>
      </c>
      <c r="I120" s="26">
        <v>0.6</v>
      </c>
      <c r="J120" s="26">
        <v>3.7</v>
      </c>
      <c r="K120" s="13">
        <f t="shared" si="7"/>
        <v>45.120000000000012</v>
      </c>
      <c r="L120" s="13">
        <f t="shared" si="8"/>
        <v>12</v>
      </c>
      <c r="M120" s="13">
        <f t="shared" si="10"/>
        <v>3.7600000000000011</v>
      </c>
    </row>
    <row r="121" spans="2:13">
      <c r="B121" s="11">
        <f t="shared" si="9"/>
        <v>38625</v>
      </c>
      <c r="C121" s="11">
        <v>38596</v>
      </c>
      <c r="D121" s="13">
        <v>6.0224193008816798</v>
      </c>
      <c r="G121" s="27">
        <v>41988</v>
      </c>
      <c r="H121" s="26">
        <v>3.8</v>
      </c>
      <c r="I121" s="26">
        <v>0.6</v>
      </c>
      <c r="J121" s="26">
        <v>3.7</v>
      </c>
      <c r="K121" s="13">
        <f t="shared" si="7"/>
        <v>41.420000000000009</v>
      </c>
      <c r="L121" s="13">
        <f t="shared" si="8"/>
        <v>11</v>
      </c>
      <c r="M121" s="13">
        <f t="shared" si="10"/>
        <v>3.7654545454545461</v>
      </c>
    </row>
    <row r="122" spans="2:13">
      <c r="B122" s="11">
        <f t="shared" si="9"/>
        <v>38595</v>
      </c>
      <c r="C122" s="11">
        <v>38565</v>
      </c>
      <c r="D122" s="13">
        <v>6.0330389042446102</v>
      </c>
      <c r="G122" s="27">
        <v>41985</v>
      </c>
      <c r="H122" s="26">
        <v>3.8</v>
      </c>
      <c r="I122" s="26">
        <v>0.6</v>
      </c>
      <c r="J122" s="26">
        <v>3.7</v>
      </c>
      <c r="K122" s="13">
        <f t="shared" si="7"/>
        <v>37.720000000000006</v>
      </c>
      <c r="L122" s="13">
        <f t="shared" si="8"/>
        <v>10</v>
      </c>
      <c r="M122" s="13">
        <f t="shared" si="10"/>
        <v>3.7720000000000007</v>
      </c>
    </row>
    <row r="123" spans="2:13">
      <c r="B123" s="11">
        <f t="shared" si="9"/>
        <v>38562</v>
      </c>
      <c r="C123" s="11">
        <v>38534</v>
      </c>
      <c r="D123" s="13">
        <v>6.0442837025672098</v>
      </c>
      <c r="G123" s="27">
        <v>41984</v>
      </c>
      <c r="H123" s="26">
        <v>3.8</v>
      </c>
      <c r="I123" s="26">
        <v>0.6</v>
      </c>
      <c r="J123" s="26">
        <v>3.7</v>
      </c>
      <c r="K123" s="13">
        <f t="shared" si="7"/>
        <v>34.020000000000003</v>
      </c>
      <c r="L123" s="13">
        <f t="shared" si="8"/>
        <v>9</v>
      </c>
      <c r="M123" s="13">
        <f t="shared" si="10"/>
        <v>3.7800000000000002</v>
      </c>
    </row>
    <row r="124" spans="2:13">
      <c r="B124" s="11">
        <f t="shared" si="9"/>
        <v>38533</v>
      </c>
      <c r="C124" s="11">
        <v>38504</v>
      </c>
      <c r="D124" s="13">
        <v>6.0534152973953503</v>
      </c>
      <c r="G124" s="27">
        <v>41983</v>
      </c>
      <c r="H124" s="26">
        <v>3.93</v>
      </c>
      <c r="I124" s="26">
        <v>0.5</v>
      </c>
      <c r="J124" s="26">
        <v>3.8050000000000002</v>
      </c>
      <c r="K124" s="13">
        <f t="shared" si="7"/>
        <v>30.32</v>
      </c>
      <c r="L124" s="13">
        <f t="shared" si="8"/>
        <v>8</v>
      </c>
      <c r="M124" s="13">
        <f t="shared" si="10"/>
        <v>3.79</v>
      </c>
    </row>
    <row r="125" spans="2:13">
      <c r="B125" s="11">
        <f t="shared" si="9"/>
        <v>38503</v>
      </c>
      <c r="C125" s="11">
        <v>38473</v>
      </c>
      <c r="D125" s="13">
        <v>6.0593567559784596</v>
      </c>
      <c r="G125" s="27">
        <v>41982</v>
      </c>
      <c r="H125" s="26">
        <v>3.93</v>
      </c>
      <c r="I125" s="26">
        <v>0.5</v>
      </c>
      <c r="J125" s="26">
        <v>3.8050000000000002</v>
      </c>
      <c r="K125" s="13">
        <f t="shared" si="7"/>
        <v>26.515000000000001</v>
      </c>
      <c r="L125" s="13">
        <f t="shared" si="8"/>
        <v>7</v>
      </c>
      <c r="M125" s="13">
        <f t="shared" si="10"/>
        <v>3.7878571428571428</v>
      </c>
    </row>
    <row r="126" spans="2:13">
      <c r="B126" s="11">
        <f t="shared" si="9"/>
        <v>38471</v>
      </c>
      <c r="C126" s="11">
        <v>38443</v>
      </c>
      <c r="D126" s="13">
        <v>6.0668000832245799</v>
      </c>
      <c r="G126" s="27">
        <v>41981</v>
      </c>
      <c r="H126" s="26">
        <v>3.93</v>
      </c>
      <c r="I126" s="26">
        <v>0.5</v>
      </c>
      <c r="J126" s="26">
        <v>3.8050000000000002</v>
      </c>
      <c r="K126" s="13">
        <f t="shared" si="7"/>
        <v>22.71</v>
      </c>
      <c r="L126" s="13">
        <f t="shared" si="8"/>
        <v>6</v>
      </c>
      <c r="M126" s="13">
        <f t="shared" si="10"/>
        <v>3.7850000000000001</v>
      </c>
    </row>
    <row r="127" spans="2:13">
      <c r="B127" s="11">
        <f t="shared" si="9"/>
        <v>38442</v>
      </c>
      <c r="C127" s="11">
        <v>38412</v>
      </c>
      <c r="D127" s="13">
        <v>6.0785938874519898</v>
      </c>
      <c r="G127" s="27">
        <v>41978</v>
      </c>
      <c r="H127" s="26">
        <v>3.93</v>
      </c>
      <c r="I127" s="26">
        <v>0.5</v>
      </c>
      <c r="J127" s="26">
        <v>3.8050000000000002</v>
      </c>
      <c r="K127" s="13">
        <f t="shared" si="7"/>
        <v>18.905000000000001</v>
      </c>
      <c r="L127" s="13">
        <f t="shared" si="8"/>
        <v>5</v>
      </c>
      <c r="M127" s="13">
        <f t="shared" si="10"/>
        <v>3.7810000000000001</v>
      </c>
    </row>
    <row r="128" spans="2:13">
      <c r="B128" s="11">
        <f t="shared" si="9"/>
        <v>38411</v>
      </c>
      <c r="C128" s="11">
        <v>38384</v>
      </c>
      <c r="D128" s="13">
        <v>6.0882423130064396</v>
      </c>
      <c r="G128" s="27">
        <v>41977</v>
      </c>
      <c r="H128" s="26">
        <v>3.93</v>
      </c>
      <c r="I128" s="26">
        <v>0.5</v>
      </c>
      <c r="J128" s="26">
        <v>3.8050000000000002</v>
      </c>
      <c r="K128" s="13">
        <f t="shared" si="7"/>
        <v>15.1</v>
      </c>
      <c r="L128" s="13">
        <f t="shared" si="8"/>
        <v>4</v>
      </c>
      <c r="M128" s="13">
        <f t="shared" si="10"/>
        <v>3.7749999999999999</v>
      </c>
    </row>
    <row r="129" spans="2:13">
      <c r="B129" s="11">
        <f t="shared" si="9"/>
        <v>38383</v>
      </c>
      <c r="C129" s="11">
        <v>38353</v>
      </c>
      <c r="D129" s="13">
        <v>6.0967223586045796</v>
      </c>
      <c r="G129" s="27">
        <v>41976</v>
      </c>
      <c r="H129" s="26">
        <v>3.89</v>
      </c>
      <c r="I129" s="26">
        <v>0.5</v>
      </c>
      <c r="J129" s="26">
        <v>3.7650000000000001</v>
      </c>
      <c r="K129" s="13">
        <f t="shared" si="7"/>
        <v>11.295</v>
      </c>
      <c r="L129" s="13">
        <f t="shared" si="8"/>
        <v>3</v>
      </c>
      <c r="M129" s="13">
        <f t="shared" si="10"/>
        <v>3.7650000000000001</v>
      </c>
    </row>
    <row r="130" spans="2:13">
      <c r="B130" s="11">
        <f t="shared" si="9"/>
        <v>38352</v>
      </c>
      <c r="C130" s="11">
        <v>38322</v>
      </c>
      <c r="D130" s="13">
        <v>6.1080721751256499</v>
      </c>
      <c r="G130" s="27">
        <v>41975</v>
      </c>
      <c r="H130" s="26">
        <v>3.89</v>
      </c>
      <c r="I130" s="26">
        <v>0.5</v>
      </c>
      <c r="J130" s="26">
        <v>3.7650000000000001</v>
      </c>
      <c r="K130" s="13">
        <f t="shared" si="7"/>
        <v>7.53</v>
      </c>
      <c r="L130" s="13">
        <f t="shared" si="8"/>
        <v>2</v>
      </c>
      <c r="M130" s="13">
        <f t="shared" si="10"/>
        <v>3.7650000000000001</v>
      </c>
    </row>
    <row r="131" spans="2:13">
      <c r="B131" s="11">
        <f t="shared" si="9"/>
        <v>38321</v>
      </c>
      <c r="C131" s="11">
        <v>38292</v>
      </c>
      <c r="D131" s="13">
        <v>6.1183808171805696</v>
      </c>
      <c r="G131" s="27">
        <v>41974</v>
      </c>
      <c r="H131" s="26">
        <v>3.89</v>
      </c>
      <c r="I131" s="26">
        <v>0.5</v>
      </c>
      <c r="J131" s="26">
        <v>3.7650000000000001</v>
      </c>
      <c r="K131" s="13">
        <f t="shared" si="7"/>
        <v>3.7650000000000001</v>
      </c>
      <c r="L131" s="13">
        <f t="shared" si="8"/>
        <v>1</v>
      </c>
      <c r="M131" s="13">
        <f t="shared" si="10"/>
        <v>3.7650000000000001</v>
      </c>
    </row>
    <row r="132" spans="2:13">
      <c r="B132" s="11">
        <f t="shared" si="9"/>
        <v>38289</v>
      </c>
      <c r="C132" s="11">
        <v>38261</v>
      </c>
      <c r="D132" s="13">
        <v>6.1283198780861303</v>
      </c>
      <c r="G132" s="27">
        <v>41971</v>
      </c>
      <c r="H132" s="26">
        <v>3.89</v>
      </c>
      <c r="I132" s="26">
        <v>0.5</v>
      </c>
      <c r="J132" s="26">
        <v>3.7650000000000001</v>
      </c>
      <c r="K132" s="13">
        <f t="shared" ref="K132:K195" si="11">IF(MONTH(G132)=MONTH(G133),J132+K133,J132)</f>
        <v>69.540000000000006</v>
      </c>
      <c r="L132" s="13">
        <f t="shared" ref="L132:L195" si="12">IF(MONTH(G132)=MONTH(G133),L133+1,1)</f>
        <v>18</v>
      </c>
      <c r="M132" s="13">
        <f t="shared" si="10"/>
        <v>3.8633333333333337</v>
      </c>
    </row>
    <row r="133" spans="2:13">
      <c r="B133" s="11">
        <f t="shared" ref="B133:B196" si="13">IF(WEEKDAY(DATE(YEAR(C133),MONTH(C133)+1,0),2)=6,DATE(YEAR(C133),MONTH(C133)+1,0)-1,IF(WEEKDAY(DATE(YEAR(C133),MONTH(C133)+1,0),2)=7,DATE(YEAR(C133),MONTH(C133)+1,0)-2,DATE(YEAR(C133),MONTH(C133)+1,0)))</f>
        <v>38260</v>
      </c>
      <c r="C133" s="11">
        <v>38231</v>
      </c>
      <c r="D133" s="13">
        <v>6.1360962416500202</v>
      </c>
      <c r="G133" s="27">
        <v>41968</v>
      </c>
      <c r="H133" s="26">
        <v>3.97</v>
      </c>
      <c r="I133" s="26">
        <v>0.5</v>
      </c>
      <c r="J133" s="26">
        <v>3.8450000000000002</v>
      </c>
      <c r="K133" s="13">
        <f t="shared" si="11"/>
        <v>65.775000000000006</v>
      </c>
      <c r="L133" s="13">
        <f t="shared" si="12"/>
        <v>17</v>
      </c>
      <c r="M133" s="13">
        <f t="shared" ref="M133:M196" si="14">K133/L133</f>
        <v>3.869117647058824</v>
      </c>
    </row>
    <row r="134" spans="2:13">
      <c r="B134" s="11">
        <f t="shared" si="13"/>
        <v>38230</v>
      </c>
      <c r="C134" s="11">
        <v>38200</v>
      </c>
      <c r="D134" s="13">
        <v>6.1421875026844299</v>
      </c>
      <c r="G134" s="27">
        <v>41967</v>
      </c>
      <c r="H134" s="26">
        <v>3.97</v>
      </c>
      <c r="I134" s="26">
        <v>0.5</v>
      </c>
      <c r="J134" s="26">
        <v>3.8450000000000002</v>
      </c>
      <c r="K134" s="13">
        <f t="shared" si="11"/>
        <v>61.93</v>
      </c>
      <c r="L134" s="13">
        <f t="shared" si="12"/>
        <v>16</v>
      </c>
      <c r="M134" s="13">
        <f t="shared" si="14"/>
        <v>3.870625</v>
      </c>
    </row>
    <row r="135" spans="2:13">
      <c r="B135" s="11">
        <f t="shared" si="13"/>
        <v>38198</v>
      </c>
      <c r="C135" s="11">
        <v>38169</v>
      </c>
      <c r="D135" s="13">
        <v>6.1467065942020804</v>
      </c>
      <c r="G135" s="27">
        <v>41964</v>
      </c>
      <c r="H135" s="26">
        <v>3.97</v>
      </c>
      <c r="I135" s="26">
        <v>0.5</v>
      </c>
      <c r="J135" s="26">
        <v>3.8450000000000002</v>
      </c>
      <c r="K135" s="13">
        <f t="shared" si="11"/>
        <v>58.085000000000001</v>
      </c>
      <c r="L135" s="13">
        <f t="shared" si="12"/>
        <v>15</v>
      </c>
      <c r="M135" s="13">
        <f t="shared" si="14"/>
        <v>3.8723333333333332</v>
      </c>
    </row>
    <row r="136" spans="2:13">
      <c r="B136" s="11">
        <f t="shared" si="13"/>
        <v>38168</v>
      </c>
      <c r="C136" s="11">
        <v>38139</v>
      </c>
      <c r="D136" s="13">
        <v>6.1558719757116096</v>
      </c>
      <c r="G136" s="27">
        <v>41963</v>
      </c>
      <c r="H136" s="26">
        <v>3.97</v>
      </c>
      <c r="I136" s="26">
        <v>0.5</v>
      </c>
      <c r="J136" s="26">
        <v>3.8450000000000002</v>
      </c>
      <c r="K136" s="13">
        <f t="shared" si="11"/>
        <v>54.24</v>
      </c>
      <c r="L136" s="13">
        <f t="shared" si="12"/>
        <v>14</v>
      </c>
      <c r="M136" s="13">
        <f t="shared" si="14"/>
        <v>3.8742857142857146</v>
      </c>
    </row>
    <row r="137" spans="2:13">
      <c r="B137" s="11">
        <f t="shared" si="13"/>
        <v>38138</v>
      </c>
      <c r="C137" s="11">
        <v>38108</v>
      </c>
      <c r="D137" s="13">
        <v>6.1755950636347503</v>
      </c>
      <c r="G137" s="27">
        <v>41962</v>
      </c>
      <c r="H137" s="26">
        <v>3.99</v>
      </c>
      <c r="I137" s="26">
        <v>0.5</v>
      </c>
      <c r="J137" s="26">
        <v>3.8650000000000002</v>
      </c>
      <c r="K137" s="13">
        <f t="shared" si="11"/>
        <v>50.395000000000003</v>
      </c>
      <c r="L137" s="13">
        <f t="shared" si="12"/>
        <v>13</v>
      </c>
      <c r="M137" s="13">
        <f t="shared" si="14"/>
        <v>3.8765384615384617</v>
      </c>
    </row>
    <row r="138" spans="2:13">
      <c r="B138" s="11">
        <f t="shared" si="13"/>
        <v>38107</v>
      </c>
      <c r="C138" s="11">
        <v>38078</v>
      </c>
      <c r="D138" s="13">
        <v>6.2021392027685698</v>
      </c>
      <c r="G138" s="27">
        <v>41962</v>
      </c>
      <c r="H138" s="26">
        <v>3.97</v>
      </c>
      <c r="I138" s="26">
        <v>0.5</v>
      </c>
      <c r="J138" s="26">
        <v>3.8450000000000002</v>
      </c>
      <c r="K138" s="13">
        <f t="shared" si="11"/>
        <v>46.53</v>
      </c>
      <c r="L138" s="13">
        <f t="shared" si="12"/>
        <v>12</v>
      </c>
      <c r="M138" s="13">
        <f t="shared" si="14"/>
        <v>3.8774999999999999</v>
      </c>
    </row>
    <row r="139" spans="2:13">
      <c r="B139" s="11">
        <f t="shared" si="13"/>
        <v>38077</v>
      </c>
      <c r="C139" s="11">
        <v>38047</v>
      </c>
      <c r="D139" s="13">
        <v>6.2293176772732002</v>
      </c>
      <c r="G139" s="27">
        <v>41961</v>
      </c>
      <c r="H139" s="26">
        <v>3.99</v>
      </c>
      <c r="I139" s="26">
        <v>0.5</v>
      </c>
      <c r="J139" s="26">
        <v>3.8650000000000002</v>
      </c>
      <c r="K139" s="13">
        <f t="shared" si="11"/>
        <v>42.685000000000002</v>
      </c>
      <c r="L139" s="13">
        <f t="shared" si="12"/>
        <v>11</v>
      </c>
      <c r="M139" s="13">
        <f t="shared" si="14"/>
        <v>3.8804545454545458</v>
      </c>
    </row>
    <row r="140" spans="2:13">
      <c r="B140" s="11">
        <f t="shared" si="13"/>
        <v>38044</v>
      </c>
      <c r="C140" s="11">
        <v>38018</v>
      </c>
      <c r="D140" s="13">
        <v>6.2474025795140804</v>
      </c>
      <c r="G140" s="27">
        <v>41960</v>
      </c>
      <c r="H140" s="26">
        <v>3.99</v>
      </c>
      <c r="I140" s="26">
        <v>0.5</v>
      </c>
      <c r="J140" s="26">
        <v>3.8650000000000002</v>
      </c>
      <c r="K140" s="13">
        <f t="shared" si="11"/>
        <v>38.82</v>
      </c>
      <c r="L140" s="13">
        <f t="shared" si="12"/>
        <v>10</v>
      </c>
      <c r="M140" s="13">
        <f t="shared" si="14"/>
        <v>3.8820000000000001</v>
      </c>
    </row>
    <row r="141" spans="2:13">
      <c r="B141" s="11">
        <f t="shared" si="13"/>
        <v>38016</v>
      </c>
      <c r="C141" s="11">
        <v>37987</v>
      </c>
      <c r="D141" s="13">
        <v>6.2645109377955901</v>
      </c>
      <c r="G141" s="27">
        <v>41957</v>
      </c>
      <c r="H141" s="26">
        <v>3.99</v>
      </c>
      <c r="I141" s="26">
        <v>0.5</v>
      </c>
      <c r="J141" s="26">
        <v>3.8650000000000002</v>
      </c>
      <c r="K141" s="13">
        <f t="shared" si="11"/>
        <v>34.954999999999998</v>
      </c>
      <c r="L141" s="13">
        <f t="shared" si="12"/>
        <v>9</v>
      </c>
      <c r="M141" s="13">
        <f t="shared" si="14"/>
        <v>3.8838888888888885</v>
      </c>
    </row>
    <row r="142" spans="2:13">
      <c r="B142" s="11">
        <f t="shared" si="13"/>
        <v>37986</v>
      </c>
      <c r="C142" s="11">
        <v>37956</v>
      </c>
      <c r="D142" s="13">
        <v>6.2819200874416596</v>
      </c>
      <c r="G142" s="27">
        <v>41956</v>
      </c>
      <c r="H142" s="26">
        <v>3.99</v>
      </c>
      <c r="I142" s="26">
        <v>0.5</v>
      </c>
      <c r="J142" s="26">
        <v>3.8650000000000002</v>
      </c>
      <c r="K142" s="13">
        <f t="shared" si="11"/>
        <v>31.089999999999996</v>
      </c>
      <c r="L142" s="13">
        <f t="shared" si="12"/>
        <v>8</v>
      </c>
      <c r="M142" s="13">
        <f t="shared" si="14"/>
        <v>3.8862499999999995</v>
      </c>
    </row>
    <row r="143" spans="2:13">
      <c r="B143" s="11">
        <f t="shared" si="13"/>
        <v>37953</v>
      </c>
      <c r="C143" s="11">
        <v>37926</v>
      </c>
      <c r="D143" s="13">
        <v>6.3046085393757201</v>
      </c>
      <c r="G143" s="27">
        <v>41955</v>
      </c>
      <c r="H143" s="26">
        <v>4.01</v>
      </c>
      <c r="I143" s="26">
        <v>0.5</v>
      </c>
      <c r="J143" s="26">
        <v>3.8849999999999998</v>
      </c>
      <c r="K143" s="13">
        <f t="shared" si="11"/>
        <v>27.224999999999994</v>
      </c>
      <c r="L143" s="13">
        <f t="shared" si="12"/>
        <v>7</v>
      </c>
      <c r="M143" s="13">
        <f t="shared" si="14"/>
        <v>3.8892857142857133</v>
      </c>
    </row>
    <row r="144" spans="2:13">
      <c r="B144" s="11">
        <f t="shared" si="13"/>
        <v>37925</v>
      </c>
      <c r="C144" s="11">
        <v>37895</v>
      </c>
      <c r="D144" s="13">
        <v>6.3344524264485704</v>
      </c>
      <c r="G144" s="27">
        <v>41953</v>
      </c>
      <c r="H144" s="26">
        <v>4.01</v>
      </c>
      <c r="I144" s="26">
        <v>0.5</v>
      </c>
      <c r="J144" s="26">
        <v>3.8849999999999998</v>
      </c>
      <c r="K144" s="13">
        <f t="shared" si="11"/>
        <v>23.339999999999996</v>
      </c>
      <c r="L144" s="13">
        <f t="shared" si="12"/>
        <v>6</v>
      </c>
      <c r="M144" s="13">
        <f t="shared" si="14"/>
        <v>3.8899999999999992</v>
      </c>
    </row>
    <row r="145" spans="2:13">
      <c r="B145" s="11">
        <f t="shared" si="13"/>
        <v>37894</v>
      </c>
      <c r="C145" s="11">
        <v>37865</v>
      </c>
      <c r="D145" s="13">
        <v>6.3792497475485499</v>
      </c>
      <c r="G145" s="27">
        <v>41950</v>
      </c>
      <c r="H145" s="26">
        <v>4.01</v>
      </c>
      <c r="I145" s="26">
        <v>0.5</v>
      </c>
      <c r="J145" s="26">
        <v>3.8849999999999998</v>
      </c>
      <c r="K145" s="13">
        <f t="shared" si="11"/>
        <v>19.454999999999998</v>
      </c>
      <c r="L145" s="13">
        <f t="shared" si="12"/>
        <v>5</v>
      </c>
      <c r="M145" s="13">
        <f t="shared" si="14"/>
        <v>3.8909999999999996</v>
      </c>
    </row>
    <row r="146" spans="2:13">
      <c r="B146" s="11">
        <f t="shared" si="13"/>
        <v>37862</v>
      </c>
      <c r="C146" s="11">
        <v>37834</v>
      </c>
      <c r="D146" s="13">
        <v>6.4590147589846296</v>
      </c>
      <c r="G146" s="27">
        <v>41949</v>
      </c>
      <c r="H146" s="26">
        <v>4.01</v>
      </c>
      <c r="I146" s="26">
        <v>0.5</v>
      </c>
      <c r="J146" s="26">
        <v>3.8849999999999998</v>
      </c>
      <c r="K146" s="13">
        <f t="shared" si="11"/>
        <v>15.57</v>
      </c>
      <c r="L146" s="13">
        <f t="shared" si="12"/>
        <v>4</v>
      </c>
      <c r="M146" s="13">
        <f t="shared" si="14"/>
        <v>3.8925000000000001</v>
      </c>
    </row>
    <row r="147" spans="2:13">
      <c r="B147" s="11">
        <f t="shared" si="13"/>
        <v>37833</v>
      </c>
      <c r="C147" s="11">
        <v>37803</v>
      </c>
      <c r="D147" s="13">
        <v>6.5425053781685296</v>
      </c>
      <c r="G147" s="27">
        <v>41948</v>
      </c>
      <c r="H147" s="26">
        <v>4.0199999999999996</v>
      </c>
      <c r="I147" s="26">
        <v>0.5</v>
      </c>
      <c r="J147" s="26">
        <v>3.895</v>
      </c>
      <c r="K147" s="13">
        <f t="shared" si="11"/>
        <v>11.685</v>
      </c>
      <c r="L147" s="13">
        <f t="shared" si="12"/>
        <v>3</v>
      </c>
      <c r="M147" s="13">
        <f t="shared" si="14"/>
        <v>3.895</v>
      </c>
    </row>
    <row r="148" spans="2:13">
      <c r="B148" s="11">
        <f t="shared" si="13"/>
        <v>37802</v>
      </c>
      <c r="C148" s="11">
        <v>37773</v>
      </c>
      <c r="D148" s="13">
        <v>6.6218022465641804</v>
      </c>
      <c r="G148" s="27">
        <v>41947</v>
      </c>
      <c r="H148" s="26">
        <v>4.0199999999999996</v>
      </c>
      <c r="I148" s="26">
        <v>0.5</v>
      </c>
      <c r="J148" s="26">
        <v>3.895</v>
      </c>
      <c r="K148" s="13">
        <f t="shared" si="11"/>
        <v>7.79</v>
      </c>
      <c r="L148" s="13">
        <f t="shared" si="12"/>
        <v>2</v>
      </c>
      <c r="M148" s="13">
        <f t="shared" si="14"/>
        <v>3.895</v>
      </c>
    </row>
    <row r="149" spans="2:13">
      <c r="B149" s="11">
        <f t="shared" si="13"/>
        <v>37771</v>
      </c>
      <c r="C149" s="11">
        <v>37742</v>
      </c>
      <c r="D149" s="13">
        <v>6.6956151701594102</v>
      </c>
      <c r="G149" s="27">
        <v>41946</v>
      </c>
      <c r="H149" s="26">
        <v>4.0199999999999996</v>
      </c>
      <c r="I149" s="26">
        <v>0.5</v>
      </c>
      <c r="J149" s="26">
        <v>3.895</v>
      </c>
      <c r="K149" s="13">
        <f t="shared" si="11"/>
        <v>3.895</v>
      </c>
      <c r="L149" s="13">
        <f t="shared" si="12"/>
        <v>1</v>
      </c>
      <c r="M149" s="13">
        <f t="shared" si="14"/>
        <v>3.895</v>
      </c>
    </row>
    <row r="150" spans="2:13">
      <c r="B150" s="11">
        <f t="shared" si="13"/>
        <v>37741</v>
      </c>
      <c r="C150" s="11">
        <v>37712</v>
      </c>
      <c r="D150" s="13">
        <v>6.76316386439425</v>
      </c>
      <c r="G150" s="27">
        <v>41943</v>
      </c>
      <c r="H150" s="26">
        <v>4.0199999999999996</v>
      </c>
      <c r="I150" s="26">
        <v>0.5</v>
      </c>
      <c r="J150" s="26">
        <v>3.895</v>
      </c>
      <c r="K150" s="13">
        <f t="shared" si="11"/>
        <v>85.435000000000016</v>
      </c>
      <c r="L150" s="13">
        <f t="shared" si="12"/>
        <v>22</v>
      </c>
      <c r="M150" s="13">
        <f t="shared" si="14"/>
        <v>3.8834090909090917</v>
      </c>
    </row>
    <row r="151" spans="2:13">
      <c r="B151" s="11">
        <f t="shared" si="13"/>
        <v>37711</v>
      </c>
      <c r="C151" s="11">
        <v>37681</v>
      </c>
      <c r="D151" s="13">
        <v>6.8334412158562099</v>
      </c>
      <c r="G151" s="27">
        <v>41942</v>
      </c>
      <c r="H151" s="26">
        <v>4.0199999999999996</v>
      </c>
      <c r="I151" s="26">
        <v>0.5</v>
      </c>
      <c r="J151" s="26">
        <v>3.895</v>
      </c>
      <c r="K151" s="13">
        <f t="shared" si="11"/>
        <v>81.54000000000002</v>
      </c>
      <c r="L151" s="13">
        <f t="shared" si="12"/>
        <v>21</v>
      </c>
      <c r="M151" s="13">
        <f t="shared" si="14"/>
        <v>3.8828571428571439</v>
      </c>
    </row>
    <row r="152" spans="2:13">
      <c r="B152" s="11">
        <f t="shared" si="13"/>
        <v>37680</v>
      </c>
      <c r="C152" s="11">
        <v>37653</v>
      </c>
      <c r="D152" s="13">
        <v>6.89024865015055</v>
      </c>
      <c r="G152" s="27">
        <v>41941</v>
      </c>
      <c r="H152" s="26">
        <v>3.98</v>
      </c>
      <c r="I152" s="26">
        <v>0.5</v>
      </c>
      <c r="J152" s="26">
        <v>3.855</v>
      </c>
      <c r="K152" s="13">
        <f t="shared" si="11"/>
        <v>77.645000000000024</v>
      </c>
      <c r="L152" s="13">
        <f t="shared" si="12"/>
        <v>20</v>
      </c>
      <c r="M152" s="13">
        <f t="shared" si="14"/>
        <v>3.8822500000000013</v>
      </c>
    </row>
    <row r="153" spans="2:13">
      <c r="B153" s="11">
        <f t="shared" si="13"/>
        <v>37652</v>
      </c>
      <c r="C153" s="11">
        <v>37622</v>
      </c>
      <c r="D153" s="13">
        <v>6.9465510304239899</v>
      </c>
      <c r="G153" s="27">
        <v>41940</v>
      </c>
      <c r="H153" s="26">
        <v>3.98</v>
      </c>
      <c r="I153" s="26">
        <v>0.5</v>
      </c>
      <c r="J153" s="26">
        <v>3.855</v>
      </c>
      <c r="K153" s="13">
        <f t="shared" si="11"/>
        <v>73.79000000000002</v>
      </c>
      <c r="L153" s="13">
        <f t="shared" si="12"/>
        <v>19</v>
      </c>
      <c r="M153" s="13">
        <f t="shared" si="14"/>
        <v>3.883684210526317</v>
      </c>
    </row>
    <row r="154" spans="2:13">
      <c r="B154" s="11">
        <f t="shared" si="13"/>
        <v>37621</v>
      </c>
      <c r="C154" s="11">
        <v>37591</v>
      </c>
      <c r="D154" s="13">
        <v>7.0105721975785604</v>
      </c>
      <c r="G154" s="27">
        <v>41939</v>
      </c>
      <c r="H154" s="26">
        <v>3.98</v>
      </c>
      <c r="I154" s="26">
        <v>0.5</v>
      </c>
      <c r="J154" s="26">
        <v>3.855</v>
      </c>
      <c r="K154" s="13">
        <f t="shared" si="11"/>
        <v>69.935000000000016</v>
      </c>
      <c r="L154" s="13">
        <f t="shared" si="12"/>
        <v>18</v>
      </c>
      <c r="M154" s="13">
        <f t="shared" si="14"/>
        <v>3.8852777777777785</v>
      </c>
    </row>
    <row r="155" spans="2:13">
      <c r="B155" s="11">
        <f t="shared" si="13"/>
        <v>37589</v>
      </c>
      <c r="C155" s="11">
        <v>37561</v>
      </c>
      <c r="D155" s="13">
        <v>7.0649126448338704</v>
      </c>
      <c r="G155" s="27">
        <v>41936</v>
      </c>
      <c r="H155" s="26">
        <v>3.98</v>
      </c>
      <c r="I155" s="26">
        <v>0.5</v>
      </c>
      <c r="J155" s="26">
        <v>3.855</v>
      </c>
      <c r="K155" s="13">
        <f t="shared" si="11"/>
        <v>66.080000000000013</v>
      </c>
      <c r="L155" s="13">
        <f t="shared" si="12"/>
        <v>17</v>
      </c>
      <c r="M155" s="13">
        <f t="shared" si="14"/>
        <v>3.8870588235294123</v>
      </c>
    </row>
    <row r="156" spans="2:13">
      <c r="B156" s="11">
        <f t="shared" si="13"/>
        <v>37560</v>
      </c>
      <c r="C156" s="11">
        <v>37530</v>
      </c>
      <c r="D156" s="13">
        <v>7.1159290973596301</v>
      </c>
      <c r="G156" s="27">
        <v>41935</v>
      </c>
      <c r="H156" s="26">
        <v>3.98</v>
      </c>
      <c r="I156" s="26">
        <v>0.5</v>
      </c>
      <c r="J156" s="26">
        <v>3.855</v>
      </c>
      <c r="K156" s="13">
        <f t="shared" si="11"/>
        <v>62.225000000000009</v>
      </c>
      <c r="L156" s="13">
        <f t="shared" si="12"/>
        <v>16</v>
      </c>
      <c r="M156" s="13">
        <f t="shared" si="14"/>
        <v>3.8890625000000005</v>
      </c>
    </row>
    <row r="157" spans="2:13">
      <c r="B157" s="11">
        <f t="shared" si="13"/>
        <v>37529</v>
      </c>
      <c r="C157" s="11">
        <v>37500</v>
      </c>
      <c r="D157" s="13">
        <v>7.1562991500090698</v>
      </c>
      <c r="G157" s="27">
        <v>41934</v>
      </c>
      <c r="H157" s="26">
        <v>3.92</v>
      </c>
      <c r="I157" s="26">
        <v>0.5</v>
      </c>
      <c r="J157" s="26">
        <v>3.7949999999999999</v>
      </c>
      <c r="K157" s="13">
        <f t="shared" si="11"/>
        <v>58.370000000000012</v>
      </c>
      <c r="L157" s="13">
        <f t="shared" si="12"/>
        <v>15</v>
      </c>
      <c r="M157" s="13">
        <f t="shared" si="14"/>
        <v>3.8913333333333342</v>
      </c>
    </row>
    <row r="158" spans="2:13">
      <c r="B158" s="11">
        <f t="shared" si="13"/>
        <v>37498</v>
      </c>
      <c r="C158" s="11">
        <v>37469</v>
      </c>
      <c r="D158" s="13">
        <v>7.1857147743439498</v>
      </c>
      <c r="G158" s="27">
        <v>41933</v>
      </c>
      <c r="H158" s="26">
        <v>3.92</v>
      </c>
      <c r="I158" s="26">
        <v>0.5</v>
      </c>
      <c r="J158" s="26">
        <v>3.7949999999999999</v>
      </c>
      <c r="K158" s="13">
        <f t="shared" si="11"/>
        <v>54.57500000000001</v>
      </c>
      <c r="L158" s="13">
        <f t="shared" si="12"/>
        <v>14</v>
      </c>
      <c r="M158" s="13">
        <f t="shared" si="14"/>
        <v>3.8982142857142863</v>
      </c>
    </row>
    <row r="159" spans="2:13">
      <c r="B159" s="11">
        <f t="shared" si="13"/>
        <v>37468</v>
      </c>
      <c r="C159" s="11">
        <v>37438</v>
      </c>
      <c r="D159" s="13">
        <v>7.2034993165370702</v>
      </c>
      <c r="G159" s="27">
        <v>41932</v>
      </c>
      <c r="H159" s="26">
        <v>3.92</v>
      </c>
      <c r="I159" s="26">
        <v>0.5</v>
      </c>
      <c r="J159" s="26">
        <v>3.7949999999999999</v>
      </c>
      <c r="K159" s="13">
        <f t="shared" si="11"/>
        <v>50.780000000000008</v>
      </c>
      <c r="L159" s="13">
        <f t="shared" si="12"/>
        <v>13</v>
      </c>
      <c r="M159" s="13">
        <f t="shared" si="14"/>
        <v>3.9061538461538468</v>
      </c>
    </row>
    <row r="160" spans="2:13">
      <c r="B160" s="11">
        <f t="shared" si="13"/>
        <v>37435</v>
      </c>
      <c r="C160" s="11">
        <v>37408</v>
      </c>
      <c r="D160" s="13">
        <v>7.2160068963509003</v>
      </c>
      <c r="G160" s="27">
        <v>41929</v>
      </c>
      <c r="H160" s="26">
        <v>3.92</v>
      </c>
      <c r="I160" s="26">
        <v>0.5</v>
      </c>
      <c r="J160" s="26">
        <v>3.7949999999999999</v>
      </c>
      <c r="K160" s="13">
        <f t="shared" si="11"/>
        <v>46.985000000000007</v>
      </c>
      <c r="L160" s="13">
        <f t="shared" si="12"/>
        <v>12</v>
      </c>
      <c r="M160" s="13">
        <f t="shared" si="14"/>
        <v>3.9154166666666672</v>
      </c>
    </row>
    <row r="161" spans="2:13">
      <c r="B161" s="11">
        <f t="shared" si="13"/>
        <v>37407</v>
      </c>
      <c r="C161" s="11">
        <v>37377</v>
      </c>
      <c r="D161" s="13">
        <v>7.2269564299105404</v>
      </c>
      <c r="G161" s="27">
        <v>41928</v>
      </c>
      <c r="H161" s="26">
        <v>3.92</v>
      </c>
      <c r="I161" s="26">
        <v>0.5</v>
      </c>
      <c r="J161" s="26">
        <v>3.7949999999999999</v>
      </c>
      <c r="K161" s="13">
        <f t="shared" si="11"/>
        <v>43.190000000000005</v>
      </c>
      <c r="L161" s="13">
        <f t="shared" si="12"/>
        <v>11</v>
      </c>
      <c r="M161" s="13">
        <f t="shared" si="14"/>
        <v>3.9263636363636367</v>
      </c>
    </row>
    <row r="162" spans="2:13">
      <c r="B162" s="11">
        <f t="shared" si="13"/>
        <v>37376</v>
      </c>
      <c r="C162" s="11">
        <v>37347</v>
      </c>
      <c r="D162" s="13">
        <v>7.2396231504910498</v>
      </c>
      <c r="G162" s="27">
        <v>41927</v>
      </c>
      <c r="H162" s="26">
        <v>3.97</v>
      </c>
      <c r="I162" s="26">
        <v>0.5</v>
      </c>
      <c r="J162" s="26">
        <v>3.8450000000000002</v>
      </c>
      <c r="K162" s="13">
        <f t="shared" si="11"/>
        <v>39.395000000000003</v>
      </c>
      <c r="L162" s="13">
        <f t="shared" si="12"/>
        <v>10</v>
      </c>
      <c r="M162" s="13">
        <f t="shared" si="14"/>
        <v>3.9395000000000002</v>
      </c>
    </row>
    <row r="163" spans="2:13">
      <c r="B163" s="11">
        <f t="shared" si="13"/>
        <v>37344</v>
      </c>
      <c r="C163" s="11">
        <v>37316</v>
      </c>
      <c r="D163" s="13">
        <v>7.2569339081341901</v>
      </c>
      <c r="G163" s="27">
        <v>41926</v>
      </c>
      <c r="H163" s="26">
        <v>3.97</v>
      </c>
      <c r="I163" s="26">
        <v>0.5</v>
      </c>
      <c r="J163" s="26">
        <v>3.8450000000000002</v>
      </c>
      <c r="K163" s="13">
        <f t="shared" si="11"/>
        <v>35.550000000000004</v>
      </c>
      <c r="L163" s="13">
        <f t="shared" si="12"/>
        <v>9</v>
      </c>
      <c r="M163" s="13">
        <f t="shared" si="14"/>
        <v>3.9500000000000006</v>
      </c>
    </row>
    <row r="164" spans="2:13">
      <c r="B164" s="11">
        <f t="shared" si="13"/>
        <v>37315</v>
      </c>
      <c r="C164" s="11">
        <v>37288</v>
      </c>
      <c r="D164" s="13">
        <v>7.2763754914515202</v>
      </c>
      <c r="G164" s="27">
        <v>41922</v>
      </c>
      <c r="H164" s="26">
        <v>3.97</v>
      </c>
      <c r="I164" s="26">
        <v>0.5</v>
      </c>
      <c r="J164" s="26">
        <v>3.8450000000000002</v>
      </c>
      <c r="K164" s="13">
        <f t="shared" si="11"/>
        <v>31.705000000000002</v>
      </c>
      <c r="L164" s="13">
        <f t="shared" si="12"/>
        <v>8</v>
      </c>
      <c r="M164" s="13">
        <f t="shared" si="14"/>
        <v>3.9631250000000002</v>
      </c>
    </row>
    <row r="165" spans="2:13">
      <c r="B165" s="11">
        <f t="shared" si="13"/>
        <v>37287</v>
      </c>
      <c r="C165" s="11">
        <v>37257</v>
      </c>
      <c r="D165" s="13">
        <v>7.3028699366002598</v>
      </c>
      <c r="G165" s="27">
        <v>41921</v>
      </c>
      <c r="H165" s="26">
        <v>3.97</v>
      </c>
      <c r="I165" s="26">
        <v>0.5</v>
      </c>
      <c r="J165" s="26">
        <v>3.8450000000000002</v>
      </c>
      <c r="K165" s="13">
        <f t="shared" si="11"/>
        <v>27.860000000000003</v>
      </c>
      <c r="L165" s="13">
        <f t="shared" si="12"/>
        <v>7</v>
      </c>
      <c r="M165" s="13">
        <f t="shared" si="14"/>
        <v>3.9800000000000004</v>
      </c>
    </row>
    <row r="166" spans="2:13">
      <c r="B166" s="11">
        <f t="shared" si="13"/>
        <v>37256</v>
      </c>
      <c r="C166" s="11">
        <v>37226</v>
      </c>
      <c r="D166" s="13">
        <v>7.3401035174219604</v>
      </c>
      <c r="G166" s="27">
        <v>41920</v>
      </c>
      <c r="H166" s="26">
        <v>4.12</v>
      </c>
      <c r="I166" s="26">
        <v>0.5</v>
      </c>
      <c r="J166" s="26">
        <v>3.9950000000000001</v>
      </c>
      <c r="K166" s="13">
        <f t="shared" si="11"/>
        <v>24.015000000000004</v>
      </c>
      <c r="L166" s="13">
        <f t="shared" si="12"/>
        <v>6</v>
      </c>
      <c r="M166" s="13">
        <f t="shared" si="14"/>
        <v>4.0025000000000004</v>
      </c>
    </row>
    <row r="167" spans="2:13">
      <c r="B167" s="11">
        <f t="shared" si="13"/>
        <v>37225</v>
      </c>
      <c r="C167" s="11">
        <v>37196</v>
      </c>
      <c r="D167" s="13">
        <v>7.3806635187928498</v>
      </c>
      <c r="G167" s="27">
        <v>41919</v>
      </c>
      <c r="H167" s="26">
        <v>4.12</v>
      </c>
      <c r="I167" s="26">
        <v>0.5</v>
      </c>
      <c r="J167" s="26">
        <v>3.9950000000000001</v>
      </c>
      <c r="K167" s="13">
        <f t="shared" si="11"/>
        <v>20.020000000000003</v>
      </c>
      <c r="L167" s="13">
        <f t="shared" si="12"/>
        <v>5</v>
      </c>
      <c r="M167" s="13">
        <f t="shared" si="14"/>
        <v>4.0040000000000004</v>
      </c>
    </row>
    <row r="168" spans="2:13">
      <c r="B168" s="11">
        <f t="shared" si="13"/>
        <v>37195</v>
      </c>
      <c r="C168" s="11">
        <v>37165</v>
      </c>
      <c r="D168" s="13">
        <v>7.4102585036555704</v>
      </c>
      <c r="G168" s="27">
        <v>41918</v>
      </c>
      <c r="H168" s="26">
        <v>4.12</v>
      </c>
      <c r="I168" s="26">
        <v>0.5</v>
      </c>
      <c r="J168" s="26">
        <v>3.9950000000000001</v>
      </c>
      <c r="K168" s="13">
        <f t="shared" si="11"/>
        <v>16.025000000000002</v>
      </c>
      <c r="L168" s="13">
        <f t="shared" si="12"/>
        <v>4</v>
      </c>
      <c r="M168" s="13">
        <f t="shared" si="14"/>
        <v>4.0062500000000005</v>
      </c>
    </row>
    <row r="169" spans="2:13">
      <c r="B169" s="11">
        <f t="shared" si="13"/>
        <v>37162</v>
      </c>
      <c r="C169" s="11">
        <v>37135</v>
      </c>
      <c r="D169" s="13">
        <v>7.4274568059626596</v>
      </c>
      <c r="G169" s="27">
        <v>41915</v>
      </c>
      <c r="H169" s="26">
        <v>4.12</v>
      </c>
      <c r="I169" s="26">
        <v>0.5</v>
      </c>
      <c r="J169" s="26">
        <v>3.9950000000000001</v>
      </c>
      <c r="K169" s="13">
        <f t="shared" si="11"/>
        <v>12.030000000000001</v>
      </c>
      <c r="L169" s="13">
        <f t="shared" si="12"/>
        <v>3</v>
      </c>
      <c r="M169" s="13">
        <f t="shared" si="14"/>
        <v>4.0100000000000007</v>
      </c>
    </row>
    <row r="170" spans="2:13">
      <c r="B170" s="11">
        <f t="shared" si="13"/>
        <v>37134</v>
      </c>
      <c r="C170" s="11">
        <v>37104</v>
      </c>
      <c r="D170" s="13">
        <v>7.4436498896780803</v>
      </c>
      <c r="G170" s="27">
        <v>41914</v>
      </c>
      <c r="H170" s="26">
        <v>4.12</v>
      </c>
      <c r="I170" s="26">
        <v>0.5</v>
      </c>
      <c r="J170" s="26">
        <v>3.9950000000000001</v>
      </c>
      <c r="K170" s="13">
        <f t="shared" si="11"/>
        <v>8.0350000000000001</v>
      </c>
      <c r="L170" s="13">
        <f t="shared" si="12"/>
        <v>2</v>
      </c>
      <c r="M170" s="13">
        <f t="shared" si="14"/>
        <v>4.0175000000000001</v>
      </c>
    </row>
    <row r="171" spans="2:13">
      <c r="B171" s="11">
        <f t="shared" si="13"/>
        <v>37103</v>
      </c>
      <c r="C171" s="11">
        <v>37073</v>
      </c>
      <c r="D171" s="13">
        <v>7.4576310311595</v>
      </c>
      <c r="G171" s="27">
        <v>41913</v>
      </c>
      <c r="H171" s="26">
        <v>4.1900000000000004</v>
      </c>
      <c r="I171" s="26">
        <v>0.4</v>
      </c>
      <c r="J171" s="26">
        <v>4.04</v>
      </c>
      <c r="K171" s="13">
        <f t="shared" si="11"/>
        <v>4.04</v>
      </c>
      <c r="L171" s="13">
        <f t="shared" si="12"/>
        <v>1</v>
      </c>
      <c r="M171" s="13">
        <f t="shared" si="14"/>
        <v>4.04</v>
      </c>
    </row>
    <row r="172" spans="2:13">
      <c r="B172" s="11">
        <f t="shared" si="13"/>
        <v>37071</v>
      </c>
      <c r="C172" s="11">
        <v>37043</v>
      </c>
      <c r="D172" s="13">
        <v>7.4751311307147201</v>
      </c>
      <c r="G172" s="27">
        <v>41912</v>
      </c>
      <c r="H172" s="26">
        <v>4.1900000000000004</v>
      </c>
      <c r="I172" s="26">
        <v>0.4</v>
      </c>
      <c r="J172" s="26">
        <v>4.04</v>
      </c>
      <c r="K172" s="13">
        <f t="shared" si="11"/>
        <v>84.985000000000056</v>
      </c>
      <c r="L172" s="13">
        <f t="shared" si="12"/>
        <v>21</v>
      </c>
      <c r="M172" s="13">
        <f t="shared" si="14"/>
        <v>4.0469047619047647</v>
      </c>
    </row>
    <row r="173" spans="2:13">
      <c r="B173" s="11">
        <f t="shared" si="13"/>
        <v>37042</v>
      </c>
      <c r="C173" s="11">
        <v>37012</v>
      </c>
      <c r="D173" s="13">
        <v>7.4992216353381096</v>
      </c>
      <c r="G173" s="27">
        <v>41911</v>
      </c>
      <c r="H173" s="26">
        <v>4.1900000000000004</v>
      </c>
      <c r="I173" s="26">
        <v>0.4</v>
      </c>
      <c r="J173" s="26">
        <v>4.04</v>
      </c>
      <c r="K173" s="13">
        <f t="shared" si="11"/>
        <v>80.94500000000005</v>
      </c>
      <c r="L173" s="13">
        <f t="shared" si="12"/>
        <v>20</v>
      </c>
      <c r="M173" s="13">
        <f t="shared" si="14"/>
        <v>4.0472500000000027</v>
      </c>
    </row>
    <row r="174" spans="2:13">
      <c r="B174" s="11">
        <f t="shared" si="13"/>
        <v>37011</v>
      </c>
      <c r="C174" s="11">
        <v>36982</v>
      </c>
      <c r="D174" s="13">
        <v>7.5247913018060899</v>
      </c>
      <c r="G174" s="27">
        <v>41908</v>
      </c>
      <c r="H174" s="26">
        <v>4.1900000000000004</v>
      </c>
      <c r="I174" s="26">
        <v>0.4</v>
      </c>
      <c r="J174" s="26">
        <v>4.04</v>
      </c>
      <c r="K174" s="13">
        <f t="shared" si="11"/>
        <v>76.905000000000044</v>
      </c>
      <c r="L174" s="13">
        <f t="shared" si="12"/>
        <v>19</v>
      </c>
      <c r="M174" s="13">
        <f t="shared" si="14"/>
        <v>4.0476315789473709</v>
      </c>
    </row>
    <row r="175" spans="2:13">
      <c r="B175" s="11">
        <f t="shared" si="13"/>
        <v>36980</v>
      </c>
      <c r="C175" s="11">
        <v>36951</v>
      </c>
      <c r="D175" s="13">
        <v>7.55073609775779</v>
      </c>
      <c r="G175" s="27">
        <v>41907</v>
      </c>
      <c r="H175" s="26">
        <v>4.1900000000000004</v>
      </c>
      <c r="I175" s="26">
        <v>0.4</v>
      </c>
      <c r="J175" s="26">
        <v>4.04</v>
      </c>
      <c r="K175" s="13">
        <f t="shared" si="11"/>
        <v>72.865000000000038</v>
      </c>
      <c r="L175" s="13">
        <f t="shared" si="12"/>
        <v>18</v>
      </c>
      <c r="M175" s="13">
        <f t="shared" si="14"/>
        <v>4.0480555555555577</v>
      </c>
    </row>
    <row r="176" spans="2:13">
      <c r="B176" s="11">
        <f t="shared" si="13"/>
        <v>36950</v>
      </c>
      <c r="C176" s="11">
        <v>36923</v>
      </c>
      <c r="D176" s="13">
        <v>7.5672076678487699</v>
      </c>
      <c r="G176" s="27">
        <v>41906</v>
      </c>
      <c r="H176" s="26">
        <v>4.2</v>
      </c>
      <c r="I176" s="26">
        <v>0.5</v>
      </c>
      <c r="J176" s="26">
        <v>4.0750000000000002</v>
      </c>
      <c r="K176" s="13">
        <f t="shared" si="11"/>
        <v>68.825000000000031</v>
      </c>
      <c r="L176" s="13">
        <f t="shared" si="12"/>
        <v>17</v>
      </c>
      <c r="M176" s="13">
        <f t="shared" si="14"/>
        <v>4.0485294117647079</v>
      </c>
    </row>
    <row r="177" spans="2:13">
      <c r="B177" s="11">
        <f t="shared" si="13"/>
        <v>36922</v>
      </c>
      <c r="C177" s="11">
        <v>36892</v>
      </c>
      <c r="D177" s="13">
        <v>7.5724879062711903</v>
      </c>
      <c r="G177" s="27">
        <v>41905</v>
      </c>
      <c r="H177" s="26">
        <v>4.2</v>
      </c>
      <c r="I177" s="26">
        <v>0.5</v>
      </c>
      <c r="J177" s="26">
        <v>4.0750000000000002</v>
      </c>
      <c r="K177" s="13">
        <f t="shared" si="11"/>
        <v>64.750000000000028</v>
      </c>
      <c r="L177" s="13">
        <f t="shared" si="12"/>
        <v>16</v>
      </c>
      <c r="M177" s="13">
        <f t="shared" si="14"/>
        <v>4.0468750000000018</v>
      </c>
    </row>
    <row r="178" spans="2:13">
      <c r="B178" s="11">
        <f t="shared" si="13"/>
        <v>36889</v>
      </c>
      <c r="C178" s="11">
        <v>36861</v>
      </c>
      <c r="D178" s="13">
        <v>7.5666187030211596</v>
      </c>
      <c r="G178" s="27">
        <v>41904</v>
      </c>
      <c r="H178" s="26">
        <v>4.2</v>
      </c>
      <c r="I178" s="26">
        <v>0.5</v>
      </c>
      <c r="J178" s="26">
        <v>4.0750000000000002</v>
      </c>
      <c r="K178" s="13">
        <f t="shared" si="11"/>
        <v>60.675000000000026</v>
      </c>
      <c r="L178" s="13">
        <f t="shared" si="12"/>
        <v>15</v>
      </c>
      <c r="M178" s="13">
        <f t="shared" si="14"/>
        <v>4.0450000000000017</v>
      </c>
    </row>
    <row r="179" spans="2:13">
      <c r="B179" s="11">
        <f t="shared" si="13"/>
        <v>36860</v>
      </c>
      <c r="C179" s="11">
        <v>36831</v>
      </c>
      <c r="D179" s="13">
        <v>7.5589205010841898</v>
      </c>
      <c r="G179" s="27">
        <v>41901</v>
      </c>
      <c r="H179" s="26">
        <v>4.2</v>
      </c>
      <c r="I179" s="26">
        <v>0.5</v>
      </c>
      <c r="J179" s="26">
        <v>4.0750000000000002</v>
      </c>
      <c r="K179" s="13">
        <f t="shared" si="11"/>
        <v>56.600000000000023</v>
      </c>
      <c r="L179" s="13">
        <f t="shared" si="12"/>
        <v>14</v>
      </c>
      <c r="M179" s="13">
        <f t="shared" si="14"/>
        <v>4.0428571428571445</v>
      </c>
    </row>
    <row r="180" spans="2:13">
      <c r="B180" s="11">
        <f t="shared" si="13"/>
        <v>36830</v>
      </c>
      <c r="C180" s="11">
        <v>36800</v>
      </c>
      <c r="D180" s="13">
        <v>7.5487930983438503</v>
      </c>
      <c r="G180" s="27">
        <v>41900</v>
      </c>
      <c r="H180" s="26">
        <v>4.2</v>
      </c>
      <c r="I180" s="26">
        <v>0.5</v>
      </c>
      <c r="J180" s="26">
        <v>4.0750000000000002</v>
      </c>
      <c r="K180" s="13">
        <f t="shared" si="11"/>
        <v>52.52500000000002</v>
      </c>
      <c r="L180" s="13">
        <f t="shared" si="12"/>
        <v>13</v>
      </c>
      <c r="M180" s="13">
        <f t="shared" si="14"/>
        <v>4.0403846153846166</v>
      </c>
    </row>
    <row r="181" spans="2:13">
      <c r="B181" s="11">
        <f t="shared" si="13"/>
        <v>36798</v>
      </c>
      <c r="C181" s="11">
        <v>36770</v>
      </c>
      <c r="D181" s="13">
        <v>7.5354422685922398</v>
      </c>
      <c r="G181" s="27">
        <v>41899</v>
      </c>
      <c r="H181" s="26">
        <v>4.2300000000000004</v>
      </c>
      <c r="I181" s="26">
        <v>0.5</v>
      </c>
      <c r="J181" s="26">
        <v>4.1050000000000004</v>
      </c>
      <c r="K181" s="13">
        <f t="shared" si="11"/>
        <v>48.450000000000017</v>
      </c>
      <c r="L181" s="13">
        <f t="shared" si="12"/>
        <v>12</v>
      </c>
      <c r="M181" s="13">
        <f t="shared" si="14"/>
        <v>4.0375000000000014</v>
      </c>
    </row>
    <row r="182" spans="2:13">
      <c r="B182" s="11">
        <f t="shared" si="13"/>
        <v>36769</v>
      </c>
      <c r="C182" s="11">
        <v>36739</v>
      </c>
      <c r="D182" s="13">
        <v>7.5216530258550698</v>
      </c>
      <c r="G182" s="27">
        <v>41898</v>
      </c>
      <c r="H182" s="26">
        <v>4.2300000000000004</v>
      </c>
      <c r="I182" s="26">
        <v>0.5</v>
      </c>
      <c r="J182" s="26">
        <v>4.1050000000000004</v>
      </c>
      <c r="K182" s="13">
        <f t="shared" si="11"/>
        <v>44.345000000000013</v>
      </c>
      <c r="L182" s="13">
        <f t="shared" si="12"/>
        <v>11</v>
      </c>
      <c r="M182" s="13">
        <f t="shared" si="14"/>
        <v>4.0313636363636371</v>
      </c>
    </row>
    <row r="183" spans="2:13">
      <c r="B183" s="11">
        <f t="shared" si="13"/>
        <v>36738</v>
      </c>
      <c r="C183" s="11">
        <v>36708</v>
      </c>
      <c r="D183" s="13">
        <v>7.5040146726364698</v>
      </c>
      <c r="G183" s="27">
        <v>41897</v>
      </c>
      <c r="H183" s="26">
        <v>4.2300000000000004</v>
      </c>
      <c r="I183" s="26">
        <v>0.5</v>
      </c>
      <c r="J183" s="26">
        <v>4.1050000000000004</v>
      </c>
      <c r="K183" s="13">
        <f t="shared" si="11"/>
        <v>40.240000000000009</v>
      </c>
      <c r="L183" s="13">
        <f t="shared" si="12"/>
        <v>10</v>
      </c>
      <c r="M183" s="13">
        <f t="shared" si="14"/>
        <v>4.0240000000000009</v>
      </c>
    </row>
    <row r="184" spans="2:13">
      <c r="B184" s="11">
        <f t="shared" si="13"/>
        <v>36707</v>
      </c>
      <c r="C184" s="11">
        <v>36678</v>
      </c>
      <c r="D184" s="13">
        <v>7.48712179286031</v>
      </c>
      <c r="G184" s="27">
        <v>41894</v>
      </c>
      <c r="H184" s="26">
        <v>4.2300000000000004</v>
      </c>
      <c r="I184" s="26">
        <v>0.5</v>
      </c>
      <c r="J184" s="26">
        <v>4.1050000000000004</v>
      </c>
      <c r="K184" s="13">
        <f t="shared" si="11"/>
        <v>36.135000000000005</v>
      </c>
      <c r="L184" s="13">
        <f t="shared" si="12"/>
        <v>9</v>
      </c>
      <c r="M184" s="13">
        <f t="shared" si="14"/>
        <v>4.0150000000000006</v>
      </c>
    </row>
    <row r="185" spans="2:13">
      <c r="B185" s="11">
        <f t="shared" si="13"/>
        <v>36677</v>
      </c>
      <c r="C185" s="11">
        <v>36647</v>
      </c>
      <c r="D185" s="13">
        <v>7.4732020786550697</v>
      </c>
      <c r="G185" s="27">
        <v>41893</v>
      </c>
      <c r="H185" s="26">
        <v>4.2300000000000004</v>
      </c>
      <c r="I185" s="26">
        <v>0.5</v>
      </c>
      <c r="J185" s="26">
        <v>4.1050000000000004</v>
      </c>
      <c r="K185" s="13">
        <f t="shared" si="11"/>
        <v>32.03</v>
      </c>
      <c r="L185" s="13">
        <f t="shared" si="12"/>
        <v>8</v>
      </c>
      <c r="M185" s="13">
        <f t="shared" si="14"/>
        <v>4.0037500000000001</v>
      </c>
    </row>
    <row r="186" spans="2:13">
      <c r="B186" s="11">
        <f t="shared" si="13"/>
        <v>36644</v>
      </c>
      <c r="C186" s="11">
        <v>36617</v>
      </c>
      <c r="D186" s="13">
        <v>7.4607988464454698</v>
      </c>
      <c r="G186" s="27">
        <v>41892</v>
      </c>
      <c r="H186" s="26">
        <v>4.12</v>
      </c>
      <c r="I186" s="26">
        <v>0.5</v>
      </c>
      <c r="J186" s="26">
        <v>3.9950000000000001</v>
      </c>
      <c r="K186" s="13">
        <f t="shared" si="11"/>
        <v>27.925000000000004</v>
      </c>
      <c r="L186" s="13">
        <f t="shared" si="12"/>
        <v>7</v>
      </c>
      <c r="M186" s="13">
        <f t="shared" si="14"/>
        <v>3.9892857142857148</v>
      </c>
    </row>
    <row r="187" spans="2:13">
      <c r="B187" s="11">
        <f t="shared" si="13"/>
        <v>36616</v>
      </c>
      <c r="C187" s="11">
        <v>36586</v>
      </c>
      <c r="D187" s="13">
        <v>7.4486291993832099</v>
      </c>
      <c r="G187" s="27">
        <v>41891</v>
      </c>
      <c r="H187" s="26">
        <v>4.12</v>
      </c>
      <c r="I187" s="26">
        <v>0.5</v>
      </c>
      <c r="J187" s="26">
        <v>3.9950000000000001</v>
      </c>
      <c r="K187" s="13">
        <f t="shared" si="11"/>
        <v>23.930000000000003</v>
      </c>
      <c r="L187" s="13">
        <f t="shared" si="12"/>
        <v>6</v>
      </c>
      <c r="M187" s="13">
        <f t="shared" si="14"/>
        <v>3.9883333333333337</v>
      </c>
    </row>
    <row r="188" spans="2:13">
      <c r="B188" s="11">
        <f t="shared" si="13"/>
        <v>36585</v>
      </c>
      <c r="C188" s="11">
        <v>36557</v>
      </c>
      <c r="D188" s="13">
        <v>7.4400957197323496</v>
      </c>
      <c r="G188" s="27">
        <v>41890</v>
      </c>
      <c r="H188" s="26">
        <v>4.12</v>
      </c>
      <c r="I188" s="26">
        <v>0.5</v>
      </c>
      <c r="J188" s="26">
        <v>3.9950000000000001</v>
      </c>
      <c r="K188" s="13">
        <f t="shared" si="11"/>
        <v>19.935000000000002</v>
      </c>
      <c r="L188" s="13">
        <f t="shared" si="12"/>
        <v>5</v>
      </c>
      <c r="M188" s="13">
        <f t="shared" si="14"/>
        <v>3.9870000000000005</v>
      </c>
    </row>
    <row r="189" spans="2:13">
      <c r="B189" s="11">
        <f t="shared" si="13"/>
        <v>36556</v>
      </c>
      <c r="C189" s="11">
        <v>36526</v>
      </c>
      <c r="D189" s="13">
        <v>7.4327729206536102</v>
      </c>
      <c r="G189" s="27">
        <v>41887</v>
      </c>
      <c r="H189" s="26">
        <v>4.12</v>
      </c>
      <c r="I189" s="26">
        <v>0.5</v>
      </c>
      <c r="J189" s="26">
        <v>3.9950000000000001</v>
      </c>
      <c r="K189" s="13">
        <f t="shared" si="11"/>
        <v>15.940000000000001</v>
      </c>
      <c r="L189" s="13">
        <f t="shared" si="12"/>
        <v>4</v>
      </c>
      <c r="M189" s="13">
        <f t="shared" si="14"/>
        <v>3.9850000000000003</v>
      </c>
    </row>
    <row r="190" spans="2:13">
      <c r="B190" s="11">
        <f t="shared" si="13"/>
        <v>36525</v>
      </c>
      <c r="C190" s="11">
        <v>36495</v>
      </c>
      <c r="D190" s="13">
        <v>7.4272840359167098</v>
      </c>
      <c r="G190" s="27">
        <v>41886</v>
      </c>
      <c r="H190" s="26">
        <v>4.12</v>
      </c>
      <c r="I190" s="26">
        <v>0.5</v>
      </c>
      <c r="J190" s="26">
        <v>3.9950000000000001</v>
      </c>
      <c r="K190" s="13">
        <f t="shared" si="11"/>
        <v>11.945</v>
      </c>
      <c r="L190" s="13">
        <f t="shared" si="12"/>
        <v>3</v>
      </c>
      <c r="M190" s="13">
        <f t="shared" si="14"/>
        <v>3.9816666666666669</v>
      </c>
    </row>
    <row r="191" spans="2:13">
      <c r="B191" s="11">
        <f t="shared" si="13"/>
        <v>36494</v>
      </c>
      <c r="C191" s="11">
        <v>36465</v>
      </c>
      <c r="D191" s="13">
        <v>7.4220899726854297</v>
      </c>
      <c r="G191" s="27">
        <v>41885</v>
      </c>
      <c r="H191" s="26">
        <v>4.0999999999999996</v>
      </c>
      <c r="I191" s="26">
        <v>0.5</v>
      </c>
      <c r="J191" s="26">
        <v>3.9750000000000001</v>
      </c>
      <c r="K191" s="13">
        <f t="shared" si="11"/>
        <v>7.95</v>
      </c>
      <c r="L191" s="13">
        <f t="shared" si="12"/>
        <v>2</v>
      </c>
      <c r="M191" s="13">
        <f t="shared" si="14"/>
        <v>3.9750000000000001</v>
      </c>
    </row>
    <row r="192" spans="2:13">
      <c r="B192" s="11">
        <f t="shared" si="13"/>
        <v>36462</v>
      </c>
      <c r="C192" s="11">
        <v>36434</v>
      </c>
      <c r="D192" s="13">
        <v>7.4170138337306897</v>
      </c>
      <c r="G192" s="27">
        <v>41884</v>
      </c>
      <c r="H192" s="26">
        <v>4.0999999999999996</v>
      </c>
      <c r="I192" s="26">
        <v>0.5</v>
      </c>
      <c r="J192" s="26">
        <v>3.9750000000000001</v>
      </c>
      <c r="K192" s="13">
        <f t="shared" si="11"/>
        <v>3.9750000000000001</v>
      </c>
      <c r="L192" s="13">
        <f t="shared" si="12"/>
        <v>1</v>
      </c>
      <c r="M192" s="13">
        <f t="shared" si="14"/>
        <v>3.9750000000000001</v>
      </c>
    </row>
    <row r="193" spans="2:13">
      <c r="B193" s="11">
        <f t="shared" si="13"/>
        <v>36433</v>
      </c>
      <c r="C193" s="11">
        <v>36404</v>
      </c>
      <c r="D193" s="13">
        <v>7.4125988659590796</v>
      </c>
      <c r="G193" s="27">
        <v>41880</v>
      </c>
      <c r="H193" s="26">
        <v>4.0999999999999996</v>
      </c>
      <c r="I193" s="26">
        <v>0.5</v>
      </c>
      <c r="J193" s="26">
        <v>3.9750000000000001</v>
      </c>
      <c r="K193" s="13">
        <f t="shared" si="11"/>
        <v>84.059999999999974</v>
      </c>
      <c r="L193" s="13">
        <f t="shared" si="12"/>
        <v>21</v>
      </c>
      <c r="M193" s="13">
        <f t="shared" si="14"/>
        <v>4.0028571428571418</v>
      </c>
    </row>
    <row r="194" spans="2:13">
      <c r="B194" s="11">
        <f t="shared" si="13"/>
        <v>36403</v>
      </c>
      <c r="C194" s="11">
        <v>36373</v>
      </c>
      <c r="D194" s="13">
        <v>7.4095902251755899</v>
      </c>
      <c r="G194" s="27">
        <v>41879</v>
      </c>
      <c r="H194" s="26">
        <v>4.0999999999999996</v>
      </c>
      <c r="I194" s="26">
        <v>0.5</v>
      </c>
      <c r="J194" s="26">
        <v>3.9750000000000001</v>
      </c>
      <c r="K194" s="13">
        <f t="shared" si="11"/>
        <v>80.08499999999998</v>
      </c>
      <c r="L194" s="13">
        <f t="shared" si="12"/>
        <v>20</v>
      </c>
      <c r="M194" s="13">
        <f t="shared" si="14"/>
        <v>4.004249999999999</v>
      </c>
    </row>
    <row r="195" spans="2:13">
      <c r="B195" s="11">
        <f t="shared" si="13"/>
        <v>36371</v>
      </c>
      <c r="C195" s="11">
        <v>36342</v>
      </c>
      <c r="D195" s="13">
        <v>7.4127033466040499</v>
      </c>
      <c r="G195" s="27">
        <v>41878</v>
      </c>
      <c r="H195" s="26">
        <v>4.0999999999999996</v>
      </c>
      <c r="I195" s="26">
        <v>0.5</v>
      </c>
      <c r="J195" s="26">
        <v>3.9750000000000001</v>
      </c>
      <c r="K195" s="13">
        <f t="shared" si="11"/>
        <v>76.109999999999985</v>
      </c>
      <c r="L195" s="13">
        <f t="shared" si="12"/>
        <v>19</v>
      </c>
      <c r="M195" s="13">
        <f t="shared" si="14"/>
        <v>4.0057894736842101</v>
      </c>
    </row>
    <row r="196" spans="2:13">
      <c r="B196" s="11">
        <f t="shared" si="13"/>
        <v>36341</v>
      </c>
      <c r="C196" s="11">
        <v>36312</v>
      </c>
      <c r="D196" s="13">
        <v>7.4255880456726899</v>
      </c>
      <c r="G196" s="27">
        <v>41877</v>
      </c>
      <c r="H196" s="26">
        <v>4.0999999999999996</v>
      </c>
      <c r="I196" s="26">
        <v>0.5</v>
      </c>
      <c r="J196" s="26">
        <v>3.9750000000000001</v>
      </c>
      <c r="K196" s="13">
        <f t="shared" ref="K196:K259" si="15">IF(MONTH(G196)=MONTH(G197),J196+K197,J196)</f>
        <v>72.134999999999991</v>
      </c>
      <c r="L196" s="13">
        <f t="shared" ref="L196:L259" si="16">IF(MONTH(G196)=MONTH(G197),L197+1,1)</f>
        <v>18</v>
      </c>
      <c r="M196" s="13">
        <f t="shared" si="14"/>
        <v>4.0074999999999994</v>
      </c>
    </row>
    <row r="197" spans="2:13">
      <c r="B197" s="11">
        <f t="shared" ref="B197:B258" si="17">IF(WEEKDAY(DATE(YEAR(C197),MONTH(C197)+1,0),2)=6,DATE(YEAR(C197),MONTH(C197)+1,0)-1,IF(WEEKDAY(DATE(YEAR(C197),MONTH(C197)+1,0),2)=7,DATE(YEAR(C197),MONTH(C197)+1,0)-2,DATE(YEAR(C197),MONTH(C197)+1,0)))</f>
        <v>36311</v>
      </c>
      <c r="C197" s="11">
        <v>36281</v>
      </c>
      <c r="D197" s="13">
        <v>7.4441522318998299</v>
      </c>
      <c r="G197" s="27">
        <v>41876</v>
      </c>
      <c r="H197" s="26">
        <v>4.0999999999999996</v>
      </c>
      <c r="I197" s="26">
        <v>0.5</v>
      </c>
      <c r="J197" s="26">
        <v>3.9750000000000001</v>
      </c>
      <c r="K197" s="13">
        <f t="shared" si="15"/>
        <v>68.16</v>
      </c>
      <c r="L197" s="13">
        <f t="shared" si="16"/>
        <v>17</v>
      </c>
      <c r="M197" s="13">
        <f t="shared" ref="M197:M260" si="18">K197/L197</f>
        <v>4.0094117647058818</v>
      </c>
    </row>
    <row r="198" spans="2:13">
      <c r="B198" s="11">
        <f t="shared" si="17"/>
        <v>36280</v>
      </c>
      <c r="C198" s="11">
        <v>36251</v>
      </c>
      <c r="D198" s="13">
        <v>7.46584351301565</v>
      </c>
      <c r="G198" s="27">
        <v>41873</v>
      </c>
      <c r="H198" s="26">
        <v>4.0999999999999996</v>
      </c>
      <c r="I198" s="26">
        <v>0.5</v>
      </c>
      <c r="J198" s="26">
        <v>3.9750000000000001</v>
      </c>
      <c r="K198" s="13">
        <f t="shared" si="15"/>
        <v>64.185000000000002</v>
      </c>
      <c r="L198" s="13">
        <f t="shared" si="16"/>
        <v>16</v>
      </c>
      <c r="M198" s="13">
        <f t="shared" si="18"/>
        <v>4.0115625000000001</v>
      </c>
    </row>
    <row r="199" spans="2:13">
      <c r="B199" s="11">
        <f t="shared" si="17"/>
        <v>36250</v>
      </c>
      <c r="C199" s="11">
        <v>36220</v>
      </c>
      <c r="D199" s="13">
        <v>7.4945471518839897</v>
      </c>
      <c r="G199" s="27">
        <v>41872</v>
      </c>
      <c r="H199" s="26">
        <v>4.0999999999999996</v>
      </c>
      <c r="I199" s="26">
        <v>0.5</v>
      </c>
      <c r="J199" s="26">
        <v>3.9750000000000001</v>
      </c>
      <c r="K199" s="13">
        <f t="shared" si="15"/>
        <v>60.210000000000008</v>
      </c>
      <c r="L199" s="13">
        <f t="shared" si="16"/>
        <v>15</v>
      </c>
      <c r="M199" s="13">
        <f t="shared" si="18"/>
        <v>4.0140000000000002</v>
      </c>
    </row>
    <row r="200" spans="2:13">
      <c r="B200" s="11">
        <f t="shared" si="17"/>
        <v>36217</v>
      </c>
      <c r="C200" s="11">
        <v>36192</v>
      </c>
      <c r="D200" s="13">
        <v>7.52729769138067</v>
      </c>
      <c r="G200" s="27">
        <v>41871</v>
      </c>
      <c r="H200" s="26">
        <v>4.0999999999999996</v>
      </c>
      <c r="I200" s="26">
        <v>0.5</v>
      </c>
      <c r="J200" s="26">
        <v>3.9750000000000001</v>
      </c>
      <c r="K200" s="13">
        <f t="shared" si="15"/>
        <v>56.235000000000007</v>
      </c>
      <c r="L200" s="13">
        <f t="shared" si="16"/>
        <v>14</v>
      </c>
      <c r="M200" s="13">
        <f t="shared" si="18"/>
        <v>4.0167857142857146</v>
      </c>
    </row>
    <row r="201" spans="2:13">
      <c r="B201" s="11">
        <f t="shared" si="17"/>
        <v>36189</v>
      </c>
      <c r="C201" s="11">
        <v>36161</v>
      </c>
      <c r="D201" s="13">
        <v>7.56636232920075</v>
      </c>
      <c r="G201" s="27">
        <v>41870</v>
      </c>
      <c r="H201" s="26">
        <v>4.0999999999999996</v>
      </c>
      <c r="I201" s="26">
        <v>0.5</v>
      </c>
      <c r="J201" s="26">
        <v>3.9750000000000001</v>
      </c>
      <c r="K201" s="13">
        <f t="shared" si="15"/>
        <v>52.260000000000005</v>
      </c>
      <c r="L201" s="13">
        <f t="shared" si="16"/>
        <v>13</v>
      </c>
      <c r="M201" s="13">
        <f t="shared" si="18"/>
        <v>4.0200000000000005</v>
      </c>
    </row>
    <row r="202" spans="2:13">
      <c r="B202" s="11">
        <f t="shared" si="17"/>
        <v>36160</v>
      </c>
      <c r="C202" s="11">
        <v>36130</v>
      </c>
      <c r="D202" s="13">
        <v>7.6166725827848198</v>
      </c>
      <c r="G202" s="27">
        <v>41869</v>
      </c>
      <c r="H202" s="26">
        <v>4.0999999999999996</v>
      </c>
      <c r="I202" s="26">
        <v>0.5</v>
      </c>
      <c r="J202" s="26">
        <v>3.9750000000000001</v>
      </c>
      <c r="K202" s="13">
        <f t="shared" si="15"/>
        <v>48.285000000000004</v>
      </c>
      <c r="L202" s="13">
        <f t="shared" si="16"/>
        <v>12</v>
      </c>
      <c r="M202" s="13">
        <f t="shared" si="18"/>
        <v>4.0237500000000006</v>
      </c>
    </row>
    <row r="203" spans="2:13">
      <c r="B203" s="11">
        <f t="shared" si="17"/>
        <v>36129</v>
      </c>
      <c r="C203" s="11">
        <v>36100</v>
      </c>
      <c r="D203" s="13">
        <v>7.6690404267619199</v>
      </c>
      <c r="G203" s="27">
        <v>41866</v>
      </c>
      <c r="H203" s="26">
        <v>4.0999999999999996</v>
      </c>
      <c r="I203" s="26">
        <v>0.5</v>
      </c>
      <c r="J203" s="26">
        <v>3.9750000000000001</v>
      </c>
      <c r="K203" s="13">
        <f t="shared" si="15"/>
        <v>44.31</v>
      </c>
      <c r="L203" s="13">
        <f t="shared" si="16"/>
        <v>11</v>
      </c>
      <c r="M203" s="13">
        <f t="shared" si="18"/>
        <v>4.0281818181818183</v>
      </c>
    </row>
    <row r="204" spans="2:13">
      <c r="B204" s="11">
        <f t="shared" si="17"/>
        <v>36098</v>
      </c>
      <c r="C204" s="11">
        <v>36069</v>
      </c>
      <c r="D204" s="13">
        <v>7.7096326766398597</v>
      </c>
      <c r="G204" s="27">
        <v>41865</v>
      </c>
      <c r="H204" s="26">
        <v>4.0999999999999996</v>
      </c>
      <c r="I204" s="26">
        <v>0.5</v>
      </c>
      <c r="J204" s="26">
        <v>3.9750000000000001</v>
      </c>
      <c r="K204" s="13">
        <f t="shared" si="15"/>
        <v>40.335000000000001</v>
      </c>
      <c r="L204" s="13">
        <f t="shared" si="16"/>
        <v>10</v>
      </c>
      <c r="M204" s="13">
        <f t="shared" si="18"/>
        <v>4.0335000000000001</v>
      </c>
    </row>
    <row r="205" spans="2:13">
      <c r="B205" s="11">
        <f t="shared" si="17"/>
        <v>36068</v>
      </c>
      <c r="C205" s="11">
        <v>36039</v>
      </c>
      <c r="D205" s="13">
        <v>7.7431594941262798</v>
      </c>
      <c r="G205" s="27">
        <v>41864</v>
      </c>
      <c r="H205" s="26">
        <v>4.12</v>
      </c>
      <c r="I205" s="26">
        <v>0.6</v>
      </c>
      <c r="J205" s="26">
        <v>4.0199999999999996</v>
      </c>
      <c r="K205" s="13">
        <f t="shared" si="15"/>
        <v>36.36</v>
      </c>
      <c r="L205" s="13">
        <f t="shared" si="16"/>
        <v>9</v>
      </c>
      <c r="M205" s="13">
        <f t="shared" si="18"/>
        <v>4.04</v>
      </c>
    </row>
    <row r="206" spans="2:13">
      <c r="B206" s="11">
        <f t="shared" si="17"/>
        <v>36038</v>
      </c>
      <c r="C206" s="11">
        <v>36008</v>
      </c>
      <c r="D206" s="13">
        <v>7.77620795447001</v>
      </c>
      <c r="G206" s="27">
        <v>41863</v>
      </c>
      <c r="H206" s="26">
        <v>4.12</v>
      </c>
      <c r="I206" s="26">
        <v>0.6</v>
      </c>
      <c r="J206" s="26">
        <v>4.0199999999999996</v>
      </c>
      <c r="K206" s="13">
        <f t="shared" si="15"/>
        <v>32.340000000000003</v>
      </c>
      <c r="L206" s="13">
        <f t="shared" si="16"/>
        <v>8</v>
      </c>
      <c r="M206" s="13">
        <f t="shared" si="18"/>
        <v>4.0425000000000004</v>
      </c>
    </row>
    <row r="207" spans="2:13">
      <c r="B207" s="11">
        <f t="shared" si="17"/>
        <v>36007</v>
      </c>
      <c r="C207" s="11">
        <v>35977</v>
      </c>
      <c r="D207" s="13">
        <v>7.8081378821182703</v>
      </c>
      <c r="G207" s="27">
        <v>41862</v>
      </c>
      <c r="H207" s="26">
        <v>4.12</v>
      </c>
      <c r="I207" s="26">
        <v>0.6</v>
      </c>
      <c r="J207" s="26">
        <v>4.0199999999999996</v>
      </c>
      <c r="K207" s="13">
        <f t="shared" si="15"/>
        <v>28.32</v>
      </c>
      <c r="L207" s="13">
        <f t="shared" si="16"/>
        <v>7</v>
      </c>
      <c r="M207" s="13">
        <f t="shared" si="18"/>
        <v>4.0457142857142854</v>
      </c>
    </row>
    <row r="208" spans="2:13">
      <c r="B208" s="11">
        <f t="shared" si="17"/>
        <v>35976</v>
      </c>
      <c r="C208" s="11">
        <v>35947</v>
      </c>
      <c r="D208" s="13">
        <v>7.8409685491637902</v>
      </c>
      <c r="G208" s="27">
        <v>41859</v>
      </c>
      <c r="H208" s="26">
        <v>4.12</v>
      </c>
      <c r="I208" s="26">
        <v>0.6</v>
      </c>
      <c r="J208" s="26">
        <v>4.0199999999999996</v>
      </c>
      <c r="K208" s="13">
        <f t="shared" si="15"/>
        <v>24.3</v>
      </c>
      <c r="L208" s="13">
        <f t="shared" si="16"/>
        <v>6</v>
      </c>
      <c r="M208" s="13">
        <f t="shared" si="18"/>
        <v>4.05</v>
      </c>
    </row>
    <row r="209" spans="2:13">
      <c r="B209" s="11">
        <f t="shared" si="17"/>
        <v>35944</v>
      </c>
      <c r="C209" s="11">
        <v>35916</v>
      </c>
      <c r="D209" s="13">
        <v>7.8732501348460797</v>
      </c>
      <c r="G209" s="27">
        <v>41858</v>
      </c>
      <c r="H209" s="26">
        <v>4.12</v>
      </c>
      <c r="I209" s="26">
        <v>0.6</v>
      </c>
      <c r="J209" s="26">
        <v>4.0199999999999996</v>
      </c>
      <c r="K209" s="13">
        <f t="shared" si="15"/>
        <v>20.28</v>
      </c>
      <c r="L209" s="13">
        <f t="shared" si="16"/>
        <v>5</v>
      </c>
      <c r="M209" s="13">
        <f t="shared" si="18"/>
        <v>4.056</v>
      </c>
    </row>
    <row r="210" spans="2:13">
      <c r="B210" s="11">
        <f t="shared" si="17"/>
        <v>35915</v>
      </c>
      <c r="C210" s="11">
        <v>35886</v>
      </c>
      <c r="D210" s="13">
        <v>7.9091342123585902</v>
      </c>
      <c r="G210" s="27">
        <v>41857</v>
      </c>
      <c r="H210" s="26">
        <v>4.1399999999999997</v>
      </c>
      <c r="I210" s="26">
        <v>0.7</v>
      </c>
      <c r="J210" s="26">
        <v>4.0650000000000004</v>
      </c>
      <c r="K210" s="13">
        <f t="shared" si="15"/>
        <v>16.260000000000002</v>
      </c>
      <c r="L210" s="13">
        <f t="shared" si="16"/>
        <v>4</v>
      </c>
      <c r="M210" s="13">
        <f t="shared" si="18"/>
        <v>4.0650000000000004</v>
      </c>
    </row>
    <row r="211" spans="2:13">
      <c r="B211" s="11">
        <f t="shared" si="17"/>
        <v>35885</v>
      </c>
      <c r="C211" s="11">
        <v>35855</v>
      </c>
      <c r="D211" s="13">
        <v>7.9485791833034698</v>
      </c>
      <c r="G211" s="27">
        <v>41856</v>
      </c>
      <c r="H211" s="26">
        <v>4.1399999999999997</v>
      </c>
      <c r="I211" s="26">
        <v>0.7</v>
      </c>
      <c r="J211" s="26">
        <v>4.0650000000000004</v>
      </c>
      <c r="K211" s="13">
        <f t="shared" si="15"/>
        <v>12.195</v>
      </c>
      <c r="L211" s="13">
        <f t="shared" si="16"/>
        <v>3</v>
      </c>
      <c r="M211" s="13">
        <f t="shared" si="18"/>
        <v>4.0650000000000004</v>
      </c>
    </row>
    <row r="212" spans="2:13">
      <c r="B212" s="11">
        <f t="shared" si="17"/>
        <v>35853</v>
      </c>
      <c r="C212" s="11">
        <v>35827</v>
      </c>
      <c r="D212" s="13">
        <v>7.9803201067185503</v>
      </c>
      <c r="G212" s="27">
        <v>41855</v>
      </c>
      <c r="H212" s="26">
        <v>4.1399999999999997</v>
      </c>
      <c r="I212" s="26">
        <v>0.7</v>
      </c>
      <c r="J212" s="26">
        <v>4.0650000000000004</v>
      </c>
      <c r="K212" s="13">
        <f t="shared" si="15"/>
        <v>8.1300000000000008</v>
      </c>
      <c r="L212" s="13">
        <f t="shared" si="16"/>
        <v>2</v>
      </c>
      <c r="M212" s="13">
        <f t="shared" si="18"/>
        <v>4.0650000000000004</v>
      </c>
    </row>
    <row r="213" spans="2:13">
      <c r="B213" s="11">
        <f t="shared" si="17"/>
        <v>35825</v>
      </c>
      <c r="C213" s="11">
        <v>35796</v>
      </c>
      <c r="D213" s="13">
        <v>7.9997066256292397</v>
      </c>
      <c r="G213" s="27">
        <v>41852</v>
      </c>
      <c r="H213" s="26">
        <v>4.1399999999999997</v>
      </c>
      <c r="I213" s="26">
        <v>0.7</v>
      </c>
      <c r="J213" s="26">
        <v>4.0650000000000004</v>
      </c>
      <c r="K213" s="13">
        <f t="shared" si="15"/>
        <v>4.0650000000000004</v>
      </c>
      <c r="L213" s="13">
        <f t="shared" si="16"/>
        <v>1</v>
      </c>
      <c r="M213" s="13">
        <f t="shared" si="18"/>
        <v>4.0650000000000004</v>
      </c>
    </row>
    <row r="214" spans="2:13">
      <c r="B214" s="11">
        <f t="shared" si="17"/>
        <v>35795</v>
      </c>
      <c r="C214" s="11">
        <v>35765</v>
      </c>
      <c r="D214" s="13">
        <v>8.0168982544408696</v>
      </c>
      <c r="G214" s="27">
        <v>41851</v>
      </c>
      <c r="H214" s="26">
        <v>4.1399999999999997</v>
      </c>
      <c r="I214" s="26">
        <v>0.7</v>
      </c>
      <c r="J214" s="26">
        <v>4.0650000000000004</v>
      </c>
      <c r="K214" s="13">
        <f t="shared" si="15"/>
        <v>88.754999999999981</v>
      </c>
      <c r="L214" s="13">
        <f t="shared" si="16"/>
        <v>22</v>
      </c>
      <c r="M214" s="13">
        <f t="shared" si="18"/>
        <v>4.0343181818181808</v>
      </c>
    </row>
    <row r="215" spans="2:13">
      <c r="B215" s="11">
        <f t="shared" si="17"/>
        <v>35762</v>
      </c>
      <c r="C215" s="11">
        <v>35735</v>
      </c>
      <c r="D215" s="13">
        <v>8.0312505301911994</v>
      </c>
      <c r="G215" s="27">
        <v>41850</v>
      </c>
      <c r="H215" s="26">
        <v>4.12</v>
      </c>
      <c r="I215" s="26">
        <v>0.6</v>
      </c>
      <c r="J215" s="26">
        <v>4.0199999999999996</v>
      </c>
      <c r="K215" s="13">
        <f t="shared" si="15"/>
        <v>84.689999999999984</v>
      </c>
      <c r="L215" s="13">
        <f t="shared" si="16"/>
        <v>21</v>
      </c>
      <c r="M215" s="13">
        <f t="shared" si="18"/>
        <v>4.032857142857142</v>
      </c>
    </row>
    <row r="216" spans="2:13">
      <c r="B216" s="11">
        <f t="shared" si="17"/>
        <v>35734</v>
      </c>
      <c r="C216" s="11">
        <v>35704</v>
      </c>
      <c r="D216" s="13">
        <v>8.0433350462232394</v>
      </c>
      <c r="G216" s="27">
        <v>41849</v>
      </c>
      <c r="H216" s="26">
        <v>4.12</v>
      </c>
      <c r="I216" s="26">
        <v>0.6</v>
      </c>
      <c r="J216" s="26">
        <v>4.0199999999999996</v>
      </c>
      <c r="K216" s="13">
        <f t="shared" si="15"/>
        <v>80.669999999999987</v>
      </c>
      <c r="L216" s="13">
        <f t="shared" si="16"/>
        <v>20</v>
      </c>
      <c r="M216" s="13">
        <f t="shared" si="18"/>
        <v>4.0334999999999992</v>
      </c>
    </row>
    <row r="217" spans="2:13">
      <c r="B217" s="11">
        <f t="shared" si="17"/>
        <v>35703</v>
      </c>
      <c r="C217" s="11">
        <v>35674</v>
      </c>
      <c r="D217" s="13">
        <v>8.05374715081118</v>
      </c>
      <c r="G217" s="27">
        <v>41848</v>
      </c>
      <c r="H217" s="26">
        <v>4.12</v>
      </c>
      <c r="I217" s="26">
        <v>0.6</v>
      </c>
      <c r="J217" s="26">
        <v>4.0199999999999996</v>
      </c>
      <c r="K217" s="13">
        <f t="shared" si="15"/>
        <v>76.649999999999991</v>
      </c>
      <c r="L217" s="13">
        <f t="shared" si="16"/>
        <v>19</v>
      </c>
      <c r="M217" s="13">
        <f t="shared" si="18"/>
        <v>4.034210526315789</v>
      </c>
    </row>
    <row r="218" spans="2:13">
      <c r="B218" s="11">
        <f t="shared" si="17"/>
        <v>35671</v>
      </c>
      <c r="C218" s="11">
        <v>35643</v>
      </c>
      <c r="D218" s="13">
        <v>8.0614786803101008</v>
      </c>
      <c r="G218" s="27">
        <v>41845</v>
      </c>
      <c r="H218" s="26">
        <v>4.12</v>
      </c>
      <c r="I218" s="26">
        <v>0.6</v>
      </c>
      <c r="J218" s="26">
        <v>4.0199999999999996</v>
      </c>
      <c r="K218" s="13">
        <f t="shared" si="15"/>
        <v>72.63</v>
      </c>
      <c r="L218" s="13">
        <f t="shared" si="16"/>
        <v>18</v>
      </c>
      <c r="M218" s="13">
        <f t="shared" si="18"/>
        <v>4.0350000000000001</v>
      </c>
    </row>
    <row r="219" spans="2:13">
      <c r="B219" s="11">
        <f t="shared" si="17"/>
        <v>35642</v>
      </c>
      <c r="C219" s="11">
        <v>35612</v>
      </c>
      <c r="D219" s="13">
        <v>8.0655126131371695</v>
      </c>
      <c r="G219" s="27">
        <v>41844</v>
      </c>
      <c r="H219" s="26">
        <v>4.12</v>
      </c>
      <c r="I219" s="26">
        <v>0.6</v>
      </c>
      <c r="J219" s="26">
        <v>4.0199999999999996</v>
      </c>
      <c r="K219" s="13">
        <f t="shared" si="15"/>
        <v>68.61</v>
      </c>
      <c r="L219" s="13">
        <f t="shared" si="16"/>
        <v>17</v>
      </c>
      <c r="M219" s="13">
        <f t="shared" si="18"/>
        <v>4.0358823529411767</v>
      </c>
    </row>
    <row r="220" spans="2:13">
      <c r="B220" s="11">
        <f t="shared" si="17"/>
        <v>35611</v>
      </c>
      <c r="C220" s="11">
        <v>35582</v>
      </c>
      <c r="D220" s="13">
        <v>8.0664511246862194</v>
      </c>
      <c r="G220" s="27">
        <v>41843</v>
      </c>
      <c r="H220" s="26">
        <v>4.13</v>
      </c>
      <c r="I220" s="26">
        <v>0.6</v>
      </c>
      <c r="J220" s="26">
        <v>4.03</v>
      </c>
      <c r="K220" s="13">
        <f t="shared" si="15"/>
        <v>64.59</v>
      </c>
      <c r="L220" s="13">
        <f t="shared" si="16"/>
        <v>16</v>
      </c>
      <c r="M220" s="13">
        <f t="shared" si="18"/>
        <v>4.0368750000000002</v>
      </c>
    </row>
    <row r="221" spans="2:13">
      <c r="B221" s="11">
        <f t="shared" si="17"/>
        <v>35580</v>
      </c>
      <c r="C221" s="11">
        <v>35551</v>
      </c>
      <c r="D221" s="13">
        <v>8.0670902971413891</v>
      </c>
      <c r="G221" s="27">
        <v>41842</v>
      </c>
      <c r="H221" s="26">
        <v>4.13</v>
      </c>
      <c r="I221" s="26">
        <v>0.6</v>
      </c>
      <c r="J221" s="26">
        <v>4.03</v>
      </c>
      <c r="K221" s="13">
        <f t="shared" si="15"/>
        <v>60.560000000000009</v>
      </c>
      <c r="L221" s="13">
        <f t="shared" si="16"/>
        <v>15</v>
      </c>
      <c r="M221" s="13">
        <f t="shared" si="18"/>
        <v>4.0373333333333337</v>
      </c>
    </row>
    <row r="222" spans="2:13">
      <c r="B222" s="11">
        <f t="shared" si="17"/>
        <v>35550</v>
      </c>
      <c r="C222" s="11">
        <v>35521</v>
      </c>
      <c r="D222" s="13">
        <v>8.0696033799975702</v>
      </c>
      <c r="G222" s="27">
        <v>41841</v>
      </c>
      <c r="H222" s="26">
        <v>4.13</v>
      </c>
      <c r="I222" s="26">
        <v>0.6</v>
      </c>
      <c r="J222" s="26">
        <v>4.03</v>
      </c>
      <c r="K222" s="13">
        <f t="shared" si="15"/>
        <v>56.530000000000008</v>
      </c>
      <c r="L222" s="13">
        <f t="shared" si="16"/>
        <v>14</v>
      </c>
      <c r="M222" s="13">
        <f t="shared" si="18"/>
        <v>4.0378571428571437</v>
      </c>
    </row>
    <row r="223" spans="2:13">
      <c r="B223" s="11">
        <f t="shared" si="17"/>
        <v>35520</v>
      </c>
      <c r="C223" s="11">
        <v>35490</v>
      </c>
      <c r="D223" s="13">
        <v>8.0735178715643201</v>
      </c>
      <c r="G223" s="27">
        <v>41838</v>
      </c>
      <c r="H223" s="26">
        <v>4.13</v>
      </c>
      <c r="I223" s="26">
        <v>0.6</v>
      </c>
      <c r="J223" s="26">
        <v>4.03</v>
      </c>
      <c r="K223" s="13">
        <f t="shared" si="15"/>
        <v>52.500000000000007</v>
      </c>
      <c r="L223" s="13">
        <f t="shared" si="16"/>
        <v>13</v>
      </c>
      <c r="M223" s="13">
        <f t="shared" si="18"/>
        <v>4.0384615384615392</v>
      </c>
    </row>
    <row r="224" spans="2:13">
      <c r="B224" s="11">
        <f t="shared" si="17"/>
        <v>35489</v>
      </c>
      <c r="C224" s="11">
        <v>35462</v>
      </c>
      <c r="D224" s="13">
        <v>8.0774040648105103</v>
      </c>
      <c r="G224" s="27">
        <v>41837</v>
      </c>
      <c r="H224" s="26">
        <v>4.13</v>
      </c>
      <c r="I224" s="26">
        <v>0.6</v>
      </c>
      <c r="J224" s="26">
        <v>4.03</v>
      </c>
      <c r="K224" s="13">
        <f t="shared" si="15"/>
        <v>48.470000000000006</v>
      </c>
      <c r="L224" s="13">
        <f t="shared" si="16"/>
        <v>12</v>
      </c>
      <c r="M224" s="13">
        <f t="shared" si="18"/>
        <v>4.0391666666666675</v>
      </c>
    </row>
    <row r="225" spans="2:13">
      <c r="B225" s="11">
        <f t="shared" si="17"/>
        <v>35461</v>
      </c>
      <c r="C225" s="11">
        <v>35431</v>
      </c>
      <c r="D225" s="13">
        <v>8.0825292023912692</v>
      </c>
      <c r="G225" s="27">
        <v>41836</v>
      </c>
      <c r="H225" s="26">
        <v>4.13</v>
      </c>
      <c r="I225" s="26">
        <v>0.6</v>
      </c>
      <c r="J225" s="26">
        <v>4.03</v>
      </c>
      <c r="K225" s="13">
        <f t="shared" si="15"/>
        <v>44.440000000000005</v>
      </c>
      <c r="L225" s="13">
        <f t="shared" si="16"/>
        <v>11</v>
      </c>
      <c r="M225" s="13">
        <f t="shared" si="18"/>
        <v>4.04</v>
      </c>
    </row>
    <row r="226" spans="2:13">
      <c r="B226" s="11">
        <f t="shared" si="17"/>
        <v>35430</v>
      </c>
      <c r="C226" s="11">
        <v>35400</v>
      </c>
      <c r="D226" s="13">
        <v>8.0873620934182995</v>
      </c>
      <c r="G226" s="27">
        <v>41835</v>
      </c>
      <c r="H226" s="26">
        <v>4.13</v>
      </c>
      <c r="I226" s="26">
        <v>0.6</v>
      </c>
      <c r="J226" s="26">
        <v>4.03</v>
      </c>
      <c r="K226" s="13">
        <f t="shared" si="15"/>
        <v>40.410000000000004</v>
      </c>
      <c r="L226" s="13">
        <f t="shared" si="16"/>
        <v>10</v>
      </c>
      <c r="M226" s="13">
        <f t="shared" si="18"/>
        <v>4.0410000000000004</v>
      </c>
    </row>
    <row r="227" spans="2:13">
      <c r="B227" s="11">
        <f t="shared" si="17"/>
        <v>35398</v>
      </c>
      <c r="C227" s="11">
        <v>35370</v>
      </c>
      <c r="D227" s="13">
        <v>8.0889297010211898</v>
      </c>
      <c r="G227" s="27">
        <v>41834</v>
      </c>
      <c r="H227" s="26">
        <v>4.13</v>
      </c>
      <c r="I227" s="26">
        <v>0.6</v>
      </c>
      <c r="J227" s="26">
        <v>4.03</v>
      </c>
      <c r="K227" s="13">
        <f t="shared" si="15"/>
        <v>36.380000000000003</v>
      </c>
      <c r="L227" s="13">
        <f t="shared" si="16"/>
        <v>9</v>
      </c>
      <c r="M227" s="13">
        <f t="shared" si="18"/>
        <v>4.0422222222222226</v>
      </c>
    </row>
    <row r="228" spans="2:13">
      <c r="B228" s="11">
        <f t="shared" si="17"/>
        <v>35369</v>
      </c>
      <c r="C228" s="11">
        <v>35339</v>
      </c>
      <c r="D228" s="13">
        <v>8.0886018301222595</v>
      </c>
      <c r="G228" s="27">
        <v>41831</v>
      </c>
      <c r="H228" s="26">
        <v>4.13</v>
      </c>
      <c r="I228" s="26">
        <v>0.6</v>
      </c>
      <c r="J228" s="26">
        <v>4.03</v>
      </c>
      <c r="K228" s="13">
        <f t="shared" si="15"/>
        <v>32.35</v>
      </c>
      <c r="L228" s="13">
        <f t="shared" si="16"/>
        <v>8</v>
      </c>
      <c r="M228" s="13">
        <f t="shared" si="18"/>
        <v>4.0437500000000002</v>
      </c>
    </row>
    <row r="229" spans="2:13">
      <c r="B229" s="11">
        <f t="shared" si="17"/>
        <v>35338</v>
      </c>
      <c r="C229" s="11">
        <v>35309</v>
      </c>
      <c r="D229" s="13">
        <v>8.0877681077936998</v>
      </c>
      <c r="G229" s="27">
        <v>41830</v>
      </c>
      <c r="H229" s="26">
        <v>4.13</v>
      </c>
      <c r="I229" s="26">
        <v>0.6</v>
      </c>
      <c r="J229" s="26">
        <v>4.03</v>
      </c>
      <c r="K229" s="13">
        <f t="shared" si="15"/>
        <v>28.32</v>
      </c>
      <c r="L229" s="13">
        <f t="shared" si="16"/>
        <v>7</v>
      </c>
      <c r="M229" s="13">
        <f t="shared" si="18"/>
        <v>4.0457142857142854</v>
      </c>
    </row>
    <row r="230" spans="2:13">
      <c r="B230" s="11">
        <f t="shared" si="17"/>
        <v>35307</v>
      </c>
      <c r="C230" s="11">
        <v>35278</v>
      </c>
      <c r="D230" s="13">
        <v>8.0841885463758203</v>
      </c>
      <c r="G230" s="27">
        <v>41829</v>
      </c>
      <c r="H230" s="26">
        <v>4.1500000000000004</v>
      </c>
      <c r="I230" s="26">
        <v>0.7</v>
      </c>
      <c r="J230" s="26">
        <v>4.0750000000000002</v>
      </c>
      <c r="K230" s="13">
        <f t="shared" si="15"/>
        <v>24.29</v>
      </c>
      <c r="L230" s="13">
        <f t="shared" si="16"/>
        <v>6</v>
      </c>
      <c r="M230" s="13">
        <f t="shared" si="18"/>
        <v>4.0483333333333329</v>
      </c>
    </row>
    <row r="231" spans="2:13">
      <c r="B231" s="11">
        <f t="shared" si="17"/>
        <v>35277</v>
      </c>
      <c r="C231" s="11">
        <v>35247</v>
      </c>
      <c r="D231" s="13">
        <v>8.0829929403002101</v>
      </c>
      <c r="G231" s="27">
        <v>41828</v>
      </c>
      <c r="H231" s="26">
        <v>4.1500000000000004</v>
      </c>
      <c r="I231" s="26">
        <v>0.7</v>
      </c>
      <c r="J231" s="26">
        <v>4.0750000000000002</v>
      </c>
      <c r="K231" s="13">
        <f t="shared" si="15"/>
        <v>20.215</v>
      </c>
      <c r="L231" s="13">
        <f t="shared" si="16"/>
        <v>5</v>
      </c>
      <c r="M231" s="13">
        <f t="shared" si="18"/>
        <v>4.0430000000000001</v>
      </c>
    </row>
    <row r="232" spans="2:13">
      <c r="B232" s="11">
        <f t="shared" si="17"/>
        <v>35244</v>
      </c>
      <c r="C232" s="11">
        <v>35217</v>
      </c>
      <c r="D232" s="13">
        <v>8.0841832422707895</v>
      </c>
      <c r="G232" s="27">
        <v>41827</v>
      </c>
      <c r="H232" s="26">
        <v>4.1500000000000004</v>
      </c>
      <c r="I232" s="26">
        <v>0.7</v>
      </c>
      <c r="J232" s="26">
        <v>4.0750000000000002</v>
      </c>
      <c r="K232" s="13">
        <f t="shared" si="15"/>
        <v>16.14</v>
      </c>
      <c r="L232" s="13">
        <f t="shared" si="16"/>
        <v>4</v>
      </c>
      <c r="M232" s="13">
        <f t="shared" si="18"/>
        <v>4.0350000000000001</v>
      </c>
    </row>
    <row r="233" spans="2:13">
      <c r="B233" s="11">
        <f t="shared" si="17"/>
        <v>35216</v>
      </c>
      <c r="C233" s="11">
        <v>35186</v>
      </c>
      <c r="D233" s="13">
        <v>8.0904136506117297</v>
      </c>
      <c r="G233" s="27">
        <v>41823</v>
      </c>
      <c r="H233" s="26">
        <v>4.1500000000000004</v>
      </c>
      <c r="I233" s="26">
        <v>0.7</v>
      </c>
      <c r="J233" s="26">
        <v>4.0750000000000002</v>
      </c>
      <c r="K233" s="13">
        <f t="shared" si="15"/>
        <v>12.065000000000001</v>
      </c>
      <c r="L233" s="13">
        <f t="shared" si="16"/>
        <v>3</v>
      </c>
      <c r="M233" s="13">
        <f t="shared" si="18"/>
        <v>4.0216666666666674</v>
      </c>
    </row>
    <row r="234" spans="2:13">
      <c r="B234" s="11">
        <f t="shared" si="17"/>
        <v>35185</v>
      </c>
      <c r="C234" s="11">
        <v>35156</v>
      </c>
      <c r="D234" s="13">
        <v>8.1049924404683207</v>
      </c>
      <c r="G234" s="27">
        <v>41822</v>
      </c>
      <c r="H234" s="26">
        <v>4.12</v>
      </c>
      <c r="I234" s="26">
        <v>0.5</v>
      </c>
      <c r="J234" s="26">
        <v>3.9950000000000001</v>
      </c>
      <c r="K234" s="13">
        <f t="shared" si="15"/>
        <v>7.99</v>
      </c>
      <c r="L234" s="13">
        <f t="shared" si="16"/>
        <v>2</v>
      </c>
      <c r="M234" s="13">
        <f t="shared" si="18"/>
        <v>3.9950000000000001</v>
      </c>
    </row>
    <row r="235" spans="2:13">
      <c r="B235" s="11">
        <f t="shared" si="17"/>
        <v>35153</v>
      </c>
      <c r="C235" s="11">
        <v>35125</v>
      </c>
      <c r="D235" s="13">
        <v>8.1274231837145994</v>
      </c>
      <c r="G235" s="27">
        <v>41821</v>
      </c>
      <c r="H235" s="26">
        <v>4.12</v>
      </c>
      <c r="I235" s="26">
        <v>0.5</v>
      </c>
      <c r="J235" s="26">
        <v>3.9950000000000001</v>
      </c>
      <c r="K235" s="13">
        <f t="shared" si="15"/>
        <v>3.9950000000000001</v>
      </c>
      <c r="L235" s="13">
        <f t="shared" si="16"/>
        <v>1</v>
      </c>
      <c r="M235" s="13">
        <f t="shared" si="18"/>
        <v>3.9950000000000001</v>
      </c>
    </row>
    <row r="236" spans="2:13">
      <c r="B236" s="11">
        <f t="shared" si="17"/>
        <v>35124</v>
      </c>
      <c r="C236" s="11">
        <v>35096</v>
      </c>
      <c r="D236" s="13">
        <v>8.1512713104782897</v>
      </c>
      <c r="G236" s="27">
        <v>41820</v>
      </c>
      <c r="H236" s="26">
        <v>4.12</v>
      </c>
      <c r="I236" s="26">
        <v>0.5</v>
      </c>
      <c r="J236" s="26">
        <v>3.9950000000000001</v>
      </c>
      <c r="K236" s="13">
        <f t="shared" si="15"/>
        <v>84.955000000000013</v>
      </c>
      <c r="L236" s="13">
        <f t="shared" si="16"/>
        <v>21</v>
      </c>
      <c r="M236" s="13">
        <f t="shared" si="18"/>
        <v>4.0454761904761911</v>
      </c>
    </row>
    <row r="237" spans="2:13">
      <c r="B237" s="11">
        <f t="shared" si="17"/>
        <v>35095</v>
      </c>
      <c r="C237" s="11">
        <v>35065</v>
      </c>
      <c r="D237" s="13">
        <v>8.1711165786410405</v>
      </c>
      <c r="G237" s="27">
        <v>41817</v>
      </c>
      <c r="H237" s="26">
        <v>4.12</v>
      </c>
      <c r="I237" s="26">
        <v>0.5</v>
      </c>
      <c r="J237" s="26">
        <v>3.9950000000000001</v>
      </c>
      <c r="K237" s="13">
        <f t="shared" si="15"/>
        <v>80.960000000000008</v>
      </c>
      <c r="L237" s="13">
        <f t="shared" si="16"/>
        <v>20</v>
      </c>
      <c r="M237" s="13">
        <f t="shared" si="18"/>
        <v>4.048</v>
      </c>
    </row>
    <row r="238" spans="2:13">
      <c r="B238" s="11">
        <f t="shared" si="17"/>
        <v>35062</v>
      </c>
      <c r="C238" s="11">
        <v>35034</v>
      </c>
      <c r="D238" s="13">
        <v>8.1876020349072096</v>
      </c>
      <c r="G238" s="27">
        <v>41816</v>
      </c>
      <c r="H238" s="26">
        <v>4.12</v>
      </c>
      <c r="I238" s="26">
        <v>0.5</v>
      </c>
      <c r="J238" s="26">
        <v>3.9950000000000001</v>
      </c>
      <c r="K238" s="13">
        <f t="shared" si="15"/>
        <v>76.965000000000003</v>
      </c>
      <c r="L238" s="13">
        <f t="shared" si="16"/>
        <v>19</v>
      </c>
      <c r="M238" s="13">
        <f t="shared" si="18"/>
        <v>4.0507894736842109</v>
      </c>
    </row>
    <row r="239" spans="2:13">
      <c r="B239" s="11">
        <f t="shared" si="17"/>
        <v>35033</v>
      </c>
      <c r="C239" s="11">
        <v>35004</v>
      </c>
      <c r="D239" s="13">
        <v>8.2028633813301806</v>
      </c>
      <c r="G239" s="27">
        <v>41815</v>
      </c>
      <c r="H239" s="26">
        <v>4.1399999999999997</v>
      </c>
      <c r="I239" s="26">
        <v>0.5</v>
      </c>
      <c r="J239" s="26">
        <v>4.0149999999999997</v>
      </c>
      <c r="K239" s="13">
        <f t="shared" si="15"/>
        <v>72.97</v>
      </c>
      <c r="L239" s="13">
        <f t="shared" si="16"/>
        <v>18</v>
      </c>
      <c r="M239" s="13">
        <f t="shared" si="18"/>
        <v>4.0538888888888884</v>
      </c>
    </row>
    <row r="240" spans="2:13">
      <c r="B240" s="11">
        <f t="shared" si="17"/>
        <v>35003</v>
      </c>
      <c r="C240" s="11">
        <v>34973</v>
      </c>
      <c r="D240" s="13">
        <v>8.2147088187470398</v>
      </c>
      <c r="G240" s="27">
        <v>41814</v>
      </c>
      <c r="H240" s="26">
        <v>4.1399999999999997</v>
      </c>
      <c r="I240" s="26">
        <v>0.5</v>
      </c>
      <c r="J240" s="26">
        <v>4.0149999999999997</v>
      </c>
      <c r="K240" s="13">
        <f t="shared" si="15"/>
        <v>68.954999999999998</v>
      </c>
      <c r="L240" s="13">
        <f t="shared" si="16"/>
        <v>17</v>
      </c>
      <c r="M240" s="13">
        <f t="shared" si="18"/>
        <v>4.0561764705882348</v>
      </c>
    </row>
    <row r="241" spans="2:13">
      <c r="B241" s="11">
        <f t="shared" si="17"/>
        <v>34971</v>
      </c>
      <c r="C241" s="11">
        <v>34943</v>
      </c>
      <c r="D241" s="13">
        <v>8.2246710407407093</v>
      </c>
      <c r="G241" s="27">
        <v>41813</v>
      </c>
      <c r="H241" s="26">
        <v>4.1399999999999997</v>
      </c>
      <c r="I241" s="26">
        <v>0.5</v>
      </c>
      <c r="J241" s="26">
        <v>4.0149999999999997</v>
      </c>
      <c r="K241" s="13">
        <f t="shared" si="15"/>
        <v>64.94</v>
      </c>
      <c r="L241" s="13">
        <f t="shared" si="16"/>
        <v>16</v>
      </c>
      <c r="M241" s="13">
        <f t="shared" si="18"/>
        <v>4.0587499999999999</v>
      </c>
    </row>
    <row r="242" spans="2:13">
      <c r="B242" s="11">
        <f t="shared" si="17"/>
        <v>34942</v>
      </c>
      <c r="C242" s="11">
        <v>34912</v>
      </c>
      <c r="D242" s="13">
        <v>8.2373980883445892</v>
      </c>
      <c r="G242" s="27">
        <v>41810</v>
      </c>
      <c r="H242" s="26">
        <v>4.1399999999999997</v>
      </c>
      <c r="I242" s="26">
        <v>0.5</v>
      </c>
      <c r="J242" s="26">
        <v>4.0149999999999997</v>
      </c>
      <c r="K242" s="13">
        <f t="shared" si="15"/>
        <v>60.925000000000004</v>
      </c>
      <c r="L242" s="13">
        <f t="shared" si="16"/>
        <v>15</v>
      </c>
      <c r="M242" s="13">
        <f t="shared" si="18"/>
        <v>4.0616666666666665</v>
      </c>
    </row>
    <row r="243" spans="2:13">
      <c r="B243" s="11">
        <f t="shared" si="17"/>
        <v>34911</v>
      </c>
      <c r="C243" s="11">
        <v>34881</v>
      </c>
      <c r="D243" s="13">
        <v>8.2495432651499403</v>
      </c>
      <c r="G243" s="27">
        <v>41809</v>
      </c>
      <c r="H243" s="26">
        <v>4.1399999999999997</v>
      </c>
      <c r="I243" s="26">
        <v>0.5</v>
      </c>
      <c r="J243" s="26">
        <v>4.0149999999999997</v>
      </c>
      <c r="K243" s="13">
        <f t="shared" si="15"/>
        <v>56.910000000000004</v>
      </c>
      <c r="L243" s="13">
        <f t="shared" si="16"/>
        <v>14</v>
      </c>
      <c r="M243" s="13">
        <f t="shared" si="18"/>
        <v>4.0650000000000004</v>
      </c>
    </row>
    <row r="244" spans="2:13">
      <c r="B244" s="11">
        <f t="shared" si="17"/>
        <v>34880</v>
      </c>
      <c r="C244" s="11">
        <v>34851</v>
      </c>
      <c r="D244" s="13">
        <v>8.2540363033744004</v>
      </c>
      <c r="G244" s="27">
        <v>41808</v>
      </c>
      <c r="H244" s="26">
        <v>4.17</v>
      </c>
      <c r="I244" s="26">
        <v>0.6</v>
      </c>
      <c r="J244" s="26">
        <v>4.07</v>
      </c>
      <c r="K244" s="13">
        <f t="shared" si="15"/>
        <v>52.895000000000003</v>
      </c>
      <c r="L244" s="13">
        <f t="shared" si="16"/>
        <v>13</v>
      </c>
      <c r="M244" s="13">
        <f t="shared" si="18"/>
        <v>4.0688461538461542</v>
      </c>
    </row>
    <row r="245" spans="2:13">
      <c r="B245" s="11">
        <f t="shared" si="17"/>
        <v>34850</v>
      </c>
      <c r="C245" s="11">
        <v>34820</v>
      </c>
      <c r="D245" s="13">
        <v>8.2518091429982494</v>
      </c>
      <c r="G245" s="27">
        <v>41807</v>
      </c>
      <c r="H245" s="26">
        <v>4.17</v>
      </c>
      <c r="I245" s="26">
        <v>0.6</v>
      </c>
      <c r="J245" s="26">
        <v>4.07</v>
      </c>
      <c r="K245" s="13">
        <f t="shared" si="15"/>
        <v>48.825000000000003</v>
      </c>
      <c r="L245" s="13">
        <f t="shared" si="16"/>
        <v>12</v>
      </c>
      <c r="M245" s="13">
        <f t="shared" si="18"/>
        <v>4.0687500000000005</v>
      </c>
    </row>
    <row r="246" spans="2:13">
      <c r="B246" s="11">
        <f t="shared" si="17"/>
        <v>34817</v>
      </c>
      <c r="C246" s="11">
        <v>34790</v>
      </c>
      <c r="D246" s="13">
        <v>8.2470580977929693</v>
      </c>
      <c r="G246" s="27">
        <v>41806</v>
      </c>
      <c r="H246" s="26">
        <v>4.17</v>
      </c>
      <c r="I246" s="26">
        <v>0.6</v>
      </c>
      <c r="J246" s="26">
        <v>4.07</v>
      </c>
      <c r="K246" s="13">
        <f t="shared" si="15"/>
        <v>44.755000000000003</v>
      </c>
      <c r="L246" s="13">
        <f t="shared" si="16"/>
        <v>11</v>
      </c>
      <c r="M246" s="13">
        <f t="shared" si="18"/>
        <v>4.0686363636363643</v>
      </c>
    </row>
    <row r="247" spans="2:13">
      <c r="B247" s="11">
        <f t="shared" si="17"/>
        <v>34789</v>
      </c>
      <c r="C247" s="11">
        <v>34759</v>
      </c>
      <c r="D247" s="13">
        <v>8.2420843433986395</v>
      </c>
      <c r="G247" s="27">
        <v>41803</v>
      </c>
      <c r="H247" s="26">
        <v>4.17</v>
      </c>
      <c r="I247" s="26">
        <v>0.6</v>
      </c>
      <c r="J247" s="26">
        <v>4.07</v>
      </c>
      <c r="K247" s="13">
        <f t="shared" si="15"/>
        <v>40.685000000000002</v>
      </c>
      <c r="L247" s="13">
        <f t="shared" si="16"/>
        <v>10</v>
      </c>
      <c r="M247" s="13">
        <f t="shared" si="18"/>
        <v>4.0685000000000002</v>
      </c>
    </row>
    <row r="248" spans="2:13">
      <c r="B248" s="11">
        <f t="shared" si="17"/>
        <v>34758</v>
      </c>
      <c r="C248" s="11">
        <v>34731</v>
      </c>
      <c r="D248" s="13">
        <v>8.2385757623650697</v>
      </c>
      <c r="G248" s="27">
        <v>41802</v>
      </c>
      <c r="H248" s="26">
        <v>4.17</v>
      </c>
      <c r="I248" s="26">
        <v>0.6</v>
      </c>
      <c r="J248" s="26">
        <v>4.07</v>
      </c>
      <c r="K248" s="13">
        <f t="shared" si="15"/>
        <v>36.615000000000002</v>
      </c>
      <c r="L248" s="13">
        <f t="shared" si="16"/>
        <v>9</v>
      </c>
      <c r="M248" s="13">
        <f t="shared" si="18"/>
        <v>4.0683333333333334</v>
      </c>
    </row>
    <row r="249" spans="2:13">
      <c r="B249" s="11">
        <f t="shared" si="17"/>
        <v>34730</v>
      </c>
      <c r="C249" s="11">
        <v>34700</v>
      </c>
      <c r="D249" s="13">
        <v>8.23275962022994</v>
      </c>
      <c r="G249" s="27">
        <v>41801</v>
      </c>
      <c r="H249" s="26">
        <v>4.2</v>
      </c>
      <c r="I249" s="26">
        <v>0.6</v>
      </c>
      <c r="J249" s="26">
        <v>4.0999999999999996</v>
      </c>
      <c r="K249" s="13">
        <f t="shared" si="15"/>
        <v>32.545000000000002</v>
      </c>
      <c r="L249" s="13">
        <f t="shared" si="16"/>
        <v>8</v>
      </c>
      <c r="M249" s="13">
        <f t="shared" si="18"/>
        <v>4.0681250000000002</v>
      </c>
    </row>
    <row r="250" spans="2:13">
      <c r="B250" s="11">
        <f t="shared" si="17"/>
        <v>34698</v>
      </c>
      <c r="C250" s="11">
        <v>34669</v>
      </c>
      <c r="D250" s="13">
        <v>8.2264533449518904</v>
      </c>
      <c r="G250" s="27">
        <v>41800</v>
      </c>
      <c r="H250" s="26">
        <v>4.2</v>
      </c>
      <c r="I250" s="26">
        <v>0.6</v>
      </c>
      <c r="J250" s="26">
        <v>4.0999999999999996</v>
      </c>
      <c r="K250" s="13">
        <f t="shared" si="15"/>
        <v>28.445</v>
      </c>
      <c r="L250" s="13">
        <f t="shared" si="16"/>
        <v>7</v>
      </c>
      <c r="M250" s="13">
        <f t="shared" si="18"/>
        <v>4.0635714285714286</v>
      </c>
    </row>
    <row r="251" spans="2:13">
      <c r="B251" s="11">
        <f t="shared" si="17"/>
        <v>34668</v>
      </c>
      <c r="C251" s="11">
        <v>34639</v>
      </c>
      <c r="D251" s="13">
        <v>8.2197433009495899</v>
      </c>
      <c r="G251" s="27">
        <v>41799</v>
      </c>
      <c r="H251" s="26">
        <v>4.2</v>
      </c>
      <c r="I251" s="26">
        <v>0.6</v>
      </c>
      <c r="J251" s="26">
        <v>4.0999999999999996</v>
      </c>
      <c r="K251" s="13">
        <f t="shared" si="15"/>
        <v>24.344999999999999</v>
      </c>
      <c r="L251" s="13">
        <f t="shared" si="16"/>
        <v>6</v>
      </c>
      <c r="M251" s="13">
        <f t="shared" si="18"/>
        <v>4.0575000000000001</v>
      </c>
    </row>
    <row r="252" spans="2:13">
      <c r="B252" s="11">
        <f t="shared" si="17"/>
        <v>34638</v>
      </c>
      <c r="C252" s="11">
        <v>34608</v>
      </c>
      <c r="D252" s="13">
        <v>8.2146633475349695</v>
      </c>
      <c r="G252" s="27">
        <v>41796</v>
      </c>
      <c r="H252" s="26">
        <v>4.2</v>
      </c>
      <c r="I252" s="26">
        <v>0.6</v>
      </c>
      <c r="J252" s="26">
        <v>4.0999999999999996</v>
      </c>
      <c r="K252" s="13">
        <f t="shared" si="15"/>
        <v>20.244999999999997</v>
      </c>
      <c r="L252" s="13">
        <f t="shared" si="16"/>
        <v>5</v>
      </c>
      <c r="M252" s="13">
        <f t="shared" si="18"/>
        <v>4.0489999999999995</v>
      </c>
    </row>
    <row r="253" spans="2:13">
      <c r="B253" s="11">
        <f t="shared" si="17"/>
        <v>34607</v>
      </c>
      <c r="C253" s="11">
        <v>34578</v>
      </c>
      <c r="D253" s="13">
        <v>8.2140530170325992</v>
      </c>
      <c r="G253" s="27">
        <v>41795</v>
      </c>
      <c r="H253" s="26">
        <v>4.2</v>
      </c>
      <c r="I253" s="26">
        <v>0.6</v>
      </c>
      <c r="J253" s="26">
        <v>4.0999999999999996</v>
      </c>
      <c r="K253" s="13">
        <f t="shared" si="15"/>
        <v>16.144999999999996</v>
      </c>
      <c r="L253" s="13">
        <f t="shared" si="16"/>
        <v>4</v>
      </c>
      <c r="M253" s="13">
        <f t="shared" si="18"/>
        <v>4.036249999999999</v>
      </c>
    </row>
    <row r="254" spans="2:13">
      <c r="B254" s="11">
        <f t="shared" si="17"/>
        <v>34577</v>
      </c>
      <c r="C254" s="11">
        <v>34547</v>
      </c>
      <c r="D254" s="13">
        <v>8.2148615693187903</v>
      </c>
      <c r="G254" s="27">
        <v>41794</v>
      </c>
      <c r="H254" s="26">
        <v>4.1399999999999997</v>
      </c>
      <c r="I254" s="26">
        <v>0.5</v>
      </c>
      <c r="J254" s="26">
        <v>4.0149999999999997</v>
      </c>
      <c r="K254" s="13">
        <f t="shared" si="15"/>
        <v>12.044999999999998</v>
      </c>
      <c r="L254" s="13">
        <f t="shared" si="16"/>
        <v>3</v>
      </c>
      <c r="M254" s="13">
        <f t="shared" si="18"/>
        <v>4.0149999999999997</v>
      </c>
    </row>
    <row r="255" spans="2:13">
      <c r="B255" s="11">
        <f t="shared" si="17"/>
        <v>34544</v>
      </c>
      <c r="C255" s="11">
        <v>34516</v>
      </c>
      <c r="D255" s="13">
        <v>8.2167262441025297</v>
      </c>
      <c r="G255" s="27">
        <v>41793</v>
      </c>
      <c r="H255" s="26">
        <v>4.1399999999999997</v>
      </c>
      <c r="I255" s="26">
        <v>0.5</v>
      </c>
      <c r="J255" s="26">
        <v>4.0149999999999997</v>
      </c>
      <c r="K255" s="13">
        <f t="shared" si="15"/>
        <v>8.0299999999999994</v>
      </c>
      <c r="L255" s="13">
        <f t="shared" si="16"/>
        <v>2</v>
      </c>
      <c r="M255" s="13">
        <f t="shared" si="18"/>
        <v>4.0149999999999997</v>
      </c>
    </row>
    <row r="256" spans="2:13">
      <c r="B256" s="11">
        <f t="shared" si="17"/>
        <v>34515</v>
      </c>
      <c r="C256" s="11">
        <v>34486</v>
      </c>
      <c r="D256" s="13">
        <v>8.2217767583119201</v>
      </c>
      <c r="G256" s="27">
        <v>41792</v>
      </c>
      <c r="H256" s="26">
        <v>4.1399999999999997</v>
      </c>
      <c r="I256" s="26">
        <v>0.5</v>
      </c>
      <c r="J256" s="26">
        <v>4.0149999999999997</v>
      </c>
      <c r="K256" s="13">
        <f t="shared" si="15"/>
        <v>4.0149999999999997</v>
      </c>
      <c r="L256" s="13">
        <f t="shared" si="16"/>
        <v>1</v>
      </c>
      <c r="M256" s="13">
        <f t="shared" si="18"/>
        <v>4.0149999999999997</v>
      </c>
    </row>
    <row r="257" spans="2:13">
      <c r="B257" s="11">
        <f t="shared" si="17"/>
        <v>34485</v>
      </c>
      <c r="C257" s="11">
        <v>34455</v>
      </c>
      <c r="D257" s="13">
        <v>8.2362761538218603</v>
      </c>
      <c r="G257" s="27">
        <v>41789</v>
      </c>
      <c r="H257" s="26">
        <v>4.1399999999999997</v>
      </c>
      <c r="I257" s="26">
        <v>0.5</v>
      </c>
      <c r="J257" s="26">
        <v>4.0149999999999997</v>
      </c>
      <c r="K257" s="13">
        <f t="shared" si="15"/>
        <v>85.359999999999985</v>
      </c>
      <c r="L257" s="13">
        <f t="shared" si="16"/>
        <v>21</v>
      </c>
      <c r="M257" s="13">
        <f t="shared" si="18"/>
        <v>4.0647619047619044</v>
      </c>
    </row>
    <row r="258" spans="2:13">
      <c r="B258" s="11">
        <f t="shared" si="17"/>
        <v>34453</v>
      </c>
      <c r="C258" s="11">
        <v>34425</v>
      </c>
      <c r="D258" s="13">
        <v>8.2663948972063697</v>
      </c>
      <c r="G258" s="27">
        <v>41788</v>
      </c>
      <c r="H258" s="26">
        <v>4.1399999999999997</v>
      </c>
      <c r="I258" s="26">
        <v>0.5</v>
      </c>
      <c r="J258" s="26">
        <v>4.0149999999999997</v>
      </c>
      <c r="K258" s="13">
        <f t="shared" si="15"/>
        <v>81.344999999999985</v>
      </c>
      <c r="L258" s="13">
        <f t="shared" si="16"/>
        <v>20</v>
      </c>
      <c r="M258" s="13">
        <f t="shared" si="18"/>
        <v>4.0672499999999996</v>
      </c>
    </row>
    <row r="259" spans="2:13">
      <c r="B259" s="11">
        <f>IF(WEEKDAY(DATE(YEAR(C261),MONTH(C261)+1,0),2)=6,DATE(YEAR(C261),MONTH(C261)+1,0)-1,IF(WEEKDAY(DATE(YEAR(C261),MONTH(C261)+1,0),2)=7,DATE(YEAR(C261),MONTH(C261)+1,0)-2,DATE(YEAR(C261),MONTH(C261)+1,0)))</f>
        <v>34365</v>
      </c>
      <c r="C259" s="27">
        <v>34394</v>
      </c>
      <c r="D259" s="13">
        <v>8.3121316924845097</v>
      </c>
      <c r="G259" s="27">
        <v>41787</v>
      </c>
      <c r="H259" s="26">
        <v>4.12</v>
      </c>
      <c r="I259" s="26">
        <v>0.6</v>
      </c>
      <c r="J259" s="26">
        <v>4.0199999999999996</v>
      </c>
      <c r="K259" s="13">
        <f t="shared" si="15"/>
        <v>77.329999999999984</v>
      </c>
      <c r="L259" s="13">
        <f t="shared" si="16"/>
        <v>19</v>
      </c>
      <c r="M259" s="13">
        <f t="shared" si="18"/>
        <v>4.0699999999999994</v>
      </c>
    </row>
    <row r="260" spans="2:13">
      <c r="C260" s="27">
        <v>34366</v>
      </c>
      <c r="D260" s="13">
        <v>8.3582193899169894</v>
      </c>
      <c r="G260" s="27">
        <v>41786</v>
      </c>
      <c r="H260" s="26">
        <v>4.12</v>
      </c>
      <c r="I260" s="26">
        <v>0.6</v>
      </c>
      <c r="J260" s="26">
        <v>4.0199999999999996</v>
      </c>
      <c r="K260" s="13">
        <f t="shared" ref="K260:K323" si="19">IF(MONTH(G260)=MONTH(G261),J260+K261,J260)</f>
        <v>73.309999999999988</v>
      </c>
      <c r="L260" s="13">
        <f t="shared" ref="L260:L323" si="20">IF(MONTH(G260)=MONTH(G261),L261+1,1)</f>
        <v>18</v>
      </c>
      <c r="M260" s="13">
        <f t="shared" si="18"/>
        <v>4.0727777777777767</v>
      </c>
    </row>
    <row r="261" spans="2:13">
      <c r="C261" s="27">
        <v>34335</v>
      </c>
      <c r="D261" s="13">
        <v>8.4205052659075896</v>
      </c>
      <c r="G261" s="27">
        <v>41782</v>
      </c>
      <c r="H261" s="26">
        <v>4.12</v>
      </c>
      <c r="I261" s="26">
        <v>0.6</v>
      </c>
      <c r="J261" s="26">
        <v>4.0199999999999996</v>
      </c>
      <c r="K261" s="13">
        <f t="shared" si="19"/>
        <v>69.289999999999992</v>
      </c>
      <c r="L261" s="13">
        <f t="shared" si="20"/>
        <v>17</v>
      </c>
      <c r="M261" s="13">
        <f t="shared" ref="M261:M324" si="21">K261/L261</f>
        <v>4.0758823529411758</v>
      </c>
    </row>
    <row r="262" spans="2:13">
      <c r="G262" s="27">
        <v>41781</v>
      </c>
      <c r="H262" s="26">
        <v>4.12</v>
      </c>
      <c r="I262" s="26">
        <v>0.6</v>
      </c>
      <c r="J262" s="26">
        <v>4.0199999999999996</v>
      </c>
      <c r="K262" s="13">
        <f t="shared" si="19"/>
        <v>65.27</v>
      </c>
      <c r="L262" s="13">
        <f t="shared" si="20"/>
        <v>16</v>
      </c>
      <c r="M262" s="13">
        <f t="shared" si="21"/>
        <v>4.0793749999999998</v>
      </c>
    </row>
    <row r="263" spans="2:13">
      <c r="G263" s="27">
        <v>41780</v>
      </c>
      <c r="H263" s="26">
        <v>4.1399999999999997</v>
      </c>
      <c r="I263" s="26">
        <v>0.6</v>
      </c>
      <c r="J263" s="26">
        <v>4.04</v>
      </c>
      <c r="K263" s="13">
        <f t="shared" si="19"/>
        <v>61.25</v>
      </c>
      <c r="L263" s="13">
        <f t="shared" si="20"/>
        <v>15</v>
      </c>
      <c r="M263" s="13">
        <f t="shared" si="21"/>
        <v>4.083333333333333</v>
      </c>
    </row>
    <row r="264" spans="2:13">
      <c r="G264" s="27">
        <v>41779</v>
      </c>
      <c r="H264" s="26">
        <v>4.1399999999999997</v>
      </c>
      <c r="I264" s="26">
        <v>0.6</v>
      </c>
      <c r="J264" s="26">
        <v>4.04</v>
      </c>
      <c r="K264" s="13">
        <f t="shared" si="19"/>
        <v>57.21</v>
      </c>
      <c r="L264" s="13">
        <f t="shared" si="20"/>
        <v>14</v>
      </c>
      <c r="M264" s="13">
        <f t="shared" si="21"/>
        <v>4.0864285714285717</v>
      </c>
    </row>
    <row r="265" spans="2:13">
      <c r="G265" s="27">
        <v>41778</v>
      </c>
      <c r="H265" s="26">
        <v>4.1399999999999997</v>
      </c>
      <c r="I265" s="26">
        <v>0.6</v>
      </c>
      <c r="J265" s="26">
        <v>4.04</v>
      </c>
      <c r="K265" s="13">
        <f t="shared" si="19"/>
        <v>53.17</v>
      </c>
      <c r="L265" s="13">
        <f t="shared" si="20"/>
        <v>13</v>
      </c>
      <c r="M265" s="13">
        <f t="shared" si="21"/>
        <v>4.09</v>
      </c>
    </row>
    <row r="266" spans="2:13">
      <c r="G266" s="27">
        <v>41775</v>
      </c>
      <c r="H266" s="26">
        <v>4.1399999999999997</v>
      </c>
      <c r="I266" s="26">
        <v>0.6</v>
      </c>
      <c r="J266" s="26">
        <v>4.04</v>
      </c>
      <c r="K266" s="13">
        <f t="shared" si="19"/>
        <v>49.13</v>
      </c>
      <c r="L266" s="13">
        <f t="shared" si="20"/>
        <v>12</v>
      </c>
      <c r="M266" s="13">
        <f t="shared" si="21"/>
        <v>4.0941666666666672</v>
      </c>
    </row>
    <row r="267" spans="2:13">
      <c r="G267" s="27">
        <v>41774</v>
      </c>
      <c r="H267" s="26">
        <v>4.1399999999999997</v>
      </c>
      <c r="I267" s="26">
        <v>0.6</v>
      </c>
      <c r="J267" s="26">
        <v>4.04</v>
      </c>
      <c r="K267" s="13">
        <f t="shared" si="19"/>
        <v>45.09</v>
      </c>
      <c r="L267" s="13">
        <f t="shared" si="20"/>
        <v>11</v>
      </c>
      <c r="M267" s="13">
        <f t="shared" si="21"/>
        <v>4.0990909090909096</v>
      </c>
    </row>
    <row r="268" spans="2:13">
      <c r="G268" s="27">
        <v>41773</v>
      </c>
      <c r="H268" s="26">
        <v>4.2</v>
      </c>
      <c r="I268" s="26">
        <v>0.6</v>
      </c>
      <c r="J268" s="26">
        <v>4.0999999999999996</v>
      </c>
      <c r="K268" s="13">
        <f t="shared" si="19"/>
        <v>41.050000000000004</v>
      </c>
      <c r="L268" s="13">
        <f t="shared" si="20"/>
        <v>10</v>
      </c>
      <c r="M268" s="13">
        <f t="shared" si="21"/>
        <v>4.1050000000000004</v>
      </c>
    </row>
    <row r="269" spans="2:13">
      <c r="G269" s="27">
        <v>41772</v>
      </c>
      <c r="H269" s="26">
        <v>4.2</v>
      </c>
      <c r="I269" s="26">
        <v>0.6</v>
      </c>
      <c r="J269" s="26">
        <v>4.0999999999999996</v>
      </c>
      <c r="K269" s="13">
        <f t="shared" si="19"/>
        <v>36.950000000000003</v>
      </c>
      <c r="L269" s="13">
        <f t="shared" si="20"/>
        <v>9</v>
      </c>
      <c r="M269" s="13">
        <f t="shared" si="21"/>
        <v>4.1055555555555561</v>
      </c>
    </row>
    <row r="270" spans="2:13">
      <c r="G270" s="27">
        <v>41771</v>
      </c>
      <c r="H270" s="26">
        <v>4.2</v>
      </c>
      <c r="I270" s="26">
        <v>0.6</v>
      </c>
      <c r="J270" s="26">
        <v>4.0999999999999996</v>
      </c>
      <c r="K270" s="13">
        <f t="shared" si="19"/>
        <v>32.85</v>
      </c>
      <c r="L270" s="13">
        <f t="shared" si="20"/>
        <v>8</v>
      </c>
      <c r="M270" s="13">
        <f t="shared" si="21"/>
        <v>4.1062500000000002</v>
      </c>
    </row>
    <row r="271" spans="2:13">
      <c r="G271" s="27">
        <v>41768</v>
      </c>
      <c r="H271" s="26">
        <v>4.2</v>
      </c>
      <c r="I271" s="26">
        <v>0.6</v>
      </c>
      <c r="J271" s="26">
        <v>4.0999999999999996</v>
      </c>
      <c r="K271" s="13">
        <f t="shared" si="19"/>
        <v>28.75</v>
      </c>
      <c r="L271" s="13">
        <f t="shared" si="20"/>
        <v>7</v>
      </c>
      <c r="M271" s="13">
        <f t="shared" si="21"/>
        <v>4.1071428571428568</v>
      </c>
    </row>
    <row r="272" spans="2:13">
      <c r="G272" s="27">
        <v>41767</v>
      </c>
      <c r="H272" s="26">
        <v>4.2</v>
      </c>
      <c r="I272" s="26">
        <v>0.6</v>
      </c>
      <c r="J272" s="26">
        <v>4.0999999999999996</v>
      </c>
      <c r="K272" s="13">
        <f t="shared" si="19"/>
        <v>24.65</v>
      </c>
      <c r="L272" s="13">
        <f t="shared" si="20"/>
        <v>6</v>
      </c>
      <c r="M272" s="13">
        <f t="shared" si="21"/>
        <v>4.1083333333333334</v>
      </c>
    </row>
    <row r="273" spans="7:13">
      <c r="G273" s="27">
        <v>41766</v>
      </c>
      <c r="H273" s="26">
        <v>4.21</v>
      </c>
      <c r="I273" s="26">
        <v>0.6</v>
      </c>
      <c r="J273" s="26">
        <v>4.1100000000000003</v>
      </c>
      <c r="K273" s="13">
        <f t="shared" si="19"/>
        <v>20.55</v>
      </c>
      <c r="L273" s="13">
        <f t="shared" si="20"/>
        <v>5</v>
      </c>
      <c r="M273" s="13">
        <f t="shared" si="21"/>
        <v>4.1100000000000003</v>
      </c>
    </row>
    <row r="274" spans="7:13">
      <c r="G274" s="27">
        <v>41765</v>
      </c>
      <c r="H274" s="26">
        <v>4.21</v>
      </c>
      <c r="I274" s="26">
        <v>0.6</v>
      </c>
      <c r="J274" s="26">
        <v>4.1100000000000003</v>
      </c>
      <c r="K274" s="13">
        <f t="shared" si="19"/>
        <v>16.440000000000001</v>
      </c>
      <c r="L274" s="13">
        <f t="shared" si="20"/>
        <v>4</v>
      </c>
      <c r="M274" s="13">
        <f t="shared" si="21"/>
        <v>4.1100000000000003</v>
      </c>
    </row>
    <row r="275" spans="7:13">
      <c r="G275" s="27">
        <v>41764</v>
      </c>
      <c r="H275" s="26">
        <v>4.21</v>
      </c>
      <c r="I275" s="26">
        <v>0.6</v>
      </c>
      <c r="J275" s="26">
        <v>4.1100000000000003</v>
      </c>
      <c r="K275" s="13">
        <f t="shared" si="19"/>
        <v>12.330000000000002</v>
      </c>
      <c r="L275" s="13">
        <f t="shared" si="20"/>
        <v>3</v>
      </c>
      <c r="M275" s="13">
        <f t="shared" si="21"/>
        <v>4.1100000000000003</v>
      </c>
    </row>
    <row r="276" spans="7:13">
      <c r="G276" s="27">
        <v>41761</v>
      </c>
      <c r="H276" s="26">
        <v>4.21</v>
      </c>
      <c r="I276" s="26">
        <v>0.6</v>
      </c>
      <c r="J276" s="26">
        <v>4.1100000000000003</v>
      </c>
      <c r="K276" s="13">
        <f t="shared" si="19"/>
        <v>8.2200000000000006</v>
      </c>
      <c r="L276" s="13">
        <f t="shared" si="20"/>
        <v>2</v>
      </c>
      <c r="M276" s="13">
        <f t="shared" si="21"/>
        <v>4.1100000000000003</v>
      </c>
    </row>
    <row r="277" spans="7:13">
      <c r="G277" s="27">
        <v>41760</v>
      </c>
      <c r="H277" s="26">
        <v>4.21</v>
      </c>
      <c r="I277" s="26">
        <v>0.6</v>
      </c>
      <c r="J277" s="26">
        <v>4.1100000000000003</v>
      </c>
      <c r="K277" s="13">
        <f t="shared" si="19"/>
        <v>4.1100000000000003</v>
      </c>
      <c r="L277" s="13">
        <f t="shared" si="20"/>
        <v>1</v>
      </c>
      <c r="M277" s="13">
        <f t="shared" si="21"/>
        <v>4.1100000000000003</v>
      </c>
    </row>
    <row r="278" spans="7:13">
      <c r="G278" s="27">
        <v>41759</v>
      </c>
      <c r="H278" s="26">
        <v>4.29</v>
      </c>
      <c r="I278" s="26">
        <v>0.7</v>
      </c>
      <c r="J278" s="26">
        <v>4.2149999999999999</v>
      </c>
      <c r="K278" s="13">
        <f t="shared" si="19"/>
        <v>88.965000000000032</v>
      </c>
      <c r="L278" s="13">
        <f t="shared" si="20"/>
        <v>21</v>
      </c>
      <c r="M278" s="13">
        <f t="shared" si="21"/>
        <v>4.236428571428573</v>
      </c>
    </row>
    <row r="279" spans="7:13">
      <c r="G279" s="27">
        <v>41758</v>
      </c>
      <c r="H279" s="26">
        <v>4.29</v>
      </c>
      <c r="I279" s="26">
        <v>0.7</v>
      </c>
      <c r="J279" s="26">
        <v>4.2149999999999999</v>
      </c>
      <c r="K279" s="13">
        <f t="shared" si="19"/>
        <v>84.750000000000028</v>
      </c>
      <c r="L279" s="13">
        <f t="shared" si="20"/>
        <v>20</v>
      </c>
      <c r="M279" s="13">
        <f t="shared" si="21"/>
        <v>4.2375000000000016</v>
      </c>
    </row>
    <row r="280" spans="7:13">
      <c r="G280" s="27">
        <v>41757</v>
      </c>
      <c r="H280" s="26">
        <v>4.29</v>
      </c>
      <c r="I280" s="26">
        <v>0.7</v>
      </c>
      <c r="J280" s="26">
        <v>4.2149999999999999</v>
      </c>
      <c r="K280" s="13">
        <f t="shared" si="19"/>
        <v>80.535000000000025</v>
      </c>
      <c r="L280" s="13">
        <f t="shared" si="20"/>
        <v>19</v>
      </c>
      <c r="M280" s="13">
        <f t="shared" si="21"/>
        <v>4.2386842105263174</v>
      </c>
    </row>
    <row r="281" spans="7:13">
      <c r="G281" s="27">
        <v>41754</v>
      </c>
      <c r="H281" s="26">
        <v>4.29</v>
      </c>
      <c r="I281" s="26">
        <v>0.7</v>
      </c>
      <c r="J281" s="26">
        <v>4.2149999999999999</v>
      </c>
      <c r="K281" s="13">
        <f t="shared" si="19"/>
        <v>76.320000000000022</v>
      </c>
      <c r="L281" s="13">
        <f t="shared" si="20"/>
        <v>18</v>
      </c>
      <c r="M281" s="13">
        <f t="shared" si="21"/>
        <v>4.2400000000000011</v>
      </c>
    </row>
    <row r="282" spans="7:13">
      <c r="G282" s="27">
        <v>41753</v>
      </c>
      <c r="H282" s="26">
        <v>4.29</v>
      </c>
      <c r="I282" s="26">
        <v>0.7</v>
      </c>
      <c r="J282" s="26">
        <v>4.2149999999999999</v>
      </c>
      <c r="K282" s="13">
        <f t="shared" si="19"/>
        <v>72.105000000000018</v>
      </c>
      <c r="L282" s="13">
        <f t="shared" si="20"/>
        <v>17</v>
      </c>
      <c r="M282" s="13">
        <f t="shared" si="21"/>
        <v>4.2414705882352948</v>
      </c>
    </row>
    <row r="283" spans="7:13">
      <c r="G283" s="27">
        <v>41752</v>
      </c>
      <c r="H283" s="26">
        <v>4.33</v>
      </c>
      <c r="I283" s="26">
        <v>0.6</v>
      </c>
      <c r="J283" s="26">
        <v>4.2300000000000004</v>
      </c>
      <c r="K283" s="13">
        <f t="shared" si="19"/>
        <v>67.890000000000015</v>
      </c>
      <c r="L283" s="13">
        <f t="shared" si="20"/>
        <v>16</v>
      </c>
      <c r="M283" s="13">
        <f t="shared" si="21"/>
        <v>4.2431250000000009</v>
      </c>
    </row>
    <row r="284" spans="7:13">
      <c r="G284" s="27">
        <v>41751</v>
      </c>
      <c r="H284" s="26">
        <v>4.33</v>
      </c>
      <c r="I284" s="26">
        <v>0.6</v>
      </c>
      <c r="J284" s="26">
        <v>4.2300000000000004</v>
      </c>
      <c r="K284" s="13">
        <f t="shared" si="19"/>
        <v>63.660000000000011</v>
      </c>
      <c r="L284" s="13">
        <f t="shared" si="20"/>
        <v>15</v>
      </c>
      <c r="M284" s="13">
        <f t="shared" si="21"/>
        <v>4.2440000000000007</v>
      </c>
    </row>
    <row r="285" spans="7:13">
      <c r="G285" s="27">
        <v>41750</v>
      </c>
      <c r="H285" s="26">
        <v>4.33</v>
      </c>
      <c r="I285" s="26">
        <v>0.6</v>
      </c>
      <c r="J285" s="26">
        <v>4.2300000000000004</v>
      </c>
      <c r="K285" s="13">
        <f t="shared" si="19"/>
        <v>59.430000000000007</v>
      </c>
      <c r="L285" s="13">
        <f t="shared" si="20"/>
        <v>14</v>
      </c>
      <c r="M285" s="13">
        <f t="shared" si="21"/>
        <v>4.2450000000000001</v>
      </c>
    </row>
    <row r="286" spans="7:13">
      <c r="G286" s="27">
        <v>41746</v>
      </c>
      <c r="H286" s="26">
        <v>4.33</v>
      </c>
      <c r="I286" s="26">
        <v>0.6</v>
      </c>
      <c r="J286" s="26">
        <v>4.2300000000000004</v>
      </c>
      <c r="K286" s="13">
        <f t="shared" si="19"/>
        <v>55.2</v>
      </c>
      <c r="L286" s="13">
        <f t="shared" si="20"/>
        <v>13</v>
      </c>
      <c r="M286" s="13">
        <f t="shared" si="21"/>
        <v>4.2461538461538462</v>
      </c>
    </row>
    <row r="287" spans="7:13">
      <c r="G287" s="27">
        <v>41745</v>
      </c>
      <c r="H287" s="26">
        <v>4.2699999999999996</v>
      </c>
      <c r="I287" s="26">
        <v>0.7</v>
      </c>
      <c r="J287" s="26">
        <v>4.1950000000000003</v>
      </c>
      <c r="K287" s="13">
        <f t="shared" si="19"/>
        <v>50.97</v>
      </c>
      <c r="L287" s="13">
        <f t="shared" si="20"/>
        <v>12</v>
      </c>
      <c r="M287" s="13">
        <f t="shared" si="21"/>
        <v>4.2474999999999996</v>
      </c>
    </row>
    <row r="288" spans="7:13">
      <c r="G288" s="27">
        <v>41744</v>
      </c>
      <c r="H288" s="26">
        <v>4.2699999999999996</v>
      </c>
      <c r="I288" s="26">
        <v>0.7</v>
      </c>
      <c r="J288" s="26">
        <v>4.1950000000000003</v>
      </c>
      <c r="K288" s="13">
        <f t="shared" si="19"/>
        <v>46.774999999999999</v>
      </c>
      <c r="L288" s="13">
        <f t="shared" si="20"/>
        <v>11</v>
      </c>
      <c r="M288" s="13">
        <f t="shared" si="21"/>
        <v>4.252272727272727</v>
      </c>
    </row>
    <row r="289" spans="7:13">
      <c r="G289" s="27">
        <v>41743</v>
      </c>
      <c r="H289" s="26">
        <v>4.2699999999999996</v>
      </c>
      <c r="I289" s="26">
        <v>0.7</v>
      </c>
      <c r="J289" s="26">
        <v>4.1950000000000003</v>
      </c>
      <c r="K289" s="13">
        <f t="shared" si="19"/>
        <v>42.58</v>
      </c>
      <c r="L289" s="13">
        <f t="shared" si="20"/>
        <v>10</v>
      </c>
      <c r="M289" s="13">
        <f t="shared" si="21"/>
        <v>4.258</v>
      </c>
    </row>
    <row r="290" spans="7:13">
      <c r="G290" s="27">
        <v>41740</v>
      </c>
      <c r="H290" s="26">
        <v>4.2699999999999996</v>
      </c>
      <c r="I290" s="26">
        <v>0.7</v>
      </c>
      <c r="J290" s="26">
        <v>4.1950000000000003</v>
      </c>
      <c r="K290" s="13">
        <f t="shared" si="19"/>
        <v>38.384999999999998</v>
      </c>
      <c r="L290" s="13">
        <f t="shared" si="20"/>
        <v>9</v>
      </c>
      <c r="M290" s="13">
        <f t="shared" si="21"/>
        <v>4.2649999999999997</v>
      </c>
    </row>
    <row r="291" spans="7:13">
      <c r="G291" s="27">
        <v>41739</v>
      </c>
      <c r="H291" s="26">
        <v>4.2699999999999996</v>
      </c>
      <c r="I291" s="26">
        <v>0.7</v>
      </c>
      <c r="J291" s="26">
        <v>4.1950000000000003</v>
      </c>
      <c r="K291" s="13">
        <f t="shared" si="19"/>
        <v>34.19</v>
      </c>
      <c r="L291" s="13">
        <f t="shared" si="20"/>
        <v>8</v>
      </c>
      <c r="M291" s="13">
        <f t="shared" si="21"/>
        <v>4.2737499999999997</v>
      </c>
    </row>
    <row r="292" spans="7:13">
      <c r="G292" s="27">
        <v>41738</v>
      </c>
      <c r="H292" s="26">
        <v>4.34</v>
      </c>
      <c r="I292" s="26">
        <v>0.7</v>
      </c>
      <c r="J292" s="26">
        <v>4.2649999999999997</v>
      </c>
      <c r="K292" s="13">
        <f t="shared" si="19"/>
        <v>29.995000000000001</v>
      </c>
      <c r="L292" s="13">
        <f t="shared" si="20"/>
        <v>7</v>
      </c>
      <c r="M292" s="13">
        <f t="shared" si="21"/>
        <v>4.2850000000000001</v>
      </c>
    </row>
    <row r="293" spans="7:13">
      <c r="G293" s="27">
        <v>41737</v>
      </c>
      <c r="H293" s="26">
        <v>4.34</v>
      </c>
      <c r="I293" s="26">
        <v>0.7</v>
      </c>
      <c r="J293" s="26">
        <v>4.2649999999999997</v>
      </c>
      <c r="K293" s="13">
        <f t="shared" si="19"/>
        <v>25.73</v>
      </c>
      <c r="L293" s="13">
        <f t="shared" si="20"/>
        <v>6</v>
      </c>
      <c r="M293" s="13">
        <f t="shared" si="21"/>
        <v>4.2883333333333331</v>
      </c>
    </row>
    <row r="294" spans="7:13">
      <c r="G294" s="27">
        <v>41736</v>
      </c>
      <c r="H294" s="26">
        <v>4.34</v>
      </c>
      <c r="I294" s="26">
        <v>0.7</v>
      </c>
      <c r="J294" s="26">
        <v>4.2649999999999997</v>
      </c>
      <c r="K294" s="13">
        <f t="shared" si="19"/>
        <v>21.465</v>
      </c>
      <c r="L294" s="13">
        <f t="shared" si="20"/>
        <v>5</v>
      </c>
      <c r="M294" s="13">
        <f t="shared" si="21"/>
        <v>4.2930000000000001</v>
      </c>
    </row>
    <row r="295" spans="7:13">
      <c r="G295" s="27">
        <v>41733</v>
      </c>
      <c r="H295" s="26">
        <v>4.34</v>
      </c>
      <c r="I295" s="26">
        <v>0.7</v>
      </c>
      <c r="J295" s="26">
        <v>4.2649999999999997</v>
      </c>
      <c r="K295" s="13">
        <f t="shared" si="19"/>
        <v>17.2</v>
      </c>
      <c r="L295" s="13">
        <f t="shared" si="20"/>
        <v>4</v>
      </c>
      <c r="M295" s="13">
        <f t="shared" si="21"/>
        <v>4.3</v>
      </c>
    </row>
    <row r="296" spans="7:13">
      <c r="G296" s="27">
        <v>41732</v>
      </c>
      <c r="H296" s="26">
        <v>4.34</v>
      </c>
      <c r="I296" s="26">
        <v>0.7</v>
      </c>
      <c r="J296" s="26">
        <v>4.2649999999999997</v>
      </c>
      <c r="K296" s="13">
        <f t="shared" si="19"/>
        <v>12.934999999999999</v>
      </c>
      <c r="L296" s="13">
        <f t="shared" si="20"/>
        <v>3</v>
      </c>
      <c r="M296" s="13">
        <f t="shared" si="21"/>
        <v>4.3116666666666665</v>
      </c>
    </row>
    <row r="297" spans="7:13">
      <c r="G297" s="27">
        <v>41731</v>
      </c>
      <c r="H297" s="26">
        <v>4.41</v>
      </c>
      <c r="I297" s="26">
        <v>0.7</v>
      </c>
      <c r="J297" s="26">
        <v>4.335</v>
      </c>
      <c r="K297" s="13">
        <f t="shared" si="19"/>
        <v>8.67</v>
      </c>
      <c r="L297" s="13">
        <f t="shared" si="20"/>
        <v>2</v>
      </c>
      <c r="M297" s="13">
        <f t="shared" si="21"/>
        <v>4.335</v>
      </c>
    </row>
    <row r="298" spans="7:13">
      <c r="G298" s="27">
        <v>41730</v>
      </c>
      <c r="H298" s="26">
        <v>4.41</v>
      </c>
      <c r="I298" s="26">
        <v>0.7</v>
      </c>
      <c r="J298" s="26">
        <v>4.335</v>
      </c>
      <c r="K298" s="13">
        <f t="shared" si="19"/>
        <v>4.335</v>
      </c>
      <c r="L298" s="13">
        <f t="shared" si="20"/>
        <v>1</v>
      </c>
      <c r="M298" s="13">
        <f t="shared" si="21"/>
        <v>4.335</v>
      </c>
    </row>
    <row r="299" spans="7:13">
      <c r="G299" s="27">
        <v>41729</v>
      </c>
      <c r="H299" s="26">
        <v>4.41</v>
      </c>
      <c r="I299" s="26">
        <v>0.7</v>
      </c>
      <c r="J299" s="26">
        <v>4.335</v>
      </c>
      <c r="K299" s="13">
        <f t="shared" si="19"/>
        <v>89.569999999999965</v>
      </c>
      <c r="L299" s="13">
        <f t="shared" si="20"/>
        <v>21</v>
      </c>
      <c r="M299" s="13">
        <f t="shared" si="21"/>
        <v>4.2652380952380939</v>
      </c>
    </row>
    <row r="300" spans="7:13">
      <c r="G300" s="27">
        <v>41726</v>
      </c>
      <c r="H300" s="26">
        <v>4.41</v>
      </c>
      <c r="I300" s="26">
        <v>0.7</v>
      </c>
      <c r="J300" s="26">
        <v>4.335</v>
      </c>
      <c r="K300" s="13">
        <f t="shared" si="19"/>
        <v>85.234999999999971</v>
      </c>
      <c r="L300" s="13">
        <f t="shared" si="20"/>
        <v>20</v>
      </c>
      <c r="M300" s="13">
        <f t="shared" si="21"/>
        <v>4.2617499999999984</v>
      </c>
    </row>
    <row r="301" spans="7:13">
      <c r="G301" s="27">
        <v>41725</v>
      </c>
      <c r="H301" s="26">
        <v>4.41</v>
      </c>
      <c r="I301" s="26">
        <v>0.7</v>
      </c>
      <c r="J301" s="26">
        <v>4.335</v>
      </c>
      <c r="K301" s="13">
        <f t="shared" si="19"/>
        <v>80.899999999999977</v>
      </c>
      <c r="L301" s="13">
        <f t="shared" si="20"/>
        <v>19</v>
      </c>
      <c r="M301" s="13">
        <f t="shared" si="21"/>
        <v>4.2578947368421041</v>
      </c>
    </row>
    <row r="302" spans="7:13">
      <c r="G302" s="27">
        <v>41724</v>
      </c>
      <c r="H302" s="26">
        <v>4.4000000000000004</v>
      </c>
      <c r="I302" s="26">
        <v>0.6</v>
      </c>
      <c r="J302" s="26">
        <v>4.3</v>
      </c>
      <c r="K302" s="13">
        <f t="shared" si="19"/>
        <v>76.564999999999984</v>
      </c>
      <c r="L302" s="13">
        <f t="shared" si="20"/>
        <v>18</v>
      </c>
      <c r="M302" s="13">
        <f t="shared" si="21"/>
        <v>4.2536111111111099</v>
      </c>
    </row>
    <row r="303" spans="7:13">
      <c r="G303" s="27">
        <v>41723</v>
      </c>
      <c r="H303" s="26">
        <v>4.4000000000000004</v>
      </c>
      <c r="I303" s="26">
        <v>0.6</v>
      </c>
      <c r="J303" s="26">
        <v>4.3</v>
      </c>
      <c r="K303" s="13">
        <f t="shared" si="19"/>
        <v>72.264999999999986</v>
      </c>
      <c r="L303" s="13">
        <f t="shared" si="20"/>
        <v>17</v>
      </c>
      <c r="M303" s="13">
        <f t="shared" si="21"/>
        <v>4.2508823529411757</v>
      </c>
    </row>
    <row r="304" spans="7:13">
      <c r="G304" s="27">
        <v>41722</v>
      </c>
      <c r="H304" s="26">
        <v>4.4000000000000004</v>
      </c>
      <c r="I304" s="26">
        <v>0.6</v>
      </c>
      <c r="J304" s="26">
        <v>4.3</v>
      </c>
      <c r="K304" s="13">
        <f t="shared" si="19"/>
        <v>67.964999999999989</v>
      </c>
      <c r="L304" s="13">
        <f t="shared" si="20"/>
        <v>16</v>
      </c>
      <c r="M304" s="13">
        <f t="shared" si="21"/>
        <v>4.2478124999999993</v>
      </c>
    </row>
    <row r="305" spans="7:13">
      <c r="G305" s="27">
        <v>41719</v>
      </c>
      <c r="H305" s="26">
        <v>4.4000000000000004</v>
      </c>
      <c r="I305" s="26">
        <v>0.6</v>
      </c>
      <c r="J305" s="26">
        <v>4.3</v>
      </c>
      <c r="K305" s="13">
        <f t="shared" si="19"/>
        <v>63.664999999999985</v>
      </c>
      <c r="L305" s="13">
        <f t="shared" si="20"/>
        <v>15</v>
      </c>
      <c r="M305" s="13">
        <f t="shared" si="21"/>
        <v>4.2443333333333326</v>
      </c>
    </row>
    <row r="306" spans="7:13">
      <c r="G306" s="27">
        <v>41718</v>
      </c>
      <c r="H306" s="26">
        <v>4.4000000000000004</v>
      </c>
      <c r="I306" s="26">
        <v>0.6</v>
      </c>
      <c r="J306" s="26">
        <v>4.3</v>
      </c>
      <c r="K306" s="13">
        <f t="shared" si="19"/>
        <v>59.364999999999988</v>
      </c>
      <c r="L306" s="13">
        <f t="shared" si="20"/>
        <v>14</v>
      </c>
      <c r="M306" s="13">
        <f t="shared" si="21"/>
        <v>4.2403571428571416</v>
      </c>
    </row>
    <row r="307" spans="7:13">
      <c r="G307" s="27">
        <v>41717</v>
      </c>
      <c r="H307" s="26">
        <v>4.32</v>
      </c>
      <c r="I307" s="26">
        <v>0.6</v>
      </c>
      <c r="J307" s="26">
        <v>4.22</v>
      </c>
      <c r="K307" s="13">
        <f t="shared" si="19"/>
        <v>55.064999999999991</v>
      </c>
      <c r="L307" s="13">
        <f t="shared" si="20"/>
        <v>13</v>
      </c>
      <c r="M307" s="13">
        <f t="shared" si="21"/>
        <v>4.2357692307692298</v>
      </c>
    </row>
    <row r="308" spans="7:13">
      <c r="G308" s="27">
        <v>41716</v>
      </c>
      <c r="H308" s="26">
        <v>4.32</v>
      </c>
      <c r="I308" s="26">
        <v>0.6</v>
      </c>
      <c r="J308" s="26">
        <v>4.22</v>
      </c>
      <c r="K308" s="13">
        <f t="shared" si="19"/>
        <v>50.844999999999992</v>
      </c>
      <c r="L308" s="13">
        <f t="shared" si="20"/>
        <v>12</v>
      </c>
      <c r="M308" s="13">
        <f t="shared" si="21"/>
        <v>4.2370833333333326</v>
      </c>
    </row>
    <row r="309" spans="7:13">
      <c r="G309" s="27">
        <v>41715</v>
      </c>
      <c r="H309" s="26">
        <v>4.32</v>
      </c>
      <c r="I309" s="26">
        <v>0.6</v>
      </c>
      <c r="J309" s="26">
        <v>4.22</v>
      </c>
      <c r="K309" s="13">
        <f t="shared" si="19"/>
        <v>46.624999999999993</v>
      </c>
      <c r="L309" s="13">
        <f t="shared" si="20"/>
        <v>11</v>
      </c>
      <c r="M309" s="13">
        <f t="shared" si="21"/>
        <v>4.2386363636363633</v>
      </c>
    </row>
    <row r="310" spans="7:13">
      <c r="G310" s="27">
        <v>41712</v>
      </c>
      <c r="H310" s="26">
        <v>4.32</v>
      </c>
      <c r="I310" s="26">
        <v>0.6</v>
      </c>
      <c r="J310" s="26">
        <v>4.22</v>
      </c>
      <c r="K310" s="13">
        <f t="shared" si="19"/>
        <v>42.404999999999994</v>
      </c>
      <c r="L310" s="13">
        <f t="shared" si="20"/>
        <v>10</v>
      </c>
      <c r="M310" s="13">
        <f t="shared" si="21"/>
        <v>4.240499999999999</v>
      </c>
    </row>
    <row r="311" spans="7:13">
      <c r="G311" s="27">
        <v>41711</v>
      </c>
      <c r="H311" s="26">
        <v>4.32</v>
      </c>
      <c r="I311" s="26">
        <v>0.6</v>
      </c>
      <c r="J311" s="26">
        <v>4.22</v>
      </c>
      <c r="K311" s="13">
        <f t="shared" si="19"/>
        <v>38.184999999999995</v>
      </c>
      <c r="L311" s="13">
        <f t="shared" si="20"/>
        <v>9</v>
      </c>
      <c r="M311" s="13">
        <f t="shared" si="21"/>
        <v>4.2427777777777775</v>
      </c>
    </row>
    <row r="312" spans="7:13">
      <c r="G312" s="27">
        <v>41710</v>
      </c>
      <c r="H312" s="26">
        <v>4.37</v>
      </c>
      <c r="I312" s="26">
        <v>0.6</v>
      </c>
      <c r="J312" s="26">
        <v>4.2699999999999996</v>
      </c>
      <c r="K312" s="13">
        <f t="shared" si="19"/>
        <v>33.964999999999996</v>
      </c>
      <c r="L312" s="13">
        <f t="shared" si="20"/>
        <v>8</v>
      </c>
      <c r="M312" s="13">
        <f t="shared" si="21"/>
        <v>4.2456249999999995</v>
      </c>
    </row>
    <row r="313" spans="7:13">
      <c r="G313" s="27">
        <v>41709</v>
      </c>
      <c r="H313" s="26">
        <v>4.37</v>
      </c>
      <c r="I313" s="26">
        <v>0.6</v>
      </c>
      <c r="J313" s="26">
        <v>4.2699999999999996</v>
      </c>
      <c r="K313" s="13">
        <f t="shared" si="19"/>
        <v>29.694999999999997</v>
      </c>
      <c r="L313" s="13">
        <f t="shared" si="20"/>
        <v>7</v>
      </c>
      <c r="M313" s="13">
        <f t="shared" si="21"/>
        <v>4.2421428571428565</v>
      </c>
    </row>
    <row r="314" spans="7:13">
      <c r="G314" s="27">
        <v>41708</v>
      </c>
      <c r="H314" s="26">
        <v>4.37</v>
      </c>
      <c r="I314" s="26">
        <v>0.6</v>
      </c>
      <c r="J314" s="26">
        <v>4.2699999999999996</v>
      </c>
      <c r="K314" s="13">
        <f t="shared" si="19"/>
        <v>25.424999999999997</v>
      </c>
      <c r="L314" s="13">
        <f t="shared" si="20"/>
        <v>6</v>
      </c>
      <c r="M314" s="13">
        <f t="shared" si="21"/>
        <v>4.2374999999999998</v>
      </c>
    </row>
    <row r="315" spans="7:13">
      <c r="G315" s="27">
        <v>41705</v>
      </c>
      <c r="H315" s="26">
        <v>4.37</v>
      </c>
      <c r="I315" s="26">
        <v>0.6</v>
      </c>
      <c r="J315" s="26">
        <v>4.2699999999999996</v>
      </c>
      <c r="K315" s="13">
        <f t="shared" si="19"/>
        <v>21.154999999999998</v>
      </c>
      <c r="L315" s="13">
        <f t="shared" si="20"/>
        <v>5</v>
      </c>
      <c r="M315" s="13">
        <f t="shared" si="21"/>
        <v>4.2309999999999999</v>
      </c>
    </row>
    <row r="316" spans="7:13">
      <c r="G316" s="27">
        <v>41704</v>
      </c>
      <c r="H316" s="26">
        <v>4.37</v>
      </c>
      <c r="I316" s="26">
        <v>0.6</v>
      </c>
      <c r="J316" s="26">
        <v>4.2699999999999996</v>
      </c>
      <c r="K316" s="13">
        <f t="shared" si="19"/>
        <v>16.884999999999998</v>
      </c>
      <c r="L316" s="13">
        <f t="shared" si="20"/>
        <v>4</v>
      </c>
      <c r="M316" s="13">
        <f t="shared" si="21"/>
        <v>4.2212499999999995</v>
      </c>
    </row>
    <row r="317" spans="7:13">
      <c r="G317" s="27">
        <v>41703</v>
      </c>
      <c r="H317" s="26">
        <v>4.28</v>
      </c>
      <c r="I317" s="26">
        <v>0.7</v>
      </c>
      <c r="J317" s="26">
        <v>4.2050000000000001</v>
      </c>
      <c r="K317" s="13">
        <f t="shared" si="19"/>
        <v>12.615</v>
      </c>
      <c r="L317" s="13">
        <f t="shared" si="20"/>
        <v>3</v>
      </c>
      <c r="M317" s="13">
        <f t="shared" si="21"/>
        <v>4.2050000000000001</v>
      </c>
    </row>
    <row r="318" spans="7:13">
      <c r="G318" s="27">
        <v>41702</v>
      </c>
      <c r="H318" s="26">
        <v>4.28</v>
      </c>
      <c r="I318" s="26">
        <v>0.7</v>
      </c>
      <c r="J318" s="26">
        <v>4.2050000000000001</v>
      </c>
      <c r="K318" s="13">
        <f t="shared" si="19"/>
        <v>8.41</v>
      </c>
      <c r="L318" s="13">
        <f t="shared" si="20"/>
        <v>2</v>
      </c>
      <c r="M318" s="13">
        <f t="shared" si="21"/>
        <v>4.2050000000000001</v>
      </c>
    </row>
    <row r="319" spans="7:13">
      <c r="G319" s="27">
        <v>41701</v>
      </c>
      <c r="H319" s="26">
        <v>4.28</v>
      </c>
      <c r="I319" s="26">
        <v>0.7</v>
      </c>
      <c r="J319" s="26">
        <v>4.2050000000000001</v>
      </c>
      <c r="K319" s="13">
        <f t="shared" si="19"/>
        <v>4.2050000000000001</v>
      </c>
      <c r="L319" s="13">
        <f t="shared" si="20"/>
        <v>1</v>
      </c>
      <c r="M319" s="13">
        <f t="shared" si="21"/>
        <v>4.2050000000000001</v>
      </c>
    </row>
    <row r="320" spans="7:13">
      <c r="G320" s="27">
        <v>41698</v>
      </c>
      <c r="H320" s="26">
        <v>4.28</v>
      </c>
      <c r="I320" s="26">
        <v>0.7</v>
      </c>
      <c r="J320" s="26">
        <v>4.2050000000000001</v>
      </c>
      <c r="K320" s="13">
        <f t="shared" si="19"/>
        <v>80.39500000000001</v>
      </c>
      <c r="L320" s="13">
        <f t="shared" si="20"/>
        <v>19</v>
      </c>
      <c r="M320" s="13">
        <f t="shared" si="21"/>
        <v>4.231315789473685</v>
      </c>
    </row>
    <row r="321" spans="7:13">
      <c r="G321" s="27">
        <v>41697</v>
      </c>
      <c r="H321" s="26">
        <v>4.28</v>
      </c>
      <c r="I321" s="26">
        <v>0.7</v>
      </c>
      <c r="J321" s="26">
        <v>4.2050000000000001</v>
      </c>
      <c r="K321" s="13">
        <f t="shared" si="19"/>
        <v>76.190000000000012</v>
      </c>
      <c r="L321" s="13">
        <f t="shared" si="20"/>
        <v>18</v>
      </c>
      <c r="M321" s="13">
        <f t="shared" si="21"/>
        <v>4.2327777777777786</v>
      </c>
    </row>
    <row r="322" spans="7:13">
      <c r="G322" s="27">
        <v>41696</v>
      </c>
      <c r="H322" s="26">
        <v>4.37</v>
      </c>
      <c r="I322" s="26">
        <v>0.7</v>
      </c>
      <c r="J322" s="26">
        <v>4.2949999999999999</v>
      </c>
      <c r="K322" s="13">
        <f t="shared" si="19"/>
        <v>71.985000000000014</v>
      </c>
      <c r="L322" s="13">
        <f t="shared" si="20"/>
        <v>17</v>
      </c>
      <c r="M322" s="13">
        <f t="shared" si="21"/>
        <v>4.2344117647058832</v>
      </c>
    </row>
    <row r="323" spans="7:13">
      <c r="G323" s="27">
        <v>41695</v>
      </c>
      <c r="H323" s="26">
        <v>4.37</v>
      </c>
      <c r="I323" s="26">
        <v>0.7</v>
      </c>
      <c r="J323" s="26">
        <v>4.2949999999999999</v>
      </c>
      <c r="K323" s="13">
        <f t="shared" si="19"/>
        <v>67.690000000000012</v>
      </c>
      <c r="L323" s="13">
        <f t="shared" si="20"/>
        <v>16</v>
      </c>
      <c r="M323" s="13">
        <f t="shared" si="21"/>
        <v>4.2306250000000007</v>
      </c>
    </row>
    <row r="324" spans="7:13">
      <c r="G324" s="27">
        <v>41694</v>
      </c>
      <c r="H324" s="26">
        <v>4.37</v>
      </c>
      <c r="I324" s="26">
        <v>0.7</v>
      </c>
      <c r="J324" s="26">
        <v>4.2949999999999999</v>
      </c>
      <c r="K324" s="13">
        <f t="shared" ref="K324:K387" si="22">IF(MONTH(G324)=MONTH(G325),J324+K325,J324)</f>
        <v>63.39500000000001</v>
      </c>
      <c r="L324" s="13">
        <f t="shared" ref="L324:L387" si="23">IF(MONTH(G324)=MONTH(G325),L325+1,1)</f>
        <v>15</v>
      </c>
      <c r="M324" s="13">
        <f t="shared" si="21"/>
        <v>4.2263333333333337</v>
      </c>
    </row>
    <row r="325" spans="7:13">
      <c r="G325" s="27">
        <v>41691</v>
      </c>
      <c r="H325" s="26">
        <v>4.37</v>
      </c>
      <c r="I325" s="26">
        <v>0.7</v>
      </c>
      <c r="J325" s="26">
        <v>4.2949999999999999</v>
      </c>
      <c r="K325" s="13">
        <f t="shared" si="22"/>
        <v>59.100000000000009</v>
      </c>
      <c r="L325" s="13">
        <f t="shared" si="23"/>
        <v>14</v>
      </c>
      <c r="M325" s="13">
        <f t="shared" ref="M325:M388" si="24">K325/L325</f>
        <v>4.2214285714285724</v>
      </c>
    </row>
    <row r="326" spans="7:13">
      <c r="G326" s="27">
        <v>41690</v>
      </c>
      <c r="H326" s="26">
        <v>4.37</v>
      </c>
      <c r="I326" s="26">
        <v>0.7</v>
      </c>
      <c r="J326" s="26">
        <v>4.2949999999999999</v>
      </c>
      <c r="K326" s="13">
        <f t="shared" si="22"/>
        <v>54.805000000000007</v>
      </c>
      <c r="L326" s="13">
        <f t="shared" si="23"/>
        <v>13</v>
      </c>
      <c r="M326" s="13">
        <f t="shared" si="24"/>
        <v>4.2157692307692312</v>
      </c>
    </row>
    <row r="327" spans="7:13">
      <c r="G327" s="27">
        <v>41689</v>
      </c>
      <c r="H327" s="26">
        <v>4.33</v>
      </c>
      <c r="I327" s="26">
        <v>0.7</v>
      </c>
      <c r="J327" s="26">
        <v>4.2549999999999999</v>
      </c>
      <c r="K327" s="13">
        <f t="shared" si="22"/>
        <v>50.510000000000005</v>
      </c>
      <c r="L327" s="13">
        <f t="shared" si="23"/>
        <v>12</v>
      </c>
      <c r="M327" s="13">
        <f t="shared" si="24"/>
        <v>4.2091666666666674</v>
      </c>
    </row>
    <row r="328" spans="7:13">
      <c r="G328" s="27">
        <v>41688</v>
      </c>
      <c r="H328" s="26">
        <v>4.33</v>
      </c>
      <c r="I328" s="26">
        <v>0.7</v>
      </c>
      <c r="J328" s="26">
        <v>4.2549999999999999</v>
      </c>
      <c r="K328" s="13">
        <f t="shared" si="22"/>
        <v>46.255000000000003</v>
      </c>
      <c r="L328" s="13">
        <f t="shared" si="23"/>
        <v>11</v>
      </c>
      <c r="M328" s="13">
        <f t="shared" si="24"/>
        <v>4.2050000000000001</v>
      </c>
    </row>
    <row r="329" spans="7:13">
      <c r="G329" s="27">
        <v>41684</v>
      </c>
      <c r="H329" s="26">
        <v>4.33</v>
      </c>
      <c r="I329" s="26">
        <v>0.7</v>
      </c>
      <c r="J329" s="26">
        <v>4.2549999999999999</v>
      </c>
      <c r="K329" s="13">
        <f t="shared" si="22"/>
        <v>42</v>
      </c>
      <c r="L329" s="13">
        <f t="shared" si="23"/>
        <v>10</v>
      </c>
      <c r="M329" s="13">
        <f t="shared" si="24"/>
        <v>4.2</v>
      </c>
    </row>
    <row r="330" spans="7:13">
      <c r="G330" s="27">
        <v>41683</v>
      </c>
      <c r="H330" s="26">
        <v>4.33</v>
      </c>
      <c r="I330" s="26">
        <v>0.7</v>
      </c>
      <c r="J330" s="26">
        <v>4.2549999999999999</v>
      </c>
      <c r="K330" s="13">
        <f t="shared" si="22"/>
        <v>37.744999999999997</v>
      </c>
      <c r="L330" s="13">
        <f t="shared" si="23"/>
        <v>9</v>
      </c>
      <c r="M330" s="13">
        <f t="shared" si="24"/>
        <v>4.193888888888889</v>
      </c>
    </row>
    <row r="331" spans="7:13">
      <c r="G331" s="27">
        <v>41682</v>
      </c>
      <c r="H331" s="26">
        <v>4.28</v>
      </c>
      <c r="I331" s="26">
        <v>0.7</v>
      </c>
      <c r="J331" s="26">
        <v>4.2050000000000001</v>
      </c>
      <c r="K331" s="13">
        <f t="shared" si="22"/>
        <v>33.489999999999995</v>
      </c>
      <c r="L331" s="13">
        <f t="shared" si="23"/>
        <v>8</v>
      </c>
      <c r="M331" s="13">
        <f t="shared" si="24"/>
        <v>4.1862499999999994</v>
      </c>
    </row>
    <row r="332" spans="7:13">
      <c r="G332" s="27">
        <v>41681</v>
      </c>
      <c r="H332" s="26">
        <v>4.28</v>
      </c>
      <c r="I332" s="26">
        <v>0.7</v>
      </c>
      <c r="J332" s="26">
        <v>4.2050000000000001</v>
      </c>
      <c r="K332" s="13">
        <f t="shared" si="22"/>
        <v>29.284999999999997</v>
      </c>
      <c r="L332" s="13">
        <f t="shared" si="23"/>
        <v>7</v>
      </c>
      <c r="M332" s="13">
        <f t="shared" si="24"/>
        <v>4.1835714285714278</v>
      </c>
    </row>
    <row r="333" spans="7:13">
      <c r="G333" s="27">
        <v>41680</v>
      </c>
      <c r="H333" s="26">
        <v>4.28</v>
      </c>
      <c r="I333" s="26">
        <v>0.7</v>
      </c>
      <c r="J333" s="26">
        <v>4.2050000000000001</v>
      </c>
      <c r="K333" s="13">
        <f t="shared" si="22"/>
        <v>25.08</v>
      </c>
      <c r="L333" s="13">
        <f t="shared" si="23"/>
        <v>6</v>
      </c>
      <c r="M333" s="13">
        <f t="shared" si="24"/>
        <v>4.18</v>
      </c>
    </row>
    <row r="334" spans="7:13">
      <c r="G334" s="27">
        <v>41677</v>
      </c>
      <c r="H334" s="26">
        <v>4.28</v>
      </c>
      <c r="I334" s="26">
        <v>0.7</v>
      </c>
      <c r="J334" s="26">
        <v>4.2050000000000001</v>
      </c>
      <c r="K334" s="13">
        <f t="shared" si="22"/>
        <v>20.875</v>
      </c>
      <c r="L334" s="13">
        <f t="shared" si="23"/>
        <v>5</v>
      </c>
      <c r="M334" s="13">
        <f t="shared" si="24"/>
        <v>4.1749999999999998</v>
      </c>
    </row>
    <row r="335" spans="7:13">
      <c r="G335" s="27">
        <v>41676</v>
      </c>
      <c r="H335" s="26">
        <v>4.28</v>
      </c>
      <c r="I335" s="26">
        <v>0.7</v>
      </c>
      <c r="J335" s="26">
        <v>4.2050000000000001</v>
      </c>
      <c r="K335" s="13">
        <f t="shared" si="22"/>
        <v>16.670000000000002</v>
      </c>
      <c r="L335" s="13">
        <f t="shared" si="23"/>
        <v>4</v>
      </c>
      <c r="M335" s="13">
        <f t="shared" si="24"/>
        <v>4.1675000000000004</v>
      </c>
    </row>
    <row r="336" spans="7:13">
      <c r="G336" s="27">
        <v>41675</v>
      </c>
      <c r="H336" s="26">
        <v>4.2300000000000004</v>
      </c>
      <c r="I336" s="26">
        <v>0.7</v>
      </c>
      <c r="J336" s="26">
        <v>4.1550000000000002</v>
      </c>
      <c r="K336" s="13">
        <f t="shared" si="22"/>
        <v>12.465</v>
      </c>
      <c r="L336" s="13">
        <f t="shared" si="23"/>
        <v>3</v>
      </c>
      <c r="M336" s="13">
        <f t="shared" si="24"/>
        <v>4.1550000000000002</v>
      </c>
    </row>
    <row r="337" spans="7:13">
      <c r="G337" s="27">
        <v>41674</v>
      </c>
      <c r="H337" s="26">
        <v>4.2300000000000004</v>
      </c>
      <c r="I337" s="26">
        <v>0.7</v>
      </c>
      <c r="J337" s="26">
        <v>4.1550000000000002</v>
      </c>
      <c r="K337" s="13">
        <f t="shared" si="22"/>
        <v>8.31</v>
      </c>
      <c r="L337" s="13">
        <f t="shared" si="23"/>
        <v>2</v>
      </c>
      <c r="M337" s="13">
        <f t="shared" si="24"/>
        <v>4.1550000000000002</v>
      </c>
    </row>
    <row r="338" spans="7:13">
      <c r="G338" s="27">
        <v>41673</v>
      </c>
      <c r="H338" s="26">
        <v>4.2300000000000004</v>
      </c>
      <c r="I338" s="26">
        <v>0.7</v>
      </c>
      <c r="J338" s="26">
        <v>4.1550000000000002</v>
      </c>
      <c r="K338" s="13">
        <f t="shared" si="22"/>
        <v>4.1550000000000002</v>
      </c>
      <c r="L338" s="13">
        <f t="shared" si="23"/>
        <v>1</v>
      </c>
      <c r="M338" s="13">
        <f t="shared" si="24"/>
        <v>4.1550000000000002</v>
      </c>
    </row>
    <row r="339" spans="7:13">
      <c r="G339" s="27">
        <v>41670</v>
      </c>
      <c r="H339" s="26">
        <v>4.2300000000000004</v>
      </c>
      <c r="I339" s="26">
        <v>0.7</v>
      </c>
      <c r="J339" s="26">
        <v>4.1550000000000002</v>
      </c>
      <c r="K339" s="13">
        <f t="shared" si="22"/>
        <v>90.64500000000001</v>
      </c>
      <c r="L339" s="13">
        <f t="shared" si="23"/>
        <v>21</v>
      </c>
      <c r="M339" s="13">
        <f t="shared" si="24"/>
        <v>4.3164285714285722</v>
      </c>
    </row>
    <row r="340" spans="7:13">
      <c r="G340" s="27">
        <v>41669</v>
      </c>
      <c r="H340" s="26">
        <v>4.2300000000000004</v>
      </c>
      <c r="I340" s="26">
        <v>0.7</v>
      </c>
      <c r="J340" s="26">
        <v>4.1550000000000002</v>
      </c>
      <c r="K340" s="13">
        <f t="shared" si="22"/>
        <v>86.490000000000009</v>
      </c>
      <c r="L340" s="13">
        <f t="shared" si="23"/>
        <v>20</v>
      </c>
      <c r="M340" s="13">
        <f t="shared" si="24"/>
        <v>4.3245000000000005</v>
      </c>
    </row>
    <row r="341" spans="7:13">
      <c r="G341" s="27">
        <v>41668</v>
      </c>
      <c r="H341" s="26">
        <v>4.32</v>
      </c>
      <c r="I341" s="26">
        <v>0.7</v>
      </c>
      <c r="J341" s="26">
        <v>4.2450000000000001</v>
      </c>
      <c r="K341" s="13">
        <f t="shared" si="22"/>
        <v>82.335000000000008</v>
      </c>
      <c r="L341" s="13">
        <f t="shared" si="23"/>
        <v>19</v>
      </c>
      <c r="M341" s="13">
        <f t="shared" si="24"/>
        <v>4.3334210526315795</v>
      </c>
    </row>
    <row r="342" spans="7:13">
      <c r="G342" s="27">
        <v>41667</v>
      </c>
      <c r="H342" s="26">
        <v>4.32</v>
      </c>
      <c r="I342" s="26">
        <v>0.7</v>
      </c>
      <c r="J342" s="26">
        <v>4.2450000000000001</v>
      </c>
      <c r="K342" s="13">
        <f t="shared" si="22"/>
        <v>78.09</v>
      </c>
      <c r="L342" s="13">
        <f t="shared" si="23"/>
        <v>18</v>
      </c>
      <c r="M342" s="13">
        <f t="shared" si="24"/>
        <v>4.3383333333333338</v>
      </c>
    </row>
    <row r="343" spans="7:13">
      <c r="G343" s="27">
        <v>41666</v>
      </c>
      <c r="H343" s="26">
        <v>4.32</v>
      </c>
      <c r="I343" s="26">
        <v>0.7</v>
      </c>
      <c r="J343" s="26">
        <v>4.2450000000000001</v>
      </c>
      <c r="K343" s="13">
        <f t="shared" si="22"/>
        <v>73.844999999999999</v>
      </c>
      <c r="L343" s="13">
        <f t="shared" si="23"/>
        <v>17</v>
      </c>
      <c r="M343" s="13">
        <f t="shared" si="24"/>
        <v>4.3438235294117646</v>
      </c>
    </row>
    <row r="344" spans="7:13">
      <c r="G344" s="27">
        <v>41663</v>
      </c>
      <c r="H344" s="26">
        <v>4.32</v>
      </c>
      <c r="I344" s="26">
        <v>0.7</v>
      </c>
      <c r="J344" s="26">
        <v>4.2450000000000001</v>
      </c>
      <c r="K344" s="13">
        <f t="shared" si="22"/>
        <v>69.599999999999994</v>
      </c>
      <c r="L344" s="13">
        <f t="shared" si="23"/>
        <v>16</v>
      </c>
      <c r="M344" s="13">
        <f t="shared" si="24"/>
        <v>4.3499999999999996</v>
      </c>
    </row>
    <row r="345" spans="7:13">
      <c r="G345" s="27">
        <v>41662</v>
      </c>
      <c r="H345" s="26">
        <v>4.32</v>
      </c>
      <c r="I345" s="26">
        <v>0.7</v>
      </c>
      <c r="J345" s="26">
        <v>4.2450000000000001</v>
      </c>
      <c r="K345" s="13">
        <f t="shared" si="22"/>
        <v>65.35499999999999</v>
      </c>
      <c r="L345" s="13">
        <f t="shared" si="23"/>
        <v>15</v>
      </c>
      <c r="M345" s="13">
        <f t="shared" si="24"/>
        <v>4.3569999999999993</v>
      </c>
    </row>
    <row r="346" spans="7:13">
      <c r="G346" s="27">
        <v>41661</v>
      </c>
      <c r="H346" s="26">
        <v>4.3899999999999997</v>
      </c>
      <c r="I346" s="26">
        <v>0.7</v>
      </c>
      <c r="J346" s="26">
        <v>4.3150000000000004</v>
      </c>
      <c r="K346" s="13">
        <f t="shared" si="22"/>
        <v>61.109999999999992</v>
      </c>
      <c r="L346" s="13">
        <f t="shared" si="23"/>
        <v>14</v>
      </c>
      <c r="M346" s="13">
        <f t="shared" si="24"/>
        <v>4.3649999999999993</v>
      </c>
    </row>
    <row r="347" spans="7:13">
      <c r="G347" s="27">
        <v>41660</v>
      </c>
      <c r="H347" s="26">
        <v>4.3899999999999997</v>
      </c>
      <c r="I347" s="26">
        <v>0.7</v>
      </c>
      <c r="J347" s="26">
        <v>4.3150000000000004</v>
      </c>
      <c r="K347" s="13">
        <f t="shared" si="22"/>
        <v>56.794999999999995</v>
      </c>
      <c r="L347" s="13">
        <f t="shared" si="23"/>
        <v>13</v>
      </c>
      <c r="M347" s="13">
        <f t="shared" si="24"/>
        <v>4.3688461538461532</v>
      </c>
    </row>
    <row r="348" spans="7:13">
      <c r="G348" s="27">
        <v>41656</v>
      </c>
      <c r="H348" s="26">
        <v>4.3899999999999997</v>
      </c>
      <c r="I348" s="26">
        <v>0.7</v>
      </c>
      <c r="J348" s="26">
        <v>4.3150000000000004</v>
      </c>
      <c r="K348" s="13">
        <f t="shared" si="22"/>
        <v>52.48</v>
      </c>
      <c r="L348" s="13">
        <f t="shared" si="23"/>
        <v>12</v>
      </c>
      <c r="M348" s="13">
        <f t="shared" si="24"/>
        <v>4.3733333333333331</v>
      </c>
    </row>
    <row r="349" spans="7:13">
      <c r="G349" s="27">
        <v>41655</v>
      </c>
      <c r="H349" s="26">
        <v>4.3899999999999997</v>
      </c>
      <c r="I349" s="26">
        <v>0.7</v>
      </c>
      <c r="J349" s="26">
        <v>4.3150000000000004</v>
      </c>
      <c r="K349" s="13">
        <f t="shared" si="22"/>
        <v>48.164999999999999</v>
      </c>
      <c r="L349" s="13">
        <f t="shared" si="23"/>
        <v>11</v>
      </c>
      <c r="M349" s="13">
        <f t="shared" si="24"/>
        <v>4.3786363636363639</v>
      </c>
    </row>
    <row r="350" spans="7:13">
      <c r="G350" s="27">
        <v>41654</v>
      </c>
      <c r="H350" s="26">
        <v>4.41</v>
      </c>
      <c r="I350" s="26">
        <v>0.7</v>
      </c>
      <c r="J350" s="26">
        <v>4.335</v>
      </c>
      <c r="K350" s="13">
        <f t="shared" si="22"/>
        <v>43.85</v>
      </c>
      <c r="L350" s="13">
        <f t="shared" si="23"/>
        <v>10</v>
      </c>
      <c r="M350" s="13">
        <f t="shared" si="24"/>
        <v>4.3849999999999998</v>
      </c>
    </row>
    <row r="351" spans="7:13">
      <c r="G351" s="27">
        <v>41653</v>
      </c>
      <c r="H351" s="26">
        <v>4.41</v>
      </c>
      <c r="I351" s="26">
        <v>0.7</v>
      </c>
      <c r="J351" s="26">
        <v>4.335</v>
      </c>
      <c r="K351" s="13">
        <f t="shared" si="22"/>
        <v>39.515000000000001</v>
      </c>
      <c r="L351" s="13">
        <f t="shared" si="23"/>
        <v>9</v>
      </c>
      <c r="M351" s="13">
        <f t="shared" si="24"/>
        <v>4.3905555555555553</v>
      </c>
    </row>
    <row r="352" spans="7:13">
      <c r="G352" s="27">
        <v>41652</v>
      </c>
      <c r="H352" s="26">
        <v>4.41</v>
      </c>
      <c r="I352" s="26">
        <v>0.7</v>
      </c>
      <c r="J352" s="26">
        <v>4.335</v>
      </c>
      <c r="K352" s="13">
        <f t="shared" si="22"/>
        <v>35.18</v>
      </c>
      <c r="L352" s="13">
        <f t="shared" si="23"/>
        <v>8</v>
      </c>
      <c r="M352" s="13">
        <f t="shared" si="24"/>
        <v>4.3975</v>
      </c>
    </row>
    <row r="353" spans="7:13">
      <c r="G353" s="27">
        <v>41649</v>
      </c>
      <c r="H353" s="26">
        <v>4.41</v>
      </c>
      <c r="I353" s="26">
        <v>0.7</v>
      </c>
      <c r="J353" s="26">
        <v>4.335</v>
      </c>
      <c r="K353" s="13">
        <f t="shared" si="22"/>
        <v>30.844999999999999</v>
      </c>
      <c r="L353" s="13">
        <f t="shared" si="23"/>
        <v>7</v>
      </c>
      <c r="M353" s="13">
        <f t="shared" si="24"/>
        <v>4.4064285714285711</v>
      </c>
    </row>
    <row r="354" spans="7:13">
      <c r="G354" s="27">
        <v>41648</v>
      </c>
      <c r="H354" s="26">
        <v>4.41</v>
      </c>
      <c r="I354" s="26">
        <v>0.7</v>
      </c>
      <c r="J354" s="26">
        <v>4.335</v>
      </c>
      <c r="K354" s="13">
        <f t="shared" si="22"/>
        <v>26.509999999999998</v>
      </c>
      <c r="L354" s="13">
        <f t="shared" si="23"/>
        <v>6</v>
      </c>
      <c r="M354" s="13">
        <f t="shared" si="24"/>
        <v>4.418333333333333</v>
      </c>
    </row>
    <row r="355" spans="7:13">
      <c r="G355" s="27">
        <v>41647</v>
      </c>
      <c r="H355" s="26">
        <v>4.51</v>
      </c>
      <c r="I355" s="26">
        <v>0.7</v>
      </c>
      <c r="J355" s="26">
        <v>4.4349999999999996</v>
      </c>
      <c r="K355" s="13">
        <f t="shared" si="22"/>
        <v>22.174999999999997</v>
      </c>
      <c r="L355" s="13">
        <f t="shared" si="23"/>
        <v>5</v>
      </c>
      <c r="M355" s="13">
        <f t="shared" si="24"/>
        <v>4.4349999999999996</v>
      </c>
    </row>
    <row r="356" spans="7:13">
      <c r="G356" s="27">
        <v>41646</v>
      </c>
      <c r="H356" s="26">
        <v>4.51</v>
      </c>
      <c r="I356" s="26">
        <v>0.7</v>
      </c>
      <c r="J356" s="26">
        <v>4.4349999999999996</v>
      </c>
      <c r="K356" s="13">
        <f t="shared" si="22"/>
        <v>17.739999999999998</v>
      </c>
      <c r="L356" s="13">
        <f t="shared" si="23"/>
        <v>4</v>
      </c>
      <c r="M356" s="13">
        <f t="shared" si="24"/>
        <v>4.4349999999999996</v>
      </c>
    </row>
    <row r="357" spans="7:13">
      <c r="G357" s="27">
        <v>41645</v>
      </c>
      <c r="H357" s="26">
        <v>4.51</v>
      </c>
      <c r="I357" s="26">
        <v>0.7</v>
      </c>
      <c r="J357" s="26">
        <v>4.4349999999999996</v>
      </c>
      <c r="K357" s="13">
        <f t="shared" si="22"/>
        <v>13.305</v>
      </c>
      <c r="L357" s="13">
        <f t="shared" si="23"/>
        <v>3</v>
      </c>
      <c r="M357" s="13">
        <f t="shared" si="24"/>
        <v>4.4349999999999996</v>
      </c>
    </row>
    <row r="358" spans="7:13">
      <c r="G358" s="27">
        <v>41642</v>
      </c>
      <c r="H358" s="26">
        <v>4.51</v>
      </c>
      <c r="I358" s="26">
        <v>0.7</v>
      </c>
      <c r="J358" s="26">
        <v>4.4349999999999996</v>
      </c>
      <c r="K358" s="13">
        <f t="shared" si="22"/>
        <v>8.8699999999999992</v>
      </c>
      <c r="L358" s="13">
        <f t="shared" si="23"/>
        <v>2</v>
      </c>
      <c r="M358" s="13">
        <f t="shared" si="24"/>
        <v>4.4349999999999996</v>
      </c>
    </row>
    <row r="359" spans="7:13">
      <c r="G359" s="27">
        <v>41641</v>
      </c>
      <c r="H359" s="26">
        <v>4.51</v>
      </c>
      <c r="I359" s="26">
        <v>0.7</v>
      </c>
      <c r="J359" s="26">
        <v>4.4349999999999996</v>
      </c>
      <c r="K359" s="13">
        <f t="shared" si="22"/>
        <v>4.4349999999999996</v>
      </c>
      <c r="L359" s="13">
        <f t="shared" si="23"/>
        <v>1</v>
      </c>
      <c r="M359" s="13">
        <f t="shared" si="24"/>
        <v>4.4349999999999996</v>
      </c>
    </row>
    <row r="360" spans="7:13">
      <c r="G360" s="27">
        <v>41639</v>
      </c>
      <c r="H360" s="26">
        <v>4.53</v>
      </c>
      <c r="I360" s="26">
        <v>0.8</v>
      </c>
      <c r="J360" s="26">
        <v>4.4800000000000004</v>
      </c>
      <c r="K360" s="13">
        <f t="shared" si="22"/>
        <v>92.245000000000005</v>
      </c>
      <c r="L360" s="13">
        <f t="shared" si="23"/>
        <v>21</v>
      </c>
      <c r="M360" s="13">
        <f t="shared" si="24"/>
        <v>4.3926190476190481</v>
      </c>
    </row>
    <row r="361" spans="7:13">
      <c r="G361" s="27">
        <v>41638</v>
      </c>
      <c r="H361" s="26">
        <v>4.53</v>
      </c>
      <c r="I361" s="26">
        <v>0.8</v>
      </c>
      <c r="J361" s="26">
        <v>4.4800000000000004</v>
      </c>
      <c r="K361" s="13">
        <f t="shared" si="22"/>
        <v>87.765000000000001</v>
      </c>
      <c r="L361" s="13">
        <f t="shared" si="23"/>
        <v>20</v>
      </c>
      <c r="M361" s="13">
        <f t="shared" si="24"/>
        <v>4.3882500000000002</v>
      </c>
    </row>
    <row r="362" spans="7:13">
      <c r="G362" s="27">
        <v>41635</v>
      </c>
      <c r="H362" s="26">
        <v>4.53</v>
      </c>
      <c r="I362" s="26">
        <v>0.8</v>
      </c>
      <c r="J362" s="26">
        <v>4.4800000000000004</v>
      </c>
      <c r="K362" s="13">
        <f t="shared" si="22"/>
        <v>83.284999999999997</v>
      </c>
      <c r="L362" s="13">
        <f t="shared" si="23"/>
        <v>19</v>
      </c>
      <c r="M362" s="13">
        <f t="shared" si="24"/>
        <v>4.3834210526315784</v>
      </c>
    </row>
    <row r="363" spans="7:13">
      <c r="G363" s="27">
        <v>41634</v>
      </c>
      <c r="H363" s="26">
        <v>4.53</v>
      </c>
      <c r="I363" s="26">
        <v>0.8</v>
      </c>
      <c r="J363" s="26">
        <v>4.4800000000000004</v>
      </c>
      <c r="K363" s="13">
        <f t="shared" si="22"/>
        <v>78.804999999999993</v>
      </c>
      <c r="L363" s="13">
        <f t="shared" si="23"/>
        <v>18</v>
      </c>
      <c r="M363" s="13">
        <f t="shared" si="24"/>
        <v>4.3780555555555551</v>
      </c>
    </row>
    <row r="364" spans="7:13">
      <c r="G364" s="27">
        <v>41632</v>
      </c>
      <c r="H364" s="26">
        <v>4.4800000000000004</v>
      </c>
      <c r="I364" s="26">
        <v>0.7</v>
      </c>
      <c r="J364" s="26">
        <v>4.4050000000000002</v>
      </c>
      <c r="K364" s="13">
        <f t="shared" si="22"/>
        <v>74.324999999999989</v>
      </c>
      <c r="L364" s="13">
        <f t="shared" si="23"/>
        <v>17</v>
      </c>
      <c r="M364" s="13">
        <f t="shared" si="24"/>
        <v>4.3720588235294109</v>
      </c>
    </row>
    <row r="365" spans="7:13">
      <c r="G365" s="27">
        <v>41631</v>
      </c>
      <c r="H365" s="26">
        <v>4.4800000000000004</v>
      </c>
      <c r="I365" s="26">
        <v>0.7</v>
      </c>
      <c r="J365" s="26">
        <v>4.4050000000000002</v>
      </c>
      <c r="K365" s="13">
        <f t="shared" si="22"/>
        <v>69.919999999999987</v>
      </c>
      <c r="L365" s="13">
        <f t="shared" si="23"/>
        <v>16</v>
      </c>
      <c r="M365" s="13">
        <f t="shared" si="24"/>
        <v>4.3699999999999992</v>
      </c>
    </row>
    <row r="366" spans="7:13">
      <c r="G366" s="27">
        <v>41628</v>
      </c>
      <c r="H366" s="26">
        <v>4.4800000000000004</v>
      </c>
      <c r="I366" s="26">
        <v>0.7</v>
      </c>
      <c r="J366" s="26">
        <v>4.4050000000000002</v>
      </c>
      <c r="K366" s="13">
        <f t="shared" si="22"/>
        <v>65.514999999999986</v>
      </c>
      <c r="L366" s="13">
        <f t="shared" si="23"/>
        <v>15</v>
      </c>
      <c r="M366" s="13">
        <f t="shared" si="24"/>
        <v>4.3676666666666657</v>
      </c>
    </row>
    <row r="367" spans="7:13">
      <c r="G367" s="27">
        <v>41627</v>
      </c>
      <c r="H367" s="26">
        <v>4.4800000000000004</v>
      </c>
      <c r="I367" s="26">
        <v>0.7</v>
      </c>
      <c r="J367" s="26">
        <v>4.4050000000000002</v>
      </c>
      <c r="K367" s="13">
        <f t="shared" si="22"/>
        <v>61.109999999999985</v>
      </c>
      <c r="L367" s="13">
        <f t="shared" si="23"/>
        <v>14</v>
      </c>
      <c r="M367" s="13">
        <f t="shared" si="24"/>
        <v>4.3649999999999993</v>
      </c>
    </row>
    <row r="368" spans="7:13">
      <c r="G368" s="27">
        <v>41626</v>
      </c>
      <c r="H368" s="26">
        <v>4.47</v>
      </c>
      <c r="I368" s="26">
        <v>0.7</v>
      </c>
      <c r="J368" s="26">
        <v>4.3949999999999996</v>
      </c>
      <c r="K368" s="13">
        <f t="shared" si="22"/>
        <v>56.704999999999984</v>
      </c>
      <c r="L368" s="13">
        <f t="shared" si="23"/>
        <v>13</v>
      </c>
      <c r="M368" s="13">
        <f t="shared" si="24"/>
        <v>4.3619230769230759</v>
      </c>
    </row>
    <row r="369" spans="7:13">
      <c r="G369" s="27">
        <v>41625</v>
      </c>
      <c r="H369" s="26">
        <v>4.47</v>
      </c>
      <c r="I369" s="26">
        <v>0.7</v>
      </c>
      <c r="J369" s="26">
        <v>4.3949999999999996</v>
      </c>
      <c r="K369" s="13">
        <f t="shared" si="22"/>
        <v>52.309999999999988</v>
      </c>
      <c r="L369" s="13">
        <f t="shared" si="23"/>
        <v>12</v>
      </c>
      <c r="M369" s="13">
        <f t="shared" si="24"/>
        <v>4.359166666666666</v>
      </c>
    </row>
    <row r="370" spans="7:13">
      <c r="G370" s="27">
        <v>41624</v>
      </c>
      <c r="H370" s="26">
        <v>4.47</v>
      </c>
      <c r="I370" s="26">
        <v>0.7</v>
      </c>
      <c r="J370" s="26">
        <v>4.3949999999999996</v>
      </c>
      <c r="K370" s="13">
        <f t="shared" si="22"/>
        <v>47.914999999999992</v>
      </c>
      <c r="L370" s="13">
        <f t="shared" si="23"/>
        <v>11</v>
      </c>
      <c r="M370" s="13">
        <f t="shared" si="24"/>
        <v>4.3559090909090905</v>
      </c>
    </row>
    <row r="371" spans="7:13">
      <c r="G371" s="27">
        <v>41621</v>
      </c>
      <c r="H371" s="26">
        <v>4.47</v>
      </c>
      <c r="I371" s="26">
        <v>0.7</v>
      </c>
      <c r="J371" s="26">
        <v>4.3949999999999996</v>
      </c>
      <c r="K371" s="13">
        <f t="shared" si="22"/>
        <v>43.519999999999996</v>
      </c>
      <c r="L371" s="13">
        <f t="shared" si="23"/>
        <v>10</v>
      </c>
      <c r="M371" s="13">
        <f t="shared" si="24"/>
        <v>4.3519999999999994</v>
      </c>
    </row>
    <row r="372" spans="7:13">
      <c r="G372" s="27">
        <v>41620</v>
      </c>
      <c r="H372" s="26">
        <v>4.47</v>
      </c>
      <c r="I372" s="26">
        <v>0.7</v>
      </c>
      <c r="J372" s="26">
        <v>4.3949999999999996</v>
      </c>
      <c r="K372" s="13">
        <f t="shared" si="22"/>
        <v>39.125</v>
      </c>
      <c r="L372" s="13">
        <f t="shared" si="23"/>
        <v>9</v>
      </c>
      <c r="M372" s="13">
        <f t="shared" si="24"/>
        <v>4.3472222222222223</v>
      </c>
    </row>
    <row r="373" spans="7:13">
      <c r="G373" s="27">
        <v>41619</v>
      </c>
      <c r="H373" s="26">
        <v>4.42</v>
      </c>
      <c r="I373" s="26">
        <v>0.7</v>
      </c>
      <c r="J373" s="26">
        <v>4.3449999999999998</v>
      </c>
      <c r="K373" s="13">
        <f t="shared" si="22"/>
        <v>34.729999999999997</v>
      </c>
      <c r="L373" s="13">
        <f t="shared" si="23"/>
        <v>8</v>
      </c>
      <c r="M373" s="13">
        <f t="shared" si="24"/>
        <v>4.3412499999999996</v>
      </c>
    </row>
    <row r="374" spans="7:13">
      <c r="G374" s="27">
        <v>41618</v>
      </c>
      <c r="H374" s="26">
        <v>4.42</v>
      </c>
      <c r="I374" s="26">
        <v>0.7</v>
      </c>
      <c r="J374" s="26">
        <v>4.3449999999999998</v>
      </c>
      <c r="K374" s="13">
        <f t="shared" si="22"/>
        <v>30.384999999999994</v>
      </c>
      <c r="L374" s="13">
        <f t="shared" si="23"/>
        <v>7</v>
      </c>
      <c r="M374" s="13">
        <f t="shared" si="24"/>
        <v>4.3407142857142853</v>
      </c>
    </row>
    <row r="375" spans="7:13">
      <c r="G375" s="27">
        <v>41617</v>
      </c>
      <c r="H375" s="26">
        <v>4.42</v>
      </c>
      <c r="I375" s="26">
        <v>0.7</v>
      </c>
      <c r="J375" s="26">
        <v>4.3449999999999998</v>
      </c>
      <c r="K375" s="13">
        <f t="shared" si="22"/>
        <v>26.039999999999996</v>
      </c>
      <c r="L375" s="13">
        <f t="shared" si="23"/>
        <v>6</v>
      </c>
      <c r="M375" s="13">
        <f t="shared" si="24"/>
        <v>4.339999999999999</v>
      </c>
    </row>
    <row r="376" spans="7:13">
      <c r="G376" s="27">
        <v>41614</v>
      </c>
      <c r="H376" s="26">
        <v>4.42</v>
      </c>
      <c r="I376" s="26">
        <v>0.7</v>
      </c>
      <c r="J376" s="26">
        <v>4.3449999999999998</v>
      </c>
      <c r="K376" s="13">
        <f t="shared" si="22"/>
        <v>21.694999999999997</v>
      </c>
      <c r="L376" s="13">
        <f t="shared" si="23"/>
        <v>5</v>
      </c>
      <c r="M376" s="13">
        <f t="shared" si="24"/>
        <v>4.3389999999999995</v>
      </c>
    </row>
    <row r="377" spans="7:13">
      <c r="G377" s="27">
        <v>41613</v>
      </c>
      <c r="H377" s="26">
        <v>4.42</v>
      </c>
      <c r="I377" s="26">
        <v>0.7</v>
      </c>
      <c r="J377" s="26">
        <v>4.3449999999999998</v>
      </c>
      <c r="K377" s="13">
        <f t="shared" si="22"/>
        <v>17.349999999999998</v>
      </c>
      <c r="L377" s="13">
        <f t="shared" si="23"/>
        <v>4</v>
      </c>
      <c r="M377" s="13">
        <f t="shared" si="24"/>
        <v>4.3374999999999995</v>
      </c>
    </row>
    <row r="378" spans="7:13">
      <c r="G378" s="27">
        <v>41612</v>
      </c>
      <c r="H378" s="26">
        <v>4.46</v>
      </c>
      <c r="I378" s="26">
        <v>0.5</v>
      </c>
      <c r="J378" s="26">
        <v>4.335</v>
      </c>
      <c r="K378" s="13">
        <f t="shared" si="22"/>
        <v>13.004999999999999</v>
      </c>
      <c r="L378" s="13">
        <f t="shared" si="23"/>
        <v>3</v>
      </c>
      <c r="M378" s="13">
        <f t="shared" si="24"/>
        <v>4.335</v>
      </c>
    </row>
    <row r="379" spans="7:13">
      <c r="G379" s="27">
        <v>41611</v>
      </c>
      <c r="H379" s="26">
        <v>4.46</v>
      </c>
      <c r="I379" s="26">
        <v>0.5</v>
      </c>
      <c r="J379" s="26">
        <v>4.335</v>
      </c>
      <c r="K379" s="13">
        <f t="shared" si="22"/>
        <v>8.67</v>
      </c>
      <c r="L379" s="13">
        <f t="shared" si="23"/>
        <v>2</v>
      </c>
      <c r="M379" s="13">
        <f t="shared" si="24"/>
        <v>4.335</v>
      </c>
    </row>
    <row r="380" spans="7:13">
      <c r="G380" s="27">
        <v>41610</v>
      </c>
      <c r="H380" s="26">
        <v>4.46</v>
      </c>
      <c r="I380" s="26">
        <v>0.5</v>
      </c>
      <c r="J380" s="26">
        <v>4.335</v>
      </c>
      <c r="K380" s="13">
        <f t="shared" si="22"/>
        <v>4.335</v>
      </c>
      <c r="L380" s="13">
        <f t="shared" si="23"/>
        <v>1</v>
      </c>
      <c r="M380" s="13">
        <f t="shared" si="24"/>
        <v>4.335</v>
      </c>
    </row>
    <row r="381" spans="7:13">
      <c r="G381" s="27">
        <v>41607</v>
      </c>
      <c r="H381" s="26">
        <v>4.46</v>
      </c>
      <c r="I381" s="26">
        <v>0.5</v>
      </c>
      <c r="J381" s="26">
        <v>4.335</v>
      </c>
      <c r="K381" s="13">
        <f t="shared" si="22"/>
        <v>79.674999999999997</v>
      </c>
      <c r="L381" s="13">
        <f t="shared" si="23"/>
        <v>19</v>
      </c>
      <c r="M381" s="13">
        <f t="shared" si="24"/>
        <v>4.1934210526315789</v>
      </c>
    </row>
    <row r="382" spans="7:13">
      <c r="G382" s="27">
        <v>41604</v>
      </c>
      <c r="H382" s="26">
        <v>4.29</v>
      </c>
      <c r="I382" s="26">
        <v>0.7</v>
      </c>
      <c r="J382" s="26">
        <v>4.2149999999999999</v>
      </c>
      <c r="K382" s="13">
        <f t="shared" si="22"/>
        <v>75.34</v>
      </c>
      <c r="L382" s="13">
        <f t="shared" si="23"/>
        <v>18</v>
      </c>
      <c r="M382" s="13">
        <f t="shared" si="24"/>
        <v>4.1855555555555561</v>
      </c>
    </row>
    <row r="383" spans="7:13">
      <c r="G383" s="27">
        <v>41603</v>
      </c>
      <c r="H383" s="26">
        <v>4.29</v>
      </c>
      <c r="I383" s="26">
        <v>0.7</v>
      </c>
      <c r="J383" s="26">
        <v>4.2149999999999999</v>
      </c>
      <c r="K383" s="13">
        <f t="shared" si="22"/>
        <v>71.125</v>
      </c>
      <c r="L383" s="13">
        <f t="shared" si="23"/>
        <v>17</v>
      </c>
      <c r="M383" s="13">
        <f t="shared" si="24"/>
        <v>4.1838235294117645</v>
      </c>
    </row>
    <row r="384" spans="7:13">
      <c r="G384" s="27">
        <v>41600</v>
      </c>
      <c r="H384" s="26">
        <v>4.29</v>
      </c>
      <c r="I384" s="26">
        <v>0.7</v>
      </c>
      <c r="J384" s="26">
        <v>4.2149999999999999</v>
      </c>
      <c r="K384" s="13">
        <f t="shared" si="22"/>
        <v>66.91</v>
      </c>
      <c r="L384" s="13">
        <f t="shared" si="23"/>
        <v>16</v>
      </c>
      <c r="M384" s="13">
        <f t="shared" si="24"/>
        <v>4.1818749999999998</v>
      </c>
    </row>
    <row r="385" spans="7:13">
      <c r="G385" s="27">
        <v>41599</v>
      </c>
      <c r="H385" s="26">
        <v>4.29</v>
      </c>
      <c r="I385" s="26">
        <v>0.7</v>
      </c>
      <c r="J385" s="26">
        <v>4.2149999999999999</v>
      </c>
      <c r="K385" s="13">
        <f t="shared" si="22"/>
        <v>62.694999999999993</v>
      </c>
      <c r="L385" s="13">
        <f t="shared" si="23"/>
        <v>15</v>
      </c>
      <c r="M385" s="13">
        <f t="shared" si="24"/>
        <v>4.179666666666666</v>
      </c>
    </row>
    <row r="386" spans="7:13">
      <c r="G386" s="27">
        <v>41598</v>
      </c>
      <c r="H386" s="26">
        <v>4.22</v>
      </c>
      <c r="I386" s="26">
        <v>0.7</v>
      </c>
      <c r="J386" s="26">
        <v>4.1449999999999996</v>
      </c>
      <c r="K386" s="13">
        <f t="shared" si="22"/>
        <v>58.47999999999999</v>
      </c>
      <c r="L386" s="13">
        <f t="shared" si="23"/>
        <v>14</v>
      </c>
      <c r="M386" s="13">
        <f t="shared" si="24"/>
        <v>4.1771428571428562</v>
      </c>
    </row>
    <row r="387" spans="7:13">
      <c r="G387" s="27">
        <v>41598</v>
      </c>
      <c r="H387" s="26">
        <v>4.29</v>
      </c>
      <c r="I387" s="26">
        <v>0.7</v>
      </c>
      <c r="J387" s="26">
        <v>4.2149999999999999</v>
      </c>
      <c r="K387" s="13">
        <f t="shared" si="22"/>
        <v>54.334999999999994</v>
      </c>
      <c r="L387" s="13">
        <f t="shared" si="23"/>
        <v>13</v>
      </c>
      <c r="M387" s="13">
        <f t="shared" si="24"/>
        <v>4.1796153846153841</v>
      </c>
    </row>
    <row r="388" spans="7:13">
      <c r="G388" s="27">
        <v>41597</v>
      </c>
      <c r="H388" s="26">
        <v>4.22</v>
      </c>
      <c r="I388" s="26">
        <v>0.7</v>
      </c>
      <c r="J388" s="26">
        <v>4.1449999999999996</v>
      </c>
      <c r="K388" s="13">
        <f t="shared" ref="K388:K451" si="25">IF(MONTH(G388)=MONTH(G389),J388+K389,J388)</f>
        <v>50.11999999999999</v>
      </c>
      <c r="L388" s="13">
        <f t="shared" ref="L388:L451" si="26">IF(MONTH(G388)=MONTH(G389),L389+1,1)</f>
        <v>12</v>
      </c>
      <c r="M388" s="13">
        <f t="shared" si="24"/>
        <v>4.1766666666666659</v>
      </c>
    </row>
    <row r="389" spans="7:13">
      <c r="G389" s="27">
        <v>41596</v>
      </c>
      <c r="H389" s="26">
        <v>4.22</v>
      </c>
      <c r="I389" s="26">
        <v>0.7</v>
      </c>
      <c r="J389" s="26">
        <v>4.1449999999999996</v>
      </c>
      <c r="K389" s="13">
        <f t="shared" si="25"/>
        <v>45.974999999999994</v>
      </c>
      <c r="L389" s="13">
        <f t="shared" si="26"/>
        <v>11</v>
      </c>
      <c r="M389" s="13">
        <f t="shared" ref="M389:M452" si="27">K389/L389</f>
        <v>4.1795454545454538</v>
      </c>
    </row>
    <row r="390" spans="7:13">
      <c r="G390" s="27">
        <v>41593</v>
      </c>
      <c r="H390" s="26">
        <v>4.22</v>
      </c>
      <c r="I390" s="26">
        <v>0.7</v>
      </c>
      <c r="J390" s="26">
        <v>4.1449999999999996</v>
      </c>
      <c r="K390" s="13">
        <f t="shared" si="25"/>
        <v>41.83</v>
      </c>
      <c r="L390" s="13">
        <f t="shared" si="26"/>
        <v>10</v>
      </c>
      <c r="M390" s="13">
        <f t="shared" si="27"/>
        <v>4.1829999999999998</v>
      </c>
    </row>
    <row r="391" spans="7:13">
      <c r="G391" s="27">
        <v>41592</v>
      </c>
      <c r="H391" s="26">
        <v>4.22</v>
      </c>
      <c r="I391" s="26">
        <v>0.7</v>
      </c>
      <c r="J391" s="26">
        <v>4.1449999999999996</v>
      </c>
      <c r="K391" s="13">
        <f t="shared" si="25"/>
        <v>37.685000000000002</v>
      </c>
      <c r="L391" s="13">
        <f t="shared" si="26"/>
        <v>9</v>
      </c>
      <c r="M391" s="13">
        <f t="shared" si="27"/>
        <v>4.1872222222222222</v>
      </c>
    </row>
    <row r="392" spans="7:13">
      <c r="G392" s="27">
        <v>41591</v>
      </c>
      <c r="H392" s="26">
        <v>4.3499999999999996</v>
      </c>
      <c r="I392" s="26">
        <v>0.7</v>
      </c>
      <c r="J392" s="26">
        <v>4.2750000000000004</v>
      </c>
      <c r="K392" s="13">
        <f t="shared" si="25"/>
        <v>33.54</v>
      </c>
      <c r="L392" s="13">
        <f t="shared" si="26"/>
        <v>8</v>
      </c>
      <c r="M392" s="13">
        <f t="shared" si="27"/>
        <v>4.1924999999999999</v>
      </c>
    </row>
    <row r="393" spans="7:13">
      <c r="G393" s="27">
        <v>41590</v>
      </c>
      <c r="H393" s="26">
        <v>4.3499999999999996</v>
      </c>
      <c r="I393" s="26">
        <v>0.7</v>
      </c>
      <c r="J393" s="26">
        <v>4.2750000000000004</v>
      </c>
      <c r="K393" s="13">
        <f t="shared" si="25"/>
        <v>29.265000000000001</v>
      </c>
      <c r="L393" s="13">
        <f t="shared" si="26"/>
        <v>7</v>
      </c>
      <c r="M393" s="13">
        <f t="shared" si="27"/>
        <v>4.180714285714286</v>
      </c>
    </row>
    <row r="394" spans="7:13">
      <c r="G394" s="27">
        <v>41586</v>
      </c>
      <c r="H394" s="26">
        <v>4.3499999999999996</v>
      </c>
      <c r="I394" s="26">
        <v>0.7</v>
      </c>
      <c r="J394" s="26">
        <v>4.2750000000000004</v>
      </c>
      <c r="K394" s="13">
        <f t="shared" si="25"/>
        <v>24.990000000000002</v>
      </c>
      <c r="L394" s="13">
        <f t="shared" si="26"/>
        <v>6</v>
      </c>
      <c r="M394" s="13">
        <f t="shared" si="27"/>
        <v>4.165</v>
      </c>
    </row>
    <row r="395" spans="7:13">
      <c r="G395" s="27">
        <v>41585</v>
      </c>
      <c r="H395" s="26">
        <v>4.3499999999999996</v>
      </c>
      <c r="I395" s="26">
        <v>0.7</v>
      </c>
      <c r="J395" s="26">
        <v>4.2750000000000004</v>
      </c>
      <c r="K395" s="13">
        <f t="shared" si="25"/>
        <v>20.715000000000003</v>
      </c>
      <c r="L395" s="13">
        <f t="shared" si="26"/>
        <v>5</v>
      </c>
      <c r="M395" s="13">
        <f t="shared" si="27"/>
        <v>4.1430000000000007</v>
      </c>
    </row>
    <row r="396" spans="7:13">
      <c r="G396" s="27">
        <v>41584</v>
      </c>
      <c r="H396" s="26">
        <v>4.16</v>
      </c>
      <c r="I396" s="26">
        <v>0.8</v>
      </c>
      <c r="J396" s="26">
        <v>4.1100000000000003</v>
      </c>
      <c r="K396" s="13">
        <f t="shared" si="25"/>
        <v>16.440000000000001</v>
      </c>
      <c r="L396" s="13">
        <f t="shared" si="26"/>
        <v>4</v>
      </c>
      <c r="M396" s="13">
        <f t="shared" si="27"/>
        <v>4.1100000000000003</v>
      </c>
    </row>
    <row r="397" spans="7:13">
      <c r="G397" s="27">
        <v>41583</v>
      </c>
      <c r="H397" s="26">
        <v>4.16</v>
      </c>
      <c r="I397" s="26">
        <v>0.8</v>
      </c>
      <c r="J397" s="26">
        <v>4.1100000000000003</v>
      </c>
      <c r="K397" s="13">
        <f t="shared" si="25"/>
        <v>12.330000000000002</v>
      </c>
      <c r="L397" s="13">
        <f t="shared" si="26"/>
        <v>3</v>
      </c>
      <c r="M397" s="13">
        <f t="shared" si="27"/>
        <v>4.1100000000000003</v>
      </c>
    </row>
    <row r="398" spans="7:13">
      <c r="G398" s="27">
        <v>41582</v>
      </c>
      <c r="H398" s="26">
        <v>4.16</v>
      </c>
      <c r="I398" s="26">
        <v>0.8</v>
      </c>
      <c r="J398" s="26">
        <v>4.1100000000000003</v>
      </c>
      <c r="K398" s="13">
        <f t="shared" si="25"/>
        <v>8.2200000000000006</v>
      </c>
      <c r="L398" s="13">
        <f t="shared" si="26"/>
        <v>2</v>
      </c>
      <c r="M398" s="13">
        <f t="shared" si="27"/>
        <v>4.1100000000000003</v>
      </c>
    </row>
    <row r="399" spans="7:13">
      <c r="G399" s="27">
        <v>41579</v>
      </c>
      <c r="H399" s="26">
        <v>4.16</v>
      </c>
      <c r="I399" s="26">
        <v>0.8</v>
      </c>
      <c r="J399" s="26">
        <v>4.1100000000000003</v>
      </c>
      <c r="K399" s="13">
        <f t="shared" si="25"/>
        <v>4.1100000000000003</v>
      </c>
      <c r="L399" s="13">
        <f t="shared" si="26"/>
        <v>1</v>
      </c>
      <c r="M399" s="13">
        <f t="shared" si="27"/>
        <v>4.1100000000000003</v>
      </c>
    </row>
    <row r="400" spans="7:13">
      <c r="G400" s="27">
        <v>41578</v>
      </c>
      <c r="H400" s="26">
        <v>4.16</v>
      </c>
      <c r="I400" s="26">
        <v>0.8</v>
      </c>
      <c r="J400" s="26">
        <v>4.1100000000000003</v>
      </c>
      <c r="K400" s="13">
        <f t="shared" si="25"/>
        <v>90.520000000000024</v>
      </c>
      <c r="L400" s="13">
        <f t="shared" si="26"/>
        <v>22</v>
      </c>
      <c r="M400" s="13">
        <f t="shared" si="27"/>
        <v>4.1145454545454561</v>
      </c>
    </row>
    <row r="401" spans="7:13">
      <c r="G401" s="27">
        <v>41577</v>
      </c>
      <c r="H401" s="26">
        <v>4.0999999999999996</v>
      </c>
      <c r="I401" s="26">
        <v>0.7</v>
      </c>
      <c r="J401" s="26">
        <v>4.0250000000000004</v>
      </c>
      <c r="K401" s="13">
        <f t="shared" si="25"/>
        <v>86.410000000000025</v>
      </c>
      <c r="L401" s="13">
        <f t="shared" si="26"/>
        <v>21</v>
      </c>
      <c r="M401" s="13">
        <f t="shared" si="27"/>
        <v>4.114761904761906</v>
      </c>
    </row>
    <row r="402" spans="7:13">
      <c r="G402" s="27">
        <v>41576</v>
      </c>
      <c r="H402" s="26">
        <v>4.0999999999999996</v>
      </c>
      <c r="I402" s="26">
        <v>0.7</v>
      </c>
      <c r="J402" s="26">
        <v>4.0250000000000004</v>
      </c>
      <c r="K402" s="13">
        <f t="shared" si="25"/>
        <v>82.385000000000019</v>
      </c>
      <c r="L402" s="13">
        <f t="shared" si="26"/>
        <v>20</v>
      </c>
      <c r="M402" s="13">
        <f t="shared" si="27"/>
        <v>4.119250000000001</v>
      </c>
    </row>
    <row r="403" spans="7:13">
      <c r="G403" s="27">
        <v>41575</v>
      </c>
      <c r="H403" s="26">
        <v>4.0999999999999996</v>
      </c>
      <c r="I403" s="26">
        <v>0.7</v>
      </c>
      <c r="J403" s="26">
        <v>4.0250000000000004</v>
      </c>
      <c r="K403" s="13">
        <f t="shared" si="25"/>
        <v>78.360000000000014</v>
      </c>
      <c r="L403" s="13">
        <f t="shared" si="26"/>
        <v>19</v>
      </c>
      <c r="M403" s="13">
        <f t="shared" si="27"/>
        <v>4.1242105263157898</v>
      </c>
    </row>
    <row r="404" spans="7:13">
      <c r="G404" s="27">
        <v>41572</v>
      </c>
      <c r="H404" s="26">
        <v>4.0999999999999996</v>
      </c>
      <c r="I404" s="26">
        <v>0.7</v>
      </c>
      <c r="J404" s="26">
        <v>4.0250000000000004</v>
      </c>
      <c r="K404" s="13">
        <f t="shared" si="25"/>
        <v>74.335000000000008</v>
      </c>
      <c r="L404" s="13">
        <f t="shared" si="26"/>
        <v>18</v>
      </c>
      <c r="M404" s="13">
        <f t="shared" si="27"/>
        <v>4.129722222222223</v>
      </c>
    </row>
    <row r="405" spans="7:13">
      <c r="G405" s="27">
        <v>41571</v>
      </c>
      <c r="H405" s="26">
        <v>4.0999999999999996</v>
      </c>
      <c r="I405" s="26">
        <v>0.7</v>
      </c>
      <c r="J405" s="26">
        <v>4.0250000000000004</v>
      </c>
      <c r="K405" s="13">
        <f t="shared" si="25"/>
        <v>70.31</v>
      </c>
      <c r="L405" s="13">
        <f t="shared" si="26"/>
        <v>17</v>
      </c>
      <c r="M405" s="13">
        <f t="shared" si="27"/>
        <v>4.1358823529411763</v>
      </c>
    </row>
    <row r="406" spans="7:13">
      <c r="G406" s="27">
        <v>41570</v>
      </c>
      <c r="H406" s="26">
        <v>4.13</v>
      </c>
      <c r="I406" s="26">
        <v>0.8</v>
      </c>
      <c r="J406" s="26">
        <v>4.08</v>
      </c>
      <c r="K406" s="13">
        <f t="shared" si="25"/>
        <v>66.284999999999997</v>
      </c>
      <c r="L406" s="13">
        <f t="shared" si="26"/>
        <v>16</v>
      </c>
      <c r="M406" s="13">
        <f t="shared" si="27"/>
        <v>4.1428124999999998</v>
      </c>
    </row>
    <row r="407" spans="7:13">
      <c r="G407" s="27">
        <v>41569</v>
      </c>
      <c r="H407" s="26">
        <v>4.13</v>
      </c>
      <c r="I407" s="26">
        <v>0.8</v>
      </c>
      <c r="J407" s="26">
        <v>4.08</v>
      </c>
      <c r="K407" s="13">
        <f t="shared" si="25"/>
        <v>62.204999999999991</v>
      </c>
      <c r="L407" s="13">
        <f t="shared" si="26"/>
        <v>15</v>
      </c>
      <c r="M407" s="13">
        <f t="shared" si="27"/>
        <v>4.1469999999999994</v>
      </c>
    </row>
    <row r="408" spans="7:13">
      <c r="G408" s="27">
        <v>41568</v>
      </c>
      <c r="H408" s="26">
        <v>4.13</v>
      </c>
      <c r="I408" s="26">
        <v>0.8</v>
      </c>
      <c r="J408" s="26">
        <v>4.08</v>
      </c>
      <c r="K408" s="13">
        <f t="shared" si="25"/>
        <v>58.124999999999993</v>
      </c>
      <c r="L408" s="13">
        <f t="shared" si="26"/>
        <v>14</v>
      </c>
      <c r="M408" s="13">
        <f t="shared" si="27"/>
        <v>4.1517857142857135</v>
      </c>
    </row>
    <row r="409" spans="7:13">
      <c r="G409" s="27">
        <v>41565</v>
      </c>
      <c r="H409" s="26">
        <v>4.13</v>
      </c>
      <c r="I409" s="26">
        <v>0.8</v>
      </c>
      <c r="J409" s="26">
        <v>4.08</v>
      </c>
      <c r="K409" s="13">
        <f t="shared" si="25"/>
        <v>54.044999999999995</v>
      </c>
      <c r="L409" s="13">
        <f t="shared" si="26"/>
        <v>13</v>
      </c>
      <c r="M409" s="13">
        <f t="shared" si="27"/>
        <v>4.1573076923076915</v>
      </c>
    </row>
    <row r="410" spans="7:13">
      <c r="G410" s="27">
        <v>41564</v>
      </c>
      <c r="H410" s="26">
        <v>4.13</v>
      </c>
      <c r="I410" s="26">
        <v>0.8</v>
      </c>
      <c r="J410" s="26">
        <v>4.08</v>
      </c>
      <c r="K410" s="13">
        <f t="shared" si="25"/>
        <v>49.964999999999996</v>
      </c>
      <c r="L410" s="13">
        <f t="shared" si="26"/>
        <v>12</v>
      </c>
      <c r="M410" s="13">
        <f t="shared" si="27"/>
        <v>4.1637499999999994</v>
      </c>
    </row>
    <row r="411" spans="7:13">
      <c r="G411" s="27">
        <v>41563</v>
      </c>
      <c r="H411" s="26">
        <v>4.28</v>
      </c>
      <c r="I411" s="26">
        <v>0.7</v>
      </c>
      <c r="J411" s="26">
        <v>4.2050000000000001</v>
      </c>
      <c r="K411" s="13">
        <f t="shared" si="25"/>
        <v>45.884999999999998</v>
      </c>
      <c r="L411" s="13">
        <f t="shared" si="26"/>
        <v>11</v>
      </c>
      <c r="M411" s="13">
        <f t="shared" si="27"/>
        <v>4.1713636363636359</v>
      </c>
    </row>
    <row r="412" spans="7:13">
      <c r="G412" s="27">
        <v>41562</v>
      </c>
      <c r="H412" s="26">
        <v>4.28</v>
      </c>
      <c r="I412" s="26">
        <v>0.7</v>
      </c>
      <c r="J412" s="26">
        <v>4.2050000000000001</v>
      </c>
      <c r="K412" s="13">
        <f t="shared" si="25"/>
        <v>41.68</v>
      </c>
      <c r="L412" s="13">
        <f t="shared" si="26"/>
        <v>10</v>
      </c>
      <c r="M412" s="13">
        <f t="shared" si="27"/>
        <v>4.1680000000000001</v>
      </c>
    </row>
    <row r="413" spans="7:13">
      <c r="G413" s="27">
        <v>41558</v>
      </c>
      <c r="H413" s="26">
        <v>4.28</v>
      </c>
      <c r="I413" s="26">
        <v>0.7</v>
      </c>
      <c r="J413" s="26">
        <v>4.2050000000000001</v>
      </c>
      <c r="K413" s="13">
        <f t="shared" si="25"/>
        <v>37.475000000000001</v>
      </c>
      <c r="L413" s="13">
        <f t="shared" si="26"/>
        <v>9</v>
      </c>
      <c r="M413" s="13">
        <f t="shared" si="27"/>
        <v>4.1638888888888888</v>
      </c>
    </row>
    <row r="414" spans="7:13">
      <c r="G414" s="27">
        <v>41557</v>
      </c>
      <c r="H414" s="26">
        <v>4.28</v>
      </c>
      <c r="I414" s="26">
        <v>0.7</v>
      </c>
      <c r="J414" s="26">
        <v>4.2050000000000001</v>
      </c>
      <c r="K414" s="13">
        <f t="shared" si="25"/>
        <v>33.270000000000003</v>
      </c>
      <c r="L414" s="13">
        <f t="shared" si="26"/>
        <v>8</v>
      </c>
      <c r="M414" s="13">
        <f t="shared" si="27"/>
        <v>4.1587500000000004</v>
      </c>
    </row>
    <row r="415" spans="7:13">
      <c r="G415" s="27">
        <v>41556</v>
      </c>
      <c r="H415" s="26">
        <v>4.2300000000000004</v>
      </c>
      <c r="I415" s="26">
        <v>0.7</v>
      </c>
      <c r="J415" s="26">
        <v>4.1550000000000002</v>
      </c>
      <c r="K415" s="13">
        <f t="shared" si="25"/>
        <v>29.065000000000005</v>
      </c>
      <c r="L415" s="13">
        <f t="shared" si="26"/>
        <v>7</v>
      </c>
      <c r="M415" s="13">
        <f t="shared" si="27"/>
        <v>4.1521428571428576</v>
      </c>
    </row>
    <row r="416" spans="7:13">
      <c r="G416" s="27">
        <v>41555</v>
      </c>
      <c r="H416" s="26">
        <v>4.2300000000000004</v>
      </c>
      <c r="I416" s="26">
        <v>0.7</v>
      </c>
      <c r="J416" s="26">
        <v>4.1550000000000002</v>
      </c>
      <c r="K416" s="13">
        <f t="shared" si="25"/>
        <v>24.910000000000004</v>
      </c>
      <c r="L416" s="13">
        <f t="shared" si="26"/>
        <v>6</v>
      </c>
      <c r="M416" s="13">
        <f t="shared" si="27"/>
        <v>4.1516666666666673</v>
      </c>
    </row>
    <row r="417" spans="7:13">
      <c r="G417" s="27">
        <v>41554</v>
      </c>
      <c r="H417" s="26">
        <v>4.2300000000000004</v>
      </c>
      <c r="I417" s="26">
        <v>0.7</v>
      </c>
      <c r="J417" s="26">
        <v>4.1550000000000002</v>
      </c>
      <c r="K417" s="13">
        <f t="shared" si="25"/>
        <v>20.755000000000003</v>
      </c>
      <c r="L417" s="13">
        <f t="shared" si="26"/>
        <v>5</v>
      </c>
      <c r="M417" s="13">
        <f t="shared" si="27"/>
        <v>4.1510000000000007</v>
      </c>
    </row>
    <row r="418" spans="7:13">
      <c r="G418" s="27">
        <v>41551</v>
      </c>
      <c r="H418" s="26">
        <v>4.2300000000000004</v>
      </c>
      <c r="I418" s="26">
        <v>0.7</v>
      </c>
      <c r="J418" s="26">
        <v>4.1550000000000002</v>
      </c>
      <c r="K418" s="13">
        <f t="shared" si="25"/>
        <v>16.600000000000001</v>
      </c>
      <c r="L418" s="13">
        <f t="shared" si="26"/>
        <v>4</v>
      </c>
      <c r="M418" s="13">
        <f t="shared" si="27"/>
        <v>4.1500000000000004</v>
      </c>
    </row>
    <row r="419" spans="7:13">
      <c r="G419" s="27">
        <v>41550</v>
      </c>
      <c r="H419" s="26">
        <v>4.2300000000000004</v>
      </c>
      <c r="I419" s="26">
        <v>0.7</v>
      </c>
      <c r="J419" s="26">
        <v>4.1550000000000002</v>
      </c>
      <c r="K419" s="13">
        <f t="shared" si="25"/>
        <v>12.445</v>
      </c>
      <c r="L419" s="13">
        <f t="shared" si="26"/>
        <v>3</v>
      </c>
      <c r="M419" s="13">
        <f t="shared" si="27"/>
        <v>4.1483333333333334</v>
      </c>
    </row>
    <row r="420" spans="7:13">
      <c r="G420" s="27">
        <v>41549</v>
      </c>
      <c r="H420" s="26">
        <v>4.22</v>
      </c>
      <c r="I420" s="26">
        <v>0.7</v>
      </c>
      <c r="J420" s="26">
        <v>4.1449999999999996</v>
      </c>
      <c r="K420" s="13">
        <f t="shared" si="25"/>
        <v>8.2899999999999991</v>
      </c>
      <c r="L420" s="13">
        <f t="shared" si="26"/>
        <v>2</v>
      </c>
      <c r="M420" s="13">
        <f t="shared" si="27"/>
        <v>4.1449999999999996</v>
      </c>
    </row>
    <row r="421" spans="7:13">
      <c r="G421" s="27">
        <v>41548</v>
      </c>
      <c r="H421" s="26">
        <v>4.22</v>
      </c>
      <c r="I421" s="26">
        <v>0.7</v>
      </c>
      <c r="J421" s="26">
        <v>4.1449999999999996</v>
      </c>
      <c r="K421" s="13">
        <f t="shared" si="25"/>
        <v>4.1449999999999996</v>
      </c>
      <c r="L421" s="13">
        <f t="shared" si="26"/>
        <v>1</v>
      </c>
      <c r="M421" s="13">
        <f t="shared" si="27"/>
        <v>4.1449999999999996</v>
      </c>
    </row>
    <row r="422" spans="7:13">
      <c r="G422" s="27">
        <v>41547</v>
      </c>
      <c r="H422" s="26">
        <v>4.22</v>
      </c>
      <c r="I422" s="26">
        <v>0.7</v>
      </c>
      <c r="J422" s="26">
        <v>4.1449999999999996</v>
      </c>
      <c r="K422" s="13">
        <f t="shared" si="25"/>
        <v>87.374999999999986</v>
      </c>
      <c r="L422" s="13">
        <f t="shared" si="26"/>
        <v>20</v>
      </c>
      <c r="M422" s="13">
        <f t="shared" si="27"/>
        <v>4.3687499999999995</v>
      </c>
    </row>
    <row r="423" spans="7:13">
      <c r="G423" s="27">
        <v>41544</v>
      </c>
      <c r="H423" s="26">
        <v>4.22</v>
      </c>
      <c r="I423" s="26">
        <v>0.7</v>
      </c>
      <c r="J423" s="26">
        <v>4.1449999999999996</v>
      </c>
      <c r="K423" s="13">
        <f t="shared" si="25"/>
        <v>83.22999999999999</v>
      </c>
      <c r="L423" s="13">
        <f t="shared" si="26"/>
        <v>19</v>
      </c>
      <c r="M423" s="13">
        <f t="shared" si="27"/>
        <v>4.3805263157894734</v>
      </c>
    </row>
    <row r="424" spans="7:13">
      <c r="G424" s="27">
        <v>41543</v>
      </c>
      <c r="H424" s="26">
        <v>4.22</v>
      </c>
      <c r="I424" s="26">
        <v>0.7</v>
      </c>
      <c r="J424" s="26">
        <v>4.1449999999999996</v>
      </c>
      <c r="K424" s="13">
        <f t="shared" si="25"/>
        <v>79.084999999999994</v>
      </c>
      <c r="L424" s="13">
        <f t="shared" si="26"/>
        <v>18</v>
      </c>
      <c r="M424" s="13">
        <f t="shared" si="27"/>
        <v>4.3936111111111105</v>
      </c>
    </row>
    <row r="425" spans="7:13">
      <c r="G425" s="27">
        <v>41542</v>
      </c>
      <c r="H425" s="26">
        <v>4.32</v>
      </c>
      <c r="I425" s="26">
        <v>0.7</v>
      </c>
      <c r="J425" s="26">
        <v>4.2450000000000001</v>
      </c>
      <c r="K425" s="13">
        <f t="shared" si="25"/>
        <v>74.94</v>
      </c>
      <c r="L425" s="13">
        <f t="shared" si="26"/>
        <v>17</v>
      </c>
      <c r="M425" s="13">
        <f t="shared" si="27"/>
        <v>4.408235294117647</v>
      </c>
    </row>
    <row r="426" spans="7:13">
      <c r="G426" s="27">
        <v>41541</v>
      </c>
      <c r="H426" s="26">
        <v>4.32</v>
      </c>
      <c r="I426" s="26">
        <v>0.7</v>
      </c>
      <c r="J426" s="26">
        <v>4.2450000000000001</v>
      </c>
      <c r="K426" s="13">
        <f t="shared" si="25"/>
        <v>70.694999999999993</v>
      </c>
      <c r="L426" s="13">
        <f t="shared" si="26"/>
        <v>16</v>
      </c>
      <c r="M426" s="13">
        <f t="shared" si="27"/>
        <v>4.4184374999999996</v>
      </c>
    </row>
    <row r="427" spans="7:13">
      <c r="G427" s="27">
        <v>41540</v>
      </c>
      <c r="H427" s="26">
        <v>4.32</v>
      </c>
      <c r="I427" s="26">
        <v>0.7</v>
      </c>
      <c r="J427" s="26">
        <v>4.2450000000000001</v>
      </c>
      <c r="K427" s="13">
        <f t="shared" si="25"/>
        <v>66.449999999999989</v>
      </c>
      <c r="L427" s="13">
        <f t="shared" si="26"/>
        <v>15</v>
      </c>
      <c r="M427" s="13">
        <f t="shared" si="27"/>
        <v>4.4299999999999988</v>
      </c>
    </row>
    <row r="428" spans="7:13">
      <c r="G428" s="27">
        <v>41537</v>
      </c>
      <c r="H428" s="26">
        <v>4.32</v>
      </c>
      <c r="I428" s="26">
        <v>0.7</v>
      </c>
      <c r="J428" s="26">
        <v>4.2450000000000001</v>
      </c>
      <c r="K428" s="13">
        <f t="shared" si="25"/>
        <v>62.204999999999984</v>
      </c>
      <c r="L428" s="13">
        <f t="shared" si="26"/>
        <v>14</v>
      </c>
      <c r="M428" s="13">
        <f t="shared" si="27"/>
        <v>4.4432142857142845</v>
      </c>
    </row>
    <row r="429" spans="7:13">
      <c r="G429" s="27">
        <v>41536</v>
      </c>
      <c r="H429" s="26">
        <v>4.32</v>
      </c>
      <c r="I429" s="26">
        <v>0.7</v>
      </c>
      <c r="J429" s="26">
        <v>4.2450000000000001</v>
      </c>
      <c r="K429" s="13">
        <f t="shared" si="25"/>
        <v>57.959999999999987</v>
      </c>
      <c r="L429" s="13">
        <f t="shared" si="26"/>
        <v>13</v>
      </c>
      <c r="M429" s="13">
        <f t="shared" si="27"/>
        <v>4.4584615384615374</v>
      </c>
    </row>
    <row r="430" spans="7:13">
      <c r="G430" s="27">
        <v>41535</v>
      </c>
      <c r="H430" s="26">
        <v>4.5</v>
      </c>
      <c r="I430" s="26">
        <v>0.7</v>
      </c>
      <c r="J430" s="26">
        <v>4.4249999999999998</v>
      </c>
      <c r="K430" s="13">
        <f t="shared" si="25"/>
        <v>53.714999999999989</v>
      </c>
      <c r="L430" s="13">
        <f t="shared" si="26"/>
        <v>12</v>
      </c>
      <c r="M430" s="13">
        <f t="shared" si="27"/>
        <v>4.4762499999999994</v>
      </c>
    </row>
    <row r="431" spans="7:13">
      <c r="G431" s="27">
        <v>41534</v>
      </c>
      <c r="H431" s="26">
        <v>4.5</v>
      </c>
      <c r="I431" s="26">
        <v>0.7</v>
      </c>
      <c r="J431" s="26">
        <v>4.4249999999999998</v>
      </c>
      <c r="K431" s="13">
        <f t="shared" si="25"/>
        <v>49.289999999999992</v>
      </c>
      <c r="L431" s="13">
        <f t="shared" si="26"/>
        <v>11</v>
      </c>
      <c r="M431" s="13">
        <f t="shared" si="27"/>
        <v>4.4809090909090905</v>
      </c>
    </row>
    <row r="432" spans="7:13">
      <c r="G432" s="27">
        <v>41533</v>
      </c>
      <c r="H432" s="26">
        <v>4.5</v>
      </c>
      <c r="I432" s="26">
        <v>0.7</v>
      </c>
      <c r="J432" s="26">
        <v>4.4249999999999998</v>
      </c>
      <c r="K432" s="13">
        <f t="shared" si="25"/>
        <v>44.864999999999995</v>
      </c>
      <c r="L432" s="13">
        <f t="shared" si="26"/>
        <v>10</v>
      </c>
      <c r="M432" s="13">
        <f t="shared" si="27"/>
        <v>4.4864999999999995</v>
      </c>
    </row>
    <row r="433" spans="7:13">
      <c r="G433" s="27">
        <v>41530</v>
      </c>
      <c r="H433" s="26">
        <v>4.5</v>
      </c>
      <c r="I433" s="26">
        <v>0.7</v>
      </c>
      <c r="J433" s="26">
        <v>4.4249999999999998</v>
      </c>
      <c r="K433" s="13">
        <f t="shared" si="25"/>
        <v>40.44</v>
      </c>
      <c r="L433" s="13">
        <f t="shared" si="26"/>
        <v>9</v>
      </c>
      <c r="M433" s="13">
        <f t="shared" si="27"/>
        <v>4.4933333333333332</v>
      </c>
    </row>
    <row r="434" spans="7:13">
      <c r="G434" s="27">
        <v>41529</v>
      </c>
      <c r="H434" s="26">
        <v>4.5</v>
      </c>
      <c r="I434" s="26">
        <v>0.7</v>
      </c>
      <c r="J434" s="26">
        <v>4.4249999999999998</v>
      </c>
      <c r="K434" s="13">
        <f t="shared" si="25"/>
        <v>36.015000000000001</v>
      </c>
      <c r="L434" s="13">
        <f t="shared" si="26"/>
        <v>8</v>
      </c>
      <c r="M434" s="13">
        <f t="shared" si="27"/>
        <v>4.5018750000000001</v>
      </c>
    </row>
    <row r="435" spans="7:13">
      <c r="G435" s="27">
        <v>41528</v>
      </c>
      <c r="H435" s="26">
        <v>4.57</v>
      </c>
      <c r="I435" s="26">
        <v>0.8</v>
      </c>
      <c r="J435" s="26">
        <v>4.5199999999999996</v>
      </c>
      <c r="K435" s="13">
        <f t="shared" si="25"/>
        <v>31.59</v>
      </c>
      <c r="L435" s="13">
        <f t="shared" si="26"/>
        <v>7</v>
      </c>
      <c r="M435" s="13">
        <f t="shared" si="27"/>
        <v>4.5128571428571425</v>
      </c>
    </row>
    <row r="436" spans="7:13">
      <c r="G436" s="27">
        <v>41527</v>
      </c>
      <c r="H436" s="26">
        <v>4.57</v>
      </c>
      <c r="I436" s="26">
        <v>0.8</v>
      </c>
      <c r="J436" s="26">
        <v>4.5199999999999996</v>
      </c>
      <c r="K436" s="13">
        <f t="shared" si="25"/>
        <v>27.07</v>
      </c>
      <c r="L436" s="13">
        <f t="shared" si="26"/>
        <v>6</v>
      </c>
      <c r="M436" s="13">
        <f t="shared" si="27"/>
        <v>4.5116666666666667</v>
      </c>
    </row>
    <row r="437" spans="7:13">
      <c r="G437" s="27">
        <v>41526</v>
      </c>
      <c r="H437" s="26">
        <v>4.57</v>
      </c>
      <c r="I437" s="26">
        <v>0.8</v>
      </c>
      <c r="J437" s="26">
        <v>4.5199999999999996</v>
      </c>
      <c r="K437" s="13">
        <f t="shared" si="25"/>
        <v>22.55</v>
      </c>
      <c r="L437" s="13">
        <f t="shared" si="26"/>
        <v>5</v>
      </c>
      <c r="M437" s="13">
        <f t="shared" si="27"/>
        <v>4.51</v>
      </c>
    </row>
    <row r="438" spans="7:13">
      <c r="G438" s="27">
        <v>41523</v>
      </c>
      <c r="H438" s="26">
        <v>4.57</v>
      </c>
      <c r="I438" s="26">
        <v>0.8</v>
      </c>
      <c r="J438" s="26">
        <v>4.5199999999999996</v>
      </c>
      <c r="K438" s="13">
        <f t="shared" si="25"/>
        <v>18.03</v>
      </c>
      <c r="L438" s="13">
        <f t="shared" si="26"/>
        <v>4</v>
      </c>
      <c r="M438" s="13">
        <f t="shared" si="27"/>
        <v>4.5075000000000003</v>
      </c>
    </row>
    <row r="439" spans="7:13">
      <c r="G439" s="27">
        <v>41522</v>
      </c>
      <c r="H439" s="26">
        <v>4.57</v>
      </c>
      <c r="I439" s="26">
        <v>0.8</v>
      </c>
      <c r="J439" s="26">
        <v>4.5199999999999996</v>
      </c>
      <c r="K439" s="13">
        <f t="shared" si="25"/>
        <v>13.51</v>
      </c>
      <c r="L439" s="13">
        <f t="shared" si="26"/>
        <v>3</v>
      </c>
      <c r="M439" s="13">
        <f t="shared" si="27"/>
        <v>4.503333333333333</v>
      </c>
    </row>
    <row r="440" spans="7:13">
      <c r="G440" s="27">
        <v>41521</v>
      </c>
      <c r="H440" s="26">
        <v>4.57</v>
      </c>
      <c r="I440" s="26">
        <v>0.7</v>
      </c>
      <c r="J440" s="26">
        <v>4.4950000000000001</v>
      </c>
      <c r="K440" s="13">
        <f t="shared" si="25"/>
        <v>8.99</v>
      </c>
      <c r="L440" s="13">
        <f t="shared" si="26"/>
        <v>2</v>
      </c>
      <c r="M440" s="13">
        <f t="shared" si="27"/>
        <v>4.4950000000000001</v>
      </c>
    </row>
    <row r="441" spans="7:13">
      <c r="G441" s="27">
        <v>41520</v>
      </c>
      <c r="H441" s="26">
        <v>4.57</v>
      </c>
      <c r="I441" s="26">
        <v>0.7</v>
      </c>
      <c r="J441" s="26">
        <v>4.4950000000000001</v>
      </c>
      <c r="K441" s="13">
        <f t="shared" si="25"/>
        <v>4.4950000000000001</v>
      </c>
      <c r="L441" s="13">
        <f t="shared" si="26"/>
        <v>1</v>
      </c>
      <c r="M441" s="13">
        <f t="shared" si="27"/>
        <v>4.4950000000000001</v>
      </c>
    </row>
    <row r="442" spans="7:13">
      <c r="G442" s="27">
        <v>41516</v>
      </c>
      <c r="H442" s="26">
        <v>4.57</v>
      </c>
      <c r="I442" s="26">
        <v>0.7</v>
      </c>
      <c r="J442" s="26">
        <v>4.4950000000000001</v>
      </c>
      <c r="K442" s="13">
        <f t="shared" si="25"/>
        <v>97.065000000000026</v>
      </c>
      <c r="L442" s="13">
        <f t="shared" si="26"/>
        <v>22</v>
      </c>
      <c r="M442" s="13">
        <f t="shared" si="27"/>
        <v>4.4120454545454555</v>
      </c>
    </row>
    <row r="443" spans="7:13">
      <c r="G443" s="27">
        <v>41515</v>
      </c>
      <c r="H443" s="26">
        <v>4.57</v>
      </c>
      <c r="I443" s="26">
        <v>0.7</v>
      </c>
      <c r="J443" s="26">
        <v>4.4950000000000001</v>
      </c>
      <c r="K443" s="13">
        <f t="shared" si="25"/>
        <v>92.570000000000022</v>
      </c>
      <c r="L443" s="13">
        <f t="shared" si="26"/>
        <v>21</v>
      </c>
      <c r="M443" s="13">
        <f t="shared" si="27"/>
        <v>4.408095238095239</v>
      </c>
    </row>
    <row r="444" spans="7:13">
      <c r="G444" s="27">
        <v>41514</v>
      </c>
      <c r="H444" s="26">
        <v>4.51</v>
      </c>
      <c r="I444" s="26">
        <v>0.7</v>
      </c>
      <c r="J444" s="26">
        <v>4.4349999999999996</v>
      </c>
      <c r="K444" s="13">
        <f t="shared" si="25"/>
        <v>88.075000000000017</v>
      </c>
      <c r="L444" s="13">
        <f t="shared" si="26"/>
        <v>20</v>
      </c>
      <c r="M444" s="13">
        <f t="shared" si="27"/>
        <v>4.4037500000000005</v>
      </c>
    </row>
    <row r="445" spans="7:13">
      <c r="G445" s="27">
        <v>41513</v>
      </c>
      <c r="H445" s="26">
        <v>4.51</v>
      </c>
      <c r="I445" s="26">
        <v>0.7</v>
      </c>
      <c r="J445" s="26">
        <v>4.4349999999999996</v>
      </c>
      <c r="K445" s="13">
        <f t="shared" si="25"/>
        <v>83.640000000000015</v>
      </c>
      <c r="L445" s="13">
        <f t="shared" si="26"/>
        <v>19</v>
      </c>
      <c r="M445" s="13">
        <f t="shared" si="27"/>
        <v>4.4021052631578952</v>
      </c>
    </row>
    <row r="446" spans="7:13">
      <c r="G446" s="27">
        <v>41512</v>
      </c>
      <c r="H446" s="26">
        <v>4.51</v>
      </c>
      <c r="I446" s="26">
        <v>0.7</v>
      </c>
      <c r="J446" s="26">
        <v>4.4349999999999996</v>
      </c>
      <c r="K446" s="13">
        <f t="shared" si="25"/>
        <v>79.205000000000013</v>
      </c>
      <c r="L446" s="13">
        <f t="shared" si="26"/>
        <v>18</v>
      </c>
      <c r="M446" s="13">
        <f t="shared" si="27"/>
        <v>4.4002777777777782</v>
      </c>
    </row>
    <row r="447" spans="7:13">
      <c r="G447" s="27">
        <v>41509</v>
      </c>
      <c r="H447" s="26">
        <v>4.51</v>
      </c>
      <c r="I447" s="26">
        <v>0.7</v>
      </c>
      <c r="J447" s="26">
        <v>4.4349999999999996</v>
      </c>
      <c r="K447" s="13">
        <f t="shared" si="25"/>
        <v>74.77000000000001</v>
      </c>
      <c r="L447" s="13">
        <f t="shared" si="26"/>
        <v>17</v>
      </c>
      <c r="M447" s="13">
        <f t="shared" si="27"/>
        <v>4.3982352941176472</v>
      </c>
    </row>
    <row r="448" spans="7:13">
      <c r="G448" s="27">
        <v>41508</v>
      </c>
      <c r="H448" s="26">
        <v>4.51</v>
      </c>
      <c r="I448" s="26">
        <v>0.7</v>
      </c>
      <c r="J448" s="26">
        <v>4.4349999999999996</v>
      </c>
      <c r="K448" s="13">
        <f t="shared" si="25"/>
        <v>70.335000000000008</v>
      </c>
      <c r="L448" s="13">
        <f t="shared" si="26"/>
        <v>16</v>
      </c>
      <c r="M448" s="13">
        <f t="shared" si="27"/>
        <v>4.3959375000000005</v>
      </c>
    </row>
    <row r="449" spans="7:13">
      <c r="G449" s="27">
        <v>41507</v>
      </c>
      <c r="H449" s="26">
        <v>4.58</v>
      </c>
      <c r="I449" s="26">
        <v>0.8</v>
      </c>
      <c r="J449" s="26">
        <v>4.53</v>
      </c>
      <c r="K449" s="13">
        <f t="shared" si="25"/>
        <v>65.900000000000006</v>
      </c>
      <c r="L449" s="13">
        <f t="shared" si="26"/>
        <v>15</v>
      </c>
      <c r="M449" s="13">
        <f t="shared" si="27"/>
        <v>4.3933333333333335</v>
      </c>
    </row>
    <row r="450" spans="7:13">
      <c r="G450" s="27">
        <v>41506</v>
      </c>
      <c r="H450" s="26">
        <v>4.58</v>
      </c>
      <c r="I450" s="26">
        <v>0.8</v>
      </c>
      <c r="J450" s="26">
        <v>4.53</v>
      </c>
      <c r="K450" s="13">
        <f t="shared" si="25"/>
        <v>61.370000000000012</v>
      </c>
      <c r="L450" s="13">
        <f t="shared" si="26"/>
        <v>14</v>
      </c>
      <c r="M450" s="13">
        <f t="shared" si="27"/>
        <v>4.3835714285714298</v>
      </c>
    </row>
    <row r="451" spans="7:13">
      <c r="G451" s="27">
        <v>41505</v>
      </c>
      <c r="H451" s="26">
        <v>4.58</v>
      </c>
      <c r="I451" s="26">
        <v>0.8</v>
      </c>
      <c r="J451" s="26">
        <v>4.53</v>
      </c>
      <c r="K451" s="13">
        <f t="shared" si="25"/>
        <v>56.840000000000011</v>
      </c>
      <c r="L451" s="13">
        <f t="shared" si="26"/>
        <v>13</v>
      </c>
      <c r="M451" s="13">
        <f t="shared" si="27"/>
        <v>4.3723076923076931</v>
      </c>
    </row>
    <row r="452" spans="7:13">
      <c r="G452" s="27">
        <v>41502</v>
      </c>
      <c r="H452" s="26">
        <v>4.58</v>
      </c>
      <c r="I452" s="26">
        <v>0.8</v>
      </c>
      <c r="J452" s="26">
        <v>4.53</v>
      </c>
      <c r="K452" s="13">
        <f t="shared" ref="K452:K515" si="28">IF(MONTH(G452)=MONTH(G453),J452+K453,J452)</f>
        <v>52.310000000000009</v>
      </c>
      <c r="L452" s="13">
        <f t="shared" ref="L452:L515" si="29">IF(MONTH(G452)=MONTH(G453),L453+1,1)</f>
        <v>12</v>
      </c>
      <c r="M452" s="13">
        <f t="shared" si="27"/>
        <v>4.3591666666666677</v>
      </c>
    </row>
    <row r="453" spans="7:13">
      <c r="G453" s="27">
        <v>41501</v>
      </c>
      <c r="H453" s="26">
        <v>4.58</v>
      </c>
      <c r="I453" s="26">
        <v>0.8</v>
      </c>
      <c r="J453" s="26">
        <v>4.53</v>
      </c>
      <c r="K453" s="13">
        <f t="shared" si="28"/>
        <v>47.780000000000008</v>
      </c>
      <c r="L453" s="13">
        <f t="shared" si="29"/>
        <v>11</v>
      </c>
      <c r="M453" s="13">
        <f t="shared" ref="M453:M516" si="30">K453/L453</f>
        <v>4.3436363636363646</v>
      </c>
    </row>
    <row r="454" spans="7:13">
      <c r="G454" s="27">
        <v>41500</v>
      </c>
      <c r="H454" s="26">
        <v>4.4000000000000004</v>
      </c>
      <c r="I454" s="26">
        <v>0.7</v>
      </c>
      <c r="J454" s="26">
        <v>4.3250000000000002</v>
      </c>
      <c r="K454" s="13">
        <f t="shared" si="28"/>
        <v>43.250000000000007</v>
      </c>
      <c r="L454" s="13">
        <f t="shared" si="29"/>
        <v>10</v>
      </c>
      <c r="M454" s="13">
        <f t="shared" si="30"/>
        <v>4.3250000000000011</v>
      </c>
    </row>
    <row r="455" spans="7:13">
      <c r="G455" s="27">
        <v>41499</v>
      </c>
      <c r="H455" s="26">
        <v>4.4000000000000004</v>
      </c>
      <c r="I455" s="26">
        <v>0.7</v>
      </c>
      <c r="J455" s="26">
        <v>4.3250000000000002</v>
      </c>
      <c r="K455" s="13">
        <f t="shared" si="28"/>
        <v>38.925000000000004</v>
      </c>
      <c r="L455" s="13">
        <f t="shared" si="29"/>
        <v>9</v>
      </c>
      <c r="M455" s="13">
        <f t="shared" si="30"/>
        <v>4.3250000000000002</v>
      </c>
    </row>
    <row r="456" spans="7:13">
      <c r="G456" s="27">
        <v>41498</v>
      </c>
      <c r="H456" s="26">
        <v>4.4000000000000004</v>
      </c>
      <c r="I456" s="26">
        <v>0.7</v>
      </c>
      <c r="J456" s="26">
        <v>4.3250000000000002</v>
      </c>
      <c r="K456" s="13">
        <f t="shared" si="28"/>
        <v>34.6</v>
      </c>
      <c r="L456" s="13">
        <f t="shared" si="29"/>
        <v>8</v>
      </c>
      <c r="M456" s="13">
        <f t="shared" si="30"/>
        <v>4.3250000000000002</v>
      </c>
    </row>
    <row r="457" spans="7:13">
      <c r="G457" s="27">
        <v>41495</v>
      </c>
      <c r="H457" s="26">
        <v>4.4000000000000004</v>
      </c>
      <c r="I457" s="26">
        <v>0.7</v>
      </c>
      <c r="J457" s="26">
        <v>4.3250000000000002</v>
      </c>
      <c r="K457" s="13">
        <f t="shared" si="28"/>
        <v>30.274999999999999</v>
      </c>
      <c r="L457" s="13">
        <f t="shared" si="29"/>
        <v>7</v>
      </c>
      <c r="M457" s="13">
        <f t="shared" si="30"/>
        <v>4.3250000000000002</v>
      </c>
    </row>
    <row r="458" spans="7:13">
      <c r="G458" s="27">
        <v>41494</v>
      </c>
      <c r="H458" s="26">
        <v>4.4000000000000004</v>
      </c>
      <c r="I458" s="26">
        <v>0.7</v>
      </c>
      <c r="J458" s="26">
        <v>4.3250000000000002</v>
      </c>
      <c r="K458" s="13">
        <f t="shared" si="28"/>
        <v>25.95</v>
      </c>
      <c r="L458" s="13">
        <f t="shared" si="29"/>
        <v>6</v>
      </c>
      <c r="M458" s="13">
        <f t="shared" si="30"/>
        <v>4.3250000000000002</v>
      </c>
    </row>
    <row r="459" spans="7:13">
      <c r="G459" s="27">
        <v>41493</v>
      </c>
      <c r="H459" s="26">
        <v>4.4000000000000004</v>
      </c>
      <c r="I459" s="26">
        <v>0.7</v>
      </c>
      <c r="J459" s="26">
        <v>4.3250000000000002</v>
      </c>
      <c r="K459" s="13">
        <f t="shared" si="28"/>
        <v>21.625</v>
      </c>
      <c r="L459" s="13">
        <f t="shared" si="29"/>
        <v>5</v>
      </c>
      <c r="M459" s="13">
        <f t="shared" si="30"/>
        <v>4.3250000000000002</v>
      </c>
    </row>
    <row r="460" spans="7:13">
      <c r="G460" s="27">
        <v>41492</v>
      </c>
      <c r="H460" s="26">
        <v>4.4000000000000004</v>
      </c>
      <c r="I460" s="26">
        <v>0.7</v>
      </c>
      <c r="J460" s="26">
        <v>4.3250000000000002</v>
      </c>
      <c r="K460" s="13">
        <f t="shared" si="28"/>
        <v>17.3</v>
      </c>
      <c r="L460" s="13">
        <f t="shared" si="29"/>
        <v>4</v>
      </c>
      <c r="M460" s="13">
        <f t="shared" si="30"/>
        <v>4.3250000000000002</v>
      </c>
    </row>
    <row r="461" spans="7:13">
      <c r="G461" s="27">
        <v>41491</v>
      </c>
      <c r="H461" s="26">
        <v>4.4000000000000004</v>
      </c>
      <c r="I461" s="26">
        <v>0.7</v>
      </c>
      <c r="J461" s="26">
        <v>4.3250000000000002</v>
      </c>
      <c r="K461" s="13">
        <f t="shared" si="28"/>
        <v>12.975000000000001</v>
      </c>
      <c r="L461" s="13">
        <f t="shared" si="29"/>
        <v>3</v>
      </c>
      <c r="M461" s="13">
        <f t="shared" si="30"/>
        <v>4.3250000000000002</v>
      </c>
    </row>
    <row r="462" spans="7:13">
      <c r="G462" s="27">
        <v>41488</v>
      </c>
      <c r="H462" s="26">
        <v>4.4000000000000004</v>
      </c>
      <c r="I462" s="26">
        <v>0.7</v>
      </c>
      <c r="J462" s="26">
        <v>4.3250000000000002</v>
      </c>
      <c r="K462" s="13">
        <f t="shared" si="28"/>
        <v>8.65</v>
      </c>
      <c r="L462" s="13">
        <f t="shared" si="29"/>
        <v>2</v>
      </c>
      <c r="M462" s="13">
        <f t="shared" si="30"/>
        <v>4.3250000000000002</v>
      </c>
    </row>
    <row r="463" spans="7:13">
      <c r="G463" s="27">
        <v>41487</v>
      </c>
      <c r="H463" s="26">
        <v>4.4000000000000004</v>
      </c>
      <c r="I463" s="26">
        <v>0.7</v>
      </c>
      <c r="J463" s="26">
        <v>4.3250000000000002</v>
      </c>
      <c r="K463" s="13">
        <f t="shared" si="28"/>
        <v>4.3250000000000002</v>
      </c>
      <c r="L463" s="13">
        <f t="shared" si="29"/>
        <v>1</v>
      </c>
      <c r="M463" s="13">
        <f t="shared" si="30"/>
        <v>4.3250000000000002</v>
      </c>
    </row>
    <row r="464" spans="7:13">
      <c r="G464" s="27">
        <v>41486</v>
      </c>
      <c r="H464" s="26">
        <v>4.3899999999999997</v>
      </c>
      <c r="I464" s="26">
        <v>0.7</v>
      </c>
      <c r="J464" s="26">
        <v>4.3150000000000004</v>
      </c>
      <c r="K464" s="13">
        <f t="shared" si="28"/>
        <v>90.62</v>
      </c>
      <c r="L464" s="13">
        <f t="shared" si="29"/>
        <v>21</v>
      </c>
      <c r="M464" s="13">
        <f t="shared" si="30"/>
        <v>4.3152380952380955</v>
      </c>
    </row>
    <row r="465" spans="7:13">
      <c r="G465" s="27">
        <v>41485</v>
      </c>
      <c r="H465" s="26">
        <v>4.3899999999999997</v>
      </c>
      <c r="I465" s="26">
        <v>0.7</v>
      </c>
      <c r="J465" s="26">
        <v>4.3150000000000004</v>
      </c>
      <c r="K465" s="13">
        <f t="shared" si="28"/>
        <v>86.305000000000007</v>
      </c>
      <c r="L465" s="13">
        <f t="shared" si="29"/>
        <v>20</v>
      </c>
      <c r="M465" s="13">
        <f t="shared" si="30"/>
        <v>4.3152500000000007</v>
      </c>
    </row>
    <row r="466" spans="7:13">
      <c r="G466" s="27">
        <v>41484</v>
      </c>
      <c r="H466" s="26">
        <v>4.3899999999999997</v>
      </c>
      <c r="I466" s="26">
        <v>0.7</v>
      </c>
      <c r="J466" s="26">
        <v>4.3150000000000004</v>
      </c>
      <c r="K466" s="13">
        <f t="shared" si="28"/>
        <v>81.990000000000009</v>
      </c>
      <c r="L466" s="13">
        <f t="shared" si="29"/>
        <v>19</v>
      </c>
      <c r="M466" s="13">
        <f t="shared" si="30"/>
        <v>4.3152631578947371</v>
      </c>
    </row>
    <row r="467" spans="7:13">
      <c r="G467" s="27">
        <v>41481</v>
      </c>
      <c r="H467" s="26">
        <v>4.3899999999999997</v>
      </c>
      <c r="I467" s="26">
        <v>0.7</v>
      </c>
      <c r="J467" s="26">
        <v>4.3150000000000004</v>
      </c>
      <c r="K467" s="13">
        <f t="shared" si="28"/>
        <v>77.675000000000011</v>
      </c>
      <c r="L467" s="13">
        <f t="shared" si="29"/>
        <v>18</v>
      </c>
      <c r="M467" s="13">
        <f t="shared" si="30"/>
        <v>4.3152777777777782</v>
      </c>
    </row>
    <row r="468" spans="7:13">
      <c r="G468" s="27">
        <v>41480</v>
      </c>
      <c r="H468" s="26">
        <v>4.3899999999999997</v>
      </c>
      <c r="I468" s="26">
        <v>0.7</v>
      </c>
      <c r="J468" s="26">
        <v>4.3150000000000004</v>
      </c>
      <c r="K468" s="13">
        <f t="shared" si="28"/>
        <v>73.360000000000014</v>
      </c>
      <c r="L468" s="13">
        <f t="shared" si="29"/>
        <v>17</v>
      </c>
      <c r="M468" s="13">
        <f t="shared" si="30"/>
        <v>4.3152941176470598</v>
      </c>
    </row>
    <row r="469" spans="7:13">
      <c r="G469" s="27">
        <v>41479</v>
      </c>
      <c r="H469" s="26">
        <v>4.3099999999999996</v>
      </c>
      <c r="I469" s="26">
        <v>0.8</v>
      </c>
      <c r="J469" s="26">
        <v>4.26</v>
      </c>
      <c r="K469" s="13">
        <f t="shared" si="28"/>
        <v>69.045000000000016</v>
      </c>
      <c r="L469" s="13">
        <f t="shared" si="29"/>
        <v>16</v>
      </c>
      <c r="M469" s="13">
        <f t="shared" si="30"/>
        <v>4.315312500000001</v>
      </c>
    </row>
    <row r="470" spans="7:13">
      <c r="G470" s="27">
        <v>41478</v>
      </c>
      <c r="H470" s="26">
        <v>4.3099999999999996</v>
      </c>
      <c r="I470" s="26">
        <v>0.8</v>
      </c>
      <c r="J470" s="26">
        <v>4.26</v>
      </c>
      <c r="K470" s="13">
        <f t="shared" si="28"/>
        <v>64.785000000000011</v>
      </c>
      <c r="L470" s="13">
        <f t="shared" si="29"/>
        <v>15</v>
      </c>
      <c r="M470" s="13">
        <f t="shared" si="30"/>
        <v>4.3190000000000008</v>
      </c>
    </row>
    <row r="471" spans="7:13">
      <c r="G471" s="27">
        <v>41477</v>
      </c>
      <c r="H471" s="26">
        <v>4.3099999999999996</v>
      </c>
      <c r="I471" s="26">
        <v>0.8</v>
      </c>
      <c r="J471" s="26">
        <v>4.26</v>
      </c>
      <c r="K471" s="13">
        <f t="shared" si="28"/>
        <v>60.525000000000006</v>
      </c>
      <c r="L471" s="13">
        <f t="shared" si="29"/>
        <v>14</v>
      </c>
      <c r="M471" s="13">
        <f t="shared" si="30"/>
        <v>4.3232142857142861</v>
      </c>
    </row>
    <row r="472" spans="7:13">
      <c r="G472" s="27">
        <v>41474</v>
      </c>
      <c r="H472" s="26">
        <v>4.3099999999999996</v>
      </c>
      <c r="I472" s="26">
        <v>0.8</v>
      </c>
      <c r="J472" s="26">
        <v>4.26</v>
      </c>
      <c r="K472" s="13">
        <f t="shared" si="28"/>
        <v>56.265000000000008</v>
      </c>
      <c r="L472" s="13">
        <f t="shared" si="29"/>
        <v>13</v>
      </c>
      <c r="M472" s="13">
        <f t="shared" si="30"/>
        <v>4.3280769230769236</v>
      </c>
    </row>
    <row r="473" spans="7:13">
      <c r="G473" s="27">
        <v>41473</v>
      </c>
      <c r="H473" s="26">
        <v>4.3099999999999996</v>
      </c>
      <c r="I473" s="26">
        <v>0.8</v>
      </c>
      <c r="J473" s="26">
        <v>4.26</v>
      </c>
      <c r="K473" s="13">
        <f t="shared" si="28"/>
        <v>52.00500000000001</v>
      </c>
      <c r="L473" s="13">
        <f t="shared" si="29"/>
        <v>12</v>
      </c>
      <c r="M473" s="13">
        <f t="shared" si="30"/>
        <v>4.3337500000000011</v>
      </c>
    </row>
    <row r="474" spans="7:13">
      <c r="G474" s="27">
        <v>41472</v>
      </c>
      <c r="H474" s="26">
        <v>4.37</v>
      </c>
      <c r="I474" s="26">
        <v>0.7</v>
      </c>
      <c r="J474" s="26">
        <v>4.2949999999999999</v>
      </c>
      <c r="K474" s="13">
        <f t="shared" si="28"/>
        <v>47.745000000000012</v>
      </c>
      <c r="L474" s="13">
        <f t="shared" si="29"/>
        <v>11</v>
      </c>
      <c r="M474" s="13">
        <f t="shared" si="30"/>
        <v>4.3404545454545467</v>
      </c>
    </row>
    <row r="475" spans="7:13">
      <c r="G475" s="27">
        <v>41471</v>
      </c>
      <c r="H475" s="26">
        <v>4.37</v>
      </c>
      <c r="I475" s="26">
        <v>0.7</v>
      </c>
      <c r="J475" s="26">
        <v>4.2949999999999999</v>
      </c>
      <c r="K475" s="13">
        <f t="shared" si="28"/>
        <v>43.45000000000001</v>
      </c>
      <c r="L475" s="13">
        <f t="shared" si="29"/>
        <v>10</v>
      </c>
      <c r="M475" s="13">
        <f t="shared" si="30"/>
        <v>4.3450000000000006</v>
      </c>
    </row>
    <row r="476" spans="7:13">
      <c r="G476" s="27">
        <v>41470</v>
      </c>
      <c r="H476" s="26">
        <v>4.37</v>
      </c>
      <c r="I476" s="26">
        <v>0.7</v>
      </c>
      <c r="J476" s="26">
        <v>4.2949999999999999</v>
      </c>
      <c r="K476" s="13">
        <f t="shared" si="28"/>
        <v>39.155000000000008</v>
      </c>
      <c r="L476" s="13">
        <f t="shared" si="29"/>
        <v>9</v>
      </c>
      <c r="M476" s="13">
        <f t="shared" si="30"/>
        <v>4.3505555555555562</v>
      </c>
    </row>
    <row r="477" spans="7:13">
      <c r="G477" s="27">
        <v>41467</v>
      </c>
      <c r="H477" s="26">
        <v>4.37</v>
      </c>
      <c r="I477" s="26">
        <v>0.7</v>
      </c>
      <c r="J477" s="26">
        <v>4.2949999999999999</v>
      </c>
      <c r="K477" s="13">
        <f t="shared" si="28"/>
        <v>34.860000000000007</v>
      </c>
      <c r="L477" s="13">
        <f t="shared" si="29"/>
        <v>8</v>
      </c>
      <c r="M477" s="13">
        <f t="shared" si="30"/>
        <v>4.3575000000000008</v>
      </c>
    </row>
    <row r="478" spans="7:13">
      <c r="G478" s="27">
        <v>41466</v>
      </c>
      <c r="H478" s="26">
        <v>4.37</v>
      </c>
      <c r="I478" s="26">
        <v>0.7</v>
      </c>
      <c r="J478" s="26">
        <v>4.2949999999999999</v>
      </c>
      <c r="K478" s="13">
        <f t="shared" si="28"/>
        <v>30.565000000000005</v>
      </c>
      <c r="L478" s="13">
        <f t="shared" si="29"/>
        <v>7</v>
      </c>
      <c r="M478" s="13">
        <f t="shared" si="30"/>
        <v>4.366428571428572</v>
      </c>
    </row>
    <row r="479" spans="7:13">
      <c r="G479" s="27">
        <v>41465</v>
      </c>
      <c r="H479" s="26">
        <v>4.51</v>
      </c>
      <c r="I479" s="26">
        <v>0.8</v>
      </c>
      <c r="J479" s="26">
        <v>4.46</v>
      </c>
      <c r="K479" s="13">
        <f t="shared" si="28"/>
        <v>26.270000000000003</v>
      </c>
      <c r="L479" s="13">
        <f t="shared" si="29"/>
        <v>6</v>
      </c>
      <c r="M479" s="13">
        <f t="shared" si="30"/>
        <v>4.3783333333333339</v>
      </c>
    </row>
    <row r="480" spans="7:13">
      <c r="G480" s="27">
        <v>41464</v>
      </c>
      <c r="H480" s="26">
        <v>4.51</v>
      </c>
      <c r="I480" s="26">
        <v>0.8</v>
      </c>
      <c r="J480" s="26">
        <v>4.46</v>
      </c>
      <c r="K480" s="13">
        <f t="shared" si="28"/>
        <v>21.810000000000002</v>
      </c>
      <c r="L480" s="13">
        <f t="shared" si="29"/>
        <v>5</v>
      </c>
      <c r="M480" s="13">
        <f t="shared" si="30"/>
        <v>4.3620000000000001</v>
      </c>
    </row>
    <row r="481" spans="7:13">
      <c r="G481" s="27">
        <v>41463</v>
      </c>
      <c r="H481" s="26">
        <v>4.51</v>
      </c>
      <c r="I481" s="26">
        <v>0.8</v>
      </c>
      <c r="J481" s="26">
        <v>4.46</v>
      </c>
      <c r="K481" s="13">
        <f t="shared" si="28"/>
        <v>17.350000000000001</v>
      </c>
      <c r="L481" s="13">
        <f t="shared" si="29"/>
        <v>4</v>
      </c>
      <c r="M481" s="13">
        <f t="shared" si="30"/>
        <v>4.3375000000000004</v>
      </c>
    </row>
    <row r="482" spans="7:13">
      <c r="G482" s="27">
        <v>41460</v>
      </c>
      <c r="H482" s="26">
        <v>4.51</v>
      </c>
      <c r="I482" s="26">
        <v>0.8</v>
      </c>
      <c r="J482" s="26">
        <v>4.46</v>
      </c>
      <c r="K482" s="13">
        <f t="shared" si="28"/>
        <v>12.89</v>
      </c>
      <c r="L482" s="13">
        <f t="shared" si="29"/>
        <v>3</v>
      </c>
      <c r="M482" s="13">
        <f t="shared" si="30"/>
        <v>4.2966666666666669</v>
      </c>
    </row>
    <row r="483" spans="7:13">
      <c r="G483" s="27">
        <v>41457</v>
      </c>
      <c r="H483" s="26">
        <v>4.29</v>
      </c>
      <c r="I483" s="26">
        <v>0.7</v>
      </c>
      <c r="J483" s="26">
        <v>4.2149999999999999</v>
      </c>
      <c r="K483" s="13">
        <f t="shared" si="28"/>
        <v>8.43</v>
      </c>
      <c r="L483" s="13">
        <f t="shared" si="29"/>
        <v>2</v>
      </c>
      <c r="M483" s="13">
        <f t="shared" si="30"/>
        <v>4.2149999999999999</v>
      </c>
    </row>
    <row r="484" spans="7:13">
      <c r="G484" s="27">
        <v>41456</v>
      </c>
      <c r="H484" s="26">
        <v>4.29</v>
      </c>
      <c r="I484" s="26">
        <v>0.7</v>
      </c>
      <c r="J484" s="26">
        <v>4.2149999999999999</v>
      </c>
      <c r="K484" s="13">
        <f t="shared" si="28"/>
        <v>4.2149999999999999</v>
      </c>
      <c r="L484" s="13">
        <f t="shared" si="29"/>
        <v>1</v>
      </c>
      <c r="M484" s="13">
        <f t="shared" si="30"/>
        <v>4.2149999999999999</v>
      </c>
    </row>
    <row r="485" spans="7:13">
      <c r="G485" s="27">
        <v>41453</v>
      </c>
      <c r="H485" s="26">
        <v>4.29</v>
      </c>
      <c r="I485" s="26">
        <v>0.7</v>
      </c>
      <c r="J485" s="26">
        <v>4.2149999999999999</v>
      </c>
      <c r="K485" s="13">
        <f t="shared" si="28"/>
        <v>85.125000000000014</v>
      </c>
      <c r="L485" s="13">
        <f t="shared" si="29"/>
        <v>21</v>
      </c>
      <c r="M485" s="13">
        <f t="shared" si="30"/>
        <v>4.0535714285714288</v>
      </c>
    </row>
    <row r="486" spans="7:13">
      <c r="G486" s="27">
        <v>41452</v>
      </c>
      <c r="H486" s="26">
        <v>4.29</v>
      </c>
      <c r="I486" s="26">
        <v>0.7</v>
      </c>
      <c r="J486" s="26">
        <v>4.2149999999999999</v>
      </c>
      <c r="K486" s="13">
        <f t="shared" si="28"/>
        <v>80.910000000000011</v>
      </c>
      <c r="L486" s="13">
        <f t="shared" si="29"/>
        <v>20</v>
      </c>
      <c r="M486" s="13">
        <f t="shared" si="30"/>
        <v>4.0455000000000005</v>
      </c>
    </row>
    <row r="487" spans="7:13">
      <c r="G487" s="27">
        <v>41451</v>
      </c>
      <c r="H487" s="26">
        <v>4.29</v>
      </c>
      <c r="I487" s="26">
        <v>0.7</v>
      </c>
      <c r="J487" s="26">
        <v>4.2149999999999999</v>
      </c>
      <c r="K487" s="13">
        <f t="shared" si="28"/>
        <v>76.695000000000007</v>
      </c>
      <c r="L487" s="13">
        <f t="shared" si="29"/>
        <v>19</v>
      </c>
      <c r="M487" s="13">
        <f t="shared" si="30"/>
        <v>4.0365789473684215</v>
      </c>
    </row>
    <row r="488" spans="7:13">
      <c r="G488" s="27">
        <v>41451</v>
      </c>
      <c r="H488" s="26">
        <v>4.46</v>
      </c>
      <c r="I488" s="26">
        <v>0.8</v>
      </c>
      <c r="J488" s="26">
        <v>4.41</v>
      </c>
      <c r="K488" s="13">
        <f t="shared" si="28"/>
        <v>72.48</v>
      </c>
      <c r="L488" s="13">
        <f t="shared" si="29"/>
        <v>18</v>
      </c>
      <c r="M488" s="13">
        <f t="shared" si="30"/>
        <v>4.0266666666666673</v>
      </c>
    </row>
    <row r="489" spans="7:13">
      <c r="G489" s="27">
        <v>41450</v>
      </c>
      <c r="H489" s="26">
        <v>4.46</v>
      </c>
      <c r="I489" s="26">
        <v>0.8</v>
      </c>
      <c r="J489" s="26">
        <v>4.41</v>
      </c>
      <c r="K489" s="13">
        <f t="shared" si="28"/>
        <v>68.070000000000007</v>
      </c>
      <c r="L489" s="13">
        <f t="shared" si="29"/>
        <v>17</v>
      </c>
      <c r="M489" s="13">
        <f t="shared" si="30"/>
        <v>4.0041176470588242</v>
      </c>
    </row>
    <row r="490" spans="7:13">
      <c r="G490" s="27">
        <v>41449</v>
      </c>
      <c r="H490" s="26">
        <v>4.46</v>
      </c>
      <c r="I490" s="26">
        <v>0.8</v>
      </c>
      <c r="J490" s="26">
        <v>4.41</v>
      </c>
      <c r="K490" s="13">
        <f t="shared" si="28"/>
        <v>63.660000000000011</v>
      </c>
      <c r="L490" s="13">
        <f t="shared" si="29"/>
        <v>16</v>
      </c>
      <c r="M490" s="13">
        <f t="shared" si="30"/>
        <v>3.9787500000000007</v>
      </c>
    </row>
    <row r="491" spans="7:13">
      <c r="G491" s="27">
        <v>41446</v>
      </c>
      <c r="H491" s="26">
        <v>4.46</v>
      </c>
      <c r="I491" s="26">
        <v>0.8</v>
      </c>
      <c r="J491" s="26">
        <v>4.41</v>
      </c>
      <c r="K491" s="13">
        <f t="shared" si="28"/>
        <v>59.250000000000014</v>
      </c>
      <c r="L491" s="13">
        <f t="shared" si="29"/>
        <v>15</v>
      </c>
      <c r="M491" s="13">
        <f t="shared" si="30"/>
        <v>3.9500000000000011</v>
      </c>
    </row>
    <row r="492" spans="7:13">
      <c r="G492" s="27">
        <v>41445</v>
      </c>
      <c r="H492" s="26">
        <v>4.46</v>
      </c>
      <c r="I492" s="26">
        <v>0.8</v>
      </c>
      <c r="J492" s="26">
        <v>4.41</v>
      </c>
      <c r="K492" s="13">
        <f t="shared" si="28"/>
        <v>54.840000000000018</v>
      </c>
      <c r="L492" s="13">
        <f t="shared" si="29"/>
        <v>14</v>
      </c>
      <c r="M492" s="13">
        <f t="shared" si="30"/>
        <v>3.9171428571428586</v>
      </c>
    </row>
    <row r="493" spans="7:13">
      <c r="G493" s="27">
        <v>41444</v>
      </c>
      <c r="H493" s="26">
        <v>3.93</v>
      </c>
      <c r="I493" s="26">
        <v>0.8</v>
      </c>
      <c r="J493" s="26">
        <v>3.88</v>
      </c>
      <c r="K493" s="13">
        <f t="shared" si="28"/>
        <v>50.430000000000014</v>
      </c>
      <c r="L493" s="13">
        <f t="shared" si="29"/>
        <v>13</v>
      </c>
      <c r="M493" s="13">
        <f t="shared" si="30"/>
        <v>3.8792307692307704</v>
      </c>
    </row>
    <row r="494" spans="7:13">
      <c r="G494" s="27">
        <v>41443</v>
      </c>
      <c r="H494" s="26">
        <v>3.93</v>
      </c>
      <c r="I494" s="26">
        <v>0.8</v>
      </c>
      <c r="J494" s="26">
        <v>3.88</v>
      </c>
      <c r="K494" s="13">
        <f t="shared" si="28"/>
        <v>46.550000000000011</v>
      </c>
      <c r="L494" s="13">
        <f t="shared" si="29"/>
        <v>12</v>
      </c>
      <c r="M494" s="13">
        <f t="shared" si="30"/>
        <v>3.8791666666666678</v>
      </c>
    </row>
    <row r="495" spans="7:13">
      <c r="G495" s="27">
        <v>41442</v>
      </c>
      <c r="H495" s="26">
        <v>3.93</v>
      </c>
      <c r="I495" s="26">
        <v>0.8</v>
      </c>
      <c r="J495" s="26">
        <v>3.88</v>
      </c>
      <c r="K495" s="13">
        <f t="shared" si="28"/>
        <v>42.670000000000009</v>
      </c>
      <c r="L495" s="13">
        <f t="shared" si="29"/>
        <v>11</v>
      </c>
      <c r="M495" s="13">
        <f t="shared" si="30"/>
        <v>3.8790909090909098</v>
      </c>
    </row>
    <row r="496" spans="7:13">
      <c r="G496" s="27">
        <v>41439</v>
      </c>
      <c r="H496" s="26">
        <v>3.93</v>
      </c>
      <c r="I496" s="26">
        <v>0.8</v>
      </c>
      <c r="J496" s="26">
        <v>3.88</v>
      </c>
      <c r="K496" s="13">
        <f t="shared" si="28"/>
        <v>38.790000000000006</v>
      </c>
      <c r="L496" s="13">
        <f t="shared" si="29"/>
        <v>10</v>
      </c>
      <c r="M496" s="13">
        <f t="shared" si="30"/>
        <v>3.8790000000000004</v>
      </c>
    </row>
    <row r="497" spans="7:13">
      <c r="G497" s="27">
        <v>41438</v>
      </c>
      <c r="H497" s="26">
        <v>3.93</v>
      </c>
      <c r="I497" s="26">
        <v>0.8</v>
      </c>
      <c r="J497" s="26">
        <v>3.88</v>
      </c>
      <c r="K497" s="13">
        <f t="shared" si="28"/>
        <v>34.910000000000004</v>
      </c>
      <c r="L497" s="13">
        <f t="shared" si="29"/>
        <v>9</v>
      </c>
      <c r="M497" s="13">
        <f t="shared" si="30"/>
        <v>3.8788888888888895</v>
      </c>
    </row>
    <row r="498" spans="7:13">
      <c r="G498" s="27">
        <v>41437</v>
      </c>
      <c r="H498" s="26">
        <v>3.98</v>
      </c>
      <c r="I498" s="26">
        <v>0.7</v>
      </c>
      <c r="J498" s="26">
        <v>3.9049999999999998</v>
      </c>
      <c r="K498" s="13">
        <f t="shared" si="28"/>
        <v>31.03</v>
      </c>
      <c r="L498" s="13">
        <f t="shared" si="29"/>
        <v>8</v>
      </c>
      <c r="M498" s="13">
        <f t="shared" si="30"/>
        <v>3.8787500000000001</v>
      </c>
    </row>
    <row r="499" spans="7:13">
      <c r="G499" s="27">
        <v>41436</v>
      </c>
      <c r="H499" s="26">
        <v>3.98</v>
      </c>
      <c r="I499" s="26">
        <v>0.7</v>
      </c>
      <c r="J499" s="26">
        <v>3.9049999999999998</v>
      </c>
      <c r="K499" s="13">
        <f t="shared" si="28"/>
        <v>27.125</v>
      </c>
      <c r="L499" s="13">
        <f t="shared" si="29"/>
        <v>7</v>
      </c>
      <c r="M499" s="13">
        <f t="shared" si="30"/>
        <v>3.875</v>
      </c>
    </row>
    <row r="500" spans="7:13">
      <c r="G500" s="27">
        <v>41435</v>
      </c>
      <c r="H500" s="26">
        <v>3.98</v>
      </c>
      <c r="I500" s="26">
        <v>0.7</v>
      </c>
      <c r="J500" s="26">
        <v>3.9049999999999998</v>
      </c>
      <c r="K500" s="13">
        <f t="shared" si="28"/>
        <v>23.22</v>
      </c>
      <c r="L500" s="13">
        <f t="shared" si="29"/>
        <v>6</v>
      </c>
      <c r="M500" s="13">
        <f t="shared" si="30"/>
        <v>3.8699999999999997</v>
      </c>
    </row>
    <row r="501" spans="7:13">
      <c r="G501" s="27">
        <v>41432</v>
      </c>
      <c r="H501" s="26">
        <v>3.98</v>
      </c>
      <c r="I501" s="26">
        <v>0.7</v>
      </c>
      <c r="J501" s="26">
        <v>3.9049999999999998</v>
      </c>
      <c r="K501" s="13">
        <f t="shared" si="28"/>
        <v>19.314999999999998</v>
      </c>
      <c r="L501" s="13">
        <f t="shared" si="29"/>
        <v>5</v>
      </c>
      <c r="M501" s="13">
        <f t="shared" si="30"/>
        <v>3.8629999999999995</v>
      </c>
    </row>
    <row r="502" spans="7:13">
      <c r="G502" s="27">
        <v>41431</v>
      </c>
      <c r="H502" s="26">
        <v>3.98</v>
      </c>
      <c r="I502" s="26">
        <v>0.7</v>
      </c>
      <c r="J502" s="26">
        <v>3.9049999999999998</v>
      </c>
      <c r="K502" s="13">
        <f t="shared" si="28"/>
        <v>15.409999999999998</v>
      </c>
      <c r="L502" s="13">
        <f t="shared" si="29"/>
        <v>4</v>
      </c>
      <c r="M502" s="13">
        <f t="shared" si="30"/>
        <v>3.8524999999999996</v>
      </c>
    </row>
    <row r="503" spans="7:13">
      <c r="G503" s="27">
        <v>41430</v>
      </c>
      <c r="H503" s="26">
        <v>3.91</v>
      </c>
      <c r="I503" s="26">
        <v>0.7</v>
      </c>
      <c r="J503" s="26">
        <v>3.835</v>
      </c>
      <c r="K503" s="13">
        <f t="shared" si="28"/>
        <v>11.504999999999999</v>
      </c>
      <c r="L503" s="13">
        <f t="shared" si="29"/>
        <v>3</v>
      </c>
      <c r="M503" s="13">
        <f t="shared" si="30"/>
        <v>3.8349999999999995</v>
      </c>
    </row>
    <row r="504" spans="7:13">
      <c r="G504" s="27">
        <v>41429</v>
      </c>
      <c r="H504" s="26">
        <v>3.91</v>
      </c>
      <c r="I504" s="26">
        <v>0.7</v>
      </c>
      <c r="J504" s="26">
        <v>3.835</v>
      </c>
      <c r="K504" s="13">
        <f t="shared" si="28"/>
        <v>7.67</v>
      </c>
      <c r="L504" s="13">
        <f t="shared" si="29"/>
        <v>2</v>
      </c>
      <c r="M504" s="13">
        <f t="shared" si="30"/>
        <v>3.835</v>
      </c>
    </row>
    <row r="505" spans="7:13">
      <c r="G505" s="27">
        <v>41428</v>
      </c>
      <c r="H505" s="26">
        <v>3.91</v>
      </c>
      <c r="I505" s="26">
        <v>0.7</v>
      </c>
      <c r="J505" s="26">
        <v>3.835</v>
      </c>
      <c r="K505" s="13">
        <f t="shared" si="28"/>
        <v>3.835</v>
      </c>
      <c r="L505" s="13">
        <f t="shared" si="29"/>
        <v>1</v>
      </c>
      <c r="M505" s="13">
        <f t="shared" si="30"/>
        <v>3.835</v>
      </c>
    </row>
    <row r="506" spans="7:13">
      <c r="G506" s="27">
        <v>41425</v>
      </c>
      <c r="H506" s="26">
        <v>3.91</v>
      </c>
      <c r="I506" s="26">
        <v>0.7</v>
      </c>
      <c r="J506" s="26">
        <v>3.835</v>
      </c>
      <c r="K506" s="13">
        <f t="shared" si="28"/>
        <v>77.459999999999994</v>
      </c>
      <c r="L506" s="13">
        <f t="shared" si="29"/>
        <v>22</v>
      </c>
      <c r="M506" s="13">
        <f t="shared" si="30"/>
        <v>3.5209090909090905</v>
      </c>
    </row>
    <row r="507" spans="7:13">
      <c r="G507" s="27">
        <v>41424</v>
      </c>
      <c r="H507" s="26">
        <v>3.91</v>
      </c>
      <c r="I507" s="26">
        <v>0.7</v>
      </c>
      <c r="J507" s="26">
        <v>3.835</v>
      </c>
      <c r="K507" s="13">
        <f t="shared" si="28"/>
        <v>73.625</v>
      </c>
      <c r="L507" s="13">
        <f t="shared" si="29"/>
        <v>21</v>
      </c>
      <c r="M507" s="13">
        <f t="shared" si="30"/>
        <v>3.5059523809523809</v>
      </c>
    </row>
    <row r="508" spans="7:13">
      <c r="G508" s="27">
        <v>41423</v>
      </c>
      <c r="H508" s="26">
        <v>3.81</v>
      </c>
      <c r="I508" s="26">
        <v>0.8</v>
      </c>
      <c r="J508" s="26">
        <v>3.76</v>
      </c>
      <c r="K508" s="13">
        <f t="shared" si="28"/>
        <v>69.790000000000006</v>
      </c>
      <c r="L508" s="13">
        <f t="shared" si="29"/>
        <v>20</v>
      </c>
      <c r="M508" s="13">
        <f t="shared" si="30"/>
        <v>3.4895000000000005</v>
      </c>
    </row>
    <row r="509" spans="7:13">
      <c r="G509" s="27">
        <v>41422</v>
      </c>
      <c r="H509" s="26">
        <v>3.81</v>
      </c>
      <c r="I509" s="26">
        <v>0.8</v>
      </c>
      <c r="J509" s="26">
        <v>3.76</v>
      </c>
      <c r="K509" s="13">
        <f t="shared" si="28"/>
        <v>66.03</v>
      </c>
      <c r="L509" s="13">
        <f t="shared" si="29"/>
        <v>19</v>
      </c>
      <c r="M509" s="13">
        <f t="shared" si="30"/>
        <v>3.4752631578947368</v>
      </c>
    </row>
    <row r="510" spans="7:13">
      <c r="G510" s="27">
        <v>41418</v>
      </c>
      <c r="H510" s="26">
        <v>3.81</v>
      </c>
      <c r="I510" s="26">
        <v>0.8</v>
      </c>
      <c r="J510" s="26">
        <v>3.76</v>
      </c>
      <c r="K510" s="13">
        <f t="shared" si="28"/>
        <v>62.269999999999996</v>
      </c>
      <c r="L510" s="13">
        <f t="shared" si="29"/>
        <v>18</v>
      </c>
      <c r="M510" s="13">
        <f t="shared" si="30"/>
        <v>3.4594444444444443</v>
      </c>
    </row>
    <row r="511" spans="7:13">
      <c r="G511" s="27">
        <v>41417</v>
      </c>
      <c r="H511" s="26">
        <v>3.81</v>
      </c>
      <c r="I511" s="26">
        <v>0.8</v>
      </c>
      <c r="J511" s="26">
        <v>3.76</v>
      </c>
      <c r="K511" s="13">
        <f t="shared" si="28"/>
        <v>58.51</v>
      </c>
      <c r="L511" s="13">
        <f t="shared" si="29"/>
        <v>17</v>
      </c>
      <c r="M511" s="13">
        <f t="shared" si="30"/>
        <v>3.4417647058823526</v>
      </c>
    </row>
    <row r="512" spans="7:13">
      <c r="G512" s="27">
        <v>41416</v>
      </c>
      <c r="H512" s="26">
        <v>3.59</v>
      </c>
      <c r="I512" s="26">
        <v>0.7</v>
      </c>
      <c r="J512" s="26">
        <v>3.5150000000000001</v>
      </c>
      <c r="K512" s="13">
        <f t="shared" si="28"/>
        <v>54.75</v>
      </c>
      <c r="L512" s="13">
        <f t="shared" si="29"/>
        <v>16</v>
      </c>
      <c r="M512" s="13">
        <f t="shared" si="30"/>
        <v>3.421875</v>
      </c>
    </row>
    <row r="513" spans="7:13">
      <c r="G513" s="27">
        <v>41415</v>
      </c>
      <c r="H513" s="26">
        <v>3.59</v>
      </c>
      <c r="I513" s="26">
        <v>0.7</v>
      </c>
      <c r="J513" s="26">
        <v>3.5150000000000001</v>
      </c>
      <c r="K513" s="13">
        <f t="shared" si="28"/>
        <v>51.234999999999999</v>
      </c>
      <c r="L513" s="13">
        <f t="shared" si="29"/>
        <v>15</v>
      </c>
      <c r="M513" s="13">
        <f t="shared" si="30"/>
        <v>3.4156666666666666</v>
      </c>
    </row>
    <row r="514" spans="7:13">
      <c r="G514" s="27">
        <v>41414</v>
      </c>
      <c r="H514" s="26">
        <v>3.59</v>
      </c>
      <c r="I514" s="26">
        <v>0.7</v>
      </c>
      <c r="J514" s="26">
        <v>3.5150000000000001</v>
      </c>
      <c r="K514" s="13">
        <f t="shared" si="28"/>
        <v>47.72</v>
      </c>
      <c r="L514" s="13">
        <f t="shared" si="29"/>
        <v>14</v>
      </c>
      <c r="M514" s="13">
        <f t="shared" si="30"/>
        <v>3.4085714285714284</v>
      </c>
    </row>
    <row r="515" spans="7:13">
      <c r="G515" s="27">
        <v>41411</v>
      </c>
      <c r="H515" s="26">
        <v>3.59</v>
      </c>
      <c r="I515" s="26">
        <v>0.7</v>
      </c>
      <c r="J515" s="26">
        <v>3.5150000000000001</v>
      </c>
      <c r="K515" s="13">
        <f t="shared" si="28"/>
        <v>44.204999999999998</v>
      </c>
      <c r="L515" s="13">
        <f t="shared" si="29"/>
        <v>13</v>
      </c>
      <c r="M515" s="13">
        <f t="shared" si="30"/>
        <v>3.4003846153846151</v>
      </c>
    </row>
    <row r="516" spans="7:13">
      <c r="G516" s="27">
        <v>41410</v>
      </c>
      <c r="H516" s="26">
        <v>3.59</v>
      </c>
      <c r="I516" s="26">
        <v>0.7</v>
      </c>
      <c r="J516" s="26">
        <v>3.5150000000000001</v>
      </c>
      <c r="K516" s="13">
        <f t="shared" ref="K516:K579" si="31">IF(MONTH(G516)=MONTH(G517),J516+K517,J516)</f>
        <v>40.69</v>
      </c>
      <c r="L516" s="13">
        <f t="shared" ref="L516:L579" si="32">IF(MONTH(G516)=MONTH(G517),L517+1,1)</f>
        <v>12</v>
      </c>
      <c r="M516" s="13">
        <f t="shared" si="30"/>
        <v>3.3908333333333331</v>
      </c>
    </row>
    <row r="517" spans="7:13">
      <c r="G517" s="27">
        <v>41409</v>
      </c>
      <c r="H517" s="26">
        <v>3.51</v>
      </c>
      <c r="I517" s="26">
        <v>0.7</v>
      </c>
      <c r="J517" s="26">
        <v>3.4350000000000001</v>
      </c>
      <c r="K517" s="13">
        <f t="shared" si="31"/>
        <v>37.174999999999997</v>
      </c>
      <c r="L517" s="13">
        <f t="shared" si="32"/>
        <v>11</v>
      </c>
      <c r="M517" s="13">
        <f t="shared" ref="M517:M580" si="33">K517/L517</f>
        <v>3.3795454545454544</v>
      </c>
    </row>
    <row r="518" spans="7:13">
      <c r="G518" s="27">
        <v>41408</v>
      </c>
      <c r="H518" s="26">
        <v>3.51</v>
      </c>
      <c r="I518" s="26">
        <v>0.7</v>
      </c>
      <c r="J518" s="26">
        <v>3.4350000000000001</v>
      </c>
      <c r="K518" s="13">
        <f t="shared" si="31"/>
        <v>33.739999999999995</v>
      </c>
      <c r="L518" s="13">
        <f t="shared" si="32"/>
        <v>10</v>
      </c>
      <c r="M518" s="13">
        <f t="shared" si="33"/>
        <v>3.3739999999999997</v>
      </c>
    </row>
    <row r="519" spans="7:13">
      <c r="G519" s="27">
        <v>41407</v>
      </c>
      <c r="H519" s="26">
        <v>3.51</v>
      </c>
      <c r="I519" s="26">
        <v>0.7</v>
      </c>
      <c r="J519" s="26">
        <v>3.4350000000000001</v>
      </c>
      <c r="K519" s="13">
        <f t="shared" si="31"/>
        <v>30.304999999999996</v>
      </c>
      <c r="L519" s="13">
        <f t="shared" si="32"/>
        <v>9</v>
      </c>
      <c r="M519" s="13">
        <f t="shared" si="33"/>
        <v>3.3672222222222219</v>
      </c>
    </row>
    <row r="520" spans="7:13">
      <c r="G520" s="27">
        <v>41404</v>
      </c>
      <c r="H520" s="26">
        <v>3.51</v>
      </c>
      <c r="I520" s="26">
        <v>0.7</v>
      </c>
      <c r="J520" s="26">
        <v>3.4350000000000001</v>
      </c>
      <c r="K520" s="13">
        <f t="shared" si="31"/>
        <v>26.869999999999997</v>
      </c>
      <c r="L520" s="13">
        <f t="shared" si="32"/>
        <v>8</v>
      </c>
      <c r="M520" s="13">
        <f t="shared" si="33"/>
        <v>3.3587499999999997</v>
      </c>
    </row>
    <row r="521" spans="7:13">
      <c r="G521" s="27">
        <v>41403</v>
      </c>
      <c r="H521" s="26">
        <v>3.51</v>
      </c>
      <c r="I521" s="26">
        <v>0.7</v>
      </c>
      <c r="J521" s="26">
        <v>3.4350000000000001</v>
      </c>
      <c r="K521" s="13">
        <f t="shared" si="31"/>
        <v>23.434999999999999</v>
      </c>
      <c r="L521" s="13">
        <f t="shared" si="32"/>
        <v>7</v>
      </c>
      <c r="M521" s="13">
        <f t="shared" si="33"/>
        <v>3.3478571428571429</v>
      </c>
    </row>
    <row r="522" spans="7:13">
      <c r="G522" s="27">
        <v>41402</v>
      </c>
      <c r="H522" s="26">
        <v>3.42</v>
      </c>
      <c r="I522" s="26">
        <v>0.7</v>
      </c>
      <c r="J522" s="26">
        <v>3.3450000000000002</v>
      </c>
      <c r="K522" s="13">
        <f t="shared" si="31"/>
        <v>20</v>
      </c>
      <c r="L522" s="13">
        <f t="shared" si="32"/>
        <v>6</v>
      </c>
      <c r="M522" s="13">
        <f t="shared" si="33"/>
        <v>3.3333333333333335</v>
      </c>
    </row>
    <row r="523" spans="7:13">
      <c r="G523" s="27">
        <v>41401</v>
      </c>
      <c r="H523" s="26">
        <v>3.42</v>
      </c>
      <c r="I523" s="26">
        <v>0.7</v>
      </c>
      <c r="J523" s="26">
        <v>3.3450000000000002</v>
      </c>
      <c r="K523" s="13">
        <f t="shared" si="31"/>
        <v>16.655000000000001</v>
      </c>
      <c r="L523" s="13">
        <f t="shared" si="32"/>
        <v>5</v>
      </c>
      <c r="M523" s="13">
        <f t="shared" si="33"/>
        <v>3.3310000000000004</v>
      </c>
    </row>
    <row r="524" spans="7:13">
      <c r="G524" s="27">
        <v>41400</v>
      </c>
      <c r="H524" s="26">
        <v>3.42</v>
      </c>
      <c r="I524" s="26">
        <v>0.7</v>
      </c>
      <c r="J524" s="26">
        <v>3.3450000000000002</v>
      </c>
      <c r="K524" s="13">
        <f t="shared" si="31"/>
        <v>13.31</v>
      </c>
      <c r="L524" s="13">
        <f t="shared" si="32"/>
        <v>4</v>
      </c>
      <c r="M524" s="13">
        <f t="shared" si="33"/>
        <v>3.3275000000000001</v>
      </c>
    </row>
    <row r="525" spans="7:13">
      <c r="G525" s="27">
        <v>41397</v>
      </c>
      <c r="H525" s="26">
        <v>3.42</v>
      </c>
      <c r="I525" s="26">
        <v>0.7</v>
      </c>
      <c r="J525" s="26">
        <v>3.3450000000000002</v>
      </c>
      <c r="K525" s="13">
        <f t="shared" si="31"/>
        <v>9.9649999999999999</v>
      </c>
      <c r="L525" s="13">
        <f t="shared" si="32"/>
        <v>3</v>
      </c>
      <c r="M525" s="13">
        <f t="shared" si="33"/>
        <v>3.3216666666666668</v>
      </c>
    </row>
    <row r="526" spans="7:13">
      <c r="G526" s="27">
        <v>41396</v>
      </c>
      <c r="H526" s="26">
        <v>3.42</v>
      </c>
      <c r="I526" s="26">
        <v>0.7</v>
      </c>
      <c r="J526" s="26">
        <v>3.3450000000000002</v>
      </c>
      <c r="K526" s="13">
        <f t="shared" si="31"/>
        <v>6.62</v>
      </c>
      <c r="L526" s="13">
        <f t="shared" si="32"/>
        <v>2</v>
      </c>
      <c r="M526" s="13">
        <f t="shared" si="33"/>
        <v>3.31</v>
      </c>
    </row>
    <row r="527" spans="7:13">
      <c r="G527" s="27">
        <v>41395</v>
      </c>
      <c r="H527" s="26">
        <v>3.35</v>
      </c>
      <c r="I527" s="26">
        <v>0.7</v>
      </c>
      <c r="J527" s="26">
        <v>3.2749999999999999</v>
      </c>
      <c r="K527" s="13">
        <f t="shared" si="31"/>
        <v>3.2749999999999999</v>
      </c>
      <c r="L527" s="13">
        <f t="shared" si="32"/>
        <v>1</v>
      </c>
      <c r="M527" s="13">
        <f t="shared" si="33"/>
        <v>3.2749999999999999</v>
      </c>
    </row>
    <row r="528" spans="7:13">
      <c r="G528" s="27">
        <v>41394</v>
      </c>
      <c r="H528" s="26">
        <v>3.35</v>
      </c>
      <c r="I528" s="26">
        <v>0.7</v>
      </c>
      <c r="J528" s="26">
        <v>3.2749999999999999</v>
      </c>
      <c r="K528" s="13">
        <f t="shared" si="31"/>
        <v>73.895000000000024</v>
      </c>
      <c r="L528" s="13">
        <f t="shared" si="32"/>
        <v>22</v>
      </c>
      <c r="M528" s="13">
        <f t="shared" si="33"/>
        <v>3.3588636363636373</v>
      </c>
    </row>
    <row r="529" spans="7:13">
      <c r="G529" s="27">
        <v>41393</v>
      </c>
      <c r="H529" s="26">
        <v>3.35</v>
      </c>
      <c r="I529" s="26">
        <v>0.7</v>
      </c>
      <c r="J529" s="26">
        <v>3.2749999999999999</v>
      </c>
      <c r="K529" s="13">
        <f t="shared" si="31"/>
        <v>70.620000000000019</v>
      </c>
      <c r="L529" s="13">
        <f t="shared" si="32"/>
        <v>21</v>
      </c>
      <c r="M529" s="13">
        <f t="shared" si="33"/>
        <v>3.3628571428571439</v>
      </c>
    </row>
    <row r="530" spans="7:13">
      <c r="G530" s="27">
        <v>41390</v>
      </c>
      <c r="H530" s="26">
        <v>3.35</v>
      </c>
      <c r="I530" s="26">
        <v>0.7</v>
      </c>
      <c r="J530" s="26">
        <v>3.2749999999999999</v>
      </c>
      <c r="K530" s="13">
        <f t="shared" si="31"/>
        <v>67.345000000000013</v>
      </c>
      <c r="L530" s="13">
        <f t="shared" si="32"/>
        <v>20</v>
      </c>
      <c r="M530" s="13">
        <f t="shared" si="33"/>
        <v>3.3672500000000007</v>
      </c>
    </row>
    <row r="531" spans="7:13">
      <c r="G531" s="27">
        <v>41389</v>
      </c>
      <c r="H531" s="26">
        <v>3.35</v>
      </c>
      <c r="I531" s="26">
        <v>0.7</v>
      </c>
      <c r="J531" s="26">
        <v>3.2749999999999999</v>
      </c>
      <c r="K531" s="13">
        <f t="shared" si="31"/>
        <v>64.070000000000007</v>
      </c>
      <c r="L531" s="13">
        <f t="shared" si="32"/>
        <v>19</v>
      </c>
      <c r="M531" s="13">
        <f t="shared" si="33"/>
        <v>3.3721052631578949</v>
      </c>
    </row>
    <row r="532" spans="7:13">
      <c r="G532" s="27">
        <v>41388</v>
      </c>
      <c r="H532" s="26">
        <v>3.4</v>
      </c>
      <c r="I532" s="26">
        <v>0.8</v>
      </c>
      <c r="J532" s="26">
        <v>3.35</v>
      </c>
      <c r="K532" s="13">
        <f t="shared" si="31"/>
        <v>60.795000000000009</v>
      </c>
      <c r="L532" s="13">
        <f t="shared" si="32"/>
        <v>18</v>
      </c>
      <c r="M532" s="13">
        <f t="shared" si="33"/>
        <v>3.3775000000000004</v>
      </c>
    </row>
    <row r="533" spans="7:13">
      <c r="G533" s="27">
        <v>41387</v>
      </c>
      <c r="H533" s="26">
        <v>3.4</v>
      </c>
      <c r="I533" s="26">
        <v>0.8</v>
      </c>
      <c r="J533" s="26">
        <v>3.35</v>
      </c>
      <c r="K533" s="13">
        <f t="shared" si="31"/>
        <v>57.445000000000007</v>
      </c>
      <c r="L533" s="13">
        <f t="shared" si="32"/>
        <v>17</v>
      </c>
      <c r="M533" s="13">
        <f t="shared" si="33"/>
        <v>3.3791176470588238</v>
      </c>
    </row>
    <row r="534" spans="7:13">
      <c r="G534" s="27">
        <v>41386</v>
      </c>
      <c r="H534" s="26">
        <v>3.4</v>
      </c>
      <c r="I534" s="26">
        <v>0.8</v>
      </c>
      <c r="J534" s="26">
        <v>3.35</v>
      </c>
      <c r="K534" s="13">
        <f t="shared" si="31"/>
        <v>54.095000000000006</v>
      </c>
      <c r="L534" s="13">
        <f t="shared" si="32"/>
        <v>16</v>
      </c>
      <c r="M534" s="13">
        <f t="shared" si="33"/>
        <v>3.3809375000000004</v>
      </c>
    </row>
    <row r="535" spans="7:13">
      <c r="G535" s="27">
        <v>41383</v>
      </c>
      <c r="H535" s="26">
        <v>3.4</v>
      </c>
      <c r="I535" s="26">
        <v>0.8</v>
      </c>
      <c r="J535" s="26">
        <v>3.35</v>
      </c>
      <c r="K535" s="13">
        <f t="shared" si="31"/>
        <v>50.745000000000005</v>
      </c>
      <c r="L535" s="13">
        <f t="shared" si="32"/>
        <v>15</v>
      </c>
      <c r="M535" s="13">
        <f t="shared" si="33"/>
        <v>3.3830000000000005</v>
      </c>
    </row>
    <row r="536" spans="7:13">
      <c r="G536" s="27">
        <v>41382</v>
      </c>
      <c r="H536" s="26">
        <v>3.4</v>
      </c>
      <c r="I536" s="26">
        <v>0.8</v>
      </c>
      <c r="J536" s="26">
        <v>3.35</v>
      </c>
      <c r="K536" s="13">
        <f t="shared" si="31"/>
        <v>47.395000000000003</v>
      </c>
      <c r="L536" s="13">
        <f t="shared" si="32"/>
        <v>14</v>
      </c>
      <c r="M536" s="13">
        <f t="shared" si="33"/>
        <v>3.385357142857143</v>
      </c>
    </row>
    <row r="537" spans="7:13">
      <c r="G537" s="27">
        <v>41381</v>
      </c>
      <c r="H537" s="26">
        <v>3.41</v>
      </c>
      <c r="I537" s="26">
        <v>0.7</v>
      </c>
      <c r="J537" s="26">
        <v>3.335</v>
      </c>
      <c r="K537" s="13">
        <f t="shared" si="31"/>
        <v>44.045000000000002</v>
      </c>
      <c r="L537" s="13">
        <f t="shared" si="32"/>
        <v>13</v>
      </c>
      <c r="M537" s="13">
        <f t="shared" si="33"/>
        <v>3.3880769230769232</v>
      </c>
    </row>
    <row r="538" spans="7:13">
      <c r="G538" s="27">
        <v>41380</v>
      </c>
      <c r="H538" s="26">
        <v>3.41</v>
      </c>
      <c r="I538" s="26">
        <v>0.7</v>
      </c>
      <c r="J538" s="26">
        <v>3.335</v>
      </c>
      <c r="K538" s="13">
        <f t="shared" si="31"/>
        <v>40.71</v>
      </c>
      <c r="L538" s="13">
        <f t="shared" si="32"/>
        <v>12</v>
      </c>
      <c r="M538" s="13">
        <f t="shared" si="33"/>
        <v>3.3925000000000001</v>
      </c>
    </row>
    <row r="539" spans="7:13">
      <c r="G539" s="27">
        <v>41379</v>
      </c>
      <c r="H539" s="26">
        <v>3.41</v>
      </c>
      <c r="I539" s="26">
        <v>0.7</v>
      </c>
      <c r="J539" s="26">
        <v>3.335</v>
      </c>
      <c r="K539" s="13">
        <f t="shared" si="31"/>
        <v>37.375</v>
      </c>
      <c r="L539" s="13">
        <f t="shared" si="32"/>
        <v>11</v>
      </c>
      <c r="M539" s="13">
        <f t="shared" si="33"/>
        <v>3.3977272727272729</v>
      </c>
    </row>
    <row r="540" spans="7:13">
      <c r="G540" s="27">
        <v>41376</v>
      </c>
      <c r="H540" s="26">
        <v>3.41</v>
      </c>
      <c r="I540" s="26">
        <v>0.7</v>
      </c>
      <c r="J540" s="26">
        <v>3.335</v>
      </c>
      <c r="K540" s="13">
        <f t="shared" si="31"/>
        <v>34.04</v>
      </c>
      <c r="L540" s="13">
        <f t="shared" si="32"/>
        <v>10</v>
      </c>
      <c r="M540" s="13">
        <f t="shared" si="33"/>
        <v>3.4039999999999999</v>
      </c>
    </row>
    <row r="541" spans="7:13">
      <c r="G541" s="27">
        <v>41375</v>
      </c>
      <c r="H541" s="26">
        <v>3.41</v>
      </c>
      <c r="I541" s="26">
        <v>0.7</v>
      </c>
      <c r="J541" s="26">
        <v>3.335</v>
      </c>
      <c r="K541" s="13">
        <f t="shared" si="31"/>
        <v>30.704999999999998</v>
      </c>
      <c r="L541" s="13">
        <f t="shared" si="32"/>
        <v>9</v>
      </c>
      <c r="M541" s="13">
        <f t="shared" si="33"/>
        <v>3.4116666666666666</v>
      </c>
    </row>
    <row r="542" spans="7:13">
      <c r="G542" s="27">
        <v>41374</v>
      </c>
      <c r="H542" s="26">
        <v>3.43</v>
      </c>
      <c r="I542" s="26">
        <v>0.8</v>
      </c>
      <c r="J542" s="26">
        <v>3.38</v>
      </c>
      <c r="K542" s="13">
        <f t="shared" si="31"/>
        <v>27.369999999999997</v>
      </c>
      <c r="L542" s="13">
        <f t="shared" si="32"/>
        <v>8</v>
      </c>
      <c r="M542" s="13">
        <f t="shared" si="33"/>
        <v>3.4212499999999997</v>
      </c>
    </row>
    <row r="543" spans="7:13">
      <c r="G543" s="27">
        <v>41373</v>
      </c>
      <c r="H543" s="26">
        <v>3.43</v>
      </c>
      <c r="I543" s="26">
        <v>0.8</v>
      </c>
      <c r="J543" s="26">
        <v>3.38</v>
      </c>
      <c r="K543" s="13">
        <f t="shared" si="31"/>
        <v>23.99</v>
      </c>
      <c r="L543" s="13">
        <f t="shared" si="32"/>
        <v>7</v>
      </c>
      <c r="M543" s="13">
        <f t="shared" si="33"/>
        <v>3.427142857142857</v>
      </c>
    </row>
    <row r="544" spans="7:13">
      <c r="G544" s="27">
        <v>41372</v>
      </c>
      <c r="H544" s="26">
        <v>3.43</v>
      </c>
      <c r="I544" s="26">
        <v>0.8</v>
      </c>
      <c r="J544" s="26">
        <v>3.38</v>
      </c>
      <c r="K544" s="13">
        <f t="shared" si="31"/>
        <v>20.61</v>
      </c>
      <c r="L544" s="13">
        <f t="shared" si="32"/>
        <v>6</v>
      </c>
      <c r="M544" s="13">
        <f t="shared" si="33"/>
        <v>3.4350000000000001</v>
      </c>
    </row>
    <row r="545" spans="7:13">
      <c r="G545" s="27">
        <v>41369</v>
      </c>
      <c r="H545" s="26">
        <v>3.43</v>
      </c>
      <c r="I545" s="26">
        <v>0.8</v>
      </c>
      <c r="J545" s="26">
        <v>3.38</v>
      </c>
      <c r="K545" s="13">
        <f t="shared" si="31"/>
        <v>17.23</v>
      </c>
      <c r="L545" s="13">
        <f t="shared" si="32"/>
        <v>5</v>
      </c>
      <c r="M545" s="13">
        <f t="shared" si="33"/>
        <v>3.4460000000000002</v>
      </c>
    </row>
    <row r="546" spans="7:13">
      <c r="G546" s="27">
        <v>41368</v>
      </c>
      <c r="H546" s="26">
        <v>3.43</v>
      </c>
      <c r="I546" s="26">
        <v>0.8</v>
      </c>
      <c r="J546" s="26">
        <v>3.38</v>
      </c>
      <c r="K546" s="13">
        <f t="shared" si="31"/>
        <v>13.850000000000001</v>
      </c>
      <c r="L546" s="13">
        <f t="shared" si="32"/>
        <v>4</v>
      </c>
      <c r="M546" s="13">
        <f t="shared" si="33"/>
        <v>3.4625000000000004</v>
      </c>
    </row>
    <row r="547" spans="7:13">
      <c r="G547" s="27">
        <v>41367</v>
      </c>
      <c r="H547" s="26">
        <v>3.54</v>
      </c>
      <c r="I547" s="26">
        <v>0.8</v>
      </c>
      <c r="J547" s="26">
        <v>3.49</v>
      </c>
      <c r="K547" s="13">
        <f t="shared" si="31"/>
        <v>10.47</v>
      </c>
      <c r="L547" s="13">
        <f t="shared" si="32"/>
        <v>3</v>
      </c>
      <c r="M547" s="13">
        <f t="shared" si="33"/>
        <v>3.49</v>
      </c>
    </row>
    <row r="548" spans="7:13">
      <c r="G548" s="27">
        <v>41366</v>
      </c>
      <c r="H548" s="26">
        <v>3.54</v>
      </c>
      <c r="I548" s="26">
        <v>0.8</v>
      </c>
      <c r="J548" s="26">
        <v>3.49</v>
      </c>
      <c r="K548" s="13">
        <f t="shared" si="31"/>
        <v>6.98</v>
      </c>
      <c r="L548" s="13">
        <f t="shared" si="32"/>
        <v>2</v>
      </c>
      <c r="M548" s="13">
        <f t="shared" si="33"/>
        <v>3.49</v>
      </c>
    </row>
    <row r="549" spans="7:13">
      <c r="G549" s="27">
        <v>41365</v>
      </c>
      <c r="H549" s="26">
        <v>3.54</v>
      </c>
      <c r="I549" s="26">
        <v>0.8</v>
      </c>
      <c r="J549" s="26">
        <v>3.49</v>
      </c>
      <c r="K549" s="13">
        <f t="shared" si="31"/>
        <v>3.49</v>
      </c>
      <c r="L549" s="13">
        <f t="shared" si="32"/>
        <v>1</v>
      </c>
      <c r="M549" s="13">
        <f t="shared" si="33"/>
        <v>3.49</v>
      </c>
    </row>
    <row r="550" spans="7:13">
      <c r="G550" s="27">
        <v>41361</v>
      </c>
      <c r="H550" s="26">
        <v>3.54</v>
      </c>
      <c r="I550" s="26">
        <v>0.8</v>
      </c>
      <c r="J550" s="26">
        <v>3.49</v>
      </c>
      <c r="K550" s="13">
        <f t="shared" si="31"/>
        <v>70.220000000000013</v>
      </c>
      <c r="L550" s="13">
        <f t="shared" si="32"/>
        <v>20</v>
      </c>
      <c r="M550" s="13">
        <f t="shared" si="33"/>
        <v>3.5110000000000006</v>
      </c>
    </row>
    <row r="551" spans="7:13">
      <c r="G551" s="27">
        <v>41360</v>
      </c>
      <c r="H551" s="26">
        <v>3.57</v>
      </c>
      <c r="I551" s="26">
        <v>0.8</v>
      </c>
      <c r="J551" s="26">
        <v>3.52</v>
      </c>
      <c r="K551" s="13">
        <f t="shared" si="31"/>
        <v>66.730000000000018</v>
      </c>
      <c r="L551" s="13">
        <f t="shared" si="32"/>
        <v>19</v>
      </c>
      <c r="M551" s="13">
        <f t="shared" si="33"/>
        <v>3.5121052631578955</v>
      </c>
    </row>
    <row r="552" spans="7:13">
      <c r="G552" s="27">
        <v>41359</v>
      </c>
      <c r="H552" s="26">
        <v>3.57</v>
      </c>
      <c r="I552" s="26">
        <v>0.8</v>
      </c>
      <c r="J552" s="26">
        <v>3.52</v>
      </c>
      <c r="K552" s="13">
        <f t="shared" si="31"/>
        <v>63.210000000000015</v>
      </c>
      <c r="L552" s="13">
        <f t="shared" si="32"/>
        <v>18</v>
      </c>
      <c r="M552" s="13">
        <f t="shared" si="33"/>
        <v>3.5116666666666676</v>
      </c>
    </row>
    <row r="553" spans="7:13">
      <c r="G553" s="27">
        <v>41358</v>
      </c>
      <c r="H553" s="26">
        <v>3.57</v>
      </c>
      <c r="I553" s="26">
        <v>0.8</v>
      </c>
      <c r="J553" s="26">
        <v>3.52</v>
      </c>
      <c r="K553" s="13">
        <f t="shared" si="31"/>
        <v>59.690000000000012</v>
      </c>
      <c r="L553" s="13">
        <f t="shared" si="32"/>
        <v>17</v>
      </c>
      <c r="M553" s="13">
        <f t="shared" si="33"/>
        <v>3.5111764705882358</v>
      </c>
    </row>
    <row r="554" spans="7:13">
      <c r="G554" s="27">
        <v>41355</v>
      </c>
      <c r="H554" s="26">
        <v>3.57</v>
      </c>
      <c r="I554" s="26">
        <v>0.8</v>
      </c>
      <c r="J554" s="26">
        <v>3.52</v>
      </c>
      <c r="K554" s="13">
        <f t="shared" si="31"/>
        <v>56.170000000000009</v>
      </c>
      <c r="L554" s="13">
        <f t="shared" si="32"/>
        <v>16</v>
      </c>
      <c r="M554" s="13">
        <f t="shared" si="33"/>
        <v>3.5106250000000006</v>
      </c>
    </row>
    <row r="555" spans="7:13">
      <c r="G555" s="27">
        <v>41354</v>
      </c>
      <c r="H555" s="26">
        <v>3.57</v>
      </c>
      <c r="I555" s="26">
        <v>0.8</v>
      </c>
      <c r="J555" s="26">
        <v>3.52</v>
      </c>
      <c r="K555" s="13">
        <f t="shared" si="31"/>
        <v>52.650000000000006</v>
      </c>
      <c r="L555" s="13">
        <f t="shared" si="32"/>
        <v>15</v>
      </c>
      <c r="M555" s="13">
        <f t="shared" si="33"/>
        <v>3.5100000000000002</v>
      </c>
    </row>
    <row r="556" spans="7:13">
      <c r="G556" s="27">
        <v>41353</v>
      </c>
      <c r="H556" s="26">
        <v>3.54</v>
      </c>
      <c r="I556" s="26">
        <v>0.8</v>
      </c>
      <c r="J556" s="26">
        <v>3.49</v>
      </c>
      <c r="K556" s="13">
        <f t="shared" si="31"/>
        <v>49.13</v>
      </c>
      <c r="L556" s="13">
        <f t="shared" si="32"/>
        <v>14</v>
      </c>
      <c r="M556" s="13">
        <f t="shared" si="33"/>
        <v>3.5092857142857143</v>
      </c>
    </row>
    <row r="557" spans="7:13">
      <c r="G557" s="27">
        <v>41352</v>
      </c>
      <c r="H557" s="26">
        <v>3.54</v>
      </c>
      <c r="I557" s="26">
        <v>0.8</v>
      </c>
      <c r="J557" s="26">
        <v>3.49</v>
      </c>
      <c r="K557" s="13">
        <f t="shared" si="31"/>
        <v>45.64</v>
      </c>
      <c r="L557" s="13">
        <f t="shared" si="32"/>
        <v>13</v>
      </c>
      <c r="M557" s="13">
        <f t="shared" si="33"/>
        <v>3.5107692307692306</v>
      </c>
    </row>
    <row r="558" spans="7:13">
      <c r="G558" s="27">
        <v>41351</v>
      </c>
      <c r="H558" s="26">
        <v>3.54</v>
      </c>
      <c r="I558" s="26">
        <v>0.8</v>
      </c>
      <c r="J558" s="26">
        <v>3.49</v>
      </c>
      <c r="K558" s="13">
        <f t="shared" si="31"/>
        <v>42.15</v>
      </c>
      <c r="L558" s="13">
        <f t="shared" si="32"/>
        <v>12</v>
      </c>
      <c r="M558" s="13">
        <f t="shared" si="33"/>
        <v>3.5124999999999997</v>
      </c>
    </row>
    <row r="559" spans="7:13">
      <c r="G559" s="27">
        <v>41348</v>
      </c>
      <c r="H559" s="26">
        <v>3.54</v>
      </c>
      <c r="I559" s="26">
        <v>0.8</v>
      </c>
      <c r="J559" s="26">
        <v>3.49</v>
      </c>
      <c r="K559" s="13">
        <f t="shared" si="31"/>
        <v>38.659999999999997</v>
      </c>
      <c r="L559" s="13">
        <f t="shared" si="32"/>
        <v>11</v>
      </c>
      <c r="M559" s="13">
        <f t="shared" si="33"/>
        <v>3.5145454545454542</v>
      </c>
    </row>
    <row r="560" spans="7:13">
      <c r="G560" s="27">
        <v>41347</v>
      </c>
      <c r="H560" s="26">
        <v>3.54</v>
      </c>
      <c r="I560" s="26">
        <v>0.8</v>
      </c>
      <c r="J560" s="26">
        <v>3.49</v>
      </c>
      <c r="K560" s="13">
        <f t="shared" si="31"/>
        <v>35.169999999999995</v>
      </c>
      <c r="L560" s="13">
        <f t="shared" si="32"/>
        <v>10</v>
      </c>
      <c r="M560" s="13">
        <f t="shared" si="33"/>
        <v>3.5169999999999995</v>
      </c>
    </row>
    <row r="561" spans="7:13">
      <c r="G561" s="27">
        <v>41346</v>
      </c>
      <c r="H561" s="26">
        <v>3.63</v>
      </c>
      <c r="I561" s="26">
        <v>0.8</v>
      </c>
      <c r="J561" s="26">
        <v>3.58</v>
      </c>
      <c r="K561" s="13">
        <f t="shared" si="31"/>
        <v>31.679999999999993</v>
      </c>
      <c r="L561" s="13">
        <f t="shared" si="32"/>
        <v>9</v>
      </c>
      <c r="M561" s="13">
        <f t="shared" si="33"/>
        <v>3.5199999999999991</v>
      </c>
    </row>
    <row r="562" spans="7:13">
      <c r="G562" s="27">
        <v>41345</v>
      </c>
      <c r="H562" s="26">
        <v>3.63</v>
      </c>
      <c r="I562" s="26">
        <v>0.8</v>
      </c>
      <c r="J562" s="26">
        <v>3.58</v>
      </c>
      <c r="K562" s="13">
        <f t="shared" si="31"/>
        <v>28.099999999999994</v>
      </c>
      <c r="L562" s="13">
        <f t="shared" si="32"/>
        <v>8</v>
      </c>
      <c r="M562" s="13">
        <f t="shared" si="33"/>
        <v>3.5124999999999993</v>
      </c>
    </row>
    <row r="563" spans="7:13">
      <c r="G563" s="27">
        <v>41344</v>
      </c>
      <c r="H563" s="26">
        <v>3.63</v>
      </c>
      <c r="I563" s="26">
        <v>0.8</v>
      </c>
      <c r="J563" s="26">
        <v>3.58</v>
      </c>
      <c r="K563" s="13">
        <f t="shared" si="31"/>
        <v>24.519999999999996</v>
      </c>
      <c r="L563" s="13">
        <f t="shared" si="32"/>
        <v>7</v>
      </c>
      <c r="M563" s="13">
        <f t="shared" si="33"/>
        <v>3.5028571428571422</v>
      </c>
    </row>
    <row r="564" spans="7:13">
      <c r="G564" s="27">
        <v>41341</v>
      </c>
      <c r="H564" s="26">
        <v>3.63</v>
      </c>
      <c r="I564" s="26">
        <v>0.8</v>
      </c>
      <c r="J564" s="26">
        <v>3.58</v>
      </c>
      <c r="K564" s="13">
        <f t="shared" si="31"/>
        <v>20.939999999999998</v>
      </c>
      <c r="L564" s="13">
        <f t="shared" si="32"/>
        <v>6</v>
      </c>
      <c r="M564" s="13">
        <f t="shared" si="33"/>
        <v>3.4899999999999998</v>
      </c>
    </row>
    <row r="565" spans="7:13">
      <c r="G565" s="27">
        <v>41340</v>
      </c>
      <c r="H565" s="26">
        <v>3.63</v>
      </c>
      <c r="I565" s="26">
        <v>0.8</v>
      </c>
      <c r="J565" s="26">
        <v>3.58</v>
      </c>
      <c r="K565" s="13">
        <f t="shared" si="31"/>
        <v>17.36</v>
      </c>
      <c r="L565" s="13">
        <f t="shared" si="32"/>
        <v>5</v>
      </c>
      <c r="M565" s="13">
        <f t="shared" si="33"/>
        <v>3.472</v>
      </c>
    </row>
    <row r="566" spans="7:13">
      <c r="G566" s="27">
        <v>41339</v>
      </c>
      <c r="H566" s="26">
        <v>3.52</v>
      </c>
      <c r="I566" s="26">
        <v>0.7</v>
      </c>
      <c r="J566" s="26">
        <v>3.4449999999999998</v>
      </c>
      <c r="K566" s="13">
        <f t="shared" si="31"/>
        <v>13.78</v>
      </c>
      <c r="L566" s="13">
        <f t="shared" si="32"/>
        <v>4</v>
      </c>
      <c r="M566" s="13">
        <f t="shared" si="33"/>
        <v>3.4449999999999998</v>
      </c>
    </row>
    <row r="567" spans="7:13">
      <c r="G567" s="27">
        <v>41338</v>
      </c>
      <c r="H567" s="26">
        <v>3.52</v>
      </c>
      <c r="I567" s="26">
        <v>0.7</v>
      </c>
      <c r="J567" s="26">
        <v>3.4449999999999998</v>
      </c>
      <c r="K567" s="13">
        <f t="shared" si="31"/>
        <v>10.334999999999999</v>
      </c>
      <c r="L567" s="13">
        <f t="shared" si="32"/>
        <v>3</v>
      </c>
      <c r="M567" s="13">
        <f t="shared" si="33"/>
        <v>3.4449999999999998</v>
      </c>
    </row>
    <row r="568" spans="7:13">
      <c r="G568" s="27">
        <v>41337</v>
      </c>
      <c r="H568" s="26">
        <v>3.52</v>
      </c>
      <c r="I568" s="26">
        <v>0.7</v>
      </c>
      <c r="J568" s="26">
        <v>3.4449999999999998</v>
      </c>
      <c r="K568" s="13">
        <f t="shared" si="31"/>
        <v>6.89</v>
      </c>
      <c r="L568" s="13">
        <f t="shared" si="32"/>
        <v>2</v>
      </c>
      <c r="M568" s="13">
        <f t="shared" si="33"/>
        <v>3.4449999999999998</v>
      </c>
    </row>
    <row r="569" spans="7:13">
      <c r="G569" s="27">
        <v>41334</v>
      </c>
      <c r="H569" s="26">
        <v>3.52</v>
      </c>
      <c r="I569" s="26">
        <v>0.7</v>
      </c>
      <c r="J569" s="26">
        <v>3.4449999999999998</v>
      </c>
      <c r="K569" s="13">
        <f t="shared" si="31"/>
        <v>3.4449999999999998</v>
      </c>
      <c r="L569" s="13">
        <f t="shared" si="32"/>
        <v>1</v>
      </c>
      <c r="M569" s="13">
        <f t="shared" si="33"/>
        <v>3.4449999999999998</v>
      </c>
    </row>
    <row r="570" spans="7:13">
      <c r="G570" s="27">
        <v>41333</v>
      </c>
      <c r="H570" s="26">
        <v>3.52</v>
      </c>
      <c r="I570" s="26">
        <v>0.7</v>
      </c>
      <c r="J570" s="26">
        <v>3.4449999999999998</v>
      </c>
      <c r="K570" s="13">
        <f t="shared" si="31"/>
        <v>66.10499999999999</v>
      </c>
      <c r="L570" s="13">
        <f t="shared" si="32"/>
        <v>19</v>
      </c>
      <c r="M570" s="13">
        <f t="shared" si="33"/>
        <v>3.4792105263157889</v>
      </c>
    </row>
    <row r="571" spans="7:13">
      <c r="G571" s="27">
        <v>41332</v>
      </c>
      <c r="H571" s="26">
        <v>3.51</v>
      </c>
      <c r="I571" s="26">
        <v>0.8</v>
      </c>
      <c r="J571" s="26">
        <v>3.46</v>
      </c>
      <c r="K571" s="13">
        <f t="shared" si="31"/>
        <v>62.66</v>
      </c>
      <c r="L571" s="13">
        <f t="shared" si="32"/>
        <v>18</v>
      </c>
      <c r="M571" s="13">
        <f t="shared" si="33"/>
        <v>3.4811111111111108</v>
      </c>
    </row>
    <row r="572" spans="7:13">
      <c r="G572" s="27">
        <v>41331</v>
      </c>
      <c r="H572" s="26">
        <v>3.51</v>
      </c>
      <c r="I572" s="26">
        <v>0.8</v>
      </c>
      <c r="J572" s="26">
        <v>3.46</v>
      </c>
      <c r="K572" s="13">
        <f t="shared" si="31"/>
        <v>59.199999999999996</v>
      </c>
      <c r="L572" s="13">
        <f t="shared" si="32"/>
        <v>17</v>
      </c>
      <c r="M572" s="13">
        <f t="shared" si="33"/>
        <v>3.4823529411764702</v>
      </c>
    </row>
    <row r="573" spans="7:13">
      <c r="G573" s="27">
        <v>41330</v>
      </c>
      <c r="H573" s="26">
        <v>3.51</v>
      </c>
      <c r="I573" s="26">
        <v>0.8</v>
      </c>
      <c r="J573" s="26">
        <v>3.46</v>
      </c>
      <c r="K573" s="13">
        <f t="shared" si="31"/>
        <v>55.739999999999995</v>
      </c>
      <c r="L573" s="13">
        <f t="shared" si="32"/>
        <v>16</v>
      </c>
      <c r="M573" s="13">
        <f t="shared" si="33"/>
        <v>3.4837499999999997</v>
      </c>
    </row>
    <row r="574" spans="7:13">
      <c r="G574" s="27">
        <v>41327</v>
      </c>
      <c r="H574" s="26">
        <v>3.51</v>
      </c>
      <c r="I574" s="26">
        <v>0.8</v>
      </c>
      <c r="J574" s="26">
        <v>3.46</v>
      </c>
      <c r="K574" s="13">
        <f t="shared" si="31"/>
        <v>52.279999999999994</v>
      </c>
      <c r="L574" s="13">
        <f t="shared" si="32"/>
        <v>15</v>
      </c>
      <c r="M574" s="13">
        <f t="shared" si="33"/>
        <v>3.4853333333333327</v>
      </c>
    </row>
    <row r="575" spans="7:13">
      <c r="G575" s="27">
        <v>41326</v>
      </c>
      <c r="H575" s="26">
        <v>3.51</v>
      </c>
      <c r="I575" s="26">
        <v>0.8</v>
      </c>
      <c r="J575" s="26">
        <v>3.46</v>
      </c>
      <c r="K575" s="13">
        <f t="shared" si="31"/>
        <v>48.819999999999993</v>
      </c>
      <c r="L575" s="13">
        <f t="shared" si="32"/>
        <v>14</v>
      </c>
      <c r="M575" s="13">
        <f t="shared" si="33"/>
        <v>3.4871428571428567</v>
      </c>
    </row>
    <row r="576" spans="7:13">
      <c r="G576" s="27">
        <v>41325</v>
      </c>
      <c r="H576" s="26">
        <v>3.56</v>
      </c>
      <c r="I576" s="26">
        <v>0.8</v>
      </c>
      <c r="J576" s="26">
        <v>3.51</v>
      </c>
      <c r="K576" s="13">
        <f t="shared" si="31"/>
        <v>45.359999999999992</v>
      </c>
      <c r="L576" s="13">
        <f t="shared" si="32"/>
        <v>13</v>
      </c>
      <c r="M576" s="13">
        <f t="shared" si="33"/>
        <v>3.4892307692307685</v>
      </c>
    </row>
    <row r="577" spans="7:13">
      <c r="G577" s="27">
        <v>41324</v>
      </c>
      <c r="H577" s="26">
        <v>3.56</v>
      </c>
      <c r="I577" s="26">
        <v>0.8</v>
      </c>
      <c r="J577" s="26">
        <v>3.51</v>
      </c>
      <c r="K577" s="13">
        <f t="shared" si="31"/>
        <v>41.849999999999994</v>
      </c>
      <c r="L577" s="13">
        <f t="shared" si="32"/>
        <v>12</v>
      </c>
      <c r="M577" s="13">
        <f t="shared" si="33"/>
        <v>3.4874999999999994</v>
      </c>
    </row>
    <row r="578" spans="7:13">
      <c r="G578" s="27">
        <v>41320</v>
      </c>
      <c r="H578" s="26">
        <v>3.56</v>
      </c>
      <c r="I578" s="26">
        <v>0.8</v>
      </c>
      <c r="J578" s="26">
        <v>3.51</v>
      </c>
      <c r="K578" s="13">
        <f t="shared" si="31"/>
        <v>38.339999999999996</v>
      </c>
      <c r="L578" s="13">
        <f t="shared" si="32"/>
        <v>11</v>
      </c>
      <c r="M578" s="13">
        <f t="shared" si="33"/>
        <v>3.4854545454545449</v>
      </c>
    </row>
    <row r="579" spans="7:13">
      <c r="G579" s="27">
        <v>41319</v>
      </c>
      <c r="H579" s="26">
        <v>3.56</v>
      </c>
      <c r="I579" s="26">
        <v>0.8</v>
      </c>
      <c r="J579" s="26">
        <v>3.51</v>
      </c>
      <c r="K579" s="13">
        <f t="shared" si="31"/>
        <v>34.83</v>
      </c>
      <c r="L579" s="13">
        <f t="shared" si="32"/>
        <v>10</v>
      </c>
      <c r="M579" s="13">
        <f t="shared" si="33"/>
        <v>3.4829999999999997</v>
      </c>
    </row>
    <row r="580" spans="7:13">
      <c r="G580" s="27">
        <v>41318</v>
      </c>
      <c r="H580" s="26">
        <v>3.53</v>
      </c>
      <c r="I580" s="26">
        <v>0.8</v>
      </c>
      <c r="J580" s="26">
        <v>3.48</v>
      </c>
      <c r="K580" s="13">
        <f t="shared" ref="K580:K643" si="34">IF(MONTH(G580)=MONTH(G581),J580+K581,J580)</f>
        <v>31.32</v>
      </c>
      <c r="L580" s="13">
        <f t="shared" ref="L580:L643" si="35">IF(MONTH(G580)=MONTH(G581),L581+1,1)</f>
        <v>9</v>
      </c>
      <c r="M580" s="13">
        <f t="shared" si="33"/>
        <v>3.48</v>
      </c>
    </row>
    <row r="581" spans="7:13">
      <c r="G581" s="27">
        <v>41317</v>
      </c>
      <c r="H581" s="26">
        <v>3.53</v>
      </c>
      <c r="I581" s="26">
        <v>0.8</v>
      </c>
      <c r="J581" s="26">
        <v>3.48</v>
      </c>
      <c r="K581" s="13">
        <f t="shared" si="34"/>
        <v>27.84</v>
      </c>
      <c r="L581" s="13">
        <f t="shared" si="35"/>
        <v>8</v>
      </c>
      <c r="M581" s="13">
        <f t="shared" ref="M581:M644" si="36">K581/L581</f>
        <v>3.48</v>
      </c>
    </row>
    <row r="582" spans="7:13">
      <c r="G582" s="27">
        <v>41316</v>
      </c>
      <c r="H582" s="26">
        <v>3.53</v>
      </c>
      <c r="I582" s="26">
        <v>0.8</v>
      </c>
      <c r="J582" s="26">
        <v>3.48</v>
      </c>
      <c r="K582" s="13">
        <f t="shared" si="34"/>
        <v>24.36</v>
      </c>
      <c r="L582" s="13">
        <f t="shared" si="35"/>
        <v>7</v>
      </c>
      <c r="M582" s="13">
        <f t="shared" si="36"/>
        <v>3.48</v>
      </c>
    </row>
    <row r="583" spans="7:13">
      <c r="G583" s="27">
        <v>41313</v>
      </c>
      <c r="H583" s="26">
        <v>3.53</v>
      </c>
      <c r="I583" s="26">
        <v>0.8</v>
      </c>
      <c r="J583" s="26">
        <v>3.48</v>
      </c>
      <c r="K583" s="13">
        <f t="shared" si="34"/>
        <v>20.88</v>
      </c>
      <c r="L583" s="13">
        <f t="shared" si="35"/>
        <v>6</v>
      </c>
      <c r="M583" s="13">
        <f t="shared" si="36"/>
        <v>3.48</v>
      </c>
    </row>
    <row r="584" spans="7:13">
      <c r="G584" s="27">
        <v>41312</v>
      </c>
      <c r="H584" s="26">
        <v>3.53</v>
      </c>
      <c r="I584" s="26">
        <v>0.8</v>
      </c>
      <c r="J584" s="26">
        <v>3.48</v>
      </c>
      <c r="K584" s="13">
        <f t="shared" si="34"/>
        <v>17.399999999999999</v>
      </c>
      <c r="L584" s="13">
        <f t="shared" si="35"/>
        <v>5</v>
      </c>
      <c r="M584" s="13">
        <f t="shared" si="36"/>
        <v>3.4799999999999995</v>
      </c>
    </row>
    <row r="585" spans="7:13">
      <c r="G585" s="27">
        <v>41311</v>
      </c>
      <c r="H585" s="26">
        <v>3.53</v>
      </c>
      <c r="I585" s="26">
        <v>0.8</v>
      </c>
      <c r="J585" s="26">
        <v>3.48</v>
      </c>
      <c r="K585" s="13">
        <f t="shared" si="34"/>
        <v>13.92</v>
      </c>
      <c r="L585" s="13">
        <f t="shared" si="35"/>
        <v>4</v>
      </c>
      <c r="M585" s="13">
        <f t="shared" si="36"/>
        <v>3.48</v>
      </c>
    </row>
    <row r="586" spans="7:13">
      <c r="G586" s="27">
        <v>41310</v>
      </c>
      <c r="H586" s="26">
        <v>3.53</v>
      </c>
      <c r="I586" s="26">
        <v>0.8</v>
      </c>
      <c r="J586" s="26">
        <v>3.48</v>
      </c>
      <c r="K586" s="13">
        <f t="shared" si="34"/>
        <v>10.44</v>
      </c>
      <c r="L586" s="13">
        <f t="shared" si="35"/>
        <v>3</v>
      </c>
      <c r="M586" s="13">
        <f t="shared" si="36"/>
        <v>3.48</v>
      </c>
    </row>
    <row r="587" spans="7:13">
      <c r="G587" s="27">
        <v>41309</v>
      </c>
      <c r="H587" s="26">
        <v>3.53</v>
      </c>
      <c r="I587" s="26">
        <v>0.8</v>
      </c>
      <c r="J587" s="26">
        <v>3.48</v>
      </c>
      <c r="K587" s="13">
        <f t="shared" si="34"/>
        <v>6.96</v>
      </c>
      <c r="L587" s="13">
        <f t="shared" si="35"/>
        <v>2</v>
      </c>
      <c r="M587" s="13">
        <f t="shared" si="36"/>
        <v>3.48</v>
      </c>
    </row>
    <row r="588" spans="7:13">
      <c r="G588" s="27">
        <v>41306</v>
      </c>
      <c r="H588" s="26">
        <v>3.53</v>
      </c>
      <c r="I588" s="26">
        <v>0.8</v>
      </c>
      <c r="J588" s="26">
        <v>3.48</v>
      </c>
      <c r="K588" s="13">
        <f t="shared" si="34"/>
        <v>3.48</v>
      </c>
      <c r="L588" s="13">
        <f t="shared" si="35"/>
        <v>1</v>
      </c>
      <c r="M588" s="13">
        <f t="shared" si="36"/>
        <v>3.48</v>
      </c>
    </row>
    <row r="589" spans="7:13">
      <c r="G589" s="27">
        <v>41305</v>
      </c>
      <c r="H589" s="26">
        <v>3.53</v>
      </c>
      <c r="I589" s="26">
        <v>0.8</v>
      </c>
      <c r="J589" s="26">
        <v>3.48</v>
      </c>
      <c r="K589" s="13">
        <f t="shared" si="34"/>
        <v>70.55</v>
      </c>
      <c r="L589" s="13">
        <f t="shared" si="35"/>
        <v>21</v>
      </c>
      <c r="M589" s="13">
        <f t="shared" si="36"/>
        <v>3.3595238095238096</v>
      </c>
    </row>
    <row r="590" spans="7:13">
      <c r="G590" s="27">
        <v>41304</v>
      </c>
      <c r="H590" s="26">
        <v>3.53</v>
      </c>
      <c r="I590" s="26">
        <v>0.7</v>
      </c>
      <c r="J590" s="26">
        <v>3.4550000000000001</v>
      </c>
      <c r="K590" s="13">
        <f t="shared" si="34"/>
        <v>67.069999999999993</v>
      </c>
      <c r="L590" s="13">
        <f t="shared" si="35"/>
        <v>20</v>
      </c>
      <c r="M590" s="13">
        <f t="shared" si="36"/>
        <v>3.3534999999999995</v>
      </c>
    </row>
    <row r="591" spans="7:13">
      <c r="G591" s="27">
        <v>41303</v>
      </c>
      <c r="H591" s="26">
        <v>3.53</v>
      </c>
      <c r="I591" s="26">
        <v>0.7</v>
      </c>
      <c r="J591" s="26">
        <v>3.4550000000000001</v>
      </c>
      <c r="K591" s="13">
        <f t="shared" si="34"/>
        <v>63.614999999999988</v>
      </c>
      <c r="L591" s="13">
        <f t="shared" si="35"/>
        <v>19</v>
      </c>
      <c r="M591" s="13">
        <f t="shared" si="36"/>
        <v>3.3481578947368416</v>
      </c>
    </row>
    <row r="592" spans="7:13">
      <c r="G592" s="27">
        <v>41302</v>
      </c>
      <c r="H592" s="26">
        <v>3.53</v>
      </c>
      <c r="I592" s="26">
        <v>0.7</v>
      </c>
      <c r="J592" s="26">
        <v>3.4550000000000001</v>
      </c>
      <c r="K592" s="13">
        <f t="shared" si="34"/>
        <v>60.159999999999989</v>
      </c>
      <c r="L592" s="13">
        <f t="shared" si="35"/>
        <v>18</v>
      </c>
      <c r="M592" s="13">
        <f t="shared" si="36"/>
        <v>3.3422222222222215</v>
      </c>
    </row>
    <row r="593" spans="7:13">
      <c r="G593" s="27">
        <v>41299</v>
      </c>
      <c r="H593" s="26">
        <v>3.53</v>
      </c>
      <c r="I593" s="26">
        <v>0.7</v>
      </c>
      <c r="J593" s="26">
        <v>3.4550000000000001</v>
      </c>
      <c r="K593" s="13">
        <f t="shared" si="34"/>
        <v>56.704999999999991</v>
      </c>
      <c r="L593" s="13">
        <f t="shared" si="35"/>
        <v>17</v>
      </c>
      <c r="M593" s="13">
        <f t="shared" si="36"/>
        <v>3.3355882352941171</v>
      </c>
    </row>
    <row r="594" spans="7:13">
      <c r="G594" s="27">
        <v>41298</v>
      </c>
      <c r="H594" s="26">
        <v>3.53</v>
      </c>
      <c r="I594" s="26">
        <v>0.7</v>
      </c>
      <c r="J594" s="26">
        <v>3.4550000000000001</v>
      </c>
      <c r="K594" s="13">
        <f t="shared" si="34"/>
        <v>53.249999999999993</v>
      </c>
      <c r="L594" s="13">
        <f t="shared" si="35"/>
        <v>16</v>
      </c>
      <c r="M594" s="13">
        <f t="shared" si="36"/>
        <v>3.3281249999999996</v>
      </c>
    </row>
    <row r="595" spans="7:13">
      <c r="G595" s="27">
        <v>41297</v>
      </c>
      <c r="H595" s="26">
        <v>3.42</v>
      </c>
      <c r="I595" s="26">
        <v>0.7</v>
      </c>
      <c r="J595" s="26">
        <v>3.3450000000000002</v>
      </c>
      <c r="K595" s="13">
        <f t="shared" si="34"/>
        <v>49.794999999999995</v>
      </c>
      <c r="L595" s="13">
        <f t="shared" si="35"/>
        <v>15</v>
      </c>
      <c r="M595" s="13">
        <f t="shared" si="36"/>
        <v>3.3196666666666661</v>
      </c>
    </row>
    <row r="596" spans="7:13">
      <c r="G596" s="27">
        <v>41296</v>
      </c>
      <c r="H596" s="26">
        <v>3.42</v>
      </c>
      <c r="I596" s="26">
        <v>0.7</v>
      </c>
      <c r="J596" s="26">
        <v>3.3450000000000002</v>
      </c>
      <c r="K596" s="13">
        <f t="shared" si="34"/>
        <v>46.449999999999996</v>
      </c>
      <c r="L596" s="13">
        <f t="shared" si="35"/>
        <v>14</v>
      </c>
      <c r="M596" s="13">
        <f t="shared" si="36"/>
        <v>3.3178571428571426</v>
      </c>
    </row>
    <row r="597" spans="7:13">
      <c r="G597" s="27">
        <v>41292</v>
      </c>
      <c r="H597" s="26">
        <v>3.42</v>
      </c>
      <c r="I597" s="26">
        <v>0.7</v>
      </c>
      <c r="J597" s="26">
        <v>3.3450000000000002</v>
      </c>
      <c r="K597" s="13">
        <f t="shared" si="34"/>
        <v>43.104999999999997</v>
      </c>
      <c r="L597" s="13">
        <f t="shared" si="35"/>
        <v>13</v>
      </c>
      <c r="M597" s="13">
        <f t="shared" si="36"/>
        <v>3.3157692307692304</v>
      </c>
    </row>
    <row r="598" spans="7:13">
      <c r="G598" s="27">
        <v>41291</v>
      </c>
      <c r="H598" s="26">
        <v>3.42</v>
      </c>
      <c r="I598" s="26">
        <v>0.7</v>
      </c>
      <c r="J598" s="26">
        <v>3.3450000000000002</v>
      </c>
      <c r="K598" s="13">
        <f t="shared" si="34"/>
        <v>39.76</v>
      </c>
      <c r="L598" s="13">
        <f t="shared" si="35"/>
        <v>12</v>
      </c>
      <c r="M598" s="13">
        <f t="shared" si="36"/>
        <v>3.313333333333333</v>
      </c>
    </row>
    <row r="599" spans="7:13">
      <c r="G599" s="27">
        <v>41290</v>
      </c>
      <c r="H599" s="26">
        <v>3.38</v>
      </c>
      <c r="I599" s="26">
        <v>0.7</v>
      </c>
      <c r="J599" s="26">
        <v>3.3050000000000002</v>
      </c>
      <c r="K599" s="13">
        <f t="shared" si="34"/>
        <v>36.414999999999999</v>
      </c>
      <c r="L599" s="13">
        <f t="shared" si="35"/>
        <v>11</v>
      </c>
      <c r="M599" s="13">
        <f t="shared" si="36"/>
        <v>3.3104545454545455</v>
      </c>
    </row>
    <row r="600" spans="7:13">
      <c r="G600" s="27">
        <v>41289</v>
      </c>
      <c r="H600" s="26">
        <v>3.38</v>
      </c>
      <c r="I600" s="26">
        <v>0.7</v>
      </c>
      <c r="J600" s="26">
        <v>3.3050000000000002</v>
      </c>
      <c r="K600" s="13">
        <f t="shared" si="34"/>
        <v>33.11</v>
      </c>
      <c r="L600" s="13">
        <f t="shared" si="35"/>
        <v>10</v>
      </c>
      <c r="M600" s="13">
        <f t="shared" si="36"/>
        <v>3.3109999999999999</v>
      </c>
    </row>
    <row r="601" spans="7:13">
      <c r="G601" s="27">
        <v>41288</v>
      </c>
      <c r="H601" s="26">
        <v>3.38</v>
      </c>
      <c r="I601" s="26">
        <v>0.7</v>
      </c>
      <c r="J601" s="26">
        <v>3.3050000000000002</v>
      </c>
      <c r="K601" s="13">
        <f t="shared" si="34"/>
        <v>29.804999999999996</v>
      </c>
      <c r="L601" s="13">
        <f t="shared" si="35"/>
        <v>9</v>
      </c>
      <c r="M601" s="13">
        <f t="shared" si="36"/>
        <v>3.3116666666666661</v>
      </c>
    </row>
    <row r="602" spans="7:13">
      <c r="G602" s="27">
        <v>41285</v>
      </c>
      <c r="H602" s="26">
        <v>3.38</v>
      </c>
      <c r="I602" s="26">
        <v>0.7</v>
      </c>
      <c r="J602" s="26">
        <v>3.3050000000000002</v>
      </c>
      <c r="K602" s="13">
        <f t="shared" si="34"/>
        <v>26.499999999999996</v>
      </c>
      <c r="L602" s="13">
        <f t="shared" si="35"/>
        <v>8</v>
      </c>
      <c r="M602" s="13">
        <f t="shared" si="36"/>
        <v>3.3124999999999996</v>
      </c>
    </row>
    <row r="603" spans="7:13">
      <c r="G603" s="27">
        <v>41284</v>
      </c>
      <c r="H603" s="26">
        <v>3.38</v>
      </c>
      <c r="I603" s="26">
        <v>0.7</v>
      </c>
      <c r="J603" s="26">
        <v>3.3050000000000002</v>
      </c>
      <c r="K603" s="13">
        <f t="shared" si="34"/>
        <v>23.194999999999997</v>
      </c>
      <c r="L603" s="13">
        <f t="shared" si="35"/>
        <v>7</v>
      </c>
      <c r="M603" s="13">
        <f t="shared" si="36"/>
        <v>3.3135714285714282</v>
      </c>
    </row>
    <row r="604" spans="7:13">
      <c r="G604" s="27">
        <v>41283</v>
      </c>
      <c r="H604" s="26">
        <v>3.4</v>
      </c>
      <c r="I604" s="26">
        <v>0.7</v>
      </c>
      <c r="J604" s="26">
        <v>3.3250000000000002</v>
      </c>
      <c r="K604" s="13">
        <f t="shared" si="34"/>
        <v>19.889999999999997</v>
      </c>
      <c r="L604" s="13">
        <f t="shared" si="35"/>
        <v>6</v>
      </c>
      <c r="M604" s="13">
        <f t="shared" si="36"/>
        <v>3.3149999999999995</v>
      </c>
    </row>
    <row r="605" spans="7:13">
      <c r="G605" s="27">
        <v>41282</v>
      </c>
      <c r="H605" s="26">
        <v>3.4</v>
      </c>
      <c r="I605" s="26">
        <v>0.7</v>
      </c>
      <c r="J605" s="26">
        <v>3.3250000000000002</v>
      </c>
      <c r="K605" s="13">
        <f t="shared" si="34"/>
        <v>16.564999999999998</v>
      </c>
      <c r="L605" s="13">
        <f t="shared" si="35"/>
        <v>5</v>
      </c>
      <c r="M605" s="13">
        <f t="shared" si="36"/>
        <v>3.3129999999999997</v>
      </c>
    </row>
    <row r="606" spans="7:13">
      <c r="G606" s="27">
        <v>41281</v>
      </c>
      <c r="H606" s="26">
        <v>3.4</v>
      </c>
      <c r="I606" s="26">
        <v>0.7</v>
      </c>
      <c r="J606" s="26">
        <v>3.3250000000000002</v>
      </c>
      <c r="K606" s="13">
        <f t="shared" si="34"/>
        <v>13.239999999999998</v>
      </c>
      <c r="L606" s="13">
        <f t="shared" si="35"/>
        <v>4</v>
      </c>
      <c r="M606" s="13">
        <f t="shared" si="36"/>
        <v>3.3099999999999996</v>
      </c>
    </row>
    <row r="607" spans="7:13">
      <c r="G607" s="27">
        <v>41278</v>
      </c>
      <c r="H607" s="26">
        <v>3.4</v>
      </c>
      <c r="I607" s="26">
        <v>0.7</v>
      </c>
      <c r="J607" s="26">
        <v>3.3250000000000002</v>
      </c>
      <c r="K607" s="13">
        <f t="shared" si="34"/>
        <v>9.9149999999999991</v>
      </c>
      <c r="L607" s="13">
        <f t="shared" si="35"/>
        <v>3</v>
      </c>
      <c r="M607" s="13">
        <f t="shared" si="36"/>
        <v>3.3049999999999997</v>
      </c>
    </row>
    <row r="608" spans="7:13">
      <c r="G608" s="27">
        <v>41277</v>
      </c>
      <c r="H608" s="26">
        <v>3.4</v>
      </c>
      <c r="I608" s="26">
        <v>0.7</v>
      </c>
      <c r="J608" s="26">
        <v>3.3250000000000002</v>
      </c>
      <c r="K608" s="13">
        <f t="shared" si="34"/>
        <v>6.59</v>
      </c>
      <c r="L608" s="13">
        <f t="shared" si="35"/>
        <v>2</v>
      </c>
      <c r="M608" s="13">
        <f t="shared" si="36"/>
        <v>3.2949999999999999</v>
      </c>
    </row>
    <row r="609" spans="7:13">
      <c r="G609" s="27">
        <v>41276</v>
      </c>
      <c r="H609" s="26">
        <v>3.34</v>
      </c>
      <c r="I609" s="26">
        <v>0.7</v>
      </c>
      <c r="J609" s="26">
        <v>3.2650000000000001</v>
      </c>
      <c r="K609" s="13">
        <f t="shared" si="34"/>
        <v>3.2650000000000001</v>
      </c>
      <c r="L609" s="13">
        <f t="shared" si="35"/>
        <v>1</v>
      </c>
      <c r="M609" s="13">
        <f t="shared" si="36"/>
        <v>3.2650000000000001</v>
      </c>
    </row>
    <row r="610" spans="7:13">
      <c r="G610" s="27">
        <v>41274</v>
      </c>
      <c r="H610" s="26">
        <v>3.34</v>
      </c>
      <c r="I610" s="26">
        <v>0.7</v>
      </c>
      <c r="J610" s="26">
        <v>3.2650000000000001</v>
      </c>
      <c r="K610" s="13">
        <f t="shared" si="34"/>
        <v>65.39</v>
      </c>
      <c r="L610" s="13">
        <f t="shared" si="35"/>
        <v>20</v>
      </c>
      <c r="M610" s="13">
        <f t="shared" si="36"/>
        <v>3.2694999999999999</v>
      </c>
    </row>
    <row r="611" spans="7:13">
      <c r="G611" s="27">
        <v>41271</v>
      </c>
      <c r="H611" s="26">
        <v>3.34</v>
      </c>
      <c r="I611" s="26">
        <v>0.7</v>
      </c>
      <c r="J611" s="26">
        <v>3.2650000000000001</v>
      </c>
      <c r="K611" s="13">
        <f t="shared" si="34"/>
        <v>62.125000000000007</v>
      </c>
      <c r="L611" s="13">
        <f t="shared" si="35"/>
        <v>19</v>
      </c>
      <c r="M611" s="13">
        <f t="shared" si="36"/>
        <v>3.2697368421052637</v>
      </c>
    </row>
    <row r="612" spans="7:13">
      <c r="G612" s="27">
        <v>41270</v>
      </c>
      <c r="H612" s="26">
        <v>3.34</v>
      </c>
      <c r="I612" s="26">
        <v>0.7</v>
      </c>
      <c r="J612" s="26">
        <v>3.2650000000000001</v>
      </c>
      <c r="K612" s="13">
        <f t="shared" si="34"/>
        <v>58.860000000000007</v>
      </c>
      <c r="L612" s="13">
        <f t="shared" si="35"/>
        <v>18</v>
      </c>
      <c r="M612" s="13">
        <f t="shared" si="36"/>
        <v>3.2700000000000005</v>
      </c>
    </row>
    <row r="613" spans="7:13">
      <c r="G613" s="27">
        <v>41269</v>
      </c>
      <c r="H613" s="26">
        <v>3.35</v>
      </c>
      <c r="I613" s="26">
        <v>0.7</v>
      </c>
      <c r="J613" s="26">
        <v>3.2749999999999999</v>
      </c>
      <c r="K613" s="13">
        <f t="shared" si="34"/>
        <v>55.595000000000006</v>
      </c>
      <c r="L613" s="13">
        <f t="shared" si="35"/>
        <v>17</v>
      </c>
      <c r="M613" s="13">
        <f t="shared" si="36"/>
        <v>3.270294117647059</v>
      </c>
    </row>
    <row r="614" spans="7:13">
      <c r="G614" s="27">
        <v>41267</v>
      </c>
      <c r="H614" s="26">
        <v>3.35</v>
      </c>
      <c r="I614" s="26">
        <v>0.7</v>
      </c>
      <c r="J614" s="26">
        <v>3.2749999999999999</v>
      </c>
      <c r="K614" s="13">
        <f t="shared" si="34"/>
        <v>52.320000000000007</v>
      </c>
      <c r="L614" s="13">
        <f t="shared" si="35"/>
        <v>16</v>
      </c>
      <c r="M614" s="13">
        <f t="shared" si="36"/>
        <v>3.2700000000000005</v>
      </c>
    </row>
    <row r="615" spans="7:13">
      <c r="G615" s="27">
        <v>41264</v>
      </c>
      <c r="H615" s="26">
        <v>3.35</v>
      </c>
      <c r="I615" s="26">
        <v>0.7</v>
      </c>
      <c r="J615" s="26">
        <v>3.2749999999999999</v>
      </c>
      <c r="K615" s="13">
        <f t="shared" si="34"/>
        <v>49.045000000000009</v>
      </c>
      <c r="L615" s="13">
        <f t="shared" si="35"/>
        <v>15</v>
      </c>
      <c r="M615" s="13">
        <f t="shared" si="36"/>
        <v>3.2696666666666672</v>
      </c>
    </row>
    <row r="616" spans="7:13">
      <c r="G616" s="27">
        <v>41263</v>
      </c>
      <c r="H616" s="26">
        <v>3.35</v>
      </c>
      <c r="I616" s="26">
        <v>0.7</v>
      </c>
      <c r="J616" s="26">
        <v>3.2749999999999999</v>
      </c>
      <c r="K616" s="13">
        <f t="shared" si="34"/>
        <v>45.77000000000001</v>
      </c>
      <c r="L616" s="13">
        <f t="shared" si="35"/>
        <v>14</v>
      </c>
      <c r="M616" s="13">
        <f t="shared" si="36"/>
        <v>3.269285714285715</v>
      </c>
    </row>
    <row r="617" spans="7:13">
      <c r="G617" s="27">
        <v>41262</v>
      </c>
      <c r="H617" s="26">
        <v>3.37</v>
      </c>
      <c r="I617" s="26">
        <v>0.7</v>
      </c>
      <c r="J617" s="26">
        <v>3.2949999999999999</v>
      </c>
      <c r="K617" s="13">
        <f t="shared" si="34"/>
        <v>42.495000000000012</v>
      </c>
      <c r="L617" s="13">
        <f t="shared" si="35"/>
        <v>13</v>
      </c>
      <c r="M617" s="13">
        <f t="shared" si="36"/>
        <v>3.2688461538461548</v>
      </c>
    </row>
    <row r="618" spans="7:13">
      <c r="G618" s="27">
        <v>41261</v>
      </c>
      <c r="H618" s="26">
        <v>3.37</v>
      </c>
      <c r="I618" s="26">
        <v>0.7</v>
      </c>
      <c r="J618" s="26">
        <v>3.2949999999999999</v>
      </c>
      <c r="K618" s="13">
        <f t="shared" si="34"/>
        <v>39.20000000000001</v>
      </c>
      <c r="L618" s="13">
        <f t="shared" si="35"/>
        <v>12</v>
      </c>
      <c r="M618" s="13">
        <f t="shared" si="36"/>
        <v>3.2666666666666675</v>
      </c>
    </row>
    <row r="619" spans="7:13">
      <c r="G619" s="27">
        <v>41260</v>
      </c>
      <c r="H619" s="26">
        <v>3.37</v>
      </c>
      <c r="I619" s="26">
        <v>0.7</v>
      </c>
      <c r="J619" s="26">
        <v>3.2949999999999999</v>
      </c>
      <c r="K619" s="13">
        <f t="shared" si="34"/>
        <v>35.905000000000008</v>
      </c>
      <c r="L619" s="13">
        <f t="shared" si="35"/>
        <v>11</v>
      </c>
      <c r="M619" s="13">
        <f t="shared" si="36"/>
        <v>3.26409090909091</v>
      </c>
    </row>
    <row r="620" spans="7:13">
      <c r="G620" s="27">
        <v>41257</v>
      </c>
      <c r="H620" s="26">
        <v>3.37</v>
      </c>
      <c r="I620" s="26">
        <v>0.7</v>
      </c>
      <c r="J620" s="26">
        <v>3.2949999999999999</v>
      </c>
      <c r="K620" s="13">
        <f t="shared" si="34"/>
        <v>32.610000000000007</v>
      </c>
      <c r="L620" s="13">
        <f t="shared" si="35"/>
        <v>10</v>
      </c>
      <c r="M620" s="13">
        <f t="shared" si="36"/>
        <v>3.2610000000000006</v>
      </c>
    </row>
    <row r="621" spans="7:13">
      <c r="G621" s="27">
        <v>41256</v>
      </c>
      <c r="H621" s="26">
        <v>3.37</v>
      </c>
      <c r="I621" s="26">
        <v>0.7</v>
      </c>
      <c r="J621" s="26">
        <v>3.2949999999999999</v>
      </c>
      <c r="K621" s="13">
        <f t="shared" si="34"/>
        <v>29.315000000000005</v>
      </c>
      <c r="L621" s="13">
        <f t="shared" si="35"/>
        <v>9</v>
      </c>
      <c r="M621" s="13">
        <f t="shared" si="36"/>
        <v>3.2572222222222229</v>
      </c>
    </row>
    <row r="622" spans="7:13">
      <c r="G622" s="27">
        <v>41255</v>
      </c>
      <c r="H622" s="26">
        <v>3.32</v>
      </c>
      <c r="I622" s="26">
        <v>0.7</v>
      </c>
      <c r="J622" s="26">
        <v>3.2450000000000001</v>
      </c>
      <c r="K622" s="13">
        <f t="shared" si="34"/>
        <v>26.020000000000003</v>
      </c>
      <c r="L622" s="13">
        <f t="shared" si="35"/>
        <v>8</v>
      </c>
      <c r="M622" s="13">
        <f t="shared" si="36"/>
        <v>3.2525000000000004</v>
      </c>
    </row>
    <row r="623" spans="7:13">
      <c r="G623" s="27">
        <v>41254</v>
      </c>
      <c r="H623" s="26">
        <v>3.32</v>
      </c>
      <c r="I623" s="26">
        <v>0.7</v>
      </c>
      <c r="J623" s="26">
        <v>3.2450000000000001</v>
      </c>
      <c r="K623" s="13">
        <f t="shared" si="34"/>
        <v>22.775000000000002</v>
      </c>
      <c r="L623" s="13">
        <f t="shared" si="35"/>
        <v>7</v>
      </c>
      <c r="M623" s="13">
        <f t="shared" si="36"/>
        <v>3.253571428571429</v>
      </c>
    </row>
    <row r="624" spans="7:13">
      <c r="G624" s="27">
        <v>41253</v>
      </c>
      <c r="H624" s="26">
        <v>3.32</v>
      </c>
      <c r="I624" s="26">
        <v>0.7</v>
      </c>
      <c r="J624" s="26">
        <v>3.2450000000000001</v>
      </c>
      <c r="K624" s="13">
        <f t="shared" si="34"/>
        <v>19.53</v>
      </c>
      <c r="L624" s="13">
        <f t="shared" si="35"/>
        <v>6</v>
      </c>
      <c r="M624" s="13">
        <f t="shared" si="36"/>
        <v>3.2550000000000003</v>
      </c>
    </row>
    <row r="625" spans="7:13">
      <c r="G625" s="27">
        <v>41250</v>
      </c>
      <c r="H625" s="26">
        <v>3.32</v>
      </c>
      <c r="I625" s="26">
        <v>0.7</v>
      </c>
      <c r="J625" s="26">
        <v>3.2450000000000001</v>
      </c>
      <c r="K625" s="13">
        <f t="shared" si="34"/>
        <v>16.285</v>
      </c>
      <c r="L625" s="13">
        <f t="shared" si="35"/>
        <v>5</v>
      </c>
      <c r="M625" s="13">
        <f t="shared" si="36"/>
        <v>3.2570000000000001</v>
      </c>
    </row>
    <row r="626" spans="7:13">
      <c r="G626" s="27">
        <v>41249</v>
      </c>
      <c r="H626" s="26">
        <v>3.32</v>
      </c>
      <c r="I626" s="26">
        <v>0.7</v>
      </c>
      <c r="J626" s="26">
        <v>3.2450000000000001</v>
      </c>
      <c r="K626" s="13">
        <f t="shared" si="34"/>
        <v>13.04</v>
      </c>
      <c r="L626" s="13">
        <f t="shared" si="35"/>
        <v>4</v>
      </c>
      <c r="M626" s="13">
        <f t="shared" si="36"/>
        <v>3.26</v>
      </c>
    </row>
    <row r="627" spans="7:13">
      <c r="G627" s="27">
        <v>41248</v>
      </c>
      <c r="H627" s="26">
        <v>3.34</v>
      </c>
      <c r="I627" s="26">
        <v>0.7</v>
      </c>
      <c r="J627" s="26">
        <v>3.2650000000000001</v>
      </c>
      <c r="K627" s="13">
        <f t="shared" si="34"/>
        <v>9.7949999999999999</v>
      </c>
      <c r="L627" s="13">
        <f t="shared" si="35"/>
        <v>3</v>
      </c>
      <c r="M627" s="13">
        <f t="shared" si="36"/>
        <v>3.2650000000000001</v>
      </c>
    </row>
    <row r="628" spans="7:13">
      <c r="G628" s="27">
        <v>41247</v>
      </c>
      <c r="H628" s="26">
        <v>3.34</v>
      </c>
      <c r="I628" s="26">
        <v>0.7</v>
      </c>
      <c r="J628" s="26">
        <v>3.2650000000000001</v>
      </c>
      <c r="K628" s="13">
        <f t="shared" si="34"/>
        <v>6.53</v>
      </c>
      <c r="L628" s="13">
        <f t="shared" si="35"/>
        <v>2</v>
      </c>
      <c r="M628" s="13">
        <f t="shared" si="36"/>
        <v>3.2650000000000001</v>
      </c>
    </row>
    <row r="629" spans="7:13">
      <c r="G629" s="27">
        <v>41246</v>
      </c>
      <c r="H629" s="26">
        <v>3.34</v>
      </c>
      <c r="I629" s="26">
        <v>0.7</v>
      </c>
      <c r="J629" s="26">
        <v>3.2650000000000001</v>
      </c>
      <c r="K629" s="13">
        <f t="shared" si="34"/>
        <v>3.2650000000000001</v>
      </c>
      <c r="L629" s="13">
        <f t="shared" si="35"/>
        <v>1</v>
      </c>
      <c r="M629" s="13">
        <f t="shared" si="36"/>
        <v>3.2650000000000001</v>
      </c>
    </row>
    <row r="630" spans="7:13">
      <c r="G630" s="27">
        <v>41243</v>
      </c>
      <c r="H630" s="26">
        <v>3.34</v>
      </c>
      <c r="I630" s="26">
        <v>0.7</v>
      </c>
      <c r="J630" s="26">
        <v>3.2650000000000001</v>
      </c>
      <c r="K630" s="13">
        <f t="shared" si="34"/>
        <v>65.470000000000013</v>
      </c>
      <c r="L630" s="13">
        <f t="shared" si="35"/>
        <v>20</v>
      </c>
      <c r="M630" s="13">
        <f t="shared" si="36"/>
        <v>3.2735000000000007</v>
      </c>
    </row>
    <row r="631" spans="7:13">
      <c r="G631" s="27">
        <v>41242</v>
      </c>
      <c r="H631" s="26">
        <v>3.34</v>
      </c>
      <c r="I631" s="26">
        <v>0.7</v>
      </c>
      <c r="J631" s="26">
        <v>3.2650000000000001</v>
      </c>
      <c r="K631" s="13">
        <f t="shared" si="34"/>
        <v>62.205000000000013</v>
      </c>
      <c r="L631" s="13">
        <f t="shared" si="35"/>
        <v>19</v>
      </c>
      <c r="M631" s="13">
        <f t="shared" si="36"/>
        <v>3.2739473684210534</v>
      </c>
    </row>
    <row r="632" spans="7:13">
      <c r="G632" s="27">
        <v>41241</v>
      </c>
      <c r="H632" s="26">
        <v>3.32</v>
      </c>
      <c r="I632" s="26">
        <v>0.8</v>
      </c>
      <c r="J632" s="26">
        <v>3.27</v>
      </c>
      <c r="K632" s="13">
        <f t="shared" si="34"/>
        <v>58.940000000000012</v>
      </c>
      <c r="L632" s="13">
        <f t="shared" si="35"/>
        <v>18</v>
      </c>
      <c r="M632" s="13">
        <f t="shared" si="36"/>
        <v>3.2744444444444452</v>
      </c>
    </row>
    <row r="633" spans="7:13">
      <c r="G633" s="27">
        <v>41240</v>
      </c>
      <c r="H633" s="26">
        <v>3.32</v>
      </c>
      <c r="I633" s="26">
        <v>0.8</v>
      </c>
      <c r="J633" s="26">
        <v>3.27</v>
      </c>
      <c r="K633" s="13">
        <f t="shared" si="34"/>
        <v>55.670000000000009</v>
      </c>
      <c r="L633" s="13">
        <f t="shared" si="35"/>
        <v>17</v>
      </c>
      <c r="M633" s="13">
        <f t="shared" si="36"/>
        <v>3.2747058823529418</v>
      </c>
    </row>
    <row r="634" spans="7:13">
      <c r="G634" s="27">
        <v>41239</v>
      </c>
      <c r="H634" s="26">
        <v>3.32</v>
      </c>
      <c r="I634" s="26">
        <v>0.8</v>
      </c>
      <c r="J634" s="26">
        <v>3.27</v>
      </c>
      <c r="K634" s="13">
        <f t="shared" si="34"/>
        <v>52.400000000000006</v>
      </c>
      <c r="L634" s="13">
        <f t="shared" si="35"/>
        <v>16</v>
      </c>
      <c r="M634" s="13">
        <f t="shared" si="36"/>
        <v>3.2750000000000004</v>
      </c>
    </row>
    <row r="635" spans="7:13">
      <c r="G635" s="27">
        <v>41236</v>
      </c>
      <c r="H635" s="26">
        <v>3.32</v>
      </c>
      <c r="I635" s="26">
        <v>0.8</v>
      </c>
      <c r="J635" s="26">
        <v>3.27</v>
      </c>
      <c r="K635" s="13">
        <f t="shared" si="34"/>
        <v>49.13</v>
      </c>
      <c r="L635" s="13">
        <f t="shared" si="35"/>
        <v>15</v>
      </c>
      <c r="M635" s="13">
        <f t="shared" si="36"/>
        <v>3.2753333333333337</v>
      </c>
    </row>
    <row r="636" spans="7:13">
      <c r="G636" s="27">
        <v>41233</v>
      </c>
      <c r="H636" s="26">
        <v>3.31</v>
      </c>
      <c r="I636" s="26">
        <v>0.7</v>
      </c>
      <c r="J636" s="26">
        <v>3.2349999999999999</v>
      </c>
      <c r="K636" s="13">
        <f t="shared" si="34"/>
        <v>45.86</v>
      </c>
      <c r="L636" s="13">
        <f t="shared" si="35"/>
        <v>14</v>
      </c>
      <c r="M636" s="13">
        <f t="shared" si="36"/>
        <v>3.2757142857142858</v>
      </c>
    </row>
    <row r="637" spans="7:13">
      <c r="G637" s="27">
        <v>41232</v>
      </c>
      <c r="H637" s="26">
        <v>3.31</v>
      </c>
      <c r="I637" s="26">
        <v>0.7</v>
      </c>
      <c r="J637" s="26">
        <v>3.2349999999999999</v>
      </c>
      <c r="K637" s="13">
        <f t="shared" si="34"/>
        <v>42.625</v>
      </c>
      <c r="L637" s="13">
        <f t="shared" si="35"/>
        <v>13</v>
      </c>
      <c r="M637" s="13">
        <f t="shared" si="36"/>
        <v>3.2788461538461537</v>
      </c>
    </row>
    <row r="638" spans="7:13">
      <c r="G638" s="27">
        <v>41229</v>
      </c>
      <c r="H638" s="26">
        <v>3.31</v>
      </c>
      <c r="I638" s="26">
        <v>0.7</v>
      </c>
      <c r="J638" s="26">
        <v>3.2349999999999999</v>
      </c>
      <c r="K638" s="13">
        <f t="shared" si="34"/>
        <v>39.39</v>
      </c>
      <c r="L638" s="13">
        <f t="shared" si="35"/>
        <v>12</v>
      </c>
      <c r="M638" s="13">
        <f t="shared" si="36"/>
        <v>3.2825000000000002</v>
      </c>
    </row>
    <row r="639" spans="7:13">
      <c r="G639" s="27">
        <v>41228</v>
      </c>
      <c r="H639" s="26">
        <v>3.31</v>
      </c>
      <c r="I639" s="26">
        <v>0.7</v>
      </c>
      <c r="J639" s="26">
        <v>3.2349999999999999</v>
      </c>
      <c r="K639" s="13">
        <f t="shared" si="34"/>
        <v>36.155000000000001</v>
      </c>
      <c r="L639" s="13">
        <f t="shared" si="35"/>
        <v>11</v>
      </c>
      <c r="M639" s="13">
        <f t="shared" si="36"/>
        <v>3.2868181818181821</v>
      </c>
    </row>
    <row r="640" spans="7:13">
      <c r="G640" s="27">
        <v>41227</v>
      </c>
      <c r="H640" s="26">
        <v>3.31</v>
      </c>
      <c r="I640" s="26">
        <v>0.7</v>
      </c>
      <c r="J640" s="26">
        <v>3.2349999999999999</v>
      </c>
      <c r="K640" s="13">
        <f t="shared" si="34"/>
        <v>32.92</v>
      </c>
      <c r="L640" s="13">
        <f t="shared" si="35"/>
        <v>10</v>
      </c>
      <c r="M640" s="13">
        <f t="shared" si="36"/>
        <v>3.2920000000000003</v>
      </c>
    </row>
    <row r="641" spans="7:13">
      <c r="G641" s="27">
        <v>41227</v>
      </c>
      <c r="H641" s="26">
        <v>3.34</v>
      </c>
      <c r="I641" s="26">
        <v>0.7</v>
      </c>
      <c r="J641" s="26">
        <v>3.2650000000000001</v>
      </c>
      <c r="K641" s="13">
        <f t="shared" si="34"/>
        <v>29.685000000000002</v>
      </c>
      <c r="L641" s="13">
        <f t="shared" si="35"/>
        <v>9</v>
      </c>
      <c r="M641" s="13">
        <f t="shared" si="36"/>
        <v>3.2983333333333338</v>
      </c>
    </row>
    <row r="642" spans="7:13">
      <c r="G642" s="27">
        <v>41226</v>
      </c>
      <c r="H642" s="26">
        <v>3.34</v>
      </c>
      <c r="I642" s="26">
        <v>0.7</v>
      </c>
      <c r="J642" s="26">
        <v>3.2650000000000001</v>
      </c>
      <c r="K642" s="13">
        <f t="shared" si="34"/>
        <v>26.42</v>
      </c>
      <c r="L642" s="13">
        <f t="shared" si="35"/>
        <v>8</v>
      </c>
      <c r="M642" s="13">
        <f t="shared" si="36"/>
        <v>3.3025000000000002</v>
      </c>
    </row>
    <row r="643" spans="7:13">
      <c r="G643" s="27">
        <v>41222</v>
      </c>
      <c r="H643" s="26">
        <v>3.34</v>
      </c>
      <c r="I643" s="26">
        <v>0.7</v>
      </c>
      <c r="J643" s="26">
        <v>3.2650000000000001</v>
      </c>
      <c r="K643" s="13">
        <f t="shared" si="34"/>
        <v>23.155000000000001</v>
      </c>
      <c r="L643" s="13">
        <f t="shared" si="35"/>
        <v>7</v>
      </c>
      <c r="M643" s="13">
        <f t="shared" si="36"/>
        <v>3.3078571428571428</v>
      </c>
    </row>
    <row r="644" spans="7:13">
      <c r="G644" s="27">
        <v>41221</v>
      </c>
      <c r="H644" s="26">
        <v>3.34</v>
      </c>
      <c r="I644" s="26">
        <v>0.7</v>
      </c>
      <c r="J644" s="26">
        <v>3.2650000000000001</v>
      </c>
      <c r="K644" s="13">
        <f t="shared" ref="K644:K707" si="37">IF(MONTH(G644)=MONTH(G645),J644+K645,J644)</f>
        <v>19.89</v>
      </c>
      <c r="L644" s="13">
        <f t="shared" ref="L644:L707" si="38">IF(MONTH(G644)=MONTH(G645),L645+1,1)</f>
        <v>6</v>
      </c>
      <c r="M644" s="13">
        <f t="shared" si="36"/>
        <v>3.3149999999999999</v>
      </c>
    </row>
    <row r="645" spans="7:13">
      <c r="G645" s="27">
        <v>41220</v>
      </c>
      <c r="H645" s="26">
        <v>3.4</v>
      </c>
      <c r="I645" s="26">
        <v>0.7</v>
      </c>
      <c r="J645" s="26">
        <v>3.3250000000000002</v>
      </c>
      <c r="K645" s="13">
        <f t="shared" si="37"/>
        <v>16.625</v>
      </c>
      <c r="L645" s="13">
        <f t="shared" si="38"/>
        <v>5</v>
      </c>
      <c r="M645" s="13">
        <f t="shared" ref="M645:M708" si="39">K645/L645</f>
        <v>3.3250000000000002</v>
      </c>
    </row>
    <row r="646" spans="7:13">
      <c r="G646" s="27">
        <v>41219</v>
      </c>
      <c r="H646" s="26">
        <v>3.4</v>
      </c>
      <c r="I646" s="26">
        <v>0.7</v>
      </c>
      <c r="J646" s="26">
        <v>3.3250000000000002</v>
      </c>
      <c r="K646" s="13">
        <f t="shared" si="37"/>
        <v>13.3</v>
      </c>
      <c r="L646" s="13">
        <f t="shared" si="38"/>
        <v>4</v>
      </c>
      <c r="M646" s="13">
        <f t="shared" si="39"/>
        <v>3.3250000000000002</v>
      </c>
    </row>
    <row r="647" spans="7:13">
      <c r="G647" s="27">
        <v>41218</v>
      </c>
      <c r="H647" s="26">
        <v>3.4</v>
      </c>
      <c r="I647" s="26">
        <v>0.7</v>
      </c>
      <c r="J647" s="26">
        <v>3.3250000000000002</v>
      </c>
      <c r="K647" s="13">
        <f t="shared" si="37"/>
        <v>9.9750000000000014</v>
      </c>
      <c r="L647" s="13">
        <f t="shared" si="38"/>
        <v>3</v>
      </c>
      <c r="M647" s="13">
        <f t="shared" si="39"/>
        <v>3.3250000000000006</v>
      </c>
    </row>
    <row r="648" spans="7:13">
      <c r="G648" s="27">
        <v>41215</v>
      </c>
      <c r="H648" s="26">
        <v>3.4</v>
      </c>
      <c r="I648" s="26">
        <v>0.7</v>
      </c>
      <c r="J648" s="26">
        <v>3.3250000000000002</v>
      </c>
      <c r="K648" s="13">
        <f t="shared" si="37"/>
        <v>6.65</v>
      </c>
      <c r="L648" s="13">
        <f t="shared" si="38"/>
        <v>2</v>
      </c>
      <c r="M648" s="13">
        <f t="shared" si="39"/>
        <v>3.3250000000000002</v>
      </c>
    </row>
    <row r="649" spans="7:13">
      <c r="G649" s="27">
        <v>41214</v>
      </c>
      <c r="H649" s="26">
        <v>3.4</v>
      </c>
      <c r="I649" s="26">
        <v>0.7</v>
      </c>
      <c r="J649" s="26">
        <v>3.3250000000000002</v>
      </c>
      <c r="K649" s="13">
        <f t="shared" si="37"/>
        <v>3.3250000000000002</v>
      </c>
      <c r="L649" s="13">
        <f t="shared" si="38"/>
        <v>1</v>
      </c>
      <c r="M649" s="13">
        <f t="shared" si="39"/>
        <v>3.3250000000000002</v>
      </c>
    </row>
    <row r="650" spans="7:13">
      <c r="G650" s="27">
        <v>41213</v>
      </c>
      <c r="H650" s="26">
        <v>3.39</v>
      </c>
      <c r="I650" s="26">
        <v>0.7</v>
      </c>
      <c r="J650" s="26">
        <v>3.3149999999999999</v>
      </c>
      <c r="K650" s="13">
        <f t="shared" si="37"/>
        <v>69.45</v>
      </c>
      <c r="L650" s="13">
        <f t="shared" si="38"/>
        <v>21</v>
      </c>
      <c r="M650" s="13">
        <f t="shared" si="39"/>
        <v>3.3071428571428574</v>
      </c>
    </row>
    <row r="651" spans="7:13">
      <c r="G651" s="27">
        <v>41211</v>
      </c>
      <c r="H651" s="26">
        <v>3.39</v>
      </c>
      <c r="I651" s="26">
        <v>0.7</v>
      </c>
      <c r="J651" s="26">
        <v>3.3149999999999999</v>
      </c>
      <c r="K651" s="13">
        <f t="shared" si="37"/>
        <v>66.135000000000005</v>
      </c>
      <c r="L651" s="13">
        <f t="shared" si="38"/>
        <v>20</v>
      </c>
      <c r="M651" s="13">
        <f t="shared" si="39"/>
        <v>3.3067500000000001</v>
      </c>
    </row>
    <row r="652" spans="7:13">
      <c r="G652" s="27">
        <v>41208</v>
      </c>
      <c r="H652" s="26">
        <v>3.39</v>
      </c>
      <c r="I652" s="26">
        <v>0.7</v>
      </c>
      <c r="J652" s="26">
        <v>3.3149999999999999</v>
      </c>
      <c r="K652" s="13">
        <f t="shared" si="37"/>
        <v>62.820000000000007</v>
      </c>
      <c r="L652" s="13">
        <f t="shared" si="38"/>
        <v>19</v>
      </c>
      <c r="M652" s="13">
        <f t="shared" si="39"/>
        <v>3.3063157894736848</v>
      </c>
    </row>
    <row r="653" spans="7:13">
      <c r="G653" s="27">
        <v>41207</v>
      </c>
      <c r="H653" s="26">
        <v>3.39</v>
      </c>
      <c r="I653" s="26">
        <v>0.7</v>
      </c>
      <c r="J653" s="26">
        <v>3.3149999999999999</v>
      </c>
      <c r="K653" s="13">
        <f t="shared" si="37"/>
        <v>59.50500000000001</v>
      </c>
      <c r="L653" s="13">
        <f t="shared" si="38"/>
        <v>18</v>
      </c>
      <c r="M653" s="13">
        <f t="shared" si="39"/>
        <v>3.3058333333333341</v>
      </c>
    </row>
    <row r="654" spans="7:13">
      <c r="G654" s="27">
        <v>41206</v>
      </c>
      <c r="H654" s="26">
        <v>3.41</v>
      </c>
      <c r="I654" s="26">
        <v>0.7</v>
      </c>
      <c r="J654" s="26">
        <v>3.335</v>
      </c>
      <c r="K654" s="13">
        <f t="shared" si="37"/>
        <v>56.190000000000012</v>
      </c>
      <c r="L654" s="13">
        <f t="shared" si="38"/>
        <v>17</v>
      </c>
      <c r="M654" s="13">
        <f t="shared" si="39"/>
        <v>3.3052941176470596</v>
      </c>
    </row>
    <row r="655" spans="7:13">
      <c r="G655" s="27">
        <v>41205</v>
      </c>
      <c r="H655" s="26">
        <v>3.41</v>
      </c>
      <c r="I655" s="26">
        <v>0.7</v>
      </c>
      <c r="J655" s="26">
        <v>3.335</v>
      </c>
      <c r="K655" s="13">
        <f t="shared" si="37"/>
        <v>52.855000000000011</v>
      </c>
      <c r="L655" s="13">
        <f t="shared" si="38"/>
        <v>16</v>
      </c>
      <c r="M655" s="13">
        <f t="shared" si="39"/>
        <v>3.3034375000000007</v>
      </c>
    </row>
    <row r="656" spans="7:13">
      <c r="G656" s="27">
        <v>41204</v>
      </c>
      <c r="H656" s="26">
        <v>3.41</v>
      </c>
      <c r="I656" s="26">
        <v>0.7</v>
      </c>
      <c r="J656" s="26">
        <v>3.335</v>
      </c>
      <c r="K656" s="13">
        <f t="shared" si="37"/>
        <v>49.52000000000001</v>
      </c>
      <c r="L656" s="13">
        <f t="shared" si="38"/>
        <v>15</v>
      </c>
      <c r="M656" s="13">
        <f t="shared" si="39"/>
        <v>3.3013333333333339</v>
      </c>
    </row>
    <row r="657" spans="7:13">
      <c r="G657" s="27">
        <v>41201</v>
      </c>
      <c r="H657" s="26">
        <v>3.41</v>
      </c>
      <c r="I657" s="26">
        <v>0.7</v>
      </c>
      <c r="J657" s="26">
        <v>3.335</v>
      </c>
      <c r="K657" s="13">
        <f t="shared" si="37"/>
        <v>46.185000000000009</v>
      </c>
      <c r="L657" s="13">
        <f t="shared" si="38"/>
        <v>14</v>
      </c>
      <c r="M657" s="13">
        <f t="shared" si="39"/>
        <v>3.2989285714285721</v>
      </c>
    </row>
    <row r="658" spans="7:13">
      <c r="G658" s="27">
        <v>41200</v>
      </c>
      <c r="H658" s="26">
        <v>3.41</v>
      </c>
      <c r="I658" s="26">
        <v>0.7</v>
      </c>
      <c r="J658" s="26">
        <v>3.335</v>
      </c>
      <c r="K658" s="13">
        <f t="shared" si="37"/>
        <v>42.850000000000009</v>
      </c>
      <c r="L658" s="13">
        <f t="shared" si="38"/>
        <v>13</v>
      </c>
      <c r="M658" s="13">
        <f t="shared" si="39"/>
        <v>3.2961538461538469</v>
      </c>
    </row>
    <row r="659" spans="7:13">
      <c r="G659" s="27">
        <v>41199</v>
      </c>
      <c r="H659" s="26">
        <v>3.37</v>
      </c>
      <c r="I659" s="26">
        <v>0.7</v>
      </c>
      <c r="J659" s="26">
        <v>3.2949999999999999</v>
      </c>
      <c r="K659" s="13">
        <f t="shared" si="37"/>
        <v>39.515000000000008</v>
      </c>
      <c r="L659" s="13">
        <f t="shared" si="38"/>
        <v>12</v>
      </c>
      <c r="M659" s="13">
        <f t="shared" si="39"/>
        <v>3.2929166666666672</v>
      </c>
    </row>
    <row r="660" spans="7:13">
      <c r="G660" s="27">
        <v>41198</v>
      </c>
      <c r="H660" s="26">
        <v>3.37</v>
      </c>
      <c r="I660" s="26">
        <v>0.7</v>
      </c>
      <c r="J660" s="26">
        <v>3.2949999999999999</v>
      </c>
      <c r="K660" s="13">
        <f t="shared" si="37"/>
        <v>36.220000000000006</v>
      </c>
      <c r="L660" s="13">
        <f t="shared" si="38"/>
        <v>11</v>
      </c>
      <c r="M660" s="13">
        <f t="shared" si="39"/>
        <v>3.2927272727272734</v>
      </c>
    </row>
    <row r="661" spans="7:13">
      <c r="G661" s="27">
        <v>41197</v>
      </c>
      <c r="H661" s="26">
        <v>3.37</v>
      </c>
      <c r="I661" s="26">
        <v>0.7</v>
      </c>
      <c r="J661" s="26">
        <v>3.2949999999999999</v>
      </c>
      <c r="K661" s="13">
        <f t="shared" si="37"/>
        <v>32.925000000000004</v>
      </c>
      <c r="L661" s="13">
        <f t="shared" si="38"/>
        <v>10</v>
      </c>
      <c r="M661" s="13">
        <f t="shared" si="39"/>
        <v>3.2925000000000004</v>
      </c>
    </row>
    <row r="662" spans="7:13">
      <c r="G662" s="27">
        <v>41194</v>
      </c>
      <c r="H662" s="26">
        <v>3.37</v>
      </c>
      <c r="I662" s="26">
        <v>0.7</v>
      </c>
      <c r="J662" s="26">
        <v>3.2949999999999999</v>
      </c>
      <c r="K662" s="13">
        <f t="shared" si="37"/>
        <v>29.630000000000003</v>
      </c>
      <c r="L662" s="13">
        <f t="shared" si="38"/>
        <v>9</v>
      </c>
      <c r="M662" s="13">
        <f t="shared" si="39"/>
        <v>3.2922222222222226</v>
      </c>
    </row>
    <row r="663" spans="7:13">
      <c r="G663" s="27">
        <v>41193</v>
      </c>
      <c r="H663" s="26">
        <v>3.37</v>
      </c>
      <c r="I663" s="26">
        <v>0.7</v>
      </c>
      <c r="J663" s="26">
        <v>3.2949999999999999</v>
      </c>
      <c r="K663" s="13">
        <f t="shared" si="37"/>
        <v>26.335000000000001</v>
      </c>
      <c r="L663" s="13">
        <f t="shared" si="38"/>
        <v>8</v>
      </c>
      <c r="M663" s="13">
        <f t="shared" si="39"/>
        <v>3.2918750000000001</v>
      </c>
    </row>
    <row r="664" spans="7:13">
      <c r="G664" s="27">
        <v>41192</v>
      </c>
      <c r="H664" s="26">
        <v>3.39</v>
      </c>
      <c r="I664" s="26">
        <v>0.7</v>
      </c>
      <c r="J664" s="26">
        <v>3.3149999999999999</v>
      </c>
      <c r="K664" s="13">
        <f t="shared" si="37"/>
        <v>23.040000000000003</v>
      </c>
      <c r="L664" s="13">
        <f t="shared" si="38"/>
        <v>7</v>
      </c>
      <c r="M664" s="13">
        <f t="shared" si="39"/>
        <v>3.2914285714285718</v>
      </c>
    </row>
    <row r="665" spans="7:13">
      <c r="G665" s="27">
        <v>41191</v>
      </c>
      <c r="H665" s="26">
        <v>3.39</v>
      </c>
      <c r="I665" s="26">
        <v>0.7</v>
      </c>
      <c r="J665" s="26">
        <v>3.3149999999999999</v>
      </c>
      <c r="K665" s="13">
        <f t="shared" si="37"/>
        <v>19.725000000000001</v>
      </c>
      <c r="L665" s="13">
        <f t="shared" si="38"/>
        <v>6</v>
      </c>
      <c r="M665" s="13">
        <f t="shared" si="39"/>
        <v>3.2875000000000001</v>
      </c>
    </row>
    <row r="666" spans="7:13">
      <c r="G666" s="27">
        <v>41187</v>
      </c>
      <c r="H666" s="26">
        <v>3.39</v>
      </c>
      <c r="I666" s="26">
        <v>0.7</v>
      </c>
      <c r="J666" s="26">
        <v>3.3149999999999999</v>
      </c>
      <c r="K666" s="13">
        <f t="shared" si="37"/>
        <v>16.41</v>
      </c>
      <c r="L666" s="13">
        <f t="shared" si="38"/>
        <v>5</v>
      </c>
      <c r="M666" s="13">
        <f t="shared" si="39"/>
        <v>3.282</v>
      </c>
    </row>
    <row r="667" spans="7:13">
      <c r="G667" s="27">
        <v>41186</v>
      </c>
      <c r="H667" s="26">
        <v>3.39</v>
      </c>
      <c r="I667" s="26">
        <v>0.7</v>
      </c>
      <c r="J667" s="26">
        <v>3.3149999999999999</v>
      </c>
      <c r="K667" s="13">
        <f t="shared" si="37"/>
        <v>13.094999999999999</v>
      </c>
      <c r="L667" s="13">
        <f t="shared" si="38"/>
        <v>4</v>
      </c>
      <c r="M667" s="13">
        <f t="shared" si="39"/>
        <v>3.2737499999999997</v>
      </c>
    </row>
    <row r="668" spans="7:13">
      <c r="G668" s="27">
        <v>41185</v>
      </c>
      <c r="H668" s="26">
        <v>3.36</v>
      </c>
      <c r="I668" s="26">
        <v>0.6</v>
      </c>
      <c r="J668" s="26">
        <v>3.26</v>
      </c>
      <c r="K668" s="13">
        <f t="shared" si="37"/>
        <v>9.7799999999999994</v>
      </c>
      <c r="L668" s="13">
        <f t="shared" si="38"/>
        <v>3</v>
      </c>
      <c r="M668" s="13">
        <f t="shared" si="39"/>
        <v>3.26</v>
      </c>
    </row>
    <row r="669" spans="7:13">
      <c r="G669" s="27">
        <v>41184</v>
      </c>
      <c r="H669" s="26">
        <v>3.36</v>
      </c>
      <c r="I669" s="26">
        <v>0.6</v>
      </c>
      <c r="J669" s="26">
        <v>3.26</v>
      </c>
      <c r="K669" s="13">
        <f t="shared" si="37"/>
        <v>6.52</v>
      </c>
      <c r="L669" s="13">
        <f t="shared" si="38"/>
        <v>2</v>
      </c>
      <c r="M669" s="13">
        <f t="shared" si="39"/>
        <v>3.26</v>
      </c>
    </row>
    <row r="670" spans="7:13">
      <c r="G670" s="27">
        <v>41183</v>
      </c>
      <c r="H670" s="26">
        <v>3.36</v>
      </c>
      <c r="I670" s="26">
        <v>0.6</v>
      </c>
      <c r="J670" s="26">
        <v>3.26</v>
      </c>
      <c r="K670" s="13">
        <f t="shared" si="37"/>
        <v>3.26</v>
      </c>
      <c r="L670" s="13">
        <f t="shared" si="38"/>
        <v>1</v>
      </c>
      <c r="M670" s="13">
        <f t="shared" si="39"/>
        <v>3.26</v>
      </c>
    </row>
    <row r="671" spans="7:13">
      <c r="G671" s="27">
        <v>41180</v>
      </c>
      <c r="H671" s="26">
        <v>3.36</v>
      </c>
      <c r="I671" s="26">
        <v>0.6</v>
      </c>
      <c r="J671" s="26">
        <v>3.26</v>
      </c>
      <c r="K671" s="13">
        <f t="shared" si="37"/>
        <v>64.169999999999987</v>
      </c>
      <c r="L671" s="13">
        <f t="shared" si="38"/>
        <v>19</v>
      </c>
      <c r="M671" s="13">
        <f t="shared" si="39"/>
        <v>3.3773684210526311</v>
      </c>
    </row>
    <row r="672" spans="7:13">
      <c r="G672" s="27">
        <v>41179</v>
      </c>
      <c r="H672" s="26">
        <v>3.36</v>
      </c>
      <c r="I672" s="26">
        <v>0.6</v>
      </c>
      <c r="J672" s="26">
        <v>3.26</v>
      </c>
      <c r="K672" s="13">
        <f t="shared" si="37"/>
        <v>60.909999999999982</v>
      </c>
      <c r="L672" s="13">
        <f t="shared" si="38"/>
        <v>18</v>
      </c>
      <c r="M672" s="13">
        <f t="shared" si="39"/>
        <v>3.3838888888888881</v>
      </c>
    </row>
    <row r="673" spans="7:13">
      <c r="G673" s="27">
        <v>41178</v>
      </c>
      <c r="H673" s="26">
        <v>3.4</v>
      </c>
      <c r="I673" s="26">
        <v>0.6</v>
      </c>
      <c r="J673" s="26">
        <v>3.3</v>
      </c>
      <c r="K673" s="13">
        <f t="shared" si="37"/>
        <v>57.649999999999984</v>
      </c>
      <c r="L673" s="13">
        <f t="shared" si="38"/>
        <v>17</v>
      </c>
      <c r="M673" s="13">
        <f t="shared" si="39"/>
        <v>3.3911764705882343</v>
      </c>
    </row>
    <row r="674" spans="7:13">
      <c r="G674" s="27">
        <v>41177</v>
      </c>
      <c r="H674" s="26">
        <v>3.4</v>
      </c>
      <c r="I674" s="26">
        <v>0.6</v>
      </c>
      <c r="J674" s="26">
        <v>3.3</v>
      </c>
      <c r="K674" s="13">
        <f t="shared" si="37"/>
        <v>54.349999999999987</v>
      </c>
      <c r="L674" s="13">
        <f t="shared" si="38"/>
        <v>16</v>
      </c>
      <c r="M674" s="13">
        <f t="shared" si="39"/>
        <v>3.3968749999999992</v>
      </c>
    </row>
    <row r="675" spans="7:13">
      <c r="G675" s="27">
        <v>41176</v>
      </c>
      <c r="H675" s="26">
        <v>3.4</v>
      </c>
      <c r="I675" s="26">
        <v>0.6</v>
      </c>
      <c r="J675" s="26">
        <v>3.3</v>
      </c>
      <c r="K675" s="13">
        <f t="shared" si="37"/>
        <v>51.04999999999999</v>
      </c>
      <c r="L675" s="13">
        <f t="shared" si="38"/>
        <v>15</v>
      </c>
      <c r="M675" s="13">
        <f t="shared" si="39"/>
        <v>3.4033333333333329</v>
      </c>
    </row>
    <row r="676" spans="7:13">
      <c r="G676" s="27">
        <v>41173</v>
      </c>
      <c r="H676" s="26">
        <v>3.4</v>
      </c>
      <c r="I676" s="26">
        <v>0.6</v>
      </c>
      <c r="J676" s="26">
        <v>3.3</v>
      </c>
      <c r="K676" s="13">
        <f t="shared" si="37"/>
        <v>47.749999999999993</v>
      </c>
      <c r="L676" s="13">
        <f t="shared" si="38"/>
        <v>14</v>
      </c>
      <c r="M676" s="13">
        <f t="shared" si="39"/>
        <v>3.4107142857142851</v>
      </c>
    </row>
    <row r="677" spans="7:13">
      <c r="G677" s="27">
        <v>41172</v>
      </c>
      <c r="H677" s="26">
        <v>3.4</v>
      </c>
      <c r="I677" s="26">
        <v>0.6</v>
      </c>
      <c r="J677" s="26">
        <v>3.3</v>
      </c>
      <c r="K677" s="13">
        <f t="shared" si="37"/>
        <v>44.449999999999996</v>
      </c>
      <c r="L677" s="13">
        <f t="shared" si="38"/>
        <v>13</v>
      </c>
      <c r="M677" s="13">
        <f t="shared" si="39"/>
        <v>3.4192307692307691</v>
      </c>
    </row>
    <row r="678" spans="7:13">
      <c r="G678" s="27">
        <v>41171</v>
      </c>
      <c r="H678" s="26">
        <v>3.49</v>
      </c>
      <c r="I678" s="26">
        <v>0.6</v>
      </c>
      <c r="J678" s="26">
        <v>3.39</v>
      </c>
      <c r="K678" s="13">
        <f t="shared" si="37"/>
        <v>41.15</v>
      </c>
      <c r="L678" s="13">
        <f t="shared" si="38"/>
        <v>12</v>
      </c>
      <c r="M678" s="13">
        <f t="shared" si="39"/>
        <v>3.4291666666666667</v>
      </c>
    </row>
    <row r="679" spans="7:13">
      <c r="G679" s="27">
        <v>41170</v>
      </c>
      <c r="H679" s="26">
        <v>3.49</v>
      </c>
      <c r="I679" s="26">
        <v>0.6</v>
      </c>
      <c r="J679" s="26">
        <v>3.39</v>
      </c>
      <c r="K679" s="13">
        <f t="shared" si="37"/>
        <v>37.76</v>
      </c>
      <c r="L679" s="13">
        <f t="shared" si="38"/>
        <v>11</v>
      </c>
      <c r="M679" s="13">
        <f t="shared" si="39"/>
        <v>3.4327272727272726</v>
      </c>
    </row>
    <row r="680" spans="7:13">
      <c r="G680" s="27">
        <v>41169</v>
      </c>
      <c r="H680" s="26">
        <v>3.49</v>
      </c>
      <c r="I680" s="26">
        <v>0.6</v>
      </c>
      <c r="J680" s="26">
        <v>3.39</v>
      </c>
      <c r="K680" s="13">
        <f t="shared" si="37"/>
        <v>34.369999999999997</v>
      </c>
      <c r="L680" s="13">
        <f t="shared" si="38"/>
        <v>10</v>
      </c>
      <c r="M680" s="13">
        <f t="shared" si="39"/>
        <v>3.4369999999999998</v>
      </c>
    </row>
    <row r="681" spans="7:13">
      <c r="G681" s="27">
        <v>41166</v>
      </c>
      <c r="H681" s="26">
        <v>3.49</v>
      </c>
      <c r="I681" s="26">
        <v>0.6</v>
      </c>
      <c r="J681" s="26">
        <v>3.39</v>
      </c>
      <c r="K681" s="13">
        <f t="shared" si="37"/>
        <v>30.98</v>
      </c>
      <c r="L681" s="13">
        <f t="shared" si="38"/>
        <v>9</v>
      </c>
      <c r="M681" s="13">
        <f t="shared" si="39"/>
        <v>3.4422222222222221</v>
      </c>
    </row>
    <row r="682" spans="7:13">
      <c r="G682" s="27">
        <v>41165</v>
      </c>
      <c r="H682" s="26">
        <v>3.49</v>
      </c>
      <c r="I682" s="26">
        <v>0.6</v>
      </c>
      <c r="J682" s="26">
        <v>3.39</v>
      </c>
      <c r="K682" s="13">
        <f t="shared" si="37"/>
        <v>27.59</v>
      </c>
      <c r="L682" s="13">
        <f t="shared" si="38"/>
        <v>8</v>
      </c>
      <c r="M682" s="13">
        <f t="shared" si="39"/>
        <v>3.44875</v>
      </c>
    </row>
    <row r="683" spans="7:13">
      <c r="G683" s="27">
        <v>41164</v>
      </c>
      <c r="H683" s="26">
        <v>3.55</v>
      </c>
      <c r="I683" s="26">
        <v>0.6</v>
      </c>
      <c r="J683" s="26">
        <v>3.45</v>
      </c>
      <c r="K683" s="13">
        <f t="shared" si="37"/>
        <v>24.2</v>
      </c>
      <c r="L683" s="13">
        <f t="shared" si="38"/>
        <v>7</v>
      </c>
      <c r="M683" s="13">
        <f t="shared" si="39"/>
        <v>3.4571428571428569</v>
      </c>
    </row>
    <row r="684" spans="7:13">
      <c r="G684" s="27">
        <v>41163</v>
      </c>
      <c r="H684" s="26">
        <v>3.55</v>
      </c>
      <c r="I684" s="26">
        <v>0.6</v>
      </c>
      <c r="J684" s="26">
        <v>3.45</v>
      </c>
      <c r="K684" s="13">
        <f t="shared" si="37"/>
        <v>20.75</v>
      </c>
      <c r="L684" s="13">
        <f t="shared" si="38"/>
        <v>6</v>
      </c>
      <c r="M684" s="13">
        <f t="shared" si="39"/>
        <v>3.4583333333333335</v>
      </c>
    </row>
    <row r="685" spans="7:13">
      <c r="G685" s="27">
        <v>41162</v>
      </c>
      <c r="H685" s="26">
        <v>3.55</v>
      </c>
      <c r="I685" s="26">
        <v>0.6</v>
      </c>
      <c r="J685" s="26">
        <v>3.45</v>
      </c>
      <c r="K685" s="13">
        <f t="shared" si="37"/>
        <v>17.3</v>
      </c>
      <c r="L685" s="13">
        <f t="shared" si="38"/>
        <v>5</v>
      </c>
      <c r="M685" s="13">
        <f t="shared" si="39"/>
        <v>3.46</v>
      </c>
    </row>
    <row r="686" spans="7:13">
      <c r="G686" s="27">
        <v>41159</v>
      </c>
      <c r="H686" s="26">
        <v>3.55</v>
      </c>
      <c r="I686" s="26">
        <v>0.6</v>
      </c>
      <c r="J686" s="26">
        <v>3.45</v>
      </c>
      <c r="K686" s="13">
        <f t="shared" si="37"/>
        <v>13.850000000000001</v>
      </c>
      <c r="L686" s="13">
        <f t="shared" si="38"/>
        <v>4</v>
      </c>
      <c r="M686" s="13">
        <f t="shared" si="39"/>
        <v>3.4625000000000004</v>
      </c>
    </row>
    <row r="687" spans="7:13">
      <c r="G687" s="27">
        <v>41158</v>
      </c>
      <c r="H687" s="26">
        <v>3.55</v>
      </c>
      <c r="I687" s="26">
        <v>0.6</v>
      </c>
      <c r="J687" s="26">
        <v>3.45</v>
      </c>
      <c r="K687" s="13">
        <f t="shared" si="37"/>
        <v>10.4</v>
      </c>
      <c r="L687" s="13">
        <f t="shared" si="38"/>
        <v>3</v>
      </c>
      <c r="M687" s="13">
        <f t="shared" si="39"/>
        <v>3.4666666666666668</v>
      </c>
    </row>
    <row r="688" spans="7:13">
      <c r="G688" s="27">
        <v>41157</v>
      </c>
      <c r="H688" s="26">
        <v>3.55</v>
      </c>
      <c r="I688" s="26">
        <v>0.7</v>
      </c>
      <c r="J688" s="26">
        <v>3.4750000000000001</v>
      </c>
      <c r="K688" s="13">
        <f t="shared" si="37"/>
        <v>6.95</v>
      </c>
      <c r="L688" s="13">
        <f t="shared" si="38"/>
        <v>2</v>
      </c>
      <c r="M688" s="13">
        <f t="shared" si="39"/>
        <v>3.4750000000000001</v>
      </c>
    </row>
    <row r="689" spans="7:13">
      <c r="G689" s="27">
        <v>41156</v>
      </c>
      <c r="H689" s="26">
        <v>3.55</v>
      </c>
      <c r="I689" s="26">
        <v>0.7</v>
      </c>
      <c r="J689" s="26">
        <v>3.4750000000000001</v>
      </c>
      <c r="K689" s="13">
        <f t="shared" si="37"/>
        <v>3.4750000000000001</v>
      </c>
      <c r="L689" s="13">
        <f t="shared" si="38"/>
        <v>1</v>
      </c>
      <c r="M689" s="13">
        <f t="shared" si="39"/>
        <v>3.4750000000000001</v>
      </c>
    </row>
    <row r="690" spans="7:13">
      <c r="G690" s="27">
        <v>41152</v>
      </c>
      <c r="H690" s="26">
        <v>3.55</v>
      </c>
      <c r="I690" s="26">
        <v>0.7</v>
      </c>
      <c r="J690" s="26">
        <v>3.4750000000000001</v>
      </c>
      <c r="K690" s="13">
        <f t="shared" si="37"/>
        <v>80.849999999999994</v>
      </c>
      <c r="L690" s="13">
        <f t="shared" si="38"/>
        <v>23</v>
      </c>
      <c r="M690" s="13">
        <f t="shared" si="39"/>
        <v>3.5152173913043474</v>
      </c>
    </row>
    <row r="691" spans="7:13">
      <c r="G691" s="27">
        <v>41151</v>
      </c>
      <c r="H691" s="26">
        <v>3.55</v>
      </c>
      <c r="I691" s="26">
        <v>0.7</v>
      </c>
      <c r="J691" s="26">
        <v>3.4750000000000001</v>
      </c>
      <c r="K691" s="13">
        <f t="shared" si="37"/>
        <v>77.375</v>
      </c>
      <c r="L691" s="13">
        <f t="shared" si="38"/>
        <v>22</v>
      </c>
      <c r="M691" s="13">
        <f t="shared" si="39"/>
        <v>3.5170454545454546</v>
      </c>
    </row>
    <row r="692" spans="7:13">
      <c r="G692" s="27">
        <v>41150</v>
      </c>
      <c r="H692" s="26">
        <v>3.59</v>
      </c>
      <c r="I692" s="26">
        <v>0.6</v>
      </c>
      <c r="J692" s="26">
        <v>3.49</v>
      </c>
      <c r="K692" s="13">
        <f t="shared" si="37"/>
        <v>73.900000000000006</v>
      </c>
      <c r="L692" s="13">
        <f t="shared" si="38"/>
        <v>21</v>
      </c>
      <c r="M692" s="13">
        <f t="shared" si="39"/>
        <v>3.5190476190476194</v>
      </c>
    </row>
    <row r="693" spans="7:13">
      <c r="G693" s="27">
        <v>41149</v>
      </c>
      <c r="H693" s="26">
        <v>3.59</v>
      </c>
      <c r="I693" s="26">
        <v>0.6</v>
      </c>
      <c r="J693" s="26">
        <v>3.49</v>
      </c>
      <c r="K693" s="13">
        <f t="shared" si="37"/>
        <v>70.410000000000011</v>
      </c>
      <c r="L693" s="13">
        <f t="shared" si="38"/>
        <v>20</v>
      </c>
      <c r="M693" s="13">
        <f t="shared" si="39"/>
        <v>3.5205000000000006</v>
      </c>
    </row>
    <row r="694" spans="7:13">
      <c r="G694" s="27">
        <v>41148</v>
      </c>
      <c r="H694" s="26">
        <v>3.59</v>
      </c>
      <c r="I694" s="26">
        <v>0.6</v>
      </c>
      <c r="J694" s="26">
        <v>3.49</v>
      </c>
      <c r="K694" s="13">
        <f t="shared" si="37"/>
        <v>66.920000000000016</v>
      </c>
      <c r="L694" s="13">
        <f t="shared" si="38"/>
        <v>19</v>
      </c>
      <c r="M694" s="13">
        <f t="shared" si="39"/>
        <v>3.5221052631578957</v>
      </c>
    </row>
    <row r="695" spans="7:13">
      <c r="G695" s="27">
        <v>41145</v>
      </c>
      <c r="H695" s="26">
        <v>3.59</v>
      </c>
      <c r="I695" s="26">
        <v>0.6</v>
      </c>
      <c r="J695" s="26">
        <v>3.49</v>
      </c>
      <c r="K695" s="13">
        <f t="shared" si="37"/>
        <v>63.430000000000014</v>
      </c>
      <c r="L695" s="13">
        <f t="shared" si="38"/>
        <v>18</v>
      </c>
      <c r="M695" s="13">
        <f t="shared" si="39"/>
        <v>3.5238888888888895</v>
      </c>
    </row>
    <row r="696" spans="7:13">
      <c r="G696" s="27">
        <v>41144</v>
      </c>
      <c r="H696" s="26">
        <v>3.59</v>
      </c>
      <c r="I696" s="26">
        <v>0.6</v>
      </c>
      <c r="J696" s="26">
        <v>3.49</v>
      </c>
      <c r="K696" s="13">
        <f t="shared" si="37"/>
        <v>59.940000000000012</v>
      </c>
      <c r="L696" s="13">
        <f t="shared" si="38"/>
        <v>17</v>
      </c>
      <c r="M696" s="13">
        <f t="shared" si="39"/>
        <v>3.5258823529411774</v>
      </c>
    </row>
    <row r="697" spans="7:13">
      <c r="G697" s="27">
        <v>41143</v>
      </c>
      <c r="H697" s="26">
        <v>3.66</v>
      </c>
      <c r="I697" s="26">
        <v>0.7</v>
      </c>
      <c r="J697" s="26">
        <v>3.585</v>
      </c>
      <c r="K697" s="13">
        <f t="shared" si="37"/>
        <v>56.45000000000001</v>
      </c>
      <c r="L697" s="13">
        <f t="shared" si="38"/>
        <v>16</v>
      </c>
      <c r="M697" s="13">
        <f t="shared" si="39"/>
        <v>3.5281250000000006</v>
      </c>
    </row>
    <row r="698" spans="7:13">
      <c r="G698" s="27">
        <v>41142</v>
      </c>
      <c r="H698" s="26">
        <v>3.66</v>
      </c>
      <c r="I698" s="26">
        <v>0.7</v>
      </c>
      <c r="J698" s="26">
        <v>3.585</v>
      </c>
      <c r="K698" s="13">
        <f t="shared" si="37"/>
        <v>52.865000000000009</v>
      </c>
      <c r="L698" s="13">
        <f t="shared" si="38"/>
        <v>15</v>
      </c>
      <c r="M698" s="13">
        <f t="shared" si="39"/>
        <v>3.5243333333333338</v>
      </c>
    </row>
    <row r="699" spans="7:13">
      <c r="G699" s="27">
        <v>41141</v>
      </c>
      <c r="H699" s="26">
        <v>3.66</v>
      </c>
      <c r="I699" s="26">
        <v>0.7</v>
      </c>
      <c r="J699" s="26">
        <v>3.585</v>
      </c>
      <c r="K699" s="13">
        <f t="shared" si="37"/>
        <v>49.280000000000008</v>
      </c>
      <c r="L699" s="13">
        <f t="shared" si="38"/>
        <v>14</v>
      </c>
      <c r="M699" s="13">
        <f t="shared" si="39"/>
        <v>3.5200000000000005</v>
      </c>
    </row>
    <row r="700" spans="7:13">
      <c r="G700" s="27">
        <v>41138</v>
      </c>
      <c r="H700" s="26">
        <v>3.66</v>
      </c>
      <c r="I700" s="26">
        <v>0.7</v>
      </c>
      <c r="J700" s="26">
        <v>3.585</v>
      </c>
      <c r="K700" s="13">
        <f t="shared" si="37"/>
        <v>45.695000000000007</v>
      </c>
      <c r="L700" s="13">
        <f t="shared" si="38"/>
        <v>13</v>
      </c>
      <c r="M700" s="13">
        <f t="shared" si="39"/>
        <v>3.5150000000000006</v>
      </c>
    </row>
    <row r="701" spans="7:13">
      <c r="G701" s="27">
        <v>41137</v>
      </c>
      <c r="H701" s="26">
        <v>3.66</v>
      </c>
      <c r="I701" s="26">
        <v>0.7</v>
      </c>
      <c r="J701" s="26">
        <v>3.585</v>
      </c>
      <c r="K701" s="13">
        <f t="shared" si="37"/>
        <v>42.110000000000007</v>
      </c>
      <c r="L701" s="13">
        <f t="shared" si="38"/>
        <v>12</v>
      </c>
      <c r="M701" s="13">
        <f t="shared" si="39"/>
        <v>3.5091666666666672</v>
      </c>
    </row>
    <row r="702" spans="7:13">
      <c r="G702" s="27">
        <v>41136</v>
      </c>
      <c r="H702" s="26">
        <v>3.62</v>
      </c>
      <c r="I702" s="26">
        <v>0.6</v>
      </c>
      <c r="J702" s="26">
        <v>3.52</v>
      </c>
      <c r="K702" s="13">
        <f t="shared" si="37"/>
        <v>38.525000000000006</v>
      </c>
      <c r="L702" s="13">
        <f t="shared" si="38"/>
        <v>11</v>
      </c>
      <c r="M702" s="13">
        <f t="shared" si="39"/>
        <v>3.5022727272727279</v>
      </c>
    </row>
    <row r="703" spans="7:13">
      <c r="G703" s="27">
        <v>41135</v>
      </c>
      <c r="H703" s="26">
        <v>3.62</v>
      </c>
      <c r="I703" s="26">
        <v>0.6</v>
      </c>
      <c r="J703" s="26">
        <v>3.52</v>
      </c>
      <c r="K703" s="13">
        <f t="shared" si="37"/>
        <v>35.005000000000003</v>
      </c>
      <c r="L703" s="13">
        <f t="shared" si="38"/>
        <v>10</v>
      </c>
      <c r="M703" s="13">
        <f t="shared" si="39"/>
        <v>3.5005000000000002</v>
      </c>
    </row>
    <row r="704" spans="7:13">
      <c r="G704" s="27">
        <v>41134</v>
      </c>
      <c r="H704" s="26">
        <v>3.62</v>
      </c>
      <c r="I704" s="26">
        <v>0.6</v>
      </c>
      <c r="J704" s="26">
        <v>3.52</v>
      </c>
      <c r="K704" s="13">
        <f t="shared" si="37"/>
        <v>31.485000000000003</v>
      </c>
      <c r="L704" s="13">
        <f t="shared" si="38"/>
        <v>9</v>
      </c>
      <c r="M704" s="13">
        <f t="shared" si="39"/>
        <v>3.4983333333333335</v>
      </c>
    </row>
    <row r="705" spans="7:13">
      <c r="G705" s="27">
        <v>41131</v>
      </c>
      <c r="H705" s="26">
        <v>3.62</v>
      </c>
      <c r="I705" s="26">
        <v>0.6</v>
      </c>
      <c r="J705" s="26">
        <v>3.52</v>
      </c>
      <c r="K705" s="13">
        <f t="shared" si="37"/>
        <v>27.965000000000003</v>
      </c>
      <c r="L705" s="13">
        <f t="shared" si="38"/>
        <v>8</v>
      </c>
      <c r="M705" s="13">
        <f t="shared" si="39"/>
        <v>3.4956250000000004</v>
      </c>
    </row>
    <row r="706" spans="7:13">
      <c r="G706" s="27">
        <v>41130</v>
      </c>
      <c r="H706" s="26">
        <v>3.62</v>
      </c>
      <c r="I706" s="26">
        <v>0.6</v>
      </c>
      <c r="J706" s="26">
        <v>3.52</v>
      </c>
      <c r="K706" s="13">
        <f t="shared" si="37"/>
        <v>24.445000000000004</v>
      </c>
      <c r="L706" s="13">
        <f t="shared" si="38"/>
        <v>7</v>
      </c>
      <c r="M706" s="13">
        <f t="shared" si="39"/>
        <v>3.4921428571428579</v>
      </c>
    </row>
    <row r="707" spans="7:13">
      <c r="G707" s="27">
        <v>41129</v>
      </c>
      <c r="H707" s="26">
        <v>3.59</v>
      </c>
      <c r="I707" s="26">
        <v>0.6</v>
      </c>
      <c r="J707" s="26">
        <v>3.49</v>
      </c>
      <c r="K707" s="13">
        <f t="shared" si="37"/>
        <v>20.925000000000004</v>
      </c>
      <c r="L707" s="13">
        <f t="shared" si="38"/>
        <v>6</v>
      </c>
      <c r="M707" s="13">
        <f t="shared" si="39"/>
        <v>3.4875000000000007</v>
      </c>
    </row>
    <row r="708" spans="7:13">
      <c r="G708" s="27">
        <v>41128</v>
      </c>
      <c r="H708" s="26">
        <v>3.59</v>
      </c>
      <c r="I708" s="26">
        <v>0.6</v>
      </c>
      <c r="J708" s="26">
        <v>3.49</v>
      </c>
      <c r="K708" s="13">
        <f t="shared" ref="K708:K771" si="40">IF(MONTH(G708)=MONTH(G709),J708+K709,J708)</f>
        <v>17.435000000000002</v>
      </c>
      <c r="L708" s="13">
        <f t="shared" ref="L708:L771" si="41">IF(MONTH(G708)=MONTH(G709),L709+1,1)</f>
        <v>5</v>
      </c>
      <c r="M708" s="13">
        <f t="shared" si="39"/>
        <v>3.4870000000000005</v>
      </c>
    </row>
    <row r="709" spans="7:13">
      <c r="G709" s="27">
        <v>41127</v>
      </c>
      <c r="H709" s="26">
        <v>3.59</v>
      </c>
      <c r="I709" s="26">
        <v>0.6</v>
      </c>
      <c r="J709" s="26">
        <v>3.49</v>
      </c>
      <c r="K709" s="13">
        <f t="shared" si="40"/>
        <v>13.945</v>
      </c>
      <c r="L709" s="13">
        <f t="shared" si="41"/>
        <v>4</v>
      </c>
      <c r="M709" s="13">
        <f t="shared" ref="M709:M772" si="42">K709/L709</f>
        <v>3.4862500000000001</v>
      </c>
    </row>
    <row r="710" spans="7:13">
      <c r="G710" s="27">
        <v>41124</v>
      </c>
      <c r="H710" s="26">
        <v>3.59</v>
      </c>
      <c r="I710" s="26">
        <v>0.6</v>
      </c>
      <c r="J710" s="26">
        <v>3.49</v>
      </c>
      <c r="K710" s="13">
        <f t="shared" si="40"/>
        <v>10.455</v>
      </c>
      <c r="L710" s="13">
        <f t="shared" si="41"/>
        <v>3</v>
      </c>
      <c r="M710" s="13">
        <f t="shared" si="42"/>
        <v>3.4849999999999999</v>
      </c>
    </row>
    <row r="711" spans="7:13">
      <c r="G711" s="27">
        <v>41123</v>
      </c>
      <c r="H711" s="26">
        <v>3.59</v>
      </c>
      <c r="I711" s="26">
        <v>0.6</v>
      </c>
      <c r="J711" s="26">
        <v>3.49</v>
      </c>
      <c r="K711" s="13">
        <f t="shared" si="40"/>
        <v>6.9649999999999999</v>
      </c>
      <c r="L711" s="13">
        <f t="shared" si="41"/>
        <v>2</v>
      </c>
      <c r="M711" s="13">
        <f t="shared" si="42"/>
        <v>3.4824999999999999</v>
      </c>
    </row>
    <row r="712" spans="7:13">
      <c r="G712" s="27">
        <v>41122</v>
      </c>
      <c r="H712" s="26">
        <v>3.55</v>
      </c>
      <c r="I712" s="26">
        <v>0.7</v>
      </c>
      <c r="J712" s="26">
        <v>3.4750000000000001</v>
      </c>
      <c r="K712" s="13">
        <f t="shared" si="40"/>
        <v>3.4750000000000001</v>
      </c>
      <c r="L712" s="13">
        <f t="shared" si="41"/>
        <v>1</v>
      </c>
      <c r="M712" s="13">
        <f t="shared" si="42"/>
        <v>3.4750000000000001</v>
      </c>
    </row>
    <row r="713" spans="7:13">
      <c r="G713" s="27">
        <v>41121</v>
      </c>
      <c r="H713" s="26">
        <v>3.55</v>
      </c>
      <c r="I713" s="26">
        <v>0.7</v>
      </c>
      <c r="J713" s="26">
        <v>3.4750000000000001</v>
      </c>
      <c r="K713" s="13">
        <f t="shared" si="40"/>
        <v>72.814999999999969</v>
      </c>
      <c r="L713" s="13">
        <f t="shared" si="41"/>
        <v>21</v>
      </c>
      <c r="M713" s="13">
        <f t="shared" si="42"/>
        <v>3.4673809523809509</v>
      </c>
    </row>
    <row r="714" spans="7:13">
      <c r="G714" s="27">
        <v>41120</v>
      </c>
      <c r="H714" s="26">
        <v>3.55</v>
      </c>
      <c r="I714" s="26">
        <v>0.7</v>
      </c>
      <c r="J714" s="26">
        <v>3.4750000000000001</v>
      </c>
      <c r="K714" s="13">
        <f t="shared" si="40"/>
        <v>69.339999999999975</v>
      </c>
      <c r="L714" s="13">
        <f t="shared" si="41"/>
        <v>20</v>
      </c>
      <c r="M714" s="13">
        <f t="shared" si="42"/>
        <v>3.4669999999999987</v>
      </c>
    </row>
    <row r="715" spans="7:13">
      <c r="G715" s="27">
        <v>41117</v>
      </c>
      <c r="H715" s="26">
        <v>3.55</v>
      </c>
      <c r="I715" s="26">
        <v>0.7</v>
      </c>
      <c r="J715" s="26">
        <v>3.4750000000000001</v>
      </c>
      <c r="K715" s="13">
        <f t="shared" si="40"/>
        <v>65.864999999999981</v>
      </c>
      <c r="L715" s="13">
        <f t="shared" si="41"/>
        <v>19</v>
      </c>
      <c r="M715" s="13">
        <f t="shared" si="42"/>
        <v>3.4665789473684199</v>
      </c>
    </row>
    <row r="716" spans="7:13">
      <c r="G716" s="27">
        <v>41116</v>
      </c>
      <c r="H716" s="26">
        <v>3.55</v>
      </c>
      <c r="I716" s="26">
        <v>0.7</v>
      </c>
      <c r="J716" s="26">
        <v>3.4750000000000001</v>
      </c>
      <c r="K716" s="13">
        <f t="shared" si="40"/>
        <v>62.389999999999986</v>
      </c>
      <c r="L716" s="13">
        <f t="shared" si="41"/>
        <v>18</v>
      </c>
      <c r="M716" s="13">
        <f t="shared" si="42"/>
        <v>3.4661111111111103</v>
      </c>
    </row>
    <row r="717" spans="7:13">
      <c r="G717" s="27">
        <v>41115</v>
      </c>
      <c r="H717" s="26">
        <v>3.49</v>
      </c>
      <c r="I717" s="26">
        <v>0.7</v>
      </c>
      <c r="J717" s="26">
        <v>3.415</v>
      </c>
      <c r="K717" s="13">
        <f t="shared" si="40"/>
        <v>58.914999999999985</v>
      </c>
      <c r="L717" s="13">
        <f t="shared" si="41"/>
        <v>17</v>
      </c>
      <c r="M717" s="13">
        <f t="shared" si="42"/>
        <v>3.465588235294117</v>
      </c>
    </row>
    <row r="718" spans="7:13">
      <c r="G718" s="27">
        <v>41114</v>
      </c>
      <c r="H718" s="26">
        <v>3.49</v>
      </c>
      <c r="I718" s="26">
        <v>0.7</v>
      </c>
      <c r="J718" s="26">
        <v>3.415</v>
      </c>
      <c r="K718" s="13">
        <f t="shared" si="40"/>
        <v>55.499999999999986</v>
      </c>
      <c r="L718" s="13">
        <f t="shared" si="41"/>
        <v>16</v>
      </c>
      <c r="M718" s="13">
        <f t="shared" si="42"/>
        <v>3.4687499999999991</v>
      </c>
    </row>
    <row r="719" spans="7:13">
      <c r="G719" s="27">
        <v>41113</v>
      </c>
      <c r="H719" s="26">
        <v>3.49</v>
      </c>
      <c r="I719" s="26">
        <v>0.7</v>
      </c>
      <c r="J719" s="26">
        <v>3.415</v>
      </c>
      <c r="K719" s="13">
        <f t="shared" si="40"/>
        <v>52.084999999999987</v>
      </c>
      <c r="L719" s="13">
        <f t="shared" si="41"/>
        <v>15</v>
      </c>
      <c r="M719" s="13">
        <f t="shared" si="42"/>
        <v>3.4723333333333324</v>
      </c>
    </row>
    <row r="720" spans="7:13">
      <c r="G720" s="27">
        <v>41110</v>
      </c>
      <c r="H720" s="26">
        <v>3.49</v>
      </c>
      <c r="I720" s="26">
        <v>0.7</v>
      </c>
      <c r="J720" s="26">
        <v>3.415</v>
      </c>
      <c r="K720" s="13">
        <f t="shared" si="40"/>
        <v>48.669999999999987</v>
      </c>
      <c r="L720" s="13">
        <f t="shared" si="41"/>
        <v>14</v>
      </c>
      <c r="M720" s="13">
        <f t="shared" si="42"/>
        <v>3.4764285714285705</v>
      </c>
    </row>
    <row r="721" spans="7:13">
      <c r="G721" s="27">
        <v>41109</v>
      </c>
      <c r="H721" s="26">
        <v>3.49</v>
      </c>
      <c r="I721" s="26">
        <v>0.7</v>
      </c>
      <c r="J721" s="26">
        <v>3.415</v>
      </c>
      <c r="K721" s="13">
        <f t="shared" si="40"/>
        <v>45.254999999999988</v>
      </c>
      <c r="L721" s="13">
        <f t="shared" si="41"/>
        <v>13</v>
      </c>
      <c r="M721" s="13">
        <f t="shared" si="42"/>
        <v>3.4811538461538452</v>
      </c>
    </row>
    <row r="722" spans="7:13">
      <c r="G722" s="27">
        <v>41108</v>
      </c>
      <c r="H722" s="26">
        <v>3.53</v>
      </c>
      <c r="I722" s="26">
        <v>0.7</v>
      </c>
      <c r="J722" s="26">
        <v>3.4550000000000001</v>
      </c>
      <c r="K722" s="13">
        <f t="shared" si="40"/>
        <v>41.839999999999989</v>
      </c>
      <c r="L722" s="13">
        <f t="shared" si="41"/>
        <v>12</v>
      </c>
      <c r="M722" s="13">
        <f t="shared" si="42"/>
        <v>3.4866666666666659</v>
      </c>
    </row>
    <row r="723" spans="7:13">
      <c r="G723" s="27">
        <v>41107</v>
      </c>
      <c r="H723" s="26">
        <v>3.53</v>
      </c>
      <c r="I723" s="26">
        <v>0.7</v>
      </c>
      <c r="J723" s="26">
        <v>3.4550000000000001</v>
      </c>
      <c r="K723" s="13">
        <f t="shared" si="40"/>
        <v>38.384999999999991</v>
      </c>
      <c r="L723" s="13">
        <f t="shared" si="41"/>
        <v>11</v>
      </c>
      <c r="M723" s="13">
        <f t="shared" si="42"/>
        <v>3.4895454545454538</v>
      </c>
    </row>
    <row r="724" spans="7:13">
      <c r="G724" s="27">
        <v>41106</v>
      </c>
      <c r="H724" s="26">
        <v>3.53</v>
      </c>
      <c r="I724" s="26">
        <v>0.7</v>
      </c>
      <c r="J724" s="26">
        <v>3.4550000000000001</v>
      </c>
      <c r="K724" s="13">
        <f t="shared" si="40"/>
        <v>34.929999999999993</v>
      </c>
      <c r="L724" s="13">
        <f t="shared" si="41"/>
        <v>10</v>
      </c>
      <c r="M724" s="13">
        <f t="shared" si="42"/>
        <v>3.4929999999999994</v>
      </c>
    </row>
    <row r="725" spans="7:13">
      <c r="G725" s="27">
        <v>41103</v>
      </c>
      <c r="H725" s="26">
        <v>3.53</v>
      </c>
      <c r="I725" s="26">
        <v>0.7</v>
      </c>
      <c r="J725" s="26">
        <v>3.4550000000000001</v>
      </c>
      <c r="K725" s="13">
        <f t="shared" si="40"/>
        <v>31.474999999999994</v>
      </c>
      <c r="L725" s="13">
        <f t="shared" si="41"/>
        <v>9</v>
      </c>
      <c r="M725" s="13">
        <f t="shared" si="42"/>
        <v>3.4972222222222218</v>
      </c>
    </row>
    <row r="726" spans="7:13">
      <c r="G726" s="27">
        <v>41102</v>
      </c>
      <c r="H726" s="26">
        <v>3.53</v>
      </c>
      <c r="I726" s="26">
        <v>0.7</v>
      </c>
      <c r="J726" s="26">
        <v>3.4550000000000001</v>
      </c>
      <c r="K726" s="13">
        <f t="shared" si="40"/>
        <v>28.019999999999996</v>
      </c>
      <c r="L726" s="13">
        <f t="shared" si="41"/>
        <v>8</v>
      </c>
      <c r="M726" s="13">
        <f t="shared" si="42"/>
        <v>3.5024999999999995</v>
      </c>
    </row>
    <row r="727" spans="7:13">
      <c r="G727" s="27">
        <v>41101</v>
      </c>
      <c r="H727" s="26">
        <v>3.56</v>
      </c>
      <c r="I727" s="26">
        <v>0.7</v>
      </c>
      <c r="J727" s="26">
        <v>3.4849999999999999</v>
      </c>
      <c r="K727" s="13">
        <f t="shared" si="40"/>
        <v>24.564999999999998</v>
      </c>
      <c r="L727" s="13">
        <f t="shared" si="41"/>
        <v>7</v>
      </c>
      <c r="M727" s="13">
        <f t="shared" si="42"/>
        <v>3.5092857142857139</v>
      </c>
    </row>
    <row r="728" spans="7:13">
      <c r="G728" s="27">
        <v>41100</v>
      </c>
      <c r="H728" s="26">
        <v>3.56</v>
      </c>
      <c r="I728" s="26">
        <v>0.7</v>
      </c>
      <c r="J728" s="26">
        <v>3.4849999999999999</v>
      </c>
      <c r="K728" s="13">
        <f t="shared" si="40"/>
        <v>21.08</v>
      </c>
      <c r="L728" s="13">
        <f t="shared" si="41"/>
        <v>6</v>
      </c>
      <c r="M728" s="13">
        <f t="shared" si="42"/>
        <v>3.5133333333333332</v>
      </c>
    </row>
    <row r="729" spans="7:13">
      <c r="G729" s="27">
        <v>41099</v>
      </c>
      <c r="H729" s="26">
        <v>3.56</v>
      </c>
      <c r="I729" s="26">
        <v>0.7</v>
      </c>
      <c r="J729" s="26">
        <v>3.4849999999999999</v>
      </c>
      <c r="K729" s="13">
        <f t="shared" si="40"/>
        <v>17.594999999999999</v>
      </c>
      <c r="L729" s="13">
        <f t="shared" si="41"/>
        <v>5</v>
      </c>
      <c r="M729" s="13">
        <f t="shared" si="42"/>
        <v>3.5189999999999997</v>
      </c>
    </row>
    <row r="730" spans="7:13">
      <c r="G730" s="27">
        <v>41096</v>
      </c>
      <c r="H730" s="26">
        <v>3.56</v>
      </c>
      <c r="I730" s="26">
        <v>0.7</v>
      </c>
      <c r="J730" s="26">
        <v>3.4849999999999999</v>
      </c>
      <c r="K730" s="13">
        <f t="shared" si="40"/>
        <v>14.11</v>
      </c>
      <c r="L730" s="13">
        <f t="shared" si="41"/>
        <v>4</v>
      </c>
      <c r="M730" s="13">
        <f t="shared" si="42"/>
        <v>3.5274999999999999</v>
      </c>
    </row>
    <row r="731" spans="7:13">
      <c r="G731" s="27">
        <v>41095</v>
      </c>
      <c r="H731" s="26">
        <v>3.56</v>
      </c>
      <c r="I731" s="26">
        <v>0.7</v>
      </c>
      <c r="J731" s="26">
        <v>3.4849999999999999</v>
      </c>
      <c r="K731" s="13">
        <f t="shared" si="40"/>
        <v>10.625</v>
      </c>
      <c r="L731" s="13">
        <f t="shared" si="41"/>
        <v>3</v>
      </c>
      <c r="M731" s="13">
        <f t="shared" si="42"/>
        <v>3.5416666666666665</v>
      </c>
    </row>
    <row r="732" spans="7:13">
      <c r="G732" s="27">
        <v>41093</v>
      </c>
      <c r="H732" s="26">
        <v>3.62</v>
      </c>
      <c r="I732" s="26">
        <v>0.8</v>
      </c>
      <c r="J732" s="26">
        <v>3.57</v>
      </c>
      <c r="K732" s="13">
        <f t="shared" si="40"/>
        <v>7.14</v>
      </c>
      <c r="L732" s="13">
        <f t="shared" si="41"/>
        <v>2</v>
      </c>
      <c r="M732" s="13">
        <f t="shared" si="42"/>
        <v>3.57</v>
      </c>
    </row>
    <row r="733" spans="7:13">
      <c r="G733" s="27">
        <v>41092</v>
      </c>
      <c r="H733" s="26">
        <v>3.62</v>
      </c>
      <c r="I733" s="26">
        <v>0.8</v>
      </c>
      <c r="J733" s="26">
        <v>3.57</v>
      </c>
      <c r="K733" s="13">
        <f t="shared" si="40"/>
        <v>3.57</v>
      </c>
      <c r="L733" s="13">
        <f t="shared" si="41"/>
        <v>1</v>
      </c>
      <c r="M733" s="13">
        <f t="shared" si="42"/>
        <v>3.57</v>
      </c>
    </row>
    <row r="734" spans="7:13">
      <c r="G734" s="27">
        <v>41089</v>
      </c>
      <c r="H734" s="26">
        <v>3.62</v>
      </c>
      <c r="I734" s="26">
        <v>0.8</v>
      </c>
      <c r="J734" s="26">
        <v>3.57</v>
      </c>
      <c r="K734" s="13">
        <f t="shared" si="40"/>
        <v>75.544999999999973</v>
      </c>
      <c r="L734" s="13">
        <f t="shared" si="41"/>
        <v>21</v>
      </c>
      <c r="M734" s="13">
        <f t="shared" si="42"/>
        <v>3.5973809523809512</v>
      </c>
    </row>
    <row r="735" spans="7:13">
      <c r="G735" s="27">
        <v>41088</v>
      </c>
      <c r="H735" s="26">
        <v>3.62</v>
      </c>
      <c r="I735" s="26">
        <v>0.8</v>
      </c>
      <c r="J735" s="26">
        <v>3.57</v>
      </c>
      <c r="K735" s="13">
        <f t="shared" si="40"/>
        <v>71.97499999999998</v>
      </c>
      <c r="L735" s="13">
        <f t="shared" si="41"/>
        <v>20</v>
      </c>
      <c r="M735" s="13">
        <f t="shared" si="42"/>
        <v>3.598749999999999</v>
      </c>
    </row>
    <row r="736" spans="7:13">
      <c r="G736" s="27">
        <v>41087</v>
      </c>
      <c r="H736" s="26">
        <v>3.66</v>
      </c>
      <c r="I736" s="26">
        <v>0.7</v>
      </c>
      <c r="J736" s="26">
        <v>3.585</v>
      </c>
      <c r="K736" s="13">
        <f t="shared" si="40"/>
        <v>68.404999999999987</v>
      </c>
      <c r="L736" s="13">
        <f t="shared" si="41"/>
        <v>19</v>
      </c>
      <c r="M736" s="13">
        <f t="shared" si="42"/>
        <v>3.6002631578947359</v>
      </c>
    </row>
    <row r="737" spans="7:13">
      <c r="G737" s="27">
        <v>41086</v>
      </c>
      <c r="H737" s="26">
        <v>3.66</v>
      </c>
      <c r="I737" s="26">
        <v>0.7</v>
      </c>
      <c r="J737" s="26">
        <v>3.585</v>
      </c>
      <c r="K737" s="13">
        <f t="shared" si="40"/>
        <v>64.819999999999993</v>
      </c>
      <c r="L737" s="13">
        <f t="shared" si="41"/>
        <v>18</v>
      </c>
      <c r="M737" s="13">
        <f t="shared" si="42"/>
        <v>3.6011111111111109</v>
      </c>
    </row>
    <row r="738" spans="7:13">
      <c r="G738" s="27">
        <v>41085</v>
      </c>
      <c r="H738" s="26">
        <v>3.66</v>
      </c>
      <c r="I738" s="26">
        <v>0.7</v>
      </c>
      <c r="J738" s="26">
        <v>3.585</v>
      </c>
      <c r="K738" s="13">
        <f t="shared" si="40"/>
        <v>61.234999999999999</v>
      </c>
      <c r="L738" s="13">
        <f t="shared" si="41"/>
        <v>17</v>
      </c>
      <c r="M738" s="13">
        <f t="shared" si="42"/>
        <v>3.6020588235294118</v>
      </c>
    </row>
    <row r="739" spans="7:13">
      <c r="G739" s="27">
        <v>41082</v>
      </c>
      <c r="H739" s="26">
        <v>3.66</v>
      </c>
      <c r="I739" s="26">
        <v>0.7</v>
      </c>
      <c r="J739" s="26">
        <v>3.585</v>
      </c>
      <c r="K739" s="13">
        <f t="shared" si="40"/>
        <v>57.65</v>
      </c>
      <c r="L739" s="13">
        <f t="shared" si="41"/>
        <v>16</v>
      </c>
      <c r="M739" s="13">
        <f t="shared" si="42"/>
        <v>3.6031249999999999</v>
      </c>
    </row>
    <row r="740" spans="7:13">
      <c r="G740" s="27">
        <v>41081</v>
      </c>
      <c r="H740" s="26">
        <v>3.66</v>
      </c>
      <c r="I740" s="26">
        <v>0.7</v>
      </c>
      <c r="J740" s="26">
        <v>3.585</v>
      </c>
      <c r="K740" s="13">
        <f t="shared" si="40"/>
        <v>54.064999999999998</v>
      </c>
      <c r="L740" s="13">
        <f t="shared" si="41"/>
        <v>15</v>
      </c>
      <c r="M740" s="13">
        <f t="shared" si="42"/>
        <v>3.6043333333333334</v>
      </c>
    </row>
    <row r="741" spans="7:13">
      <c r="G741" s="27">
        <v>41080</v>
      </c>
      <c r="H741" s="26">
        <v>3.66</v>
      </c>
      <c r="I741" s="26">
        <v>0.7</v>
      </c>
      <c r="J741" s="26">
        <v>3.585</v>
      </c>
      <c r="K741" s="13">
        <f t="shared" si="40"/>
        <v>50.48</v>
      </c>
      <c r="L741" s="13">
        <f t="shared" si="41"/>
        <v>14</v>
      </c>
      <c r="M741" s="13">
        <f t="shared" si="42"/>
        <v>3.6057142857142854</v>
      </c>
    </row>
    <row r="742" spans="7:13">
      <c r="G742" s="27">
        <v>41079</v>
      </c>
      <c r="H742" s="26">
        <v>3.66</v>
      </c>
      <c r="I742" s="26">
        <v>0.7</v>
      </c>
      <c r="J742" s="26">
        <v>3.585</v>
      </c>
      <c r="K742" s="13">
        <f t="shared" si="40"/>
        <v>46.894999999999996</v>
      </c>
      <c r="L742" s="13">
        <f t="shared" si="41"/>
        <v>13</v>
      </c>
      <c r="M742" s="13">
        <f t="shared" si="42"/>
        <v>3.6073076923076921</v>
      </c>
    </row>
    <row r="743" spans="7:13">
      <c r="G743" s="27">
        <v>41078</v>
      </c>
      <c r="H743" s="26">
        <v>3.66</v>
      </c>
      <c r="I743" s="26">
        <v>0.7</v>
      </c>
      <c r="J743" s="26">
        <v>3.585</v>
      </c>
      <c r="K743" s="13">
        <f t="shared" si="40"/>
        <v>43.309999999999995</v>
      </c>
      <c r="L743" s="13">
        <f t="shared" si="41"/>
        <v>12</v>
      </c>
      <c r="M743" s="13">
        <f t="shared" si="42"/>
        <v>3.6091666666666664</v>
      </c>
    </row>
    <row r="744" spans="7:13">
      <c r="G744" s="27">
        <v>41075</v>
      </c>
      <c r="H744" s="26">
        <v>3.66</v>
      </c>
      <c r="I744" s="26">
        <v>0.7</v>
      </c>
      <c r="J744" s="26">
        <v>3.585</v>
      </c>
      <c r="K744" s="13">
        <f t="shared" si="40"/>
        <v>39.724999999999994</v>
      </c>
      <c r="L744" s="13">
        <f t="shared" si="41"/>
        <v>11</v>
      </c>
      <c r="M744" s="13">
        <f t="shared" si="42"/>
        <v>3.6113636363636359</v>
      </c>
    </row>
    <row r="745" spans="7:13">
      <c r="G745" s="27">
        <v>41074</v>
      </c>
      <c r="H745" s="26">
        <v>3.66</v>
      </c>
      <c r="I745" s="26">
        <v>0.7</v>
      </c>
      <c r="J745" s="26">
        <v>3.585</v>
      </c>
      <c r="K745" s="13">
        <f t="shared" si="40"/>
        <v>36.139999999999993</v>
      </c>
      <c r="L745" s="13">
        <f t="shared" si="41"/>
        <v>10</v>
      </c>
      <c r="M745" s="13">
        <f t="shared" si="42"/>
        <v>3.6139999999999994</v>
      </c>
    </row>
    <row r="746" spans="7:13">
      <c r="G746" s="27">
        <v>41073</v>
      </c>
      <c r="H746" s="26">
        <v>3.71</v>
      </c>
      <c r="I746" s="26">
        <v>0.7</v>
      </c>
      <c r="J746" s="26">
        <v>3.6349999999999998</v>
      </c>
      <c r="K746" s="13">
        <f t="shared" si="40"/>
        <v>32.554999999999993</v>
      </c>
      <c r="L746" s="13">
        <f t="shared" si="41"/>
        <v>9</v>
      </c>
      <c r="M746" s="13">
        <f t="shared" si="42"/>
        <v>3.6172222222222215</v>
      </c>
    </row>
    <row r="747" spans="7:13">
      <c r="G747" s="27">
        <v>41072</v>
      </c>
      <c r="H747" s="26">
        <v>3.71</v>
      </c>
      <c r="I747" s="26">
        <v>0.7</v>
      </c>
      <c r="J747" s="26">
        <v>3.6349999999999998</v>
      </c>
      <c r="K747" s="13">
        <f t="shared" si="40"/>
        <v>28.919999999999995</v>
      </c>
      <c r="L747" s="13">
        <f t="shared" si="41"/>
        <v>8</v>
      </c>
      <c r="M747" s="13">
        <f t="shared" si="42"/>
        <v>3.6149999999999993</v>
      </c>
    </row>
    <row r="748" spans="7:13">
      <c r="G748" s="27">
        <v>41071</v>
      </c>
      <c r="H748" s="26">
        <v>3.71</v>
      </c>
      <c r="I748" s="26">
        <v>0.7</v>
      </c>
      <c r="J748" s="26">
        <v>3.6349999999999998</v>
      </c>
      <c r="K748" s="13">
        <f t="shared" si="40"/>
        <v>25.284999999999997</v>
      </c>
      <c r="L748" s="13">
        <f t="shared" si="41"/>
        <v>7</v>
      </c>
      <c r="M748" s="13">
        <f t="shared" si="42"/>
        <v>3.6121428571428567</v>
      </c>
    </row>
    <row r="749" spans="7:13">
      <c r="G749" s="27">
        <v>41068</v>
      </c>
      <c r="H749" s="26">
        <v>3.71</v>
      </c>
      <c r="I749" s="26">
        <v>0.7</v>
      </c>
      <c r="J749" s="26">
        <v>3.6349999999999998</v>
      </c>
      <c r="K749" s="13">
        <f t="shared" si="40"/>
        <v>21.65</v>
      </c>
      <c r="L749" s="13">
        <f t="shared" si="41"/>
        <v>6</v>
      </c>
      <c r="M749" s="13">
        <f t="shared" si="42"/>
        <v>3.6083333333333329</v>
      </c>
    </row>
    <row r="750" spans="7:13">
      <c r="G750" s="27">
        <v>41067</v>
      </c>
      <c r="H750" s="26">
        <v>3.71</v>
      </c>
      <c r="I750" s="26">
        <v>0.7</v>
      </c>
      <c r="J750" s="26">
        <v>3.6349999999999998</v>
      </c>
      <c r="K750" s="13">
        <f t="shared" si="40"/>
        <v>18.015000000000001</v>
      </c>
      <c r="L750" s="13">
        <f t="shared" si="41"/>
        <v>5</v>
      </c>
      <c r="M750" s="13">
        <f t="shared" si="42"/>
        <v>3.6030000000000002</v>
      </c>
    </row>
    <row r="751" spans="7:13">
      <c r="G751" s="27">
        <v>41066</v>
      </c>
      <c r="H751" s="26">
        <v>3.67</v>
      </c>
      <c r="I751" s="26">
        <v>0.7</v>
      </c>
      <c r="J751" s="26">
        <v>3.5950000000000002</v>
      </c>
      <c r="K751" s="13">
        <f t="shared" si="40"/>
        <v>14.38</v>
      </c>
      <c r="L751" s="13">
        <f t="shared" si="41"/>
        <v>4</v>
      </c>
      <c r="M751" s="13">
        <f t="shared" si="42"/>
        <v>3.5950000000000002</v>
      </c>
    </row>
    <row r="752" spans="7:13">
      <c r="G752" s="27">
        <v>41065</v>
      </c>
      <c r="H752" s="26">
        <v>3.67</v>
      </c>
      <c r="I752" s="26">
        <v>0.7</v>
      </c>
      <c r="J752" s="26">
        <v>3.5950000000000002</v>
      </c>
      <c r="K752" s="13">
        <f t="shared" si="40"/>
        <v>10.785</v>
      </c>
      <c r="L752" s="13">
        <f t="shared" si="41"/>
        <v>3</v>
      </c>
      <c r="M752" s="13">
        <f t="shared" si="42"/>
        <v>3.5950000000000002</v>
      </c>
    </row>
    <row r="753" spans="7:13">
      <c r="G753" s="27">
        <v>41064</v>
      </c>
      <c r="H753" s="26">
        <v>3.67</v>
      </c>
      <c r="I753" s="26">
        <v>0.7</v>
      </c>
      <c r="J753" s="26">
        <v>3.5950000000000002</v>
      </c>
      <c r="K753" s="13">
        <f t="shared" si="40"/>
        <v>7.19</v>
      </c>
      <c r="L753" s="13">
        <f t="shared" si="41"/>
        <v>2</v>
      </c>
      <c r="M753" s="13">
        <f t="shared" si="42"/>
        <v>3.5950000000000002</v>
      </c>
    </row>
    <row r="754" spans="7:13">
      <c r="G754" s="27">
        <v>41061</v>
      </c>
      <c r="H754" s="26">
        <v>3.67</v>
      </c>
      <c r="I754" s="26">
        <v>0.7</v>
      </c>
      <c r="J754" s="26">
        <v>3.5950000000000002</v>
      </c>
      <c r="K754" s="13">
        <f t="shared" si="40"/>
        <v>3.5950000000000002</v>
      </c>
      <c r="L754" s="13">
        <f t="shared" si="41"/>
        <v>1</v>
      </c>
      <c r="M754" s="13">
        <f t="shared" si="42"/>
        <v>3.5950000000000002</v>
      </c>
    </row>
    <row r="755" spans="7:13">
      <c r="G755" s="27">
        <v>41060</v>
      </c>
      <c r="H755" s="26">
        <v>3.67</v>
      </c>
      <c r="I755" s="26">
        <v>0.7</v>
      </c>
      <c r="J755" s="26">
        <v>3.5950000000000002</v>
      </c>
      <c r="K755" s="13">
        <f t="shared" si="40"/>
        <v>81.974999999999994</v>
      </c>
      <c r="L755" s="13">
        <f t="shared" si="41"/>
        <v>22</v>
      </c>
      <c r="M755" s="13">
        <f t="shared" si="42"/>
        <v>3.7261363636363636</v>
      </c>
    </row>
    <row r="756" spans="7:13">
      <c r="G756" s="27">
        <v>41059</v>
      </c>
      <c r="H756" s="26">
        <v>3.75</v>
      </c>
      <c r="I756" s="26">
        <v>0.8</v>
      </c>
      <c r="J756" s="26">
        <v>3.7</v>
      </c>
      <c r="K756" s="13">
        <f t="shared" si="40"/>
        <v>78.38</v>
      </c>
      <c r="L756" s="13">
        <f t="shared" si="41"/>
        <v>21</v>
      </c>
      <c r="M756" s="13">
        <f t="shared" si="42"/>
        <v>3.7323809523809524</v>
      </c>
    </row>
    <row r="757" spans="7:13">
      <c r="G757" s="27">
        <v>41058</v>
      </c>
      <c r="H757" s="26">
        <v>3.75</v>
      </c>
      <c r="I757" s="26">
        <v>0.8</v>
      </c>
      <c r="J757" s="26">
        <v>3.7</v>
      </c>
      <c r="K757" s="13">
        <f t="shared" si="40"/>
        <v>74.679999999999993</v>
      </c>
      <c r="L757" s="13">
        <f t="shared" si="41"/>
        <v>20</v>
      </c>
      <c r="M757" s="13">
        <f t="shared" si="42"/>
        <v>3.7339999999999995</v>
      </c>
    </row>
    <row r="758" spans="7:13">
      <c r="G758" s="27">
        <v>41054</v>
      </c>
      <c r="H758" s="26">
        <v>3.75</v>
      </c>
      <c r="I758" s="26">
        <v>0.8</v>
      </c>
      <c r="J758" s="26">
        <v>3.7</v>
      </c>
      <c r="K758" s="13">
        <f t="shared" si="40"/>
        <v>70.97999999999999</v>
      </c>
      <c r="L758" s="13">
        <f t="shared" si="41"/>
        <v>19</v>
      </c>
      <c r="M758" s="13">
        <f t="shared" si="42"/>
        <v>3.7357894736842101</v>
      </c>
    </row>
    <row r="759" spans="7:13">
      <c r="G759" s="27">
        <v>41053</v>
      </c>
      <c r="H759" s="26">
        <v>3.75</v>
      </c>
      <c r="I759" s="26">
        <v>0.8</v>
      </c>
      <c r="J759" s="26">
        <v>3.7</v>
      </c>
      <c r="K759" s="13">
        <f t="shared" si="40"/>
        <v>67.279999999999987</v>
      </c>
      <c r="L759" s="13">
        <f t="shared" si="41"/>
        <v>18</v>
      </c>
      <c r="M759" s="13">
        <f t="shared" si="42"/>
        <v>3.7377777777777772</v>
      </c>
    </row>
    <row r="760" spans="7:13">
      <c r="G760" s="27">
        <v>41052</v>
      </c>
      <c r="H760" s="26">
        <v>3.78</v>
      </c>
      <c r="I760" s="26">
        <v>0.8</v>
      </c>
      <c r="J760" s="26">
        <v>3.73</v>
      </c>
      <c r="K760" s="13">
        <f t="shared" si="40"/>
        <v>63.579999999999991</v>
      </c>
      <c r="L760" s="13">
        <f t="shared" si="41"/>
        <v>17</v>
      </c>
      <c r="M760" s="13">
        <f t="shared" si="42"/>
        <v>3.7399999999999993</v>
      </c>
    </row>
    <row r="761" spans="7:13">
      <c r="G761" s="27">
        <v>41051</v>
      </c>
      <c r="H761" s="26">
        <v>3.78</v>
      </c>
      <c r="I761" s="26">
        <v>0.8</v>
      </c>
      <c r="J761" s="26">
        <v>3.73</v>
      </c>
      <c r="K761" s="13">
        <f t="shared" si="40"/>
        <v>59.849999999999994</v>
      </c>
      <c r="L761" s="13">
        <f t="shared" si="41"/>
        <v>16</v>
      </c>
      <c r="M761" s="13">
        <f t="shared" si="42"/>
        <v>3.7406249999999996</v>
      </c>
    </row>
    <row r="762" spans="7:13">
      <c r="G762" s="27">
        <v>41050</v>
      </c>
      <c r="H762" s="26">
        <v>3.78</v>
      </c>
      <c r="I762" s="26">
        <v>0.8</v>
      </c>
      <c r="J762" s="26">
        <v>3.73</v>
      </c>
      <c r="K762" s="13">
        <f t="shared" si="40"/>
        <v>56.12</v>
      </c>
      <c r="L762" s="13">
        <f t="shared" si="41"/>
        <v>15</v>
      </c>
      <c r="M762" s="13">
        <f t="shared" si="42"/>
        <v>3.741333333333333</v>
      </c>
    </row>
    <row r="763" spans="7:13">
      <c r="G763" s="27">
        <v>41047</v>
      </c>
      <c r="H763" s="26">
        <v>3.78</v>
      </c>
      <c r="I763" s="26">
        <v>0.8</v>
      </c>
      <c r="J763" s="26">
        <v>3.73</v>
      </c>
      <c r="K763" s="13">
        <f t="shared" si="40"/>
        <v>52.39</v>
      </c>
      <c r="L763" s="13">
        <f t="shared" si="41"/>
        <v>14</v>
      </c>
      <c r="M763" s="13">
        <f t="shared" si="42"/>
        <v>3.742142857142857</v>
      </c>
    </row>
    <row r="764" spans="7:13">
      <c r="G764" s="27">
        <v>41046</v>
      </c>
      <c r="H764" s="26">
        <v>3.78</v>
      </c>
      <c r="I764" s="26">
        <v>0.8</v>
      </c>
      <c r="J764" s="26">
        <v>3.73</v>
      </c>
      <c r="K764" s="13">
        <f t="shared" si="40"/>
        <v>48.660000000000004</v>
      </c>
      <c r="L764" s="13">
        <f t="shared" si="41"/>
        <v>13</v>
      </c>
      <c r="M764" s="13">
        <f t="shared" si="42"/>
        <v>3.7430769230769232</v>
      </c>
    </row>
    <row r="765" spans="7:13">
      <c r="G765" s="27">
        <v>41045</v>
      </c>
      <c r="H765" s="26">
        <v>3.79</v>
      </c>
      <c r="I765" s="26">
        <v>0.7</v>
      </c>
      <c r="J765" s="26">
        <v>3.7149999999999999</v>
      </c>
      <c r="K765" s="13">
        <f t="shared" si="40"/>
        <v>44.930000000000007</v>
      </c>
      <c r="L765" s="13">
        <f t="shared" si="41"/>
        <v>12</v>
      </c>
      <c r="M765" s="13">
        <f t="shared" si="42"/>
        <v>3.7441666666666671</v>
      </c>
    </row>
    <row r="766" spans="7:13">
      <c r="G766" s="27">
        <v>41044</v>
      </c>
      <c r="H766" s="26">
        <v>3.79</v>
      </c>
      <c r="I766" s="26">
        <v>0.7</v>
      </c>
      <c r="J766" s="26">
        <v>3.7149999999999999</v>
      </c>
      <c r="K766" s="13">
        <f t="shared" si="40"/>
        <v>41.215000000000003</v>
      </c>
      <c r="L766" s="13">
        <f t="shared" si="41"/>
        <v>11</v>
      </c>
      <c r="M766" s="13">
        <f t="shared" si="42"/>
        <v>3.746818181818182</v>
      </c>
    </row>
    <row r="767" spans="7:13">
      <c r="G767" s="27">
        <v>41043</v>
      </c>
      <c r="H767" s="26">
        <v>3.79</v>
      </c>
      <c r="I767" s="26">
        <v>0.7</v>
      </c>
      <c r="J767" s="26">
        <v>3.7149999999999999</v>
      </c>
      <c r="K767" s="13">
        <f t="shared" si="40"/>
        <v>37.5</v>
      </c>
      <c r="L767" s="13">
        <f t="shared" si="41"/>
        <v>10</v>
      </c>
      <c r="M767" s="13">
        <f t="shared" si="42"/>
        <v>3.75</v>
      </c>
    </row>
    <row r="768" spans="7:13">
      <c r="G768" s="27">
        <v>41040</v>
      </c>
      <c r="H768" s="26">
        <v>3.79</v>
      </c>
      <c r="I768" s="26">
        <v>0.7</v>
      </c>
      <c r="J768" s="26">
        <v>3.7149999999999999</v>
      </c>
      <c r="K768" s="13">
        <f t="shared" si="40"/>
        <v>33.784999999999997</v>
      </c>
      <c r="L768" s="13">
        <f t="shared" si="41"/>
        <v>9</v>
      </c>
      <c r="M768" s="13">
        <f t="shared" si="42"/>
        <v>3.7538888888888886</v>
      </c>
    </row>
    <row r="769" spans="7:13">
      <c r="G769" s="27">
        <v>41039</v>
      </c>
      <c r="H769" s="26">
        <v>3.79</v>
      </c>
      <c r="I769" s="26">
        <v>0.7</v>
      </c>
      <c r="J769" s="26">
        <v>3.7149999999999999</v>
      </c>
      <c r="K769" s="13">
        <f t="shared" si="40"/>
        <v>30.069999999999997</v>
      </c>
      <c r="L769" s="13">
        <f t="shared" si="41"/>
        <v>8</v>
      </c>
      <c r="M769" s="13">
        <f t="shared" si="42"/>
        <v>3.7587499999999996</v>
      </c>
    </row>
    <row r="770" spans="7:13">
      <c r="G770" s="27">
        <v>41038</v>
      </c>
      <c r="H770" s="26">
        <v>3.83</v>
      </c>
      <c r="I770" s="26">
        <v>0.7</v>
      </c>
      <c r="J770" s="26">
        <v>3.7549999999999999</v>
      </c>
      <c r="K770" s="13">
        <f t="shared" si="40"/>
        <v>26.354999999999997</v>
      </c>
      <c r="L770" s="13">
        <f t="shared" si="41"/>
        <v>7</v>
      </c>
      <c r="M770" s="13">
        <f t="shared" si="42"/>
        <v>3.7649999999999997</v>
      </c>
    </row>
    <row r="771" spans="7:13">
      <c r="G771" s="27">
        <v>41037</v>
      </c>
      <c r="H771" s="26">
        <v>3.83</v>
      </c>
      <c r="I771" s="26">
        <v>0.7</v>
      </c>
      <c r="J771" s="26">
        <v>3.7549999999999999</v>
      </c>
      <c r="K771" s="13">
        <f t="shared" si="40"/>
        <v>22.599999999999998</v>
      </c>
      <c r="L771" s="13">
        <f t="shared" si="41"/>
        <v>6</v>
      </c>
      <c r="M771" s="13">
        <f t="shared" si="42"/>
        <v>3.7666666666666662</v>
      </c>
    </row>
    <row r="772" spans="7:13">
      <c r="G772" s="27">
        <v>41036</v>
      </c>
      <c r="H772" s="26">
        <v>3.83</v>
      </c>
      <c r="I772" s="26">
        <v>0.7</v>
      </c>
      <c r="J772" s="26">
        <v>3.7549999999999999</v>
      </c>
      <c r="K772" s="13">
        <f t="shared" ref="K772:K835" si="43">IF(MONTH(G772)=MONTH(G773),J772+K773,J772)</f>
        <v>18.844999999999999</v>
      </c>
      <c r="L772" s="13">
        <f t="shared" ref="L772:L835" si="44">IF(MONTH(G772)=MONTH(G773),L773+1,1)</f>
        <v>5</v>
      </c>
      <c r="M772" s="13">
        <f t="shared" si="42"/>
        <v>3.7689999999999997</v>
      </c>
    </row>
    <row r="773" spans="7:13">
      <c r="G773" s="27">
        <v>41033</v>
      </c>
      <c r="H773" s="26">
        <v>3.83</v>
      </c>
      <c r="I773" s="26">
        <v>0.7</v>
      </c>
      <c r="J773" s="26">
        <v>3.7549999999999999</v>
      </c>
      <c r="K773" s="13">
        <f t="shared" si="43"/>
        <v>15.09</v>
      </c>
      <c r="L773" s="13">
        <f t="shared" si="44"/>
        <v>4</v>
      </c>
      <c r="M773" s="13">
        <f t="shared" ref="M773:M836" si="45">K773/L773</f>
        <v>3.7725</v>
      </c>
    </row>
    <row r="774" spans="7:13">
      <c r="G774" s="27">
        <v>41032</v>
      </c>
      <c r="H774" s="26">
        <v>3.83</v>
      </c>
      <c r="I774" s="26">
        <v>0.7</v>
      </c>
      <c r="J774" s="26">
        <v>3.7549999999999999</v>
      </c>
      <c r="K774" s="13">
        <f t="shared" si="43"/>
        <v>11.335000000000001</v>
      </c>
      <c r="L774" s="13">
        <f t="shared" si="44"/>
        <v>3</v>
      </c>
      <c r="M774" s="13">
        <f t="shared" si="45"/>
        <v>3.7783333333333338</v>
      </c>
    </row>
    <row r="775" spans="7:13">
      <c r="G775" s="27">
        <v>41031</v>
      </c>
      <c r="H775" s="26">
        <v>3.84</v>
      </c>
      <c r="I775" s="26">
        <v>0.8</v>
      </c>
      <c r="J775" s="26">
        <v>3.79</v>
      </c>
      <c r="K775" s="13">
        <f t="shared" si="43"/>
        <v>7.58</v>
      </c>
      <c r="L775" s="13">
        <f t="shared" si="44"/>
        <v>2</v>
      </c>
      <c r="M775" s="13">
        <f t="shared" si="45"/>
        <v>3.79</v>
      </c>
    </row>
    <row r="776" spans="7:13">
      <c r="G776" s="27">
        <v>41030</v>
      </c>
      <c r="H776" s="26">
        <v>3.84</v>
      </c>
      <c r="I776" s="26">
        <v>0.8</v>
      </c>
      <c r="J776" s="26">
        <v>3.79</v>
      </c>
      <c r="K776" s="13">
        <f t="shared" si="43"/>
        <v>3.79</v>
      </c>
      <c r="L776" s="13">
        <f t="shared" si="44"/>
        <v>1</v>
      </c>
      <c r="M776" s="13">
        <f t="shared" si="45"/>
        <v>3.79</v>
      </c>
    </row>
    <row r="777" spans="7:13">
      <c r="G777" s="27">
        <v>41029</v>
      </c>
      <c r="H777" s="26">
        <v>3.84</v>
      </c>
      <c r="I777" s="26">
        <v>0.8</v>
      </c>
      <c r="J777" s="26">
        <v>3.79</v>
      </c>
      <c r="K777" s="13">
        <f t="shared" si="43"/>
        <v>80.385000000000034</v>
      </c>
      <c r="L777" s="13">
        <f t="shared" si="44"/>
        <v>21</v>
      </c>
      <c r="M777" s="13">
        <f t="shared" si="45"/>
        <v>3.8278571428571446</v>
      </c>
    </row>
    <row r="778" spans="7:13">
      <c r="G778" s="27">
        <v>41026</v>
      </c>
      <c r="H778" s="26">
        <v>3.84</v>
      </c>
      <c r="I778" s="26">
        <v>0.8</v>
      </c>
      <c r="J778" s="26">
        <v>3.79</v>
      </c>
      <c r="K778" s="13">
        <f t="shared" si="43"/>
        <v>76.595000000000027</v>
      </c>
      <c r="L778" s="13">
        <f t="shared" si="44"/>
        <v>20</v>
      </c>
      <c r="M778" s="13">
        <f t="shared" si="45"/>
        <v>3.8297500000000015</v>
      </c>
    </row>
    <row r="779" spans="7:13">
      <c r="G779" s="27">
        <v>41025</v>
      </c>
      <c r="H779" s="26">
        <v>3.84</v>
      </c>
      <c r="I779" s="26">
        <v>0.8</v>
      </c>
      <c r="J779" s="26">
        <v>3.79</v>
      </c>
      <c r="K779" s="13">
        <f t="shared" si="43"/>
        <v>72.805000000000021</v>
      </c>
      <c r="L779" s="13">
        <f t="shared" si="44"/>
        <v>19</v>
      </c>
      <c r="M779" s="13">
        <f t="shared" si="45"/>
        <v>3.831842105263159</v>
      </c>
    </row>
    <row r="780" spans="7:13">
      <c r="G780" s="27">
        <v>41024</v>
      </c>
      <c r="H780" s="26">
        <v>3.88</v>
      </c>
      <c r="I780" s="26">
        <v>0.7</v>
      </c>
      <c r="J780" s="26">
        <v>3.8050000000000002</v>
      </c>
      <c r="K780" s="13">
        <f t="shared" si="43"/>
        <v>69.015000000000015</v>
      </c>
      <c r="L780" s="13">
        <f t="shared" si="44"/>
        <v>18</v>
      </c>
      <c r="M780" s="13">
        <f t="shared" si="45"/>
        <v>3.8341666666666674</v>
      </c>
    </row>
    <row r="781" spans="7:13">
      <c r="G781" s="27">
        <v>41023</v>
      </c>
      <c r="H781" s="26">
        <v>3.88</v>
      </c>
      <c r="I781" s="26">
        <v>0.7</v>
      </c>
      <c r="J781" s="26">
        <v>3.8050000000000002</v>
      </c>
      <c r="K781" s="13">
        <f t="shared" si="43"/>
        <v>65.210000000000008</v>
      </c>
      <c r="L781" s="13">
        <f t="shared" si="44"/>
        <v>17</v>
      </c>
      <c r="M781" s="13">
        <f t="shared" si="45"/>
        <v>3.835882352941177</v>
      </c>
    </row>
    <row r="782" spans="7:13">
      <c r="G782" s="27">
        <v>41022</v>
      </c>
      <c r="H782" s="26">
        <v>3.88</v>
      </c>
      <c r="I782" s="26">
        <v>0.7</v>
      </c>
      <c r="J782" s="26">
        <v>3.8050000000000002</v>
      </c>
      <c r="K782" s="13">
        <f t="shared" si="43"/>
        <v>61.405000000000001</v>
      </c>
      <c r="L782" s="13">
        <f t="shared" si="44"/>
        <v>16</v>
      </c>
      <c r="M782" s="13">
        <f t="shared" si="45"/>
        <v>3.8378125000000001</v>
      </c>
    </row>
    <row r="783" spans="7:13">
      <c r="G783" s="27">
        <v>41019</v>
      </c>
      <c r="H783" s="26">
        <v>3.88</v>
      </c>
      <c r="I783" s="26">
        <v>0.7</v>
      </c>
      <c r="J783" s="26">
        <v>3.8050000000000002</v>
      </c>
      <c r="K783" s="13">
        <f t="shared" si="43"/>
        <v>57.6</v>
      </c>
      <c r="L783" s="13">
        <f t="shared" si="44"/>
        <v>15</v>
      </c>
      <c r="M783" s="13">
        <f t="shared" si="45"/>
        <v>3.8400000000000003</v>
      </c>
    </row>
    <row r="784" spans="7:13">
      <c r="G784" s="27">
        <v>41018</v>
      </c>
      <c r="H784" s="26">
        <v>3.88</v>
      </c>
      <c r="I784" s="26">
        <v>0.7</v>
      </c>
      <c r="J784" s="26">
        <v>3.8050000000000002</v>
      </c>
      <c r="K784" s="13">
        <f t="shared" si="43"/>
        <v>53.795000000000002</v>
      </c>
      <c r="L784" s="13">
        <f t="shared" si="44"/>
        <v>14</v>
      </c>
      <c r="M784" s="13">
        <f t="shared" si="45"/>
        <v>3.8425000000000002</v>
      </c>
    </row>
    <row r="785" spans="7:13">
      <c r="G785" s="27">
        <v>41017</v>
      </c>
      <c r="H785" s="26">
        <v>3.9</v>
      </c>
      <c r="I785" s="26">
        <v>0.8</v>
      </c>
      <c r="J785" s="26">
        <v>3.85</v>
      </c>
      <c r="K785" s="13">
        <f t="shared" si="43"/>
        <v>49.99</v>
      </c>
      <c r="L785" s="13">
        <f t="shared" si="44"/>
        <v>13</v>
      </c>
      <c r="M785" s="13">
        <f t="shared" si="45"/>
        <v>3.8453846153846154</v>
      </c>
    </row>
    <row r="786" spans="7:13">
      <c r="G786" s="27">
        <v>41016</v>
      </c>
      <c r="H786" s="26">
        <v>3.9</v>
      </c>
      <c r="I786" s="26">
        <v>0.8</v>
      </c>
      <c r="J786" s="26">
        <v>3.85</v>
      </c>
      <c r="K786" s="13">
        <f t="shared" si="43"/>
        <v>46.14</v>
      </c>
      <c r="L786" s="13">
        <f t="shared" si="44"/>
        <v>12</v>
      </c>
      <c r="M786" s="13">
        <f t="shared" si="45"/>
        <v>3.8450000000000002</v>
      </c>
    </row>
    <row r="787" spans="7:13">
      <c r="G787" s="27">
        <v>41015</v>
      </c>
      <c r="H787" s="26">
        <v>3.9</v>
      </c>
      <c r="I787" s="26">
        <v>0.8</v>
      </c>
      <c r="J787" s="26">
        <v>3.85</v>
      </c>
      <c r="K787" s="13">
        <f t="shared" si="43"/>
        <v>42.29</v>
      </c>
      <c r="L787" s="13">
        <f t="shared" si="44"/>
        <v>11</v>
      </c>
      <c r="M787" s="13">
        <f t="shared" si="45"/>
        <v>3.8445454545454543</v>
      </c>
    </row>
    <row r="788" spans="7:13">
      <c r="G788" s="27">
        <v>41012</v>
      </c>
      <c r="H788" s="26">
        <v>3.9</v>
      </c>
      <c r="I788" s="26">
        <v>0.8</v>
      </c>
      <c r="J788" s="26">
        <v>3.85</v>
      </c>
      <c r="K788" s="13">
        <f t="shared" si="43"/>
        <v>38.44</v>
      </c>
      <c r="L788" s="13">
        <f t="shared" si="44"/>
        <v>10</v>
      </c>
      <c r="M788" s="13">
        <f t="shared" si="45"/>
        <v>3.8439999999999999</v>
      </c>
    </row>
    <row r="789" spans="7:13">
      <c r="G789" s="27">
        <v>41011</v>
      </c>
      <c r="H789" s="26">
        <v>3.9</v>
      </c>
      <c r="I789" s="26">
        <v>0.8</v>
      </c>
      <c r="J789" s="26">
        <v>3.85</v>
      </c>
      <c r="K789" s="13">
        <f t="shared" si="43"/>
        <v>34.589999999999996</v>
      </c>
      <c r="L789" s="13">
        <f t="shared" si="44"/>
        <v>9</v>
      </c>
      <c r="M789" s="13">
        <f t="shared" si="45"/>
        <v>3.8433333333333328</v>
      </c>
    </row>
    <row r="790" spans="7:13">
      <c r="G790" s="27">
        <v>41010</v>
      </c>
      <c r="H790" s="26">
        <v>3.88</v>
      </c>
      <c r="I790" s="26">
        <v>0.7</v>
      </c>
      <c r="J790" s="26">
        <v>3.8050000000000002</v>
      </c>
      <c r="K790" s="13">
        <f t="shared" si="43"/>
        <v>30.74</v>
      </c>
      <c r="L790" s="13">
        <f t="shared" si="44"/>
        <v>8</v>
      </c>
      <c r="M790" s="13">
        <f t="shared" si="45"/>
        <v>3.8424999999999998</v>
      </c>
    </row>
    <row r="791" spans="7:13">
      <c r="G791" s="27">
        <v>41009</v>
      </c>
      <c r="H791" s="26">
        <v>3.88</v>
      </c>
      <c r="I791" s="26">
        <v>0.7</v>
      </c>
      <c r="J791" s="26">
        <v>3.8050000000000002</v>
      </c>
      <c r="K791" s="13">
        <f t="shared" si="43"/>
        <v>26.934999999999999</v>
      </c>
      <c r="L791" s="13">
        <f t="shared" si="44"/>
        <v>7</v>
      </c>
      <c r="M791" s="13">
        <f t="shared" si="45"/>
        <v>3.8478571428571429</v>
      </c>
    </row>
    <row r="792" spans="7:13">
      <c r="G792" s="27">
        <v>41008</v>
      </c>
      <c r="H792" s="26">
        <v>3.88</v>
      </c>
      <c r="I792" s="26">
        <v>0.7</v>
      </c>
      <c r="J792" s="26">
        <v>3.8050000000000002</v>
      </c>
      <c r="K792" s="13">
        <f t="shared" si="43"/>
        <v>23.13</v>
      </c>
      <c r="L792" s="13">
        <f t="shared" si="44"/>
        <v>6</v>
      </c>
      <c r="M792" s="13">
        <f t="shared" si="45"/>
        <v>3.855</v>
      </c>
    </row>
    <row r="793" spans="7:13">
      <c r="G793" s="27">
        <v>41005</v>
      </c>
      <c r="H793" s="26">
        <v>3.88</v>
      </c>
      <c r="I793" s="26">
        <v>0.7</v>
      </c>
      <c r="J793" s="26">
        <v>3.8050000000000002</v>
      </c>
      <c r="K793" s="13">
        <f t="shared" si="43"/>
        <v>19.324999999999999</v>
      </c>
      <c r="L793" s="13">
        <f t="shared" si="44"/>
        <v>5</v>
      </c>
      <c r="M793" s="13">
        <f t="shared" si="45"/>
        <v>3.8649999999999998</v>
      </c>
    </row>
    <row r="794" spans="7:13">
      <c r="G794" s="27">
        <v>41004</v>
      </c>
      <c r="H794" s="26">
        <v>3.88</v>
      </c>
      <c r="I794" s="26">
        <v>0.7</v>
      </c>
      <c r="J794" s="26">
        <v>3.8050000000000002</v>
      </c>
      <c r="K794" s="13">
        <f t="shared" si="43"/>
        <v>15.52</v>
      </c>
      <c r="L794" s="13">
        <f t="shared" si="44"/>
        <v>4</v>
      </c>
      <c r="M794" s="13">
        <f t="shared" si="45"/>
        <v>3.88</v>
      </c>
    </row>
    <row r="795" spans="7:13">
      <c r="G795" s="27">
        <v>41003</v>
      </c>
      <c r="H795" s="26">
        <v>3.98</v>
      </c>
      <c r="I795" s="26">
        <v>0.7</v>
      </c>
      <c r="J795" s="26">
        <v>3.9049999999999998</v>
      </c>
      <c r="K795" s="13">
        <f t="shared" si="43"/>
        <v>11.715</v>
      </c>
      <c r="L795" s="13">
        <f t="shared" si="44"/>
        <v>3</v>
      </c>
      <c r="M795" s="13">
        <f t="shared" si="45"/>
        <v>3.9049999999999998</v>
      </c>
    </row>
    <row r="796" spans="7:13">
      <c r="G796" s="27">
        <v>41002</v>
      </c>
      <c r="H796" s="26">
        <v>3.98</v>
      </c>
      <c r="I796" s="26">
        <v>0.7</v>
      </c>
      <c r="J796" s="26">
        <v>3.9049999999999998</v>
      </c>
      <c r="K796" s="13">
        <f t="shared" si="43"/>
        <v>7.81</v>
      </c>
      <c r="L796" s="13">
        <f t="shared" si="44"/>
        <v>2</v>
      </c>
      <c r="M796" s="13">
        <f t="shared" si="45"/>
        <v>3.9049999999999998</v>
      </c>
    </row>
    <row r="797" spans="7:13">
      <c r="G797" s="27">
        <v>41001</v>
      </c>
      <c r="H797" s="26">
        <v>3.98</v>
      </c>
      <c r="I797" s="26">
        <v>0.7</v>
      </c>
      <c r="J797" s="26">
        <v>3.9049999999999998</v>
      </c>
      <c r="K797" s="13">
        <f t="shared" si="43"/>
        <v>3.9049999999999998</v>
      </c>
      <c r="L797" s="13">
        <f t="shared" si="44"/>
        <v>1</v>
      </c>
      <c r="M797" s="13">
        <f t="shared" si="45"/>
        <v>3.9049999999999998</v>
      </c>
    </row>
    <row r="798" spans="7:13">
      <c r="G798" s="27">
        <v>40998</v>
      </c>
      <c r="H798" s="26">
        <v>3.98</v>
      </c>
      <c r="I798" s="26">
        <v>0.7</v>
      </c>
      <c r="J798" s="26">
        <v>3.9049999999999998</v>
      </c>
      <c r="K798" s="13">
        <f t="shared" si="43"/>
        <v>86.035000000000025</v>
      </c>
      <c r="L798" s="13">
        <f t="shared" si="44"/>
        <v>22</v>
      </c>
      <c r="M798" s="13">
        <f t="shared" si="45"/>
        <v>3.9106818181818195</v>
      </c>
    </row>
    <row r="799" spans="7:13">
      <c r="G799" s="27">
        <v>40997</v>
      </c>
      <c r="H799" s="26">
        <v>3.98</v>
      </c>
      <c r="I799" s="26">
        <v>0.7</v>
      </c>
      <c r="J799" s="26">
        <v>3.9049999999999998</v>
      </c>
      <c r="K799" s="13">
        <f t="shared" si="43"/>
        <v>82.130000000000024</v>
      </c>
      <c r="L799" s="13">
        <f t="shared" si="44"/>
        <v>21</v>
      </c>
      <c r="M799" s="13">
        <f t="shared" si="45"/>
        <v>3.9109523809523821</v>
      </c>
    </row>
    <row r="800" spans="7:13">
      <c r="G800" s="27">
        <v>40996</v>
      </c>
      <c r="H800" s="26">
        <v>3.99</v>
      </c>
      <c r="I800" s="26">
        <v>0.7</v>
      </c>
      <c r="J800" s="26">
        <v>3.915</v>
      </c>
      <c r="K800" s="13">
        <f t="shared" si="43"/>
        <v>78.225000000000023</v>
      </c>
      <c r="L800" s="13">
        <f t="shared" si="44"/>
        <v>20</v>
      </c>
      <c r="M800" s="13">
        <f t="shared" si="45"/>
        <v>3.9112500000000012</v>
      </c>
    </row>
    <row r="801" spans="7:13">
      <c r="G801" s="27">
        <v>40995</v>
      </c>
      <c r="H801" s="26">
        <v>3.99</v>
      </c>
      <c r="I801" s="26">
        <v>0.7</v>
      </c>
      <c r="J801" s="26">
        <v>3.915</v>
      </c>
      <c r="K801" s="13">
        <f t="shared" si="43"/>
        <v>74.310000000000016</v>
      </c>
      <c r="L801" s="13">
        <f t="shared" si="44"/>
        <v>19</v>
      </c>
      <c r="M801" s="13">
        <f t="shared" si="45"/>
        <v>3.9110526315789484</v>
      </c>
    </row>
    <row r="802" spans="7:13">
      <c r="G802" s="27">
        <v>40994</v>
      </c>
      <c r="H802" s="26">
        <v>3.99</v>
      </c>
      <c r="I802" s="26">
        <v>0.7</v>
      </c>
      <c r="J802" s="26">
        <v>3.915</v>
      </c>
      <c r="K802" s="13">
        <f t="shared" si="43"/>
        <v>70.39500000000001</v>
      </c>
      <c r="L802" s="13">
        <f t="shared" si="44"/>
        <v>18</v>
      </c>
      <c r="M802" s="13">
        <f t="shared" si="45"/>
        <v>3.910833333333334</v>
      </c>
    </row>
    <row r="803" spans="7:13">
      <c r="G803" s="27">
        <v>40991</v>
      </c>
      <c r="H803" s="26">
        <v>3.99</v>
      </c>
      <c r="I803" s="26">
        <v>0.7</v>
      </c>
      <c r="J803" s="26">
        <v>3.915</v>
      </c>
      <c r="K803" s="13">
        <f t="shared" si="43"/>
        <v>66.48</v>
      </c>
      <c r="L803" s="13">
        <f t="shared" si="44"/>
        <v>17</v>
      </c>
      <c r="M803" s="13">
        <f t="shared" si="45"/>
        <v>3.9105882352941177</v>
      </c>
    </row>
    <row r="804" spans="7:13">
      <c r="G804" s="27">
        <v>40990</v>
      </c>
      <c r="H804" s="26">
        <v>3.99</v>
      </c>
      <c r="I804" s="26">
        <v>0.7</v>
      </c>
      <c r="J804" s="26">
        <v>3.915</v>
      </c>
      <c r="K804" s="13">
        <f t="shared" si="43"/>
        <v>62.565000000000005</v>
      </c>
      <c r="L804" s="13">
        <f t="shared" si="44"/>
        <v>16</v>
      </c>
      <c r="M804" s="13">
        <f t="shared" si="45"/>
        <v>3.9103125000000003</v>
      </c>
    </row>
    <row r="805" spans="7:13">
      <c r="G805" s="27">
        <v>40989</v>
      </c>
      <c r="H805" s="26">
        <v>4.08</v>
      </c>
      <c r="I805" s="26">
        <v>0.8</v>
      </c>
      <c r="J805" s="26">
        <v>4.03</v>
      </c>
      <c r="K805" s="13">
        <f t="shared" si="43"/>
        <v>58.650000000000006</v>
      </c>
      <c r="L805" s="13">
        <f t="shared" si="44"/>
        <v>15</v>
      </c>
      <c r="M805" s="13">
        <f t="shared" si="45"/>
        <v>3.9100000000000006</v>
      </c>
    </row>
    <row r="806" spans="7:13">
      <c r="G806" s="27">
        <v>40988</v>
      </c>
      <c r="H806" s="26">
        <v>4.08</v>
      </c>
      <c r="I806" s="26">
        <v>0.8</v>
      </c>
      <c r="J806" s="26">
        <v>4.03</v>
      </c>
      <c r="K806" s="13">
        <f t="shared" si="43"/>
        <v>54.620000000000005</v>
      </c>
      <c r="L806" s="13">
        <f t="shared" si="44"/>
        <v>14</v>
      </c>
      <c r="M806" s="13">
        <f t="shared" si="45"/>
        <v>3.9014285714285717</v>
      </c>
    </row>
    <row r="807" spans="7:13">
      <c r="G807" s="27">
        <v>40987</v>
      </c>
      <c r="H807" s="26">
        <v>4.08</v>
      </c>
      <c r="I807" s="26">
        <v>0.8</v>
      </c>
      <c r="J807" s="26">
        <v>4.03</v>
      </c>
      <c r="K807" s="13">
        <f t="shared" si="43"/>
        <v>50.59</v>
      </c>
      <c r="L807" s="13">
        <f t="shared" si="44"/>
        <v>13</v>
      </c>
      <c r="M807" s="13">
        <f t="shared" si="45"/>
        <v>3.8915384615384618</v>
      </c>
    </row>
    <row r="808" spans="7:13">
      <c r="G808" s="27">
        <v>40984</v>
      </c>
      <c r="H808" s="26">
        <v>4.08</v>
      </c>
      <c r="I808" s="26">
        <v>0.8</v>
      </c>
      <c r="J808" s="26">
        <v>4.03</v>
      </c>
      <c r="K808" s="13">
        <f t="shared" si="43"/>
        <v>46.56</v>
      </c>
      <c r="L808" s="13">
        <f t="shared" si="44"/>
        <v>12</v>
      </c>
      <c r="M808" s="13">
        <f t="shared" si="45"/>
        <v>3.8800000000000003</v>
      </c>
    </row>
    <row r="809" spans="7:13">
      <c r="G809" s="27">
        <v>40983</v>
      </c>
      <c r="H809" s="26">
        <v>4.08</v>
      </c>
      <c r="I809" s="26">
        <v>0.8</v>
      </c>
      <c r="J809" s="26">
        <v>4.03</v>
      </c>
      <c r="K809" s="13">
        <f t="shared" si="43"/>
        <v>42.53</v>
      </c>
      <c r="L809" s="13">
        <f t="shared" si="44"/>
        <v>11</v>
      </c>
      <c r="M809" s="13">
        <f t="shared" si="45"/>
        <v>3.8663636363636367</v>
      </c>
    </row>
    <row r="810" spans="7:13">
      <c r="G810" s="27">
        <v>40982</v>
      </c>
      <c r="H810" s="26">
        <v>3.92</v>
      </c>
      <c r="I810" s="26">
        <v>0.8</v>
      </c>
      <c r="J810" s="26">
        <v>3.87</v>
      </c>
      <c r="K810" s="13">
        <f t="shared" si="43"/>
        <v>38.5</v>
      </c>
      <c r="L810" s="13">
        <f t="shared" si="44"/>
        <v>10</v>
      </c>
      <c r="M810" s="13">
        <f t="shared" si="45"/>
        <v>3.85</v>
      </c>
    </row>
    <row r="811" spans="7:13">
      <c r="G811" s="27">
        <v>40981</v>
      </c>
      <c r="H811" s="26">
        <v>3.92</v>
      </c>
      <c r="I811" s="26">
        <v>0.8</v>
      </c>
      <c r="J811" s="26">
        <v>3.87</v>
      </c>
      <c r="K811" s="13">
        <f t="shared" si="43"/>
        <v>34.630000000000003</v>
      </c>
      <c r="L811" s="13">
        <f t="shared" si="44"/>
        <v>9</v>
      </c>
      <c r="M811" s="13">
        <f t="shared" si="45"/>
        <v>3.847777777777778</v>
      </c>
    </row>
    <row r="812" spans="7:13">
      <c r="G812" s="27">
        <v>40980</v>
      </c>
      <c r="H812" s="26">
        <v>3.92</v>
      </c>
      <c r="I812" s="26">
        <v>0.8</v>
      </c>
      <c r="J812" s="26">
        <v>3.87</v>
      </c>
      <c r="K812" s="13">
        <f t="shared" si="43"/>
        <v>30.76</v>
      </c>
      <c r="L812" s="13">
        <f t="shared" si="44"/>
        <v>8</v>
      </c>
      <c r="M812" s="13">
        <f t="shared" si="45"/>
        <v>3.8450000000000002</v>
      </c>
    </row>
    <row r="813" spans="7:13">
      <c r="G813" s="27">
        <v>40977</v>
      </c>
      <c r="H813" s="26">
        <v>3.92</v>
      </c>
      <c r="I813" s="26">
        <v>0.8</v>
      </c>
      <c r="J813" s="26">
        <v>3.87</v>
      </c>
      <c r="K813" s="13">
        <f t="shared" si="43"/>
        <v>26.89</v>
      </c>
      <c r="L813" s="13">
        <f t="shared" si="44"/>
        <v>7</v>
      </c>
      <c r="M813" s="13">
        <f t="shared" si="45"/>
        <v>3.8414285714285716</v>
      </c>
    </row>
    <row r="814" spans="7:13">
      <c r="G814" s="27">
        <v>40976</v>
      </c>
      <c r="H814" s="26">
        <v>3.92</v>
      </c>
      <c r="I814" s="26">
        <v>0.8</v>
      </c>
      <c r="J814" s="26">
        <v>3.87</v>
      </c>
      <c r="K814" s="13">
        <f t="shared" si="43"/>
        <v>23.02</v>
      </c>
      <c r="L814" s="13">
        <f t="shared" si="44"/>
        <v>6</v>
      </c>
      <c r="M814" s="13">
        <f t="shared" si="45"/>
        <v>3.8366666666666664</v>
      </c>
    </row>
    <row r="815" spans="7:13">
      <c r="G815" s="27">
        <v>40975</v>
      </c>
      <c r="H815" s="26">
        <v>3.88</v>
      </c>
      <c r="I815" s="26">
        <v>0.8</v>
      </c>
      <c r="J815" s="26">
        <v>3.83</v>
      </c>
      <c r="K815" s="13">
        <f t="shared" si="43"/>
        <v>19.149999999999999</v>
      </c>
      <c r="L815" s="13">
        <f t="shared" si="44"/>
        <v>5</v>
      </c>
      <c r="M815" s="13">
        <f t="shared" si="45"/>
        <v>3.8299999999999996</v>
      </c>
    </row>
    <row r="816" spans="7:13">
      <c r="G816" s="27">
        <v>40974</v>
      </c>
      <c r="H816" s="26">
        <v>3.88</v>
      </c>
      <c r="I816" s="26">
        <v>0.8</v>
      </c>
      <c r="J816" s="26">
        <v>3.83</v>
      </c>
      <c r="K816" s="13">
        <f t="shared" si="43"/>
        <v>15.32</v>
      </c>
      <c r="L816" s="13">
        <f t="shared" si="44"/>
        <v>4</v>
      </c>
      <c r="M816" s="13">
        <f t="shared" si="45"/>
        <v>3.83</v>
      </c>
    </row>
    <row r="817" spans="7:13">
      <c r="G817" s="27">
        <v>40973</v>
      </c>
      <c r="H817" s="26">
        <v>3.88</v>
      </c>
      <c r="I817" s="26">
        <v>0.8</v>
      </c>
      <c r="J817" s="26">
        <v>3.83</v>
      </c>
      <c r="K817" s="13">
        <f t="shared" si="43"/>
        <v>11.49</v>
      </c>
      <c r="L817" s="13">
        <f t="shared" si="44"/>
        <v>3</v>
      </c>
      <c r="M817" s="13">
        <f t="shared" si="45"/>
        <v>3.83</v>
      </c>
    </row>
    <row r="818" spans="7:13">
      <c r="G818" s="27">
        <v>40970</v>
      </c>
      <c r="H818" s="26">
        <v>3.88</v>
      </c>
      <c r="I818" s="26">
        <v>0.8</v>
      </c>
      <c r="J818" s="26">
        <v>3.83</v>
      </c>
      <c r="K818" s="13">
        <f t="shared" si="43"/>
        <v>7.66</v>
      </c>
      <c r="L818" s="13">
        <f t="shared" si="44"/>
        <v>2</v>
      </c>
      <c r="M818" s="13">
        <f t="shared" si="45"/>
        <v>3.83</v>
      </c>
    </row>
    <row r="819" spans="7:13">
      <c r="G819" s="27">
        <v>40969</v>
      </c>
      <c r="H819" s="26">
        <v>3.88</v>
      </c>
      <c r="I819" s="26">
        <v>0.8</v>
      </c>
      <c r="J819" s="26">
        <v>3.83</v>
      </c>
      <c r="K819" s="13">
        <f t="shared" si="43"/>
        <v>3.83</v>
      </c>
      <c r="L819" s="13">
        <f t="shared" si="44"/>
        <v>1</v>
      </c>
      <c r="M819" s="13">
        <f t="shared" si="45"/>
        <v>3.83</v>
      </c>
    </row>
    <row r="820" spans="7:13">
      <c r="G820" s="27">
        <v>40968</v>
      </c>
      <c r="H820" s="26">
        <v>3.9</v>
      </c>
      <c r="I820" s="26">
        <v>0.8</v>
      </c>
      <c r="J820" s="26">
        <v>3.85</v>
      </c>
      <c r="K820" s="13">
        <f t="shared" si="43"/>
        <v>76.869999999999976</v>
      </c>
      <c r="L820" s="13">
        <f t="shared" si="44"/>
        <v>20</v>
      </c>
      <c r="M820" s="13">
        <f t="shared" si="45"/>
        <v>3.8434999999999988</v>
      </c>
    </row>
    <row r="821" spans="7:13">
      <c r="G821" s="27">
        <v>40967</v>
      </c>
      <c r="H821" s="26">
        <v>3.9</v>
      </c>
      <c r="I821" s="26">
        <v>0.8</v>
      </c>
      <c r="J821" s="26">
        <v>3.85</v>
      </c>
      <c r="K821" s="13">
        <f t="shared" si="43"/>
        <v>73.019999999999982</v>
      </c>
      <c r="L821" s="13">
        <f t="shared" si="44"/>
        <v>19</v>
      </c>
      <c r="M821" s="13">
        <f t="shared" si="45"/>
        <v>3.8431578947368412</v>
      </c>
    </row>
    <row r="822" spans="7:13">
      <c r="G822" s="27">
        <v>40966</v>
      </c>
      <c r="H822" s="26">
        <v>3.9</v>
      </c>
      <c r="I822" s="26">
        <v>0.8</v>
      </c>
      <c r="J822" s="26">
        <v>3.85</v>
      </c>
      <c r="K822" s="13">
        <f t="shared" si="43"/>
        <v>69.169999999999987</v>
      </c>
      <c r="L822" s="13">
        <f t="shared" si="44"/>
        <v>18</v>
      </c>
      <c r="M822" s="13">
        <f t="shared" si="45"/>
        <v>3.8427777777777772</v>
      </c>
    </row>
    <row r="823" spans="7:13">
      <c r="G823" s="27">
        <v>40963</v>
      </c>
      <c r="H823" s="26">
        <v>3.9</v>
      </c>
      <c r="I823" s="26">
        <v>0.8</v>
      </c>
      <c r="J823" s="26">
        <v>3.85</v>
      </c>
      <c r="K823" s="13">
        <f t="shared" si="43"/>
        <v>65.319999999999993</v>
      </c>
      <c r="L823" s="13">
        <f t="shared" si="44"/>
        <v>17</v>
      </c>
      <c r="M823" s="13">
        <f t="shared" si="45"/>
        <v>3.8423529411764701</v>
      </c>
    </row>
    <row r="824" spans="7:13">
      <c r="G824" s="27">
        <v>40962</v>
      </c>
      <c r="H824" s="26">
        <v>3.9</v>
      </c>
      <c r="I824" s="26">
        <v>0.8</v>
      </c>
      <c r="J824" s="26">
        <v>3.85</v>
      </c>
      <c r="K824" s="13">
        <f t="shared" si="43"/>
        <v>61.469999999999992</v>
      </c>
      <c r="L824" s="13">
        <f t="shared" si="44"/>
        <v>16</v>
      </c>
      <c r="M824" s="13">
        <f t="shared" si="45"/>
        <v>3.8418749999999995</v>
      </c>
    </row>
    <row r="825" spans="7:13">
      <c r="G825" s="27">
        <v>40961</v>
      </c>
      <c r="H825" s="26">
        <v>3.95</v>
      </c>
      <c r="I825" s="26">
        <v>0.8</v>
      </c>
      <c r="J825" s="26">
        <v>3.9</v>
      </c>
      <c r="K825" s="13">
        <f t="shared" si="43"/>
        <v>57.61999999999999</v>
      </c>
      <c r="L825" s="13">
        <f t="shared" si="44"/>
        <v>15</v>
      </c>
      <c r="M825" s="13">
        <f t="shared" si="45"/>
        <v>3.8413333333333326</v>
      </c>
    </row>
    <row r="826" spans="7:13">
      <c r="G826" s="27">
        <v>40960</v>
      </c>
      <c r="H826" s="26">
        <v>3.95</v>
      </c>
      <c r="I826" s="26">
        <v>0.8</v>
      </c>
      <c r="J826" s="26">
        <v>3.9</v>
      </c>
      <c r="K826" s="13">
        <f t="shared" si="43"/>
        <v>53.719999999999992</v>
      </c>
      <c r="L826" s="13">
        <f t="shared" si="44"/>
        <v>14</v>
      </c>
      <c r="M826" s="13">
        <f t="shared" si="45"/>
        <v>3.8371428571428567</v>
      </c>
    </row>
    <row r="827" spans="7:13">
      <c r="G827" s="27">
        <v>40956</v>
      </c>
      <c r="H827" s="26">
        <v>3.95</v>
      </c>
      <c r="I827" s="26">
        <v>0.8</v>
      </c>
      <c r="J827" s="26">
        <v>3.9</v>
      </c>
      <c r="K827" s="13">
        <f t="shared" si="43"/>
        <v>49.819999999999993</v>
      </c>
      <c r="L827" s="13">
        <f t="shared" si="44"/>
        <v>13</v>
      </c>
      <c r="M827" s="13">
        <f t="shared" si="45"/>
        <v>3.8323076923076917</v>
      </c>
    </row>
    <row r="828" spans="7:13">
      <c r="G828" s="27">
        <v>40955</v>
      </c>
      <c r="H828" s="26">
        <v>3.95</v>
      </c>
      <c r="I828" s="26">
        <v>0.8</v>
      </c>
      <c r="J828" s="26">
        <v>3.9</v>
      </c>
      <c r="K828" s="13">
        <f t="shared" si="43"/>
        <v>45.919999999999995</v>
      </c>
      <c r="L828" s="13">
        <f t="shared" si="44"/>
        <v>12</v>
      </c>
      <c r="M828" s="13">
        <f t="shared" si="45"/>
        <v>3.8266666666666662</v>
      </c>
    </row>
    <row r="829" spans="7:13">
      <c r="G829" s="27">
        <v>40954</v>
      </c>
      <c r="H829" s="26">
        <v>3.87</v>
      </c>
      <c r="I829" s="26">
        <v>0.8</v>
      </c>
      <c r="J829" s="26">
        <v>3.82</v>
      </c>
      <c r="K829" s="13">
        <f t="shared" si="43"/>
        <v>42.019999999999996</v>
      </c>
      <c r="L829" s="13">
        <f t="shared" si="44"/>
        <v>11</v>
      </c>
      <c r="M829" s="13">
        <f t="shared" si="45"/>
        <v>3.82</v>
      </c>
    </row>
    <row r="830" spans="7:13">
      <c r="G830" s="27">
        <v>40953</v>
      </c>
      <c r="H830" s="26">
        <v>3.87</v>
      </c>
      <c r="I830" s="26">
        <v>0.8</v>
      </c>
      <c r="J830" s="26">
        <v>3.82</v>
      </c>
      <c r="K830" s="13">
        <f t="shared" si="43"/>
        <v>38.199999999999996</v>
      </c>
      <c r="L830" s="13">
        <f t="shared" si="44"/>
        <v>10</v>
      </c>
      <c r="M830" s="13">
        <f t="shared" si="45"/>
        <v>3.8199999999999994</v>
      </c>
    </row>
    <row r="831" spans="7:13">
      <c r="G831" s="27">
        <v>40952</v>
      </c>
      <c r="H831" s="26">
        <v>3.87</v>
      </c>
      <c r="I831" s="26">
        <v>0.8</v>
      </c>
      <c r="J831" s="26">
        <v>3.82</v>
      </c>
      <c r="K831" s="13">
        <f t="shared" si="43"/>
        <v>34.379999999999995</v>
      </c>
      <c r="L831" s="13">
        <f t="shared" si="44"/>
        <v>9</v>
      </c>
      <c r="M831" s="13">
        <f t="shared" si="45"/>
        <v>3.8199999999999994</v>
      </c>
    </row>
    <row r="832" spans="7:13">
      <c r="G832" s="27">
        <v>40949</v>
      </c>
      <c r="H832" s="26">
        <v>3.87</v>
      </c>
      <c r="I832" s="26">
        <v>0.8</v>
      </c>
      <c r="J832" s="26">
        <v>3.82</v>
      </c>
      <c r="K832" s="13">
        <f t="shared" si="43"/>
        <v>30.56</v>
      </c>
      <c r="L832" s="13">
        <f t="shared" si="44"/>
        <v>8</v>
      </c>
      <c r="M832" s="13">
        <f t="shared" si="45"/>
        <v>3.82</v>
      </c>
    </row>
    <row r="833" spans="7:13">
      <c r="G833" s="27">
        <v>40948</v>
      </c>
      <c r="H833" s="26">
        <v>3.87</v>
      </c>
      <c r="I833" s="26">
        <v>0.8</v>
      </c>
      <c r="J833" s="26">
        <v>3.82</v>
      </c>
      <c r="K833" s="13">
        <f t="shared" si="43"/>
        <v>26.74</v>
      </c>
      <c r="L833" s="13">
        <f t="shared" si="44"/>
        <v>7</v>
      </c>
      <c r="M833" s="13">
        <f t="shared" si="45"/>
        <v>3.82</v>
      </c>
    </row>
    <row r="834" spans="7:13">
      <c r="G834" s="27">
        <v>40947</v>
      </c>
      <c r="H834" s="26">
        <v>3.87</v>
      </c>
      <c r="I834" s="26">
        <v>0.8</v>
      </c>
      <c r="J834" s="26">
        <v>3.82</v>
      </c>
      <c r="K834" s="13">
        <f t="shared" si="43"/>
        <v>22.919999999999998</v>
      </c>
      <c r="L834" s="13">
        <f t="shared" si="44"/>
        <v>6</v>
      </c>
      <c r="M834" s="13">
        <f t="shared" si="45"/>
        <v>3.82</v>
      </c>
    </row>
    <row r="835" spans="7:13">
      <c r="G835" s="27">
        <v>40946</v>
      </c>
      <c r="H835" s="26">
        <v>3.87</v>
      </c>
      <c r="I835" s="26">
        <v>0.8</v>
      </c>
      <c r="J835" s="26">
        <v>3.82</v>
      </c>
      <c r="K835" s="13">
        <f t="shared" si="43"/>
        <v>19.099999999999998</v>
      </c>
      <c r="L835" s="13">
        <f t="shared" si="44"/>
        <v>5</v>
      </c>
      <c r="M835" s="13">
        <f t="shared" si="45"/>
        <v>3.8199999999999994</v>
      </c>
    </row>
    <row r="836" spans="7:13">
      <c r="G836" s="27">
        <v>40945</v>
      </c>
      <c r="H836" s="26">
        <v>3.87</v>
      </c>
      <c r="I836" s="26">
        <v>0.8</v>
      </c>
      <c r="J836" s="26">
        <v>3.82</v>
      </c>
      <c r="K836" s="13">
        <f t="shared" ref="K836:K899" si="46">IF(MONTH(G836)=MONTH(G837),J836+K837,J836)</f>
        <v>15.28</v>
      </c>
      <c r="L836" s="13">
        <f t="shared" ref="L836:L899" si="47">IF(MONTH(G836)=MONTH(G837),L837+1,1)</f>
        <v>4</v>
      </c>
      <c r="M836" s="13">
        <f t="shared" si="45"/>
        <v>3.82</v>
      </c>
    </row>
    <row r="837" spans="7:13">
      <c r="G837" s="27">
        <v>40942</v>
      </c>
      <c r="H837" s="26">
        <v>3.87</v>
      </c>
      <c r="I837" s="26">
        <v>0.8</v>
      </c>
      <c r="J837" s="26">
        <v>3.82</v>
      </c>
      <c r="K837" s="13">
        <f t="shared" si="46"/>
        <v>11.459999999999999</v>
      </c>
      <c r="L837" s="13">
        <f t="shared" si="47"/>
        <v>3</v>
      </c>
      <c r="M837" s="13">
        <f t="shared" ref="M837:M900" si="48">K837/L837</f>
        <v>3.82</v>
      </c>
    </row>
    <row r="838" spans="7:13">
      <c r="G838" s="27">
        <v>40941</v>
      </c>
      <c r="H838" s="26">
        <v>3.87</v>
      </c>
      <c r="I838" s="26">
        <v>0.8</v>
      </c>
      <c r="J838" s="26">
        <v>3.82</v>
      </c>
      <c r="K838" s="13">
        <f t="shared" si="46"/>
        <v>7.64</v>
      </c>
      <c r="L838" s="13">
        <f t="shared" si="47"/>
        <v>2</v>
      </c>
      <c r="M838" s="13">
        <f t="shared" si="48"/>
        <v>3.82</v>
      </c>
    </row>
    <row r="839" spans="7:13">
      <c r="G839" s="27">
        <v>40940</v>
      </c>
      <c r="H839" s="26">
        <v>3.87</v>
      </c>
      <c r="I839" s="26">
        <v>0.8</v>
      </c>
      <c r="J839" s="26">
        <v>3.82</v>
      </c>
      <c r="K839" s="13">
        <f t="shared" si="46"/>
        <v>3.82</v>
      </c>
      <c r="L839" s="13">
        <f t="shared" si="47"/>
        <v>1</v>
      </c>
      <c r="M839" s="13">
        <f t="shared" si="48"/>
        <v>3.82</v>
      </c>
    </row>
    <row r="840" spans="7:13">
      <c r="G840" s="27">
        <v>40939</v>
      </c>
      <c r="H840" s="26">
        <v>3.87</v>
      </c>
      <c r="I840" s="26">
        <v>0.8</v>
      </c>
      <c r="J840" s="26">
        <v>3.82</v>
      </c>
      <c r="K840" s="13">
        <f t="shared" si="46"/>
        <v>76.919999999999973</v>
      </c>
      <c r="L840" s="13">
        <f t="shared" si="47"/>
        <v>20</v>
      </c>
      <c r="M840" s="13">
        <f t="shared" si="48"/>
        <v>3.8459999999999988</v>
      </c>
    </row>
    <row r="841" spans="7:13">
      <c r="G841" s="27">
        <v>40938</v>
      </c>
      <c r="H841" s="26">
        <v>3.87</v>
      </c>
      <c r="I841" s="26">
        <v>0.8</v>
      </c>
      <c r="J841" s="26">
        <v>3.82</v>
      </c>
      <c r="K841" s="13">
        <f t="shared" si="46"/>
        <v>73.09999999999998</v>
      </c>
      <c r="L841" s="13">
        <f t="shared" si="47"/>
        <v>19</v>
      </c>
      <c r="M841" s="13">
        <f t="shared" si="48"/>
        <v>3.8473684210526304</v>
      </c>
    </row>
    <row r="842" spans="7:13">
      <c r="G842" s="27">
        <v>40935</v>
      </c>
      <c r="H842" s="26">
        <v>3.87</v>
      </c>
      <c r="I842" s="26">
        <v>0.8</v>
      </c>
      <c r="J842" s="26">
        <v>3.82</v>
      </c>
      <c r="K842" s="13">
        <f t="shared" si="46"/>
        <v>69.279999999999987</v>
      </c>
      <c r="L842" s="13">
        <f t="shared" si="47"/>
        <v>18</v>
      </c>
      <c r="M842" s="13">
        <f t="shared" si="48"/>
        <v>3.8488888888888884</v>
      </c>
    </row>
    <row r="843" spans="7:13">
      <c r="G843" s="27">
        <v>40934</v>
      </c>
      <c r="H843" s="26">
        <v>3.87</v>
      </c>
      <c r="I843" s="26">
        <v>0.8</v>
      </c>
      <c r="J843" s="26">
        <v>3.82</v>
      </c>
      <c r="K843" s="13">
        <f t="shared" si="46"/>
        <v>65.459999999999994</v>
      </c>
      <c r="L843" s="13">
        <f t="shared" si="47"/>
        <v>17</v>
      </c>
      <c r="M843" s="13">
        <f t="shared" si="48"/>
        <v>3.8505882352941172</v>
      </c>
    </row>
    <row r="844" spans="7:13">
      <c r="G844" s="27">
        <v>40933</v>
      </c>
      <c r="H844" s="26">
        <v>3.98</v>
      </c>
      <c r="I844" s="26">
        <v>0.7</v>
      </c>
      <c r="J844" s="26">
        <v>3.9049999999999998</v>
      </c>
      <c r="K844" s="13">
        <f t="shared" si="46"/>
        <v>61.64</v>
      </c>
      <c r="L844" s="13">
        <f t="shared" si="47"/>
        <v>16</v>
      </c>
      <c r="M844" s="13">
        <f t="shared" si="48"/>
        <v>3.8525</v>
      </c>
    </row>
    <row r="845" spans="7:13">
      <c r="G845" s="27">
        <v>40932</v>
      </c>
      <c r="H845" s="26">
        <v>3.98</v>
      </c>
      <c r="I845" s="26">
        <v>0.7</v>
      </c>
      <c r="J845" s="26">
        <v>3.9049999999999998</v>
      </c>
      <c r="K845" s="13">
        <f t="shared" si="46"/>
        <v>57.734999999999999</v>
      </c>
      <c r="L845" s="13">
        <f t="shared" si="47"/>
        <v>15</v>
      </c>
      <c r="M845" s="13">
        <f t="shared" si="48"/>
        <v>3.8489999999999998</v>
      </c>
    </row>
    <row r="846" spans="7:13">
      <c r="G846" s="27">
        <v>40931</v>
      </c>
      <c r="H846" s="26">
        <v>3.98</v>
      </c>
      <c r="I846" s="26">
        <v>0.7</v>
      </c>
      <c r="J846" s="26">
        <v>3.9049999999999998</v>
      </c>
      <c r="K846" s="13">
        <f t="shared" si="46"/>
        <v>53.83</v>
      </c>
      <c r="L846" s="13">
        <f t="shared" si="47"/>
        <v>14</v>
      </c>
      <c r="M846" s="13">
        <f t="shared" si="48"/>
        <v>3.8449999999999998</v>
      </c>
    </row>
    <row r="847" spans="7:13">
      <c r="G847" s="27">
        <v>40928</v>
      </c>
      <c r="H847" s="26">
        <v>3.98</v>
      </c>
      <c r="I847" s="26">
        <v>0.7</v>
      </c>
      <c r="J847" s="26">
        <v>3.9049999999999998</v>
      </c>
      <c r="K847" s="13">
        <f t="shared" si="46"/>
        <v>49.924999999999997</v>
      </c>
      <c r="L847" s="13">
        <f t="shared" si="47"/>
        <v>13</v>
      </c>
      <c r="M847" s="13">
        <f t="shared" si="48"/>
        <v>3.8403846153846151</v>
      </c>
    </row>
    <row r="848" spans="7:13">
      <c r="G848" s="27">
        <v>40927</v>
      </c>
      <c r="H848" s="26">
        <v>3.98</v>
      </c>
      <c r="I848" s="26">
        <v>0.7</v>
      </c>
      <c r="J848" s="26">
        <v>3.9049999999999998</v>
      </c>
      <c r="K848" s="13">
        <f t="shared" si="46"/>
        <v>46.019999999999996</v>
      </c>
      <c r="L848" s="13">
        <f t="shared" si="47"/>
        <v>12</v>
      </c>
      <c r="M848" s="13">
        <f t="shared" si="48"/>
        <v>3.8349999999999995</v>
      </c>
    </row>
    <row r="849" spans="7:13">
      <c r="G849" s="27">
        <v>40926</v>
      </c>
      <c r="H849" s="26">
        <v>3.88</v>
      </c>
      <c r="I849" s="26">
        <v>0.8</v>
      </c>
      <c r="J849" s="26">
        <v>3.83</v>
      </c>
      <c r="K849" s="13">
        <f t="shared" si="46"/>
        <v>42.114999999999995</v>
      </c>
      <c r="L849" s="13">
        <f t="shared" si="47"/>
        <v>11</v>
      </c>
      <c r="M849" s="13">
        <f t="shared" si="48"/>
        <v>3.8286363636363632</v>
      </c>
    </row>
    <row r="850" spans="7:13">
      <c r="G850" s="27">
        <v>40925</v>
      </c>
      <c r="H850" s="26">
        <v>3.88</v>
      </c>
      <c r="I850" s="26">
        <v>0.8</v>
      </c>
      <c r="J850" s="26">
        <v>3.83</v>
      </c>
      <c r="K850" s="13">
        <f t="shared" si="46"/>
        <v>38.284999999999997</v>
      </c>
      <c r="L850" s="13">
        <f t="shared" si="47"/>
        <v>10</v>
      </c>
      <c r="M850" s="13">
        <f t="shared" si="48"/>
        <v>3.8284999999999996</v>
      </c>
    </row>
    <row r="851" spans="7:13">
      <c r="G851" s="27">
        <v>40921</v>
      </c>
      <c r="H851" s="26">
        <v>3.88</v>
      </c>
      <c r="I851" s="26">
        <v>0.8</v>
      </c>
      <c r="J851" s="26">
        <v>3.83</v>
      </c>
      <c r="K851" s="13">
        <f t="shared" si="46"/>
        <v>34.454999999999998</v>
      </c>
      <c r="L851" s="13">
        <f t="shared" si="47"/>
        <v>9</v>
      </c>
      <c r="M851" s="13">
        <f t="shared" si="48"/>
        <v>3.8283333333333331</v>
      </c>
    </row>
    <row r="852" spans="7:13">
      <c r="G852" s="27">
        <v>40920</v>
      </c>
      <c r="H852" s="26">
        <v>3.88</v>
      </c>
      <c r="I852" s="26">
        <v>0.8</v>
      </c>
      <c r="J852" s="26">
        <v>3.83</v>
      </c>
      <c r="K852" s="13">
        <f t="shared" si="46"/>
        <v>30.625</v>
      </c>
      <c r="L852" s="13">
        <f t="shared" si="47"/>
        <v>8</v>
      </c>
      <c r="M852" s="13">
        <f t="shared" si="48"/>
        <v>3.828125</v>
      </c>
    </row>
    <row r="853" spans="7:13">
      <c r="G853" s="27">
        <v>40919</v>
      </c>
      <c r="H853" s="26">
        <v>3.89</v>
      </c>
      <c r="I853" s="26">
        <v>0.7</v>
      </c>
      <c r="J853" s="26">
        <v>3.8149999999999999</v>
      </c>
      <c r="K853" s="13">
        <f t="shared" si="46"/>
        <v>26.795000000000002</v>
      </c>
      <c r="L853" s="13">
        <f t="shared" si="47"/>
        <v>7</v>
      </c>
      <c r="M853" s="13">
        <f t="shared" si="48"/>
        <v>3.8278571428571433</v>
      </c>
    </row>
    <row r="854" spans="7:13">
      <c r="G854" s="27">
        <v>40918</v>
      </c>
      <c r="H854" s="26">
        <v>3.89</v>
      </c>
      <c r="I854" s="26">
        <v>0.7</v>
      </c>
      <c r="J854" s="26">
        <v>3.8149999999999999</v>
      </c>
      <c r="K854" s="13">
        <f t="shared" si="46"/>
        <v>22.98</v>
      </c>
      <c r="L854" s="13">
        <f t="shared" si="47"/>
        <v>6</v>
      </c>
      <c r="M854" s="13">
        <f t="shared" si="48"/>
        <v>3.83</v>
      </c>
    </row>
    <row r="855" spans="7:13">
      <c r="G855" s="27">
        <v>40917</v>
      </c>
      <c r="H855" s="26">
        <v>3.89</v>
      </c>
      <c r="I855" s="26">
        <v>0.7</v>
      </c>
      <c r="J855" s="26">
        <v>3.8149999999999999</v>
      </c>
      <c r="K855" s="13">
        <f t="shared" si="46"/>
        <v>19.164999999999999</v>
      </c>
      <c r="L855" s="13">
        <f t="shared" si="47"/>
        <v>5</v>
      </c>
      <c r="M855" s="13">
        <f t="shared" si="48"/>
        <v>3.8329999999999997</v>
      </c>
    </row>
    <row r="856" spans="7:13">
      <c r="G856" s="27">
        <v>40914</v>
      </c>
      <c r="H856" s="26">
        <v>3.89</v>
      </c>
      <c r="I856" s="26">
        <v>0.7</v>
      </c>
      <c r="J856" s="26">
        <v>3.8149999999999999</v>
      </c>
      <c r="K856" s="13">
        <f t="shared" si="46"/>
        <v>15.35</v>
      </c>
      <c r="L856" s="13">
        <f t="shared" si="47"/>
        <v>4</v>
      </c>
      <c r="M856" s="13">
        <f t="shared" si="48"/>
        <v>3.8374999999999999</v>
      </c>
    </row>
    <row r="857" spans="7:13">
      <c r="G857" s="27">
        <v>40913</v>
      </c>
      <c r="H857" s="26">
        <v>3.89</v>
      </c>
      <c r="I857" s="26">
        <v>0.7</v>
      </c>
      <c r="J857" s="26">
        <v>3.8149999999999999</v>
      </c>
      <c r="K857" s="13">
        <f t="shared" si="46"/>
        <v>11.535</v>
      </c>
      <c r="L857" s="13">
        <f t="shared" si="47"/>
        <v>3</v>
      </c>
      <c r="M857" s="13">
        <f t="shared" si="48"/>
        <v>3.8450000000000002</v>
      </c>
    </row>
    <row r="858" spans="7:13">
      <c r="G858" s="27">
        <v>40912</v>
      </c>
      <c r="H858" s="26">
        <v>3.91</v>
      </c>
      <c r="I858" s="26">
        <v>0.8</v>
      </c>
      <c r="J858" s="26">
        <v>3.86</v>
      </c>
      <c r="K858" s="13">
        <f t="shared" si="46"/>
        <v>7.72</v>
      </c>
      <c r="L858" s="13">
        <f t="shared" si="47"/>
        <v>2</v>
      </c>
      <c r="M858" s="13">
        <f t="shared" si="48"/>
        <v>3.86</v>
      </c>
    </row>
    <row r="859" spans="7:13">
      <c r="G859" s="27">
        <v>40911</v>
      </c>
      <c r="H859" s="26">
        <v>3.91</v>
      </c>
      <c r="I859" s="26">
        <v>0.8</v>
      </c>
      <c r="J859" s="26">
        <v>3.86</v>
      </c>
      <c r="K859" s="13">
        <f t="shared" si="46"/>
        <v>3.86</v>
      </c>
      <c r="L859" s="13">
        <f t="shared" si="47"/>
        <v>1</v>
      </c>
      <c r="M859" s="13">
        <f t="shared" si="48"/>
        <v>3.86</v>
      </c>
    </row>
    <row r="860" spans="7:13">
      <c r="G860" s="27">
        <v>40907</v>
      </c>
      <c r="H860" s="26">
        <v>3.91</v>
      </c>
      <c r="I860" s="26">
        <v>0.8</v>
      </c>
      <c r="J860" s="26">
        <v>3.86</v>
      </c>
      <c r="K860" s="13">
        <f t="shared" si="46"/>
        <v>81.42</v>
      </c>
      <c r="L860" s="13">
        <f t="shared" si="47"/>
        <v>21</v>
      </c>
      <c r="M860" s="13">
        <f t="shared" si="48"/>
        <v>3.8771428571428572</v>
      </c>
    </row>
    <row r="861" spans="7:13">
      <c r="G861" s="27">
        <v>40906</v>
      </c>
      <c r="H861" s="26">
        <v>3.91</v>
      </c>
      <c r="I861" s="26">
        <v>0.8</v>
      </c>
      <c r="J861" s="26">
        <v>3.86</v>
      </c>
      <c r="K861" s="13">
        <f t="shared" si="46"/>
        <v>77.56</v>
      </c>
      <c r="L861" s="13">
        <f t="shared" si="47"/>
        <v>20</v>
      </c>
      <c r="M861" s="13">
        <f t="shared" si="48"/>
        <v>3.8780000000000001</v>
      </c>
    </row>
    <row r="862" spans="7:13">
      <c r="G862" s="27">
        <v>40905</v>
      </c>
      <c r="H862" s="26">
        <v>3.95</v>
      </c>
      <c r="I862" s="26">
        <v>0.7</v>
      </c>
      <c r="J862" s="26">
        <v>3.875</v>
      </c>
      <c r="K862" s="13">
        <f t="shared" si="46"/>
        <v>73.7</v>
      </c>
      <c r="L862" s="13">
        <f t="shared" si="47"/>
        <v>19</v>
      </c>
      <c r="M862" s="13">
        <f t="shared" si="48"/>
        <v>3.8789473684210529</v>
      </c>
    </row>
    <row r="863" spans="7:13">
      <c r="G863" s="27">
        <v>40904</v>
      </c>
      <c r="H863" s="26">
        <v>3.95</v>
      </c>
      <c r="I863" s="26">
        <v>0.7</v>
      </c>
      <c r="J863" s="26">
        <v>3.875</v>
      </c>
      <c r="K863" s="13">
        <f t="shared" si="46"/>
        <v>69.825000000000003</v>
      </c>
      <c r="L863" s="13">
        <f t="shared" si="47"/>
        <v>18</v>
      </c>
      <c r="M863" s="13">
        <f t="shared" si="48"/>
        <v>3.8791666666666669</v>
      </c>
    </row>
    <row r="864" spans="7:13">
      <c r="G864" s="27">
        <v>40900</v>
      </c>
      <c r="H864" s="26">
        <v>3.95</v>
      </c>
      <c r="I864" s="26">
        <v>0.7</v>
      </c>
      <c r="J864" s="26">
        <v>3.875</v>
      </c>
      <c r="K864" s="13">
        <f t="shared" si="46"/>
        <v>65.95</v>
      </c>
      <c r="L864" s="13">
        <f t="shared" si="47"/>
        <v>17</v>
      </c>
      <c r="M864" s="13">
        <f t="shared" si="48"/>
        <v>3.8794117647058823</v>
      </c>
    </row>
    <row r="865" spans="7:13">
      <c r="G865" s="27">
        <v>40899</v>
      </c>
      <c r="H865" s="26">
        <v>3.95</v>
      </c>
      <c r="I865" s="26">
        <v>0.7</v>
      </c>
      <c r="J865" s="26">
        <v>3.875</v>
      </c>
      <c r="K865" s="13">
        <f t="shared" si="46"/>
        <v>62.075000000000003</v>
      </c>
      <c r="L865" s="13">
        <f t="shared" si="47"/>
        <v>16</v>
      </c>
      <c r="M865" s="13">
        <f t="shared" si="48"/>
        <v>3.8796875000000002</v>
      </c>
    </row>
    <row r="866" spans="7:13">
      <c r="G866" s="27">
        <v>40898</v>
      </c>
      <c r="H866" s="26">
        <v>3.91</v>
      </c>
      <c r="I866" s="26">
        <v>0.7</v>
      </c>
      <c r="J866" s="26">
        <v>3.835</v>
      </c>
      <c r="K866" s="13">
        <f t="shared" si="46"/>
        <v>58.2</v>
      </c>
      <c r="L866" s="13">
        <f t="shared" si="47"/>
        <v>15</v>
      </c>
      <c r="M866" s="13">
        <f t="shared" si="48"/>
        <v>3.8800000000000003</v>
      </c>
    </row>
    <row r="867" spans="7:13">
      <c r="G867" s="27">
        <v>40897</v>
      </c>
      <c r="H867" s="26">
        <v>3.91</v>
      </c>
      <c r="I867" s="26">
        <v>0.7</v>
      </c>
      <c r="J867" s="26">
        <v>3.835</v>
      </c>
      <c r="K867" s="13">
        <f t="shared" si="46"/>
        <v>54.365000000000002</v>
      </c>
      <c r="L867" s="13">
        <f t="shared" si="47"/>
        <v>14</v>
      </c>
      <c r="M867" s="13">
        <f t="shared" si="48"/>
        <v>3.8832142857142857</v>
      </c>
    </row>
    <row r="868" spans="7:13">
      <c r="G868" s="27">
        <v>40896</v>
      </c>
      <c r="H868" s="26">
        <v>3.91</v>
      </c>
      <c r="I868" s="26">
        <v>0.7</v>
      </c>
      <c r="J868" s="26">
        <v>3.835</v>
      </c>
      <c r="K868" s="13">
        <f t="shared" si="46"/>
        <v>50.53</v>
      </c>
      <c r="L868" s="13">
        <f t="shared" si="47"/>
        <v>13</v>
      </c>
      <c r="M868" s="13">
        <f t="shared" si="48"/>
        <v>3.8869230769230771</v>
      </c>
    </row>
    <row r="869" spans="7:13">
      <c r="G869" s="27">
        <v>40893</v>
      </c>
      <c r="H869" s="26">
        <v>3.91</v>
      </c>
      <c r="I869" s="26">
        <v>0.7</v>
      </c>
      <c r="J869" s="26">
        <v>3.835</v>
      </c>
      <c r="K869" s="13">
        <f t="shared" si="46"/>
        <v>46.695</v>
      </c>
      <c r="L869" s="13">
        <f t="shared" si="47"/>
        <v>12</v>
      </c>
      <c r="M869" s="13">
        <f t="shared" si="48"/>
        <v>3.8912499999999999</v>
      </c>
    </row>
    <row r="870" spans="7:13">
      <c r="G870" s="27">
        <v>40892</v>
      </c>
      <c r="H870" s="26">
        <v>3.91</v>
      </c>
      <c r="I870" s="26">
        <v>0.7</v>
      </c>
      <c r="J870" s="26">
        <v>3.835</v>
      </c>
      <c r="K870" s="13">
        <f t="shared" si="46"/>
        <v>42.86</v>
      </c>
      <c r="L870" s="13">
        <f t="shared" si="47"/>
        <v>11</v>
      </c>
      <c r="M870" s="13">
        <f t="shared" si="48"/>
        <v>3.8963636363636365</v>
      </c>
    </row>
    <row r="871" spans="7:13">
      <c r="G871" s="27">
        <v>40891</v>
      </c>
      <c r="H871" s="26">
        <v>3.94</v>
      </c>
      <c r="I871" s="26">
        <v>0.8</v>
      </c>
      <c r="J871" s="26">
        <v>3.89</v>
      </c>
      <c r="K871" s="13">
        <f t="shared" si="46"/>
        <v>39.024999999999999</v>
      </c>
      <c r="L871" s="13">
        <f t="shared" si="47"/>
        <v>10</v>
      </c>
      <c r="M871" s="13">
        <f t="shared" si="48"/>
        <v>3.9024999999999999</v>
      </c>
    </row>
    <row r="872" spans="7:13">
      <c r="G872" s="27">
        <v>40890</v>
      </c>
      <c r="H872" s="26">
        <v>3.94</v>
      </c>
      <c r="I872" s="26">
        <v>0.8</v>
      </c>
      <c r="J872" s="26">
        <v>3.89</v>
      </c>
      <c r="K872" s="13">
        <f t="shared" si="46"/>
        <v>35.134999999999998</v>
      </c>
      <c r="L872" s="13">
        <f t="shared" si="47"/>
        <v>9</v>
      </c>
      <c r="M872" s="13">
        <f t="shared" si="48"/>
        <v>3.9038888888888885</v>
      </c>
    </row>
    <row r="873" spans="7:13">
      <c r="G873" s="27">
        <v>40889</v>
      </c>
      <c r="H873" s="26">
        <v>3.94</v>
      </c>
      <c r="I873" s="26">
        <v>0.8</v>
      </c>
      <c r="J873" s="26">
        <v>3.89</v>
      </c>
      <c r="K873" s="13">
        <f t="shared" si="46"/>
        <v>31.245000000000001</v>
      </c>
      <c r="L873" s="13">
        <f t="shared" si="47"/>
        <v>8</v>
      </c>
      <c r="M873" s="13">
        <f t="shared" si="48"/>
        <v>3.9056250000000001</v>
      </c>
    </row>
    <row r="874" spans="7:13">
      <c r="G874" s="27">
        <v>40886</v>
      </c>
      <c r="H874" s="26">
        <v>3.94</v>
      </c>
      <c r="I874" s="26">
        <v>0.8</v>
      </c>
      <c r="J874" s="26">
        <v>3.89</v>
      </c>
      <c r="K874" s="13">
        <f t="shared" si="46"/>
        <v>27.355</v>
      </c>
      <c r="L874" s="13">
        <f t="shared" si="47"/>
        <v>7</v>
      </c>
      <c r="M874" s="13">
        <f t="shared" si="48"/>
        <v>3.9078571428571429</v>
      </c>
    </row>
    <row r="875" spans="7:13">
      <c r="G875" s="27">
        <v>40885</v>
      </c>
      <c r="H875" s="26">
        <v>3.94</v>
      </c>
      <c r="I875" s="26">
        <v>0.8</v>
      </c>
      <c r="J875" s="26">
        <v>3.89</v>
      </c>
      <c r="K875" s="13">
        <f t="shared" si="46"/>
        <v>23.465</v>
      </c>
      <c r="L875" s="13">
        <f t="shared" si="47"/>
        <v>6</v>
      </c>
      <c r="M875" s="13">
        <f t="shared" si="48"/>
        <v>3.9108333333333332</v>
      </c>
    </row>
    <row r="876" spans="7:13">
      <c r="G876" s="27">
        <v>40884</v>
      </c>
      <c r="H876" s="26">
        <v>3.99</v>
      </c>
      <c r="I876" s="26">
        <v>0.7</v>
      </c>
      <c r="J876" s="26">
        <v>3.915</v>
      </c>
      <c r="K876" s="13">
        <f t="shared" si="46"/>
        <v>19.574999999999999</v>
      </c>
      <c r="L876" s="13">
        <f t="shared" si="47"/>
        <v>5</v>
      </c>
      <c r="M876" s="13">
        <f t="shared" si="48"/>
        <v>3.915</v>
      </c>
    </row>
    <row r="877" spans="7:13">
      <c r="G877" s="27">
        <v>40883</v>
      </c>
      <c r="H877" s="26">
        <v>3.99</v>
      </c>
      <c r="I877" s="26">
        <v>0.7</v>
      </c>
      <c r="J877" s="26">
        <v>3.915</v>
      </c>
      <c r="K877" s="13">
        <f t="shared" si="46"/>
        <v>15.66</v>
      </c>
      <c r="L877" s="13">
        <f t="shared" si="47"/>
        <v>4</v>
      </c>
      <c r="M877" s="13">
        <f t="shared" si="48"/>
        <v>3.915</v>
      </c>
    </row>
    <row r="878" spans="7:13">
      <c r="G878" s="27">
        <v>40882</v>
      </c>
      <c r="H878" s="26">
        <v>3.99</v>
      </c>
      <c r="I878" s="26">
        <v>0.7</v>
      </c>
      <c r="J878" s="26">
        <v>3.915</v>
      </c>
      <c r="K878" s="13">
        <f t="shared" si="46"/>
        <v>11.745000000000001</v>
      </c>
      <c r="L878" s="13">
        <f t="shared" si="47"/>
        <v>3</v>
      </c>
      <c r="M878" s="13">
        <f t="shared" si="48"/>
        <v>3.9150000000000005</v>
      </c>
    </row>
    <row r="879" spans="7:13">
      <c r="G879" s="27">
        <v>40879</v>
      </c>
      <c r="H879" s="26">
        <v>3.99</v>
      </c>
      <c r="I879" s="26">
        <v>0.7</v>
      </c>
      <c r="J879" s="26">
        <v>3.915</v>
      </c>
      <c r="K879" s="13">
        <f t="shared" si="46"/>
        <v>7.83</v>
      </c>
      <c r="L879" s="13">
        <f t="shared" si="47"/>
        <v>2</v>
      </c>
      <c r="M879" s="13">
        <f t="shared" si="48"/>
        <v>3.915</v>
      </c>
    </row>
    <row r="880" spans="7:13">
      <c r="G880" s="27">
        <v>40878</v>
      </c>
      <c r="H880" s="26">
        <v>3.99</v>
      </c>
      <c r="I880" s="26">
        <v>0.7</v>
      </c>
      <c r="J880" s="26">
        <v>3.915</v>
      </c>
      <c r="K880" s="13">
        <f t="shared" si="46"/>
        <v>3.915</v>
      </c>
      <c r="L880" s="13">
        <f t="shared" si="47"/>
        <v>1</v>
      </c>
      <c r="M880" s="13">
        <f t="shared" si="48"/>
        <v>3.915</v>
      </c>
    </row>
    <row r="881" spans="7:13">
      <c r="G881" s="27">
        <v>40877</v>
      </c>
      <c r="H881" s="26">
        <v>4</v>
      </c>
      <c r="I881" s="26">
        <v>0.7</v>
      </c>
      <c r="J881" s="26">
        <v>3.9249999999999998</v>
      </c>
      <c r="K881" s="13">
        <f t="shared" si="46"/>
        <v>78.349999999999994</v>
      </c>
      <c r="L881" s="13">
        <f t="shared" si="47"/>
        <v>20</v>
      </c>
      <c r="M881" s="13">
        <f t="shared" si="48"/>
        <v>3.9174999999999995</v>
      </c>
    </row>
    <row r="882" spans="7:13">
      <c r="G882" s="27">
        <v>40876</v>
      </c>
      <c r="H882" s="26">
        <v>4</v>
      </c>
      <c r="I882" s="26">
        <v>0.7</v>
      </c>
      <c r="J882" s="26">
        <v>3.9249999999999998</v>
      </c>
      <c r="K882" s="13">
        <f t="shared" si="46"/>
        <v>74.424999999999997</v>
      </c>
      <c r="L882" s="13">
        <f t="shared" si="47"/>
        <v>19</v>
      </c>
      <c r="M882" s="13">
        <f t="shared" si="48"/>
        <v>3.9171052631578944</v>
      </c>
    </row>
    <row r="883" spans="7:13">
      <c r="G883" s="27">
        <v>40875</v>
      </c>
      <c r="H883" s="26">
        <v>4</v>
      </c>
      <c r="I883" s="26">
        <v>0.7</v>
      </c>
      <c r="J883" s="26">
        <v>3.9249999999999998</v>
      </c>
      <c r="K883" s="13">
        <f t="shared" si="46"/>
        <v>70.5</v>
      </c>
      <c r="L883" s="13">
        <f t="shared" si="47"/>
        <v>18</v>
      </c>
      <c r="M883" s="13">
        <f t="shared" si="48"/>
        <v>3.9166666666666665</v>
      </c>
    </row>
    <row r="884" spans="7:13">
      <c r="G884" s="27">
        <v>40872</v>
      </c>
      <c r="H884" s="26">
        <v>4</v>
      </c>
      <c r="I884" s="26">
        <v>0.7</v>
      </c>
      <c r="J884" s="26">
        <v>3.9249999999999998</v>
      </c>
      <c r="K884" s="13">
        <f t="shared" si="46"/>
        <v>66.575000000000003</v>
      </c>
      <c r="L884" s="13">
        <f t="shared" si="47"/>
        <v>17</v>
      </c>
      <c r="M884" s="13">
        <f t="shared" si="48"/>
        <v>3.9161764705882356</v>
      </c>
    </row>
    <row r="885" spans="7:13">
      <c r="G885" s="27">
        <v>40869</v>
      </c>
      <c r="H885" s="26">
        <v>3.98</v>
      </c>
      <c r="I885" s="26">
        <v>0.7</v>
      </c>
      <c r="J885" s="26">
        <v>3.9049999999999998</v>
      </c>
      <c r="K885" s="13">
        <f t="shared" si="46"/>
        <v>62.65</v>
      </c>
      <c r="L885" s="13">
        <f t="shared" si="47"/>
        <v>16</v>
      </c>
      <c r="M885" s="13">
        <f t="shared" si="48"/>
        <v>3.9156249999999999</v>
      </c>
    </row>
    <row r="886" spans="7:13">
      <c r="G886" s="27">
        <v>40868</v>
      </c>
      <c r="H886" s="26">
        <v>3.98</v>
      </c>
      <c r="I886" s="26">
        <v>0.7</v>
      </c>
      <c r="J886" s="26">
        <v>3.9049999999999998</v>
      </c>
      <c r="K886" s="13">
        <f t="shared" si="46"/>
        <v>58.744999999999997</v>
      </c>
      <c r="L886" s="13">
        <f t="shared" si="47"/>
        <v>15</v>
      </c>
      <c r="M886" s="13">
        <f t="shared" si="48"/>
        <v>3.9163333333333332</v>
      </c>
    </row>
    <row r="887" spans="7:13">
      <c r="G887" s="27">
        <v>40865</v>
      </c>
      <c r="H887" s="26">
        <v>3.98</v>
      </c>
      <c r="I887" s="26">
        <v>0.7</v>
      </c>
      <c r="J887" s="26">
        <v>3.9049999999999998</v>
      </c>
      <c r="K887" s="13">
        <f t="shared" si="46"/>
        <v>54.839999999999996</v>
      </c>
      <c r="L887" s="13">
        <f t="shared" si="47"/>
        <v>14</v>
      </c>
      <c r="M887" s="13">
        <f t="shared" si="48"/>
        <v>3.9171428571428568</v>
      </c>
    </row>
    <row r="888" spans="7:13">
      <c r="G888" s="27">
        <v>40864</v>
      </c>
      <c r="H888" s="26">
        <v>3.98</v>
      </c>
      <c r="I888" s="26">
        <v>0.7</v>
      </c>
      <c r="J888" s="26">
        <v>3.9049999999999998</v>
      </c>
      <c r="K888" s="13">
        <f t="shared" si="46"/>
        <v>50.934999999999995</v>
      </c>
      <c r="L888" s="13">
        <f t="shared" si="47"/>
        <v>13</v>
      </c>
      <c r="M888" s="13">
        <f t="shared" si="48"/>
        <v>3.9180769230769226</v>
      </c>
    </row>
    <row r="889" spans="7:13">
      <c r="G889" s="27">
        <v>40863</v>
      </c>
      <c r="H889" s="26">
        <v>3.98</v>
      </c>
      <c r="I889" s="26">
        <v>0.7</v>
      </c>
      <c r="J889" s="26">
        <v>3.9049999999999998</v>
      </c>
      <c r="K889" s="13">
        <f t="shared" si="46"/>
        <v>47.029999999999994</v>
      </c>
      <c r="L889" s="13">
        <f t="shared" si="47"/>
        <v>12</v>
      </c>
      <c r="M889" s="13">
        <f t="shared" si="48"/>
        <v>3.919166666666666</v>
      </c>
    </row>
    <row r="890" spans="7:13">
      <c r="G890" s="27">
        <v>40863</v>
      </c>
      <c r="H890" s="26">
        <v>4</v>
      </c>
      <c r="I890" s="26">
        <v>0.7</v>
      </c>
      <c r="J890" s="26">
        <v>3.9249999999999998</v>
      </c>
      <c r="K890" s="13">
        <f t="shared" si="46"/>
        <v>43.124999999999993</v>
      </c>
      <c r="L890" s="13">
        <f t="shared" si="47"/>
        <v>11</v>
      </c>
      <c r="M890" s="13">
        <f t="shared" si="48"/>
        <v>3.920454545454545</v>
      </c>
    </row>
    <row r="891" spans="7:13">
      <c r="G891" s="27">
        <v>40862</v>
      </c>
      <c r="H891" s="26">
        <v>4</v>
      </c>
      <c r="I891" s="26">
        <v>0.7</v>
      </c>
      <c r="J891" s="26">
        <v>3.9249999999999998</v>
      </c>
      <c r="K891" s="13">
        <f t="shared" si="46"/>
        <v>39.199999999999996</v>
      </c>
      <c r="L891" s="13">
        <f t="shared" si="47"/>
        <v>10</v>
      </c>
      <c r="M891" s="13">
        <f t="shared" si="48"/>
        <v>3.9199999999999995</v>
      </c>
    </row>
    <row r="892" spans="7:13">
      <c r="G892" s="27">
        <v>40861</v>
      </c>
      <c r="H892" s="26">
        <v>4</v>
      </c>
      <c r="I892" s="26">
        <v>0.7</v>
      </c>
      <c r="J892" s="26">
        <v>3.9249999999999998</v>
      </c>
      <c r="K892" s="13">
        <f t="shared" si="46"/>
        <v>35.274999999999999</v>
      </c>
      <c r="L892" s="13">
        <f t="shared" si="47"/>
        <v>9</v>
      </c>
      <c r="M892" s="13">
        <f t="shared" si="48"/>
        <v>3.9194444444444443</v>
      </c>
    </row>
    <row r="893" spans="7:13">
      <c r="G893" s="27">
        <v>40857</v>
      </c>
      <c r="H893" s="26">
        <v>4</v>
      </c>
      <c r="I893" s="26">
        <v>0.7</v>
      </c>
      <c r="J893" s="26">
        <v>3.9249999999999998</v>
      </c>
      <c r="K893" s="13">
        <f t="shared" si="46"/>
        <v>31.349999999999998</v>
      </c>
      <c r="L893" s="13">
        <f t="shared" si="47"/>
        <v>8</v>
      </c>
      <c r="M893" s="13">
        <f t="shared" si="48"/>
        <v>3.9187499999999997</v>
      </c>
    </row>
    <row r="894" spans="7:13">
      <c r="G894" s="27">
        <v>40856</v>
      </c>
      <c r="H894" s="26">
        <v>3.99</v>
      </c>
      <c r="I894" s="26">
        <v>0.7</v>
      </c>
      <c r="J894" s="26">
        <v>3.915</v>
      </c>
      <c r="K894" s="13">
        <f t="shared" si="46"/>
        <v>27.424999999999997</v>
      </c>
      <c r="L894" s="13">
        <f t="shared" si="47"/>
        <v>7</v>
      </c>
      <c r="M894" s="13">
        <f t="shared" si="48"/>
        <v>3.9178571428571423</v>
      </c>
    </row>
    <row r="895" spans="7:13">
      <c r="G895" s="27">
        <v>40855</v>
      </c>
      <c r="H895" s="26">
        <v>3.99</v>
      </c>
      <c r="I895" s="26">
        <v>0.7</v>
      </c>
      <c r="J895" s="26">
        <v>3.915</v>
      </c>
      <c r="K895" s="13">
        <f t="shared" si="46"/>
        <v>23.509999999999998</v>
      </c>
      <c r="L895" s="13">
        <f t="shared" si="47"/>
        <v>6</v>
      </c>
      <c r="M895" s="13">
        <f t="shared" si="48"/>
        <v>3.918333333333333</v>
      </c>
    </row>
    <row r="896" spans="7:13">
      <c r="G896" s="27">
        <v>40854</v>
      </c>
      <c r="H896" s="26">
        <v>3.99</v>
      </c>
      <c r="I896" s="26">
        <v>0.7</v>
      </c>
      <c r="J896" s="26">
        <v>3.915</v>
      </c>
      <c r="K896" s="13">
        <f t="shared" si="46"/>
        <v>19.594999999999999</v>
      </c>
      <c r="L896" s="13">
        <f t="shared" si="47"/>
        <v>5</v>
      </c>
      <c r="M896" s="13">
        <f t="shared" si="48"/>
        <v>3.9189999999999996</v>
      </c>
    </row>
    <row r="897" spans="7:13">
      <c r="G897" s="27">
        <v>40851</v>
      </c>
      <c r="H897" s="26">
        <v>3.99</v>
      </c>
      <c r="I897" s="26">
        <v>0.7</v>
      </c>
      <c r="J897" s="26">
        <v>3.915</v>
      </c>
      <c r="K897" s="13">
        <f t="shared" si="46"/>
        <v>15.68</v>
      </c>
      <c r="L897" s="13">
        <f t="shared" si="47"/>
        <v>4</v>
      </c>
      <c r="M897" s="13">
        <f t="shared" si="48"/>
        <v>3.92</v>
      </c>
    </row>
    <row r="898" spans="7:13">
      <c r="G898" s="27">
        <v>40850</v>
      </c>
      <c r="H898" s="26">
        <v>3.99</v>
      </c>
      <c r="I898" s="26">
        <v>0.7</v>
      </c>
      <c r="J898" s="26">
        <v>3.915</v>
      </c>
      <c r="K898" s="13">
        <f t="shared" si="46"/>
        <v>11.765000000000001</v>
      </c>
      <c r="L898" s="13">
        <f t="shared" si="47"/>
        <v>3</v>
      </c>
      <c r="M898" s="13">
        <f t="shared" si="48"/>
        <v>3.9216666666666669</v>
      </c>
    </row>
    <row r="899" spans="7:13">
      <c r="G899" s="27">
        <v>40849</v>
      </c>
      <c r="H899" s="26">
        <v>4</v>
      </c>
      <c r="I899" s="26">
        <v>0.7</v>
      </c>
      <c r="J899" s="26">
        <v>3.9249999999999998</v>
      </c>
      <c r="K899" s="13">
        <f t="shared" si="46"/>
        <v>7.85</v>
      </c>
      <c r="L899" s="13">
        <f t="shared" si="47"/>
        <v>2</v>
      </c>
      <c r="M899" s="13">
        <f t="shared" si="48"/>
        <v>3.9249999999999998</v>
      </c>
    </row>
    <row r="900" spans="7:13">
      <c r="G900" s="27">
        <v>40848</v>
      </c>
      <c r="H900" s="26">
        <v>4</v>
      </c>
      <c r="I900" s="26">
        <v>0.7</v>
      </c>
      <c r="J900" s="26">
        <v>3.9249999999999998</v>
      </c>
      <c r="K900" s="13">
        <f t="shared" ref="K900:K963" si="49">IF(MONTH(G900)=MONTH(G901),J900+K901,J900)</f>
        <v>3.9249999999999998</v>
      </c>
      <c r="L900" s="13">
        <f t="shared" ref="L900:L963" si="50">IF(MONTH(G900)=MONTH(G901),L901+1,1)</f>
        <v>1</v>
      </c>
      <c r="M900" s="13">
        <f t="shared" si="48"/>
        <v>3.9249999999999998</v>
      </c>
    </row>
    <row r="901" spans="7:13">
      <c r="G901" s="27">
        <v>40847</v>
      </c>
      <c r="H901" s="26">
        <v>4</v>
      </c>
      <c r="I901" s="26">
        <v>0.7</v>
      </c>
      <c r="J901" s="26">
        <v>3.9249999999999998</v>
      </c>
      <c r="K901" s="13">
        <f t="shared" si="49"/>
        <v>80.274999999999991</v>
      </c>
      <c r="L901" s="13">
        <f t="shared" si="50"/>
        <v>20</v>
      </c>
      <c r="M901" s="13">
        <f t="shared" ref="M901:M964" si="51">K901/L901</f>
        <v>4.0137499999999999</v>
      </c>
    </row>
    <row r="902" spans="7:13">
      <c r="G902" s="27">
        <v>40844</v>
      </c>
      <c r="H902" s="26">
        <v>4</v>
      </c>
      <c r="I902" s="26">
        <v>0.7</v>
      </c>
      <c r="J902" s="26">
        <v>3.9249999999999998</v>
      </c>
      <c r="K902" s="13">
        <f t="shared" si="49"/>
        <v>76.349999999999994</v>
      </c>
      <c r="L902" s="13">
        <f t="shared" si="50"/>
        <v>19</v>
      </c>
      <c r="M902" s="13">
        <f t="shared" si="51"/>
        <v>4.0184210526315782</v>
      </c>
    </row>
    <row r="903" spans="7:13">
      <c r="G903" s="27">
        <v>40843</v>
      </c>
      <c r="H903" s="26">
        <v>4</v>
      </c>
      <c r="I903" s="26">
        <v>0.7</v>
      </c>
      <c r="J903" s="26">
        <v>3.9249999999999998</v>
      </c>
      <c r="K903" s="13">
        <f t="shared" si="49"/>
        <v>72.424999999999997</v>
      </c>
      <c r="L903" s="13">
        <f t="shared" si="50"/>
        <v>18</v>
      </c>
      <c r="M903" s="13">
        <f t="shared" si="51"/>
        <v>4.0236111111111112</v>
      </c>
    </row>
    <row r="904" spans="7:13">
      <c r="G904" s="27">
        <v>40842</v>
      </c>
      <c r="H904" s="26">
        <v>4.0999999999999996</v>
      </c>
      <c r="I904" s="26">
        <v>0.8</v>
      </c>
      <c r="J904" s="26">
        <v>4.05</v>
      </c>
      <c r="K904" s="13">
        <f t="shared" si="49"/>
        <v>68.5</v>
      </c>
      <c r="L904" s="13">
        <f t="shared" si="50"/>
        <v>17</v>
      </c>
      <c r="M904" s="13">
        <f t="shared" si="51"/>
        <v>4.0294117647058822</v>
      </c>
    </row>
    <row r="905" spans="7:13">
      <c r="G905" s="27">
        <v>40841</v>
      </c>
      <c r="H905" s="26">
        <v>4.0999999999999996</v>
      </c>
      <c r="I905" s="26">
        <v>0.8</v>
      </c>
      <c r="J905" s="26">
        <v>4.05</v>
      </c>
      <c r="K905" s="13">
        <f t="shared" si="49"/>
        <v>64.45</v>
      </c>
      <c r="L905" s="13">
        <f t="shared" si="50"/>
        <v>16</v>
      </c>
      <c r="M905" s="13">
        <f t="shared" si="51"/>
        <v>4.0281250000000002</v>
      </c>
    </row>
    <row r="906" spans="7:13">
      <c r="G906" s="27">
        <v>40840</v>
      </c>
      <c r="H906" s="26">
        <v>4.0999999999999996</v>
      </c>
      <c r="I906" s="26">
        <v>0.8</v>
      </c>
      <c r="J906" s="26">
        <v>4.05</v>
      </c>
      <c r="K906" s="13">
        <f t="shared" si="49"/>
        <v>60.400000000000006</v>
      </c>
      <c r="L906" s="13">
        <f t="shared" si="50"/>
        <v>15</v>
      </c>
      <c r="M906" s="13">
        <f t="shared" si="51"/>
        <v>4.0266666666666673</v>
      </c>
    </row>
    <row r="907" spans="7:13">
      <c r="G907" s="27">
        <v>40837</v>
      </c>
      <c r="H907" s="26">
        <v>4.0999999999999996</v>
      </c>
      <c r="I907" s="26">
        <v>0.8</v>
      </c>
      <c r="J907" s="26">
        <v>4.05</v>
      </c>
      <c r="K907" s="13">
        <f t="shared" si="49"/>
        <v>56.350000000000009</v>
      </c>
      <c r="L907" s="13">
        <f t="shared" si="50"/>
        <v>14</v>
      </c>
      <c r="M907" s="13">
        <f t="shared" si="51"/>
        <v>4.0250000000000004</v>
      </c>
    </row>
    <row r="908" spans="7:13">
      <c r="G908" s="27">
        <v>40836</v>
      </c>
      <c r="H908" s="26">
        <v>4.0999999999999996</v>
      </c>
      <c r="I908" s="26">
        <v>0.8</v>
      </c>
      <c r="J908" s="26">
        <v>4.05</v>
      </c>
      <c r="K908" s="13">
        <f t="shared" si="49"/>
        <v>52.300000000000011</v>
      </c>
      <c r="L908" s="13">
        <f t="shared" si="50"/>
        <v>13</v>
      </c>
      <c r="M908" s="13">
        <f t="shared" si="51"/>
        <v>4.0230769230769239</v>
      </c>
    </row>
    <row r="909" spans="7:13">
      <c r="G909" s="27">
        <v>40835</v>
      </c>
      <c r="H909" s="26">
        <v>4.1100000000000003</v>
      </c>
      <c r="I909" s="26">
        <v>0.8</v>
      </c>
      <c r="J909" s="26">
        <v>4.0599999999999996</v>
      </c>
      <c r="K909" s="13">
        <f t="shared" si="49"/>
        <v>48.250000000000014</v>
      </c>
      <c r="L909" s="13">
        <f t="shared" si="50"/>
        <v>12</v>
      </c>
      <c r="M909" s="13">
        <f t="shared" si="51"/>
        <v>4.0208333333333348</v>
      </c>
    </row>
    <row r="910" spans="7:13">
      <c r="G910" s="27">
        <v>40834</v>
      </c>
      <c r="H910" s="26">
        <v>4.1100000000000003</v>
      </c>
      <c r="I910" s="26">
        <v>0.8</v>
      </c>
      <c r="J910" s="26">
        <v>4.0599999999999996</v>
      </c>
      <c r="K910" s="13">
        <f t="shared" si="49"/>
        <v>44.190000000000012</v>
      </c>
      <c r="L910" s="13">
        <f t="shared" si="50"/>
        <v>11</v>
      </c>
      <c r="M910" s="13">
        <f t="shared" si="51"/>
        <v>4.0172727272727284</v>
      </c>
    </row>
    <row r="911" spans="7:13">
      <c r="G911" s="27">
        <v>40833</v>
      </c>
      <c r="H911" s="26">
        <v>4.1100000000000003</v>
      </c>
      <c r="I911" s="26">
        <v>0.8</v>
      </c>
      <c r="J911" s="26">
        <v>4.0599999999999996</v>
      </c>
      <c r="K911" s="13">
        <f t="shared" si="49"/>
        <v>40.13000000000001</v>
      </c>
      <c r="L911" s="13">
        <f t="shared" si="50"/>
        <v>10</v>
      </c>
      <c r="M911" s="13">
        <f t="shared" si="51"/>
        <v>4.0130000000000008</v>
      </c>
    </row>
    <row r="912" spans="7:13">
      <c r="G912" s="27">
        <v>40830</v>
      </c>
      <c r="H912" s="26">
        <v>4.1100000000000003</v>
      </c>
      <c r="I912" s="26">
        <v>0.8</v>
      </c>
      <c r="J912" s="26">
        <v>4.0599999999999996</v>
      </c>
      <c r="K912" s="13">
        <f t="shared" si="49"/>
        <v>36.070000000000007</v>
      </c>
      <c r="L912" s="13">
        <f t="shared" si="50"/>
        <v>9</v>
      </c>
      <c r="M912" s="13">
        <f t="shared" si="51"/>
        <v>4.007777777777779</v>
      </c>
    </row>
    <row r="913" spans="7:13">
      <c r="G913" s="27">
        <v>40829</v>
      </c>
      <c r="H913" s="26">
        <v>4.1100000000000003</v>
      </c>
      <c r="I913" s="26">
        <v>0.8</v>
      </c>
      <c r="J913" s="26">
        <v>4.0599999999999996</v>
      </c>
      <c r="K913" s="13">
        <f t="shared" si="49"/>
        <v>32.010000000000005</v>
      </c>
      <c r="L913" s="13">
        <f t="shared" si="50"/>
        <v>8</v>
      </c>
      <c r="M913" s="13">
        <f t="shared" si="51"/>
        <v>4.0012500000000006</v>
      </c>
    </row>
    <row r="914" spans="7:13">
      <c r="G914" s="27">
        <v>40828</v>
      </c>
      <c r="H914" s="26">
        <v>4.12</v>
      </c>
      <c r="I914" s="26">
        <v>0.8</v>
      </c>
      <c r="J914" s="26">
        <v>4.07</v>
      </c>
      <c r="K914" s="13">
        <f t="shared" si="49"/>
        <v>27.950000000000003</v>
      </c>
      <c r="L914" s="13">
        <f t="shared" si="50"/>
        <v>7</v>
      </c>
      <c r="M914" s="13">
        <f t="shared" si="51"/>
        <v>3.9928571428571433</v>
      </c>
    </row>
    <row r="915" spans="7:13">
      <c r="G915" s="27">
        <v>40827</v>
      </c>
      <c r="H915" s="26">
        <v>4.12</v>
      </c>
      <c r="I915" s="26">
        <v>0.8</v>
      </c>
      <c r="J915" s="26">
        <v>4.07</v>
      </c>
      <c r="K915" s="13">
        <f t="shared" si="49"/>
        <v>23.880000000000003</v>
      </c>
      <c r="L915" s="13">
        <f t="shared" si="50"/>
        <v>6</v>
      </c>
      <c r="M915" s="13">
        <f t="shared" si="51"/>
        <v>3.9800000000000004</v>
      </c>
    </row>
    <row r="916" spans="7:13">
      <c r="G916" s="27">
        <v>40823</v>
      </c>
      <c r="H916" s="26">
        <v>4.12</v>
      </c>
      <c r="I916" s="26">
        <v>0.8</v>
      </c>
      <c r="J916" s="26">
        <v>4.07</v>
      </c>
      <c r="K916" s="13">
        <f t="shared" si="49"/>
        <v>19.810000000000002</v>
      </c>
      <c r="L916" s="13">
        <f t="shared" si="50"/>
        <v>5</v>
      </c>
      <c r="M916" s="13">
        <f t="shared" si="51"/>
        <v>3.9620000000000006</v>
      </c>
    </row>
    <row r="917" spans="7:13">
      <c r="G917" s="27">
        <v>40822</v>
      </c>
      <c r="H917" s="26">
        <v>4.12</v>
      </c>
      <c r="I917" s="26">
        <v>0.8</v>
      </c>
      <c r="J917" s="26">
        <v>4.07</v>
      </c>
      <c r="K917" s="13">
        <f t="shared" si="49"/>
        <v>15.74</v>
      </c>
      <c r="L917" s="13">
        <f t="shared" si="50"/>
        <v>4</v>
      </c>
      <c r="M917" s="13">
        <f t="shared" si="51"/>
        <v>3.9350000000000001</v>
      </c>
    </row>
    <row r="918" spans="7:13">
      <c r="G918" s="27">
        <v>40821</v>
      </c>
      <c r="H918" s="26">
        <v>3.94</v>
      </c>
      <c r="I918" s="26">
        <v>0.8</v>
      </c>
      <c r="J918" s="26">
        <v>3.89</v>
      </c>
      <c r="K918" s="13">
        <f t="shared" si="49"/>
        <v>11.67</v>
      </c>
      <c r="L918" s="13">
        <f t="shared" si="50"/>
        <v>3</v>
      </c>
      <c r="M918" s="13">
        <f t="shared" si="51"/>
        <v>3.89</v>
      </c>
    </row>
    <row r="919" spans="7:13">
      <c r="G919" s="27">
        <v>40820</v>
      </c>
      <c r="H919" s="26">
        <v>3.94</v>
      </c>
      <c r="I919" s="26">
        <v>0.8</v>
      </c>
      <c r="J919" s="26">
        <v>3.89</v>
      </c>
      <c r="K919" s="13">
        <f t="shared" si="49"/>
        <v>7.78</v>
      </c>
      <c r="L919" s="13">
        <f t="shared" si="50"/>
        <v>2</v>
      </c>
      <c r="M919" s="13">
        <f t="shared" si="51"/>
        <v>3.89</v>
      </c>
    </row>
    <row r="920" spans="7:13">
      <c r="G920" s="27">
        <v>40819</v>
      </c>
      <c r="H920" s="26">
        <v>3.94</v>
      </c>
      <c r="I920" s="26">
        <v>0.8</v>
      </c>
      <c r="J920" s="26">
        <v>3.89</v>
      </c>
      <c r="K920" s="13">
        <f t="shared" si="49"/>
        <v>3.89</v>
      </c>
      <c r="L920" s="13">
        <f t="shared" si="50"/>
        <v>1</v>
      </c>
      <c r="M920" s="13">
        <f t="shared" si="51"/>
        <v>3.89</v>
      </c>
    </row>
    <row r="921" spans="7:13">
      <c r="G921" s="27">
        <v>40816</v>
      </c>
      <c r="H921" s="26">
        <v>3.94</v>
      </c>
      <c r="I921" s="26">
        <v>0.8</v>
      </c>
      <c r="J921" s="26">
        <v>3.89</v>
      </c>
      <c r="K921" s="13">
        <f t="shared" si="49"/>
        <v>83.785000000000011</v>
      </c>
      <c r="L921" s="13">
        <f t="shared" si="50"/>
        <v>21</v>
      </c>
      <c r="M921" s="13">
        <f t="shared" si="51"/>
        <v>3.9897619047619051</v>
      </c>
    </row>
    <row r="922" spans="7:13">
      <c r="G922" s="27">
        <v>40815</v>
      </c>
      <c r="H922" s="26">
        <v>3.94</v>
      </c>
      <c r="I922" s="26">
        <v>0.8</v>
      </c>
      <c r="J922" s="26">
        <v>3.89</v>
      </c>
      <c r="K922" s="13">
        <f t="shared" si="49"/>
        <v>79.89500000000001</v>
      </c>
      <c r="L922" s="13">
        <f t="shared" si="50"/>
        <v>20</v>
      </c>
      <c r="M922" s="13">
        <f t="shared" si="51"/>
        <v>3.9947500000000007</v>
      </c>
    </row>
    <row r="923" spans="7:13">
      <c r="G923" s="27">
        <v>40814</v>
      </c>
      <c r="H923" s="26">
        <v>4.01</v>
      </c>
      <c r="I923" s="26">
        <v>0.7</v>
      </c>
      <c r="J923" s="26">
        <v>3.9350000000000001</v>
      </c>
      <c r="K923" s="13">
        <f t="shared" si="49"/>
        <v>76.00500000000001</v>
      </c>
      <c r="L923" s="13">
        <f t="shared" si="50"/>
        <v>19</v>
      </c>
      <c r="M923" s="13">
        <f t="shared" si="51"/>
        <v>4.0002631578947376</v>
      </c>
    </row>
    <row r="924" spans="7:13">
      <c r="G924" s="27">
        <v>40813</v>
      </c>
      <c r="H924" s="26">
        <v>4.01</v>
      </c>
      <c r="I924" s="26">
        <v>0.7</v>
      </c>
      <c r="J924" s="26">
        <v>3.9350000000000001</v>
      </c>
      <c r="K924" s="13">
        <f t="shared" si="49"/>
        <v>72.070000000000007</v>
      </c>
      <c r="L924" s="13">
        <f t="shared" si="50"/>
        <v>18</v>
      </c>
      <c r="M924" s="13">
        <f t="shared" si="51"/>
        <v>4.0038888888888895</v>
      </c>
    </row>
    <row r="925" spans="7:13">
      <c r="G925" s="27">
        <v>40812</v>
      </c>
      <c r="H925" s="26">
        <v>4.01</v>
      </c>
      <c r="I925" s="26">
        <v>0.7</v>
      </c>
      <c r="J925" s="26">
        <v>3.9350000000000001</v>
      </c>
      <c r="K925" s="13">
        <f t="shared" si="49"/>
        <v>68.135000000000005</v>
      </c>
      <c r="L925" s="13">
        <f t="shared" si="50"/>
        <v>17</v>
      </c>
      <c r="M925" s="13">
        <f t="shared" si="51"/>
        <v>4.0079411764705881</v>
      </c>
    </row>
    <row r="926" spans="7:13">
      <c r="G926" s="27">
        <v>40809</v>
      </c>
      <c r="H926" s="26">
        <v>4.01</v>
      </c>
      <c r="I926" s="26">
        <v>0.7</v>
      </c>
      <c r="J926" s="26">
        <v>3.9350000000000001</v>
      </c>
      <c r="K926" s="13">
        <f t="shared" si="49"/>
        <v>64.2</v>
      </c>
      <c r="L926" s="13">
        <f t="shared" si="50"/>
        <v>16</v>
      </c>
      <c r="M926" s="13">
        <f t="shared" si="51"/>
        <v>4.0125000000000002</v>
      </c>
    </row>
    <row r="927" spans="7:13">
      <c r="G927" s="27">
        <v>40808</v>
      </c>
      <c r="H927" s="26">
        <v>4.01</v>
      </c>
      <c r="I927" s="26">
        <v>0.7</v>
      </c>
      <c r="J927" s="26">
        <v>3.9350000000000001</v>
      </c>
      <c r="K927" s="13">
        <f t="shared" si="49"/>
        <v>60.265000000000008</v>
      </c>
      <c r="L927" s="13">
        <f t="shared" si="50"/>
        <v>15</v>
      </c>
      <c r="M927" s="13">
        <f t="shared" si="51"/>
        <v>4.0176666666666669</v>
      </c>
    </row>
    <row r="928" spans="7:13">
      <c r="G928" s="27">
        <v>40807</v>
      </c>
      <c r="H928" s="26">
        <v>4.09</v>
      </c>
      <c r="I928" s="26">
        <v>0.7</v>
      </c>
      <c r="J928" s="26">
        <v>4.0149999999999997</v>
      </c>
      <c r="K928" s="13">
        <f t="shared" si="49"/>
        <v>56.330000000000005</v>
      </c>
      <c r="L928" s="13">
        <f t="shared" si="50"/>
        <v>14</v>
      </c>
      <c r="M928" s="13">
        <f t="shared" si="51"/>
        <v>4.0235714285714286</v>
      </c>
    </row>
    <row r="929" spans="7:13">
      <c r="G929" s="27">
        <v>40806</v>
      </c>
      <c r="H929" s="26">
        <v>4.09</v>
      </c>
      <c r="I929" s="26">
        <v>0.7</v>
      </c>
      <c r="J929" s="26">
        <v>4.0149999999999997</v>
      </c>
      <c r="K929" s="13">
        <f t="shared" si="49"/>
        <v>52.315000000000005</v>
      </c>
      <c r="L929" s="13">
        <f t="shared" si="50"/>
        <v>13</v>
      </c>
      <c r="M929" s="13">
        <f t="shared" si="51"/>
        <v>4.0242307692307699</v>
      </c>
    </row>
    <row r="930" spans="7:13">
      <c r="G930" s="27">
        <v>40805</v>
      </c>
      <c r="H930" s="26">
        <v>4.09</v>
      </c>
      <c r="I930" s="26">
        <v>0.7</v>
      </c>
      <c r="J930" s="26">
        <v>4.0149999999999997</v>
      </c>
      <c r="K930" s="13">
        <f t="shared" si="49"/>
        <v>48.300000000000004</v>
      </c>
      <c r="L930" s="13">
        <f t="shared" si="50"/>
        <v>12</v>
      </c>
      <c r="M930" s="13">
        <f t="shared" si="51"/>
        <v>4.0250000000000004</v>
      </c>
    </row>
    <row r="931" spans="7:13">
      <c r="G931" s="27">
        <v>40802</v>
      </c>
      <c r="H931" s="26">
        <v>4.09</v>
      </c>
      <c r="I931" s="26">
        <v>0.7</v>
      </c>
      <c r="J931" s="26">
        <v>4.0149999999999997</v>
      </c>
      <c r="K931" s="13">
        <f t="shared" si="49"/>
        <v>44.285000000000004</v>
      </c>
      <c r="L931" s="13">
        <f t="shared" si="50"/>
        <v>11</v>
      </c>
      <c r="M931" s="13">
        <f t="shared" si="51"/>
        <v>4.0259090909090913</v>
      </c>
    </row>
    <row r="932" spans="7:13">
      <c r="G932" s="27">
        <v>40801</v>
      </c>
      <c r="H932" s="26">
        <v>4.09</v>
      </c>
      <c r="I932" s="26">
        <v>0.7</v>
      </c>
      <c r="J932" s="26">
        <v>4.0149999999999997</v>
      </c>
      <c r="K932" s="13">
        <f t="shared" si="49"/>
        <v>40.270000000000003</v>
      </c>
      <c r="L932" s="13">
        <f t="shared" si="50"/>
        <v>10</v>
      </c>
      <c r="M932" s="13">
        <f t="shared" si="51"/>
        <v>4.0270000000000001</v>
      </c>
    </row>
    <row r="933" spans="7:13">
      <c r="G933" s="27">
        <v>40800</v>
      </c>
      <c r="H933" s="26">
        <v>4.09</v>
      </c>
      <c r="I933" s="26">
        <v>0.7</v>
      </c>
      <c r="J933" s="26">
        <v>4.0149999999999997</v>
      </c>
      <c r="K933" s="13">
        <f t="shared" si="49"/>
        <v>36.255000000000003</v>
      </c>
      <c r="L933" s="13">
        <f t="shared" si="50"/>
        <v>9</v>
      </c>
      <c r="M933" s="13">
        <f t="shared" si="51"/>
        <v>4.0283333333333333</v>
      </c>
    </row>
    <row r="934" spans="7:13">
      <c r="G934" s="27">
        <v>40799</v>
      </c>
      <c r="H934" s="26">
        <v>4.09</v>
      </c>
      <c r="I934" s="26">
        <v>0.7</v>
      </c>
      <c r="J934" s="26">
        <v>4.0149999999999997</v>
      </c>
      <c r="K934" s="13">
        <f t="shared" si="49"/>
        <v>32.24</v>
      </c>
      <c r="L934" s="13">
        <f t="shared" si="50"/>
        <v>8</v>
      </c>
      <c r="M934" s="13">
        <f t="shared" si="51"/>
        <v>4.03</v>
      </c>
    </row>
    <row r="935" spans="7:13">
      <c r="G935" s="27">
        <v>40798</v>
      </c>
      <c r="H935" s="26">
        <v>4.09</v>
      </c>
      <c r="I935" s="26">
        <v>0.7</v>
      </c>
      <c r="J935" s="26">
        <v>4.0149999999999997</v>
      </c>
      <c r="K935" s="13">
        <f t="shared" si="49"/>
        <v>28.225000000000001</v>
      </c>
      <c r="L935" s="13">
        <f t="shared" si="50"/>
        <v>7</v>
      </c>
      <c r="M935" s="13">
        <f t="shared" si="51"/>
        <v>4.0321428571428575</v>
      </c>
    </row>
    <row r="936" spans="7:13">
      <c r="G936" s="27">
        <v>40795</v>
      </c>
      <c r="H936" s="26">
        <v>4.09</v>
      </c>
      <c r="I936" s="26">
        <v>0.7</v>
      </c>
      <c r="J936" s="26">
        <v>4.0149999999999997</v>
      </c>
      <c r="K936" s="13">
        <f t="shared" si="49"/>
        <v>24.21</v>
      </c>
      <c r="L936" s="13">
        <f t="shared" si="50"/>
        <v>6</v>
      </c>
      <c r="M936" s="13">
        <f t="shared" si="51"/>
        <v>4.0350000000000001</v>
      </c>
    </row>
    <row r="937" spans="7:13">
      <c r="G937" s="27">
        <v>40794</v>
      </c>
      <c r="H937" s="26">
        <v>4.09</v>
      </c>
      <c r="I937" s="26">
        <v>0.7</v>
      </c>
      <c r="J937" s="26">
        <v>4.0149999999999997</v>
      </c>
      <c r="K937" s="13">
        <f t="shared" si="49"/>
        <v>20.195</v>
      </c>
      <c r="L937" s="13">
        <f t="shared" si="50"/>
        <v>5</v>
      </c>
      <c r="M937" s="13">
        <f t="shared" si="51"/>
        <v>4.0389999999999997</v>
      </c>
    </row>
    <row r="938" spans="7:13">
      <c r="G938" s="27">
        <v>40793</v>
      </c>
      <c r="H938" s="26">
        <v>4.12</v>
      </c>
      <c r="I938" s="26">
        <v>0.7</v>
      </c>
      <c r="J938" s="26">
        <v>4.0449999999999999</v>
      </c>
      <c r="K938" s="13">
        <f t="shared" si="49"/>
        <v>16.18</v>
      </c>
      <c r="L938" s="13">
        <f t="shared" si="50"/>
        <v>4</v>
      </c>
      <c r="M938" s="13">
        <f t="shared" si="51"/>
        <v>4.0449999999999999</v>
      </c>
    </row>
    <row r="939" spans="7:13">
      <c r="G939" s="27">
        <v>40792</v>
      </c>
      <c r="H939" s="26">
        <v>4.12</v>
      </c>
      <c r="I939" s="26">
        <v>0.7</v>
      </c>
      <c r="J939" s="26">
        <v>4.0449999999999999</v>
      </c>
      <c r="K939" s="13">
        <f t="shared" si="49"/>
        <v>12.135</v>
      </c>
      <c r="L939" s="13">
        <f t="shared" si="50"/>
        <v>3</v>
      </c>
      <c r="M939" s="13">
        <f t="shared" si="51"/>
        <v>4.0449999999999999</v>
      </c>
    </row>
    <row r="940" spans="7:13">
      <c r="G940" s="27">
        <v>40788</v>
      </c>
      <c r="H940" s="26">
        <v>4.12</v>
      </c>
      <c r="I940" s="26">
        <v>0.7</v>
      </c>
      <c r="J940" s="26">
        <v>4.0449999999999999</v>
      </c>
      <c r="K940" s="13">
        <f t="shared" si="49"/>
        <v>8.09</v>
      </c>
      <c r="L940" s="13">
        <f t="shared" si="50"/>
        <v>2</v>
      </c>
      <c r="M940" s="13">
        <f t="shared" si="51"/>
        <v>4.0449999999999999</v>
      </c>
    </row>
    <row r="941" spans="7:13">
      <c r="G941" s="27">
        <v>40787</v>
      </c>
      <c r="H941" s="26">
        <v>4.12</v>
      </c>
      <c r="I941" s="26">
        <v>0.7</v>
      </c>
      <c r="J941" s="26">
        <v>4.0449999999999999</v>
      </c>
      <c r="K941" s="13">
        <f t="shared" si="49"/>
        <v>4.0449999999999999</v>
      </c>
      <c r="L941" s="13">
        <f t="shared" si="50"/>
        <v>1</v>
      </c>
      <c r="M941" s="13">
        <f t="shared" si="51"/>
        <v>4.0449999999999999</v>
      </c>
    </row>
    <row r="942" spans="7:13">
      <c r="G942" s="27">
        <v>40786</v>
      </c>
      <c r="H942" s="26">
        <v>4.22</v>
      </c>
      <c r="I942" s="26">
        <v>0.7</v>
      </c>
      <c r="J942" s="26">
        <v>4.1449999999999996</v>
      </c>
      <c r="K942" s="13">
        <f t="shared" si="49"/>
        <v>96.069999999999979</v>
      </c>
      <c r="L942" s="13">
        <f t="shared" si="50"/>
        <v>23</v>
      </c>
      <c r="M942" s="13">
        <f t="shared" si="51"/>
        <v>4.1769565217391298</v>
      </c>
    </row>
    <row r="943" spans="7:13">
      <c r="G943" s="27">
        <v>40785</v>
      </c>
      <c r="H943" s="26">
        <v>4.22</v>
      </c>
      <c r="I943" s="26">
        <v>0.7</v>
      </c>
      <c r="J943" s="26">
        <v>4.1449999999999996</v>
      </c>
      <c r="K943" s="13">
        <f t="shared" si="49"/>
        <v>91.924999999999983</v>
      </c>
      <c r="L943" s="13">
        <f t="shared" si="50"/>
        <v>22</v>
      </c>
      <c r="M943" s="13">
        <f t="shared" si="51"/>
        <v>4.1784090909090903</v>
      </c>
    </row>
    <row r="944" spans="7:13">
      <c r="G944" s="27">
        <v>40784</v>
      </c>
      <c r="H944" s="26">
        <v>4.22</v>
      </c>
      <c r="I944" s="26">
        <v>0.7</v>
      </c>
      <c r="J944" s="26">
        <v>4.1449999999999996</v>
      </c>
      <c r="K944" s="13">
        <f t="shared" si="49"/>
        <v>87.779999999999987</v>
      </c>
      <c r="L944" s="13">
        <f t="shared" si="50"/>
        <v>21</v>
      </c>
      <c r="M944" s="13">
        <f t="shared" si="51"/>
        <v>4.18</v>
      </c>
    </row>
    <row r="945" spans="7:13">
      <c r="G945" s="27">
        <v>40781</v>
      </c>
      <c r="H945" s="26">
        <v>4.22</v>
      </c>
      <c r="I945" s="26">
        <v>0.7</v>
      </c>
      <c r="J945" s="26">
        <v>4.1449999999999996</v>
      </c>
      <c r="K945" s="13">
        <f t="shared" si="49"/>
        <v>83.634999999999991</v>
      </c>
      <c r="L945" s="13">
        <f t="shared" si="50"/>
        <v>20</v>
      </c>
      <c r="M945" s="13">
        <f t="shared" si="51"/>
        <v>4.1817499999999992</v>
      </c>
    </row>
    <row r="946" spans="7:13">
      <c r="G946" s="27">
        <v>40780</v>
      </c>
      <c r="H946" s="26">
        <v>4.22</v>
      </c>
      <c r="I946" s="26">
        <v>0.7</v>
      </c>
      <c r="J946" s="26">
        <v>4.1449999999999996</v>
      </c>
      <c r="K946" s="13">
        <f t="shared" si="49"/>
        <v>79.489999999999995</v>
      </c>
      <c r="L946" s="13">
        <f t="shared" si="50"/>
        <v>19</v>
      </c>
      <c r="M946" s="13">
        <f t="shared" si="51"/>
        <v>4.1836842105263159</v>
      </c>
    </row>
    <row r="947" spans="7:13">
      <c r="G947" s="27">
        <v>40779</v>
      </c>
      <c r="H947" s="26">
        <v>4.22</v>
      </c>
      <c r="I947" s="26">
        <v>0.7</v>
      </c>
      <c r="J947" s="26">
        <v>4.1449999999999996</v>
      </c>
      <c r="K947" s="13">
        <f t="shared" si="49"/>
        <v>75.344999999999999</v>
      </c>
      <c r="L947" s="13">
        <f t="shared" si="50"/>
        <v>18</v>
      </c>
      <c r="M947" s="13">
        <f t="shared" si="51"/>
        <v>4.1858333333333331</v>
      </c>
    </row>
    <row r="948" spans="7:13">
      <c r="G948" s="27">
        <v>40778</v>
      </c>
      <c r="H948" s="26">
        <v>4.22</v>
      </c>
      <c r="I948" s="26">
        <v>0.7</v>
      </c>
      <c r="J948" s="26">
        <v>4.1449999999999996</v>
      </c>
      <c r="K948" s="13">
        <f t="shared" si="49"/>
        <v>71.2</v>
      </c>
      <c r="L948" s="13">
        <f t="shared" si="50"/>
        <v>17</v>
      </c>
      <c r="M948" s="13">
        <f t="shared" si="51"/>
        <v>4.1882352941176473</v>
      </c>
    </row>
    <row r="949" spans="7:13">
      <c r="G949" s="27">
        <v>40777</v>
      </c>
      <c r="H949" s="26">
        <v>4.22</v>
      </c>
      <c r="I949" s="26">
        <v>0.7</v>
      </c>
      <c r="J949" s="26">
        <v>4.1449999999999996</v>
      </c>
      <c r="K949" s="13">
        <f t="shared" si="49"/>
        <v>67.055000000000007</v>
      </c>
      <c r="L949" s="13">
        <f t="shared" si="50"/>
        <v>16</v>
      </c>
      <c r="M949" s="13">
        <f t="shared" si="51"/>
        <v>4.1909375000000004</v>
      </c>
    </row>
    <row r="950" spans="7:13">
      <c r="G950" s="27">
        <v>40774</v>
      </c>
      <c r="H950" s="26">
        <v>4.22</v>
      </c>
      <c r="I950" s="26">
        <v>0.7</v>
      </c>
      <c r="J950" s="26">
        <v>4.1449999999999996</v>
      </c>
      <c r="K950" s="13">
        <f t="shared" si="49"/>
        <v>62.910000000000011</v>
      </c>
      <c r="L950" s="13">
        <f t="shared" si="50"/>
        <v>15</v>
      </c>
      <c r="M950" s="13">
        <f t="shared" si="51"/>
        <v>4.1940000000000008</v>
      </c>
    </row>
    <row r="951" spans="7:13">
      <c r="G951" s="27">
        <v>40773</v>
      </c>
      <c r="H951" s="26">
        <v>4.22</v>
      </c>
      <c r="I951" s="26">
        <v>0.7</v>
      </c>
      <c r="J951" s="26">
        <v>4.1449999999999996</v>
      </c>
      <c r="K951" s="13">
        <f t="shared" si="49"/>
        <v>58.765000000000015</v>
      </c>
      <c r="L951" s="13">
        <f t="shared" si="50"/>
        <v>14</v>
      </c>
      <c r="M951" s="13">
        <f t="shared" si="51"/>
        <v>4.1975000000000007</v>
      </c>
    </row>
    <row r="952" spans="7:13">
      <c r="G952" s="27">
        <v>40772</v>
      </c>
      <c r="H952" s="26">
        <v>4.1500000000000004</v>
      </c>
      <c r="I952" s="26">
        <v>0.7</v>
      </c>
      <c r="J952" s="26">
        <v>4.0750000000000002</v>
      </c>
      <c r="K952" s="13">
        <f t="shared" si="49"/>
        <v>54.620000000000019</v>
      </c>
      <c r="L952" s="13">
        <f t="shared" si="50"/>
        <v>13</v>
      </c>
      <c r="M952" s="13">
        <f t="shared" si="51"/>
        <v>4.2015384615384628</v>
      </c>
    </row>
    <row r="953" spans="7:13">
      <c r="G953" s="27">
        <v>40771</v>
      </c>
      <c r="H953" s="26">
        <v>4.1500000000000004</v>
      </c>
      <c r="I953" s="26">
        <v>0.7</v>
      </c>
      <c r="J953" s="26">
        <v>4.0750000000000002</v>
      </c>
      <c r="K953" s="13">
        <f t="shared" si="49"/>
        <v>50.545000000000016</v>
      </c>
      <c r="L953" s="13">
        <f t="shared" si="50"/>
        <v>12</v>
      </c>
      <c r="M953" s="13">
        <f t="shared" si="51"/>
        <v>4.212083333333335</v>
      </c>
    </row>
    <row r="954" spans="7:13">
      <c r="G954" s="27">
        <v>40770</v>
      </c>
      <c r="H954" s="26">
        <v>4.1500000000000004</v>
      </c>
      <c r="I954" s="26">
        <v>0.7</v>
      </c>
      <c r="J954" s="26">
        <v>4.0750000000000002</v>
      </c>
      <c r="K954" s="13">
        <f t="shared" si="49"/>
        <v>46.470000000000013</v>
      </c>
      <c r="L954" s="13">
        <f t="shared" si="50"/>
        <v>11</v>
      </c>
      <c r="M954" s="13">
        <f t="shared" si="51"/>
        <v>4.2245454545454555</v>
      </c>
    </row>
    <row r="955" spans="7:13">
      <c r="G955" s="27">
        <v>40767</v>
      </c>
      <c r="H955" s="26">
        <v>4.1500000000000004</v>
      </c>
      <c r="I955" s="26">
        <v>0.7</v>
      </c>
      <c r="J955" s="26">
        <v>4.0750000000000002</v>
      </c>
      <c r="K955" s="13">
        <f t="shared" si="49"/>
        <v>42.39500000000001</v>
      </c>
      <c r="L955" s="13">
        <f t="shared" si="50"/>
        <v>10</v>
      </c>
      <c r="M955" s="13">
        <f t="shared" si="51"/>
        <v>4.2395000000000014</v>
      </c>
    </row>
    <row r="956" spans="7:13">
      <c r="G956" s="27">
        <v>40766</v>
      </c>
      <c r="H956" s="26">
        <v>4.1500000000000004</v>
      </c>
      <c r="I956" s="26">
        <v>0.7</v>
      </c>
      <c r="J956" s="26">
        <v>4.0750000000000002</v>
      </c>
      <c r="K956" s="13">
        <f t="shared" si="49"/>
        <v>38.320000000000007</v>
      </c>
      <c r="L956" s="13">
        <f t="shared" si="50"/>
        <v>9</v>
      </c>
      <c r="M956" s="13">
        <f t="shared" si="51"/>
        <v>4.257777777777779</v>
      </c>
    </row>
    <row r="957" spans="7:13">
      <c r="G957" s="27">
        <v>40765</v>
      </c>
      <c r="H957" s="26">
        <v>4.32</v>
      </c>
      <c r="I957" s="26">
        <v>0.7</v>
      </c>
      <c r="J957" s="26">
        <v>4.2450000000000001</v>
      </c>
      <c r="K957" s="13">
        <f t="shared" si="49"/>
        <v>34.245000000000005</v>
      </c>
      <c r="L957" s="13">
        <f t="shared" si="50"/>
        <v>8</v>
      </c>
      <c r="M957" s="13">
        <f t="shared" si="51"/>
        <v>4.2806250000000006</v>
      </c>
    </row>
    <row r="958" spans="7:13">
      <c r="G958" s="27">
        <v>40764</v>
      </c>
      <c r="H958" s="26">
        <v>4.32</v>
      </c>
      <c r="I958" s="26">
        <v>0.7</v>
      </c>
      <c r="J958" s="26">
        <v>4.2450000000000001</v>
      </c>
      <c r="K958" s="13">
        <f t="shared" si="49"/>
        <v>30.000000000000004</v>
      </c>
      <c r="L958" s="13">
        <f t="shared" si="50"/>
        <v>7</v>
      </c>
      <c r="M958" s="13">
        <f t="shared" si="51"/>
        <v>4.2857142857142865</v>
      </c>
    </row>
    <row r="959" spans="7:13">
      <c r="G959" s="27">
        <v>40763</v>
      </c>
      <c r="H959" s="26">
        <v>4.32</v>
      </c>
      <c r="I959" s="26">
        <v>0.7</v>
      </c>
      <c r="J959" s="26">
        <v>4.2450000000000001</v>
      </c>
      <c r="K959" s="13">
        <f t="shared" si="49"/>
        <v>25.755000000000003</v>
      </c>
      <c r="L959" s="13">
        <f t="shared" si="50"/>
        <v>6</v>
      </c>
      <c r="M959" s="13">
        <f t="shared" si="51"/>
        <v>4.2925000000000004</v>
      </c>
    </row>
    <row r="960" spans="7:13">
      <c r="G960" s="27">
        <v>40760</v>
      </c>
      <c r="H960" s="26">
        <v>4.32</v>
      </c>
      <c r="I960" s="26">
        <v>0.7</v>
      </c>
      <c r="J960" s="26">
        <v>4.2450000000000001</v>
      </c>
      <c r="K960" s="13">
        <f t="shared" si="49"/>
        <v>21.51</v>
      </c>
      <c r="L960" s="13">
        <f t="shared" si="50"/>
        <v>5</v>
      </c>
      <c r="M960" s="13">
        <f t="shared" si="51"/>
        <v>4.3020000000000005</v>
      </c>
    </row>
    <row r="961" spans="7:13">
      <c r="G961" s="27">
        <v>40759</v>
      </c>
      <c r="H961" s="26">
        <v>4.32</v>
      </c>
      <c r="I961" s="26">
        <v>0.7</v>
      </c>
      <c r="J961" s="26">
        <v>4.2450000000000001</v>
      </c>
      <c r="K961" s="13">
        <f t="shared" si="49"/>
        <v>17.265000000000001</v>
      </c>
      <c r="L961" s="13">
        <f t="shared" si="50"/>
        <v>4</v>
      </c>
      <c r="M961" s="13">
        <f t="shared" si="51"/>
        <v>4.3162500000000001</v>
      </c>
    </row>
    <row r="962" spans="7:13">
      <c r="G962" s="27">
        <v>40758</v>
      </c>
      <c r="H962" s="26">
        <v>4.3899999999999997</v>
      </c>
      <c r="I962" s="26">
        <v>0.8</v>
      </c>
      <c r="J962" s="26">
        <v>4.34</v>
      </c>
      <c r="K962" s="13">
        <f t="shared" si="49"/>
        <v>13.02</v>
      </c>
      <c r="L962" s="13">
        <f t="shared" si="50"/>
        <v>3</v>
      </c>
      <c r="M962" s="13">
        <f t="shared" si="51"/>
        <v>4.34</v>
      </c>
    </row>
    <row r="963" spans="7:13">
      <c r="G963" s="27">
        <v>40757</v>
      </c>
      <c r="H963" s="26">
        <v>4.3899999999999997</v>
      </c>
      <c r="I963" s="26">
        <v>0.8</v>
      </c>
      <c r="J963" s="26">
        <v>4.34</v>
      </c>
      <c r="K963" s="13">
        <f t="shared" si="49"/>
        <v>8.68</v>
      </c>
      <c r="L963" s="13">
        <f t="shared" si="50"/>
        <v>2</v>
      </c>
      <c r="M963" s="13">
        <f t="shared" si="51"/>
        <v>4.34</v>
      </c>
    </row>
    <row r="964" spans="7:13">
      <c r="G964" s="27">
        <v>40756</v>
      </c>
      <c r="H964" s="26">
        <v>4.3899999999999997</v>
      </c>
      <c r="I964" s="26">
        <v>0.8</v>
      </c>
      <c r="J964" s="26">
        <v>4.34</v>
      </c>
      <c r="K964" s="13">
        <f t="shared" ref="K964:K1027" si="52">IF(MONTH(G964)=MONTH(G965),J964+K965,J964)</f>
        <v>4.34</v>
      </c>
      <c r="L964" s="13">
        <f t="shared" ref="L964:L1027" si="53">IF(MONTH(G964)=MONTH(G965),L965+1,1)</f>
        <v>1</v>
      </c>
      <c r="M964" s="13">
        <f t="shared" si="51"/>
        <v>4.34</v>
      </c>
    </row>
    <row r="965" spans="7:13">
      <c r="G965" s="27">
        <v>40753</v>
      </c>
      <c r="H965" s="26">
        <v>4.3899999999999997</v>
      </c>
      <c r="I965" s="26">
        <v>0.8</v>
      </c>
      <c r="J965" s="26">
        <v>4.34</v>
      </c>
      <c r="K965" s="13">
        <f t="shared" si="52"/>
        <v>89.155000000000001</v>
      </c>
      <c r="L965" s="13">
        <f t="shared" si="53"/>
        <v>20</v>
      </c>
      <c r="M965" s="13">
        <f t="shared" ref="M965:M1028" si="54">K965/L965</f>
        <v>4.4577499999999999</v>
      </c>
    </row>
    <row r="966" spans="7:13">
      <c r="G966" s="27">
        <v>40752</v>
      </c>
      <c r="H966" s="26">
        <v>4.3899999999999997</v>
      </c>
      <c r="I966" s="26">
        <v>0.8</v>
      </c>
      <c r="J966" s="26">
        <v>4.34</v>
      </c>
      <c r="K966" s="13">
        <f t="shared" si="52"/>
        <v>84.814999999999998</v>
      </c>
      <c r="L966" s="13">
        <f t="shared" si="53"/>
        <v>19</v>
      </c>
      <c r="M966" s="13">
        <f t="shared" si="54"/>
        <v>4.4639473684210529</v>
      </c>
    </row>
    <row r="967" spans="7:13">
      <c r="G967" s="27">
        <v>40751</v>
      </c>
      <c r="H967" s="26">
        <v>4.55</v>
      </c>
      <c r="I967" s="26">
        <v>0.8</v>
      </c>
      <c r="J967" s="26">
        <v>4.5</v>
      </c>
      <c r="K967" s="13">
        <f t="shared" si="52"/>
        <v>80.474999999999994</v>
      </c>
      <c r="L967" s="13">
        <f t="shared" si="53"/>
        <v>18</v>
      </c>
      <c r="M967" s="13">
        <f t="shared" si="54"/>
        <v>4.4708333333333332</v>
      </c>
    </row>
    <row r="968" spans="7:13">
      <c r="G968" s="27">
        <v>40750</v>
      </c>
      <c r="H968" s="26">
        <v>4.55</v>
      </c>
      <c r="I968" s="26">
        <v>0.8</v>
      </c>
      <c r="J968" s="26">
        <v>4.5</v>
      </c>
      <c r="K968" s="13">
        <f t="shared" si="52"/>
        <v>75.974999999999994</v>
      </c>
      <c r="L968" s="13">
        <f t="shared" si="53"/>
        <v>17</v>
      </c>
      <c r="M968" s="13">
        <f t="shared" si="54"/>
        <v>4.4691176470588232</v>
      </c>
    </row>
    <row r="969" spans="7:13">
      <c r="G969" s="27">
        <v>40749</v>
      </c>
      <c r="H969" s="26">
        <v>4.55</v>
      </c>
      <c r="I969" s="26">
        <v>0.8</v>
      </c>
      <c r="J969" s="26">
        <v>4.5</v>
      </c>
      <c r="K969" s="13">
        <f t="shared" si="52"/>
        <v>71.474999999999994</v>
      </c>
      <c r="L969" s="13">
        <f t="shared" si="53"/>
        <v>16</v>
      </c>
      <c r="M969" s="13">
        <f t="shared" si="54"/>
        <v>4.4671874999999996</v>
      </c>
    </row>
    <row r="970" spans="7:13">
      <c r="G970" s="27">
        <v>40746</v>
      </c>
      <c r="H970" s="26">
        <v>4.55</v>
      </c>
      <c r="I970" s="26">
        <v>0.8</v>
      </c>
      <c r="J970" s="26">
        <v>4.5</v>
      </c>
      <c r="K970" s="13">
        <f t="shared" si="52"/>
        <v>66.974999999999994</v>
      </c>
      <c r="L970" s="13">
        <f t="shared" si="53"/>
        <v>15</v>
      </c>
      <c r="M970" s="13">
        <f t="shared" si="54"/>
        <v>4.4649999999999999</v>
      </c>
    </row>
    <row r="971" spans="7:13">
      <c r="G971" s="27">
        <v>40745</v>
      </c>
      <c r="H971" s="26">
        <v>4.55</v>
      </c>
      <c r="I971" s="26">
        <v>0.8</v>
      </c>
      <c r="J971" s="26">
        <v>4.5</v>
      </c>
      <c r="K971" s="13">
        <f t="shared" si="52"/>
        <v>62.475000000000001</v>
      </c>
      <c r="L971" s="13">
        <f t="shared" si="53"/>
        <v>14</v>
      </c>
      <c r="M971" s="13">
        <f t="shared" si="54"/>
        <v>4.4625000000000004</v>
      </c>
    </row>
    <row r="972" spans="7:13">
      <c r="G972" s="27">
        <v>40744</v>
      </c>
      <c r="H972" s="26">
        <v>4.5199999999999996</v>
      </c>
      <c r="I972" s="26">
        <v>0.7</v>
      </c>
      <c r="J972" s="26">
        <v>4.4450000000000003</v>
      </c>
      <c r="K972" s="13">
        <f t="shared" si="52"/>
        <v>57.975000000000001</v>
      </c>
      <c r="L972" s="13">
        <f t="shared" si="53"/>
        <v>13</v>
      </c>
      <c r="M972" s="13">
        <f t="shared" si="54"/>
        <v>4.4596153846153843</v>
      </c>
    </row>
    <row r="973" spans="7:13">
      <c r="G973" s="27">
        <v>40743</v>
      </c>
      <c r="H973" s="26">
        <v>4.5199999999999996</v>
      </c>
      <c r="I973" s="26">
        <v>0.7</v>
      </c>
      <c r="J973" s="26">
        <v>4.4450000000000003</v>
      </c>
      <c r="K973" s="13">
        <f t="shared" si="52"/>
        <v>53.53</v>
      </c>
      <c r="L973" s="13">
        <f t="shared" si="53"/>
        <v>12</v>
      </c>
      <c r="M973" s="13">
        <f t="shared" si="54"/>
        <v>4.4608333333333334</v>
      </c>
    </row>
    <row r="974" spans="7:13">
      <c r="G974" s="27">
        <v>40742</v>
      </c>
      <c r="H974" s="26">
        <v>4.5199999999999996</v>
      </c>
      <c r="I974" s="26">
        <v>0.7</v>
      </c>
      <c r="J974" s="26">
        <v>4.4450000000000003</v>
      </c>
      <c r="K974" s="13">
        <f t="shared" si="52"/>
        <v>49.085000000000001</v>
      </c>
      <c r="L974" s="13">
        <f t="shared" si="53"/>
        <v>11</v>
      </c>
      <c r="M974" s="13">
        <f t="shared" si="54"/>
        <v>4.4622727272727269</v>
      </c>
    </row>
    <row r="975" spans="7:13">
      <c r="G975" s="27">
        <v>40739</v>
      </c>
      <c r="H975" s="26">
        <v>4.5199999999999996</v>
      </c>
      <c r="I975" s="26">
        <v>0.7</v>
      </c>
      <c r="J975" s="26">
        <v>4.4450000000000003</v>
      </c>
      <c r="K975" s="13">
        <f t="shared" si="52"/>
        <v>44.64</v>
      </c>
      <c r="L975" s="13">
        <f t="shared" si="53"/>
        <v>10</v>
      </c>
      <c r="M975" s="13">
        <f t="shared" si="54"/>
        <v>4.4640000000000004</v>
      </c>
    </row>
    <row r="976" spans="7:13">
      <c r="G976" s="27">
        <v>40738</v>
      </c>
      <c r="H976" s="26">
        <v>4.5199999999999996</v>
      </c>
      <c r="I976" s="26">
        <v>0.7</v>
      </c>
      <c r="J976" s="26">
        <v>4.4450000000000003</v>
      </c>
      <c r="K976" s="13">
        <f t="shared" si="52"/>
        <v>40.195</v>
      </c>
      <c r="L976" s="13">
        <f t="shared" si="53"/>
        <v>9</v>
      </c>
      <c r="M976" s="13">
        <f t="shared" si="54"/>
        <v>4.4661111111111111</v>
      </c>
    </row>
    <row r="977" spans="7:13">
      <c r="G977" s="27">
        <v>40737</v>
      </c>
      <c r="H977" s="26">
        <v>4.51</v>
      </c>
      <c r="I977" s="26">
        <v>0.7</v>
      </c>
      <c r="J977" s="26">
        <v>4.4349999999999996</v>
      </c>
      <c r="K977" s="13">
        <f t="shared" si="52"/>
        <v>35.75</v>
      </c>
      <c r="L977" s="13">
        <f t="shared" si="53"/>
        <v>8</v>
      </c>
      <c r="M977" s="13">
        <f t="shared" si="54"/>
        <v>4.46875</v>
      </c>
    </row>
    <row r="978" spans="7:13">
      <c r="G978" s="27">
        <v>40736</v>
      </c>
      <c r="H978" s="26">
        <v>4.51</v>
      </c>
      <c r="I978" s="26">
        <v>0.7</v>
      </c>
      <c r="J978" s="26">
        <v>4.4349999999999996</v>
      </c>
      <c r="K978" s="13">
        <f t="shared" si="52"/>
        <v>31.314999999999998</v>
      </c>
      <c r="L978" s="13">
        <f t="shared" si="53"/>
        <v>7</v>
      </c>
      <c r="M978" s="13">
        <f t="shared" si="54"/>
        <v>4.4735714285714279</v>
      </c>
    </row>
    <row r="979" spans="7:13">
      <c r="G979" s="27">
        <v>40735</v>
      </c>
      <c r="H979" s="26">
        <v>4.51</v>
      </c>
      <c r="I979" s="26">
        <v>0.7</v>
      </c>
      <c r="J979" s="26">
        <v>4.4349999999999996</v>
      </c>
      <c r="K979" s="13">
        <f t="shared" si="52"/>
        <v>26.88</v>
      </c>
      <c r="L979" s="13">
        <f t="shared" si="53"/>
        <v>6</v>
      </c>
      <c r="M979" s="13">
        <f t="shared" si="54"/>
        <v>4.4799999999999995</v>
      </c>
    </row>
    <row r="980" spans="7:13">
      <c r="G980" s="27">
        <v>40732</v>
      </c>
      <c r="H980" s="26">
        <v>4.51</v>
      </c>
      <c r="I980" s="26">
        <v>0.7</v>
      </c>
      <c r="J980" s="26">
        <v>4.4349999999999996</v>
      </c>
      <c r="K980" s="13">
        <f t="shared" si="52"/>
        <v>22.445</v>
      </c>
      <c r="L980" s="13">
        <f t="shared" si="53"/>
        <v>5</v>
      </c>
      <c r="M980" s="13">
        <f t="shared" si="54"/>
        <v>4.4889999999999999</v>
      </c>
    </row>
    <row r="981" spans="7:13">
      <c r="G981" s="27">
        <v>40731</v>
      </c>
      <c r="H981" s="26">
        <v>4.51</v>
      </c>
      <c r="I981" s="26">
        <v>0.7</v>
      </c>
      <c r="J981" s="26">
        <v>4.4349999999999996</v>
      </c>
      <c r="K981" s="13">
        <f t="shared" si="52"/>
        <v>18.010000000000002</v>
      </c>
      <c r="L981" s="13">
        <f t="shared" si="53"/>
        <v>4</v>
      </c>
      <c r="M981" s="13">
        <f t="shared" si="54"/>
        <v>4.5025000000000004</v>
      </c>
    </row>
    <row r="982" spans="7:13">
      <c r="G982" s="27">
        <v>40730</v>
      </c>
      <c r="H982" s="26">
        <v>4.5999999999999996</v>
      </c>
      <c r="I982" s="26">
        <v>0.7</v>
      </c>
      <c r="J982" s="26">
        <v>4.5250000000000004</v>
      </c>
      <c r="K982" s="13">
        <f t="shared" si="52"/>
        <v>13.575000000000001</v>
      </c>
      <c r="L982" s="13">
        <f t="shared" si="53"/>
        <v>3</v>
      </c>
      <c r="M982" s="13">
        <f t="shared" si="54"/>
        <v>4.5250000000000004</v>
      </c>
    </row>
    <row r="983" spans="7:13">
      <c r="G983" s="27">
        <v>40729</v>
      </c>
      <c r="H983" s="26">
        <v>4.5999999999999996</v>
      </c>
      <c r="I983" s="26">
        <v>0.7</v>
      </c>
      <c r="J983" s="26">
        <v>4.5250000000000004</v>
      </c>
      <c r="K983" s="13">
        <f t="shared" si="52"/>
        <v>9.0500000000000007</v>
      </c>
      <c r="L983" s="13">
        <f t="shared" si="53"/>
        <v>2</v>
      </c>
      <c r="M983" s="13">
        <f t="shared" si="54"/>
        <v>4.5250000000000004</v>
      </c>
    </row>
    <row r="984" spans="7:13">
      <c r="G984" s="27">
        <v>40725</v>
      </c>
      <c r="H984" s="26">
        <v>4.5999999999999996</v>
      </c>
      <c r="I984" s="26">
        <v>0.7</v>
      </c>
      <c r="J984" s="26">
        <v>4.5250000000000004</v>
      </c>
      <c r="K984" s="13">
        <f t="shared" si="52"/>
        <v>4.5250000000000004</v>
      </c>
      <c r="L984" s="13">
        <f t="shared" si="53"/>
        <v>1</v>
      </c>
      <c r="M984" s="13">
        <f t="shared" si="54"/>
        <v>4.5250000000000004</v>
      </c>
    </row>
    <row r="985" spans="7:13">
      <c r="G985" s="27">
        <v>40724</v>
      </c>
      <c r="H985" s="26">
        <v>4.5999999999999996</v>
      </c>
      <c r="I985" s="26">
        <v>0.7</v>
      </c>
      <c r="J985" s="26">
        <v>4.5250000000000004</v>
      </c>
      <c r="K985" s="13">
        <f t="shared" si="52"/>
        <v>97.600000000000023</v>
      </c>
      <c r="L985" s="13">
        <f t="shared" si="53"/>
        <v>22</v>
      </c>
      <c r="M985" s="13">
        <f t="shared" si="54"/>
        <v>4.4363636363636374</v>
      </c>
    </row>
    <row r="986" spans="7:13">
      <c r="G986" s="27">
        <v>40723</v>
      </c>
      <c r="H986" s="26">
        <v>4.51</v>
      </c>
      <c r="I986" s="26">
        <v>0.7</v>
      </c>
      <c r="J986" s="26">
        <v>4.4349999999999996</v>
      </c>
      <c r="K986" s="13">
        <f t="shared" si="52"/>
        <v>93.075000000000017</v>
      </c>
      <c r="L986" s="13">
        <f t="shared" si="53"/>
        <v>21</v>
      </c>
      <c r="M986" s="13">
        <f t="shared" si="54"/>
        <v>4.4321428571428578</v>
      </c>
    </row>
    <row r="987" spans="7:13">
      <c r="G987" s="27">
        <v>40722</v>
      </c>
      <c r="H987" s="26">
        <v>4.51</v>
      </c>
      <c r="I987" s="26">
        <v>0.7</v>
      </c>
      <c r="J987" s="26">
        <v>4.4349999999999996</v>
      </c>
      <c r="K987" s="13">
        <f t="shared" si="52"/>
        <v>88.640000000000015</v>
      </c>
      <c r="L987" s="13">
        <f t="shared" si="53"/>
        <v>20</v>
      </c>
      <c r="M987" s="13">
        <f t="shared" si="54"/>
        <v>4.4320000000000004</v>
      </c>
    </row>
    <row r="988" spans="7:13">
      <c r="G988" s="27">
        <v>40721</v>
      </c>
      <c r="H988" s="26">
        <v>4.51</v>
      </c>
      <c r="I988" s="26">
        <v>0.7</v>
      </c>
      <c r="J988" s="26">
        <v>4.4349999999999996</v>
      </c>
      <c r="K988" s="13">
        <f t="shared" si="52"/>
        <v>84.205000000000013</v>
      </c>
      <c r="L988" s="13">
        <f t="shared" si="53"/>
        <v>19</v>
      </c>
      <c r="M988" s="13">
        <f t="shared" si="54"/>
        <v>4.4318421052631587</v>
      </c>
    </row>
    <row r="989" spans="7:13">
      <c r="G989" s="27">
        <v>40718</v>
      </c>
      <c r="H989" s="26">
        <v>4.51</v>
      </c>
      <c r="I989" s="26">
        <v>0.7</v>
      </c>
      <c r="J989" s="26">
        <v>4.4349999999999996</v>
      </c>
      <c r="K989" s="13">
        <f t="shared" si="52"/>
        <v>79.77000000000001</v>
      </c>
      <c r="L989" s="13">
        <f t="shared" si="53"/>
        <v>18</v>
      </c>
      <c r="M989" s="13">
        <f t="shared" si="54"/>
        <v>4.4316666666666675</v>
      </c>
    </row>
    <row r="990" spans="7:13">
      <c r="G990" s="27">
        <v>40717</v>
      </c>
      <c r="H990" s="26">
        <v>4.51</v>
      </c>
      <c r="I990" s="26">
        <v>0.7</v>
      </c>
      <c r="J990" s="26">
        <v>4.4349999999999996</v>
      </c>
      <c r="K990" s="13">
        <f t="shared" si="52"/>
        <v>75.335000000000008</v>
      </c>
      <c r="L990" s="13">
        <f t="shared" si="53"/>
        <v>17</v>
      </c>
      <c r="M990" s="13">
        <f t="shared" si="54"/>
        <v>4.4314705882352943</v>
      </c>
    </row>
    <row r="991" spans="7:13">
      <c r="G991" s="27">
        <v>40716</v>
      </c>
      <c r="H991" s="26">
        <v>4.5</v>
      </c>
      <c r="I991" s="26">
        <v>0.8</v>
      </c>
      <c r="J991" s="26">
        <v>4.45</v>
      </c>
      <c r="K991" s="13">
        <f t="shared" si="52"/>
        <v>70.900000000000006</v>
      </c>
      <c r="L991" s="13">
        <f t="shared" si="53"/>
        <v>16</v>
      </c>
      <c r="M991" s="13">
        <f t="shared" si="54"/>
        <v>4.4312500000000004</v>
      </c>
    </row>
    <row r="992" spans="7:13">
      <c r="G992" s="27">
        <v>40715</v>
      </c>
      <c r="H992" s="26">
        <v>4.5</v>
      </c>
      <c r="I992" s="26">
        <v>0.8</v>
      </c>
      <c r="J992" s="26">
        <v>4.45</v>
      </c>
      <c r="K992" s="13">
        <f t="shared" si="52"/>
        <v>66.45</v>
      </c>
      <c r="L992" s="13">
        <f t="shared" si="53"/>
        <v>15</v>
      </c>
      <c r="M992" s="13">
        <f t="shared" si="54"/>
        <v>4.4300000000000006</v>
      </c>
    </row>
    <row r="993" spans="7:13">
      <c r="G993" s="27">
        <v>40714</v>
      </c>
      <c r="H993" s="26">
        <v>4.5</v>
      </c>
      <c r="I993" s="26">
        <v>0.8</v>
      </c>
      <c r="J993" s="26">
        <v>4.45</v>
      </c>
      <c r="K993" s="13">
        <f t="shared" si="52"/>
        <v>62</v>
      </c>
      <c r="L993" s="13">
        <f t="shared" si="53"/>
        <v>14</v>
      </c>
      <c r="M993" s="13">
        <f t="shared" si="54"/>
        <v>4.4285714285714288</v>
      </c>
    </row>
    <row r="994" spans="7:13">
      <c r="G994" s="27">
        <v>40711</v>
      </c>
      <c r="H994" s="26">
        <v>4.5</v>
      </c>
      <c r="I994" s="26">
        <v>0.8</v>
      </c>
      <c r="J994" s="26">
        <v>4.45</v>
      </c>
      <c r="K994" s="13">
        <f t="shared" si="52"/>
        <v>57.55</v>
      </c>
      <c r="L994" s="13">
        <f t="shared" si="53"/>
        <v>13</v>
      </c>
      <c r="M994" s="13">
        <f t="shared" si="54"/>
        <v>4.4269230769230763</v>
      </c>
    </row>
    <row r="995" spans="7:13">
      <c r="G995" s="27">
        <v>40710</v>
      </c>
      <c r="H995" s="26">
        <v>4.5</v>
      </c>
      <c r="I995" s="26">
        <v>0.8</v>
      </c>
      <c r="J995" s="26">
        <v>4.45</v>
      </c>
      <c r="K995" s="13">
        <f t="shared" si="52"/>
        <v>53.099999999999994</v>
      </c>
      <c r="L995" s="13">
        <f t="shared" si="53"/>
        <v>12</v>
      </c>
      <c r="M995" s="13">
        <f t="shared" si="54"/>
        <v>4.4249999999999998</v>
      </c>
    </row>
    <row r="996" spans="7:13">
      <c r="G996" s="27">
        <v>40709</v>
      </c>
      <c r="H996" s="26">
        <v>4.5</v>
      </c>
      <c r="I996" s="26">
        <v>0.7</v>
      </c>
      <c r="J996" s="26">
        <v>4.4249999999999998</v>
      </c>
      <c r="K996" s="13">
        <f t="shared" si="52"/>
        <v>48.649999999999991</v>
      </c>
      <c r="L996" s="13">
        <f t="shared" si="53"/>
        <v>11</v>
      </c>
      <c r="M996" s="13">
        <f t="shared" si="54"/>
        <v>4.422727272727272</v>
      </c>
    </row>
    <row r="997" spans="7:13">
      <c r="G997" s="27">
        <v>40708</v>
      </c>
      <c r="H997" s="26">
        <v>4.5</v>
      </c>
      <c r="I997" s="26">
        <v>0.7</v>
      </c>
      <c r="J997" s="26">
        <v>4.4249999999999998</v>
      </c>
      <c r="K997" s="13">
        <f t="shared" si="52"/>
        <v>44.224999999999994</v>
      </c>
      <c r="L997" s="13">
        <f t="shared" si="53"/>
        <v>10</v>
      </c>
      <c r="M997" s="13">
        <f t="shared" si="54"/>
        <v>4.4224999999999994</v>
      </c>
    </row>
    <row r="998" spans="7:13">
      <c r="G998" s="27">
        <v>40707</v>
      </c>
      <c r="H998" s="26">
        <v>4.5</v>
      </c>
      <c r="I998" s="26">
        <v>0.7</v>
      </c>
      <c r="J998" s="26">
        <v>4.4249999999999998</v>
      </c>
      <c r="K998" s="13">
        <f t="shared" si="52"/>
        <v>39.799999999999997</v>
      </c>
      <c r="L998" s="13">
        <f t="shared" si="53"/>
        <v>9</v>
      </c>
      <c r="M998" s="13">
        <f t="shared" si="54"/>
        <v>4.4222222222222216</v>
      </c>
    </row>
    <row r="999" spans="7:13">
      <c r="G999" s="27">
        <v>40704</v>
      </c>
      <c r="H999" s="26">
        <v>4.5</v>
      </c>
      <c r="I999" s="26">
        <v>0.7</v>
      </c>
      <c r="J999" s="26">
        <v>4.4249999999999998</v>
      </c>
      <c r="K999" s="13">
        <f t="shared" si="52"/>
        <v>35.375</v>
      </c>
      <c r="L999" s="13">
        <f t="shared" si="53"/>
        <v>8</v>
      </c>
      <c r="M999" s="13">
        <f t="shared" si="54"/>
        <v>4.421875</v>
      </c>
    </row>
    <row r="1000" spans="7:13">
      <c r="G1000" s="27">
        <v>40703</v>
      </c>
      <c r="H1000" s="26">
        <v>4.5</v>
      </c>
      <c r="I1000" s="26">
        <v>0.7</v>
      </c>
      <c r="J1000" s="26">
        <v>4.4249999999999998</v>
      </c>
      <c r="K1000" s="13">
        <f t="shared" si="52"/>
        <v>30.95</v>
      </c>
      <c r="L1000" s="13">
        <f t="shared" si="53"/>
        <v>7</v>
      </c>
      <c r="M1000" s="13">
        <f t="shared" si="54"/>
        <v>4.4214285714285717</v>
      </c>
    </row>
    <row r="1001" spans="7:13">
      <c r="G1001" s="27">
        <v>40702</v>
      </c>
      <c r="H1001" s="26">
        <v>4.49</v>
      </c>
      <c r="I1001" s="26">
        <v>0.7</v>
      </c>
      <c r="J1001" s="26">
        <v>4.415</v>
      </c>
      <c r="K1001" s="13">
        <f t="shared" si="52"/>
        <v>26.524999999999999</v>
      </c>
      <c r="L1001" s="13">
        <f t="shared" si="53"/>
        <v>6</v>
      </c>
      <c r="M1001" s="13">
        <f t="shared" si="54"/>
        <v>4.4208333333333334</v>
      </c>
    </row>
    <row r="1002" spans="7:13">
      <c r="G1002" s="27">
        <v>40701</v>
      </c>
      <c r="H1002" s="26">
        <v>4.49</v>
      </c>
      <c r="I1002" s="26">
        <v>0.7</v>
      </c>
      <c r="J1002" s="26">
        <v>4.415</v>
      </c>
      <c r="K1002" s="13">
        <f t="shared" si="52"/>
        <v>22.11</v>
      </c>
      <c r="L1002" s="13">
        <f t="shared" si="53"/>
        <v>5</v>
      </c>
      <c r="M1002" s="13">
        <f t="shared" si="54"/>
        <v>4.4219999999999997</v>
      </c>
    </row>
    <row r="1003" spans="7:13">
      <c r="G1003" s="27">
        <v>40700</v>
      </c>
      <c r="H1003" s="26">
        <v>4.49</v>
      </c>
      <c r="I1003" s="26">
        <v>0.7</v>
      </c>
      <c r="J1003" s="26">
        <v>4.415</v>
      </c>
      <c r="K1003" s="13">
        <f t="shared" si="52"/>
        <v>17.695</v>
      </c>
      <c r="L1003" s="13">
        <f t="shared" si="53"/>
        <v>4</v>
      </c>
      <c r="M1003" s="13">
        <f t="shared" si="54"/>
        <v>4.4237500000000001</v>
      </c>
    </row>
    <row r="1004" spans="7:13">
      <c r="G1004" s="27">
        <v>40697</v>
      </c>
      <c r="H1004" s="26">
        <v>4.49</v>
      </c>
      <c r="I1004" s="26">
        <v>0.7</v>
      </c>
      <c r="J1004" s="26">
        <v>4.415</v>
      </c>
      <c r="K1004" s="13">
        <f t="shared" si="52"/>
        <v>13.280000000000001</v>
      </c>
      <c r="L1004" s="13">
        <f t="shared" si="53"/>
        <v>3</v>
      </c>
      <c r="M1004" s="13">
        <f t="shared" si="54"/>
        <v>4.4266666666666667</v>
      </c>
    </row>
    <row r="1005" spans="7:13">
      <c r="G1005" s="27">
        <v>40696</v>
      </c>
      <c r="H1005" s="26">
        <v>4.49</v>
      </c>
      <c r="I1005" s="26">
        <v>0.7</v>
      </c>
      <c r="J1005" s="26">
        <v>4.415</v>
      </c>
      <c r="K1005" s="13">
        <f t="shared" si="52"/>
        <v>8.8650000000000002</v>
      </c>
      <c r="L1005" s="13">
        <f t="shared" si="53"/>
        <v>2</v>
      </c>
      <c r="M1005" s="13">
        <f t="shared" si="54"/>
        <v>4.4325000000000001</v>
      </c>
    </row>
    <row r="1006" spans="7:13">
      <c r="G1006" s="27">
        <v>40695</v>
      </c>
      <c r="H1006" s="26">
        <v>4.55</v>
      </c>
      <c r="I1006" s="26">
        <v>0.6</v>
      </c>
      <c r="J1006" s="26">
        <v>4.45</v>
      </c>
      <c r="K1006" s="13">
        <f t="shared" si="52"/>
        <v>4.45</v>
      </c>
      <c r="L1006" s="13">
        <f t="shared" si="53"/>
        <v>1</v>
      </c>
      <c r="M1006" s="13">
        <f t="shared" si="54"/>
        <v>4.45</v>
      </c>
    </row>
    <row r="1007" spans="7:13">
      <c r="G1007" s="27">
        <v>40694</v>
      </c>
      <c r="H1007" s="26">
        <v>4.55</v>
      </c>
      <c r="I1007" s="26">
        <v>0.6</v>
      </c>
      <c r="J1007" s="26">
        <v>4.45</v>
      </c>
      <c r="K1007" s="13">
        <f t="shared" si="52"/>
        <v>95.330000000000013</v>
      </c>
      <c r="L1007" s="13">
        <f t="shared" si="53"/>
        <v>21</v>
      </c>
      <c r="M1007" s="13">
        <f t="shared" si="54"/>
        <v>4.5395238095238097</v>
      </c>
    </row>
    <row r="1008" spans="7:13">
      <c r="G1008" s="27">
        <v>40690</v>
      </c>
      <c r="H1008" s="26">
        <v>4.55</v>
      </c>
      <c r="I1008" s="26">
        <v>0.6</v>
      </c>
      <c r="J1008" s="26">
        <v>4.45</v>
      </c>
      <c r="K1008" s="13">
        <f t="shared" si="52"/>
        <v>90.88000000000001</v>
      </c>
      <c r="L1008" s="13">
        <f t="shared" si="53"/>
        <v>20</v>
      </c>
      <c r="M1008" s="13">
        <f t="shared" si="54"/>
        <v>4.5440000000000005</v>
      </c>
    </row>
    <row r="1009" spans="7:13">
      <c r="G1009" s="27">
        <v>40689</v>
      </c>
      <c r="H1009" s="26">
        <v>4.55</v>
      </c>
      <c r="I1009" s="26">
        <v>0.6</v>
      </c>
      <c r="J1009" s="26">
        <v>4.45</v>
      </c>
      <c r="K1009" s="13">
        <f t="shared" si="52"/>
        <v>86.43</v>
      </c>
      <c r="L1009" s="13">
        <f t="shared" si="53"/>
        <v>19</v>
      </c>
      <c r="M1009" s="13">
        <f t="shared" si="54"/>
        <v>4.5489473684210529</v>
      </c>
    </row>
    <row r="1010" spans="7:13">
      <c r="G1010" s="27">
        <v>40688</v>
      </c>
      <c r="H1010" s="26">
        <v>4.5999999999999996</v>
      </c>
      <c r="I1010" s="26">
        <v>0.7</v>
      </c>
      <c r="J1010" s="26">
        <v>4.5250000000000004</v>
      </c>
      <c r="K1010" s="13">
        <f t="shared" si="52"/>
        <v>81.98</v>
      </c>
      <c r="L1010" s="13">
        <f t="shared" si="53"/>
        <v>18</v>
      </c>
      <c r="M1010" s="13">
        <f t="shared" si="54"/>
        <v>4.554444444444445</v>
      </c>
    </row>
    <row r="1011" spans="7:13">
      <c r="G1011" s="27">
        <v>40687</v>
      </c>
      <c r="H1011" s="26">
        <v>4.5999999999999996</v>
      </c>
      <c r="I1011" s="26">
        <v>0.7</v>
      </c>
      <c r="J1011" s="26">
        <v>4.5250000000000004</v>
      </c>
      <c r="K1011" s="13">
        <f t="shared" si="52"/>
        <v>77.454999999999998</v>
      </c>
      <c r="L1011" s="13">
        <f t="shared" si="53"/>
        <v>17</v>
      </c>
      <c r="M1011" s="13">
        <f t="shared" si="54"/>
        <v>4.5561764705882348</v>
      </c>
    </row>
    <row r="1012" spans="7:13">
      <c r="G1012" s="27">
        <v>40686</v>
      </c>
      <c r="H1012" s="26">
        <v>4.5999999999999996</v>
      </c>
      <c r="I1012" s="26">
        <v>0.7</v>
      </c>
      <c r="J1012" s="26">
        <v>4.5250000000000004</v>
      </c>
      <c r="K1012" s="13">
        <f t="shared" si="52"/>
        <v>72.929999999999993</v>
      </c>
      <c r="L1012" s="13">
        <f t="shared" si="53"/>
        <v>16</v>
      </c>
      <c r="M1012" s="13">
        <f t="shared" si="54"/>
        <v>4.5581249999999995</v>
      </c>
    </row>
    <row r="1013" spans="7:13">
      <c r="G1013" s="27">
        <v>40683</v>
      </c>
      <c r="H1013" s="26">
        <v>4.5999999999999996</v>
      </c>
      <c r="I1013" s="26">
        <v>0.7</v>
      </c>
      <c r="J1013" s="26">
        <v>4.5250000000000004</v>
      </c>
      <c r="K1013" s="13">
        <f t="shared" si="52"/>
        <v>68.404999999999987</v>
      </c>
      <c r="L1013" s="13">
        <f t="shared" si="53"/>
        <v>15</v>
      </c>
      <c r="M1013" s="13">
        <f t="shared" si="54"/>
        <v>4.5603333333333325</v>
      </c>
    </row>
    <row r="1014" spans="7:13">
      <c r="G1014" s="27">
        <v>40682</v>
      </c>
      <c r="H1014" s="26">
        <v>4.5999999999999996</v>
      </c>
      <c r="I1014" s="26">
        <v>0.7</v>
      </c>
      <c r="J1014" s="26">
        <v>4.5250000000000004</v>
      </c>
      <c r="K1014" s="13">
        <f t="shared" si="52"/>
        <v>63.879999999999988</v>
      </c>
      <c r="L1014" s="13">
        <f t="shared" si="53"/>
        <v>14</v>
      </c>
      <c r="M1014" s="13">
        <f t="shared" si="54"/>
        <v>4.5628571428571423</v>
      </c>
    </row>
    <row r="1015" spans="7:13">
      <c r="G1015" s="27">
        <v>40681</v>
      </c>
      <c r="H1015" s="26">
        <v>4.6100000000000003</v>
      </c>
      <c r="I1015" s="26">
        <v>0.7</v>
      </c>
      <c r="J1015" s="26">
        <v>4.5350000000000001</v>
      </c>
      <c r="K1015" s="13">
        <f t="shared" si="52"/>
        <v>59.35499999999999</v>
      </c>
      <c r="L1015" s="13">
        <f t="shared" si="53"/>
        <v>13</v>
      </c>
      <c r="M1015" s="13">
        <f t="shared" si="54"/>
        <v>4.5657692307692299</v>
      </c>
    </row>
    <row r="1016" spans="7:13">
      <c r="G1016" s="27">
        <v>40680</v>
      </c>
      <c r="H1016" s="26">
        <v>4.6100000000000003</v>
      </c>
      <c r="I1016" s="26">
        <v>0.7</v>
      </c>
      <c r="J1016" s="26">
        <v>4.5350000000000001</v>
      </c>
      <c r="K1016" s="13">
        <f t="shared" si="52"/>
        <v>54.819999999999993</v>
      </c>
      <c r="L1016" s="13">
        <f t="shared" si="53"/>
        <v>12</v>
      </c>
      <c r="M1016" s="13">
        <f t="shared" si="54"/>
        <v>4.5683333333333325</v>
      </c>
    </row>
    <row r="1017" spans="7:13">
      <c r="G1017" s="27">
        <v>40679</v>
      </c>
      <c r="H1017" s="26">
        <v>4.6100000000000003</v>
      </c>
      <c r="I1017" s="26">
        <v>0.7</v>
      </c>
      <c r="J1017" s="26">
        <v>4.5350000000000001</v>
      </c>
      <c r="K1017" s="13">
        <f t="shared" si="52"/>
        <v>50.284999999999997</v>
      </c>
      <c r="L1017" s="13">
        <f t="shared" si="53"/>
        <v>11</v>
      </c>
      <c r="M1017" s="13">
        <f t="shared" si="54"/>
        <v>4.5713636363636363</v>
      </c>
    </row>
    <row r="1018" spans="7:13">
      <c r="G1018" s="27">
        <v>40676</v>
      </c>
      <c r="H1018" s="26">
        <v>4.6100000000000003</v>
      </c>
      <c r="I1018" s="26">
        <v>0.7</v>
      </c>
      <c r="J1018" s="26">
        <v>4.5350000000000001</v>
      </c>
      <c r="K1018" s="13">
        <f t="shared" si="52"/>
        <v>45.75</v>
      </c>
      <c r="L1018" s="13">
        <f t="shared" si="53"/>
        <v>10</v>
      </c>
      <c r="M1018" s="13">
        <f t="shared" si="54"/>
        <v>4.5750000000000002</v>
      </c>
    </row>
    <row r="1019" spans="7:13">
      <c r="G1019" s="27">
        <v>40675</v>
      </c>
      <c r="H1019" s="26">
        <v>4.6100000000000003</v>
      </c>
      <c r="I1019" s="26">
        <v>0.7</v>
      </c>
      <c r="J1019" s="26">
        <v>4.5350000000000001</v>
      </c>
      <c r="K1019" s="13">
        <f t="shared" si="52"/>
        <v>41.215000000000003</v>
      </c>
      <c r="L1019" s="13">
        <f t="shared" si="53"/>
        <v>9</v>
      </c>
      <c r="M1019" s="13">
        <f t="shared" si="54"/>
        <v>4.5794444444444444</v>
      </c>
    </row>
    <row r="1020" spans="7:13">
      <c r="G1020" s="27">
        <v>40674</v>
      </c>
      <c r="H1020" s="26">
        <v>4.63</v>
      </c>
      <c r="I1020" s="26">
        <v>0.7</v>
      </c>
      <c r="J1020" s="26">
        <v>4.5549999999999997</v>
      </c>
      <c r="K1020" s="13">
        <f t="shared" si="52"/>
        <v>36.68</v>
      </c>
      <c r="L1020" s="13">
        <f t="shared" si="53"/>
        <v>8</v>
      </c>
      <c r="M1020" s="13">
        <f t="shared" si="54"/>
        <v>4.585</v>
      </c>
    </row>
    <row r="1021" spans="7:13">
      <c r="G1021" s="27">
        <v>40673</v>
      </c>
      <c r="H1021" s="26">
        <v>4.63</v>
      </c>
      <c r="I1021" s="26">
        <v>0.7</v>
      </c>
      <c r="J1021" s="26">
        <v>4.5549999999999997</v>
      </c>
      <c r="K1021" s="13">
        <f t="shared" si="52"/>
        <v>32.125</v>
      </c>
      <c r="L1021" s="13">
        <f t="shared" si="53"/>
        <v>7</v>
      </c>
      <c r="M1021" s="13">
        <f t="shared" si="54"/>
        <v>4.5892857142857144</v>
      </c>
    </row>
    <row r="1022" spans="7:13">
      <c r="G1022" s="27">
        <v>40672</v>
      </c>
      <c r="H1022" s="26">
        <v>4.63</v>
      </c>
      <c r="I1022" s="26">
        <v>0.7</v>
      </c>
      <c r="J1022" s="26">
        <v>4.5549999999999997</v>
      </c>
      <c r="K1022" s="13">
        <f t="shared" si="52"/>
        <v>27.57</v>
      </c>
      <c r="L1022" s="13">
        <f t="shared" si="53"/>
        <v>6</v>
      </c>
      <c r="M1022" s="13">
        <f t="shared" si="54"/>
        <v>4.5949999999999998</v>
      </c>
    </row>
    <row r="1023" spans="7:13">
      <c r="G1023" s="27">
        <v>40669</v>
      </c>
      <c r="H1023" s="26">
        <v>4.63</v>
      </c>
      <c r="I1023" s="26">
        <v>0.7</v>
      </c>
      <c r="J1023" s="26">
        <v>4.5549999999999997</v>
      </c>
      <c r="K1023" s="13">
        <f t="shared" si="52"/>
        <v>23.015000000000001</v>
      </c>
      <c r="L1023" s="13">
        <f t="shared" si="53"/>
        <v>5</v>
      </c>
      <c r="M1023" s="13">
        <f t="shared" si="54"/>
        <v>4.6029999999999998</v>
      </c>
    </row>
    <row r="1024" spans="7:13">
      <c r="G1024" s="27">
        <v>40668</v>
      </c>
      <c r="H1024" s="26">
        <v>4.63</v>
      </c>
      <c r="I1024" s="26">
        <v>0.7</v>
      </c>
      <c r="J1024" s="26">
        <v>4.5549999999999997</v>
      </c>
      <c r="K1024" s="13">
        <f t="shared" si="52"/>
        <v>18.46</v>
      </c>
      <c r="L1024" s="13">
        <f t="shared" si="53"/>
        <v>4</v>
      </c>
      <c r="M1024" s="13">
        <f t="shared" si="54"/>
        <v>4.6150000000000002</v>
      </c>
    </row>
    <row r="1025" spans="7:13">
      <c r="G1025" s="27">
        <v>40667</v>
      </c>
      <c r="H1025" s="26">
        <v>4.71</v>
      </c>
      <c r="I1025" s="26">
        <v>0.7</v>
      </c>
      <c r="J1025" s="26">
        <v>4.6349999999999998</v>
      </c>
      <c r="K1025" s="13">
        <f t="shared" si="52"/>
        <v>13.904999999999999</v>
      </c>
      <c r="L1025" s="13">
        <f t="shared" si="53"/>
        <v>3</v>
      </c>
      <c r="M1025" s="13">
        <f t="shared" si="54"/>
        <v>4.6349999999999998</v>
      </c>
    </row>
    <row r="1026" spans="7:13">
      <c r="G1026" s="27">
        <v>40666</v>
      </c>
      <c r="H1026" s="26">
        <v>4.71</v>
      </c>
      <c r="I1026" s="26">
        <v>0.7</v>
      </c>
      <c r="J1026" s="26">
        <v>4.6349999999999998</v>
      </c>
      <c r="K1026" s="13">
        <f t="shared" si="52"/>
        <v>9.27</v>
      </c>
      <c r="L1026" s="13">
        <f t="shared" si="53"/>
        <v>2</v>
      </c>
      <c r="M1026" s="13">
        <f t="shared" si="54"/>
        <v>4.6349999999999998</v>
      </c>
    </row>
    <row r="1027" spans="7:13">
      <c r="G1027" s="27">
        <v>40665</v>
      </c>
      <c r="H1027" s="26">
        <v>4.71</v>
      </c>
      <c r="I1027" s="26">
        <v>0.7</v>
      </c>
      <c r="J1027" s="26">
        <v>4.6349999999999998</v>
      </c>
      <c r="K1027" s="13">
        <f t="shared" si="52"/>
        <v>4.6349999999999998</v>
      </c>
      <c r="L1027" s="13">
        <f t="shared" si="53"/>
        <v>1</v>
      </c>
      <c r="M1027" s="13">
        <f t="shared" si="54"/>
        <v>4.6349999999999998</v>
      </c>
    </row>
    <row r="1028" spans="7:13">
      <c r="G1028" s="27">
        <v>40662</v>
      </c>
      <c r="H1028" s="26">
        <v>4.71</v>
      </c>
      <c r="I1028" s="26">
        <v>0.7</v>
      </c>
      <c r="J1028" s="26">
        <v>4.6349999999999998</v>
      </c>
      <c r="K1028" s="13">
        <f t="shared" ref="K1028:K1060" si="55">IF(MONTH(G1028)=MONTH(G1029),J1028+K1029,J1028)</f>
        <v>94.945000000000007</v>
      </c>
      <c r="L1028" s="13">
        <f t="shared" ref="L1028:L1059" si="56">IF(MONTH(G1028)=MONTH(G1029),L1029+1,1)</f>
        <v>20</v>
      </c>
      <c r="M1028" s="13">
        <f t="shared" si="54"/>
        <v>4.7472500000000002</v>
      </c>
    </row>
    <row r="1029" spans="7:13">
      <c r="G1029" s="27">
        <v>40661</v>
      </c>
      <c r="H1029" s="26">
        <v>4.71</v>
      </c>
      <c r="I1029" s="26">
        <v>0.7</v>
      </c>
      <c r="J1029" s="26">
        <v>4.6349999999999998</v>
      </c>
      <c r="K1029" s="13">
        <f t="shared" si="55"/>
        <v>90.31</v>
      </c>
      <c r="L1029" s="13">
        <f t="shared" si="56"/>
        <v>19</v>
      </c>
      <c r="M1029" s="13">
        <f t="shared" ref="M1029:M1061" si="57">K1029/L1029</f>
        <v>4.7531578947368418</v>
      </c>
    </row>
    <row r="1030" spans="7:13">
      <c r="G1030" s="27">
        <v>40660</v>
      </c>
      <c r="H1030" s="26">
        <v>4.78</v>
      </c>
      <c r="I1030" s="26">
        <v>0.7</v>
      </c>
      <c r="J1030" s="26">
        <v>4.7050000000000001</v>
      </c>
      <c r="K1030" s="13">
        <f t="shared" si="55"/>
        <v>85.674999999999997</v>
      </c>
      <c r="L1030" s="13">
        <f t="shared" si="56"/>
        <v>18</v>
      </c>
      <c r="M1030" s="13">
        <f t="shared" si="57"/>
        <v>4.759722222222222</v>
      </c>
    </row>
    <row r="1031" spans="7:13">
      <c r="G1031" s="27">
        <v>40659</v>
      </c>
      <c r="H1031" s="26">
        <v>4.78</v>
      </c>
      <c r="I1031" s="26">
        <v>0.7</v>
      </c>
      <c r="J1031" s="26">
        <v>4.7050000000000001</v>
      </c>
      <c r="K1031" s="13">
        <f t="shared" si="55"/>
        <v>80.97</v>
      </c>
      <c r="L1031" s="13">
        <f t="shared" si="56"/>
        <v>17</v>
      </c>
      <c r="M1031" s="13">
        <f t="shared" si="57"/>
        <v>4.762941176470588</v>
      </c>
    </row>
    <row r="1032" spans="7:13">
      <c r="G1032" s="27">
        <v>40658</v>
      </c>
      <c r="H1032" s="26">
        <v>4.78</v>
      </c>
      <c r="I1032" s="26">
        <v>0.7</v>
      </c>
      <c r="J1032" s="26">
        <v>4.7050000000000001</v>
      </c>
      <c r="K1032" s="13">
        <f t="shared" si="55"/>
        <v>76.265000000000001</v>
      </c>
      <c r="L1032" s="13">
        <f t="shared" si="56"/>
        <v>16</v>
      </c>
      <c r="M1032" s="13">
        <f t="shared" si="57"/>
        <v>4.7665625</v>
      </c>
    </row>
    <row r="1033" spans="7:13">
      <c r="G1033" s="27">
        <v>40654</v>
      </c>
      <c r="H1033" s="26">
        <v>4.78</v>
      </c>
      <c r="I1033" s="26">
        <v>0.7</v>
      </c>
      <c r="J1033" s="26">
        <v>4.7050000000000001</v>
      </c>
      <c r="K1033" s="13">
        <f t="shared" si="55"/>
        <v>71.56</v>
      </c>
      <c r="L1033" s="13">
        <f t="shared" si="56"/>
        <v>15</v>
      </c>
      <c r="M1033" s="13">
        <f t="shared" si="57"/>
        <v>4.7706666666666671</v>
      </c>
    </row>
    <row r="1034" spans="7:13">
      <c r="G1034" s="27">
        <v>40653</v>
      </c>
      <c r="H1034" s="26">
        <v>4.8</v>
      </c>
      <c r="I1034" s="26">
        <v>0.7</v>
      </c>
      <c r="J1034" s="26">
        <v>4.7249999999999996</v>
      </c>
      <c r="K1034" s="13">
        <f t="shared" si="55"/>
        <v>66.855000000000004</v>
      </c>
      <c r="L1034" s="13">
        <f t="shared" si="56"/>
        <v>14</v>
      </c>
      <c r="M1034" s="13">
        <f t="shared" si="57"/>
        <v>4.7753571428571435</v>
      </c>
    </row>
    <row r="1035" spans="7:13">
      <c r="G1035" s="27">
        <v>40652</v>
      </c>
      <c r="H1035" s="26">
        <v>4.8</v>
      </c>
      <c r="I1035" s="26">
        <v>0.7</v>
      </c>
      <c r="J1035" s="26">
        <v>4.7249999999999996</v>
      </c>
      <c r="K1035" s="13">
        <f t="shared" si="55"/>
        <v>62.13000000000001</v>
      </c>
      <c r="L1035" s="13">
        <f t="shared" si="56"/>
        <v>13</v>
      </c>
      <c r="M1035" s="13">
        <f t="shared" si="57"/>
        <v>4.7792307692307698</v>
      </c>
    </row>
    <row r="1036" spans="7:13">
      <c r="G1036" s="27">
        <v>40651</v>
      </c>
      <c r="H1036" s="26">
        <v>4.8</v>
      </c>
      <c r="I1036" s="26">
        <v>0.7</v>
      </c>
      <c r="J1036" s="26">
        <v>4.7249999999999996</v>
      </c>
      <c r="K1036" s="13">
        <f t="shared" si="55"/>
        <v>57.405000000000008</v>
      </c>
      <c r="L1036" s="13">
        <f t="shared" si="56"/>
        <v>12</v>
      </c>
      <c r="M1036" s="13">
        <f t="shared" si="57"/>
        <v>4.7837500000000004</v>
      </c>
    </row>
    <row r="1037" spans="7:13">
      <c r="G1037" s="27">
        <v>40648</v>
      </c>
      <c r="H1037" s="26">
        <v>4.8</v>
      </c>
      <c r="I1037" s="26">
        <v>0.7</v>
      </c>
      <c r="J1037" s="26">
        <v>4.7249999999999996</v>
      </c>
      <c r="K1037" s="13">
        <f t="shared" si="55"/>
        <v>52.680000000000007</v>
      </c>
      <c r="L1037" s="13">
        <f t="shared" si="56"/>
        <v>11</v>
      </c>
      <c r="M1037" s="13">
        <f t="shared" si="57"/>
        <v>4.78909090909091</v>
      </c>
    </row>
    <row r="1038" spans="7:13">
      <c r="G1038" s="27">
        <v>40647</v>
      </c>
      <c r="H1038" s="26">
        <v>4.8</v>
      </c>
      <c r="I1038" s="26">
        <v>0.7</v>
      </c>
      <c r="J1038" s="26">
        <v>4.7249999999999996</v>
      </c>
      <c r="K1038" s="13">
        <f t="shared" si="55"/>
        <v>47.955000000000005</v>
      </c>
      <c r="L1038" s="13">
        <f t="shared" si="56"/>
        <v>10</v>
      </c>
      <c r="M1038" s="13">
        <f t="shared" si="57"/>
        <v>4.7955000000000005</v>
      </c>
    </row>
    <row r="1039" spans="7:13">
      <c r="G1039" s="27">
        <v>40646</v>
      </c>
      <c r="H1039" s="26">
        <v>4.91</v>
      </c>
      <c r="I1039" s="26">
        <v>0.6</v>
      </c>
      <c r="J1039" s="26">
        <v>4.8099999999999996</v>
      </c>
      <c r="K1039" s="13">
        <f t="shared" si="55"/>
        <v>43.230000000000004</v>
      </c>
      <c r="L1039" s="13">
        <f t="shared" si="56"/>
        <v>9</v>
      </c>
      <c r="M1039" s="13">
        <f t="shared" si="57"/>
        <v>4.8033333333333337</v>
      </c>
    </row>
    <row r="1040" spans="7:13">
      <c r="G1040" s="27">
        <v>40645</v>
      </c>
      <c r="H1040" s="26">
        <v>4.91</v>
      </c>
      <c r="I1040" s="26">
        <v>0.6</v>
      </c>
      <c r="J1040" s="26">
        <v>4.8099999999999996</v>
      </c>
      <c r="K1040" s="13">
        <f t="shared" si="55"/>
        <v>38.42</v>
      </c>
      <c r="L1040" s="13">
        <f t="shared" si="56"/>
        <v>8</v>
      </c>
      <c r="M1040" s="13">
        <f t="shared" si="57"/>
        <v>4.8025000000000002</v>
      </c>
    </row>
    <row r="1041" spans="7:13">
      <c r="G1041" s="27">
        <v>40644</v>
      </c>
      <c r="H1041" s="26">
        <v>4.91</v>
      </c>
      <c r="I1041" s="26">
        <v>0.6</v>
      </c>
      <c r="J1041" s="26">
        <v>4.8099999999999996</v>
      </c>
      <c r="K1041" s="13">
        <f t="shared" si="55"/>
        <v>33.61</v>
      </c>
      <c r="L1041" s="13">
        <f t="shared" si="56"/>
        <v>7</v>
      </c>
      <c r="M1041" s="13">
        <f t="shared" si="57"/>
        <v>4.8014285714285716</v>
      </c>
    </row>
    <row r="1042" spans="7:13">
      <c r="G1042" s="27">
        <v>40641</v>
      </c>
      <c r="H1042" s="26">
        <v>4.91</v>
      </c>
      <c r="I1042" s="26">
        <v>0.6</v>
      </c>
      <c r="J1042" s="26">
        <v>4.8099999999999996</v>
      </c>
      <c r="K1042" s="13">
        <f t="shared" si="55"/>
        <v>28.799999999999997</v>
      </c>
      <c r="L1042" s="13">
        <f t="shared" si="56"/>
        <v>6</v>
      </c>
      <c r="M1042" s="13">
        <f t="shared" si="57"/>
        <v>4.8</v>
      </c>
    </row>
    <row r="1043" spans="7:13">
      <c r="G1043" s="27">
        <v>40640</v>
      </c>
      <c r="H1043" s="26">
        <v>4.91</v>
      </c>
      <c r="I1043" s="26">
        <v>0.6</v>
      </c>
      <c r="J1043" s="26">
        <v>4.8099999999999996</v>
      </c>
      <c r="K1043" s="13">
        <f t="shared" si="55"/>
        <v>23.99</v>
      </c>
      <c r="L1043" s="13">
        <f t="shared" si="56"/>
        <v>5</v>
      </c>
      <c r="M1043" s="13">
        <f t="shared" si="57"/>
        <v>4.798</v>
      </c>
    </row>
    <row r="1044" spans="7:13">
      <c r="G1044" s="27">
        <v>40639</v>
      </c>
      <c r="H1044" s="26">
        <v>4.87</v>
      </c>
      <c r="I1044" s="26">
        <v>0.7</v>
      </c>
      <c r="J1044" s="26">
        <v>4.7949999999999999</v>
      </c>
      <c r="K1044" s="13">
        <f t="shared" si="55"/>
        <v>19.18</v>
      </c>
      <c r="L1044" s="13">
        <f t="shared" si="56"/>
        <v>4</v>
      </c>
      <c r="M1044" s="13">
        <f t="shared" si="57"/>
        <v>4.7949999999999999</v>
      </c>
    </row>
    <row r="1045" spans="7:13">
      <c r="G1045" s="27">
        <v>40638</v>
      </c>
      <c r="H1045" s="26">
        <v>4.87</v>
      </c>
      <c r="I1045" s="26">
        <v>0.7</v>
      </c>
      <c r="J1045" s="26">
        <v>4.7949999999999999</v>
      </c>
      <c r="K1045" s="13">
        <f t="shared" si="55"/>
        <v>14.385</v>
      </c>
      <c r="L1045" s="13">
        <f t="shared" si="56"/>
        <v>3</v>
      </c>
      <c r="M1045" s="13">
        <f t="shared" si="57"/>
        <v>4.7949999999999999</v>
      </c>
    </row>
    <row r="1046" spans="7:13">
      <c r="G1046" s="27">
        <v>40637</v>
      </c>
      <c r="H1046" s="26">
        <v>4.87</v>
      </c>
      <c r="I1046" s="26">
        <v>0.7</v>
      </c>
      <c r="J1046" s="26">
        <v>4.7949999999999999</v>
      </c>
      <c r="K1046" s="13">
        <f t="shared" si="55"/>
        <v>9.59</v>
      </c>
      <c r="L1046" s="13">
        <f t="shared" si="56"/>
        <v>2</v>
      </c>
      <c r="M1046" s="13">
        <f t="shared" si="57"/>
        <v>4.7949999999999999</v>
      </c>
    </row>
    <row r="1047" spans="7:13">
      <c r="G1047" s="27">
        <v>40634</v>
      </c>
      <c r="H1047" s="26">
        <v>4.87</v>
      </c>
      <c r="I1047" s="26">
        <v>0.7</v>
      </c>
      <c r="J1047" s="26">
        <v>4.7949999999999999</v>
      </c>
      <c r="K1047" s="13">
        <f t="shared" si="55"/>
        <v>4.7949999999999999</v>
      </c>
      <c r="L1047" s="13">
        <f t="shared" si="56"/>
        <v>1</v>
      </c>
      <c r="M1047" s="13">
        <f t="shared" si="57"/>
        <v>4.7949999999999999</v>
      </c>
    </row>
    <row r="1048" spans="7:13">
      <c r="G1048" s="27">
        <v>40633</v>
      </c>
      <c r="H1048" s="26">
        <v>4.87</v>
      </c>
      <c r="I1048" s="26">
        <v>0.7</v>
      </c>
      <c r="J1048" s="26">
        <v>4.7949999999999999</v>
      </c>
      <c r="K1048" s="13">
        <f t="shared" si="55"/>
        <v>61.764999999999986</v>
      </c>
      <c r="L1048" s="13">
        <f t="shared" si="56"/>
        <v>13</v>
      </c>
      <c r="M1048" s="13">
        <f t="shared" si="57"/>
        <v>4.7511538461538452</v>
      </c>
    </row>
    <row r="1049" spans="7:13">
      <c r="G1049" s="27">
        <v>40632</v>
      </c>
      <c r="H1049" s="26">
        <v>4.8600000000000003</v>
      </c>
      <c r="I1049" s="26">
        <v>0.7</v>
      </c>
      <c r="J1049" s="26">
        <v>4.7850000000000001</v>
      </c>
      <c r="K1049" s="13">
        <f t="shared" si="55"/>
        <v>56.969999999999985</v>
      </c>
      <c r="L1049" s="13">
        <f t="shared" si="56"/>
        <v>12</v>
      </c>
      <c r="M1049" s="13">
        <f t="shared" si="57"/>
        <v>4.7474999999999987</v>
      </c>
    </row>
    <row r="1050" spans="7:13">
      <c r="G1050" s="27">
        <v>40631</v>
      </c>
      <c r="H1050" s="26">
        <v>4.8600000000000003</v>
      </c>
      <c r="I1050" s="26">
        <v>0.7</v>
      </c>
      <c r="J1050" s="26">
        <v>4.7850000000000001</v>
      </c>
      <c r="K1050" s="13">
        <f t="shared" si="55"/>
        <v>52.184999999999988</v>
      </c>
      <c r="L1050" s="13">
        <f t="shared" si="56"/>
        <v>11</v>
      </c>
      <c r="M1050" s="13">
        <f t="shared" si="57"/>
        <v>4.7440909090909082</v>
      </c>
    </row>
    <row r="1051" spans="7:13">
      <c r="G1051" s="27">
        <v>40630</v>
      </c>
      <c r="H1051" s="26">
        <v>4.8600000000000003</v>
      </c>
      <c r="I1051" s="26">
        <v>0.7</v>
      </c>
      <c r="J1051" s="26">
        <v>4.7850000000000001</v>
      </c>
      <c r="K1051" s="13">
        <f t="shared" si="55"/>
        <v>47.399999999999991</v>
      </c>
      <c r="L1051" s="13">
        <f t="shared" si="56"/>
        <v>10</v>
      </c>
      <c r="M1051" s="13">
        <f t="shared" si="57"/>
        <v>4.7399999999999993</v>
      </c>
    </row>
    <row r="1052" spans="7:13">
      <c r="G1052" s="27">
        <v>40627</v>
      </c>
      <c r="H1052" s="26">
        <v>4.8600000000000003</v>
      </c>
      <c r="I1052" s="26">
        <v>0.7</v>
      </c>
      <c r="J1052" s="26">
        <v>4.7850000000000001</v>
      </c>
      <c r="K1052" s="13">
        <f t="shared" si="55"/>
        <v>42.614999999999995</v>
      </c>
      <c r="L1052" s="13">
        <f t="shared" si="56"/>
        <v>9</v>
      </c>
      <c r="M1052" s="13">
        <f t="shared" si="57"/>
        <v>4.7349999999999994</v>
      </c>
    </row>
    <row r="1053" spans="7:13">
      <c r="G1053" s="27">
        <v>40626</v>
      </c>
      <c r="H1053" s="26">
        <v>4.8600000000000003</v>
      </c>
      <c r="I1053" s="26">
        <v>0.7</v>
      </c>
      <c r="J1053" s="26">
        <v>4.7850000000000001</v>
      </c>
      <c r="K1053" s="13">
        <f t="shared" si="55"/>
        <v>37.83</v>
      </c>
      <c r="L1053" s="13">
        <f t="shared" si="56"/>
        <v>8</v>
      </c>
      <c r="M1053" s="13">
        <f t="shared" si="57"/>
        <v>4.7287499999999998</v>
      </c>
    </row>
    <row r="1054" spans="7:13">
      <c r="G1054" s="27">
        <v>40625</v>
      </c>
      <c r="H1054" s="26">
        <v>4.8099999999999996</v>
      </c>
      <c r="I1054" s="26">
        <v>0.7</v>
      </c>
      <c r="J1054" s="26">
        <v>4.7350000000000003</v>
      </c>
      <c r="K1054" s="13">
        <f t="shared" si="55"/>
        <v>33.045000000000002</v>
      </c>
      <c r="L1054" s="13">
        <f t="shared" si="56"/>
        <v>7</v>
      </c>
      <c r="M1054" s="13">
        <f t="shared" si="57"/>
        <v>4.7207142857142861</v>
      </c>
    </row>
    <row r="1055" spans="7:13">
      <c r="G1055" s="27">
        <v>40624</v>
      </c>
      <c r="H1055" s="26">
        <v>4.8099999999999996</v>
      </c>
      <c r="I1055" s="26">
        <v>0.7</v>
      </c>
      <c r="J1055" s="26">
        <v>4.7350000000000003</v>
      </c>
      <c r="K1055" s="13">
        <f t="shared" si="55"/>
        <v>28.31</v>
      </c>
      <c r="L1055" s="13">
        <f t="shared" si="56"/>
        <v>6</v>
      </c>
      <c r="M1055" s="13">
        <f t="shared" si="57"/>
        <v>4.7183333333333328</v>
      </c>
    </row>
    <row r="1056" spans="7:13">
      <c r="G1056" s="27">
        <v>40623</v>
      </c>
      <c r="H1056" s="26">
        <v>4.8099999999999996</v>
      </c>
      <c r="I1056" s="26">
        <v>0.7</v>
      </c>
      <c r="J1056" s="26">
        <v>4.7350000000000003</v>
      </c>
      <c r="K1056" s="13">
        <f t="shared" si="55"/>
        <v>23.574999999999999</v>
      </c>
      <c r="L1056" s="13">
        <f t="shared" si="56"/>
        <v>5</v>
      </c>
      <c r="M1056" s="13">
        <f t="shared" si="57"/>
        <v>4.7149999999999999</v>
      </c>
    </row>
    <row r="1057" spans="7:13">
      <c r="G1057" s="27">
        <v>40620</v>
      </c>
      <c r="H1057" s="26">
        <v>4.8099999999999996</v>
      </c>
      <c r="I1057" s="26">
        <v>0.7</v>
      </c>
      <c r="J1057" s="26">
        <v>4.7350000000000003</v>
      </c>
      <c r="K1057" s="13">
        <f t="shared" si="55"/>
        <v>18.84</v>
      </c>
      <c r="L1057" s="13">
        <f t="shared" si="56"/>
        <v>4</v>
      </c>
      <c r="M1057" s="13">
        <f t="shared" si="57"/>
        <v>4.71</v>
      </c>
    </row>
    <row r="1058" spans="7:13">
      <c r="G1058" s="27">
        <v>40619</v>
      </c>
      <c r="H1058" s="26">
        <v>4.8099999999999996</v>
      </c>
      <c r="I1058" s="26">
        <v>0.7</v>
      </c>
      <c r="J1058" s="26">
        <v>4.7350000000000003</v>
      </c>
      <c r="K1058" s="13">
        <f t="shared" si="55"/>
        <v>14.105</v>
      </c>
      <c r="L1058" s="13">
        <f t="shared" si="56"/>
        <v>3</v>
      </c>
      <c r="M1058" s="13">
        <f t="shared" si="57"/>
        <v>4.7016666666666671</v>
      </c>
    </row>
    <row r="1059" spans="7:13">
      <c r="G1059" s="27">
        <v>40618</v>
      </c>
      <c r="H1059" s="26">
        <v>4.76</v>
      </c>
      <c r="I1059" s="26">
        <v>0.7</v>
      </c>
      <c r="J1059" s="26">
        <v>4.6849999999999996</v>
      </c>
      <c r="K1059" s="13">
        <f t="shared" si="55"/>
        <v>9.3699999999999992</v>
      </c>
      <c r="L1059" s="13">
        <f t="shared" si="56"/>
        <v>2</v>
      </c>
      <c r="M1059" s="13">
        <f t="shared" si="57"/>
        <v>4.6849999999999996</v>
      </c>
    </row>
    <row r="1060" spans="7:13">
      <c r="G1060" s="27">
        <v>40617</v>
      </c>
      <c r="H1060" s="26">
        <v>4.76</v>
      </c>
      <c r="I1060" s="26">
        <v>0.7</v>
      </c>
      <c r="J1060" s="26">
        <v>4.6849999999999996</v>
      </c>
      <c r="K1060" s="13">
        <f t="shared" si="55"/>
        <v>4.6849999999999996</v>
      </c>
      <c r="L1060" s="13">
        <f>IF(MONTH(G1060)=MONTH(G1061),L1061+1,1)</f>
        <v>1</v>
      </c>
      <c r="M1060" s="13">
        <f t="shared" si="57"/>
        <v>4.6849999999999996</v>
      </c>
    </row>
    <row r="1061" spans="7:13">
      <c r="G1061" s="27">
        <v>40616</v>
      </c>
      <c r="H1061" s="26">
        <v>4.76</v>
      </c>
      <c r="I1061" s="26">
        <v>0.7</v>
      </c>
      <c r="J1061" s="26">
        <v>4.6849999999999996</v>
      </c>
      <c r="L1061" s="4">
        <v>0</v>
      </c>
      <c r="M1061" s="13" t="e">
        <f t="shared" si="57"/>
        <v>#DIV/0!</v>
      </c>
    </row>
    <row r="1062" spans="7:13">
      <c r="G1062" s="27">
        <v>40613</v>
      </c>
      <c r="H1062" s="26">
        <v>4.76</v>
      </c>
      <c r="I1062" s="26">
        <v>0.7</v>
      </c>
      <c r="J1062" s="26">
        <v>4.6849999999999996</v>
      </c>
    </row>
    <row r="1063" spans="7:13">
      <c r="G1063" s="27">
        <v>40612</v>
      </c>
      <c r="H1063" s="26">
        <v>4.76</v>
      </c>
      <c r="I1063" s="26">
        <v>0.7</v>
      </c>
      <c r="J1063" s="26">
        <v>4.6849999999999996</v>
      </c>
    </row>
    <row r="1064" spans="7:13">
      <c r="G1064" s="27">
        <v>40611</v>
      </c>
      <c r="H1064" s="26">
        <v>4.88</v>
      </c>
      <c r="I1064" s="26">
        <v>0.7</v>
      </c>
      <c r="J1064" s="26">
        <v>4.8049999999999997</v>
      </c>
    </row>
    <row r="1065" spans="7:13">
      <c r="G1065" s="27">
        <v>40610</v>
      </c>
      <c r="H1065" s="26">
        <v>4.88</v>
      </c>
      <c r="I1065" s="26">
        <v>0.7</v>
      </c>
      <c r="J1065" s="26">
        <v>4.8049999999999997</v>
      </c>
    </row>
    <row r="1066" spans="7:13">
      <c r="G1066" s="27">
        <v>40609</v>
      </c>
      <c r="H1066" s="26">
        <v>4.88</v>
      </c>
      <c r="I1066" s="26">
        <v>0.7</v>
      </c>
      <c r="J1066" s="26">
        <v>4.8049999999999997</v>
      </c>
    </row>
    <row r="1067" spans="7:13">
      <c r="G1067" s="27">
        <v>40606</v>
      </c>
      <c r="H1067" s="26">
        <v>4.88</v>
      </c>
      <c r="I1067" s="26">
        <v>0.7</v>
      </c>
      <c r="J1067" s="26">
        <v>4.8049999999999997</v>
      </c>
    </row>
    <row r="1068" spans="7:13">
      <c r="G1068" s="27">
        <v>40605</v>
      </c>
      <c r="H1068" s="26">
        <v>4.88</v>
      </c>
      <c r="I1068" s="26">
        <v>0.7</v>
      </c>
      <c r="J1068" s="26">
        <v>4.8049999999999997</v>
      </c>
    </row>
    <row r="1069" spans="7:13">
      <c r="G1069" s="27">
        <v>40604</v>
      </c>
      <c r="H1069" s="26">
        <v>4.87</v>
      </c>
      <c r="I1069" s="26">
        <v>0.7</v>
      </c>
      <c r="J1069" s="26">
        <v>4.7949999999999999</v>
      </c>
    </row>
    <row r="1070" spans="7:13">
      <c r="G1070" s="27">
        <v>40603</v>
      </c>
      <c r="H1070" s="26">
        <v>4.87</v>
      </c>
      <c r="I1070" s="26">
        <v>0.7</v>
      </c>
      <c r="J1070" s="26">
        <v>4.7949999999999999</v>
      </c>
    </row>
    <row r="1071" spans="7:13">
      <c r="G1071" s="27">
        <v>40602</v>
      </c>
      <c r="H1071" s="26">
        <v>4.87</v>
      </c>
      <c r="I1071" s="26">
        <v>0.7</v>
      </c>
      <c r="J1071" s="26">
        <v>4.7949999999999999</v>
      </c>
    </row>
    <row r="1072" spans="7:13">
      <c r="G1072" s="27">
        <v>40599</v>
      </c>
      <c r="H1072" s="26">
        <v>4.87</v>
      </c>
      <c r="I1072" s="26">
        <v>0.7</v>
      </c>
      <c r="J1072" s="26">
        <v>4.7949999999999999</v>
      </c>
    </row>
    <row r="1073" spans="7:10">
      <c r="G1073" s="27">
        <v>40598</v>
      </c>
      <c r="H1073" s="26">
        <v>4.87</v>
      </c>
      <c r="I1073" s="26">
        <v>0.7</v>
      </c>
      <c r="J1073" s="26">
        <v>4.7949999999999999</v>
      </c>
    </row>
    <row r="1074" spans="7:10">
      <c r="G1074" s="27">
        <v>40597</v>
      </c>
      <c r="H1074" s="26">
        <v>4.95</v>
      </c>
      <c r="I1074" s="26">
        <v>0.6</v>
      </c>
      <c r="J1074" s="26">
        <v>4.8499999999999996</v>
      </c>
    </row>
    <row r="1075" spans="7:10">
      <c r="G1075" s="27">
        <v>40596</v>
      </c>
      <c r="H1075" s="26">
        <v>4.95</v>
      </c>
      <c r="I1075" s="26">
        <v>0.6</v>
      </c>
      <c r="J1075" s="26">
        <v>4.8499999999999996</v>
      </c>
    </row>
    <row r="1076" spans="7:10">
      <c r="G1076" s="27">
        <v>40592</v>
      </c>
      <c r="H1076" s="26">
        <v>4.95</v>
      </c>
      <c r="I1076" s="26">
        <v>0.6</v>
      </c>
      <c r="J1076" s="26">
        <v>4.8499999999999996</v>
      </c>
    </row>
    <row r="1077" spans="7:10">
      <c r="G1077" s="27">
        <v>40591</v>
      </c>
      <c r="H1077" s="26">
        <v>4.95</v>
      </c>
      <c r="I1077" s="26">
        <v>0.6</v>
      </c>
      <c r="J1077" s="26">
        <v>4.8499999999999996</v>
      </c>
    </row>
    <row r="1078" spans="7:10">
      <c r="G1078" s="27">
        <v>40590</v>
      </c>
      <c r="H1078" s="26">
        <v>5</v>
      </c>
      <c r="I1078" s="26">
        <v>0.7</v>
      </c>
      <c r="J1078" s="26">
        <v>4.9249999999999998</v>
      </c>
    </row>
    <row r="1079" spans="7:10">
      <c r="G1079" s="27">
        <v>40589</v>
      </c>
      <c r="H1079" s="26">
        <v>5</v>
      </c>
      <c r="I1079" s="26">
        <v>0.7</v>
      </c>
      <c r="J1079" s="26">
        <v>4.9249999999999998</v>
      </c>
    </row>
    <row r="1080" spans="7:10">
      <c r="G1080" s="27">
        <v>40588</v>
      </c>
      <c r="H1080" s="26">
        <v>5</v>
      </c>
      <c r="I1080" s="26">
        <v>0.7</v>
      </c>
      <c r="J1080" s="26">
        <v>4.9249999999999998</v>
      </c>
    </row>
    <row r="1081" spans="7:10">
      <c r="G1081" s="27">
        <v>40585</v>
      </c>
      <c r="H1081" s="26">
        <v>5</v>
      </c>
      <c r="I1081" s="26">
        <v>0.7</v>
      </c>
      <c r="J1081" s="26">
        <v>4.9249999999999998</v>
      </c>
    </row>
    <row r="1082" spans="7:10">
      <c r="G1082" s="27">
        <v>40584</v>
      </c>
      <c r="H1082" s="26">
        <v>5</v>
      </c>
      <c r="I1082" s="26">
        <v>0.7</v>
      </c>
      <c r="J1082" s="26">
        <v>4.9249999999999998</v>
      </c>
    </row>
    <row r="1083" spans="7:10">
      <c r="G1083" s="27">
        <v>40583</v>
      </c>
      <c r="H1083" s="26">
        <v>5.05</v>
      </c>
      <c r="I1083" s="26">
        <v>0.7</v>
      </c>
      <c r="J1083" s="26">
        <v>4.9749999999999996</v>
      </c>
    </row>
    <row r="1084" spans="7:10">
      <c r="G1084" s="27">
        <v>40582</v>
      </c>
      <c r="H1084" s="26">
        <v>5.05</v>
      </c>
      <c r="I1084" s="26">
        <v>0.7</v>
      </c>
      <c r="J1084" s="26">
        <v>4.9749999999999996</v>
      </c>
    </row>
    <row r="1085" spans="7:10">
      <c r="G1085" s="27">
        <v>40581</v>
      </c>
      <c r="H1085" s="26">
        <v>5.05</v>
      </c>
      <c r="I1085" s="26">
        <v>0.7</v>
      </c>
      <c r="J1085" s="26">
        <v>4.9749999999999996</v>
      </c>
    </row>
    <row r="1086" spans="7:10">
      <c r="G1086" s="27">
        <v>40578</v>
      </c>
      <c r="H1086" s="26">
        <v>5.05</v>
      </c>
      <c r="I1086" s="26">
        <v>0.7</v>
      </c>
      <c r="J1086" s="26">
        <v>4.9749999999999996</v>
      </c>
    </row>
    <row r="1087" spans="7:10">
      <c r="G1087" s="27">
        <v>40577</v>
      </c>
      <c r="H1087" s="26">
        <v>5.05</v>
      </c>
      <c r="I1087" s="26">
        <v>0.7</v>
      </c>
      <c r="J1087" s="26">
        <v>4.9749999999999996</v>
      </c>
    </row>
    <row r="1088" spans="7:10">
      <c r="G1088" s="27">
        <v>40576</v>
      </c>
      <c r="H1088" s="26">
        <v>4.8099999999999996</v>
      </c>
      <c r="I1088" s="26">
        <v>0.8</v>
      </c>
      <c r="J1088" s="26">
        <v>4.76</v>
      </c>
    </row>
    <row r="1089" spans="7:10">
      <c r="G1089" s="27">
        <v>40575</v>
      </c>
      <c r="H1089" s="26">
        <v>4.8099999999999996</v>
      </c>
      <c r="I1089" s="26">
        <v>0.8</v>
      </c>
      <c r="J1089" s="26">
        <v>4.76</v>
      </c>
    </row>
    <row r="1090" spans="7:10">
      <c r="G1090" s="27">
        <v>40574</v>
      </c>
      <c r="H1090" s="26">
        <v>4.8099999999999996</v>
      </c>
      <c r="I1090" s="26">
        <v>0.8</v>
      </c>
      <c r="J1090" s="26">
        <v>4.76</v>
      </c>
    </row>
    <row r="1091" spans="7:10">
      <c r="G1091" s="27">
        <v>40571</v>
      </c>
      <c r="H1091">
        <v>4.8099999999999996</v>
      </c>
      <c r="I1091">
        <v>0.8</v>
      </c>
      <c r="J1091">
        <v>4.76</v>
      </c>
    </row>
    <row r="1092" spans="7:10">
      <c r="G1092" s="27">
        <v>40570</v>
      </c>
      <c r="H1092">
        <v>4.8099999999999996</v>
      </c>
      <c r="I1092">
        <v>0.8</v>
      </c>
      <c r="J1092">
        <v>4.76</v>
      </c>
    </row>
    <row r="1093" spans="7:10">
      <c r="G1093" s="27">
        <v>40569</v>
      </c>
      <c r="H1093">
        <v>4.8</v>
      </c>
      <c r="I1093">
        <v>0.7</v>
      </c>
      <c r="J1093">
        <v>4.7249999999999996</v>
      </c>
    </row>
    <row r="1094" spans="7:10">
      <c r="G1094" s="27">
        <v>40568</v>
      </c>
      <c r="H1094">
        <v>4.8</v>
      </c>
      <c r="I1094">
        <v>0.7</v>
      </c>
      <c r="J1094">
        <v>4.7249999999999996</v>
      </c>
    </row>
    <row r="1095" spans="7:10">
      <c r="G1095" s="27">
        <v>40567</v>
      </c>
      <c r="H1095">
        <v>4.8</v>
      </c>
      <c r="I1095">
        <v>0.7</v>
      </c>
      <c r="J1095">
        <v>4.7249999999999996</v>
      </c>
    </row>
    <row r="1096" spans="7:10">
      <c r="G1096" s="27">
        <v>40564</v>
      </c>
      <c r="H1096">
        <v>4.8</v>
      </c>
      <c r="I1096">
        <v>0.7</v>
      </c>
      <c r="J1096">
        <v>4.7249999999999996</v>
      </c>
    </row>
    <row r="1097" spans="7:10">
      <c r="G1097" s="27">
        <v>40563</v>
      </c>
      <c r="H1097">
        <v>4.8</v>
      </c>
      <c r="I1097">
        <v>0.7</v>
      </c>
      <c r="J1097">
        <v>4.7249999999999996</v>
      </c>
    </row>
    <row r="1098" spans="7:10">
      <c r="G1098" s="27">
        <v>40562</v>
      </c>
      <c r="H1098">
        <v>4.74</v>
      </c>
      <c r="I1098">
        <v>0.8</v>
      </c>
      <c r="J1098">
        <v>4.6900000000000004</v>
      </c>
    </row>
    <row r="1099" spans="7:10">
      <c r="G1099" s="27">
        <v>40561</v>
      </c>
      <c r="H1099">
        <v>4.74</v>
      </c>
      <c r="I1099">
        <v>0.8</v>
      </c>
      <c r="J1099">
        <v>4.6900000000000004</v>
      </c>
    </row>
    <row r="1100" spans="7:10">
      <c r="G1100" s="27">
        <v>40557</v>
      </c>
      <c r="H1100">
        <v>4.74</v>
      </c>
      <c r="I1100">
        <v>0.8</v>
      </c>
      <c r="J1100">
        <v>4.6900000000000004</v>
      </c>
    </row>
    <row r="1101" spans="7:10">
      <c r="G1101" s="27">
        <v>40556</v>
      </c>
      <c r="H1101">
        <v>4.74</v>
      </c>
      <c r="I1101">
        <v>0.8</v>
      </c>
      <c r="J1101">
        <v>4.6900000000000004</v>
      </c>
    </row>
    <row r="1102" spans="7:10">
      <c r="G1102" s="27">
        <v>40555</v>
      </c>
      <c r="H1102">
        <v>4.71</v>
      </c>
      <c r="I1102">
        <v>0.8</v>
      </c>
      <c r="J1102">
        <v>4.66</v>
      </c>
    </row>
    <row r="1103" spans="7:10">
      <c r="G1103" s="27">
        <v>40554</v>
      </c>
      <c r="H1103">
        <v>4.71</v>
      </c>
      <c r="I1103">
        <v>0.8</v>
      </c>
      <c r="J1103">
        <v>4.66</v>
      </c>
    </row>
    <row r="1104" spans="7:10">
      <c r="G1104" s="27">
        <v>40553</v>
      </c>
      <c r="H1104">
        <v>4.71</v>
      </c>
      <c r="I1104">
        <v>0.8</v>
      </c>
      <c r="J1104">
        <v>4.66</v>
      </c>
    </row>
    <row r="1105" spans="7:10">
      <c r="G1105" s="27">
        <v>40550</v>
      </c>
      <c r="H1105">
        <v>4.71</v>
      </c>
      <c r="I1105">
        <v>0.8</v>
      </c>
      <c r="J1105">
        <v>4.66</v>
      </c>
    </row>
    <row r="1106" spans="7:10">
      <c r="G1106" s="27">
        <v>40549</v>
      </c>
      <c r="H1106">
        <v>4.71</v>
      </c>
      <c r="I1106">
        <v>0.8</v>
      </c>
      <c r="J1106">
        <v>4.66</v>
      </c>
    </row>
    <row r="1107" spans="7:10">
      <c r="G1107" s="27">
        <v>40548</v>
      </c>
      <c r="H1107">
        <v>4.7699999999999996</v>
      </c>
      <c r="I1107">
        <v>0.8</v>
      </c>
      <c r="J1107">
        <v>4.72</v>
      </c>
    </row>
    <row r="1108" spans="7:10">
      <c r="G1108" s="27">
        <v>40547</v>
      </c>
      <c r="H1108">
        <v>4.7699999999999996</v>
      </c>
      <c r="I1108">
        <v>0.8</v>
      </c>
      <c r="J1108">
        <v>4.72</v>
      </c>
    </row>
    <row r="1109" spans="7:10">
      <c r="G1109" s="27">
        <v>40546</v>
      </c>
      <c r="H1109">
        <v>4.7699999999999996</v>
      </c>
      <c r="I1109">
        <v>0.8</v>
      </c>
      <c r="J1109">
        <v>4.72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D53"/>
  <sheetViews>
    <sheetView workbookViewId="0">
      <selection activeCell="F52" sqref="F52"/>
    </sheetView>
  </sheetViews>
  <sheetFormatPr defaultRowHeight="15"/>
  <sheetData>
    <row r="2" spans="2:4" ht="45">
      <c r="B2" s="14" t="s">
        <v>1</v>
      </c>
      <c r="C2" s="17" t="s">
        <v>19</v>
      </c>
      <c r="D2" s="14" t="s">
        <v>3</v>
      </c>
    </row>
    <row r="3" spans="2:4">
      <c r="B3" s="15">
        <v>40633</v>
      </c>
      <c r="C3" s="21">
        <v>3.2147753175075899E-2</v>
      </c>
      <c r="D3" s="21">
        <v>1.0991113530483746E-2</v>
      </c>
    </row>
    <row r="4" spans="2:4">
      <c r="B4" s="15">
        <v>40662</v>
      </c>
      <c r="C4" s="21">
        <v>3.9945300504856653E-2</v>
      </c>
      <c r="D4" s="21">
        <v>1.0984369457682011E-2</v>
      </c>
    </row>
    <row r="5" spans="2:4">
      <c r="B5" s="15">
        <v>40694</v>
      </c>
      <c r="C5" s="21">
        <v>3.6836948680963523E-2</v>
      </c>
      <c r="D5" s="21">
        <v>1.2359978510225116E-2</v>
      </c>
    </row>
    <row r="6" spans="2:4">
      <c r="B6" s="15">
        <v>40724</v>
      </c>
      <c r="C6" s="21">
        <v>-8.9725230837073861E-3</v>
      </c>
      <c r="D6" s="21">
        <v>1.1611305017469561E-2</v>
      </c>
    </row>
    <row r="7" spans="2:4">
      <c r="B7" s="15">
        <v>40753</v>
      </c>
      <c r="C7" s="21">
        <v>-7.0542451766380859E-3</v>
      </c>
      <c r="D7" s="21">
        <v>9.4859999077979359E-3</v>
      </c>
    </row>
    <row r="8" spans="2:4">
      <c r="B8" s="15">
        <v>40786</v>
      </c>
      <c r="C8" s="21">
        <v>-0.12940148616743233</v>
      </c>
      <c r="D8" s="21">
        <v>9.8897455980434257E-3</v>
      </c>
    </row>
    <row r="9" spans="2:4">
      <c r="B9" s="15">
        <v>40816</v>
      </c>
      <c r="C9" s="21">
        <v>-0.1064639937577718</v>
      </c>
      <c r="D9" s="21">
        <v>1.4023413556404364E-2</v>
      </c>
    </row>
    <row r="10" spans="2:4">
      <c r="B10" s="15">
        <v>40847</v>
      </c>
      <c r="C10" s="21">
        <v>2.3593584560071421E-2</v>
      </c>
      <c r="D10" s="21">
        <v>1.2905991827933823E-2</v>
      </c>
    </row>
    <row r="11" spans="2:4">
      <c r="B11" s="15">
        <v>40877</v>
      </c>
      <c r="C11" s="21">
        <v>1.4407938862063669E-2</v>
      </c>
      <c r="D11" s="21">
        <v>7.0135917459659249E-3</v>
      </c>
    </row>
    <row r="12" spans="2:4">
      <c r="B12" s="15">
        <v>40907</v>
      </c>
      <c r="C12" s="21">
        <v>5.8326880120871194E-3</v>
      </c>
      <c r="D12" s="21">
        <v>3.9545840537859589E-3</v>
      </c>
    </row>
    <row r="13" spans="2:4">
      <c r="B13" s="15">
        <v>40939</v>
      </c>
      <c r="C13" s="21">
        <v>-3.0247514562330213E-2</v>
      </c>
      <c r="D13" s="21">
        <v>9.3155584712633771E-3</v>
      </c>
    </row>
    <row r="14" spans="2:4">
      <c r="B14" s="15">
        <v>40968</v>
      </c>
      <c r="C14" s="21">
        <v>0.11557043677865356</v>
      </c>
      <c r="D14" s="21">
        <v>1.7106233225619445E-2</v>
      </c>
    </row>
    <row r="15" spans="2:4">
      <c r="B15" s="15">
        <v>40998</v>
      </c>
      <c r="C15" s="21">
        <v>7.1400249822738751E-2</v>
      </c>
      <c r="D15" s="21">
        <v>1.0372252911672175E-2</v>
      </c>
    </row>
    <row r="16" spans="2:4">
      <c r="B16" s="15">
        <v>41029</v>
      </c>
      <c r="C16" s="21">
        <v>-2.0065317048366834E-2</v>
      </c>
      <c r="D16" s="21">
        <v>2.4221036505354494E-3</v>
      </c>
    </row>
    <row r="17" spans="2:4">
      <c r="B17" s="15">
        <v>41060</v>
      </c>
      <c r="C17" s="21">
        <v>-7.1845658545824878E-2</v>
      </c>
      <c r="D17" s="21">
        <v>8.3669300797166047E-3</v>
      </c>
    </row>
    <row r="18" spans="2:4">
      <c r="B18" s="15">
        <v>41089</v>
      </c>
      <c r="C18" s="21">
        <v>4.3888393396695452E-2</v>
      </c>
      <c r="D18" s="21">
        <v>1.4315087535371647E-2</v>
      </c>
    </row>
    <row r="19" spans="2:4">
      <c r="B19" s="15">
        <v>41121</v>
      </c>
      <c r="C19" s="21">
        <v>6.2058842757472282E-2</v>
      </c>
      <c r="D19" s="21">
        <v>1.1971428116081347E-2</v>
      </c>
    </row>
    <row r="20" spans="2:4">
      <c r="B20" s="15">
        <v>41152</v>
      </c>
      <c r="C20" s="21">
        <v>6.0125210413104181E-2</v>
      </c>
      <c r="D20" s="21">
        <v>8.3837741732004697E-3</v>
      </c>
    </row>
    <row r="21" spans="2:4">
      <c r="B21" s="15">
        <v>41180</v>
      </c>
      <c r="C21" s="21">
        <v>-3.9837098241825214E-2</v>
      </c>
      <c r="D21" s="21">
        <v>-2.0653799591469671E-3</v>
      </c>
    </row>
    <row r="22" spans="2:4">
      <c r="B22" s="15">
        <v>41213</v>
      </c>
      <c r="C22" s="21">
        <v>1.5619117433484145E-3</v>
      </c>
      <c r="D22" s="21">
        <v>6.2727320444405654E-3</v>
      </c>
    </row>
    <row r="23" spans="2:4">
      <c r="B23" s="15">
        <v>41243</v>
      </c>
      <c r="C23" s="21">
        <v>-3.7250678881232228E-2</v>
      </c>
      <c r="D23" s="21">
        <v>-2.8508675740747547E-3</v>
      </c>
    </row>
    <row r="24" spans="2:4">
      <c r="B24" s="15">
        <v>41274</v>
      </c>
      <c r="C24" s="21">
        <v>2.6619862655127956E-2</v>
      </c>
      <c r="D24" s="21">
        <v>7.0328489174527418E-4</v>
      </c>
    </row>
    <row r="25" spans="2:4">
      <c r="B25" s="15">
        <v>41305</v>
      </c>
      <c r="C25" s="21">
        <v>2.8918724279014381E-2</v>
      </c>
      <c r="D25" s="21">
        <v>-4.5343840325552881E-3</v>
      </c>
    </row>
    <row r="26" spans="2:4">
      <c r="B26" s="15">
        <v>41333</v>
      </c>
      <c r="C26" s="21">
        <v>-1.8837838201561088E-3</v>
      </c>
      <c r="D26" s="21">
        <v>-4.495885154910317E-3</v>
      </c>
    </row>
    <row r="27" spans="2:4">
      <c r="B27" s="15">
        <v>41361</v>
      </c>
      <c r="C27" s="21">
        <v>4.404539566878387E-2</v>
      </c>
      <c r="D27" s="21">
        <v>3.7234474488990624E-3</v>
      </c>
    </row>
    <row r="28" spans="2:4">
      <c r="B28" s="15">
        <v>41394</v>
      </c>
      <c r="C28" s="21">
        <v>-9.0801513932905822E-2</v>
      </c>
      <c r="D28" s="21">
        <v>2.5360137802357468E-3</v>
      </c>
    </row>
    <row r="29" spans="2:4">
      <c r="B29" s="15">
        <v>41425</v>
      </c>
      <c r="C29" s="21">
        <v>7.8437853172549074E-2</v>
      </c>
      <c r="D29" s="21">
        <v>5.1248106918057989E-3</v>
      </c>
    </row>
    <row r="30" spans="2:4">
      <c r="B30" s="15">
        <v>41453</v>
      </c>
      <c r="C30" s="21">
        <v>4.9033764862551232E-2</v>
      </c>
      <c r="D30" s="21">
        <v>-3.5140150239009612E-3</v>
      </c>
    </row>
    <row r="31" spans="2:4">
      <c r="B31" s="15">
        <v>41486</v>
      </c>
      <c r="C31" s="21">
        <v>4.5699741276733673E-2</v>
      </c>
      <c r="D31" s="21">
        <v>-4.4551318867113703E-3</v>
      </c>
    </row>
    <row r="32" spans="2:4">
      <c r="B32" s="15">
        <v>41516</v>
      </c>
      <c r="C32" s="21">
        <v>2.4720201222230634E-2</v>
      </c>
      <c r="D32" s="21">
        <v>-2.4630779528221846E-3</v>
      </c>
    </row>
    <row r="33" spans="2:4">
      <c r="B33" s="15">
        <v>41547</v>
      </c>
      <c r="C33" s="21">
        <v>1.8592263834684389E-2</v>
      </c>
      <c r="D33" s="21">
        <v>2.4923593019947937E-3</v>
      </c>
    </row>
    <row r="34" spans="2:4">
      <c r="B34" s="15">
        <v>41578</v>
      </c>
      <c r="C34" s="21">
        <v>-6.4166832462646557E-3</v>
      </c>
      <c r="D34" s="21">
        <v>7.6568844511756022E-3</v>
      </c>
    </row>
    <row r="35" spans="2:4">
      <c r="B35" s="15">
        <v>41607</v>
      </c>
      <c r="C35" s="21">
        <v>4.9738644252027009E-2</v>
      </c>
      <c r="D35" s="21">
        <v>7.7706553488175135E-3</v>
      </c>
    </row>
    <row r="36" spans="2:4">
      <c r="B36" s="15">
        <v>41639</v>
      </c>
      <c r="C36" s="21">
        <v>4.9663667583236766E-2</v>
      </c>
      <c r="D36" s="21">
        <v>7.0536743907776292E-3</v>
      </c>
    </row>
    <row r="37" spans="2:4">
      <c r="B37" s="15">
        <v>41670</v>
      </c>
      <c r="C37" s="21">
        <v>-6.0461752700553548E-3</v>
      </c>
      <c r="D37" s="21">
        <v>6.4418591402733514E-3</v>
      </c>
    </row>
    <row r="38" spans="2:4">
      <c r="B38" s="15">
        <v>41698</v>
      </c>
      <c r="C38" s="21">
        <v>2.400831623091218E-2</v>
      </c>
      <c r="D38" s="21">
        <v>9.2566743417696832E-3</v>
      </c>
    </row>
    <row r="39" spans="2:4">
      <c r="B39" s="15">
        <v>41729</v>
      </c>
      <c r="C39" s="21">
        <v>1.6295809607463407E-2</v>
      </c>
      <c r="D39" s="21">
        <v>9.0707922325997566E-3</v>
      </c>
    </row>
    <row r="40" spans="2:4">
      <c r="B40" s="15">
        <v>41759</v>
      </c>
      <c r="C40" s="21">
        <v>6.7848038432565946E-3</v>
      </c>
      <c r="D40" s="21">
        <v>7.2662252048615013E-3</v>
      </c>
    </row>
    <row r="41" spans="2:4">
      <c r="B41" s="15">
        <v>41789</v>
      </c>
      <c r="C41" s="21">
        <v>-1.0696001897399788E-2</v>
      </c>
      <c r="D41" s="21">
        <v>8.7548162238832074E-3</v>
      </c>
    </row>
    <row r="42" spans="2:4">
      <c r="B42" s="15">
        <v>41820</v>
      </c>
      <c r="C42" s="21">
        <v>2.8037930402820394E-2</v>
      </c>
      <c r="D42" s="21">
        <v>8.6109888830040761E-3</v>
      </c>
    </row>
    <row r="43" spans="2:4">
      <c r="B43" s="15">
        <v>41851</v>
      </c>
      <c r="C43" s="21">
        <v>-2.3275452647388219E-3</v>
      </c>
      <c r="D43" s="21">
        <v>5.8393975407138761E-3</v>
      </c>
    </row>
    <row r="44" spans="2:4">
      <c r="B44" s="15">
        <v>41880</v>
      </c>
      <c r="C44" s="21">
        <v>-1.7827173821292213E-2</v>
      </c>
      <c r="D44" s="21">
        <v>6.1251724135594409E-3</v>
      </c>
    </row>
    <row r="45" spans="2:4">
      <c r="B45" s="15">
        <v>41912</v>
      </c>
      <c r="C45" s="21">
        <v>2.9347490686823095E-2</v>
      </c>
      <c r="D45" s="21">
        <v>7.8697356644138131E-3</v>
      </c>
    </row>
    <row r="46" spans="2:4">
      <c r="B46" s="15">
        <v>41943</v>
      </c>
      <c r="C46" s="21">
        <v>-8.9203972294613632E-3</v>
      </c>
      <c r="D46" s="21">
        <v>7.7528402645097427E-3</v>
      </c>
    </row>
    <row r="47" spans="2:4">
      <c r="B47" s="15">
        <v>41971</v>
      </c>
      <c r="C47" s="21">
        <v>-2.9385887025119993E-3</v>
      </c>
      <c r="D47" s="21">
        <v>1.0005318206497076E-2</v>
      </c>
    </row>
    <row r="48" spans="2:4">
      <c r="B48" s="15">
        <v>42004</v>
      </c>
      <c r="C48" s="21">
        <v>-1.5828849942557014E-2</v>
      </c>
      <c r="D48" s="21">
        <v>1.1149482364602562E-2</v>
      </c>
    </row>
    <row r="49" spans="2:4">
      <c r="B49" s="15">
        <v>42034</v>
      </c>
      <c r="C49" s="21">
        <v>-0.11821020972503633</v>
      </c>
      <c r="D49" s="21">
        <v>1.1037806776258102E-2</v>
      </c>
    </row>
    <row r="50" spans="2:4">
      <c r="B50" s="15">
        <v>42062</v>
      </c>
      <c r="C50" s="21">
        <v>0.11157648727960534</v>
      </c>
      <c r="D50" s="21">
        <v>1.6224448600633587E-2</v>
      </c>
    </row>
    <row r="51" spans="2:4">
      <c r="B51" s="15">
        <v>42094</v>
      </c>
      <c r="C51" s="20">
        <v>-7.014408085774939E-3</v>
      </c>
      <c r="D51" s="20">
        <v>9.8971486625815154E-3</v>
      </c>
    </row>
    <row r="52" spans="2:4">
      <c r="B52" s="15">
        <v>42124</v>
      </c>
      <c r="C52" s="21">
        <v>4.8601435231548508E-2</v>
      </c>
      <c r="D52" s="21">
        <v>2.3403691447318404E-3</v>
      </c>
    </row>
    <row r="53" spans="2:4">
      <c r="B53" s="15">
        <v>42153</v>
      </c>
      <c r="C53" s="20">
        <v>1.2029246613529649E-2</v>
      </c>
      <c r="D53" s="20">
        <v>3.6245946746782179E-3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387"/>
  <sheetViews>
    <sheetView topLeftCell="A304" workbookViewId="0">
      <selection activeCell="C352" sqref="C352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25</v>
      </c>
      <c r="C2" s="11">
        <v>42153</v>
      </c>
      <c r="D2" t="s">
        <v>12</v>
      </c>
      <c r="E2">
        <v>0.184</v>
      </c>
    </row>
    <row r="3" spans="2:5">
      <c r="B3" t="s">
        <v>25</v>
      </c>
      <c r="C3" s="11">
        <v>42152</v>
      </c>
      <c r="D3" t="s">
        <v>12</v>
      </c>
      <c r="E3">
        <v>0.184</v>
      </c>
    </row>
    <row r="4" spans="2:5">
      <c r="B4" t="s">
        <v>25</v>
      </c>
      <c r="C4" s="11">
        <v>42151</v>
      </c>
      <c r="D4" t="s">
        <v>12</v>
      </c>
      <c r="E4">
        <v>0.18534999999999999</v>
      </c>
    </row>
    <row r="5" spans="2:5">
      <c r="B5" t="s">
        <v>25</v>
      </c>
      <c r="C5" s="11">
        <v>42150</v>
      </c>
      <c r="D5" t="s">
        <v>12</v>
      </c>
      <c r="E5">
        <v>0.18629999999999999</v>
      </c>
    </row>
    <row r="6" spans="2:5">
      <c r="B6" t="s">
        <v>25</v>
      </c>
      <c r="C6" s="11">
        <v>42146</v>
      </c>
      <c r="D6" t="s">
        <v>12</v>
      </c>
      <c r="E6">
        <v>0.18484999999999999</v>
      </c>
    </row>
    <row r="7" spans="2:5">
      <c r="B7" t="s">
        <v>25</v>
      </c>
      <c r="C7" s="11">
        <v>42145</v>
      </c>
      <c r="D7" t="s">
        <v>12</v>
      </c>
      <c r="E7">
        <v>0.18475</v>
      </c>
    </row>
    <row r="8" spans="2:5">
      <c r="B8" t="s">
        <v>25</v>
      </c>
      <c r="C8" s="11">
        <v>42144</v>
      </c>
      <c r="D8" t="s">
        <v>12</v>
      </c>
      <c r="E8">
        <v>0.18475</v>
      </c>
    </row>
    <row r="9" spans="2:5">
      <c r="B9" t="s">
        <v>25</v>
      </c>
      <c r="C9" s="11">
        <v>42143</v>
      </c>
      <c r="D9" t="s">
        <v>12</v>
      </c>
      <c r="E9">
        <v>0.18675</v>
      </c>
    </row>
    <row r="10" spans="2:5">
      <c r="B10" t="s">
        <v>25</v>
      </c>
      <c r="C10" s="11">
        <v>42142</v>
      </c>
      <c r="D10" t="s">
        <v>12</v>
      </c>
      <c r="E10">
        <v>0.184</v>
      </c>
    </row>
    <row r="11" spans="2:5">
      <c r="B11" t="s">
        <v>25</v>
      </c>
      <c r="C11" s="11">
        <v>42139</v>
      </c>
      <c r="D11" t="s">
        <v>12</v>
      </c>
      <c r="E11">
        <v>0.1862</v>
      </c>
    </row>
    <row r="12" spans="2:5">
      <c r="B12" t="s">
        <v>25</v>
      </c>
      <c r="C12" s="11">
        <v>42138</v>
      </c>
      <c r="D12" t="s">
        <v>12</v>
      </c>
      <c r="E12">
        <v>0.18335000000000001</v>
      </c>
    </row>
    <row r="13" spans="2:5">
      <c r="B13" t="s">
        <v>25</v>
      </c>
      <c r="C13" s="11">
        <v>42137</v>
      </c>
      <c r="D13" t="s">
        <v>12</v>
      </c>
      <c r="E13">
        <v>0.18559999999999999</v>
      </c>
    </row>
    <row r="14" spans="2:5">
      <c r="B14" t="s">
        <v>25</v>
      </c>
      <c r="C14" s="11">
        <v>42136</v>
      </c>
      <c r="D14" t="s">
        <v>12</v>
      </c>
      <c r="E14">
        <v>0.18559999999999999</v>
      </c>
    </row>
    <row r="15" spans="2:5">
      <c r="B15" t="s">
        <v>25</v>
      </c>
      <c r="C15" s="11">
        <v>42135</v>
      </c>
      <c r="D15" t="s">
        <v>12</v>
      </c>
      <c r="E15">
        <v>0.18559999999999999</v>
      </c>
    </row>
    <row r="16" spans="2:5">
      <c r="B16" t="s">
        <v>25</v>
      </c>
      <c r="C16" s="11">
        <v>42132</v>
      </c>
      <c r="D16" t="s">
        <v>12</v>
      </c>
      <c r="E16">
        <v>0.18475</v>
      </c>
    </row>
    <row r="17" spans="2:5">
      <c r="B17" t="s">
        <v>25</v>
      </c>
      <c r="C17" s="11">
        <v>42131</v>
      </c>
      <c r="D17" t="s">
        <v>12</v>
      </c>
      <c r="E17">
        <v>0.18149999999999999</v>
      </c>
    </row>
    <row r="18" spans="2:5">
      <c r="B18" t="s">
        <v>25</v>
      </c>
      <c r="C18" s="11">
        <v>42130</v>
      </c>
      <c r="D18" t="s">
        <v>12</v>
      </c>
      <c r="E18">
        <v>0.18024999999999999</v>
      </c>
    </row>
    <row r="19" spans="2:5">
      <c r="B19" t="s">
        <v>25</v>
      </c>
      <c r="C19" s="11">
        <v>42129</v>
      </c>
      <c r="D19" t="s">
        <v>12</v>
      </c>
      <c r="E19">
        <v>0.18049999999999999</v>
      </c>
    </row>
    <row r="20" spans="2:5">
      <c r="B20" t="s">
        <v>25</v>
      </c>
      <c r="C20" s="11">
        <v>42128</v>
      </c>
      <c r="D20" t="s">
        <v>12</v>
      </c>
      <c r="E20">
        <v>0.18225</v>
      </c>
    </row>
    <row r="21" spans="2:5">
      <c r="B21" t="s">
        <v>25</v>
      </c>
      <c r="C21" s="11">
        <v>42125</v>
      </c>
      <c r="D21" t="s">
        <v>12</v>
      </c>
      <c r="E21">
        <v>0.18225</v>
      </c>
    </row>
    <row r="22" spans="2:5">
      <c r="B22" t="s">
        <v>25</v>
      </c>
      <c r="C22" s="11">
        <v>42124</v>
      </c>
      <c r="D22" t="s">
        <v>12</v>
      </c>
      <c r="E22">
        <v>0.18099999999999999</v>
      </c>
    </row>
    <row r="23" spans="2:5">
      <c r="B23" t="s">
        <v>25</v>
      </c>
      <c r="C23" s="11">
        <v>42123</v>
      </c>
      <c r="D23" t="s">
        <v>12</v>
      </c>
      <c r="E23">
        <v>0.18024999999999999</v>
      </c>
    </row>
    <row r="24" spans="2:5">
      <c r="B24" t="s">
        <v>25</v>
      </c>
      <c r="C24" s="11">
        <v>42122</v>
      </c>
      <c r="D24" t="s">
        <v>12</v>
      </c>
      <c r="E24">
        <v>0.18425</v>
      </c>
    </row>
    <row r="25" spans="2:5">
      <c r="B25" t="s">
        <v>25</v>
      </c>
      <c r="C25" s="11">
        <v>42121</v>
      </c>
      <c r="D25" t="s">
        <v>12</v>
      </c>
      <c r="E25">
        <v>0.18124999999999999</v>
      </c>
    </row>
    <row r="26" spans="2:5">
      <c r="B26" t="s">
        <v>25</v>
      </c>
      <c r="C26" s="11">
        <v>42118</v>
      </c>
      <c r="D26" t="s">
        <v>12</v>
      </c>
      <c r="E26">
        <v>0.18149999999999999</v>
      </c>
    </row>
    <row r="27" spans="2:5">
      <c r="B27" t="s">
        <v>25</v>
      </c>
      <c r="C27" s="11">
        <v>42117</v>
      </c>
      <c r="D27" t="s">
        <v>12</v>
      </c>
      <c r="E27">
        <v>0.18124999999999999</v>
      </c>
    </row>
    <row r="28" spans="2:5">
      <c r="B28" t="s">
        <v>25</v>
      </c>
      <c r="C28" s="11">
        <v>42116</v>
      </c>
      <c r="D28" t="s">
        <v>12</v>
      </c>
      <c r="E28">
        <v>0.18174999999999999</v>
      </c>
    </row>
    <row r="29" spans="2:5">
      <c r="B29" t="s">
        <v>25</v>
      </c>
      <c r="C29" s="11">
        <v>42115</v>
      </c>
      <c r="D29" t="s">
        <v>12</v>
      </c>
      <c r="E29">
        <v>0.18149999999999999</v>
      </c>
    </row>
    <row r="30" spans="2:5">
      <c r="B30" t="s">
        <v>25</v>
      </c>
      <c r="C30" s="11">
        <v>42114</v>
      </c>
      <c r="D30" t="s">
        <v>12</v>
      </c>
      <c r="E30">
        <v>0.18049999999999999</v>
      </c>
    </row>
    <row r="31" spans="2:5">
      <c r="B31" t="s">
        <v>25</v>
      </c>
      <c r="C31" s="11">
        <v>42111</v>
      </c>
      <c r="D31" t="s">
        <v>12</v>
      </c>
      <c r="E31">
        <v>0.18024999999999999</v>
      </c>
    </row>
    <row r="32" spans="2:5">
      <c r="B32" t="s">
        <v>25</v>
      </c>
      <c r="C32" s="11">
        <v>42110</v>
      </c>
      <c r="D32" t="s">
        <v>12</v>
      </c>
      <c r="E32">
        <v>0.18054999999999999</v>
      </c>
    </row>
    <row r="33" spans="2:5">
      <c r="B33" t="s">
        <v>25</v>
      </c>
      <c r="C33" s="11">
        <v>42109</v>
      </c>
      <c r="D33" t="s">
        <v>12</v>
      </c>
      <c r="E33">
        <v>0.1804</v>
      </c>
    </row>
    <row r="34" spans="2:5">
      <c r="B34" t="s">
        <v>25</v>
      </c>
      <c r="C34" s="11">
        <v>42108</v>
      </c>
      <c r="D34" t="s">
        <v>12</v>
      </c>
      <c r="E34">
        <v>0.1825</v>
      </c>
    </row>
    <row r="35" spans="2:5">
      <c r="B35" t="s">
        <v>25</v>
      </c>
      <c r="C35" s="11">
        <v>42107</v>
      </c>
      <c r="D35" t="s">
        <v>12</v>
      </c>
      <c r="E35">
        <v>0.18149999999999999</v>
      </c>
    </row>
    <row r="36" spans="2:5">
      <c r="B36" t="s">
        <v>25</v>
      </c>
      <c r="C36" s="11">
        <v>42104</v>
      </c>
      <c r="D36" t="s">
        <v>12</v>
      </c>
      <c r="E36">
        <v>0.17849999999999999</v>
      </c>
    </row>
    <row r="37" spans="2:5">
      <c r="B37" t="s">
        <v>25</v>
      </c>
      <c r="C37" s="11">
        <v>42103</v>
      </c>
      <c r="D37" t="s">
        <v>12</v>
      </c>
      <c r="E37">
        <v>0.18</v>
      </c>
    </row>
    <row r="38" spans="2:5">
      <c r="B38" t="s">
        <v>25</v>
      </c>
      <c r="C38" s="11">
        <v>42102</v>
      </c>
      <c r="D38" t="s">
        <v>12</v>
      </c>
      <c r="E38">
        <v>0.18095</v>
      </c>
    </row>
    <row r="39" spans="2:5">
      <c r="B39" t="s">
        <v>25</v>
      </c>
      <c r="C39" s="11">
        <v>42101</v>
      </c>
      <c r="D39" t="s">
        <v>12</v>
      </c>
      <c r="E39">
        <v>0.18015</v>
      </c>
    </row>
    <row r="40" spans="2:5">
      <c r="B40" t="s">
        <v>25</v>
      </c>
      <c r="C40" s="11">
        <v>42100</v>
      </c>
      <c r="D40" t="s">
        <v>12</v>
      </c>
      <c r="E40">
        <v>0.17974999999999999</v>
      </c>
    </row>
    <row r="41" spans="2:5">
      <c r="B41" t="s">
        <v>25</v>
      </c>
      <c r="C41" s="11">
        <v>42097</v>
      </c>
      <c r="D41" t="s">
        <v>12</v>
      </c>
      <c r="E41">
        <v>0.17974999999999999</v>
      </c>
    </row>
    <row r="42" spans="2:5">
      <c r="B42" t="s">
        <v>25</v>
      </c>
      <c r="C42" s="11">
        <v>42096</v>
      </c>
      <c r="D42" t="s">
        <v>12</v>
      </c>
      <c r="E42">
        <v>0.17974999999999999</v>
      </c>
    </row>
    <row r="43" spans="2:5">
      <c r="B43" t="s">
        <v>25</v>
      </c>
      <c r="C43" s="11">
        <v>42095</v>
      </c>
      <c r="D43" t="s">
        <v>12</v>
      </c>
      <c r="E43">
        <v>0.17755000000000001</v>
      </c>
    </row>
    <row r="44" spans="2:5">
      <c r="B44" t="s">
        <v>25</v>
      </c>
      <c r="C44" s="11">
        <v>42094</v>
      </c>
      <c r="D44" t="s">
        <v>12</v>
      </c>
      <c r="E44">
        <v>0.17624999999999999</v>
      </c>
    </row>
    <row r="45" spans="2:5">
      <c r="B45" t="s">
        <v>25</v>
      </c>
      <c r="C45" s="11">
        <v>42093</v>
      </c>
      <c r="D45" t="s">
        <v>12</v>
      </c>
      <c r="E45">
        <v>0.17924999999999999</v>
      </c>
    </row>
    <row r="46" spans="2:5">
      <c r="B46" t="s">
        <v>25</v>
      </c>
      <c r="C46" s="11">
        <v>42090</v>
      </c>
      <c r="D46" t="s">
        <v>12</v>
      </c>
      <c r="E46">
        <v>0.17799999999999999</v>
      </c>
    </row>
    <row r="47" spans="2:5">
      <c r="B47" t="s">
        <v>25</v>
      </c>
      <c r="C47" s="11">
        <v>42089</v>
      </c>
      <c r="D47" t="s">
        <v>12</v>
      </c>
      <c r="E47">
        <v>0.17774999999999999</v>
      </c>
    </row>
    <row r="48" spans="2:5">
      <c r="B48" t="s">
        <v>25</v>
      </c>
      <c r="C48" s="11">
        <v>42088</v>
      </c>
      <c r="D48" t="s">
        <v>12</v>
      </c>
      <c r="E48">
        <v>0.17560000000000001</v>
      </c>
    </row>
    <row r="49" spans="2:5">
      <c r="B49" t="s">
        <v>25</v>
      </c>
      <c r="C49" s="11">
        <v>42087</v>
      </c>
      <c r="D49" t="s">
        <v>12</v>
      </c>
      <c r="E49">
        <v>0.17274999999999999</v>
      </c>
    </row>
    <row r="50" spans="2:5">
      <c r="B50" t="s">
        <v>25</v>
      </c>
      <c r="C50" s="11">
        <v>42086</v>
      </c>
      <c r="D50" t="s">
        <v>12</v>
      </c>
      <c r="E50">
        <v>0.17374999999999999</v>
      </c>
    </row>
    <row r="51" spans="2:5">
      <c r="B51" t="s">
        <v>25</v>
      </c>
      <c r="C51" s="11">
        <v>42083</v>
      </c>
      <c r="D51" t="s">
        <v>12</v>
      </c>
      <c r="E51">
        <v>0.17399999999999999</v>
      </c>
    </row>
    <row r="52" spans="2:5">
      <c r="B52" t="s">
        <v>25</v>
      </c>
      <c r="C52" s="11">
        <v>42082</v>
      </c>
      <c r="D52" t="s">
        <v>12</v>
      </c>
      <c r="E52">
        <v>0.17324999999999999</v>
      </c>
    </row>
    <row r="53" spans="2:5">
      <c r="B53" t="s">
        <v>25</v>
      </c>
      <c r="C53" s="11">
        <v>42081</v>
      </c>
      <c r="D53" t="s">
        <v>12</v>
      </c>
      <c r="E53">
        <v>0.17599999999999999</v>
      </c>
    </row>
    <row r="54" spans="2:5">
      <c r="B54" t="s">
        <v>25</v>
      </c>
      <c r="C54" s="11">
        <v>42080</v>
      </c>
      <c r="D54" t="s">
        <v>12</v>
      </c>
      <c r="E54">
        <v>0.17749999999999999</v>
      </c>
    </row>
    <row r="55" spans="2:5">
      <c r="B55" t="s">
        <v>25</v>
      </c>
      <c r="C55" s="11">
        <v>42079</v>
      </c>
      <c r="D55" t="s">
        <v>12</v>
      </c>
      <c r="E55">
        <v>0.17699999999999999</v>
      </c>
    </row>
    <row r="56" spans="2:5">
      <c r="B56" t="s">
        <v>25</v>
      </c>
      <c r="C56" s="11">
        <v>42076</v>
      </c>
      <c r="D56" t="s">
        <v>12</v>
      </c>
      <c r="E56">
        <v>0.17649999999999999</v>
      </c>
    </row>
    <row r="57" spans="2:5">
      <c r="B57" t="s">
        <v>25</v>
      </c>
      <c r="C57" s="11">
        <v>42075</v>
      </c>
      <c r="D57" t="s">
        <v>12</v>
      </c>
      <c r="E57">
        <v>0.17449999999999999</v>
      </c>
    </row>
    <row r="58" spans="2:5">
      <c r="B58" t="s">
        <v>25</v>
      </c>
      <c r="C58" s="11">
        <v>42074</v>
      </c>
      <c r="D58" t="s">
        <v>12</v>
      </c>
      <c r="E58">
        <v>0.17599999999999999</v>
      </c>
    </row>
    <row r="59" spans="2:5">
      <c r="B59" t="s">
        <v>25</v>
      </c>
      <c r="C59" s="11">
        <v>42073</v>
      </c>
      <c r="D59" t="s">
        <v>12</v>
      </c>
      <c r="E59">
        <v>0.1779</v>
      </c>
    </row>
    <row r="60" spans="2:5">
      <c r="B60" t="s">
        <v>25</v>
      </c>
      <c r="C60" s="11">
        <v>42072</v>
      </c>
      <c r="D60" t="s">
        <v>12</v>
      </c>
      <c r="E60">
        <v>0.17649999999999999</v>
      </c>
    </row>
    <row r="61" spans="2:5">
      <c r="B61" t="s">
        <v>25</v>
      </c>
      <c r="C61" s="11">
        <v>42069</v>
      </c>
      <c r="D61" t="s">
        <v>12</v>
      </c>
      <c r="E61">
        <v>0.17499999999999999</v>
      </c>
    </row>
    <row r="62" spans="2:5">
      <c r="B62" t="s">
        <v>25</v>
      </c>
      <c r="C62" s="11">
        <v>42068</v>
      </c>
      <c r="D62" t="s">
        <v>12</v>
      </c>
      <c r="E62">
        <v>0.17499999999999999</v>
      </c>
    </row>
    <row r="63" spans="2:5">
      <c r="B63" t="s">
        <v>25</v>
      </c>
      <c r="C63" s="11">
        <v>42067</v>
      </c>
      <c r="D63" t="s">
        <v>12</v>
      </c>
      <c r="E63">
        <v>0.17499999999999999</v>
      </c>
    </row>
    <row r="64" spans="2:5">
      <c r="B64" t="s">
        <v>25</v>
      </c>
      <c r="C64" s="11">
        <v>42066</v>
      </c>
      <c r="D64" t="s">
        <v>12</v>
      </c>
      <c r="E64">
        <v>0.17299999999999999</v>
      </c>
    </row>
    <row r="65" spans="2:5">
      <c r="B65" t="s">
        <v>25</v>
      </c>
      <c r="C65" s="11">
        <v>42065</v>
      </c>
      <c r="D65" t="s">
        <v>12</v>
      </c>
      <c r="E65">
        <v>0.17269999999999999</v>
      </c>
    </row>
    <row r="66" spans="2:5">
      <c r="B66" t="s">
        <v>25</v>
      </c>
      <c r="C66" s="11">
        <v>42062</v>
      </c>
      <c r="D66" t="s">
        <v>12</v>
      </c>
      <c r="E66">
        <v>0.17299999999999999</v>
      </c>
    </row>
    <row r="67" spans="2:5">
      <c r="B67" t="s">
        <v>25</v>
      </c>
      <c r="C67" s="11">
        <v>42061</v>
      </c>
      <c r="D67" t="s">
        <v>12</v>
      </c>
      <c r="E67">
        <v>0.1719</v>
      </c>
    </row>
    <row r="68" spans="2:5">
      <c r="B68" t="s">
        <v>25</v>
      </c>
      <c r="C68" s="11">
        <v>42060</v>
      </c>
      <c r="D68" t="s">
        <v>12</v>
      </c>
      <c r="E68">
        <v>0.17199999999999999</v>
      </c>
    </row>
    <row r="69" spans="2:5">
      <c r="B69" t="s">
        <v>25</v>
      </c>
      <c r="C69" s="11">
        <v>42059</v>
      </c>
      <c r="D69" t="s">
        <v>12</v>
      </c>
      <c r="E69">
        <v>0.17150000000000001</v>
      </c>
    </row>
    <row r="70" spans="2:5">
      <c r="B70" t="s">
        <v>25</v>
      </c>
      <c r="C70" s="11">
        <v>42058</v>
      </c>
      <c r="D70" t="s">
        <v>12</v>
      </c>
      <c r="E70">
        <v>0.17100000000000001</v>
      </c>
    </row>
    <row r="71" spans="2:5">
      <c r="B71" t="s">
        <v>25</v>
      </c>
      <c r="C71" s="11">
        <v>42055</v>
      </c>
      <c r="D71" t="s">
        <v>12</v>
      </c>
      <c r="E71">
        <v>0.17150000000000001</v>
      </c>
    </row>
    <row r="72" spans="2:5">
      <c r="B72" t="s">
        <v>25</v>
      </c>
      <c r="C72" s="11">
        <v>42054</v>
      </c>
      <c r="D72" t="s">
        <v>12</v>
      </c>
      <c r="E72">
        <v>0.17349999999999999</v>
      </c>
    </row>
    <row r="73" spans="2:5">
      <c r="B73" t="s">
        <v>25</v>
      </c>
      <c r="C73" s="11">
        <v>42053</v>
      </c>
      <c r="D73" t="s">
        <v>12</v>
      </c>
      <c r="E73">
        <v>0.17349999999999999</v>
      </c>
    </row>
    <row r="74" spans="2:5">
      <c r="B74" t="s">
        <v>25</v>
      </c>
      <c r="C74" s="11">
        <v>42052</v>
      </c>
      <c r="D74" t="s">
        <v>12</v>
      </c>
      <c r="E74">
        <v>0.17349999999999999</v>
      </c>
    </row>
    <row r="75" spans="2:5">
      <c r="B75" t="s">
        <v>25</v>
      </c>
      <c r="C75" s="11">
        <v>42048</v>
      </c>
      <c r="D75" t="s">
        <v>12</v>
      </c>
      <c r="E75">
        <v>0.17299999999999999</v>
      </c>
    </row>
    <row r="76" spans="2:5">
      <c r="B76" t="s">
        <v>25</v>
      </c>
      <c r="C76" s="11">
        <v>42047</v>
      </c>
      <c r="D76" t="s">
        <v>12</v>
      </c>
      <c r="E76">
        <v>0.17199999999999999</v>
      </c>
    </row>
    <row r="77" spans="2:5">
      <c r="B77" t="s">
        <v>25</v>
      </c>
      <c r="C77" s="11">
        <v>42046</v>
      </c>
      <c r="D77" t="s">
        <v>12</v>
      </c>
      <c r="E77">
        <v>0.17169999999999999</v>
      </c>
    </row>
    <row r="78" spans="2:5">
      <c r="B78" t="s">
        <v>25</v>
      </c>
      <c r="C78" s="11">
        <v>42045</v>
      </c>
      <c r="D78" t="s">
        <v>12</v>
      </c>
      <c r="E78">
        <v>0.17169999999999999</v>
      </c>
    </row>
    <row r="79" spans="2:5">
      <c r="B79" t="s">
        <v>25</v>
      </c>
      <c r="C79" s="11">
        <v>42044</v>
      </c>
      <c r="D79" t="s">
        <v>12</v>
      </c>
      <c r="E79">
        <v>0.17219999999999999</v>
      </c>
    </row>
    <row r="80" spans="2:5">
      <c r="B80" t="s">
        <v>25</v>
      </c>
      <c r="C80" s="11">
        <v>42041</v>
      </c>
      <c r="D80" t="s">
        <v>12</v>
      </c>
      <c r="E80">
        <v>0.17150000000000001</v>
      </c>
    </row>
    <row r="81" spans="2:5">
      <c r="B81" t="s">
        <v>25</v>
      </c>
      <c r="C81" s="11">
        <v>42040</v>
      </c>
      <c r="D81" t="s">
        <v>12</v>
      </c>
      <c r="E81">
        <v>0.17100000000000001</v>
      </c>
    </row>
    <row r="82" spans="2:5">
      <c r="B82" t="s">
        <v>25</v>
      </c>
      <c r="C82" s="11">
        <v>42039</v>
      </c>
      <c r="D82" t="s">
        <v>12</v>
      </c>
      <c r="E82">
        <v>0.17349999999999999</v>
      </c>
    </row>
    <row r="83" spans="2:5">
      <c r="B83" t="s">
        <v>25</v>
      </c>
      <c r="C83" s="11">
        <v>42038</v>
      </c>
      <c r="D83" t="s">
        <v>12</v>
      </c>
      <c r="E83">
        <v>0.17100000000000001</v>
      </c>
    </row>
    <row r="84" spans="2:5">
      <c r="B84" t="s">
        <v>25</v>
      </c>
      <c r="C84" s="11">
        <v>42037</v>
      </c>
      <c r="D84" t="s">
        <v>12</v>
      </c>
      <c r="E84">
        <v>0.16950000000000001</v>
      </c>
    </row>
    <row r="85" spans="2:5">
      <c r="B85" t="s">
        <v>25</v>
      </c>
      <c r="C85" s="11">
        <v>42034</v>
      </c>
      <c r="D85" t="s">
        <v>12</v>
      </c>
      <c r="E85">
        <v>0.17125000000000001</v>
      </c>
    </row>
    <row r="86" spans="2:5">
      <c r="B86" t="s">
        <v>25</v>
      </c>
      <c r="C86" s="11">
        <v>42033</v>
      </c>
      <c r="D86" t="s">
        <v>12</v>
      </c>
      <c r="E86">
        <v>0.1709</v>
      </c>
    </row>
    <row r="87" spans="2:5">
      <c r="B87" t="s">
        <v>25</v>
      </c>
      <c r="C87" s="11">
        <v>42032</v>
      </c>
      <c r="D87" t="s">
        <v>12</v>
      </c>
      <c r="E87">
        <v>0.17050000000000001</v>
      </c>
    </row>
    <row r="88" spans="2:5">
      <c r="B88" t="s">
        <v>25</v>
      </c>
      <c r="C88" s="11">
        <v>42031</v>
      </c>
      <c r="D88" t="s">
        <v>12</v>
      </c>
      <c r="E88">
        <v>0.16800000000000001</v>
      </c>
    </row>
    <row r="89" spans="2:5">
      <c r="B89" t="s">
        <v>25</v>
      </c>
      <c r="C89" s="11">
        <v>42026</v>
      </c>
      <c r="D89" t="s">
        <v>12</v>
      </c>
      <c r="E89">
        <v>0.16825000000000001</v>
      </c>
    </row>
    <row r="90" spans="2:5">
      <c r="B90" t="s">
        <v>25</v>
      </c>
      <c r="C90" s="11">
        <v>42025</v>
      </c>
      <c r="D90" t="s">
        <v>12</v>
      </c>
      <c r="E90">
        <v>0.16675000000000001</v>
      </c>
    </row>
    <row r="91" spans="2:5">
      <c r="B91" t="s">
        <v>25</v>
      </c>
      <c r="C91" s="11">
        <v>42024</v>
      </c>
      <c r="D91" t="s">
        <v>12</v>
      </c>
      <c r="E91">
        <v>0.16850000000000001</v>
      </c>
    </row>
    <row r="92" spans="2:5">
      <c r="B92" t="s">
        <v>25</v>
      </c>
      <c r="C92" s="11">
        <v>42020</v>
      </c>
      <c r="D92" t="s">
        <v>12</v>
      </c>
      <c r="E92">
        <v>0.16800000000000001</v>
      </c>
    </row>
    <row r="93" spans="2:5">
      <c r="B93" t="s">
        <v>25</v>
      </c>
      <c r="C93" s="11">
        <v>42019</v>
      </c>
      <c r="D93" t="s">
        <v>12</v>
      </c>
      <c r="E93">
        <v>0.16800000000000001</v>
      </c>
    </row>
    <row r="94" spans="2:5">
      <c r="B94" t="s">
        <v>25</v>
      </c>
      <c r="C94" s="11">
        <v>42018</v>
      </c>
      <c r="D94" t="s">
        <v>12</v>
      </c>
      <c r="E94">
        <v>0.16825000000000001</v>
      </c>
    </row>
    <row r="95" spans="2:5">
      <c r="B95" t="s">
        <v>25</v>
      </c>
      <c r="C95" s="11">
        <v>42017</v>
      </c>
      <c r="D95" t="s">
        <v>12</v>
      </c>
      <c r="E95">
        <v>0.16650000000000001</v>
      </c>
    </row>
    <row r="96" spans="2:5">
      <c r="B96" t="s">
        <v>25</v>
      </c>
      <c r="C96" s="11">
        <v>42016</v>
      </c>
      <c r="D96" t="s">
        <v>12</v>
      </c>
      <c r="E96">
        <v>0.16650000000000001</v>
      </c>
    </row>
    <row r="97" spans="2:5">
      <c r="B97" t="s">
        <v>25</v>
      </c>
      <c r="C97" s="11">
        <v>42013</v>
      </c>
      <c r="D97" t="s">
        <v>12</v>
      </c>
      <c r="E97">
        <v>0.16675000000000001</v>
      </c>
    </row>
    <row r="98" spans="2:5">
      <c r="B98" t="s">
        <v>25</v>
      </c>
      <c r="C98" s="11">
        <v>42010</v>
      </c>
      <c r="D98" t="s">
        <v>12</v>
      </c>
      <c r="E98">
        <v>0.16775000000000001</v>
      </c>
    </row>
    <row r="99" spans="2:5">
      <c r="B99" t="s">
        <v>25</v>
      </c>
      <c r="C99" s="11">
        <v>42009</v>
      </c>
      <c r="D99" t="s">
        <v>12</v>
      </c>
      <c r="E99">
        <v>0.16800000000000001</v>
      </c>
    </row>
    <row r="100" spans="2:5">
      <c r="B100" t="s">
        <v>25</v>
      </c>
      <c r="C100" s="11">
        <v>42006</v>
      </c>
      <c r="D100" t="s">
        <v>12</v>
      </c>
      <c r="E100">
        <v>0.16750000000000001</v>
      </c>
    </row>
    <row r="101" spans="2:5">
      <c r="B101" t="s">
        <v>25</v>
      </c>
      <c r="C101" s="11">
        <v>42004</v>
      </c>
      <c r="D101" t="s">
        <v>12</v>
      </c>
      <c r="E101">
        <v>0.17125000000000001</v>
      </c>
    </row>
    <row r="102" spans="2:5">
      <c r="B102" t="s">
        <v>25</v>
      </c>
      <c r="C102" s="11">
        <v>42003</v>
      </c>
      <c r="D102" t="s">
        <v>12</v>
      </c>
      <c r="E102">
        <v>0.16950000000000001</v>
      </c>
    </row>
    <row r="103" spans="2:5">
      <c r="B103" t="s">
        <v>25</v>
      </c>
      <c r="C103" s="11">
        <v>42002</v>
      </c>
      <c r="D103" t="s">
        <v>12</v>
      </c>
      <c r="E103">
        <v>0.16925000000000001</v>
      </c>
    </row>
    <row r="104" spans="2:5">
      <c r="B104" t="s">
        <v>25</v>
      </c>
      <c r="C104" s="11">
        <v>41999</v>
      </c>
      <c r="D104" t="s">
        <v>12</v>
      </c>
      <c r="E104">
        <v>0.16875000000000001</v>
      </c>
    </row>
    <row r="105" spans="2:5">
      <c r="B105" t="s">
        <v>25</v>
      </c>
      <c r="C105" s="11">
        <v>41997</v>
      </c>
      <c r="D105" t="s">
        <v>12</v>
      </c>
      <c r="E105">
        <v>0.16875000000000001</v>
      </c>
    </row>
    <row r="106" spans="2:5">
      <c r="B106" t="s">
        <v>25</v>
      </c>
      <c r="C106" s="11">
        <v>41996</v>
      </c>
      <c r="D106" t="s">
        <v>12</v>
      </c>
      <c r="E106">
        <v>0.16950000000000001</v>
      </c>
    </row>
    <row r="107" spans="2:5">
      <c r="B107" t="s">
        <v>25</v>
      </c>
      <c r="C107" s="11">
        <v>41995</v>
      </c>
      <c r="D107" t="s">
        <v>12</v>
      </c>
      <c r="E107">
        <v>0.16700000000000001</v>
      </c>
    </row>
    <row r="108" spans="2:5">
      <c r="B108" t="s">
        <v>25</v>
      </c>
      <c r="C108" s="11">
        <v>41992</v>
      </c>
      <c r="D108" t="s">
        <v>12</v>
      </c>
      <c r="E108">
        <v>0.16425000000000001</v>
      </c>
    </row>
    <row r="109" spans="2:5">
      <c r="B109" t="s">
        <v>25</v>
      </c>
      <c r="C109" s="11">
        <v>41991</v>
      </c>
      <c r="D109" t="s">
        <v>12</v>
      </c>
      <c r="E109">
        <v>0.16545000000000001</v>
      </c>
    </row>
    <row r="110" spans="2:5">
      <c r="B110" t="s">
        <v>25</v>
      </c>
      <c r="C110" s="11">
        <v>41990</v>
      </c>
      <c r="D110" t="s">
        <v>12</v>
      </c>
      <c r="E110">
        <v>0.1641</v>
      </c>
    </row>
    <row r="111" spans="2:5">
      <c r="B111" t="s">
        <v>25</v>
      </c>
      <c r="C111" s="11">
        <v>41989</v>
      </c>
      <c r="D111" t="s">
        <v>12</v>
      </c>
      <c r="E111">
        <v>0.16200000000000001</v>
      </c>
    </row>
    <row r="112" spans="2:5">
      <c r="B112" t="s">
        <v>25</v>
      </c>
      <c r="C112" s="11">
        <v>41988</v>
      </c>
      <c r="D112" t="s">
        <v>12</v>
      </c>
      <c r="E112">
        <v>0.16200000000000001</v>
      </c>
    </row>
    <row r="113" spans="2:5">
      <c r="B113" t="s">
        <v>25</v>
      </c>
      <c r="C113" s="11">
        <v>41985</v>
      </c>
      <c r="D113" t="s">
        <v>12</v>
      </c>
      <c r="E113">
        <v>0.161</v>
      </c>
    </row>
    <row r="114" spans="2:5">
      <c r="B114" t="s">
        <v>25</v>
      </c>
      <c r="C114" s="11">
        <v>41984</v>
      </c>
      <c r="D114" t="s">
        <v>12</v>
      </c>
      <c r="E114">
        <v>0.1608</v>
      </c>
    </row>
    <row r="115" spans="2:5">
      <c r="B115" t="s">
        <v>25</v>
      </c>
      <c r="C115" s="11">
        <v>41983</v>
      </c>
      <c r="D115" t="s">
        <v>12</v>
      </c>
      <c r="E115">
        <v>0.1608</v>
      </c>
    </row>
    <row r="116" spans="2:5">
      <c r="B116" t="s">
        <v>25</v>
      </c>
      <c r="C116" s="11">
        <v>41982</v>
      </c>
      <c r="D116" t="s">
        <v>12</v>
      </c>
      <c r="E116">
        <v>0.1585</v>
      </c>
    </row>
    <row r="117" spans="2:5">
      <c r="B117" t="s">
        <v>25</v>
      </c>
      <c r="C117" s="11">
        <v>41981</v>
      </c>
      <c r="D117" t="s">
        <v>12</v>
      </c>
      <c r="E117">
        <v>0.16170000000000001</v>
      </c>
    </row>
    <row r="118" spans="2:5">
      <c r="B118" t="s">
        <v>25</v>
      </c>
      <c r="C118" s="11">
        <v>41978</v>
      </c>
      <c r="D118" t="s">
        <v>12</v>
      </c>
      <c r="E118">
        <v>0.158</v>
      </c>
    </row>
    <row r="119" spans="2:5">
      <c r="B119" t="s">
        <v>25</v>
      </c>
      <c r="C119" s="11">
        <v>41977</v>
      </c>
      <c r="D119" t="s">
        <v>12</v>
      </c>
      <c r="E119">
        <v>0.15720000000000001</v>
      </c>
    </row>
    <row r="120" spans="2:5">
      <c r="B120" t="s">
        <v>25</v>
      </c>
      <c r="C120" s="11">
        <v>41976</v>
      </c>
      <c r="D120" t="s">
        <v>12</v>
      </c>
      <c r="E120">
        <v>0.157</v>
      </c>
    </row>
    <row r="121" spans="2:5">
      <c r="B121" t="s">
        <v>25</v>
      </c>
      <c r="C121" s="11">
        <v>41975</v>
      </c>
      <c r="D121" t="s">
        <v>12</v>
      </c>
      <c r="E121">
        <v>0.15825</v>
      </c>
    </row>
    <row r="122" spans="2:5">
      <c r="B122" t="s">
        <v>25</v>
      </c>
      <c r="C122" s="11">
        <v>41974</v>
      </c>
      <c r="D122" t="s">
        <v>12</v>
      </c>
      <c r="E122">
        <v>0.15775</v>
      </c>
    </row>
    <row r="123" spans="2:5">
      <c r="B123" t="s">
        <v>25</v>
      </c>
      <c r="C123" s="11">
        <v>41971</v>
      </c>
      <c r="D123" t="s">
        <v>12</v>
      </c>
      <c r="E123">
        <v>0.154</v>
      </c>
    </row>
    <row r="124" spans="2:5">
      <c r="B124" t="s">
        <v>25</v>
      </c>
      <c r="C124" s="11">
        <v>41969</v>
      </c>
      <c r="D124" t="s">
        <v>12</v>
      </c>
      <c r="E124">
        <v>0.15575</v>
      </c>
    </row>
    <row r="125" spans="2:5">
      <c r="B125" t="s">
        <v>25</v>
      </c>
      <c r="C125" s="11">
        <v>41968</v>
      </c>
      <c r="D125" t="s">
        <v>12</v>
      </c>
      <c r="E125">
        <v>0.15625</v>
      </c>
    </row>
    <row r="126" spans="2:5">
      <c r="B126" t="s">
        <v>25</v>
      </c>
      <c r="C126" s="11">
        <v>41967</v>
      </c>
      <c r="D126" t="s">
        <v>12</v>
      </c>
      <c r="E126">
        <v>0.1535</v>
      </c>
    </row>
    <row r="127" spans="2:5">
      <c r="B127" t="s">
        <v>25</v>
      </c>
      <c r="C127" s="11">
        <v>41964</v>
      </c>
      <c r="D127" t="s">
        <v>12</v>
      </c>
      <c r="E127">
        <v>0.15525</v>
      </c>
    </row>
    <row r="128" spans="2:5">
      <c r="B128" t="s">
        <v>25</v>
      </c>
      <c r="C128" s="11">
        <v>41963</v>
      </c>
      <c r="D128" t="s">
        <v>12</v>
      </c>
      <c r="E128">
        <v>0.155</v>
      </c>
    </row>
    <row r="129" spans="2:5">
      <c r="B129" t="s">
        <v>25</v>
      </c>
      <c r="C129" s="11">
        <v>41962</v>
      </c>
      <c r="D129" t="s">
        <v>12</v>
      </c>
      <c r="E129">
        <v>0.155</v>
      </c>
    </row>
    <row r="130" spans="2:5">
      <c r="B130" t="s">
        <v>25</v>
      </c>
      <c r="C130" s="11">
        <v>41961</v>
      </c>
      <c r="D130" t="s">
        <v>12</v>
      </c>
      <c r="E130">
        <v>0.155</v>
      </c>
    </row>
    <row r="131" spans="2:5">
      <c r="B131" t="s">
        <v>25</v>
      </c>
      <c r="C131" s="11">
        <v>41960</v>
      </c>
      <c r="D131" t="s">
        <v>12</v>
      </c>
      <c r="E131">
        <v>0.154</v>
      </c>
    </row>
    <row r="132" spans="2:5">
      <c r="B132" t="s">
        <v>25</v>
      </c>
      <c r="C132" s="11">
        <v>41957</v>
      </c>
      <c r="D132" t="s">
        <v>12</v>
      </c>
      <c r="E132">
        <v>0.153</v>
      </c>
    </row>
    <row r="133" spans="2:5">
      <c r="B133" t="s">
        <v>25</v>
      </c>
      <c r="C133" s="11">
        <v>41956</v>
      </c>
      <c r="D133" t="s">
        <v>12</v>
      </c>
      <c r="E133">
        <v>0.1547</v>
      </c>
    </row>
    <row r="134" spans="2:5">
      <c r="B134" t="s">
        <v>25</v>
      </c>
      <c r="C134" s="11">
        <v>41955</v>
      </c>
      <c r="D134" t="s">
        <v>12</v>
      </c>
      <c r="E134">
        <v>0.15279999999999999</v>
      </c>
    </row>
    <row r="135" spans="2:5">
      <c r="B135" t="s">
        <v>25</v>
      </c>
      <c r="C135" s="11">
        <v>41953</v>
      </c>
      <c r="D135" t="s">
        <v>12</v>
      </c>
      <c r="E135">
        <v>0.15429999999999999</v>
      </c>
    </row>
    <row r="136" spans="2:5">
      <c r="B136" t="s">
        <v>25</v>
      </c>
      <c r="C136" s="11">
        <v>41950</v>
      </c>
      <c r="D136" t="s">
        <v>12</v>
      </c>
      <c r="E136">
        <v>0.1573</v>
      </c>
    </row>
    <row r="137" spans="2:5">
      <c r="B137" t="s">
        <v>25</v>
      </c>
      <c r="C137" s="11">
        <v>41949</v>
      </c>
      <c r="D137" t="s">
        <v>12</v>
      </c>
      <c r="E137">
        <v>0.1555</v>
      </c>
    </row>
    <row r="138" spans="2:5">
      <c r="B138" t="s">
        <v>25</v>
      </c>
      <c r="C138" s="11">
        <v>41948</v>
      </c>
      <c r="D138" t="s">
        <v>12</v>
      </c>
      <c r="E138">
        <v>0.1555</v>
      </c>
    </row>
    <row r="139" spans="2:5">
      <c r="B139" t="s">
        <v>25</v>
      </c>
      <c r="C139" s="11">
        <v>41947</v>
      </c>
      <c r="D139" t="s">
        <v>12</v>
      </c>
      <c r="E139">
        <v>0.1555</v>
      </c>
    </row>
    <row r="140" spans="2:5">
      <c r="B140" t="s">
        <v>25</v>
      </c>
      <c r="C140" s="11">
        <v>41946</v>
      </c>
      <c r="D140" t="s">
        <v>12</v>
      </c>
      <c r="E140">
        <v>0.1555</v>
      </c>
    </row>
    <row r="141" spans="2:5">
      <c r="B141" t="s">
        <v>25</v>
      </c>
      <c r="C141" s="11">
        <v>41943</v>
      </c>
      <c r="D141" t="s">
        <v>12</v>
      </c>
      <c r="E141">
        <v>0.15590000000000001</v>
      </c>
    </row>
    <row r="142" spans="2:5">
      <c r="B142" t="s">
        <v>25</v>
      </c>
      <c r="C142" s="11">
        <v>41942</v>
      </c>
      <c r="D142" t="s">
        <v>12</v>
      </c>
      <c r="E142">
        <v>0.15670000000000001</v>
      </c>
    </row>
    <row r="143" spans="2:5">
      <c r="B143" t="s">
        <v>25</v>
      </c>
      <c r="C143" s="11">
        <v>41941</v>
      </c>
      <c r="D143" t="s">
        <v>12</v>
      </c>
      <c r="E143">
        <v>0.154</v>
      </c>
    </row>
    <row r="144" spans="2:5">
      <c r="B144" t="s">
        <v>25</v>
      </c>
      <c r="C144" s="11">
        <v>41940</v>
      </c>
      <c r="D144" t="s">
        <v>12</v>
      </c>
      <c r="E144">
        <v>0.1535</v>
      </c>
    </row>
    <row r="145" spans="2:5">
      <c r="B145" t="s">
        <v>25</v>
      </c>
      <c r="C145" s="11">
        <v>41939</v>
      </c>
      <c r="D145" t="s">
        <v>12</v>
      </c>
      <c r="E145">
        <v>0.1525</v>
      </c>
    </row>
    <row r="146" spans="2:5">
      <c r="B146" t="s">
        <v>25</v>
      </c>
      <c r="C146" s="11">
        <v>41936</v>
      </c>
      <c r="D146" t="s">
        <v>12</v>
      </c>
      <c r="E146">
        <v>0.152</v>
      </c>
    </row>
    <row r="147" spans="2:5">
      <c r="B147" t="s">
        <v>25</v>
      </c>
      <c r="C147" s="11">
        <v>41935</v>
      </c>
      <c r="D147" t="s">
        <v>12</v>
      </c>
      <c r="E147">
        <v>0.152</v>
      </c>
    </row>
    <row r="148" spans="2:5">
      <c r="B148" t="s">
        <v>25</v>
      </c>
      <c r="C148" s="11">
        <v>41934</v>
      </c>
      <c r="D148" t="s">
        <v>12</v>
      </c>
      <c r="E148">
        <v>0.153</v>
      </c>
    </row>
    <row r="149" spans="2:5">
      <c r="B149" t="s">
        <v>25</v>
      </c>
      <c r="C149" s="11">
        <v>41933</v>
      </c>
      <c r="D149" t="s">
        <v>12</v>
      </c>
      <c r="E149">
        <v>0.153</v>
      </c>
    </row>
    <row r="150" spans="2:5">
      <c r="B150" t="s">
        <v>25</v>
      </c>
      <c r="C150" s="11">
        <v>41932</v>
      </c>
      <c r="D150" t="s">
        <v>12</v>
      </c>
      <c r="E150">
        <v>0.15570000000000001</v>
      </c>
    </row>
    <row r="151" spans="2:5">
      <c r="B151" t="s">
        <v>25</v>
      </c>
      <c r="C151" s="11">
        <v>41929</v>
      </c>
      <c r="D151" t="s">
        <v>12</v>
      </c>
      <c r="E151">
        <v>0.15720000000000001</v>
      </c>
    </row>
    <row r="152" spans="2:5">
      <c r="B152" t="s">
        <v>25</v>
      </c>
      <c r="C152" s="11">
        <v>41928</v>
      </c>
      <c r="D152" t="s">
        <v>12</v>
      </c>
      <c r="E152">
        <v>0.157</v>
      </c>
    </row>
    <row r="153" spans="2:5">
      <c r="B153" t="s">
        <v>25</v>
      </c>
      <c r="C153" s="11">
        <v>41927</v>
      </c>
      <c r="D153" t="s">
        <v>12</v>
      </c>
      <c r="E153">
        <v>0.1535</v>
      </c>
    </row>
    <row r="154" spans="2:5">
      <c r="B154" t="s">
        <v>25</v>
      </c>
      <c r="C154" s="11">
        <v>41926</v>
      </c>
      <c r="D154" t="s">
        <v>12</v>
      </c>
      <c r="E154">
        <v>0.15179999999999999</v>
      </c>
    </row>
    <row r="155" spans="2:5">
      <c r="B155" t="s">
        <v>25</v>
      </c>
      <c r="C155" s="11">
        <v>41922</v>
      </c>
      <c r="D155" t="s">
        <v>12</v>
      </c>
      <c r="E155">
        <v>0.15279999999999999</v>
      </c>
    </row>
    <row r="156" spans="2:5">
      <c r="B156" t="s">
        <v>25</v>
      </c>
      <c r="C156" s="11">
        <v>41921</v>
      </c>
      <c r="D156" t="s">
        <v>12</v>
      </c>
      <c r="E156">
        <v>0.1527</v>
      </c>
    </row>
    <row r="157" spans="2:5">
      <c r="B157" t="s">
        <v>25</v>
      </c>
      <c r="C157" s="11">
        <v>41920</v>
      </c>
      <c r="D157" t="s">
        <v>12</v>
      </c>
      <c r="E157">
        <v>0.15179999999999999</v>
      </c>
    </row>
    <row r="158" spans="2:5">
      <c r="B158" t="s">
        <v>25</v>
      </c>
      <c r="C158" s="11">
        <v>41919</v>
      </c>
      <c r="D158" t="s">
        <v>12</v>
      </c>
      <c r="E158">
        <v>0.1525</v>
      </c>
    </row>
    <row r="159" spans="2:5">
      <c r="B159" t="s">
        <v>25</v>
      </c>
      <c r="C159" s="11">
        <v>41918</v>
      </c>
      <c r="D159" t="s">
        <v>12</v>
      </c>
      <c r="E159">
        <v>0.153</v>
      </c>
    </row>
    <row r="160" spans="2:5">
      <c r="B160" t="s">
        <v>25</v>
      </c>
      <c r="C160" s="11">
        <v>41915</v>
      </c>
      <c r="D160" t="s">
        <v>12</v>
      </c>
      <c r="E160">
        <v>0.153</v>
      </c>
    </row>
    <row r="161" spans="2:5">
      <c r="B161" t="s">
        <v>25</v>
      </c>
      <c r="C161" s="11">
        <v>41914</v>
      </c>
      <c r="D161" t="s">
        <v>12</v>
      </c>
      <c r="E161">
        <v>0.152</v>
      </c>
    </row>
    <row r="162" spans="2:5">
      <c r="B162" t="s">
        <v>25</v>
      </c>
      <c r="C162" s="11">
        <v>41913</v>
      </c>
      <c r="D162" t="s">
        <v>12</v>
      </c>
      <c r="E162">
        <v>0.152</v>
      </c>
    </row>
    <row r="163" spans="2:5">
      <c r="B163" t="s">
        <v>25</v>
      </c>
      <c r="C163" s="11">
        <v>41912</v>
      </c>
      <c r="D163" t="s">
        <v>12</v>
      </c>
      <c r="E163">
        <v>0.1565</v>
      </c>
    </row>
    <row r="164" spans="2:5">
      <c r="B164" t="s">
        <v>25</v>
      </c>
      <c r="C164" s="11">
        <v>41911</v>
      </c>
      <c r="D164" t="s">
        <v>12</v>
      </c>
      <c r="E164">
        <v>0.1525</v>
      </c>
    </row>
    <row r="165" spans="2:5">
      <c r="B165" t="s">
        <v>25</v>
      </c>
      <c r="C165" s="11">
        <v>41908</v>
      </c>
      <c r="D165" t="s">
        <v>12</v>
      </c>
      <c r="E165">
        <v>0.154</v>
      </c>
    </row>
    <row r="166" spans="2:5">
      <c r="B166" t="s">
        <v>25</v>
      </c>
      <c r="C166" s="11">
        <v>41907</v>
      </c>
      <c r="D166" t="s">
        <v>12</v>
      </c>
      <c r="E166">
        <v>0.1515</v>
      </c>
    </row>
    <row r="167" spans="2:5">
      <c r="B167" t="s">
        <v>25</v>
      </c>
      <c r="C167" s="11">
        <v>41906</v>
      </c>
      <c r="D167" t="s">
        <v>12</v>
      </c>
      <c r="E167">
        <v>0.1535</v>
      </c>
    </row>
    <row r="168" spans="2:5">
      <c r="B168" t="s">
        <v>25</v>
      </c>
      <c r="C168" s="11">
        <v>41905</v>
      </c>
      <c r="D168" t="s">
        <v>12</v>
      </c>
      <c r="E168">
        <v>0.1545</v>
      </c>
    </row>
    <row r="169" spans="2:5">
      <c r="B169" t="s">
        <v>25</v>
      </c>
      <c r="C169" s="11">
        <v>41904</v>
      </c>
      <c r="D169" t="s">
        <v>12</v>
      </c>
      <c r="E169">
        <v>0.1545</v>
      </c>
    </row>
    <row r="170" spans="2:5">
      <c r="B170" t="s">
        <v>25</v>
      </c>
      <c r="C170" s="11">
        <v>41901</v>
      </c>
      <c r="D170" t="s">
        <v>12</v>
      </c>
      <c r="E170">
        <v>0.154</v>
      </c>
    </row>
    <row r="171" spans="2:5">
      <c r="B171" t="s">
        <v>25</v>
      </c>
      <c r="C171" s="11">
        <v>41900</v>
      </c>
      <c r="D171" t="s">
        <v>12</v>
      </c>
      <c r="E171">
        <v>0.1535</v>
      </c>
    </row>
    <row r="172" spans="2:5">
      <c r="B172" t="s">
        <v>25</v>
      </c>
      <c r="C172" s="11">
        <v>41899</v>
      </c>
      <c r="D172" t="s">
        <v>12</v>
      </c>
      <c r="E172">
        <v>0.153</v>
      </c>
    </row>
    <row r="173" spans="2:5">
      <c r="B173" t="s">
        <v>25</v>
      </c>
      <c r="C173" s="11">
        <v>41898</v>
      </c>
      <c r="D173" t="s">
        <v>12</v>
      </c>
      <c r="E173">
        <v>0.1535</v>
      </c>
    </row>
    <row r="174" spans="2:5">
      <c r="B174" t="s">
        <v>25</v>
      </c>
      <c r="C174" s="11">
        <v>41897</v>
      </c>
      <c r="D174" t="s">
        <v>12</v>
      </c>
      <c r="E174">
        <v>0.15359999999999999</v>
      </c>
    </row>
    <row r="175" spans="2:5">
      <c r="B175" t="s">
        <v>25</v>
      </c>
      <c r="C175" s="11">
        <v>41894</v>
      </c>
      <c r="D175" t="s">
        <v>12</v>
      </c>
      <c r="E175">
        <v>0.15359999999999999</v>
      </c>
    </row>
    <row r="176" spans="2:5">
      <c r="B176" t="s">
        <v>25</v>
      </c>
      <c r="C176" s="11">
        <v>41893</v>
      </c>
      <c r="D176" t="s">
        <v>12</v>
      </c>
      <c r="E176">
        <v>0.15359999999999999</v>
      </c>
    </row>
    <row r="177" spans="2:5">
      <c r="B177" t="s">
        <v>25</v>
      </c>
      <c r="C177" s="11">
        <v>41892</v>
      </c>
      <c r="D177" t="s">
        <v>12</v>
      </c>
      <c r="E177">
        <v>0.1535</v>
      </c>
    </row>
    <row r="178" spans="2:5">
      <c r="B178" t="s">
        <v>25</v>
      </c>
      <c r="C178" s="11">
        <v>41891</v>
      </c>
      <c r="D178" t="s">
        <v>12</v>
      </c>
      <c r="E178">
        <v>0.1535</v>
      </c>
    </row>
    <row r="179" spans="2:5">
      <c r="B179" t="s">
        <v>25</v>
      </c>
      <c r="C179" s="11">
        <v>41890</v>
      </c>
      <c r="D179" t="s">
        <v>12</v>
      </c>
      <c r="E179">
        <v>0.1535</v>
      </c>
    </row>
    <row r="180" spans="2:5">
      <c r="B180" t="s">
        <v>25</v>
      </c>
      <c r="C180" s="11">
        <v>41887</v>
      </c>
      <c r="D180" t="s">
        <v>12</v>
      </c>
      <c r="E180">
        <v>0.15279999999999999</v>
      </c>
    </row>
    <row r="181" spans="2:5">
      <c r="B181" t="s">
        <v>25</v>
      </c>
      <c r="C181" s="11">
        <v>41886</v>
      </c>
      <c r="D181" t="s">
        <v>12</v>
      </c>
      <c r="E181">
        <v>0.15609999999999999</v>
      </c>
    </row>
    <row r="182" spans="2:5">
      <c r="B182" t="s">
        <v>25</v>
      </c>
      <c r="C182" s="11">
        <v>41885</v>
      </c>
      <c r="D182" t="s">
        <v>12</v>
      </c>
      <c r="E182">
        <v>0.15609999999999999</v>
      </c>
    </row>
    <row r="183" spans="2:5">
      <c r="B183" t="s">
        <v>25</v>
      </c>
      <c r="C183" s="11">
        <v>41884</v>
      </c>
      <c r="D183" t="s">
        <v>12</v>
      </c>
      <c r="E183">
        <v>0.1565</v>
      </c>
    </row>
    <row r="184" spans="2:5">
      <c r="B184" t="s">
        <v>25</v>
      </c>
      <c r="C184" s="11">
        <v>41880</v>
      </c>
      <c r="D184" t="s">
        <v>12</v>
      </c>
      <c r="E184">
        <v>0.157</v>
      </c>
    </row>
    <row r="185" spans="2:5">
      <c r="B185" t="s">
        <v>25</v>
      </c>
      <c r="C185" s="11">
        <v>41879</v>
      </c>
      <c r="D185" t="s">
        <v>12</v>
      </c>
      <c r="E185">
        <v>0.1545</v>
      </c>
    </row>
    <row r="186" spans="2:5">
      <c r="B186" t="s">
        <v>25</v>
      </c>
      <c r="C186" s="11">
        <v>41878</v>
      </c>
      <c r="D186" t="s">
        <v>12</v>
      </c>
      <c r="E186">
        <v>0.15670000000000001</v>
      </c>
    </row>
    <row r="187" spans="2:5">
      <c r="B187" t="s">
        <v>25</v>
      </c>
      <c r="C187" s="11">
        <v>41877</v>
      </c>
      <c r="D187" t="s">
        <v>12</v>
      </c>
      <c r="E187">
        <v>0.156</v>
      </c>
    </row>
    <row r="188" spans="2:5">
      <c r="B188" t="s">
        <v>25</v>
      </c>
      <c r="C188" s="11">
        <v>41876</v>
      </c>
      <c r="D188" t="s">
        <v>12</v>
      </c>
      <c r="E188">
        <v>0.155</v>
      </c>
    </row>
    <row r="189" spans="2:5">
      <c r="B189" t="s">
        <v>25</v>
      </c>
      <c r="C189" s="11">
        <v>41873</v>
      </c>
      <c r="D189" t="s">
        <v>12</v>
      </c>
      <c r="E189">
        <v>0.155</v>
      </c>
    </row>
    <row r="190" spans="2:5">
      <c r="B190" t="s">
        <v>25</v>
      </c>
      <c r="C190" s="11">
        <v>41872</v>
      </c>
      <c r="D190" t="s">
        <v>12</v>
      </c>
      <c r="E190">
        <v>0.155</v>
      </c>
    </row>
    <row r="191" spans="2:5">
      <c r="B191" t="s">
        <v>25</v>
      </c>
      <c r="C191" s="11">
        <v>41871</v>
      </c>
      <c r="D191" t="s">
        <v>12</v>
      </c>
      <c r="E191">
        <v>0.155</v>
      </c>
    </row>
    <row r="192" spans="2:5">
      <c r="B192" t="s">
        <v>25</v>
      </c>
      <c r="C192" s="11">
        <v>41870</v>
      </c>
      <c r="D192" t="s">
        <v>12</v>
      </c>
      <c r="E192">
        <v>0.1555</v>
      </c>
    </row>
    <row r="193" spans="2:5">
      <c r="B193" t="s">
        <v>25</v>
      </c>
      <c r="C193" s="11">
        <v>41869</v>
      </c>
      <c r="D193" t="s">
        <v>12</v>
      </c>
      <c r="E193">
        <v>0.1555</v>
      </c>
    </row>
    <row r="194" spans="2:5">
      <c r="B194" t="s">
        <v>25</v>
      </c>
      <c r="C194" s="11">
        <v>41866</v>
      </c>
      <c r="D194" t="s">
        <v>12</v>
      </c>
      <c r="E194">
        <v>0.1555</v>
      </c>
    </row>
    <row r="195" spans="2:5">
      <c r="B195" t="s">
        <v>25</v>
      </c>
      <c r="C195" s="11">
        <v>41865</v>
      </c>
      <c r="D195" t="s">
        <v>12</v>
      </c>
      <c r="E195">
        <v>0.155</v>
      </c>
    </row>
    <row r="196" spans="2:5">
      <c r="B196" t="s">
        <v>25</v>
      </c>
      <c r="C196" s="11">
        <v>41864</v>
      </c>
      <c r="D196" t="s">
        <v>12</v>
      </c>
      <c r="E196">
        <v>0.155</v>
      </c>
    </row>
    <row r="197" spans="2:5">
      <c r="B197" t="s">
        <v>25</v>
      </c>
      <c r="C197" s="11">
        <v>41863</v>
      </c>
      <c r="D197" t="s">
        <v>12</v>
      </c>
      <c r="E197">
        <v>0.156</v>
      </c>
    </row>
    <row r="198" spans="2:5">
      <c r="B198" t="s">
        <v>25</v>
      </c>
      <c r="C198" s="11">
        <v>41862</v>
      </c>
      <c r="D198" t="s">
        <v>12</v>
      </c>
      <c r="E198">
        <v>0.1555</v>
      </c>
    </row>
    <row r="199" spans="2:5">
      <c r="B199" t="s">
        <v>25</v>
      </c>
      <c r="C199" s="11">
        <v>41859</v>
      </c>
      <c r="D199" t="s">
        <v>12</v>
      </c>
      <c r="E199">
        <v>0.156</v>
      </c>
    </row>
    <row r="200" spans="2:5">
      <c r="B200" t="s">
        <v>25</v>
      </c>
      <c r="C200" s="11">
        <v>41858</v>
      </c>
      <c r="D200" t="s">
        <v>12</v>
      </c>
      <c r="E200">
        <v>0.157</v>
      </c>
    </row>
    <row r="201" spans="2:5">
      <c r="B201" t="s">
        <v>25</v>
      </c>
      <c r="C201" s="11">
        <v>41857</v>
      </c>
      <c r="D201" t="s">
        <v>12</v>
      </c>
      <c r="E201">
        <v>0.1588</v>
      </c>
    </row>
    <row r="202" spans="2:5">
      <c r="B202" t="s">
        <v>25</v>
      </c>
      <c r="C202" s="11">
        <v>41856</v>
      </c>
      <c r="D202" t="s">
        <v>12</v>
      </c>
      <c r="E202">
        <v>0.1585</v>
      </c>
    </row>
    <row r="203" spans="2:5">
      <c r="B203" t="s">
        <v>25</v>
      </c>
      <c r="C203" s="11">
        <v>41855</v>
      </c>
      <c r="D203" t="s">
        <v>12</v>
      </c>
      <c r="E203">
        <v>0.15690000000000001</v>
      </c>
    </row>
    <row r="204" spans="2:5">
      <c r="B204" t="s">
        <v>25</v>
      </c>
      <c r="C204" s="11">
        <v>41852</v>
      </c>
      <c r="D204" t="s">
        <v>12</v>
      </c>
      <c r="E204">
        <v>0.156</v>
      </c>
    </row>
    <row r="205" spans="2:5">
      <c r="B205" t="s">
        <v>25</v>
      </c>
      <c r="C205" s="11">
        <v>41851</v>
      </c>
      <c r="D205" t="s">
        <v>12</v>
      </c>
      <c r="E205">
        <v>0.156</v>
      </c>
    </row>
    <row r="206" spans="2:5">
      <c r="B206" t="s">
        <v>25</v>
      </c>
      <c r="C206" s="11">
        <v>41850</v>
      </c>
      <c r="D206" t="s">
        <v>12</v>
      </c>
      <c r="E206">
        <v>0.15579999999999999</v>
      </c>
    </row>
    <row r="207" spans="2:5">
      <c r="B207" t="s">
        <v>25</v>
      </c>
      <c r="C207" s="11">
        <v>41849</v>
      </c>
      <c r="D207" t="s">
        <v>12</v>
      </c>
      <c r="E207">
        <v>0.155</v>
      </c>
    </row>
    <row r="208" spans="2:5">
      <c r="B208" t="s">
        <v>25</v>
      </c>
      <c r="C208" s="11">
        <v>41848</v>
      </c>
      <c r="D208" t="s">
        <v>12</v>
      </c>
      <c r="E208">
        <v>0.155</v>
      </c>
    </row>
    <row r="209" spans="2:5">
      <c r="B209" t="s">
        <v>25</v>
      </c>
      <c r="C209" s="11">
        <v>41845</v>
      </c>
      <c r="D209" t="s">
        <v>12</v>
      </c>
      <c r="E209">
        <v>0.156</v>
      </c>
    </row>
    <row r="210" spans="2:5">
      <c r="B210" t="s">
        <v>25</v>
      </c>
      <c r="C210" s="11">
        <v>41844</v>
      </c>
      <c r="D210" t="s">
        <v>12</v>
      </c>
      <c r="E210">
        <v>0.15425</v>
      </c>
    </row>
    <row r="211" spans="2:5">
      <c r="B211" t="s">
        <v>25</v>
      </c>
      <c r="C211" s="11">
        <v>41843</v>
      </c>
      <c r="D211" t="s">
        <v>12</v>
      </c>
      <c r="E211">
        <v>0.155</v>
      </c>
    </row>
    <row r="212" spans="2:5">
      <c r="B212" t="s">
        <v>25</v>
      </c>
      <c r="C212" s="11">
        <v>41842</v>
      </c>
      <c r="D212" t="s">
        <v>12</v>
      </c>
      <c r="E212">
        <v>0.15525</v>
      </c>
    </row>
    <row r="213" spans="2:5">
      <c r="B213" t="s">
        <v>25</v>
      </c>
      <c r="C213" s="11">
        <v>41841</v>
      </c>
      <c r="D213" t="s">
        <v>12</v>
      </c>
      <c r="E213">
        <v>0.15475</v>
      </c>
    </row>
    <row r="214" spans="2:5">
      <c r="B214" t="s">
        <v>25</v>
      </c>
      <c r="C214" s="11">
        <v>41838</v>
      </c>
      <c r="D214" t="s">
        <v>12</v>
      </c>
      <c r="E214">
        <v>0.15340000000000001</v>
      </c>
    </row>
    <row r="215" spans="2:5">
      <c r="B215" t="s">
        <v>25</v>
      </c>
      <c r="C215" s="11">
        <v>41837</v>
      </c>
      <c r="D215" t="s">
        <v>12</v>
      </c>
      <c r="E215">
        <v>0.15620000000000001</v>
      </c>
    </row>
    <row r="216" spans="2:5">
      <c r="B216" t="s">
        <v>25</v>
      </c>
      <c r="C216" s="11">
        <v>41836</v>
      </c>
      <c r="D216" t="s">
        <v>12</v>
      </c>
      <c r="E216">
        <v>0.15545</v>
      </c>
    </row>
    <row r="217" spans="2:5">
      <c r="B217" t="s">
        <v>25</v>
      </c>
      <c r="C217" s="11">
        <v>41835</v>
      </c>
      <c r="D217" t="s">
        <v>12</v>
      </c>
      <c r="E217">
        <v>0.1542</v>
      </c>
    </row>
    <row r="218" spans="2:5">
      <c r="B218" t="s">
        <v>25</v>
      </c>
      <c r="C218" s="11">
        <v>41834</v>
      </c>
      <c r="D218" t="s">
        <v>12</v>
      </c>
      <c r="E218">
        <v>0.152</v>
      </c>
    </row>
    <row r="219" spans="2:5">
      <c r="B219" t="s">
        <v>25</v>
      </c>
      <c r="C219" s="11">
        <v>41831</v>
      </c>
      <c r="D219" t="s">
        <v>12</v>
      </c>
      <c r="E219">
        <v>0.152</v>
      </c>
    </row>
    <row r="220" spans="2:5">
      <c r="B220" t="s">
        <v>25</v>
      </c>
      <c r="C220" s="11">
        <v>41830</v>
      </c>
      <c r="D220" t="s">
        <v>12</v>
      </c>
      <c r="E220">
        <v>0.1515</v>
      </c>
    </row>
    <row r="221" spans="2:5">
      <c r="B221" t="s">
        <v>25</v>
      </c>
      <c r="C221" s="11">
        <v>41829</v>
      </c>
      <c r="D221" t="s">
        <v>12</v>
      </c>
      <c r="E221">
        <v>0.15275</v>
      </c>
    </row>
    <row r="222" spans="2:5">
      <c r="B222" t="s">
        <v>25</v>
      </c>
      <c r="C222" s="11">
        <v>41828</v>
      </c>
      <c r="D222" t="s">
        <v>12</v>
      </c>
      <c r="E222">
        <v>0.1525</v>
      </c>
    </row>
    <row r="223" spans="2:5">
      <c r="B223" t="s">
        <v>25</v>
      </c>
      <c r="C223" s="11">
        <v>41827</v>
      </c>
      <c r="D223" t="s">
        <v>12</v>
      </c>
      <c r="E223">
        <v>0.15340000000000001</v>
      </c>
    </row>
    <row r="224" spans="2:5">
      <c r="B224" t="s">
        <v>25</v>
      </c>
      <c r="C224" s="11">
        <v>41823</v>
      </c>
      <c r="D224" t="s">
        <v>12</v>
      </c>
      <c r="E224">
        <v>0.1555</v>
      </c>
    </row>
    <row r="225" spans="2:5">
      <c r="B225" t="s">
        <v>25</v>
      </c>
      <c r="C225" s="11">
        <v>41822</v>
      </c>
      <c r="D225" t="s">
        <v>12</v>
      </c>
      <c r="E225">
        <v>0.1555</v>
      </c>
    </row>
    <row r="226" spans="2:5">
      <c r="B226" t="s">
        <v>25</v>
      </c>
      <c r="C226" s="11">
        <v>41821</v>
      </c>
      <c r="D226" t="s">
        <v>12</v>
      </c>
      <c r="E226">
        <v>0.1552</v>
      </c>
    </row>
    <row r="227" spans="2:5">
      <c r="B227" t="s">
        <v>25</v>
      </c>
      <c r="C227" s="11">
        <v>41820</v>
      </c>
      <c r="D227" t="s">
        <v>12</v>
      </c>
      <c r="E227">
        <v>0.1552</v>
      </c>
    </row>
    <row r="228" spans="2:5">
      <c r="B228" t="s">
        <v>25</v>
      </c>
      <c r="C228" s="11">
        <v>41817</v>
      </c>
      <c r="D228" t="s">
        <v>12</v>
      </c>
      <c r="E228">
        <v>0.1515</v>
      </c>
    </row>
    <row r="229" spans="2:5">
      <c r="B229" t="s">
        <v>25</v>
      </c>
      <c r="C229" s="11">
        <v>41816</v>
      </c>
      <c r="D229" t="s">
        <v>12</v>
      </c>
      <c r="E229">
        <v>0.14949999999999999</v>
      </c>
    </row>
    <row r="230" spans="2:5">
      <c r="B230" t="s">
        <v>25</v>
      </c>
      <c r="C230" s="11">
        <v>41815</v>
      </c>
      <c r="D230" t="s">
        <v>12</v>
      </c>
      <c r="E230">
        <v>0.151</v>
      </c>
    </row>
    <row r="231" spans="2:5">
      <c r="B231" t="s">
        <v>25</v>
      </c>
      <c r="C231" s="11">
        <v>41814</v>
      </c>
      <c r="D231" t="s">
        <v>12</v>
      </c>
      <c r="E231">
        <v>0.1515</v>
      </c>
    </row>
    <row r="232" spans="2:5">
      <c r="B232" t="s">
        <v>25</v>
      </c>
      <c r="C232" s="11">
        <v>41813</v>
      </c>
      <c r="D232" t="s">
        <v>12</v>
      </c>
      <c r="E232">
        <v>0.152</v>
      </c>
    </row>
    <row r="233" spans="2:5">
      <c r="B233" t="s">
        <v>25</v>
      </c>
      <c r="C233" s="11">
        <v>41810</v>
      </c>
      <c r="D233" t="s">
        <v>12</v>
      </c>
      <c r="E233">
        <v>0.154</v>
      </c>
    </row>
    <row r="234" spans="2:5">
      <c r="B234" t="s">
        <v>25</v>
      </c>
      <c r="C234" s="11">
        <v>41809</v>
      </c>
      <c r="D234" t="s">
        <v>12</v>
      </c>
      <c r="E234">
        <v>0.15325</v>
      </c>
    </row>
    <row r="235" spans="2:5">
      <c r="B235" t="s">
        <v>25</v>
      </c>
      <c r="C235" s="11">
        <v>41808</v>
      </c>
      <c r="D235" t="s">
        <v>12</v>
      </c>
      <c r="E235">
        <v>0.153</v>
      </c>
    </row>
    <row r="236" spans="2:5">
      <c r="B236" t="s">
        <v>25</v>
      </c>
      <c r="C236" s="11">
        <v>41807</v>
      </c>
      <c r="D236" t="s">
        <v>12</v>
      </c>
      <c r="E236">
        <v>0.155</v>
      </c>
    </row>
    <row r="237" spans="2:5">
      <c r="B237" t="s">
        <v>25</v>
      </c>
      <c r="C237" s="11">
        <v>41806</v>
      </c>
      <c r="D237" t="s">
        <v>12</v>
      </c>
      <c r="E237">
        <v>0.154</v>
      </c>
    </row>
    <row r="238" spans="2:5">
      <c r="B238" t="s">
        <v>25</v>
      </c>
      <c r="C238" s="11">
        <v>41803</v>
      </c>
      <c r="D238" t="s">
        <v>12</v>
      </c>
      <c r="E238">
        <v>0.15425</v>
      </c>
    </row>
    <row r="239" spans="2:5">
      <c r="B239" t="s">
        <v>25</v>
      </c>
      <c r="C239" s="11">
        <v>41802</v>
      </c>
      <c r="D239" t="s">
        <v>12</v>
      </c>
      <c r="E239">
        <v>0.15175</v>
      </c>
    </row>
    <row r="240" spans="2:5">
      <c r="B240" t="s">
        <v>25</v>
      </c>
      <c r="C240" s="11">
        <v>41801</v>
      </c>
      <c r="D240" t="s">
        <v>12</v>
      </c>
      <c r="E240">
        <v>0.15125</v>
      </c>
    </row>
    <row r="241" spans="2:5">
      <c r="B241" t="s">
        <v>25</v>
      </c>
      <c r="C241" s="11">
        <v>41800</v>
      </c>
      <c r="D241" t="s">
        <v>12</v>
      </c>
      <c r="E241">
        <v>0.152</v>
      </c>
    </row>
    <row r="242" spans="2:5">
      <c r="B242" t="s">
        <v>25</v>
      </c>
      <c r="C242" s="11">
        <v>41799</v>
      </c>
      <c r="D242" t="s">
        <v>12</v>
      </c>
      <c r="E242">
        <v>0.15225</v>
      </c>
    </row>
    <row r="243" spans="2:5">
      <c r="B243" t="s">
        <v>25</v>
      </c>
      <c r="C243" s="11">
        <v>41796</v>
      </c>
      <c r="D243" t="s">
        <v>12</v>
      </c>
      <c r="E243">
        <v>0.1535</v>
      </c>
    </row>
    <row r="244" spans="2:5">
      <c r="B244" t="s">
        <v>25</v>
      </c>
      <c r="C244" s="11">
        <v>41795</v>
      </c>
      <c r="D244" t="s">
        <v>12</v>
      </c>
      <c r="E244">
        <v>0.151</v>
      </c>
    </row>
    <row r="245" spans="2:5">
      <c r="B245" t="s">
        <v>25</v>
      </c>
      <c r="C245" s="11">
        <v>41794</v>
      </c>
      <c r="D245" t="s">
        <v>12</v>
      </c>
      <c r="E245">
        <v>0.152</v>
      </c>
    </row>
    <row r="246" spans="2:5">
      <c r="B246" t="s">
        <v>25</v>
      </c>
      <c r="C246" s="11">
        <v>41793</v>
      </c>
      <c r="D246" t="s">
        <v>12</v>
      </c>
      <c r="E246">
        <v>0.15090000000000001</v>
      </c>
    </row>
    <row r="247" spans="2:5">
      <c r="B247" t="s">
        <v>25</v>
      </c>
      <c r="C247" s="11">
        <v>41792</v>
      </c>
      <c r="D247" t="s">
        <v>12</v>
      </c>
      <c r="E247">
        <v>0.151</v>
      </c>
    </row>
    <row r="248" spans="2:5">
      <c r="B248" t="s">
        <v>25</v>
      </c>
      <c r="C248" s="11">
        <v>41789</v>
      </c>
      <c r="D248" t="s">
        <v>12</v>
      </c>
      <c r="E248">
        <v>0.151</v>
      </c>
    </row>
    <row r="249" spans="2:5">
      <c r="B249" t="s">
        <v>25</v>
      </c>
      <c r="C249" s="11">
        <v>41788</v>
      </c>
      <c r="D249" t="s">
        <v>12</v>
      </c>
      <c r="E249">
        <v>0.151</v>
      </c>
    </row>
    <row r="250" spans="2:5">
      <c r="B250" t="s">
        <v>25</v>
      </c>
      <c r="C250" s="11">
        <v>41787</v>
      </c>
      <c r="D250" t="s">
        <v>12</v>
      </c>
      <c r="E250">
        <v>0.15</v>
      </c>
    </row>
    <row r="251" spans="2:5">
      <c r="B251" t="s">
        <v>25</v>
      </c>
      <c r="C251" s="11">
        <v>41786</v>
      </c>
      <c r="D251" t="s">
        <v>12</v>
      </c>
      <c r="E251">
        <v>0.15049999999999999</v>
      </c>
    </row>
    <row r="252" spans="2:5">
      <c r="B252" t="s">
        <v>25</v>
      </c>
      <c r="C252" s="11">
        <v>41782</v>
      </c>
      <c r="D252" t="s">
        <v>12</v>
      </c>
      <c r="E252">
        <v>0.15049999999999999</v>
      </c>
    </row>
    <row r="253" spans="2:5">
      <c r="B253" t="s">
        <v>25</v>
      </c>
      <c r="C253" s="11">
        <v>41781</v>
      </c>
      <c r="D253" t="s">
        <v>12</v>
      </c>
      <c r="E253">
        <v>0.15</v>
      </c>
    </row>
    <row r="254" spans="2:5">
      <c r="B254" t="s">
        <v>25</v>
      </c>
      <c r="C254" s="11">
        <v>41780</v>
      </c>
      <c r="D254" t="s">
        <v>12</v>
      </c>
      <c r="E254">
        <v>0.14849999999999999</v>
      </c>
    </row>
    <row r="255" spans="2:5">
      <c r="B255" t="s">
        <v>25</v>
      </c>
      <c r="C255" s="11">
        <v>41779</v>
      </c>
      <c r="D255" t="s">
        <v>12</v>
      </c>
      <c r="E255">
        <v>0.14774999999999999</v>
      </c>
    </row>
    <row r="256" spans="2:5">
      <c r="B256" t="s">
        <v>25</v>
      </c>
      <c r="C256" s="11">
        <v>41778</v>
      </c>
      <c r="D256" t="s">
        <v>12</v>
      </c>
      <c r="E256">
        <v>0.14849999999999999</v>
      </c>
    </row>
    <row r="257" spans="2:5">
      <c r="B257" t="s">
        <v>25</v>
      </c>
      <c r="C257" s="11">
        <v>41775</v>
      </c>
      <c r="D257" t="s">
        <v>12</v>
      </c>
      <c r="E257">
        <v>0.14924999999999999</v>
      </c>
    </row>
    <row r="258" spans="2:5">
      <c r="B258" t="s">
        <v>25</v>
      </c>
      <c r="C258" s="11">
        <v>41774</v>
      </c>
      <c r="D258" t="s">
        <v>12</v>
      </c>
      <c r="E258">
        <v>0.151</v>
      </c>
    </row>
    <row r="259" spans="2:5">
      <c r="B259" t="s">
        <v>25</v>
      </c>
      <c r="C259" s="11">
        <v>41773</v>
      </c>
      <c r="D259" t="s">
        <v>12</v>
      </c>
      <c r="E259">
        <v>0.15110000000000001</v>
      </c>
    </row>
    <row r="260" spans="2:5">
      <c r="B260" t="s">
        <v>25</v>
      </c>
      <c r="C260" s="11">
        <v>41772</v>
      </c>
      <c r="D260" t="s">
        <v>12</v>
      </c>
      <c r="E260">
        <v>0.15110000000000001</v>
      </c>
    </row>
    <row r="261" spans="2:5">
      <c r="B261" t="s">
        <v>25</v>
      </c>
      <c r="C261" s="11">
        <v>41771</v>
      </c>
      <c r="D261" t="s">
        <v>12</v>
      </c>
      <c r="E261">
        <v>0.15110000000000001</v>
      </c>
    </row>
    <row r="262" spans="2:5">
      <c r="B262" t="s">
        <v>25</v>
      </c>
      <c r="C262" s="11">
        <v>41768</v>
      </c>
      <c r="D262" t="s">
        <v>12</v>
      </c>
      <c r="E262">
        <v>0.15160000000000001</v>
      </c>
    </row>
    <row r="263" spans="2:5">
      <c r="B263" t="s">
        <v>25</v>
      </c>
      <c r="C263" s="11">
        <v>41767</v>
      </c>
      <c r="D263" t="s">
        <v>12</v>
      </c>
      <c r="E263">
        <v>0.15024999999999999</v>
      </c>
    </row>
    <row r="264" spans="2:5">
      <c r="B264" t="s">
        <v>25</v>
      </c>
      <c r="C264" s="11">
        <v>41766</v>
      </c>
      <c r="D264" t="s">
        <v>12</v>
      </c>
      <c r="E264">
        <v>0.1515</v>
      </c>
    </row>
    <row r="265" spans="2:5">
      <c r="B265" t="s">
        <v>25</v>
      </c>
      <c r="C265" s="11">
        <v>41765</v>
      </c>
      <c r="D265" t="s">
        <v>12</v>
      </c>
      <c r="E265">
        <v>0.15049999999999999</v>
      </c>
    </row>
    <row r="266" spans="2:5">
      <c r="B266" t="s">
        <v>25</v>
      </c>
      <c r="C266" s="11">
        <v>41764</v>
      </c>
      <c r="D266" t="s">
        <v>12</v>
      </c>
      <c r="E266">
        <v>0.1515</v>
      </c>
    </row>
    <row r="267" spans="2:5">
      <c r="B267" t="s">
        <v>25</v>
      </c>
      <c r="C267" s="11">
        <v>41761</v>
      </c>
      <c r="D267" t="s">
        <v>12</v>
      </c>
      <c r="E267">
        <v>0.1515</v>
      </c>
    </row>
    <row r="268" spans="2:5">
      <c r="B268" t="s">
        <v>25</v>
      </c>
      <c r="C268" s="11">
        <v>41760</v>
      </c>
      <c r="D268" t="s">
        <v>12</v>
      </c>
      <c r="E268">
        <v>0.15049999999999999</v>
      </c>
    </row>
    <row r="269" spans="2:5">
      <c r="B269" t="s">
        <v>25</v>
      </c>
      <c r="C269" s="11">
        <v>41759</v>
      </c>
      <c r="D269" t="s">
        <v>12</v>
      </c>
      <c r="E269">
        <v>0.15049999999999999</v>
      </c>
    </row>
    <row r="270" spans="2:5">
      <c r="B270" t="s">
        <v>25</v>
      </c>
      <c r="C270" s="11">
        <v>41758</v>
      </c>
      <c r="D270" t="s">
        <v>12</v>
      </c>
      <c r="E270">
        <v>0.1515</v>
      </c>
    </row>
    <row r="271" spans="2:5">
      <c r="B271" t="s">
        <v>25</v>
      </c>
      <c r="C271" s="11">
        <v>41757</v>
      </c>
      <c r="D271" t="s">
        <v>12</v>
      </c>
      <c r="E271">
        <v>0.15029999999999999</v>
      </c>
    </row>
    <row r="272" spans="2:5">
      <c r="B272" t="s">
        <v>25</v>
      </c>
      <c r="C272" s="11">
        <v>41754</v>
      </c>
      <c r="D272" t="s">
        <v>12</v>
      </c>
      <c r="E272">
        <v>0.152</v>
      </c>
    </row>
    <row r="273" spans="2:5">
      <c r="B273" t="s">
        <v>25</v>
      </c>
      <c r="C273" s="11">
        <v>41753</v>
      </c>
      <c r="D273" t="s">
        <v>12</v>
      </c>
      <c r="E273">
        <v>0.15179999999999999</v>
      </c>
    </row>
    <row r="274" spans="2:5">
      <c r="B274" t="s">
        <v>25</v>
      </c>
      <c r="C274" s="11">
        <v>41752</v>
      </c>
      <c r="D274" t="s">
        <v>12</v>
      </c>
      <c r="E274">
        <v>0.15229999999999999</v>
      </c>
    </row>
    <row r="275" spans="2:5">
      <c r="B275" t="s">
        <v>25</v>
      </c>
      <c r="C275" s="11">
        <v>41751</v>
      </c>
      <c r="D275" t="s">
        <v>12</v>
      </c>
      <c r="E275">
        <v>0.15229999999999999</v>
      </c>
    </row>
    <row r="276" spans="2:5">
      <c r="B276" t="s">
        <v>25</v>
      </c>
      <c r="C276" s="11">
        <v>41750</v>
      </c>
      <c r="D276" t="s">
        <v>12</v>
      </c>
      <c r="E276">
        <v>0.1522</v>
      </c>
    </row>
    <row r="277" spans="2:5">
      <c r="B277" t="s">
        <v>25</v>
      </c>
      <c r="C277" s="11">
        <v>41746</v>
      </c>
      <c r="D277" t="s">
        <v>12</v>
      </c>
      <c r="E277">
        <v>0.1522</v>
      </c>
    </row>
    <row r="278" spans="2:5">
      <c r="B278" t="s">
        <v>25</v>
      </c>
      <c r="C278" s="11">
        <v>41745</v>
      </c>
      <c r="D278" t="s">
        <v>12</v>
      </c>
      <c r="E278">
        <v>0.152</v>
      </c>
    </row>
    <row r="279" spans="2:5">
      <c r="B279" t="s">
        <v>25</v>
      </c>
      <c r="C279" s="11">
        <v>41744</v>
      </c>
      <c r="D279" t="s">
        <v>12</v>
      </c>
      <c r="E279">
        <v>0.15140000000000001</v>
      </c>
    </row>
    <row r="280" spans="2:5">
      <c r="B280" t="s">
        <v>25</v>
      </c>
      <c r="C280" s="11">
        <v>41743</v>
      </c>
      <c r="D280" t="s">
        <v>12</v>
      </c>
      <c r="E280">
        <v>0.1517</v>
      </c>
    </row>
    <row r="281" spans="2:5">
      <c r="B281" t="s">
        <v>25</v>
      </c>
      <c r="C281" s="11">
        <v>41740</v>
      </c>
      <c r="D281" t="s">
        <v>12</v>
      </c>
      <c r="E281">
        <v>0.1522</v>
      </c>
    </row>
    <row r="282" spans="2:5">
      <c r="B282" t="s">
        <v>25</v>
      </c>
      <c r="C282" s="11">
        <v>41739</v>
      </c>
      <c r="D282" t="s">
        <v>12</v>
      </c>
      <c r="E282">
        <v>0.1525</v>
      </c>
    </row>
    <row r="283" spans="2:5">
      <c r="B283" t="s">
        <v>25</v>
      </c>
      <c r="C283" s="11">
        <v>41738</v>
      </c>
      <c r="D283" t="s">
        <v>12</v>
      </c>
      <c r="E283">
        <v>0.15090000000000001</v>
      </c>
    </row>
    <row r="284" spans="2:5">
      <c r="B284" t="s">
        <v>25</v>
      </c>
      <c r="C284" s="11">
        <v>41737</v>
      </c>
      <c r="D284" t="s">
        <v>12</v>
      </c>
      <c r="E284">
        <v>0.15040000000000001</v>
      </c>
    </row>
    <row r="285" spans="2:5">
      <c r="B285" t="s">
        <v>25</v>
      </c>
      <c r="C285" s="11">
        <v>41736</v>
      </c>
      <c r="D285" t="s">
        <v>12</v>
      </c>
      <c r="E285">
        <v>0.152</v>
      </c>
    </row>
    <row r="286" spans="2:5">
      <c r="B286" t="s">
        <v>25</v>
      </c>
      <c r="C286" s="11">
        <v>41733</v>
      </c>
      <c r="D286" t="s">
        <v>12</v>
      </c>
      <c r="E286">
        <v>0.1525</v>
      </c>
    </row>
    <row r="287" spans="2:5">
      <c r="B287" t="s">
        <v>25</v>
      </c>
      <c r="C287" s="11">
        <v>41732</v>
      </c>
      <c r="D287" t="s">
        <v>12</v>
      </c>
      <c r="E287">
        <v>0.1525</v>
      </c>
    </row>
    <row r="288" spans="2:5">
      <c r="B288" t="s">
        <v>25</v>
      </c>
      <c r="C288" s="11">
        <v>41731</v>
      </c>
      <c r="D288" t="s">
        <v>12</v>
      </c>
      <c r="E288">
        <v>0.152</v>
      </c>
    </row>
    <row r="289" spans="2:5">
      <c r="B289" t="s">
        <v>25</v>
      </c>
      <c r="C289" s="11">
        <v>41730</v>
      </c>
      <c r="D289" t="s">
        <v>12</v>
      </c>
      <c r="E289">
        <v>0.151</v>
      </c>
    </row>
    <row r="290" spans="2:5">
      <c r="B290" t="s">
        <v>25</v>
      </c>
      <c r="C290" s="11">
        <v>41729</v>
      </c>
      <c r="D290" t="s">
        <v>12</v>
      </c>
      <c r="E290">
        <v>0.152</v>
      </c>
    </row>
    <row r="291" spans="2:5">
      <c r="B291" t="s">
        <v>25</v>
      </c>
      <c r="C291" s="11">
        <v>41726</v>
      </c>
      <c r="D291" t="s">
        <v>12</v>
      </c>
      <c r="E291">
        <v>0.15175</v>
      </c>
    </row>
    <row r="292" spans="2:5">
      <c r="B292" t="s">
        <v>25</v>
      </c>
      <c r="C292" s="11">
        <v>41725</v>
      </c>
      <c r="D292" t="s">
        <v>12</v>
      </c>
      <c r="E292">
        <v>0.1525</v>
      </c>
    </row>
    <row r="293" spans="2:5">
      <c r="B293" t="s">
        <v>25</v>
      </c>
      <c r="C293" s="11">
        <v>41724</v>
      </c>
      <c r="D293" t="s">
        <v>12</v>
      </c>
      <c r="E293">
        <v>0.153</v>
      </c>
    </row>
    <row r="294" spans="2:5">
      <c r="B294" t="s">
        <v>25</v>
      </c>
      <c r="C294" s="11">
        <v>41723</v>
      </c>
      <c r="D294" t="s">
        <v>12</v>
      </c>
      <c r="E294">
        <v>0.15375</v>
      </c>
    </row>
    <row r="295" spans="2:5">
      <c r="B295" t="s">
        <v>25</v>
      </c>
      <c r="C295" s="11">
        <v>41722</v>
      </c>
      <c r="D295" t="s">
        <v>12</v>
      </c>
      <c r="E295">
        <v>0.15425</v>
      </c>
    </row>
    <row r="296" spans="2:5">
      <c r="B296" t="s">
        <v>25</v>
      </c>
      <c r="C296" s="11">
        <v>41719</v>
      </c>
      <c r="D296" t="s">
        <v>12</v>
      </c>
      <c r="E296">
        <v>0.15425</v>
      </c>
    </row>
    <row r="297" spans="2:5">
      <c r="B297" t="s">
        <v>25</v>
      </c>
      <c r="C297" s="11">
        <v>41718</v>
      </c>
      <c r="D297" t="s">
        <v>12</v>
      </c>
      <c r="E297">
        <v>0.1545</v>
      </c>
    </row>
    <row r="298" spans="2:5">
      <c r="B298" t="s">
        <v>25</v>
      </c>
      <c r="C298" s="11">
        <v>41717</v>
      </c>
      <c r="D298" t="s">
        <v>12</v>
      </c>
      <c r="E298">
        <v>0.15755</v>
      </c>
    </row>
    <row r="299" spans="2:5">
      <c r="B299" t="s">
        <v>25</v>
      </c>
      <c r="C299" s="11">
        <v>41716</v>
      </c>
      <c r="D299" t="s">
        <v>12</v>
      </c>
      <c r="E299">
        <v>0.15675</v>
      </c>
    </row>
    <row r="300" spans="2:5">
      <c r="B300" t="s">
        <v>25</v>
      </c>
      <c r="C300" s="11">
        <v>41715</v>
      </c>
      <c r="D300" t="s">
        <v>12</v>
      </c>
      <c r="E300">
        <v>0.15620000000000001</v>
      </c>
    </row>
    <row r="301" spans="2:5">
      <c r="B301" t="s">
        <v>25</v>
      </c>
      <c r="C301" s="11">
        <v>41712</v>
      </c>
      <c r="D301" t="s">
        <v>12</v>
      </c>
      <c r="E301">
        <v>0.15645000000000001</v>
      </c>
    </row>
    <row r="302" spans="2:5">
      <c r="B302" t="s">
        <v>25</v>
      </c>
      <c r="C302" s="11">
        <v>41711</v>
      </c>
      <c r="D302" t="s">
        <v>12</v>
      </c>
      <c r="E302">
        <v>0.155</v>
      </c>
    </row>
    <row r="303" spans="2:5">
      <c r="B303" t="s">
        <v>25</v>
      </c>
      <c r="C303" s="11">
        <v>41710</v>
      </c>
      <c r="D303" t="s">
        <v>12</v>
      </c>
      <c r="E303">
        <v>0.1555</v>
      </c>
    </row>
    <row r="304" spans="2:5">
      <c r="B304" t="s">
        <v>25</v>
      </c>
      <c r="C304" s="11">
        <v>41709</v>
      </c>
      <c r="D304" t="s">
        <v>12</v>
      </c>
      <c r="E304">
        <v>0.15579999999999999</v>
      </c>
    </row>
    <row r="305" spans="2:5">
      <c r="B305" t="s">
        <v>25</v>
      </c>
      <c r="C305" s="11">
        <v>41708</v>
      </c>
      <c r="D305" t="s">
        <v>12</v>
      </c>
      <c r="E305">
        <v>0.155</v>
      </c>
    </row>
    <row r="306" spans="2:5">
      <c r="B306" t="s">
        <v>25</v>
      </c>
      <c r="C306" s="11">
        <v>41705</v>
      </c>
      <c r="D306" t="s">
        <v>12</v>
      </c>
      <c r="E306">
        <v>0.1565</v>
      </c>
    </row>
    <row r="307" spans="2:5">
      <c r="B307" t="s">
        <v>25</v>
      </c>
      <c r="C307" s="11">
        <v>41704</v>
      </c>
      <c r="D307" t="s">
        <v>12</v>
      </c>
      <c r="E307">
        <v>0.15440000000000001</v>
      </c>
    </row>
    <row r="308" spans="2:5">
      <c r="B308" t="s">
        <v>25</v>
      </c>
      <c r="C308" s="11">
        <v>41703</v>
      </c>
      <c r="D308" t="s">
        <v>12</v>
      </c>
      <c r="E308">
        <v>0.15559999999999999</v>
      </c>
    </row>
    <row r="309" spans="2:5">
      <c r="B309" t="s">
        <v>25</v>
      </c>
      <c r="C309" s="11">
        <v>41702</v>
      </c>
      <c r="D309" t="s">
        <v>12</v>
      </c>
      <c r="E309">
        <v>0.1565</v>
      </c>
    </row>
    <row r="310" spans="2:5">
      <c r="B310" t="s">
        <v>25</v>
      </c>
      <c r="C310" s="11">
        <v>41701</v>
      </c>
      <c r="D310" t="s">
        <v>12</v>
      </c>
      <c r="E310">
        <v>0.15529999999999999</v>
      </c>
    </row>
    <row r="311" spans="2:5">
      <c r="B311" t="s">
        <v>25</v>
      </c>
      <c r="C311" s="11">
        <v>41698</v>
      </c>
      <c r="D311" t="s">
        <v>12</v>
      </c>
      <c r="E311">
        <v>0.1555</v>
      </c>
    </row>
    <row r="312" spans="2:5">
      <c r="B312" t="s">
        <v>25</v>
      </c>
      <c r="C312" s="11">
        <v>41697</v>
      </c>
      <c r="D312" t="s">
        <v>12</v>
      </c>
      <c r="E312">
        <v>0.1545</v>
      </c>
    </row>
    <row r="313" spans="2:5">
      <c r="B313" t="s">
        <v>25</v>
      </c>
      <c r="C313" s="11">
        <v>41696</v>
      </c>
      <c r="D313" t="s">
        <v>12</v>
      </c>
      <c r="E313">
        <v>0.1545</v>
      </c>
    </row>
    <row r="314" spans="2:5">
      <c r="B314" t="s">
        <v>25</v>
      </c>
      <c r="C314" s="11">
        <v>41695</v>
      </c>
      <c r="D314" t="s">
        <v>12</v>
      </c>
      <c r="E314">
        <v>0.1545</v>
      </c>
    </row>
    <row r="315" spans="2:5">
      <c r="B315" t="s">
        <v>25</v>
      </c>
      <c r="C315" s="11">
        <v>41694</v>
      </c>
      <c r="D315" t="s">
        <v>12</v>
      </c>
      <c r="E315">
        <v>0.1545</v>
      </c>
    </row>
    <row r="316" spans="2:5">
      <c r="B316" t="s">
        <v>25</v>
      </c>
      <c r="C316" s="11">
        <v>41691</v>
      </c>
      <c r="D316" t="s">
        <v>12</v>
      </c>
      <c r="E316">
        <v>0.1555</v>
      </c>
    </row>
    <row r="317" spans="2:5">
      <c r="B317" t="s">
        <v>25</v>
      </c>
      <c r="C317" s="11">
        <v>41690</v>
      </c>
      <c r="D317" t="s">
        <v>12</v>
      </c>
      <c r="E317">
        <v>0.1555</v>
      </c>
    </row>
    <row r="318" spans="2:5">
      <c r="B318" t="s">
        <v>25</v>
      </c>
      <c r="C318" s="11">
        <v>41689</v>
      </c>
      <c r="D318" t="s">
        <v>12</v>
      </c>
      <c r="E318">
        <v>0.1545</v>
      </c>
    </row>
    <row r="319" spans="2:5">
      <c r="B319" t="s">
        <v>25</v>
      </c>
      <c r="C319" s="11">
        <v>41688</v>
      </c>
      <c r="D319" t="s">
        <v>12</v>
      </c>
      <c r="E319">
        <v>0.154</v>
      </c>
    </row>
    <row r="320" spans="2:5">
      <c r="B320" t="s">
        <v>25</v>
      </c>
      <c r="C320" s="11">
        <v>41684</v>
      </c>
      <c r="D320" t="s">
        <v>12</v>
      </c>
      <c r="E320">
        <v>0.1545</v>
      </c>
    </row>
    <row r="321" spans="2:5">
      <c r="B321" t="s">
        <v>25</v>
      </c>
      <c r="C321" s="11">
        <v>41683</v>
      </c>
      <c r="D321" t="s">
        <v>12</v>
      </c>
      <c r="E321">
        <v>0.1545</v>
      </c>
    </row>
    <row r="322" spans="2:5">
      <c r="B322" t="s">
        <v>25</v>
      </c>
      <c r="C322" s="11">
        <v>41682</v>
      </c>
      <c r="D322" t="s">
        <v>12</v>
      </c>
      <c r="E322">
        <v>0.1535</v>
      </c>
    </row>
    <row r="323" spans="2:5">
      <c r="B323" t="s">
        <v>25</v>
      </c>
      <c r="C323" s="11">
        <v>41681</v>
      </c>
      <c r="D323" t="s">
        <v>12</v>
      </c>
      <c r="E323">
        <v>0.15425</v>
      </c>
    </row>
    <row r="324" spans="2:5">
      <c r="B324" t="s">
        <v>25</v>
      </c>
      <c r="C324" s="11">
        <v>41680</v>
      </c>
      <c r="D324" t="s">
        <v>12</v>
      </c>
      <c r="E324">
        <v>0.15475</v>
      </c>
    </row>
    <row r="325" spans="2:5">
      <c r="B325" t="s">
        <v>25</v>
      </c>
      <c r="C325" s="11">
        <v>41677</v>
      </c>
      <c r="D325" t="s">
        <v>12</v>
      </c>
      <c r="E325">
        <v>0.1555</v>
      </c>
    </row>
    <row r="326" spans="2:5">
      <c r="B326" t="s">
        <v>25</v>
      </c>
      <c r="C326" s="11">
        <v>41676</v>
      </c>
      <c r="D326" t="s">
        <v>12</v>
      </c>
      <c r="E326">
        <v>0.1565</v>
      </c>
    </row>
    <row r="327" spans="2:5">
      <c r="B327" t="s">
        <v>25</v>
      </c>
      <c r="C327" s="11">
        <v>41675</v>
      </c>
      <c r="D327" t="s">
        <v>12</v>
      </c>
      <c r="E327">
        <v>0.1575</v>
      </c>
    </row>
    <row r="328" spans="2:5">
      <c r="B328" t="s">
        <v>25</v>
      </c>
      <c r="C328" s="11">
        <v>41674</v>
      </c>
      <c r="D328" t="s">
        <v>12</v>
      </c>
      <c r="E328">
        <v>0.1575</v>
      </c>
    </row>
    <row r="329" spans="2:5">
      <c r="B329" t="s">
        <v>25</v>
      </c>
      <c r="C329" s="11">
        <v>41673</v>
      </c>
      <c r="D329" t="s">
        <v>12</v>
      </c>
      <c r="E329">
        <v>0.15709999999999999</v>
      </c>
    </row>
    <row r="330" spans="2:5">
      <c r="B330" t="s">
        <v>25</v>
      </c>
      <c r="C330" s="11">
        <v>41670</v>
      </c>
      <c r="D330" t="s">
        <v>12</v>
      </c>
      <c r="E330">
        <v>0.1565</v>
      </c>
    </row>
    <row r="331" spans="2:5">
      <c r="B331" t="s">
        <v>25</v>
      </c>
      <c r="C331" s="11">
        <v>41669</v>
      </c>
      <c r="D331" t="s">
        <v>12</v>
      </c>
      <c r="E331">
        <v>0.1585</v>
      </c>
    </row>
    <row r="332" spans="2:5">
      <c r="B332" t="s">
        <v>25</v>
      </c>
      <c r="C332" s="11">
        <v>41668</v>
      </c>
      <c r="D332" t="s">
        <v>12</v>
      </c>
      <c r="E332">
        <v>0.1595</v>
      </c>
    </row>
    <row r="333" spans="2:5">
      <c r="B333" t="s">
        <v>25</v>
      </c>
      <c r="C333" s="11">
        <v>41667</v>
      </c>
      <c r="D333" t="s">
        <v>12</v>
      </c>
      <c r="E333">
        <v>0.159</v>
      </c>
    </row>
    <row r="334" spans="2:5">
      <c r="B334" t="s">
        <v>25</v>
      </c>
      <c r="C334" s="11">
        <v>41666</v>
      </c>
      <c r="D334" t="s">
        <v>12</v>
      </c>
      <c r="E334">
        <v>0.1585</v>
      </c>
    </row>
    <row r="335" spans="2:5">
      <c r="B335" t="s">
        <v>25</v>
      </c>
      <c r="C335" s="11">
        <v>41663</v>
      </c>
      <c r="D335" t="s">
        <v>12</v>
      </c>
      <c r="E335">
        <v>0.16120000000000001</v>
      </c>
    </row>
    <row r="336" spans="2:5">
      <c r="B336" t="s">
        <v>25</v>
      </c>
      <c r="C336" s="11">
        <v>41662</v>
      </c>
      <c r="D336" t="s">
        <v>12</v>
      </c>
      <c r="E336">
        <v>0.158</v>
      </c>
    </row>
    <row r="337" spans="2:5">
      <c r="B337" t="s">
        <v>25</v>
      </c>
      <c r="C337" s="11">
        <v>41661</v>
      </c>
      <c r="D337" t="s">
        <v>12</v>
      </c>
      <c r="E337">
        <v>0.158</v>
      </c>
    </row>
    <row r="338" spans="2:5">
      <c r="B338" t="s">
        <v>25</v>
      </c>
      <c r="C338" s="11">
        <v>41660</v>
      </c>
      <c r="D338" t="s">
        <v>12</v>
      </c>
      <c r="E338">
        <v>0.157</v>
      </c>
    </row>
    <row r="339" spans="2:5">
      <c r="B339" t="s">
        <v>25</v>
      </c>
      <c r="C339" s="11">
        <v>41656</v>
      </c>
      <c r="D339" t="s">
        <v>12</v>
      </c>
      <c r="E339">
        <v>0.157</v>
      </c>
    </row>
    <row r="340" spans="2:5">
      <c r="B340" t="s">
        <v>25</v>
      </c>
      <c r="C340" s="11">
        <v>41655</v>
      </c>
      <c r="D340" t="s">
        <v>12</v>
      </c>
      <c r="E340">
        <v>0.157</v>
      </c>
    </row>
    <row r="341" spans="2:5">
      <c r="B341" t="s">
        <v>25</v>
      </c>
      <c r="C341" s="11">
        <v>41654</v>
      </c>
      <c r="D341" t="s">
        <v>12</v>
      </c>
      <c r="E341">
        <v>0.15870000000000001</v>
      </c>
    </row>
    <row r="342" spans="2:5">
      <c r="B342" t="s">
        <v>25</v>
      </c>
      <c r="C342" s="11">
        <v>41653</v>
      </c>
      <c r="D342" t="s">
        <v>12</v>
      </c>
      <c r="E342">
        <v>0.159</v>
      </c>
    </row>
    <row r="343" spans="2:5">
      <c r="B343" t="s">
        <v>25</v>
      </c>
      <c r="C343" s="11">
        <v>41652</v>
      </c>
      <c r="D343" t="s">
        <v>12</v>
      </c>
      <c r="E343">
        <v>0.16</v>
      </c>
    </row>
    <row r="344" spans="2:5">
      <c r="B344" t="s">
        <v>25</v>
      </c>
      <c r="C344" s="11">
        <v>41649</v>
      </c>
      <c r="D344" t="s">
        <v>12</v>
      </c>
      <c r="E344">
        <v>0.16039999999999999</v>
      </c>
    </row>
    <row r="345" spans="2:5">
      <c r="B345" t="s">
        <v>25</v>
      </c>
      <c r="C345" s="11">
        <v>41648</v>
      </c>
      <c r="D345" t="s">
        <v>12</v>
      </c>
      <c r="E345">
        <v>0.1603</v>
      </c>
    </row>
    <row r="346" spans="2:5">
      <c r="B346" t="s">
        <v>25</v>
      </c>
      <c r="C346" s="11">
        <v>41647</v>
      </c>
      <c r="D346" t="s">
        <v>12</v>
      </c>
      <c r="E346">
        <v>0.161</v>
      </c>
    </row>
    <row r="347" spans="2:5">
      <c r="B347" t="s">
        <v>25</v>
      </c>
      <c r="C347" s="11">
        <v>41646</v>
      </c>
      <c r="D347" t="s">
        <v>12</v>
      </c>
      <c r="E347">
        <v>0.1615</v>
      </c>
    </row>
    <row r="348" spans="2:5">
      <c r="B348" t="s">
        <v>25</v>
      </c>
      <c r="C348" s="11">
        <v>41645</v>
      </c>
      <c r="D348" t="s">
        <v>12</v>
      </c>
      <c r="E348">
        <v>0.16250000000000001</v>
      </c>
    </row>
    <row r="349" spans="2:5">
      <c r="B349" t="s">
        <v>25</v>
      </c>
      <c r="C349" s="11">
        <v>41642</v>
      </c>
      <c r="D349" t="s">
        <v>12</v>
      </c>
      <c r="E349">
        <v>0.16470000000000001</v>
      </c>
    </row>
    <row r="350" spans="2:5">
      <c r="B350" t="s">
        <v>25</v>
      </c>
      <c r="C350" s="11">
        <v>41641</v>
      </c>
      <c r="D350" t="s">
        <v>12</v>
      </c>
      <c r="E350">
        <v>0.16830000000000001</v>
      </c>
    </row>
    <row r="351" spans="2:5">
      <c r="B351" t="s">
        <v>25</v>
      </c>
      <c r="C351" s="11">
        <v>41639</v>
      </c>
      <c r="D351" t="s">
        <v>12</v>
      </c>
      <c r="E351">
        <v>0.17019999999999999</v>
      </c>
    </row>
    <row r="352" spans="2:5">
      <c r="B352" t="s">
        <v>25</v>
      </c>
      <c r="C352" s="11">
        <v>41635</v>
      </c>
      <c r="D352" t="s">
        <v>12</v>
      </c>
      <c r="E352">
        <v>0.16900000000000001</v>
      </c>
    </row>
    <row r="353" spans="2:5">
      <c r="B353" t="s">
        <v>25</v>
      </c>
      <c r="C353" s="11">
        <v>41634</v>
      </c>
      <c r="D353" t="s">
        <v>12</v>
      </c>
      <c r="E353">
        <v>0.16700000000000001</v>
      </c>
    </row>
    <row r="354" spans="2:5">
      <c r="B354" t="s">
        <v>25</v>
      </c>
      <c r="C354" s="11">
        <v>41632</v>
      </c>
      <c r="D354" t="s">
        <v>12</v>
      </c>
      <c r="E354">
        <v>0.16700000000000001</v>
      </c>
    </row>
    <row r="355" spans="2:5">
      <c r="B355" t="s">
        <v>25</v>
      </c>
      <c r="C355" s="11">
        <v>41631</v>
      </c>
      <c r="D355" t="s">
        <v>12</v>
      </c>
      <c r="E355">
        <v>0.1646</v>
      </c>
    </row>
    <row r="356" spans="2:5">
      <c r="B356" t="s">
        <v>25</v>
      </c>
      <c r="C356" s="11">
        <v>41628</v>
      </c>
      <c r="D356" t="s">
        <v>12</v>
      </c>
      <c r="E356">
        <v>0.16400000000000001</v>
      </c>
    </row>
    <row r="357" spans="2:5">
      <c r="B357" t="s">
        <v>25</v>
      </c>
      <c r="C357" s="11">
        <v>41627</v>
      </c>
      <c r="D357" t="s">
        <v>12</v>
      </c>
      <c r="E357">
        <v>0.16450000000000001</v>
      </c>
    </row>
    <row r="358" spans="2:5">
      <c r="B358" t="s">
        <v>25</v>
      </c>
      <c r="C358" s="11">
        <v>41626</v>
      </c>
      <c r="D358" t="s">
        <v>12</v>
      </c>
      <c r="E358">
        <v>0.1668</v>
      </c>
    </row>
    <row r="359" spans="2:5">
      <c r="B359" t="s">
        <v>25</v>
      </c>
      <c r="C359" s="11">
        <v>41625</v>
      </c>
      <c r="D359" t="s">
        <v>12</v>
      </c>
      <c r="E359">
        <v>0.1663</v>
      </c>
    </row>
    <row r="360" spans="2:5">
      <c r="B360" t="s">
        <v>25</v>
      </c>
      <c r="C360" s="11">
        <v>41624</v>
      </c>
      <c r="D360" t="s">
        <v>12</v>
      </c>
      <c r="E360">
        <v>0.16500000000000001</v>
      </c>
    </row>
    <row r="361" spans="2:5">
      <c r="B361" t="s">
        <v>25</v>
      </c>
      <c r="C361" s="11">
        <v>41621</v>
      </c>
      <c r="D361" t="s">
        <v>12</v>
      </c>
      <c r="E361">
        <v>0.16400000000000001</v>
      </c>
    </row>
    <row r="362" spans="2:5">
      <c r="B362" t="s">
        <v>25</v>
      </c>
      <c r="C362" s="11">
        <v>41620</v>
      </c>
      <c r="D362" t="s">
        <v>12</v>
      </c>
      <c r="E362">
        <v>0.1666</v>
      </c>
    </row>
    <row r="363" spans="2:5">
      <c r="B363" t="s">
        <v>25</v>
      </c>
      <c r="C363" s="11">
        <v>41619</v>
      </c>
      <c r="D363" t="s">
        <v>12</v>
      </c>
      <c r="E363">
        <v>0.16735</v>
      </c>
    </row>
    <row r="364" spans="2:5">
      <c r="B364" t="s">
        <v>25</v>
      </c>
      <c r="C364" s="11">
        <v>41618</v>
      </c>
      <c r="D364" t="s">
        <v>12</v>
      </c>
      <c r="E364">
        <v>0.16935</v>
      </c>
    </row>
    <row r="365" spans="2:5">
      <c r="B365" t="s">
        <v>25</v>
      </c>
      <c r="C365" s="11">
        <v>41617</v>
      </c>
      <c r="D365" t="s">
        <v>12</v>
      </c>
      <c r="E365">
        <v>0.1706</v>
      </c>
    </row>
    <row r="366" spans="2:5">
      <c r="B366" t="s">
        <v>25</v>
      </c>
      <c r="C366" s="11">
        <v>41614</v>
      </c>
      <c r="D366" t="s">
        <v>12</v>
      </c>
      <c r="E366">
        <v>0.16950000000000001</v>
      </c>
    </row>
    <row r="367" spans="2:5">
      <c r="B367" t="s">
        <v>25</v>
      </c>
      <c r="C367" s="11">
        <v>41613</v>
      </c>
      <c r="D367" t="s">
        <v>12</v>
      </c>
      <c r="E367">
        <v>0.16785</v>
      </c>
    </row>
    <row r="368" spans="2:5">
      <c r="B368" t="s">
        <v>25</v>
      </c>
      <c r="C368" s="11">
        <v>41612</v>
      </c>
      <c r="D368" t="s">
        <v>12</v>
      </c>
      <c r="E368">
        <v>0.16850000000000001</v>
      </c>
    </row>
    <row r="369" spans="2:5">
      <c r="B369" t="s">
        <v>25</v>
      </c>
      <c r="C369" s="11">
        <v>41611</v>
      </c>
      <c r="D369" t="s">
        <v>12</v>
      </c>
      <c r="E369">
        <v>0.16750000000000001</v>
      </c>
    </row>
    <row r="370" spans="2:5">
      <c r="B370" t="s">
        <v>25</v>
      </c>
      <c r="C370" s="11">
        <v>41610</v>
      </c>
      <c r="D370" t="s">
        <v>12</v>
      </c>
      <c r="E370">
        <v>0.16825000000000001</v>
      </c>
    </row>
    <row r="371" spans="2:5">
      <c r="B371" t="s">
        <v>25</v>
      </c>
      <c r="C371" s="11">
        <v>41607</v>
      </c>
      <c r="D371" t="s">
        <v>12</v>
      </c>
      <c r="E371">
        <v>0.16825000000000001</v>
      </c>
    </row>
    <row r="372" spans="2:5">
      <c r="B372" t="s">
        <v>25</v>
      </c>
      <c r="C372" s="11">
        <v>41605</v>
      </c>
      <c r="D372" t="s">
        <v>12</v>
      </c>
      <c r="E372">
        <v>0.16500000000000001</v>
      </c>
    </row>
    <row r="373" spans="2:5">
      <c r="B373" t="s">
        <v>25</v>
      </c>
      <c r="C373" s="11">
        <v>41604</v>
      </c>
      <c r="D373" t="s">
        <v>12</v>
      </c>
      <c r="E373">
        <v>0.16400000000000001</v>
      </c>
    </row>
    <row r="374" spans="2:5">
      <c r="B374" t="s">
        <v>25</v>
      </c>
      <c r="C374" s="11">
        <v>41603</v>
      </c>
      <c r="D374" t="s">
        <v>12</v>
      </c>
      <c r="E374">
        <v>0.16400000000000001</v>
      </c>
    </row>
    <row r="375" spans="2:5">
      <c r="B375" t="s">
        <v>25</v>
      </c>
      <c r="C375" s="11">
        <v>41600</v>
      </c>
      <c r="D375" t="s">
        <v>12</v>
      </c>
      <c r="E375">
        <v>0.16550000000000001</v>
      </c>
    </row>
    <row r="376" spans="2:5">
      <c r="B376" t="s">
        <v>25</v>
      </c>
      <c r="C376" s="11">
        <v>41599</v>
      </c>
      <c r="D376" t="s">
        <v>12</v>
      </c>
      <c r="E376">
        <v>0.16600000000000001</v>
      </c>
    </row>
    <row r="377" spans="2:5">
      <c r="B377" t="s">
        <v>25</v>
      </c>
      <c r="C377" s="11">
        <v>41598</v>
      </c>
      <c r="D377" t="s">
        <v>12</v>
      </c>
      <c r="E377">
        <v>0.16650000000000001</v>
      </c>
    </row>
    <row r="378" spans="2:5">
      <c r="B378" t="s">
        <v>25</v>
      </c>
      <c r="C378" s="11">
        <v>41596</v>
      </c>
      <c r="D378" t="s">
        <v>12</v>
      </c>
      <c r="E378">
        <v>0.16800000000000001</v>
      </c>
    </row>
    <row r="379" spans="2:5">
      <c r="B379" t="s">
        <v>25</v>
      </c>
      <c r="C379" s="11">
        <v>41593</v>
      </c>
      <c r="D379" t="s">
        <v>12</v>
      </c>
      <c r="E379">
        <v>0.16750000000000001</v>
      </c>
    </row>
    <row r="380" spans="2:5">
      <c r="B380" t="s">
        <v>25</v>
      </c>
      <c r="C380" s="11">
        <v>41592</v>
      </c>
      <c r="D380" t="s">
        <v>12</v>
      </c>
      <c r="E380">
        <v>0.16750000000000001</v>
      </c>
    </row>
    <row r="381" spans="2:5">
      <c r="B381" t="s">
        <v>25</v>
      </c>
      <c r="C381" s="11">
        <v>41591</v>
      </c>
      <c r="D381" t="s">
        <v>12</v>
      </c>
      <c r="E381">
        <v>0.16769999999999999</v>
      </c>
    </row>
    <row r="382" spans="2:5">
      <c r="B382" t="s">
        <v>25</v>
      </c>
      <c r="C382" s="11">
        <v>41590</v>
      </c>
      <c r="D382" t="s">
        <v>12</v>
      </c>
      <c r="E382">
        <v>0.16850000000000001</v>
      </c>
    </row>
    <row r="383" spans="2:5">
      <c r="B383" t="s">
        <v>25</v>
      </c>
      <c r="C383" s="11">
        <v>41586</v>
      </c>
      <c r="D383" t="s">
        <v>12</v>
      </c>
      <c r="E383">
        <v>0.16850000000000001</v>
      </c>
    </row>
    <row r="384" spans="2:5">
      <c r="B384" t="s">
        <v>25</v>
      </c>
      <c r="C384" s="11">
        <v>41585</v>
      </c>
      <c r="D384" t="s">
        <v>12</v>
      </c>
      <c r="E384">
        <v>0.16750000000000001</v>
      </c>
    </row>
    <row r="385" spans="2:5">
      <c r="B385" t="s">
        <v>25</v>
      </c>
      <c r="C385" s="11">
        <v>41584</v>
      </c>
      <c r="D385" t="s">
        <v>12</v>
      </c>
      <c r="E385">
        <v>0.16850000000000001</v>
      </c>
    </row>
    <row r="386" spans="2:5">
      <c r="B386" t="s">
        <v>25</v>
      </c>
      <c r="C386" s="11">
        <v>41583</v>
      </c>
      <c r="D386" t="s">
        <v>12</v>
      </c>
      <c r="E386">
        <v>0.16850000000000001</v>
      </c>
    </row>
    <row r="387" spans="2:5">
      <c r="B387" t="s">
        <v>25</v>
      </c>
      <c r="C387" s="11">
        <v>41582</v>
      </c>
      <c r="D387" t="s">
        <v>12</v>
      </c>
      <c r="E387">
        <v>0.16850000000000001</v>
      </c>
    </row>
    <row r="388" spans="2:5">
      <c r="B388" t="s">
        <v>25</v>
      </c>
      <c r="C388" s="11">
        <v>41579</v>
      </c>
      <c r="D388" t="s">
        <v>12</v>
      </c>
      <c r="E388">
        <v>0.16850000000000001</v>
      </c>
    </row>
    <row r="389" spans="2:5">
      <c r="B389" t="s">
        <v>25</v>
      </c>
      <c r="C389" s="11">
        <v>41578</v>
      </c>
      <c r="D389" t="s">
        <v>12</v>
      </c>
      <c r="E389">
        <v>0.16800000000000001</v>
      </c>
    </row>
    <row r="390" spans="2:5">
      <c r="B390" t="s">
        <v>25</v>
      </c>
      <c r="C390" s="11">
        <v>41577</v>
      </c>
      <c r="D390" t="s">
        <v>12</v>
      </c>
      <c r="E390">
        <v>0.16800000000000001</v>
      </c>
    </row>
    <row r="391" spans="2:5">
      <c r="B391" t="s">
        <v>25</v>
      </c>
      <c r="C391" s="11">
        <v>41576</v>
      </c>
      <c r="D391" t="s">
        <v>12</v>
      </c>
      <c r="E391">
        <v>0.16800000000000001</v>
      </c>
    </row>
    <row r="392" spans="2:5">
      <c r="B392" t="s">
        <v>25</v>
      </c>
      <c r="C392" s="11">
        <v>41575</v>
      </c>
      <c r="D392" t="s">
        <v>12</v>
      </c>
      <c r="E392">
        <v>0.1681</v>
      </c>
    </row>
    <row r="393" spans="2:5">
      <c r="B393" t="s">
        <v>25</v>
      </c>
      <c r="C393" s="11">
        <v>41572</v>
      </c>
      <c r="D393" t="s">
        <v>12</v>
      </c>
      <c r="E393">
        <v>0.1686</v>
      </c>
    </row>
    <row r="394" spans="2:5">
      <c r="B394" t="s">
        <v>25</v>
      </c>
      <c r="C394" s="11">
        <v>41571</v>
      </c>
      <c r="D394" t="s">
        <v>12</v>
      </c>
      <c r="E394">
        <v>0.17100000000000001</v>
      </c>
    </row>
    <row r="395" spans="2:5">
      <c r="B395" t="s">
        <v>25</v>
      </c>
      <c r="C395" s="11">
        <v>41570</v>
      </c>
      <c r="D395" t="s">
        <v>12</v>
      </c>
      <c r="E395">
        <v>0.17019999999999999</v>
      </c>
    </row>
    <row r="396" spans="2:5">
      <c r="B396" t="s">
        <v>25</v>
      </c>
      <c r="C396" s="11">
        <v>41569</v>
      </c>
      <c r="D396" t="s">
        <v>12</v>
      </c>
      <c r="E396">
        <v>0.17</v>
      </c>
    </row>
    <row r="397" spans="2:5">
      <c r="B397" t="s">
        <v>25</v>
      </c>
      <c r="C397" s="11">
        <v>41568</v>
      </c>
      <c r="D397" t="s">
        <v>12</v>
      </c>
      <c r="E397">
        <v>0.17</v>
      </c>
    </row>
    <row r="398" spans="2:5">
      <c r="B398" t="s">
        <v>25</v>
      </c>
      <c r="C398" s="11">
        <v>41565</v>
      </c>
      <c r="D398" t="s">
        <v>12</v>
      </c>
      <c r="E398">
        <v>0.17199999999999999</v>
      </c>
    </row>
    <row r="399" spans="2:5">
      <c r="B399" t="s">
        <v>25</v>
      </c>
      <c r="C399" s="11">
        <v>41564</v>
      </c>
      <c r="D399" t="s">
        <v>12</v>
      </c>
      <c r="E399">
        <v>0.17249999999999999</v>
      </c>
    </row>
    <row r="400" spans="2:5">
      <c r="B400" t="s">
        <v>25</v>
      </c>
      <c r="C400" s="11">
        <v>41563</v>
      </c>
      <c r="D400" t="s">
        <v>12</v>
      </c>
      <c r="E400">
        <v>0.17549999999999999</v>
      </c>
    </row>
    <row r="401" spans="2:5">
      <c r="B401" t="s">
        <v>25</v>
      </c>
      <c r="C401" s="11">
        <v>41562</v>
      </c>
      <c r="D401" t="s">
        <v>12</v>
      </c>
      <c r="E401">
        <v>0.17374999999999999</v>
      </c>
    </row>
    <row r="402" spans="2:5">
      <c r="B402" t="s">
        <v>25</v>
      </c>
      <c r="C402" s="11">
        <v>41558</v>
      </c>
      <c r="D402" t="s">
        <v>12</v>
      </c>
      <c r="E402">
        <v>0.17399999999999999</v>
      </c>
    </row>
    <row r="403" spans="2:5">
      <c r="B403" t="s">
        <v>25</v>
      </c>
      <c r="C403" s="11">
        <v>41557</v>
      </c>
      <c r="D403" t="s">
        <v>12</v>
      </c>
      <c r="E403">
        <v>0.17399999999999999</v>
      </c>
    </row>
    <row r="404" spans="2:5">
      <c r="B404" t="s">
        <v>25</v>
      </c>
      <c r="C404" s="11">
        <v>41556</v>
      </c>
      <c r="D404" t="s">
        <v>12</v>
      </c>
      <c r="E404">
        <v>0.17724999999999999</v>
      </c>
    </row>
    <row r="405" spans="2:5">
      <c r="B405" t="s">
        <v>25</v>
      </c>
      <c r="C405" s="11">
        <v>41555</v>
      </c>
      <c r="D405" t="s">
        <v>12</v>
      </c>
      <c r="E405">
        <v>0.17399999999999999</v>
      </c>
    </row>
    <row r="406" spans="2:5">
      <c r="B406" t="s">
        <v>25</v>
      </c>
      <c r="C406" s="11">
        <v>41554</v>
      </c>
      <c r="D406" t="s">
        <v>12</v>
      </c>
      <c r="E406">
        <v>0.17380000000000001</v>
      </c>
    </row>
    <row r="407" spans="2:5">
      <c r="B407" t="s">
        <v>25</v>
      </c>
      <c r="C407" s="11">
        <v>41551</v>
      </c>
      <c r="D407" t="s">
        <v>12</v>
      </c>
      <c r="E407">
        <v>0.17330000000000001</v>
      </c>
    </row>
    <row r="408" spans="2:5">
      <c r="B408" t="s">
        <v>25</v>
      </c>
      <c r="C408" s="11">
        <v>41550</v>
      </c>
      <c r="D408" t="s">
        <v>12</v>
      </c>
      <c r="E408">
        <v>0.17430000000000001</v>
      </c>
    </row>
    <row r="409" spans="2:5">
      <c r="B409" t="s">
        <v>25</v>
      </c>
      <c r="C409" s="11">
        <v>41549</v>
      </c>
      <c r="D409" t="s">
        <v>12</v>
      </c>
      <c r="E409">
        <v>0.17574999999999999</v>
      </c>
    </row>
    <row r="410" spans="2:5">
      <c r="B410" t="s">
        <v>25</v>
      </c>
      <c r="C410" s="11">
        <v>41548</v>
      </c>
      <c r="D410" t="s">
        <v>12</v>
      </c>
      <c r="E410">
        <v>0.17799999999999999</v>
      </c>
    </row>
    <row r="411" spans="2:5">
      <c r="B411" t="s">
        <v>25</v>
      </c>
      <c r="C411" s="11">
        <v>41547</v>
      </c>
      <c r="D411" t="s">
        <v>12</v>
      </c>
      <c r="E411">
        <v>0.17885000000000001</v>
      </c>
    </row>
    <row r="412" spans="2:5">
      <c r="B412" t="s">
        <v>25</v>
      </c>
      <c r="C412" s="11">
        <v>41544</v>
      </c>
      <c r="D412" t="s">
        <v>12</v>
      </c>
      <c r="E412">
        <v>0.17965</v>
      </c>
    </row>
    <row r="413" spans="2:5">
      <c r="B413" t="s">
        <v>25</v>
      </c>
      <c r="C413" s="11">
        <v>41543</v>
      </c>
      <c r="D413" t="s">
        <v>12</v>
      </c>
      <c r="E413">
        <v>0.17904999999999999</v>
      </c>
    </row>
    <row r="414" spans="2:5">
      <c r="B414" t="s">
        <v>25</v>
      </c>
      <c r="C414" s="11">
        <v>41542</v>
      </c>
      <c r="D414" t="s">
        <v>12</v>
      </c>
      <c r="E414">
        <v>0.17904999999999999</v>
      </c>
    </row>
    <row r="415" spans="2:5">
      <c r="B415" t="s">
        <v>25</v>
      </c>
      <c r="C415" s="11">
        <v>41541</v>
      </c>
      <c r="D415" t="s">
        <v>12</v>
      </c>
      <c r="E415">
        <v>0.17979999999999999</v>
      </c>
    </row>
    <row r="416" spans="2:5">
      <c r="B416" t="s">
        <v>25</v>
      </c>
      <c r="C416" s="11">
        <v>41540</v>
      </c>
      <c r="D416" t="s">
        <v>12</v>
      </c>
      <c r="E416">
        <v>0.17885000000000001</v>
      </c>
    </row>
    <row r="417" spans="2:5">
      <c r="B417" t="s">
        <v>25</v>
      </c>
      <c r="C417" s="11">
        <v>41537</v>
      </c>
      <c r="D417" t="s">
        <v>12</v>
      </c>
      <c r="E417">
        <v>0.17949999999999999</v>
      </c>
    </row>
    <row r="418" spans="2:5">
      <c r="B418" t="s">
        <v>25</v>
      </c>
      <c r="C418" s="11">
        <v>41536</v>
      </c>
      <c r="D418" t="s">
        <v>12</v>
      </c>
      <c r="E418">
        <v>0.17924999999999999</v>
      </c>
    </row>
    <row r="419" spans="2:5">
      <c r="B419" t="s">
        <v>25</v>
      </c>
      <c r="C419" s="11">
        <v>41535</v>
      </c>
      <c r="D419" t="s">
        <v>12</v>
      </c>
      <c r="E419">
        <v>0.18</v>
      </c>
    </row>
    <row r="420" spans="2:5">
      <c r="B420" t="s">
        <v>25</v>
      </c>
      <c r="C420" s="11">
        <v>41534</v>
      </c>
      <c r="D420" t="s">
        <v>12</v>
      </c>
      <c r="E420">
        <v>0.18049999999999999</v>
      </c>
    </row>
    <row r="421" spans="2:5">
      <c r="B421" t="s">
        <v>25</v>
      </c>
      <c r="C421" s="11">
        <v>41533</v>
      </c>
      <c r="D421" t="s">
        <v>12</v>
      </c>
      <c r="E421">
        <v>0.17924999999999999</v>
      </c>
    </row>
    <row r="422" spans="2:5">
      <c r="B422" t="s">
        <v>25</v>
      </c>
      <c r="C422" s="11">
        <v>41530</v>
      </c>
      <c r="D422" t="s">
        <v>12</v>
      </c>
      <c r="E422">
        <v>0.1802</v>
      </c>
    </row>
    <row r="423" spans="2:5">
      <c r="B423" t="s">
        <v>25</v>
      </c>
      <c r="C423" s="11">
        <v>41529</v>
      </c>
      <c r="D423" t="s">
        <v>12</v>
      </c>
      <c r="E423">
        <v>0.18229999999999999</v>
      </c>
    </row>
    <row r="424" spans="2:5">
      <c r="B424" t="s">
        <v>25</v>
      </c>
      <c r="C424" s="11">
        <v>41528</v>
      </c>
      <c r="D424" t="s">
        <v>12</v>
      </c>
      <c r="E424">
        <v>0.18240000000000001</v>
      </c>
    </row>
    <row r="425" spans="2:5">
      <c r="B425" t="s">
        <v>25</v>
      </c>
      <c r="C425" s="11">
        <v>41527</v>
      </c>
      <c r="D425" t="s">
        <v>12</v>
      </c>
      <c r="E425">
        <v>0.18140000000000001</v>
      </c>
    </row>
    <row r="426" spans="2:5">
      <c r="B426" t="s">
        <v>25</v>
      </c>
      <c r="C426" s="11">
        <v>41526</v>
      </c>
      <c r="D426" t="s">
        <v>12</v>
      </c>
      <c r="E426">
        <v>0.18190000000000001</v>
      </c>
    </row>
    <row r="427" spans="2:5">
      <c r="B427" t="s">
        <v>25</v>
      </c>
      <c r="C427" s="11">
        <v>41523</v>
      </c>
      <c r="D427" t="s">
        <v>12</v>
      </c>
      <c r="E427">
        <v>0.18190000000000001</v>
      </c>
    </row>
    <row r="428" spans="2:5">
      <c r="B428" t="s">
        <v>25</v>
      </c>
      <c r="C428" s="11">
        <v>41522</v>
      </c>
      <c r="D428" t="s">
        <v>12</v>
      </c>
      <c r="E428">
        <v>0.18190000000000001</v>
      </c>
    </row>
    <row r="429" spans="2:5">
      <c r="B429" t="s">
        <v>25</v>
      </c>
      <c r="C429" s="11">
        <v>41521</v>
      </c>
      <c r="D429" t="s">
        <v>12</v>
      </c>
      <c r="E429">
        <v>0.1817</v>
      </c>
    </row>
    <row r="430" spans="2:5">
      <c r="B430" t="s">
        <v>25</v>
      </c>
      <c r="C430" s="11">
        <v>41520</v>
      </c>
      <c r="D430" t="s">
        <v>12</v>
      </c>
      <c r="E430">
        <v>0.18206</v>
      </c>
    </row>
    <row r="431" spans="2:5">
      <c r="B431" t="s">
        <v>25</v>
      </c>
      <c r="C431" s="11">
        <v>41516</v>
      </c>
      <c r="D431" t="s">
        <v>12</v>
      </c>
      <c r="E431">
        <v>0.18206</v>
      </c>
    </row>
    <row r="432" spans="2:5">
      <c r="B432" t="s">
        <v>25</v>
      </c>
      <c r="C432" s="11">
        <v>41515</v>
      </c>
      <c r="D432" t="s">
        <v>12</v>
      </c>
      <c r="E432">
        <v>0.18256</v>
      </c>
    </row>
    <row r="433" spans="2:5">
      <c r="B433" t="s">
        <v>25</v>
      </c>
      <c r="C433" s="11">
        <v>41514</v>
      </c>
      <c r="D433" t="s">
        <v>12</v>
      </c>
      <c r="E433">
        <v>0.18206</v>
      </c>
    </row>
    <row r="434" spans="2:5">
      <c r="B434" t="s">
        <v>25</v>
      </c>
      <c r="C434" s="11">
        <v>41513</v>
      </c>
      <c r="D434" t="s">
        <v>12</v>
      </c>
      <c r="E434">
        <v>0.18256</v>
      </c>
    </row>
    <row r="435" spans="2:5">
      <c r="B435" t="s">
        <v>25</v>
      </c>
      <c r="C435" s="11">
        <v>41512</v>
      </c>
      <c r="D435" t="s">
        <v>12</v>
      </c>
      <c r="E435">
        <v>0.18406</v>
      </c>
    </row>
    <row r="436" spans="2:5">
      <c r="B436" t="s">
        <v>25</v>
      </c>
      <c r="C436" s="11">
        <v>41509</v>
      </c>
      <c r="D436" t="s">
        <v>12</v>
      </c>
      <c r="E436">
        <v>0.18406</v>
      </c>
    </row>
    <row r="437" spans="2:5">
      <c r="B437" t="s">
        <v>25</v>
      </c>
      <c r="C437" s="11">
        <v>41508</v>
      </c>
      <c r="D437" t="s">
        <v>12</v>
      </c>
      <c r="E437">
        <v>0.18406</v>
      </c>
    </row>
    <row r="438" spans="2:5">
      <c r="B438" t="s">
        <v>25</v>
      </c>
      <c r="C438" s="11">
        <v>41507</v>
      </c>
      <c r="D438" t="s">
        <v>12</v>
      </c>
      <c r="E438">
        <v>0.18336</v>
      </c>
    </row>
    <row r="439" spans="2:5">
      <c r="B439" t="s">
        <v>25</v>
      </c>
      <c r="C439" s="11">
        <v>41506</v>
      </c>
      <c r="D439" t="s">
        <v>12</v>
      </c>
      <c r="E439">
        <v>0.18285999999999999</v>
      </c>
    </row>
    <row r="440" spans="2:5">
      <c r="B440" t="s">
        <v>25</v>
      </c>
      <c r="C440" s="11">
        <v>41505</v>
      </c>
      <c r="D440" t="s">
        <v>12</v>
      </c>
      <c r="E440">
        <v>0.18356</v>
      </c>
    </row>
    <row r="441" spans="2:5">
      <c r="B441" t="s">
        <v>25</v>
      </c>
      <c r="C441" s="11">
        <v>41502</v>
      </c>
      <c r="D441" t="s">
        <v>12</v>
      </c>
      <c r="E441">
        <v>0.18406</v>
      </c>
    </row>
    <row r="442" spans="2:5">
      <c r="B442" t="s">
        <v>25</v>
      </c>
      <c r="C442" s="11">
        <v>41501</v>
      </c>
      <c r="D442" t="s">
        <v>12</v>
      </c>
      <c r="E442">
        <v>0.18406</v>
      </c>
    </row>
    <row r="443" spans="2:5">
      <c r="B443" t="s">
        <v>25</v>
      </c>
      <c r="C443" s="11">
        <v>41500</v>
      </c>
      <c r="D443" t="s">
        <v>12</v>
      </c>
      <c r="E443">
        <v>0.18406</v>
      </c>
    </row>
    <row r="444" spans="2:5">
      <c r="B444" t="s">
        <v>25</v>
      </c>
      <c r="C444" s="11">
        <v>41499</v>
      </c>
      <c r="D444" t="s">
        <v>12</v>
      </c>
      <c r="E444">
        <v>0.18406</v>
      </c>
    </row>
    <row r="445" spans="2:5">
      <c r="B445" t="s">
        <v>25</v>
      </c>
      <c r="C445" s="11">
        <v>41498</v>
      </c>
      <c r="D445" t="s">
        <v>12</v>
      </c>
      <c r="E445">
        <v>0.18456</v>
      </c>
    </row>
    <row r="446" spans="2:5">
      <c r="B446" t="s">
        <v>25</v>
      </c>
      <c r="C446" s="11">
        <v>41495</v>
      </c>
      <c r="D446" t="s">
        <v>12</v>
      </c>
      <c r="E446">
        <v>0.18456</v>
      </c>
    </row>
    <row r="447" spans="2:5">
      <c r="B447" t="s">
        <v>25</v>
      </c>
      <c r="C447" s="11">
        <v>41494</v>
      </c>
      <c r="D447" t="s">
        <v>12</v>
      </c>
      <c r="E447">
        <v>0.18503</v>
      </c>
    </row>
    <row r="448" spans="2:5">
      <c r="B448" t="s">
        <v>25</v>
      </c>
      <c r="C448" s="11">
        <v>41493</v>
      </c>
      <c r="D448" t="s">
        <v>12</v>
      </c>
      <c r="E448">
        <v>0.18503</v>
      </c>
    </row>
    <row r="449" spans="2:5">
      <c r="B449" t="s">
        <v>25</v>
      </c>
      <c r="C449" s="11">
        <v>41492</v>
      </c>
      <c r="D449" t="s">
        <v>12</v>
      </c>
      <c r="E449">
        <v>0.18503</v>
      </c>
    </row>
    <row r="450" spans="2:5">
      <c r="B450" t="s">
        <v>25</v>
      </c>
      <c r="C450" s="11">
        <v>41491</v>
      </c>
      <c r="D450" t="s">
        <v>12</v>
      </c>
      <c r="E450">
        <v>0.18603</v>
      </c>
    </row>
    <row r="451" spans="2:5">
      <c r="B451" t="s">
        <v>25</v>
      </c>
      <c r="C451" s="11">
        <v>41488</v>
      </c>
      <c r="D451" t="s">
        <v>12</v>
      </c>
      <c r="E451">
        <v>0.18593000000000001</v>
      </c>
    </row>
    <row r="452" spans="2:5">
      <c r="B452" t="s">
        <v>25</v>
      </c>
      <c r="C452" s="11">
        <v>41487</v>
      </c>
      <c r="D452" t="s">
        <v>12</v>
      </c>
      <c r="E452">
        <v>0.18593000000000001</v>
      </c>
    </row>
    <row r="453" spans="2:5">
      <c r="B453" t="s">
        <v>25</v>
      </c>
      <c r="C453" s="11">
        <v>41486</v>
      </c>
      <c r="D453" t="s">
        <v>12</v>
      </c>
      <c r="E453">
        <v>0.18673000000000001</v>
      </c>
    </row>
    <row r="454" spans="2:5">
      <c r="B454" t="s">
        <v>25</v>
      </c>
      <c r="C454" s="11">
        <v>41485</v>
      </c>
      <c r="D454" t="s">
        <v>12</v>
      </c>
      <c r="E454">
        <v>0.18723000000000001</v>
      </c>
    </row>
    <row r="455" spans="2:5">
      <c r="B455" t="s">
        <v>25</v>
      </c>
      <c r="C455" s="11">
        <v>41484</v>
      </c>
      <c r="D455" t="s">
        <v>12</v>
      </c>
      <c r="E455">
        <v>0.18643000000000001</v>
      </c>
    </row>
    <row r="456" spans="2:5">
      <c r="B456" t="s">
        <v>25</v>
      </c>
      <c r="C456" s="11">
        <v>41481</v>
      </c>
      <c r="D456" t="s">
        <v>12</v>
      </c>
      <c r="E456">
        <v>0.18643000000000001</v>
      </c>
    </row>
    <row r="457" spans="2:5">
      <c r="B457" t="s">
        <v>25</v>
      </c>
      <c r="C457" s="11">
        <v>41480</v>
      </c>
      <c r="D457" t="s">
        <v>12</v>
      </c>
      <c r="E457">
        <v>0.18643000000000001</v>
      </c>
    </row>
    <row r="458" spans="2:5">
      <c r="B458" t="s">
        <v>25</v>
      </c>
      <c r="C458" s="11">
        <v>41479</v>
      </c>
      <c r="D458" t="s">
        <v>12</v>
      </c>
      <c r="E458">
        <v>0.18933</v>
      </c>
    </row>
    <row r="459" spans="2:5">
      <c r="B459" t="s">
        <v>25</v>
      </c>
      <c r="C459" s="11">
        <v>41478</v>
      </c>
      <c r="D459" t="s">
        <v>12</v>
      </c>
      <c r="E459">
        <v>0.19003</v>
      </c>
    </row>
    <row r="460" spans="2:5">
      <c r="B460" t="s">
        <v>25</v>
      </c>
      <c r="C460" s="11">
        <v>41477</v>
      </c>
      <c r="D460" t="s">
        <v>12</v>
      </c>
      <c r="E460">
        <v>0.19053</v>
      </c>
    </row>
    <row r="461" spans="2:5">
      <c r="B461" t="s">
        <v>25</v>
      </c>
      <c r="C461" s="11">
        <v>41474</v>
      </c>
      <c r="D461" t="s">
        <v>12</v>
      </c>
      <c r="E461">
        <v>0.19103000000000001</v>
      </c>
    </row>
    <row r="462" spans="2:5">
      <c r="B462" t="s">
        <v>25</v>
      </c>
      <c r="C462" s="11">
        <v>41473</v>
      </c>
      <c r="D462" t="s">
        <v>12</v>
      </c>
      <c r="E462">
        <v>0.19153000000000001</v>
      </c>
    </row>
    <row r="463" spans="2:5">
      <c r="B463" t="s">
        <v>25</v>
      </c>
      <c r="C463" s="11">
        <v>41472</v>
      </c>
      <c r="D463" t="s">
        <v>12</v>
      </c>
      <c r="E463">
        <v>0.19153000000000001</v>
      </c>
    </row>
    <row r="464" spans="2:5">
      <c r="B464" t="s">
        <v>25</v>
      </c>
      <c r="C464" s="11">
        <v>41471</v>
      </c>
      <c r="D464" t="s">
        <v>12</v>
      </c>
      <c r="E464">
        <v>0.19053</v>
      </c>
    </row>
    <row r="465" spans="2:5">
      <c r="B465" t="s">
        <v>25</v>
      </c>
      <c r="C465" s="11">
        <v>41470</v>
      </c>
      <c r="D465" t="s">
        <v>12</v>
      </c>
      <c r="E465">
        <v>0.19192999999999999</v>
      </c>
    </row>
    <row r="466" spans="2:5">
      <c r="B466" t="s">
        <v>25</v>
      </c>
      <c r="C466" s="11">
        <v>41467</v>
      </c>
      <c r="D466" t="s">
        <v>12</v>
      </c>
      <c r="E466">
        <v>0.19192999999999999</v>
      </c>
    </row>
    <row r="467" spans="2:5">
      <c r="B467" t="s">
        <v>25</v>
      </c>
      <c r="C467" s="11">
        <v>41466</v>
      </c>
      <c r="D467" t="s">
        <v>12</v>
      </c>
      <c r="E467">
        <v>0.19103000000000001</v>
      </c>
    </row>
    <row r="468" spans="2:5">
      <c r="B468" t="s">
        <v>25</v>
      </c>
      <c r="C468" s="11">
        <v>41465</v>
      </c>
      <c r="D468" t="s">
        <v>12</v>
      </c>
      <c r="E468">
        <v>0.19213</v>
      </c>
    </row>
    <row r="469" spans="2:5">
      <c r="B469" t="s">
        <v>25</v>
      </c>
      <c r="C469" s="11">
        <v>41464</v>
      </c>
      <c r="D469" t="s">
        <v>12</v>
      </c>
      <c r="E469">
        <v>0.19275999999999999</v>
      </c>
    </row>
    <row r="470" spans="2:5">
      <c r="B470" t="s">
        <v>25</v>
      </c>
      <c r="C470" s="11">
        <v>41463</v>
      </c>
      <c r="D470" t="s">
        <v>12</v>
      </c>
      <c r="E470">
        <v>0.19278000000000001</v>
      </c>
    </row>
    <row r="471" spans="2:5">
      <c r="B471" t="s">
        <v>25</v>
      </c>
      <c r="C471" s="11">
        <v>41460</v>
      </c>
      <c r="D471" t="s">
        <v>12</v>
      </c>
      <c r="E471">
        <v>0.19478000000000001</v>
      </c>
    </row>
    <row r="472" spans="2:5">
      <c r="B472" t="s">
        <v>25</v>
      </c>
      <c r="C472" s="11">
        <v>41458</v>
      </c>
      <c r="D472" t="s">
        <v>12</v>
      </c>
      <c r="E472">
        <v>0.19478000000000001</v>
      </c>
    </row>
    <row r="473" spans="2:5">
      <c r="B473" t="s">
        <v>25</v>
      </c>
      <c r="C473" s="11">
        <v>41457</v>
      </c>
      <c r="D473" t="s">
        <v>12</v>
      </c>
      <c r="E473">
        <v>0.19528000000000001</v>
      </c>
    </row>
    <row r="474" spans="2:5">
      <c r="B474" t="s">
        <v>25</v>
      </c>
      <c r="C474" s="11">
        <v>41456</v>
      </c>
      <c r="D474" t="s">
        <v>12</v>
      </c>
      <c r="E474">
        <v>0.1958</v>
      </c>
    </row>
    <row r="475" spans="2:5">
      <c r="B475" t="s">
        <v>25</v>
      </c>
      <c r="C475" s="11">
        <v>41453</v>
      </c>
      <c r="D475" t="s">
        <v>12</v>
      </c>
      <c r="E475">
        <v>0.19464999999999999</v>
      </c>
    </row>
    <row r="476" spans="2:5">
      <c r="B476" t="s">
        <v>25</v>
      </c>
      <c r="C476" s="11">
        <v>41452</v>
      </c>
      <c r="D476" t="s">
        <v>12</v>
      </c>
      <c r="E476">
        <v>0.19505</v>
      </c>
    </row>
    <row r="477" spans="2:5">
      <c r="B477" t="s">
        <v>25</v>
      </c>
      <c r="C477" s="11">
        <v>41451</v>
      </c>
      <c r="D477" t="s">
        <v>12</v>
      </c>
      <c r="E477">
        <v>0.19535</v>
      </c>
    </row>
    <row r="478" spans="2:5">
      <c r="B478" t="s">
        <v>25</v>
      </c>
      <c r="C478" s="11">
        <v>41450</v>
      </c>
      <c r="D478" t="s">
        <v>12</v>
      </c>
      <c r="E478">
        <v>0.19434999999999999</v>
      </c>
    </row>
    <row r="479" spans="2:5">
      <c r="B479" t="s">
        <v>25</v>
      </c>
      <c r="C479" s="11">
        <v>41449</v>
      </c>
      <c r="D479" t="s">
        <v>12</v>
      </c>
      <c r="E479">
        <v>0.19535</v>
      </c>
    </row>
    <row r="480" spans="2:5">
      <c r="B480" t="s">
        <v>25</v>
      </c>
      <c r="C480" s="11">
        <v>41446</v>
      </c>
      <c r="D480" t="s">
        <v>12</v>
      </c>
      <c r="E480">
        <v>0.193</v>
      </c>
    </row>
    <row r="481" spans="2:5">
      <c r="B481" t="s">
        <v>25</v>
      </c>
      <c r="C481" s="11">
        <v>41445</v>
      </c>
      <c r="D481" t="s">
        <v>12</v>
      </c>
      <c r="E481">
        <v>0.193</v>
      </c>
    </row>
    <row r="482" spans="2:5">
      <c r="B482" t="s">
        <v>25</v>
      </c>
      <c r="C482" s="11">
        <v>41444</v>
      </c>
      <c r="D482" t="s">
        <v>12</v>
      </c>
      <c r="E482">
        <v>0.19159999999999999</v>
      </c>
    </row>
    <row r="483" spans="2:5">
      <c r="B483" t="s">
        <v>25</v>
      </c>
      <c r="C483" s="11">
        <v>41443</v>
      </c>
      <c r="D483" t="s">
        <v>12</v>
      </c>
      <c r="E483">
        <v>0.19159999999999999</v>
      </c>
    </row>
    <row r="484" spans="2:5">
      <c r="B484" t="s">
        <v>25</v>
      </c>
      <c r="C484" s="11">
        <v>41442</v>
      </c>
      <c r="D484" t="s">
        <v>12</v>
      </c>
      <c r="E484">
        <v>0.19159999999999999</v>
      </c>
    </row>
    <row r="485" spans="2:5">
      <c r="B485" t="s">
        <v>25</v>
      </c>
      <c r="C485" s="11">
        <v>41439</v>
      </c>
      <c r="D485" t="s">
        <v>12</v>
      </c>
      <c r="E485">
        <v>0.1925</v>
      </c>
    </row>
    <row r="486" spans="2:5">
      <c r="B486" t="s">
        <v>25</v>
      </c>
      <c r="C486" s="11">
        <v>41438</v>
      </c>
      <c r="D486" t="s">
        <v>12</v>
      </c>
      <c r="E486">
        <v>0.1925</v>
      </c>
    </row>
    <row r="487" spans="2:5">
      <c r="B487" t="s">
        <v>25</v>
      </c>
      <c r="C487" s="11">
        <v>41437</v>
      </c>
      <c r="D487" t="s">
        <v>12</v>
      </c>
      <c r="E487">
        <v>0.1925</v>
      </c>
    </row>
    <row r="488" spans="2:5">
      <c r="B488" t="s">
        <v>25</v>
      </c>
      <c r="C488" s="11">
        <v>41436</v>
      </c>
      <c r="D488" t="s">
        <v>12</v>
      </c>
      <c r="E488">
        <v>0.1925</v>
      </c>
    </row>
    <row r="489" spans="2:5">
      <c r="B489" t="s">
        <v>25</v>
      </c>
      <c r="C489" s="11">
        <v>41435</v>
      </c>
      <c r="D489" t="s">
        <v>12</v>
      </c>
      <c r="E489">
        <v>0.1925</v>
      </c>
    </row>
    <row r="490" spans="2:5">
      <c r="B490" t="s">
        <v>25</v>
      </c>
      <c r="C490" s="11">
        <v>41432</v>
      </c>
      <c r="D490" t="s">
        <v>12</v>
      </c>
      <c r="E490">
        <v>0.19238</v>
      </c>
    </row>
    <row r="491" spans="2:5">
      <c r="B491" t="s">
        <v>25</v>
      </c>
      <c r="C491" s="11">
        <v>41431</v>
      </c>
      <c r="D491" t="s">
        <v>12</v>
      </c>
      <c r="E491">
        <v>0.19288</v>
      </c>
    </row>
    <row r="492" spans="2:5">
      <c r="B492" t="s">
        <v>25</v>
      </c>
      <c r="C492" s="11">
        <v>41430</v>
      </c>
      <c r="D492" t="s">
        <v>12</v>
      </c>
      <c r="E492">
        <v>0.19328000000000001</v>
      </c>
    </row>
    <row r="493" spans="2:5">
      <c r="B493" t="s">
        <v>25</v>
      </c>
      <c r="C493" s="11">
        <v>41429</v>
      </c>
      <c r="D493" t="s">
        <v>12</v>
      </c>
      <c r="E493">
        <v>0.19328000000000001</v>
      </c>
    </row>
    <row r="494" spans="2:5">
      <c r="B494" t="s">
        <v>25</v>
      </c>
      <c r="C494" s="11">
        <v>41428</v>
      </c>
      <c r="D494" t="s">
        <v>12</v>
      </c>
      <c r="E494">
        <v>0.19398000000000001</v>
      </c>
    </row>
    <row r="495" spans="2:5">
      <c r="B495" t="s">
        <v>25</v>
      </c>
      <c r="C495" s="11">
        <v>41425</v>
      </c>
      <c r="D495" t="s">
        <v>12</v>
      </c>
      <c r="E495">
        <v>0.19428000000000001</v>
      </c>
    </row>
    <row r="496" spans="2:5">
      <c r="B496" t="s">
        <v>25</v>
      </c>
      <c r="C496" s="11">
        <v>41424</v>
      </c>
      <c r="D496" t="s">
        <v>12</v>
      </c>
      <c r="E496">
        <v>0.19378000000000001</v>
      </c>
    </row>
    <row r="497" spans="2:5">
      <c r="B497" t="s">
        <v>25</v>
      </c>
      <c r="C497" s="11">
        <v>41423</v>
      </c>
      <c r="D497" t="s">
        <v>12</v>
      </c>
      <c r="E497">
        <v>0.19378000000000001</v>
      </c>
    </row>
    <row r="498" spans="2:5">
      <c r="B498" t="s">
        <v>25</v>
      </c>
      <c r="C498" s="11">
        <v>41422</v>
      </c>
      <c r="D498" t="s">
        <v>12</v>
      </c>
      <c r="E498">
        <v>0.19278000000000001</v>
      </c>
    </row>
    <row r="499" spans="2:5">
      <c r="B499" t="s">
        <v>25</v>
      </c>
      <c r="C499" s="11">
        <v>41418</v>
      </c>
      <c r="D499" t="s">
        <v>12</v>
      </c>
      <c r="E499">
        <v>0.19328000000000001</v>
      </c>
    </row>
    <row r="500" spans="2:5">
      <c r="B500" t="s">
        <v>25</v>
      </c>
      <c r="C500" s="11">
        <v>41417</v>
      </c>
      <c r="D500" t="s">
        <v>12</v>
      </c>
      <c r="E500">
        <v>0.19328000000000001</v>
      </c>
    </row>
    <row r="501" spans="2:5">
      <c r="B501" t="s">
        <v>25</v>
      </c>
      <c r="C501" s="11">
        <v>41416</v>
      </c>
      <c r="D501" t="s">
        <v>12</v>
      </c>
      <c r="E501">
        <v>0.19528000000000001</v>
      </c>
    </row>
    <row r="502" spans="2:5">
      <c r="B502" t="s">
        <v>25</v>
      </c>
      <c r="C502" s="11">
        <v>41415</v>
      </c>
      <c r="D502" t="s">
        <v>12</v>
      </c>
      <c r="E502">
        <v>0.19628000000000001</v>
      </c>
    </row>
    <row r="503" spans="2:5">
      <c r="B503" t="s">
        <v>25</v>
      </c>
      <c r="C503" s="11">
        <v>41414</v>
      </c>
      <c r="D503" t="s">
        <v>12</v>
      </c>
      <c r="E503">
        <v>0.19617999999999999</v>
      </c>
    </row>
    <row r="504" spans="2:5">
      <c r="B504" t="s">
        <v>25</v>
      </c>
      <c r="C504" s="11">
        <v>41411</v>
      </c>
      <c r="D504" t="s">
        <v>12</v>
      </c>
      <c r="E504">
        <v>0.19678000000000001</v>
      </c>
    </row>
    <row r="505" spans="2:5">
      <c r="B505" t="s">
        <v>25</v>
      </c>
      <c r="C505" s="11">
        <v>41410</v>
      </c>
      <c r="D505" t="s">
        <v>12</v>
      </c>
      <c r="E505">
        <v>0.19819999999999999</v>
      </c>
    </row>
    <row r="506" spans="2:5">
      <c r="B506" t="s">
        <v>25</v>
      </c>
      <c r="C506" s="11">
        <v>41409</v>
      </c>
      <c r="D506" t="s">
        <v>12</v>
      </c>
      <c r="E506">
        <v>0.19819999999999999</v>
      </c>
    </row>
    <row r="507" spans="2:5">
      <c r="B507" t="s">
        <v>25</v>
      </c>
      <c r="C507" s="11">
        <v>41408</v>
      </c>
      <c r="D507" t="s">
        <v>12</v>
      </c>
      <c r="E507">
        <v>0.19819999999999999</v>
      </c>
    </row>
    <row r="508" spans="2:5">
      <c r="B508" t="s">
        <v>25</v>
      </c>
      <c r="C508" s="11">
        <v>41407</v>
      </c>
      <c r="D508" t="s">
        <v>12</v>
      </c>
      <c r="E508">
        <v>0.19919999999999999</v>
      </c>
    </row>
    <row r="509" spans="2:5">
      <c r="B509" t="s">
        <v>25</v>
      </c>
      <c r="C509" s="11">
        <v>41404</v>
      </c>
      <c r="D509" t="s">
        <v>12</v>
      </c>
      <c r="E509">
        <v>0.19919999999999999</v>
      </c>
    </row>
    <row r="510" spans="2:5">
      <c r="B510" t="s">
        <v>25</v>
      </c>
      <c r="C510" s="11">
        <v>41403</v>
      </c>
      <c r="D510" t="s">
        <v>12</v>
      </c>
      <c r="E510">
        <v>0.19919999999999999</v>
      </c>
    </row>
    <row r="511" spans="2:5">
      <c r="B511" t="s">
        <v>25</v>
      </c>
      <c r="C511" s="11">
        <v>41402</v>
      </c>
      <c r="D511" t="s">
        <v>12</v>
      </c>
      <c r="E511">
        <v>0.19919999999999999</v>
      </c>
    </row>
    <row r="512" spans="2:5">
      <c r="B512" t="s">
        <v>25</v>
      </c>
      <c r="C512" s="11">
        <v>41401</v>
      </c>
      <c r="D512" t="s">
        <v>12</v>
      </c>
      <c r="E512">
        <v>0.19919999999999999</v>
      </c>
    </row>
    <row r="513" spans="2:5">
      <c r="B513" t="s">
        <v>25</v>
      </c>
      <c r="C513" s="11">
        <v>41400</v>
      </c>
      <c r="D513" t="s">
        <v>12</v>
      </c>
      <c r="E513">
        <v>0.19819999999999999</v>
      </c>
    </row>
    <row r="514" spans="2:5">
      <c r="B514" t="s">
        <v>25</v>
      </c>
      <c r="C514" s="11">
        <v>41397</v>
      </c>
      <c r="D514" t="s">
        <v>12</v>
      </c>
      <c r="E514">
        <v>0.19819999999999999</v>
      </c>
    </row>
    <row r="515" spans="2:5">
      <c r="B515" t="s">
        <v>25</v>
      </c>
      <c r="C515" s="11">
        <v>41396</v>
      </c>
      <c r="D515" t="s">
        <v>12</v>
      </c>
      <c r="E515">
        <v>0.19819999999999999</v>
      </c>
    </row>
    <row r="516" spans="2:5">
      <c r="B516" t="s">
        <v>25</v>
      </c>
      <c r="C516" s="11">
        <v>41395</v>
      </c>
      <c r="D516" t="s">
        <v>12</v>
      </c>
      <c r="E516">
        <v>0.19819999999999999</v>
      </c>
    </row>
    <row r="517" spans="2:5">
      <c r="B517" t="s">
        <v>25</v>
      </c>
      <c r="C517" s="11">
        <v>41394</v>
      </c>
      <c r="D517" t="s">
        <v>12</v>
      </c>
      <c r="E517">
        <v>0.19819999999999999</v>
      </c>
    </row>
    <row r="518" spans="2:5">
      <c r="B518" t="s">
        <v>25</v>
      </c>
      <c r="C518" s="11">
        <v>41393</v>
      </c>
      <c r="D518" t="s">
        <v>12</v>
      </c>
      <c r="E518">
        <v>0.19819999999999999</v>
      </c>
    </row>
    <row r="519" spans="2:5">
      <c r="B519" t="s">
        <v>25</v>
      </c>
      <c r="C519" s="11">
        <v>41390</v>
      </c>
      <c r="D519" t="s">
        <v>12</v>
      </c>
      <c r="E519">
        <v>0.19819999999999999</v>
      </c>
    </row>
    <row r="520" spans="2:5">
      <c r="B520" t="s">
        <v>25</v>
      </c>
      <c r="C520" s="11">
        <v>41389</v>
      </c>
      <c r="D520" t="s">
        <v>12</v>
      </c>
      <c r="E520">
        <v>0.19819999999999999</v>
      </c>
    </row>
    <row r="521" spans="2:5">
      <c r="B521" t="s">
        <v>25</v>
      </c>
      <c r="C521" s="11">
        <v>41388</v>
      </c>
      <c r="D521" t="s">
        <v>12</v>
      </c>
      <c r="E521">
        <v>0.19819999999999999</v>
      </c>
    </row>
    <row r="522" spans="2:5">
      <c r="B522" t="s">
        <v>25</v>
      </c>
      <c r="C522" s="11">
        <v>41387</v>
      </c>
      <c r="D522" t="s">
        <v>12</v>
      </c>
      <c r="E522">
        <v>0.20019999999999999</v>
      </c>
    </row>
    <row r="523" spans="2:5">
      <c r="B523" t="s">
        <v>25</v>
      </c>
      <c r="C523" s="11">
        <v>41386</v>
      </c>
      <c r="D523" t="s">
        <v>12</v>
      </c>
      <c r="E523">
        <v>0.19919999999999999</v>
      </c>
    </row>
    <row r="524" spans="2:5">
      <c r="B524" t="s">
        <v>25</v>
      </c>
      <c r="C524" s="11">
        <v>41383</v>
      </c>
      <c r="D524" t="s">
        <v>12</v>
      </c>
      <c r="E524">
        <v>0.19919999999999999</v>
      </c>
    </row>
    <row r="525" spans="2:5">
      <c r="B525" t="s">
        <v>25</v>
      </c>
      <c r="C525" s="11">
        <v>41382</v>
      </c>
      <c r="D525" t="s">
        <v>12</v>
      </c>
      <c r="E525">
        <v>0.19919999999999999</v>
      </c>
    </row>
    <row r="526" spans="2:5">
      <c r="B526" t="s">
        <v>25</v>
      </c>
      <c r="C526" s="11">
        <v>41381</v>
      </c>
      <c r="D526" t="s">
        <v>12</v>
      </c>
      <c r="E526">
        <v>0.19919999999999999</v>
      </c>
    </row>
    <row r="527" spans="2:5">
      <c r="B527" t="s">
        <v>25</v>
      </c>
      <c r="C527" s="11">
        <v>41380</v>
      </c>
      <c r="D527" t="s">
        <v>12</v>
      </c>
      <c r="E527">
        <v>0.20019999999999999</v>
      </c>
    </row>
    <row r="528" spans="2:5">
      <c r="B528" t="s">
        <v>25</v>
      </c>
      <c r="C528" s="11">
        <v>41379</v>
      </c>
      <c r="D528" t="s">
        <v>12</v>
      </c>
      <c r="E528">
        <v>0.19969999999999999</v>
      </c>
    </row>
    <row r="529" spans="2:5">
      <c r="B529" t="s">
        <v>25</v>
      </c>
      <c r="C529" s="11">
        <v>41376</v>
      </c>
      <c r="D529" t="s">
        <v>12</v>
      </c>
      <c r="E529">
        <v>0.19969999999999999</v>
      </c>
    </row>
    <row r="530" spans="2:5">
      <c r="B530" t="s">
        <v>25</v>
      </c>
      <c r="C530" s="11">
        <v>41375</v>
      </c>
      <c r="D530" t="s">
        <v>12</v>
      </c>
      <c r="E530">
        <v>0.19869999999999999</v>
      </c>
    </row>
    <row r="531" spans="2:5">
      <c r="B531" t="s">
        <v>25</v>
      </c>
      <c r="C531" s="11">
        <v>41374</v>
      </c>
      <c r="D531" t="s">
        <v>12</v>
      </c>
      <c r="E531">
        <v>0.1993</v>
      </c>
    </row>
    <row r="532" spans="2:5">
      <c r="B532" t="s">
        <v>25</v>
      </c>
      <c r="C532" s="11">
        <v>41373</v>
      </c>
      <c r="D532" t="s">
        <v>12</v>
      </c>
      <c r="E532">
        <v>0.1993</v>
      </c>
    </row>
    <row r="533" spans="2:5">
      <c r="B533" t="s">
        <v>25</v>
      </c>
      <c r="C533" s="11">
        <v>41372</v>
      </c>
      <c r="D533" t="s">
        <v>12</v>
      </c>
      <c r="E533">
        <v>0.20030000000000001</v>
      </c>
    </row>
    <row r="534" spans="2:5">
      <c r="B534" t="s">
        <v>25</v>
      </c>
      <c r="C534" s="11">
        <v>41369</v>
      </c>
      <c r="D534" t="s">
        <v>12</v>
      </c>
      <c r="E534">
        <v>0.20030000000000001</v>
      </c>
    </row>
    <row r="535" spans="2:5">
      <c r="B535" t="s">
        <v>25</v>
      </c>
      <c r="C535" s="11">
        <v>41368</v>
      </c>
      <c r="D535" t="s">
        <v>12</v>
      </c>
      <c r="E535">
        <v>0.20030000000000001</v>
      </c>
    </row>
    <row r="536" spans="2:5">
      <c r="B536" t="s">
        <v>25</v>
      </c>
      <c r="C536" s="11">
        <v>41367</v>
      </c>
      <c r="D536" t="s">
        <v>12</v>
      </c>
      <c r="E536">
        <v>0.20169999999999999</v>
      </c>
    </row>
    <row r="537" spans="2:5">
      <c r="B537" t="s">
        <v>25</v>
      </c>
      <c r="C537" s="11">
        <v>41366</v>
      </c>
      <c r="D537" t="s">
        <v>12</v>
      </c>
      <c r="E537">
        <v>0.20269999999999999</v>
      </c>
    </row>
    <row r="538" spans="2:5">
      <c r="B538" t="s">
        <v>25</v>
      </c>
      <c r="C538" s="11">
        <v>41365</v>
      </c>
      <c r="D538" t="s">
        <v>12</v>
      </c>
      <c r="E538">
        <v>0.20369999999999999</v>
      </c>
    </row>
    <row r="539" spans="2:5">
      <c r="B539" t="s">
        <v>25</v>
      </c>
      <c r="C539" s="11">
        <v>41361</v>
      </c>
      <c r="D539" t="s">
        <v>12</v>
      </c>
      <c r="E539">
        <v>0.20369999999999999</v>
      </c>
    </row>
    <row r="540" spans="2:5">
      <c r="B540" t="s">
        <v>25</v>
      </c>
      <c r="C540" s="11">
        <v>41360</v>
      </c>
      <c r="D540" t="s">
        <v>12</v>
      </c>
      <c r="E540">
        <v>0.20369999999999999</v>
      </c>
    </row>
    <row r="541" spans="2:5">
      <c r="B541" t="s">
        <v>25</v>
      </c>
      <c r="C541" s="11">
        <v>41359</v>
      </c>
      <c r="D541" t="s">
        <v>12</v>
      </c>
      <c r="E541">
        <v>0.20369999999999999</v>
      </c>
    </row>
    <row r="542" spans="2:5">
      <c r="B542" t="s">
        <v>25</v>
      </c>
      <c r="C542" s="11">
        <v>41358</v>
      </c>
      <c r="D542" t="s">
        <v>12</v>
      </c>
      <c r="E542">
        <v>0.20419999999999999</v>
      </c>
    </row>
    <row r="543" spans="2:5">
      <c r="B543" t="s">
        <v>25</v>
      </c>
      <c r="C543" s="11">
        <v>41355</v>
      </c>
      <c r="D543" t="s">
        <v>12</v>
      </c>
      <c r="E543">
        <v>0.20419999999999999</v>
      </c>
    </row>
    <row r="544" spans="2:5">
      <c r="B544" t="s">
        <v>25</v>
      </c>
      <c r="C544" s="11">
        <v>41354</v>
      </c>
      <c r="D544" t="s">
        <v>12</v>
      </c>
      <c r="E544">
        <v>0.20419999999999999</v>
      </c>
    </row>
    <row r="545" spans="2:5">
      <c r="B545" t="s">
        <v>25</v>
      </c>
      <c r="C545" s="11">
        <v>41353</v>
      </c>
      <c r="D545" t="s">
        <v>12</v>
      </c>
      <c r="E545">
        <v>0.20469999999999999</v>
      </c>
    </row>
    <row r="546" spans="2:5">
      <c r="B546" t="s">
        <v>25</v>
      </c>
      <c r="C546" s="11">
        <v>41352</v>
      </c>
      <c r="D546" t="s">
        <v>12</v>
      </c>
      <c r="E546">
        <v>0.20369999999999999</v>
      </c>
    </row>
    <row r="547" spans="2:5">
      <c r="B547" t="s">
        <v>25</v>
      </c>
      <c r="C547" s="11">
        <v>41351</v>
      </c>
      <c r="D547" t="s">
        <v>12</v>
      </c>
      <c r="E547">
        <v>0.20319999999999999</v>
      </c>
    </row>
    <row r="548" spans="2:5">
      <c r="B548" t="s">
        <v>25</v>
      </c>
      <c r="C548" s="11">
        <v>41348</v>
      </c>
      <c r="D548" t="s">
        <v>12</v>
      </c>
      <c r="E548">
        <v>0.20319999999999999</v>
      </c>
    </row>
    <row r="549" spans="2:5">
      <c r="B549" t="s">
        <v>25</v>
      </c>
      <c r="C549" s="11">
        <v>41347</v>
      </c>
      <c r="D549" t="s">
        <v>12</v>
      </c>
      <c r="E549">
        <v>0.20319999999999999</v>
      </c>
    </row>
    <row r="550" spans="2:5">
      <c r="B550" t="s">
        <v>25</v>
      </c>
      <c r="C550" s="11">
        <v>41346</v>
      </c>
      <c r="D550" t="s">
        <v>12</v>
      </c>
      <c r="E550">
        <v>0.20319999999999999</v>
      </c>
    </row>
    <row r="551" spans="2:5">
      <c r="B551" t="s">
        <v>25</v>
      </c>
      <c r="C551" s="11">
        <v>41345</v>
      </c>
      <c r="D551" t="s">
        <v>12</v>
      </c>
      <c r="E551">
        <v>0.20319999999999999</v>
      </c>
    </row>
    <row r="552" spans="2:5">
      <c r="B552" t="s">
        <v>25</v>
      </c>
      <c r="C552" s="11">
        <v>41344</v>
      </c>
      <c r="D552" t="s">
        <v>12</v>
      </c>
      <c r="E552">
        <v>0.20219999999999999</v>
      </c>
    </row>
    <row r="553" spans="2:5">
      <c r="B553" t="s">
        <v>25</v>
      </c>
      <c r="C553" s="11">
        <v>41341</v>
      </c>
      <c r="D553" t="s">
        <v>12</v>
      </c>
      <c r="E553">
        <v>0.20219999999999999</v>
      </c>
    </row>
    <row r="554" spans="2:5">
      <c r="B554" t="s">
        <v>25</v>
      </c>
      <c r="C554" s="11">
        <v>41340</v>
      </c>
      <c r="D554" t="s">
        <v>12</v>
      </c>
      <c r="E554">
        <v>0.20219999999999999</v>
      </c>
    </row>
    <row r="555" spans="2:5">
      <c r="B555" t="s">
        <v>25</v>
      </c>
      <c r="C555" s="11">
        <v>41339</v>
      </c>
      <c r="D555" t="s">
        <v>12</v>
      </c>
      <c r="E555">
        <v>0.20219999999999999</v>
      </c>
    </row>
    <row r="556" spans="2:5">
      <c r="B556" t="s">
        <v>25</v>
      </c>
      <c r="C556" s="11">
        <v>41338</v>
      </c>
      <c r="D556" t="s">
        <v>12</v>
      </c>
      <c r="E556">
        <v>0.20319999999999999</v>
      </c>
    </row>
    <row r="557" spans="2:5">
      <c r="B557" t="s">
        <v>25</v>
      </c>
      <c r="C557" s="11">
        <v>41337</v>
      </c>
      <c r="D557" t="s">
        <v>12</v>
      </c>
      <c r="E557">
        <v>0.20519999999999999</v>
      </c>
    </row>
    <row r="558" spans="2:5">
      <c r="B558" t="s">
        <v>25</v>
      </c>
      <c r="C558" s="11">
        <v>41334</v>
      </c>
      <c r="D558" t="s">
        <v>12</v>
      </c>
      <c r="E558">
        <v>0.20369999999999999</v>
      </c>
    </row>
    <row r="559" spans="2:5">
      <c r="B559" t="s">
        <v>25</v>
      </c>
      <c r="C559" s="11">
        <v>41333</v>
      </c>
      <c r="D559" t="s">
        <v>12</v>
      </c>
      <c r="E559">
        <v>0.20369999999999999</v>
      </c>
    </row>
    <row r="560" spans="2:5">
      <c r="B560" t="s">
        <v>25</v>
      </c>
      <c r="C560" s="11">
        <v>41332</v>
      </c>
      <c r="D560" t="s">
        <v>12</v>
      </c>
      <c r="E560">
        <v>0.20369999999999999</v>
      </c>
    </row>
    <row r="561" spans="2:5">
      <c r="B561" t="s">
        <v>25</v>
      </c>
      <c r="C561" s="11">
        <v>41331</v>
      </c>
      <c r="D561" t="s">
        <v>12</v>
      </c>
      <c r="E561">
        <v>0.20369999999999999</v>
      </c>
    </row>
    <row r="562" spans="2:5">
      <c r="B562" t="s">
        <v>25</v>
      </c>
      <c r="C562" s="11">
        <v>41330</v>
      </c>
      <c r="D562" t="s">
        <v>12</v>
      </c>
      <c r="E562">
        <v>0.20269999999999999</v>
      </c>
    </row>
    <row r="563" spans="2:5">
      <c r="B563" t="s">
        <v>25</v>
      </c>
      <c r="C563" s="11">
        <v>41327</v>
      </c>
      <c r="D563" t="s">
        <v>12</v>
      </c>
      <c r="E563">
        <v>0.20269999999999999</v>
      </c>
    </row>
    <row r="564" spans="2:5">
      <c r="B564" t="s">
        <v>25</v>
      </c>
      <c r="C564" s="11">
        <v>41326</v>
      </c>
      <c r="D564" t="s">
        <v>12</v>
      </c>
      <c r="E564">
        <v>0.20169999999999999</v>
      </c>
    </row>
    <row r="565" spans="2:5">
      <c r="B565" t="s">
        <v>25</v>
      </c>
      <c r="C565" s="11">
        <v>41325</v>
      </c>
      <c r="D565" t="s">
        <v>12</v>
      </c>
      <c r="E565">
        <v>0.20169999999999999</v>
      </c>
    </row>
    <row r="566" spans="2:5">
      <c r="B566" t="s">
        <v>25</v>
      </c>
      <c r="C566" s="11">
        <v>41324</v>
      </c>
      <c r="D566" t="s">
        <v>12</v>
      </c>
      <c r="E566">
        <v>0.20169999999999999</v>
      </c>
    </row>
    <row r="567" spans="2:5">
      <c r="B567" t="s">
        <v>25</v>
      </c>
      <c r="C567" s="11">
        <v>41320</v>
      </c>
      <c r="D567" t="s">
        <v>12</v>
      </c>
      <c r="E567">
        <v>0.20219999999999999</v>
      </c>
    </row>
    <row r="568" spans="2:5">
      <c r="B568" t="s">
        <v>25</v>
      </c>
      <c r="C568" s="11">
        <v>41319</v>
      </c>
      <c r="D568" t="s">
        <v>12</v>
      </c>
      <c r="E568">
        <v>0.20169999999999999</v>
      </c>
    </row>
    <row r="569" spans="2:5">
      <c r="B569" t="s">
        <v>25</v>
      </c>
      <c r="C569" s="11">
        <v>41318</v>
      </c>
      <c r="D569" t="s">
        <v>12</v>
      </c>
      <c r="E569">
        <v>0.20119999999999999</v>
      </c>
    </row>
    <row r="570" spans="2:5">
      <c r="B570" t="s">
        <v>25</v>
      </c>
      <c r="C570" s="11">
        <v>41317</v>
      </c>
      <c r="D570" t="s">
        <v>12</v>
      </c>
      <c r="E570">
        <v>0.20119999999999999</v>
      </c>
    </row>
    <row r="571" spans="2:5">
      <c r="B571" t="s">
        <v>25</v>
      </c>
      <c r="C571" s="11">
        <v>41316</v>
      </c>
      <c r="D571" t="s">
        <v>12</v>
      </c>
      <c r="E571">
        <v>0.20219999999999999</v>
      </c>
    </row>
    <row r="572" spans="2:5">
      <c r="B572" t="s">
        <v>25</v>
      </c>
      <c r="C572" s="11">
        <v>41313</v>
      </c>
      <c r="D572" t="s">
        <v>12</v>
      </c>
      <c r="E572">
        <v>0.20019999999999999</v>
      </c>
    </row>
    <row r="573" spans="2:5">
      <c r="B573" t="s">
        <v>25</v>
      </c>
      <c r="C573" s="11">
        <v>41312</v>
      </c>
      <c r="D573" t="s">
        <v>12</v>
      </c>
      <c r="E573">
        <v>0.19919999999999999</v>
      </c>
    </row>
    <row r="574" spans="2:5">
      <c r="B574" t="s">
        <v>25</v>
      </c>
      <c r="C574" s="11">
        <v>41311</v>
      </c>
      <c r="D574" t="s">
        <v>12</v>
      </c>
      <c r="E574">
        <v>0.19919999999999999</v>
      </c>
    </row>
    <row r="575" spans="2:5">
      <c r="B575" t="s">
        <v>25</v>
      </c>
      <c r="C575" s="11">
        <v>41310</v>
      </c>
      <c r="D575" t="s">
        <v>12</v>
      </c>
      <c r="E575">
        <v>0.19919999999999999</v>
      </c>
    </row>
    <row r="576" spans="2:5">
      <c r="B576" t="s">
        <v>25</v>
      </c>
      <c r="C576" s="11">
        <v>41309</v>
      </c>
      <c r="D576" t="s">
        <v>12</v>
      </c>
      <c r="E576">
        <v>0.19819999999999999</v>
      </c>
    </row>
    <row r="577" spans="2:5">
      <c r="B577" t="s">
        <v>25</v>
      </c>
      <c r="C577" s="11">
        <v>41306</v>
      </c>
      <c r="D577" t="s">
        <v>12</v>
      </c>
      <c r="E577">
        <v>0.19919999999999999</v>
      </c>
    </row>
    <row r="578" spans="2:5">
      <c r="B578" t="s">
        <v>25</v>
      </c>
      <c r="C578" s="11">
        <v>41305</v>
      </c>
      <c r="D578" t="s">
        <v>12</v>
      </c>
      <c r="E578">
        <v>0.19969999999999999</v>
      </c>
    </row>
    <row r="579" spans="2:5">
      <c r="B579" t="s">
        <v>25</v>
      </c>
      <c r="C579" s="11">
        <v>41304</v>
      </c>
      <c r="D579" t="s">
        <v>12</v>
      </c>
      <c r="E579">
        <v>0.20169999999999999</v>
      </c>
    </row>
    <row r="580" spans="2:5">
      <c r="B580" t="s">
        <v>25</v>
      </c>
      <c r="C580" s="11">
        <v>41303</v>
      </c>
      <c r="D580" t="s">
        <v>12</v>
      </c>
      <c r="E580">
        <v>0.20169999999999999</v>
      </c>
    </row>
    <row r="581" spans="2:5">
      <c r="B581" t="s">
        <v>25</v>
      </c>
      <c r="C581" s="11">
        <v>41302</v>
      </c>
      <c r="D581" t="s">
        <v>12</v>
      </c>
      <c r="E581">
        <v>0.20269999999999999</v>
      </c>
    </row>
    <row r="582" spans="2:5">
      <c r="B582" t="s">
        <v>25</v>
      </c>
      <c r="C582" s="11">
        <v>41299</v>
      </c>
      <c r="D582" t="s">
        <v>12</v>
      </c>
      <c r="E582">
        <v>0.20369999999999999</v>
      </c>
    </row>
    <row r="583" spans="2:5">
      <c r="B583" t="s">
        <v>25</v>
      </c>
      <c r="C583" s="11">
        <v>41298</v>
      </c>
      <c r="D583" t="s">
        <v>12</v>
      </c>
      <c r="E583">
        <v>0.20369999999999999</v>
      </c>
    </row>
    <row r="584" spans="2:5">
      <c r="B584" t="s">
        <v>25</v>
      </c>
      <c r="C584" s="11">
        <v>41297</v>
      </c>
      <c r="D584" t="s">
        <v>12</v>
      </c>
      <c r="E584">
        <v>0.20369999999999999</v>
      </c>
    </row>
    <row r="585" spans="2:5">
      <c r="B585" t="s">
        <v>25</v>
      </c>
      <c r="C585" s="11">
        <v>41296</v>
      </c>
      <c r="D585" t="s">
        <v>12</v>
      </c>
      <c r="E585">
        <v>0.20469999999999999</v>
      </c>
    </row>
    <row r="586" spans="2:5">
      <c r="B586" t="s">
        <v>25</v>
      </c>
      <c r="C586" s="11">
        <v>41292</v>
      </c>
      <c r="D586" t="s">
        <v>12</v>
      </c>
      <c r="E586">
        <v>0.20469999999999999</v>
      </c>
    </row>
    <row r="587" spans="2:5">
      <c r="B587" t="s">
        <v>25</v>
      </c>
      <c r="C587" s="11">
        <v>41291</v>
      </c>
      <c r="D587" t="s">
        <v>12</v>
      </c>
      <c r="E587">
        <v>0.20469999999999999</v>
      </c>
    </row>
    <row r="588" spans="2:5">
      <c r="B588" t="s">
        <v>25</v>
      </c>
      <c r="C588" s="11">
        <v>41290</v>
      </c>
      <c r="D588" t="s">
        <v>12</v>
      </c>
      <c r="E588">
        <v>0.20569999999999999</v>
      </c>
    </row>
    <row r="589" spans="2:5">
      <c r="B589" t="s">
        <v>25</v>
      </c>
      <c r="C589" s="11">
        <v>41289</v>
      </c>
      <c r="D589" t="s">
        <v>12</v>
      </c>
      <c r="E589">
        <v>0.20569999999999999</v>
      </c>
    </row>
    <row r="590" spans="2:5">
      <c r="B590" t="s">
        <v>25</v>
      </c>
      <c r="C590" s="11">
        <v>41288</v>
      </c>
      <c r="D590" t="s">
        <v>12</v>
      </c>
      <c r="E590">
        <v>0.20569999999999999</v>
      </c>
    </row>
    <row r="591" spans="2:5">
      <c r="B591" t="s">
        <v>25</v>
      </c>
      <c r="C591" s="11">
        <v>41285</v>
      </c>
      <c r="D591" t="s">
        <v>12</v>
      </c>
      <c r="E591">
        <v>0.20569999999999999</v>
      </c>
    </row>
    <row r="592" spans="2:5">
      <c r="B592" t="s">
        <v>25</v>
      </c>
      <c r="C592" s="11">
        <v>41284</v>
      </c>
      <c r="D592" t="s">
        <v>12</v>
      </c>
      <c r="E592">
        <v>0.20569999999999999</v>
      </c>
    </row>
    <row r="593" spans="2:5">
      <c r="B593" t="s">
        <v>25</v>
      </c>
      <c r="C593" s="11">
        <v>41283</v>
      </c>
      <c r="D593" t="s">
        <v>12</v>
      </c>
      <c r="E593">
        <v>0.20669999999999999</v>
      </c>
    </row>
    <row r="594" spans="2:5">
      <c r="B594" t="s">
        <v>25</v>
      </c>
      <c r="C594" s="11">
        <v>41282</v>
      </c>
      <c r="D594" t="s">
        <v>12</v>
      </c>
      <c r="E594">
        <v>0.2077</v>
      </c>
    </row>
    <row r="595" spans="2:5">
      <c r="B595" t="s">
        <v>25</v>
      </c>
      <c r="C595" s="11">
        <v>41281</v>
      </c>
      <c r="D595" t="s">
        <v>12</v>
      </c>
      <c r="E595">
        <v>0.2077</v>
      </c>
    </row>
    <row r="596" spans="2:5">
      <c r="B596" t="s">
        <v>25</v>
      </c>
      <c r="C596" s="11">
        <v>41278</v>
      </c>
      <c r="D596" t="s">
        <v>12</v>
      </c>
      <c r="E596">
        <v>0.2077</v>
      </c>
    </row>
    <row r="597" spans="2:5">
      <c r="B597" t="s">
        <v>25</v>
      </c>
      <c r="C597" s="11">
        <v>41277</v>
      </c>
      <c r="D597" t="s">
        <v>12</v>
      </c>
      <c r="E597">
        <v>0.2077</v>
      </c>
    </row>
    <row r="598" spans="2:5">
      <c r="B598" t="s">
        <v>25</v>
      </c>
      <c r="C598" s="11">
        <v>41276</v>
      </c>
      <c r="D598" t="s">
        <v>12</v>
      </c>
      <c r="E598">
        <v>0.2077</v>
      </c>
    </row>
    <row r="599" spans="2:5">
      <c r="B599" t="s">
        <v>25</v>
      </c>
      <c r="C599" s="11">
        <v>41274</v>
      </c>
      <c r="D599" t="s">
        <v>12</v>
      </c>
      <c r="E599">
        <v>0.2087</v>
      </c>
    </row>
    <row r="600" spans="2:5">
      <c r="B600" t="s">
        <v>25</v>
      </c>
      <c r="C600" s="11">
        <v>41271</v>
      </c>
      <c r="D600" t="s">
        <v>12</v>
      </c>
      <c r="E600">
        <v>0.2097</v>
      </c>
    </row>
    <row r="601" spans="2:5">
      <c r="B601" t="s">
        <v>25</v>
      </c>
      <c r="C601" s="11">
        <v>41270</v>
      </c>
      <c r="D601" t="s">
        <v>12</v>
      </c>
      <c r="E601">
        <v>0.2117</v>
      </c>
    </row>
    <row r="602" spans="2:5">
      <c r="B602" t="s">
        <v>25</v>
      </c>
      <c r="C602" s="11">
        <v>41269</v>
      </c>
      <c r="D602" t="s">
        <v>12</v>
      </c>
      <c r="E602">
        <v>0.2097</v>
      </c>
    </row>
    <row r="603" spans="2:5">
      <c r="B603" t="s">
        <v>25</v>
      </c>
      <c r="C603" s="11">
        <v>41267</v>
      </c>
      <c r="D603" t="s">
        <v>12</v>
      </c>
      <c r="E603">
        <v>0.2097</v>
      </c>
    </row>
    <row r="604" spans="2:5">
      <c r="B604" t="s">
        <v>25</v>
      </c>
      <c r="C604" s="11">
        <v>41264</v>
      </c>
      <c r="D604" t="s">
        <v>12</v>
      </c>
      <c r="E604">
        <v>0.2097</v>
      </c>
    </row>
    <row r="605" spans="2:5">
      <c r="B605" t="s">
        <v>25</v>
      </c>
      <c r="C605" s="11">
        <v>41263</v>
      </c>
      <c r="D605" t="s">
        <v>12</v>
      </c>
      <c r="E605">
        <v>0.2107</v>
      </c>
    </row>
    <row r="606" spans="2:5">
      <c r="B606" t="s">
        <v>25</v>
      </c>
      <c r="C606" s="11">
        <v>41262</v>
      </c>
      <c r="D606" t="s">
        <v>12</v>
      </c>
      <c r="E606">
        <v>0.2107</v>
      </c>
    </row>
    <row r="607" spans="2:5">
      <c r="B607" t="s">
        <v>25</v>
      </c>
      <c r="C607" s="11">
        <v>41261</v>
      </c>
      <c r="D607" t="s">
        <v>12</v>
      </c>
      <c r="E607">
        <v>0.2107</v>
      </c>
    </row>
    <row r="608" spans="2:5">
      <c r="B608" t="s">
        <v>25</v>
      </c>
      <c r="C608" s="11">
        <v>41260</v>
      </c>
      <c r="D608" t="s">
        <v>12</v>
      </c>
      <c r="E608">
        <v>0.21</v>
      </c>
    </row>
    <row r="609" spans="2:5">
      <c r="B609" t="s">
        <v>25</v>
      </c>
      <c r="C609" s="11">
        <v>41257</v>
      </c>
      <c r="D609" t="s">
        <v>12</v>
      </c>
      <c r="E609">
        <v>0.20899999999999999</v>
      </c>
    </row>
    <row r="610" spans="2:5">
      <c r="B610" t="s">
        <v>25</v>
      </c>
      <c r="C610" s="11">
        <v>41256</v>
      </c>
      <c r="D610" t="s">
        <v>12</v>
      </c>
      <c r="E610">
        <v>0.20899999999999999</v>
      </c>
    </row>
    <row r="611" spans="2:5">
      <c r="B611" t="s">
        <v>25</v>
      </c>
      <c r="C611" s="11">
        <v>41255</v>
      </c>
      <c r="D611" t="s">
        <v>12</v>
      </c>
      <c r="E611">
        <v>0.20899999999999999</v>
      </c>
    </row>
    <row r="612" spans="2:5">
      <c r="B612" t="s">
        <v>25</v>
      </c>
      <c r="C612" s="11">
        <v>41254</v>
      </c>
      <c r="D612" t="s">
        <v>12</v>
      </c>
      <c r="E612">
        <v>0.21099999999999999</v>
      </c>
    </row>
    <row r="613" spans="2:5">
      <c r="B613" t="s">
        <v>25</v>
      </c>
      <c r="C613" s="11">
        <v>41253</v>
      </c>
      <c r="D613" t="s">
        <v>12</v>
      </c>
      <c r="E613">
        <v>0.21199999999999999</v>
      </c>
    </row>
    <row r="614" spans="2:5">
      <c r="B614" t="s">
        <v>25</v>
      </c>
      <c r="C614" s="11">
        <v>41250</v>
      </c>
      <c r="D614" t="s">
        <v>12</v>
      </c>
      <c r="E614">
        <v>0.21199999999999999</v>
      </c>
    </row>
    <row r="615" spans="2:5">
      <c r="B615" t="s">
        <v>25</v>
      </c>
      <c r="C615" s="11">
        <v>41249</v>
      </c>
      <c r="D615" t="s">
        <v>12</v>
      </c>
      <c r="E615">
        <v>0.21299999999999999</v>
      </c>
    </row>
    <row r="616" spans="2:5">
      <c r="B616" t="s">
        <v>25</v>
      </c>
      <c r="C616" s="11">
        <v>41248</v>
      </c>
      <c r="D616" t="s">
        <v>12</v>
      </c>
      <c r="E616">
        <v>0.21299999999999999</v>
      </c>
    </row>
    <row r="617" spans="2:5">
      <c r="B617" t="s">
        <v>25</v>
      </c>
      <c r="C617" s="11">
        <v>41247</v>
      </c>
      <c r="D617" t="s">
        <v>12</v>
      </c>
      <c r="E617">
        <v>0.21299999999999999</v>
      </c>
    </row>
    <row r="618" spans="2:5">
      <c r="B618" t="s">
        <v>25</v>
      </c>
      <c r="C618" s="11">
        <v>41246</v>
      </c>
      <c r="D618" t="s">
        <v>12</v>
      </c>
      <c r="E618">
        <v>0.215</v>
      </c>
    </row>
    <row r="619" spans="2:5">
      <c r="B619" t="s">
        <v>25</v>
      </c>
      <c r="C619" s="11">
        <v>41243</v>
      </c>
      <c r="D619" t="s">
        <v>12</v>
      </c>
      <c r="E619">
        <v>0.2145</v>
      </c>
    </row>
    <row r="620" spans="2:5">
      <c r="B620" t="s">
        <v>25</v>
      </c>
      <c r="C620" s="11">
        <v>41242</v>
      </c>
      <c r="D620" t="s">
        <v>12</v>
      </c>
      <c r="E620">
        <v>0.2135</v>
      </c>
    </row>
    <row r="621" spans="2:5">
      <c r="B621" t="s">
        <v>25</v>
      </c>
      <c r="C621" s="11">
        <v>41241</v>
      </c>
      <c r="D621" t="s">
        <v>12</v>
      </c>
      <c r="E621">
        <v>0.20899999999999999</v>
      </c>
    </row>
    <row r="622" spans="2:5">
      <c r="B622" t="s">
        <v>25</v>
      </c>
      <c r="C622" s="11">
        <v>41240</v>
      </c>
      <c r="D622" t="s">
        <v>12</v>
      </c>
      <c r="E622">
        <v>0.20899999999999999</v>
      </c>
    </row>
    <row r="623" spans="2:5">
      <c r="B623" t="s">
        <v>25</v>
      </c>
      <c r="C623" s="11">
        <v>41239</v>
      </c>
      <c r="D623" t="s">
        <v>12</v>
      </c>
      <c r="E623">
        <v>0.20899999999999999</v>
      </c>
    </row>
    <row r="624" spans="2:5">
      <c r="B624" t="s">
        <v>25</v>
      </c>
      <c r="C624" s="11">
        <v>41236</v>
      </c>
      <c r="D624" t="s">
        <v>12</v>
      </c>
      <c r="E624">
        <v>0.20849999999999999</v>
      </c>
    </row>
    <row r="625" spans="2:5">
      <c r="B625" t="s">
        <v>25</v>
      </c>
      <c r="C625" s="11">
        <v>41234</v>
      </c>
      <c r="D625" t="s">
        <v>12</v>
      </c>
      <c r="E625">
        <v>0.20749999999999999</v>
      </c>
    </row>
    <row r="626" spans="2:5">
      <c r="B626" t="s">
        <v>25</v>
      </c>
      <c r="C626" s="11">
        <v>41233</v>
      </c>
      <c r="D626" t="s">
        <v>12</v>
      </c>
      <c r="E626">
        <v>0.20749999999999999</v>
      </c>
    </row>
    <row r="627" spans="2:5">
      <c r="B627" t="s">
        <v>25</v>
      </c>
      <c r="C627" s="11">
        <v>41232</v>
      </c>
      <c r="D627" t="s">
        <v>12</v>
      </c>
      <c r="E627">
        <v>0.20749999999999999</v>
      </c>
    </row>
    <row r="628" spans="2:5">
      <c r="B628" t="s">
        <v>25</v>
      </c>
      <c r="C628" s="11">
        <v>41229</v>
      </c>
      <c r="D628" t="s">
        <v>12</v>
      </c>
      <c r="E628">
        <v>0.20749999999999999</v>
      </c>
    </row>
    <row r="629" spans="2:5">
      <c r="B629" t="s">
        <v>25</v>
      </c>
      <c r="C629" s="11">
        <v>41228</v>
      </c>
      <c r="D629" t="s">
        <v>12</v>
      </c>
      <c r="E629">
        <v>0.20749999999999999</v>
      </c>
    </row>
    <row r="630" spans="2:5">
      <c r="B630" t="s">
        <v>25</v>
      </c>
      <c r="C630" s="11">
        <v>41227</v>
      </c>
      <c r="D630" t="s">
        <v>12</v>
      </c>
      <c r="E630">
        <v>0.20749999999999999</v>
      </c>
    </row>
    <row r="631" spans="2:5">
      <c r="B631" t="s">
        <v>25</v>
      </c>
      <c r="C631" s="11">
        <v>41226</v>
      </c>
      <c r="D631" t="s">
        <v>12</v>
      </c>
      <c r="E631">
        <v>0.20799999999999999</v>
      </c>
    </row>
    <row r="632" spans="2:5">
      <c r="B632" t="s">
        <v>25</v>
      </c>
      <c r="C632" s="11">
        <v>41222</v>
      </c>
      <c r="D632" t="s">
        <v>12</v>
      </c>
      <c r="E632">
        <v>0.20899999999999999</v>
      </c>
    </row>
    <row r="633" spans="2:5">
      <c r="B633" t="s">
        <v>25</v>
      </c>
      <c r="C633" s="11">
        <v>41221</v>
      </c>
      <c r="D633" t="s">
        <v>12</v>
      </c>
      <c r="E633">
        <v>0.20899999999999999</v>
      </c>
    </row>
    <row r="634" spans="2:5">
      <c r="B634" t="s">
        <v>25</v>
      </c>
      <c r="C634" s="11">
        <v>41220</v>
      </c>
      <c r="D634" t="s">
        <v>12</v>
      </c>
      <c r="E634">
        <v>0.20899999999999999</v>
      </c>
    </row>
    <row r="635" spans="2:5">
      <c r="B635" t="s">
        <v>25</v>
      </c>
      <c r="C635" s="11">
        <v>41219</v>
      </c>
      <c r="D635" t="s">
        <v>12</v>
      </c>
      <c r="E635">
        <v>0.20899999999999999</v>
      </c>
    </row>
    <row r="636" spans="2:5">
      <c r="B636" t="s">
        <v>25</v>
      </c>
      <c r="C636" s="11">
        <v>41218</v>
      </c>
      <c r="D636" t="s">
        <v>12</v>
      </c>
      <c r="E636">
        <v>0.20799999999999999</v>
      </c>
    </row>
    <row r="637" spans="2:5">
      <c r="B637" t="s">
        <v>25</v>
      </c>
      <c r="C637" s="11">
        <v>41215</v>
      </c>
      <c r="D637" t="s">
        <v>12</v>
      </c>
      <c r="E637">
        <v>0.20899999999999999</v>
      </c>
    </row>
    <row r="638" spans="2:5">
      <c r="B638" t="s">
        <v>25</v>
      </c>
      <c r="C638" s="11">
        <v>41214</v>
      </c>
      <c r="D638" t="s">
        <v>12</v>
      </c>
      <c r="E638">
        <v>0.21</v>
      </c>
    </row>
    <row r="639" spans="2:5">
      <c r="B639" t="s">
        <v>25</v>
      </c>
      <c r="C639" s="11">
        <v>41213</v>
      </c>
      <c r="D639" t="s">
        <v>12</v>
      </c>
      <c r="E639">
        <v>0.21199999999999999</v>
      </c>
    </row>
    <row r="640" spans="2:5">
      <c r="B640" t="s">
        <v>25</v>
      </c>
      <c r="C640" s="11">
        <v>41211</v>
      </c>
      <c r="D640" t="s">
        <v>12</v>
      </c>
      <c r="E640">
        <v>0.21199999999999999</v>
      </c>
    </row>
    <row r="641" spans="2:5">
      <c r="B641" t="s">
        <v>25</v>
      </c>
      <c r="C641" s="11">
        <v>41208</v>
      </c>
      <c r="D641" t="s">
        <v>12</v>
      </c>
      <c r="E641">
        <v>0.21199999999999999</v>
      </c>
    </row>
    <row r="642" spans="2:5">
      <c r="B642" t="s">
        <v>25</v>
      </c>
      <c r="C642" s="11">
        <v>41207</v>
      </c>
      <c r="D642" t="s">
        <v>12</v>
      </c>
      <c r="E642">
        <v>0.21099999999999999</v>
      </c>
    </row>
    <row r="643" spans="2:5">
      <c r="B643" t="s">
        <v>25</v>
      </c>
      <c r="C643" s="11">
        <v>41206</v>
      </c>
      <c r="D643" t="s">
        <v>12</v>
      </c>
      <c r="E643">
        <v>0.21049999999999999</v>
      </c>
    </row>
    <row r="644" spans="2:5">
      <c r="B644" t="s">
        <v>25</v>
      </c>
      <c r="C644" s="11">
        <v>41205</v>
      </c>
      <c r="D644" t="s">
        <v>12</v>
      </c>
      <c r="E644">
        <v>0.2107</v>
      </c>
    </row>
    <row r="645" spans="2:5">
      <c r="B645" t="s">
        <v>25</v>
      </c>
      <c r="C645" s="11">
        <v>41204</v>
      </c>
      <c r="D645" t="s">
        <v>12</v>
      </c>
      <c r="E645">
        <v>0.2107</v>
      </c>
    </row>
    <row r="646" spans="2:5">
      <c r="B646" t="s">
        <v>25</v>
      </c>
      <c r="C646" s="11">
        <v>41201</v>
      </c>
      <c r="D646" t="s">
        <v>12</v>
      </c>
      <c r="E646">
        <v>0.2107</v>
      </c>
    </row>
    <row r="647" spans="2:5">
      <c r="B647" t="s">
        <v>25</v>
      </c>
      <c r="C647" s="11">
        <v>41200</v>
      </c>
      <c r="D647" t="s">
        <v>12</v>
      </c>
      <c r="E647">
        <v>0.2107</v>
      </c>
    </row>
    <row r="648" spans="2:5">
      <c r="B648" t="s">
        <v>25</v>
      </c>
      <c r="C648" s="11">
        <v>41199</v>
      </c>
      <c r="D648" t="s">
        <v>12</v>
      </c>
      <c r="E648">
        <v>0.2117</v>
      </c>
    </row>
    <row r="649" spans="2:5">
      <c r="B649" t="s">
        <v>25</v>
      </c>
      <c r="C649" s="11">
        <v>41198</v>
      </c>
      <c r="D649" t="s">
        <v>12</v>
      </c>
      <c r="E649">
        <v>0.2132</v>
      </c>
    </row>
    <row r="650" spans="2:5">
      <c r="B650" t="s">
        <v>25</v>
      </c>
      <c r="C650" s="11">
        <v>41197</v>
      </c>
      <c r="D650" t="s">
        <v>12</v>
      </c>
      <c r="E650">
        <v>0.214</v>
      </c>
    </row>
    <row r="651" spans="2:5">
      <c r="B651" t="s">
        <v>25</v>
      </c>
      <c r="C651" s="11">
        <v>41194</v>
      </c>
      <c r="D651" t="s">
        <v>12</v>
      </c>
      <c r="E651">
        <v>0.214</v>
      </c>
    </row>
    <row r="652" spans="2:5">
      <c r="B652" t="s">
        <v>25</v>
      </c>
      <c r="C652" s="11">
        <v>41193</v>
      </c>
      <c r="D652" t="s">
        <v>12</v>
      </c>
      <c r="E652">
        <v>0.214</v>
      </c>
    </row>
    <row r="653" spans="2:5">
      <c r="B653" t="s">
        <v>25</v>
      </c>
      <c r="C653" s="11">
        <v>41192</v>
      </c>
      <c r="D653" t="s">
        <v>12</v>
      </c>
      <c r="E653">
        <v>0.214</v>
      </c>
    </row>
    <row r="654" spans="2:5">
      <c r="B654" t="s">
        <v>25</v>
      </c>
      <c r="C654" s="11">
        <v>41191</v>
      </c>
      <c r="D654" t="s">
        <v>12</v>
      </c>
      <c r="E654">
        <v>0.2155</v>
      </c>
    </row>
    <row r="655" spans="2:5">
      <c r="B655" t="s">
        <v>25</v>
      </c>
      <c r="C655" s="11">
        <v>41187</v>
      </c>
      <c r="D655" t="s">
        <v>12</v>
      </c>
      <c r="E655">
        <v>0.2185</v>
      </c>
    </row>
    <row r="656" spans="2:5">
      <c r="B656" t="s">
        <v>25</v>
      </c>
      <c r="C656" s="11">
        <v>41186</v>
      </c>
      <c r="D656" t="s">
        <v>12</v>
      </c>
      <c r="E656">
        <v>0.2185</v>
      </c>
    </row>
    <row r="657" spans="2:5">
      <c r="B657" t="s">
        <v>25</v>
      </c>
      <c r="C657" s="11">
        <v>41185</v>
      </c>
      <c r="D657" t="s">
        <v>12</v>
      </c>
      <c r="E657">
        <v>0.2185</v>
      </c>
    </row>
    <row r="658" spans="2:5">
      <c r="B658" t="s">
        <v>25</v>
      </c>
      <c r="C658" s="11">
        <v>41184</v>
      </c>
      <c r="D658" t="s">
        <v>12</v>
      </c>
      <c r="E658">
        <v>0.2145</v>
      </c>
    </row>
    <row r="659" spans="2:5">
      <c r="B659" t="s">
        <v>25</v>
      </c>
      <c r="C659" s="11">
        <v>41183</v>
      </c>
      <c r="D659" t="s">
        <v>12</v>
      </c>
      <c r="E659">
        <v>0.2135</v>
      </c>
    </row>
    <row r="660" spans="2:5">
      <c r="B660" t="s">
        <v>25</v>
      </c>
      <c r="C660" s="11">
        <v>41180</v>
      </c>
      <c r="D660" t="s">
        <v>12</v>
      </c>
      <c r="E660">
        <v>0.21425</v>
      </c>
    </row>
    <row r="661" spans="2:5">
      <c r="B661" t="s">
        <v>25</v>
      </c>
      <c r="C661" s="11">
        <v>41179</v>
      </c>
      <c r="D661" t="s">
        <v>12</v>
      </c>
      <c r="E661">
        <v>0.2145</v>
      </c>
    </row>
    <row r="662" spans="2:5">
      <c r="B662" t="s">
        <v>25</v>
      </c>
      <c r="C662" s="11">
        <v>41178</v>
      </c>
      <c r="D662" t="s">
        <v>12</v>
      </c>
      <c r="E662">
        <v>0.2155</v>
      </c>
    </row>
    <row r="663" spans="2:5">
      <c r="B663" t="s">
        <v>25</v>
      </c>
      <c r="C663" s="11">
        <v>41177</v>
      </c>
      <c r="D663" t="s">
        <v>12</v>
      </c>
      <c r="E663">
        <v>0.2155</v>
      </c>
    </row>
    <row r="664" spans="2:5">
      <c r="B664" t="s">
        <v>25</v>
      </c>
      <c r="C664" s="11">
        <v>41176</v>
      </c>
      <c r="D664" t="s">
        <v>12</v>
      </c>
      <c r="E664">
        <v>0.2165</v>
      </c>
    </row>
    <row r="665" spans="2:5">
      <c r="B665" t="s">
        <v>25</v>
      </c>
      <c r="C665" s="11">
        <v>41173</v>
      </c>
      <c r="D665" t="s">
        <v>12</v>
      </c>
      <c r="E665">
        <v>0.2165</v>
      </c>
    </row>
    <row r="666" spans="2:5">
      <c r="B666" t="s">
        <v>25</v>
      </c>
      <c r="C666" s="11">
        <v>41172</v>
      </c>
      <c r="D666" t="s">
        <v>12</v>
      </c>
      <c r="E666">
        <v>0.2165</v>
      </c>
    </row>
    <row r="667" spans="2:5">
      <c r="B667" t="s">
        <v>25</v>
      </c>
      <c r="C667" s="11">
        <v>41171</v>
      </c>
      <c r="D667" t="s">
        <v>12</v>
      </c>
      <c r="E667">
        <v>0.2185</v>
      </c>
    </row>
    <row r="668" spans="2:5">
      <c r="B668" t="s">
        <v>25</v>
      </c>
      <c r="C668" s="11">
        <v>41170</v>
      </c>
      <c r="D668" t="s">
        <v>12</v>
      </c>
      <c r="E668">
        <v>0.2185</v>
      </c>
    </row>
    <row r="669" spans="2:5">
      <c r="B669" t="s">
        <v>25</v>
      </c>
      <c r="C669" s="11">
        <v>41169</v>
      </c>
      <c r="D669" t="s">
        <v>12</v>
      </c>
      <c r="E669">
        <v>0.219</v>
      </c>
    </row>
    <row r="670" spans="2:5">
      <c r="B670" t="s">
        <v>25</v>
      </c>
      <c r="C670" s="11">
        <v>41166</v>
      </c>
      <c r="D670" t="s">
        <v>12</v>
      </c>
      <c r="E670">
        <v>0.22</v>
      </c>
    </row>
    <row r="671" spans="2:5">
      <c r="B671" t="s">
        <v>25</v>
      </c>
      <c r="C671" s="11">
        <v>41165</v>
      </c>
      <c r="D671" t="s">
        <v>12</v>
      </c>
      <c r="E671">
        <v>0.22075</v>
      </c>
    </row>
    <row r="672" spans="2:5">
      <c r="B672" t="s">
        <v>25</v>
      </c>
      <c r="C672" s="11">
        <v>41164</v>
      </c>
      <c r="D672" t="s">
        <v>12</v>
      </c>
      <c r="E672">
        <v>0.22375</v>
      </c>
    </row>
    <row r="673" spans="2:5">
      <c r="B673" t="s">
        <v>25</v>
      </c>
      <c r="C673" s="11">
        <v>41163</v>
      </c>
      <c r="D673" t="s">
        <v>12</v>
      </c>
      <c r="E673">
        <v>0.22675000000000001</v>
      </c>
    </row>
    <row r="674" spans="2:5">
      <c r="B674" t="s">
        <v>25</v>
      </c>
      <c r="C674" s="11">
        <v>41162</v>
      </c>
      <c r="D674" t="s">
        <v>12</v>
      </c>
      <c r="E674">
        <v>0.22800000000000001</v>
      </c>
    </row>
    <row r="675" spans="2:5">
      <c r="B675" t="s">
        <v>25</v>
      </c>
      <c r="C675" s="11">
        <v>41159</v>
      </c>
      <c r="D675" t="s">
        <v>12</v>
      </c>
      <c r="E675">
        <v>0.22800000000000001</v>
      </c>
    </row>
    <row r="676" spans="2:5">
      <c r="B676" t="s">
        <v>25</v>
      </c>
      <c r="C676" s="11">
        <v>41158</v>
      </c>
      <c r="D676" t="s">
        <v>12</v>
      </c>
      <c r="E676">
        <v>0.22750000000000001</v>
      </c>
    </row>
    <row r="677" spans="2:5">
      <c r="B677" t="s">
        <v>25</v>
      </c>
      <c r="C677" s="11">
        <v>41157</v>
      </c>
      <c r="D677" t="s">
        <v>12</v>
      </c>
      <c r="E677">
        <v>0.22800000000000001</v>
      </c>
    </row>
    <row r="678" spans="2:5">
      <c r="B678" t="s">
        <v>25</v>
      </c>
      <c r="C678" s="11">
        <v>41156</v>
      </c>
      <c r="D678" t="s">
        <v>12</v>
      </c>
      <c r="E678">
        <v>0.22825000000000001</v>
      </c>
    </row>
    <row r="679" spans="2:5">
      <c r="B679" t="s">
        <v>25</v>
      </c>
      <c r="C679" s="11">
        <v>41152</v>
      </c>
      <c r="D679" t="s">
        <v>12</v>
      </c>
      <c r="E679">
        <v>0.23050000000000001</v>
      </c>
    </row>
    <row r="680" spans="2:5">
      <c r="B680" t="s">
        <v>25</v>
      </c>
      <c r="C680" s="11">
        <v>41151</v>
      </c>
      <c r="D680" t="s">
        <v>12</v>
      </c>
      <c r="E680">
        <v>0.23050000000000001</v>
      </c>
    </row>
    <row r="681" spans="2:5">
      <c r="B681" t="s">
        <v>25</v>
      </c>
      <c r="C681" s="11">
        <v>41150</v>
      </c>
      <c r="D681" t="s">
        <v>12</v>
      </c>
      <c r="E681">
        <v>0.23150000000000001</v>
      </c>
    </row>
    <row r="682" spans="2:5">
      <c r="B682" t="s">
        <v>25</v>
      </c>
      <c r="C682" s="11">
        <v>41149</v>
      </c>
      <c r="D682" t="s">
        <v>12</v>
      </c>
      <c r="E682">
        <v>0.23350000000000001</v>
      </c>
    </row>
    <row r="683" spans="2:5">
      <c r="B683" t="s">
        <v>25</v>
      </c>
      <c r="C683" s="11">
        <v>41148</v>
      </c>
      <c r="D683" t="s">
        <v>12</v>
      </c>
      <c r="E683">
        <v>0.23449999999999999</v>
      </c>
    </row>
    <row r="684" spans="2:5">
      <c r="B684" t="s">
        <v>25</v>
      </c>
      <c r="C684" s="11">
        <v>41145</v>
      </c>
      <c r="D684" t="s">
        <v>12</v>
      </c>
      <c r="E684">
        <v>0.23449999999999999</v>
      </c>
    </row>
    <row r="685" spans="2:5">
      <c r="B685" t="s">
        <v>25</v>
      </c>
      <c r="C685" s="11">
        <v>41144</v>
      </c>
      <c r="D685" t="s">
        <v>12</v>
      </c>
      <c r="E685">
        <v>0.23549999999999999</v>
      </c>
    </row>
    <row r="686" spans="2:5">
      <c r="B686" t="s">
        <v>25</v>
      </c>
      <c r="C686" s="11">
        <v>41143</v>
      </c>
      <c r="D686" t="s">
        <v>12</v>
      </c>
      <c r="E686">
        <v>0.23649999999999999</v>
      </c>
    </row>
    <row r="687" spans="2:5">
      <c r="B687" t="s">
        <v>25</v>
      </c>
      <c r="C687" s="11">
        <v>41142</v>
      </c>
      <c r="D687" t="s">
        <v>12</v>
      </c>
      <c r="E687">
        <v>0.23749999999999999</v>
      </c>
    </row>
    <row r="688" spans="2:5">
      <c r="B688" t="s">
        <v>25</v>
      </c>
      <c r="C688" s="11">
        <v>41141</v>
      </c>
      <c r="D688" t="s">
        <v>12</v>
      </c>
      <c r="E688">
        <v>0.23599999999999999</v>
      </c>
    </row>
    <row r="689" spans="2:5">
      <c r="B689" t="s">
        <v>25</v>
      </c>
      <c r="C689" s="11">
        <v>41138</v>
      </c>
      <c r="D689" t="s">
        <v>12</v>
      </c>
      <c r="E689">
        <v>0.23699999999999999</v>
      </c>
    </row>
    <row r="690" spans="2:5">
      <c r="B690" t="s">
        <v>25</v>
      </c>
      <c r="C690" s="11">
        <v>41137</v>
      </c>
      <c r="D690" t="s">
        <v>12</v>
      </c>
      <c r="E690">
        <v>0.23699999999999999</v>
      </c>
    </row>
    <row r="691" spans="2:5">
      <c r="B691" t="s">
        <v>25</v>
      </c>
      <c r="C691" s="11">
        <v>41136</v>
      </c>
      <c r="D691" t="s">
        <v>12</v>
      </c>
      <c r="E691">
        <v>0.23799999999999999</v>
      </c>
    </row>
    <row r="692" spans="2:5">
      <c r="B692" t="s">
        <v>25</v>
      </c>
      <c r="C692" s="11">
        <v>41135</v>
      </c>
      <c r="D692" t="s">
        <v>12</v>
      </c>
      <c r="E692">
        <v>0.23849999999999999</v>
      </c>
    </row>
    <row r="693" spans="2:5">
      <c r="B693" t="s">
        <v>25</v>
      </c>
      <c r="C693" s="11">
        <v>41134</v>
      </c>
      <c r="D693" t="s">
        <v>12</v>
      </c>
      <c r="E693">
        <v>0.23949999999999999</v>
      </c>
    </row>
    <row r="694" spans="2:5">
      <c r="B694" t="s">
        <v>25</v>
      </c>
      <c r="C694" s="11">
        <v>41131</v>
      </c>
      <c r="D694" t="s">
        <v>12</v>
      </c>
      <c r="E694">
        <v>0.23974999999999999</v>
      </c>
    </row>
    <row r="695" spans="2:5">
      <c r="B695" t="s">
        <v>25</v>
      </c>
      <c r="C695" s="11">
        <v>41130</v>
      </c>
      <c r="D695" t="s">
        <v>12</v>
      </c>
      <c r="E695">
        <v>0.23924999999999999</v>
      </c>
    </row>
    <row r="696" spans="2:5">
      <c r="B696" t="s">
        <v>25</v>
      </c>
      <c r="C696" s="11">
        <v>41129</v>
      </c>
      <c r="D696" t="s">
        <v>12</v>
      </c>
      <c r="E696">
        <v>0.24024999999999999</v>
      </c>
    </row>
    <row r="697" spans="2:5">
      <c r="B697" t="s">
        <v>25</v>
      </c>
      <c r="C697" s="11">
        <v>41128</v>
      </c>
      <c r="D697" t="s">
        <v>12</v>
      </c>
      <c r="E697">
        <v>0.24124999999999999</v>
      </c>
    </row>
    <row r="698" spans="2:5">
      <c r="B698" t="s">
        <v>25</v>
      </c>
      <c r="C698" s="11">
        <v>41127</v>
      </c>
      <c r="D698" t="s">
        <v>12</v>
      </c>
      <c r="E698">
        <v>0.24324999999999999</v>
      </c>
    </row>
    <row r="699" spans="2:5">
      <c r="B699" t="s">
        <v>25</v>
      </c>
      <c r="C699" s="11">
        <v>41124</v>
      </c>
      <c r="D699" t="s">
        <v>12</v>
      </c>
      <c r="E699">
        <v>0.24374999999999999</v>
      </c>
    </row>
    <row r="700" spans="2:5">
      <c r="B700" t="s">
        <v>25</v>
      </c>
      <c r="C700" s="11">
        <v>41123</v>
      </c>
      <c r="D700" t="s">
        <v>12</v>
      </c>
      <c r="E700">
        <v>0.24424999999999999</v>
      </c>
    </row>
    <row r="701" spans="2:5">
      <c r="B701" t="s">
        <v>25</v>
      </c>
      <c r="C701" s="11">
        <v>41122</v>
      </c>
      <c r="D701" t="s">
        <v>12</v>
      </c>
      <c r="E701">
        <v>0.2447</v>
      </c>
    </row>
    <row r="702" spans="2:5">
      <c r="B702" t="s">
        <v>25</v>
      </c>
      <c r="C702" s="11">
        <v>41121</v>
      </c>
      <c r="D702" t="s">
        <v>12</v>
      </c>
      <c r="E702">
        <v>0.2457</v>
      </c>
    </row>
    <row r="703" spans="2:5">
      <c r="B703" t="s">
        <v>25</v>
      </c>
      <c r="C703" s="11">
        <v>41120</v>
      </c>
      <c r="D703" t="s">
        <v>12</v>
      </c>
      <c r="E703">
        <v>0.2457</v>
      </c>
    </row>
    <row r="704" spans="2:5">
      <c r="B704" t="s">
        <v>25</v>
      </c>
      <c r="C704" s="11">
        <v>41117</v>
      </c>
      <c r="D704" t="s">
        <v>12</v>
      </c>
      <c r="E704">
        <v>0.2457</v>
      </c>
    </row>
    <row r="705" spans="2:5">
      <c r="B705" t="s">
        <v>25</v>
      </c>
      <c r="C705" s="11">
        <v>41116</v>
      </c>
      <c r="D705" t="s">
        <v>12</v>
      </c>
      <c r="E705">
        <v>0.2452</v>
      </c>
    </row>
    <row r="706" spans="2:5">
      <c r="B706" t="s">
        <v>25</v>
      </c>
      <c r="C706" s="11">
        <v>41115</v>
      </c>
      <c r="D706" t="s">
        <v>12</v>
      </c>
      <c r="E706">
        <v>0.2442</v>
      </c>
    </row>
    <row r="707" spans="2:5">
      <c r="B707" t="s">
        <v>25</v>
      </c>
      <c r="C707" s="11">
        <v>41114</v>
      </c>
      <c r="D707" t="s">
        <v>12</v>
      </c>
      <c r="E707">
        <v>0.2442</v>
      </c>
    </row>
    <row r="708" spans="2:5">
      <c r="B708" t="s">
        <v>25</v>
      </c>
      <c r="C708" s="11">
        <v>41113</v>
      </c>
      <c r="D708" t="s">
        <v>12</v>
      </c>
      <c r="E708">
        <v>0.2462</v>
      </c>
    </row>
    <row r="709" spans="2:5">
      <c r="B709" t="s">
        <v>25</v>
      </c>
      <c r="C709" s="11">
        <v>41110</v>
      </c>
      <c r="D709" t="s">
        <v>12</v>
      </c>
      <c r="E709">
        <v>0.24675</v>
      </c>
    </row>
    <row r="710" spans="2:5">
      <c r="B710" t="s">
        <v>25</v>
      </c>
      <c r="C710" s="11">
        <v>41109</v>
      </c>
      <c r="D710" t="s">
        <v>12</v>
      </c>
      <c r="E710">
        <v>0.24675</v>
      </c>
    </row>
    <row r="711" spans="2:5">
      <c r="B711" t="s">
        <v>25</v>
      </c>
      <c r="C711" s="11">
        <v>41108</v>
      </c>
      <c r="D711" t="s">
        <v>12</v>
      </c>
      <c r="E711">
        <v>0.24675</v>
      </c>
    </row>
    <row r="712" spans="2:5">
      <c r="B712" t="s">
        <v>25</v>
      </c>
      <c r="C712" s="11">
        <v>41107</v>
      </c>
      <c r="D712" t="s">
        <v>12</v>
      </c>
      <c r="E712">
        <v>0.24675</v>
      </c>
    </row>
    <row r="713" spans="2:5">
      <c r="B713" t="s">
        <v>25</v>
      </c>
      <c r="C713" s="11">
        <v>41106</v>
      </c>
      <c r="D713" t="s">
        <v>12</v>
      </c>
      <c r="E713">
        <v>0.24775</v>
      </c>
    </row>
    <row r="714" spans="2:5">
      <c r="B714" t="s">
        <v>25</v>
      </c>
      <c r="C714" s="11">
        <v>41103</v>
      </c>
      <c r="D714" t="s">
        <v>12</v>
      </c>
      <c r="E714">
        <v>0.24775</v>
      </c>
    </row>
    <row r="715" spans="2:5">
      <c r="B715" t="s">
        <v>25</v>
      </c>
      <c r="C715" s="11">
        <v>41102</v>
      </c>
      <c r="D715" t="s">
        <v>12</v>
      </c>
      <c r="E715">
        <v>0.24875</v>
      </c>
    </row>
    <row r="716" spans="2:5">
      <c r="B716" t="s">
        <v>25</v>
      </c>
      <c r="C716" s="11">
        <v>41101</v>
      </c>
      <c r="D716" t="s">
        <v>12</v>
      </c>
      <c r="E716">
        <v>0.24875</v>
      </c>
    </row>
    <row r="717" spans="2:5">
      <c r="B717" t="s">
        <v>25</v>
      </c>
      <c r="C717" s="11">
        <v>41100</v>
      </c>
      <c r="D717" t="s">
        <v>12</v>
      </c>
      <c r="E717">
        <v>0.24875</v>
      </c>
    </row>
    <row r="718" spans="2:5">
      <c r="B718" t="s">
        <v>25</v>
      </c>
      <c r="C718" s="11">
        <v>41099</v>
      </c>
      <c r="D718" t="s">
        <v>12</v>
      </c>
      <c r="E718">
        <v>0.24875</v>
      </c>
    </row>
    <row r="719" spans="2:5">
      <c r="B719" t="s">
        <v>25</v>
      </c>
      <c r="C719" s="11">
        <v>41096</v>
      </c>
      <c r="D719" t="s">
        <v>12</v>
      </c>
      <c r="E719">
        <v>0.24575</v>
      </c>
    </row>
    <row r="720" spans="2:5">
      <c r="B720" t="s">
        <v>25</v>
      </c>
      <c r="C720" s="11">
        <v>41095</v>
      </c>
      <c r="D720" t="s">
        <v>12</v>
      </c>
      <c r="E720">
        <v>0.24575</v>
      </c>
    </row>
    <row r="721" spans="2:5">
      <c r="B721" t="s">
        <v>25</v>
      </c>
      <c r="C721" s="11">
        <v>41093</v>
      </c>
      <c r="D721" t="s">
        <v>12</v>
      </c>
      <c r="E721">
        <v>0.24575</v>
      </c>
    </row>
    <row r="722" spans="2:5">
      <c r="B722" t="s">
        <v>25</v>
      </c>
      <c r="C722" s="11">
        <v>41092</v>
      </c>
      <c r="D722" t="s">
        <v>12</v>
      </c>
      <c r="E722">
        <v>0.24475</v>
      </c>
    </row>
    <row r="723" spans="2:5">
      <c r="B723" t="s">
        <v>25</v>
      </c>
      <c r="C723" s="11">
        <v>41089</v>
      </c>
      <c r="D723" t="s">
        <v>12</v>
      </c>
      <c r="E723">
        <v>0.24575</v>
      </c>
    </row>
    <row r="724" spans="2:5">
      <c r="B724" t="s">
        <v>25</v>
      </c>
      <c r="C724" s="11">
        <v>41088</v>
      </c>
      <c r="D724" t="s">
        <v>12</v>
      </c>
      <c r="E724">
        <v>0.24525</v>
      </c>
    </row>
    <row r="725" spans="2:5">
      <c r="B725" t="s">
        <v>25</v>
      </c>
      <c r="C725" s="11">
        <v>41087</v>
      </c>
      <c r="D725" t="s">
        <v>12</v>
      </c>
      <c r="E725">
        <v>0.24525</v>
      </c>
    </row>
    <row r="726" spans="2:5">
      <c r="B726" t="s">
        <v>25</v>
      </c>
      <c r="C726" s="11">
        <v>41086</v>
      </c>
      <c r="D726" t="s">
        <v>12</v>
      </c>
      <c r="E726">
        <v>0.24525</v>
      </c>
    </row>
    <row r="727" spans="2:5">
      <c r="B727" t="s">
        <v>25</v>
      </c>
      <c r="C727" s="11">
        <v>41085</v>
      </c>
      <c r="D727" t="s">
        <v>12</v>
      </c>
      <c r="E727">
        <v>0.24525</v>
      </c>
    </row>
    <row r="728" spans="2:5">
      <c r="B728" t="s">
        <v>25</v>
      </c>
      <c r="C728" s="11">
        <v>41082</v>
      </c>
      <c r="D728" t="s">
        <v>12</v>
      </c>
      <c r="E728">
        <v>0.24525</v>
      </c>
    </row>
    <row r="729" spans="2:5">
      <c r="B729" t="s">
        <v>25</v>
      </c>
      <c r="C729" s="11">
        <v>41081</v>
      </c>
      <c r="D729" t="s">
        <v>12</v>
      </c>
      <c r="E729">
        <v>0.24525</v>
      </c>
    </row>
    <row r="730" spans="2:5">
      <c r="B730" t="s">
        <v>25</v>
      </c>
      <c r="C730" s="11">
        <v>41080</v>
      </c>
      <c r="D730" t="s">
        <v>12</v>
      </c>
      <c r="E730">
        <v>0.24525</v>
      </c>
    </row>
    <row r="731" spans="2:5">
      <c r="B731" t="s">
        <v>25</v>
      </c>
      <c r="C731" s="11">
        <v>41079</v>
      </c>
      <c r="D731" t="s">
        <v>12</v>
      </c>
      <c r="E731">
        <v>0.24374999999999999</v>
      </c>
    </row>
    <row r="732" spans="2:5">
      <c r="B732" t="s">
        <v>25</v>
      </c>
      <c r="C732" s="11">
        <v>41078</v>
      </c>
      <c r="D732" t="s">
        <v>12</v>
      </c>
      <c r="E732">
        <v>0.24374999999999999</v>
      </c>
    </row>
    <row r="733" spans="2:5">
      <c r="B733" t="s">
        <v>25</v>
      </c>
      <c r="C733" s="11">
        <v>41075</v>
      </c>
      <c r="D733" t="s">
        <v>12</v>
      </c>
      <c r="E733">
        <v>0.24274999999999999</v>
      </c>
    </row>
    <row r="734" spans="2:5">
      <c r="B734" t="s">
        <v>25</v>
      </c>
      <c r="C734" s="11">
        <v>41074</v>
      </c>
      <c r="D734" t="s">
        <v>12</v>
      </c>
      <c r="E734">
        <v>0.24274999999999999</v>
      </c>
    </row>
    <row r="735" spans="2:5">
      <c r="B735" t="s">
        <v>25</v>
      </c>
      <c r="C735" s="11">
        <v>41073</v>
      </c>
      <c r="D735" t="s">
        <v>12</v>
      </c>
      <c r="E735">
        <v>0.24174999999999999</v>
      </c>
    </row>
    <row r="736" spans="2:5">
      <c r="B736" t="s">
        <v>25</v>
      </c>
      <c r="C736" s="11">
        <v>41072</v>
      </c>
      <c r="D736" t="s">
        <v>12</v>
      </c>
      <c r="E736">
        <v>0.24074999999999999</v>
      </c>
    </row>
    <row r="737" spans="2:5">
      <c r="B737" t="s">
        <v>25</v>
      </c>
      <c r="C737" s="11">
        <v>41071</v>
      </c>
      <c r="D737" t="s">
        <v>12</v>
      </c>
      <c r="E737">
        <v>0.24074999999999999</v>
      </c>
    </row>
    <row r="738" spans="2:5">
      <c r="B738" t="s">
        <v>25</v>
      </c>
      <c r="C738" s="11">
        <v>41068</v>
      </c>
      <c r="D738" t="s">
        <v>12</v>
      </c>
      <c r="E738">
        <v>0.24074999999999999</v>
      </c>
    </row>
    <row r="739" spans="2:5">
      <c r="B739" t="s">
        <v>25</v>
      </c>
      <c r="C739" s="11">
        <v>41067</v>
      </c>
      <c r="D739" t="s">
        <v>12</v>
      </c>
      <c r="E739">
        <v>0.24074999999999999</v>
      </c>
    </row>
    <row r="740" spans="2:5">
      <c r="B740" t="s">
        <v>25</v>
      </c>
      <c r="C740" s="11">
        <v>41066</v>
      </c>
      <c r="D740" t="s">
        <v>12</v>
      </c>
      <c r="E740">
        <v>0.24074999999999999</v>
      </c>
    </row>
    <row r="741" spans="2:5">
      <c r="B741" t="s">
        <v>25</v>
      </c>
      <c r="C741" s="11">
        <v>41065</v>
      </c>
      <c r="D741" t="s">
        <v>12</v>
      </c>
      <c r="E741">
        <v>0.23974999999999999</v>
      </c>
    </row>
    <row r="742" spans="2:5">
      <c r="B742" t="s">
        <v>25</v>
      </c>
      <c r="C742" s="11">
        <v>41064</v>
      </c>
      <c r="D742" t="s">
        <v>12</v>
      </c>
      <c r="E742">
        <v>0.23974999999999999</v>
      </c>
    </row>
    <row r="743" spans="2:5">
      <c r="B743" t="s">
        <v>25</v>
      </c>
      <c r="C743" s="11">
        <v>41061</v>
      </c>
      <c r="D743" t="s">
        <v>12</v>
      </c>
      <c r="E743">
        <v>0.23974999999999999</v>
      </c>
    </row>
    <row r="744" spans="2:5">
      <c r="B744" t="s">
        <v>25</v>
      </c>
      <c r="C744" s="11">
        <v>41060</v>
      </c>
      <c r="D744" t="s">
        <v>12</v>
      </c>
      <c r="E744">
        <v>0.23874999999999999</v>
      </c>
    </row>
    <row r="745" spans="2:5">
      <c r="B745" t="s">
        <v>25</v>
      </c>
      <c r="C745" s="11">
        <v>41059</v>
      </c>
      <c r="D745" t="s">
        <v>12</v>
      </c>
      <c r="E745">
        <v>0.23874999999999999</v>
      </c>
    </row>
    <row r="746" spans="2:5">
      <c r="B746" t="s">
        <v>25</v>
      </c>
      <c r="C746" s="11">
        <v>41058</v>
      </c>
      <c r="D746" t="s">
        <v>12</v>
      </c>
      <c r="E746">
        <v>0.23874999999999999</v>
      </c>
    </row>
    <row r="747" spans="2:5">
      <c r="B747" t="s">
        <v>25</v>
      </c>
      <c r="C747" s="11">
        <v>41054</v>
      </c>
      <c r="D747" t="s">
        <v>12</v>
      </c>
      <c r="E747">
        <v>0.23874999999999999</v>
      </c>
    </row>
    <row r="748" spans="2:5">
      <c r="B748" t="s">
        <v>25</v>
      </c>
      <c r="C748" s="11">
        <v>41053</v>
      </c>
      <c r="D748" t="s">
        <v>12</v>
      </c>
      <c r="E748">
        <v>0.23874999999999999</v>
      </c>
    </row>
    <row r="749" spans="2:5">
      <c r="B749" t="s">
        <v>25</v>
      </c>
      <c r="C749" s="11">
        <v>41052</v>
      </c>
      <c r="D749" t="s">
        <v>12</v>
      </c>
      <c r="E749">
        <v>0.23874999999999999</v>
      </c>
    </row>
    <row r="750" spans="2:5">
      <c r="B750" t="s">
        <v>25</v>
      </c>
      <c r="C750" s="11">
        <v>41051</v>
      </c>
      <c r="D750" t="s">
        <v>12</v>
      </c>
      <c r="E750">
        <v>0.23874999999999999</v>
      </c>
    </row>
    <row r="751" spans="2:5">
      <c r="B751" t="s">
        <v>25</v>
      </c>
      <c r="C751" s="11">
        <v>41050</v>
      </c>
      <c r="D751" t="s">
        <v>12</v>
      </c>
      <c r="E751">
        <v>0.23974999999999999</v>
      </c>
    </row>
    <row r="752" spans="2:5">
      <c r="B752" t="s">
        <v>25</v>
      </c>
      <c r="C752" s="11">
        <v>41047</v>
      </c>
      <c r="D752" t="s">
        <v>12</v>
      </c>
      <c r="E752">
        <v>0.23974999999999999</v>
      </c>
    </row>
    <row r="753" spans="2:5">
      <c r="B753" t="s">
        <v>25</v>
      </c>
      <c r="C753" s="11">
        <v>41046</v>
      </c>
      <c r="D753" t="s">
        <v>12</v>
      </c>
      <c r="E753">
        <v>0.23974999999999999</v>
      </c>
    </row>
    <row r="754" spans="2:5">
      <c r="B754" t="s">
        <v>25</v>
      </c>
      <c r="C754" s="11">
        <v>41045</v>
      </c>
      <c r="D754" t="s">
        <v>12</v>
      </c>
      <c r="E754">
        <v>0.23974999999999999</v>
      </c>
    </row>
    <row r="755" spans="2:5">
      <c r="B755" t="s">
        <v>25</v>
      </c>
      <c r="C755" s="11">
        <v>41044</v>
      </c>
      <c r="D755" t="s">
        <v>12</v>
      </c>
      <c r="E755">
        <v>0.23874999999999999</v>
      </c>
    </row>
    <row r="756" spans="2:5">
      <c r="B756" t="s">
        <v>25</v>
      </c>
      <c r="C756" s="11">
        <v>41043</v>
      </c>
      <c r="D756" t="s">
        <v>12</v>
      </c>
      <c r="E756">
        <v>0.23874999999999999</v>
      </c>
    </row>
    <row r="757" spans="2:5">
      <c r="B757" t="s">
        <v>25</v>
      </c>
      <c r="C757" s="11">
        <v>41040</v>
      </c>
      <c r="D757" t="s">
        <v>12</v>
      </c>
      <c r="E757">
        <v>0.23874999999999999</v>
      </c>
    </row>
    <row r="758" spans="2:5">
      <c r="B758" t="s">
        <v>25</v>
      </c>
      <c r="C758" s="11">
        <v>41039</v>
      </c>
      <c r="D758" t="s">
        <v>12</v>
      </c>
      <c r="E758">
        <v>0.23874999999999999</v>
      </c>
    </row>
    <row r="759" spans="2:5">
      <c r="B759" t="s">
        <v>25</v>
      </c>
      <c r="C759" s="11">
        <v>41038</v>
      </c>
      <c r="D759" t="s">
        <v>12</v>
      </c>
      <c r="E759">
        <v>0.23874999999999999</v>
      </c>
    </row>
    <row r="760" spans="2:5">
      <c r="B760" t="s">
        <v>25</v>
      </c>
      <c r="C760" s="11">
        <v>41037</v>
      </c>
      <c r="D760" t="s">
        <v>12</v>
      </c>
      <c r="E760">
        <v>0.23874999999999999</v>
      </c>
    </row>
    <row r="761" spans="2:5">
      <c r="B761" t="s">
        <v>25</v>
      </c>
      <c r="C761" s="11">
        <v>41036</v>
      </c>
      <c r="D761" t="s">
        <v>12</v>
      </c>
      <c r="E761">
        <v>0.23874999999999999</v>
      </c>
    </row>
    <row r="762" spans="2:5">
      <c r="B762" t="s">
        <v>25</v>
      </c>
      <c r="C762" s="11">
        <v>41033</v>
      </c>
      <c r="D762" t="s">
        <v>12</v>
      </c>
      <c r="E762">
        <v>0.23874999999999999</v>
      </c>
    </row>
    <row r="763" spans="2:5">
      <c r="B763" t="s">
        <v>25</v>
      </c>
      <c r="C763" s="11">
        <v>41032</v>
      </c>
      <c r="D763" t="s">
        <v>12</v>
      </c>
      <c r="E763">
        <v>0.23874999999999999</v>
      </c>
    </row>
    <row r="764" spans="2:5">
      <c r="B764" t="s">
        <v>25</v>
      </c>
      <c r="C764" s="11">
        <v>41031</v>
      </c>
      <c r="D764" t="s">
        <v>12</v>
      </c>
      <c r="E764">
        <v>0.23874999999999999</v>
      </c>
    </row>
    <row r="765" spans="2:5">
      <c r="B765" t="s">
        <v>25</v>
      </c>
      <c r="C765" s="11">
        <v>41030</v>
      </c>
      <c r="D765" t="s">
        <v>12</v>
      </c>
      <c r="E765">
        <v>0.23874999999999999</v>
      </c>
    </row>
    <row r="766" spans="2:5">
      <c r="B766" t="s">
        <v>25</v>
      </c>
      <c r="C766" s="11">
        <v>41029</v>
      </c>
      <c r="D766" t="s">
        <v>12</v>
      </c>
      <c r="E766">
        <v>0.23874999999999999</v>
      </c>
    </row>
    <row r="767" spans="2:5">
      <c r="B767" t="s">
        <v>25</v>
      </c>
      <c r="C767" s="11">
        <v>41026</v>
      </c>
      <c r="D767" t="s">
        <v>12</v>
      </c>
      <c r="E767">
        <v>0.23874999999999999</v>
      </c>
    </row>
    <row r="768" spans="2:5">
      <c r="B768" t="s">
        <v>25</v>
      </c>
      <c r="C768" s="11">
        <v>41025</v>
      </c>
      <c r="D768" t="s">
        <v>12</v>
      </c>
      <c r="E768">
        <v>0.23874999999999999</v>
      </c>
    </row>
    <row r="769" spans="2:5">
      <c r="B769" t="s">
        <v>25</v>
      </c>
      <c r="C769" s="11">
        <v>41024</v>
      </c>
      <c r="D769" t="s">
        <v>12</v>
      </c>
      <c r="E769">
        <v>0.23874999999999999</v>
      </c>
    </row>
    <row r="770" spans="2:5">
      <c r="B770" t="s">
        <v>25</v>
      </c>
      <c r="C770" s="11">
        <v>41023</v>
      </c>
      <c r="D770" t="s">
        <v>12</v>
      </c>
      <c r="E770">
        <v>0.23874999999999999</v>
      </c>
    </row>
    <row r="771" spans="2:5">
      <c r="B771" t="s">
        <v>25</v>
      </c>
      <c r="C771" s="11">
        <v>41022</v>
      </c>
      <c r="D771" t="s">
        <v>12</v>
      </c>
      <c r="E771">
        <v>0.23874999999999999</v>
      </c>
    </row>
    <row r="772" spans="2:5">
      <c r="B772" t="s">
        <v>25</v>
      </c>
      <c r="C772" s="11">
        <v>41019</v>
      </c>
      <c r="D772" t="s">
        <v>12</v>
      </c>
      <c r="E772">
        <v>0.23974999999999999</v>
      </c>
    </row>
    <row r="773" spans="2:5">
      <c r="B773" t="s">
        <v>25</v>
      </c>
      <c r="C773" s="11">
        <v>41018</v>
      </c>
      <c r="D773" t="s">
        <v>12</v>
      </c>
      <c r="E773">
        <v>0.23974999999999999</v>
      </c>
    </row>
    <row r="774" spans="2:5">
      <c r="B774" t="s">
        <v>25</v>
      </c>
      <c r="C774" s="11">
        <v>41017</v>
      </c>
      <c r="D774" t="s">
        <v>12</v>
      </c>
      <c r="E774">
        <v>0.23974999999999999</v>
      </c>
    </row>
    <row r="775" spans="2:5">
      <c r="B775" t="s">
        <v>25</v>
      </c>
      <c r="C775" s="11">
        <v>41016</v>
      </c>
      <c r="D775" t="s">
        <v>12</v>
      </c>
      <c r="E775">
        <v>0.23974999999999999</v>
      </c>
    </row>
    <row r="776" spans="2:5">
      <c r="B776" t="s">
        <v>25</v>
      </c>
      <c r="C776" s="11">
        <v>41015</v>
      </c>
      <c r="D776" t="s">
        <v>12</v>
      </c>
      <c r="E776">
        <v>0.23974999999999999</v>
      </c>
    </row>
    <row r="777" spans="2:5">
      <c r="B777" t="s">
        <v>25</v>
      </c>
      <c r="C777" s="11">
        <v>41012</v>
      </c>
      <c r="D777" t="s">
        <v>12</v>
      </c>
      <c r="E777">
        <v>0.23974999999999999</v>
      </c>
    </row>
    <row r="778" spans="2:5">
      <c r="B778" t="s">
        <v>25</v>
      </c>
      <c r="C778" s="11">
        <v>41011</v>
      </c>
      <c r="D778" t="s">
        <v>12</v>
      </c>
      <c r="E778">
        <v>0.24024999999999999</v>
      </c>
    </row>
    <row r="779" spans="2:5">
      <c r="B779" t="s">
        <v>25</v>
      </c>
      <c r="C779" s="11">
        <v>41010</v>
      </c>
      <c r="D779" t="s">
        <v>12</v>
      </c>
      <c r="E779">
        <v>0.24024999999999999</v>
      </c>
    </row>
    <row r="780" spans="2:5">
      <c r="B780" t="s">
        <v>25</v>
      </c>
      <c r="C780" s="11">
        <v>41009</v>
      </c>
      <c r="D780" t="s">
        <v>12</v>
      </c>
      <c r="E780">
        <v>0.24024999999999999</v>
      </c>
    </row>
    <row r="781" spans="2:5">
      <c r="B781" t="s">
        <v>25</v>
      </c>
      <c r="C781" s="11">
        <v>41008</v>
      </c>
      <c r="D781" t="s">
        <v>12</v>
      </c>
      <c r="E781">
        <v>0.24124999999999999</v>
      </c>
    </row>
    <row r="782" spans="2:5">
      <c r="B782" t="s">
        <v>25</v>
      </c>
      <c r="C782" s="11">
        <v>41005</v>
      </c>
      <c r="D782" t="s">
        <v>12</v>
      </c>
      <c r="E782">
        <v>0.24124999999999999</v>
      </c>
    </row>
    <row r="783" spans="2:5">
      <c r="B783" t="s">
        <v>25</v>
      </c>
      <c r="C783" s="11">
        <v>41004</v>
      </c>
      <c r="D783" t="s">
        <v>12</v>
      </c>
      <c r="E783">
        <v>0.24124999999999999</v>
      </c>
    </row>
    <row r="784" spans="2:5">
      <c r="B784" t="s">
        <v>25</v>
      </c>
      <c r="C784" s="11">
        <v>41003</v>
      </c>
      <c r="D784" t="s">
        <v>12</v>
      </c>
      <c r="E784">
        <v>0.24124999999999999</v>
      </c>
    </row>
    <row r="785" spans="2:5">
      <c r="B785" t="s">
        <v>25</v>
      </c>
      <c r="C785" s="11">
        <v>41002</v>
      </c>
      <c r="D785" t="s">
        <v>12</v>
      </c>
      <c r="E785">
        <v>0.24124999999999999</v>
      </c>
    </row>
    <row r="786" spans="2:5">
      <c r="B786" t="s">
        <v>25</v>
      </c>
      <c r="C786" s="11">
        <v>41001</v>
      </c>
      <c r="D786" t="s">
        <v>12</v>
      </c>
      <c r="E786">
        <v>0.24124999999999999</v>
      </c>
    </row>
    <row r="787" spans="2:5">
      <c r="B787" t="s">
        <v>25</v>
      </c>
      <c r="C787" s="11">
        <v>40998</v>
      </c>
      <c r="D787" t="s">
        <v>12</v>
      </c>
      <c r="E787">
        <v>0.24124999999999999</v>
      </c>
    </row>
    <row r="788" spans="2:5">
      <c r="B788" t="s">
        <v>25</v>
      </c>
      <c r="C788" s="11">
        <v>40997</v>
      </c>
      <c r="D788" t="s">
        <v>12</v>
      </c>
      <c r="E788">
        <v>0.24124999999999999</v>
      </c>
    </row>
    <row r="789" spans="2:5">
      <c r="B789" t="s">
        <v>25</v>
      </c>
      <c r="C789" s="11">
        <v>40996</v>
      </c>
      <c r="D789" t="s">
        <v>12</v>
      </c>
      <c r="E789">
        <v>0.24124999999999999</v>
      </c>
    </row>
    <row r="790" spans="2:5">
      <c r="B790" t="s">
        <v>25</v>
      </c>
      <c r="C790" s="11">
        <v>40995</v>
      </c>
      <c r="D790" t="s">
        <v>12</v>
      </c>
      <c r="E790">
        <v>0.24124999999999999</v>
      </c>
    </row>
    <row r="791" spans="2:5">
      <c r="B791" t="s">
        <v>25</v>
      </c>
      <c r="C791" s="11">
        <v>40994</v>
      </c>
      <c r="D791" t="s">
        <v>12</v>
      </c>
      <c r="E791">
        <v>0.24124999999999999</v>
      </c>
    </row>
    <row r="792" spans="2:5">
      <c r="B792" t="s">
        <v>25</v>
      </c>
      <c r="C792" s="11">
        <v>40991</v>
      </c>
      <c r="D792" t="s">
        <v>12</v>
      </c>
      <c r="E792">
        <v>0.24124999999999999</v>
      </c>
    </row>
    <row r="793" spans="2:5">
      <c r="B793" t="s">
        <v>25</v>
      </c>
      <c r="C793" s="11">
        <v>40990</v>
      </c>
      <c r="D793" t="s">
        <v>12</v>
      </c>
      <c r="E793">
        <v>0.24174999999999999</v>
      </c>
    </row>
    <row r="794" spans="2:5">
      <c r="B794" t="s">
        <v>25</v>
      </c>
      <c r="C794" s="11">
        <v>40989</v>
      </c>
      <c r="D794" t="s">
        <v>12</v>
      </c>
      <c r="E794">
        <v>0.24174999999999999</v>
      </c>
    </row>
    <row r="795" spans="2:5">
      <c r="B795" t="s">
        <v>25</v>
      </c>
      <c r="C795" s="11">
        <v>40988</v>
      </c>
      <c r="D795" t="s">
        <v>12</v>
      </c>
      <c r="E795">
        <v>0.24174999999999999</v>
      </c>
    </row>
    <row r="796" spans="2:5">
      <c r="B796" t="s">
        <v>25</v>
      </c>
      <c r="C796" s="11">
        <v>40987</v>
      </c>
      <c r="D796" t="s">
        <v>12</v>
      </c>
      <c r="E796">
        <v>0.24174999999999999</v>
      </c>
    </row>
    <row r="797" spans="2:5">
      <c r="B797" t="s">
        <v>25</v>
      </c>
      <c r="C797" s="11">
        <v>40984</v>
      </c>
      <c r="D797" t="s">
        <v>12</v>
      </c>
      <c r="E797">
        <v>0.24174999999999999</v>
      </c>
    </row>
    <row r="798" spans="2:5">
      <c r="B798" t="s">
        <v>25</v>
      </c>
      <c r="C798" s="11">
        <v>40983</v>
      </c>
      <c r="D798" t="s">
        <v>12</v>
      </c>
      <c r="E798">
        <v>0.24174999999999999</v>
      </c>
    </row>
    <row r="799" spans="2:5">
      <c r="B799" t="s">
        <v>25</v>
      </c>
      <c r="C799" s="11">
        <v>40982</v>
      </c>
      <c r="D799" t="s">
        <v>12</v>
      </c>
      <c r="E799">
        <v>0.24174999999999999</v>
      </c>
    </row>
    <row r="800" spans="2:5">
      <c r="B800" t="s">
        <v>25</v>
      </c>
      <c r="C800" s="11">
        <v>40981</v>
      </c>
      <c r="D800" t="s">
        <v>12</v>
      </c>
      <c r="E800">
        <v>0.24174999999999999</v>
      </c>
    </row>
    <row r="801" spans="2:5">
      <c r="B801" t="s">
        <v>25</v>
      </c>
      <c r="C801" s="11">
        <v>40980</v>
      </c>
      <c r="D801" t="s">
        <v>12</v>
      </c>
      <c r="E801">
        <v>0.24174999999999999</v>
      </c>
    </row>
    <row r="802" spans="2:5">
      <c r="B802" t="s">
        <v>25</v>
      </c>
      <c r="C802" s="11">
        <v>40977</v>
      </c>
      <c r="D802" t="s">
        <v>12</v>
      </c>
      <c r="E802">
        <v>0.24174999999999999</v>
      </c>
    </row>
    <row r="803" spans="2:5">
      <c r="B803" t="s">
        <v>25</v>
      </c>
      <c r="C803" s="11">
        <v>40976</v>
      </c>
      <c r="D803" t="s">
        <v>12</v>
      </c>
      <c r="E803">
        <v>0.24174999999999999</v>
      </c>
    </row>
    <row r="804" spans="2:5">
      <c r="B804" t="s">
        <v>25</v>
      </c>
      <c r="C804" s="11">
        <v>40975</v>
      </c>
      <c r="D804" t="s">
        <v>12</v>
      </c>
      <c r="E804">
        <v>0.24274999999999999</v>
      </c>
    </row>
    <row r="805" spans="2:5">
      <c r="B805" t="s">
        <v>25</v>
      </c>
      <c r="C805" s="11">
        <v>40974</v>
      </c>
      <c r="D805" t="s">
        <v>12</v>
      </c>
      <c r="E805">
        <v>0.24274999999999999</v>
      </c>
    </row>
    <row r="806" spans="2:5">
      <c r="B806" t="s">
        <v>25</v>
      </c>
      <c r="C806" s="11">
        <v>40973</v>
      </c>
      <c r="D806" t="s">
        <v>12</v>
      </c>
      <c r="E806">
        <v>0.24274999999999999</v>
      </c>
    </row>
    <row r="807" spans="2:5">
      <c r="B807" t="s">
        <v>25</v>
      </c>
      <c r="C807" s="11">
        <v>40970</v>
      </c>
      <c r="D807" t="s">
        <v>12</v>
      </c>
      <c r="E807">
        <v>0.24274999999999999</v>
      </c>
    </row>
    <row r="808" spans="2:5">
      <c r="B808" t="s">
        <v>25</v>
      </c>
      <c r="C808" s="11">
        <v>40969</v>
      </c>
      <c r="D808" t="s">
        <v>12</v>
      </c>
      <c r="E808">
        <v>0.24299999999999999</v>
      </c>
    </row>
    <row r="809" spans="2:5">
      <c r="B809" t="s">
        <v>25</v>
      </c>
      <c r="C809" s="11">
        <v>40968</v>
      </c>
      <c r="D809" t="s">
        <v>12</v>
      </c>
      <c r="E809">
        <v>0.24349999999999999</v>
      </c>
    </row>
    <row r="810" spans="2:5">
      <c r="B810" t="s">
        <v>25</v>
      </c>
      <c r="C810" s="11">
        <v>40967</v>
      </c>
      <c r="D810" t="s">
        <v>12</v>
      </c>
      <c r="E810">
        <v>0.24399999999999999</v>
      </c>
    </row>
    <row r="811" spans="2:5">
      <c r="B811" t="s">
        <v>25</v>
      </c>
      <c r="C811" s="11">
        <v>40966</v>
      </c>
      <c r="D811" t="s">
        <v>12</v>
      </c>
      <c r="E811">
        <v>0.24399999999999999</v>
      </c>
    </row>
    <row r="812" spans="2:5">
      <c r="B812" t="s">
        <v>25</v>
      </c>
      <c r="C812" s="11">
        <v>40963</v>
      </c>
      <c r="D812" t="s">
        <v>12</v>
      </c>
      <c r="E812">
        <v>0.24399999999999999</v>
      </c>
    </row>
    <row r="813" spans="2:5">
      <c r="B813" t="s">
        <v>25</v>
      </c>
      <c r="C813" s="11">
        <v>40962</v>
      </c>
      <c r="D813" t="s">
        <v>12</v>
      </c>
      <c r="E813">
        <v>0.24399999999999999</v>
      </c>
    </row>
    <row r="814" spans="2:5">
      <c r="B814" t="s">
        <v>25</v>
      </c>
      <c r="C814" s="11">
        <v>40961</v>
      </c>
      <c r="D814" t="s">
        <v>12</v>
      </c>
      <c r="E814">
        <v>0.2445</v>
      </c>
    </row>
    <row r="815" spans="2:5">
      <c r="B815" t="s">
        <v>25</v>
      </c>
      <c r="C815" s="11">
        <v>40960</v>
      </c>
      <c r="D815" t="s">
        <v>12</v>
      </c>
      <c r="E815">
        <v>0.2455</v>
      </c>
    </row>
    <row r="816" spans="2:5">
      <c r="B816" t="s">
        <v>25</v>
      </c>
      <c r="C816" s="11">
        <v>40956</v>
      </c>
      <c r="D816" t="s">
        <v>12</v>
      </c>
      <c r="E816">
        <v>0.2455</v>
      </c>
    </row>
    <row r="817" spans="2:5">
      <c r="B817" t="s">
        <v>25</v>
      </c>
      <c r="C817" s="11">
        <v>40955</v>
      </c>
      <c r="D817" t="s">
        <v>12</v>
      </c>
      <c r="E817">
        <v>0.2455</v>
      </c>
    </row>
    <row r="818" spans="2:5">
      <c r="B818" t="s">
        <v>25</v>
      </c>
      <c r="C818" s="11">
        <v>40954</v>
      </c>
      <c r="D818" t="s">
        <v>12</v>
      </c>
      <c r="E818">
        <v>0.246</v>
      </c>
    </row>
    <row r="819" spans="2:5">
      <c r="B819" t="s">
        <v>25</v>
      </c>
      <c r="C819" s="11">
        <v>40953</v>
      </c>
      <c r="D819" t="s">
        <v>12</v>
      </c>
      <c r="E819">
        <v>0.2475</v>
      </c>
    </row>
    <row r="820" spans="2:5">
      <c r="B820" t="s">
        <v>25</v>
      </c>
      <c r="C820" s="11">
        <v>40952</v>
      </c>
      <c r="D820" t="s">
        <v>12</v>
      </c>
      <c r="E820">
        <v>0.2485</v>
      </c>
    </row>
    <row r="821" spans="2:5">
      <c r="B821" t="s">
        <v>25</v>
      </c>
      <c r="C821" s="11">
        <v>40949</v>
      </c>
      <c r="D821" t="s">
        <v>12</v>
      </c>
      <c r="E821">
        <v>0.2505</v>
      </c>
    </row>
    <row r="822" spans="2:5">
      <c r="B822" t="s">
        <v>25</v>
      </c>
      <c r="C822" s="11">
        <v>40948</v>
      </c>
      <c r="D822" t="s">
        <v>12</v>
      </c>
      <c r="E822">
        <v>0.2535</v>
      </c>
    </row>
    <row r="823" spans="2:5">
      <c r="B823" t="s">
        <v>25</v>
      </c>
      <c r="C823" s="11">
        <v>40947</v>
      </c>
      <c r="D823" t="s">
        <v>12</v>
      </c>
      <c r="E823">
        <v>0.25474999999999998</v>
      </c>
    </row>
    <row r="824" spans="2:5">
      <c r="B824" t="s">
        <v>25</v>
      </c>
      <c r="C824" s="11">
        <v>40946</v>
      </c>
      <c r="D824" t="s">
        <v>12</v>
      </c>
      <c r="E824">
        <v>0.25700000000000001</v>
      </c>
    </row>
    <row r="825" spans="2:5">
      <c r="B825" t="s">
        <v>25</v>
      </c>
      <c r="C825" s="11">
        <v>40945</v>
      </c>
      <c r="D825" t="s">
        <v>12</v>
      </c>
      <c r="E825">
        <v>0.25974999999999998</v>
      </c>
    </row>
    <row r="826" spans="2:5">
      <c r="B826" t="s">
        <v>25</v>
      </c>
      <c r="C826" s="11">
        <v>40942</v>
      </c>
      <c r="D826" t="s">
        <v>12</v>
      </c>
      <c r="E826">
        <v>0.26050000000000001</v>
      </c>
    </row>
    <row r="827" spans="2:5">
      <c r="B827" t="s">
        <v>25</v>
      </c>
      <c r="C827" s="11">
        <v>40941</v>
      </c>
      <c r="D827" t="s">
        <v>12</v>
      </c>
      <c r="E827">
        <v>0.26250000000000001</v>
      </c>
    </row>
    <row r="828" spans="2:5">
      <c r="B828" t="s">
        <v>25</v>
      </c>
      <c r="C828" s="11">
        <v>40940</v>
      </c>
      <c r="D828" t="s">
        <v>12</v>
      </c>
      <c r="E828">
        <v>0.26400000000000001</v>
      </c>
    </row>
    <row r="829" spans="2:5">
      <c r="B829" t="s">
        <v>25</v>
      </c>
      <c r="C829" s="11">
        <v>40939</v>
      </c>
      <c r="D829" t="s">
        <v>12</v>
      </c>
      <c r="E829">
        <v>0.26474999999999999</v>
      </c>
    </row>
    <row r="830" spans="2:5">
      <c r="B830" t="s">
        <v>25</v>
      </c>
      <c r="C830" s="11">
        <v>40938</v>
      </c>
      <c r="D830" t="s">
        <v>12</v>
      </c>
      <c r="E830">
        <v>0.26774999999999999</v>
      </c>
    </row>
    <row r="831" spans="2:5">
      <c r="B831" t="s">
        <v>25</v>
      </c>
      <c r="C831" s="11">
        <v>40935</v>
      </c>
      <c r="D831" t="s">
        <v>12</v>
      </c>
      <c r="E831">
        <v>0.27</v>
      </c>
    </row>
    <row r="832" spans="2:5">
      <c r="B832" t="s">
        <v>25</v>
      </c>
      <c r="C832" s="11">
        <v>40934</v>
      </c>
      <c r="D832" t="s">
        <v>12</v>
      </c>
      <c r="E832">
        <v>0.27050000000000002</v>
      </c>
    </row>
    <row r="833" spans="2:5">
      <c r="B833" t="s">
        <v>25</v>
      </c>
      <c r="C833" s="11">
        <v>40933</v>
      </c>
      <c r="D833" t="s">
        <v>12</v>
      </c>
      <c r="E833">
        <v>0.27279999999999999</v>
      </c>
    </row>
    <row r="834" spans="2:5">
      <c r="B834" t="s">
        <v>25</v>
      </c>
      <c r="C834" s="11">
        <v>40932</v>
      </c>
      <c r="D834" t="s">
        <v>12</v>
      </c>
      <c r="E834">
        <v>0.27529999999999999</v>
      </c>
    </row>
    <row r="835" spans="2:5">
      <c r="B835" t="s">
        <v>25</v>
      </c>
      <c r="C835" s="11">
        <v>40931</v>
      </c>
      <c r="D835" t="s">
        <v>12</v>
      </c>
      <c r="E835">
        <v>0.27629999999999999</v>
      </c>
    </row>
    <row r="836" spans="2:5">
      <c r="B836" t="s">
        <v>25</v>
      </c>
      <c r="C836" s="11">
        <v>40928</v>
      </c>
      <c r="D836" t="s">
        <v>12</v>
      </c>
      <c r="E836">
        <v>0.27729999999999999</v>
      </c>
    </row>
    <row r="837" spans="2:5">
      <c r="B837" t="s">
        <v>25</v>
      </c>
      <c r="C837" s="11">
        <v>40927</v>
      </c>
      <c r="D837" t="s">
        <v>12</v>
      </c>
      <c r="E837">
        <v>0.27889999999999998</v>
      </c>
    </row>
    <row r="838" spans="2:5">
      <c r="B838" t="s">
        <v>25</v>
      </c>
      <c r="C838" s="11">
        <v>40926</v>
      </c>
      <c r="D838" t="s">
        <v>12</v>
      </c>
      <c r="E838">
        <v>0.28089999999999998</v>
      </c>
    </row>
    <row r="839" spans="2:5">
      <c r="B839" t="s">
        <v>25</v>
      </c>
      <c r="C839" s="11">
        <v>40925</v>
      </c>
      <c r="D839" t="s">
        <v>12</v>
      </c>
      <c r="E839">
        <v>0.28100000000000003</v>
      </c>
    </row>
    <row r="840" spans="2:5">
      <c r="B840" t="s">
        <v>25</v>
      </c>
      <c r="C840" s="11">
        <v>40921</v>
      </c>
      <c r="D840" t="s">
        <v>12</v>
      </c>
      <c r="E840">
        <v>0.28510000000000002</v>
      </c>
    </row>
    <row r="841" spans="2:5">
      <c r="B841" t="s">
        <v>25</v>
      </c>
      <c r="C841" s="11">
        <v>40920</v>
      </c>
      <c r="D841" t="s">
        <v>12</v>
      </c>
      <c r="E841">
        <v>0.28960000000000002</v>
      </c>
    </row>
    <row r="842" spans="2:5">
      <c r="B842" t="s">
        <v>25</v>
      </c>
      <c r="C842" s="11">
        <v>40919</v>
      </c>
      <c r="D842" t="s">
        <v>12</v>
      </c>
      <c r="E842">
        <v>0.29470000000000002</v>
      </c>
    </row>
    <row r="843" spans="2:5">
      <c r="B843" t="s">
        <v>25</v>
      </c>
      <c r="C843" s="11">
        <v>40918</v>
      </c>
      <c r="D843" t="s">
        <v>12</v>
      </c>
      <c r="E843">
        <v>0.29580000000000001</v>
      </c>
    </row>
    <row r="844" spans="2:5">
      <c r="B844" t="s">
        <v>25</v>
      </c>
      <c r="C844" s="11">
        <v>40917</v>
      </c>
      <c r="D844" t="s">
        <v>12</v>
      </c>
      <c r="E844">
        <v>0.29630000000000001</v>
      </c>
    </row>
    <row r="845" spans="2:5">
      <c r="B845" t="s">
        <v>25</v>
      </c>
      <c r="C845" s="11">
        <v>40914</v>
      </c>
      <c r="D845" t="s">
        <v>12</v>
      </c>
      <c r="E845">
        <v>0.29630000000000001</v>
      </c>
    </row>
    <row r="846" spans="2:5">
      <c r="B846" t="s">
        <v>25</v>
      </c>
      <c r="C846" s="11">
        <v>40913</v>
      </c>
      <c r="D846" t="s">
        <v>12</v>
      </c>
      <c r="E846">
        <v>0.29530000000000001</v>
      </c>
    </row>
    <row r="847" spans="2:5">
      <c r="B847" t="s">
        <v>25</v>
      </c>
      <c r="C847" s="11">
        <v>40912</v>
      </c>
      <c r="D847" t="s">
        <v>12</v>
      </c>
      <c r="E847">
        <v>0.29530000000000001</v>
      </c>
    </row>
    <row r="848" spans="2:5">
      <c r="B848" t="s">
        <v>25</v>
      </c>
      <c r="C848" s="11">
        <v>40911</v>
      </c>
      <c r="D848" t="s">
        <v>12</v>
      </c>
      <c r="E848">
        <v>0.29530000000000001</v>
      </c>
    </row>
    <row r="849" spans="2:5">
      <c r="B849" t="s">
        <v>25</v>
      </c>
      <c r="C849" s="11">
        <v>40907</v>
      </c>
      <c r="D849" t="s">
        <v>12</v>
      </c>
      <c r="E849">
        <v>0.29530000000000001</v>
      </c>
    </row>
    <row r="850" spans="2:5">
      <c r="B850" t="s">
        <v>25</v>
      </c>
      <c r="C850" s="11">
        <v>40906</v>
      </c>
      <c r="D850" t="s">
        <v>12</v>
      </c>
      <c r="E850">
        <v>0.29530000000000001</v>
      </c>
    </row>
    <row r="851" spans="2:5">
      <c r="B851" t="s">
        <v>25</v>
      </c>
      <c r="C851" s="11">
        <v>40905</v>
      </c>
      <c r="D851" t="s">
        <v>12</v>
      </c>
      <c r="E851">
        <v>0.29630000000000001</v>
      </c>
    </row>
    <row r="852" spans="2:5">
      <c r="B852" t="s">
        <v>25</v>
      </c>
      <c r="C852" s="11">
        <v>40904</v>
      </c>
      <c r="D852" t="s">
        <v>12</v>
      </c>
      <c r="E852">
        <v>0.29394999999999999</v>
      </c>
    </row>
    <row r="853" spans="2:5">
      <c r="B853" t="s">
        <v>25</v>
      </c>
      <c r="C853" s="11">
        <v>40900</v>
      </c>
      <c r="D853" t="s">
        <v>12</v>
      </c>
      <c r="E853">
        <v>0.29394999999999999</v>
      </c>
    </row>
    <row r="854" spans="2:5">
      <c r="B854" t="s">
        <v>25</v>
      </c>
      <c r="C854" s="11">
        <v>40899</v>
      </c>
      <c r="D854" t="s">
        <v>12</v>
      </c>
      <c r="E854">
        <v>0.29360000000000003</v>
      </c>
    </row>
    <row r="855" spans="2:5">
      <c r="B855" t="s">
        <v>25</v>
      </c>
      <c r="C855" s="11">
        <v>40898</v>
      </c>
      <c r="D855" t="s">
        <v>12</v>
      </c>
      <c r="E855">
        <v>0.29185</v>
      </c>
    </row>
    <row r="856" spans="2:5">
      <c r="B856" t="s">
        <v>25</v>
      </c>
      <c r="C856" s="11">
        <v>40897</v>
      </c>
      <c r="D856" t="s">
        <v>12</v>
      </c>
      <c r="E856">
        <v>0.29060000000000002</v>
      </c>
    </row>
    <row r="857" spans="2:5">
      <c r="B857" t="s">
        <v>25</v>
      </c>
      <c r="C857" s="11">
        <v>40896</v>
      </c>
      <c r="D857" t="s">
        <v>12</v>
      </c>
      <c r="E857">
        <v>0.28734999999999999</v>
      </c>
    </row>
    <row r="858" spans="2:5">
      <c r="B858" t="s">
        <v>25</v>
      </c>
      <c r="C858" s="11">
        <v>40893</v>
      </c>
      <c r="D858" t="s">
        <v>12</v>
      </c>
      <c r="E858">
        <v>0.28484999999999999</v>
      </c>
    </row>
    <row r="859" spans="2:5">
      <c r="B859" t="s">
        <v>25</v>
      </c>
      <c r="C859" s="11">
        <v>40892</v>
      </c>
      <c r="D859" t="s">
        <v>12</v>
      </c>
      <c r="E859">
        <v>0.28460000000000002</v>
      </c>
    </row>
    <row r="860" spans="2:5">
      <c r="B860" t="s">
        <v>25</v>
      </c>
      <c r="C860" s="11">
        <v>40891</v>
      </c>
      <c r="D860" t="s">
        <v>12</v>
      </c>
      <c r="E860">
        <v>0.28255000000000002</v>
      </c>
    </row>
    <row r="861" spans="2:5">
      <c r="B861" t="s">
        <v>25</v>
      </c>
      <c r="C861" s="11">
        <v>40890</v>
      </c>
      <c r="D861" t="s">
        <v>12</v>
      </c>
      <c r="E861">
        <v>0.27829999999999999</v>
      </c>
    </row>
    <row r="862" spans="2:5">
      <c r="B862" t="s">
        <v>25</v>
      </c>
      <c r="C862" s="11">
        <v>40889</v>
      </c>
      <c r="D862" t="s">
        <v>12</v>
      </c>
      <c r="E862">
        <v>0.27755000000000002</v>
      </c>
    </row>
    <row r="863" spans="2:5">
      <c r="B863" t="s">
        <v>25</v>
      </c>
      <c r="C863" s="11">
        <v>40886</v>
      </c>
      <c r="D863" t="s">
        <v>12</v>
      </c>
      <c r="E863">
        <v>0.27655000000000002</v>
      </c>
    </row>
    <row r="864" spans="2:5">
      <c r="B864" t="s">
        <v>25</v>
      </c>
      <c r="C864" s="11">
        <v>40885</v>
      </c>
      <c r="D864" t="s">
        <v>12</v>
      </c>
      <c r="E864">
        <v>0.27629999999999999</v>
      </c>
    </row>
    <row r="865" spans="2:5">
      <c r="B865" t="s">
        <v>25</v>
      </c>
      <c r="C865" s="11">
        <v>40884</v>
      </c>
      <c r="D865" t="s">
        <v>12</v>
      </c>
      <c r="E865">
        <v>0.27629999999999999</v>
      </c>
    </row>
    <row r="866" spans="2:5">
      <c r="B866" t="s">
        <v>25</v>
      </c>
      <c r="C866" s="11">
        <v>40883</v>
      </c>
      <c r="D866" t="s">
        <v>12</v>
      </c>
      <c r="E866">
        <v>0.27505000000000002</v>
      </c>
    </row>
    <row r="867" spans="2:5">
      <c r="B867" t="s">
        <v>25</v>
      </c>
      <c r="C867" s="11">
        <v>40882</v>
      </c>
      <c r="D867" t="s">
        <v>12</v>
      </c>
      <c r="E867">
        <v>0.27410000000000001</v>
      </c>
    </row>
    <row r="868" spans="2:5">
      <c r="B868" t="s">
        <v>25</v>
      </c>
      <c r="C868" s="11">
        <v>40879</v>
      </c>
      <c r="D868" t="s">
        <v>12</v>
      </c>
      <c r="E868">
        <v>0.27033000000000001</v>
      </c>
    </row>
    <row r="869" spans="2:5">
      <c r="B869" t="s">
        <v>25</v>
      </c>
      <c r="C869" s="11">
        <v>40878</v>
      </c>
      <c r="D869" t="s">
        <v>12</v>
      </c>
      <c r="E869">
        <v>0.27144000000000001</v>
      </c>
    </row>
    <row r="870" spans="2:5">
      <c r="B870" t="s">
        <v>25</v>
      </c>
      <c r="C870" s="11">
        <v>40877</v>
      </c>
      <c r="D870" t="s">
        <v>12</v>
      </c>
      <c r="E870">
        <v>0.27144000000000001</v>
      </c>
    </row>
    <row r="871" spans="2:5">
      <c r="B871" t="s">
        <v>25</v>
      </c>
      <c r="C871" s="11">
        <v>40876</v>
      </c>
      <c r="D871" t="s">
        <v>12</v>
      </c>
      <c r="E871">
        <v>0.27022000000000002</v>
      </c>
    </row>
    <row r="872" spans="2:5">
      <c r="B872" t="s">
        <v>25</v>
      </c>
      <c r="C872" s="11">
        <v>40875</v>
      </c>
      <c r="D872" t="s">
        <v>12</v>
      </c>
      <c r="E872">
        <v>0.26</v>
      </c>
    </row>
    <row r="873" spans="2:5">
      <c r="B873" t="s">
        <v>25</v>
      </c>
      <c r="C873" s="11">
        <v>40872</v>
      </c>
      <c r="D873" t="s">
        <v>12</v>
      </c>
      <c r="E873">
        <v>0.25944</v>
      </c>
    </row>
    <row r="874" spans="2:5">
      <c r="B874" t="s">
        <v>25</v>
      </c>
      <c r="C874" s="11">
        <v>40870</v>
      </c>
      <c r="D874" t="s">
        <v>12</v>
      </c>
      <c r="E874">
        <v>0.25722</v>
      </c>
    </row>
    <row r="875" spans="2:5">
      <c r="B875" t="s">
        <v>25</v>
      </c>
      <c r="C875" s="11">
        <v>40869</v>
      </c>
      <c r="D875" t="s">
        <v>12</v>
      </c>
      <c r="E875">
        <v>0.25722</v>
      </c>
    </row>
    <row r="876" spans="2:5">
      <c r="B876" t="s">
        <v>25</v>
      </c>
      <c r="C876" s="11">
        <v>40868</v>
      </c>
      <c r="D876" t="s">
        <v>12</v>
      </c>
      <c r="E876">
        <v>0.25667000000000001</v>
      </c>
    </row>
    <row r="877" spans="2:5">
      <c r="B877" t="s">
        <v>25</v>
      </c>
      <c r="C877" s="11">
        <v>40865</v>
      </c>
      <c r="D877" t="s">
        <v>12</v>
      </c>
      <c r="E877">
        <v>0.25656000000000001</v>
      </c>
    </row>
    <row r="878" spans="2:5">
      <c r="B878" t="s">
        <v>25</v>
      </c>
      <c r="C878" s="11">
        <v>40864</v>
      </c>
      <c r="D878" t="s">
        <v>12</v>
      </c>
      <c r="E878">
        <v>0.25478000000000001</v>
      </c>
    </row>
    <row r="879" spans="2:5">
      <c r="B879" t="s">
        <v>25</v>
      </c>
      <c r="C879" s="11">
        <v>40863</v>
      </c>
      <c r="D879" t="s">
        <v>12</v>
      </c>
      <c r="E879">
        <v>0.25172</v>
      </c>
    </row>
    <row r="880" spans="2:5">
      <c r="B880" t="s">
        <v>25</v>
      </c>
      <c r="C880" s="11">
        <v>40862</v>
      </c>
      <c r="D880" t="s">
        <v>12</v>
      </c>
      <c r="E880">
        <v>0.25172</v>
      </c>
    </row>
    <row r="881" spans="2:5">
      <c r="B881" t="s">
        <v>25</v>
      </c>
      <c r="C881" s="11">
        <v>40861</v>
      </c>
      <c r="D881" t="s">
        <v>12</v>
      </c>
      <c r="E881">
        <v>0.25022</v>
      </c>
    </row>
    <row r="882" spans="2:5">
      <c r="B882" t="s">
        <v>25</v>
      </c>
      <c r="C882" s="11">
        <v>40857</v>
      </c>
      <c r="D882" t="s">
        <v>12</v>
      </c>
      <c r="E882">
        <v>0.24789</v>
      </c>
    </row>
    <row r="883" spans="2:5">
      <c r="B883" t="s">
        <v>25</v>
      </c>
      <c r="C883" s="11">
        <v>40856</v>
      </c>
      <c r="D883" t="s">
        <v>12</v>
      </c>
      <c r="E883">
        <v>0.24778</v>
      </c>
    </row>
    <row r="884" spans="2:5">
      <c r="B884" t="s">
        <v>25</v>
      </c>
      <c r="C884" s="11">
        <v>40855</v>
      </c>
      <c r="D884" t="s">
        <v>12</v>
      </c>
      <c r="E884">
        <v>0.24778</v>
      </c>
    </row>
    <row r="885" spans="2:5">
      <c r="B885" t="s">
        <v>25</v>
      </c>
      <c r="C885" s="11">
        <v>40854</v>
      </c>
      <c r="D885" t="s">
        <v>12</v>
      </c>
      <c r="E885">
        <v>0.24778</v>
      </c>
    </row>
    <row r="886" spans="2:5">
      <c r="B886" t="s">
        <v>25</v>
      </c>
      <c r="C886" s="11">
        <v>40851</v>
      </c>
      <c r="D886" t="s">
        <v>12</v>
      </c>
      <c r="E886">
        <v>0.2475</v>
      </c>
    </row>
    <row r="887" spans="2:5">
      <c r="B887" t="s">
        <v>25</v>
      </c>
      <c r="C887" s="11">
        <v>40850</v>
      </c>
      <c r="D887" t="s">
        <v>12</v>
      </c>
      <c r="E887">
        <v>0.2475</v>
      </c>
    </row>
    <row r="888" spans="2:5">
      <c r="B888" t="s">
        <v>25</v>
      </c>
      <c r="C888" s="11">
        <v>40849</v>
      </c>
      <c r="D888" t="s">
        <v>12</v>
      </c>
      <c r="E888">
        <v>0.24528</v>
      </c>
    </row>
    <row r="889" spans="2:5">
      <c r="B889" t="s">
        <v>25</v>
      </c>
      <c r="C889" s="11">
        <v>40848</v>
      </c>
      <c r="D889" t="s">
        <v>12</v>
      </c>
      <c r="E889">
        <v>0.24528</v>
      </c>
    </row>
    <row r="890" spans="2:5">
      <c r="B890" t="s">
        <v>25</v>
      </c>
      <c r="C890" s="11">
        <v>40847</v>
      </c>
      <c r="D890" t="s">
        <v>12</v>
      </c>
      <c r="E890">
        <v>0.24528</v>
      </c>
    </row>
    <row r="891" spans="2:5">
      <c r="B891" t="s">
        <v>25</v>
      </c>
      <c r="C891" s="11">
        <v>40844</v>
      </c>
      <c r="D891" t="s">
        <v>12</v>
      </c>
      <c r="E891">
        <v>0.24582999999999999</v>
      </c>
    </row>
    <row r="892" spans="2:5">
      <c r="B892" t="s">
        <v>25</v>
      </c>
      <c r="C892" s="11">
        <v>40843</v>
      </c>
      <c r="D892" t="s">
        <v>12</v>
      </c>
      <c r="E892">
        <v>0.24582999999999999</v>
      </c>
    </row>
    <row r="893" spans="2:5">
      <c r="B893" t="s">
        <v>25</v>
      </c>
      <c r="C893" s="11">
        <v>40842</v>
      </c>
      <c r="D893" t="s">
        <v>12</v>
      </c>
      <c r="E893">
        <v>0.24582999999999999</v>
      </c>
    </row>
    <row r="894" spans="2:5">
      <c r="B894" t="s">
        <v>25</v>
      </c>
      <c r="C894" s="11">
        <v>40841</v>
      </c>
      <c r="D894" t="s">
        <v>12</v>
      </c>
      <c r="E894">
        <v>0.24471999999999999</v>
      </c>
    </row>
    <row r="895" spans="2:5">
      <c r="B895" t="s">
        <v>25</v>
      </c>
      <c r="C895" s="11">
        <v>40840</v>
      </c>
      <c r="D895" t="s">
        <v>12</v>
      </c>
      <c r="E895">
        <v>0.24471999999999999</v>
      </c>
    </row>
    <row r="896" spans="2:5">
      <c r="B896" t="s">
        <v>25</v>
      </c>
      <c r="C896" s="11">
        <v>40837</v>
      </c>
      <c r="D896" t="s">
        <v>12</v>
      </c>
      <c r="E896">
        <v>0.24471999999999999</v>
      </c>
    </row>
    <row r="897" spans="2:5">
      <c r="B897" t="s">
        <v>25</v>
      </c>
      <c r="C897" s="11">
        <v>40836</v>
      </c>
      <c r="D897" t="s">
        <v>12</v>
      </c>
      <c r="E897">
        <v>0.24471999999999999</v>
      </c>
    </row>
    <row r="898" spans="2:5">
      <c r="B898" t="s">
        <v>25</v>
      </c>
      <c r="C898" s="11">
        <v>40835</v>
      </c>
      <c r="D898" t="s">
        <v>12</v>
      </c>
      <c r="E898">
        <v>0.24471999999999999</v>
      </c>
    </row>
    <row r="899" spans="2:5">
      <c r="B899" t="s">
        <v>25</v>
      </c>
      <c r="C899" s="11">
        <v>40834</v>
      </c>
      <c r="D899" t="s">
        <v>12</v>
      </c>
      <c r="E899">
        <v>0.24471999999999999</v>
      </c>
    </row>
    <row r="900" spans="2:5">
      <c r="B900" t="s">
        <v>25</v>
      </c>
      <c r="C900" s="11">
        <v>40833</v>
      </c>
      <c r="D900" t="s">
        <v>12</v>
      </c>
      <c r="E900">
        <v>0.24443999999999999</v>
      </c>
    </row>
    <row r="901" spans="2:5">
      <c r="B901" t="s">
        <v>25</v>
      </c>
      <c r="C901" s="11">
        <v>40830</v>
      </c>
      <c r="D901" t="s">
        <v>12</v>
      </c>
      <c r="E901">
        <v>0.24332999999999999</v>
      </c>
    </row>
    <row r="902" spans="2:5">
      <c r="B902" t="s">
        <v>25</v>
      </c>
      <c r="C902" s="11">
        <v>40829</v>
      </c>
      <c r="D902" t="s">
        <v>12</v>
      </c>
      <c r="E902">
        <v>0.24332999999999999</v>
      </c>
    </row>
    <row r="903" spans="2:5">
      <c r="B903" t="s">
        <v>25</v>
      </c>
      <c r="C903" s="11">
        <v>40828</v>
      </c>
      <c r="D903" t="s">
        <v>12</v>
      </c>
      <c r="E903">
        <v>0.24321999999999999</v>
      </c>
    </row>
    <row r="904" spans="2:5">
      <c r="B904" t="s">
        <v>25</v>
      </c>
      <c r="C904" s="11">
        <v>40827</v>
      </c>
      <c r="D904" t="s">
        <v>12</v>
      </c>
      <c r="E904">
        <v>0.24310999999999999</v>
      </c>
    </row>
    <row r="905" spans="2:5">
      <c r="B905" t="s">
        <v>25</v>
      </c>
      <c r="C905" s="11">
        <v>40823</v>
      </c>
      <c r="D905" t="s">
        <v>12</v>
      </c>
      <c r="E905">
        <v>0.24288999999999999</v>
      </c>
    </row>
    <row r="906" spans="2:5">
      <c r="B906" t="s">
        <v>25</v>
      </c>
      <c r="C906" s="11">
        <v>40822</v>
      </c>
      <c r="D906" t="s">
        <v>12</v>
      </c>
      <c r="E906">
        <v>0.24232999999999999</v>
      </c>
    </row>
    <row r="907" spans="2:5">
      <c r="B907" t="s">
        <v>25</v>
      </c>
      <c r="C907" s="11">
        <v>40821</v>
      </c>
      <c r="D907" t="s">
        <v>12</v>
      </c>
      <c r="E907">
        <v>0.24067</v>
      </c>
    </row>
    <row r="908" spans="2:5">
      <c r="B908" t="s">
        <v>25</v>
      </c>
      <c r="C908" s="11">
        <v>40820</v>
      </c>
      <c r="D908" t="s">
        <v>12</v>
      </c>
      <c r="E908">
        <v>0.24110999999999999</v>
      </c>
    </row>
    <row r="909" spans="2:5">
      <c r="B909" t="s">
        <v>25</v>
      </c>
      <c r="C909" s="11">
        <v>40819</v>
      </c>
      <c r="D909" t="s">
        <v>12</v>
      </c>
      <c r="E909">
        <v>0.24</v>
      </c>
    </row>
    <row r="910" spans="2:5">
      <c r="B910" t="s">
        <v>25</v>
      </c>
      <c r="C910" s="11">
        <v>40816</v>
      </c>
      <c r="D910" t="s">
        <v>12</v>
      </c>
      <c r="E910">
        <v>0.23943999999999999</v>
      </c>
    </row>
    <row r="911" spans="2:5">
      <c r="B911" t="s">
        <v>25</v>
      </c>
      <c r="C911" s="11">
        <v>40815</v>
      </c>
      <c r="D911" t="s">
        <v>12</v>
      </c>
      <c r="E911">
        <v>0.23943999999999999</v>
      </c>
    </row>
    <row r="912" spans="2:5">
      <c r="B912" t="s">
        <v>25</v>
      </c>
      <c r="C912" s="11">
        <v>40814</v>
      </c>
      <c r="D912" t="s">
        <v>12</v>
      </c>
      <c r="E912">
        <v>0.23888999999999999</v>
      </c>
    </row>
    <row r="913" spans="2:5">
      <c r="B913" t="s">
        <v>25</v>
      </c>
      <c r="C913" s="11">
        <v>40813</v>
      </c>
      <c r="D913" t="s">
        <v>12</v>
      </c>
      <c r="E913">
        <v>0.23877999999999999</v>
      </c>
    </row>
    <row r="914" spans="2:5">
      <c r="B914" t="s">
        <v>25</v>
      </c>
      <c r="C914" s="11">
        <v>40812</v>
      </c>
      <c r="D914" t="s">
        <v>12</v>
      </c>
      <c r="E914">
        <v>0.23744000000000001</v>
      </c>
    </row>
    <row r="915" spans="2:5">
      <c r="B915" t="s">
        <v>25</v>
      </c>
      <c r="C915" s="11">
        <v>40809</v>
      </c>
      <c r="D915" t="s">
        <v>12</v>
      </c>
      <c r="E915">
        <v>0.23577999999999999</v>
      </c>
    </row>
    <row r="916" spans="2:5">
      <c r="B916" t="s">
        <v>25</v>
      </c>
      <c r="C916" s="11">
        <v>40808</v>
      </c>
      <c r="D916" t="s">
        <v>12</v>
      </c>
      <c r="E916">
        <v>0.23455999999999999</v>
      </c>
    </row>
    <row r="917" spans="2:5">
      <c r="B917" t="s">
        <v>25</v>
      </c>
      <c r="C917" s="11">
        <v>40807</v>
      </c>
      <c r="D917" t="s">
        <v>12</v>
      </c>
      <c r="E917">
        <v>0.23350000000000001</v>
      </c>
    </row>
    <row r="918" spans="2:5">
      <c r="B918" t="s">
        <v>25</v>
      </c>
      <c r="C918" s="11">
        <v>40806</v>
      </c>
      <c r="D918" t="s">
        <v>12</v>
      </c>
      <c r="E918">
        <v>0.23183000000000001</v>
      </c>
    </row>
    <row r="919" spans="2:5">
      <c r="B919" t="s">
        <v>25</v>
      </c>
      <c r="C919" s="11">
        <v>40805</v>
      </c>
      <c r="D919" t="s">
        <v>12</v>
      </c>
      <c r="E919">
        <v>0.23072000000000001</v>
      </c>
    </row>
    <row r="920" spans="2:5">
      <c r="B920" t="s">
        <v>25</v>
      </c>
      <c r="C920" s="11">
        <v>40802</v>
      </c>
      <c r="D920" t="s">
        <v>12</v>
      </c>
      <c r="E920">
        <v>0.23050000000000001</v>
      </c>
    </row>
    <row r="921" spans="2:5">
      <c r="B921" t="s">
        <v>25</v>
      </c>
      <c r="C921" s="11">
        <v>40801</v>
      </c>
      <c r="D921" t="s">
        <v>12</v>
      </c>
      <c r="E921">
        <v>0.22994000000000001</v>
      </c>
    </row>
    <row r="922" spans="2:5">
      <c r="B922" t="s">
        <v>25</v>
      </c>
      <c r="C922" s="11">
        <v>40800</v>
      </c>
      <c r="D922" t="s">
        <v>12</v>
      </c>
      <c r="E922">
        <v>0.22939000000000001</v>
      </c>
    </row>
    <row r="923" spans="2:5">
      <c r="B923" t="s">
        <v>25</v>
      </c>
      <c r="C923" s="11">
        <v>40799</v>
      </c>
      <c r="D923" t="s">
        <v>12</v>
      </c>
      <c r="E923">
        <v>0.22900000000000001</v>
      </c>
    </row>
    <row r="924" spans="2:5">
      <c r="B924" t="s">
        <v>25</v>
      </c>
      <c r="C924" s="11">
        <v>40798</v>
      </c>
      <c r="D924" t="s">
        <v>12</v>
      </c>
      <c r="E924">
        <v>0.22861000000000001</v>
      </c>
    </row>
    <row r="925" spans="2:5">
      <c r="B925" t="s">
        <v>25</v>
      </c>
      <c r="C925" s="11">
        <v>40795</v>
      </c>
      <c r="D925" t="s">
        <v>12</v>
      </c>
      <c r="E925">
        <v>0.22611000000000001</v>
      </c>
    </row>
    <row r="926" spans="2:5">
      <c r="B926" t="s">
        <v>25</v>
      </c>
      <c r="C926" s="11">
        <v>40794</v>
      </c>
      <c r="D926" t="s">
        <v>12</v>
      </c>
      <c r="E926">
        <v>0.22500000000000001</v>
      </c>
    </row>
    <row r="927" spans="2:5">
      <c r="B927" t="s">
        <v>25</v>
      </c>
      <c r="C927" s="11">
        <v>40793</v>
      </c>
      <c r="D927" t="s">
        <v>12</v>
      </c>
      <c r="E927">
        <v>0.22611000000000001</v>
      </c>
    </row>
    <row r="928" spans="2:5">
      <c r="B928" t="s">
        <v>25</v>
      </c>
      <c r="C928" s="11">
        <v>40792</v>
      </c>
      <c r="D928" t="s">
        <v>12</v>
      </c>
      <c r="E928">
        <v>0.22600000000000001</v>
      </c>
    </row>
    <row r="929" spans="2:5">
      <c r="B929" t="s">
        <v>25</v>
      </c>
      <c r="C929" s="11">
        <v>40788</v>
      </c>
      <c r="D929" t="s">
        <v>12</v>
      </c>
      <c r="E929">
        <v>0.22178</v>
      </c>
    </row>
    <row r="930" spans="2:5">
      <c r="B930" t="s">
        <v>25</v>
      </c>
      <c r="C930" s="11">
        <v>40787</v>
      </c>
      <c r="D930" t="s">
        <v>12</v>
      </c>
      <c r="E930">
        <v>0.2215</v>
      </c>
    </row>
    <row r="931" spans="2:5">
      <c r="B931" t="s">
        <v>25</v>
      </c>
      <c r="C931" s="11">
        <v>40786</v>
      </c>
      <c r="D931" t="s">
        <v>12</v>
      </c>
      <c r="E931">
        <v>0.2215</v>
      </c>
    </row>
    <row r="932" spans="2:5">
      <c r="B932" t="s">
        <v>25</v>
      </c>
      <c r="C932" s="11">
        <v>40785</v>
      </c>
      <c r="D932" t="s">
        <v>12</v>
      </c>
      <c r="E932">
        <v>0.2215</v>
      </c>
    </row>
    <row r="933" spans="2:5">
      <c r="B933" t="s">
        <v>25</v>
      </c>
      <c r="C933" s="11">
        <v>40784</v>
      </c>
      <c r="D933" t="s">
        <v>12</v>
      </c>
      <c r="E933">
        <v>0.22094</v>
      </c>
    </row>
    <row r="934" spans="2:5">
      <c r="B934" t="s">
        <v>25</v>
      </c>
      <c r="C934" s="11">
        <v>40781</v>
      </c>
      <c r="D934" t="s">
        <v>12</v>
      </c>
      <c r="E934">
        <v>0.22094</v>
      </c>
    </row>
    <row r="935" spans="2:5">
      <c r="B935" t="s">
        <v>25</v>
      </c>
      <c r="C935" s="11">
        <v>40780</v>
      </c>
      <c r="D935" t="s">
        <v>12</v>
      </c>
      <c r="E935">
        <v>0.22083</v>
      </c>
    </row>
    <row r="936" spans="2:5">
      <c r="B936" t="s">
        <v>25</v>
      </c>
      <c r="C936" s="11">
        <v>40779</v>
      </c>
      <c r="D936" t="s">
        <v>12</v>
      </c>
      <c r="E936">
        <v>0.21894</v>
      </c>
    </row>
    <row r="937" spans="2:5">
      <c r="B937" t="s">
        <v>25</v>
      </c>
      <c r="C937" s="11">
        <v>40778</v>
      </c>
      <c r="D937" t="s">
        <v>12</v>
      </c>
      <c r="E937">
        <v>0.21839</v>
      </c>
    </row>
    <row r="938" spans="2:5">
      <c r="B938" t="s">
        <v>25</v>
      </c>
      <c r="C938" s="11">
        <v>40777</v>
      </c>
      <c r="D938" t="s">
        <v>12</v>
      </c>
      <c r="E938">
        <v>0.21678</v>
      </c>
    </row>
    <row r="939" spans="2:5">
      <c r="B939" t="s">
        <v>25</v>
      </c>
      <c r="C939" s="11">
        <v>40774</v>
      </c>
      <c r="D939" t="s">
        <v>12</v>
      </c>
      <c r="E939">
        <v>0.21543999999999999</v>
      </c>
    </row>
    <row r="940" spans="2:5">
      <c r="B940" t="s">
        <v>25</v>
      </c>
      <c r="C940" s="11">
        <v>40773</v>
      </c>
      <c r="D940" t="s">
        <v>12</v>
      </c>
      <c r="E940">
        <v>0.21299999999999999</v>
      </c>
    </row>
    <row r="941" spans="2:5">
      <c r="B941" t="s">
        <v>25</v>
      </c>
      <c r="C941" s="11">
        <v>40772</v>
      </c>
      <c r="D941" t="s">
        <v>12</v>
      </c>
      <c r="E941">
        <v>0.21243999999999999</v>
      </c>
    </row>
    <row r="942" spans="2:5">
      <c r="B942" t="s">
        <v>25</v>
      </c>
      <c r="C942" s="11">
        <v>40771</v>
      </c>
      <c r="D942" t="s">
        <v>12</v>
      </c>
      <c r="E942">
        <v>0.21021999999999999</v>
      </c>
    </row>
    <row r="943" spans="2:5">
      <c r="B943" t="s">
        <v>25</v>
      </c>
      <c r="C943" s="11">
        <v>40770</v>
      </c>
      <c r="D943" t="s">
        <v>12</v>
      </c>
      <c r="E943">
        <v>0.21021999999999999</v>
      </c>
    </row>
    <row r="944" spans="2:5">
      <c r="B944" t="s">
        <v>25</v>
      </c>
      <c r="C944" s="11">
        <v>40767</v>
      </c>
      <c r="D944" t="s">
        <v>12</v>
      </c>
      <c r="E944">
        <v>0.20832999999999999</v>
      </c>
    </row>
    <row r="945" spans="2:5">
      <c r="B945" t="s">
        <v>25</v>
      </c>
      <c r="C945" s="11">
        <v>40766</v>
      </c>
      <c r="D945" t="s">
        <v>12</v>
      </c>
      <c r="E945">
        <v>0.20721999999999999</v>
      </c>
    </row>
    <row r="946" spans="2:5">
      <c r="B946" t="s">
        <v>25</v>
      </c>
      <c r="C946" s="11">
        <v>40765</v>
      </c>
      <c r="D946" t="s">
        <v>12</v>
      </c>
      <c r="E946">
        <v>0.20710999999999999</v>
      </c>
    </row>
    <row r="947" spans="2:5">
      <c r="B947" t="s">
        <v>25</v>
      </c>
      <c r="C947" s="11">
        <v>40764</v>
      </c>
      <c r="D947" t="s">
        <v>12</v>
      </c>
      <c r="E947">
        <v>0.20799999999999999</v>
      </c>
    </row>
    <row r="948" spans="2:5">
      <c r="B948" t="s">
        <v>25</v>
      </c>
      <c r="C948" s="11">
        <v>40763</v>
      </c>
      <c r="D948" t="s">
        <v>12</v>
      </c>
      <c r="E948">
        <v>0.20577999999999999</v>
      </c>
    </row>
    <row r="949" spans="2:5">
      <c r="B949" t="s">
        <v>25</v>
      </c>
      <c r="C949" s="11">
        <v>40760</v>
      </c>
      <c r="D949" t="s">
        <v>12</v>
      </c>
      <c r="E949">
        <v>0.20549999999999999</v>
      </c>
    </row>
    <row r="950" spans="2:5">
      <c r="B950" t="s">
        <v>25</v>
      </c>
      <c r="C950" s="11">
        <v>40759</v>
      </c>
      <c r="D950" t="s">
        <v>12</v>
      </c>
      <c r="E950">
        <v>0.20505999999999999</v>
      </c>
    </row>
    <row r="951" spans="2:5">
      <c r="B951" t="s">
        <v>25</v>
      </c>
      <c r="C951" s="11">
        <v>40758</v>
      </c>
      <c r="D951" t="s">
        <v>12</v>
      </c>
      <c r="E951">
        <v>0.20555999999999999</v>
      </c>
    </row>
    <row r="952" spans="2:5">
      <c r="B952" t="s">
        <v>25</v>
      </c>
      <c r="C952" s="11">
        <v>40757</v>
      </c>
      <c r="D952" t="s">
        <v>12</v>
      </c>
      <c r="E952">
        <v>0.20083000000000001</v>
      </c>
    </row>
    <row r="953" spans="2:5">
      <c r="B953" t="s">
        <v>25</v>
      </c>
      <c r="C953" s="11">
        <v>40756</v>
      </c>
      <c r="D953" t="s">
        <v>12</v>
      </c>
      <c r="E953">
        <v>0.19206000000000001</v>
      </c>
    </row>
    <row r="954" spans="2:5">
      <c r="B954" t="s">
        <v>25</v>
      </c>
      <c r="C954" s="11">
        <v>40753</v>
      </c>
      <c r="D954" t="s">
        <v>12</v>
      </c>
      <c r="E954">
        <v>0.19109999999999999</v>
      </c>
    </row>
    <row r="955" spans="2:5">
      <c r="B955" t="s">
        <v>25</v>
      </c>
      <c r="C955" s="11">
        <v>40752</v>
      </c>
      <c r="D955" t="s">
        <v>12</v>
      </c>
      <c r="E955">
        <v>0.18825</v>
      </c>
    </row>
    <row r="956" spans="2:5">
      <c r="B956" t="s">
        <v>25</v>
      </c>
      <c r="C956" s="11">
        <v>40751</v>
      </c>
      <c r="D956" t="s">
        <v>12</v>
      </c>
      <c r="E956">
        <v>0.18725</v>
      </c>
    </row>
    <row r="957" spans="2:5">
      <c r="B957" t="s">
        <v>25</v>
      </c>
      <c r="C957" s="11">
        <v>40750</v>
      </c>
      <c r="D957" t="s">
        <v>12</v>
      </c>
      <c r="E957">
        <v>0.18725</v>
      </c>
    </row>
    <row r="958" spans="2:5">
      <c r="B958" t="s">
        <v>25</v>
      </c>
      <c r="C958" s="11">
        <v>40749</v>
      </c>
      <c r="D958" t="s">
        <v>12</v>
      </c>
      <c r="E958">
        <v>0.18725</v>
      </c>
    </row>
    <row r="959" spans="2:5">
      <c r="B959" t="s">
        <v>25</v>
      </c>
      <c r="C959" s="11">
        <v>40746</v>
      </c>
      <c r="D959" t="s">
        <v>12</v>
      </c>
      <c r="E959">
        <v>0.18725</v>
      </c>
    </row>
    <row r="960" spans="2:5">
      <c r="B960" t="s">
        <v>25</v>
      </c>
      <c r="C960" s="11">
        <v>40745</v>
      </c>
      <c r="D960" t="s">
        <v>12</v>
      </c>
      <c r="E960">
        <v>0.18725</v>
      </c>
    </row>
    <row r="961" spans="2:5">
      <c r="B961" t="s">
        <v>25</v>
      </c>
      <c r="C961" s="11">
        <v>40744</v>
      </c>
      <c r="D961" t="s">
        <v>12</v>
      </c>
      <c r="E961">
        <v>0.18725</v>
      </c>
    </row>
    <row r="962" spans="2:5">
      <c r="B962" t="s">
        <v>25</v>
      </c>
      <c r="C962" s="11">
        <v>40743</v>
      </c>
      <c r="D962" t="s">
        <v>12</v>
      </c>
      <c r="E962">
        <v>0.18625</v>
      </c>
    </row>
    <row r="963" spans="2:5">
      <c r="B963" t="s">
        <v>25</v>
      </c>
      <c r="C963" s="11">
        <v>40742</v>
      </c>
      <c r="D963" t="s">
        <v>12</v>
      </c>
      <c r="E963">
        <v>0.18625</v>
      </c>
    </row>
    <row r="964" spans="2:5">
      <c r="B964" t="s">
        <v>25</v>
      </c>
      <c r="C964" s="11">
        <v>40739</v>
      </c>
      <c r="D964" t="s">
        <v>12</v>
      </c>
      <c r="E964">
        <v>0.1865</v>
      </c>
    </row>
    <row r="965" spans="2:5">
      <c r="B965" t="s">
        <v>25</v>
      </c>
      <c r="C965" s="11">
        <v>40738</v>
      </c>
      <c r="D965" t="s">
        <v>12</v>
      </c>
      <c r="E965">
        <v>0.1865</v>
      </c>
    </row>
    <row r="966" spans="2:5">
      <c r="B966" t="s">
        <v>25</v>
      </c>
      <c r="C966" s="11">
        <v>40737</v>
      </c>
      <c r="D966" t="s">
        <v>12</v>
      </c>
      <c r="E966">
        <v>0.1865</v>
      </c>
    </row>
    <row r="967" spans="2:5">
      <c r="B967" t="s">
        <v>25</v>
      </c>
      <c r="C967" s="11">
        <v>40736</v>
      </c>
      <c r="D967" t="s">
        <v>12</v>
      </c>
      <c r="E967">
        <v>0.1865</v>
      </c>
    </row>
    <row r="968" spans="2:5">
      <c r="B968" t="s">
        <v>25</v>
      </c>
      <c r="C968" s="11">
        <v>40735</v>
      </c>
      <c r="D968" t="s">
        <v>12</v>
      </c>
      <c r="E968">
        <v>0.18575</v>
      </c>
    </row>
    <row r="969" spans="2:5">
      <c r="B969" t="s">
        <v>25</v>
      </c>
      <c r="C969" s="11">
        <v>40732</v>
      </c>
      <c r="D969" t="s">
        <v>12</v>
      </c>
      <c r="E969">
        <v>0.18575</v>
      </c>
    </row>
    <row r="970" spans="2:5">
      <c r="B970" t="s">
        <v>25</v>
      </c>
      <c r="C970" s="11">
        <v>40731</v>
      </c>
      <c r="D970" t="s">
        <v>12</v>
      </c>
      <c r="E970">
        <v>0.18575</v>
      </c>
    </row>
    <row r="971" spans="2:5">
      <c r="B971" t="s">
        <v>25</v>
      </c>
      <c r="C971" s="11">
        <v>40730</v>
      </c>
      <c r="D971" t="s">
        <v>12</v>
      </c>
      <c r="E971">
        <v>0.18525</v>
      </c>
    </row>
    <row r="972" spans="2:5">
      <c r="B972" t="s">
        <v>25</v>
      </c>
      <c r="C972" s="11">
        <v>40729</v>
      </c>
      <c r="D972" t="s">
        <v>12</v>
      </c>
      <c r="E972">
        <v>0.18504999999999999</v>
      </c>
    </row>
    <row r="973" spans="2:5">
      <c r="B973" t="s">
        <v>25</v>
      </c>
      <c r="C973" s="11">
        <v>40725</v>
      </c>
      <c r="D973" t="s">
        <v>12</v>
      </c>
      <c r="E973">
        <v>0.18504999999999999</v>
      </c>
    </row>
    <row r="974" spans="2:5">
      <c r="B974" t="s">
        <v>25</v>
      </c>
      <c r="C974" s="11">
        <v>40724</v>
      </c>
      <c r="D974" t="s">
        <v>12</v>
      </c>
      <c r="E974">
        <v>0.18554999999999999</v>
      </c>
    </row>
    <row r="975" spans="2:5">
      <c r="B975" t="s">
        <v>25</v>
      </c>
      <c r="C975" s="11">
        <v>40723</v>
      </c>
      <c r="D975" t="s">
        <v>12</v>
      </c>
      <c r="E975">
        <v>0.18554999999999999</v>
      </c>
    </row>
    <row r="976" spans="2:5">
      <c r="B976" t="s">
        <v>25</v>
      </c>
      <c r="C976" s="11">
        <v>40722</v>
      </c>
      <c r="D976" t="s">
        <v>12</v>
      </c>
      <c r="E976">
        <v>0.18554999999999999</v>
      </c>
    </row>
    <row r="977" spans="2:5">
      <c r="B977" t="s">
        <v>25</v>
      </c>
      <c r="C977" s="11">
        <v>40721</v>
      </c>
      <c r="D977" t="s">
        <v>12</v>
      </c>
      <c r="E977">
        <v>0.18554999999999999</v>
      </c>
    </row>
    <row r="978" spans="2:5">
      <c r="B978" t="s">
        <v>25</v>
      </c>
      <c r="C978" s="11">
        <v>40718</v>
      </c>
      <c r="D978" t="s">
        <v>12</v>
      </c>
      <c r="E978">
        <v>0.18554999999999999</v>
      </c>
    </row>
    <row r="979" spans="2:5">
      <c r="B979" t="s">
        <v>25</v>
      </c>
      <c r="C979" s="11">
        <v>40717</v>
      </c>
      <c r="D979" t="s">
        <v>12</v>
      </c>
      <c r="E979">
        <v>0.18579999999999999</v>
      </c>
    </row>
    <row r="980" spans="2:5">
      <c r="B980" t="s">
        <v>25</v>
      </c>
      <c r="C980" s="11">
        <v>40716</v>
      </c>
      <c r="D980" t="s">
        <v>12</v>
      </c>
      <c r="E980">
        <v>0.18579999999999999</v>
      </c>
    </row>
    <row r="981" spans="2:5">
      <c r="B981" t="s">
        <v>25</v>
      </c>
      <c r="C981" s="11">
        <v>40715</v>
      </c>
      <c r="D981" t="s">
        <v>12</v>
      </c>
      <c r="E981">
        <v>0.18579999999999999</v>
      </c>
    </row>
    <row r="982" spans="2:5">
      <c r="B982" t="s">
        <v>25</v>
      </c>
      <c r="C982" s="11">
        <v>40714</v>
      </c>
      <c r="D982" t="s">
        <v>12</v>
      </c>
      <c r="E982">
        <v>0.18579999999999999</v>
      </c>
    </row>
    <row r="983" spans="2:5">
      <c r="B983" t="s">
        <v>25</v>
      </c>
      <c r="C983" s="11">
        <v>40711</v>
      </c>
      <c r="D983" t="s">
        <v>12</v>
      </c>
      <c r="E983">
        <v>0.18579999999999999</v>
      </c>
    </row>
    <row r="984" spans="2:5">
      <c r="B984" t="s">
        <v>25</v>
      </c>
      <c r="C984" s="11">
        <v>40710</v>
      </c>
      <c r="D984" t="s">
        <v>12</v>
      </c>
      <c r="E984">
        <v>0.18579999999999999</v>
      </c>
    </row>
    <row r="985" spans="2:5">
      <c r="B985" t="s">
        <v>25</v>
      </c>
      <c r="C985" s="11">
        <v>40709</v>
      </c>
      <c r="D985" t="s">
        <v>12</v>
      </c>
      <c r="E985">
        <v>0.18529999999999999</v>
      </c>
    </row>
    <row r="986" spans="2:5">
      <c r="B986" t="s">
        <v>25</v>
      </c>
      <c r="C986" s="11">
        <v>40708</v>
      </c>
      <c r="D986" t="s">
        <v>12</v>
      </c>
      <c r="E986">
        <v>0.18554999999999999</v>
      </c>
    </row>
    <row r="987" spans="2:5">
      <c r="B987" t="s">
        <v>25</v>
      </c>
      <c r="C987" s="11">
        <v>40707</v>
      </c>
      <c r="D987" t="s">
        <v>12</v>
      </c>
      <c r="E987">
        <v>0.18704999999999999</v>
      </c>
    </row>
    <row r="988" spans="2:5">
      <c r="B988" t="s">
        <v>25</v>
      </c>
      <c r="C988" s="11">
        <v>40704</v>
      </c>
      <c r="D988" t="s">
        <v>12</v>
      </c>
      <c r="E988">
        <v>0.18855</v>
      </c>
    </row>
    <row r="989" spans="2:5">
      <c r="B989" t="s">
        <v>25</v>
      </c>
      <c r="C989" s="11">
        <v>40703</v>
      </c>
      <c r="D989" t="s">
        <v>12</v>
      </c>
      <c r="E989">
        <v>0.18955</v>
      </c>
    </row>
    <row r="990" spans="2:5">
      <c r="B990" t="s">
        <v>25</v>
      </c>
      <c r="C990" s="11">
        <v>40702</v>
      </c>
      <c r="D990" t="s">
        <v>12</v>
      </c>
      <c r="E990">
        <v>0.18955</v>
      </c>
    </row>
    <row r="991" spans="2:5">
      <c r="B991" t="s">
        <v>25</v>
      </c>
      <c r="C991" s="11">
        <v>40701</v>
      </c>
      <c r="D991" t="s">
        <v>12</v>
      </c>
      <c r="E991">
        <v>0.18955</v>
      </c>
    </row>
    <row r="992" spans="2:5">
      <c r="B992" t="s">
        <v>25</v>
      </c>
      <c r="C992" s="11">
        <v>40700</v>
      </c>
      <c r="D992" t="s">
        <v>12</v>
      </c>
      <c r="E992">
        <v>0.18955</v>
      </c>
    </row>
    <row r="993" spans="2:5">
      <c r="B993" t="s">
        <v>25</v>
      </c>
      <c r="C993" s="11">
        <v>40697</v>
      </c>
      <c r="D993" t="s">
        <v>12</v>
      </c>
      <c r="E993">
        <v>0.1898</v>
      </c>
    </row>
    <row r="994" spans="2:5">
      <c r="B994" t="s">
        <v>25</v>
      </c>
      <c r="C994" s="11">
        <v>40696</v>
      </c>
      <c r="D994" t="s">
        <v>12</v>
      </c>
      <c r="E994">
        <v>0.19017999999999999</v>
      </c>
    </row>
    <row r="995" spans="2:5">
      <c r="B995" t="s">
        <v>25</v>
      </c>
      <c r="C995" s="11">
        <v>40695</v>
      </c>
      <c r="D995" t="s">
        <v>12</v>
      </c>
      <c r="E995">
        <v>0.19042999999999999</v>
      </c>
    </row>
    <row r="996" spans="2:5">
      <c r="B996" t="s">
        <v>25</v>
      </c>
      <c r="C996" s="11">
        <v>40694</v>
      </c>
      <c r="D996" t="s">
        <v>12</v>
      </c>
      <c r="E996">
        <v>0.19042999999999999</v>
      </c>
    </row>
    <row r="997" spans="2:5">
      <c r="B997" t="s">
        <v>25</v>
      </c>
      <c r="C997" s="11">
        <v>40690</v>
      </c>
      <c r="D997" t="s">
        <v>12</v>
      </c>
      <c r="E997">
        <v>0.19103000000000001</v>
      </c>
    </row>
    <row r="998" spans="2:5">
      <c r="B998" t="s">
        <v>25</v>
      </c>
      <c r="C998" s="11">
        <v>40689</v>
      </c>
      <c r="D998" t="s">
        <v>12</v>
      </c>
      <c r="E998">
        <v>0.19125</v>
      </c>
    </row>
    <row r="999" spans="2:5">
      <c r="B999" t="s">
        <v>25</v>
      </c>
      <c r="C999" s="11">
        <v>40688</v>
      </c>
      <c r="D999" t="s">
        <v>12</v>
      </c>
      <c r="E999">
        <v>0.19234999999999999</v>
      </c>
    </row>
    <row r="1000" spans="2:5">
      <c r="B1000" t="s">
        <v>25</v>
      </c>
      <c r="C1000" s="11">
        <v>40687</v>
      </c>
      <c r="D1000" t="s">
        <v>12</v>
      </c>
      <c r="E1000">
        <v>0.19270000000000001</v>
      </c>
    </row>
    <row r="1001" spans="2:5">
      <c r="B1001" t="s">
        <v>25</v>
      </c>
      <c r="C1001" s="11">
        <v>40686</v>
      </c>
      <c r="D1001" t="s">
        <v>12</v>
      </c>
      <c r="E1001">
        <v>0.19400000000000001</v>
      </c>
    </row>
    <row r="1002" spans="2:5">
      <c r="B1002" t="s">
        <v>25</v>
      </c>
      <c r="C1002" s="11">
        <v>40683</v>
      </c>
      <c r="D1002" t="s">
        <v>12</v>
      </c>
      <c r="E1002">
        <v>0.19475000000000001</v>
      </c>
    </row>
    <row r="1003" spans="2:5">
      <c r="B1003" t="s">
        <v>25</v>
      </c>
      <c r="C1003" s="11">
        <v>40682</v>
      </c>
      <c r="D1003" t="s">
        <v>12</v>
      </c>
      <c r="E1003">
        <v>0.19525000000000001</v>
      </c>
    </row>
    <row r="1004" spans="2:5">
      <c r="B1004" t="s">
        <v>25</v>
      </c>
      <c r="C1004" s="11">
        <v>40681</v>
      </c>
      <c r="D1004" t="s">
        <v>12</v>
      </c>
      <c r="E1004">
        <v>0.19575000000000001</v>
      </c>
    </row>
    <row r="1005" spans="2:5">
      <c r="B1005" t="s">
        <v>25</v>
      </c>
      <c r="C1005" s="11">
        <v>40680</v>
      </c>
      <c r="D1005" t="s">
        <v>12</v>
      </c>
      <c r="E1005">
        <v>0.19700000000000001</v>
      </c>
    </row>
    <row r="1006" spans="2:5">
      <c r="B1006" t="s">
        <v>25</v>
      </c>
      <c r="C1006" s="11">
        <v>40679</v>
      </c>
      <c r="D1006" t="s">
        <v>12</v>
      </c>
      <c r="E1006">
        <v>0.19700000000000001</v>
      </c>
    </row>
    <row r="1007" spans="2:5">
      <c r="B1007" t="s">
        <v>25</v>
      </c>
      <c r="C1007" s="11">
        <v>40676</v>
      </c>
      <c r="D1007" t="s">
        <v>12</v>
      </c>
      <c r="E1007">
        <v>0.1971</v>
      </c>
    </row>
    <row r="1008" spans="2:5">
      <c r="B1008" t="s">
        <v>25</v>
      </c>
      <c r="C1008" s="11">
        <v>40675</v>
      </c>
      <c r="D1008" t="s">
        <v>12</v>
      </c>
      <c r="E1008">
        <v>0.19800000000000001</v>
      </c>
    </row>
    <row r="1009" spans="2:5">
      <c r="B1009" t="s">
        <v>25</v>
      </c>
      <c r="C1009" s="11">
        <v>40674</v>
      </c>
      <c r="D1009" t="s">
        <v>12</v>
      </c>
      <c r="E1009">
        <v>0.19875000000000001</v>
      </c>
    </row>
    <row r="1010" spans="2:5">
      <c r="B1010" t="s">
        <v>25</v>
      </c>
      <c r="C1010" s="11">
        <v>40673</v>
      </c>
      <c r="D1010" t="s">
        <v>12</v>
      </c>
      <c r="E1010">
        <v>0.20025000000000001</v>
      </c>
    </row>
    <row r="1011" spans="2:5">
      <c r="B1011" t="s">
        <v>25</v>
      </c>
      <c r="C1011" s="11">
        <v>40672</v>
      </c>
      <c r="D1011" t="s">
        <v>12</v>
      </c>
      <c r="E1011">
        <v>0.20185</v>
      </c>
    </row>
    <row r="1012" spans="2:5">
      <c r="B1012" t="s">
        <v>25</v>
      </c>
      <c r="C1012" s="11">
        <v>40669</v>
      </c>
      <c r="D1012" t="s">
        <v>12</v>
      </c>
      <c r="E1012">
        <v>0.20385</v>
      </c>
    </row>
    <row r="1013" spans="2:5">
      <c r="B1013" t="s">
        <v>25</v>
      </c>
      <c r="C1013" s="11">
        <v>40668</v>
      </c>
      <c r="D1013" t="s">
        <v>12</v>
      </c>
      <c r="E1013">
        <v>0.20619999999999999</v>
      </c>
    </row>
    <row r="1014" spans="2:5">
      <c r="B1014" t="s">
        <v>25</v>
      </c>
      <c r="C1014" s="11">
        <v>40667</v>
      </c>
      <c r="D1014" t="s">
        <v>12</v>
      </c>
      <c r="E1014">
        <v>0.20899999999999999</v>
      </c>
    </row>
    <row r="1015" spans="2:5">
      <c r="B1015" t="s">
        <v>25</v>
      </c>
      <c r="C1015" s="11">
        <v>40666</v>
      </c>
      <c r="D1015" t="s">
        <v>12</v>
      </c>
      <c r="E1015">
        <v>0.20949999999999999</v>
      </c>
    </row>
    <row r="1016" spans="2:5">
      <c r="B1016" t="s">
        <v>25</v>
      </c>
      <c r="C1016" s="11">
        <v>40665</v>
      </c>
      <c r="D1016" t="s">
        <v>12</v>
      </c>
      <c r="E1016">
        <v>0.21024999999999999</v>
      </c>
    </row>
    <row r="1017" spans="2:5">
      <c r="B1017" t="s">
        <v>25</v>
      </c>
      <c r="C1017" s="11">
        <v>40662</v>
      </c>
      <c r="D1017" t="s">
        <v>12</v>
      </c>
      <c r="E1017">
        <v>0.21024999999999999</v>
      </c>
    </row>
    <row r="1018" spans="2:5">
      <c r="B1018" t="s">
        <v>25</v>
      </c>
      <c r="C1018" s="11">
        <v>40661</v>
      </c>
      <c r="D1018" t="s">
        <v>12</v>
      </c>
      <c r="E1018">
        <v>0.21024999999999999</v>
      </c>
    </row>
    <row r="1019" spans="2:5">
      <c r="B1019" t="s">
        <v>25</v>
      </c>
      <c r="C1019" s="11">
        <v>40660</v>
      </c>
      <c r="D1019" t="s">
        <v>12</v>
      </c>
      <c r="E1019">
        <v>0.21049999999999999</v>
      </c>
    </row>
    <row r="1020" spans="2:5">
      <c r="B1020" t="s">
        <v>25</v>
      </c>
      <c r="C1020" s="11">
        <v>40659</v>
      </c>
      <c r="D1020" t="s">
        <v>12</v>
      </c>
      <c r="E1020">
        <v>0.21135000000000001</v>
      </c>
    </row>
    <row r="1021" spans="2:5">
      <c r="B1021" t="s">
        <v>25</v>
      </c>
      <c r="C1021" s="11">
        <v>40658</v>
      </c>
      <c r="D1021" t="s">
        <v>12</v>
      </c>
      <c r="E1021">
        <v>0.21260000000000001</v>
      </c>
    </row>
    <row r="1022" spans="2:5">
      <c r="B1022" t="s">
        <v>25</v>
      </c>
      <c r="C1022" s="11">
        <v>40654</v>
      </c>
      <c r="D1022" t="s">
        <v>12</v>
      </c>
      <c r="E1022">
        <v>0.21260000000000001</v>
      </c>
    </row>
    <row r="1023" spans="2:5">
      <c r="B1023" t="s">
        <v>25</v>
      </c>
      <c r="C1023" s="11">
        <v>40653</v>
      </c>
      <c r="D1023" t="s">
        <v>12</v>
      </c>
      <c r="E1023">
        <v>0.21260000000000001</v>
      </c>
    </row>
    <row r="1024" spans="2:5">
      <c r="B1024" t="s">
        <v>25</v>
      </c>
      <c r="C1024" s="11">
        <v>40652</v>
      </c>
      <c r="D1024" t="s">
        <v>12</v>
      </c>
      <c r="E1024">
        <v>0.21260000000000001</v>
      </c>
    </row>
    <row r="1025" spans="2:5">
      <c r="B1025" t="s">
        <v>25</v>
      </c>
      <c r="C1025" s="11">
        <v>40651</v>
      </c>
      <c r="D1025" t="s">
        <v>12</v>
      </c>
      <c r="E1025">
        <v>0.21295</v>
      </c>
    </row>
    <row r="1026" spans="2:5">
      <c r="B1026" t="s">
        <v>25</v>
      </c>
      <c r="C1026" s="11">
        <v>40648</v>
      </c>
      <c r="D1026" t="s">
        <v>12</v>
      </c>
      <c r="E1026">
        <v>0.21375</v>
      </c>
    </row>
    <row r="1027" spans="2:5">
      <c r="B1027" t="s">
        <v>25</v>
      </c>
      <c r="C1027" s="11">
        <v>40647</v>
      </c>
      <c r="D1027" t="s">
        <v>12</v>
      </c>
      <c r="E1027">
        <v>0.21584999999999999</v>
      </c>
    </row>
    <row r="1028" spans="2:5">
      <c r="B1028" t="s">
        <v>25</v>
      </c>
      <c r="C1028" s="11">
        <v>40646</v>
      </c>
      <c r="D1028" t="s">
        <v>12</v>
      </c>
      <c r="E1028">
        <v>0.21875</v>
      </c>
    </row>
    <row r="1029" spans="2:5">
      <c r="B1029" t="s">
        <v>25</v>
      </c>
      <c r="C1029" s="11">
        <v>40645</v>
      </c>
      <c r="D1029" t="s">
        <v>12</v>
      </c>
      <c r="E1029">
        <v>0.22109999999999999</v>
      </c>
    </row>
    <row r="1030" spans="2:5">
      <c r="B1030" t="s">
        <v>25</v>
      </c>
      <c r="C1030" s="11">
        <v>40644</v>
      </c>
      <c r="D1030" t="s">
        <v>12</v>
      </c>
      <c r="E1030">
        <v>0.2238</v>
      </c>
    </row>
    <row r="1031" spans="2:5">
      <c r="B1031" t="s">
        <v>25</v>
      </c>
      <c r="C1031" s="11">
        <v>40641</v>
      </c>
      <c r="D1031" t="s">
        <v>12</v>
      </c>
      <c r="E1031">
        <v>0.22650000000000001</v>
      </c>
    </row>
    <row r="1032" spans="2:5">
      <c r="B1032" t="s">
        <v>25</v>
      </c>
      <c r="C1032" s="11">
        <v>40640</v>
      </c>
      <c r="D1032" t="s">
        <v>12</v>
      </c>
      <c r="E1032">
        <v>0.23138</v>
      </c>
    </row>
    <row r="1033" spans="2:5">
      <c r="B1033" t="s">
        <v>25</v>
      </c>
      <c r="C1033" s="11">
        <v>40639</v>
      </c>
      <c r="D1033" t="s">
        <v>12</v>
      </c>
      <c r="E1033">
        <v>0.23350000000000001</v>
      </c>
    </row>
    <row r="1034" spans="2:5">
      <c r="B1034" t="s">
        <v>25</v>
      </c>
      <c r="C1034" s="11">
        <v>40638</v>
      </c>
      <c r="D1034" t="s">
        <v>12</v>
      </c>
      <c r="E1034">
        <v>0.23549999999999999</v>
      </c>
    </row>
    <row r="1035" spans="2:5">
      <c r="B1035" t="s">
        <v>25</v>
      </c>
      <c r="C1035" s="11">
        <v>40637</v>
      </c>
      <c r="D1035" t="s">
        <v>12</v>
      </c>
      <c r="E1035">
        <v>0.2399</v>
      </c>
    </row>
    <row r="1036" spans="2:5">
      <c r="B1036" t="s">
        <v>25</v>
      </c>
      <c r="C1036" s="11">
        <v>40634</v>
      </c>
      <c r="D1036" t="s">
        <v>12</v>
      </c>
      <c r="E1036">
        <v>0.24295</v>
      </c>
    </row>
    <row r="1037" spans="2:5">
      <c r="B1037" t="s">
        <v>25</v>
      </c>
      <c r="C1037" s="11">
        <v>40633</v>
      </c>
      <c r="D1037" t="s">
        <v>12</v>
      </c>
      <c r="E1037">
        <v>0.24345</v>
      </c>
    </row>
    <row r="1038" spans="2:5">
      <c r="B1038" t="s">
        <v>25</v>
      </c>
      <c r="C1038" s="11">
        <v>40632</v>
      </c>
      <c r="D1038" t="s">
        <v>12</v>
      </c>
      <c r="E1038">
        <v>0.24379999999999999</v>
      </c>
    </row>
    <row r="1039" spans="2:5">
      <c r="B1039" t="s">
        <v>25</v>
      </c>
      <c r="C1039" s="11">
        <v>40631</v>
      </c>
      <c r="D1039" t="s">
        <v>12</v>
      </c>
      <c r="E1039">
        <v>0.24615000000000001</v>
      </c>
    </row>
    <row r="1040" spans="2:5">
      <c r="B1040" t="s">
        <v>25</v>
      </c>
      <c r="C1040" s="11">
        <v>40630</v>
      </c>
      <c r="D1040" t="s">
        <v>12</v>
      </c>
      <c r="E1040">
        <v>0.24765000000000001</v>
      </c>
    </row>
    <row r="1041" spans="2:5">
      <c r="B1041" t="s">
        <v>25</v>
      </c>
      <c r="C1041" s="11">
        <v>40627</v>
      </c>
      <c r="D1041" t="s">
        <v>12</v>
      </c>
      <c r="E1041">
        <v>0.24825</v>
      </c>
    </row>
    <row r="1042" spans="2:5">
      <c r="B1042" t="s">
        <v>25</v>
      </c>
      <c r="C1042" s="11">
        <v>40626</v>
      </c>
      <c r="D1042" t="s">
        <v>12</v>
      </c>
      <c r="E1042">
        <v>0.24825</v>
      </c>
    </row>
    <row r="1043" spans="2:5">
      <c r="B1043" t="s">
        <v>25</v>
      </c>
      <c r="C1043" s="11">
        <v>40625</v>
      </c>
      <c r="D1043" t="s">
        <v>12</v>
      </c>
      <c r="E1043">
        <v>0.2495</v>
      </c>
    </row>
    <row r="1044" spans="2:5">
      <c r="B1044" t="s">
        <v>25</v>
      </c>
      <c r="C1044" s="11">
        <v>40624</v>
      </c>
      <c r="D1044" t="s">
        <v>12</v>
      </c>
      <c r="E1044">
        <v>0.252</v>
      </c>
    </row>
    <row r="1045" spans="2:5">
      <c r="B1045" t="s">
        <v>25</v>
      </c>
      <c r="C1045" s="11">
        <v>40623</v>
      </c>
      <c r="D1045" t="s">
        <v>12</v>
      </c>
      <c r="E1045">
        <v>0.2525</v>
      </c>
    </row>
    <row r="1046" spans="2:5">
      <c r="B1046" t="s">
        <v>25</v>
      </c>
      <c r="C1046" s="11">
        <v>40620</v>
      </c>
      <c r="D1046" t="s">
        <v>12</v>
      </c>
      <c r="E1046">
        <v>0.2535</v>
      </c>
    </row>
    <row r="1047" spans="2:5">
      <c r="B1047" t="s">
        <v>25</v>
      </c>
      <c r="C1047" s="11">
        <v>40619</v>
      </c>
      <c r="D1047" t="s">
        <v>12</v>
      </c>
      <c r="E1047">
        <v>0.2535</v>
      </c>
    </row>
    <row r="1048" spans="2:5">
      <c r="B1048" t="s">
        <v>25</v>
      </c>
      <c r="C1048" s="11">
        <v>40618</v>
      </c>
      <c r="D1048" t="s">
        <v>12</v>
      </c>
      <c r="E1048">
        <v>0.2535</v>
      </c>
    </row>
    <row r="1049" spans="2:5">
      <c r="B1049" t="s">
        <v>25</v>
      </c>
      <c r="C1049" s="11">
        <v>40617</v>
      </c>
      <c r="D1049" t="s">
        <v>12</v>
      </c>
      <c r="E1049">
        <v>0.2535</v>
      </c>
    </row>
    <row r="1050" spans="2:5">
      <c r="B1050" t="s">
        <v>25</v>
      </c>
      <c r="C1050" s="11">
        <v>40616</v>
      </c>
      <c r="D1050" t="s">
        <v>12</v>
      </c>
      <c r="E1050">
        <v>0.2535</v>
      </c>
    </row>
    <row r="1051" spans="2:5">
      <c r="B1051" t="s">
        <v>25</v>
      </c>
      <c r="C1051" s="11">
        <v>40613</v>
      </c>
      <c r="D1051" t="s">
        <v>12</v>
      </c>
      <c r="E1051">
        <v>0.255</v>
      </c>
    </row>
    <row r="1052" spans="2:5">
      <c r="B1052" t="s">
        <v>25</v>
      </c>
      <c r="C1052" s="11">
        <v>40612</v>
      </c>
      <c r="D1052" t="s">
        <v>12</v>
      </c>
      <c r="E1052">
        <v>0.2555</v>
      </c>
    </row>
    <row r="1053" spans="2:5">
      <c r="B1053" t="s">
        <v>25</v>
      </c>
      <c r="C1053" s="11">
        <v>40611</v>
      </c>
      <c r="D1053" t="s">
        <v>12</v>
      </c>
      <c r="E1053">
        <v>0.25800000000000001</v>
      </c>
    </row>
    <row r="1054" spans="2:5">
      <c r="B1054" t="s">
        <v>25</v>
      </c>
      <c r="C1054" s="11">
        <v>40610</v>
      </c>
      <c r="D1054" t="s">
        <v>12</v>
      </c>
      <c r="E1054">
        <v>0.25800000000000001</v>
      </c>
    </row>
    <row r="1055" spans="2:5">
      <c r="B1055" t="s">
        <v>25</v>
      </c>
      <c r="C1055" s="11">
        <v>40609</v>
      </c>
      <c r="D1055" t="s">
        <v>12</v>
      </c>
      <c r="E1055">
        <v>0.25900000000000001</v>
      </c>
    </row>
    <row r="1056" spans="2:5">
      <c r="B1056" t="s">
        <v>25</v>
      </c>
      <c r="C1056" s="11">
        <v>40606</v>
      </c>
      <c r="D1056" t="s">
        <v>12</v>
      </c>
      <c r="E1056">
        <v>0.26</v>
      </c>
    </row>
    <row r="1057" spans="2:5">
      <c r="B1057" t="s">
        <v>25</v>
      </c>
      <c r="C1057" s="11">
        <v>40605</v>
      </c>
      <c r="D1057" t="s">
        <v>12</v>
      </c>
      <c r="E1057">
        <v>0.26</v>
      </c>
    </row>
    <row r="1058" spans="2:5">
      <c r="B1058" t="s">
        <v>25</v>
      </c>
      <c r="C1058" s="11">
        <v>40604</v>
      </c>
      <c r="D1058" t="s">
        <v>12</v>
      </c>
      <c r="E1058">
        <v>0.26</v>
      </c>
    </row>
    <row r="1059" spans="2:5">
      <c r="B1059" t="s">
        <v>25</v>
      </c>
      <c r="C1059" s="11">
        <v>40603</v>
      </c>
      <c r="D1059" t="s">
        <v>12</v>
      </c>
      <c r="E1059">
        <v>0.26100000000000001</v>
      </c>
    </row>
    <row r="1060" spans="2:5">
      <c r="B1060" t="s">
        <v>25</v>
      </c>
      <c r="C1060" s="11">
        <v>40602</v>
      </c>
      <c r="D1060" t="s">
        <v>12</v>
      </c>
      <c r="E1060">
        <v>0.26100000000000001</v>
      </c>
    </row>
    <row r="1061" spans="2:5">
      <c r="B1061" t="s">
        <v>25</v>
      </c>
      <c r="C1061" s="11">
        <v>40599</v>
      </c>
      <c r="D1061" t="s">
        <v>12</v>
      </c>
      <c r="E1061">
        <v>0.26100000000000001</v>
      </c>
    </row>
    <row r="1062" spans="2:5">
      <c r="B1062" t="s">
        <v>25</v>
      </c>
      <c r="C1062" s="11">
        <v>40598</v>
      </c>
      <c r="D1062" t="s">
        <v>12</v>
      </c>
      <c r="E1062">
        <v>0.26150000000000001</v>
      </c>
    </row>
    <row r="1063" spans="2:5">
      <c r="B1063" t="s">
        <v>25</v>
      </c>
      <c r="C1063" s="11">
        <v>40597</v>
      </c>
      <c r="D1063" t="s">
        <v>12</v>
      </c>
      <c r="E1063">
        <v>0.26150000000000001</v>
      </c>
    </row>
    <row r="1064" spans="2:5">
      <c r="B1064" t="s">
        <v>25</v>
      </c>
      <c r="C1064" s="11">
        <v>40596</v>
      </c>
      <c r="D1064" t="s">
        <v>12</v>
      </c>
      <c r="E1064">
        <v>0.26150000000000001</v>
      </c>
    </row>
    <row r="1065" spans="2:5">
      <c r="B1065" t="s">
        <v>25</v>
      </c>
      <c r="C1065" s="11">
        <v>40592</v>
      </c>
      <c r="D1065" t="s">
        <v>12</v>
      </c>
      <c r="E1065">
        <v>0.26200000000000001</v>
      </c>
    </row>
    <row r="1066" spans="2:5">
      <c r="B1066" t="s">
        <v>25</v>
      </c>
      <c r="C1066" s="11">
        <v>40591</v>
      </c>
      <c r="D1066" t="s">
        <v>12</v>
      </c>
      <c r="E1066">
        <v>0.26300000000000001</v>
      </c>
    </row>
    <row r="1067" spans="2:5">
      <c r="B1067" t="s">
        <v>25</v>
      </c>
      <c r="C1067" s="11">
        <v>40590</v>
      </c>
      <c r="D1067" t="s">
        <v>12</v>
      </c>
      <c r="E1067">
        <v>0.26300000000000001</v>
      </c>
    </row>
    <row r="1068" spans="2:5">
      <c r="B1068" t="s">
        <v>25</v>
      </c>
      <c r="C1068" s="11">
        <v>40589</v>
      </c>
      <c r="D1068" t="s">
        <v>12</v>
      </c>
      <c r="E1068">
        <v>0.26400000000000001</v>
      </c>
    </row>
    <row r="1069" spans="2:5">
      <c r="B1069" t="s">
        <v>25</v>
      </c>
      <c r="C1069" s="11">
        <v>40588</v>
      </c>
      <c r="D1069" t="s">
        <v>12</v>
      </c>
      <c r="E1069">
        <v>0.26474999999999999</v>
      </c>
    </row>
    <row r="1070" spans="2:5">
      <c r="B1070" t="s">
        <v>25</v>
      </c>
      <c r="C1070" s="11">
        <v>40585</v>
      </c>
      <c r="D1070" t="s">
        <v>12</v>
      </c>
      <c r="E1070">
        <v>0.26574999999999999</v>
      </c>
    </row>
    <row r="1071" spans="2:5">
      <c r="B1071" t="s">
        <v>25</v>
      </c>
      <c r="C1071" s="11">
        <v>40584</v>
      </c>
      <c r="D1071" t="s">
        <v>12</v>
      </c>
      <c r="E1071">
        <v>0.26400000000000001</v>
      </c>
    </row>
    <row r="1072" spans="2:5">
      <c r="B1072" t="s">
        <v>25</v>
      </c>
      <c r="C1072" s="11">
        <v>40583</v>
      </c>
      <c r="D1072" t="s">
        <v>12</v>
      </c>
      <c r="E1072">
        <v>0.26400000000000001</v>
      </c>
    </row>
    <row r="1073" spans="2:5">
      <c r="B1073" t="s">
        <v>25</v>
      </c>
      <c r="C1073" s="11">
        <v>40582</v>
      </c>
      <c r="D1073" t="s">
        <v>12</v>
      </c>
      <c r="E1073">
        <v>0.26400000000000001</v>
      </c>
    </row>
    <row r="1074" spans="2:5">
      <c r="B1074" t="s">
        <v>25</v>
      </c>
      <c r="C1074" s="11">
        <v>40581</v>
      </c>
      <c r="D1074" t="s">
        <v>12</v>
      </c>
      <c r="E1074">
        <v>0.26374999999999998</v>
      </c>
    </row>
    <row r="1075" spans="2:5">
      <c r="B1075" t="s">
        <v>25</v>
      </c>
      <c r="C1075" s="11">
        <v>40578</v>
      </c>
      <c r="D1075" t="s">
        <v>12</v>
      </c>
      <c r="E1075">
        <v>0.26274999999999998</v>
      </c>
    </row>
    <row r="1076" spans="2:5">
      <c r="B1076" t="s">
        <v>25</v>
      </c>
      <c r="C1076" s="11">
        <v>40577</v>
      </c>
      <c r="D1076" t="s">
        <v>12</v>
      </c>
      <c r="E1076">
        <v>0.26300000000000001</v>
      </c>
    </row>
    <row r="1077" spans="2:5">
      <c r="B1077" t="s">
        <v>25</v>
      </c>
      <c r="C1077" s="11">
        <v>40576</v>
      </c>
      <c r="D1077" t="s">
        <v>12</v>
      </c>
      <c r="E1077">
        <v>0.26300000000000001</v>
      </c>
    </row>
    <row r="1078" spans="2:5">
      <c r="B1078" t="s">
        <v>25</v>
      </c>
      <c r="C1078" s="11">
        <v>40575</v>
      </c>
      <c r="D1078" t="s">
        <v>12</v>
      </c>
      <c r="E1078">
        <v>0.26300000000000001</v>
      </c>
    </row>
    <row r="1079" spans="2:5">
      <c r="B1079" t="s">
        <v>25</v>
      </c>
      <c r="C1079" s="11">
        <v>40574</v>
      </c>
      <c r="D1079" t="s">
        <v>12</v>
      </c>
      <c r="E1079">
        <v>0.26</v>
      </c>
    </row>
    <row r="1080" spans="2:5">
      <c r="B1080" t="s">
        <v>25</v>
      </c>
      <c r="C1080" s="11">
        <v>40571</v>
      </c>
      <c r="D1080" t="s">
        <v>12</v>
      </c>
      <c r="E1080">
        <v>0.26</v>
      </c>
    </row>
    <row r="1081" spans="2:5">
      <c r="B1081" t="s">
        <v>25</v>
      </c>
      <c r="C1081" s="11">
        <v>40570</v>
      </c>
      <c r="D1081" t="s">
        <v>12</v>
      </c>
      <c r="E1081">
        <v>0.26</v>
      </c>
    </row>
    <row r="1082" spans="2:5">
      <c r="B1082" t="s">
        <v>25</v>
      </c>
      <c r="C1082" s="11">
        <v>40569</v>
      </c>
      <c r="D1082" t="s">
        <v>12</v>
      </c>
      <c r="E1082">
        <v>0.26</v>
      </c>
    </row>
    <row r="1083" spans="2:5">
      <c r="B1083" t="s">
        <v>25</v>
      </c>
      <c r="C1083" s="11">
        <v>40568</v>
      </c>
      <c r="D1083" t="s">
        <v>12</v>
      </c>
      <c r="E1083">
        <v>0.26</v>
      </c>
    </row>
    <row r="1084" spans="2:5">
      <c r="B1084" t="s">
        <v>25</v>
      </c>
      <c r="C1084" s="11">
        <v>40567</v>
      </c>
      <c r="D1084" t="s">
        <v>12</v>
      </c>
      <c r="E1084">
        <v>0.26</v>
      </c>
    </row>
    <row r="1085" spans="2:5">
      <c r="B1085" t="s">
        <v>25</v>
      </c>
      <c r="C1085" s="11">
        <v>40564</v>
      </c>
      <c r="D1085" t="s">
        <v>12</v>
      </c>
      <c r="E1085">
        <v>0.26</v>
      </c>
    </row>
    <row r="1086" spans="2:5">
      <c r="B1086" t="s">
        <v>25</v>
      </c>
      <c r="C1086" s="11">
        <v>40563</v>
      </c>
      <c r="D1086" t="s">
        <v>12</v>
      </c>
      <c r="E1086">
        <v>0.26</v>
      </c>
    </row>
    <row r="1087" spans="2:5">
      <c r="B1087" t="s">
        <v>25</v>
      </c>
      <c r="C1087" s="11">
        <v>40562</v>
      </c>
      <c r="D1087" t="s">
        <v>12</v>
      </c>
      <c r="E1087">
        <v>0.26</v>
      </c>
    </row>
    <row r="1088" spans="2:5">
      <c r="B1088" t="s">
        <v>25</v>
      </c>
      <c r="C1088" s="11">
        <v>40561</v>
      </c>
      <c r="D1088" t="s">
        <v>12</v>
      </c>
      <c r="E1088">
        <v>0.26062999999999997</v>
      </c>
    </row>
    <row r="1089" spans="2:5">
      <c r="B1089" t="s">
        <v>25</v>
      </c>
      <c r="C1089" s="11">
        <v>40557</v>
      </c>
      <c r="D1089" t="s">
        <v>12</v>
      </c>
      <c r="E1089">
        <v>0.26124999999999998</v>
      </c>
    </row>
    <row r="1090" spans="2:5">
      <c r="B1090" t="s">
        <v>25</v>
      </c>
      <c r="C1090" s="11">
        <v>40556</v>
      </c>
      <c r="D1090" t="s">
        <v>12</v>
      </c>
      <c r="E1090">
        <v>0.26124999999999998</v>
      </c>
    </row>
    <row r="1091" spans="2:5">
      <c r="B1091" t="s">
        <v>25</v>
      </c>
      <c r="C1091" s="11">
        <v>40555</v>
      </c>
      <c r="D1091" t="s">
        <v>12</v>
      </c>
      <c r="E1091">
        <v>0.26124999999999998</v>
      </c>
    </row>
    <row r="1092" spans="2:5">
      <c r="B1092" t="s">
        <v>25</v>
      </c>
      <c r="C1092" s="11">
        <v>40554</v>
      </c>
      <c r="D1092" t="s">
        <v>12</v>
      </c>
      <c r="E1092">
        <v>0.26124999999999998</v>
      </c>
    </row>
    <row r="1093" spans="2:5">
      <c r="B1093" t="s">
        <v>25</v>
      </c>
      <c r="C1093" s="11">
        <v>40553</v>
      </c>
      <c r="D1093" t="s">
        <v>12</v>
      </c>
      <c r="E1093">
        <v>0.26124999999999998</v>
      </c>
    </row>
    <row r="1094" spans="2:5">
      <c r="B1094" t="s">
        <v>25</v>
      </c>
      <c r="C1094" s="11">
        <v>40550</v>
      </c>
      <c r="D1094" t="s">
        <v>12</v>
      </c>
      <c r="E1094">
        <v>0.26124999999999998</v>
      </c>
    </row>
    <row r="1095" spans="2:5">
      <c r="B1095" t="s">
        <v>25</v>
      </c>
      <c r="C1095" s="11">
        <v>40549</v>
      </c>
      <c r="D1095" t="s">
        <v>12</v>
      </c>
      <c r="E1095">
        <v>0.26124999999999998</v>
      </c>
    </row>
    <row r="1096" spans="2:5">
      <c r="B1096" t="s">
        <v>25</v>
      </c>
      <c r="C1096" s="11">
        <v>40548</v>
      </c>
      <c r="D1096" t="s">
        <v>12</v>
      </c>
      <c r="E1096">
        <v>0.26124999999999998</v>
      </c>
    </row>
    <row r="1097" spans="2:5">
      <c r="B1097" t="s">
        <v>25</v>
      </c>
      <c r="C1097" s="11">
        <v>40547</v>
      </c>
      <c r="D1097" t="s">
        <v>12</v>
      </c>
      <c r="E1097">
        <v>0.26062999999999997</v>
      </c>
    </row>
    <row r="1098" spans="2:5">
      <c r="B1098" t="s">
        <v>25</v>
      </c>
      <c r="C1098" s="11">
        <v>40546</v>
      </c>
      <c r="D1098" t="s">
        <v>12</v>
      </c>
      <c r="E1098">
        <v>0.26062999999999997</v>
      </c>
    </row>
    <row r="1099" spans="2:5">
      <c r="B1099" t="s">
        <v>25</v>
      </c>
      <c r="C1099" s="11">
        <v>40543</v>
      </c>
      <c r="D1099" t="s">
        <v>12</v>
      </c>
      <c r="E1099">
        <v>0.26062999999999997</v>
      </c>
    </row>
    <row r="1100" spans="2:5">
      <c r="B1100" t="s">
        <v>25</v>
      </c>
      <c r="C1100" s="11">
        <v>40542</v>
      </c>
      <c r="D1100" t="s">
        <v>12</v>
      </c>
      <c r="E1100">
        <v>0.26062999999999997</v>
      </c>
    </row>
    <row r="1101" spans="2:5">
      <c r="B1101" t="s">
        <v>25</v>
      </c>
      <c r="C1101" s="11">
        <v>40541</v>
      </c>
      <c r="D1101" t="s">
        <v>12</v>
      </c>
      <c r="E1101">
        <v>0.26062999999999997</v>
      </c>
    </row>
    <row r="1102" spans="2:5">
      <c r="B1102" t="s">
        <v>25</v>
      </c>
      <c r="C1102" s="11">
        <v>40540</v>
      </c>
      <c r="D1102" t="s">
        <v>12</v>
      </c>
      <c r="E1102">
        <v>0.26062999999999997</v>
      </c>
    </row>
    <row r="1103" spans="2:5">
      <c r="B1103" t="s">
        <v>25</v>
      </c>
      <c r="C1103" s="11">
        <v>40539</v>
      </c>
      <c r="D1103" t="s">
        <v>12</v>
      </c>
      <c r="E1103">
        <v>0.26062999999999997</v>
      </c>
    </row>
    <row r="1104" spans="2:5">
      <c r="B1104" t="s">
        <v>25</v>
      </c>
      <c r="C1104" s="11">
        <v>40535</v>
      </c>
      <c r="D1104" t="s">
        <v>12</v>
      </c>
      <c r="E1104">
        <v>0.26062999999999997</v>
      </c>
    </row>
    <row r="1105" spans="2:5">
      <c r="B1105" t="s">
        <v>25</v>
      </c>
      <c r="C1105" s="11">
        <v>40534</v>
      </c>
      <c r="D1105" t="s">
        <v>12</v>
      </c>
      <c r="E1105">
        <v>0.26062999999999997</v>
      </c>
    </row>
    <row r="1106" spans="2:5">
      <c r="B1106" t="s">
        <v>25</v>
      </c>
      <c r="C1106" s="11">
        <v>40533</v>
      </c>
      <c r="D1106" t="s">
        <v>12</v>
      </c>
      <c r="E1106">
        <v>0.26062999999999997</v>
      </c>
    </row>
    <row r="1107" spans="2:5">
      <c r="B1107" t="s">
        <v>25</v>
      </c>
      <c r="C1107" s="11">
        <v>40532</v>
      </c>
      <c r="D1107" t="s">
        <v>12</v>
      </c>
      <c r="E1107">
        <v>0.26062999999999997</v>
      </c>
    </row>
    <row r="1108" spans="2:5">
      <c r="B1108" t="s">
        <v>25</v>
      </c>
      <c r="C1108" s="11">
        <v>40529</v>
      </c>
      <c r="D1108" t="s">
        <v>12</v>
      </c>
      <c r="E1108">
        <v>0.26062999999999997</v>
      </c>
    </row>
    <row r="1109" spans="2:5">
      <c r="B1109" t="s">
        <v>25</v>
      </c>
      <c r="C1109" s="11">
        <v>40528</v>
      </c>
      <c r="D1109" t="s">
        <v>12</v>
      </c>
      <c r="E1109">
        <v>0.26062999999999997</v>
      </c>
    </row>
    <row r="1110" spans="2:5">
      <c r="B1110" t="s">
        <v>25</v>
      </c>
      <c r="C1110" s="11">
        <v>40527</v>
      </c>
      <c r="D1110" t="s">
        <v>12</v>
      </c>
      <c r="E1110">
        <v>0.26062999999999997</v>
      </c>
    </row>
    <row r="1111" spans="2:5">
      <c r="B1111" t="s">
        <v>25</v>
      </c>
      <c r="C1111" s="11">
        <v>40526</v>
      </c>
      <c r="D1111" t="s">
        <v>12</v>
      </c>
      <c r="E1111">
        <v>0.26062999999999997</v>
      </c>
    </row>
    <row r="1112" spans="2:5">
      <c r="B1112" t="s">
        <v>25</v>
      </c>
      <c r="C1112" s="11">
        <v>40525</v>
      </c>
      <c r="D1112" t="s">
        <v>12</v>
      </c>
      <c r="E1112">
        <v>0.26030999999999999</v>
      </c>
    </row>
    <row r="1113" spans="2:5">
      <c r="B1113" t="s">
        <v>25</v>
      </c>
      <c r="C1113" s="11">
        <v>40522</v>
      </c>
      <c r="D1113" t="s">
        <v>12</v>
      </c>
      <c r="E1113">
        <v>0.26030999999999999</v>
      </c>
    </row>
    <row r="1114" spans="2:5">
      <c r="B1114" t="s">
        <v>25</v>
      </c>
      <c r="C1114" s="11">
        <v>40521</v>
      </c>
      <c r="D1114" t="s">
        <v>12</v>
      </c>
      <c r="E1114">
        <v>0.26218999999999998</v>
      </c>
    </row>
    <row r="1115" spans="2:5">
      <c r="B1115" t="s">
        <v>25</v>
      </c>
      <c r="C1115" s="11">
        <v>40520</v>
      </c>
      <c r="D1115" t="s">
        <v>12</v>
      </c>
      <c r="E1115">
        <v>0.26250000000000001</v>
      </c>
    </row>
    <row r="1116" spans="2:5">
      <c r="B1116" t="s">
        <v>25</v>
      </c>
      <c r="C1116" s="11">
        <v>40519</v>
      </c>
      <c r="D1116" t="s">
        <v>12</v>
      </c>
      <c r="E1116">
        <v>0.26374999999999998</v>
      </c>
    </row>
    <row r="1117" spans="2:5">
      <c r="B1117" t="s">
        <v>25</v>
      </c>
      <c r="C1117" s="11">
        <v>40518</v>
      </c>
      <c r="D1117" t="s">
        <v>12</v>
      </c>
      <c r="E1117">
        <v>0.26500000000000001</v>
      </c>
    </row>
    <row r="1118" spans="2:5">
      <c r="B1118" t="s">
        <v>25</v>
      </c>
      <c r="C1118" s="11">
        <v>40515</v>
      </c>
      <c r="D1118" t="s">
        <v>12</v>
      </c>
      <c r="E1118">
        <v>0.26500000000000001</v>
      </c>
    </row>
    <row r="1119" spans="2:5">
      <c r="B1119" t="s">
        <v>25</v>
      </c>
      <c r="C1119" s="11">
        <v>40514</v>
      </c>
      <c r="D1119" t="s">
        <v>12</v>
      </c>
      <c r="E1119">
        <v>0.26562999999999998</v>
      </c>
    </row>
    <row r="1120" spans="2:5">
      <c r="B1120" t="s">
        <v>25</v>
      </c>
      <c r="C1120" s="11">
        <v>40513</v>
      </c>
      <c r="D1120" t="s">
        <v>12</v>
      </c>
      <c r="E1120">
        <v>0.26530999999999999</v>
      </c>
    </row>
    <row r="1121" spans="2:5">
      <c r="B1121" t="s">
        <v>25</v>
      </c>
      <c r="C1121" s="11">
        <v>40512</v>
      </c>
      <c r="D1121" t="s">
        <v>12</v>
      </c>
      <c r="E1121">
        <v>0.26062999999999997</v>
      </c>
    </row>
    <row r="1122" spans="2:5">
      <c r="B1122" t="s">
        <v>25</v>
      </c>
      <c r="C1122" s="11">
        <v>40511</v>
      </c>
      <c r="D1122" t="s">
        <v>12</v>
      </c>
      <c r="E1122">
        <v>0.25750000000000001</v>
      </c>
    </row>
    <row r="1123" spans="2:5">
      <c r="B1123" t="s">
        <v>25</v>
      </c>
      <c r="C1123" s="11">
        <v>40508</v>
      </c>
      <c r="D1123" t="s">
        <v>12</v>
      </c>
      <c r="E1123">
        <v>0.25624999999999998</v>
      </c>
    </row>
    <row r="1124" spans="2:5">
      <c r="B1124" t="s">
        <v>25</v>
      </c>
      <c r="C1124" s="11">
        <v>40506</v>
      </c>
      <c r="D1124" t="s">
        <v>12</v>
      </c>
      <c r="E1124">
        <v>0.25344</v>
      </c>
    </row>
    <row r="1125" spans="2:5">
      <c r="B1125" t="s">
        <v>25</v>
      </c>
      <c r="C1125" s="11">
        <v>40505</v>
      </c>
      <c r="D1125" t="s">
        <v>12</v>
      </c>
      <c r="E1125">
        <v>0.25344</v>
      </c>
    </row>
    <row r="1126" spans="2:5">
      <c r="B1126" t="s">
        <v>25</v>
      </c>
      <c r="C1126" s="11">
        <v>40504</v>
      </c>
      <c r="D1126" t="s">
        <v>12</v>
      </c>
      <c r="E1126">
        <v>0.25344</v>
      </c>
    </row>
    <row r="1127" spans="2:5">
      <c r="B1127" t="s">
        <v>25</v>
      </c>
      <c r="C1127" s="11">
        <v>40501</v>
      </c>
      <c r="D1127" t="s">
        <v>12</v>
      </c>
      <c r="E1127">
        <v>0.25344</v>
      </c>
    </row>
    <row r="1128" spans="2:5">
      <c r="B1128" t="s">
        <v>25</v>
      </c>
      <c r="C1128" s="11">
        <v>40500</v>
      </c>
      <c r="D1128" t="s">
        <v>12</v>
      </c>
      <c r="E1128">
        <v>0.25344</v>
      </c>
    </row>
    <row r="1129" spans="2:5">
      <c r="B1129" t="s">
        <v>25</v>
      </c>
      <c r="C1129" s="11">
        <v>40499</v>
      </c>
      <c r="D1129" t="s">
        <v>12</v>
      </c>
      <c r="E1129">
        <v>0.25344</v>
      </c>
    </row>
    <row r="1130" spans="2:5">
      <c r="B1130" t="s">
        <v>25</v>
      </c>
      <c r="C1130" s="11">
        <v>40498</v>
      </c>
      <c r="D1130" t="s">
        <v>12</v>
      </c>
      <c r="E1130">
        <v>0.25344</v>
      </c>
    </row>
    <row r="1131" spans="2:5">
      <c r="B1131" t="s">
        <v>25</v>
      </c>
      <c r="C1131" s="11">
        <v>40497</v>
      </c>
      <c r="D1131" t="s">
        <v>12</v>
      </c>
      <c r="E1131">
        <v>0.25344</v>
      </c>
    </row>
    <row r="1132" spans="2:5">
      <c r="B1132" t="s">
        <v>25</v>
      </c>
      <c r="C1132" s="11">
        <v>40494</v>
      </c>
      <c r="D1132" t="s">
        <v>12</v>
      </c>
      <c r="E1132">
        <v>0.25344</v>
      </c>
    </row>
    <row r="1133" spans="2:5">
      <c r="B1133" t="s">
        <v>25</v>
      </c>
      <c r="C1133" s="11">
        <v>40492</v>
      </c>
      <c r="D1133" t="s">
        <v>12</v>
      </c>
      <c r="E1133">
        <v>0.25344</v>
      </c>
    </row>
    <row r="1134" spans="2:5">
      <c r="B1134" t="s">
        <v>25</v>
      </c>
      <c r="C1134" s="11">
        <v>40491</v>
      </c>
      <c r="D1134" t="s">
        <v>12</v>
      </c>
      <c r="E1134">
        <v>0.25344</v>
      </c>
    </row>
    <row r="1135" spans="2:5">
      <c r="B1135" t="s">
        <v>25</v>
      </c>
      <c r="C1135" s="11">
        <v>40490</v>
      </c>
      <c r="D1135" t="s">
        <v>12</v>
      </c>
      <c r="E1135">
        <v>0.25344</v>
      </c>
    </row>
    <row r="1136" spans="2:5">
      <c r="B1136" t="s">
        <v>25</v>
      </c>
      <c r="C1136" s="11">
        <v>40487</v>
      </c>
      <c r="D1136" t="s">
        <v>12</v>
      </c>
      <c r="E1136">
        <v>0.25344</v>
      </c>
    </row>
    <row r="1137" spans="2:5">
      <c r="B1137" t="s">
        <v>25</v>
      </c>
      <c r="C1137" s="11">
        <v>40486</v>
      </c>
      <c r="D1137" t="s">
        <v>12</v>
      </c>
      <c r="E1137">
        <v>0.25344</v>
      </c>
    </row>
    <row r="1138" spans="2:5">
      <c r="B1138" t="s">
        <v>25</v>
      </c>
      <c r="C1138" s="11">
        <v>40485</v>
      </c>
      <c r="D1138" t="s">
        <v>12</v>
      </c>
      <c r="E1138">
        <v>0.25374999999999998</v>
      </c>
    </row>
    <row r="1139" spans="2:5">
      <c r="B1139" t="s">
        <v>25</v>
      </c>
      <c r="C1139" s="11">
        <v>40484</v>
      </c>
      <c r="D1139" t="s">
        <v>12</v>
      </c>
      <c r="E1139">
        <v>0.25374999999999998</v>
      </c>
    </row>
    <row r="1140" spans="2:5">
      <c r="B1140" t="s">
        <v>25</v>
      </c>
      <c r="C1140" s="11">
        <v>40483</v>
      </c>
      <c r="D1140" t="s">
        <v>12</v>
      </c>
      <c r="E1140">
        <v>0.25374999999999998</v>
      </c>
    </row>
    <row r="1141" spans="2:5">
      <c r="B1141" t="s">
        <v>25</v>
      </c>
      <c r="C1141" s="11">
        <v>40480</v>
      </c>
      <c r="D1141" t="s">
        <v>12</v>
      </c>
      <c r="E1141">
        <v>0.25374999999999998</v>
      </c>
    </row>
    <row r="1142" spans="2:5">
      <c r="B1142" t="s">
        <v>25</v>
      </c>
      <c r="C1142" s="11">
        <v>40479</v>
      </c>
      <c r="D1142" t="s">
        <v>12</v>
      </c>
      <c r="E1142">
        <v>0.25406000000000001</v>
      </c>
    </row>
    <row r="1143" spans="2:5">
      <c r="B1143" t="s">
        <v>25</v>
      </c>
      <c r="C1143" s="11">
        <v>40478</v>
      </c>
      <c r="D1143" t="s">
        <v>12</v>
      </c>
      <c r="E1143">
        <v>0.25530999999999998</v>
      </c>
    </row>
    <row r="1144" spans="2:5">
      <c r="B1144" t="s">
        <v>25</v>
      </c>
      <c r="C1144" s="11">
        <v>40477</v>
      </c>
      <c r="D1144" t="s">
        <v>12</v>
      </c>
      <c r="E1144">
        <v>0.25530999999999998</v>
      </c>
    </row>
    <row r="1145" spans="2:5">
      <c r="B1145" t="s">
        <v>25</v>
      </c>
      <c r="C1145" s="11">
        <v>40476</v>
      </c>
      <c r="D1145" t="s">
        <v>12</v>
      </c>
      <c r="E1145">
        <v>0.25624999999999998</v>
      </c>
    </row>
    <row r="1146" spans="2:5">
      <c r="B1146" t="s">
        <v>25</v>
      </c>
      <c r="C1146" s="11">
        <v>40473</v>
      </c>
      <c r="D1146" t="s">
        <v>12</v>
      </c>
      <c r="E1146">
        <v>0.25624999999999998</v>
      </c>
    </row>
    <row r="1147" spans="2:5">
      <c r="B1147" t="s">
        <v>25</v>
      </c>
      <c r="C1147" s="11">
        <v>40472</v>
      </c>
      <c r="D1147" t="s">
        <v>12</v>
      </c>
      <c r="E1147">
        <v>0.25624999999999998</v>
      </c>
    </row>
    <row r="1148" spans="2:5">
      <c r="B1148" t="s">
        <v>25</v>
      </c>
      <c r="C1148" s="11">
        <v>40471</v>
      </c>
      <c r="D1148" t="s">
        <v>12</v>
      </c>
      <c r="E1148">
        <v>0.25624999999999998</v>
      </c>
    </row>
    <row r="1149" spans="2:5">
      <c r="B1149" t="s">
        <v>25</v>
      </c>
      <c r="C1149" s="11">
        <v>40470</v>
      </c>
      <c r="D1149" t="s">
        <v>12</v>
      </c>
      <c r="E1149">
        <v>0.25624999999999998</v>
      </c>
    </row>
    <row r="1150" spans="2:5">
      <c r="B1150" t="s">
        <v>25</v>
      </c>
      <c r="C1150" s="11">
        <v>40469</v>
      </c>
      <c r="D1150" t="s">
        <v>12</v>
      </c>
      <c r="E1150">
        <v>0.25624999999999998</v>
      </c>
    </row>
    <row r="1151" spans="2:5">
      <c r="B1151" t="s">
        <v>25</v>
      </c>
      <c r="C1151" s="11">
        <v>40466</v>
      </c>
      <c r="D1151" t="s">
        <v>12</v>
      </c>
      <c r="E1151">
        <v>0.25624999999999998</v>
      </c>
    </row>
    <row r="1152" spans="2:5">
      <c r="B1152" t="s">
        <v>25</v>
      </c>
      <c r="C1152" s="11">
        <v>40465</v>
      </c>
      <c r="D1152" t="s">
        <v>12</v>
      </c>
      <c r="E1152">
        <v>0.25624999999999998</v>
      </c>
    </row>
    <row r="1153" spans="2:5">
      <c r="B1153" t="s">
        <v>25</v>
      </c>
      <c r="C1153" s="11">
        <v>40464</v>
      </c>
      <c r="D1153" t="s">
        <v>12</v>
      </c>
      <c r="E1153">
        <v>0.25624999999999998</v>
      </c>
    </row>
    <row r="1154" spans="2:5">
      <c r="B1154" t="s">
        <v>25</v>
      </c>
      <c r="C1154" s="11">
        <v>40463</v>
      </c>
      <c r="D1154" t="s">
        <v>12</v>
      </c>
      <c r="E1154">
        <v>0.25624999999999998</v>
      </c>
    </row>
    <row r="1155" spans="2:5">
      <c r="B1155" t="s">
        <v>25</v>
      </c>
      <c r="C1155" s="11">
        <v>40459</v>
      </c>
      <c r="D1155" t="s">
        <v>12</v>
      </c>
      <c r="E1155">
        <v>0.25624999999999998</v>
      </c>
    </row>
    <row r="1156" spans="2:5">
      <c r="B1156" t="s">
        <v>25</v>
      </c>
      <c r="C1156" s="11">
        <v>40458</v>
      </c>
      <c r="D1156" t="s">
        <v>12</v>
      </c>
      <c r="E1156">
        <v>0.25624999999999998</v>
      </c>
    </row>
    <row r="1157" spans="2:5">
      <c r="B1157" t="s">
        <v>25</v>
      </c>
      <c r="C1157" s="11">
        <v>40457</v>
      </c>
      <c r="D1157" t="s">
        <v>12</v>
      </c>
      <c r="E1157">
        <v>0.25688</v>
      </c>
    </row>
    <row r="1158" spans="2:5">
      <c r="B1158" t="s">
        <v>25</v>
      </c>
      <c r="C1158" s="11">
        <v>40456</v>
      </c>
      <c r="D1158" t="s">
        <v>12</v>
      </c>
      <c r="E1158">
        <v>0.25688</v>
      </c>
    </row>
    <row r="1159" spans="2:5">
      <c r="B1159" t="s">
        <v>25</v>
      </c>
      <c r="C1159" s="11">
        <v>40455</v>
      </c>
      <c r="D1159" t="s">
        <v>12</v>
      </c>
      <c r="E1159">
        <v>0.25688</v>
      </c>
    </row>
    <row r="1160" spans="2:5">
      <c r="B1160" t="s">
        <v>25</v>
      </c>
      <c r="C1160" s="11">
        <v>40452</v>
      </c>
      <c r="D1160" t="s">
        <v>12</v>
      </c>
      <c r="E1160">
        <v>0.25688</v>
      </c>
    </row>
    <row r="1161" spans="2:5">
      <c r="B1161" t="s">
        <v>25</v>
      </c>
      <c r="C1161" s="11">
        <v>40451</v>
      </c>
      <c r="D1161" t="s">
        <v>12</v>
      </c>
      <c r="E1161">
        <v>0.25624999999999998</v>
      </c>
    </row>
    <row r="1162" spans="2:5">
      <c r="B1162" t="s">
        <v>25</v>
      </c>
      <c r="C1162" s="11">
        <v>40450</v>
      </c>
      <c r="D1162" t="s">
        <v>12</v>
      </c>
      <c r="E1162">
        <v>0.25624999999999998</v>
      </c>
    </row>
    <row r="1163" spans="2:5">
      <c r="B1163" t="s">
        <v>25</v>
      </c>
      <c r="C1163" s="11">
        <v>40449</v>
      </c>
      <c r="D1163" t="s">
        <v>12</v>
      </c>
      <c r="E1163">
        <v>0.25624999999999998</v>
      </c>
    </row>
    <row r="1164" spans="2:5">
      <c r="B1164" t="s">
        <v>25</v>
      </c>
      <c r="C1164" s="11">
        <v>40448</v>
      </c>
      <c r="D1164" t="s">
        <v>12</v>
      </c>
      <c r="E1164">
        <v>0.25624999999999998</v>
      </c>
    </row>
    <row r="1165" spans="2:5">
      <c r="B1165" t="s">
        <v>25</v>
      </c>
      <c r="C1165" s="11">
        <v>40445</v>
      </c>
      <c r="D1165" t="s">
        <v>12</v>
      </c>
      <c r="E1165">
        <v>0.25624999999999998</v>
      </c>
    </row>
    <row r="1166" spans="2:5">
      <c r="B1166" t="s">
        <v>25</v>
      </c>
      <c r="C1166" s="11">
        <v>40444</v>
      </c>
      <c r="D1166" t="s">
        <v>12</v>
      </c>
      <c r="E1166">
        <v>0.25624999999999998</v>
      </c>
    </row>
    <row r="1167" spans="2:5">
      <c r="B1167" t="s">
        <v>25</v>
      </c>
      <c r="C1167" s="11">
        <v>40443</v>
      </c>
      <c r="D1167" t="s">
        <v>12</v>
      </c>
      <c r="E1167">
        <v>0.25624999999999998</v>
      </c>
    </row>
    <row r="1168" spans="2:5">
      <c r="B1168" t="s">
        <v>25</v>
      </c>
      <c r="C1168" s="11">
        <v>40442</v>
      </c>
      <c r="D1168" t="s">
        <v>12</v>
      </c>
      <c r="E1168">
        <v>0.25624999999999998</v>
      </c>
    </row>
    <row r="1169" spans="2:5">
      <c r="B1169" t="s">
        <v>25</v>
      </c>
      <c r="C1169" s="11">
        <v>40441</v>
      </c>
      <c r="D1169" t="s">
        <v>12</v>
      </c>
      <c r="E1169">
        <v>0.25624999999999998</v>
      </c>
    </row>
    <row r="1170" spans="2:5">
      <c r="B1170" t="s">
        <v>25</v>
      </c>
      <c r="C1170" s="11">
        <v>40438</v>
      </c>
      <c r="D1170" t="s">
        <v>12</v>
      </c>
      <c r="E1170">
        <v>0.25750000000000001</v>
      </c>
    </row>
    <row r="1171" spans="2:5">
      <c r="B1171" t="s">
        <v>25</v>
      </c>
      <c r="C1171" s="11">
        <v>40437</v>
      </c>
      <c r="D1171" t="s">
        <v>12</v>
      </c>
      <c r="E1171">
        <v>0.25734000000000001</v>
      </c>
    </row>
    <row r="1172" spans="2:5">
      <c r="B1172" t="s">
        <v>25</v>
      </c>
      <c r="C1172" s="11">
        <v>40436</v>
      </c>
      <c r="D1172" t="s">
        <v>12</v>
      </c>
      <c r="E1172">
        <v>0.25734000000000001</v>
      </c>
    </row>
    <row r="1173" spans="2:5">
      <c r="B1173" t="s">
        <v>25</v>
      </c>
      <c r="C1173" s="11">
        <v>40435</v>
      </c>
      <c r="D1173" t="s">
        <v>12</v>
      </c>
      <c r="E1173">
        <v>0.25734000000000001</v>
      </c>
    </row>
    <row r="1174" spans="2:5">
      <c r="B1174" t="s">
        <v>25</v>
      </c>
      <c r="C1174" s="11">
        <v>40434</v>
      </c>
      <c r="D1174" t="s">
        <v>12</v>
      </c>
      <c r="E1174">
        <v>0.25734000000000001</v>
      </c>
    </row>
    <row r="1175" spans="2:5">
      <c r="B1175" t="s">
        <v>25</v>
      </c>
      <c r="C1175" s="11">
        <v>40431</v>
      </c>
      <c r="D1175" t="s">
        <v>12</v>
      </c>
      <c r="E1175">
        <v>0.25734000000000001</v>
      </c>
    </row>
    <row r="1176" spans="2:5">
      <c r="B1176" t="s">
        <v>25</v>
      </c>
      <c r="C1176" s="11">
        <v>40430</v>
      </c>
      <c r="D1176" t="s">
        <v>12</v>
      </c>
      <c r="E1176">
        <v>0.25734000000000001</v>
      </c>
    </row>
    <row r="1177" spans="2:5">
      <c r="B1177" t="s">
        <v>25</v>
      </c>
      <c r="C1177" s="11">
        <v>40429</v>
      </c>
      <c r="D1177" t="s">
        <v>12</v>
      </c>
      <c r="E1177">
        <v>0.25734000000000001</v>
      </c>
    </row>
    <row r="1178" spans="2:5">
      <c r="B1178" t="s">
        <v>25</v>
      </c>
      <c r="C1178" s="11">
        <v>40428</v>
      </c>
      <c r="D1178" t="s">
        <v>12</v>
      </c>
      <c r="E1178">
        <v>0.25766</v>
      </c>
    </row>
    <row r="1179" spans="2:5">
      <c r="B1179" t="s">
        <v>25</v>
      </c>
      <c r="C1179" s="11">
        <v>40424</v>
      </c>
      <c r="D1179" t="s">
        <v>12</v>
      </c>
      <c r="E1179">
        <v>0.25780999999999998</v>
      </c>
    </row>
    <row r="1180" spans="2:5">
      <c r="B1180" t="s">
        <v>25</v>
      </c>
      <c r="C1180" s="11">
        <v>40423</v>
      </c>
      <c r="D1180" t="s">
        <v>12</v>
      </c>
      <c r="E1180">
        <v>0.25780999999999998</v>
      </c>
    </row>
    <row r="1181" spans="2:5">
      <c r="B1181" t="s">
        <v>25</v>
      </c>
      <c r="C1181" s="11">
        <v>40422</v>
      </c>
      <c r="D1181" t="s">
        <v>12</v>
      </c>
      <c r="E1181">
        <v>0.25780999999999998</v>
      </c>
    </row>
    <row r="1182" spans="2:5">
      <c r="B1182" t="s">
        <v>25</v>
      </c>
      <c r="C1182" s="11">
        <v>40421</v>
      </c>
      <c r="D1182" t="s">
        <v>12</v>
      </c>
      <c r="E1182">
        <v>0.25780999999999998</v>
      </c>
    </row>
    <row r="1183" spans="2:5">
      <c r="B1183" t="s">
        <v>25</v>
      </c>
      <c r="C1183" s="11">
        <v>40420</v>
      </c>
      <c r="D1183" t="s">
        <v>12</v>
      </c>
      <c r="E1183">
        <v>0.25938</v>
      </c>
    </row>
    <row r="1184" spans="2:5">
      <c r="B1184" t="s">
        <v>25</v>
      </c>
      <c r="C1184" s="11">
        <v>40417</v>
      </c>
      <c r="D1184" t="s">
        <v>12</v>
      </c>
      <c r="E1184">
        <v>0.25938</v>
      </c>
    </row>
    <row r="1185" spans="2:5">
      <c r="B1185" t="s">
        <v>25</v>
      </c>
      <c r="C1185" s="11">
        <v>40416</v>
      </c>
      <c r="D1185" t="s">
        <v>12</v>
      </c>
      <c r="E1185">
        <v>0.26030999999999999</v>
      </c>
    </row>
    <row r="1186" spans="2:5">
      <c r="B1186" t="s">
        <v>25</v>
      </c>
      <c r="C1186" s="11">
        <v>40415</v>
      </c>
      <c r="D1186" t="s">
        <v>12</v>
      </c>
      <c r="E1186">
        <v>0.26156000000000001</v>
      </c>
    </row>
    <row r="1187" spans="2:5">
      <c r="B1187" t="s">
        <v>25</v>
      </c>
      <c r="C1187" s="11">
        <v>40414</v>
      </c>
      <c r="D1187" t="s">
        <v>12</v>
      </c>
      <c r="E1187">
        <v>0.26156000000000001</v>
      </c>
    </row>
    <row r="1188" spans="2:5">
      <c r="B1188" t="s">
        <v>25</v>
      </c>
      <c r="C1188" s="11">
        <v>40413</v>
      </c>
      <c r="D1188" t="s">
        <v>12</v>
      </c>
      <c r="E1188">
        <v>0.26374999999999998</v>
      </c>
    </row>
    <row r="1189" spans="2:5">
      <c r="B1189" t="s">
        <v>25</v>
      </c>
      <c r="C1189" s="11">
        <v>40410</v>
      </c>
      <c r="D1189" t="s">
        <v>12</v>
      </c>
      <c r="E1189">
        <v>0.26438</v>
      </c>
    </row>
    <row r="1190" spans="2:5">
      <c r="B1190" t="s">
        <v>25</v>
      </c>
      <c r="C1190" s="11">
        <v>40409</v>
      </c>
      <c r="D1190" t="s">
        <v>12</v>
      </c>
      <c r="E1190">
        <v>0.26468999999999998</v>
      </c>
    </row>
    <row r="1191" spans="2:5">
      <c r="B1191" t="s">
        <v>25</v>
      </c>
      <c r="C1191" s="11">
        <v>40408</v>
      </c>
      <c r="D1191" t="s">
        <v>12</v>
      </c>
      <c r="E1191">
        <v>0.26624999999999999</v>
      </c>
    </row>
    <row r="1192" spans="2:5">
      <c r="B1192" t="s">
        <v>25</v>
      </c>
      <c r="C1192" s="11">
        <v>40407</v>
      </c>
      <c r="D1192" t="s">
        <v>12</v>
      </c>
      <c r="E1192">
        <v>0.26656000000000002</v>
      </c>
    </row>
    <row r="1193" spans="2:5">
      <c r="B1193" t="s">
        <v>25</v>
      </c>
      <c r="C1193" s="11">
        <v>40406</v>
      </c>
      <c r="D1193" t="s">
        <v>12</v>
      </c>
      <c r="E1193">
        <v>0.26938000000000001</v>
      </c>
    </row>
    <row r="1194" spans="2:5">
      <c r="B1194" t="s">
        <v>25</v>
      </c>
      <c r="C1194" s="11">
        <v>40403</v>
      </c>
      <c r="D1194" t="s">
        <v>12</v>
      </c>
      <c r="E1194">
        <v>0.27188000000000001</v>
      </c>
    </row>
    <row r="1195" spans="2:5">
      <c r="B1195" t="s">
        <v>25</v>
      </c>
      <c r="C1195" s="11">
        <v>40402</v>
      </c>
      <c r="D1195" t="s">
        <v>12</v>
      </c>
      <c r="E1195">
        <v>0.27594000000000002</v>
      </c>
    </row>
    <row r="1196" spans="2:5">
      <c r="B1196" t="s">
        <v>25</v>
      </c>
      <c r="C1196" s="11">
        <v>40401</v>
      </c>
      <c r="D1196" t="s">
        <v>12</v>
      </c>
      <c r="E1196">
        <v>0.27938000000000002</v>
      </c>
    </row>
    <row r="1197" spans="2:5">
      <c r="B1197" t="s">
        <v>25</v>
      </c>
      <c r="C1197" s="11">
        <v>40400</v>
      </c>
      <c r="D1197" t="s">
        <v>12</v>
      </c>
      <c r="E1197">
        <v>0.28563</v>
      </c>
    </row>
    <row r="1198" spans="2:5">
      <c r="B1198" t="s">
        <v>25</v>
      </c>
      <c r="C1198" s="11">
        <v>40399</v>
      </c>
      <c r="D1198" t="s">
        <v>12</v>
      </c>
      <c r="E1198">
        <v>0.28999999999999998</v>
      </c>
    </row>
    <row r="1199" spans="2:5">
      <c r="B1199" t="s">
        <v>25</v>
      </c>
      <c r="C1199" s="11">
        <v>40396</v>
      </c>
      <c r="D1199" t="s">
        <v>12</v>
      </c>
      <c r="E1199">
        <v>0.29343999999999998</v>
      </c>
    </row>
    <row r="1200" spans="2:5">
      <c r="B1200" t="s">
        <v>25</v>
      </c>
      <c r="C1200" s="11">
        <v>40395</v>
      </c>
      <c r="D1200" t="s">
        <v>12</v>
      </c>
      <c r="E1200">
        <v>0.29469000000000001</v>
      </c>
    </row>
    <row r="1201" spans="2:5">
      <c r="B1201" t="s">
        <v>25</v>
      </c>
      <c r="C1201" s="11">
        <v>40394</v>
      </c>
      <c r="D1201" t="s">
        <v>12</v>
      </c>
      <c r="E1201">
        <v>0.29531000000000002</v>
      </c>
    </row>
    <row r="1202" spans="2:5">
      <c r="B1202" t="s">
        <v>25</v>
      </c>
      <c r="C1202" s="11">
        <v>40393</v>
      </c>
      <c r="D1202" t="s">
        <v>12</v>
      </c>
      <c r="E1202">
        <v>0.3</v>
      </c>
    </row>
    <row r="1203" spans="2:5">
      <c r="B1203" t="s">
        <v>25</v>
      </c>
      <c r="C1203" s="11">
        <v>40392</v>
      </c>
      <c r="D1203" t="s">
        <v>12</v>
      </c>
      <c r="E1203">
        <v>0.30281000000000002</v>
      </c>
    </row>
    <row r="1204" spans="2:5">
      <c r="B1204" t="s">
        <v>25</v>
      </c>
      <c r="C1204" s="11">
        <v>40389</v>
      </c>
      <c r="D1204" t="s">
        <v>12</v>
      </c>
      <c r="E1204">
        <v>0.30499999999999999</v>
      </c>
    </row>
    <row r="1205" spans="2:5">
      <c r="B1205" t="s">
        <v>25</v>
      </c>
      <c r="C1205" s="11">
        <v>40388</v>
      </c>
      <c r="D1205" t="s">
        <v>12</v>
      </c>
      <c r="E1205">
        <v>0.31156</v>
      </c>
    </row>
    <row r="1206" spans="2:5">
      <c r="B1206" t="s">
        <v>25</v>
      </c>
      <c r="C1206" s="11">
        <v>40387</v>
      </c>
      <c r="D1206" t="s">
        <v>12</v>
      </c>
      <c r="E1206">
        <v>0.31563000000000002</v>
      </c>
    </row>
    <row r="1207" spans="2:5">
      <c r="B1207" t="s">
        <v>25</v>
      </c>
      <c r="C1207" s="11">
        <v>40386</v>
      </c>
      <c r="D1207" t="s">
        <v>12</v>
      </c>
      <c r="E1207">
        <v>0.32063000000000003</v>
      </c>
    </row>
    <row r="1208" spans="2:5">
      <c r="B1208" t="s">
        <v>25</v>
      </c>
      <c r="C1208" s="11">
        <v>40385</v>
      </c>
      <c r="D1208" t="s">
        <v>12</v>
      </c>
      <c r="E1208">
        <v>0.32500000000000001</v>
      </c>
    </row>
    <row r="1209" spans="2:5">
      <c r="B1209" t="s">
        <v>25</v>
      </c>
      <c r="C1209" s="11">
        <v>40382</v>
      </c>
      <c r="D1209" t="s">
        <v>12</v>
      </c>
      <c r="E1209">
        <v>0.32688</v>
      </c>
    </row>
    <row r="1210" spans="2:5">
      <c r="B1210" t="s">
        <v>25</v>
      </c>
      <c r="C1210" s="11">
        <v>40381</v>
      </c>
      <c r="D1210" t="s">
        <v>12</v>
      </c>
      <c r="E1210">
        <v>0.32874999999999999</v>
      </c>
    </row>
    <row r="1211" spans="2:5">
      <c r="B1211" t="s">
        <v>25</v>
      </c>
      <c r="C1211" s="11">
        <v>40380</v>
      </c>
      <c r="D1211" t="s">
        <v>12</v>
      </c>
      <c r="E1211">
        <v>0.33062999999999998</v>
      </c>
    </row>
    <row r="1212" spans="2:5">
      <c r="B1212" t="s">
        <v>25</v>
      </c>
      <c r="C1212" s="11">
        <v>40379</v>
      </c>
      <c r="D1212" t="s">
        <v>12</v>
      </c>
      <c r="E1212">
        <v>0.33250000000000002</v>
      </c>
    </row>
    <row r="1213" spans="2:5">
      <c r="B1213" t="s">
        <v>25</v>
      </c>
      <c r="C1213" s="11">
        <v>40378</v>
      </c>
      <c r="D1213" t="s">
        <v>12</v>
      </c>
      <c r="E1213">
        <v>0.33688000000000001</v>
      </c>
    </row>
    <row r="1214" spans="2:5">
      <c r="B1214" t="s">
        <v>25</v>
      </c>
      <c r="C1214" s="11">
        <v>40375</v>
      </c>
      <c r="D1214" t="s">
        <v>12</v>
      </c>
      <c r="E1214">
        <v>0.33812999999999999</v>
      </c>
    </row>
    <row r="1215" spans="2:5">
      <c r="B1215" t="s">
        <v>25</v>
      </c>
      <c r="C1215" s="11">
        <v>40374</v>
      </c>
      <c r="D1215" t="s">
        <v>12</v>
      </c>
      <c r="E1215">
        <v>0.34062999999999999</v>
      </c>
    </row>
    <row r="1216" spans="2:5">
      <c r="B1216" t="s">
        <v>25</v>
      </c>
      <c r="C1216" s="11">
        <v>40373</v>
      </c>
      <c r="D1216" t="s">
        <v>12</v>
      </c>
      <c r="E1216">
        <v>0.34094000000000002</v>
      </c>
    </row>
    <row r="1217" spans="2:5">
      <c r="B1217" t="s">
        <v>25</v>
      </c>
      <c r="C1217" s="11">
        <v>40372</v>
      </c>
      <c r="D1217" t="s">
        <v>12</v>
      </c>
      <c r="E1217">
        <v>0.34094000000000002</v>
      </c>
    </row>
    <row r="1218" spans="2:5">
      <c r="B1218" t="s">
        <v>25</v>
      </c>
      <c r="C1218" s="11">
        <v>40371</v>
      </c>
      <c r="D1218" t="s">
        <v>12</v>
      </c>
      <c r="E1218">
        <v>0.34094000000000002</v>
      </c>
    </row>
    <row r="1219" spans="2:5">
      <c r="B1219" t="s">
        <v>25</v>
      </c>
      <c r="C1219" s="11">
        <v>40368</v>
      </c>
      <c r="D1219" t="s">
        <v>12</v>
      </c>
      <c r="E1219">
        <v>0.34094000000000002</v>
      </c>
    </row>
    <row r="1220" spans="2:5">
      <c r="B1220" t="s">
        <v>25</v>
      </c>
      <c r="C1220" s="11">
        <v>40367</v>
      </c>
      <c r="D1220" t="s">
        <v>12</v>
      </c>
      <c r="E1220">
        <v>0.34250000000000003</v>
      </c>
    </row>
    <row r="1221" spans="2:5">
      <c r="B1221" t="s">
        <v>25</v>
      </c>
      <c r="C1221" s="11">
        <v>40366</v>
      </c>
      <c r="D1221" t="s">
        <v>12</v>
      </c>
      <c r="E1221">
        <v>0.34499999999999997</v>
      </c>
    </row>
    <row r="1222" spans="2:5">
      <c r="B1222" t="s">
        <v>25</v>
      </c>
      <c r="C1222" s="11">
        <v>40365</v>
      </c>
      <c r="D1222" t="s">
        <v>12</v>
      </c>
      <c r="E1222">
        <v>0.34625</v>
      </c>
    </row>
    <row r="1223" spans="2:5">
      <c r="B1223" t="s">
        <v>25</v>
      </c>
      <c r="C1223" s="11">
        <v>40361</v>
      </c>
      <c r="D1223" t="s">
        <v>12</v>
      </c>
      <c r="E1223">
        <v>0.34749999999999998</v>
      </c>
    </row>
    <row r="1224" spans="2:5">
      <c r="B1224" t="s">
        <v>25</v>
      </c>
      <c r="C1224" s="11">
        <v>40360</v>
      </c>
      <c r="D1224" t="s">
        <v>12</v>
      </c>
      <c r="E1224">
        <v>0.34719</v>
      </c>
    </row>
    <row r="1225" spans="2:5">
      <c r="B1225" t="s">
        <v>25</v>
      </c>
      <c r="C1225" s="11">
        <v>40359</v>
      </c>
      <c r="D1225" t="s">
        <v>12</v>
      </c>
      <c r="E1225">
        <v>0.34844000000000003</v>
      </c>
    </row>
    <row r="1226" spans="2:5">
      <c r="B1226" t="s">
        <v>25</v>
      </c>
      <c r="C1226" s="11">
        <v>40358</v>
      </c>
      <c r="D1226" t="s">
        <v>12</v>
      </c>
      <c r="E1226">
        <v>0.34562999999999999</v>
      </c>
    </row>
    <row r="1227" spans="2:5">
      <c r="B1227" t="s">
        <v>25</v>
      </c>
      <c r="C1227" s="11">
        <v>40357</v>
      </c>
      <c r="D1227" t="s">
        <v>12</v>
      </c>
      <c r="E1227">
        <v>0.34719</v>
      </c>
    </row>
    <row r="1228" spans="2:5">
      <c r="B1228" t="s">
        <v>25</v>
      </c>
      <c r="C1228" s="11">
        <v>40354</v>
      </c>
      <c r="D1228" t="s">
        <v>12</v>
      </c>
      <c r="E1228">
        <v>0.34719</v>
      </c>
    </row>
    <row r="1229" spans="2:5">
      <c r="B1229" t="s">
        <v>25</v>
      </c>
      <c r="C1229" s="11">
        <v>40353</v>
      </c>
      <c r="D1229" t="s">
        <v>12</v>
      </c>
      <c r="E1229">
        <v>0.34719</v>
      </c>
    </row>
    <row r="1230" spans="2:5">
      <c r="B1230" t="s">
        <v>25</v>
      </c>
      <c r="C1230" s="11">
        <v>40352</v>
      </c>
      <c r="D1230" t="s">
        <v>12</v>
      </c>
      <c r="E1230">
        <v>0.34719</v>
      </c>
    </row>
    <row r="1231" spans="2:5">
      <c r="B1231" t="s">
        <v>25</v>
      </c>
      <c r="C1231" s="11">
        <v>40351</v>
      </c>
      <c r="D1231" t="s">
        <v>12</v>
      </c>
      <c r="E1231">
        <v>0.34719</v>
      </c>
    </row>
    <row r="1232" spans="2:5">
      <c r="B1232" t="s">
        <v>25</v>
      </c>
      <c r="C1232" s="11">
        <v>40350</v>
      </c>
      <c r="D1232" t="s">
        <v>12</v>
      </c>
      <c r="E1232">
        <v>0.34719</v>
      </c>
    </row>
    <row r="1233" spans="2:5">
      <c r="B1233" t="s">
        <v>25</v>
      </c>
      <c r="C1233" s="11">
        <v>40347</v>
      </c>
      <c r="D1233" t="s">
        <v>12</v>
      </c>
      <c r="E1233">
        <v>0.34733999999999998</v>
      </c>
    </row>
    <row r="1234" spans="2:5">
      <c r="B1234" t="s">
        <v>25</v>
      </c>
      <c r="C1234" s="11">
        <v>40346</v>
      </c>
      <c r="D1234" t="s">
        <v>12</v>
      </c>
      <c r="E1234">
        <v>0.34749999999999998</v>
      </c>
    </row>
    <row r="1235" spans="2:5">
      <c r="B1235" t="s">
        <v>25</v>
      </c>
      <c r="C1235" s="11">
        <v>40345</v>
      </c>
      <c r="D1235" t="s">
        <v>12</v>
      </c>
      <c r="E1235">
        <v>0.34844000000000003</v>
      </c>
    </row>
    <row r="1236" spans="2:5">
      <c r="B1236" t="s">
        <v>25</v>
      </c>
      <c r="C1236" s="11">
        <v>40344</v>
      </c>
      <c r="D1236" t="s">
        <v>12</v>
      </c>
      <c r="E1236">
        <v>0.34969</v>
      </c>
    </row>
    <row r="1237" spans="2:5">
      <c r="B1237" t="s">
        <v>25</v>
      </c>
      <c r="C1237" s="11">
        <v>40343</v>
      </c>
      <c r="D1237" t="s">
        <v>12</v>
      </c>
      <c r="E1237">
        <v>0.34969</v>
      </c>
    </row>
    <row r="1238" spans="2:5">
      <c r="B1238" t="s">
        <v>25</v>
      </c>
      <c r="C1238" s="11">
        <v>40340</v>
      </c>
      <c r="D1238" t="s">
        <v>12</v>
      </c>
      <c r="E1238">
        <v>0.34969</v>
      </c>
    </row>
    <row r="1239" spans="2:5">
      <c r="B1239" t="s">
        <v>25</v>
      </c>
      <c r="C1239" s="11">
        <v>40339</v>
      </c>
      <c r="D1239" t="s">
        <v>12</v>
      </c>
      <c r="E1239">
        <v>0.34969</v>
      </c>
    </row>
    <row r="1240" spans="2:5">
      <c r="B1240" t="s">
        <v>25</v>
      </c>
      <c r="C1240" s="11">
        <v>40338</v>
      </c>
      <c r="D1240" t="s">
        <v>12</v>
      </c>
      <c r="E1240">
        <v>0.35031000000000001</v>
      </c>
    </row>
    <row r="1241" spans="2:5">
      <c r="B1241" t="s">
        <v>25</v>
      </c>
      <c r="C1241" s="11">
        <v>40337</v>
      </c>
      <c r="D1241" t="s">
        <v>12</v>
      </c>
      <c r="E1241">
        <v>0.35</v>
      </c>
    </row>
    <row r="1242" spans="2:5">
      <c r="B1242" t="s">
        <v>25</v>
      </c>
      <c r="C1242" s="11">
        <v>40336</v>
      </c>
      <c r="D1242" t="s">
        <v>12</v>
      </c>
      <c r="E1242">
        <v>0.35</v>
      </c>
    </row>
    <row r="1243" spans="2:5">
      <c r="B1243" t="s">
        <v>25</v>
      </c>
      <c r="C1243" s="11">
        <v>40333</v>
      </c>
      <c r="D1243" t="s">
        <v>12</v>
      </c>
      <c r="E1243">
        <v>0.35</v>
      </c>
    </row>
    <row r="1244" spans="2:5">
      <c r="B1244" t="s">
        <v>25</v>
      </c>
      <c r="C1244" s="11">
        <v>40332</v>
      </c>
      <c r="D1244" t="s">
        <v>12</v>
      </c>
      <c r="E1244">
        <v>0.35088000000000003</v>
      </c>
    </row>
    <row r="1245" spans="2:5">
      <c r="B1245" t="s">
        <v>25</v>
      </c>
      <c r="C1245" s="11">
        <v>40331</v>
      </c>
      <c r="D1245" t="s">
        <v>12</v>
      </c>
      <c r="E1245">
        <v>0.35088000000000003</v>
      </c>
    </row>
    <row r="1246" spans="2:5">
      <c r="B1246" t="s">
        <v>25</v>
      </c>
      <c r="C1246" s="11">
        <v>40330</v>
      </c>
      <c r="D1246" t="s">
        <v>12</v>
      </c>
      <c r="E1246">
        <v>0.35088000000000003</v>
      </c>
    </row>
    <row r="1247" spans="2:5">
      <c r="B1247" t="s">
        <v>25</v>
      </c>
      <c r="C1247" s="11">
        <v>40326</v>
      </c>
      <c r="D1247" t="s">
        <v>12</v>
      </c>
      <c r="E1247">
        <v>0.35125000000000001</v>
      </c>
    </row>
    <row r="1248" spans="2:5">
      <c r="B1248" t="s">
        <v>25</v>
      </c>
      <c r="C1248" s="11">
        <v>40325</v>
      </c>
      <c r="D1248" t="s">
        <v>12</v>
      </c>
      <c r="E1248">
        <v>0.35375000000000001</v>
      </c>
    </row>
    <row r="1249" spans="2:5">
      <c r="B1249" t="s">
        <v>25</v>
      </c>
      <c r="C1249" s="11">
        <v>40324</v>
      </c>
      <c r="D1249" t="s">
        <v>12</v>
      </c>
      <c r="E1249">
        <v>0.35405999999999999</v>
      </c>
    </row>
    <row r="1250" spans="2:5">
      <c r="B1250" t="s">
        <v>25</v>
      </c>
      <c r="C1250" s="11">
        <v>40323</v>
      </c>
      <c r="D1250" t="s">
        <v>12</v>
      </c>
      <c r="E1250">
        <v>0.35399999999999998</v>
      </c>
    </row>
    <row r="1251" spans="2:5">
      <c r="B1251" t="s">
        <v>25</v>
      </c>
      <c r="C1251" s="11">
        <v>40322</v>
      </c>
      <c r="D1251" t="s">
        <v>12</v>
      </c>
      <c r="E1251">
        <v>0.34525</v>
      </c>
    </row>
    <row r="1252" spans="2:5">
      <c r="B1252" t="s">
        <v>25</v>
      </c>
      <c r="C1252" s="11">
        <v>40319</v>
      </c>
      <c r="D1252" t="s">
        <v>12</v>
      </c>
      <c r="E1252">
        <v>0.34281</v>
      </c>
    </row>
    <row r="1253" spans="2:5">
      <c r="B1253" t="s">
        <v>25</v>
      </c>
      <c r="C1253" s="11">
        <v>40318</v>
      </c>
      <c r="D1253" t="s">
        <v>12</v>
      </c>
      <c r="E1253">
        <v>0.34131</v>
      </c>
    </row>
    <row r="1254" spans="2:5">
      <c r="B1254" t="s">
        <v>25</v>
      </c>
      <c r="C1254" s="11">
        <v>40317</v>
      </c>
      <c r="D1254" t="s">
        <v>12</v>
      </c>
      <c r="E1254">
        <v>0.34105999999999997</v>
      </c>
    </row>
    <row r="1255" spans="2:5">
      <c r="B1255" t="s">
        <v>25</v>
      </c>
      <c r="C1255" s="11">
        <v>40316</v>
      </c>
      <c r="D1255" t="s">
        <v>12</v>
      </c>
      <c r="E1255">
        <v>0.33968999999999999</v>
      </c>
    </row>
    <row r="1256" spans="2:5">
      <c r="B1256" t="s">
        <v>25</v>
      </c>
      <c r="C1256" s="11">
        <v>40315</v>
      </c>
      <c r="D1256" t="s">
        <v>12</v>
      </c>
      <c r="E1256">
        <v>0.33894000000000002</v>
      </c>
    </row>
    <row r="1257" spans="2:5">
      <c r="B1257" t="s">
        <v>25</v>
      </c>
      <c r="C1257" s="11">
        <v>40312</v>
      </c>
      <c r="D1257" t="s">
        <v>12</v>
      </c>
      <c r="E1257">
        <v>0.33774999999999999</v>
      </c>
    </row>
    <row r="1258" spans="2:5">
      <c r="B1258" t="s">
        <v>25</v>
      </c>
      <c r="C1258" s="11">
        <v>40311</v>
      </c>
      <c r="D1258" t="s">
        <v>12</v>
      </c>
      <c r="E1258">
        <v>0.33688000000000001</v>
      </c>
    </row>
    <row r="1259" spans="2:5">
      <c r="B1259" t="s">
        <v>25</v>
      </c>
      <c r="C1259" s="11">
        <v>40310</v>
      </c>
      <c r="D1259" t="s">
        <v>12</v>
      </c>
      <c r="E1259">
        <v>0.33812999999999999</v>
      </c>
    </row>
    <row r="1260" spans="2:5">
      <c r="B1260" t="s">
        <v>25</v>
      </c>
      <c r="C1260" s="11">
        <v>40309</v>
      </c>
      <c r="D1260" t="s">
        <v>12</v>
      </c>
      <c r="E1260">
        <v>0.33750000000000002</v>
      </c>
    </row>
    <row r="1261" spans="2:5">
      <c r="B1261" t="s">
        <v>25</v>
      </c>
      <c r="C1261" s="11">
        <v>40308</v>
      </c>
      <c r="D1261" t="s">
        <v>12</v>
      </c>
      <c r="E1261">
        <v>0.34</v>
      </c>
    </row>
    <row r="1262" spans="2:5">
      <c r="B1262" t="s">
        <v>25</v>
      </c>
      <c r="C1262" s="11">
        <v>40305</v>
      </c>
      <c r="D1262" t="s">
        <v>12</v>
      </c>
      <c r="E1262">
        <v>0.34875</v>
      </c>
    </row>
    <row r="1263" spans="2:5">
      <c r="B1263" t="s">
        <v>25</v>
      </c>
      <c r="C1263" s="11">
        <v>40304</v>
      </c>
      <c r="D1263" t="s">
        <v>12</v>
      </c>
      <c r="E1263">
        <v>0.29705999999999999</v>
      </c>
    </row>
    <row r="1264" spans="2:5">
      <c r="B1264" t="s">
        <v>25</v>
      </c>
      <c r="C1264" s="11">
        <v>40303</v>
      </c>
      <c r="D1264" t="s">
        <v>12</v>
      </c>
      <c r="E1264">
        <v>0.29093999999999998</v>
      </c>
    </row>
    <row r="1265" spans="2:5">
      <c r="B1265" t="s">
        <v>25</v>
      </c>
      <c r="C1265" s="11">
        <v>40302</v>
      </c>
      <c r="D1265" t="s">
        <v>12</v>
      </c>
      <c r="E1265">
        <v>0.28469</v>
      </c>
    </row>
    <row r="1266" spans="2:5">
      <c r="B1266" t="s">
        <v>25</v>
      </c>
      <c r="C1266" s="11">
        <v>40301</v>
      </c>
      <c r="D1266" t="s">
        <v>12</v>
      </c>
      <c r="E1266">
        <v>0.28000000000000003</v>
      </c>
    </row>
    <row r="1267" spans="2:5">
      <c r="B1267" t="s">
        <v>25</v>
      </c>
      <c r="C1267" s="11">
        <v>40298</v>
      </c>
      <c r="D1267" t="s">
        <v>12</v>
      </c>
      <c r="E1267">
        <v>0.28000000000000003</v>
      </c>
    </row>
    <row r="1268" spans="2:5">
      <c r="B1268" t="s">
        <v>25</v>
      </c>
      <c r="C1268" s="11">
        <v>40297</v>
      </c>
      <c r="D1268" t="s">
        <v>12</v>
      </c>
      <c r="E1268">
        <v>0.27766000000000002</v>
      </c>
    </row>
    <row r="1269" spans="2:5">
      <c r="B1269" t="s">
        <v>25</v>
      </c>
      <c r="C1269" s="11">
        <v>40296</v>
      </c>
      <c r="D1269" t="s">
        <v>12</v>
      </c>
      <c r="E1269">
        <v>0.27312999999999998</v>
      </c>
    </row>
    <row r="1270" spans="2:5">
      <c r="B1270" t="s">
        <v>25</v>
      </c>
      <c r="C1270" s="11">
        <v>40295</v>
      </c>
      <c r="D1270" t="s">
        <v>12</v>
      </c>
      <c r="E1270">
        <v>0.26672000000000001</v>
      </c>
    </row>
    <row r="1271" spans="2:5">
      <c r="B1271" t="s">
        <v>25</v>
      </c>
      <c r="C1271" s="11">
        <v>40294</v>
      </c>
      <c r="D1271" t="s">
        <v>12</v>
      </c>
      <c r="E1271">
        <v>0.26468999999999998</v>
      </c>
    </row>
    <row r="1272" spans="2:5">
      <c r="B1272" t="s">
        <v>25</v>
      </c>
      <c r="C1272" s="11">
        <v>40291</v>
      </c>
      <c r="D1272" t="s">
        <v>12</v>
      </c>
      <c r="E1272">
        <v>0.26438</v>
      </c>
    </row>
    <row r="1273" spans="2:5">
      <c r="B1273" t="s">
        <v>25</v>
      </c>
      <c r="C1273" s="11">
        <v>40290</v>
      </c>
      <c r="D1273" t="s">
        <v>12</v>
      </c>
      <c r="E1273">
        <v>0.26250000000000001</v>
      </c>
    </row>
    <row r="1274" spans="2:5">
      <c r="B1274" t="s">
        <v>25</v>
      </c>
      <c r="C1274" s="11">
        <v>40289</v>
      </c>
      <c r="D1274" t="s">
        <v>12</v>
      </c>
      <c r="E1274">
        <v>0.26062999999999997</v>
      </c>
    </row>
    <row r="1275" spans="2:5">
      <c r="B1275" t="s">
        <v>25</v>
      </c>
      <c r="C1275" s="11">
        <v>40288</v>
      </c>
      <c r="D1275" t="s">
        <v>12</v>
      </c>
      <c r="E1275">
        <v>0.25874999999999998</v>
      </c>
    </row>
    <row r="1276" spans="2:5">
      <c r="B1276" t="s">
        <v>25</v>
      </c>
      <c r="C1276" s="11">
        <v>40287</v>
      </c>
      <c r="D1276" t="s">
        <v>12</v>
      </c>
      <c r="E1276">
        <v>0.25750000000000001</v>
      </c>
    </row>
    <row r="1277" spans="2:5">
      <c r="B1277" t="s">
        <v>25</v>
      </c>
      <c r="C1277" s="11">
        <v>40284</v>
      </c>
      <c r="D1277" t="s">
        <v>12</v>
      </c>
      <c r="E1277">
        <v>0.25563000000000002</v>
      </c>
    </row>
    <row r="1278" spans="2:5">
      <c r="B1278" t="s">
        <v>25</v>
      </c>
      <c r="C1278" s="11">
        <v>40283</v>
      </c>
      <c r="D1278" t="s">
        <v>12</v>
      </c>
      <c r="E1278">
        <v>0.25624999999999998</v>
      </c>
    </row>
    <row r="1279" spans="2:5">
      <c r="B1279" t="s">
        <v>25</v>
      </c>
      <c r="C1279" s="11">
        <v>40282</v>
      </c>
      <c r="D1279" t="s">
        <v>12</v>
      </c>
      <c r="E1279">
        <v>0.25594</v>
      </c>
    </row>
    <row r="1280" spans="2:5">
      <c r="B1280" t="s">
        <v>25</v>
      </c>
      <c r="C1280" s="11">
        <v>40281</v>
      </c>
      <c r="D1280" t="s">
        <v>12</v>
      </c>
      <c r="E1280">
        <v>0.25438</v>
      </c>
    </row>
    <row r="1281" spans="2:5">
      <c r="B1281" t="s">
        <v>25</v>
      </c>
      <c r="C1281" s="11">
        <v>40280</v>
      </c>
      <c r="D1281" t="s">
        <v>12</v>
      </c>
      <c r="E1281">
        <v>0.25297999999999998</v>
      </c>
    </row>
    <row r="1282" spans="2:5">
      <c r="B1282" t="s">
        <v>25</v>
      </c>
      <c r="C1282" s="11">
        <v>40277</v>
      </c>
      <c r="D1282" t="s">
        <v>12</v>
      </c>
      <c r="E1282">
        <v>0.25287999999999999</v>
      </c>
    </row>
    <row r="1283" spans="2:5">
      <c r="B1283" t="s">
        <v>25</v>
      </c>
      <c r="C1283" s="11">
        <v>40276</v>
      </c>
      <c r="D1283" t="s">
        <v>12</v>
      </c>
      <c r="E1283">
        <v>0.25013000000000002</v>
      </c>
    </row>
    <row r="1284" spans="2:5">
      <c r="B1284" t="s">
        <v>25</v>
      </c>
      <c r="C1284" s="11">
        <v>40275</v>
      </c>
      <c r="D1284" t="s">
        <v>12</v>
      </c>
      <c r="E1284">
        <v>0.25137999999999999</v>
      </c>
    </row>
    <row r="1285" spans="2:5">
      <c r="B1285" t="s">
        <v>25</v>
      </c>
      <c r="C1285" s="11">
        <v>40274</v>
      </c>
      <c r="D1285" t="s">
        <v>12</v>
      </c>
      <c r="E1285">
        <v>0.25074999999999997</v>
      </c>
    </row>
    <row r="1286" spans="2:5">
      <c r="B1286" t="s">
        <v>25</v>
      </c>
      <c r="C1286" s="11">
        <v>40273</v>
      </c>
      <c r="D1286" t="s">
        <v>12</v>
      </c>
      <c r="E1286">
        <v>0.24862999999999999</v>
      </c>
    </row>
    <row r="1287" spans="2:5">
      <c r="B1287" t="s">
        <v>25</v>
      </c>
      <c r="C1287" s="11">
        <v>40269</v>
      </c>
      <c r="D1287" t="s">
        <v>12</v>
      </c>
      <c r="E1287">
        <v>0.24862999999999999</v>
      </c>
    </row>
    <row r="1288" spans="2:5">
      <c r="B1288" t="s">
        <v>25</v>
      </c>
      <c r="C1288" s="11">
        <v>40268</v>
      </c>
      <c r="D1288" t="s">
        <v>12</v>
      </c>
      <c r="E1288">
        <v>0.24862999999999999</v>
      </c>
    </row>
    <row r="1289" spans="2:5">
      <c r="B1289" t="s">
        <v>25</v>
      </c>
      <c r="C1289" s="11">
        <v>40267</v>
      </c>
      <c r="D1289" t="s">
        <v>12</v>
      </c>
      <c r="E1289">
        <v>0.24862999999999999</v>
      </c>
    </row>
    <row r="1290" spans="2:5">
      <c r="B1290" t="s">
        <v>25</v>
      </c>
      <c r="C1290" s="11">
        <v>40266</v>
      </c>
      <c r="D1290" t="s">
        <v>12</v>
      </c>
      <c r="E1290">
        <v>0.24787999999999999</v>
      </c>
    </row>
    <row r="1291" spans="2:5">
      <c r="B1291" t="s">
        <v>25</v>
      </c>
      <c r="C1291" s="11">
        <v>40263</v>
      </c>
      <c r="D1291" t="s">
        <v>12</v>
      </c>
      <c r="E1291">
        <v>0.24687999999999999</v>
      </c>
    </row>
    <row r="1292" spans="2:5">
      <c r="B1292" t="s">
        <v>25</v>
      </c>
      <c r="C1292" s="11">
        <v>40262</v>
      </c>
      <c r="D1292" t="s">
        <v>12</v>
      </c>
      <c r="E1292">
        <v>0.24693999999999999</v>
      </c>
    </row>
    <row r="1293" spans="2:5">
      <c r="B1293" t="s">
        <v>25</v>
      </c>
      <c r="C1293" s="11">
        <v>40261</v>
      </c>
      <c r="D1293" t="s">
        <v>12</v>
      </c>
      <c r="E1293">
        <v>0.24618999999999999</v>
      </c>
    </row>
    <row r="1294" spans="2:5">
      <c r="B1294" t="s">
        <v>25</v>
      </c>
      <c r="C1294" s="11">
        <v>40260</v>
      </c>
      <c r="D1294" t="s">
        <v>12</v>
      </c>
      <c r="E1294">
        <v>0.24606</v>
      </c>
    </row>
    <row r="1295" spans="2:5">
      <c r="B1295" t="s">
        <v>25</v>
      </c>
      <c r="C1295" s="11">
        <v>40259</v>
      </c>
      <c r="D1295" t="s">
        <v>12</v>
      </c>
      <c r="E1295">
        <v>0.24718999999999999</v>
      </c>
    </row>
    <row r="1296" spans="2:5">
      <c r="B1296" t="s">
        <v>25</v>
      </c>
      <c r="C1296" s="11">
        <v>40256</v>
      </c>
      <c r="D1296" t="s">
        <v>12</v>
      </c>
      <c r="E1296">
        <v>0.24506</v>
      </c>
    </row>
    <row r="1297" spans="2:5">
      <c r="B1297" t="s">
        <v>25</v>
      </c>
      <c r="C1297" s="11">
        <v>40255</v>
      </c>
      <c r="D1297" t="s">
        <v>12</v>
      </c>
      <c r="E1297">
        <v>0.23974999999999999</v>
      </c>
    </row>
    <row r="1298" spans="2:5">
      <c r="B1298" t="s">
        <v>25</v>
      </c>
      <c r="C1298" s="11">
        <v>40254</v>
      </c>
      <c r="D1298" t="s">
        <v>12</v>
      </c>
      <c r="E1298">
        <v>0.23744000000000001</v>
      </c>
    </row>
    <row r="1299" spans="2:5">
      <c r="B1299" t="s">
        <v>25</v>
      </c>
      <c r="C1299" s="11">
        <v>40253</v>
      </c>
      <c r="D1299" t="s">
        <v>12</v>
      </c>
      <c r="E1299">
        <v>0.23563000000000001</v>
      </c>
    </row>
    <row r="1300" spans="2:5">
      <c r="B1300" t="s">
        <v>25</v>
      </c>
      <c r="C1300" s="11">
        <v>40252</v>
      </c>
      <c r="D1300" t="s">
        <v>12</v>
      </c>
      <c r="E1300">
        <v>0.23030999999999999</v>
      </c>
    </row>
    <row r="1301" spans="2:5">
      <c r="B1301" t="s">
        <v>25</v>
      </c>
      <c r="C1301" s="11">
        <v>40249</v>
      </c>
      <c r="D1301" t="s">
        <v>12</v>
      </c>
      <c r="E1301">
        <v>0.23</v>
      </c>
    </row>
    <row r="1302" spans="2:5">
      <c r="B1302" t="s">
        <v>25</v>
      </c>
      <c r="C1302" s="11">
        <v>40248</v>
      </c>
      <c r="D1302" t="s">
        <v>12</v>
      </c>
      <c r="E1302">
        <v>0.23</v>
      </c>
    </row>
    <row r="1303" spans="2:5">
      <c r="B1303" t="s">
        <v>25</v>
      </c>
      <c r="C1303" s="11">
        <v>40247</v>
      </c>
      <c r="D1303" t="s">
        <v>12</v>
      </c>
      <c r="E1303">
        <v>0.23</v>
      </c>
    </row>
    <row r="1304" spans="2:5">
      <c r="B1304" t="s">
        <v>25</v>
      </c>
      <c r="C1304" s="11">
        <v>40246</v>
      </c>
      <c r="D1304" t="s">
        <v>12</v>
      </c>
      <c r="E1304">
        <v>0.23</v>
      </c>
    </row>
    <row r="1305" spans="2:5">
      <c r="B1305" t="s">
        <v>25</v>
      </c>
      <c r="C1305" s="11">
        <v>40245</v>
      </c>
      <c r="D1305" t="s">
        <v>12</v>
      </c>
      <c r="E1305">
        <v>0.23</v>
      </c>
    </row>
    <row r="1306" spans="2:5">
      <c r="B1306" t="s">
        <v>25</v>
      </c>
      <c r="C1306" s="11">
        <v>40242</v>
      </c>
      <c r="D1306" t="s">
        <v>12</v>
      </c>
      <c r="E1306">
        <v>0.22906000000000001</v>
      </c>
    </row>
    <row r="1307" spans="2:5">
      <c r="B1307" t="s">
        <v>25</v>
      </c>
      <c r="C1307" s="11">
        <v>40241</v>
      </c>
      <c r="D1307" t="s">
        <v>12</v>
      </c>
      <c r="E1307">
        <v>0.22813</v>
      </c>
    </row>
    <row r="1308" spans="2:5">
      <c r="B1308" t="s">
        <v>25</v>
      </c>
      <c r="C1308" s="11">
        <v>40240</v>
      </c>
      <c r="D1308" t="s">
        <v>12</v>
      </c>
      <c r="E1308">
        <v>0.22813</v>
      </c>
    </row>
    <row r="1309" spans="2:5">
      <c r="B1309" t="s">
        <v>25</v>
      </c>
      <c r="C1309" s="11">
        <v>40239</v>
      </c>
      <c r="D1309" t="s">
        <v>12</v>
      </c>
      <c r="E1309">
        <v>0.22813</v>
      </c>
    </row>
    <row r="1310" spans="2:5">
      <c r="B1310" t="s">
        <v>25</v>
      </c>
      <c r="C1310" s="11">
        <v>40238</v>
      </c>
      <c r="D1310" t="s">
        <v>12</v>
      </c>
      <c r="E1310">
        <v>0.22813</v>
      </c>
    </row>
    <row r="1311" spans="2:5">
      <c r="B1311" t="s">
        <v>25</v>
      </c>
      <c r="C1311" s="11">
        <v>40235</v>
      </c>
      <c r="D1311" t="s">
        <v>12</v>
      </c>
      <c r="E1311">
        <v>0.22875000000000001</v>
      </c>
    </row>
    <row r="1312" spans="2:5">
      <c r="B1312" t="s">
        <v>25</v>
      </c>
      <c r="C1312" s="11">
        <v>40234</v>
      </c>
      <c r="D1312" t="s">
        <v>12</v>
      </c>
      <c r="E1312">
        <v>0.22875000000000001</v>
      </c>
    </row>
    <row r="1313" spans="2:5">
      <c r="B1313" t="s">
        <v>25</v>
      </c>
      <c r="C1313" s="11">
        <v>40233</v>
      </c>
      <c r="D1313" t="s">
        <v>12</v>
      </c>
      <c r="E1313">
        <v>0.22875000000000001</v>
      </c>
    </row>
    <row r="1314" spans="2:5">
      <c r="B1314" t="s">
        <v>25</v>
      </c>
      <c r="C1314" s="11">
        <v>40232</v>
      </c>
      <c r="D1314" t="s">
        <v>12</v>
      </c>
      <c r="E1314">
        <v>0.22875000000000001</v>
      </c>
    </row>
    <row r="1315" spans="2:5">
      <c r="B1315" t="s">
        <v>25</v>
      </c>
      <c r="C1315" s="11">
        <v>40231</v>
      </c>
      <c r="D1315" t="s">
        <v>12</v>
      </c>
      <c r="E1315">
        <v>0.22875000000000001</v>
      </c>
    </row>
    <row r="1316" spans="2:5">
      <c r="B1316" t="s">
        <v>25</v>
      </c>
      <c r="C1316" s="11">
        <v>40228</v>
      </c>
      <c r="D1316" t="s">
        <v>12</v>
      </c>
      <c r="E1316">
        <v>0.22875000000000001</v>
      </c>
    </row>
    <row r="1317" spans="2:5">
      <c r="B1317" t="s">
        <v>25</v>
      </c>
      <c r="C1317" s="11">
        <v>40227</v>
      </c>
      <c r="D1317" t="s">
        <v>12</v>
      </c>
      <c r="E1317">
        <v>0.22875000000000001</v>
      </c>
    </row>
    <row r="1318" spans="2:5">
      <c r="B1318" t="s">
        <v>25</v>
      </c>
      <c r="C1318" s="11">
        <v>40226</v>
      </c>
      <c r="D1318" t="s">
        <v>12</v>
      </c>
      <c r="E1318">
        <v>0.22875000000000001</v>
      </c>
    </row>
    <row r="1319" spans="2:5">
      <c r="B1319" t="s">
        <v>25</v>
      </c>
      <c r="C1319" s="11">
        <v>40225</v>
      </c>
      <c r="D1319" t="s">
        <v>12</v>
      </c>
      <c r="E1319">
        <v>0.22875000000000001</v>
      </c>
    </row>
    <row r="1320" spans="2:5">
      <c r="B1320" t="s">
        <v>25</v>
      </c>
      <c r="C1320" s="11">
        <v>40221</v>
      </c>
      <c r="D1320" t="s">
        <v>12</v>
      </c>
      <c r="E1320">
        <v>0.23188</v>
      </c>
    </row>
    <row r="1321" spans="2:5">
      <c r="B1321" t="s">
        <v>25</v>
      </c>
      <c r="C1321" s="11">
        <v>40220</v>
      </c>
      <c r="D1321" t="s">
        <v>12</v>
      </c>
      <c r="E1321">
        <v>0.23063</v>
      </c>
    </row>
    <row r="1322" spans="2:5">
      <c r="B1322" t="s">
        <v>25</v>
      </c>
      <c r="C1322" s="11">
        <v>40219</v>
      </c>
      <c r="D1322" t="s">
        <v>12</v>
      </c>
      <c r="E1322">
        <v>0.22844</v>
      </c>
    </row>
    <row r="1323" spans="2:5">
      <c r="B1323" t="s">
        <v>25</v>
      </c>
      <c r="C1323" s="11">
        <v>40218</v>
      </c>
      <c r="D1323" t="s">
        <v>12</v>
      </c>
      <c r="E1323">
        <v>0.22844</v>
      </c>
    </row>
    <row r="1324" spans="2:5">
      <c r="B1324" t="s">
        <v>25</v>
      </c>
      <c r="C1324" s="11">
        <v>40217</v>
      </c>
      <c r="D1324" t="s">
        <v>12</v>
      </c>
      <c r="E1324">
        <v>0.22844</v>
      </c>
    </row>
    <row r="1325" spans="2:5">
      <c r="B1325" t="s">
        <v>25</v>
      </c>
      <c r="C1325" s="11">
        <v>40214</v>
      </c>
      <c r="D1325" t="s">
        <v>12</v>
      </c>
      <c r="E1325">
        <v>0.22844</v>
      </c>
    </row>
    <row r="1326" spans="2:5">
      <c r="B1326" t="s">
        <v>25</v>
      </c>
      <c r="C1326" s="11">
        <v>40213</v>
      </c>
      <c r="D1326" t="s">
        <v>12</v>
      </c>
      <c r="E1326">
        <v>0.22844</v>
      </c>
    </row>
    <row r="1327" spans="2:5">
      <c r="B1327" t="s">
        <v>25</v>
      </c>
      <c r="C1327" s="11">
        <v>40212</v>
      </c>
      <c r="D1327" t="s">
        <v>12</v>
      </c>
      <c r="E1327">
        <v>0.22906000000000001</v>
      </c>
    </row>
    <row r="1328" spans="2:5">
      <c r="B1328" t="s">
        <v>25</v>
      </c>
      <c r="C1328" s="11">
        <v>40211</v>
      </c>
      <c r="D1328" t="s">
        <v>12</v>
      </c>
      <c r="E1328">
        <v>0.23094000000000001</v>
      </c>
    </row>
    <row r="1329" spans="2:5">
      <c r="B1329" t="s">
        <v>25</v>
      </c>
      <c r="C1329" s="11">
        <v>40210</v>
      </c>
      <c r="D1329" t="s">
        <v>12</v>
      </c>
      <c r="E1329">
        <v>0.22906000000000001</v>
      </c>
    </row>
    <row r="1330" spans="2:5">
      <c r="B1330" t="s">
        <v>25</v>
      </c>
      <c r="C1330" s="11">
        <v>40207</v>
      </c>
      <c r="D1330" t="s">
        <v>12</v>
      </c>
      <c r="E1330">
        <v>0.22906000000000001</v>
      </c>
    </row>
    <row r="1331" spans="2:5">
      <c r="B1331" t="s">
        <v>25</v>
      </c>
      <c r="C1331" s="11">
        <v>40206</v>
      </c>
      <c r="D1331" t="s">
        <v>12</v>
      </c>
      <c r="E1331">
        <v>0.22875000000000001</v>
      </c>
    </row>
    <row r="1332" spans="2:5">
      <c r="B1332" t="s">
        <v>25</v>
      </c>
      <c r="C1332" s="11">
        <v>40205</v>
      </c>
      <c r="D1332" t="s">
        <v>12</v>
      </c>
      <c r="E1332">
        <v>0.23063</v>
      </c>
    </row>
    <row r="1333" spans="2:5">
      <c r="B1333" t="s">
        <v>25</v>
      </c>
      <c r="C1333" s="11">
        <v>40204</v>
      </c>
      <c r="D1333" t="s">
        <v>12</v>
      </c>
      <c r="E1333">
        <v>0.23063</v>
      </c>
    </row>
    <row r="1334" spans="2:5">
      <c r="B1334" t="s">
        <v>25</v>
      </c>
      <c r="C1334" s="11">
        <v>40203</v>
      </c>
      <c r="D1334" t="s">
        <v>12</v>
      </c>
      <c r="E1334">
        <v>0.23063</v>
      </c>
    </row>
    <row r="1335" spans="2:5">
      <c r="B1335" t="s">
        <v>25</v>
      </c>
      <c r="C1335" s="11">
        <v>40200</v>
      </c>
      <c r="D1335" t="s">
        <v>12</v>
      </c>
      <c r="E1335">
        <v>0.23063</v>
      </c>
    </row>
    <row r="1336" spans="2:5">
      <c r="B1336" t="s">
        <v>25</v>
      </c>
      <c r="C1336" s="11">
        <v>40199</v>
      </c>
      <c r="D1336" t="s">
        <v>12</v>
      </c>
      <c r="E1336">
        <v>0.23063</v>
      </c>
    </row>
    <row r="1337" spans="2:5">
      <c r="B1337" t="s">
        <v>25</v>
      </c>
      <c r="C1337" s="11">
        <v>40198</v>
      </c>
      <c r="D1337" t="s">
        <v>12</v>
      </c>
      <c r="E1337">
        <v>0.23063</v>
      </c>
    </row>
    <row r="1338" spans="2:5">
      <c r="B1338" t="s">
        <v>25</v>
      </c>
      <c r="C1338" s="11">
        <v>40197</v>
      </c>
      <c r="D1338" t="s">
        <v>12</v>
      </c>
      <c r="E1338">
        <v>0.23063</v>
      </c>
    </row>
    <row r="1339" spans="2:5">
      <c r="B1339" t="s">
        <v>25</v>
      </c>
      <c r="C1339" s="11">
        <v>40193</v>
      </c>
      <c r="D1339" t="s">
        <v>12</v>
      </c>
      <c r="E1339">
        <v>0.23313</v>
      </c>
    </row>
    <row r="1340" spans="2:5">
      <c r="B1340" t="s">
        <v>25</v>
      </c>
      <c r="C1340" s="11">
        <v>40192</v>
      </c>
      <c r="D1340" t="s">
        <v>12</v>
      </c>
      <c r="E1340">
        <v>0.23313</v>
      </c>
    </row>
    <row r="1341" spans="2:5">
      <c r="B1341" t="s">
        <v>25</v>
      </c>
      <c r="C1341" s="11">
        <v>40191</v>
      </c>
      <c r="D1341" t="s">
        <v>12</v>
      </c>
      <c r="E1341">
        <v>0.23313</v>
      </c>
    </row>
    <row r="1342" spans="2:5">
      <c r="B1342" t="s">
        <v>25</v>
      </c>
      <c r="C1342" s="11">
        <v>40190</v>
      </c>
      <c r="D1342" t="s">
        <v>12</v>
      </c>
      <c r="E1342">
        <v>0.23313</v>
      </c>
    </row>
    <row r="1343" spans="2:5">
      <c r="B1343" t="s">
        <v>25</v>
      </c>
      <c r="C1343" s="11">
        <v>40189</v>
      </c>
      <c r="D1343" t="s">
        <v>12</v>
      </c>
      <c r="E1343">
        <v>0.23313</v>
      </c>
    </row>
    <row r="1344" spans="2:5">
      <c r="B1344" t="s">
        <v>25</v>
      </c>
      <c r="C1344" s="11">
        <v>40186</v>
      </c>
      <c r="D1344" t="s">
        <v>12</v>
      </c>
      <c r="E1344">
        <v>0.23313</v>
      </c>
    </row>
    <row r="1345" spans="2:5">
      <c r="B1345" t="s">
        <v>25</v>
      </c>
      <c r="C1345" s="11">
        <v>40185</v>
      </c>
      <c r="D1345" t="s">
        <v>12</v>
      </c>
      <c r="E1345">
        <v>0.23125000000000001</v>
      </c>
    </row>
    <row r="1346" spans="2:5">
      <c r="B1346" t="s">
        <v>25</v>
      </c>
      <c r="C1346" s="11">
        <v>40184</v>
      </c>
      <c r="D1346" t="s">
        <v>12</v>
      </c>
      <c r="E1346">
        <v>0.23219000000000001</v>
      </c>
    </row>
    <row r="1347" spans="2:5">
      <c r="B1347" t="s">
        <v>25</v>
      </c>
      <c r="C1347" s="11">
        <v>40183</v>
      </c>
      <c r="D1347" t="s">
        <v>12</v>
      </c>
      <c r="E1347">
        <v>0.23344000000000001</v>
      </c>
    </row>
    <row r="1348" spans="2:5">
      <c r="B1348" t="s">
        <v>25</v>
      </c>
      <c r="C1348" s="11">
        <v>40182</v>
      </c>
      <c r="D1348" t="s">
        <v>12</v>
      </c>
      <c r="E1348">
        <v>0.23344000000000001</v>
      </c>
    </row>
    <row r="1349" spans="2:5">
      <c r="B1349" t="s">
        <v>25</v>
      </c>
      <c r="C1349" s="11">
        <v>40178</v>
      </c>
      <c r="D1349" t="s">
        <v>12</v>
      </c>
      <c r="E1349">
        <v>0.23094000000000001</v>
      </c>
    </row>
    <row r="1350" spans="2:5">
      <c r="B1350" t="s">
        <v>25</v>
      </c>
      <c r="C1350" s="11">
        <v>40177</v>
      </c>
      <c r="D1350" t="s">
        <v>12</v>
      </c>
      <c r="E1350">
        <v>0.23094000000000001</v>
      </c>
    </row>
    <row r="1351" spans="2:5">
      <c r="B1351" t="s">
        <v>25</v>
      </c>
      <c r="C1351" s="11">
        <v>40176</v>
      </c>
      <c r="D1351" t="s">
        <v>12</v>
      </c>
      <c r="E1351">
        <v>0.23094000000000001</v>
      </c>
    </row>
    <row r="1352" spans="2:5">
      <c r="B1352" t="s">
        <v>25</v>
      </c>
      <c r="C1352" s="11">
        <v>40175</v>
      </c>
      <c r="D1352" t="s">
        <v>12</v>
      </c>
      <c r="E1352">
        <v>0.23125000000000001</v>
      </c>
    </row>
    <row r="1353" spans="2:5">
      <c r="B1353" t="s">
        <v>25</v>
      </c>
      <c r="C1353" s="11">
        <v>40171</v>
      </c>
      <c r="D1353" t="s">
        <v>12</v>
      </c>
      <c r="E1353">
        <v>0.23125000000000001</v>
      </c>
    </row>
    <row r="1354" spans="2:5">
      <c r="B1354" t="s">
        <v>25</v>
      </c>
      <c r="C1354" s="11">
        <v>40170</v>
      </c>
      <c r="D1354" t="s">
        <v>12</v>
      </c>
      <c r="E1354">
        <v>0.23125000000000001</v>
      </c>
    </row>
    <row r="1355" spans="2:5">
      <c r="B1355" t="s">
        <v>25</v>
      </c>
      <c r="C1355" s="11">
        <v>40169</v>
      </c>
      <c r="D1355" t="s">
        <v>12</v>
      </c>
      <c r="E1355">
        <v>0.23188</v>
      </c>
    </row>
    <row r="1356" spans="2:5">
      <c r="B1356" t="s">
        <v>25</v>
      </c>
      <c r="C1356" s="11">
        <v>40168</v>
      </c>
      <c r="D1356" t="s">
        <v>12</v>
      </c>
      <c r="E1356">
        <v>0.23188</v>
      </c>
    </row>
    <row r="1357" spans="2:5">
      <c r="B1357" t="s">
        <v>25</v>
      </c>
      <c r="C1357" s="11">
        <v>40165</v>
      </c>
      <c r="D1357" t="s">
        <v>12</v>
      </c>
      <c r="E1357">
        <v>0.23188</v>
      </c>
    </row>
    <row r="1358" spans="2:5">
      <c r="B1358" t="s">
        <v>25</v>
      </c>
      <c r="C1358" s="11">
        <v>40164</v>
      </c>
      <c r="D1358" t="s">
        <v>12</v>
      </c>
      <c r="E1358">
        <v>0.23313</v>
      </c>
    </row>
    <row r="1359" spans="2:5">
      <c r="B1359" t="s">
        <v>25</v>
      </c>
      <c r="C1359" s="11">
        <v>40163</v>
      </c>
      <c r="D1359" t="s">
        <v>12</v>
      </c>
      <c r="E1359">
        <v>0.23250000000000001</v>
      </c>
    </row>
    <row r="1360" spans="2:5">
      <c r="B1360" t="s">
        <v>25</v>
      </c>
      <c r="C1360" s="11">
        <v>40162</v>
      </c>
      <c r="D1360" t="s">
        <v>12</v>
      </c>
      <c r="E1360">
        <v>0.23250000000000001</v>
      </c>
    </row>
    <row r="1361" spans="2:5">
      <c r="B1361" t="s">
        <v>25</v>
      </c>
      <c r="C1361" s="11">
        <v>40161</v>
      </c>
      <c r="D1361" t="s">
        <v>12</v>
      </c>
      <c r="E1361">
        <v>0.23250000000000001</v>
      </c>
    </row>
    <row r="1362" spans="2:5">
      <c r="B1362" t="s">
        <v>25</v>
      </c>
      <c r="C1362" s="11">
        <v>40158</v>
      </c>
      <c r="D1362" t="s">
        <v>12</v>
      </c>
      <c r="E1362">
        <v>0.23313</v>
      </c>
    </row>
    <row r="1363" spans="2:5">
      <c r="B1363" t="s">
        <v>25</v>
      </c>
      <c r="C1363" s="11">
        <v>40157</v>
      </c>
      <c r="D1363" t="s">
        <v>12</v>
      </c>
      <c r="E1363">
        <v>0.23405999999999999</v>
      </c>
    </row>
    <row r="1364" spans="2:5">
      <c r="B1364" t="s">
        <v>25</v>
      </c>
      <c r="C1364" s="11">
        <v>40156</v>
      </c>
      <c r="D1364" t="s">
        <v>12</v>
      </c>
      <c r="E1364">
        <v>0.23405999999999999</v>
      </c>
    </row>
    <row r="1365" spans="2:5">
      <c r="B1365" t="s">
        <v>25</v>
      </c>
      <c r="C1365" s="11">
        <v>40155</v>
      </c>
      <c r="D1365" t="s">
        <v>12</v>
      </c>
      <c r="E1365">
        <v>0.23469000000000001</v>
      </c>
    </row>
    <row r="1366" spans="2:5">
      <c r="B1366" t="s">
        <v>25</v>
      </c>
      <c r="C1366" s="11">
        <v>40154</v>
      </c>
      <c r="D1366" t="s">
        <v>12</v>
      </c>
      <c r="E1366">
        <v>0.23469000000000001</v>
      </c>
    </row>
    <row r="1367" spans="2:5">
      <c r="B1367" t="s">
        <v>25</v>
      </c>
      <c r="C1367" s="11">
        <v>40151</v>
      </c>
      <c r="D1367" t="s">
        <v>12</v>
      </c>
      <c r="E1367">
        <v>0.23469000000000001</v>
      </c>
    </row>
    <row r="1368" spans="2:5">
      <c r="B1368" t="s">
        <v>25</v>
      </c>
      <c r="C1368" s="11">
        <v>40150</v>
      </c>
      <c r="D1368" t="s">
        <v>12</v>
      </c>
      <c r="E1368">
        <v>0.23469000000000001</v>
      </c>
    </row>
    <row r="1369" spans="2:5">
      <c r="B1369" t="s">
        <v>25</v>
      </c>
      <c r="C1369" s="11">
        <v>40149</v>
      </c>
      <c r="D1369" t="s">
        <v>12</v>
      </c>
      <c r="E1369">
        <v>0.23438000000000001</v>
      </c>
    </row>
    <row r="1370" spans="2:5">
      <c r="B1370" t="s">
        <v>25</v>
      </c>
      <c r="C1370" s="11">
        <v>40148</v>
      </c>
      <c r="D1370" t="s">
        <v>12</v>
      </c>
      <c r="E1370">
        <v>0.23469000000000001</v>
      </c>
    </row>
    <row r="1371" spans="2:5">
      <c r="B1371" t="s">
        <v>25</v>
      </c>
      <c r="C1371" s="11">
        <v>40147</v>
      </c>
      <c r="D1371" t="s">
        <v>12</v>
      </c>
      <c r="E1371">
        <v>0.23530999999999999</v>
      </c>
    </row>
    <row r="1372" spans="2:5">
      <c r="B1372" t="s">
        <v>25</v>
      </c>
      <c r="C1372" s="11">
        <v>40144</v>
      </c>
      <c r="D1372" t="s">
        <v>12</v>
      </c>
      <c r="E1372">
        <v>0.23530999999999999</v>
      </c>
    </row>
    <row r="1373" spans="2:5">
      <c r="B1373" t="s">
        <v>25</v>
      </c>
      <c r="C1373" s="11">
        <v>40142</v>
      </c>
      <c r="D1373" t="s">
        <v>12</v>
      </c>
      <c r="E1373">
        <v>0.23405999999999999</v>
      </c>
    </row>
    <row r="1374" spans="2:5">
      <c r="B1374" t="s">
        <v>25</v>
      </c>
      <c r="C1374" s="11">
        <v>40141</v>
      </c>
      <c r="D1374" t="s">
        <v>12</v>
      </c>
      <c r="E1374">
        <v>0.23594000000000001</v>
      </c>
    </row>
    <row r="1375" spans="2:5">
      <c r="B1375" t="s">
        <v>25</v>
      </c>
      <c r="C1375" s="11">
        <v>40140</v>
      </c>
      <c r="D1375" t="s">
        <v>12</v>
      </c>
      <c r="E1375">
        <v>0.23594000000000001</v>
      </c>
    </row>
    <row r="1376" spans="2:5">
      <c r="B1376" t="s">
        <v>25</v>
      </c>
      <c r="C1376" s="11">
        <v>40137</v>
      </c>
      <c r="D1376" t="s">
        <v>12</v>
      </c>
      <c r="E1376">
        <v>0.23594000000000001</v>
      </c>
    </row>
    <row r="1377" spans="2:5">
      <c r="B1377" t="s">
        <v>25</v>
      </c>
      <c r="C1377" s="11">
        <v>40136</v>
      </c>
      <c r="D1377" t="s">
        <v>12</v>
      </c>
      <c r="E1377">
        <v>0.23655999999999999</v>
      </c>
    </row>
    <row r="1378" spans="2:5">
      <c r="B1378" t="s">
        <v>25</v>
      </c>
      <c r="C1378" s="11">
        <v>40135</v>
      </c>
      <c r="D1378" t="s">
        <v>12</v>
      </c>
      <c r="E1378">
        <v>0.23655999999999999</v>
      </c>
    </row>
    <row r="1379" spans="2:5">
      <c r="B1379" t="s">
        <v>25</v>
      </c>
      <c r="C1379" s="11">
        <v>40134</v>
      </c>
      <c r="D1379" t="s">
        <v>12</v>
      </c>
      <c r="E1379">
        <v>0.23688000000000001</v>
      </c>
    </row>
    <row r="1380" spans="2:5">
      <c r="B1380" t="s">
        <v>25</v>
      </c>
      <c r="C1380" s="11">
        <v>40133</v>
      </c>
      <c r="D1380" t="s">
        <v>12</v>
      </c>
      <c r="E1380">
        <v>0.23749999999999999</v>
      </c>
    </row>
    <row r="1381" spans="2:5">
      <c r="B1381" t="s">
        <v>25</v>
      </c>
      <c r="C1381" s="11">
        <v>40130</v>
      </c>
      <c r="D1381" t="s">
        <v>12</v>
      </c>
      <c r="E1381">
        <v>0.23749999999999999</v>
      </c>
    </row>
    <row r="1382" spans="2:5">
      <c r="B1382" t="s">
        <v>25</v>
      </c>
      <c r="C1382" s="11">
        <v>40129</v>
      </c>
      <c r="D1382" t="s">
        <v>12</v>
      </c>
      <c r="E1382">
        <v>0.23874999999999999</v>
      </c>
    </row>
    <row r="1383" spans="2:5">
      <c r="B1383" t="s">
        <v>25</v>
      </c>
      <c r="C1383" s="11">
        <v>40127</v>
      </c>
      <c r="D1383" t="s">
        <v>12</v>
      </c>
      <c r="E1383">
        <v>0.23874999999999999</v>
      </c>
    </row>
    <row r="1384" spans="2:5">
      <c r="B1384" t="s">
        <v>25</v>
      </c>
      <c r="C1384" s="11">
        <v>40126</v>
      </c>
      <c r="D1384" t="s">
        <v>12</v>
      </c>
      <c r="E1384">
        <v>0.23905999999999999</v>
      </c>
    </row>
    <row r="1385" spans="2:5">
      <c r="B1385" t="s">
        <v>25</v>
      </c>
      <c r="C1385" s="11">
        <v>40123</v>
      </c>
      <c r="D1385" t="s">
        <v>12</v>
      </c>
      <c r="E1385">
        <v>0.24156</v>
      </c>
    </row>
    <row r="1386" spans="2:5">
      <c r="B1386" t="s">
        <v>25</v>
      </c>
      <c r="C1386" s="11">
        <v>40122</v>
      </c>
      <c r="D1386" t="s">
        <v>12</v>
      </c>
      <c r="E1386">
        <v>0.24156</v>
      </c>
    </row>
    <row r="1387" spans="2:5">
      <c r="B1387" t="s">
        <v>25</v>
      </c>
      <c r="C1387" s="11">
        <v>40121</v>
      </c>
      <c r="D1387" t="s">
        <v>12</v>
      </c>
      <c r="E1387">
        <v>0.24156</v>
      </c>
    </row>
    <row r="1388" spans="2:5">
      <c r="B1388" t="s">
        <v>25</v>
      </c>
      <c r="C1388" s="11">
        <v>40120</v>
      </c>
      <c r="D1388" t="s">
        <v>12</v>
      </c>
      <c r="E1388">
        <v>0.24156</v>
      </c>
    </row>
    <row r="1389" spans="2:5">
      <c r="B1389" t="s">
        <v>25</v>
      </c>
      <c r="C1389" s="11">
        <v>40119</v>
      </c>
      <c r="D1389" t="s">
        <v>12</v>
      </c>
      <c r="E1389">
        <v>0.24124999999999999</v>
      </c>
    </row>
    <row r="1390" spans="2:5">
      <c r="B1390" t="s">
        <v>25</v>
      </c>
      <c r="C1390" s="11">
        <v>40116</v>
      </c>
      <c r="D1390" t="s">
        <v>12</v>
      </c>
      <c r="E1390">
        <v>0.24349999999999999</v>
      </c>
    </row>
    <row r="1391" spans="2:5">
      <c r="B1391" t="s">
        <v>25</v>
      </c>
      <c r="C1391" s="11">
        <v>40115</v>
      </c>
      <c r="D1391" t="s">
        <v>12</v>
      </c>
      <c r="E1391">
        <v>0.24349999999999999</v>
      </c>
    </row>
    <row r="1392" spans="2:5">
      <c r="B1392" t="s">
        <v>25</v>
      </c>
      <c r="C1392" s="11">
        <v>40114</v>
      </c>
      <c r="D1392" t="s">
        <v>12</v>
      </c>
      <c r="E1392">
        <v>0.24288000000000001</v>
      </c>
    </row>
    <row r="1393" spans="2:5">
      <c r="B1393" t="s">
        <v>25</v>
      </c>
      <c r="C1393" s="11">
        <v>40113</v>
      </c>
      <c r="D1393" t="s">
        <v>12</v>
      </c>
      <c r="E1393">
        <v>0.24349999999999999</v>
      </c>
    </row>
    <row r="1394" spans="2:5">
      <c r="B1394" t="s">
        <v>25</v>
      </c>
      <c r="C1394" s="11">
        <v>40112</v>
      </c>
      <c r="D1394" t="s">
        <v>12</v>
      </c>
      <c r="E1394">
        <v>0.24374999999999999</v>
      </c>
    </row>
    <row r="1395" spans="2:5">
      <c r="B1395" t="s">
        <v>25</v>
      </c>
      <c r="C1395" s="11">
        <v>40109</v>
      </c>
      <c r="D1395" t="s">
        <v>12</v>
      </c>
      <c r="E1395">
        <v>0.24374999999999999</v>
      </c>
    </row>
    <row r="1396" spans="2:5">
      <c r="B1396" t="s">
        <v>25</v>
      </c>
      <c r="C1396" s="11">
        <v>40108</v>
      </c>
      <c r="D1396" t="s">
        <v>12</v>
      </c>
      <c r="E1396">
        <v>0.24374999999999999</v>
      </c>
    </row>
    <row r="1397" spans="2:5">
      <c r="B1397" t="s">
        <v>25</v>
      </c>
      <c r="C1397" s="11">
        <v>40107</v>
      </c>
      <c r="D1397" t="s">
        <v>12</v>
      </c>
      <c r="E1397">
        <v>0.24374999999999999</v>
      </c>
    </row>
    <row r="1398" spans="2:5">
      <c r="B1398" t="s">
        <v>25</v>
      </c>
      <c r="C1398" s="11">
        <v>40106</v>
      </c>
      <c r="D1398" t="s">
        <v>12</v>
      </c>
      <c r="E1398">
        <v>0.245</v>
      </c>
    </row>
    <row r="1399" spans="2:5">
      <c r="B1399" t="s">
        <v>25</v>
      </c>
      <c r="C1399" s="11">
        <v>40105</v>
      </c>
      <c r="D1399" t="s">
        <v>12</v>
      </c>
      <c r="E1399">
        <v>0.245</v>
      </c>
    </row>
    <row r="1400" spans="2:5">
      <c r="B1400" t="s">
        <v>25</v>
      </c>
      <c r="C1400" s="11">
        <v>40102</v>
      </c>
      <c r="D1400" t="s">
        <v>12</v>
      </c>
      <c r="E1400">
        <v>0.245</v>
      </c>
    </row>
    <row r="1401" spans="2:5">
      <c r="B1401" t="s">
        <v>25</v>
      </c>
      <c r="C1401" s="11">
        <v>40101</v>
      </c>
      <c r="D1401" t="s">
        <v>12</v>
      </c>
      <c r="E1401">
        <v>0.245</v>
      </c>
    </row>
    <row r="1402" spans="2:5">
      <c r="B1402" t="s">
        <v>25</v>
      </c>
      <c r="C1402" s="11">
        <v>40100</v>
      </c>
      <c r="D1402" t="s">
        <v>12</v>
      </c>
      <c r="E1402">
        <v>0.245</v>
      </c>
    </row>
    <row r="1403" spans="2:5">
      <c r="B1403" t="s">
        <v>25</v>
      </c>
      <c r="C1403" s="11">
        <v>40099</v>
      </c>
      <c r="D1403" t="s">
        <v>12</v>
      </c>
      <c r="E1403">
        <v>0.245</v>
      </c>
    </row>
    <row r="1404" spans="2:5">
      <c r="B1404" t="s">
        <v>25</v>
      </c>
      <c r="C1404" s="11">
        <v>40095</v>
      </c>
      <c r="D1404" t="s">
        <v>12</v>
      </c>
      <c r="E1404">
        <v>0.245</v>
      </c>
    </row>
    <row r="1405" spans="2:5">
      <c r="B1405" t="s">
        <v>25</v>
      </c>
      <c r="C1405" s="11">
        <v>40094</v>
      </c>
      <c r="D1405" t="s">
        <v>12</v>
      </c>
      <c r="E1405">
        <v>0.24437999999999999</v>
      </c>
    </row>
    <row r="1406" spans="2:5">
      <c r="B1406" t="s">
        <v>25</v>
      </c>
      <c r="C1406" s="11">
        <v>40093</v>
      </c>
      <c r="D1406" t="s">
        <v>12</v>
      </c>
      <c r="E1406">
        <v>0.24437999999999999</v>
      </c>
    </row>
    <row r="1407" spans="2:5">
      <c r="B1407" t="s">
        <v>25</v>
      </c>
      <c r="C1407" s="11">
        <v>40092</v>
      </c>
      <c r="D1407" t="s">
        <v>12</v>
      </c>
      <c r="E1407">
        <v>0.24437999999999999</v>
      </c>
    </row>
    <row r="1408" spans="2:5">
      <c r="B1408" t="s">
        <v>25</v>
      </c>
      <c r="C1408" s="11">
        <v>40091</v>
      </c>
      <c r="D1408" t="s">
        <v>12</v>
      </c>
      <c r="E1408">
        <v>0.24437999999999999</v>
      </c>
    </row>
    <row r="1409" spans="2:5">
      <c r="B1409" t="s">
        <v>25</v>
      </c>
      <c r="C1409" s="11">
        <v>40088</v>
      </c>
      <c r="D1409" t="s">
        <v>12</v>
      </c>
      <c r="E1409">
        <v>0.24437999999999999</v>
      </c>
    </row>
    <row r="1410" spans="2:5">
      <c r="B1410" t="s">
        <v>25</v>
      </c>
      <c r="C1410" s="11">
        <v>40087</v>
      </c>
      <c r="D1410" t="s">
        <v>12</v>
      </c>
      <c r="E1410">
        <v>0.24562999999999999</v>
      </c>
    </row>
    <row r="1411" spans="2:5">
      <c r="B1411" t="s">
        <v>25</v>
      </c>
      <c r="C1411" s="11">
        <v>40086</v>
      </c>
      <c r="D1411" t="s">
        <v>12</v>
      </c>
      <c r="E1411">
        <v>0.24562999999999999</v>
      </c>
    </row>
    <row r="1412" spans="2:5">
      <c r="B1412" t="s">
        <v>25</v>
      </c>
      <c r="C1412" s="11">
        <v>40085</v>
      </c>
      <c r="D1412" t="s">
        <v>12</v>
      </c>
      <c r="E1412">
        <v>0.24625</v>
      </c>
    </row>
    <row r="1413" spans="2:5">
      <c r="B1413" t="s">
        <v>25</v>
      </c>
      <c r="C1413" s="11">
        <v>40084</v>
      </c>
      <c r="D1413" t="s">
        <v>12</v>
      </c>
      <c r="E1413">
        <v>0.24625</v>
      </c>
    </row>
    <row r="1414" spans="2:5">
      <c r="B1414" t="s">
        <v>25</v>
      </c>
      <c r="C1414" s="11">
        <v>40081</v>
      </c>
      <c r="D1414" t="s">
        <v>12</v>
      </c>
      <c r="E1414">
        <v>0.24625</v>
      </c>
    </row>
    <row r="1415" spans="2:5">
      <c r="B1415" t="s">
        <v>25</v>
      </c>
      <c r="C1415" s="11">
        <v>40080</v>
      </c>
      <c r="D1415" t="s">
        <v>12</v>
      </c>
      <c r="E1415">
        <v>0.24625</v>
      </c>
    </row>
    <row r="1416" spans="2:5">
      <c r="B1416" t="s">
        <v>25</v>
      </c>
      <c r="C1416" s="11">
        <v>40079</v>
      </c>
      <c r="D1416" t="s">
        <v>12</v>
      </c>
      <c r="E1416">
        <v>0.24625</v>
      </c>
    </row>
    <row r="1417" spans="2:5">
      <c r="B1417" t="s">
        <v>25</v>
      </c>
      <c r="C1417" s="11">
        <v>40078</v>
      </c>
      <c r="D1417" t="s">
        <v>12</v>
      </c>
      <c r="E1417">
        <v>0.24625</v>
      </c>
    </row>
    <row r="1418" spans="2:5">
      <c r="B1418" t="s">
        <v>25</v>
      </c>
      <c r="C1418" s="11">
        <v>40077</v>
      </c>
      <c r="D1418" t="s">
        <v>12</v>
      </c>
      <c r="E1418">
        <v>0.24625</v>
      </c>
    </row>
    <row r="1419" spans="2:5">
      <c r="B1419" t="s">
        <v>25</v>
      </c>
      <c r="C1419" s="11">
        <v>40074</v>
      </c>
      <c r="D1419" t="s">
        <v>12</v>
      </c>
      <c r="E1419">
        <v>0.24625</v>
      </c>
    </row>
    <row r="1420" spans="2:5">
      <c r="B1420" t="s">
        <v>25</v>
      </c>
      <c r="C1420" s="11">
        <v>40073</v>
      </c>
      <c r="D1420" t="s">
        <v>12</v>
      </c>
      <c r="E1420">
        <v>0.24625</v>
      </c>
    </row>
    <row r="1421" spans="2:5">
      <c r="B1421" t="s">
        <v>25</v>
      </c>
      <c r="C1421" s="11">
        <v>40072</v>
      </c>
      <c r="D1421" t="s">
        <v>12</v>
      </c>
      <c r="E1421">
        <v>0.24374999999999999</v>
      </c>
    </row>
    <row r="1422" spans="2:5">
      <c r="B1422" t="s">
        <v>25</v>
      </c>
      <c r="C1422" s="11">
        <v>40071</v>
      </c>
      <c r="D1422" t="s">
        <v>12</v>
      </c>
      <c r="E1422">
        <v>0.24249999999999999</v>
      </c>
    </row>
    <row r="1423" spans="2:5">
      <c r="B1423" t="s">
        <v>25</v>
      </c>
      <c r="C1423" s="11">
        <v>40070</v>
      </c>
      <c r="D1423" t="s">
        <v>12</v>
      </c>
      <c r="E1423">
        <v>0.24124999999999999</v>
      </c>
    </row>
    <row r="1424" spans="2:5">
      <c r="B1424" t="s">
        <v>25</v>
      </c>
      <c r="C1424" s="11">
        <v>40067</v>
      </c>
      <c r="D1424" t="s">
        <v>12</v>
      </c>
      <c r="E1424">
        <v>0.24338000000000001</v>
      </c>
    </row>
    <row r="1425" spans="2:5">
      <c r="B1425" t="s">
        <v>25</v>
      </c>
      <c r="C1425" s="11">
        <v>40066</v>
      </c>
      <c r="D1425" t="s">
        <v>12</v>
      </c>
      <c r="E1425">
        <v>0.24374999999999999</v>
      </c>
    </row>
    <row r="1426" spans="2:5">
      <c r="B1426" t="s">
        <v>25</v>
      </c>
      <c r="C1426" s="11">
        <v>40065</v>
      </c>
      <c r="D1426" t="s">
        <v>12</v>
      </c>
      <c r="E1426">
        <v>0.24587999999999999</v>
      </c>
    </row>
    <row r="1427" spans="2:5">
      <c r="B1427" t="s">
        <v>25</v>
      </c>
      <c r="C1427" s="11">
        <v>40064</v>
      </c>
      <c r="D1427" t="s">
        <v>12</v>
      </c>
      <c r="E1427">
        <v>0.24937999999999999</v>
      </c>
    </row>
    <row r="1428" spans="2:5">
      <c r="B1428" t="s">
        <v>25</v>
      </c>
      <c r="C1428" s="11">
        <v>40060</v>
      </c>
      <c r="D1428" t="s">
        <v>12</v>
      </c>
      <c r="E1428">
        <v>0.25374999999999998</v>
      </c>
    </row>
    <row r="1429" spans="2:5">
      <c r="B1429" t="s">
        <v>25</v>
      </c>
      <c r="C1429" s="11">
        <v>40059</v>
      </c>
      <c r="D1429" t="s">
        <v>12</v>
      </c>
      <c r="E1429">
        <v>0.25313000000000002</v>
      </c>
    </row>
    <row r="1430" spans="2:5">
      <c r="B1430" t="s">
        <v>25</v>
      </c>
      <c r="C1430" s="11">
        <v>40058</v>
      </c>
      <c r="D1430" t="s">
        <v>12</v>
      </c>
      <c r="E1430">
        <v>0.25438</v>
      </c>
    </row>
    <row r="1431" spans="2:5">
      <c r="B1431" t="s">
        <v>25</v>
      </c>
      <c r="C1431" s="11">
        <v>40057</v>
      </c>
      <c r="D1431" t="s">
        <v>12</v>
      </c>
      <c r="E1431">
        <v>0.25624999999999998</v>
      </c>
    </row>
    <row r="1432" spans="2:5">
      <c r="B1432" t="s">
        <v>25</v>
      </c>
      <c r="C1432" s="11">
        <v>40056</v>
      </c>
      <c r="D1432" t="s">
        <v>12</v>
      </c>
      <c r="E1432">
        <v>0.25874999999999998</v>
      </c>
    </row>
    <row r="1433" spans="2:5">
      <c r="B1433" t="s">
        <v>25</v>
      </c>
      <c r="C1433" s="11">
        <v>40053</v>
      </c>
      <c r="D1433" t="s">
        <v>12</v>
      </c>
      <c r="E1433">
        <v>0.25874999999999998</v>
      </c>
    </row>
    <row r="1434" spans="2:5">
      <c r="B1434" t="s">
        <v>25</v>
      </c>
      <c r="C1434" s="11">
        <v>40052</v>
      </c>
      <c r="D1434" t="s">
        <v>12</v>
      </c>
      <c r="E1434">
        <v>0.26124999999999998</v>
      </c>
    </row>
    <row r="1435" spans="2:5">
      <c r="B1435" t="s">
        <v>25</v>
      </c>
      <c r="C1435" s="11">
        <v>40051</v>
      </c>
      <c r="D1435" t="s">
        <v>12</v>
      </c>
      <c r="E1435">
        <v>0.26062999999999997</v>
      </c>
    </row>
    <row r="1436" spans="2:5">
      <c r="B1436" t="s">
        <v>25</v>
      </c>
      <c r="C1436" s="11">
        <v>40050</v>
      </c>
      <c r="D1436" t="s">
        <v>12</v>
      </c>
      <c r="E1436">
        <v>0.26280999999999999</v>
      </c>
    </row>
    <row r="1437" spans="2:5">
      <c r="B1437" t="s">
        <v>25</v>
      </c>
      <c r="C1437" s="11">
        <v>40049</v>
      </c>
      <c r="D1437" t="s">
        <v>12</v>
      </c>
      <c r="E1437">
        <v>0.26438</v>
      </c>
    </row>
    <row r="1438" spans="2:5">
      <c r="B1438" t="s">
        <v>25</v>
      </c>
      <c r="C1438" s="11">
        <v>40046</v>
      </c>
      <c r="D1438" t="s">
        <v>12</v>
      </c>
      <c r="E1438">
        <v>0.26562999999999998</v>
      </c>
    </row>
    <row r="1439" spans="2:5">
      <c r="B1439" t="s">
        <v>25</v>
      </c>
      <c r="C1439" s="11">
        <v>40045</v>
      </c>
      <c r="D1439" t="s">
        <v>12</v>
      </c>
      <c r="E1439">
        <v>0.26750000000000002</v>
      </c>
    </row>
    <row r="1440" spans="2:5">
      <c r="B1440" t="s">
        <v>25</v>
      </c>
      <c r="C1440" s="11">
        <v>40044</v>
      </c>
      <c r="D1440" t="s">
        <v>12</v>
      </c>
      <c r="E1440">
        <v>0.26874999999999999</v>
      </c>
    </row>
    <row r="1441" spans="2:5">
      <c r="B1441" t="s">
        <v>25</v>
      </c>
      <c r="C1441" s="11">
        <v>40043</v>
      </c>
      <c r="D1441" t="s">
        <v>12</v>
      </c>
      <c r="E1441">
        <v>0.27250000000000002</v>
      </c>
    </row>
    <row r="1442" spans="2:5">
      <c r="B1442" t="s">
        <v>25</v>
      </c>
      <c r="C1442" s="11">
        <v>40042</v>
      </c>
      <c r="D1442" t="s">
        <v>12</v>
      </c>
      <c r="E1442">
        <v>0.27875</v>
      </c>
    </row>
    <row r="1443" spans="2:5">
      <c r="B1443" t="s">
        <v>25</v>
      </c>
      <c r="C1443" s="11">
        <v>40039</v>
      </c>
      <c r="D1443" t="s">
        <v>12</v>
      </c>
      <c r="E1443">
        <v>0.27250000000000002</v>
      </c>
    </row>
    <row r="1444" spans="2:5">
      <c r="B1444" t="s">
        <v>25</v>
      </c>
      <c r="C1444" s="11">
        <v>40038</v>
      </c>
      <c r="D1444" t="s">
        <v>12</v>
      </c>
      <c r="E1444">
        <v>0.27281</v>
      </c>
    </row>
    <row r="1445" spans="2:5">
      <c r="B1445" t="s">
        <v>25</v>
      </c>
      <c r="C1445" s="11">
        <v>40037</v>
      </c>
      <c r="D1445" t="s">
        <v>12</v>
      </c>
      <c r="E1445">
        <v>0.27406000000000003</v>
      </c>
    </row>
    <row r="1446" spans="2:5">
      <c r="B1446" t="s">
        <v>25</v>
      </c>
      <c r="C1446" s="11">
        <v>40036</v>
      </c>
      <c r="D1446" t="s">
        <v>12</v>
      </c>
      <c r="E1446">
        <v>0.27450000000000002</v>
      </c>
    </row>
    <row r="1447" spans="2:5">
      <c r="B1447" t="s">
        <v>25</v>
      </c>
      <c r="C1447" s="11">
        <v>40035</v>
      </c>
      <c r="D1447" t="s">
        <v>12</v>
      </c>
      <c r="E1447">
        <v>0.27500000000000002</v>
      </c>
    </row>
    <row r="1448" spans="2:5">
      <c r="B1448" t="s">
        <v>25</v>
      </c>
      <c r="C1448" s="11">
        <v>40032</v>
      </c>
      <c r="D1448" t="s">
        <v>12</v>
      </c>
      <c r="E1448">
        <v>0.27562999999999999</v>
      </c>
    </row>
    <row r="1449" spans="2:5">
      <c r="B1449" t="s">
        <v>25</v>
      </c>
      <c r="C1449" s="11">
        <v>40031</v>
      </c>
      <c r="D1449" t="s">
        <v>12</v>
      </c>
      <c r="E1449">
        <v>0.27562999999999999</v>
      </c>
    </row>
    <row r="1450" spans="2:5">
      <c r="B1450" t="s">
        <v>25</v>
      </c>
      <c r="C1450" s="11">
        <v>40030</v>
      </c>
      <c r="D1450" t="s">
        <v>12</v>
      </c>
      <c r="E1450">
        <v>0.27562999999999999</v>
      </c>
    </row>
    <row r="1451" spans="2:5">
      <c r="B1451" t="s">
        <v>25</v>
      </c>
      <c r="C1451" s="11">
        <v>40029</v>
      </c>
      <c r="D1451" t="s">
        <v>12</v>
      </c>
      <c r="E1451">
        <v>0.27562999999999999</v>
      </c>
    </row>
    <row r="1452" spans="2:5">
      <c r="B1452" t="s">
        <v>25</v>
      </c>
      <c r="C1452" s="11">
        <v>40028</v>
      </c>
      <c r="D1452" t="s">
        <v>12</v>
      </c>
      <c r="E1452">
        <v>0.27562999999999999</v>
      </c>
    </row>
    <row r="1453" spans="2:5">
      <c r="B1453" t="s">
        <v>25</v>
      </c>
      <c r="C1453" s="11">
        <v>40025</v>
      </c>
      <c r="D1453" t="s">
        <v>12</v>
      </c>
      <c r="E1453">
        <v>0.27938000000000002</v>
      </c>
    </row>
    <row r="1454" spans="2:5">
      <c r="B1454" t="s">
        <v>25</v>
      </c>
      <c r="C1454" s="11">
        <v>40024</v>
      </c>
      <c r="D1454" t="s">
        <v>12</v>
      </c>
      <c r="E1454">
        <v>0.28062999999999999</v>
      </c>
    </row>
    <row r="1455" spans="2:5">
      <c r="B1455" t="s">
        <v>25</v>
      </c>
      <c r="C1455" s="11">
        <v>40023</v>
      </c>
      <c r="D1455" t="s">
        <v>12</v>
      </c>
      <c r="E1455">
        <v>0.28499999999999998</v>
      </c>
    </row>
    <row r="1456" spans="2:5">
      <c r="B1456" t="s">
        <v>25</v>
      </c>
      <c r="C1456" s="11">
        <v>40022</v>
      </c>
      <c r="D1456" t="s">
        <v>12</v>
      </c>
      <c r="E1456">
        <v>0.28499999999999998</v>
      </c>
    </row>
    <row r="1457" spans="2:5">
      <c r="B1457" t="s">
        <v>25</v>
      </c>
      <c r="C1457" s="11">
        <v>40021</v>
      </c>
      <c r="D1457" t="s">
        <v>12</v>
      </c>
      <c r="E1457">
        <v>0.28749999999999998</v>
      </c>
    </row>
    <row r="1458" spans="2:5">
      <c r="B1458" t="s">
        <v>25</v>
      </c>
      <c r="C1458" s="11">
        <v>40018</v>
      </c>
      <c r="D1458" t="s">
        <v>12</v>
      </c>
      <c r="E1458">
        <v>0.28499999999999998</v>
      </c>
    </row>
    <row r="1459" spans="2:5">
      <c r="B1459" t="s">
        <v>25</v>
      </c>
      <c r="C1459" s="11">
        <v>40017</v>
      </c>
      <c r="D1459" t="s">
        <v>12</v>
      </c>
      <c r="E1459">
        <v>0.28499999999999998</v>
      </c>
    </row>
    <row r="1460" spans="2:5">
      <c r="B1460" t="s">
        <v>25</v>
      </c>
      <c r="C1460" s="11">
        <v>40016</v>
      </c>
      <c r="D1460" t="s">
        <v>12</v>
      </c>
      <c r="E1460">
        <v>0.28499999999999998</v>
      </c>
    </row>
    <row r="1461" spans="2:5">
      <c r="B1461" t="s">
        <v>25</v>
      </c>
      <c r="C1461" s="11">
        <v>40015</v>
      </c>
      <c r="D1461" t="s">
        <v>12</v>
      </c>
      <c r="E1461">
        <v>0.28499999999999998</v>
      </c>
    </row>
    <row r="1462" spans="2:5">
      <c r="B1462" t="s">
        <v>25</v>
      </c>
      <c r="C1462" s="11">
        <v>40014</v>
      </c>
      <c r="D1462" t="s">
        <v>12</v>
      </c>
      <c r="E1462">
        <v>0.28625</v>
      </c>
    </row>
    <row r="1463" spans="2:5">
      <c r="B1463" t="s">
        <v>25</v>
      </c>
      <c r="C1463" s="11">
        <v>40011</v>
      </c>
      <c r="D1463" t="s">
        <v>12</v>
      </c>
      <c r="E1463">
        <v>0.28625</v>
      </c>
    </row>
    <row r="1464" spans="2:5">
      <c r="B1464" t="s">
        <v>25</v>
      </c>
      <c r="C1464" s="11">
        <v>40010</v>
      </c>
      <c r="D1464" t="s">
        <v>12</v>
      </c>
      <c r="E1464">
        <v>0.28875000000000001</v>
      </c>
    </row>
    <row r="1465" spans="2:5">
      <c r="B1465" t="s">
        <v>25</v>
      </c>
      <c r="C1465" s="11">
        <v>40009</v>
      </c>
      <c r="D1465" t="s">
        <v>12</v>
      </c>
      <c r="E1465">
        <v>0.28749999999999998</v>
      </c>
    </row>
    <row r="1466" spans="2:5">
      <c r="B1466" t="s">
        <v>25</v>
      </c>
      <c r="C1466" s="11">
        <v>40008</v>
      </c>
      <c r="D1466" t="s">
        <v>12</v>
      </c>
      <c r="E1466">
        <v>0.28749999999999998</v>
      </c>
    </row>
    <row r="1467" spans="2:5">
      <c r="B1467" t="s">
        <v>25</v>
      </c>
      <c r="C1467" s="11">
        <v>40007</v>
      </c>
      <c r="D1467" t="s">
        <v>12</v>
      </c>
      <c r="E1467">
        <v>0.28813</v>
      </c>
    </row>
    <row r="1468" spans="2:5">
      <c r="B1468" t="s">
        <v>25</v>
      </c>
      <c r="C1468" s="11">
        <v>40004</v>
      </c>
      <c r="D1468" t="s">
        <v>12</v>
      </c>
      <c r="E1468">
        <v>0.29249999999999998</v>
      </c>
    </row>
    <row r="1469" spans="2:5">
      <c r="B1469" t="s">
        <v>25</v>
      </c>
      <c r="C1469" s="11">
        <v>40003</v>
      </c>
      <c r="D1469" t="s">
        <v>12</v>
      </c>
      <c r="E1469">
        <v>0.29625000000000001</v>
      </c>
    </row>
    <row r="1470" spans="2:5">
      <c r="B1470" t="s">
        <v>25</v>
      </c>
      <c r="C1470" s="11">
        <v>40002</v>
      </c>
      <c r="D1470" t="s">
        <v>12</v>
      </c>
      <c r="E1470">
        <v>0.3</v>
      </c>
    </row>
    <row r="1471" spans="2:5">
      <c r="B1471" t="s">
        <v>25</v>
      </c>
      <c r="C1471" s="11">
        <v>40001</v>
      </c>
      <c r="D1471" t="s">
        <v>12</v>
      </c>
      <c r="E1471">
        <v>0.30187999999999998</v>
      </c>
    </row>
    <row r="1472" spans="2:5">
      <c r="B1472" t="s">
        <v>25</v>
      </c>
      <c r="C1472" s="11">
        <v>40000</v>
      </c>
      <c r="D1472" t="s">
        <v>12</v>
      </c>
      <c r="E1472">
        <v>0.30187999999999998</v>
      </c>
    </row>
    <row r="1473" spans="2:5">
      <c r="B1473" t="s">
        <v>25</v>
      </c>
      <c r="C1473" s="11">
        <v>39996</v>
      </c>
      <c r="D1473" t="s">
        <v>12</v>
      </c>
      <c r="E1473">
        <v>0.30437999999999998</v>
      </c>
    </row>
    <row r="1474" spans="2:5">
      <c r="B1474" t="s">
        <v>25</v>
      </c>
      <c r="C1474" s="11">
        <v>39995</v>
      </c>
      <c r="D1474" t="s">
        <v>12</v>
      </c>
      <c r="E1474">
        <v>0.30625000000000002</v>
      </c>
    </row>
    <row r="1475" spans="2:5">
      <c r="B1475" t="s">
        <v>25</v>
      </c>
      <c r="C1475" s="11">
        <v>39994</v>
      </c>
      <c r="D1475" t="s">
        <v>12</v>
      </c>
      <c r="E1475">
        <v>0.30875000000000002</v>
      </c>
    </row>
    <row r="1476" spans="2:5">
      <c r="B1476" t="s">
        <v>25</v>
      </c>
      <c r="C1476" s="11">
        <v>39993</v>
      </c>
      <c r="D1476" t="s">
        <v>12</v>
      </c>
      <c r="E1476">
        <v>0.30875000000000002</v>
      </c>
    </row>
    <row r="1477" spans="2:5">
      <c r="B1477" t="s">
        <v>25</v>
      </c>
      <c r="C1477" s="11">
        <v>39990</v>
      </c>
      <c r="D1477" t="s">
        <v>12</v>
      </c>
      <c r="E1477">
        <v>0.31</v>
      </c>
    </row>
    <row r="1478" spans="2:5">
      <c r="B1478" t="s">
        <v>25</v>
      </c>
      <c r="C1478" s="11">
        <v>39989</v>
      </c>
      <c r="D1478" t="s">
        <v>12</v>
      </c>
      <c r="E1478">
        <v>0.3075</v>
      </c>
    </row>
    <row r="1479" spans="2:5">
      <c r="B1479" t="s">
        <v>25</v>
      </c>
      <c r="C1479" s="11">
        <v>39988</v>
      </c>
      <c r="D1479" t="s">
        <v>12</v>
      </c>
      <c r="E1479">
        <v>0.31125000000000003</v>
      </c>
    </row>
    <row r="1480" spans="2:5">
      <c r="B1480" t="s">
        <v>25</v>
      </c>
      <c r="C1480" s="11">
        <v>39987</v>
      </c>
      <c r="D1480" t="s">
        <v>12</v>
      </c>
      <c r="E1480">
        <v>0.31374999999999997</v>
      </c>
    </row>
    <row r="1481" spans="2:5">
      <c r="B1481" t="s">
        <v>25</v>
      </c>
      <c r="C1481" s="11">
        <v>39986</v>
      </c>
      <c r="D1481" t="s">
        <v>12</v>
      </c>
      <c r="E1481">
        <v>0.315</v>
      </c>
    </row>
    <row r="1482" spans="2:5">
      <c r="B1482" t="s">
        <v>25</v>
      </c>
      <c r="C1482" s="11">
        <v>39983</v>
      </c>
      <c r="D1482" t="s">
        <v>12</v>
      </c>
      <c r="E1482">
        <v>0.31688</v>
      </c>
    </row>
    <row r="1483" spans="2:5">
      <c r="B1483" t="s">
        <v>25</v>
      </c>
      <c r="C1483" s="11">
        <v>39982</v>
      </c>
      <c r="D1483" t="s">
        <v>12</v>
      </c>
      <c r="E1483">
        <v>0.315</v>
      </c>
    </row>
    <row r="1484" spans="2:5">
      <c r="B1484" t="s">
        <v>25</v>
      </c>
      <c r="C1484" s="11">
        <v>39981</v>
      </c>
      <c r="D1484" t="s">
        <v>12</v>
      </c>
      <c r="E1484">
        <v>0.31313000000000002</v>
      </c>
    </row>
    <row r="1485" spans="2:5">
      <c r="B1485" t="s">
        <v>25</v>
      </c>
      <c r="C1485" s="11">
        <v>39980</v>
      </c>
      <c r="D1485" t="s">
        <v>12</v>
      </c>
      <c r="E1485">
        <v>0.31813000000000002</v>
      </c>
    </row>
    <row r="1486" spans="2:5">
      <c r="B1486" t="s">
        <v>25</v>
      </c>
      <c r="C1486" s="11">
        <v>39979</v>
      </c>
      <c r="D1486" t="s">
        <v>12</v>
      </c>
      <c r="E1486">
        <v>0.31874999999999998</v>
      </c>
    </row>
    <row r="1487" spans="2:5">
      <c r="B1487" t="s">
        <v>25</v>
      </c>
      <c r="C1487" s="11">
        <v>39976</v>
      </c>
      <c r="D1487" t="s">
        <v>12</v>
      </c>
      <c r="E1487">
        <v>0.31813000000000002</v>
      </c>
    </row>
    <row r="1488" spans="2:5">
      <c r="B1488" t="s">
        <v>25</v>
      </c>
      <c r="C1488" s="11">
        <v>39975</v>
      </c>
      <c r="D1488" t="s">
        <v>12</v>
      </c>
      <c r="E1488">
        <v>0.31938</v>
      </c>
    </row>
    <row r="1489" spans="2:5">
      <c r="B1489" t="s">
        <v>25</v>
      </c>
      <c r="C1489" s="11">
        <v>39974</v>
      </c>
      <c r="D1489" t="s">
        <v>12</v>
      </c>
      <c r="E1489">
        <v>0.32063000000000003</v>
      </c>
    </row>
    <row r="1490" spans="2:5">
      <c r="B1490" t="s">
        <v>25</v>
      </c>
      <c r="C1490" s="11">
        <v>39973</v>
      </c>
      <c r="D1490" t="s">
        <v>12</v>
      </c>
      <c r="E1490">
        <v>0.32124999999999998</v>
      </c>
    </row>
    <row r="1491" spans="2:5">
      <c r="B1491" t="s">
        <v>25</v>
      </c>
      <c r="C1491" s="11">
        <v>39972</v>
      </c>
      <c r="D1491" t="s">
        <v>12</v>
      </c>
      <c r="E1491">
        <v>0.32312999999999997</v>
      </c>
    </row>
    <row r="1492" spans="2:5">
      <c r="B1492" t="s">
        <v>25</v>
      </c>
      <c r="C1492" s="11">
        <v>39969</v>
      </c>
      <c r="D1492" t="s">
        <v>12</v>
      </c>
      <c r="E1492">
        <v>0.32063000000000003</v>
      </c>
    </row>
    <row r="1493" spans="2:5">
      <c r="B1493" t="s">
        <v>25</v>
      </c>
      <c r="C1493" s="11">
        <v>39968</v>
      </c>
      <c r="D1493" t="s">
        <v>12</v>
      </c>
      <c r="E1493">
        <v>0.3175</v>
      </c>
    </row>
    <row r="1494" spans="2:5">
      <c r="B1494" t="s">
        <v>25</v>
      </c>
      <c r="C1494" s="11">
        <v>39967</v>
      </c>
      <c r="D1494" t="s">
        <v>12</v>
      </c>
      <c r="E1494">
        <v>0.31874999999999998</v>
      </c>
    </row>
    <row r="1495" spans="2:5">
      <c r="B1495" t="s">
        <v>25</v>
      </c>
      <c r="C1495" s="11">
        <v>39966</v>
      </c>
      <c r="D1495" t="s">
        <v>12</v>
      </c>
      <c r="E1495">
        <v>0.32</v>
      </c>
    </row>
    <row r="1496" spans="2:5">
      <c r="B1496" t="s">
        <v>25</v>
      </c>
      <c r="C1496" s="11">
        <v>39965</v>
      </c>
      <c r="D1496" t="s">
        <v>12</v>
      </c>
      <c r="E1496">
        <v>0.32</v>
      </c>
    </row>
    <row r="1497" spans="2:5">
      <c r="B1497" t="s">
        <v>25</v>
      </c>
      <c r="C1497" s="11">
        <v>39962</v>
      </c>
      <c r="D1497" t="s">
        <v>12</v>
      </c>
      <c r="E1497">
        <v>0.31624999999999998</v>
      </c>
    </row>
    <row r="1498" spans="2:5">
      <c r="B1498" t="s">
        <v>25</v>
      </c>
      <c r="C1498" s="11">
        <v>39961</v>
      </c>
      <c r="D1498" t="s">
        <v>12</v>
      </c>
      <c r="E1498">
        <v>0.32</v>
      </c>
    </row>
    <row r="1499" spans="2:5">
      <c r="B1499" t="s">
        <v>25</v>
      </c>
      <c r="C1499" s="11">
        <v>39960</v>
      </c>
      <c r="D1499" t="s">
        <v>12</v>
      </c>
      <c r="E1499">
        <v>0.31874999999999998</v>
      </c>
    </row>
    <row r="1500" spans="2:5">
      <c r="B1500" t="s">
        <v>25</v>
      </c>
      <c r="C1500" s="11">
        <v>39959</v>
      </c>
      <c r="D1500" t="s">
        <v>12</v>
      </c>
      <c r="E1500">
        <v>0.31624999999999998</v>
      </c>
    </row>
    <row r="1501" spans="2:5">
      <c r="B1501" t="s">
        <v>25</v>
      </c>
      <c r="C1501" s="11">
        <v>39955</v>
      </c>
      <c r="D1501" t="s">
        <v>12</v>
      </c>
      <c r="E1501">
        <v>0.31313000000000002</v>
      </c>
    </row>
    <row r="1502" spans="2:5">
      <c r="B1502" t="s">
        <v>25</v>
      </c>
      <c r="C1502" s="11">
        <v>39954</v>
      </c>
      <c r="D1502" t="s">
        <v>12</v>
      </c>
      <c r="E1502">
        <v>0.30875000000000002</v>
      </c>
    </row>
    <row r="1503" spans="2:5">
      <c r="B1503" t="s">
        <v>25</v>
      </c>
      <c r="C1503" s="11">
        <v>39953</v>
      </c>
      <c r="D1503" t="s">
        <v>12</v>
      </c>
      <c r="E1503">
        <v>0.30813000000000001</v>
      </c>
    </row>
    <row r="1504" spans="2:5">
      <c r="B1504" t="s">
        <v>25</v>
      </c>
      <c r="C1504" s="11">
        <v>39952</v>
      </c>
      <c r="D1504" t="s">
        <v>12</v>
      </c>
      <c r="E1504">
        <v>0.30937999999999999</v>
      </c>
    </row>
    <row r="1505" spans="2:5">
      <c r="B1505" t="s">
        <v>25</v>
      </c>
      <c r="C1505" s="11">
        <v>39951</v>
      </c>
      <c r="D1505" t="s">
        <v>12</v>
      </c>
      <c r="E1505">
        <v>0.31624999999999998</v>
      </c>
    </row>
    <row r="1506" spans="2:5">
      <c r="B1506" t="s">
        <v>25</v>
      </c>
      <c r="C1506" s="11">
        <v>39948</v>
      </c>
      <c r="D1506" t="s">
        <v>12</v>
      </c>
      <c r="E1506">
        <v>0.32812999999999998</v>
      </c>
    </row>
    <row r="1507" spans="2:5">
      <c r="B1507" t="s">
        <v>25</v>
      </c>
      <c r="C1507" s="11">
        <v>39947</v>
      </c>
      <c r="D1507" t="s">
        <v>12</v>
      </c>
      <c r="E1507">
        <v>0.33500000000000002</v>
      </c>
    </row>
    <row r="1508" spans="2:5">
      <c r="B1508" t="s">
        <v>25</v>
      </c>
      <c r="C1508" s="11">
        <v>39946</v>
      </c>
      <c r="D1508" t="s">
        <v>12</v>
      </c>
      <c r="E1508">
        <v>0.34438000000000002</v>
      </c>
    </row>
    <row r="1509" spans="2:5">
      <c r="B1509" t="s">
        <v>25</v>
      </c>
      <c r="C1509" s="11">
        <v>39945</v>
      </c>
      <c r="D1509" t="s">
        <v>12</v>
      </c>
      <c r="E1509">
        <v>0.34875</v>
      </c>
    </row>
    <row r="1510" spans="2:5">
      <c r="B1510" t="s">
        <v>25</v>
      </c>
      <c r="C1510" s="11">
        <v>39944</v>
      </c>
      <c r="D1510" t="s">
        <v>12</v>
      </c>
      <c r="E1510">
        <v>0.35375000000000001</v>
      </c>
    </row>
    <row r="1511" spans="2:5">
      <c r="B1511" t="s">
        <v>25</v>
      </c>
      <c r="C1511" s="11">
        <v>39941</v>
      </c>
      <c r="D1511" t="s">
        <v>12</v>
      </c>
      <c r="E1511">
        <v>0.36749999999999999</v>
      </c>
    </row>
    <row r="1512" spans="2:5">
      <c r="B1512" t="s">
        <v>25</v>
      </c>
      <c r="C1512" s="11">
        <v>39940</v>
      </c>
      <c r="D1512" t="s">
        <v>12</v>
      </c>
      <c r="E1512">
        <v>0.38188</v>
      </c>
    </row>
    <row r="1513" spans="2:5">
      <c r="B1513" t="s">
        <v>25</v>
      </c>
      <c r="C1513" s="11">
        <v>39939</v>
      </c>
      <c r="D1513" t="s">
        <v>12</v>
      </c>
      <c r="E1513">
        <v>0.39500000000000002</v>
      </c>
    </row>
    <row r="1514" spans="2:5">
      <c r="B1514" t="s">
        <v>25</v>
      </c>
      <c r="C1514" s="11">
        <v>39938</v>
      </c>
      <c r="D1514" t="s">
        <v>12</v>
      </c>
      <c r="E1514">
        <v>0.40125</v>
      </c>
    </row>
    <row r="1515" spans="2:5">
      <c r="B1515" t="s">
        <v>25</v>
      </c>
      <c r="C1515" s="11">
        <v>39937</v>
      </c>
      <c r="D1515" t="s">
        <v>12</v>
      </c>
      <c r="E1515">
        <v>0.41438000000000003</v>
      </c>
    </row>
    <row r="1516" spans="2:5">
      <c r="B1516" t="s">
        <v>25</v>
      </c>
      <c r="C1516" s="11">
        <v>39934</v>
      </c>
      <c r="D1516" t="s">
        <v>12</v>
      </c>
      <c r="E1516">
        <v>0.41438000000000003</v>
      </c>
    </row>
    <row r="1517" spans="2:5">
      <c r="B1517" t="s">
        <v>25</v>
      </c>
      <c r="C1517" s="11">
        <v>39933</v>
      </c>
      <c r="D1517" t="s">
        <v>12</v>
      </c>
      <c r="E1517">
        <v>0.41125</v>
      </c>
    </row>
    <row r="1518" spans="2:5">
      <c r="B1518" t="s">
        <v>25</v>
      </c>
      <c r="C1518" s="11">
        <v>39932</v>
      </c>
      <c r="D1518" t="s">
        <v>12</v>
      </c>
      <c r="E1518">
        <v>0.41813</v>
      </c>
    </row>
    <row r="1519" spans="2:5">
      <c r="B1519" t="s">
        <v>25</v>
      </c>
      <c r="C1519" s="11">
        <v>39931</v>
      </c>
      <c r="D1519" t="s">
        <v>12</v>
      </c>
      <c r="E1519">
        <v>0.42749999999999999</v>
      </c>
    </row>
    <row r="1520" spans="2:5">
      <c r="B1520" t="s">
        <v>25</v>
      </c>
      <c r="C1520" s="11">
        <v>39930</v>
      </c>
      <c r="D1520" t="s">
        <v>12</v>
      </c>
      <c r="E1520">
        <v>0.4325</v>
      </c>
    </row>
    <row r="1521" spans="2:5">
      <c r="B1521" t="s">
        <v>25</v>
      </c>
      <c r="C1521" s="11">
        <v>39927</v>
      </c>
      <c r="D1521" t="s">
        <v>12</v>
      </c>
      <c r="E1521">
        <v>0.435</v>
      </c>
    </row>
    <row r="1522" spans="2:5">
      <c r="B1522" t="s">
        <v>25</v>
      </c>
      <c r="C1522" s="11">
        <v>39926</v>
      </c>
      <c r="D1522" t="s">
        <v>12</v>
      </c>
      <c r="E1522">
        <v>0.4375</v>
      </c>
    </row>
    <row r="1523" spans="2:5">
      <c r="B1523" t="s">
        <v>25</v>
      </c>
      <c r="C1523" s="11">
        <v>39925</v>
      </c>
      <c r="D1523" t="s">
        <v>12</v>
      </c>
      <c r="E1523">
        <v>0.44</v>
      </c>
    </row>
    <row r="1524" spans="2:5">
      <c r="B1524" t="s">
        <v>25</v>
      </c>
      <c r="C1524" s="11">
        <v>39924</v>
      </c>
      <c r="D1524" t="s">
        <v>12</v>
      </c>
      <c r="E1524">
        <v>0.44124999999999998</v>
      </c>
    </row>
    <row r="1525" spans="2:5">
      <c r="B1525" t="s">
        <v>25</v>
      </c>
      <c r="C1525" s="11">
        <v>39923</v>
      </c>
      <c r="D1525" t="s">
        <v>12</v>
      </c>
      <c r="E1525">
        <v>0.4425</v>
      </c>
    </row>
    <row r="1526" spans="2:5">
      <c r="B1526" t="s">
        <v>25</v>
      </c>
      <c r="C1526" s="11">
        <v>39920</v>
      </c>
      <c r="D1526" t="s">
        <v>12</v>
      </c>
      <c r="E1526">
        <v>0.44750000000000001</v>
      </c>
    </row>
    <row r="1527" spans="2:5">
      <c r="B1527" t="s">
        <v>25</v>
      </c>
      <c r="C1527" s="11">
        <v>39919</v>
      </c>
      <c r="D1527" t="s">
        <v>12</v>
      </c>
      <c r="E1527">
        <v>0.44688</v>
      </c>
    </row>
    <row r="1528" spans="2:5">
      <c r="B1528" t="s">
        <v>25</v>
      </c>
      <c r="C1528" s="11">
        <v>39918</v>
      </c>
      <c r="D1528" t="s">
        <v>12</v>
      </c>
      <c r="E1528">
        <v>0.44812999999999997</v>
      </c>
    </row>
    <row r="1529" spans="2:5">
      <c r="B1529" t="s">
        <v>25</v>
      </c>
      <c r="C1529" s="11">
        <v>39917</v>
      </c>
      <c r="D1529" t="s">
        <v>12</v>
      </c>
      <c r="E1529">
        <v>0.45250000000000001</v>
      </c>
    </row>
    <row r="1530" spans="2:5">
      <c r="B1530" t="s">
        <v>25</v>
      </c>
      <c r="C1530" s="11">
        <v>39916</v>
      </c>
      <c r="D1530" t="s">
        <v>12</v>
      </c>
      <c r="E1530">
        <v>0.45124999999999998</v>
      </c>
    </row>
    <row r="1531" spans="2:5">
      <c r="B1531" t="s">
        <v>25</v>
      </c>
      <c r="C1531" s="11">
        <v>39912</v>
      </c>
      <c r="D1531" t="s">
        <v>12</v>
      </c>
      <c r="E1531">
        <v>0.45124999999999998</v>
      </c>
    </row>
    <row r="1532" spans="2:5">
      <c r="B1532" t="s">
        <v>25</v>
      </c>
      <c r="C1532" s="11">
        <v>39911</v>
      </c>
      <c r="D1532" t="s">
        <v>12</v>
      </c>
      <c r="E1532">
        <v>0.46</v>
      </c>
    </row>
    <row r="1533" spans="2:5">
      <c r="B1533" t="s">
        <v>25</v>
      </c>
      <c r="C1533" s="11">
        <v>39910</v>
      </c>
      <c r="D1533" t="s">
        <v>12</v>
      </c>
      <c r="E1533">
        <v>0.46938000000000002</v>
      </c>
    </row>
    <row r="1534" spans="2:5">
      <c r="B1534" t="s">
        <v>25</v>
      </c>
      <c r="C1534" s="11">
        <v>39909</v>
      </c>
      <c r="D1534" t="s">
        <v>12</v>
      </c>
      <c r="E1534">
        <v>0.47563</v>
      </c>
    </row>
    <row r="1535" spans="2:5">
      <c r="B1535" t="s">
        <v>25</v>
      </c>
      <c r="C1535" s="11">
        <v>39906</v>
      </c>
      <c r="D1535" t="s">
        <v>12</v>
      </c>
      <c r="E1535">
        <v>0.47813</v>
      </c>
    </row>
    <row r="1536" spans="2:5">
      <c r="B1536" t="s">
        <v>25</v>
      </c>
      <c r="C1536" s="11">
        <v>39905</v>
      </c>
      <c r="D1536" t="s">
        <v>12</v>
      </c>
      <c r="E1536">
        <v>0.48937999999999998</v>
      </c>
    </row>
    <row r="1537" spans="2:5">
      <c r="B1537" t="s">
        <v>25</v>
      </c>
      <c r="C1537" s="11">
        <v>39904</v>
      </c>
      <c r="D1537" t="s">
        <v>12</v>
      </c>
      <c r="E1537">
        <v>0.495</v>
      </c>
    </row>
    <row r="1538" spans="2:5">
      <c r="B1538" t="s">
        <v>25</v>
      </c>
      <c r="C1538" s="11">
        <v>39903</v>
      </c>
      <c r="D1538" t="s">
        <v>12</v>
      </c>
      <c r="E1538">
        <v>0.50063000000000002</v>
      </c>
    </row>
    <row r="1539" spans="2:5">
      <c r="B1539" t="s">
        <v>25</v>
      </c>
      <c r="C1539" s="11">
        <v>39902</v>
      </c>
      <c r="D1539" t="s">
        <v>12</v>
      </c>
      <c r="E1539">
        <v>0.50875000000000004</v>
      </c>
    </row>
    <row r="1540" spans="2:5">
      <c r="B1540" t="s">
        <v>25</v>
      </c>
      <c r="C1540" s="11">
        <v>39899</v>
      </c>
      <c r="D1540" t="s">
        <v>12</v>
      </c>
      <c r="E1540">
        <v>0.51812999999999998</v>
      </c>
    </row>
    <row r="1541" spans="2:5">
      <c r="B1541" t="s">
        <v>25</v>
      </c>
      <c r="C1541" s="11">
        <v>39898</v>
      </c>
      <c r="D1541" t="s">
        <v>12</v>
      </c>
      <c r="E1541">
        <v>0.52249999999999996</v>
      </c>
    </row>
    <row r="1542" spans="2:5">
      <c r="B1542" t="s">
        <v>25</v>
      </c>
      <c r="C1542" s="11">
        <v>39897</v>
      </c>
      <c r="D1542" t="s">
        <v>12</v>
      </c>
      <c r="E1542">
        <v>0.52</v>
      </c>
    </row>
    <row r="1543" spans="2:5">
      <c r="B1543" t="s">
        <v>25</v>
      </c>
      <c r="C1543" s="11">
        <v>39896</v>
      </c>
      <c r="D1543" t="s">
        <v>12</v>
      </c>
      <c r="E1543">
        <v>0.52093999999999996</v>
      </c>
    </row>
    <row r="1544" spans="2:5">
      <c r="B1544" t="s">
        <v>25</v>
      </c>
      <c r="C1544" s="11">
        <v>39895</v>
      </c>
      <c r="D1544" t="s">
        <v>12</v>
      </c>
      <c r="E1544">
        <v>0.52188000000000001</v>
      </c>
    </row>
    <row r="1545" spans="2:5">
      <c r="B1545" t="s">
        <v>25</v>
      </c>
      <c r="C1545" s="11">
        <v>39892</v>
      </c>
      <c r="D1545" t="s">
        <v>12</v>
      </c>
      <c r="E1545">
        <v>0.52188000000000001</v>
      </c>
    </row>
    <row r="1546" spans="2:5">
      <c r="B1546" t="s">
        <v>25</v>
      </c>
      <c r="C1546" s="11">
        <v>39891</v>
      </c>
      <c r="D1546" t="s">
        <v>12</v>
      </c>
      <c r="E1546">
        <v>0.52312999999999998</v>
      </c>
    </row>
    <row r="1547" spans="2:5">
      <c r="B1547" t="s">
        <v>25</v>
      </c>
      <c r="C1547" s="11">
        <v>39890</v>
      </c>
      <c r="D1547" t="s">
        <v>12</v>
      </c>
      <c r="E1547">
        <v>0.54500000000000004</v>
      </c>
    </row>
    <row r="1548" spans="2:5">
      <c r="B1548" t="s">
        <v>25</v>
      </c>
      <c r="C1548" s="11">
        <v>39889</v>
      </c>
      <c r="D1548" t="s">
        <v>12</v>
      </c>
      <c r="E1548">
        <v>0.55625000000000002</v>
      </c>
    </row>
    <row r="1549" spans="2:5">
      <c r="B1549" t="s">
        <v>25</v>
      </c>
      <c r="C1549" s="11">
        <v>39888</v>
      </c>
      <c r="D1549" t="s">
        <v>12</v>
      </c>
      <c r="E1549">
        <v>0.55562999999999996</v>
      </c>
    </row>
    <row r="1550" spans="2:5">
      <c r="B1550" t="s">
        <v>25</v>
      </c>
      <c r="C1550" s="11">
        <v>39885</v>
      </c>
      <c r="D1550" t="s">
        <v>12</v>
      </c>
      <c r="E1550">
        <v>0.55562999999999996</v>
      </c>
    </row>
    <row r="1551" spans="2:5">
      <c r="B1551" t="s">
        <v>25</v>
      </c>
      <c r="C1551" s="11">
        <v>39884</v>
      </c>
      <c r="D1551" t="s">
        <v>12</v>
      </c>
      <c r="E1551">
        <v>0.55625000000000002</v>
      </c>
    </row>
    <row r="1552" spans="2:5">
      <c r="B1552" t="s">
        <v>25</v>
      </c>
      <c r="C1552" s="11">
        <v>39883</v>
      </c>
      <c r="D1552" t="s">
        <v>12</v>
      </c>
      <c r="E1552">
        <v>0.55688000000000004</v>
      </c>
    </row>
    <row r="1553" spans="2:5">
      <c r="B1553" t="s">
        <v>25</v>
      </c>
      <c r="C1553" s="11">
        <v>39882</v>
      </c>
      <c r="D1553" t="s">
        <v>12</v>
      </c>
      <c r="E1553">
        <v>0.56437999999999999</v>
      </c>
    </row>
    <row r="1554" spans="2:5">
      <c r="B1554" t="s">
        <v>25</v>
      </c>
      <c r="C1554" s="11">
        <v>39881</v>
      </c>
      <c r="D1554" t="s">
        <v>12</v>
      </c>
      <c r="E1554">
        <v>0.56437999999999999</v>
      </c>
    </row>
    <row r="1555" spans="2:5">
      <c r="B1555" t="s">
        <v>25</v>
      </c>
      <c r="C1555" s="11">
        <v>39878</v>
      </c>
      <c r="D1555" t="s">
        <v>12</v>
      </c>
      <c r="E1555">
        <v>0.54625000000000001</v>
      </c>
    </row>
    <row r="1556" spans="2:5">
      <c r="B1556" t="s">
        <v>25</v>
      </c>
      <c r="C1556" s="11">
        <v>39877</v>
      </c>
      <c r="D1556" t="s">
        <v>12</v>
      </c>
      <c r="E1556">
        <v>0.53312999999999999</v>
      </c>
    </row>
    <row r="1557" spans="2:5">
      <c r="B1557" t="s">
        <v>25</v>
      </c>
      <c r="C1557" s="11">
        <v>39876</v>
      </c>
      <c r="D1557" t="s">
        <v>12</v>
      </c>
      <c r="E1557">
        <v>0.51812999999999998</v>
      </c>
    </row>
    <row r="1558" spans="2:5">
      <c r="B1558" t="s">
        <v>25</v>
      </c>
      <c r="C1558" s="11">
        <v>39875</v>
      </c>
      <c r="D1558" t="s">
        <v>12</v>
      </c>
      <c r="E1558">
        <v>0.50749999999999995</v>
      </c>
    </row>
    <row r="1559" spans="2:5">
      <c r="B1559" t="s">
        <v>25</v>
      </c>
      <c r="C1559" s="11">
        <v>39874</v>
      </c>
      <c r="D1559" t="s">
        <v>12</v>
      </c>
      <c r="E1559">
        <v>0.4975</v>
      </c>
    </row>
    <row r="1560" spans="2:5">
      <c r="B1560" t="s">
        <v>25</v>
      </c>
      <c r="C1560" s="11">
        <v>39871</v>
      </c>
      <c r="D1560" t="s">
        <v>12</v>
      </c>
      <c r="E1560">
        <v>0.49625000000000002</v>
      </c>
    </row>
    <row r="1561" spans="2:5">
      <c r="B1561" t="s">
        <v>25</v>
      </c>
      <c r="C1561" s="11">
        <v>39870</v>
      </c>
      <c r="D1561" t="s">
        <v>12</v>
      </c>
      <c r="E1561">
        <v>0.49687999999999999</v>
      </c>
    </row>
    <row r="1562" spans="2:5">
      <c r="B1562" t="s">
        <v>25</v>
      </c>
      <c r="C1562" s="11">
        <v>39869</v>
      </c>
      <c r="D1562" t="s">
        <v>12</v>
      </c>
      <c r="E1562">
        <v>0.47875000000000001</v>
      </c>
    </row>
    <row r="1563" spans="2:5">
      <c r="B1563" t="s">
        <v>25</v>
      </c>
      <c r="C1563" s="11">
        <v>39868</v>
      </c>
      <c r="D1563" t="s">
        <v>12</v>
      </c>
      <c r="E1563">
        <v>0.47688000000000003</v>
      </c>
    </row>
    <row r="1564" spans="2:5">
      <c r="B1564" t="s">
        <v>25</v>
      </c>
      <c r="C1564" s="11">
        <v>39867</v>
      </c>
      <c r="D1564" t="s">
        <v>12</v>
      </c>
      <c r="E1564">
        <v>0.47375</v>
      </c>
    </row>
    <row r="1565" spans="2:5">
      <c r="B1565" t="s">
        <v>25</v>
      </c>
      <c r="C1565" s="11">
        <v>39864</v>
      </c>
      <c r="D1565" t="s">
        <v>12</v>
      </c>
      <c r="E1565">
        <v>0.47249999999999998</v>
      </c>
    </row>
    <row r="1566" spans="2:5">
      <c r="B1566" t="s">
        <v>25</v>
      </c>
      <c r="C1566" s="11">
        <v>39863</v>
      </c>
      <c r="D1566" t="s">
        <v>12</v>
      </c>
      <c r="E1566">
        <v>0.47313</v>
      </c>
    </row>
    <row r="1567" spans="2:5">
      <c r="B1567" t="s">
        <v>25</v>
      </c>
      <c r="C1567" s="11">
        <v>39862</v>
      </c>
      <c r="D1567" t="s">
        <v>12</v>
      </c>
      <c r="E1567">
        <v>0.47</v>
      </c>
    </row>
    <row r="1568" spans="2:5">
      <c r="B1568" t="s">
        <v>25</v>
      </c>
      <c r="C1568" s="11">
        <v>39861</v>
      </c>
      <c r="D1568" t="s">
        <v>12</v>
      </c>
      <c r="E1568">
        <v>0.46625</v>
      </c>
    </row>
    <row r="1569" spans="2:5">
      <c r="B1569" t="s">
        <v>25</v>
      </c>
      <c r="C1569" s="11">
        <v>39857</v>
      </c>
      <c r="D1569" t="s">
        <v>12</v>
      </c>
      <c r="E1569">
        <v>0.46124999999999999</v>
      </c>
    </row>
    <row r="1570" spans="2:5">
      <c r="B1570" t="s">
        <v>25</v>
      </c>
      <c r="C1570" s="11">
        <v>39856</v>
      </c>
      <c r="D1570" t="s">
        <v>12</v>
      </c>
      <c r="E1570">
        <v>0.45500000000000002</v>
      </c>
    </row>
    <row r="1571" spans="2:5">
      <c r="B1571" t="s">
        <v>25</v>
      </c>
      <c r="C1571" s="11">
        <v>39855</v>
      </c>
      <c r="D1571" t="s">
        <v>12</v>
      </c>
      <c r="E1571">
        <v>0.45250000000000001</v>
      </c>
    </row>
    <row r="1572" spans="2:5">
      <c r="B1572" t="s">
        <v>25</v>
      </c>
      <c r="C1572" s="11">
        <v>39854</v>
      </c>
      <c r="D1572" t="s">
        <v>12</v>
      </c>
      <c r="E1572">
        <v>0.44688</v>
      </c>
    </row>
    <row r="1573" spans="2:5">
      <c r="B1573" t="s">
        <v>25</v>
      </c>
      <c r="C1573" s="11">
        <v>39853</v>
      </c>
      <c r="D1573" t="s">
        <v>12</v>
      </c>
      <c r="E1573">
        <v>0.44688</v>
      </c>
    </row>
    <row r="1574" spans="2:5">
      <c r="B1574" t="s">
        <v>25</v>
      </c>
      <c r="C1574" s="11">
        <v>39850</v>
      </c>
      <c r="D1574" t="s">
        <v>12</v>
      </c>
      <c r="E1574">
        <v>0.44874999999999998</v>
      </c>
    </row>
    <row r="1575" spans="2:5">
      <c r="B1575" t="s">
        <v>25</v>
      </c>
      <c r="C1575" s="11">
        <v>39849</v>
      </c>
      <c r="D1575" t="s">
        <v>12</v>
      </c>
      <c r="E1575">
        <v>0.44750000000000001</v>
      </c>
    </row>
    <row r="1576" spans="2:5">
      <c r="B1576" t="s">
        <v>25</v>
      </c>
      <c r="C1576" s="11">
        <v>39848</v>
      </c>
      <c r="D1576" t="s">
        <v>12</v>
      </c>
      <c r="E1576">
        <v>0.44500000000000001</v>
      </c>
    </row>
    <row r="1577" spans="2:5">
      <c r="B1577" t="s">
        <v>25</v>
      </c>
      <c r="C1577" s="11">
        <v>39847</v>
      </c>
      <c r="D1577" t="s">
        <v>12</v>
      </c>
      <c r="E1577">
        <v>0.44500000000000001</v>
      </c>
    </row>
    <row r="1578" spans="2:5">
      <c r="B1578" t="s">
        <v>25</v>
      </c>
      <c r="C1578" s="11">
        <v>39846</v>
      </c>
      <c r="D1578" t="s">
        <v>12</v>
      </c>
      <c r="E1578">
        <v>0.4375</v>
      </c>
    </row>
    <row r="1579" spans="2:5">
      <c r="B1579" t="s">
        <v>25</v>
      </c>
      <c r="C1579" s="11">
        <v>39843</v>
      </c>
      <c r="D1579" t="s">
        <v>12</v>
      </c>
      <c r="E1579">
        <v>0.41937999999999998</v>
      </c>
    </row>
    <row r="1580" spans="2:5">
      <c r="B1580" t="s">
        <v>25</v>
      </c>
      <c r="C1580" s="11">
        <v>39842</v>
      </c>
      <c r="D1580" t="s">
        <v>12</v>
      </c>
      <c r="E1580">
        <v>0.41249999999999998</v>
      </c>
    </row>
    <row r="1581" spans="2:5">
      <c r="B1581" t="s">
        <v>25</v>
      </c>
      <c r="C1581" s="11">
        <v>39841</v>
      </c>
      <c r="D1581" t="s">
        <v>12</v>
      </c>
      <c r="E1581">
        <v>0.40938000000000002</v>
      </c>
    </row>
    <row r="1582" spans="2:5">
      <c r="B1582" t="s">
        <v>25</v>
      </c>
      <c r="C1582" s="11">
        <v>39840</v>
      </c>
      <c r="D1582" t="s">
        <v>12</v>
      </c>
      <c r="E1582">
        <v>0.41125</v>
      </c>
    </row>
    <row r="1583" spans="2:5">
      <c r="B1583" s="26" t="s">
        <v>25</v>
      </c>
      <c r="C1583" s="27">
        <v>39839</v>
      </c>
      <c r="D1583" s="26" t="s">
        <v>12</v>
      </c>
      <c r="E1583" s="26">
        <v>0.40875</v>
      </c>
    </row>
    <row r="1584" spans="2:5">
      <c r="B1584" s="26" t="s">
        <v>25</v>
      </c>
      <c r="C1584" s="27">
        <v>39836</v>
      </c>
      <c r="D1584" s="26" t="s">
        <v>12</v>
      </c>
      <c r="E1584" s="26">
        <v>0.40125</v>
      </c>
    </row>
    <row r="1585" spans="2:5">
      <c r="B1585" s="26" t="s">
        <v>25</v>
      </c>
      <c r="C1585" s="27">
        <v>39835</v>
      </c>
      <c r="D1585" s="26" t="s">
        <v>12</v>
      </c>
      <c r="E1585" s="26">
        <v>0.38938</v>
      </c>
    </row>
    <row r="1586" spans="2:5">
      <c r="B1586" s="26" t="s">
        <v>25</v>
      </c>
      <c r="C1586" s="27">
        <v>39834</v>
      </c>
      <c r="D1586" s="26" t="s">
        <v>12</v>
      </c>
      <c r="E1586" s="26">
        <v>0.35625000000000001</v>
      </c>
    </row>
    <row r="1587" spans="2:5">
      <c r="B1587" s="26" t="s">
        <v>25</v>
      </c>
      <c r="C1587" s="27">
        <v>39833</v>
      </c>
      <c r="D1587" s="26" t="s">
        <v>12</v>
      </c>
      <c r="E1587" s="26">
        <v>0.35249999999999998</v>
      </c>
    </row>
    <row r="1588" spans="2:5">
      <c r="B1588" s="26" t="s">
        <v>25</v>
      </c>
      <c r="C1588" s="27">
        <v>39829</v>
      </c>
      <c r="D1588" s="26" t="s">
        <v>12</v>
      </c>
      <c r="E1588" s="26">
        <v>0.35937999999999998</v>
      </c>
    </row>
    <row r="1589" spans="2:5">
      <c r="B1589" s="26" t="s">
        <v>25</v>
      </c>
      <c r="C1589" s="27">
        <v>39828</v>
      </c>
      <c r="D1589" s="26" t="s">
        <v>12</v>
      </c>
      <c r="E1589" s="26">
        <v>0.33374999999999999</v>
      </c>
    </row>
    <row r="1590" spans="2:5">
      <c r="B1590" s="26" t="s">
        <v>25</v>
      </c>
      <c r="C1590" s="27">
        <v>39827</v>
      </c>
      <c r="D1590" s="26" t="s">
        <v>12</v>
      </c>
      <c r="E1590" s="26">
        <v>0.32874999999999999</v>
      </c>
    </row>
    <row r="1591" spans="2:5">
      <c r="B1591" s="26" t="s">
        <v>25</v>
      </c>
      <c r="C1591" s="27">
        <v>39826</v>
      </c>
      <c r="D1591" s="26" t="s">
        <v>12</v>
      </c>
      <c r="E1591" s="26">
        <v>0.33312999999999998</v>
      </c>
    </row>
    <row r="1592" spans="2:5">
      <c r="B1592" s="26" t="s">
        <v>25</v>
      </c>
      <c r="C1592" s="27">
        <v>39825</v>
      </c>
      <c r="D1592" s="26" t="s">
        <v>12</v>
      </c>
      <c r="E1592" s="26">
        <v>0.34250000000000003</v>
      </c>
    </row>
    <row r="1593" spans="2:5">
      <c r="B1593" s="26" t="s">
        <v>25</v>
      </c>
      <c r="C1593" s="27">
        <v>39822</v>
      </c>
      <c r="D1593" s="26" t="s">
        <v>12</v>
      </c>
      <c r="E1593" s="26">
        <v>0.36625000000000002</v>
      </c>
    </row>
    <row r="1594" spans="2:5">
      <c r="B1594" s="26" t="s">
        <v>25</v>
      </c>
      <c r="C1594" s="27">
        <v>39821</v>
      </c>
      <c r="D1594" s="26" t="s">
        <v>12</v>
      </c>
      <c r="E1594" s="26">
        <v>0.38624999999999998</v>
      </c>
    </row>
    <row r="1595" spans="2:5">
      <c r="B1595" s="26" t="s">
        <v>25</v>
      </c>
      <c r="C1595" s="27">
        <v>39820</v>
      </c>
      <c r="D1595" s="26" t="s">
        <v>12</v>
      </c>
      <c r="E1595" s="26">
        <v>0.40625</v>
      </c>
    </row>
    <row r="1596" spans="2:5">
      <c r="B1596" s="26" t="s">
        <v>25</v>
      </c>
      <c r="C1596" s="27">
        <v>39819</v>
      </c>
      <c r="D1596" s="26" t="s">
        <v>12</v>
      </c>
      <c r="E1596" s="26">
        <v>0.42063</v>
      </c>
    </row>
    <row r="1597" spans="2:5">
      <c r="B1597" s="26" t="s">
        <v>25</v>
      </c>
      <c r="C1597" s="27">
        <v>39818</v>
      </c>
      <c r="D1597" s="26" t="s">
        <v>12</v>
      </c>
      <c r="E1597" s="26">
        <v>0.42875000000000002</v>
      </c>
    </row>
    <row r="1598" spans="2:5">
      <c r="B1598" s="26" t="s">
        <v>25</v>
      </c>
      <c r="C1598" s="27">
        <v>39815</v>
      </c>
      <c r="D1598" s="26" t="s">
        <v>12</v>
      </c>
      <c r="E1598" s="26">
        <v>0.43</v>
      </c>
    </row>
    <row r="1599" spans="2:5">
      <c r="C1599" s="11"/>
    </row>
    <row r="1600" spans="2:5">
      <c r="C1600" s="11"/>
    </row>
    <row r="1601" spans="3:3">
      <c r="C1601" s="11"/>
    </row>
    <row r="1602" spans="3:3">
      <c r="C1602" s="11"/>
    </row>
    <row r="1603" spans="3:3">
      <c r="C1603" s="11"/>
    </row>
    <row r="1604" spans="3:3">
      <c r="C1604" s="11"/>
    </row>
    <row r="1605" spans="3:3">
      <c r="C1605" s="11"/>
    </row>
    <row r="1606" spans="3:3">
      <c r="C1606" s="11"/>
    </row>
    <row r="1607" spans="3:3">
      <c r="C1607" s="11"/>
    </row>
    <row r="1608" spans="3:3">
      <c r="C1608" s="11"/>
    </row>
    <row r="1609" spans="3:3">
      <c r="C1609" s="11"/>
    </row>
    <row r="1610" spans="3:3">
      <c r="C1610" s="11"/>
    </row>
    <row r="1611" spans="3:3">
      <c r="C1611" s="11"/>
    </row>
    <row r="1612" spans="3:3">
      <c r="C1612" s="11"/>
    </row>
    <row r="1613" spans="3:3">
      <c r="C1613" s="11"/>
    </row>
    <row r="1614" spans="3:3">
      <c r="C1614" s="11"/>
    </row>
    <row r="1615" spans="3:3">
      <c r="C1615" s="11"/>
    </row>
    <row r="1616" spans="3:3">
      <c r="C1616" s="11"/>
    </row>
    <row r="1617" spans="3:3">
      <c r="C1617" s="11"/>
    </row>
    <row r="1618" spans="3:3">
      <c r="C1618" s="11"/>
    </row>
    <row r="1619" spans="3:3">
      <c r="C1619" s="11"/>
    </row>
    <row r="1620" spans="3:3">
      <c r="C1620" s="11"/>
    </row>
    <row r="1621" spans="3:3">
      <c r="C1621" s="11"/>
    </row>
    <row r="1622" spans="3:3">
      <c r="C1622" s="11"/>
    </row>
    <row r="1623" spans="3:3">
      <c r="C1623" s="11"/>
    </row>
    <row r="1624" spans="3:3">
      <c r="C1624" s="11"/>
    </row>
    <row r="1625" spans="3:3">
      <c r="C1625" s="11"/>
    </row>
    <row r="1626" spans="3:3">
      <c r="C1626" s="11"/>
    </row>
    <row r="1627" spans="3:3">
      <c r="C1627" s="11"/>
    </row>
    <row r="1628" spans="3:3">
      <c r="C1628" s="11"/>
    </row>
    <row r="1629" spans="3:3">
      <c r="C1629" s="11"/>
    </row>
    <row r="1630" spans="3:3">
      <c r="C1630" s="11"/>
    </row>
    <row r="1631" spans="3:3">
      <c r="C1631" s="11"/>
    </row>
    <row r="1632" spans="3:3">
      <c r="C1632" s="11"/>
    </row>
    <row r="1633" spans="3:3">
      <c r="C1633" s="11"/>
    </row>
    <row r="1634" spans="3:3">
      <c r="C1634" s="11"/>
    </row>
    <row r="1635" spans="3:3">
      <c r="C1635" s="11"/>
    </row>
    <row r="1636" spans="3:3">
      <c r="C1636" s="11"/>
    </row>
    <row r="1637" spans="3:3">
      <c r="C1637" s="11"/>
    </row>
    <row r="1638" spans="3:3">
      <c r="C1638" s="11"/>
    </row>
    <row r="1639" spans="3:3">
      <c r="C1639" s="11"/>
    </row>
    <row r="1640" spans="3:3">
      <c r="C1640" s="11"/>
    </row>
    <row r="1641" spans="3:3">
      <c r="C1641" s="11"/>
    </row>
    <row r="1642" spans="3:3">
      <c r="C1642" s="11"/>
    </row>
    <row r="1643" spans="3:3">
      <c r="C1643" s="11"/>
    </row>
    <row r="1644" spans="3:3">
      <c r="C1644" s="11"/>
    </row>
    <row r="1645" spans="3:3">
      <c r="C1645" s="11"/>
    </row>
    <row r="1646" spans="3:3">
      <c r="C1646" s="11"/>
    </row>
    <row r="1647" spans="3:3">
      <c r="C1647" s="11"/>
    </row>
    <row r="1648" spans="3:3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C413"/>
  <sheetViews>
    <sheetView topLeftCell="B1" workbookViewId="0">
      <selection activeCell="AA3" sqref="AA3"/>
    </sheetView>
  </sheetViews>
  <sheetFormatPr defaultRowHeight="15"/>
  <cols>
    <col min="3" max="3" width="10.7109375" bestFit="1" customWidth="1"/>
    <col min="6" max="6" width="11.140625" style="26" bestFit="1" customWidth="1"/>
    <col min="7" max="7" width="11.140625" style="26" customWidth="1"/>
    <col min="10" max="10" width="10.7109375" bestFit="1" customWidth="1"/>
    <col min="11" max="11" width="9.7109375" bestFit="1" customWidth="1"/>
    <col min="12" max="12" width="10.7109375" style="26" bestFit="1" customWidth="1"/>
    <col min="15" max="15" width="11.140625" style="38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1553</v>
      </c>
      <c r="AA2" t="s">
        <v>1556</v>
      </c>
    </row>
    <row r="3" spans="3:29">
      <c r="C3" t="s">
        <v>1546</v>
      </c>
      <c r="D3" t="s">
        <v>1548</v>
      </c>
      <c r="E3" t="s">
        <v>1547</v>
      </c>
      <c r="F3" s="26" t="s">
        <v>1554</v>
      </c>
      <c r="G3" s="26" t="s">
        <v>1557</v>
      </c>
      <c r="J3" t="s">
        <v>1549</v>
      </c>
      <c r="K3" s="26" t="s">
        <v>1546</v>
      </c>
      <c r="M3" s="26" t="s">
        <v>1548</v>
      </c>
      <c r="N3" s="26" t="s">
        <v>1547</v>
      </c>
      <c r="U3" s="26"/>
      <c r="V3" s="26"/>
      <c r="W3" s="26"/>
      <c r="X3" s="26" t="s">
        <v>1552</v>
      </c>
      <c r="AA3" t="s">
        <v>1546</v>
      </c>
      <c r="AB3" t="s">
        <v>1555</v>
      </c>
      <c r="AC3" t="s">
        <v>1558</v>
      </c>
    </row>
    <row r="4" spans="3:29">
      <c r="C4" s="27">
        <v>40549</v>
      </c>
      <c r="D4" s="30">
        <v>0.62402170072443153</v>
      </c>
      <c r="E4" s="30">
        <v>0.477996028899563</v>
      </c>
      <c r="F4" s="37">
        <f ca="1">VLOOKUP(C4+1,W:X,2,0)</f>
        <v>2344.3000000000002</v>
      </c>
      <c r="G4" s="37">
        <f>VLOOKUP(C4,AA:AC,3,0)</f>
        <v>90.117384086832203</v>
      </c>
      <c r="H4">
        <f>MONTH(C4)</f>
        <v>1</v>
      </c>
      <c r="I4">
        <f>IF(H4=H3,0,1)</f>
        <v>1</v>
      </c>
      <c r="J4" s="26">
        <f t="shared" ref="J4:J67" si="0">I5</f>
        <v>0</v>
      </c>
      <c r="U4" s="27"/>
      <c r="V4" s="30"/>
      <c r="W4" s="27" t="e">
        <f ca="1">_xll.BDH("MBAVCMRS Index","PX LAST","8/10/07",TODAY(),"cols=2;rows=402")</f>
        <v>#NAME?</v>
      </c>
      <c r="X4" s="26">
        <v>2104.1</v>
      </c>
      <c r="AA4" s="27">
        <v>40549</v>
      </c>
      <c r="AB4">
        <v>0.90117384086832197</v>
      </c>
      <c r="AC4">
        <f>AB4*100</f>
        <v>90.117384086832203</v>
      </c>
    </row>
    <row r="5" spans="3:29">
      <c r="C5" s="27">
        <v>40556</v>
      </c>
      <c r="D5" s="30">
        <v>0.62817294477626939</v>
      </c>
      <c r="E5" s="30">
        <v>0.49650185657562101</v>
      </c>
      <c r="F5" s="37">
        <f t="shared" ref="F5:F68" ca="1" si="1">VLOOKUP(C5+1,W:X,2,0)</f>
        <v>2528.6999999999998</v>
      </c>
      <c r="G5" s="37">
        <f t="shared" ref="G5:G68" si="2">VLOOKUP(C5,AA:AC,3,0)</f>
        <v>95.957972818230701</v>
      </c>
      <c r="H5" s="26">
        <f t="shared" ref="H5:H68" si="3">MONTH(C5)</f>
        <v>1</v>
      </c>
      <c r="I5" s="26">
        <f t="shared" ref="I5:I68" si="4">IF(H5=H4,0,1)</f>
        <v>0</v>
      </c>
      <c r="J5" s="26">
        <f t="shared" si="0"/>
        <v>0</v>
      </c>
      <c r="U5" s="27"/>
      <c r="V5" s="30"/>
      <c r="W5" s="27">
        <v>39311</v>
      </c>
      <c r="X5" s="26">
        <v>1960.1</v>
      </c>
      <c r="AA5" s="27">
        <v>40556</v>
      </c>
      <c r="AB5">
        <v>0.95957972818230697</v>
      </c>
      <c r="AC5" s="26">
        <f t="shared" ref="AC5:AC68" si="5">AB5*100</f>
        <v>95.957972818230701</v>
      </c>
    </row>
    <row r="6" spans="3:29">
      <c r="C6" s="27">
        <v>40563</v>
      </c>
      <c r="D6" s="30">
        <v>0.62597730951219899</v>
      </c>
      <c r="E6" s="30">
        <v>0.48029569588235599</v>
      </c>
      <c r="F6" s="37">
        <f t="shared" ca="1" si="1"/>
        <v>2129.6999999999998</v>
      </c>
      <c r="G6" s="37">
        <f t="shared" si="2"/>
        <v>93.037678449092994</v>
      </c>
      <c r="H6" s="26">
        <f t="shared" si="3"/>
        <v>1</v>
      </c>
      <c r="I6" s="26">
        <f t="shared" si="4"/>
        <v>0</v>
      </c>
      <c r="J6" s="26">
        <f t="shared" si="0"/>
        <v>0</v>
      </c>
      <c r="U6" s="27"/>
      <c r="V6" s="30"/>
      <c r="W6" s="27">
        <v>39318</v>
      </c>
      <c r="X6" s="26">
        <v>1871.4</v>
      </c>
      <c r="AA6" s="27">
        <v>40563</v>
      </c>
      <c r="AB6">
        <v>0.93037678449092998</v>
      </c>
      <c r="AC6" s="26">
        <f t="shared" si="5"/>
        <v>93.037678449092994</v>
      </c>
    </row>
    <row r="7" spans="3:29">
      <c r="C7" s="27">
        <v>40570</v>
      </c>
      <c r="D7" s="30">
        <v>0.62392159162868732</v>
      </c>
      <c r="E7" s="30">
        <v>0.47679593730615699</v>
      </c>
      <c r="F7" s="37">
        <f t="shared" ca="1" si="1"/>
        <v>2371.1</v>
      </c>
      <c r="G7" s="37">
        <f t="shared" si="2"/>
        <v>89.630668341643002</v>
      </c>
      <c r="H7" s="26">
        <f t="shared" si="3"/>
        <v>1</v>
      </c>
      <c r="I7" s="26">
        <f t="shared" si="4"/>
        <v>0</v>
      </c>
      <c r="J7" s="26">
        <f t="shared" si="0"/>
        <v>1</v>
      </c>
      <c r="K7" s="27">
        <f>IF(J7=1,EOMONTH(C7,0),"")</f>
        <v>40574</v>
      </c>
      <c r="L7" s="27">
        <f>IF(WEEKDAY(K7,2)=6,K7-1,IF(WEEKDAY(K7,2)=7,K7-2,IF(J7=1,K7,"")))</f>
        <v>40574</v>
      </c>
      <c r="M7" s="30">
        <f>IF(J7=1,D7,"")</f>
        <v>0.62392159162868732</v>
      </c>
      <c r="N7" s="30">
        <f>IF($J7=1,E7,"")</f>
        <v>0.47679593730615699</v>
      </c>
      <c r="O7" s="39">
        <f ca="1">IF($J7=1,F7,"")</f>
        <v>2371.1</v>
      </c>
      <c r="P7" s="39">
        <f>IF($J7=1,G7,"")</f>
        <v>89.630668341643002</v>
      </c>
      <c r="U7" s="27"/>
      <c r="V7" s="30"/>
      <c r="W7" s="27">
        <v>39325</v>
      </c>
      <c r="X7" s="26">
        <v>1892.3</v>
      </c>
      <c r="AA7" s="27">
        <v>40570</v>
      </c>
      <c r="AB7">
        <v>0.89630668341643005</v>
      </c>
      <c r="AC7" s="26">
        <f t="shared" si="5"/>
        <v>89.630668341643002</v>
      </c>
    </row>
    <row r="8" spans="3:29">
      <c r="C8" s="27">
        <v>40577</v>
      </c>
      <c r="D8" s="30">
        <v>0.60653142223595213</v>
      </c>
      <c r="E8" s="30">
        <v>0.43462013043084002</v>
      </c>
      <c r="F8" s="37">
        <f t="shared" ca="1" si="1"/>
        <v>2190.4</v>
      </c>
      <c r="G8" s="37">
        <f t="shared" si="2"/>
        <v>80.302241922533</v>
      </c>
      <c r="H8" s="26">
        <f t="shared" si="3"/>
        <v>2</v>
      </c>
      <c r="I8" s="26">
        <f t="shared" si="4"/>
        <v>1</v>
      </c>
      <c r="J8" s="26">
        <f t="shared" si="0"/>
        <v>0</v>
      </c>
      <c r="K8" s="27" t="str">
        <f t="shared" ref="K8:K71" si="6">IF(J8=1,EOMONTH(C8,0),"")</f>
        <v/>
      </c>
      <c r="L8" s="27" t="e">
        <f t="shared" ref="L8:L71" si="7">IF(WEEKDAY(K8,2)=6,K8-1,IF(WEEKDAY(K8,2)=7,K8-2,IF(J8=1,K8,"")))</f>
        <v>#VALUE!</v>
      </c>
      <c r="M8" s="30" t="str">
        <f t="shared" ref="M8:M71" si="8">IF(J8=1,D8,"")</f>
        <v/>
      </c>
      <c r="N8" s="30" t="str">
        <f>IF($J8=1,E8,"")</f>
        <v/>
      </c>
      <c r="O8" s="39" t="str">
        <f>IF($J8=1,F8,"")</f>
        <v/>
      </c>
      <c r="P8" s="39" t="str">
        <f t="shared" ref="P8:P71" si="9">IF($J8=1,G8,"")</f>
        <v/>
      </c>
      <c r="U8" s="27"/>
      <c r="V8" s="30"/>
      <c r="W8" s="27">
        <v>39332</v>
      </c>
      <c r="X8" s="26">
        <v>2009.3</v>
      </c>
      <c r="AA8" s="27">
        <v>40577</v>
      </c>
      <c r="AB8">
        <v>0.80302241922533002</v>
      </c>
      <c r="AC8" s="26">
        <f t="shared" si="5"/>
        <v>80.302241922533</v>
      </c>
    </row>
    <row r="9" spans="3:29">
      <c r="C9" s="27">
        <v>40584</v>
      </c>
      <c r="D9" s="30">
        <v>0.50868797673712363</v>
      </c>
      <c r="E9" s="30">
        <v>0.35529176669040102</v>
      </c>
      <c r="F9" s="37">
        <f t="shared" ca="1" si="1"/>
        <v>1953.2</v>
      </c>
      <c r="G9" s="37">
        <f t="shared" si="2"/>
        <v>59.492977159320404</v>
      </c>
      <c r="H9" s="26">
        <f t="shared" si="3"/>
        <v>2</v>
      </c>
      <c r="I9" s="26">
        <f t="shared" si="4"/>
        <v>0</v>
      </c>
      <c r="J9" s="26">
        <f t="shared" si="0"/>
        <v>0</v>
      </c>
      <c r="K9" s="27" t="str">
        <f t="shared" si="6"/>
        <v/>
      </c>
      <c r="L9" s="27" t="e">
        <f t="shared" si="7"/>
        <v>#VALUE!</v>
      </c>
      <c r="M9" s="30" t="str">
        <f t="shared" si="8"/>
        <v/>
      </c>
      <c r="N9" s="30" t="str">
        <f>IF($J9=1,E9,"")</f>
        <v/>
      </c>
      <c r="O9" s="39" t="str">
        <f>IF($J9=1,F9,"")</f>
        <v/>
      </c>
      <c r="P9" s="39" t="str">
        <f t="shared" si="9"/>
        <v/>
      </c>
      <c r="U9" s="27"/>
      <c r="V9" s="30"/>
      <c r="W9" s="27">
        <v>39339</v>
      </c>
      <c r="X9" s="26">
        <v>2091.1</v>
      </c>
      <c r="AA9" s="27">
        <v>40584</v>
      </c>
      <c r="AB9">
        <v>0.59492977159320404</v>
      </c>
      <c r="AC9" s="26">
        <f t="shared" si="5"/>
        <v>59.492977159320404</v>
      </c>
    </row>
    <row r="10" spans="3:29">
      <c r="C10" s="27">
        <v>40591</v>
      </c>
      <c r="D10" s="30">
        <v>0.52965901814335548</v>
      </c>
      <c r="E10" s="30">
        <v>0.37678804128174298</v>
      </c>
      <c r="F10" s="37">
        <f t="shared" ca="1" si="1"/>
        <v>2325.3000000000002</v>
      </c>
      <c r="G10" s="37">
        <f t="shared" si="2"/>
        <v>64.3323411855784</v>
      </c>
      <c r="H10" s="26">
        <f t="shared" si="3"/>
        <v>2</v>
      </c>
      <c r="I10" s="26">
        <f t="shared" si="4"/>
        <v>0</v>
      </c>
      <c r="J10" s="26">
        <f t="shared" si="0"/>
        <v>0</v>
      </c>
      <c r="K10" s="27" t="str">
        <f t="shared" si="6"/>
        <v/>
      </c>
      <c r="L10" s="27" t="e">
        <f t="shared" si="7"/>
        <v>#VALUE!</v>
      </c>
      <c r="M10" s="30" t="str">
        <f t="shared" si="8"/>
        <v/>
      </c>
      <c r="N10" s="30" t="str">
        <f>IF($J10=1,E10,"")</f>
        <v/>
      </c>
      <c r="O10" s="39" t="str">
        <f>IF($J10=1,F10,"")</f>
        <v/>
      </c>
      <c r="P10" s="39" t="str">
        <f t="shared" si="9"/>
        <v/>
      </c>
      <c r="U10" s="27"/>
      <c r="V10" s="30"/>
      <c r="W10" s="27">
        <v>39346</v>
      </c>
      <c r="X10" s="26">
        <v>2172.5</v>
      </c>
      <c r="AA10" s="27">
        <v>40591</v>
      </c>
      <c r="AB10">
        <v>0.64332341185578401</v>
      </c>
      <c r="AC10" s="26">
        <f t="shared" si="5"/>
        <v>64.3323411855784</v>
      </c>
    </row>
    <row r="11" spans="3:29">
      <c r="C11" s="27">
        <v>40598</v>
      </c>
      <c r="D11" s="30">
        <v>0.57709503787578109</v>
      </c>
      <c r="E11" s="30">
        <v>0.41551493659156002</v>
      </c>
      <c r="F11" s="37">
        <f t="shared" ca="1" si="1"/>
        <v>2155.5</v>
      </c>
      <c r="G11" s="37">
        <f t="shared" si="2"/>
        <v>71.591387604084005</v>
      </c>
      <c r="H11" s="26">
        <f t="shared" si="3"/>
        <v>2</v>
      </c>
      <c r="I11" s="26">
        <f t="shared" si="4"/>
        <v>0</v>
      </c>
      <c r="J11" s="26">
        <f t="shared" si="0"/>
        <v>1</v>
      </c>
      <c r="K11" s="27">
        <f t="shared" si="6"/>
        <v>40602</v>
      </c>
      <c r="L11" s="27">
        <f t="shared" si="7"/>
        <v>40602</v>
      </c>
      <c r="M11" s="30">
        <f t="shared" si="8"/>
        <v>0.57709503787578109</v>
      </c>
      <c r="N11" s="30">
        <f>IF($J11=1,E11,"")</f>
        <v>0.41551493659156002</v>
      </c>
      <c r="O11" s="39">
        <f ca="1">IF($J11=1,F11,"")</f>
        <v>2155.5</v>
      </c>
      <c r="P11" s="39">
        <f t="shared" si="9"/>
        <v>71.591387604084005</v>
      </c>
      <c r="U11" s="27"/>
      <c r="V11" s="30"/>
      <c r="W11" s="27">
        <v>39353</v>
      </c>
      <c r="X11" s="26">
        <v>2065.6999999999998</v>
      </c>
      <c r="AA11" s="27">
        <v>40598</v>
      </c>
      <c r="AB11">
        <v>0.71591387604084</v>
      </c>
      <c r="AC11" s="26">
        <f t="shared" si="5"/>
        <v>71.591387604084005</v>
      </c>
    </row>
    <row r="12" spans="3:29">
      <c r="C12" s="27">
        <v>40605</v>
      </c>
      <c r="D12" s="30">
        <v>0.59224775585706535</v>
      </c>
      <c r="E12" s="30">
        <v>0.42215163100202302</v>
      </c>
      <c r="F12" s="37">
        <f t="shared" ca="1" si="1"/>
        <v>2539.4</v>
      </c>
      <c r="G12" s="37">
        <f t="shared" si="2"/>
        <v>72.28730410833461</v>
      </c>
      <c r="H12" s="26">
        <f t="shared" si="3"/>
        <v>3</v>
      </c>
      <c r="I12" s="26">
        <f t="shared" si="4"/>
        <v>1</v>
      </c>
      <c r="J12" s="26">
        <f t="shared" si="0"/>
        <v>0</v>
      </c>
      <c r="K12" s="27" t="str">
        <f t="shared" si="6"/>
        <v/>
      </c>
      <c r="L12" s="27" t="e">
        <f t="shared" si="7"/>
        <v>#VALUE!</v>
      </c>
      <c r="M12" s="30" t="str">
        <f t="shared" si="8"/>
        <v/>
      </c>
      <c r="N12" s="30" t="str">
        <f>IF($J12=1,E12,"")</f>
        <v/>
      </c>
      <c r="O12" s="39" t="str">
        <f>IF($J12=1,F12,"")</f>
        <v/>
      </c>
      <c r="P12" s="39" t="str">
        <f t="shared" si="9"/>
        <v/>
      </c>
      <c r="U12" s="27"/>
      <c r="V12" s="30"/>
      <c r="W12" s="27">
        <v>39360</v>
      </c>
      <c r="X12" s="26">
        <v>2153.3000000000002</v>
      </c>
      <c r="AA12" s="27">
        <v>40605</v>
      </c>
      <c r="AB12">
        <v>0.72287304108334605</v>
      </c>
      <c r="AC12" s="26">
        <f t="shared" si="5"/>
        <v>72.28730410833461</v>
      </c>
    </row>
    <row r="13" spans="3:29">
      <c r="C13" s="27">
        <v>40612</v>
      </c>
      <c r="D13" s="30">
        <v>0.59090570789662444</v>
      </c>
      <c r="E13" s="30">
        <v>0.42124985629360401</v>
      </c>
      <c r="F13" s="37">
        <f t="shared" ca="1" si="1"/>
        <v>2563.6</v>
      </c>
      <c r="G13" s="37">
        <f t="shared" si="2"/>
        <v>71.325538337441301</v>
      </c>
      <c r="H13" s="26">
        <f t="shared" si="3"/>
        <v>3</v>
      </c>
      <c r="I13" s="26">
        <f t="shared" si="4"/>
        <v>0</v>
      </c>
      <c r="J13" s="26">
        <f t="shared" si="0"/>
        <v>0</v>
      </c>
      <c r="K13" s="27" t="str">
        <f t="shared" si="6"/>
        <v/>
      </c>
      <c r="L13" s="27" t="e">
        <f t="shared" si="7"/>
        <v>#VALUE!</v>
      </c>
      <c r="M13" s="30" t="str">
        <f t="shared" si="8"/>
        <v/>
      </c>
      <c r="N13" s="30" t="str">
        <f>IF($J13=1,E13,"")</f>
        <v/>
      </c>
      <c r="O13" s="39" t="str">
        <f>IF($J13=1,F13,"")</f>
        <v/>
      </c>
      <c r="P13" s="39" t="str">
        <f t="shared" si="9"/>
        <v/>
      </c>
      <c r="U13" s="27"/>
      <c r="V13" s="30"/>
      <c r="W13" s="27">
        <v>39367</v>
      </c>
      <c r="X13" s="26">
        <v>2116.6</v>
      </c>
      <c r="AA13" s="27">
        <v>40612</v>
      </c>
      <c r="AB13">
        <v>0.71325538337441297</v>
      </c>
      <c r="AC13" s="26">
        <f t="shared" si="5"/>
        <v>71.325538337441301</v>
      </c>
    </row>
    <row r="14" spans="3:29">
      <c r="C14" s="27">
        <v>40619</v>
      </c>
      <c r="D14" s="30">
        <v>0.60261779474869925</v>
      </c>
      <c r="E14" s="30">
        <v>0.46784663358763601</v>
      </c>
      <c r="F14" s="37">
        <f t="shared" ca="1" si="1"/>
        <v>2620.8000000000002</v>
      </c>
      <c r="G14" s="37">
        <f t="shared" si="2"/>
        <v>82.866727844681492</v>
      </c>
      <c r="H14" s="26">
        <f t="shared" si="3"/>
        <v>3</v>
      </c>
      <c r="I14" s="26">
        <f t="shared" si="4"/>
        <v>0</v>
      </c>
      <c r="J14" s="26">
        <f t="shared" si="0"/>
        <v>0</v>
      </c>
      <c r="K14" s="27" t="str">
        <f t="shared" si="6"/>
        <v/>
      </c>
      <c r="L14" s="27" t="e">
        <f t="shared" si="7"/>
        <v>#VALUE!</v>
      </c>
      <c r="M14" s="30" t="str">
        <f t="shared" si="8"/>
        <v/>
      </c>
      <c r="N14" s="30" t="str">
        <f>IF($J14=1,E14,"")</f>
        <v/>
      </c>
      <c r="O14" s="39" t="str">
        <f>IF($J14=1,F14,"")</f>
        <v/>
      </c>
      <c r="P14" s="39" t="str">
        <f t="shared" si="9"/>
        <v/>
      </c>
      <c r="W14" s="27">
        <v>39374</v>
      </c>
      <c r="X14" s="26">
        <v>2221.1</v>
      </c>
      <c r="AA14" s="27">
        <v>40619</v>
      </c>
      <c r="AB14">
        <v>0.82866727844681498</v>
      </c>
      <c r="AC14" s="26">
        <f t="shared" si="5"/>
        <v>82.866727844681492</v>
      </c>
    </row>
    <row r="15" spans="3:29">
      <c r="C15" s="27">
        <v>40626</v>
      </c>
      <c r="D15" s="30">
        <v>0.59950595681897523</v>
      </c>
      <c r="E15" s="30">
        <v>0.450158099668103</v>
      </c>
      <c r="F15" s="37">
        <f t="shared" ca="1" si="1"/>
        <v>2350.6999999999998</v>
      </c>
      <c r="G15" s="37">
        <f t="shared" si="2"/>
        <v>78.057899084298199</v>
      </c>
      <c r="H15" s="26">
        <f t="shared" si="3"/>
        <v>3</v>
      </c>
      <c r="I15" s="26">
        <f t="shared" si="4"/>
        <v>0</v>
      </c>
      <c r="J15" s="26">
        <f t="shared" si="0"/>
        <v>0</v>
      </c>
      <c r="K15" s="27" t="str">
        <f t="shared" si="6"/>
        <v/>
      </c>
      <c r="L15" s="27" t="e">
        <f t="shared" si="7"/>
        <v>#VALUE!</v>
      </c>
      <c r="M15" s="30" t="str">
        <f t="shared" si="8"/>
        <v/>
      </c>
      <c r="N15" s="30" t="str">
        <f>IF($J15=1,E15,"")</f>
        <v/>
      </c>
      <c r="O15" s="39" t="str">
        <f>IF($J15=1,F15,"")</f>
        <v/>
      </c>
      <c r="P15" s="39" t="str">
        <f t="shared" si="9"/>
        <v/>
      </c>
      <c r="W15" s="27">
        <v>39381</v>
      </c>
      <c r="X15" s="26">
        <v>2433.1999999999998</v>
      </c>
      <c r="AA15" s="27">
        <v>40626</v>
      </c>
      <c r="AB15">
        <v>0.78057899084298199</v>
      </c>
      <c r="AC15" s="26">
        <f t="shared" si="5"/>
        <v>78.057899084298199</v>
      </c>
    </row>
    <row r="16" spans="3:29">
      <c r="C16" s="27">
        <v>40633</v>
      </c>
      <c r="D16" s="30">
        <v>0.593225708201635</v>
      </c>
      <c r="E16" s="30">
        <v>0.42282958858632702</v>
      </c>
      <c r="F16" s="37">
        <f t="shared" ca="1" si="1"/>
        <v>2194.4</v>
      </c>
      <c r="G16" s="37">
        <f t="shared" si="2"/>
        <v>73.249069860176391</v>
      </c>
      <c r="H16" s="26">
        <f t="shared" si="3"/>
        <v>3</v>
      </c>
      <c r="I16" s="26">
        <f t="shared" si="4"/>
        <v>0</v>
      </c>
      <c r="J16" s="26">
        <f t="shared" si="0"/>
        <v>1</v>
      </c>
      <c r="K16" s="27">
        <f t="shared" si="6"/>
        <v>40633</v>
      </c>
      <c r="L16" s="27">
        <f t="shared" si="7"/>
        <v>40633</v>
      </c>
      <c r="M16" s="30">
        <f t="shared" si="8"/>
        <v>0.593225708201635</v>
      </c>
      <c r="N16" s="30">
        <f>IF($J16=1,E16,"")</f>
        <v>0.42282958858632702</v>
      </c>
      <c r="O16" s="39">
        <f ca="1">IF($J16=1,F16,"")</f>
        <v>2194.4</v>
      </c>
      <c r="P16" s="39">
        <f t="shared" si="9"/>
        <v>73.249069860176391</v>
      </c>
      <c r="W16" s="27">
        <v>39388</v>
      </c>
      <c r="X16" s="26">
        <v>2336.1999999999998</v>
      </c>
      <c r="AA16" s="27">
        <v>40633</v>
      </c>
      <c r="AB16">
        <v>0.73249069860176397</v>
      </c>
      <c r="AC16" s="26">
        <f t="shared" si="5"/>
        <v>73.249069860176391</v>
      </c>
    </row>
    <row r="17" spans="3:29">
      <c r="C17" s="27">
        <v>40640</v>
      </c>
      <c r="D17" s="30">
        <v>0.58542144661011908</v>
      </c>
      <c r="E17" s="30">
        <v>0.414778538159287</v>
      </c>
      <c r="F17" s="37">
        <f t="shared" ca="1" si="1"/>
        <v>2010.6</v>
      </c>
      <c r="G17" s="37">
        <f t="shared" si="2"/>
        <v>71.425855975868899</v>
      </c>
      <c r="H17" s="26">
        <f t="shared" si="3"/>
        <v>4</v>
      </c>
      <c r="I17" s="26">
        <f t="shared" si="4"/>
        <v>1</v>
      </c>
      <c r="J17" s="26">
        <f t="shared" si="0"/>
        <v>0</v>
      </c>
      <c r="K17" s="27" t="str">
        <f t="shared" si="6"/>
        <v/>
      </c>
      <c r="L17" s="27" t="e">
        <f t="shared" si="7"/>
        <v>#VALUE!</v>
      </c>
      <c r="M17" s="30" t="str">
        <f t="shared" si="8"/>
        <v/>
      </c>
      <c r="N17" s="30" t="str">
        <f>IF($J17=1,E17,"")</f>
        <v/>
      </c>
      <c r="O17" s="39" t="str">
        <f>IF($J17=1,F17,"")</f>
        <v/>
      </c>
      <c r="P17" s="39" t="str">
        <f t="shared" si="9"/>
        <v/>
      </c>
      <c r="W17" s="27">
        <v>39395</v>
      </c>
      <c r="X17" s="26">
        <v>2503.6</v>
      </c>
      <c r="AA17" s="27">
        <v>40640</v>
      </c>
      <c r="AB17">
        <v>0.71425855975868902</v>
      </c>
      <c r="AC17" s="26">
        <f t="shared" si="5"/>
        <v>71.425855975868899</v>
      </c>
    </row>
    <row r="18" spans="3:29">
      <c r="C18" s="27">
        <v>40647</v>
      </c>
      <c r="D18" s="30">
        <v>0.58155199492979581</v>
      </c>
      <c r="E18" s="30">
        <v>0.41340612440810998</v>
      </c>
      <c r="F18" s="37">
        <f t="shared" ca="1" si="1"/>
        <v>2065.3000000000002</v>
      </c>
      <c r="G18" s="37">
        <f t="shared" si="2"/>
        <v>69.979164521998911</v>
      </c>
      <c r="H18" s="26">
        <f t="shared" si="3"/>
        <v>4</v>
      </c>
      <c r="I18" s="26">
        <f t="shared" si="4"/>
        <v>0</v>
      </c>
      <c r="J18" s="26">
        <f t="shared" si="0"/>
        <v>0</v>
      </c>
      <c r="K18" s="27" t="str">
        <f t="shared" si="6"/>
        <v/>
      </c>
      <c r="L18" s="27" t="e">
        <f t="shared" si="7"/>
        <v>#VALUE!</v>
      </c>
      <c r="M18" s="30" t="str">
        <f t="shared" si="8"/>
        <v/>
      </c>
      <c r="N18" s="30" t="str">
        <f>IF($J18=1,E18,"")</f>
        <v/>
      </c>
      <c r="O18" s="39" t="str">
        <f>IF($J18=1,F18,"")</f>
        <v/>
      </c>
      <c r="P18" s="39" t="str">
        <f t="shared" si="9"/>
        <v/>
      </c>
      <c r="W18" s="27">
        <v>39402</v>
      </c>
      <c r="X18" s="26">
        <v>2371.1</v>
      </c>
      <c r="AA18" s="27">
        <v>40647</v>
      </c>
      <c r="AB18">
        <v>0.69979164521998904</v>
      </c>
      <c r="AC18" s="26">
        <f t="shared" si="5"/>
        <v>69.979164521998911</v>
      </c>
    </row>
    <row r="19" spans="3:29">
      <c r="C19" s="27">
        <v>40654</v>
      </c>
      <c r="D19" s="30">
        <v>0.59356262313394537</v>
      </c>
      <c r="E19" s="30">
        <v>0.44381782258269298</v>
      </c>
      <c r="F19" s="37">
        <f t="shared" ca="1" si="1"/>
        <v>2091.4</v>
      </c>
      <c r="G19" s="37">
        <f t="shared" si="2"/>
        <v>78.177083109467702</v>
      </c>
      <c r="H19" s="26">
        <f t="shared" si="3"/>
        <v>4</v>
      </c>
      <c r="I19" s="26">
        <f t="shared" si="4"/>
        <v>0</v>
      </c>
      <c r="J19" s="26">
        <f t="shared" si="0"/>
        <v>0</v>
      </c>
      <c r="K19" s="27" t="str">
        <f t="shared" si="6"/>
        <v/>
      </c>
      <c r="L19" s="27" t="e">
        <f t="shared" si="7"/>
        <v>#VALUE!</v>
      </c>
      <c r="M19" s="30" t="str">
        <f t="shared" si="8"/>
        <v/>
      </c>
      <c r="N19" s="30" t="str">
        <f>IF($J19=1,E19,"")</f>
        <v/>
      </c>
      <c r="O19" s="39" t="str">
        <f>IF($J19=1,F19,"")</f>
        <v/>
      </c>
      <c r="P19" s="39" t="str">
        <f t="shared" si="9"/>
        <v/>
      </c>
      <c r="W19" s="27">
        <v>39409</v>
      </c>
      <c r="X19" s="26">
        <v>2283.3000000000002</v>
      </c>
      <c r="AA19" s="27">
        <v>40654</v>
      </c>
      <c r="AB19">
        <v>0.78177083109467704</v>
      </c>
      <c r="AC19" s="26">
        <f t="shared" si="5"/>
        <v>78.177083109467702</v>
      </c>
    </row>
    <row r="20" spans="3:29">
      <c r="C20" s="27">
        <v>40661</v>
      </c>
      <c r="D20" s="30">
        <v>0.59445921362542997</v>
      </c>
      <c r="E20" s="30">
        <v>0.44565511936132601</v>
      </c>
      <c r="F20" s="37">
        <f t="shared" ca="1" si="1"/>
        <v>2220.1</v>
      </c>
      <c r="G20" s="37">
        <f t="shared" si="2"/>
        <v>80.106005022859804</v>
      </c>
      <c r="H20" s="26">
        <f t="shared" si="3"/>
        <v>4</v>
      </c>
      <c r="I20" s="26">
        <f t="shared" si="4"/>
        <v>0</v>
      </c>
      <c r="J20" s="26">
        <f t="shared" si="0"/>
        <v>1</v>
      </c>
      <c r="K20" s="27">
        <f t="shared" si="6"/>
        <v>40663</v>
      </c>
      <c r="L20" s="27">
        <f t="shared" si="7"/>
        <v>40662</v>
      </c>
      <c r="M20" s="30">
        <f t="shared" si="8"/>
        <v>0.59445921362542997</v>
      </c>
      <c r="N20" s="30">
        <f>IF($J20=1,E20,"")</f>
        <v>0.44565511936132601</v>
      </c>
      <c r="O20" s="39">
        <f ca="1">IF($J20=1,F20,"")</f>
        <v>2220.1</v>
      </c>
      <c r="P20" s="39">
        <f t="shared" si="9"/>
        <v>80.106005022859804</v>
      </c>
      <c r="W20" s="27">
        <v>39416</v>
      </c>
      <c r="X20" s="26">
        <v>3006.1</v>
      </c>
      <c r="AA20" s="27">
        <v>40661</v>
      </c>
      <c r="AB20">
        <v>0.80106005022859805</v>
      </c>
      <c r="AC20" s="26">
        <f t="shared" si="5"/>
        <v>80.106005022859804</v>
      </c>
    </row>
    <row r="21" spans="3:29">
      <c r="C21" s="27">
        <v>40668</v>
      </c>
      <c r="D21" s="30">
        <v>0.59391131067456038</v>
      </c>
      <c r="E21" s="30">
        <v>0.45891120103405703</v>
      </c>
      <c r="F21" s="37">
        <f t="shared" ca="1" si="1"/>
        <v>2414.9</v>
      </c>
      <c r="G21" s="37">
        <f t="shared" si="2"/>
        <v>86.276535765142199</v>
      </c>
      <c r="H21" s="26">
        <f t="shared" si="3"/>
        <v>5</v>
      </c>
      <c r="I21" s="26">
        <f t="shared" si="4"/>
        <v>1</v>
      </c>
      <c r="J21" s="26">
        <f t="shared" si="0"/>
        <v>0</v>
      </c>
      <c r="K21" s="27" t="str">
        <f t="shared" si="6"/>
        <v/>
      </c>
      <c r="L21" s="27" t="e">
        <f t="shared" si="7"/>
        <v>#VALUE!</v>
      </c>
      <c r="M21" s="30" t="str">
        <f t="shared" si="8"/>
        <v/>
      </c>
      <c r="N21" s="30" t="str">
        <f>IF($J21=1,E21,"")</f>
        <v/>
      </c>
      <c r="O21" s="39" t="str">
        <f>IF($J21=1,F21,"")</f>
        <v/>
      </c>
      <c r="P21" s="39" t="str">
        <f t="shared" si="9"/>
        <v/>
      </c>
      <c r="W21" s="27">
        <v>39423</v>
      </c>
      <c r="X21" s="26">
        <v>3158.8</v>
      </c>
      <c r="AA21" s="27">
        <v>40668</v>
      </c>
      <c r="AB21">
        <v>0.86276535765142204</v>
      </c>
      <c r="AC21" s="26">
        <f t="shared" si="5"/>
        <v>86.276535765142199</v>
      </c>
    </row>
    <row r="22" spans="3:29">
      <c r="C22" s="27">
        <v>40675</v>
      </c>
      <c r="D22" s="30">
        <v>0.60662155942020002</v>
      </c>
      <c r="E22" s="30">
        <v>0.50042582297659</v>
      </c>
      <c r="F22" s="37">
        <f t="shared" ca="1" si="1"/>
        <v>2742.2</v>
      </c>
      <c r="G22" s="37">
        <f t="shared" si="2"/>
        <v>94.006931190456697</v>
      </c>
      <c r="H22" s="26">
        <f t="shared" si="3"/>
        <v>5</v>
      </c>
      <c r="I22" s="26">
        <f t="shared" si="4"/>
        <v>0</v>
      </c>
      <c r="J22" s="26">
        <f t="shared" si="0"/>
        <v>0</v>
      </c>
      <c r="K22" s="27" t="str">
        <f t="shared" si="6"/>
        <v/>
      </c>
      <c r="L22" s="27" t="e">
        <f t="shared" si="7"/>
        <v>#VALUE!</v>
      </c>
      <c r="M22" s="30" t="str">
        <f t="shared" si="8"/>
        <v/>
      </c>
      <c r="N22" s="30" t="str">
        <f>IF($J22=1,E22,"")</f>
        <v/>
      </c>
      <c r="O22" s="39" t="str">
        <f>IF($J22=1,F22,"")</f>
        <v/>
      </c>
      <c r="P22" s="39" t="str">
        <f t="shared" si="9"/>
        <v/>
      </c>
      <c r="W22" s="27">
        <v>39430</v>
      </c>
      <c r="X22" s="26">
        <v>2253.1</v>
      </c>
      <c r="AA22" s="27">
        <v>40675</v>
      </c>
      <c r="AB22">
        <v>0.940069311904567</v>
      </c>
      <c r="AC22" s="26">
        <f t="shared" si="5"/>
        <v>94.006931190456697</v>
      </c>
    </row>
    <row r="23" spans="3:29">
      <c r="C23" s="27">
        <v>40682</v>
      </c>
      <c r="D23" s="30">
        <v>0.61264076908113763</v>
      </c>
      <c r="E23" s="30">
        <v>0.50447592982476996</v>
      </c>
      <c r="F23" s="37">
        <f t="shared" ca="1" si="1"/>
        <v>2764.6</v>
      </c>
      <c r="G23" s="37">
        <f t="shared" si="2"/>
        <v>95.939530123806207</v>
      </c>
      <c r="H23" s="26">
        <f t="shared" si="3"/>
        <v>5</v>
      </c>
      <c r="I23" s="26">
        <f t="shared" si="4"/>
        <v>0</v>
      </c>
      <c r="J23" s="26">
        <f t="shared" si="0"/>
        <v>0</v>
      </c>
      <c r="K23" s="27" t="str">
        <f t="shared" si="6"/>
        <v/>
      </c>
      <c r="L23" s="27" t="e">
        <f t="shared" si="7"/>
        <v>#VALUE!</v>
      </c>
      <c r="M23" s="30" t="str">
        <f t="shared" si="8"/>
        <v/>
      </c>
      <c r="N23" s="30" t="str">
        <f>IF($J23=1,E23,"")</f>
        <v/>
      </c>
      <c r="O23" s="39" t="str">
        <f>IF($J23=1,F23,"")</f>
        <v/>
      </c>
      <c r="P23" s="39" t="str">
        <f t="shared" si="9"/>
        <v/>
      </c>
      <c r="W23" s="27">
        <v>39437</v>
      </c>
      <c r="X23" s="26">
        <v>2066.3000000000002</v>
      </c>
      <c r="AA23" s="27">
        <v>40682</v>
      </c>
      <c r="AB23">
        <v>0.95939530123806205</v>
      </c>
      <c r="AC23" s="26">
        <f t="shared" si="5"/>
        <v>95.939530123806207</v>
      </c>
    </row>
    <row r="24" spans="3:29">
      <c r="C24" s="27">
        <v>40689</v>
      </c>
      <c r="D24" s="30">
        <v>0.61599363608099678</v>
      </c>
      <c r="E24" s="30">
        <v>0.50568534347274297</v>
      </c>
      <c r="F24" s="37">
        <f t="shared" ca="1" si="1"/>
        <v>2619.6999999999998</v>
      </c>
      <c r="G24" s="37">
        <f t="shared" si="2"/>
        <v>96.90582954189199</v>
      </c>
      <c r="H24" s="26">
        <f t="shared" si="3"/>
        <v>5</v>
      </c>
      <c r="I24" s="26">
        <f t="shared" si="4"/>
        <v>0</v>
      </c>
      <c r="J24" s="26">
        <f t="shared" si="0"/>
        <v>1</v>
      </c>
      <c r="K24" s="27">
        <f t="shared" si="6"/>
        <v>40694</v>
      </c>
      <c r="L24" s="27">
        <f t="shared" si="7"/>
        <v>40694</v>
      </c>
      <c r="M24" s="30">
        <f t="shared" si="8"/>
        <v>0.61599363608099678</v>
      </c>
      <c r="N24" s="30">
        <f>IF($J24=1,E24,"")</f>
        <v>0.50568534347274297</v>
      </c>
      <c r="O24" s="39">
        <f ca="1">IF($J24=1,F24,"")</f>
        <v>2619.6999999999998</v>
      </c>
      <c r="P24" s="39">
        <f t="shared" si="9"/>
        <v>96.90582954189199</v>
      </c>
      <c r="W24" s="27">
        <v>39444</v>
      </c>
      <c r="X24" s="26">
        <v>1732.7</v>
      </c>
      <c r="AA24" s="27">
        <v>40689</v>
      </c>
      <c r="AB24">
        <v>0.96905829541891997</v>
      </c>
      <c r="AC24" s="26">
        <f t="shared" si="5"/>
        <v>96.90582954189199</v>
      </c>
    </row>
    <row r="25" spans="3:29">
      <c r="C25" s="27">
        <v>40696</v>
      </c>
      <c r="D25" s="30">
        <v>0.66311590107349083</v>
      </c>
      <c r="E25" s="30">
        <v>0.53450860338875705</v>
      </c>
      <c r="F25" s="37">
        <f t="shared" ca="1" si="1"/>
        <v>2648</v>
      </c>
      <c r="G25" s="37">
        <f t="shared" si="2"/>
        <v>103.61233558876899</v>
      </c>
      <c r="H25" s="26">
        <f t="shared" si="3"/>
        <v>6</v>
      </c>
      <c r="I25" s="26">
        <f t="shared" si="4"/>
        <v>1</v>
      </c>
      <c r="J25" s="26">
        <f t="shared" si="0"/>
        <v>0</v>
      </c>
      <c r="K25" s="27" t="str">
        <f t="shared" si="6"/>
        <v/>
      </c>
      <c r="L25" s="27" t="e">
        <f t="shared" si="7"/>
        <v>#VALUE!</v>
      </c>
      <c r="M25" s="30" t="str">
        <f t="shared" si="8"/>
        <v/>
      </c>
      <c r="N25" s="30" t="str">
        <f>IF($J25=1,E25,"")</f>
        <v/>
      </c>
      <c r="O25" s="39" t="str">
        <f>IF($J25=1,F25,"")</f>
        <v/>
      </c>
      <c r="P25" s="39" t="str">
        <f t="shared" si="9"/>
        <v/>
      </c>
      <c r="W25" s="27">
        <v>39451</v>
      </c>
      <c r="X25" s="26">
        <v>2729.3</v>
      </c>
      <c r="AA25" s="27">
        <v>40696</v>
      </c>
      <c r="AB25">
        <v>1.0361233558876899</v>
      </c>
      <c r="AC25" s="26">
        <f t="shared" si="5"/>
        <v>103.61233558876899</v>
      </c>
    </row>
    <row r="26" spans="3:29">
      <c r="C26" s="27">
        <v>40703</v>
      </c>
      <c r="D26" s="30">
        <v>0.74517189360077984</v>
      </c>
      <c r="E26" s="30">
        <v>0.55556126357331004</v>
      </c>
      <c r="F26" s="37">
        <f t="shared" ca="1" si="1"/>
        <v>3101.7</v>
      </c>
      <c r="G26" s="37">
        <f t="shared" si="2"/>
        <v>106.99989758582301</v>
      </c>
      <c r="H26" s="26">
        <f t="shared" si="3"/>
        <v>6</v>
      </c>
      <c r="I26" s="26">
        <f t="shared" si="4"/>
        <v>0</v>
      </c>
      <c r="J26" s="26">
        <f t="shared" si="0"/>
        <v>0</v>
      </c>
      <c r="K26" s="27" t="str">
        <f t="shared" si="6"/>
        <v/>
      </c>
      <c r="L26" s="27" t="e">
        <f t="shared" si="7"/>
        <v>#VALUE!</v>
      </c>
      <c r="M26" s="30" t="str">
        <f t="shared" si="8"/>
        <v/>
      </c>
      <c r="N26" s="30" t="str">
        <f>IF($J26=1,E26,"")</f>
        <v/>
      </c>
      <c r="O26" s="39" t="str">
        <f>IF($J26=1,F26,"")</f>
        <v/>
      </c>
      <c r="P26" s="39" t="str">
        <f t="shared" si="9"/>
        <v/>
      </c>
      <c r="W26" s="27">
        <v>39458</v>
      </c>
      <c r="X26" s="26">
        <v>3923.5</v>
      </c>
      <c r="AA26" s="27">
        <v>40703</v>
      </c>
      <c r="AB26">
        <v>1.06999897585823</v>
      </c>
      <c r="AC26" s="26">
        <f t="shared" si="5"/>
        <v>106.99989758582301</v>
      </c>
    </row>
    <row r="27" spans="3:29">
      <c r="C27" s="27">
        <v>40710</v>
      </c>
      <c r="D27" s="30">
        <v>0.72397022872334449</v>
      </c>
      <c r="E27" s="30">
        <v>0.55544034698333999</v>
      </c>
      <c r="F27" s="37">
        <f t="shared" ca="1" si="1"/>
        <v>2857.9</v>
      </c>
      <c r="G27" s="37">
        <f t="shared" si="2"/>
        <v>106.032022730647</v>
      </c>
      <c r="H27" s="26">
        <f t="shared" si="3"/>
        <v>6</v>
      </c>
      <c r="I27" s="26">
        <f t="shared" si="4"/>
        <v>0</v>
      </c>
      <c r="J27" s="26">
        <f t="shared" si="0"/>
        <v>0</v>
      </c>
      <c r="K27" s="27" t="str">
        <f t="shared" si="6"/>
        <v/>
      </c>
      <c r="L27" s="27" t="e">
        <f t="shared" si="7"/>
        <v>#VALUE!</v>
      </c>
      <c r="M27" s="30" t="str">
        <f t="shared" si="8"/>
        <v/>
      </c>
      <c r="N27" s="30" t="str">
        <f>IF($J27=1,E27,"")</f>
        <v/>
      </c>
      <c r="O27" s="39" t="str">
        <f>IF($J27=1,F27,"")</f>
        <v/>
      </c>
      <c r="P27" s="39" t="str">
        <f t="shared" si="9"/>
        <v/>
      </c>
      <c r="W27" s="27">
        <v>39465</v>
      </c>
      <c r="X27" s="26">
        <v>4588.3999999999996</v>
      </c>
      <c r="AA27" s="27">
        <v>40710</v>
      </c>
      <c r="AB27">
        <v>1.06032022730647</v>
      </c>
      <c r="AC27" s="26">
        <f t="shared" si="5"/>
        <v>106.032022730647</v>
      </c>
    </row>
    <row r="28" spans="3:29">
      <c r="C28" s="27">
        <v>40717</v>
      </c>
      <c r="D28" s="30">
        <v>0.66311590107349083</v>
      </c>
      <c r="E28" s="30">
        <v>0.53450860338875705</v>
      </c>
      <c r="F28" s="37">
        <f t="shared" ca="1" si="1"/>
        <v>2809.5</v>
      </c>
      <c r="G28" s="37">
        <f t="shared" si="2"/>
        <v>103.61233558876899</v>
      </c>
      <c r="H28" s="26">
        <f t="shared" si="3"/>
        <v>6</v>
      </c>
      <c r="I28" s="26">
        <f t="shared" si="4"/>
        <v>0</v>
      </c>
      <c r="J28" s="26">
        <f t="shared" si="0"/>
        <v>0</v>
      </c>
      <c r="K28" s="27" t="str">
        <f t="shared" si="6"/>
        <v/>
      </c>
      <c r="L28" s="27" t="e">
        <f t="shared" si="7"/>
        <v>#VALUE!</v>
      </c>
      <c r="M28" s="30" t="str">
        <f t="shared" si="8"/>
        <v/>
      </c>
      <c r="N28" s="30" t="str">
        <f>IF($J28=1,E28,"")</f>
        <v/>
      </c>
      <c r="O28" s="39" t="str">
        <f>IF($J28=1,F28,"")</f>
        <v/>
      </c>
      <c r="P28" s="39" t="str">
        <f t="shared" si="9"/>
        <v/>
      </c>
      <c r="W28" s="27">
        <v>39472</v>
      </c>
      <c r="X28" s="26">
        <v>5682.2</v>
      </c>
      <c r="AA28" s="27">
        <v>40717</v>
      </c>
      <c r="AB28">
        <v>1.0361233558876899</v>
      </c>
      <c r="AC28" s="26">
        <f t="shared" si="5"/>
        <v>103.61233558876899</v>
      </c>
    </row>
    <row r="29" spans="3:29">
      <c r="C29" s="27">
        <v>40724</v>
      </c>
      <c r="D29" s="30">
        <v>0.69050447134038251</v>
      </c>
      <c r="E29" s="30">
        <v>0.55445082777023702</v>
      </c>
      <c r="F29" s="37">
        <f t="shared" ca="1" si="1"/>
        <v>2527.5</v>
      </c>
      <c r="G29" s="37">
        <f t="shared" si="2"/>
        <v>105.06414787551299</v>
      </c>
      <c r="H29" s="26">
        <f t="shared" si="3"/>
        <v>6</v>
      </c>
      <c r="I29" s="26">
        <f t="shared" si="4"/>
        <v>0</v>
      </c>
      <c r="J29" s="26">
        <f t="shared" si="0"/>
        <v>1</v>
      </c>
      <c r="K29" s="27">
        <f t="shared" si="6"/>
        <v>40724</v>
      </c>
      <c r="L29" s="27">
        <f t="shared" si="7"/>
        <v>40724</v>
      </c>
      <c r="M29" s="30">
        <f t="shared" si="8"/>
        <v>0.69050447134038251</v>
      </c>
      <c r="N29" s="30">
        <f>IF($J29=1,E29,"")</f>
        <v>0.55445082777023702</v>
      </c>
      <c r="O29" s="39">
        <f ca="1">IF($J29=1,F29,"")</f>
        <v>2527.5</v>
      </c>
      <c r="P29" s="39">
        <f t="shared" si="9"/>
        <v>105.06414787551299</v>
      </c>
      <c r="W29" s="27">
        <v>39479</v>
      </c>
      <c r="X29" s="26">
        <v>5523.9</v>
      </c>
      <c r="AA29" s="27">
        <v>40724</v>
      </c>
      <c r="AB29">
        <v>1.0506414787551299</v>
      </c>
      <c r="AC29" s="26">
        <f t="shared" si="5"/>
        <v>105.06414787551299</v>
      </c>
    </row>
    <row r="30" spans="3:29">
      <c r="C30" s="27">
        <v>40731</v>
      </c>
      <c r="D30" s="30">
        <v>0.60410549631050647</v>
      </c>
      <c r="E30" s="30">
        <v>0.49771283747510803</v>
      </c>
      <c r="F30" s="37">
        <f t="shared" ca="1" si="1"/>
        <v>2362.6999999999998</v>
      </c>
      <c r="G30" s="37">
        <f t="shared" si="2"/>
        <v>95.422075759795206</v>
      </c>
      <c r="H30" s="26">
        <f t="shared" si="3"/>
        <v>7</v>
      </c>
      <c r="I30" s="26">
        <f t="shared" si="4"/>
        <v>1</v>
      </c>
      <c r="J30" s="26">
        <f t="shared" si="0"/>
        <v>0</v>
      </c>
      <c r="K30" s="27" t="str">
        <f t="shared" si="6"/>
        <v/>
      </c>
      <c r="L30" s="27" t="e">
        <f t="shared" si="7"/>
        <v>#VALUE!</v>
      </c>
      <c r="M30" s="30" t="str">
        <f t="shared" si="8"/>
        <v/>
      </c>
      <c r="N30" s="30" t="str">
        <f>IF($J30=1,E30,"")</f>
        <v/>
      </c>
      <c r="O30" s="39" t="str">
        <f>IF($J30=1,F30,"")</f>
        <v/>
      </c>
      <c r="P30" s="39" t="str">
        <f t="shared" si="9"/>
        <v/>
      </c>
      <c r="W30" s="27">
        <v>39486</v>
      </c>
      <c r="X30" s="26">
        <v>5362.6</v>
      </c>
      <c r="AA30" s="27">
        <v>40731</v>
      </c>
      <c r="AB30">
        <v>0.954220757597952</v>
      </c>
      <c r="AC30" s="26">
        <f t="shared" si="5"/>
        <v>95.422075759795206</v>
      </c>
    </row>
    <row r="31" spans="3:29">
      <c r="C31" s="27">
        <v>40738</v>
      </c>
      <c r="D31" s="30">
        <v>0.684475421712615</v>
      </c>
      <c r="E31" s="30">
        <v>0.55014388201104203</v>
      </c>
      <c r="F31" s="37">
        <f t="shared" ca="1" si="1"/>
        <v>2923.8</v>
      </c>
      <c r="G31" s="37">
        <f t="shared" si="2"/>
        <v>104.143296652432</v>
      </c>
      <c r="H31" s="26">
        <f t="shared" si="3"/>
        <v>7</v>
      </c>
      <c r="I31" s="26">
        <f t="shared" si="4"/>
        <v>0</v>
      </c>
      <c r="J31" s="26">
        <f t="shared" si="0"/>
        <v>0</v>
      </c>
      <c r="K31" s="27" t="str">
        <f t="shared" si="6"/>
        <v/>
      </c>
      <c r="L31" s="27" t="e">
        <f t="shared" si="7"/>
        <v>#VALUE!</v>
      </c>
      <c r="M31" s="30" t="str">
        <f t="shared" si="8"/>
        <v/>
      </c>
      <c r="N31" s="30" t="str">
        <f>IF($J31=1,E31,"")</f>
        <v/>
      </c>
      <c r="O31" s="39" t="str">
        <f>IF($J31=1,F31,"")</f>
        <v/>
      </c>
      <c r="P31" s="39" t="str">
        <f t="shared" si="9"/>
        <v/>
      </c>
      <c r="W31" s="27">
        <v>39493</v>
      </c>
      <c r="X31" s="26">
        <v>3784.1</v>
      </c>
      <c r="AA31" s="27">
        <v>40738</v>
      </c>
      <c r="AB31">
        <v>1.04143296652432</v>
      </c>
      <c r="AC31" s="26">
        <f t="shared" si="5"/>
        <v>104.143296652432</v>
      </c>
    </row>
    <row r="32" spans="3:29">
      <c r="C32" s="27">
        <v>40745</v>
      </c>
      <c r="D32" s="30">
        <v>0.66675683999516944</v>
      </c>
      <c r="E32" s="30">
        <v>0.53018048409344898</v>
      </c>
      <c r="F32" s="37">
        <f t="shared" ca="1" si="1"/>
        <v>2769.6</v>
      </c>
      <c r="G32" s="37">
        <f t="shared" si="2"/>
        <v>103.17427212747099</v>
      </c>
      <c r="H32" s="26">
        <f t="shared" si="3"/>
        <v>7</v>
      </c>
      <c r="I32" s="26">
        <f t="shared" si="4"/>
        <v>0</v>
      </c>
      <c r="J32" s="26">
        <f t="shared" si="0"/>
        <v>0</v>
      </c>
      <c r="K32" s="27" t="str">
        <f t="shared" si="6"/>
        <v/>
      </c>
      <c r="L32" s="27" t="e">
        <f t="shared" si="7"/>
        <v>#VALUE!</v>
      </c>
      <c r="M32" s="30" t="str">
        <f t="shared" si="8"/>
        <v/>
      </c>
      <c r="N32" s="30" t="str">
        <f>IF($J32=1,E32,"")</f>
        <v/>
      </c>
      <c r="O32" s="39" t="str">
        <f>IF($J32=1,F32,"")</f>
        <v/>
      </c>
      <c r="P32" s="39" t="str">
        <f t="shared" si="9"/>
        <v/>
      </c>
      <c r="W32" s="27">
        <v>39500</v>
      </c>
      <c r="X32" s="26">
        <v>2571.6</v>
      </c>
      <c r="AA32" s="27">
        <v>40745</v>
      </c>
      <c r="AB32">
        <v>1.0317427212747099</v>
      </c>
      <c r="AC32" s="26">
        <f t="shared" si="5"/>
        <v>103.17427212747099</v>
      </c>
    </row>
    <row r="33" spans="3:29">
      <c r="C33" s="27">
        <v>40752</v>
      </c>
      <c r="D33" s="30">
        <v>0.61660059317974736</v>
      </c>
      <c r="E33" s="30">
        <v>0.52333294764067595</v>
      </c>
      <c r="F33" s="37">
        <f t="shared" ca="1" si="1"/>
        <v>2974.1</v>
      </c>
      <c r="G33" s="37">
        <f t="shared" si="2"/>
        <v>97.844637187538197</v>
      </c>
      <c r="H33" s="26">
        <f t="shared" si="3"/>
        <v>7</v>
      </c>
      <c r="I33" s="26">
        <f t="shared" si="4"/>
        <v>0</v>
      </c>
      <c r="J33" s="26">
        <f t="shared" si="0"/>
        <v>1</v>
      </c>
      <c r="K33" s="27">
        <f t="shared" si="6"/>
        <v>40755</v>
      </c>
      <c r="L33" s="27">
        <f t="shared" si="7"/>
        <v>40753</v>
      </c>
      <c r="M33" s="30">
        <f t="shared" si="8"/>
        <v>0.61660059317974736</v>
      </c>
      <c r="N33" s="30">
        <f>IF($J33=1,E33,"")</f>
        <v>0.52333294764067595</v>
      </c>
      <c r="O33" s="39">
        <f ca="1">IF($J33=1,F33,"")</f>
        <v>2974.1</v>
      </c>
      <c r="P33" s="39">
        <f t="shared" si="9"/>
        <v>97.844637187538197</v>
      </c>
      <c r="W33" s="27">
        <v>39507</v>
      </c>
      <c r="X33" s="26">
        <v>2667.8</v>
      </c>
      <c r="AA33" s="27">
        <v>40752</v>
      </c>
      <c r="AB33">
        <v>0.97844637187538197</v>
      </c>
      <c r="AC33" s="26">
        <f t="shared" si="5"/>
        <v>97.844637187538197</v>
      </c>
    </row>
    <row r="34" spans="3:29">
      <c r="C34" s="27">
        <v>40759</v>
      </c>
      <c r="D34" s="30">
        <v>0.81803711941746404</v>
      </c>
      <c r="E34" s="30">
        <v>0.59636201439054404</v>
      </c>
      <c r="F34" s="37">
        <f t="shared" ca="1" si="1"/>
        <v>3880.9</v>
      </c>
      <c r="G34" s="37">
        <f t="shared" si="2"/>
        <v>112.12883380120699</v>
      </c>
      <c r="H34" s="26">
        <f t="shared" si="3"/>
        <v>8</v>
      </c>
      <c r="I34" s="26">
        <f t="shared" si="4"/>
        <v>1</v>
      </c>
      <c r="J34" s="26">
        <f t="shared" si="0"/>
        <v>0</v>
      </c>
      <c r="K34" s="27" t="str">
        <f t="shared" si="6"/>
        <v/>
      </c>
      <c r="L34" s="27" t="e">
        <f t="shared" si="7"/>
        <v>#VALUE!</v>
      </c>
      <c r="M34" s="30" t="str">
        <f t="shared" si="8"/>
        <v/>
      </c>
      <c r="N34" s="30" t="str">
        <f>IF($J34=1,E34,"")</f>
        <v/>
      </c>
      <c r="O34" s="39" t="str">
        <f>IF($J34=1,F34,"")</f>
        <v/>
      </c>
      <c r="P34" s="39" t="str">
        <f t="shared" si="9"/>
        <v/>
      </c>
      <c r="W34" s="27">
        <v>39514</v>
      </c>
      <c r="X34" s="26">
        <v>2519.4</v>
      </c>
      <c r="AA34" s="27">
        <v>40759</v>
      </c>
      <c r="AB34">
        <v>1.12128833801207</v>
      </c>
      <c r="AC34" s="26">
        <f t="shared" si="5"/>
        <v>112.12883380120699</v>
      </c>
    </row>
    <row r="35" spans="3:29">
      <c r="C35" s="27">
        <v>40766</v>
      </c>
      <c r="D35" s="30">
        <v>0.83404184296119399</v>
      </c>
      <c r="E35" s="30">
        <v>0.68796050816059295</v>
      </c>
      <c r="F35" s="37">
        <f t="shared" ca="1" si="1"/>
        <v>4184.3999999999996</v>
      </c>
      <c r="G35" s="37">
        <f t="shared" si="2"/>
        <v>121.34645437255701</v>
      </c>
      <c r="H35" s="26">
        <f t="shared" si="3"/>
        <v>8</v>
      </c>
      <c r="I35" s="26">
        <f t="shared" si="4"/>
        <v>0</v>
      </c>
      <c r="J35" s="26">
        <f t="shared" si="0"/>
        <v>0</v>
      </c>
      <c r="K35" s="27" t="str">
        <f t="shared" si="6"/>
        <v/>
      </c>
      <c r="L35" s="27" t="e">
        <f t="shared" si="7"/>
        <v>#VALUE!</v>
      </c>
      <c r="M35" s="30" t="str">
        <f t="shared" si="8"/>
        <v/>
      </c>
      <c r="N35" s="30" t="str">
        <f>IF($J35=1,E35,"")</f>
        <v/>
      </c>
      <c r="O35" s="39" t="str">
        <f>IF($J35=1,F35,"")</f>
        <v/>
      </c>
      <c r="P35" s="39" t="str">
        <f t="shared" si="9"/>
        <v/>
      </c>
      <c r="W35" s="27">
        <v>39521</v>
      </c>
      <c r="X35" s="26">
        <v>2338.8000000000002</v>
      </c>
      <c r="AA35" s="27">
        <v>40766</v>
      </c>
      <c r="AB35">
        <v>1.21346454372557</v>
      </c>
      <c r="AC35" s="26">
        <f t="shared" si="5"/>
        <v>121.34645437255701</v>
      </c>
    </row>
    <row r="36" spans="3:29">
      <c r="C36" s="27">
        <v>40773</v>
      </c>
      <c r="D36" s="30">
        <v>0.86117434904403212</v>
      </c>
      <c r="E36" s="30">
        <v>0.76968967049094095</v>
      </c>
      <c r="F36" s="37">
        <f t="shared" ca="1" si="1"/>
        <v>4110.8</v>
      </c>
      <c r="G36" s="37">
        <f t="shared" si="2"/>
        <v>137.84114375992201</v>
      </c>
      <c r="H36" s="26">
        <f t="shared" si="3"/>
        <v>8</v>
      </c>
      <c r="I36" s="26">
        <f t="shared" si="4"/>
        <v>0</v>
      </c>
      <c r="J36" s="26">
        <f t="shared" si="0"/>
        <v>0</v>
      </c>
      <c r="K36" s="27" t="str">
        <f t="shared" si="6"/>
        <v/>
      </c>
      <c r="L36" s="27" t="e">
        <f t="shared" si="7"/>
        <v>#VALUE!</v>
      </c>
      <c r="M36" s="30" t="str">
        <f t="shared" si="8"/>
        <v/>
      </c>
      <c r="N36" s="30" t="str">
        <f>IF($J36=1,E36,"")</f>
        <v/>
      </c>
      <c r="O36" s="39" t="str">
        <f>IF($J36=1,F36,"")</f>
        <v/>
      </c>
      <c r="P36" s="39" t="str">
        <f t="shared" si="9"/>
        <v/>
      </c>
      <c r="W36" s="27">
        <v>39528</v>
      </c>
      <c r="X36" s="26">
        <v>4468.3999999999996</v>
      </c>
      <c r="AA36" s="27">
        <v>40773</v>
      </c>
      <c r="AB36">
        <v>1.37841143759922</v>
      </c>
      <c r="AC36" s="26">
        <f t="shared" si="5"/>
        <v>137.84114375992201</v>
      </c>
    </row>
    <row r="37" spans="3:29">
      <c r="C37" s="27">
        <v>40780</v>
      </c>
      <c r="D37" s="30">
        <v>0.84714025108084823</v>
      </c>
      <c r="E37" s="30">
        <v>0.73013076231760698</v>
      </c>
      <c r="F37" s="37">
        <f t="shared" ca="1" si="1"/>
        <v>3601.3</v>
      </c>
      <c r="G37" s="37">
        <f t="shared" si="2"/>
        <v>131.04921283540801</v>
      </c>
      <c r="H37" s="26">
        <f t="shared" si="3"/>
        <v>8</v>
      </c>
      <c r="I37" s="26">
        <f t="shared" si="4"/>
        <v>0</v>
      </c>
      <c r="J37" s="26">
        <f t="shared" si="0"/>
        <v>1</v>
      </c>
      <c r="K37" s="27">
        <f t="shared" si="6"/>
        <v>40786</v>
      </c>
      <c r="L37" s="27">
        <f t="shared" si="7"/>
        <v>40786</v>
      </c>
      <c r="M37" s="30">
        <f t="shared" si="8"/>
        <v>0.84714025108084823</v>
      </c>
      <c r="N37" s="30">
        <f>IF($J37=1,E37,"")</f>
        <v>0.73013076231760698</v>
      </c>
      <c r="O37" s="39">
        <f ca="1">IF($J37=1,F37,"")</f>
        <v>3601.3</v>
      </c>
      <c r="P37" s="39">
        <f t="shared" si="9"/>
        <v>131.04921283540801</v>
      </c>
      <c r="W37" s="27">
        <v>39535</v>
      </c>
      <c r="X37" s="26">
        <v>2653.2</v>
      </c>
      <c r="AA37" s="27">
        <v>40780</v>
      </c>
      <c r="AB37">
        <v>1.31049212835408</v>
      </c>
      <c r="AC37" s="26">
        <f t="shared" si="5"/>
        <v>131.04921283540801</v>
      </c>
    </row>
    <row r="38" spans="3:29">
      <c r="C38" s="27">
        <v>40787</v>
      </c>
      <c r="D38" s="30">
        <v>0.84129278814437181</v>
      </c>
      <c r="E38" s="30">
        <v>0.72518805605942505</v>
      </c>
      <c r="F38" s="37">
        <f t="shared" ca="1" si="1"/>
        <v>3372</v>
      </c>
      <c r="G38" s="37">
        <f t="shared" si="2"/>
        <v>129.59270090956201</v>
      </c>
      <c r="H38" s="26">
        <f t="shared" si="3"/>
        <v>9</v>
      </c>
      <c r="I38" s="26">
        <f t="shared" si="4"/>
        <v>1</v>
      </c>
      <c r="J38" s="26">
        <f t="shared" si="0"/>
        <v>0</v>
      </c>
      <c r="K38" s="27" t="str">
        <f t="shared" si="6"/>
        <v/>
      </c>
      <c r="L38" s="27" t="e">
        <f t="shared" si="7"/>
        <v>#VALUE!</v>
      </c>
      <c r="M38" s="30" t="str">
        <f t="shared" si="8"/>
        <v/>
      </c>
      <c r="N38" s="30" t="str">
        <f>IF($J38=1,E38,"")</f>
        <v/>
      </c>
      <c r="O38" s="39" t="str">
        <f>IF($J38=1,F38,"")</f>
        <v/>
      </c>
      <c r="P38" s="39" t="str">
        <f t="shared" si="9"/>
        <v/>
      </c>
      <c r="W38" s="27">
        <v>39542</v>
      </c>
      <c r="X38" s="26">
        <v>2709.1</v>
      </c>
      <c r="AA38" s="27">
        <v>40787</v>
      </c>
      <c r="AB38">
        <v>1.2959270090956201</v>
      </c>
      <c r="AC38" s="26">
        <f t="shared" si="5"/>
        <v>129.59270090956201</v>
      </c>
    </row>
    <row r="39" spans="3:29">
      <c r="C39" s="27">
        <v>40794</v>
      </c>
      <c r="D39" s="30">
        <v>0.87859103936280614</v>
      </c>
      <c r="E39" s="30">
        <v>0.78586619764471199</v>
      </c>
      <c r="F39" s="37">
        <f t="shared" ca="1" si="1"/>
        <v>3571.7</v>
      </c>
      <c r="G39" s="37">
        <f t="shared" si="2"/>
        <v>139.305607844017</v>
      </c>
      <c r="H39" s="26">
        <f t="shared" si="3"/>
        <v>9</v>
      </c>
      <c r="I39" s="26">
        <f t="shared" si="4"/>
        <v>0</v>
      </c>
      <c r="J39" s="26">
        <f t="shared" si="0"/>
        <v>0</v>
      </c>
      <c r="K39" s="27" t="str">
        <f t="shared" si="6"/>
        <v/>
      </c>
      <c r="L39" s="27" t="e">
        <f t="shared" si="7"/>
        <v>#VALUE!</v>
      </c>
      <c r="M39" s="30" t="str">
        <f t="shared" si="8"/>
        <v/>
      </c>
      <c r="N39" s="30" t="str">
        <f>IF($J39=1,E39,"")</f>
        <v/>
      </c>
      <c r="O39" s="39" t="str">
        <f>IF($J39=1,F39,"")</f>
        <v/>
      </c>
      <c r="P39" s="39" t="str">
        <f t="shared" si="9"/>
        <v/>
      </c>
      <c r="W39" s="27">
        <v>39549</v>
      </c>
      <c r="X39" s="26">
        <v>2880.7</v>
      </c>
      <c r="AA39" s="27">
        <v>40794</v>
      </c>
      <c r="AB39">
        <v>1.39305607844017</v>
      </c>
      <c r="AC39" s="26">
        <f t="shared" si="5"/>
        <v>139.305607844017</v>
      </c>
    </row>
    <row r="40" spans="3:29">
      <c r="C40" s="27">
        <v>40801</v>
      </c>
      <c r="D40" s="30">
        <v>0.90242289630359074</v>
      </c>
      <c r="E40" s="30">
        <v>0.78804143101353397</v>
      </c>
      <c r="F40" s="37">
        <f t="shared" ca="1" si="1"/>
        <v>4033.8</v>
      </c>
      <c r="G40" s="37">
        <f t="shared" si="2"/>
        <v>142.21947992470899</v>
      </c>
      <c r="H40" s="26">
        <f t="shared" si="3"/>
        <v>9</v>
      </c>
      <c r="I40" s="26">
        <f t="shared" si="4"/>
        <v>0</v>
      </c>
      <c r="J40" s="26">
        <f t="shared" si="0"/>
        <v>0</v>
      </c>
      <c r="K40" s="27" t="str">
        <f t="shared" si="6"/>
        <v/>
      </c>
      <c r="L40" s="27" t="e">
        <f t="shared" si="7"/>
        <v>#VALUE!</v>
      </c>
      <c r="M40" s="30" t="str">
        <f t="shared" si="8"/>
        <v/>
      </c>
      <c r="N40" s="30" t="str">
        <f>IF($J40=1,E40,"")</f>
        <v/>
      </c>
      <c r="O40" s="39" t="str">
        <f>IF($J40=1,F40,"")</f>
        <v/>
      </c>
      <c r="P40" s="39" t="str">
        <f t="shared" si="9"/>
        <v/>
      </c>
      <c r="W40" s="27">
        <v>39556</v>
      </c>
      <c r="X40" s="26">
        <v>2215.6999999999998</v>
      </c>
      <c r="AA40" s="27">
        <v>40801</v>
      </c>
      <c r="AB40">
        <v>1.42219479924709</v>
      </c>
      <c r="AC40" s="26">
        <f t="shared" si="5"/>
        <v>142.21947992470899</v>
      </c>
    </row>
    <row r="41" spans="3:29">
      <c r="C41" s="27">
        <v>40808</v>
      </c>
      <c r="D41" s="30">
        <v>0.90242289630359074</v>
      </c>
      <c r="E41" s="30">
        <v>0.78804143101353397</v>
      </c>
      <c r="F41" s="37">
        <f t="shared" ca="1" si="1"/>
        <v>4512.1000000000004</v>
      </c>
      <c r="G41" s="37">
        <f t="shared" si="2"/>
        <v>142.21947992470899</v>
      </c>
      <c r="H41" s="26">
        <f t="shared" si="3"/>
        <v>9</v>
      </c>
      <c r="I41" s="26">
        <f t="shared" si="4"/>
        <v>0</v>
      </c>
      <c r="J41" s="26">
        <f t="shared" si="0"/>
        <v>0</v>
      </c>
      <c r="K41" s="27" t="str">
        <f t="shared" si="6"/>
        <v/>
      </c>
      <c r="L41" s="27" t="e">
        <f t="shared" si="7"/>
        <v>#VALUE!</v>
      </c>
      <c r="M41" s="30" t="str">
        <f t="shared" si="8"/>
        <v/>
      </c>
      <c r="N41" s="30" t="str">
        <f>IF($J41=1,E41,"")</f>
        <v/>
      </c>
      <c r="O41" s="39" t="str">
        <f>IF($J41=1,F41,"")</f>
        <v/>
      </c>
      <c r="P41" s="39" t="str">
        <f t="shared" si="9"/>
        <v/>
      </c>
      <c r="W41" s="27">
        <v>39563</v>
      </c>
      <c r="X41" s="26">
        <v>1809.5</v>
      </c>
      <c r="AA41" s="27">
        <v>40808</v>
      </c>
      <c r="AB41">
        <v>1.42219479924709</v>
      </c>
      <c r="AC41" s="26">
        <f t="shared" si="5"/>
        <v>142.21947992470899</v>
      </c>
    </row>
    <row r="42" spans="3:29">
      <c r="C42" s="27">
        <v>40815</v>
      </c>
      <c r="D42" s="30">
        <v>0.94644262124543443</v>
      </c>
      <c r="E42" s="30">
        <v>0.83535228019697605</v>
      </c>
      <c r="F42" s="37">
        <f t="shared" ca="1" si="1"/>
        <v>4241.8</v>
      </c>
      <c r="G42" s="37">
        <f t="shared" si="2"/>
        <v>149.98980546937099</v>
      </c>
      <c r="H42" s="26">
        <f t="shared" si="3"/>
        <v>9</v>
      </c>
      <c r="I42" s="26">
        <f t="shared" si="4"/>
        <v>0</v>
      </c>
      <c r="J42" s="26">
        <f t="shared" si="0"/>
        <v>1</v>
      </c>
      <c r="K42" s="27">
        <f t="shared" si="6"/>
        <v>40816</v>
      </c>
      <c r="L42" s="27">
        <f t="shared" si="7"/>
        <v>40816</v>
      </c>
      <c r="M42" s="30">
        <f t="shared" si="8"/>
        <v>0.94644262124543443</v>
      </c>
      <c r="N42" s="30">
        <f>IF($J42=1,E42,"")</f>
        <v>0.83535228019697605</v>
      </c>
      <c r="O42" s="39">
        <f ca="1">IF($J42=1,F42,"")</f>
        <v>4241.8</v>
      </c>
      <c r="P42" s="39">
        <f t="shared" si="9"/>
        <v>149.98980546937099</v>
      </c>
      <c r="W42" s="27">
        <v>39570</v>
      </c>
      <c r="X42" s="26">
        <v>2195</v>
      </c>
      <c r="AA42" s="27">
        <v>40815</v>
      </c>
      <c r="AB42">
        <v>1.49989805469371</v>
      </c>
      <c r="AC42" s="26">
        <f t="shared" si="5"/>
        <v>149.98980546937099</v>
      </c>
    </row>
    <row r="43" spans="3:29">
      <c r="C43" s="27">
        <v>40822</v>
      </c>
      <c r="D43" s="30">
        <v>0.96725200604215567</v>
      </c>
      <c r="E43" s="30">
        <v>0.82324225699227804</v>
      </c>
      <c r="F43" s="37">
        <f t="shared" ca="1" si="1"/>
        <v>4251.1000000000004</v>
      </c>
      <c r="G43" s="37">
        <f t="shared" si="2"/>
        <v>151.25993906542502</v>
      </c>
      <c r="H43" s="26">
        <f t="shared" si="3"/>
        <v>10</v>
      </c>
      <c r="I43" s="26">
        <f t="shared" si="4"/>
        <v>1</v>
      </c>
      <c r="J43" s="26">
        <f t="shared" si="0"/>
        <v>0</v>
      </c>
      <c r="K43" s="27" t="str">
        <f t="shared" si="6"/>
        <v/>
      </c>
      <c r="L43" s="27" t="e">
        <f t="shared" si="7"/>
        <v>#VALUE!</v>
      </c>
      <c r="M43" s="30" t="str">
        <f t="shared" si="8"/>
        <v/>
      </c>
      <c r="N43" s="30" t="str">
        <f>IF($J43=1,E43,"")</f>
        <v/>
      </c>
      <c r="O43" s="39" t="str">
        <f>IF($J43=1,F43,"")</f>
        <v/>
      </c>
      <c r="P43" s="39" t="str">
        <f t="shared" si="9"/>
        <v/>
      </c>
      <c r="W43" s="27">
        <v>39577</v>
      </c>
      <c r="X43" s="26">
        <v>2388.8000000000002</v>
      </c>
      <c r="AA43" s="27">
        <v>40822</v>
      </c>
      <c r="AB43">
        <v>1.5125993906542501</v>
      </c>
      <c r="AC43" s="26">
        <f t="shared" si="5"/>
        <v>151.25993906542502</v>
      </c>
    </row>
    <row r="44" spans="3:29">
      <c r="C44" s="27">
        <v>40829</v>
      </c>
      <c r="D44" s="30">
        <v>0.84917694017596268</v>
      </c>
      <c r="E44" s="30">
        <v>0.75043074974252599</v>
      </c>
      <c r="F44" s="37">
        <f t="shared" ca="1" si="1"/>
        <v>3553.2</v>
      </c>
      <c r="G44" s="37">
        <f t="shared" si="2"/>
        <v>133.80603198386501</v>
      </c>
      <c r="H44" s="26">
        <f t="shared" si="3"/>
        <v>10</v>
      </c>
      <c r="I44" s="26">
        <f t="shared" si="4"/>
        <v>0</v>
      </c>
      <c r="J44" s="26">
        <f t="shared" si="0"/>
        <v>0</v>
      </c>
      <c r="K44" s="27" t="str">
        <f t="shared" si="6"/>
        <v/>
      </c>
      <c r="L44" s="27" t="e">
        <f t="shared" si="7"/>
        <v>#VALUE!</v>
      </c>
      <c r="M44" s="30" t="str">
        <f t="shared" si="8"/>
        <v/>
      </c>
      <c r="N44" s="30" t="str">
        <f>IF($J44=1,E44,"")</f>
        <v/>
      </c>
      <c r="O44" s="39" t="str">
        <f>IF($J44=1,F44,"")</f>
        <v/>
      </c>
      <c r="P44" s="39" t="str">
        <f t="shared" si="9"/>
        <v/>
      </c>
      <c r="W44" s="27">
        <v>39584</v>
      </c>
      <c r="X44" s="26">
        <v>2135.8000000000002</v>
      </c>
      <c r="AA44" s="27">
        <v>40829</v>
      </c>
      <c r="AB44">
        <v>1.33806031983865</v>
      </c>
      <c r="AC44" s="26">
        <f t="shared" si="5"/>
        <v>133.80603198386501</v>
      </c>
    </row>
    <row r="45" spans="3:29">
      <c r="C45" s="27">
        <v>40836</v>
      </c>
      <c r="D45" s="30">
        <v>0.85635864773186432</v>
      </c>
      <c r="E45" s="30">
        <v>0.76889855223368597</v>
      </c>
      <c r="F45" s="37">
        <f t="shared" ca="1" si="1"/>
        <v>3719.3</v>
      </c>
      <c r="G45" s="37">
        <f t="shared" si="2"/>
        <v>134.775693490663</v>
      </c>
      <c r="H45" s="26">
        <f t="shared" si="3"/>
        <v>10</v>
      </c>
      <c r="I45" s="26">
        <f t="shared" si="4"/>
        <v>0</v>
      </c>
      <c r="J45" s="26">
        <f t="shared" si="0"/>
        <v>0</v>
      </c>
      <c r="K45" s="27" t="str">
        <f t="shared" si="6"/>
        <v/>
      </c>
      <c r="L45" s="27" t="e">
        <f t="shared" si="7"/>
        <v>#VALUE!</v>
      </c>
      <c r="M45" s="30" t="str">
        <f t="shared" si="8"/>
        <v/>
      </c>
      <c r="N45" s="30" t="str">
        <f>IF($J45=1,E45,"")</f>
        <v/>
      </c>
      <c r="O45" s="39" t="str">
        <f>IF($J45=1,F45,"")</f>
        <v/>
      </c>
      <c r="P45" s="39" t="str">
        <f t="shared" si="9"/>
        <v/>
      </c>
      <c r="W45" s="27">
        <v>39591</v>
      </c>
      <c r="X45" s="26">
        <v>1930.4</v>
      </c>
      <c r="AA45" s="27">
        <v>40836</v>
      </c>
      <c r="AB45">
        <v>1.3477569349066301</v>
      </c>
      <c r="AC45" s="26">
        <f t="shared" si="5"/>
        <v>134.775693490663</v>
      </c>
    </row>
    <row r="46" spans="3:29">
      <c r="C46" s="27">
        <v>40843</v>
      </c>
      <c r="D46" s="30">
        <v>0.86512672485653175</v>
      </c>
      <c r="E46" s="30">
        <v>0.77033919514702098</v>
      </c>
      <c r="F46" s="37">
        <f t="shared" ca="1" si="1"/>
        <v>3695</v>
      </c>
      <c r="G46" s="37">
        <f t="shared" si="2"/>
        <v>135.74535499682</v>
      </c>
      <c r="H46" s="26">
        <f t="shared" si="3"/>
        <v>10</v>
      </c>
      <c r="I46" s="26">
        <f t="shared" si="4"/>
        <v>0</v>
      </c>
      <c r="J46" s="26">
        <f t="shared" si="0"/>
        <v>1</v>
      </c>
      <c r="K46" s="27">
        <f t="shared" si="6"/>
        <v>40847</v>
      </c>
      <c r="L46" s="27">
        <f t="shared" si="7"/>
        <v>40847</v>
      </c>
      <c r="M46" s="30">
        <f t="shared" si="8"/>
        <v>0.86512672485653175</v>
      </c>
      <c r="N46" s="30">
        <f>IF($J46=1,E46,"")</f>
        <v>0.77033919514702098</v>
      </c>
      <c r="O46" s="39">
        <f ca="1">IF($J46=1,F46,"")</f>
        <v>3695</v>
      </c>
      <c r="P46" s="39">
        <f t="shared" si="9"/>
        <v>135.74535499682</v>
      </c>
      <c r="W46" s="27">
        <v>39598</v>
      </c>
      <c r="X46" s="26">
        <v>1387.8</v>
      </c>
      <c r="AA46" s="27">
        <v>40843</v>
      </c>
      <c r="AB46">
        <v>1.3574535499681999</v>
      </c>
      <c r="AC46" s="26">
        <f t="shared" si="5"/>
        <v>135.74535499682</v>
      </c>
    </row>
    <row r="47" spans="3:29">
      <c r="C47" s="27">
        <v>40850</v>
      </c>
      <c r="D47" s="30">
        <v>0.93485323798856346</v>
      </c>
      <c r="E47" s="30">
        <v>0.80719780316763601</v>
      </c>
      <c r="F47" s="37">
        <f t="shared" ca="1" si="1"/>
        <v>4137.6000000000004</v>
      </c>
      <c r="G47" s="37">
        <f t="shared" si="2"/>
        <v>144.852446888999</v>
      </c>
      <c r="H47" s="26">
        <f t="shared" si="3"/>
        <v>11</v>
      </c>
      <c r="I47" s="26">
        <f t="shared" si="4"/>
        <v>1</v>
      </c>
      <c r="J47" s="26">
        <f t="shared" si="0"/>
        <v>0</v>
      </c>
      <c r="K47" s="27" t="str">
        <f t="shared" si="6"/>
        <v/>
      </c>
      <c r="L47" s="27" t="e">
        <f t="shared" si="7"/>
        <v>#VALUE!</v>
      </c>
      <c r="M47" s="30" t="str">
        <f t="shared" si="8"/>
        <v/>
      </c>
      <c r="N47" s="30" t="str">
        <f>IF($J47=1,E47,"")</f>
        <v/>
      </c>
      <c r="O47" s="39" t="str">
        <f>IF($J47=1,F47,"")</f>
        <v/>
      </c>
      <c r="P47" s="39" t="str">
        <f t="shared" si="9"/>
        <v/>
      </c>
      <c r="W47" s="27">
        <v>39605</v>
      </c>
      <c r="X47" s="26">
        <v>1477.5</v>
      </c>
      <c r="AA47" s="27">
        <v>40850</v>
      </c>
      <c r="AB47">
        <v>1.4485244688899901</v>
      </c>
      <c r="AC47" s="26">
        <f t="shared" si="5"/>
        <v>144.852446888999</v>
      </c>
    </row>
    <row r="48" spans="3:29">
      <c r="C48" s="27">
        <v>40857</v>
      </c>
      <c r="D48" s="30">
        <v>0.94404770550683115</v>
      </c>
      <c r="E48" s="30">
        <v>0.80724570771905702</v>
      </c>
      <c r="F48" s="37">
        <f t="shared" ca="1" si="1"/>
        <v>3664.5</v>
      </c>
      <c r="G48" s="37">
        <f t="shared" si="2"/>
        <v>145.82016360365199</v>
      </c>
      <c r="H48" s="26">
        <f t="shared" si="3"/>
        <v>11</v>
      </c>
      <c r="I48" s="26">
        <f t="shared" si="4"/>
        <v>0</v>
      </c>
      <c r="J48" s="26">
        <f t="shared" si="0"/>
        <v>0</v>
      </c>
      <c r="K48" s="27" t="str">
        <f t="shared" si="6"/>
        <v/>
      </c>
      <c r="L48" s="27" t="e">
        <f t="shared" si="7"/>
        <v>#VALUE!</v>
      </c>
      <c r="M48" s="30" t="str">
        <f t="shared" si="8"/>
        <v/>
      </c>
      <c r="N48" s="30" t="str">
        <f>IF($J48=1,E48,"")</f>
        <v/>
      </c>
      <c r="O48" s="39" t="str">
        <f>IF($J48=1,F48,"")</f>
        <v/>
      </c>
      <c r="P48" s="39" t="str">
        <f t="shared" si="9"/>
        <v/>
      </c>
      <c r="W48" s="27">
        <v>39612</v>
      </c>
      <c r="X48" s="26">
        <v>1219.7</v>
      </c>
      <c r="AA48" s="27">
        <v>40857</v>
      </c>
      <c r="AB48">
        <v>1.45820163603652</v>
      </c>
      <c r="AC48" s="26">
        <f t="shared" si="5"/>
        <v>145.82016360365199</v>
      </c>
    </row>
    <row r="49" spans="3:29">
      <c r="C49" s="27">
        <v>40864</v>
      </c>
      <c r="D49" s="30">
        <v>0.93485323798856346</v>
      </c>
      <c r="E49" s="30">
        <v>0.80719780316763601</v>
      </c>
      <c r="F49" s="37">
        <f t="shared" ca="1" si="1"/>
        <v>3466.8</v>
      </c>
      <c r="G49" s="37">
        <f t="shared" si="2"/>
        <v>144.852446888999</v>
      </c>
      <c r="H49" s="26">
        <f t="shared" si="3"/>
        <v>11</v>
      </c>
      <c r="I49" s="26">
        <f t="shared" si="4"/>
        <v>0</v>
      </c>
      <c r="J49" s="26">
        <f t="shared" si="0"/>
        <v>0</v>
      </c>
      <c r="K49" s="27" t="str">
        <f t="shared" si="6"/>
        <v/>
      </c>
      <c r="L49" s="27" t="e">
        <f t="shared" si="7"/>
        <v>#VALUE!</v>
      </c>
      <c r="M49" s="30" t="str">
        <f t="shared" si="8"/>
        <v/>
      </c>
      <c r="N49" s="30" t="str">
        <f>IF($J49=1,E49,"")</f>
        <v/>
      </c>
      <c r="O49" s="39" t="str">
        <f>IF($J49=1,F49,"")</f>
        <v/>
      </c>
      <c r="P49" s="39" t="str">
        <f t="shared" si="9"/>
        <v/>
      </c>
      <c r="W49" s="27">
        <v>39619</v>
      </c>
      <c r="X49" s="26">
        <v>1044.5999999999999</v>
      </c>
      <c r="AA49" s="27">
        <v>40864</v>
      </c>
      <c r="AB49">
        <v>1.4485244688899901</v>
      </c>
      <c r="AC49" s="26">
        <f t="shared" si="5"/>
        <v>144.852446888999</v>
      </c>
    </row>
    <row r="50" spans="3:29">
      <c r="C50" s="27">
        <v>40870</v>
      </c>
      <c r="D50" s="30">
        <v>0.94997170807452469</v>
      </c>
      <c r="E50" s="30">
        <v>0.80850149462655696</v>
      </c>
      <c r="F50" s="37">
        <f ca="1">VLOOKUP(C50+2,W:X,2,0)</f>
        <v>2941.3</v>
      </c>
      <c r="G50" s="37">
        <f t="shared" si="2"/>
        <v>146.78788031826301</v>
      </c>
      <c r="H50" s="26">
        <f t="shared" si="3"/>
        <v>11</v>
      </c>
      <c r="I50" s="26">
        <f t="shared" si="4"/>
        <v>0</v>
      </c>
      <c r="J50" s="26">
        <f t="shared" si="0"/>
        <v>1</v>
      </c>
      <c r="K50" s="27">
        <f t="shared" si="6"/>
        <v>40877</v>
      </c>
      <c r="L50" s="27">
        <f t="shared" si="7"/>
        <v>40877</v>
      </c>
      <c r="M50" s="30">
        <f t="shared" si="8"/>
        <v>0.94997170807452469</v>
      </c>
      <c r="N50" s="30">
        <f>IF($J50=1,E50,"")</f>
        <v>0.80850149462655696</v>
      </c>
      <c r="O50" s="39">
        <f ca="1">IF($J50=1,F50,"")</f>
        <v>2941.3</v>
      </c>
      <c r="P50" s="39">
        <f t="shared" si="9"/>
        <v>146.78788031826301</v>
      </c>
      <c r="W50" s="27">
        <v>39626</v>
      </c>
      <c r="X50" s="26">
        <v>1111.3</v>
      </c>
      <c r="AA50" s="27">
        <v>40870</v>
      </c>
      <c r="AB50">
        <v>1.46787880318263</v>
      </c>
      <c r="AC50" s="26">
        <f t="shared" si="5"/>
        <v>146.78788031826301</v>
      </c>
    </row>
    <row r="51" spans="3:29">
      <c r="C51" s="27">
        <v>40878</v>
      </c>
      <c r="D51" s="30">
        <v>0.91542628506626045</v>
      </c>
      <c r="E51" s="30">
        <v>0.79441104681633201</v>
      </c>
      <c r="F51" s="37">
        <f t="shared" ca="1" si="1"/>
        <v>3394.7</v>
      </c>
      <c r="G51" s="37">
        <f t="shared" si="2"/>
        <v>142.18347207703999</v>
      </c>
      <c r="H51" s="26">
        <f t="shared" si="3"/>
        <v>12</v>
      </c>
      <c r="I51" s="26">
        <f t="shared" si="4"/>
        <v>1</v>
      </c>
      <c r="J51" s="26">
        <f t="shared" si="0"/>
        <v>0</v>
      </c>
      <c r="K51" s="27" t="str">
        <f t="shared" si="6"/>
        <v/>
      </c>
      <c r="L51" s="27" t="e">
        <f t="shared" si="7"/>
        <v>#VALUE!</v>
      </c>
      <c r="M51" s="30" t="str">
        <f t="shared" si="8"/>
        <v/>
      </c>
      <c r="N51" s="30" t="str">
        <f>IF($J51=1,E51,"")</f>
        <v/>
      </c>
      <c r="O51" s="39" t="str">
        <f>IF($J51=1,F51,"")</f>
        <v/>
      </c>
      <c r="P51" s="39" t="str">
        <f t="shared" si="9"/>
        <v/>
      </c>
      <c r="W51" s="27">
        <v>39633</v>
      </c>
      <c r="X51" s="26">
        <v>1166.5</v>
      </c>
      <c r="AA51" s="27">
        <v>40878</v>
      </c>
      <c r="AB51">
        <v>1.4218347207704001</v>
      </c>
      <c r="AC51" s="26">
        <f t="shared" si="5"/>
        <v>142.18347207703999</v>
      </c>
    </row>
    <row r="52" spans="3:29">
      <c r="C52" s="27">
        <v>40885</v>
      </c>
      <c r="D52" s="30">
        <v>0.9248746068169833</v>
      </c>
      <c r="E52" s="30">
        <v>0.79445840936885304</v>
      </c>
      <c r="F52" s="37">
        <f t="shared" ca="1" si="1"/>
        <v>3708.6</v>
      </c>
      <c r="G52" s="37">
        <f t="shared" si="2"/>
        <v>143.14910470636198</v>
      </c>
      <c r="H52" s="26">
        <f t="shared" si="3"/>
        <v>12</v>
      </c>
      <c r="I52" s="26">
        <f t="shared" si="4"/>
        <v>0</v>
      </c>
      <c r="J52" s="26">
        <f t="shared" si="0"/>
        <v>0</v>
      </c>
      <c r="K52" s="27" t="str">
        <f t="shared" si="6"/>
        <v/>
      </c>
      <c r="L52" s="27" t="e">
        <f t="shared" si="7"/>
        <v>#VALUE!</v>
      </c>
      <c r="M52" s="30" t="str">
        <f t="shared" si="8"/>
        <v/>
      </c>
      <c r="N52" s="30" t="str">
        <f>IF($J52=1,E52,"")</f>
        <v/>
      </c>
      <c r="O52" s="39" t="str">
        <f>IF($J52=1,F52,"")</f>
        <v/>
      </c>
      <c r="P52" s="39" t="str">
        <f t="shared" si="9"/>
        <v/>
      </c>
      <c r="W52" s="27">
        <v>39640</v>
      </c>
      <c r="X52" s="26">
        <v>1270.5999999999999</v>
      </c>
      <c r="AA52" s="27">
        <v>40885</v>
      </c>
      <c r="AB52">
        <v>1.43149104706362</v>
      </c>
      <c r="AC52" s="26">
        <f t="shared" si="5"/>
        <v>143.14910470636198</v>
      </c>
    </row>
    <row r="53" spans="3:29">
      <c r="C53" s="27">
        <v>40892</v>
      </c>
      <c r="D53" s="30">
        <v>0.93969161247928745</v>
      </c>
      <c r="E53" s="30">
        <v>0.79646175435893696</v>
      </c>
      <c r="F53" s="37">
        <f t="shared" ca="1" si="1"/>
        <v>3676.1</v>
      </c>
      <c r="G53" s="37">
        <f t="shared" si="2"/>
        <v>145.56318627956</v>
      </c>
      <c r="H53" s="26">
        <f t="shared" si="3"/>
        <v>12</v>
      </c>
      <c r="I53" s="26">
        <f t="shared" si="4"/>
        <v>0</v>
      </c>
      <c r="J53" s="26">
        <f t="shared" si="0"/>
        <v>0</v>
      </c>
      <c r="K53" s="27" t="str">
        <f t="shared" si="6"/>
        <v/>
      </c>
      <c r="L53" s="27" t="e">
        <f t="shared" si="7"/>
        <v>#VALUE!</v>
      </c>
      <c r="M53" s="30" t="str">
        <f t="shared" si="8"/>
        <v/>
      </c>
      <c r="N53" s="30" t="str">
        <f>IF($J53=1,E53,"")</f>
        <v/>
      </c>
      <c r="O53" s="39" t="str">
        <f>IF($J53=1,F53,"")</f>
        <v/>
      </c>
      <c r="P53" s="39" t="str">
        <f t="shared" si="9"/>
        <v/>
      </c>
      <c r="W53" s="27">
        <v>39647</v>
      </c>
      <c r="X53" s="26">
        <v>1213.9000000000001</v>
      </c>
      <c r="AA53" s="27">
        <v>40892</v>
      </c>
      <c r="AB53">
        <v>1.4556318627956</v>
      </c>
      <c r="AC53" s="26">
        <f t="shared" si="5"/>
        <v>145.56318627956</v>
      </c>
    </row>
    <row r="54" spans="3:29">
      <c r="C54" s="27">
        <v>40899</v>
      </c>
      <c r="D54" s="30">
        <v>0.9601958662364245</v>
      </c>
      <c r="E54" s="30">
        <v>0.82537040355923197</v>
      </c>
      <c r="F54" s="37">
        <f t="shared" ca="1" si="1"/>
        <v>3684.5</v>
      </c>
      <c r="G54" s="37">
        <f t="shared" si="2"/>
        <v>150.874165740596</v>
      </c>
      <c r="H54" s="26">
        <f t="shared" si="3"/>
        <v>12</v>
      </c>
      <c r="I54" s="26">
        <f t="shared" si="4"/>
        <v>0</v>
      </c>
      <c r="J54" s="26">
        <f t="shared" si="0"/>
        <v>0</v>
      </c>
      <c r="K54" s="27" t="str">
        <f t="shared" si="6"/>
        <v/>
      </c>
      <c r="L54" s="27" t="e">
        <f t="shared" si="7"/>
        <v>#VALUE!</v>
      </c>
      <c r="M54" s="30" t="str">
        <f t="shared" si="8"/>
        <v/>
      </c>
      <c r="N54" s="30" t="str">
        <f>IF($J54=1,E54,"")</f>
        <v/>
      </c>
      <c r="O54" s="39" t="str">
        <f>IF($J54=1,F54,"")</f>
        <v/>
      </c>
      <c r="P54" s="39" t="str">
        <f t="shared" si="9"/>
        <v/>
      </c>
      <c r="W54" s="27">
        <v>39654</v>
      </c>
      <c r="X54" s="26">
        <v>874.1</v>
      </c>
      <c r="AA54" s="27">
        <v>40899</v>
      </c>
      <c r="AB54">
        <v>1.50874165740596</v>
      </c>
      <c r="AC54" s="26">
        <f t="shared" si="5"/>
        <v>150.874165740596</v>
      </c>
    </row>
    <row r="55" spans="3:29">
      <c r="C55" s="27">
        <v>40906</v>
      </c>
      <c r="D55" s="30">
        <v>0.94762260030460288</v>
      </c>
      <c r="E55" s="30">
        <v>0.81734633197465201</v>
      </c>
      <c r="F55" s="37">
        <f t="shared" ca="1" si="1"/>
        <v>3608.1</v>
      </c>
      <c r="G55" s="37">
        <f t="shared" si="2"/>
        <v>147.011635223479</v>
      </c>
      <c r="H55" s="26">
        <f t="shared" si="3"/>
        <v>12</v>
      </c>
      <c r="I55" s="26">
        <f t="shared" si="4"/>
        <v>0</v>
      </c>
      <c r="J55" s="26">
        <f t="shared" si="0"/>
        <v>1</v>
      </c>
      <c r="K55" s="27">
        <f t="shared" si="6"/>
        <v>40908</v>
      </c>
      <c r="L55" s="27">
        <f t="shared" si="7"/>
        <v>40907</v>
      </c>
      <c r="M55" s="30">
        <f t="shared" si="8"/>
        <v>0.94762260030460288</v>
      </c>
      <c r="N55" s="30">
        <f>IF($J55=1,E55,"")</f>
        <v>0.81734633197465201</v>
      </c>
      <c r="O55" s="39">
        <f ca="1">IF($J55=1,F55,"")</f>
        <v>3608.1</v>
      </c>
      <c r="P55" s="39">
        <f t="shared" si="9"/>
        <v>147.011635223479</v>
      </c>
      <c r="W55" s="27">
        <v>39661</v>
      </c>
      <c r="X55" s="26">
        <v>897.7</v>
      </c>
      <c r="AA55" s="27">
        <v>40906</v>
      </c>
      <c r="AB55">
        <v>1.47011635223479</v>
      </c>
      <c r="AC55" s="26">
        <f t="shared" si="5"/>
        <v>147.011635223479</v>
      </c>
    </row>
    <row r="56" spans="3:29">
      <c r="C56" s="27">
        <v>40913</v>
      </c>
      <c r="D56" s="30">
        <v>0.94481773750585774</v>
      </c>
      <c r="E56" s="30">
        <v>0.80629912189469399</v>
      </c>
      <c r="F56" s="37">
        <f t="shared" ca="1" si="1"/>
        <v>3668.3</v>
      </c>
      <c r="G56" s="37">
        <f t="shared" si="2"/>
        <v>145.544576955243</v>
      </c>
      <c r="H56" s="26">
        <f t="shared" si="3"/>
        <v>1</v>
      </c>
      <c r="I56" s="26">
        <f t="shared" si="4"/>
        <v>1</v>
      </c>
      <c r="J56" s="26">
        <f t="shared" si="0"/>
        <v>0</v>
      </c>
      <c r="K56" s="27" t="str">
        <f t="shared" si="6"/>
        <v/>
      </c>
      <c r="L56" s="27" t="e">
        <f t="shared" si="7"/>
        <v>#VALUE!</v>
      </c>
      <c r="M56" s="30" t="str">
        <f t="shared" si="8"/>
        <v/>
      </c>
      <c r="N56" s="30" t="str">
        <f>IF($J56=1,E56,"")</f>
        <v/>
      </c>
      <c r="O56" s="39" t="str">
        <f>IF($J56=1,F56,"")</f>
        <v/>
      </c>
      <c r="P56" s="39" t="str">
        <f t="shared" si="9"/>
        <v/>
      </c>
      <c r="W56" s="27">
        <v>39668</v>
      </c>
      <c r="X56" s="26">
        <v>853.1</v>
      </c>
      <c r="AA56" s="27">
        <v>40913</v>
      </c>
      <c r="AB56">
        <v>1.4554457695524301</v>
      </c>
      <c r="AC56" s="26">
        <f t="shared" si="5"/>
        <v>145.544576955243</v>
      </c>
    </row>
    <row r="57" spans="3:29">
      <c r="C57" s="27">
        <v>40920</v>
      </c>
      <c r="D57" s="30">
        <v>0.95320351892281485</v>
      </c>
      <c r="E57" s="30">
        <v>0.81626218699844599</v>
      </c>
      <c r="F57" s="37">
        <f t="shared" ca="1" si="1"/>
        <v>4626.5</v>
      </c>
      <c r="G57" s="37">
        <f t="shared" si="2"/>
        <v>149.88558913867101</v>
      </c>
      <c r="H57" s="26">
        <f t="shared" si="3"/>
        <v>1</v>
      </c>
      <c r="I57" s="26">
        <f t="shared" si="4"/>
        <v>0</v>
      </c>
      <c r="J57" s="26">
        <f t="shared" si="0"/>
        <v>0</v>
      </c>
      <c r="K57" s="27" t="str">
        <f t="shared" si="6"/>
        <v/>
      </c>
      <c r="L57" s="27" t="e">
        <f t="shared" si="7"/>
        <v>#VALUE!</v>
      </c>
      <c r="M57" s="30" t="str">
        <f t="shared" si="8"/>
        <v/>
      </c>
      <c r="N57" s="30" t="str">
        <f>IF($J57=1,E57,"")</f>
        <v/>
      </c>
      <c r="O57" s="39" t="str">
        <f>IF($J57=1,F57,"")</f>
        <v/>
      </c>
      <c r="P57" s="39" t="str">
        <f t="shared" si="9"/>
        <v/>
      </c>
      <c r="W57" s="27">
        <v>39675</v>
      </c>
      <c r="X57" s="26">
        <v>815.2</v>
      </c>
      <c r="AA57" s="27">
        <v>40920</v>
      </c>
      <c r="AB57">
        <v>1.49885589138671</v>
      </c>
      <c r="AC57" s="26">
        <f t="shared" si="5"/>
        <v>149.88558913867101</v>
      </c>
    </row>
    <row r="58" spans="3:29">
      <c r="C58" s="27">
        <v>40927</v>
      </c>
      <c r="D58" s="30">
        <v>0.95182771809710431</v>
      </c>
      <c r="E58" s="30">
        <v>0.81461584859780101</v>
      </c>
      <c r="F58" s="37">
        <f t="shared" ca="1" si="1"/>
        <v>4326.3999999999996</v>
      </c>
      <c r="G58" s="37">
        <f t="shared" si="2"/>
        <v>148.43858507752802</v>
      </c>
      <c r="H58" s="26">
        <f t="shared" si="3"/>
        <v>1</v>
      </c>
      <c r="I58" s="26">
        <f t="shared" si="4"/>
        <v>0</v>
      </c>
      <c r="J58" s="26">
        <f t="shared" si="0"/>
        <v>0</v>
      </c>
      <c r="K58" s="27" t="str">
        <f t="shared" si="6"/>
        <v/>
      </c>
      <c r="L58" s="27" t="e">
        <f t="shared" si="7"/>
        <v>#VALUE!</v>
      </c>
      <c r="M58" s="30" t="str">
        <f t="shared" si="8"/>
        <v/>
      </c>
      <c r="N58" s="30" t="str">
        <f>IF($J58=1,E58,"")</f>
        <v/>
      </c>
      <c r="O58" s="39" t="str">
        <f>IF($J58=1,F58,"")</f>
        <v/>
      </c>
      <c r="P58" s="39" t="str">
        <f t="shared" si="9"/>
        <v/>
      </c>
      <c r="W58" s="27">
        <v>39682</v>
      </c>
      <c r="X58" s="26">
        <v>793.9</v>
      </c>
      <c r="AA58" s="27">
        <v>40927</v>
      </c>
      <c r="AB58">
        <v>1.4843858507752801</v>
      </c>
      <c r="AC58" s="26">
        <f t="shared" si="5"/>
        <v>148.43858507752802</v>
      </c>
    </row>
    <row r="59" spans="3:29">
      <c r="C59" s="27">
        <v>40934</v>
      </c>
      <c r="D59" s="30">
        <v>0.91861521434498927</v>
      </c>
      <c r="E59" s="30">
        <v>0.78339393568549298</v>
      </c>
      <c r="F59" s="37">
        <f t="shared" ca="1" si="1"/>
        <v>4184.3</v>
      </c>
      <c r="G59" s="37">
        <f t="shared" si="2"/>
        <v>141.20356477181699</v>
      </c>
      <c r="H59" s="26">
        <f t="shared" si="3"/>
        <v>1</v>
      </c>
      <c r="I59" s="26">
        <f t="shared" si="4"/>
        <v>0</v>
      </c>
      <c r="J59" s="26">
        <f t="shared" si="0"/>
        <v>1</v>
      </c>
      <c r="K59" s="27">
        <f t="shared" si="6"/>
        <v>40939</v>
      </c>
      <c r="L59" s="27">
        <f t="shared" si="7"/>
        <v>40939</v>
      </c>
      <c r="M59" s="30">
        <f t="shared" si="8"/>
        <v>0.91861521434498927</v>
      </c>
      <c r="N59" s="30">
        <f>IF($J59=1,E59,"")</f>
        <v>0.78339393568549298</v>
      </c>
      <c r="O59" s="39">
        <f ca="1">IF($J59=1,F59,"")</f>
        <v>4184.3</v>
      </c>
      <c r="P59" s="39">
        <f t="shared" si="9"/>
        <v>141.20356477181699</v>
      </c>
      <c r="W59" s="27">
        <v>39689</v>
      </c>
      <c r="X59" s="26">
        <v>825</v>
      </c>
      <c r="AA59" s="27">
        <v>40934</v>
      </c>
      <c r="AB59">
        <v>1.4120356477181699</v>
      </c>
      <c r="AC59" s="26">
        <f t="shared" si="5"/>
        <v>141.20356477181699</v>
      </c>
    </row>
    <row r="60" spans="3:29">
      <c r="C60" s="27">
        <v>40941</v>
      </c>
      <c r="D60" s="30">
        <v>0.94107838104995334</v>
      </c>
      <c r="E60" s="30">
        <v>0.79842547980239797</v>
      </c>
      <c r="F60" s="37">
        <f t="shared" ca="1" si="1"/>
        <v>4617.1000000000004</v>
      </c>
      <c r="G60" s="37">
        <f t="shared" si="2"/>
        <v>145.722625712195</v>
      </c>
      <c r="H60" s="26">
        <f t="shared" si="3"/>
        <v>2</v>
      </c>
      <c r="I60" s="26">
        <f t="shared" si="4"/>
        <v>1</v>
      </c>
      <c r="J60" s="26">
        <f t="shared" si="0"/>
        <v>0</v>
      </c>
      <c r="K60" s="27" t="str">
        <f t="shared" si="6"/>
        <v/>
      </c>
      <c r="L60" s="27" t="e">
        <f t="shared" si="7"/>
        <v>#VALUE!</v>
      </c>
      <c r="M60" s="30" t="str">
        <f t="shared" si="8"/>
        <v/>
      </c>
      <c r="N60" s="30" t="str">
        <f>IF($J60=1,E60,"")</f>
        <v/>
      </c>
      <c r="O60" s="39" t="str">
        <f>IF($J60=1,F60,"")</f>
        <v/>
      </c>
      <c r="P60" s="39" t="str">
        <f t="shared" si="9"/>
        <v/>
      </c>
      <c r="W60" s="27">
        <v>39696</v>
      </c>
      <c r="X60" s="26">
        <v>998.3</v>
      </c>
      <c r="AA60" s="27">
        <v>40941</v>
      </c>
      <c r="AB60">
        <v>1.4572262571219501</v>
      </c>
      <c r="AC60" s="26">
        <f t="shared" si="5"/>
        <v>145.722625712195</v>
      </c>
    </row>
    <row r="61" spans="3:29">
      <c r="C61" s="27">
        <v>40948</v>
      </c>
      <c r="D61" s="30">
        <v>0.94107838104995334</v>
      </c>
      <c r="E61" s="30">
        <v>0.79842547980239797</v>
      </c>
      <c r="F61" s="37">
        <f t="shared" ca="1" si="1"/>
        <v>4716.1000000000004</v>
      </c>
      <c r="G61" s="37">
        <f t="shared" si="2"/>
        <v>145.722625712195</v>
      </c>
      <c r="H61" s="26">
        <f t="shared" si="3"/>
        <v>2</v>
      </c>
      <c r="I61" s="26">
        <f t="shared" si="4"/>
        <v>0</v>
      </c>
      <c r="J61" s="26">
        <f t="shared" si="0"/>
        <v>0</v>
      </c>
      <c r="K61" s="27" t="str">
        <f t="shared" si="6"/>
        <v/>
      </c>
      <c r="L61" s="27" t="e">
        <f t="shared" si="7"/>
        <v>#VALUE!</v>
      </c>
      <c r="M61" s="30" t="str">
        <f t="shared" si="8"/>
        <v/>
      </c>
      <c r="N61" s="30" t="str">
        <f>IF($J61=1,E61,"")</f>
        <v/>
      </c>
      <c r="O61" s="39" t="str">
        <f>IF($J61=1,F61,"")</f>
        <v/>
      </c>
      <c r="P61" s="39" t="str">
        <f t="shared" si="9"/>
        <v/>
      </c>
      <c r="W61" s="27">
        <v>39703</v>
      </c>
      <c r="X61" s="26">
        <v>2068.5</v>
      </c>
      <c r="AA61" s="27">
        <v>40948</v>
      </c>
      <c r="AB61">
        <v>1.4572262571219501</v>
      </c>
      <c r="AC61" s="26">
        <f t="shared" si="5"/>
        <v>145.722625712195</v>
      </c>
    </row>
    <row r="62" spans="3:29">
      <c r="C62" s="27">
        <v>40955</v>
      </c>
      <c r="D62" s="30">
        <v>0.94107838104995334</v>
      </c>
      <c r="E62" s="30">
        <v>0.79842547980239797</v>
      </c>
      <c r="F62" s="37">
        <f t="shared" ca="1" si="1"/>
        <v>4466.8999999999996</v>
      </c>
      <c r="G62" s="37">
        <f t="shared" si="2"/>
        <v>145.722625712195</v>
      </c>
      <c r="H62" s="26">
        <f t="shared" si="3"/>
        <v>2</v>
      </c>
      <c r="I62" s="26">
        <f t="shared" si="4"/>
        <v>0</v>
      </c>
      <c r="J62" s="26">
        <f t="shared" si="0"/>
        <v>0</v>
      </c>
      <c r="K62" s="27" t="str">
        <f t="shared" si="6"/>
        <v/>
      </c>
      <c r="L62" s="27" t="e">
        <f t="shared" si="7"/>
        <v>#VALUE!</v>
      </c>
      <c r="M62" s="30" t="str">
        <f t="shared" si="8"/>
        <v/>
      </c>
      <c r="N62" s="30" t="str">
        <f>IF($J62=1,E62,"")</f>
        <v/>
      </c>
      <c r="O62" s="39" t="str">
        <f>IF($J62=1,F62,"")</f>
        <v/>
      </c>
      <c r="P62" s="39" t="str">
        <f t="shared" si="9"/>
        <v/>
      </c>
      <c r="W62" s="27">
        <v>39710</v>
      </c>
      <c r="X62" s="26">
        <v>1756.8</v>
      </c>
      <c r="AA62" s="27">
        <v>40955</v>
      </c>
      <c r="AB62">
        <v>1.4572262571219501</v>
      </c>
      <c r="AC62" s="26">
        <f t="shared" si="5"/>
        <v>145.722625712195</v>
      </c>
    </row>
    <row r="63" spans="3:29">
      <c r="C63" s="27">
        <v>40962</v>
      </c>
      <c r="D63" s="30">
        <v>0.90921329115869776</v>
      </c>
      <c r="E63" s="30">
        <v>0.76669716579457303</v>
      </c>
      <c r="F63" s="37">
        <f t="shared" ca="1" si="1"/>
        <v>4379.1000000000004</v>
      </c>
      <c r="G63" s="37">
        <f t="shared" si="2"/>
        <v>138.01155467372499</v>
      </c>
      <c r="H63" s="26">
        <f t="shared" si="3"/>
        <v>2</v>
      </c>
      <c r="I63" s="26">
        <f t="shared" si="4"/>
        <v>0</v>
      </c>
      <c r="J63" s="26">
        <f t="shared" si="0"/>
        <v>1</v>
      </c>
      <c r="K63" s="27">
        <f t="shared" si="6"/>
        <v>40968</v>
      </c>
      <c r="L63" s="27">
        <f t="shared" si="7"/>
        <v>40968</v>
      </c>
      <c r="M63" s="30">
        <f t="shared" si="8"/>
        <v>0.90921329115869776</v>
      </c>
      <c r="N63" s="30">
        <f>IF($J63=1,E63,"")</f>
        <v>0.76669716579457303</v>
      </c>
      <c r="O63" s="39">
        <f ca="1">IF($J63=1,F63,"")</f>
        <v>4379.1000000000004</v>
      </c>
      <c r="P63" s="39">
        <f t="shared" si="9"/>
        <v>138.01155467372499</v>
      </c>
      <c r="W63" s="27">
        <v>39717</v>
      </c>
      <c r="X63" s="26">
        <v>1026</v>
      </c>
      <c r="AA63" s="27">
        <v>40962</v>
      </c>
      <c r="AB63">
        <v>1.3801155467372499</v>
      </c>
      <c r="AC63" s="26">
        <f t="shared" si="5"/>
        <v>138.01155467372499</v>
      </c>
    </row>
    <row r="64" spans="3:29">
      <c r="C64" s="27">
        <v>40969</v>
      </c>
      <c r="D64" s="30">
        <v>0.91584710240533518</v>
      </c>
      <c r="E64" s="30">
        <v>0.77480777056815697</v>
      </c>
      <c r="F64" s="37">
        <f t="shared" ca="1" si="1"/>
        <v>4277.6000000000004</v>
      </c>
      <c r="G64" s="37">
        <f t="shared" si="2"/>
        <v>138.89473785034102</v>
      </c>
      <c r="H64" s="26">
        <f t="shared" si="3"/>
        <v>3</v>
      </c>
      <c r="I64" s="26">
        <f t="shared" si="4"/>
        <v>1</v>
      </c>
      <c r="J64" s="26">
        <f t="shared" si="0"/>
        <v>0</v>
      </c>
      <c r="K64" s="27" t="str">
        <f t="shared" si="6"/>
        <v/>
      </c>
      <c r="L64" s="27" t="e">
        <f t="shared" si="7"/>
        <v>#VALUE!</v>
      </c>
      <c r="M64" s="30" t="str">
        <f t="shared" si="8"/>
        <v/>
      </c>
      <c r="N64" s="30" t="str">
        <f>IF($J64=1,E64,"")</f>
        <v/>
      </c>
      <c r="O64" s="39" t="str">
        <f>IF($J64=1,F64,"")</f>
        <v/>
      </c>
      <c r="P64" s="39" t="str">
        <f t="shared" si="9"/>
        <v/>
      </c>
      <c r="W64" s="27">
        <v>39724</v>
      </c>
      <c r="X64" s="26">
        <v>999.6</v>
      </c>
      <c r="AA64" s="27">
        <v>40969</v>
      </c>
      <c r="AB64">
        <v>1.3889473785034101</v>
      </c>
      <c r="AC64" s="26">
        <f t="shared" si="5"/>
        <v>138.89473785034102</v>
      </c>
    </row>
    <row r="65" spans="3:29">
      <c r="C65" s="27">
        <v>40976</v>
      </c>
      <c r="D65" s="30">
        <v>0.91902765125865959</v>
      </c>
      <c r="E65" s="30">
        <v>0.78283886771012201</v>
      </c>
      <c r="F65" s="37">
        <f t="shared" ca="1" si="1"/>
        <v>4063.4</v>
      </c>
      <c r="G65" s="37">
        <f t="shared" si="2"/>
        <v>140.81894628653299</v>
      </c>
      <c r="H65" s="26">
        <f t="shared" si="3"/>
        <v>3</v>
      </c>
      <c r="I65" s="26">
        <f t="shared" si="4"/>
        <v>0</v>
      </c>
      <c r="J65" s="26">
        <f t="shared" si="0"/>
        <v>0</v>
      </c>
      <c r="K65" s="27" t="str">
        <f t="shared" si="6"/>
        <v/>
      </c>
      <c r="L65" s="27" t="e">
        <f t="shared" si="7"/>
        <v>#VALUE!</v>
      </c>
      <c r="M65" s="30" t="str">
        <f t="shared" si="8"/>
        <v/>
      </c>
      <c r="N65" s="30" t="str">
        <f>IF($J65=1,E65,"")</f>
        <v/>
      </c>
      <c r="O65" s="39" t="str">
        <f>IF($J65=1,F65,"")</f>
        <v/>
      </c>
      <c r="P65" s="39" t="str">
        <f t="shared" si="9"/>
        <v/>
      </c>
      <c r="W65" s="27">
        <v>39731</v>
      </c>
      <c r="X65" s="26">
        <v>1190.8</v>
      </c>
      <c r="AA65" s="27">
        <v>40976</v>
      </c>
      <c r="AB65">
        <v>1.40818946286533</v>
      </c>
      <c r="AC65" s="26">
        <f t="shared" si="5"/>
        <v>140.81894628653299</v>
      </c>
    </row>
    <row r="66" spans="3:29">
      <c r="C66" s="27">
        <v>40983</v>
      </c>
      <c r="D66" s="30">
        <v>0.90514599034862198</v>
      </c>
      <c r="E66" s="30">
        <v>0.77421402081353796</v>
      </c>
      <c r="F66" s="37">
        <f t="shared" ca="1" si="1"/>
        <v>3715.2</v>
      </c>
      <c r="G66" s="37">
        <f t="shared" si="2"/>
        <v>136.97052941414901</v>
      </c>
      <c r="H66" s="26">
        <f t="shared" si="3"/>
        <v>3</v>
      </c>
      <c r="I66" s="26">
        <f t="shared" si="4"/>
        <v>0</v>
      </c>
      <c r="J66" s="26">
        <f t="shared" si="0"/>
        <v>0</v>
      </c>
      <c r="K66" s="27" t="str">
        <f t="shared" si="6"/>
        <v/>
      </c>
      <c r="L66" s="27" t="e">
        <f t="shared" si="7"/>
        <v>#VALUE!</v>
      </c>
      <c r="M66" s="30" t="str">
        <f t="shared" si="8"/>
        <v/>
      </c>
      <c r="N66" s="30" t="str">
        <f>IF($J66=1,E66,"")</f>
        <v/>
      </c>
      <c r="O66" s="39" t="str">
        <f>IF($J66=1,F66,"")</f>
        <v/>
      </c>
      <c r="P66" s="39" t="str">
        <f t="shared" si="9"/>
        <v/>
      </c>
      <c r="W66" s="27">
        <v>39738</v>
      </c>
      <c r="X66" s="26">
        <v>798</v>
      </c>
      <c r="AA66" s="27">
        <v>40983</v>
      </c>
      <c r="AB66">
        <v>1.36970529414149</v>
      </c>
      <c r="AC66" s="26">
        <f t="shared" si="5"/>
        <v>136.97052941414901</v>
      </c>
    </row>
    <row r="67" spans="3:29">
      <c r="C67" s="27">
        <v>40990</v>
      </c>
      <c r="D67" s="30">
        <v>0.78959380464288376</v>
      </c>
      <c r="E67" s="30">
        <v>0.69937061468571404</v>
      </c>
      <c r="F67" s="37">
        <f t="shared" ca="1" si="1"/>
        <v>3588.4</v>
      </c>
      <c r="G67" s="37">
        <f t="shared" si="2"/>
        <v>121.57686192039101</v>
      </c>
      <c r="H67" s="26">
        <f t="shared" si="3"/>
        <v>3</v>
      </c>
      <c r="I67" s="26">
        <f t="shared" si="4"/>
        <v>0</v>
      </c>
      <c r="J67" s="26">
        <f t="shared" si="0"/>
        <v>0</v>
      </c>
      <c r="K67" s="27" t="str">
        <f t="shared" si="6"/>
        <v/>
      </c>
      <c r="L67" s="27" t="e">
        <f t="shared" si="7"/>
        <v>#VALUE!</v>
      </c>
      <c r="M67" s="30" t="str">
        <f t="shared" si="8"/>
        <v/>
      </c>
      <c r="N67" s="30" t="str">
        <f>IF($J67=1,E67,"")</f>
        <v/>
      </c>
      <c r="O67" s="39" t="str">
        <f>IF($J67=1,F67,"")</f>
        <v/>
      </c>
      <c r="P67" s="39" t="str">
        <f t="shared" si="9"/>
        <v/>
      </c>
      <c r="W67" s="27">
        <v>39745</v>
      </c>
      <c r="X67" s="26">
        <v>1135.5999999999999</v>
      </c>
      <c r="AA67" s="27">
        <v>40990</v>
      </c>
      <c r="AB67">
        <v>1.2157686192039101</v>
      </c>
      <c r="AC67" s="26">
        <f t="shared" si="5"/>
        <v>121.57686192039101</v>
      </c>
    </row>
    <row r="68" spans="3:29">
      <c r="C68" s="27">
        <v>40997</v>
      </c>
      <c r="D68" s="30">
        <v>0.87490910290764468</v>
      </c>
      <c r="E68" s="30">
        <v>0.749723434167341</v>
      </c>
      <c r="F68" s="37">
        <f t="shared" ca="1" si="1"/>
        <v>3699.5</v>
      </c>
      <c r="G68" s="37">
        <f t="shared" si="2"/>
        <v>132.64106043271801</v>
      </c>
      <c r="H68" s="26">
        <f t="shared" si="3"/>
        <v>3</v>
      </c>
      <c r="I68" s="26">
        <f t="shared" si="4"/>
        <v>0</v>
      </c>
      <c r="J68" s="26">
        <f t="shared" ref="J68:J131" si="10">I69</f>
        <v>1</v>
      </c>
      <c r="K68" s="27">
        <f t="shared" si="6"/>
        <v>40999</v>
      </c>
      <c r="L68" s="27">
        <f t="shared" si="7"/>
        <v>40998</v>
      </c>
      <c r="M68" s="30">
        <f t="shared" si="8"/>
        <v>0.87490910290764468</v>
      </c>
      <c r="N68" s="30">
        <f>IF($J68=1,E68,"")</f>
        <v>0.749723434167341</v>
      </c>
      <c r="O68" s="39">
        <f ca="1">IF($J68=1,F68,"")</f>
        <v>3699.5</v>
      </c>
      <c r="P68" s="39">
        <f t="shared" si="9"/>
        <v>132.64106043271801</v>
      </c>
      <c r="W68" s="27">
        <v>39752</v>
      </c>
      <c r="X68" s="26">
        <v>688.8</v>
      </c>
      <c r="AA68" s="27">
        <v>40997</v>
      </c>
      <c r="AB68">
        <v>1.3264106043271799</v>
      </c>
      <c r="AC68" s="26">
        <f t="shared" si="5"/>
        <v>132.64106043271801</v>
      </c>
    </row>
    <row r="69" spans="3:29">
      <c r="C69" s="27">
        <v>41004</v>
      </c>
      <c r="D69" s="30">
        <v>0.86928745494692716</v>
      </c>
      <c r="E69" s="30">
        <v>0.75253147533014197</v>
      </c>
      <c r="F69" s="37">
        <f t="shared" ref="F69:F132" ca="1" si="11">VLOOKUP(C69+1,W:X,2,0)</f>
        <v>3549.3</v>
      </c>
      <c r="G69" s="37">
        <f t="shared" ref="G69:G132" si="12">VLOOKUP(C69,AA:AC,3,0)</f>
        <v>134.17167072991001</v>
      </c>
      <c r="H69" s="26">
        <f t="shared" ref="H69:H132" si="13">MONTH(C69)</f>
        <v>4</v>
      </c>
      <c r="I69" s="26">
        <f t="shared" ref="I69:I132" si="14">IF(H69=H68,0,1)</f>
        <v>1</v>
      </c>
      <c r="J69" s="26">
        <f t="shared" si="10"/>
        <v>0</v>
      </c>
      <c r="K69" s="27" t="str">
        <f t="shared" si="6"/>
        <v/>
      </c>
      <c r="L69" s="27" t="e">
        <f t="shared" si="7"/>
        <v>#VALUE!</v>
      </c>
      <c r="M69" s="30" t="str">
        <f t="shared" si="8"/>
        <v/>
      </c>
      <c r="N69" s="30" t="str">
        <f>IF($J69=1,E69,"")</f>
        <v/>
      </c>
      <c r="O69" s="39" t="str">
        <f>IF($J69=1,F69,"")</f>
        <v/>
      </c>
      <c r="P69" s="39" t="str">
        <f t="shared" si="9"/>
        <v/>
      </c>
      <c r="W69" s="27">
        <v>39759</v>
      </c>
      <c r="X69" s="26">
        <v>907.7</v>
      </c>
      <c r="AA69" s="27">
        <v>41004</v>
      </c>
      <c r="AB69">
        <v>1.3417167072991001</v>
      </c>
      <c r="AC69" s="26">
        <f t="shared" ref="AC69:AC132" si="15">AB69*100</f>
        <v>134.17167072991001</v>
      </c>
    </row>
    <row r="70" spans="3:29">
      <c r="C70" s="27">
        <v>41011</v>
      </c>
      <c r="D70" s="30">
        <v>0.90849340717481886</v>
      </c>
      <c r="E70" s="30">
        <v>0.80193881910043296</v>
      </c>
      <c r="F70" s="37">
        <f t="shared" ca="1" si="11"/>
        <v>4144.3</v>
      </c>
      <c r="G70" s="37">
        <f t="shared" si="12"/>
        <v>143.85435275781299</v>
      </c>
      <c r="H70" s="26">
        <f t="shared" si="13"/>
        <v>4</v>
      </c>
      <c r="I70" s="26">
        <f t="shared" si="14"/>
        <v>0</v>
      </c>
      <c r="J70" s="26">
        <f t="shared" si="10"/>
        <v>0</v>
      </c>
      <c r="K70" s="27" t="str">
        <f t="shared" si="6"/>
        <v/>
      </c>
      <c r="L70" s="27" t="e">
        <f t="shared" si="7"/>
        <v>#VALUE!</v>
      </c>
      <c r="M70" s="30" t="str">
        <f t="shared" si="8"/>
        <v/>
      </c>
      <c r="N70" s="30" t="str">
        <f>IF($J70=1,E70,"")</f>
        <v/>
      </c>
      <c r="O70" s="39" t="str">
        <f>IF($J70=1,F70,"")</f>
        <v/>
      </c>
      <c r="P70" s="39" t="str">
        <f t="shared" si="9"/>
        <v/>
      </c>
      <c r="W70" s="27">
        <v>39766</v>
      </c>
      <c r="X70" s="26">
        <v>927.3</v>
      </c>
      <c r="AA70" s="27">
        <v>41011</v>
      </c>
      <c r="AB70">
        <v>1.43854352757813</v>
      </c>
      <c r="AC70" s="26">
        <f t="shared" si="15"/>
        <v>143.85435275781299</v>
      </c>
    </row>
    <row r="71" spans="3:29">
      <c r="C71" s="27">
        <v>41018</v>
      </c>
      <c r="D71" s="30">
        <v>0.9034983903169389</v>
      </c>
      <c r="E71" s="30">
        <v>0.77781138796328697</v>
      </c>
      <c r="F71" s="37">
        <f t="shared" ca="1" si="11"/>
        <v>3892.2</v>
      </c>
      <c r="G71" s="37">
        <f t="shared" si="12"/>
        <v>139.49714584525501</v>
      </c>
      <c r="H71" s="26">
        <f t="shared" si="13"/>
        <v>4</v>
      </c>
      <c r="I71" s="26">
        <f t="shared" si="14"/>
        <v>0</v>
      </c>
      <c r="J71" s="26">
        <f t="shared" si="10"/>
        <v>0</v>
      </c>
      <c r="K71" s="27" t="str">
        <f t="shared" si="6"/>
        <v/>
      </c>
      <c r="L71" s="27" t="e">
        <f t="shared" si="7"/>
        <v>#VALUE!</v>
      </c>
      <c r="M71" s="30" t="str">
        <f t="shared" si="8"/>
        <v/>
      </c>
      <c r="N71" s="30" t="str">
        <f>IF($J71=1,E71,"")</f>
        <v/>
      </c>
      <c r="O71" s="39" t="str">
        <f>IF($J71=1,F71,"")</f>
        <v/>
      </c>
      <c r="P71" s="39" t="str">
        <f t="shared" si="9"/>
        <v/>
      </c>
      <c r="W71" s="27">
        <v>39773</v>
      </c>
      <c r="X71" s="26">
        <v>896.8</v>
      </c>
      <c r="AA71" s="27">
        <v>41018</v>
      </c>
      <c r="AB71">
        <v>1.3949714584525501</v>
      </c>
      <c r="AC71" s="26">
        <f t="shared" si="15"/>
        <v>139.49714584525501</v>
      </c>
    </row>
    <row r="72" spans="3:29">
      <c r="C72" s="27">
        <v>41025</v>
      </c>
      <c r="D72" s="30">
        <v>0.90849340717481886</v>
      </c>
      <c r="E72" s="30">
        <v>0.80193881910043296</v>
      </c>
      <c r="F72" s="37">
        <f t="shared" ca="1" si="11"/>
        <v>3856</v>
      </c>
      <c r="G72" s="37">
        <f t="shared" si="12"/>
        <v>143.85435275781299</v>
      </c>
      <c r="H72" s="26">
        <f t="shared" si="13"/>
        <v>4</v>
      </c>
      <c r="I72" s="26">
        <f t="shared" si="14"/>
        <v>0</v>
      </c>
      <c r="J72" s="26">
        <f t="shared" si="10"/>
        <v>1</v>
      </c>
      <c r="K72" s="27">
        <f t="shared" ref="K72:K135" si="16">IF(J72=1,EOMONTH(C72,0),"")</f>
        <v>41029</v>
      </c>
      <c r="L72" s="27">
        <f t="shared" ref="L72:L135" si="17">IF(WEEKDAY(K72,2)=6,K72-1,IF(WEEKDAY(K72,2)=7,K72-2,IF(J72=1,K72,"")))</f>
        <v>41029</v>
      </c>
      <c r="M72" s="30">
        <f t="shared" ref="M72:M135" si="18">IF(J72=1,D72,"")</f>
        <v>0.90849340717481886</v>
      </c>
      <c r="N72" s="30">
        <f>IF($J72=1,E72,"")</f>
        <v>0.80193881910043296</v>
      </c>
      <c r="O72" s="39">
        <f ca="1">IF($J72=1,F72,"")</f>
        <v>3856</v>
      </c>
      <c r="P72" s="39">
        <f t="shared" ref="P72:P135" si="19">IF($J72=1,G72,"")</f>
        <v>143.85435275781299</v>
      </c>
      <c r="W72" s="27">
        <v>39780</v>
      </c>
      <c r="X72" s="26">
        <v>3552.9</v>
      </c>
      <c r="AA72" s="27">
        <v>41025</v>
      </c>
      <c r="AB72">
        <v>1.43854352757813</v>
      </c>
      <c r="AC72" s="26">
        <f t="shared" si="15"/>
        <v>143.85435275781299</v>
      </c>
    </row>
    <row r="73" spans="3:29">
      <c r="C73" s="27">
        <v>41032</v>
      </c>
      <c r="D73" s="30">
        <v>0.89225108632442729</v>
      </c>
      <c r="E73" s="30">
        <v>0.80437080516661097</v>
      </c>
      <c r="F73" s="37">
        <f t="shared" ca="1" si="11"/>
        <v>3924.4</v>
      </c>
      <c r="G73" s="37">
        <f t="shared" si="12"/>
        <v>145.97077164452702</v>
      </c>
      <c r="H73" s="26">
        <f t="shared" si="13"/>
        <v>5</v>
      </c>
      <c r="I73" s="26">
        <f t="shared" si="14"/>
        <v>1</v>
      </c>
      <c r="J73" s="26">
        <f t="shared" si="10"/>
        <v>0</v>
      </c>
      <c r="K73" s="27" t="str">
        <f t="shared" si="16"/>
        <v/>
      </c>
      <c r="L73" s="27" t="e">
        <f t="shared" si="17"/>
        <v>#VALUE!</v>
      </c>
      <c r="M73" s="30" t="str">
        <f t="shared" si="18"/>
        <v/>
      </c>
      <c r="N73" s="30" t="str">
        <f>IF($J73=1,E73,"")</f>
        <v/>
      </c>
      <c r="O73" s="39" t="str">
        <f>IF($J73=1,F73,"")</f>
        <v/>
      </c>
      <c r="P73" s="39" t="str">
        <f t="shared" si="19"/>
        <v/>
      </c>
      <c r="W73" s="27">
        <v>39787</v>
      </c>
      <c r="X73" s="26">
        <v>3746.9</v>
      </c>
      <c r="AA73" s="27">
        <v>41032</v>
      </c>
      <c r="AB73">
        <v>1.4597077164452701</v>
      </c>
      <c r="AC73" s="26">
        <f t="shared" si="15"/>
        <v>145.97077164452702</v>
      </c>
    </row>
    <row r="74" spans="3:29">
      <c r="C74" s="27">
        <v>41039</v>
      </c>
      <c r="D74" s="30">
        <v>0.89337268606647302</v>
      </c>
      <c r="E74" s="30">
        <v>0.807152941952609</v>
      </c>
      <c r="F74" s="37">
        <f t="shared" ca="1" si="11"/>
        <v>4482</v>
      </c>
      <c r="G74" s="37">
        <f t="shared" si="12"/>
        <v>149.378045260004</v>
      </c>
      <c r="H74" s="26">
        <f t="shared" si="13"/>
        <v>5</v>
      </c>
      <c r="I74" s="26">
        <f t="shared" si="14"/>
        <v>0</v>
      </c>
      <c r="J74" s="26">
        <f t="shared" si="10"/>
        <v>0</v>
      </c>
      <c r="K74" s="27" t="str">
        <f t="shared" si="16"/>
        <v/>
      </c>
      <c r="L74" s="27" t="e">
        <f t="shared" si="17"/>
        <v>#VALUE!</v>
      </c>
      <c r="M74" s="30" t="str">
        <f t="shared" si="18"/>
        <v/>
      </c>
      <c r="N74" s="30" t="str">
        <f>IF($J74=1,E74,"")</f>
        <v/>
      </c>
      <c r="O74" s="39" t="str">
        <f>IF($J74=1,F74,"")</f>
        <v/>
      </c>
      <c r="P74" s="39" t="str">
        <f t="shared" si="19"/>
        <v/>
      </c>
      <c r="W74" s="27">
        <v>39794</v>
      </c>
      <c r="X74" s="26">
        <v>4013.2</v>
      </c>
      <c r="AA74" s="27">
        <v>41039</v>
      </c>
      <c r="AB74">
        <v>1.49378045260004</v>
      </c>
      <c r="AC74" s="26">
        <f t="shared" si="15"/>
        <v>149.378045260004</v>
      </c>
    </row>
    <row r="75" spans="3:29">
      <c r="C75" s="27">
        <v>41046</v>
      </c>
      <c r="D75" s="30">
        <v>0.8948997967143093</v>
      </c>
      <c r="E75" s="30">
        <v>0.83152220645888697</v>
      </c>
      <c r="F75" s="37">
        <f t="shared" ca="1" si="11"/>
        <v>4732</v>
      </c>
      <c r="G75" s="37">
        <f t="shared" si="12"/>
        <v>153.27207224912399</v>
      </c>
      <c r="H75" s="26">
        <f t="shared" si="13"/>
        <v>5</v>
      </c>
      <c r="I75" s="26">
        <f t="shared" si="14"/>
        <v>0</v>
      </c>
      <c r="J75" s="26">
        <f t="shared" si="10"/>
        <v>0</v>
      </c>
      <c r="K75" s="27" t="str">
        <f t="shared" si="16"/>
        <v/>
      </c>
      <c r="L75" s="27" t="e">
        <f t="shared" si="17"/>
        <v>#VALUE!</v>
      </c>
      <c r="M75" s="30" t="str">
        <f t="shared" si="18"/>
        <v/>
      </c>
      <c r="N75" s="30" t="str">
        <f>IF($J75=1,E75,"")</f>
        <v/>
      </c>
      <c r="O75" s="39" t="str">
        <f>IF($J75=1,F75,"")</f>
        <v/>
      </c>
      <c r="P75" s="39" t="str">
        <f t="shared" si="19"/>
        <v/>
      </c>
      <c r="W75" s="27">
        <v>39801</v>
      </c>
      <c r="X75" s="26">
        <v>7098.9</v>
      </c>
      <c r="AA75" s="27">
        <v>41046</v>
      </c>
      <c r="AB75">
        <v>1.53272072249124</v>
      </c>
      <c r="AC75" s="26">
        <f t="shared" si="15"/>
        <v>153.27207224912399</v>
      </c>
    </row>
    <row r="76" spans="3:29">
      <c r="C76" s="27">
        <v>41053</v>
      </c>
      <c r="D76" s="30">
        <v>0.89443957907281746</v>
      </c>
      <c r="E76" s="30">
        <v>0.82948257912141399</v>
      </c>
      <c r="F76" s="37">
        <f t="shared" ca="1" si="11"/>
        <v>4675.8999999999996</v>
      </c>
      <c r="G76" s="37">
        <f t="shared" si="12"/>
        <v>151.81181212820499</v>
      </c>
      <c r="H76" s="26">
        <f t="shared" si="13"/>
        <v>5</v>
      </c>
      <c r="I76" s="26">
        <f t="shared" si="14"/>
        <v>0</v>
      </c>
      <c r="J76" s="26">
        <f t="shared" si="10"/>
        <v>0</v>
      </c>
      <c r="K76" s="27" t="str">
        <f t="shared" si="16"/>
        <v/>
      </c>
      <c r="L76" s="27" t="e">
        <f t="shared" si="17"/>
        <v>#VALUE!</v>
      </c>
      <c r="M76" s="30" t="str">
        <f t="shared" si="18"/>
        <v/>
      </c>
      <c r="N76" s="30" t="str">
        <f>IF($J76=1,E76,"")</f>
        <v/>
      </c>
      <c r="O76" s="39" t="str">
        <f>IF($J76=1,F76,"")</f>
        <v/>
      </c>
      <c r="P76" s="39" t="str">
        <f t="shared" si="19"/>
        <v/>
      </c>
      <c r="W76" s="27">
        <v>39808</v>
      </c>
      <c r="X76" s="26">
        <v>7132.7</v>
      </c>
      <c r="AA76" s="27">
        <v>41053</v>
      </c>
      <c r="AB76">
        <v>1.51811812128205</v>
      </c>
      <c r="AC76" s="26">
        <f t="shared" si="15"/>
        <v>151.81181212820499</v>
      </c>
    </row>
    <row r="77" spans="3:29">
      <c r="C77" s="27">
        <v>41060</v>
      </c>
      <c r="D77" s="30">
        <v>0.89512122084695944</v>
      </c>
      <c r="E77" s="30">
        <v>0.83268888035603505</v>
      </c>
      <c r="F77" s="37">
        <f t="shared" ca="1" si="11"/>
        <v>4736</v>
      </c>
      <c r="G77" s="37">
        <f t="shared" si="12"/>
        <v>154.73233237004399</v>
      </c>
      <c r="H77" s="26">
        <f t="shared" si="13"/>
        <v>5</v>
      </c>
      <c r="I77" s="26">
        <f t="shared" si="14"/>
        <v>0</v>
      </c>
      <c r="J77" s="26">
        <f t="shared" si="10"/>
        <v>1</v>
      </c>
      <c r="K77" s="27">
        <f t="shared" si="16"/>
        <v>41060</v>
      </c>
      <c r="L77" s="27">
        <f t="shared" si="17"/>
        <v>41060</v>
      </c>
      <c r="M77" s="30">
        <f t="shared" si="18"/>
        <v>0.89512122084695944</v>
      </c>
      <c r="N77" s="30">
        <f>IF($J77=1,E77,"")</f>
        <v>0.83268888035603505</v>
      </c>
      <c r="O77" s="39">
        <f ca="1">IF($J77=1,F77,"")</f>
        <v>4736</v>
      </c>
      <c r="P77" s="39">
        <f t="shared" si="19"/>
        <v>154.73233237004399</v>
      </c>
      <c r="W77" s="27">
        <v>39815</v>
      </c>
      <c r="X77" s="26">
        <v>6060.5</v>
      </c>
      <c r="AA77" s="27">
        <v>41060</v>
      </c>
      <c r="AB77">
        <v>1.54732332370044</v>
      </c>
      <c r="AC77" s="26">
        <f t="shared" si="15"/>
        <v>154.73233237004399</v>
      </c>
    </row>
    <row r="78" spans="3:29">
      <c r="C78" s="27">
        <v>41067</v>
      </c>
      <c r="D78" s="30">
        <v>0.8920195449585564</v>
      </c>
      <c r="E78" s="30">
        <v>0.86243439572202496</v>
      </c>
      <c r="F78" s="37">
        <f t="shared" ca="1" si="11"/>
        <v>5590</v>
      </c>
      <c r="G78" s="37">
        <f t="shared" si="12"/>
        <v>163.99648045627799</v>
      </c>
      <c r="H78" s="26">
        <f t="shared" si="13"/>
        <v>6</v>
      </c>
      <c r="I78" s="26">
        <f t="shared" si="14"/>
        <v>1</v>
      </c>
      <c r="J78" s="26">
        <f t="shared" si="10"/>
        <v>0</v>
      </c>
      <c r="K78" s="27" t="str">
        <f t="shared" si="16"/>
        <v/>
      </c>
      <c r="L78" s="27" t="e">
        <f t="shared" si="17"/>
        <v>#VALUE!</v>
      </c>
      <c r="M78" s="30" t="str">
        <f t="shared" si="18"/>
        <v/>
      </c>
      <c r="N78" s="30" t="str">
        <f>IF($J78=1,E78,"")</f>
        <v/>
      </c>
      <c r="O78" s="39" t="str">
        <f>IF($J78=1,F78,"")</f>
        <v/>
      </c>
      <c r="P78" s="39" t="str">
        <f t="shared" si="19"/>
        <v/>
      </c>
      <c r="W78" s="27">
        <v>39822</v>
      </c>
      <c r="X78" s="26">
        <v>7842.7</v>
      </c>
      <c r="AA78" s="27">
        <v>41067</v>
      </c>
      <c r="AB78">
        <v>1.6399648045627799</v>
      </c>
      <c r="AC78" s="26">
        <f t="shared" si="15"/>
        <v>163.99648045627799</v>
      </c>
    </row>
    <row r="79" spans="3:29">
      <c r="C79" s="27">
        <v>41074</v>
      </c>
      <c r="D79" s="30">
        <v>0.88667449797815956</v>
      </c>
      <c r="E79" s="30">
        <v>0.84549296973434196</v>
      </c>
      <c r="F79" s="37">
        <f t="shared" ca="1" si="11"/>
        <v>4719.6000000000004</v>
      </c>
      <c r="G79" s="37">
        <f t="shared" si="12"/>
        <v>160.08530854628799</v>
      </c>
      <c r="H79" s="26">
        <f t="shared" si="13"/>
        <v>6</v>
      </c>
      <c r="I79" s="26">
        <f t="shared" si="14"/>
        <v>0</v>
      </c>
      <c r="J79" s="26">
        <f t="shared" si="10"/>
        <v>0</v>
      </c>
      <c r="K79" s="27" t="str">
        <f t="shared" si="16"/>
        <v/>
      </c>
      <c r="L79" s="27" t="e">
        <f t="shared" si="17"/>
        <v>#VALUE!</v>
      </c>
      <c r="M79" s="30" t="str">
        <f t="shared" si="18"/>
        <v/>
      </c>
      <c r="N79" s="30" t="str">
        <f>IF($J79=1,E79,"")</f>
        <v/>
      </c>
      <c r="O79" s="39" t="str">
        <f>IF($J79=1,F79,"")</f>
        <v/>
      </c>
      <c r="P79" s="39" t="str">
        <f t="shared" si="19"/>
        <v/>
      </c>
      <c r="W79" s="27">
        <v>39829</v>
      </c>
      <c r="X79" s="26">
        <v>6768.6</v>
      </c>
      <c r="AA79" s="27">
        <v>41074</v>
      </c>
      <c r="AB79">
        <v>1.60085308546288</v>
      </c>
      <c r="AC79" s="26">
        <f t="shared" si="15"/>
        <v>160.08530854628799</v>
      </c>
    </row>
    <row r="80" spans="3:29">
      <c r="C80" s="27">
        <v>41081</v>
      </c>
      <c r="D80" s="30">
        <v>0.89407594990163874</v>
      </c>
      <c r="E80" s="30">
        <v>0.86306170802286497</v>
      </c>
      <c r="F80" s="37">
        <f t="shared" ca="1" si="11"/>
        <v>4585.8</v>
      </c>
      <c r="G80" s="37">
        <f t="shared" si="12"/>
        <v>164.97427343377601</v>
      </c>
      <c r="H80" s="26">
        <f t="shared" si="13"/>
        <v>6</v>
      </c>
      <c r="I80" s="26">
        <f t="shared" si="14"/>
        <v>0</v>
      </c>
      <c r="J80" s="26">
        <f t="shared" si="10"/>
        <v>0</v>
      </c>
      <c r="K80" s="27" t="str">
        <f t="shared" si="16"/>
        <v/>
      </c>
      <c r="L80" s="27" t="e">
        <f t="shared" si="17"/>
        <v>#VALUE!</v>
      </c>
      <c r="M80" s="30" t="str">
        <f t="shared" si="18"/>
        <v/>
      </c>
      <c r="N80" s="30" t="str">
        <f>IF($J80=1,E80,"")</f>
        <v/>
      </c>
      <c r="O80" s="39" t="str">
        <f>IF($J80=1,F80,"")</f>
        <v/>
      </c>
      <c r="P80" s="39" t="str">
        <f t="shared" si="19"/>
        <v/>
      </c>
      <c r="W80" s="27">
        <v>39836</v>
      </c>
      <c r="X80" s="26">
        <v>3300.6</v>
      </c>
      <c r="AA80" s="27">
        <v>41081</v>
      </c>
      <c r="AB80">
        <v>1.64974273433776</v>
      </c>
      <c r="AC80" s="26">
        <f t="shared" si="15"/>
        <v>164.97427343377601</v>
      </c>
    </row>
    <row r="81" spans="3:29">
      <c r="C81" s="27">
        <v>41088</v>
      </c>
      <c r="D81" s="30">
        <v>0.89407594990163874</v>
      </c>
      <c r="E81" s="30">
        <v>0.86306170802286497</v>
      </c>
      <c r="F81" s="37">
        <f t="shared" ca="1" si="11"/>
        <v>4372.2</v>
      </c>
      <c r="G81" s="37">
        <f t="shared" si="12"/>
        <v>164.97427343377601</v>
      </c>
      <c r="H81" s="26">
        <f t="shared" si="13"/>
        <v>6</v>
      </c>
      <c r="I81" s="26">
        <f t="shared" si="14"/>
        <v>0</v>
      </c>
      <c r="J81" s="26">
        <f t="shared" si="10"/>
        <v>1</v>
      </c>
      <c r="K81" s="27">
        <f t="shared" si="16"/>
        <v>41090</v>
      </c>
      <c r="L81" s="27">
        <f t="shared" si="17"/>
        <v>41089</v>
      </c>
      <c r="M81" s="30">
        <f t="shared" si="18"/>
        <v>0.89407594990163874</v>
      </c>
      <c r="N81" s="30">
        <f>IF($J81=1,E81,"")</f>
        <v>0.86306170802286497</v>
      </c>
      <c r="O81" s="39">
        <f ca="1">IF($J81=1,F81,"")</f>
        <v>4372.2</v>
      </c>
      <c r="P81" s="39">
        <f t="shared" si="19"/>
        <v>164.97427343377601</v>
      </c>
      <c r="W81" s="27">
        <v>39843</v>
      </c>
      <c r="X81" s="26">
        <v>3871.3</v>
      </c>
      <c r="AA81" s="27">
        <v>41088</v>
      </c>
      <c r="AB81">
        <v>1.64974273433776</v>
      </c>
      <c r="AC81" s="26">
        <f t="shared" si="15"/>
        <v>164.97427343377601</v>
      </c>
    </row>
    <row r="82" spans="3:29">
      <c r="C82" s="27">
        <v>41095</v>
      </c>
      <c r="D82" s="30">
        <v>0.8819114104860859</v>
      </c>
      <c r="E82" s="30">
        <v>0.85531584833132801</v>
      </c>
      <c r="F82" s="37">
        <f t="shared" ca="1" si="11"/>
        <v>4267.8999999999996</v>
      </c>
      <c r="G82" s="37">
        <f t="shared" si="12"/>
        <v>163.99865674158701</v>
      </c>
      <c r="H82" s="26">
        <f t="shared" si="13"/>
        <v>7</v>
      </c>
      <c r="I82" s="26">
        <f t="shared" si="14"/>
        <v>1</v>
      </c>
      <c r="J82" s="26">
        <f t="shared" si="10"/>
        <v>0</v>
      </c>
      <c r="K82" s="27" t="str">
        <f t="shared" si="16"/>
        <v/>
      </c>
      <c r="L82" s="27" t="e">
        <f t="shared" si="17"/>
        <v>#VALUE!</v>
      </c>
      <c r="M82" s="30" t="str">
        <f t="shared" si="18"/>
        <v/>
      </c>
      <c r="N82" s="30" t="str">
        <f>IF($J82=1,E82,"")</f>
        <v/>
      </c>
      <c r="O82" s="39" t="str">
        <f>IF($J82=1,F82,"")</f>
        <v/>
      </c>
      <c r="P82" s="39" t="str">
        <f t="shared" si="19"/>
        <v/>
      </c>
      <c r="W82" s="27">
        <v>39850</v>
      </c>
      <c r="X82" s="26">
        <v>2611.1</v>
      </c>
      <c r="AA82" s="27">
        <v>41095</v>
      </c>
      <c r="AB82">
        <v>1.63998656741587</v>
      </c>
      <c r="AC82" s="26">
        <f t="shared" si="15"/>
        <v>163.99865674158701</v>
      </c>
    </row>
    <row r="83" spans="3:29">
      <c r="C83" s="27">
        <v>41102</v>
      </c>
      <c r="D83" s="30">
        <v>0.94551237246929465</v>
      </c>
      <c r="E83" s="30">
        <v>0.88265848165302496</v>
      </c>
      <c r="F83" s="37">
        <f t="shared" ca="1" si="11"/>
        <v>5246.8</v>
      </c>
      <c r="G83" s="37">
        <f t="shared" si="12"/>
        <v>172.31645364114701</v>
      </c>
      <c r="H83" s="26">
        <f t="shared" si="13"/>
        <v>7</v>
      </c>
      <c r="I83" s="26">
        <f t="shared" si="14"/>
        <v>0</v>
      </c>
      <c r="J83" s="26">
        <f t="shared" si="10"/>
        <v>0</v>
      </c>
      <c r="K83" s="27" t="str">
        <f t="shared" si="16"/>
        <v/>
      </c>
      <c r="L83" s="27" t="e">
        <f t="shared" si="17"/>
        <v>#VALUE!</v>
      </c>
      <c r="M83" s="30" t="str">
        <f t="shared" si="18"/>
        <v/>
      </c>
      <c r="N83" s="30" t="str">
        <f>IF($J83=1,E83,"")</f>
        <v/>
      </c>
      <c r="O83" s="39" t="str">
        <f>IF($J83=1,F83,"")</f>
        <v/>
      </c>
      <c r="P83" s="39" t="str">
        <f t="shared" si="19"/>
        <v/>
      </c>
      <c r="W83" s="27">
        <v>39857</v>
      </c>
      <c r="X83" s="26">
        <v>4564.5</v>
      </c>
      <c r="AA83" s="27">
        <v>41102</v>
      </c>
      <c r="AB83">
        <v>1.72316453641147</v>
      </c>
      <c r="AC83" s="26">
        <f t="shared" si="15"/>
        <v>172.31645364114701</v>
      </c>
    </row>
    <row r="84" spans="3:29">
      <c r="C84" s="27">
        <v>41109</v>
      </c>
      <c r="D84" s="30">
        <v>0.97186924857158052</v>
      </c>
      <c r="E84" s="30">
        <v>0.88516739973977598</v>
      </c>
      <c r="F84" s="37">
        <f t="shared" ca="1" si="11"/>
        <v>5383.1</v>
      </c>
      <c r="G84" s="37">
        <f t="shared" si="12"/>
        <v>175.252146664495</v>
      </c>
      <c r="H84" s="26">
        <f t="shared" si="13"/>
        <v>7</v>
      </c>
      <c r="I84" s="26">
        <f t="shared" si="14"/>
        <v>0</v>
      </c>
      <c r="J84" s="26">
        <f t="shared" si="10"/>
        <v>0</v>
      </c>
      <c r="K84" s="27" t="str">
        <f t="shared" si="16"/>
        <v/>
      </c>
      <c r="L84" s="27" t="e">
        <f t="shared" si="17"/>
        <v>#VALUE!</v>
      </c>
      <c r="M84" s="30" t="str">
        <f t="shared" si="18"/>
        <v/>
      </c>
      <c r="N84" s="30" t="str">
        <f>IF($J84=1,E84,"")</f>
        <v/>
      </c>
      <c r="O84" s="39" t="str">
        <f>IF($J84=1,F84,"")</f>
        <v/>
      </c>
      <c r="P84" s="39" t="str">
        <f t="shared" si="19"/>
        <v/>
      </c>
      <c r="W84" s="27">
        <v>39864</v>
      </c>
      <c r="X84" s="26">
        <v>3531.5</v>
      </c>
      <c r="AA84" s="27">
        <v>41109</v>
      </c>
      <c r="AB84">
        <v>1.75252146664495</v>
      </c>
      <c r="AC84" s="26">
        <f t="shared" si="15"/>
        <v>175.252146664495</v>
      </c>
    </row>
    <row r="85" spans="3:29">
      <c r="C85" s="27">
        <v>41116</v>
      </c>
      <c r="D85" s="30">
        <v>0.98451993370244106</v>
      </c>
      <c r="E85" s="30">
        <v>0.89814744996460805</v>
      </c>
      <c r="F85" s="37">
        <f t="shared" ca="1" si="11"/>
        <v>5492.1</v>
      </c>
      <c r="G85" s="37">
        <f t="shared" si="12"/>
        <v>179.16640403002799</v>
      </c>
      <c r="H85" s="26">
        <f t="shared" si="13"/>
        <v>7</v>
      </c>
      <c r="I85" s="26">
        <f t="shared" si="14"/>
        <v>0</v>
      </c>
      <c r="J85" s="26">
        <f t="shared" si="10"/>
        <v>1</v>
      </c>
      <c r="K85" s="27">
        <f t="shared" si="16"/>
        <v>41121</v>
      </c>
      <c r="L85" s="27">
        <f t="shared" si="17"/>
        <v>41121</v>
      </c>
      <c r="M85" s="30">
        <f t="shared" si="18"/>
        <v>0.98451993370244106</v>
      </c>
      <c r="N85" s="30">
        <f>IF($J85=1,E85,"")</f>
        <v>0.89814744996460805</v>
      </c>
      <c r="O85" s="39">
        <f ca="1">IF($J85=1,F85,"")</f>
        <v>5492.1</v>
      </c>
      <c r="P85" s="39">
        <f t="shared" si="19"/>
        <v>179.16640403002799</v>
      </c>
      <c r="W85" s="27">
        <v>39871</v>
      </c>
      <c r="X85" s="26">
        <v>2945.5</v>
      </c>
      <c r="AA85" s="27">
        <v>41116</v>
      </c>
      <c r="AB85">
        <v>1.7916640403002799</v>
      </c>
      <c r="AC85" s="26">
        <f t="shared" si="15"/>
        <v>179.16640403002799</v>
      </c>
    </row>
    <row r="86" spans="3:29">
      <c r="C86" s="27">
        <v>41123</v>
      </c>
      <c r="D86" s="30">
        <v>0.9385222539497815</v>
      </c>
      <c r="E86" s="30">
        <v>0.86768818253450297</v>
      </c>
      <c r="F86" s="37">
        <f t="shared" ca="1" si="11"/>
        <v>5444.3</v>
      </c>
      <c r="G86" s="37">
        <f t="shared" si="12"/>
        <v>169.67528171184</v>
      </c>
      <c r="H86" s="26">
        <f t="shared" si="13"/>
        <v>8</v>
      </c>
      <c r="I86" s="26">
        <f t="shared" si="14"/>
        <v>1</v>
      </c>
      <c r="J86" s="26">
        <f t="shared" si="10"/>
        <v>0</v>
      </c>
      <c r="K86" s="27" t="str">
        <f t="shared" si="16"/>
        <v/>
      </c>
      <c r="L86" s="27" t="e">
        <f t="shared" si="17"/>
        <v>#VALUE!</v>
      </c>
      <c r="M86" s="30" t="str">
        <f t="shared" si="18"/>
        <v/>
      </c>
      <c r="N86" s="30" t="str">
        <f>IF($J86=1,E86,"")</f>
        <v/>
      </c>
      <c r="O86" s="39" t="str">
        <f>IF($J86=1,F86,"")</f>
        <v/>
      </c>
      <c r="P86" s="39" t="str">
        <f t="shared" si="19"/>
        <v/>
      </c>
      <c r="W86" s="27">
        <v>39878</v>
      </c>
      <c r="X86" s="26">
        <v>3352.8</v>
      </c>
      <c r="AA86" s="27">
        <v>41123</v>
      </c>
      <c r="AB86">
        <v>1.6967528171184001</v>
      </c>
      <c r="AC86" s="26">
        <f t="shared" si="15"/>
        <v>169.67528171184</v>
      </c>
    </row>
    <row r="87" spans="3:29">
      <c r="C87" s="27">
        <v>41130</v>
      </c>
      <c r="D87" s="30">
        <v>0.92408794393225557</v>
      </c>
      <c r="E87" s="30">
        <v>0.86745968477328095</v>
      </c>
      <c r="F87" s="37">
        <f t="shared" ca="1" si="11"/>
        <v>5172.2</v>
      </c>
      <c r="G87" s="37">
        <f t="shared" si="12"/>
        <v>168.20614369673601</v>
      </c>
      <c r="H87" s="26">
        <f t="shared" si="13"/>
        <v>8</v>
      </c>
      <c r="I87" s="26">
        <f t="shared" si="14"/>
        <v>0</v>
      </c>
      <c r="J87" s="26">
        <f t="shared" si="10"/>
        <v>0</v>
      </c>
      <c r="K87" s="27" t="str">
        <f t="shared" si="16"/>
        <v/>
      </c>
      <c r="L87" s="27" t="e">
        <f t="shared" si="17"/>
        <v>#VALUE!</v>
      </c>
      <c r="M87" s="30" t="str">
        <f t="shared" si="18"/>
        <v/>
      </c>
      <c r="N87" s="30" t="str">
        <f>IF($J87=1,E87,"")</f>
        <v/>
      </c>
      <c r="O87" s="39" t="str">
        <f>IF($J87=1,F87,"")</f>
        <v/>
      </c>
      <c r="P87" s="39" t="str">
        <f t="shared" si="19"/>
        <v/>
      </c>
      <c r="W87" s="27">
        <v>39885</v>
      </c>
      <c r="X87" s="26">
        <v>4428.1000000000004</v>
      </c>
      <c r="AA87" s="27">
        <v>41130</v>
      </c>
      <c r="AB87">
        <v>1.6820614369673601</v>
      </c>
      <c r="AC87" s="26">
        <f t="shared" si="15"/>
        <v>168.20614369673601</v>
      </c>
    </row>
    <row r="88" spans="3:29">
      <c r="C88" s="27">
        <v>41137</v>
      </c>
      <c r="D88" s="30">
        <v>0.88445471641937157</v>
      </c>
      <c r="E88" s="30">
        <v>0.85198632502448901</v>
      </c>
      <c r="F88" s="37">
        <f t="shared" ca="1" si="11"/>
        <v>4671.1000000000004</v>
      </c>
      <c r="G88" s="37">
        <f t="shared" si="12"/>
        <v>165.26786766652199</v>
      </c>
      <c r="H88" s="26">
        <f t="shared" si="13"/>
        <v>8</v>
      </c>
      <c r="I88" s="26">
        <f t="shared" si="14"/>
        <v>0</v>
      </c>
      <c r="J88" s="26">
        <f t="shared" si="10"/>
        <v>0</v>
      </c>
      <c r="K88" s="27" t="str">
        <f t="shared" si="16"/>
        <v/>
      </c>
      <c r="L88" s="27" t="e">
        <f t="shared" si="17"/>
        <v>#VALUE!</v>
      </c>
      <c r="M88" s="30" t="str">
        <f t="shared" si="18"/>
        <v/>
      </c>
      <c r="N88" s="30" t="str">
        <f>IF($J88=1,E88,"")</f>
        <v/>
      </c>
      <c r="O88" s="39" t="str">
        <f>IF($J88=1,F88,"")</f>
        <v/>
      </c>
      <c r="P88" s="39" t="str">
        <f t="shared" si="19"/>
        <v/>
      </c>
      <c r="W88" s="27">
        <v>39892</v>
      </c>
      <c r="X88" s="26">
        <v>6374.7</v>
      </c>
      <c r="AA88" s="27">
        <v>41137</v>
      </c>
      <c r="AB88">
        <v>1.6526786766652199</v>
      </c>
      <c r="AC88" s="26">
        <f t="shared" si="15"/>
        <v>165.26786766652199</v>
      </c>
    </row>
    <row r="89" spans="3:29">
      <c r="C89" s="27">
        <v>41144</v>
      </c>
      <c r="D89" s="30">
        <v>0.85694996797233836</v>
      </c>
      <c r="E89" s="30">
        <v>0.83819941388679298</v>
      </c>
      <c r="F89" s="37">
        <f t="shared" ca="1" si="11"/>
        <v>4414.6000000000004</v>
      </c>
      <c r="G89" s="37">
        <f t="shared" si="12"/>
        <v>158.90160293432001</v>
      </c>
      <c r="H89" s="26">
        <f t="shared" si="13"/>
        <v>8</v>
      </c>
      <c r="I89" s="26">
        <f t="shared" si="14"/>
        <v>0</v>
      </c>
      <c r="J89" s="26">
        <f t="shared" si="10"/>
        <v>0</v>
      </c>
      <c r="K89" s="27" t="str">
        <f t="shared" si="16"/>
        <v/>
      </c>
      <c r="L89" s="27" t="e">
        <f t="shared" si="17"/>
        <v>#VALUE!</v>
      </c>
      <c r="M89" s="30" t="str">
        <f t="shared" si="18"/>
        <v/>
      </c>
      <c r="N89" s="30" t="str">
        <f>IF($J89=1,E89,"")</f>
        <v/>
      </c>
      <c r="O89" s="39" t="str">
        <f>IF($J89=1,F89,"")</f>
        <v/>
      </c>
      <c r="P89" s="39" t="str">
        <f t="shared" si="19"/>
        <v/>
      </c>
      <c r="W89" s="27">
        <v>39899</v>
      </c>
      <c r="X89" s="26">
        <v>6522</v>
      </c>
      <c r="AA89" s="27">
        <v>41144</v>
      </c>
      <c r="AB89">
        <v>1.5890160293432001</v>
      </c>
      <c r="AC89" s="26">
        <f t="shared" si="15"/>
        <v>158.90160293432001</v>
      </c>
    </row>
    <row r="90" spans="3:29">
      <c r="C90" s="27">
        <v>41151</v>
      </c>
      <c r="D90" s="30">
        <v>0.92408794393225557</v>
      </c>
      <c r="E90" s="30">
        <v>0.86745968477328095</v>
      </c>
      <c r="F90" s="37">
        <f t="shared" ca="1" si="11"/>
        <v>4274.8</v>
      </c>
      <c r="G90" s="37">
        <f t="shared" si="12"/>
        <v>168.20614369673601</v>
      </c>
      <c r="H90" s="26">
        <f t="shared" si="13"/>
        <v>8</v>
      </c>
      <c r="I90" s="26">
        <f t="shared" si="14"/>
        <v>0</v>
      </c>
      <c r="J90" s="26">
        <f t="shared" si="10"/>
        <v>1</v>
      </c>
      <c r="K90" s="27">
        <f t="shared" si="16"/>
        <v>41152</v>
      </c>
      <c r="L90" s="27">
        <f t="shared" si="17"/>
        <v>41152</v>
      </c>
      <c r="M90" s="30">
        <f t="shared" si="18"/>
        <v>0.92408794393225557</v>
      </c>
      <c r="N90" s="30">
        <f>IF($J90=1,E90,"")</f>
        <v>0.86745968477328095</v>
      </c>
      <c r="O90" s="39">
        <f ca="1">IF($J90=1,F90,"")</f>
        <v>4274.8</v>
      </c>
      <c r="P90" s="39">
        <f t="shared" si="19"/>
        <v>168.20614369673601</v>
      </c>
      <c r="W90" s="27">
        <v>39906</v>
      </c>
      <c r="X90" s="26">
        <v>6734.2</v>
      </c>
      <c r="AA90" s="27">
        <v>41151</v>
      </c>
      <c r="AB90">
        <v>1.6820614369673601</v>
      </c>
      <c r="AC90" s="26">
        <f t="shared" si="15"/>
        <v>168.20614369673601</v>
      </c>
    </row>
    <row r="91" spans="3:29">
      <c r="C91" s="27">
        <v>41158</v>
      </c>
      <c r="D91" s="30">
        <v>0.91761037893987563</v>
      </c>
      <c r="E91" s="30">
        <v>0.854493626143913</v>
      </c>
      <c r="F91" s="37">
        <f t="shared" ca="1" si="11"/>
        <v>4779.1000000000004</v>
      </c>
      <c r="G91" s="37">
        <f t="shared" si="12"/>
        <v>166.861468537397</v>
      </c>
      <c r="H91" s="26">
        <f t="shared" si="13"/>
        <v>9</v>
      </c>
      <c r="I91" s="26">
        <f t="shared" si="14"/>
        <v>1</v>
      </c>
      <c r="J91" s="26">
        <f t="shared" si="10"/>
        <v>0</v>
      </c>
      <c r="K91" s="27" t="str">
        <f t="shared" si="16"/>
        <v/>
      </c>
      <c r="L91" s="27" t="e">
        <f t="shared" si="17"/>
        <v>#VALUE!</v>
      </c>
      <c r="M91" s="30" t="str">
        <f t="shared" si="18"/>
        <v/>
      </c>
      <c r="N91" s="30" t="str">
        <f>IF($J91=1,E91,"")</f>
        <v/>
      </c>
      <c r="O91" s="39" t="str">
        <f>IF($J91=1,F91,"")</f>
        <v/>
      </c>
      <c r="P91" s="39" t="str">
        <f t="shared" si="19"/>
        <v/>
      </c>
      <c r="W91" s="27">
        <v>39913</v>
      </c>
      <c r="X91" s="26">
        <v>6127.3</v>
      </c>
      <c r="AA91" s="27">
        <v>41158</v>
      </c>
      <c r="AB91">
        <v>1.6686146853739701</v>
      </c>
      <c r="AC91" s="26">
        <f t="shared" si="15"/>
        <v>166.861468537397</v>
      </c>
    </row>
    <row r="92" spans="3:29">
      <c r="C92" s="27">
        <v>41165</v>
      </c>
      <c r="D92" s="30">
        <v>0.94047646256577366</v>
      </c>
      <c r="E92" s="30">
        <v>0.85731125996939705</v>
      </c>
      <c r="F92" s="37">
        <f t="shared" ca="1" si="11"/>
        <v>4823.3</v>
      </c>
      <c r="G92" s="37">
        <f t="shared" si="12"/>
        <v>169.31236660678599</v>
      </c>
      <c r="H92" s="26">
        <f t="shared" si="13"/>
        <v>9</v>
      </c>
      <c r="I92" s="26">
        <f t="shared" si="14"/>
        <v>0</v>
      </c>
      <c r="J92" s="26">
        <f t="shared" si="10"/>
        <v>0</v>
      </c>
      <c r="K92" s="27" t="str">
        <f t="shared" si="16"/>
        <v/>
      </c>
      <c r="L92" s="27" t="e">
        <f t="shared" si="17"/>
        <v>#VALUE!</v>
      </c>
      <c r="M92" s="30" t="str">
        <f t="shared" si="18"/>
        <v/>
      </c>
      <c r="N92" s="30" t="str">
        <f>IF($J92=1,E92,"")</f>
        <v/>
      </c>
      <c r="O92" s="39" t="str">
        <f>IF($J92=1,F92,"")</f>
        <v/>
      </c>
      <c r="P92" s="39" t="str">
        <f t="shared" si="19"/>
        <v/>
      </c>
      <c r="W92" s="27">
        <v>39920</v>
      </c>
      <c r="X92" s="26">
        <v>6547.2</v>
      </c>
      <c r="AA92" s="27">
        <v>41165</v>
      </c>
      <c r="AB92">
        <v>1.6931236660678599</v>
      </c>
      <c r="AC92" s="26">
        <f t="shared" si="15"/>
        <v>169.31236660678599</v>
      </c>
    </row>
    <row r="93" spans="3:29">
      <c r="C93" s="27">
        <v>41172</v>
      </c>
      <c r="D93" s="30">
        <v>0.95891425076544745</v>
      </c>
      <c r="E93" s="30">
        <v>0.87344930653794395</v>
      </c>
      <c r="F93" s="37">
        <f t="shared" ca="1" si="11"/>
        <v>4979</v>
      </c>
      <c r="G93" s="37">
        <f t="shared" si="12"/>
        <v>175.194521974525</v>
      </c>
      <c r="H93" s="26">
        <f t="shared" si="13"/>
        <v>9</v>
      </c>
      <c r="I93" s="26">
        <f t="shared" si="14"/>
        <v>0</v>
      </c>
      <c r="J93" s="26">
        <f t="shared" si="10"/>
        <v>0</v>
      </c>
      <c r="K93" s="27" t="str">
        <f t="shared" si="16"/>
        <v/>
      </c>
      <c r="L93" s="27" t="e">
        <f t="shared" si="17"/>
        <v>#VALUE!</v>
      </c>
      <c r="M93" s="30" t="str">
        <f t="shared" si="18"/>
        <v/>
      </c>
      <c r="N93" s="30" t="str">
        <f>IF($J93=1,E93,"")</f>
        <v/>
      </c>
      <c r="O93" s="39" t="str">
        <f>IF($J93=1,F93,"")</f>
        <v/>
      </c>
      <c r="P93" s="39" t="str">
        <f t="shared" si="19"/>
        <v/>
      </c>
      <c r="W93" s="27">
        <v>39927</v>
      </c>
      <c r="X93" s="26">
        <v>4957.8999999999996</v>
      </c>
      <c r="AA93" s="27">
        <v>41172</v>
      </c>
      <c r="AB93">
        <v>1.7519452197452501</v>
      </c>
      <c r="AC93" s="26">
        <f t="shared" si="15"/>
        <v>175.194521974525</v>
      </c>
    </row>
    <row r="94" spans="3:29">
      <c r="C94" s="27">
        <v>41179</v>
      </c>
      <c r="D94" s="30">
        <v>0.96459917415866681</v>
      </c>
      <c r="E94" s="30">
        <v>0.91259028169208301</v>
      </c>
      <c r="F94" s="37">
        <f t="shared" ca="1" si="11"/>
        <v>5965.5</v>
      </c>
      <c r="G94" s="37">
        <f t="shared" si="12"/>
        <v>184.01775502432599</v>
      </c>
      <c r="H94" s="26">
        <f t="shared" si="13"/>
        <v>9</v>
      </c>
      <c r="I94" s="26">
        <f t="shared" si="14"/>
        <v>0</v>
      </c>
      <c r="J94" s="26">
        <f t="shared" si="10"/>
        <v>1</v>
      </c>
      <c r="K94" s="27">
        <f t="shared" si="16"/>
        <v>41182</v>
      </c>
      <c r="L94" s="27">
        <f t="shared" si="17"/>
        <v>41180</v>
      </c>
      <c r="M94" s="30">
        <f t="shared" si="18"/>
        <v>0.96459917415866681</v>
      </c>
      <c r="N94" s="30">
        <f>IF($J94=1,E94,"")</f>
        <v>0.91259028169208301</v>
      </c>
      <c r="O94" s="39">
        <f ca="1">IF($J94=1,F94,"")</f>
        <v>5965.5</v>
      </c>
      <c r="P94" s="39">
        <f t="shared" si="19"/>
        <v>184.01775502432599</v>
      </c>
      <c r="W94" s="27">
        <v>39934</v>
      </c>
      <c r="X94" s="26">
        <v>5084.2</v>
      </c>
      <c r="AA94" s="27">
        <v>41179</v>
      </c>
      <c r="AB94">
        <v>1.84017755024326</v>
      </c>
      <c r="AC94" s="26">
        <f t="shared" si="15"/>
        <v>184.01775502432599</v>
      </c>
    </row>
    <row r="95" spans="3:29">
      <c r="C95" s="27">
        <v>41186</v>
      </c>
      <c r="D95" s="30">
        <v>0.95362908529618629</v>
      </c>
      <c r="E95" s="30">
        <v>0.89522709255279198</v>
      </c>
      <c r="F95" s="37">
        <f t="shared" ca="1" si="11"/>
        <v>5892.5</v>
      </c>
      <c r="G95" s="37">
        <f t="shared" si="12"/>
        <v>182.81105134104502</v>
      </c>
      <c r="H95" s="26">
        <f t="shared" si="13"/>
        <v>10</v>
      </c>
      <c r="I95" s="26">
        <f t="shared" si="14"/>
        <v>1</v>
      </c>
      <c r="J95" s="26">
        <f t="shared" si="10"/>
        <v>0</v>
      </c>
      <c r="K95" s="27" t="str">
        <f t="shared" si="16"/>
        <v/>
      </c>
      <c r="L95" s="27" t="e">
        <f t="shared" si="17"/>
        <v>#VALUE!</v>
      </c>
      <c r="M95" s="30" t="str">
        <f t="shared" si="18"/>
        <v/>
      </c>
      <c r="N95" s="30" t="str">
        <f>IF($J95=1,E95,"")</f>
        <v/>
      </c>
      <c r="O95" s="39" t="str">
        <f>IF($J95=1,F95,"")</f>
        <v/>
      </c>
      <c r="P95" s="39" t="str">
        <f t="shared" si="19"/>
        <v/>
      </c>
      <c r="W95" s="27">
        <v>39941</v>
      </c>
      <c r="X95" s="26">
        <v>4353.1000000000004</v>
      </c>
      <c r="AA95" s="27">
        <v>41186</v>
      </c>
      <c r="AB95">
        <v>1.8281105134104501</v>
      </c>
      <c r="AC95" s="26">
        <f t="shared" si="15"/>
        <v>182.81105134104502</v>
      </c>
    </row>
    <row r="96" spans="3:29">
      <c r="C96" s="27">
        <v>41193</v>
      </c>
      <c r="D96" s="30">
        <v>0.95159604304738465</v>
      </c>
      <c r="E96" s="30">
        <v>0.87811016351224602</v>
      </c>
      <c r="F96" s="37">
        <f t="shared" ca="1" si="11"/>
        <v>5572.2</v>
      </c>
      <c r="G96" s="37">
        <f t="shared" si="12"/>
        <v>177.42201565064499</v>
      </c>
      <c r="H96" s="26">
        <f t="shared" si="13"/>
        <v>10</v>
      </c>
      <c r="I96" s="26">
        <f t="shared" si="14"/>
        <v>0</v>
      </c>
      <c r="J96" s="26">
        <f t="shared" si="10"/>
        <v>0</v>
      </c>
      <c r="K96" s="27" t="str">
        <f t="shared" si="16"/>
        <v/>
      </c>
      <c r="L96" s="27" t="e">
        <f t="shared" si="17"/>
        <v>#VALUE!</v>
      </c>
      <c r="M96" s="30" t="str">
        <f t="shared" si="18"/>
        <v/>
      </c>
      <c r="N96" s="30" t="str">
        <f>IF($J96=1,E96,"")</f>
        <v/>
      </c>
      <c r="O96" s="39" t="str">
        <f>IF($J96=1,F96,"")</f>
        <v/>
      </c>
      <c r="P96" s="39" t="str">
        <f t="shared" si="19"/>
        <v/>
      </c>
      <c r="W96" s="27">
        <v>39948</v>
      </c>
      <c r="X96" s="26">
        <v>4586.2</v>
      </c>
      <c r="AA96" s="27">
        <v>41193</v>
      </c>
      <c r="AB96">
        <v>1.7742201565064499</v>
      </c>
      <c r="AC96" s="26">
        <f t="shared" si="15"/>
        <v>177.42201565064499</v>
      </c>
    </row>
    <row r="97" spans="3:29">
      <c r="C97" s="27">
        <v>41200</v>
      </c>
      <c r="D97" s="30">
        <v>0.95277295236812309</v>
      </c>
      <c r="E97" s="30">
        <v>0.89368551357821302</v>
      </c>
      <c r="F97" s="37">
        <f t="shared" ca="1" si="11"/>
        <v>4847.2</v>
      </c>
      <c r="G97" s="37">
        <f t="shared" si="12"/>
        <v>179.38166499260601</v>
      </c>
      <c r="H97" s="26">
        <f t="shared" si="13"/>
        <v>10</v>
      </c>
      <c r="I97" s="26">
        <f t="shared" si="14"/>
        <v>0</v>
      </c>
      <c r="J97" s="26">
        <f t="shared" si="10"/>
        <v>0</v>
      </c>
      <c r="K97" s="27" t="str">
        <f t="shared" si="16"/>
        <v/>
      </c>
      <c r="L97" s="27" t="e">
        <f t="shared" si="17"/>
        <v>#VALUE!</v>
      </c>
      <c r="M97" s="30" t="str">
        <f t="shared" si="18"/>
        <v/>
      </c>
      <c r="N97" s="30" t="str">
        <f>IF($J97=1,E97,"")</f>
        <v/>
      </c>
      <c r="O97" s="39" t="str">
        <f>IF($J97=1,F97,"")</f>
        <v/>
      </c>
      <c r="P97" s="39" t="str">
        <f t="shared" si="19"/>
        <v/>
      </c>
      <c r="W97" s="27">
        <v>39955</v>
      </c>
      <c r="X97" s="26">
        <v>3590.1</v>
      </c>
      <c r="AA97" s="27">
        <v>41200</v>
      </c>
      <c r="AB97">
        <v>1.7938166499260599</v>
      </c>
      <c r="AC97" s="26">
        <f t="shared" si="15"/>
        <v>179.38166499260601</v>
      </c>
    </row>
    <row r="98" spans="3:29">
      <c r="C98" s="27">
        <v>41207</v>
      </c>
      <c r="D98" s="30">
        <v>0.95079229345734595</v>
      </c>
      <c r="E98" s="30">
        <v>0.87683234085301398</v>
      </c>
      <c r="F98" s="37">
        <f t="shared" ca="1" si="11"/>
        <v>4550.7</v>
      </c>
      <c r="G98" s="37">
        <f t="shared" si="12"/>
        <v>175.46236630868199</v>
      </c>
      <c r="H98" s="26">
        <f t="shared" si="13"/>
        <v>10</v>
      </c>
      <c r="I98" s="26">
        <f t="shared" si="14"/>
        <v>0</v>
      </c>
      <c r="J98" s="26">
        <f t="shared" si="10"/>
        <v>1</v>
      </c>
      <c r="K98" s="27">
        <f t="shared" si="16"/>
        <v>41213</v>
      </c>
      <c r="L98" s="27">
        <f t="shared" si="17"/>
        <v>41213</v>
      </c>
      <c r="M98" s="30">
        <f t="shared" si="18"/>
        <v>0.95079229345734595</v>
      </c>
      <c r="N98" s="30">
        <f>IF($J98=1,E98,"")</f>
        <v>0.87683234085301398</v>
      </c>
      <c r="O98" s="39">
        <f ca="1">IF($J98=1,F98,"")</f>
        <v>4550.7</v>
      </c>
      <c r="P98" s="39">
        <f t="shared" si="19"/>
        <v>175.46236630868199</v>
      </c>
      <c r="W98" s="27">
        <v>39962</v>
      </c>
      <c r="X98" s="26">
        <v>2583</v>
      </c>
      <c r="AA98" s="27">
        <v>41207</v>
      </c>
      <c r="AB98">
        <v>1.7546236630868199</v>
      </c>
      <c r="AC98" s="26">
        <f t="shared" si="15"/>
        <v>175.46236630868199</v>
      </c>
    </row>
    <row r="99" spans="3:29">
      <c r="C99" s="27">
        <v>41214</v>
      </c>
      <c r="D99" s="30">
        <v>0.92571311512973709</v>
      </c>
      <c r="E99" s="30">
        <v>0.85225052894835196</v>
      </c>
      <c r="F99" s="37">
        <f t="shared" ca="1" si="11"/>
        <v>4297.7</v>
      </c>
      <c r="G99" s="37">
        <f t="shared" si="12"/>
        <v>170.73037917914399</v>
      </c>
      <c r="H99" s="26">
        <f t="shared" si="13"/>
        <v>11</v>
      </c>
      <c r="I99" s="26">
        <f t="shared" si="14"/>
        <v>1</v>
      </c>
      <c r="J99" s="26">
        <f t="shared" si="10"/>
        <v>0</v>
      </c>
      <c r="K99" s="27" t="str">
        <f t="shared" si="16"/>
        <v/>
      </c>
      <c r="L99" s="27" t="e">
        <f t="shared" si="17"/>
        <v>#VALUE!</v>
      </c>
      <c r="M99" s="30" t="str">
        <f t="shared" si="18"/>
        <v/>
      </c>
      <c r="N99" s="30" t="str">
        <f>IF($J99=1,E99,"")</f>
        <v/>
      </c>
      <c r="O99" s="39" t="str">
        <f>IF($J99=1,F99,"")</f>
        <v/>
      </c>
      <c r="P99" s="39" t="str">
        <f t="shared" si="19"/>
        <v/>
      </c>
      <c r="W99" s="27">
        <v>39969</v>
      </c>
      <c r="X99" s="26">
        <v>2156.5</v>
      </c>
      <c r="AA99" s="27">
        <v>41214</v>
      </c>
      <c r="AB99">
        <v>1.70730379179144</v>
      </c>
      <c r="AC99" s="26">
        <f t="shared" si="15"/>
        <v>170.73037917914399</v>
      </c>
    </row>
    <row r="100" spans="3:29">
      <c r="C100" s="27">
        <v>41221</v>
      </c>
      <c r="D100" s="30">
        <v>0.9252942527060104</v>
      </c>
      <c r="E100" s="30">
        <v>0.85194480836680198</v>
      </c>
      <c r="F100" s="37">
        <f t="shared" ca="1" si="11"/>
        <v>4856.1000000000004</v>
      </c>
      <c r="G100" s="37">
        <f t="shared" si="12"/>
        <v>169.75178341522999</v>
      </c>
      <c r="H100" s="26">
        <f t="shared" si="13"/>
        <v>11</v>
      </c>
      <c r="I100" s="26">
        <f t="shared" si="14"/>
        <v>0</v>
      </c>
      <c r="J100" s="26">
        <f t="shared" si="10"/>
        <v>0</v>
      </c>
      <c r="K100" s="27" t="str">
        <f t="shared" si="16"/>
        <v/>
      </c>
      <c r="L100" s="27" t="e">
        <f t="shared" si="17"/>
        <v>#VALUE!</v>
      </c>
      <c r="M100" s="30" t="str">
        <f t="shared" si="18"/>
        <v/>
      </c>
      <c r="N100" s="30" t="str">
        <f>IF($J100=1,E100,"")</f>
        <v/>
      </c>
      <c r="O100" s="39" t="str">
        <f>IF($J100=1,F100,"")</f>
        <v/>
      </c>
      <c r="P100" s="39" t="str">
        <f t="shared" si="19"/>
        <v/>
      </c>
      <c r="W100" s="27">
        <v>39976</v>
      </c>
      <c r="X100" s="26">
        <v>1482.7</v>
      </c>
      <c r="AA100" s="27">
        <v>41221</v>
      </c>
      <c r="AB100">
        <v>1.6975178341523001</v>
      </c>
      <c r="AC100" s="26">
        <f t="shared" si="15"/>
        <v>169.75178341522999</v>
      </c>
    </row>
    <row r="101" spans="3:29">
      <c r="C101" s="27">
        <v>41228</v>
      </c>
      <c r="D101" s="30">
        <v>0.92772026190850965</v>
      </c>
      <c r="E101" s="30">
        <v>0.86999483052125803</v>
      </c>
      <c r="F101" s="37">
        <f t="shared" ca="1" si="11"/>
        <v>4702.3999999999996</v>
      </c>
      <c r="G101" s="37">
        <f t="shared" si="12"/>
        <v>175.623357998724</v>
      </c>
      <c r="H101" s="26">
        <f t="shared" si="13"/>
        <v>11</v>
      </c>
      <c r="I101" s="26">
        <f t="shared" si="14"/>
        <v>0</v>
      </c>
      <c r="J101" s="26">
        <f t="shared" si="10"/>
        <v>0</v>
      </c>
      <c r="K101" s="27" t="str">
        <f t="shared" si="16"/>
        <v/>
      </c>
      <c r="L101" s="27" t="e">
        <f t="shared" si="17"/>
        <v>#VALUE!</v>
      </c>
      <c r="M101" s="30" t="str">
        <f t="shared" si="18"/>
        <v/>
      </c>
      <c r="N101" s="30" t="str">
        <f>IF($J101=1,E101,"")</f>
        <v/>
      </c>
      <c r="O101" s="39" t="str">
        <f>IF($J101=1,F101,"")</f>
        <v/>
      </c>
      <c r="P101" s="39" t="str">
        <f t="shared" si="19"/>
        <v/>
      </c>
      <c r="W101" s="27">
        <v>39983</v>
      </c>
      <c r="X101" s="26">
        <v>1504.6</v>
      </c>
      <c r="AA101" s="27">
        <v>41228</v>
      </c>
      <c r="AB101">
        <v>1.7562335799872399</v>
      </c>
      <c r="AC101" s="26">
        <f t="shared" si="15"/>
        <v>175.623357998724</v>
      </c>
    </row>
    <row r="102" spans="3:29">
      <c r="C102" s="27">
        <v>41234</v>
      </c>
      <c r="D102" s="30">
        <v>0.9299301195282087</v>
      </c>
      <c r="E102" s="30">
        <v>0.88773399472374204</v>
      </c>
      <c r="F102" s="37" t="e">
        <f t="shared" ca="1" si="11"/>
        <v>#N/A</v>
      </c>
      <c r="G102" s="37">
        <f t="shared" si="12"/>
        <v>178.55914529047402</v>
      </c>
      <c r="H102" s="26">
        <f t="shared" si="13"/>
        <v>11</v>
      </c>
      <c r="I102" s="26">
        <f t="shared" si="14"/>
        <v>0</v>
      </c>
      <c r="J102" s="26">
        <f t="shared" si="10"/>
        <v>0</v>
      </c>
      <c r="K102" s="27" t="str">
        <f t="shared" si="16"/>
        <v/>
      </c>
      <c r="L102" s="27" t="e">
        <f t="shared" si="17"/>
        <v>#VALUE!</v>
      </c>
      <c r="M102" s="30" t="str">
        <f t="shared" si="18"/>
        <v/>
      </c>
      <c r="N102" s="30" t="str">
        <f>IF($J102=1,E102,"")</f>
        <v/>
      </c>
      <c r="O102" s="39" t="str">
        <f>IF($J102=1,F102,"")</f>
        <v/>
      </c>
      <c r="P102" s="39" t="str">
        <f t="shared" si="19"/>
        <v/>
      </c>
      <c r="W102" s="27">
        <v>39990</v>
      </c>
      <c r="X102" s="26">
        <v>1328.1</v>
      </c>
      <c r="AA102" s="27">
        <v>41234</v>
      </c>
      <c r="AB102">
        <v>1.7855914529047401</v>
      </c>
      <c r="AC102" s="26">
        <f t="shared" si="15"/>
        <v>178.55914529047402</v>
      </c>
    </row>
    <row r="103" spans="3:29">
      <c r="C103" s="27">
        <v>41242</v>
      </c>
      <c r="D103" s="30">
        <v>0.92756020040727527</v>
      </c>
      <c r="E103" s="30">
        <v>0.86996445945149903</v>
      </c>
      <c r="F103" s="37">
        <f t="shared" ca="1" si="11"/>
        <v>4943</v>
      </c>
      <c r="G103" s="37">
        <f t="shared" si="12"/>
        <v>175.13406011676599</v>
      </c>
      <c r="H103" s="26">
        <f t="shared" si="13"/>
        <v>11</v>
      </c>
      <c r="I103" s="26">
        <f t="shared" si="14"/>
        <v>0</v>
      </c>
      <c r="J103" s="26">
        <f t="shared" si="10"/>
        <v>1</v>
      </c>
      <c r="K103" s="27">
        <f t="shared" si="16"/>
        <v>41243</v>
      </c>
      <c r="L103" s="27">
        <f t="shared" si="17"/>
        <v>41243</v>
      </c>
      <c r="M103" s="30">
        <f t="shared" si="18"/>
        <v>0.92756020040727527</v>
      </c>
      <c r="N103" s="30">
        <f>IF($J103=1,E103,"")</f>
        <v>0.86996445945149903</v>
      </c>
      <c r="O103" s="39">
        <f ca="1">IF($J103=1,F103,"")</f>
        <v>4943</v>
      </c>
      <c r="P103" s="39">
        <f t="shared" si="19"/>
        <v>175.13406011676599</v>
      </c>
      <c r="W103" s="27">
        <v>39997</v>
      </c>
      <c r="X103" s="26">
        <v>1583.5</v>
      </c>
      <c r="AA103" s="27">
        <v>41242</v>
      </c>
      <c r="AB103">
        <v>1.75134060116766</v>
      </c>
      <c r="AC103" s="26">
        <f t="shared" si="15"/>
        <v>175.13406011676599</v>
      </c>
    </row>
    <row r="104" spans="3:29">
      <c r="C104" s="27">
        <v>41249</v>
      </c>
      <c r="D104" s="30">
        <v>0.9105479087849232</v>
      </c>
      <c r="E104" s="30">
        <v>0.85662578219432695</v>
      </c>
      <c r="F104" s="37">
        <f t="shared" ca="1" si="11"/>
        <v>5368.1</v>
      </c>
      <c r="G104" s="37">
        <f t="shared" si="12"/>
        <v>171.98225237472801</v>
      </c>
      <c r="H104" s="26">
        <f t="shared" si="13"/>
        <v>12</v>
      </c>
      <c r="I104" s="26">
        <f t="shared" si="14"/>
        <v>1</v>
      </c>
      <c r="J104" s="26">
        <f t="shared" si="10"/>
        <v>0</v>
      </c>
      <c r="K104" s="27" t="str">
        <f t="shared" si="16"/>
        <v/>
      </c>
      <c r="L104" s="27" t="e">
        <f t="shared" si="17"/>
        <v>#VALUE!</v>
      </c>
      <c r="M104" s="30" t="str">
        <f t="shared" si="18"/>
        <v/>
      </c>
      <c r="N104" s="30" t="str">
        <f>IF($J104=1,E104,"")</f>
        <v/>
      </c>
      <c r="O104" s="39" t="str">
        <f>IF($J104=1,F104,"")</f>
        <v/>
      </c>
      <c r="P104" s="39" t="str">
        <f t="shared" si="19"/>
        <v/>
      </c>
      <c r="W104" s="27">
        <v>40004</v>
      </c>
      <c r="X104" s="26">
        <v>1915.5</v>
      </c>
      <c r="AA104" s="27">
        <v>41249</v>
      </c>
      <c r="AB104">
        <v>1.71982252374728</v>
      </c>
      <c r="AC104" s="26">
        <f t="shared" si="15"/>
        <v>171.98225237472801</v>
      </c>
    </row>
    <row r="105" spans="3:29">
      <c r="C105" s="27">
        <v>41256</v>
      </c>
      <c r="D105" s="30">
        <v>0.9126136851792267</v>
      </c>
      <c r="E105" s="30">
        <v>0.87412257034895602</v>
      </c>
      <c r="F105" s="37">
        <f t="shared" ca="1" si="11"/>
        <v>4564.3999999999996</v>
      </c>
      <c r="G105" s="37">
        <f t="shared" si="12"/>
        <v>173.93785441833302</v>
      </c>
      <c r="H105" s="26">
        <f t="shared" si="13"/>
        <v>12</v>
      </c>
      <c r="I105" s="26">
        <f t="shared" si="14"/>
        <v>0</v>
      </c>
      <c r="J105" s="26">
        <f t="shared" si="10"/>
        <v>0</v>
      </c>
      <c r="K105" s="27" t="str">
        <f t="shared" si="16"/>
        <v/>
      </c>
      <c r="L105" s="27" t="e">
        <f t="shared" si="17"/>
        <v>#VALUE!</v>
      </c>
      <c r="M105" s="30" t="str">
        <f t="shared" si="18"/>
        <v/>
      </c>
      <c r="N105" s="30" t="str">
        <f>IF($J105=1,E105,"")</f>
        <v/>
      </c>
      <c r="O105" s="39" t="str">
        <f>IF($J105=1,F105,"")</f>
        <v/>
      </c>
      <c r="P105" s="39" t="str">
        <f t="shared" si="19"/>
        <v/>
      </c>
      <c r="W105" s="27">
        <v>40011</v>
      </c>
      <c r="X105" s="26">
        <v>1982.8</v>
      </c>
      <c r="AA105" s="27">
        <v>41256</v>
      </c>
      <c r="AB105">
        <v>1.73937854418333</v>
      </c>
      <c r="AC105" s="26">
        <f t="shared" si="15"/>
        <v>173.93785441833302</v>
      </c>
    </row>
    <row r="106" spans="3:29">
      <c r="C106" s="27">
        <v>41263</v>
      </c>
      <c r="D106" s="30">
        <v>0.90965157918840345</v>
      </c>
      <c r="E106" s="30">
        <v>0.85522983991809798</v>
      </c>
      <c r="F106" s="37">
        <f t="shared" ca="1" si="11"/>
        <v>3983.2</v>
      </c>
      <c r="G106" s="37">
        <f t="shared" si="12"/>
        <v>169.048849309318</v>
      </c>
      <c r="H106" s="26">
        <f t="shared" si="13"/>
        <v>12</v>
      </c>
      <c r="I106" s="26">
        <f t="shared" si="14"/>
        <v>0</v>
      </c>
      <c r="J106" s="26">
        <f t="shared" si="10"/>
        <v>0</v>
      </c>
      <c r="K106" s="27" t="str">
        <f t="shared" si="16"/>
        <v/>
      </c>
      <c r="L106" s="27" t="e">
        <f t="shared" si="17"/>
        <v>#VALUE!</v>
      </c>
      <c r="M106" s="30" t="str">
        <f t="shared" si="18"/>
        <v/>
      </c>
      <c r="N106" s="30" t="str">
        <f>IF($J106=1,E106,"")</f>
        <v/>
      </c>
      <c r="O106" s="39" t="str">
        <f>IF($J106=1,F106,"")</f>
        <v/>
      </c>
      <c r="P106" s="39" t="str">
        <f t="shared" si="19"/>
        <v/>
      </c>
      <c r="W106" s="27">
        <v>40018</v>
      </c>
      <c r="X106" s="26">
        <v>1702.7</v>
      </c>
      <c r="AA106" s="27">
        <v>41263</v>
      </c>
      <c r="AB106">
        <v>1.6904884930931801</v>
      </c>
      <c r="AC106" s="26">
        <f t="shared" si="15"/>
        <v>169.048849309318</v>
      </c>
    </row>
    <row r="107" spans="3:29">
      <c r="C107" s="27">
        <v>41270</v>
      </c>
      <c r="D107" s="30">
        <v>0.91018597538933266</v>
      </c>
      <c r="E107" s="30">
        <v>0.85626060279274896</v>
      </c>
      <c r="F107" s="37">
        <f t="shared" ca="1" si="11"/>
        <v>3488.9</v>
      </c>
      <c r="G107" s="37">
        <f t="shared" si="12"/>
        <v>171.004451352925</v>
      </c>
      <c r="H107" s="26">
        <f t="shared" si="13"/>
        <v>12</v>
      </c>
      <c r="I107" s="26">
        <f t="shared" si="14"/>
        <v>0</v>
      </c>
      <c r="J107" s="26">
        <f t="shared" si="10"/>
        <v>1</v>
      </c>
      <c r="K107" s="27">
        <f t="shared" si="16"/>
        <v>41274</v>
      </c>
      <c r="L107" s="27">
        <f t="shared" si="17"/>
        <v>41274</v>
      </c>
      <c r="M107" s="30">
        <f t="shared" si="18"/>
        <v>0.91018597538933266</v>
      </c>
      <c r="N107" s="30">
        <f>IF($J107=1,E107,"")</f>
        <v>0.85626060279274896</v>
      </c>
      <c r="O107" s="39">
        <f ca="1">IF($J107=1,F107,"")</f>
        <v>3488.9</v>
      </c>
      <c r="P107" s="39">
        <f t="shared" si="19"/>
        <v>171.004451352925</v>
      </c>
      <c r="W107" s="27">
        <v>40025</v>
      </c>
      <c r="X107" s="26">
        <v>1826</v>
      </c>
      <c r="AA107" s="27">
        <v>41270</v>
      </c>
      <c r="AB107">
        <v>1.7100445135292499</v>
      </c>
      <c r="AC107" s="26">
        <f t="shared" si="15"/>
        <v>171.004451352925</v>
      </c>
    </row>
    <row r="108" spans="3:29">
      <c r="C108" s="27">
        <v>41277</v>
      </c>
      <c r="D108" s="30">
        <v>0.88829814088555981</v>
      </c>
      <c r="E108" s="30">
        <v>0.83696581575361895</v>
      </c>
      <c r="F108" s="37">
        <f t="shared" ca="1" si="11"/>
        <v>3896.4</v>
      </c>
      <c r="G108" s="37">
        <f t="shared" si="12"/>
        <v>167.25416382274801</v>
      </c>
      <c r="H108" s="26">
        <f t="shared" si="13"/>
        <v>1</v>
      </c>
      <c r="I108" s="26">
        <f t="shared" si="14"/>
        <v>1</v>
      </c>
      <c r="J108" s="26">
        <f t="shared" si="10"/>
        <v>0</v>
      </c>
      <c r="K108" s="27" t="str">
        <f t="shared" si="16"/>
        <v/>
      </c>
      <c r="L108" s="27" t="e">
        <f t="shared" si="17"/>
        <v>#VALUE!</v>
      </c>
      <c r="M108" s="30" t="str">
        <f t="shared" si="18"/>
        <v/>
      </c>
      <c r="N108" s="30" t="str">
        <f>IF($J108=1,E108,"")</f>
        <v/>
      </c>
      <c r="O108" s="39" t="str">
        <f>IF($J108=1,F108,"")</f>
        <v/>
      </c>
      <c r="P108" s="39" t="str">
        <f t="shared" si="19"/>
        <v/>
      </c>
      <c r="W108" s="27">
        <v>40032</v>
      </c>
      <c r="X108" s="26">
        <v>1659.1</v>
      </c>
      <c r="AA108" s="27">
        <v>41277</v>
      </c>
      <c r="AB108">
        <v>1.67254163822748</v>
      </c>
      <c r="AC108" s="26">
        <f t="shared" si="15"/>
        <v>167.25416382274801</v>
      </c>
    </row>
    <row r="109" spans="3:29">
      <c r="C109" s="27">
        <v>41284</v>
      </c>
      <c r="D109" s="30">
        <v>0.88507237465236011</v>
      </c>
      <c r="E109" s="30">
        <v>0.81798384699460103</v>
      </c>
      <c r="F109" s="37">
        <f t="shared" ca="1" si="11"/>
        <v>4554.3999999999996</v>
      </c>
      <c r="G109" s="37">
        <f t="shared" si="12"/>
        <v>161.385096843453</v>
      </c>
      <c r="H109" s="26">
        <f t="shared" si="13"/>
        <v>1</v>
      </c>
      <c r="I109" s="26">
        <f t="shared" si="14"/>
        <v>0</v>
      </c>
      <c r="J109" s="26">
        <f t="shared" si="10"/>
        <v>0</v>
      </c>
      <c r="K109" s="27" t="str">
        <f t="shared" si="16"/>
        <v/>
      </c>
      <c r="L109" s="27" t="e">
        <f t="shared" si="17"/>
        <v>#VALUE!</v>
      </c>
      <c r="M109" s="30" t="str">
        <f t="shared" si="18"/>
        <v/>
      </c>
      <c r="N109" s="30" t="str">
        <f>IF($J109=1,E109,"")</f>
        <v/>
      </c>
      <c r="O109" s="39" t="str">
        <f>IF($J109=1,F109,"")</f>
        <v/>
      </c>
      <c r="P109" s="39" t="str">
        <f t="shared" si="19"/>
        <v/>
      </c>
      <c r="W109" s="27">
        <v>40039</v>
      </c>
      <c r="X109" s="26">
        <v>1782.2</v>
      </c>
      <c r="AA109" s="27">
        <v>41284</v>
      </c>
      <c r="AB109">
        <v>1.6138509684345299</v>
      </c>
      <c r="AC109" s="26">
        <f t="shared" si="15"/>
        <v>161.385096843453</v>
      </c>
    </row>
    <row r="110" spans="3:29">
      <c r="C110" s="27">
        <v>41291</v>
      </c>
      <c r="D110" s="30">
        <v>0.88631407683414742</v>
      </c>
      <c r="E110" s="30">
        <v>0.83503612629874802</v>
      </c>
      <c r="F110" s="37">
        <f t="shared" ca="1" si="11"/>
        <v>4937.3999999999996</v>
      </c>
      <c r="G110" s="37">
        <f t="shared" si="12"/>
        <v>163.34145250321802</v>
      </c>
      <c r="H110" s="26">
        <f t="shared" si="13"/>
        <v>1</v>
      </c>
      <c r="I110" s="26">
        <f t="shared" si="14"/>
        <v>0</v>
      </c>
      <c r="J110" s="26">
        <f t="shared" si="10"/>
        <v>0</v>
      </c>
      <c r="K110" s="27" t="str">
        <f t="shared" si="16"/>
        <v/>
      </c>
      <c r="L110" s="27" t="e">
        <f t="shared" si="17"/>
        <v>#VALUE!</v>
      </c>
      <c r="M110" s="30" t="str">
        <f t="shared" si="18"/>
        <v/>
      </c>
      <c r="N110" s="30" t="str">
        <f>IF($J110=1,E110,"")</f>
        <v/>
      </c>
      <c r="O110" s="39" t="str">
        <f>IF($J110=1,F110,"")</f>
        <v/>
      </c>
      <c r="P110" s="39" t="str">
        <f t="shared" si="19"/>
        <v/>
      </c>
      <c r="W110" s="27">
        <v>40046</v>
      </c>
      <c r="X110" s="26">
        <v>1983.2</v>
      </c>
      <c r="AA110" s="27">
        <v>41291</v>
      </c>
      <c r="AB110">
        <v>1.6334145250321801</v>
      </c>
      <c r="AC110" s="26">
        <f t="shared" si="15"/>
        <v>163.34145250321802</v>
      </c>
    </row>
    <row r="111" spans="3:29">
      <c r="C111" s="27">
        <v>41298</v>
      </c>
      <c r="D111" s="30">
        <v>0.88379536104531342</v>
      </c>
      <c r="E111" s="30">
        <v>0.81634992305868503</v>
      </c>
      <c r="F111" s="37">
        <f t="shared" ca="1" si="11"/>
        <v>4433.6000000000004</v>
      </c>
      <c r="G111" s="37">
        <f t="shared" si="12"/>
        <v>159.428741183689</v>
      </c>
      <c r="H111" s="26">
        <f t="shared" si="13"/>
        <v>1</v>
      </c>
      <c r="I111" s="26">
        <f t="shared" si="14"/>
        <v>0</v>
      </c>
      <c r="J111" s="26">
        <f t="shared" si="10"/>
        <v>0</v>
      </c>
      <c r="K111" s="27" t="str">
        <f t="shared" si="16"/>
        <v/>
      </c>
      <c r="L111" s="27" t="e">
        <f t="shared" si="17"/>
        <v>#VALUE!</v>
      </c>
      <c r="M111" s="30" t="str">
        <f t="shared" si="18"/>
        <v/>
      </c>
      <c r="N111" s="30" t="str">
        <f>IF($J111=1,E111,"")</f>
        <v/>
      </c>
      <c r="O111" s="39" t="str">
        <f>IF($J111=1,F111,"")</f>
        <v/>
      </c>
      <c r="P111" s="39" t="str">
        <f t="shared" si="19"/>
        <v/>
      </c>
      <c r="W111" s="27">
        <v>40053</v>
      </c>
      <c r="X111" s="26">
        <v>1955.9</v>
      </c>
      <c r="AA111" s="27">
        <v>41298</v>
      </c>
      <c r="AB111">
        <v>1.5942874118368899</v>
      </c>
      <c r="AC111" s="26">
        <f t="shared" si="15"/>
        <v>159.428741183689</v>
      </c>
    </row>
    <row r="112" spans="3:29">
      <c r="C112" s="27">
        <v>41305</v>
      </c>
      <c r="D112" s="30">
        <v>0.84748759806752005</v>
      </c>
      <c r="E112" s="30">
        <v>0.77322369572310801</v>
      </c>
      <c r="F112" s="37">
        <f t="shared" ca="1" si="11"/>
        <v>4579</v>
      </c>
      <c r="G112" s="37">
        <f t="shared" si="12"/>
        <v>148.6687850534</v>
      </c>
      <c r="H112" s="26">
        <f t="shared" si="13"/>
        <v>1</v>
      </c>
      <c r="I112" s="26">
        <f t="shared" si="14"/>
        <v>0</v>
      </c>
      <c r="J112" s="26">
        <f t="shared" si="10"/>
        <v>1</v>
      </c>
      <c r="K112" s="27">
        <f t="shared" si="16"/>
        <v>41305</v>
      </c>
      <c r="L112" s="27">
        <f t="shared" si="17"/>
        <v>41305</v>
      </c>
      <c r="M112" s="30">
        <f t="shared" si="18"/>
        <v>0.84748759806752005</v>
      </c>
      <c r="N112" s="30">
        <f>IF($J112=1,E112,"")</f>
        <v>0.77322369572310801</v>
      </c>
      <c r="O112" s="39">
        <f ca="1">IF($J112=1,F112,"")</f>
        <v>4579</v>
      </c>
      <c r="P112" s="39">
        <f t="shared" si="19"/>
        <v>148.6687850534</v>
      </c>
      <c r="W112" s="27">
        <v>40060</v>
      </c>
      <c r="X112" s="26">
        <v>2383.6999999999998</v>
      </c>
      <c r="AA112" s="27">
        <v>41305</v>
      </c>
      <c r="AB112">
        <v>1.486687850534</v>
      </c>
      <c r="AC112" s="26">
        <f t="shared" si="15"/>
        <v>148.6687850534</v>
      </c>
    </row>
    <row r="113" spans="3:29">
      <c r="C113" s="27">
        <v>41312</v>
      </c>
      <c r="D113" s="30">
        <v>0.79744674672768578</v>
      </c>
      <c r="E113" s="30">
        <v>0.75155379277106704</v>
      </c>
      <c r="F113" s="37">
        <f t="shared" ca="1" si="11"/>
        <v>4284.3</v>
      </c>
      <c r="G113" s="37">
        <f t="shared" si="12"/>
        <v>141.48436142470999</v>
      </c>
      <c r="H113" s="26">
        <f t="shared" si="13"/>
        <v>2</v>
      </c>
      <c r="I113" s="26">
        <f t="shared" si="14"/>
        <v>1</v>
      </c>
      <c r="J113" s="26">
        <f t="shared" si="10"/>
        <v>0</v>
      </c>
      <c r="K113" s="27" t="str">
        <f t="shared" si="16"/>
        <v/>
      </c>
      <c r="L113" s="27" t="e">
        <f t="shared" si="17"/>
        <v>#VALUE!</v>
      </c>
      <c r="M113" s="30" t="str">
        <f t="shared" si="18"/>
        <v/>
      </c>
      <c r="N113" s="30" t="str">
        <f>IF($J113=1,E113,"")</f>
        <v/>
      </c>
      <c r="O113" s="39" t="str">
        <f>IF($J113=1,F113,"")</f>
        <v/>
      </c>
      <c r="P113" s="39" t="str">
        <f t="shared" si="19"/>
        <v/>
      </c>
      <c r="W113" s="27">
        <v>40067</v>
      </c>
      <c r="X113" s="26">
        <v>2216.3000000000002</v>
      </c>
      <c r="AA113" s="27">
        <v>41312</v>
      </c>
      <c r="AB113">
        <v>1.4148436142470999</v>
      </c>
      <c r="AC113" s="26">
        <f t="shared" si="15"/>
        <v>141.48436142470999</v>
      </c>
    </row>
    <row r="114" spans="3:29">
      <c r="C114" s="27">
        <v>41319</v>
      </c>
      <c r="D114" s="30">
        <v>0.79744674672768578</v>
      </c>
      <c r="E114" s="30">
        <v>0.75155379277106704</v>
      </c>
      <c r="F114" s="37">
        <f t="shared" ca="1" si="11"/>
        <v>4261.8</v>
      </c>
      <c r="G114" s="37">
        <f t="shared" si="12"/>
        <v>141.48436142470999</v>
      </c>
      <c r="H114" s="26">
        <f t="shared" si="13"/>
        <v>2</v>
      </c>
      <c r="I114" s="26">
        <f t="shared" si="14"/>
        <v>0</v>
      </c>
      <c r="J114" s="26">
        <f t="shared" si="10"/>
        <v>0</v>
      </c>
      <c r="K114" s="27" t="str">
        <f t="shared" si="16"/>
        <v/>
      </c>
      <c r="L114" s="27" t="e">
        <f t="shared" si="17"/>
        <v>#VALUE!</v>
      </c>
      <c r="M114" s="30" t="str">
        <f t="shared" si="18"/>
        <v/>
      </c>
      <c r="N114" s="30" t="str">
        <f>IF($J114=1,E114,"")</f>
        <v/>
      </c>
      <c r="O114" s="39" t="str">
        <f>IF($J114=1,F114,"")</f>
        <v/>
      </c>
      <c r="P114" s="39" t="str">
        <f t="shared" si="19"/>
        <v/>
      </c>
      <c r="W114" s="27">
        <v>40074</v>
      </c>
      <c r="X114" s="26">
        <v>2632.2</v>
      </c>
      <c r="AA114" s="27">
        <v>41319</v>
      </c>
      <c r="AB114">
        <v>1.4148436142470999</v>
      </c>
      <c r="AC114" s="26">
        <f t="shared" si="15"/>
        <v>141.48436142470999</v>
      </c>
    </row>
    <row r="115" spans="3:29">
      <c r="C115" s="27">
        <v>41326</v>
      </c>
      <c r="D115" s="30">
        <v>0.75767121274967097</v>
      </c>
      <c r="E115" s="30">
        <v>0.73462902469773095</v>
      </c>
      <c r="F115" s="37">
        <f t="shared" ca="1" si="11"/>
        <v>4136.3</v>
      </c>
      <c r="G115" s="37">
        <f t="shared" si="12"/>
        <v>138.54969148069</v>
      </c>
      <c r="H115" s="26">
        <f t="shared" si="13"/>
        <v>2</v>
      </c>
      <c r="I115" s="26">
        <f t="shared" si="14"/>
        <v>0</v>
      </c>
      <c r="J115" s="26">
        <f t="shared" si="10"/>
        <v>0</v>
      </c>
      <c r="K115" s="27" t="str">
        <f t="shared" si="16"/>
        <v/>
      </c>
      <c r="L115" s="27" t="e">
        <f t="shared" si="17"/>
        <v>#VALUE!</v>
      </c>
      <c r="M115" s="30" t="str">
        <f t="shared" si="18"/>
        <v/>
      </c>
      <c r="N115" s="30" t="str">
        <f>IF($J115=1,E115,"")</f>
        <v/>
      </c>
      <c r="O115" s="39" t="str">
        <f>IF($J115=1,F115,"")</f>
        <v/>
      </c>
      <c r="P115" s="39" t="str">
        <f t="shared" si="19"/>
        <v/>
      </c>
      <c r="W115" s="27">
        <v>40081</v>
      </c>
      <c r="X115" s="26">
        <v>2655.8</v>
      </c>
      <c r="AA115" s="27">
        <v>41326</v>
      </c>
      <c r="AB115">
        <v>1.3854969148069001</v>
      </c>
      <c r="AC115" s="26">
        <f t="shared" si="15"/>
        <v>138.54969148069</v>
      </c>
    </row>
    <row r="116" spans="3:29">
      <c r="C116" s="27">
        <v>41333</v>
      </c>
      <c r="D116" s="30">
        <v>0.81599621049204552</v>
      </c>
      <c r="E116" s="30">
        <v>0.75332777657917305</v>
      </c>
      <c r="F116" s="37">
        <f t="shared" ca="1" si="11"/>
        <v>4724.8999999999996</v>
      </c>
      <c r="G116" s="37">
        <f t="shared" si="12"/>
        <v>143.440808054059</v>
      </c>
      <c r="H116" s="26">
        <f t="shared" si="13"/>
        <v>2</v>
      </c>
      <c r="I116" s="26">
        <f t="shared" si="14"/>
        <v>0</v>
      </c>
      <c r="J116" s="26">
        <f t="shared" si="10"/>
        <v>1</v>
      </c>
      <c r="K116" s="27">
        <f t="shared" si="16"/>
        <v>41333</v>
      </c>
      <c r="L116" s="27">
        <f t="shared" si="17"/>
        <v>41333</v>
      </c>
      <c r="M116" s="30">
        <f t="shared" si="18"/>
        <v>0.81599621049204552</v>
      </c>
      <c r="N116" s="30">
        <f>IF($J116=1,E116,"")</f>
        <v>0.75332777657917305</v>
      </c>
      <c r="O116" s="39">
        <f ca="1">IF($J116=1,F116,"")</f>
        <v>4724.8999999999996</v>
      </c>
      <c r="P116" s="39">
        <f t="shared" si="19"/>
        <v>143.440808054059</v>
      </c>
      <c r="W116" s="27">
        <v>40088</v>
      </c>
      <c r="X116" s="26">
        <v>3230.9</v>
      </c>
      <c r="AA116" s="27">
        <v>41333</v>
      </c>
      <c r="AB116">
        <v>1.4344080805405901</v>
      </c>
      <c r="AC116" s="26">
        <f t="shared" si="15"/>
        <v>143.440808054059</v>
      </c>
    </row>
    <row r="117" spans="3:29">
      <c r="C117" s="27">
        <v>41340</v>
      </c>
      <c r="D117" s="30">
        <v>0.81254588826988361</v>
      </c>
      <c r="E117" s="30">
        <v>0.731898053840778</v>
      </c>
      <c r="F117" s="37">
        <f t="shared" ca="1" si="11"/>
        <v>4485.2</v>
      </c>
      <c r="G117" s="37">
        <f t="shared" si="12"/>
        <v>139.260265477237</v>
      </c>
      <c r="H117" s="26">
        <f t="shared" si="13"/>
        <v>3</v>
      </c>
      <c r="I117" s="26">
        <f t="shared" si="14"/>
        <v>1</v>
      </c>
      <c r="J117" s="26">
        <f t="shared" si="10"/>
        <v>0</v>
      </c>
      <c r="K117" s="27" t="str">
        <f t="shared" si="16"/>
        <v/>
      </c>
      <c r="L117" s="27" t="e">
        <f t="shared" si="17"/>
        <v>#VALUE!</v>
      </c>
      <c r="M117" s="30" t="str">
        <f t="shared" si="18"/>
        <v/>
      </c>
      <c r="N117" s="30" t="str">
        <f>IF($J117=1,E117,"")</f>
        <v/>
      </c>
      <c r="O117" s="39" t="str">
        <f>IF($J117=1,F117,"")</f>
        <v/>
      </c>
      <c r="P117" s="39" t="str">
        <f t="shared" si="19"/>
        <v/>
      </c>
      <c r="W117" s="27">
        <v>40095</v>
      </c>
      <c r="X117" s="26">
        <v>3280.3</v>
      </c>
      <c r="AA117" s="27">
        <v>41340</v>
      </c>
      <c r="AB117">
        <v>1.39260265477237</v>
      </c>
      <c r="AC117" s="26">
        <f t="shared" si="15"/>
        <v>139.260265477237</v>
      </c>
    </row>
    <row r="118" spans="3:29">
      <c r="C118" s="27">
        <v>41347</v>
      </c>
      <c r="D118" s="30">
        <v>0.70260073761186825</v>
      </c>
      <c r="E118" s="30">
        <v>0.69793386100167498</v>
      </c>
      <c r="F118" s="37">
        <f t="shared" ca="1" si="11"/>
        <v>4111.3</v>
      </c>
      <c r="G118" s="37">
        <f t="shared" si="12"/>
        <v>126.054045590222</v>
      </c>
      <c r="H118" s="26">
        <f t="shared" si="13"/>
        <v>3</v>
      </c>
      <c r="I118" s="26">
        <f t="shared" si="14"/>
        <v>0</v>
      </c>
      <c r="J118" s="26">
        <f t="shared" si="10"/>
        <v>0</v>
      </c>
      <c r="K118" s="27" t="str">
        <f t="shared" si="16"/>
        <v/>
      </c>
      <c r="L118" s="27" t="e">
        <f t="shared" si="17"/>
        <v>#VALUE!</v>
      </c>
      <c r="M118" s="30" t="str">
        <f t="shared" si="18"/>
        <v/>
      </c>
      <c r="N118" s="30" t="str">
        <f>IF($J118=1,E118,"")</f>
        <v/>
      </c>
      <c r="O118" s="39" t="str">
        <f>IF($J118=1,F118,"")</f>
        <v/>
      </c>
      <c r="P118" s="39" t="str">
        <f t="shared" si="19"/>
        <v/>
      </c>
      <c r="W118" s="27">
        <v>40102</v>
      </c>
      <c r="X118" s="26">
        <v>2774.7</v>
      </c>
      <c r="AA118" s="27">
        <v>41347</v>
      </c>
      <c r="AB118">
        <v>1.26054045590222</v>
      </c>
      <c r="AC118" s="26">
        <f t="shared" si="15"/>
        <v>126.054045590222</v>
      </c>
    </row>
    <row r="119" spans="3:29">
      <c r="C119" s="27">
        <v>41354</v>
      </c>
      <c r="D119" s="30">
        <v>0.76832708554350626</v>
      </c>
      <c r="E119" s="30">
        <v>0.72870485724391698</v>
      </c>
      <c r="F119" s="37">
        <f t="shared" ca="1" si="11"/>
        <v>4412.8999999999996</v>
      </c>
      <c r="G119" s="37">
        <f t="shared" si="12"/>
        <v>134.85819218159699</v>
      </c>
      <c r="H119" s="26">
        <f t="shared" si="13"/>
        <v>3</v>
      </c>
      <c r="I119" s="26">
        <f t="shared" si="14"/>
        <v>0</v>
      </c>
      <c r="J119" s="26">
        <f t="shared" si="10"/>
        <v>0</v>
      </c>
      <c r="K119" s="27" t="str">
        <f t="shared" si="16"/>
        <v/>
      </c>
      <c r="L119" s="27" t="e">
        <f t="shared" si="17"/>
        <v>#VALUE!</v>
      </c>
      <c r="M119" s="30" t="str">
        <f t="shared" si="18"/>
        <v/>
      </c>
      <c r="N119" s="30" t="str">
        <f>IF($J119=1,E119,"")</f>
        <v/>
      </c>
      <c r="O119" s="39" t="str">
        <f>IF($J119=1,F119,"")</f>
        <v/>
      </c>
      <c r="P119" s="39" t="str">
        <f t="shared" si="19"/>
        <v/>
      </c>
      <c r="W119" s="27">
        <v>40109</v>
      </c>
      <c r="X119" s="26">
        <v>2304</v>
      </c>
      <c r="AA119" s="27">
        <v>41354</v>
      </c>
      <c r="AB119">
        <v>1.34858192181597</v>
      </c>
      <c r="AC119" s="26">
        <f t="shared" si="15"/>
        <v>134.85819218159699</v>
      </c>
    </row>
    <row r="120" spans="3:29">
      <c r="C120" s="27">
        <v>41361</v>
      </c>
      <c r="D120" s="30">
        <v>0.73085022058809757</v>
      </c>
      <c r="E120" s="30">
        <v>0.712062870316722</v>
      </c>
      <c r="F120" s="37">
        <f t="shared" ca="1" si="11"/>
        <v>4119.2</v>
      </c>
      <c r="G120" s="37">
        <f t="shared" si="12"/>
        <v>131.92347665116998</v>
      </c>
      <c r="H120" s="26">
        <f t="shared" si="13"/>
        <v>3</v>
      </c>
      <c r="I120" s="26">
        <f t="shared" si="14"/>
        <v>0</v>
      </c>
      <c r="J120" s="26">
        <f t="shared" si="10"/>
        <v>1</v>
      </c>
      <c r="K120" s="27">
        <f t="shared" si="16"/>
        <v>41364</v>
      </c>
      <c r="L120" s="27">
        <f>IF(WEEKDAY(K120,2)=6,K120-1,IF(WEEKDAY(K120,2)=7,K120-2,IF(J120=1,K120,"")))-1</f>
        <v>41361</v>
      </c>
      <c r="M120" s="30">
        <f t="shared" si="18"/>
        <v>0.73085022058809757</v>
      </c>
      <c r="N120" s="30">
        <f>IF($J120=1,E120,"")</f>
        <v>0.712062870316722</v>
      </c>
      <c r="O120" s="39">
        <f ca="1">IF($J120=1,F120,"")</f>
        <v>4119.2</v>
      </c>
      <c r="P120" s="39">
        <f t="shared" si="19"/>
        <v>131.92347665116998</v>
      </c>
      <c r="W120" s="27">
        <v>40116</v>
      </c>
      <c r="X120" s="26">
        <v>2715.2</v>
      </c>
      <c r="AA120" s="27">
        <v>41361</v>
      </c>
      <c r="AB120">
        <v>1.3192347665116999</v>
      </c>
      <c r="AC120" s="26">
        <f t="shared" si="15"/>
        <v>131.92347665116998</v>
      </c>
    </row>
    <row r="121" spans="3:29">
      <c r="C121" s="27">
        <v>41368</v>
      </c>
      <c r="D121" s="30">
        <v>0.74812714109915845</v>
      </c>
      <c r="E121" s="30">
        <v>0.71361316522728502</v>
      </c>
      <c r="F121" s="37">
        <f t="shared" ca="1" si="11"/>
        <v>4528.8999999999996</v>
      </c>
      <c r="G121" s="37">
        <f t="shared" si="12"/>
        <v>132.40000733236099</v>
      </c>
      <c r="H121" s="26">
        <f t="shared" si="13"/>
        <v>4</v>
      </c>
      <c r="I121" s="26">
        <f t="shared" si="14"/>
        <v>1</v>
      </c>
      <c r="J121" s="26">
        <f t="shared" si="10"/>
        <v>0</v>
      </c>
      <c r="K121" s="27" t="str">
        <f t="shared" si="16"/>
        <v/>
      </c>
      <c r="L121" s="27" t="e">
        <f t="shared" si="17"/>
        <v>#VALUE!</v>
      </c>
      <c r="M121" s="30" t="str">
        <f t="shared" si="18"/>
        <v/>
      </c>
      <c r="N121" s="30" t="str">
        <f>IF($J121=1,E121,"")</f>
        <v/>
      </c>
      <c r="O121" s="39" t="str">
        <f>IF($J121=1,F121,"")</f>
        <v/>
      </c>
      <c r="P121" s="39" t="str">
        <f t="shared" si="19"/>
        <v/>
      </c>
      <c r="W121" s="27">
        <v>40123</v>
      </c>
      <c r="X121" s="26">
        <v>2996</v>
      </c>
      <c r="AA121" s="27">
        <v>41368</v>
      </c>
      <c r="AB121">
        <v>1.3240000733236099</v>
      </c>
      <c r="AC121" s="26">
        <f t="shared" si="15"/>
        <v>132.40000733236099</v>
      </c>
    </row>
    <row r="122" spans="3:29">
      <c r="C122" s="27">
        <v>41375</v>
      </c>
      <c r="D122" s="30">
        <v>0.81951890925716175</v>
      </c>
      <c r="E122" s="30">
        <v>0.73719138808657003</v>
      </c>
      <c r="F122" s="37">
        <f t="shared" ca="1" si="11"/>
        <v>4726.8999999999996</v>
      </c>
      <c r="G122" s="37">
        <f t="shared" si="12"/>
        <v>143.203434341476</v>
      </c>
      <c r="H122" s="26">
        <f t="shared" si="13"/>
        <v>4</v>
      </c>
      <c r="I122" s="26">
        <f t="shared" si="14"/>
        <v>0</v>
      </c>
      <c r="J122" s="26">
        <f t="shared" si="10"/>
        <v>0</v>
      </c>
      <c r="K122" s="27" t="str">
        <f t="shared" si="16"/>
        <v/>
      </c>
      <c r="L122" s="27" t="e">
        <f t="shared" si="17"/>
        <v>#VALUE!</v>
      </c>
      <c r="M122" s="30" t="str">
        <f t="shared" si="18"/>
        <v/>
      </c>
      <c r="N122" s="30" t="str">
        <f>IF($J122=1,E122,"")</f>
        <v/>
      </c>
      <c r="O122" s="39" t="str">
        <f>IF($J122=1,F122,"")</f>
        <v/>
      </c>
      <c r="P122" s="39" t="str">
        <f t="shared" si="19"/>
        <v/>
      </c>
      <c r="W122" s="27">
        <v>40130</v>
      </c>
      <c r="X122" s="26">
        <v>3117</v>
      </c>
      <c r="AA122" s="27">
        <v>41375</v>
      </c>
      <c r="AB122">
        <v>1.43203434341476</v>
      </c>
      <c r="AC122" s="26">
        <f t="shared" si="15"/>
        <v>143.203434341476</v>
      </c>
    </row>
    <row r="123" spans="3:29">
      <c r="C123" s="27">
        <v>41382</v>
      </c>
      <c r="D123" s="30">
        <v>0.8263799320049966</v>
      </c>
      <c r="E123" s="30">
        <v>0.76108985756873504</v>
      </c>
      <c r="F123" s="37">
        <f t="shared" ca="1" si="11"/>
        <v>4672.1000000000004</v>
      </c>
      <c r="G123" s="37">
        <f t="shared" si="12"/>
        <v>147.623018117144</v>
      </c>
      <c r="H123" s="26">
        <f t="shared" si="13"/>
        <v>4</v>
      </c>
      <c r="I123" s="26">
        <f t="shared" si="14"/>
        <v>0</v>
      </c>
      <c r="J123" s="26">
        <f t="shared" si="10"/>
        <v>0</v>
      </c>
      <c r="K123" s="27" t="str">
        <f t="shared" si="16"/>
        <v/>
      </c>
      <c r="L123" s="27" t="e">
        <f t="shared" si="17"/>
        <v>#VALUE!</v>
      </c>
      <c r="M123" s="30" t="str">
        <f t="shared" si="18"/>
        <v/>
      </c>
      <c r="N123" s="30" t="str">
        <f>IF($J123=1,E123,"")</f>
        <v/>
      </c>
      <c r="O123" s="39" t="str">
        <f>IF($J123=1,F123,"")</f>
        <v/>
      </c>
      <c r="P123" s="39" t="str">
        <f t="shared" si="19"/>
        <v/>
      </c>
      <c r="W123" s="27">
        <v>40137</v>
      </c>
      <c r="X123" s="26">
        <v>2815.1</v>
      </c>
      <c r="AA123" s="27">
        <v>41382</v>
      </c>
      <c r="AB123">
        <v>1.47623018117144</v>
      </c>
      <c r="AC123" s="26">
        <f t="shared" si="15"/>
        <v>147.623018117144</v>
      </c>
    </row>
    <row r="124" spans="3:29">
      <c r="C124" s="27">
        <v>41389</v>
      </c>
      <c r="D124" s="30">
        <v>0.82478602429419701</v>
      </c>
      <c r="E124" s="30">
        <v>0.759939269856726</v>
      </c>
      <c r="F124" s="37">
        <f t="shared" ca="1" si="11"/>
        <v>4854.1000000000004</v>
      </c>
      <c r="G124" s="37">
        <f t="shared" si="12"/>
        <v>146.14982352525701</v>
      </c>
      <c r="H124" s="26">
        <f t="shared" si="13"/>
        <v>4</v>
      </c>
      <c r="I124" s="26">
        <f t="shared" si="14"/>
        <v>0</v>
      </c>
      <c r="J124" s="26">
        <f t="shared" si="10"/>
        <v>1</v>
      </c>
      <c r="K124" s="27">
        <f t="shared" si="16"/>
        <v>41394</v>
      </c>
      <c r="L124" s="27">
        <f t="shared" si="17"/>
        <v>41394</v>
      </c>
      <c r="M124" s="30">
        <f t="shared" si="18"/>
        <v>0.82478602429419701</v>
      </c>
      <c r="N124" s="30">
        <f>IF($J124=1,E124,"")</f>
        <v>0.759939269856726</v>
      </c>
      <c r="O124" s="39">
        <f ca="1">IF($J124=1,F124,"")</f>
        <v>4854.1000000000004</v>
      </c>
      <c r="P124" s="39">
        <f t="shared" si="19"/>
        <v>146.14982352525701</v>
      </c>
      <c r="W124" s="27">
        <v>40144</v>
      </c>
      <c r="X124" s="26">
        <v>2958.4</v>
      </c>
      <c r="AA124" s="27">
        <v>41389</v>
      </c>
      <c r="AB124">
        <v>1.4614982352525701</v>
      </c>
      <c r="AC124" s="26">
        <f t="shared" si="15"/>
        <v>146.14982352525701</v>
      </c>
    </row>
    <row r="125" spans="3:29">
      <c r="C125" s="27">
        <v>41396</v>
      </c>
      <c r="D125" s="30">
        <v>0.81686282095814366</v>
      </c>
      <c r="E125" s="30">
        <v>0.77520531199879605</v>
      </c>
      <c r="F125" s="37">
        <f t="shared" ca="1" si="11"/>
        <v>5279.9</v>
      </c>
      <c r="G125" s="37">
        <f t="shared" si="12"/>
        <v>151.668654922348</v>
      </c>
      <c r="H125" s="26">
        <f t="shared" si="13"/>
        <v>5</v>
      </c>
      <c r="I125" s="26">
        <f t="shared" si="14"/>
        <v>1</v>
      </c>
      <c r="J125" s="26">
        <f t="shared" si="10"/>
        <v>0</v>
      </c>
      <c r="K125" s="27" t="str">
        <f t="shared" si="16"/>
        <v/>
      </c>
      <c r="L125" s="27" t="e">
        <f t="shared" si="17"/>
        <v>#VALUE!</v>
      </c>
      <c r="M125" s="30" t="str">
        <f t="shared" si="18"/>
        <v/>
      </c>
      <c r="N125" s="30" t="str">
        <f>IF($J125=1,E125,"")</f>
        <v/>
      </c>
      <c r="O125" s="39" t="str">
        <f>IF($J125=1,F125,"")</f>
        <v/>
      </c>
      <c r="P125" s="39" t="str">
        <f t="shared" si="19"/>
        <v/>
      </c>
      <c r="W125" s="27">
        <v>40151</v>
      </c>
      <c r="X125" s="26">
        <v>3312.7</v>
      </c>
      <c r="AA125" s="27">
        <v>41396</v>
      </c>
      <c r="AB125">
        <v>1.51668654922348</v>
      </c>
      <c r="AC125" s="26">
        <f t="shared" si="15"/>
        <v>151.668654922348</v>
      </c>
    </row>
    <row r="126" spans="3:29">
      <c r="C126" s="27">
        <v>41403</v>
      </c>
      <c r="D126" s="30">
        <v>0.80807149473903783</v>
      </c>
      <c r="E126" s="30">
        <v>0.75094523370436095</v>
      </c>
      <c r="F126" s="37">
        <f t="shared" ca="1" si="11"/>
        <v>4797.2</v>
      </c>
      <c r="G126" s="37">
        <f t="shared" si="12"/>
        <v>144.77129623610102</v>
      </c>
      <c r="H126" s="26">
        <f t="shared" si="13"/>
        <v>5</v>
      </c>
      <c r="I126" s="26">
        <f t="shared" si="14"/>
        <v>0</v>
      </c>
      <c r="J126" s="26">
        <f t="shared" si="10"/>
        <v>0</v>
      </c>
      <c r="K126" s="27" t="str">
        <f t="shared" si="16"/>
        <v/>
      </c>
      <c r="L126" s="27" t="e">
        <f t="shared" si="17"/>
        <v>#VALUE!</v>
      </c>
      <c r="M126" s="30" t="str">
        <f t="shared" si="18"/>
        <v/>
      </c>
      <c r="N126" s="30" t="str">
        <f>IF($J126=1,E126,"")</f>
        <v/>
      </c>
      <c r="O126" s="39" t="str">
        <f>IF($J126=1,F126,"")</f>
        <v/>
      </c>
      <c r="P126" s="39" t="str">
        <f t="shared" si="19"/>
        <v/>
      </c>
      <c r="W126" s="27">
        <v>40158</v>
      </c>
      <c r="X126" s="26">
        <v>3354</v>
      </c>
      <c r="AA126" s="27">
        <v>41403</v>
      </c>
      <c r="AB126">
        <v>1.4477129623610101</v>
      </c>
      <c r="AC126" s="26">
        <f t="shared" si="15"/>
        <v>144.77129623610102</v>
      </c>
    </row>
    <row r="127" spans="3:29">
      <c r="C127" s="27">
        <v>41410</v>
      </c>
      <c r="D127" s="30">
        <v>0.77783403735744605</v>
      </c>
      <c r="E127" s="30">
        <v>0.72159050384319001</v>
      </c>
      <c r="F127" s="37">
        <f t="shared" ca="1" si="11"/>
        <v>4241.5</v>
      </c>
      <c r="G127" s="37">
        <f t="shared" si="12"/>
        <v>135.90326363747101</v>
      </c>
      <c r="H127" s="26">
        <f t="shared" si="13"/>
        <v>5</v>
      </c>
      <c r="I127" s="26">
        <f t="shared" si="14"/>
        <v>0</v>
      </c>
      <c r="J127" s="26">
        <f t="shared" si="10"/>
        <v>0</v>
      </c>
      <c r="K127" s="27" t="str">
        <f t="shared" si="16"/>
        <v/>
      </c>
      <c r="L127" s="27" t="e">
        <f t="shared" si="17"/>
        <v>#VALUE!</v>
      </c>
      <c r="M127" s="30" t="str">
        <f t="shared" si="18"/>
        <v/>
      </c>
      <c r="N127" s="30" t="str">
        <f>IF($J127=1,E127,"")</f>
        <v/>
      </c>
      <c r="O127" s="39" t="str">
        <f>IF($J127=1,F127,"")</f>
        <v/>
      </c>
      <c r="P127" s="39" t="str">
        <f t="shared" si="19"/>
        <v/>
      </c>
      <c r="W127" s="27">
        <v>40165</v>
      </c>
      <c r="X127" s="26">
        <v>2988.7</v>
      </c>
      <c r="AA127" s="27">
        <v>41410</v>
      </c>
      <c r="AB127">
        <v>1.3590326363747101</v>
      </c>
      <c r="AC127" s="26">
        <f t="shared" si="15"/>
        <v>135.90326363747101</v>
      </c>
    </row>
    <row r="128" spans="3:29">
      <c r="C128" s="27">
        <v>41417</v>
      </c>
      <c r="D128" s="30">
        <v>0.69528028144531095</v>
      </c>
      <c r="E128" s="30">
        <v>0.68530860108825797</v>
      </c>
      <c r="F128" s="37">
        <f t="shared" ca="1" si="11"/>
        <v>3709.4</v>
      </c>
      <c r="G128" s="37">
        <f t="shared" si="12"/>
        <v>128.020567996046</v>
      </c>
      <c r="H128" s="26">
        <f t="shared" si="13"/>
        <v>5</v>
      </c>
      <c r="I128" s="26">
        <f t="shared" si="14"/>
        <v>0</v>
      </c>
      <c r="J128" s="26">
        <f t="shared" si="10"/>
        <v>0</v>
      </c>
      <c r="K128" s="27" t="str">
        <f t="shared" si="16"/>
        <v/>
      </c>
      <c r="L128" s="27" t="e">
        <f t="shared" si="17"/>
        <v>#VALUE!</v>
      </c>
      <c r="M128" s="30" t="str">
        <f t="shared" si="18"/>
        <v/>
      </c>
      <c r="N128" s="30" t="str">
        <f>IF($J128=1,E128,"")</f>
        <v/>
      </c>
      <c r="O128" s="39" t="str">
        <f>IF($J128=1,F128,"")</f>
        <v/>
      </c>
      <c r="P128" s="39" t="str">
        <f t="shared" si="19"/>
        <v/>
      </c>
      <c r="W128" s="27">
        <v>40172</v>
      </c>
      <c r="X128" s="26">
        <v>2038.4</v>
      </c>
      <c r="AA128" s="27">
        <v>41417</v>
      </c>
      <c r="AB128">
        <v>1.28020567996046</v>
      </c>
      <c r="AC128" s="26">
        <f t="shared" si="15"/>
        <v>128.020567996046</v>
      </c>
    </row>
    <row r="129" spans="3:29">
      <c r="C129" s="27">
        <v>41424</v>
      </c>
      <c r="D129" s="30">
        <v>0.63267241864898449</v>
      </c>
      <c r="E129" s="30">
        <v>0.61546645850988302</v>
      </c>
      <c r="F129" s="37">
        <f t="shared" ca="1" si="11"/>
        <v>3163.6</v>
      </c>
      <c r="G129" s="37">
        <f t="shared" si="12"/>
        <v>103.87981259407699</v>
      </c>
      <c r="H129" s="26">
        <f t="shared" si="13"/>
        <v>5</v>
      </c>
      <c r="I129" s="26">
        <f t="shared" si="14"/>
        <v>0</v>
      </c>
      <c r="J129" s="26">
        <f t="shared" si="10"/>
        <v>1</v>
      </c>
      <c r="K129" s="27">
        <f t="shared" si="16"/>
        <v>41425</v>
      </c>
      <c r="L129" s="27">
        <f t="shared" si="17"/>
        <v>41425</v>
      </c>
      <c r="M129" s="30">
        <f t="shared" si="18"/>
        <v>0.63267241864898449</v>
      </c>
      <c r="N129" s="30">
        <f>IF($J129=1,E129,"")</f>
        <v>0.61546645850988302</v>
      </c>
      <c r="O129" s="39">
        <f ca="1">IF($J129=1,F129,"")</f>
        <v>3163.6</v>
      </c>
      <c r="P129" s="39">
        <f t="shared" si="19"/>
        <v>103.87981259407699</v>
      </c>
      <c r="W129" s="27">
        <v>40179</v>
      </c>
      <c r="X129" s="26">
        <v>2021.1</v>
      </c>
      <c r="AA129" s="27">
        <v>41424</v>
      </c>
      <c r="AB129">
        <v>1.0387981259407699</v>
      </c>
      <c r="AC129" s="26">
        <f t="shared" si="15"/>
        <v>103.87981259407699</v>
      </c>
    </row>
    <row r="130" spans="3:29">
      <c r="C130" s="27">
        <v>41431</v>
      </c>
      <c r="D130" s="30">
        <v>0.60569175356282723</v>
      </c>
      <c r="E130" s="30">
        <v>0.57861777554698002</v>
      </c>
      <c r="F130" s="37">
        <f t="shared" ca="1" si="11"/>
        <v>3339.8</v>
      </c>
      <c r="G130" s="37">
        <f t="shared" si="12"/>
        <v>93.659915423211402</v>
      </c>
      <c r="H130" s="26">
        <f t="shared" si="13"/>
        <v>6</v>
      </c>
      <c r="I130" s="26">
        <f t="shared" si="14"/>
        <v>1</v>
      </c>
      <c r="J130" s="26">
        <f t="shared" si="10"/>
        <v>0</v>
      </c>
      <c r="K130" s="27" t="str">
        <f t="shared" si="16"/>
        <v/>
      </c>
      <c r="L130" s="27" t="e">
        <f t="shared" si="17"/>
        <v>#VALUE!</v>
      </c>
      <c r="M130" s="30" t="str">
        <f t="shared" si="18"/>
        <v/>
      </c>
      <c r="N130" s="30" t="str">
        <f>IF($J130=1,E130,"")</f>
        <v/>
      </c>
      <c r="O130" s="39" t="str">
        <f>IF($J130=1,F130,"")</f>
        <v/>
      </c>
      <c r="P130" s="39" t="str">
        <f t="shared" si="19"/>
        <v/>
      </c>
      <c r="W130" s="27">
        <v>40186</v>
      </c>
      <c r="X130" s="26">
        <v>2430</v>
      </c>
      <c r="AA130" s="27">
        <v>41431</v>
      </c>
      <c r="AB130">
        <v>0.93659915423211404</v>
      </c>
      <c r="AC130" s="26">
        <f t="shared" si="15"/>
        <v>93.659915423211402</v>
      </c>
    </row>
    <row r="131" spans="3:29">
      <c r="C131" s="27">
        <v>41438</v>
      </c>
      <c r="D131" s="30">
        <v>0.57343184072471942</v>
      </c>
      <c r="E131" s="30">
        <v>0.55842108987699401</v>
      </c>
      <c r="F131" s="37">
        <f t="shared" ca="1" si="11"/>
        <v>3214.4</v>
      </c>
      <c r="G131" s="37">
        <f t="shared" si="12"/>
        <v>86.743605583089504</v>
      </c>
      <c r="H131" s="26">
        <f t="shared" si="13"/>
        <v>6</v>
      </c>
      <c r="I131" s="26">
        <f t="shared" si="14"/>
        <v>0</v>
      </c>
      <c r="J131" s="26">
        <f t="shared" si="10"/>
        <v>0</v>
      </c>
      <c r="K131" s="27" t="str">
        <f t="shared" si="16"/>
        <v/>
      </c>
      <c r="L131" s="27" t="e">
        <f t="shared" si="17"/>
        <v>#VALUE!</v>
      </c>
      <c r="M131" s="30" t="str">
        <f t="shared" si="18"/>
        <v/>
      </c>
      <c r="N131" s="30" t="str">
        <f>IF($J131=1,E131,"")</f>
        <v/>
      </c>
      <c r="O131" s="39" t="str">
        <f>IF($J131=1,F131,"")</f>
        <v/>
      </c>
      <c r="P131" s="39" t="str">
        <f t="shared" si="19"/>
        <v/>
      </c>
      <c r="W131" s="27">
        <v>40193</v>
      </c>
      <c r="X131" s="26">
        <v>2638.2</v>
      </c>
      <c r="AA131" s="27">
        <v>41438</v>
      </c>
      <c r="AB131">
        <v>0.867436055830895</v>
      </c>
      <c r="AC131" s="26">
        <f t="shared" si="15"/>
        <v>86.743605583089504</v>
      </c>
    </row>
    <row r="132" spans="3:29">
      <c r="C132" s="27">
        <v>41445</v>
      </c>
      <c r="D132" s="30">
        <v>0.58795254732817659</v>
      </c>
      <c r="E132" s="30">
        <v>0.55919632116239604</v>
      </c>
      <c r="F132" s="37">
        <f t="shared" ca="1" si="11"/>
        <v>3040.1</v>
      </c>
      <c r="G132" s="37">
        <f t="shared" si="12"/>
        <v>89.213716240274891</v>
      </c>
      <c r="H132" s="26">
        <f t="shared" si="13"/>
        <v>6</v>
      </c>
      <c r="I132" s="26">
        <f t="shared" si="14"/>
        <v>0</v>
      </c>
      <c r="J132" s="26">
        <f t="shared" ref="J132:J195" si="20">I133</f>
        <v>0</v>
      </c>
      <c r="K132" s="27" t="str">
        <f t="shared" si="16"/>
        <v/>
      </c>
      <c r="L132" s="27" t="e">
        <f t="shared" si="17"/>
        <v>#VALUE!</v>
      </c>
      <c r="M132" s="30" t="str">
        <f t="shared" si="18"/>
        <v/>
      </c>
      <c r="N132" s="30" t="str">
        <f>IF($J132=1,E132,"")</f>
        <v/>
      </c>
      <c r="O132" s="39" t="str">
        <f>IF($J132=1,F132,"")</f>
        <v/>
      </c>
      <c r="P132" s="39" t="str">
        <f t="shared" si="19"/>
        <v/>
      </c>
      <c r="W132" s="27">
        <v>40200</v>
      </c>
      <c r="X132" s="26">
        <v>2192.1</v>
      </c>
      <c r="AA132" s="27">
        <v>41445</v>
      </c>
      <c r="AB132">
        <v>0.89213716240274898</v>
      </c>
      <c r="AC132" s="26">
        <f t="shared" si="15"/>
        <v>89.213716240274891</v>
      </c>
    </row>
    <row r="133" spans="3:29">
      <c r="C133" s="27">
        <v>41452</v>
      </c>
      <c r="D133" s="30">
        <v>0.39082116641682313</v>
      </c>
      <c r="E133" s="30">
        <v>0.35042164075900101</v>
      </c>
      <c r="F133" s="37">
        <f t="shared" ref="F133:F196" ca="1" si="21">VLOOKUP(C133+1,W:X,2,0)</f>
        <v>2573.4</v>
      </c>
      <c r="G133" s="37">
        <f t="shared" ref="G133:G196" si="22">VLOOKUP(C133,AA:AC,3,0)</f>
        <v>36.847370124273198</v>
      </c>
      <c r="H133" s="26">
        <f t="shared" ref="H133:H196" si="23">MONTH(C133)</f>
        <v>6</v>
      </c>
      <c r="I133" s="26">
        <f t="shared" ref="I133:I196" si="24">IF(H133=H132,0,1)</f>
        <v>0</v>
      </c>
      <c r="J133" s="26">
        <f t="shared" si="20"/>
        <v>1</v>
      </c>
      <c r="K133" s="27">
        <f t="shared" si="16"/>
        <v>41455</v>
      </c>
      <c r="L133" s="27">
        <f t="shared" si="17"/>
        <v>41453</v>
      </c>
      <c r="M133" s="30">
        <f t="shared" si="18"/>
        <v>0.39082116641682313</v>
      </c>
      <c r="N133" s="30">
        <f>IF($J133=1,E133,"")</f>
        <v>0.35042164075900101</v>
      </c>
      <c r="O133" s="39">
        <f ca="1">IF($J133=1,F133,"")</f>
        <v>2573.4</v>
      </c>
      <c r="P133" s="39">
        <f t="shared" si="19"/>
        <v>36.847370124273198</v>
      </c>
      <c r="W133" s="27">
        <v>40207</v>
      </c>
      <c r="X133" s="26">
        <v>2763.6</v>
      </c>
      <c r="AA133" s="27">
        <v>41452</v>
      </c>
      <c r="AB133">
        <v>0.36847370124273199</v>
      </c>
      <c r="AC133" s="26">
        <f t="shared" ref="AC133:AC196" si="25">AB133*100</f>
        <v>36.847370124273198</v>
      </c>
    </row>
    <row r="134" spans="3:29">
      <c r="C134" s="27">
        <v>41458</v>
      </c>
      <c r="D134" s="30">
        <v>0.4330864642120939</v>
      </c>
      <c r="E134" s="30">
        <v>0.439218479739446</v>
      </c>
      <c r="F134" s="37" t="e">
        <f t="shared" ca="1" si="21"/>
        <v>#N/A</v>
      </c>
      <c r="G134" s="37">
        <f t="shared" si="22"/>
        <v>52.540531453161201</v>
      </c>
      <c r="H134" s="26">
        <f t="shared" si="23"/>
        <v>7</v>
      </c>
      <c r="I134" s="26">
        <f t="shared" si="24"/>
        <v>1</v>
      </c>
      <c r="J134" s="26">
        <f t="shared" si="20"/>
        <v>0</v>
      </c>
      <c r="K134" s="27" t="str">
        <f t="shared" si="16"/>
        <v/>
      </c>
      <c r="L134" s="27" t="e">
        <f t="shared" si="17"/>
        <v>#VALUE!</v>
      </c>
      <c r="M134" s="30" t="str">
        <f t="shared" si="18"/>
        <v/>
      </c>
      <c r="N134" s="30" t="str">
        <f>IF($J134=1,E134,"")</f>
        <v/>
      </c>
      <c r="O134" s="39" t="str">
        <f>IF($J134=1,F134,"")</f>
        <v/>
      </c>
      <c r="P134" s="39" t="str">
        <f t="shared" si="19"/>
        <v/>
      </c>
      <c r="W134" s="27">
        <v>40214</v>
      </c>
      <c r="X134" s="26">
        <v>2807.8</v>
      </c>
      <c r="AA134" s="27">
        <v>41458</v>
      </c>
      <c r="AB134">
        <v>0.52540531453161199</v>
      </c>
      <c r="AC134" s="26">
        <f t="shared" si="25"/>
        <v>52.540531453161201</v>
      </c>
    </row>
    <row r="135" spans="3:29">
      <c r="C135" s="27">
        <v>41466</v>
      </c>
      <c r="D135" s="30">
        <v>0.31856955774356621</v>
      </c>
      <c r="E135" s="30">
        <v>0.32003461094412999</v>
      </c>
      <c r="F135" s="37">
        <f t="shared" ca="1" si="21"/>
        <v>2242.1999999999998</v>
      </c>
      <c r="G135" s="37">
        <f t="shared" si="22"/>
        <v>28.318343627386099</v>
      </c>
      <c r="H135" s="26">
        <f t="shared" si="23"/>
        <v>7</v>
      </c>
      <c r="I135" s="26">
        <f t="shared" si="24"/>
        <v>0</v>
      </c>
      <c r="J135" s="26">
        <f t="shared" si="20"/>
        <v>0</v>
      </c>
      <c r="K135" s="27" t="str">
        <f t="shared" si="16"/>
        <v/>
      </c>
      <c r="L135" s="27" t="e">
        <f t="shared" si="17"/>
        <v>#VALUE!</v>
      </c>
      <c r="M135" s="30" t="str">
        <f t="shared" si="18"/>
        <v/>
      </c>
      <c r="N135" s="30" t="str">
        <f>IF($J135=1,E135,"")</f>
        <v/>
      </c>
      <c r="O135" s="39" t="str">
        <f>IF($J135=1,F135,"")</f>
        <v/>
      </c>
      <c r="P135" s="39" t="str">
        <f t="shared" si="19"/>
        <v/>
      </c>
      <c r="W135" s="27">
        <v>40221</v>
      </c>
      <c r="X135" s="26">
        <v>2781.2</v>
      </c>
      <c r="AA135" s="27">
        <v>41466</v>
      </c>
      <c r="AB135">
        <v>0.283183436273861</v>
      </c>
      <c r="AC135" s="26">
        <f t="shared" si="25"/>
        <v>28.318343627386099</v>
      </c>
    </row>
    <row r="136" spans="3:29">
      <c r="C136" s="27">
        <v>41473</v>
      </c>
      <c r="D136" s="30">
        <v>0.42624975952077765</v>
      </c>
      <c r="E136" s="30">
        <v>0.407195502334876</v>
      </c>
      <c r="F136" s="37">
        <f t="shared" ca="1" si="21"/>
        <v>2288</v>
      </c>
      <c r="G136" s="37">
        <f t="shared" si="22"/>
        <v>44.6312456565433</v>
      </c>
      <c r="H136" s="26">
        <f t="shared" si="23"/>
        <v>7</v>
      </c>
      <c r="I136" s="26">
        <f t="shared" si="24"/>
        <v>0</v>
      </c>
      <c r="J136" s="26">
        <f t="shared" si="20"/>
        <v>0</v>
      </c>
      <c r="K136" s="27" t="str">
        <f t="shared" ref="K136:K199" si="26">IF(J136=1,EOMONTH(C136,0),"")</f>
        <v/>
      </c>
      <c r="L136" s="27" t="e">
        <f t="shared" ref="L136:L199" si="27">IF(WEEKDAY(K136,2)=6,K136-1,IF(WEEKDAY(K136,2)=7,K136-2,IF(J136=1,K136,"")))</f>
        <v>#VALUE!</v>
      </c>
      <c r="M136" s="30" t="str">
        <f t="shared" ref="M136:M199" si="28">IF(J136=1,D136,"")</f>
        <v/>
      </c>
      <c r="N136" s="30" t="str">
        <f>IF($J136=1,E136,"")</f>
        <v/>
      </c>
      <c r="O136" s="39" t="str">
        <f>IF($J136=1,F136,"")</f>
        <v/>
      </c>
      <c r="P136" s="39" t="str">
        <f t="shared" ref="P136:P199" si="29">IF($J136=1,G136,"")</f>
        <v/>
      </c>
      <c r="W136" s="27">
        <v>40228</v>
      </c>
      <c r="X136" s="26">
        <v>2474.9</v>
      </c>
      <c r="AA136" s="27">
        <v>41473</v>
      </c>
      <c r="AB136">
        <v>0.446312456565433</v>
      </c>
      <c r="AC136" s="26">
        <f t="shared" si="25"/>
        <v>44.6312456565433</v>
      </c>
    </row>
    <row r="137" spans="3:29">
      <c r="C137" s="27">
        <v>41480</v>
      </c>
      <c r="D137" s="30">
        <v>0.42922629610906576</v>
      </c>
      <c r="E137" s="30">
        <v>0.40895553727695599</v>
      </c>
      <c r="F137" s="37">
        <f t="shared" ca="1" si="21"/>
        <v>2218.3000000000002</v>
      </c>
      <c r="G137" s="37">
        <f t="shared" si="22"/>
        <v>48.091558176638202</v>
      </c>
      <c r="H137" s="26">
        <f t="shared" si="23"/>
        <v>7</v>
      </c>
      <c r="I137" s="26">
        <f t="shared" si="24"/>
        <v>0</v>
      </c>
      <c r="J137" s="26">
        <f t="shared" si="20"/>
        <v>1</v>
      </c>
      <c r="K137" s="27">
        <f t="shared" si="26"/>
        <v>41486</v>
      </c>
      <c r="L137" s="27">
        <f t="shared" si="27"/>
        <v>41486</v>
      </c>
      <c r="M137" s="30">
        <f t="shared" si="28"/>
        <v>0.42922629610906576</v>
      </c>
      <c r="N137" s="30">
        <f>IF($J137=1,E137,"")</f>
        <v>0.40895553727695599</v>
      </c>
      <c r="O137" s="39">
        <f ca="1">IF($J137=1,F137,"")</f>
        <v>2218.3000000000002</v>
      </c>
      <c r="P137" s="39">
        <f t="shared" si="29"/>
        <v>48.091558176638202</v>
      </c>
      <c r="W137" s="27">
        <v>40235</v>
      </c>
      <c r="X137" s="26">
        <v>2971.5</v>
      </c>
      <c r="AA137" s="27">
        <v>41480</v>
      </c>
      <c r="AB137">
        <v>0.48091558176638199</v>
      </c>
      <c r="AC137" s="26">
        <f t="shared" si="25"/>
        <v>48.091558176638202</v>
      </c>
    </row>
    <row r="138" spans="3:29">
      <c r="C138" s="27">
        <v>41487</v>
      </c>
      <c r="D138" s="30">
        <v>0.40917398895537016</v>
      </c>
      <c r="E138" s="30">
        <v>0.36357930006355599</v>
      </c>
      <c r="F138" s="37">
        <f t="shared" ca="1" si="21"/>
        <v>2228.9</v>
      </c>
      <c r="G138" s="37">
        <f t="shared" si="22"/>
        <v>39.4657503006312</v>
      </c>
      <c r="H138" s="26">
        <f t="shared" si="23"/>
        <v>8</v>
      </c>
      <c r="I138" s="26">
        <f t="shared" si="24"/>
        <v>1</v>
      </c>
      <c r="J138" s="26">
        <f t="shared" si="20"/>
        <v>0</v>
      </c>
      <c r="K138" s="27" t="str">
        <f t="shared" si="26"/>
        <v/>
      </c>
      <c r="L138" s="27" t="e">
        <f t="shared" si="27"/>
        <v>#VALUE!</v>
      </c>
      <c r="M138" s="30" t="str">
        <f t="shared" si="28"/>
        <v/>
      </c>
      <c r="N138" s="30" t="str">
        <f>IF($J138=1,E138,"")</f>
        <v/>
      </c>
      <c r="O138" s="39" t="str">
        <f>IF($J138=1,F138,"")</f>
        <v/>
      </c>
      <c r="P138" s="39" t="str">
        <f t="shared" si="29"/>
        <v/>
      </c>
      <c r="W138" s="27">
        <v>40242</v>
      </c>
      <c r="X138" s="26">
        <v>2937.6</v>
      </c>
      <c r="AA138" s="27">
        <v>41487</v>
      </c>
      <c r="AB138">
        <v>0.39465750300631203</v>
      </c>
      <c r="AC138" s="26">
        <f t="shared" si="25"/>
        <v>39.4657503006312</v>
      </c>
    </row>
    <row r="139" spans="3:29">
      <c r="C139" s="27">
        <v>41494</v>
      </c>
      <c r="D139" s="30">
        <v>0.40797811985401045</v>
      </c>
      <c r="E139" s="30">
        <v>0.36292296585782302</v>
      </c>
      <c r="F139" s="37">
        <f t="shared" ca="1" si="21"/>
        <v>2110.6</v>
      </c>
      <c r="G139" s="37">
        <f t="shared" si="22"/>
        <v>38.476385556169404</v>
      </c>
      <c r="H139" s="26">
        <f t="shared" si="23"/>
        <v>8</v>
      </c>
      <c r="I139" s="26">
        <f t="shared" si="24"/>
        <v>0</v>
      </c>
      <c r="J139" s="26">
        <f t="shared" si="20"/>
        <v>0</v>
      </c>
      <c r="K139" s="27" t="str">
        <f t="shared" si="26"/>
        <v/>
      </c>
      <c r="L139" s="27" t="e">
        <f t="shared" si="27"/>
        <v>#VALUE!</v>
      </c>
      <c r="M139" s="30" t="str">
        <f t="shared" si="28"/>
        <v/>
      </c>
      <c r="N139" s="30" t="str">
        <f>IF($J139=1,E139,"")</f>
        <v/>
      </c>
      <c r="O139" s="39" t="str">
        <f>IF($J139=1,F139,"")</f>
        <v/>
      </c>
      <c r="P139" s="39" t="str">
        <f t="shared" si="29"/>
        <v/>
      </c>
      <c r="W139" s="27">
        <v>40249</v>
      </c>
      <c r="X139" s="26">
        <v>2847.2</v>
      </c>
      <c r="AA139" s="27">
        <v>41494</v>
      </c>
      <c r="AB139">
        <v>0.38476385556169401</v>
      </c>
      <c r="AC139" s="26">
        <f t="shared" si="25"/>
        <v>38.476385556169404</v>
      </c>
    </row>
    <row r="140" spans="3:29">
      <c r="C140" s="27">
        <v>41501</v>
      </c>
      <c r="D140" s="30">
        <v>0.40797811985401045</v>
      </c>
      <c r="E140" s="30">
        <v>0.36292296585782302</v>
      </c>
      <c r="F140" s="37">
        <f t="shared" ca="1" si="21"/>
        <v>1935.1</v>
      </c>
      <c r="G140" s="37">
        <f t="shared" si="22"/>
        <v>38.476385556169404</v>
      </c>
      <c r="H140" s="26">
        <f t="shared" si="23"/>
        <v>8</v>
      </c>
      <c r="I140" s="26">
        <f t="shared" si="24"/>
        <v>0</v>
      </c>
      <c r="J140" s="26">
        <f t="shared" si="20"/>
        <v>0</v>
      </c>
      <c r="K140" s="27" t="str">
        <f t="shared" si="26"/>
        <v/>
      </c>
      <c r="L140" s="27" t="e">
        <f t="shared" si="27"/>
        <v>#VALUE!</v>
      </c>
      <c r="M140" s="30" t="str">
        <f t="shared" si="28"/>
        <v/>
      </c>
      <c r="N140" s="30" t="str">
        <f>IF($J140=1,E140,"")</f>
        <v/>
      </c>
      <c r="O140" s="39" t="str">
        <f>IF($J140=1,F140,"")</f>
        <v/>
      </c>
      <c r="P140" s="39" t="str">
        <f t="shared" si="29"/>
        <v/>
      </c>
      <c r="W140" s="27">
        <v>40256</v>
      </c>
      <c r="X140" s="26">
        <v>2617.6999999999998</v>
      </c>
      <c r="AA140" s="27">
        <v>41501</v>
      </c>
      <c r="AB140">
        <v>0.38476385556169401</v>
      </c>
      <c r="AC140" s="26">
        <f t="shared" si="25"/>
        <v>38.476385556169404</v>
      </c>
    </row>
    <row r="141" spans="3:29">
      <c r="C141" s="27">
        <v>41508</v>
      </c>
      <c r="D141" s="30">
        <v>0.28211495793674252</v>
      </c>
      <c r="E141" s="30">
        <v>0.28848466841060699</v>
      </c>
      <c r="F141" s="37">
        <f t="shared" ca="1" si="21"/>
        <v>1842.6</v>
      </c>
      <c r="G141" s="37">
        <f t="shared" si="22"/>
        <v>18.194407871698999</v>
      </c>
      <c r="H141" s="26">
        <f t="shared" si="23"/>
        <v>8</v>
      </c>
      <c r="I141" s="26">
        <f t="shared" si="24"/>
        <v>0</v>
      </c>
      <c r="J141" s="26">
        <f t="shared" si="20"/>
        <v>0</v>
      </c>
      <c r="K141" s="27" t="str">
        <f t="shared" si="26"/>
        <v/>
      </c>
      <c r="L141" s="27" t="e">
        <f t="shared" si="27"/>
        <v>#VALUE!</v>
      </c>
      <c r="M141" s="30" t="str">
        <f t="shared" si="28"/>
        <v/>
      </c>
      <c r="N141" s="30" t="str">
        <f>IF($J141=1,E141,"")</f>
        <v/>
      </c>
      <c r="O141" s="39" t="str">
        <f>IF($J141=1,F141,"")</f>
        <v/>
      </c>
      <c r="P141" s="39" t="str">
        <f t="shared" si="29"/>
        <v/>
      </c>
      <c r="W141" s="27">
        <v>40263</v>
      </c>
      <c r="X141" s="26">
        <v>2577.1999999999998</v>
      </c>
      <c r="AA141" s="27">
        <v>41508</v>
      </c>
      <c r="AB141">
        <v>0.18194407871699</v>
      </c>
      <c r="AC141" s="26">
        <f t="shared" si="25"/>
        <v>18.194407871698999</v>
      </c>
    </row>
    <row r="142" spans="3:29">
      <c r="C142" s="27">
        <v>41515</v>
      </c>
      <c r="D142" s="30">
        <v>0.32707732602530493</v>
      </c>
      <c r="E142" s="30">
        <v>0.32738957382411199</v>
      </c>
      <c r="F142" s="37">
        <f t="shared" ca="1" si="21"/>
        <v>1909</v>
      </c>
      <c r="G142" s="37">
        <f t="shared" si="22"/>
        <v>27.593373344471399</v>
      </c>
      <c r="H142" s="26">
        <f t="shared" si="23"/>
        <v>8</v>
      </c>
      <c r="I142" s="26">
        <f t="shared" si="24"/>
        <v>0</v>
      </c>
      <c r="J142" s="26">
        <f t="shared" si="20"/>
        <v>1</v>
      </c>
      <c r="K142" s="27">
        <f t="shared" si="26"/>
        <v>41517</v>
      </c>
      <c r="L142" s="27">
        <f t="shared" si="27"/>
        <v>41516</v>
      </c>
      <c r="M142" s="30">
        <f t="shared" si="28"/>
        <v>0.32707732602530493</v>
      </c>
      <c r="N142" s="30">
        <f>IF($J142=1,E142,"")</f>
        <v>0.32738957382411199</v>
      </c>
      <c r="O142" s="39">
        <f ca="1">IF($J142=1,F142,"")</f>
        <v>1909</v>
      </c>
      <c r="P142" s="39">
        <f t="shared" si="29"/>
        <v>27.593373344471399</v>
      </c>
      <c r="W142" s="27">
        <v>40270</v>
      </c>
      <c r="X142" s="26">
        <v>2051.3000000000002</v>
      </c>
      <c r="AA142" s="27">
        <v>41515</v>
      </c>
      <c r="AB142">
        <v>0.275933733444714</v>
      </c>
      <c r="AC142" s="26">
        <f t="shared" si="25"/>
        <v>27.593373344471399</v>
      </c>
    </row>
    <row r="143" spans="3:29">
      <c r="C143" s="27">
        <v>41522</v>
      </c>
      <c r="D143" s="30">
        <v>0.2818649256036454</v>
      </c>
      <c r="E143" s="30">
        <v>0.29894428975906101</v>
      </c>
      <c r="F143" s="37">
        <f t="shared" ca="1" si="21"/>
        <v>1512.9</v>
      </c>
      <c r="G143" s="37">
        <f t="shared" si="22"/>
        <v>19.7293831993825</v>
      </c>
      <c r="H143" s="26">
        <f t="shared" si="23"/>
        <v>9</v>
      </c>
      <c r="I143" s="26">
        <f t="shared" si="24"/>
        <v>1</v>
      </c>
      <c r="J143" s="26">
        <f t="shared" si="20"/>
        <v>0</v>
      </c>
      <c r="K143" s="27" t="str">
        <f t="shared" si="26"/>
        <v/>
      </c>
      <c r="L143" s="27" t="e">
        <f t="shared" si="27"/>
        <v>#VALUE!</v>
      </c>
      <c r="M143" s="30" t="str">
        <f t="shared" si="28"/>
        <v/>
      </c>
      <c r="N143" s="30" t="str">
        <f>IF($J143=1,E143,"")</f>
        <v/>
      </c>
      <c r="O143" s="39" t="str">
        <f>IF($J143=1,F143,"")</f>
        <v/>
      </c>
      <c r="P143" s="39" t="str">
        <f t="shared" si="29"/>
        <v/>
      </c>
      <c r="W143" s="27">
        <v>40277</v>
      </c>
      <c r="X143" s="26">
        <v>1892.5</v>
      </c>
      <c r="AA143" s="27">
        <v>41522</v>
      </c>
      <c r="AB143">
        <v>0.197293831993825</v>
      </c>
      <c r="AC143" s="26">
        <f t="shared" si="25"/>
        <v>19.7293831993825</v>
      </c>
    </row>
    <row r="144" spans="3:29">
      <c r="C144" s="27">
        <v>41529</v>
      </c>
      <c r="D144" s="30">
        <v>0.27463010199382165</v>
      </c>
      <c r="E144" s="30">
        <v>0.28251411119681702</v>
      </c>
      <c r="F144" s="37">
        <f t="shared" ca="1" si="21"/>
        <v>1814</v>
      </c>
      <c r="G144" s="37">
        <f t="shared" si="22"/>
        <v>17.2545162320692</v>
      </c>
      <c r="H144" s="26">
        <f t="shared" si="23"/>
        <v>9</v>
      </c>
      <c r="I144" s="26">
        <f t="shared" si="24"/>
        <v>0</v>
      </c>
      <c r="J144" s="26">
        <f t="shared" si="20"/>
        <v>0</v>
      </c>
      <c r="K144" s="27" t="str">
        <f t="shared" si="26"/>
        <v/>
      </c>
      <c r="L144" s="27" t="e">
        <f t="shared" si="27"/>
        <v>#VALUE!</v>
      </c>
      <c r="M144" s="30" t="str">
        <f t="shared" si="28"/>
        <v/>
      </c>
      <c r="N144" s="30" t="str">
        <f>IF($J144=1,E144,"")</f>
        <v/>
      </c>
      <c r="O144" s="39" t="str">
        <f>IF($J144=1,F144,"")</f>
        <v/>
      </c>
      <c r="P144" s="39" t="str">
        <f t="shared" si="29"/>
        <v/>
      </c>
      <c r="W144" s="27">
        <v>40284</v>
      </c>
      <c r="X144" s="26">
        <v>2217</v>
      </c>
      <c r="AA144" s="27">
        <v>41529</v>
      </c>
      <c r="AB144">
        <v>0.172545162320692</v>
      </c>
      <c r="AC144" s="26">
        <f t="shared" si="25"/>
        <v>17.2545162320692</v>
      </c>
    </row>
    <row r="145" spans="3:29">
      <c r="C145" s="27">
        <v>41536</v>
      </c>
      <c r="D145" s="30">
        <v>0.33277831045649614</v>
      </c>
      <c r="E145" s="30">
        <v>0.32091811677951898</v>
      </c>
      <c r="F145" s="37">
        <f t="shared" ca="1" si="21"/>
        <v>1922.9</v>
      </c>
      <c r="G145" s="37">
        <f t="shared" si="22"/>
        <v>26.659010192225502</v>
      </c>
      <c r="H145" s="26">
        <f t="shared" si="23"/>
        <v>9</v>
      </c>
      <c r="I145" s="26">
        <f t="shared" si="24"/>
        <v>0</v>
      </c>
      <c r="J145" s="26">
        <f t="shared" si="20"/>
        <v>0</v>
      </c>
      <c r="K145" s="27" t="str">
        <f t="shared" si="26"/>
        <v/>
      </c>
      <c r="L145" s="27" t="e">
        <f t="shared" si="27"/>
        <v>#VALUE!</v>
      </c>
      <c r="M145" s="30" t="str">
        <f t="shared" si="28"/>
        <v/>
      </c>
      <c r="N145" s="30" t="str">
        <f>IF($J145=1,E145,"")</f>
        <v/>
      </c>
      <c r="O145" s="39" t="str">
        <f>IF($J145=1,F145,"")</f>
        <v/>
      </c>
      <c r="P145" s="39" t="str">
        <f t="shared" si="29"/>
        <v/>
      </c>
      <c r="W145" s="27">
        <v>40291</v>
      </c>
      <c r="X145" s="26">
        <v>1984.5</v>
      </c>
      <c r="AA145" s="27">
        <v>41536</v>
      </c>
      <c r="AB145">
        <v>0.26659010192225502</v>
      </c>
      <c r="AC145" s="26">
        <f t="shared" si="25"/>
        <v>26.659010192225502</v>
      </c>
    </row>
    <row r="146" spans="3:29">
      <c r="C146" s="27">
        <v>41543</v>
      </c>
      <c r="D146" s="30">
        <v>0.40445747526612724</v>
      </c>
      <c r="E146" s="30">
        <v>0.41607421536967498</v>
      </c>
      <c r="F146" s="37">
        <f t="shared" ca="1" si="21"/>
        <v>1956.6</v>
      </c>
      <c r="G146" s="37">
        <f t="shared" si="22"/>
        <v>44.478050912900102</v>
      </c>
      <c r="H146" s="26">
        <f t="shared" si="23"/>
        <v>9</v>
      </c>
      <c r="I146" s="26">
        <f t="shared" si="24"/>
        <v>0</v>
      </c>
      <c r="J146" s="26">
        <f t="shared" si="20"/>
        <v>1</v>
      </c>
      <c r="K146" s="27">
        <f t="shared" si="26"/>
        <v>41547</v>
      </c>
      <c r="L146" s="27">
        <f t="shared" si="27"/>
        <v>41547</v>
      </c>
      <c r="M146" s="30">
        <f t="shared" si="28"/>
        <v>0.40445747526612724</v>
      </c>
      <c r="N146" s="30">
        <f>IF($J146=1,E146,"")</f>
        <v>0.41607421536967498</v>
      </c>
      <c r="O146" s="39">
        <f ca="1">IF($J146=1,F146,"")</f>
        <v>1956.6</v>
      </c>
      <c r="P146" s="39">
        <f t="shared" si="29"/>
        <v>44.478050912900102</v>
      </c>
      <c r="W146" s="27">
        <v>40298</v>
      </c>
      <c r="X146" s="26">
        <v>1953.3</v>
      </c>
      <c r="AA146" s="27">
        <v>41543</v>
      </c>
      <c r="AB146">
        <v>0.44478050912900102</v>
      </c>
      <c r="AC146" s="26">
        <f t="shared" si="25"/>
        <v>44.478050912900102</v>
      </c>
    </row>
    <row r="147" spans="3:29">
      <c r="C147" s="27">
        <v>41550</v>
      </c>
      <c r="D147" s="30">
        <v>0.41528178559290679</v>
      </c>
      <c r="E147" s="30">
        <v>0.43751781158176101</v>
      </c>
      <c r="F147" s="37">
        <f t="shared" ca="1" si="21"/>
        <v>2025.3</v>
      </c>
      <c r="G147" s="37">
        <f t="shared" si="22"/>
        <v>51.784798354652096</v>
      </c>
      <c r="H147" s="26">
        <f t="shared" si="23"/>
        <v>10</v>
      </c>
      <c r="I147" s="26">
        <f t="shared" si="24"/>
        <v>1</v>
      </c>
      <c r="J147" s="26">
        <f t="shared" si="20"/>
        <v>0</v>
      </c>
      <c r="K147" s="27" t="str">
        <f t="shared" si="26"/>
        <v/>
      </c>
      <c r="L147" s="27" t="e">
        <f t="shared" si="27"/>
        <v>#VALUE!</v>
      </c>
      <c r="M147" s="30" t="str">
        <f t="shared" si="28"/>
        <v/>
      </c>
      <c r="N147" s="30" t="str">
        <f>IF($J147=1,E147,"")</f>
        <v/>
      </c>
      <c r="O147" s="39" t="str">
        <f>IF($J147=1,F147,"")</f>
        <v/>
      </c>
      <c r="P147" s="39" t="str">
        <f t="shared" si="29"/>
        <v/>
      </c>
      <c r="W147" s="27">
        <v>40305</v>
      </c>
      <c r="X147" s="26">
        <v>2303.6</v>
      </c>
      <c r="AA147" s="27">
        <v>41550</v>
      </c>
      <c r="AB147">
        <v>0.51784798354652095</v>
      </c>
      <c r="AC147" s="26">
        <f t="shared" si="25"/>
        <v>51.784798354652096</v>
      </c>
    </row>
    <row r="148" spans="3:29">
      <c r="C148" s="27">
        <v>41557</v>
      </c>
      <c r="D148" s="30">
        <v>0.41314719259777027</v>
      </c>
      <c r="E148" s="30">
        <v>0.43701315967767701</v>
      </c>
      <c r="F148" s="37">
        <f t="shared" ca="1" si="21"/>
        <v>2102.6999999999998</v>
      </c>
      <c r="G148" s="37">
        <f t="shared" si="22"/>
        <v>50.795807248576494</v>
      </c>
      <c r="H148" s="26">
        <f t="shared" si="23"/>
        <v>10</v>
      </c>
      <c r="I148" s="26">
        <f t="shared" si="24"/>
        <v>0</v>
      </c>
      <c r="J148" s="26">
        <f t="shared" si="20"/>
        <v>0</v>
      </c>
      <c r="K148" s="27" t="str">
        <f t="shared" si="26"/>
        <v/>
      </c>
      <c r="L148" s="27" t="e">
        <f t="shared" si="27"/>
        <v>#VALUE!</v>
      </c>
      <c r="M148" s="30" t="str">
        <f t="shared" si="28"/>
        <v/>
      </c>
      <c r="N148" s="30" t="str">
        <f>IF($J148=1,E148,"")</f>
        <v/>
      </c>
      <c r="O148" s="39" t="str">
        <f>IF($J148=1,F148,"")</f>
        <v/>
      </c>
      <c r="P148" s="39" t="str">
        <f t="shared" si="29"/>
        <v/>
      </c>
      <c r="W148" s="27">
        <v>40312</v>
      </c>
      <c r="X148" s="26">
        <v>2668.6</v>
      </c>
      <c r="AA148" s="27">
        <v>41557</v>
      </c>
      <c r="AB148">
        <v>0.50795807248576497</v>
      </c>
      <c r="AC148" s="26">
        <f t="shared" si="25"/>
        <v>50.795807248576494</v>
      </c>
    </row>
    <row r="149" spans="3:29">
      <c r="C149" s="27">
        <v>41564</v>
      </c>
      <c r="D149" s="30">
        <v>0.40232481590336117</v>
      </c>
      <c r="E149" s="30">
        <v>0.40902347477168999</v>
      </c>
      <c r="F149" s="37">
        <f t="shared" ca="1" si="21"/>
        <v>2033.7</v>
      </c>
      <c r="G149" s="37">
        <f t="shared" si="22"/>
        <v>45.850851716700404</v>
      </c>
      <c r="H149" s="26">
        <f t="shared" si="23"/>
        <v>10</v>
      </c>
      <c r="I149" s="26">
        <f t="shared" si="24"/>
        <v>0</v>
      </c>
      <c r="J149" s="26">
        <f t="shared" si="20"/>
        <v>0</v>
      </c>
      <c r="K149" s="27" t="str">
        <f t="shared" si="26"/>
        <v/>
      </c>
      <c r="L149" s="27" t="e">
        <f t="shared" si="27"/>
        <v>#VALUE!</v>
      </c>
      <c r="M149" s="30" t="str">
        <f t="shared" si="28"/>
        <v/>
      </c>
      <c r="N149" s="30" t="str">
        <f>IF($J149=1,E149,"")</f>
        <v/>
      </c>
      <c r="O149" s="39" t="str">
        <f>IF($J149=1,F149,"")</f>
        <v/>
      </c>
      <c r="P149" s="39" t="str">
        <f t="shared" si="29"/>
        <v/>
      </c>
      <c r="W149" s="27">
        <v>40319</v>
      </c>
      <c r="X149" s="26">
        <v>3154.9</v>
      </c>
      <c r="AA149" s="27">
        <v>41564</v>
      </c>
      <c r="AB149">
        <v>0.45850851716700403</v>
      </c>
      <c r="AC149" s="26">
        <f t="shared" si="25"/>
        <v>45.850851716700404</v>
      </c>
    </row>
    <row r="150" spans="3:29">
      <c r="C150" s="27">
        <v>41571</v>
      </c>
      <c r="D150" s="30">
        <v>0.43156912924668556</v>
      </c>
      <c r="E150" s="30">
        <v>0.45648777309490202</v>
      </c>
      <c r="F150" s="37">
        <f t="shared" ca="1" si="21"/>
        <v>2211.8000000000002</v>
      </c>
      <c r="G150" s="37">
        <f t="shared" si="22"/>
        <v>58.213240547590807</v>
      </c>
      <c r="H150" s="26">
        <f t="shared" si="23"/>
        <v>10</v>
      </c>
      <c r="I150" s="26">
        <f t="shared" si="24"/>
        <v>0</v>
      </c>
      <c r="J150" s="26">
        <f t="shared" si="20"/>
        <v>0</v>
      </c>
      <c r="K150" s="27" t="str">
        <f t="shared" si="26"/>
        <v/>
      </c>
      <c r="L150" s="27" t="e">
        <f t="shared" si="27"/>
        <v>#VALUE!</v>
      </c>
      <c r="M150" s="30" t="str">
        <f t="shared" si="28"/>
        <v/>
      </c>
      <c r="N150" s="30" t="str">
        <f>IF($J150=1,E150,"")</f>
        <v/>
      </c>
      <c r="O150" s="39" t="str">
        <f>IF($J150=1,F150,"")</f>
        <v/>
      </c>
      <c r="P150" s="39" t="str">
        <f t="shared" si="29"/>
        <v/>
      </c>
      <c r="W150" s="27">
        <v>40326</v>
      </c>
      <c r="X150" s="26">
        <v>3239.2</v>
      </c>
      <c r="AA150" s="27">
        <v>41571</v>
      </c>
      <c r="AB150">
        <v>0.58213240547590805</v>
      </c>
      <c r="AC150" s="26">
        <f t="shared" si="25"/>
        <v>58.213240547590807</v>
      </c>
    </row>
    <row r="151" spans="3:29">
      <c r="C151" s="27">
        <v>41578</v>
      </c>
      <c r="D151" s="30">
        <v>0.4605405147219428</v>
      </c>
      <c r="E151" s="30">
        <v>0.47501022290439499</v>
      </c>
      <c r="F151" s="37">
        <f t="shared" ca="1" si="21"/>
        <v>2105.6</v>
      </c>
      <c r="G151" s="37">
        <f t="shared" si="22"/>
        <v>63.652691646932205</v>
      </c>
      <c r="H151" s="26">
        <f t="shared" si="23"/>
        <v>10</v>
      </c>
      <c r="I151" s="26">
        <f t="shared" si="24"/>
        <v>0</v>
      </c>
      <c r="J151" s="26">
        <f t="shared" si="20"/>
        <v>1</v>
      </c>
      <c r="K151" s="27">
        <f t="shared" si="26"/>
        <v>41578</v>
      </c>
      <c r="L151" s="27">
        <f t="shared" si="27"/>
        <v>41578</v>
      </c>
      <c r="M151" s="30">
        <f t="shared" si="28"/>
        <v>0.4605405147219428</v>
      </c>
      <c r="N151" s="30">
        <f>IF($J151=1,E151,"")</f>
        <v>0.47501022290439499</v>
      </c>
      <c r="O151" s="39">
        <f ca="1">IF($J151=1,F151,"")</f>
        <v>2105.6</v>
      </c>
      <c r="P151" s="39">
        <f t="shared" si="29"/>
        <v>63.652691646932205</v>
      </c>
      <c r="W151" s="27">
        <v>40333</v>
      </c>
      <c r="X151" s="26">
        <v>2781.6</v>
      </c>
      <c r="AA151" s="27">
        <v>41578</v>
      </c>
      <c r="AB151">
        <v>0.63652691646932202</v>
      </c>
      <c r="AC151" s="26">
        <f t="shared" si="25"/>
        <v>63.652691646932205</v>
      </c>
    </row>
    <row r="152" spans="3:29">
      <c r="C152" s="27">
        <v>41585</v>
      </c>
      <c r="D152" s="30">
        <v>0.42159370418067171</v>
      </c>
      <c r="E152" s="30">
        <v>0.44788779304034998</v>
      </c>
      <c r="F152" s="37">
        <f t="shared" ca="1" si="21"/>
        <v>2056.9</v>
      </c>
      <c r="G152" s="37">
        <f t="shared" si="22"/>
        <v>53.124921581454302</v>
      </c>
      <c r="H152" s="26">
        <f t="shared" si="23"/>
        <v>11</v>
      </c>
      <c r="I152" s="26">
        <f t="shared" si="24"/>
        <v>1</v>
      </c>
      <c r="J152" s="26">
        <f t="shared" si="20"/>
        <v>0</v>
      </c>
      <c r="K152" s="27" t="str">
        <f t="shared" si="26"/>
        <v/>
      </c>
      <c r="L152" s="27" t="e">
        <f t="shared" si="27"/>
        <v>#VALUE!</v>
      </c>
      <c r="M152" s="30" t="str">
        <f t="shared" si="28"/>
        <v/>
      </c>
      <c r="N152" s="30" t="str">
        <f>IF($J152=1,E152,"")</f>
        <v/>
      </c>
      <c r="O152" s="39" t="str">
        <f>IF($J152=1,F152,"")</f>
        <v/>
      </c>
      <c r="P152" s="39" t="str">
        <f t="shared" si="29"/>
        <v/>
      </c>
      <c r="W152" s="27">
        <v>40340</v>
      </c>
      <c r="X152" s="26">
        <v>3387.8</v>
      </c>
      <c r="AA152" s="27">
        <v>41585</v>
      </c>
      <c r="AB152">
        <v>0.53124921581454299</v>
      </c>
      <c r="AC152" s="26">
        <f t="shared" si="25"/>
        <v>53.124921581454302</v>
      </c>
    </row>
    <row r="153" spans="3:29">
      <c r="C153" s="27">
        <v>41592</v>
      </c>
      <c r="D153" s="30">
        <v>0.38756459325455095</v>
      </c>
      <c r="E153" s="30">
        <v>0.37120289750535601</v>
      </c>
      <c r="F153" s="37">
        <f t="shared" ca="1" si="21"/>
        <v>1903.5</v>
      </c>
      <c r="G153" s="37">
        <f t="shared" si="22"/>
        <v>36.819170131285198</v>
      </c>
      <c r="H153" s="26">
        <f t="shared" si="23"/>
        <v>11</v>
      </c>
      <c r="I153" s="26">
        <f t="shared" si="24"/>
        <v>0</v>
      </c>
      <c r="J153" s="26">
        <f t="shared" si="20"/>
        <v>0</v>
      </c>
      <c r="K153" s="27" t="str">
        <f t="shared" si="26"/>
        <v/>
      </c>
      <c r="L153" s="27" t="e">
        <f t="shared" si="27"/>
        <v>#VALUE!</v>
      </c>
      <c r="M153" s="30" t="str">
        <f t="shared" si="28"/>
        <v/>
      </c>
      <c r="N153" s="30" t="str">
        <f>IF($J153=1,E153,"")</f>
        <v/>
      </c>
      <c r="O153" s="39" t="str">
        <f>IF($J153=1,F153,"")</f>
        <v/>
      </c>
      <c r="P153" s="39" t="str">
        <f t="shared" si="29"/>
        <v/>
      </c>
      <c r="W153" s="27">
        <v>40347</v>
      </c>
      <c r="X153" s="26">
        <v>3107.1</v>
      </c>
      <c r="AA153" s="27">
        <v>41592</v>
      </c>
      <c r="AB153">
        <v>0.368191701312852</v>
      </c>
      <c r="AC153" s="26">
        <f t="shared" si="25"/>
        <v>36.819170131285198</v>
      </c>
    </row>
    <row r="154" spans="3:29">
      <c r="C154" s="27">
        <v>41599</v>
      </c>
      <c r="D154" s="30">
        <v>0.41410653536495057</v>
      </c>
      <c r="E154" s="30">
        <v>0.42989701258795199</v>
      </c>
      <c r="F154" s="37">
        <f t="shared" ca="1" si="21"/>
        <v>1917.2</v>
      </c>
      <c r="G154" s="37">
        <f t="shared" si="22"/>
        <v>49.666125827927999</v>
      </c>
      <c r="H154" s="26">
        <f t="shared" si="23"/>
        <v>11</v>
      </c>
      <c r="I154" s="26">
        <f t="shared" si="24"/>
        <v>0</v>
      </c>
      <c r="J154" s="26">
        <f t="shared" si="20"/>
        <v>0</v>
      </c>
      <c r="K154" s="27" t="str">
        <f t="shared" si="26"/>
        <v/>
      </c>
      <c r="L154" s="27" t="e">
        <f t="shared" si="27"/>
        <v>#VALUE!</v>
      </c>
      <c r="M154" s="30" t="str">
        <f t="shared" si="28"/>
        <v/>
      </c>
      <c r="N154" s="30" t="str">
        <f>IF($J154=1,E154,"")</f>
        <v/>
      </c>
      <c r="O154" s="39" t="str">
        <f>IF($J154=1,F154,"")</f>
        <v/>
      </c>
      <c r="P154" s="39" t="str">
        <f t="shared" si="29"/>
        <v/>
      </c>
      <c r="W154" s="27">
        <v>40354</v>
      </c>
      <c r="X154" s="26">
        <v>3546.2</v>
      </c>
      <c r="AA154" s="27">
        <v>41599</v>
      </c>
      <c r="AB154">
        <v>0.49666125827927998</v>
      </c>
      <c r="AC154" s="26">
        <f t="shared" si="25"/>
        <v>49.666125827927999</v>
      </c>
    </row>
    <row r="155" spans="3:29">
      <c r="C155" s="27">
        <v>41605</v>
      </c>
      <c r="D155" s="30">
        <v>0.3969981593322805</v>
      </c>
      <c r="E155" s="30">
        <v>0.401262959025458</v>
      </c>
      <c r="F155" s="37">
        <f ca="1">VLOOKUP(C155+2,W:X,2,0)</f>
        <v>1561.6</v>
      </c>
      <c r="G155" s="37">
        <f t="shared" si="22"/>
        <v>42.748534320790398</v>
      </c>
      <c r="H155" s="26">
        <f t="shared" si="23"/>
        <v>11</v>
      </c>
      <c r="I155" s="26">
        <f t="shared" si="24"/>
        <v>0</v>
      </c>
      <c r="J155" s="26">
        <f t="shared" si="20"/>
        <v>1</v>
      </c>
      <c r="K155" s="27">
        <f t="shared" si="26"/>
        <v>41608</v>
      </c>
      <c r="L155" s="27">
        <f t="shared" si="27"/>
        <v>41607</v>
      </c>
      <c r="M155" s="30">
        <f t="shared" si="28"/>
        <v>0.3969981593322805</v>
      </c>
      <c r="N155" s="30">
        <f>IF($J155=1,E155,"")</f>
        <v>0.401262959025458</v>
      </c>
      <c r="O155" s="39">
        <f ca="1">IF($J155=1,F155,"")</f>
        <v>1561.6</v>
      </c>
      <c r="P155" s="39">
        <f t="shared" si="29"/>
        <v>42.748534320790398</v>
      </c>
      <c r="W155" s="27">
        <v>40361</v>
      </c>
      <c r="X155" s="26">
        <v>3925.9</v>
      </c>
      <c r="AA155" s="27">
        <v>41605</v>
      </c>
      <c r="AB155">
        <v>0.42748534320790399</v>
      </c>
      <c r="AC155" s="26">
        <f t="shared" si="25"/>
        <v>42.748534320790398</v>
      </c>
    </row>
    <row r="156" spans="3:29">
      <c r="C156" s="27">
        <v>41613</v>
      </c>
      <c r="D156" s="30">
        <v>0.37338021104571051</v>
      </c>
      <c r="E156" s="30">
        <v>0.331227934580689</v>
      </c>
      <c r="F156" s="37">
        <f t="shared" ca="1" si="21"/>
        <v>1599.4</v>
      </c>
      <c r="G156" s="37">
        <f t="shared" si="22"/>
        <v>28.854052683558599</v>
      </c>
      <c r="H156" s="26">
        <f t="shared" si="23"/>
        <v>12</v>
      </c>
      <c r="I156" s="26">
        <f t="shared" si="24"/>
        <v>1</v>
      </c>
      <c r="J156" s="26">
        <f t="shared" si="20"/>
        <v>0</v>
      </c>
      <c r="K156" s="27" t="str">
        <f t="shared" si="26"/>
        <v/>
      </c>
      <c r="L156" s="27" t="e">
        <f t="shared" si="27"/>
        <v>#VALUE!</v>
      </c>
      <c r="M156" s="30" t="str">
        <f t="shared" si="28"/>
        <v/>
      </c>
      <c r="N156" s="30" t="str">
        <f>IF($J156=1,E156,"")</f>
        <v/>
      </c>
      <c r="O156" s="39" t="str">
        <f>IF($J156=1,F156,"")</f>
        <v/>
      </c>
      <c r="P156" s="39" t="str">
        <f t="shared" si="29"/>
        <v/>
      </c>
      <c r="W156" s="27">
        <v>40368</v>
      </c>
      <c r="X156" s="26">
        <v>3925.8</v>
      </c>
      <c r="AA156" s="27">
        <v>41613</v>
      </c>
      <c r="AB156">
        <v>0.28854052683558601</v>
      </c>
      <c r="AC156" s="26">
        <f t="shared" si="25"/>
        <v>28.854052683558599</v>
      </c>
    </row>
    <row r="157" spans="3:29">
      <c r="C157" s="27">
        <v>41620</v>
      </c>
      <c r="D157" s="30">
        <v>0.3707206267478419</v>
      </c>
      <c r="E157" s="30">
        <v>0.33082970500556302</v>
      </c>
      <c r="F157" s="37">
        <f t="shared" ca="1" si="21"/>
        <v>1529.8</v>
      </c>
      <c r="G157" s="37">
        <f t="shared" si="22"/>
        <v>27.866511796568698</v>
      </c>
      <c r="H157" s="26">
        <f t="shared" si="23"/>
        <v>12</v>
      </c>
      <c r="I157" s="26">
        <f t="shared" si="24"/>
        <v>0</v>
      </c>
      <c r="J157" s="26">
        <f t="shared" si="20"/>
        <v>0</v>
      </c>
      <c r="K157" s="27" t="str">
        <f t="shared" si="26"/>
        <v/>
      </c>
      <c r="L157" s="27" t="e">
        <f t="shared" si="27"/>
        <v>#VALUE!</v>
      </c>
      <c r="M157" s="30" t="str">
        <f t="shared" si="28"/>
        <v/>
      </c>
      <c r="N157" s="30" t="str">
        <f>IF($J157=1,E157,"")</f>
        <v/>
      </c>
      <c r="O157" s="39" t="str">
        <f>IF($J157=1,F157,"")</f>
        <v/>
      </c>
      <c r="P157" s="39" t="str">
        <f t="shared" si="29"/>
        <v/>
      </c>
      <c r="W157" s="27">
        <v>40375</v>
      </c>
      <c r="X157" s="26">
        <v>4345.3999999999996</v>
      </c>
      <c r="AA157" s="27">
        <v>41620</v>
      </c>
      <c r="AB157">
        <v>0.27866511796568699</v>
      </c>
      <c r="AC157" s="26">
        <f t="shared" si="25"/>
        <v>27.866511796568698</v>
      </c>
    </row>
    <row r="158" spans="3:29">
      <c r="C158" s="27">
        <v>41627</v>
      </c>
      <c r="D158" s="30">
        <v>0.33974567777608206</v>
      </c>
      <c r="E158" s="30">
        <v>0.29198850689481598</v>
      </c>
      <c r="F158" s="37">
        <f t="shared" ca="1" si="21"/>
        <v>1426.7</v>
      </c>
      <c r="G158" s="37">
        <f t="shared" si="22"/>
        <v>19.7003990424538</v>
      </c>
      <c r="H158" s="26">
        <f t="shared" si="23"/>
        <v>12</v>
      </c>
      <c r="I158" s="26">
        <f t="shared" si="24"/>
        <v>0</v>
      </c>
      <c r="J158" s="26">
        <f t="shared" si="20"/>
        <v>0</v>
      </c>
      <c r="K158" s="27" t="str">
        <f t="shared" si="26"/>
        <v/>
      </c>
      <c r="L158" s="27" t="e">
        <f t="shared" si="27"/>
        <v>#VALUE!</v>
      </c>
      <c r="M158" s="30" t="str">
        <f t="shared" si="28"/>
        <v/>
      </c>
      <c r="N158" s="30" t="str">
        <f>IF($J158=1,E158,"")</f>
        <v/>
      </c>
      <c r="O158" s="39" t="str">
        <f>IF($J158=1,F158,"")</f>
        <v/>
      </c>
      <c r="P158" s="39" t="str">
        <f t="shared" si="29"/>
        <v/>
      </c>
      <c r="W158" s="27">
        <v>40382</v>
      </c>
      <c r="X158" s="26">
        <v>4097.3</v>
      </c>
      <c r="AA158" s="27">
        <v>41627</v>
      </c>
      <c r="AB158">
        <v>0.19700399042453801</v>
      </c>
      <c r="AC158" s="26">
        <f t="shared" si="25"/>
        <v>19.7003990424538</v>
      </c>
    </row>
    <row r="159" spans="3:29">
      <c r="C159" s="27">
        <v>41634</v>
      </c>
      <c r="D159" s="30">
        <v>0.33029809597210952</v>
      </c>
      <c r="E159" s="30">
        <v>0.29162362501885603</v>
      </c>
      <c r="F159" s="37">
        <f t="shared" ca="1" si="21"/>
        <v>1277.8</v>
      </c>
      <c r="G159" s="37">
        <f t="shared" si="22"/>
        <v>18.712858153072801</v>
      </c>
      <c r="H159" s="26">
        <f t="shared" si="23"/>
        <v>12</v>
      </c>
      <c r="I159" s="26">
        <f t="shared" si="24"/>
        <v>0</v>
      </c>
      <c r="J159" s="26">
        <f t="shared" si="20"/>
        <v>1</v>
      </c>
      <c r="K159" s="27">
        <f t="shared" si="26"/>
        <v>41639</v>
      </c>
      <c r="L159" s="27">
        <f t="shared" si="27"/>
        <v>41639</v>
      </c>
      <c r="M159" s="30">
        <f t="shared" si="28"/>
        <v>0.33029809597210952</v>
      </c>
      <c r="N159" s="30">
        <f>IF($J159=1,E159,"")</f>
        <v>0.29162362501885603</v>
      </c>
      <c r="O159" s="39">
        <f ca="1">IF($J159=1,F159,"")</f>
        <v>1277.8</v>
      </c>
      <c r="P159" s="39">
        <f t="shared" si="29"/>
        <v>18.712858153072801</v>
      </c>
      <c r="W159" s="27">
        <v>40389</v>
      </c>
      <c r="X159" s="26">
        <v>4155.5</v>
      </c>
      <c r="AA159" s="27">
        <v>41634</v>
      </c>
      <c r="AB159">
        <v>0.18712858153072801</v>
      </c>
      <c r="AC159" s="26">
        <f t="shared" si="25"/>
        <v>18.712858153072801</v>
      </c>
    </row>
    <row r="160" spans="3:29">
      <c r="C160" s="27">
        <v>41641</v>
      </c>
      <c r="D160" s="30">
        <v>0.26212623729092371</v>
      </c>
      <c r="E160" s="30">
        <v>0.265306805945277</v>
      </c>
      <c r="F160" s="37">
        <f t="shared" ca="1" si="21"/>
        <v>1352.7</v>
      </c>
      <c r="G160" s="37">
        <f t="shared" si="22"/>
        <v>9.6900653717160203</v>
      </c>
      <c r="H160" s="26">
        <f t="shared" si="23"/>
        <v>1</v>
      </c>
      <c r="I160" s="26">
        <f t="shared" si="24"/>
        <v>1</v>
      </c>
      <c r="J160" s="26">
        <f t="shared" si="20"/>
        <v>0</v>
      </c>
      <c r="K160" s="27" t="str">
        <f t="shared" si="26"/>
        <v/>
      </c>
      <c r="L160" s="27" t="e">
        <f t="shared" si="27"/>
        <v>#VALUE!</v>
      </c>
      <c r="M160" s="30" t="str">
        <f t="shared" si="28"/>
        <v/>
      </c>
      <c r="N160" s="30" t="str">
        <f>IF($J160=1,E160,"")</f>
        <v/>
      </c>
      <c r="O160" s="39" t="str">
        <f>IF($J160=1,F160,"")</f>
        <v/>
      </c>
      <c r="P160" s="39" t="str">
        <f t="shared" si="29"/>
        <v/>
      </c>
      <c r="W160" s="27">
        <v>40396</v>
      </c>
      <c r="X160" s="26">
        <v>4147.1000000000004</v>
      </c>
      <c r="AA160" s="27">
        <v>41641</v>
      </c>
      <c r="AB160">
        <v>9.6900653717160196E-2</v>
      </c>
      <c r="AC160" s="26">
        <f t="shared" si="25"/>
        <v>9.6900653717160203</v>
      </c>
    </row>
    <row r="161" spans="3:29">
      <c r="C161" s="27">
        <v>41648</v>
      </c>
      <c r="D161" s="30">
        <v>0.2902260049252946</v>
      </c>
      <c r="E161" s="30">
        <v>0.29015447722721099</v>
      </c>
      <c r="F161" s="37">
        <f t="shared" ca="1" si="21"/>
        <v>1507</v>
      </c>
      <c r="G161" s="37">
        <f t="shared" si="22"/>
        <v>20.2791582453705</v>
      </c>
      <c r="H161" s="26">
        <f t="shared" si="23"/>
        <v>1</v>
      </c>
      <c r="I161" s="26">
        <f t="shared" si="24"/>
        <v>0</v>
      </c>
      <c r="J161" s="26">
        <f t="shared" si="20"/>
        <v>0</v>
      </c>
      <c r="K161" s="27" t="str">
        <f t="shared" si="26"/>
        <v/>
      </c>
      <c r="L161" s="27" t="e">
        <f t="shared" si="27"/>
        <v>#VALUE!</v>
      </c>
      <c r="M161" s="30" t="str">
        <f t="shared" si="28"/>
        <v/>
      </c>
      <c r="N161" s="30" t="str">
        <f>IF($J161=1,E161,"")</f>
        <v/>
      </c>
      <c r="O161" s="39" t="str">
        <f>IF($J161=1,F161,"")</f>
        <v/>
      </c>
      <c r="P161" s="39" t="str">
        <f t="shared" si="29"/>
        <v/>
      </c>
      <c r="W161" s="27">
        <v>40403</v>
      </c>
      <c r="X161" s="26">
        <v>4940.8999999999996</v>
      </c>
      <c r="AA161" s="27">
        <v>41648</v>
      </c>
      <c r="AB161">
        <v>0.20279158245370499</v>
      </c>
      <c r="AC161" s="26">
        <f t="shared" si="25"/>
        <v>20.2791582453705</v>
      </c>
    </row>
    <row r="162" spans="3:29">
      <c r="C162" s="27">
        <v>41655</v>
      </c>
      <c r="D162" s="30">
        <v>0.36774882579493112</v>
      </c>
      <c r="E162" s="30">
        <v>0.32467403778332998</v>
      </c>
      <c r="F162" s="37">
        <f t="shared" ca="1" si="21"/>
        <v>1675.8</v>
      </c>
      <c r="G162" s="37">
        <f t="shared" si="22"/>
        <v>29.9821795062227</v>
      </c>
      <c r="H162" s="26">
        <f t="shared" si="23"/>
        <v>1</v>
      </c>
      <c r="I162" s="26">
        <f t="shared" si="24"/>
        <v>0</v>
      </c>
      <c r="J162" s="26">
        <f t="shared" si="20"/>
        <v>0</v>
      </c>
      <c r="K162" s="27" t="str">
        <f t="shared" si="26"/>
        <v/>
      </c>
      <c r="L162" s="27" t="e">
        <f t="shared" si="27"/>
        <v>#VALUE!</v>
      </c>
      <c r="M162" s="30" t="str">
        <f t="shared" si="28"/>
        <v/>
      </c>
      <c r="N162" s="30" t="str">
        <f>IF($J162=1,E162,"")</f>
        <v/>
      </c>
      <c r="O162" s="39" t="str">
        <f>IF($J162=1,F162,"")</f>
        <v/>
      </c>
      <c r="P162" s="39" t="str">
        <f t="shared" si="29"/>
        <v/>
      </c>
      <c r="W162" s="27">
        <v>40410</v>
      </c>
      <c r="X162" s="26">
        <v>5260.7</v>
      </c>
      <c r="AA162" s="27">
        <v>41655</v>
      </c>
      <c r="AB162">
        <v>0.299821795062227</v>
      </c>
      <c r="AC162" s="26">
        <f t="shared" si="25"/>
        <v>29.9821795062227</v>
      </c>
    </row>
    <row r="163" spans="3:29">
      <c r="C163" s="27">
        <v>41662</v>
      </c>
      <c r="D163" s="30">
        <v>0.37084428304329614</v>
      </c>
      <c r="E163" s="30">
        <v>0.32547727058860199</v>
      </c>
      <c r="F163" s="37">
        <f t="shared" ca="1" si="21"/>
        <v>1601.2</v>
      </c>
      <c r="G163" s="37">
        <f t="shared" si="22"/>
        <v>31.922783744698503</v>
      </c>
      <c r="H163" s="26">
        <f t="shared" si="23"/>
        <v>1</v>
      </c>
      <c r="I163" s="26">
        <f t="shared" si="24"/>
        <v>0</v>
      </c>
      <c r="J163" s="26">
        <f t="shared" si="20"/>
        <v>0</v>
      </c>
      <c r="K163" s="27" t="str">
        <f t="shared" si="26"/>
        <v/>
      </c>
      <c r="L163" s="27" t="e">
        <f t="shared" si="27"/>
        <v>#VALUE!</v>
      </c>
      <c r="M163" s="30" t="str">
        <f t="shared" si="28"/>
        <v/>
      </c>
      <c r="N163" s="30" t="str">
        <f>IF($J163=1,E163,"")</f>
        <v/>
      </c>
      <c r="O163" s="39" t="str">
        <f>IF($J163=1,F163,"")</f>
        <v/>
      </c>
      <c r="P163" s="39" t="str">
        <f t="shared" si="29"/>
        <v/>
      </c>
      <c r="W163" s="27">
        <v>40417</v>
      </c>
      <c r="X163" s="26">
        <v>5431.5</v>
      </c>
      <c r="AA163" s="27">
        <v>41662</v>
      </c>
      <c r="AB163">
        <v>0.31922783744698502</v>
      </c>
      <c r="AC163" s="26">
        <f t="shared" si="25"/>
        <v>31.922783744698503</v>
      </c>
    </row>
    <row r="164" spans="3:29">
      <c r="C164" s="27">
        <v>41669</v>
      </c>
      <c r="D164" s="30">
        <v>0.38160196936392621</v>
      </c>
      <c r="E164" s="30">
        <v>0.38449844249950499</v>
      </c>
      <c r="F164" s="37">
        <f t="shared" ca="1" si="21"/>
        <v>1667.5</v>
      </c>
      <c r="G164" s="37">
        <f t="shared" si="22"/>
        <v>38.714898607996702</v>
      </c>
      <c r="H164" s="26">
        <f t="shared" si="23"/>
        <v>1</v>
      </c>
      <c r="I164" s="26">
        <f t="shared" si="24"/>
        <v>0</v>
      </c>
      <c r="J164" s="26">
        <f t="shared" si="20"/>
        <v>1</v>
      </c>
      <c r="K164" s="27">
        <f t="shared" si="26"/>
        <v>41670</v>
      </c>
      <c r="L164" s="27">
        <f t="shared" si="27"/>
        <v>41670</v>
      </c>
      <c r="M164" s="30">
        <f t="shared" si="28"/>
        <v>0.38160196936392621</v>
      </c>
      <c r="N164" s="30">
        <f>IF($J164=1,E164,"")</f>
        <v>0.38449844249950499</v>
      </c>
      <c r="O164" s="39">
        <f ca="1">IF($J164=1,F164,"")</f>
        <v>1667.5</v>
      </c>
      <c r="P164" s="39">
        <f t="shared" si="29"/>
        <v>38.714898607996702</v>
      </c>
      <c r="W164" s="27">
        <v>40424</v>
      </c>
      <c r="X164" s="26">
        <v>5214.6000000000004</v>
      </c>
      <c r="AA164" s="27">
        <v>41669</v>
      </c>
      <c r="AB164">
        <v>0.38714898607996701</v>
      </c>
      <c r="AC164" s="26">
        <f t="shared" si="25"/>
        <v>38.714898607996702</v>
      </c>
    </row>
    <row r="165" spans="3:29">
      <c r="C165" s="27">
        <v>41676</v>
      </c>
      <c r="D165" s="30">
        <v>0.40068103493110224</v>
      </c>
      <c r="E165" s="30">
        <v>0.407383000493176</v>
      </c>
      <c r="F165" s="37">
        <f t="shared" ca="1" si="21"/>
        <v>1674.2</v>
      </c>
      <c r="G165" s="37">
        <f t="shared" si="22"/>
        <v>46.209511979448699</v>
      </c>
      <c r="H165" s="26">
        <f t="shared" si="23"/>
        <v>2</v>
      </c>
      <c r="I165" s="26">
        <f t="shared" si="24"/>
        <v>1</v>
      </c>
      <c r="J165" s="26">
        <f t="shared" si="20"/>
        <v>0</v>
      </c>
      <c r="K165" s="27" t="str">
        <f t="shared" si="26"/>
        <v/>
      </c>
      <c r="L165" s="27" t="e">
        <f t="shared" si="27"/>
        <v>#VALUE!</v>
      </c>
      <c r="M165" s="30" t="str">
        <f t="shared" si="28"/>
        <v/>
      </c>
      <c r="N165" s="30" t="str">
        <f>IF($J165=1,E165,"")</f>
        <v/>
      </c>
      <c r="O165" s="39" t="str">
        <f>IF($J165=1,F165,"")</f>
        <v/>
      </c>
      <c r="P165" s="39" t="str">
        <f t="shared" si="29"/>
        <v/>
      </c>
      <c r="W165" s="27">
        <v>40431</v>
      </c>
      <c r="X165" s="26">
        <v>4663.8</v>
      </c>
      <c r="AA165" s="27">
        <v>41676</v>
      </c>
      <c r="AB165">
        <v>0.46209511979448697</v>
      </c>
      <c r="AC165" s="26">
        <f t="shared" si="25"/>
        <v>46.209511979448699</v>
      </c>
    </row>
    <row r="166" spans="3:29">
      <c r="C166" s="27">
        <v>41683</v>
      </c>
      <c r="D166" s="30">
        <v>0.38532630107916044</v>
      </c>
      <c r="E166" s="30">
        <v>0.380280894786581</v>
      </c>
      <c r="F166" s="37">
        <f t="shared" ca="1" si="21"/>
        <v>1650.6</v>
      </c>
      <c r="G166" s="37">
        <f t="shared" si="22"/>
        <v>41.359954893457704</v>
      </c>
      <c r="H166" s="26">
        <f t="shared" si="23"/>
        <v>2</v>
      </c>
      <c r="I166" s="26">
        <f t="shared" si="24"/>
        <v>0</v>
      </c>
      <c r="J166" s="26">
        <f t="shared" si="20"/>
        <v>0</v>
      </c>
      <c r="K166" s="27" t="str">
        <f t="shared" si="26"/>
        <v/>
      </c>
      <c r="L166" s="27" t="e">
        <f t="shared" si="27"/>
        <v>#VALUE!</v>
      </c>
      <c r="M166" s="30" t="str">
        <f t="shared" si="28"/>
        <v/>
      </c>
      <c r="N166" s="30" t="str">
        <f>IF($J166=1,E166,"")</f>
        <v/>
      </c>
      <c r="O166" s="39" t="str">
        <f>IF($J166=1,F166,"")</f>
        <v/>
      </c>
      <c r="P166" s="39" t="str">
        <f t="shared" si="29"/>
        <v/>
      </c>
      <c r="W166" s="27">
        <v>40438</v>
      </c>
      <c r="X166" s="26">
        <v>4624.6000000000004</v>
      </c>
      <c r="AA166" s="27">
        <v>41683</v>
      </c>
      <c r="AB166">
        <v>0.41359954893457701</v>
      </c>
      <c r="AC166" s="26">
        <f t="shared" si="25"/>
        <v>41.359954893457704</v>
      </c>
    </row>
    <row r="167" spans="3:29">
      <c r="C167" s="27">
        <v>41690</v>
      </c>
      <c r="D167" s="30">
        <v>0.3755719775185945</v>
      </c>
      <c r="E167" s="30">
        <v>0.35043602810261099</v>
      </c>
      <c r="F167" s="37">
        <f t="shared" ca="1" si="21"/>
        <v>1442.3</v>
      </c>
      <c r="G167" s="37">
        <f t="shared" si="22"/>
        <v>36.510397763529397</v>
      </c>
      <c r="H167" s="26">
        <f t="shared" si="23"/>
        <v>2</v>
      </c>
      <c r="I167" s="26">
        <f t="shared" si="24"/>
        <v>0</v>
      </c>
      <c r="J167" s="26">
        <f t="shared" si="20"/>
        <v>0</v>
      </c>
      <c r="K167" s="27" t="str">
        <f t="shared" si="26"/>
        <v/>
      </c>
      <c r="L167" s="27" t="e">
        <f t="shared" si="27"/>
        <v>#VALUE!</v>
      </c>
      <c r="M167" s="30" t="str">
        <f t="shared" si="28"/>
        <v/>
      </c>
      <c r="N167" s="30" t="str">
        <f>IF($J167=1,E167,"")</f>
        <v/>
      </c>
      <c r="O167" s="39" t="str">
        <f>IF($J167=1,F167,"")</f>
        <v/>
      </c>
      <c r="P167" s="39" t="str">
        <f t="shared" si="29"/>
        <v/>
      </c>
      <c r="W167" s="27">
        <v>40445</v>
      </c>
      <c r="X167" s="26">
        <v>4549.3</v>
      </c>
      <c r="AA167" s="27">
        <v>41690</v>
      </c>
      <c r="AB167">
        <v>0.36510397763529401</v>
      </c>
      <c r="AC167" s="26">
        <f t="shared" si="25"/>
        <v>36.510397763529397</v>
      </c>
    </row>
    <row r="168" spans="3:29">
      <c r="C168" s="27">
        <v>41697</v>
      </c>
      <c r="D168" s="30">
        <v>0.36967404481869215</v>
      </c>
      <c r="E168" s="30">
        <v>0.34853875137296803</v>
      </c>
      <c r="F168" s="37">
        <f t="shared" ca="1" si="21"/>
        <v>1600.6</v>
      </c>
      <c r="G168" s="37">
        <f t="shared" si="22"/>
        <v>32.630752095315898</v>
      </c>
      <c r="H168" s="26">
        <f t="shared" si="23"/>
        <v>2</v>
      </c>
      <c r="I168" s="26">
        <f t="shared" si="24"/>
        <v>0</v>
      </c>
      <c r="J168" s="26">
        <f t="shared" si="20"/>
        <v>1</v>
      </c>
      <c r="K168" s="27">
        <f t="shared" si="26"/>
        <v>41698</v>
      </c>
      <c r="L168" s="27">
        <f t="shared" si="27"/>
        <v>41698</v>
      </c>
      <c r="M168" s="30">
        <f t="shared" si="28"/>
        <v>0.36967404481869215</v>
      </c>
      <c r="N168" s="30">
        <f>IF($J168=1,E168,"")</f>
        <v>0.34853875137296803</v>
      </c>
      <c r="O168" s="39">
        <f ca="1">IF($J168=1,F168,"")</f>
        <v>1600.6</v>
      </c>
      <c r="P168" s="39">
        <f t="shared" si="29"/>
        <v>32.630752095315898</v>
      </c>
      <c r="W168" s="27">
        <v>40452</v>
      </c>
      <c r="X168" s="26">
        <v>4395.5</v>
      </c>
      <c r="AA168" s="27">
        <v>41697</v>
      </c>
      <c r="AB168">
        <v>0.32630752095315901</v>
      </c>
      <c r="AC168" s="26">
        <f t="shared" si="25"/>
        <v>32.630752095315898</v>
      </c>
    </row>
    <row r="169" spans="3:29">
      <c r="C169" s="27">
        <v>41704</v>
      </c>
      <c r="D169" s="30">
        <v>0.38316963725836589</v>
      </c>
      <c r="E169" s="30">
        <v>0.37584545219724702</v>
      </c>
      <c r="F169" s="37">
        <f t="shared" ca="1" si="21"/>
        <v>1528</v>
      </c>
      <c r="G169" s="37">
        <f t="shared" si="22"/>
        <v>40.341059189190396</v>
      </c>
      <c r="H169" s="26">
        <f t="shared" si="23"/>
        <v>3</v>
      </c>
      <c r="I169" s="26">
        <f t="shared" si="24"/>
        <v>1</v>
      </c>
      <c r="J169" s="26">
        <f t="shared" si="20"/>
        <v>0</v>
      </c>
      <c r="K169" s="27" t="str">
        <f t="shared" si="26"/>
        <v/>
      </c>
      <c r="L169" s="27" t="e">
        <f t="shared" si="27"/>
        <v>#VALUE!</v>
      </c>
      <c r="M169" s="30" t="str">
        <f t="shared" si="28"/>
        <v/>
      </c>
      <c r="N169" s="30" t="str">
        <f>IF($J169=1,E169,"")</f>
        <v/>
      </c>
      <c r="O169" s="39" t="str">
        <f>IF($J169=1,F169,"")</f>
        <v/>
      </c>
      <c r="P169" s="39" t="str">
        <f t="shared" si="29"/>
        <v/>
      </c>
      <c r="W169" s="27">
        <v>40459</v>
      </c>
      <c r="X169" s="26">
        <v>5455.4</v>
      </c>
      <c r="AA169" s="27">
        <v>41704</v>
      </c>
      <c r="AB169">
        <v>0.40341059189190398</v>
      </c>
      <c r="AC169" s="26">
        <f t="shared" si="25"/>
        <v>40.341059189190396</v>
      </c>
    </row>
    <row r="170" spans="3:29">
      <c r="C170" s="27">
        <v>41711</v>
      </c>
      <c r="D170" s="30">
        <v>0.36933430427665681</v>
      </c>
      <c r="E170" s="30">
        <v>0.34537825411835699</v>
      </c>
      <c r="F170" s="37">
        <f t="shared" ca="1" si="21"/>
        <v>1552.1</v>
      </c>
      <c r="G170" s="37">
        <f t="shared" si="22"/>
        <v>34.0404321378617</v>
      </c>
      <c r="H170" s="26">
        <f t="shared" si="23"/>
        <v>3</v>
      </c>
      <c r="I170" s="26">
        <f t="shared" si="24"/>
        <v>0</v>
      </c>
      <c r="J170" s="26">
        <f t="shared" si="20"/>
        <v>0</v>
      </c>
      <c r="K170" s="27" t="str">
        <f t="shared" si="26"/>
        <v/>
      </c>
      <c r="L170" s="27" t="e">
        <f t="shared" si="27"/>
        <v>#VALUE!</v>
      </c>
      <c r="M170" s="30" t="str">
        <f t="shared" si="28"/>
        <v/>
      </c>
      <c r="N170" s="30" t="str">
        <f>IF($J170=1,E170,"")</f>
        <v/>
      </c>
      <c r="O170" s="39" t="str">
        <f>IF($J170=1,F170,"")</f>
        <v/>
      </c>
      <c r="P170" s="39" t="str">
        <f t="shared" si="29"/>
        <v/>
      </c>
      <c r="W170" s="27">
        <v>40466</v>
      </c>
      <c r="X170" s="26">
        <v>4768.6000000000004</v>
      </c>
      <c r="AA170" s="27">
        <v>41711</v>
      </c>
      <c r="AB170">
        <v>0.34040432137861698</v>
      </c>
      <c r="AC170" s="26">
        <f t="shared" si="25"/>
        <v>34.0404321378617</v>
      </c>
    </row>
    <row r="171" spans="3:29">
      <c r="C171" s="27">
        <v>41718</v>
      </c>
      <c r="D171" s="30">
        <v>0.38030249532079374</v>
      </c>
      <c r="E171" s="30">
        <v>0.37475184713589199</v>
      </c>
      <c r="F171" s="37">
        <f t="shared" ca="1" si="21"/>
        <v>1426.3</v>
      </c>
      <c r="G171" s="37">
        <f t="shared" si="22"/>
        <v>38.887068341638695</v>
      </c>
      <c r="H171" s="26">
        <f t="shared" si="23"/>
        <v>3</v>
      </c>
      <c r="I171" s="26">
        <f t="shared" si="24"/>
        <v>0</v>
      </c>
      <c r="J171" s="26">
        <f t="shared" si="20"/>
        <v>0</v>
      </c>
      <c r="K171" s="27" t="str">
        <f t="shared" si="26"/>
        <v/>
      </c>
      <c r="L171" s="27" t="e">
        <f t="shared" si="27"/>
        <v>#VALUE!</v>
      </c>
      <c r="M171" s="30" t="str">
        <f t="shared" si="28"/>
        <v/>
      </c>
      <c r="N171" s="30" t="str">
        <f>IF($J171=1,E171,"")</f>
        <v/>
      </c>
      <c r="O171" s="39" t="str">
        <f>IF($J171=1,F171,"")</f>
        <v/>
      </c>
      <c r="P171" s="39" t="str">
        <f t="shared" si="29"/>
        <v/>
      </c>
      <c r="W171" s="27">
        <v>40473</v>
      </c>
      <c r="X171" s="26">
        <v>4904.2</v>
      </c>
      <c r="AA171" s="27">
        <v>41718</v>
      </c>
      <c r="AB171">
        <v>0.38887068341638698</v>
      </c>
      <c r="AC171" s="26">
        <f t="shared" si="25"/>
        <v>38.887068341638695</v>
      </c>
    </row>
    <row r="172" spans="3:29">
      <c r="C172" s="27">
        <v>41725</v>
      </c>
      <c r="D172" s="30">
        <v>0.36565400061256043</v>
      </c>
      <c r="E172" s="30">
        <v>0.34373332978073601</v>
      </c>
      <c r="F172" s="37">
        <f t="shared" ca="1" si="21"/>
        <v>1383.5</v>
      </c>
      <c r="G172" s="37">
        <f t="shared" si="22"/>
        <v>31.132450440538502</v>
      </c>
      <c r="H172" s="26">
        <f t="shared" si="23"/>
        <v>3</v>
      </c>
      <c r="I172" s="26">
        <f t="shared" si="24"/>
        <v>0</v>
      </c>
      <c r="J172" s="26">
        <f t="shared" si="20"/>
        <v>1</v>
      </c>
      <c r="K172" s="27">
        <f t="shared" si="26"/>
        <v>41729</v>
      </c>
      <c r="L172" s="27">
        <f t="shared" si="27"/>
        <v>41729</v>
      </c>
      <c r="M172" s="30">
        <f t="shared" si="28"/>
        <v>0.36565400061256043</v>
      </c>
      <c r="N172" s="30">
        <f>IF($J172=1,E172,"")</f>
        <v>0.34373332978073601</v>
      </c>
      <c r="O172" s="39">
        <f ca="1">IF($J172=1,F172,"")</f>
        <v>1383.5</v>
      </c>
      <c r="P172" s="39">
        <f t="shared" si="29"/>
        <v>31.132450440538502</v>
      </c>
      <c r="W172" s="27">
        <v>40480</v>
      </c>
      <c r="X172" s="26">
        <v>4568.1000000000004</v>
      </c>
      <c r="AA172" s="27">
        <v>41725</v>
      </c>
      <c r="AB172">
        <v>0.31132450440538501</v>
      </c>
      <c r="AC172" s="26">
        <f t="shared" si="25"/>
        <v>31.132450440538502</v>
      </c>
    </row>
    <row r="173" spans="3:29">
      <c r="C173" s="27">
        <v>41732</v>
      </c>
      <c r="D173" s="30">
        <v>0.35521926568999218</v>
      </c>
      <c r="E173" s="30">
        <v>0.31383635422742501</v>
      </c>
      <c r="F173" s="37">
        <f t="shared" ca="1" si="21"/>
        <v>1324.7</v>
      </c>
      <c r="G173" s="37">
        <f t="shared" si="22"/>
        <v>30.744398077890999</v>
      </c>
      <c r="H173" s="26">
        <f t="shared" si="23"/>
        <v>4</v>
      </c>
      <c r="I173" s="26">
        <f t="shared" si="24"/>
        <v>1</v>
      </c>
      <c r="J173" s="26">
        <f t="shared" si="20"/>
        <v>0</v>
      </c>
      <c r="K173" s="27" t="str">
        <f t="shared" si="26"/>
        <v/>
      </c>
      <c r="L173" s="27" t="e">
        <f t="shared" si="27"/>
        <v>#VALUE!</v>
      </c>
      <c r="M173" s="30" t="str">
        <f t="shared" si="28"/>
        <v/>
      </c>
      <c r="N173" s="30" t="str">
        <f>IF($J173=1,E173,"")</f>
        <v/>
      </c>
      <c r="O173" s="39" t="str">
        <f>IF($J173=1,F173,"")</f>
        <v/>
      </c>
      <c r="P173" s="39" t="str">
        <f t="shared" si="29"/>
        <v/>
      </c>
      <c r="W173" s="27">
        <v>40487</v>
      </c>
      <c r="X173" s="26">
        <v>4836.3999999999996</v>
      </c>
      <c r="AA173" s="27">
        <v>41732</v>
      </c>
      <c r="AB173">
        <v>0.30744398077891</v>
      </c>
      <c r="AC173" s="26">
        <f t="shared" si="25"/>
        <v>30.744398077890999</v>
      </c>
    </row>
    <row r="174" spans="3:29">
      <c r="C174" s="27">
        <v>41739</v>
      </c>
      <c r="D174" s="30">
        <v>0.36683376695248865</v>
      </c>
      <c r="E174" s="30">
        <v>0.34451093908200903</v>
      </c>
      <c r="F174" s="37">
        <f t="shared" ca="1" si="21"/>
        <v>1429.9</v>
      </c>
      <c r="G174" s="37">
        <f t="shared" si="22"/>
        <v>37.586881933033503</v>
      </c>
      <c r="H174" s="26">
        <f t="shared" si="23"/>
        <v>4</v>
      </c>
      <c r="I174" s="26">
        <f t="shared" si="24"/>
        <v>0</v>
      </c>
      <c r="J174" s="26">
        <f t="shared" si="20"/>
        <v>0</v>
      </c>
      <c r="K174" s="27" t="str">
        <f t="shared" si="26"/>
        <v/>
      </c>
      <c r="L174" s="27" t="e">
        <f t="shared" si="27"/>
        <v>#VALUE!</v>
      </c>
      <c r="M174" s="30" t="str">
        <f t="shared" si="28"/>
        <v/>
      </c>
      <c r="N174" s="30" t="str">
        <f>IF($J174=1,E174,"")</f>
        <v/>
      </c>
      <c r="O174" s="39" t="str">
        <f>IF($J174=1,F174,"")</f>
        <v/>
      </c>
      <c r="P174" s="39" t="str">
        <f t="shared" si="29"/>
        <v/>
      </c>
      <c r="W174" s="27">
        <v>40494</v>
      </c>
      <c r="X174" s="26">
        <v>4015.2</v>
      </c>
      <c r="AA174" s="27">
        <v>41739</v>
      </c>
      <c r="AB174">
        <v>0.375868819330335</v>
      </c>
      <c r="AC174" s="26">
        <f t="shared" si="25"/>
        <v>37.586881933033503</v>
      </c>
    </row>
    <row r="175" spans="3:29">
      <c r="C175" s="27">
        <v>41746</v>
      </c>
      <c r="D175" s="30">
        <v>0.38166972699665563</v>
      </c>
      <c r="E175" s="30">
        <v>0.37550642358643799</v>
      </c>
      <c r="F175" s="37">
        <f t="shared" ca="1" si="21"/>
        <v>1370.9</v>
      </c>
      <c r="G175" s="37">
        <f t="shared" si="22"/>
        <v>44.429365801905604</v>
      </c>
      <c r="H175" s="26">
        <f t="shared" si="23"/>
        <v>4</v>
      </c>
      <c r="I175" s="26">
        <f t="shared" si="24"/>
        <v>0</v>
      </c>
      <c r="J175" s="26">
        <f t="shared" si="20"/>
        <v>0</v>
      </c>
      <c r="K175" s="27" t="str">
        <f t="shared" si="26"/>
        <v/>
      </c>
      <c r="L175" s="27" t="e">
        <f t="shared" si="27"/>
        <v>#VALUE!</v>
      </c>
      <c r="M175" s="30" t="str">
        <f t="shared" si="28"/>
        <v/>
      </c>
      <c r="N175" s="30" t="str">
        <f>IF($J175=1,E175,"")</f>
        <v/>
      </c>
      <c r="O175" s="39" t="str">
        <f>IF($J175=1,F175,"")</f>
        <v/>
      </c>
      <c r="P175" s="39" t="str">
        <f t="shared" si="29"/>
        <v/>
      </c>
      <c r="W175" s="27">
        <v>40501</v>
      </c>
      <c r="X175" s="26">
        <v>4009.2</v>
      </c>
      <c r="AA175" s="27">
        <v>41746</v>
      </c>
      <c r="AB175">
        <v>0.44429365801905601</v>
      </c>
      <c r="AC175" s="26">
        <f t="shared" si="25"/>
        <v>44.429365801905604</v>
      </c>
    </row>
    <row r="176" spans="3:29">
      <c r="C176" s="27">
        <v>41753</v>
      </c>
      <c r="D176" s="30">
        <v>0.37393962817107157</v>
      </c>
      <c r="E176" s="30">
        <v>0.37394334466633</v>
      </c>
      <c r="F176" s="37">
        <f t="shared" ca="1" si="21"/>
        <v>1298.0999999999999</v>
      </c>
      <c r="G176" s="37">
        <f t="shared" si="22"/>
        <v>41.008123890030099</v>
      </c>
      <c r="H176" s="26">
        <f t="shared" si="23"/>
        <v>4</v>
      </c>
      <c r="I176" s="26">
        <f t="shared" si="24"/>
        <v>0</v>
      </c>
      <c r="J176" s="26">
        <f t="shared" si="20"/>
        <v>1</v>
      </c>
      <c r="K176" s="27">
        <f t="shared" si="26"/>
        <v>41759</v>
      </c>
      <c r="L176" s="27">
        <f t="shared" si="27"/>
        <v>41759</v>
      </c>
      <c r="M176" s="30">
        <f t="shared" si="28"/>
        <v>0.37393962817107157</v>
      </c>
      <c r="N176" s="30">
        <f>IF($J176=1,E176,"")</f>
        <v>0.37394334466633</v>
      </c>
      <c r="O176" s="39">
        <f ca="1">IF($J176=1,F176,"")</f>
        <v>1298.0999999999999</v>
      </c>
      <c r="P176" s="39">
        <f t="shared" si="29"/>
        <v>41.008123890030099</v>
      </c>
      <c r="W176" s="27">
        <v>40508</v>
      </c>
      <c r="X176" s="26">
        <v>3151.8</v>
      </c>
      <c r="AA176" s="27">
        <v>41753</v>
      </c>
      <c r="AB176">
        <v>0.41008123890030101</v>
      </c>
      <c r="AC176" s="26">
        <f t="shared" si="25"/>
        <v>41.008123890030099</v>
      </c>
    </row>
    <row r="177" spans="3:29">
      <c r="C177" s="27">
        <v>41760</v>
      </c>
      <c r="D177" s="30">
        <v>0.37360583835556432</v>
      </c>
      <c r="E177" s="30">
        <v>0.37348002875422498</v>
      </c>
      <c r="F177" s="37">
        <f t="shared" ca="1" si="21"/>
        <v>1323.9</v>
      </c>
      <c r="G177" s="37">
        <f t="shared" si="22"/>
        <v>43.479216356337005</v>
      </c>
      <c r="H177" s="26">
        <f t="shared" si="23"/>
        <v>5</v>
      </c>
      <c r="I177" s="26">
        <f t="shared" si="24"/>
        <v>1</v>
      </c>
      <c r="J177" s="26">
        <f t="shared" si="20"/>
        <v>0</v>
      </c>
      <c r="K177" s="27" t="str">
        <f t="shared" si="26"/>
        <v/>
      </c>
      <c r="L177" s="27" t="e">
        <f t="shared" si="27"/>
        <v>#VALUE!</v>
      </c>
      <c r="M177" s="30" t="str">
        <f t="shared" si="28"/>
        <v/>
      </c>
      <c r="N177" s="30" t="str">
        <f>IF($J177=1,E177,"")</f>
        <v/>
      </c>
      <c r="O177" s="39" t="str">
        <f>IF($J177=1,F177,"")</f>
        <v/>
      </c>
      <c r="P177" s="39" t="str">
        <f t="shared" si="29"/>
        <v/>
      </c>
      <c r="W177" s="27">
        <v>40515</v>
      </c>
      <c r="X177" s="26">
        <v>3066.2</v>
      </c>
      <c r="AA177" s="27">
        <v>41760</v>
      </c>
      <c r="AB177">
        <v>0.43479216356337003</v>
      </c>
      <c r="AC177" s="26">
        <f t="shared" si="25"/>
        <v>43.479216356337005</v>
      </c>
    </row>
    <row r="178" spans="3:29">
      <c r="C178" s="27">
        <v>41767</v>
      </c>
      <c r="D178" s="30">
        <v>0.40975674753773905</v>
      </c>
      <c r="E178" s="30">
        <v>0.42315654967107302</v>
      </c>
      <c r="F178" s="37">
        <f t="shared" ca="1" si="21"/>
        <v>1400.9</v>
      </c>
      <c r="G178" s="37">
        <f t="shared" si="22"/>
        <v>53.770935794158106</v>
      </c>
      <c r="H178" s="26">
        <f t="shared" si="23"/>
        <v>5</v>
      </c>
      <c r="I178" s="26">
        <f t="shared" si="24"/>
        <v>0</v>
      </c>
      <c r="J178" s="26">
        <f t="shared" si="20"/>
        <v>0</v>
      </c>
      <c r="K178" s="27" t="str">
        <f t="shared" si="26"/>
        <v/>
      </c>
      <c r="L178" s="27" t="e">
        <f t="shared" si="27"/>
        <v>#VALUE!</v>
      </c>
      <c r="M178" s="30" t="str">
        <f t="shared" si="28"/>
        <v/>
      </c>
      <c r="N178" s="30" t="str">
        <f>IF($J178=1,E178,"")</f>
        <v/>
      </c>
      <c r="O178" s="39" t="str">
        <f>IF($J178=1,F178,"")</f>
        <v/>
      </c>
      <c r="P178" s="39" t="str">
        <f t="shared" si="29"/>
        <v/>
      </c>
      <c r="W178" s="27">
        <v>40522</v>
      </c>
      <c r="X178" s="26">
        <v>3067.3</v>
      </c>
      <c r="AA178" s="27">
        <v>41767</v>
      </c>
      <c r="AB178">
        <v>0.53770935794158103</v>
      </c>
      <c r="AC178" s="26">
        <f t="shared" si="25"/>
        <v>53.770935794158106</v>
      </c>
    </row>
    <row r="179" spans="3:29">
      <c r="C179" s="27">
        <v>41774</v>
      </c>
      <c r="D179" s="30">
        <v>0.4132153406951769</v>
      </c>
      <c r="E179" s="30">
        <v>0.42349289634896597</v>
      </c>
      <c r="F179" s="37">
        <f t="shared" ca="1" si="21"/>
        <v>1460.6</v>
      </c>
      <c r="G179" s="37">
        <f t="shared" si="22"/>
        <v>54.751099550169201</v>
      </c>
      <c r="H179" s="26">
        <f t="shared" si="23"/>
        <v>5</v>
      </c>
      <c r="I179" s="26">
        <f t="shared" si="24"/>
        <v>0</v>
      </c>
      <c r="J179" s="26">
        <f t="shared" si="20"/>
        <v>0</v>
      </c>
      <c r="K179" s="27" t="str">
        <f t="shared" si="26"/>
        <v/>
      </c>
      <c r="L179" s="27" t="e">
        <f t="shared" si="27"/>
        <v>#VALUE!</v>
      </c>
      <c r="M179" s="30" t="str">
        <f t="shared" si="28"/>
        <v/>
      </c>
      <c r="N179" s="30" t="str">
        <f>IF($J179=1,E179,"")</f>
        <v/>
      </c>
      <c r="O179" s="39" t="str">
        <f>IF($J179=1,F179,"")</f>
        <v/>
      </c>
      <c r="P179" s="39" t="str">
        <f t="shared" si="29"/>
        <v/>
      </c>
      <c r="W179" s="27">
        <v>40529</v>
      </c>
      <c r="X179" s="26">
        <v>2319.9</v>
      </c>
      <c r="AA179" s="27">
        <v>41774</v>
      </c>
      <c r="AB179">
        <v>0.54751099550169202</v>
      </c>
      <c r="AC179" s="26">
        <f t="shared" si="25"/>
        <v>54.751099550169201</v>
      </c>
    </row>
    <row r="180" spans="3:29">
      <c r="C180" s="27">
        <v>41781</v>
      </c>
      <c r="D180" s="30">
        <v>0.44799454346559853</v>
      </c>
      <c r="E180" s="30">
        <v>0.44562837110466802</v>
      </c>
      <c r="F180" s="37">
        <f t="shared" ca="1" si="21"/>
        <v>1453.4</v>
      </c>
      <c r="G180" s="37">
        <f t="shared" si="22"/>
        <v>60.632082100249399</v>
      </c>
      <c r="H180" s="26">
        <f t="shared" si="23"/>
        <v>5</v>
      </c>
      <c r="I180" s="26">
        <f t="shared" si="24"/>
        <v>0</v>
      </c>
      <c r="J180" s="26">
        <f t="shared" si="20"/>
        <v>0</v>
      </c>
      <c r="K180" s="27" t="str">
        <f t="shared" si="26"/>
        <v/>
      </c>
      <c r="L180" s="27" t="e">
        <f t="shared" si="27"/>
        <v>#VALUE!</v>
      </c>
      <c r="M180" s="30" t="str">
        <f t="shared" si="28"/>
        <v/>
      </c>
      <c r="N180" s="30" t="str">
        <f>IF($J180=1,E180,"")</f>
        <v/>
      </c>
      <c r="O180" s="39" t="str">
        <f>IF($J180=1,F180,"")</f>
        <v/>
      </c>
      <c r="P180" s="39" t="str">
        <f t="shared" si="29"/>
        <v/>
      </c>
      <c r="W180" s="27">
        <v>40536</v>
      </c>
      <c r="X180" s="26">
        <v>2185.5</v>
      </c>
      <c r="AA180" s="27">
        <v>41781</v>
      </c>
      <c r="AB180">
        <v>0.60632082100249396</v>
      </c>
      <c r="AC180" s="26">
        <f t="shared" si="25"/>
        <v>60.632082100249399</v>
      </c>
    </row>
    <row r="181" spans="3:29">
      <c r="C181" s="27">
        <v>41788</v>
      </c>
      <c r="D181" s="30">
        <v>0.46362020494951672</v>
      </c>
      <c r="E181" s="30">
        <v>0.44740081291084099</v>
      </c>
      <c r="F181" s="37">
        <f t="shared" ca="1" si="21"/>
        <v>1382.6</v>
      </c>
      <c r="G181" s="37">
        <f t="shared" si="22"/>
        <v>62.592409617617697</v>
      </c>
      <c r="H181" s="26">
        <f t="shared" si="23"/>
        <v>5</v>
      </c>
      <c r="I181" s="26">
        <f t="shared" si="24"/>
        <v>0</v>
      </c>
      <c r="J181" s="26">
        <f t="shared" si="20"/>
        <v>1</v>
      </c>
      <c r="K181" s="27">
        <f t="shared" si="26"/>
        <v>41790</v>
      </c>
      <c r="L181" s="27">
        <f t="shared" si="27"/>
        <v>41789</v>
      </c>
      <c r="M181" s="30">
        <f t="shared" si="28"/>
        <v>0.46362020494951672</v>
      </c>
      <c r="N181" s="30">
        <f>IF($J181=1,E181,"")</f>
        <v>0.44740081291084099</v>
      </c>
      <c r="O181" s="39">
        <f ca="1">IF($J181=1,F181,"")</f>
        <v>1382.6</v>
      </c>
      <c r="P181" s="39">
        <f t="shared" si="29"/>
        <v>62.592409617617697</v>
      </c>
      <c r="W181" s="27">
        <v>40543</v>
      </c>
      <c r="X181" s="26">
        <v>2249.6</v>
      </c>
      <c r="AA181" s="27">
        <v>41788</v>
      </c>
      <c r="AB181">
        <v>0.62592409617617695</v>
      </c>
      <c r="AC181" s="26">
        <f t="shared" si="25"/>
        <v>62.592409617617697</v>
      </c>
    </row>
    <row r="182" spans="3:29">
      <c r="C182" s="27">
        <v>41795</v>
      </c>
      <c r="D182" s="30">
        <v>0.46847875373528863</v>
      </c>
      <c r="E182" s="30">
        <v>0.447997908024105</v>
      </c>
      <c r="F182" s="37">
        <f t="shared" ca="1" si="21"/>
        <v>1516.9</v>
      </c>
      <c r="G182" s="37">
        <f t="shared" si="22"/>
        <v>63.896853562838899</v>
      </c>
      <c r="H182" s="26">
        <f t="shared" si="23"/>
        <v>6</v>
      </c>
      <c r="I182" s="26">
        <f t="shared" si="24"/>
        <v>1</v>
      </c>
      <c r="J182" s="26">
        <f t="shared" si="20"/>
        <v>0</v>
      </c>
      <c r="K182" s="27" t="str">
        <f t="shared" si="26"/>
        <v/>
      </c>
      <c r="L182" s="27" t="e">
        <f t="shared" si="27"/>
        <v>#VALUE!</v>
      </c>
      <c r="M182" s="30" t="str">
        <f t="shared" si="28"/>
        <v/>
      </c>
      <c r="N182" s="30" t="str">
        <f>IF($J182=1,E182,"")</f>
        <v/>
      </c>
      <c r="O182" s="39" t="str">
        <f>IF($J182=1,F182,"")</f>
        <v/>
      </c>
      <c r="P182" s="39" t="str">
        <f t="shared" si="29"/>
        <v/>
      </c>
      <c r="W182" s="27">
        <v>40550</v>
      </c>
      <c r="X182" s="26">
        <v>2344.3000000000002</v>
      </c>
      <c r="AA182" s="27">
        <v>41795</v>
      </c>
      <c r="AB182">
        <v>0.63896853562838896</v>
      </c>
      <c r="AC182" s="26">
        <f t="shared" si="25"/>
        <v>63.896853562838899</v>
      </c>
    </row>
    <row r="183" spans="3:29">
      <c r="C183" s="27">
        <v>41802</v>
      </c>
      <c r="D183" s="30">
        <v>0.41096738430920449</v>
      </c>
      <c r="E183" s="30">
        <v>0.42258598579352902</v>
      </c>
      <c r="F183" s="37">
        <f t="shared" ca="1" si="21"/>
        <v>1321.3</v>
      </c>
      <c r="G183" s="37">
        <f t="shared" si="22"/>
        <v>55.549210362357506</v>
      </c>
      <c r="H183" s="26">
        <f t="shared" si="23"/>
        <v>6</v>
      </c>
      <c r="I183" s="26">
        <f t="shared" si="24"/>
        <v>0</v>
      </c>
      <c r="J183" s="26">
        <f t="shared" si="20"/>
        <v>0</v>
      </c>
      <c r="K183" s="27" t="str">
        <f t="shared" si="26"/>
        <v/>
      </c>
      <c r="L183" s="27" t="e">
        <f t="shared" si="27"/>
        <v>#VALUE!</v>
      </c>
      <c r="M183" s="30" t="str">
        <f t="shared" si="28"/>
        <v/>
      </c>
      <c r="N183" s="30" t="str">
        <f>IF($J183=1,E183,"")</f>
        <v/>
      </c>
      <c r="O183" s="39" t="str">
        <f>IF($J183=1,F183,"")</f>
        <v/>
      </c>
      <c r="P183" s="39" t="str">
        <f t="shared" si="29"/>
        <v/>
      </c>
      <c r="W183" s="27">
        <v>40557</v>
      </c>
      <c r="X183" s="26">
        <v>2528.6999999999998</v>
      </c>
      <c r="AA183" s="27">
        <v>41802</v>
      </c>
      <c r="AB183">
        <v>0.55549210362357504</v>
      </c>
      <c r="AC183" s="26">
        <f t="shared" si="25"/>
        <v>55.549210362357506</v>
      </c>
    </row>
    <row r="184" spans="3:29">
      <c r="C184" s="27">
        <v>41809</v>
      </c>
      <c r="D184" s="30">
        <v>0.42635938692148717</v>
      </c>
      <c r="E184" s="30">
        <v>0.42434402519227898</v>
      </c>
      <c r="F184" s="37">
        <f t="shared" ca="1" si="21"/>
        <v>1333.5</v>
      </c>
      <c r="G184" s="37">
        <f t="shared" si="22"/>
        <v>58.495437370634896</v>
      </c>
      <c r="H184" s="26">
        <f t="shared" si="23"/>
        <v>6</v>
      </c>
      <c r="I184" s="26">
        <f t="shared" si="24"/>
        <v>0</v>
      </c>
      <c r="J184" s="26">
        <f t="shared" si="20"/>
        <v>0</v>
      </c>
      <c r="K184" s="27" t="str">
        <f t="shared" si="26"/>
        <v/>
      </c>
      <c r="L184" s="27" t="e">
        <f t="shared" si="27"/>
        <v>#VALUE!</v>
      </c>
      <c r="M184" s="30" t="str">
        <f t="shared" si="28"/>
        <v/>
      </c>
      <c r="N184" s="30" t="str">
        <f>IF($J184=1,E184,"")</f>
        <v/>
      </c>
      <c r="O184" s="39" t="str">
        <f>IF($J184=1,F184,"")</f>
        <v/>
      </c>
      <c r="P184" s="39" t="str">
        <f t="shared" si="29"/>
        <v/>
      </c>
      <c r="W184" s="27">
        <v>40564</v>
      </c>
      <c r="X184" s="26">
        <v>2129.6999999999998</v>
      </c>
      <c r="AA184" s="27">
        <v>41809</v>
      </c>
      <c r="AB184">
        <v>0.58495437370634895</v>
      </c>
      <c r="AC184" s="26">
        <f t="shared" si="25"/>
        <v>58.495437370634896</v>
      </c>
    </row>
    <row r="185" spans="3:29">
      <c r="C185" s="27">
        <v>41816</v>
      </c>
      <c r="D185" s="30">
        <v>0.46847875373528863</v>
      </c>
      <c r="E185" s="30">
        <v>0.447997908024105</v>
      </c>
      <c r="F185" s="37">
        <f t="shared" ca="1" si="21"/>
        <v>1341.8</v>
      </c>
      <c r="G185" s="37">
        <f t="shared" si="22"/>
        <v>63.896853562838899</v>
      </c>
      <c r="H185" s="26">
        <f t="shared" si="23"/>
        <v>6</v>
      </c>
      <c r="I185" s="26">
        <f t="shared" si="24"/>
        <v>0</v>
      </c>
      <c r="J185" s="26">
        <f t="shared" si="20"/>
        <v>1</v>
      </c>
      <c r="K185" s="27">
        <f t="shared" si="26"/>
        <v>41820</v>
      </c>
      <c r="L185" s="27">
        <f t="shared" si="27"/>
        <v>41820</v>
      </c>
      <c r="M185" s="30">
        <f t="shared" si="28"/>
        <v>0.46847875373528863</v>
      </c>
      <c r="N185" s="30">
        <f>IF($J185=1,E185,"")</f>
        <v>0.447997908024105</v>
      </c>
      <c r="O185" s="39">
        <f ca="1">IF($J185=1,F185,"")</f>
        <v>1341.8</v>
      </c>
      <c r="P185" s="39">
        <f t="shared" si="29"/>
        <v>63.896853562838899</v>
      </c>
      <c r="W185" s="27">
        <v>40571</v>
      </c>
      <c r="X185" s="26">
        <v>2371.1</v>
      </c>
      <c r="AA185" s="27">
        <v>41816</v>
      </c>
      <c r="AB185">
        <v>0.63896853562838896</v>
      </c>
      <c r="AC185" s="26">
        <f t="shared" si="25"/>
        <v>63.896853562838899</v>
      </c>
    </row>
    <row r="186" spans="3:29">
      <c r="C186" s="27">
        <v>41823</v>
      </c>
      <c r="D186" s="30">
        <v>0.48178321750260522</v>
      </c>
      <c r="E186" s="30">
        <v>0.47241973099249801</v>
      </c>
      <c r="F186" s="37">
        <f t="shared" ca="1" si="21"/>
        <v>1346.8</v>
      </c>
      <c r="G186" s="37">
        <f t="shared" si="22"/>
        <v>65.179036375877402</v>
      </c>
      <c r="H186" s="26">
        <f t="shared" si="23"/>
        <v>7</v>
      </c>
      <c r="I186" s="26">
        <f t="shared" si="24"/>
        <v>1</v>
      </c>
      <c r="J186" s="26">
        <f t="shared" si="20"/>
        <v>0</v>
      </c>
      <c r="K186" s="27" t="str">
        <f t="shared" si="26"/>
        <v/>
      </c>
      <c r="L186" s="27" t="e">
        <f t="shared" si="27"/>
        <v>#VALUE!</v>
      </c>
      <c r="M186" s="30" t="str">
        <f t="shared" si="28"/>
        <v/>
      </c>
      <c r="N186" s="30" t="str">
        <f>IF($J186=1,E186,"")</f>
        <v/>
      </c>
      <c r="O186" s="39" t="str">
        <f>IF($J186=1,F186,"")</f>
        <v/>
      </c>
      <c r="P186" s="39" t="str">
        <f t="shared" si="29"/>
        <v/>
      </c>
      <c r="W186" s="27">
        <v>40578</v>
      </c>
      <c r="X186" s="26">
        <v>2190.4</v>
      </c>
      <c r="AA186" s="27">
        <v>41823</v>
      </c>
      <c r="AB186">
        <v>0.65179036375877397</v>
      </c>
      <c r="AC186" s="26">
        <f t="shared" si="25"/>
        <v>65.179036375877402</v>
      </c>
    </row>
    <row r="187" spans="3:29">
      <c r="C187" s="27">
        <v>41830</v>
      </c>
      <c r="D187" s="30">
        <v>0.42147742037560049</v>
      </c>
      <c r="E187" s="30">
        <v>0.41926854513922601</v>
      </c>
      <c r="F187" s="37">
        <f t="shared" ca="1" si="21"/>
        <v>1329.7</v>
      </c>
      <c r="G187" s="37">
        <f t="shared" si="22"/>
        <v>57.320355096680501</v>
      </c>
      <c r="H187" s="26">
        <f t="shared" si="23"/>
        <v>7</v>
      </c>
      <c r="I187" s="26">
        <f t="shared" si="24"/>
        <v>0</v>
      </c>
      <c r="J187" s="26">
        <f t="shared" si="20"/>
        <v>0</v>
      </c>
      <c r="K187" s="27" t="str">
        <f t="shared" si="26"/>
        <v/>
      </c>
      <c r="L187" s="27" t="e">
        <f t="shared" si="27"/>
        <v>#VALUE!</v>
      </c>
      <c r="M187" s="30" t="str">
        <f t="shared" si="28"/>
        <v/>
      </c>
      <c r="N187" s="30" t="str">
        <f>IF($J187=1,E187,"")</f>
        <v/>
      </c>
      <c r="O187" s="39" t="str">
        <f>IF($J187=1,F187,"")</f>
        <v/>
      </c>
      <c r="P187" s="39" t="str">
        <f t="shared" si="29"/>
        <v/>
      </c>
      <c r="W187" s="27">
        <v>40585</v>
      </c>
      <c r="X187" s="26">
        <v>1953.2</v>
      </c>
      <c r="AA187" s="27">
        <v>41830</v>
      </c>
      <c r="AB187">
        <v>0.57320355096680498</v>
      </c>
      <c r="AC187" s="26">
        <f t="shared" si="25"/>
        <v>57.320355096680501</v>
      </c>
    </row>
    <row r="188" spans="3:29">
      <c r="C188" s="27">
        <v>41837</v>
      </c>
      <c r="D188" s="30">
        <v>0.45155296827836544</v>
      </c>
      <c r="E188" s="30">
        <v>0.44241787954298001</v>
      </c>
      <c r="F188" s="37">
        <f t="shared" ca="1" si="21"/>
        <v>1400.7</v>
      </c>
      <c r="G188" s="37">
        <f t="shared" si="22"/>
        <v>61.7408633182961</v>
      </c>
      <c r="H188" s="26">
        <f t="shared" si="23"/>
        <v>7</v>
      </c>
      <c r="I188" s="26">
        <f t="shared" si="24"/>
        <v>0</v>
      </c>
      <c r="J188" s="26">
        <f t="shared" si="20"/>
        <v>0</v>
      </c>
      <c r="K188" s="27" t="str">
        <f t="shared" si="26"/>
        <v/>
      </c>
      <c r="L188" s="27" t="e">
        <f t="shared" si="27"/>
        <v>#VALUE!</v>
      </c>
      <c r="M188" s="30" t="str">
        <f t="shared" si="28"/>
        <v/>
      </c>
      <c r="N188" s="30" t="str">
        <f>IF($J188=1,E188,"")</f>
        <v/>
      </c>
      <c r="O188" s="39" t="str">
        <f>IF($J188=1,F188,"")</f>
        <v/>
      </c>
      <c r="P188" s="39" t="str">
        <f t="shared" si="29"/>
        <v/>
      </c>
      <c r="W188" s="27">
        <v>40592</v>
      </c>
      <c r="X188" s="26">
        <v>2325.3000000000002</v>
      </c>
      <c r="AA188" s="27">
        <v>41837</v>
      </c>
      <c r="AB188">
        <v>0.61740863318296102</v>
      </c>
      <c r="AC188" s="26">
        <f t="shared" si="25"/>
        <v>61.7408633182961</v>
      </c>
    </row>
    <row r="189" spans="3:29">
      <c r="C189" s="27">
        <v>41844</v>
      </c>
      <c r="D189" s="30">
        <v>0.45155296827836544</v>
      </c>
      <c r="E189" s="30">
        <v>0.44241787954298001</v>
      </c>
      <c r="F189" s="37">
        <f t="shared" ca="1" si="21"/>
        <v>1327.5</v>
      </c>
      <c r="G189" s="37">
        <f t="shared" si="22"/>
        <v>61.7408633182961</v>
      </c>
      <c r="H189" s="26">
        <f t="shared" si="23"/>
        <v>7</v>
      </c>
      <c r="I189" s="26">
        <f t="shared" si="24"/>
        <v>0</v>
      </c>
      <c r="J189" s="26">
        <f t="shared" si="20"/>
        <v>0</v>
      </c>
      <c r="K189" s="27" t="str">
        <f t="shared" si="26"/>
        <v/>
      </c>
      <c r="L189" s="27" t="e">
        <f t="shared" si="27"/>
        <v>#VALUE!</v>
      </c>
      <c r="M189" s="30" t="str">
        <f t="shared" si="28"/>
        <v/>
      </c>
      <c r="N189" s="30" t="str">
        <f>IF($J189=1,E189,"")</f>
        <v/>
      </c>
      <c r="O189" s="39" t="str">
        <f>IF($J189=1,F189,"")</f>
        <v/>
      </c>
      <c r="P189" s="39" t="str">
        <f t="shared" si="29"/>
        <v/>
      </c>
      <c r="W189" s="27">
        <v>40599</v>
      </c>
      <c r="X189" s="26">
        <v>2155.5</v>
      </c>
      <c r="AA189" s="27">
        <v>41844</v>
      </c>
      <c r="AB189">
        <v>0.61740863318296102</v>
      </c>
      <c r="AC189" s="26">
        <f t="shared" si="25"/>
        <v>61.7408633182961</v>
      </c>
    </row>
    <row r="190" spans="3:29">
      <c r="C190" s="27">
        <v>41851</v>
      </c>
      <c r="D190" s="30">
        <v>0.45923072088835232</v>
      </c>
      <c r="E190" s="30">
        <v>0.44366576481104603</v>
      </c>
      <c r="F190" s="37">
        <f t="shared" ca="1" si="21"/>
        <v>1373.9</v>
      </c>
      <c r="G190" s="37">
        <f t="shared" si="22"/>
        <v>62.7231984794726</v>
      </c>
      <c r="H190" s="26">
        <f t="shared" si="23"/>
        <v>7</v>
      </c>
      <c r="I190" s="26">
        <f t="shared" si="24"/>
        <v>0</v>
      </c>
      <c r="J190" s="26">
        <f t="shared" si="20"/>
        <v>1</v>
      </c>
      <c r="K190" s="27">
        <f t="shared" si="26"/>
        <v>41851</v>
      </c>
      <c r="L190" s="27">
        <f t="shared" si="27"/>
        <v>41851</v>
      </c>
      <c r="M190" s="30">
        <f t="shared" si="28"/>
        <v>0.45923072088835232</v>
      </c>
      <c r="N190" s="30">
        <f>IF($J190=1,E190,"")</f>
        <v>0.44366576481104603</v>
      </c>
      <c r="O190" s="39">
        <f ca="1">IF($J190=1,F190,"")</f>
        <v>1373.9</v>
      </c>
      <c r="P190" s="39">
        <f t="shared" si="29"/>
        <v>62.7231984794726</v>
      </c>
      <c r="W190" s="27">
        <v>40606</v>
      </c>
      <c r="X190" s="26">
        <v>2539.4</v>
      </c>
      <c r="AA190" s="27">
        <v>41851</v>
      </c>
      <c r="AB190">
        <v>0.62723198479472597</v>
      </c>
      <c r="AC190" s="26">
        <f t="shared" si="25"/>
        <v>62.7231984794726</v>
      </c>
    </row>
    <row r="191" spans="3:29">
      <c r="C191" s="27">
        <v>41858</v>
      </c>
      <c r="D191" s="30">
        <v>0.42413376349642812</v>
      </c>
      <c r="E191" s="30">
        <v>0.41284557270170602</v>
      </c>
      <c r="F191" s="37">
        <f t="shared" ca="1" si="21"/>
        <v>1342.6</v>
      </c>
      <c r="G191" s="37">
        <f t="shared" si="22"/>
        <v>57.190132816728898</v>
      </c>
      <c r="H191" s="26">
        <f t="shared" si="23"/>
        <v>8</v>
      </c>
      <c r="I191" s="26">
        <f t="shared" si="24"/>
        <v>1</v>
      </c>
      <c r="J191" s="26">
        <f t="shared" si="20"/>
        <v>0</v>
      </c>
      <c r="K191" s="27" t="str">
        <f t="shared" si="26"/>
        <v/>
      </c>
      <c r="L191" s="27" t="e">
        <f t="shared" si="27"/>
        <v>#VALUE!</v>
      </c>
      <c r="M191" s="30" t="str">
        <f t="shared" si="28"/>
        <v/>
      </c>
      <c r="N191" s="30" t="str">
        <f>IF($J191=1,E191,"")</f>
        <v/>
      </c>
      <c r="O191" s="39" t="str">
        <f>IF($J191=1,F191,"")</f>
        <v/>
      </c>
      <c r="P191" s="39" t="str">
        <f t="shared" si="29"/>
        <v/>
      </c>
      <c r="W191" s="27">
        <v>40613</v>
      </c>
      <c r="X191" s="26">
        <v>2563.6</v>
      </c>
      <c r="AA191" s="27">
        <v>41858</v>
      </c>
      <c r="AB191">
        <v>0.571901328167289</v>
      </c>
      <c r="AC191" s="26">
        <f t="shared" si="25"/>
        <v>57.190132816728898</v>
      </c>
    </row>
    <row r="192" spans="3:29">
      <c r="C192" s="27">
        <v>41865</v>
      </c>
      <c r="D192" s="30">
        <v>0.45575254137027688</v>
      </c>
      <c r="E192" s="30">
        <v>0.437009219217877</v>
      </c>
      <c r="F192" s="37">
        <f t="shared" ca="1" si="21"/>
        <v>1404.9</v>
      </c>
      <c r="G192" s="37">
        <f t="shared" si="22"/>
        <v>61.611429578310798</v>
      </c>
      <c r="H192" s="26">
        <f t="shared" si="23"/>
        <v>8</v>
      </c>
      <c r="I192" s="26">
        <f t="shared" si="24"/>
        <v>0</v>
      </c>
      <c r="J192" s="26">
        <f t="shared" si="20"/>
        <v>0</v>
      </c>
      <c r="K192" s="27" t="str">
        <f t="shared" si="26"/>
        <v/>
      </c>
      <c r="L192" s="27" t="e">
        <f t="shared" si="27"/>
        <v>#VALUE!</v>
      </c>
      <c r="M192" s="30" t="str">
        <f t="shared" si="28"/>
        <v/>
      </c>
      <c r="N192" s="30" t="str">
        <f>IF($J192=1,E192,"")</f>
        <v/>
      </c>
      <c r="O192" s="39" t="str">
        <f>IF($J192=1,F192,"")</f>
        <v/>
      </c>
      <c r="P192" s="39" t="str">
        <f t="shared" si="29"/>
        <v/>
      </c>
      <c r="W192" s="27">
        <v>40620</v>
      </c>
      <c r="X192" s="26">
        <v>2620.8000000000002</v>
      </c>
      <c r="AA192" s="27">
        <v>41865</v>
      </c>
      <c r="AB192">
        <v>0.61611429578310795</v>
      </c>
      <c r="AC192" s="26">
        <f t="shared" si="25"/>
        <v>61.611429578310798</v>
      </c>
    </row>
    <row r="193" spans="3:29">
      <c r="C193" s="27">
        <v>41872</v>
      </c>
      <c r="D193" s="30">
        <v>0.49084413664233395</v>
      </c>
      <c r="E193" s="30">
        <v>0.46725416935729103</v>
      </c>
      <c r="F193" s="37">
        <f t="shared" ca="1" si="21"/>
        <v>1439.4</v>
      </c>
      <c r="G193" s="37">
        <f t="shared" si="22"/>
        <v>66.032726328260807</v>
      </c>
      <c r="H193" s="26">
        <f t="shared" si="23"/>
        <v>8</v>
      </c>
      <c r="I193" s="26">
        <f t="shared" si="24"/>
        <v>0</v>
      </c>
      <c r="J193" s="26">
        <f t="shared" si="20"/>
        <v>0</v>
      </c>
      <c r="K193" s="27" t="str">
        <f t="shared" si="26"/>
        <v/>
      </c>
      <c r="L193" s="27" t="e">
        <f t="shared" si="27"/>
        <v>#VALUE!</v>
      </c>
      <c r="M193" s="30" t="str">
        <f t="shared" si="28"/>
        <v/>
      </c>
      <c r="N193" s="30" t="str">
        <f>IF($J193=1,E193,"")</f>
        <v/>
      </c>
      <c r="O193" s="39" t="str">
        <f>IF($J193=1,F193,"")</f>
        <v/>
      </c>
      <c r="P193" s="39" t="str">
        <f t="shared" si="29"/>
        <v/>
      </c>
      <c r="W193" s="27">
        <v>40627</v>
      </c>
      <c r="X193" s="26">
        <v>2350.6999999999998</v>
      </c>
      <c r="AA193" s="27">
        <v>41872</v>
      </c>
      <c r="AB193">
        <v>0.66032726328260805</v>
      </c>
      <c r="AC193" s="26">
        <f t="shared" si="25"/>
        <v>66.032726328260807</v>
      </c>
    </row>
    <row r="194" spans="3:29">
      <c r="C194" s="27">
        <v>41879</v>
      </c>
      <c r="D194" s="30">
        <v>0.49084413664233395</v>
      </c>
      <c r="E194" s="30">
        <v>0.46725416935729103</v>
      </c>
      <c r="F194" s="37">
        <f t="shared" ca="1" si="21"/>
        <v>1436</v>
      </c>
      <c r="G194" s="37">
        <f t="shared" si="22"/>
        <v>66.032726328260807</v>
      </c>
      <c r="H194" s="26">
        <f t="shared" si="23"/>
        <v>8</v>
      </c>
      <c r="I194" s="26">
        <f t="shared" si="24"/>
        <v>0</v>
      </c>
      <c r="J194" s="26">
        <f t="shared" si="20"/>
        <v>1</v>
      </c>
      <c r="K194" s="27">
        <f t="shared" si="26"/>
        <v>41882</v>
      </c>
      <c r="L194" s="27">
        <f t="shared" si="27"/>
        <v>41880</v>
      </c>
      <c r="M194" s="30">
        <f t="shared" si="28"/>
        <v>0.49084413664233395</v>
      </c>
      <c r="N194" s="30">
        <f>IF($J194=1,E194,"")</f>
        <v>0.46725416935729103</v>
      </c>
      <c r="O194" s="39">
        <f ca="1">IF($J194=1,F194,"")</f>
        <v>1436</v>
      </c>
      <c r="P194" s="39">
        <f t="shared" si="29"/>
        <v>66.032726328260807</v>
      </c>
      <c r="W194" s="27">
        <v>40634</v>
      </c>
      <c r="X194" s="26">
        <v>2194.4</v>
      </c>
      <c r="AA194" s="27">
        <v>41879</v>
      </c>
      <c r="AB194">
        <v>0.66032726328260805</v>
      </c>
      <c r="AC194" s="26">
        <f t="shared" si="25"/>
        <v>66.032726328260807</v>
      </c>
    </row>
    <row r="195" spans="3:29">
      <c r="C195" s="27">
        <v>41886</v>
      </c>
      <c r="D195" s="30">
        <v>0.4873264191007175</v>
      </c>
      <c r="E195" s="30">
        <v>0.46145357757128402</v>
      </c>
      <c r="F195" s="37">
        <f t="shared" ca="1" si="21"/>
        <v>1275.8</v>
      </c>
      <c r="G195" s="37">
        <f t="shared" si="22"/>
        <v>65.039169208701992</v>
      </c>
      <c r="H195" s="26">
        <f t="shared" si="23"/>
        <v>9</v>
      </c>
      <c r="I195" s="26">
        <f t="shared" si="24"/>
        <v>1</v>
      </c>
      <c r="J195" s="26">
        <f t="shared" si="20"/>
        <v>0</v>
      </c>
      <c r="K195" s="27" t="str">
        <f t="shared" si="26"/>
        <v/>
      </c>
      <c r="L195" s="27" t="e">
        <f t="shared" si="27"/>
        <v>#VALUE!</v>
      </c>
      <c r="M195" s="30" t="str">
        <f t="shared" si="28"/>
        <v/>
      </c>
      <c r="N195" s="30" t="str">
        <f>IF($J195=1,E195,"")</f>
        <v/>
      </c>
      <c r="O195" s="39" t="str">
        <f>IF($J195=1,F195,"")</f>
        <v/>
      </c>
      <c r="P195" s="39" t="str">
        <f t="shared" si="29"/>
        <v/>
      </c>
      <c r="W195" s="27">
        <v>40641</v>
      </c>
      <c r="X195" s="26">
        <v>2010.6</v>
      </c>
      <c r="AA195" s="27">
        <v>41886</v>
      </c>
      <c r="AB195">
        <v>0.65039169208701997</v>
      </c>
      <c r="AC195" s="26">
        <f t="shared" si="25"/>
        <v>65.039169208701992</v>
      </c>
    </row>
    <row r="196" spans="3:29">
      <c r="C196" s="27">
        <v>41893</v>
      </c>
      <c r="D196" s="30">
        <v>0.4741591952243816</v>
      </c>
      <c r="E196" s="30">
        <v>0.45995272695767497</v>
      </c>
      <c r="F196" s="37">
        <f t="shared" ca="1" si="21"/>
        <v>1398.4</v>
      </c>
      <c r="G196" s="37">
        <f t="shared" si="22"/>
        <v>63.073939601436798</v>
      </c>
      <c r="H196" s="26">
        <f t="shared" si="23"/>
        <v>9</v>
      </c>
      <c r="I196" s="26">
        <f t="shared" si="24"/>
        <v>0</v>
      </c>
      <c r="J196" s="26">
        <f t="shared" ref="J196:J236" si="30">I197</f>
        <v>0</v>
      </c>
      <c r="K196" s="27" t="str">
        <f t="shared" si="26"/>
        <v/>
      </c>
      <c r="L196" s="27" t="e">
        <f t="shared" si="27"/>
        <v>#VALUE!</v>
      </c>
      <c r="M196" s="30" t="str">
        <f t="shared" si="28"/>
        <v/>
      </c>
      <c r="N196" s="30" t="str">
        <f>IF($J196=1,E196,"")</f>
        <v/>
      </c>
      <c r="O196" s="39" t="str">
        <f>IF($J196=1,F196,"")</f>
        <v/>
      </c>
      <c r="P196" s="39" t="str">
        <f t="shared" si="29"/>
        <v/>
      </c>
      <c r="W196" s="27">
        <v>40648</v>
      </c>
      <c r="X196" s="26">
        <v>2065.3000000000002</v>
      </c>
      <c r="AA196" s="27">
        <v>41893</v>
      </c>
      <c r="AB196">
        <v>0.63073939601436801</v>
      </c>
      <c r="AC196" s="26">
        <f t="shared" si="25"/>
        <v>63.073939601436798</v>
      </c>
    </row>
    <row r="197" spans="3:29">
      <c r="C197" s="27">
        <v>41900</v>
      </c>
      <c r="D197" s="30">
        <v>0.3981672862675662</v>
      </c>
      <c r="E197" s="30">
        <v>0.403775681059653</v>
      </c>
      <c r="F197" s="37">
        <f t="shared" ref="F197:F236" ca="1" si="31">VLOOKUP(C197+1,W:X,2,0)</f>
        <v>1335.1</v>
      </c>
      <c r="G197" s="37">
        <f t="shared" ref="G197:G236" si="32">VLOOKUP(C197,AA:AC,3,0)</f>
        <v>52.265176738349098</v>
      </c>
      <c r="H197" s="26">
        <f t="shared" ref="H197:H236" si="33">MONTH(C197)</f>
        <v>9</v>
      </c>
      <c r="I197" s="26">
        <f t="shared" ref="I197:I236" si="34">IF(H197=H196,0,1)</f>
        <v>0</v>
      </c>
      <c r="J197" s="26">
        <f t="shared" si="30"/>
        <v>0</v>
      </c>
      <c r="K197" s="27" t="str">
        <f t="shared" si="26"/>
        <v/>
      </c>
      <c r="L197" s="27" t="e">
        <f t="shared" si="27"/>
        <v>#VALUE!</v>
      </c>
      <c r="M197" s="30" t="str">
        <f t="shared" si="28"/>
        <v/>
      </c>
      <c r="N197" s="30" t="str">
        <f>IF($J197=1,E197,"")</f>
        <v/>
      </c>
      <c r="O197" s="39" t="str">
        <f>IF($J197=1,F197,"")</f>
        <v/>
      </c>
      <c r="P197" s="39" t="str">
        <f t="shared" si="29"/>
        <v/>
      </c>
      <c r="W197" s="27">
        <v>40655</v>
      </c>
      <c r="X197" s="26">
        <v>2091.4</v>
      </c>
      <c r="AA197" s="27">
        <v>41900</v>
      </c>
      <c r="AB197">
        <v>0.52265176738349095</v>
      </c>
      <c r="AC197" s="26">
        <f t="shared" ref="AC197:AC236" si="35">AB197*100</f>
        <v>52.265176738349098</v>
      </c>
    </row>
    <row r="198" spans="3:29">
      <c r="C198" s="27">
        <v>41907</v>
      </c>
      <c r="D198" s="30">
        <v>0.41373230170663788</v>
      </c>
      <c r="E198" s="30">
        <v>0.40569534905697002</v>
      </c>
      <c r="F198" s="37">
        <f t="shared" ca="1" si="31"/>
        <v>1326.2</v>
      </c>
      <c r="G198" s="37">
        <f t="shared" si="32"/>
        <v>55.213021151995001</v>
      </c>
      <c r="H198" s="26">
        <f t="shared" si="33"/>
        <v>9</v>
      </c>
      <c r="I198" s="26">
        <f t="shared" si="34"/>
        <v>0</v>
      </c>
      <c r="J198" s="26">
        <f t="shared" si="30"/>
        <v>1</v>
      </c>
      <c r="K198" s="27">
        <f t="shared" si="26"/>
        <v>41912</v>
      </c>
      <c r="L198" s="27">
        <f t="shared" si="27"/>
        <v>41912</v>
      </c>
      <c r="M198" s="30">
        <f t="shared" si="28"/>
        <v>0.41373230170663788</v>
      </c>
      <c r="N198" s="30">
        <f>IF($J198=1,E198,"")</f>
        <v>0.40569534905697002</v>
      </c>
      <c r="O198" s="39">
        <f ca="1">IF($J198=1,F198,"")</f>
        <v>1326.2</v>
      </c>
      <c r="P198" s="39">
        <f t="shared" si="29"/>
        <v>55.213021151995001</v>
      </c>
      <c r="W198" s="27">
        <v>40662</v>
      </c>
      <c r="X198" s="26">
        <v>2220.1</v>
      </c>
      <c r="AA198" s="27">
        <v>41907</v>
      </c>
      <c r="AB198">
        <v>0.55213021151995001</v>
      </c>
      <c r="AC198" s="26">
        <f t="shared" si="35"/>
        <v>55.213021151995001</v>
      </c>
    </row>
    <row r="199" spans="3:29">
      <c r="C199" s="27">
        <v>41914</v>
      </c>
      <c r="D199" s="30">
        <v>0.43232059685066798</v>
      </c>
      <c r="E199" s="30">
        <v>0.419925946793896</v>
      </c>
      <c r="F199" s="37">
        <f t="shared" ca="1" si="31"/>
        <v>1387.1</v>
      </c>
      <c r="G199" s="37">
        <f t="shared" si="32"/>
        <v>56.710197052314705</v>
      </c>
      <c r="H199" s="26">
        <f t="shared" si="33"/>
        <v>10</v>
      </c>
      <c r="I199" s="26">
        <f t="shared" si="34"/>
        <v>1</v>
      </c>
      <c r="J199" s="26">
        <f t="shared" si="30"/>
        <v>0</v>
      </c>
      <c r="K199" s="27" t="str">
        <f t="shared" si="26"/>
        <v/>
      </c>
      <c r="L199" s="27" t="e">
        <f t="shared" si="27"/>
        <v>#VALUE!</v>
      </c>
      <c r="M199" s="30" t="str">
        <f t="shared" si="28"/>
        <v/>
      </c>
      <c r="N199" s="30" t="str">
        <f>IF($J199=1,E199,"")</f>
        <v/>
      </c>
      <c r="O199" s="39" t="str">
        <f>IF($J199=1,F199,"")</f>
        <v/>
      </c>
      <c r="P199" s="39" t="str">
        <f t="shared" si="29"/>
        <v/>
      </c>
      <c r="W199" s="27">
        <v>40669</v>
      </c>
      <c r="X199" s="26">
        <v>2414.9</v>
      </c>
      <c r="AA199" s="27">
        <v>41914</v>
      </c>
      <c r="AB199">
        <v>0.56710197052314704</v>
      </c>
      <c r="AC199" s="26">
        <f t="shared" si="35"/>
        <v>56.710197052314705</v>
      </c>
    </row>
    <row r="200" spans="3:29">
      <c r="C200" s="27">
        <v>41921</v>
      </c>
      <c r="D200" s="30">
        <v>0.47165449273347226</v>
      </c>
      <c r="E200" s="30">
        <v>0.45168042618119703</v>
      </c>
      <c r="F200" s="37">
        <f t="shared" ca="1" si="31"/>
        <v>1560.6</v>
      </c>
      <c r="G200" s="37">
        <f t="shared" si="32"/>
        <v>61.125547549566804</v>
      </c>
      <c r="H200" s="26">
        <f t="shared" si="33"/>
        <v>10</v>
      </c>
      <c r="I200" s="26">
        <f t="shared" si="34"/>
        <v>0</v>
      </c>
      <c r="J200" s="26">
        <f t="shared" si="30"/>
        <v>0</v>
      </c>
      <c r="K200" s="27" t="str">
        <f t="shared" ref="K200:K236" si="36">IF(J200=1,EOMONTH(C200,0),"")</f>
        <v/>
      </c>
      <c r="L200" s="27" t="e">
        <f t="shared" ref="L200:L236" si="37">IF(WEEKDAY(K200,2)=6,K200-1,IF(WEEKDAY(K200,2)=7,K200-2,IF(J200=1,K200,"")))</f>
        <v>#VALUE!</v>
      </c>
      <c r="M200" s="30" t="str">
        <f t="shared" ref="M200:M236" si="38">IF(J200=1,D200,"")</f>
        <v/>
      </c>
      <c r="N200" s="30" t="str">
        <f>IF($J200=1,E200,"")</f>
        <v/>
      </c>
      <c r="O200" s="39" t="str">
        <f>IF($J200=1,F200,"")</f>
        <v/>
      </c>
      <c r="P200" s="39" t="str">
        <f t="shared" ref="P200:P236" si="39">IF($J200=1,G200,"")</f>
        <v/>
      </c>
      <c r="W200" s="27">
        <v>40676</v>
      </c>
      <c r="X200" s="26">
        <v>2742.2</v>
      </c>
      <c r="AA200" s="27">
        <v>41921</v>
      </c>
      <c r="AB200">
        <v>0.61125547549566805</v>
      </c>
      <c r="AC200" s="26">
        <f t="shared" si="35"/>
        <v>61.125547549566804</v>
      </c>
    </row>
    <row r="201" spans="3:29">
      <c r="C201" s="27">
        <v>41928</v>
      </c>
      <c r="D201" s="30">
        <v>0.57517284737260799</v>
      </c>
      <c r="E201" s="30">
        <v>0.51982909302980596</v>
      </c>
      <c r="F201" s="37">
        <f t="shared" ca="1" si="31"/>
        <v>1898.2</v>
      </c>
      <c r="G201" s="37">
        <f t="shared" si="32"/>
        <v>75.843382517093403</v>
      </c>
      <c r="H201" s="26">
        <f t="shared" si="33"/>
        <v>10</v>
      </c>
      <c r="I201" s="26">
        <f t="shared" si="34"/>
        <v>0</v>
      </c>
      <c r="J201" s="26">
        <f t="shared" si="30"/>
        <v>0</v>
      </c>
      <c r="K201" s="27" t="str">
        <f t="shared" si="36"/>
        <v/>
      </c>
      <c r="L201" s="27" t="e">
        <f t="shared" si="37"/>
        <v>#VALUE!</v>
      </c>
      <c r="M201" s="30" t="str">
        <f t="shared" si="38"/>
        <v/>
      </c>
      <c r="N201" s="30" t="str">
        <f>IF($J201=1,E201,"")</f>
        <v/>
      </c>
      <c r="O201" s="39" t="str">
        <f>IF($J201=1,F201,"")</f>
        <v/>
      </c>
      <c r="P201" s="39" t="str">
        <f t="shared" si="39"/>
        <v/>
      </c>
      <c r="W201" s="27">
        <v>40683</v>
      </c>
      <c r="X201" s="26">
        <v>2764.6</v>
      </c>
      <c r="AA201" s="27">
        <v>41928</v>
      </c>
      <c r="AB201">
        <v>0.75843382517093405</v>
      </c>
      <c r="AC201" s="26">
        <f t="shared" si="35"/>
        <v>75.843382517093403</v>
      </c>
    </row>
    <row r="202" spans="3:29">
      <c r="C202" s="27">
        <v>41935</v>
      </c>
      <c r="D202" s="30">
        <v>0.58745733896979668</v>
      </c>
      <c r="E202" s="30">
        <v>0.54838604953283498</v>
      </c>
      <c r="F202" s="37">
        <f t="shared" ca="1" si="31"/>
        <v>1713.6</v>
      </c>
      <c r="G202" s="37">
        <f t="shared" si="32"/>
        <v>80.749327503673598</v>
      </c>
      <c r="H202" s="26">
        <f t="shared" si="33"/>
        <v>10</v>
      </c>
      <c r="I202" s="26">
        <f t="shared" si="34"/>
        <v>0</v>
      </c>
      <c r="J202" s="26">
        <f t="shared" si="30"/>
        <v>0</v>
      </c>
      <c r="K202" s="27" t="str">
        <f t="shared" si="36"/>
        <v/>
      </c>
      <c r="L202" s="27" t="e">
        <f t="shared" si="37"/>
        <v>#VALUE!</v>
      </c>
      <c r="M202" s="30" t="str">
        <f t="shared" si="38"/>
        <v/>
      </c>
      <c r="N202" s="30" t="str">
        <f>IF($J202=1,E202,"")</f>
        <v/>
      </c>
      <c r="O202" s="39" t="str">
        <f>IF($J202=1,F202,"")</f>
        <v/>
      </c>
      <c r="P202" s="39" t="str">
        <f t="shared" si="39"/>
        <v/>
      </c>
      <c r="W202" s="27">
        <v>40690</v>
      </c>
      <c r="X202" s="26">
        <v>2619.6999999999998</v>
      </c>
      <c r="AA202" s="27">
        <v>41935</v>
      </c>
      <c r="AB202">
        <v>0.80749327503673596</v>
      </c>
      <c r="AC202" s="26">
        <f t="shared" si="35"/>
        <v>80.749327503673598</v>
      </c>
    </row>
    <row r="203" spans="3:29">
      <c r="C203" s="27">
        <v>41942</v>
      </c>
      <c r="D203" s="30">
        <v>0.57181297396619646</v>
      </c>
      <c r="E203" s="30">
        <v>0.519221652370358</v>
      </c>
      <c r="F203" s="37">
        <f t="shared" ca="1" si="31"/>
        <v>1604.8</v>
      </c>
      <c r="G203" s="37">
        <f t="shared" si="32"/>
        <v>74.862193519776895</v>
      </c>
      <c r="H203" s="26">
        <f t="shared" si="33"/>
        <v>10</v>
      </c>
      <c r="I203" s="26">
        <f t="shared" si="34"/>
        <v>0</v>
      </c>
      <c r="J203" s="26">
        <f t="shared" si="30"/>
        <v>1</v>
      </c>
      <c r="K203" s="27">
        <f t="shared" si="36"/>
        <v>41943</v>
      </c>
      <c r="L203" s="27">
        <f t="shared" si="37"/>
        <v>41943</v>
      </c>
      <c r="M203" s="30">
        <f t="shared" si="38"/>
        <v>0.57181297396619646</v>
      </c>
      <c r="N203" s="30">
        <f>IF($J203=1,E203,"")</f>
        <v>0.519221652370358</v>
      </c>
      <c r="O203" s="39">
        <f ca="1">IF($J203=1,F203,"")</f>
        <v>1604.8</v>
      </c>
      <c r="P203" s="39">
        <f t="shared" si="39"/>
        <v>74.862193519776895</v>
      </c>
      <c r="W203" s="27">
        <v>40697</v>
      </c>
      <c r="X203" s="26">
        <v>2648</v>
      </c>
      <c r="AA203" s="27">
        <v>41942</v>
      </c>
      <c r="AB203">
        <v>0.74862193519776898</v>
      </c>
      <c r="AC203" s="26">
        <f t="shared" si="35"/>
        <v>74.862193519776895</v>
      </c>
    </row>
    <row r="204" spans="3:29">
      <c r="C204" s="27">
        <v>41949</v>
      </c>
      <c r="D204" s="30">
        <v>0.54857982917990311</v>
      </c>
      <c r="E204" s="30">
        <v>0.47679161148246502</v>
      </c>
      <c r="F204" s="37">
        <f t="shared" ca="1" si="31"/>
        <v>1565.3</v>
      </c>
      <c r="G204" s="37">
        <f t="shared" si="32"/>
        <v>68.940327367812301</v>
      </c>
      <c r="H204" s="26">
        <f t="shared" si="33"/>
        <v>11</v>
      </c>
      <c r="I204" s="26">
        <f t="shared" si="34"/>
        <v>1</v>
      </c>
      <c r="J204" s="26">
        <f t="shared" si="30"/>
        <v>0</v>
      </c>
      <c r="K204" s="27" t="str">
        <f t="shared" si="36"/>
        <v/>
      </c>
      <c r="L204" s="27" t="e">
        <f t="shared" si="37"/>
        <v>#VALUE!</v>
      </c>
      <c r="M204" s="30" t="str">
        <f t="shared" si="38"/>
        <v/>
      </c>
      <c r="N204" s="30" t="str">
        <f>IF($J204=1,E204,"")</f>
        <v/>
      </c>
      <c r="O204" s="39" t="str">
        <f>IF($J204=1,F204,"")</f>
        <v/>
      </c>
      <c r="P204" s="39" t="str">
        <f t="shared" si="39"/>
        <v/>
      </c>
      <c r="W204" s="27">
        <v>40704</v>
      </c>
      <c r="X204" s="26">
        <v>3101.7</v>
      </c>
      <c r="AA204" s="27">
        <v>41949</v>
      </c>
      <c r="AB204">
        <v>0.68940327367812304</v>
      </c>
      <c r="AC204" s="26">
        <f t="shared" si="35"/>
        <v>68.940327367812301</v>
      </c>
    </row>
    <row r="205" spans="3:29">
      <c r="C205" s="27">
        <v>41956</v>
      </c>
      <c r="D205" s="30">
        <v>0.55497671209744126</v>
      </c>
      <c r="E205" s="30">
        <v>0.47696082053878203</v>
      </c>
      <c r="F205" s="37">
        <f t="shared" ca="1" si="31"/>
        <v>1563.2</v>
      </c>
      <c r="G205" s="37">
        <f t="shared" si="32"/>
        <v>69.9197647457122</v>
      </c>
      <c r="H205" s="26">
        <f t="shared" si="33"/>
        <v>11</v>
      </c>
      <c r="I205" s="26">
        <f t="shared" si="34"/>
        <v>0</v>
      </c>
      <c r="J205" s="26">
        <f t="shared" si="30"/>
        <v>0</v>
      </c>
      <c r="K205" s="27" t="str">
        <f t="shared" si="36"/>
        <v/>
      </c>
      <c r="L205" s="27" t="e">
        <f t="shared" si="37"/>
        <v>#VALUE!</v>
      </c>
      <c r="M205" s="30" t="str">
        <f t="shared" si="38"/>
        <v/>
      </c>
      <c r="N205" s="30" t="str">
        <f>IF($J205=1,E205,"")</f>
        <v/>
      </c>
      <c r="O205" s="39" t="str">
        <f>IF($J205=1,F205,"")</f>
        <v/>
      </c>
      <c r="P205" s="39" t="str">
        <f t="shared" si="39"/>
        <v/>
      </c>
      <c r="W205" s="27">
        <v>40711</v>
      </c>
      <c r="X205" s="26">
        <v>2857.9</v>
      </c>
      <c r="AA205" s="27">
        <v>41956</v>
      </c>
      <c r="AB205">
        <v>0.69919764745712198</v>
      </c>
      <c r="AC205" s="26">
        <f t="shared" si="35"/>
        <v>69.9197647457122</v>
      </c>
    </row>
    <row r="206" spans="3:29">
      <c r="C206" s="27">
        <v>41963</v>
      </c>
      <c r="D206" s="30">
        <v>0.56606721089043732</v>
      </c>
      <c r="E206" s="30">
        <v>0.51126312077979097</v>
      </c>
      <c r="F206" s="37">
        <f t="shared" ca="1" si="31"/>
        <v>1547.9</v>
      </c>
      <c r="G206" s="37">
        <f t="shared" si="32"/>
        <v>71.878639501515991</v>
      </c>
      <c r="H206" s="26">
        <f t="shared" si="33"/>
        <v>11</v>
      </c>
      <c r="I206" s="26">
        <f t="shared" si="34"/>
        <v>0</v>
      </c>
      <c r="J206" s="26">
        <f t="shared" si="30"/>
        <v>0</v>
      </c>
      <c r="K206" s="27" t="str">
        <f t="shared" si="36"/>
        <v/>
      </c>
      <c r="L206" s="27" t="e">
        <f t="shared" si="37"/>
        <v>#VALUE!</v>
      </c>
      <c r="M206" s="30" t="str">
        <f t="shared" si="38"/>
        <v/>
      </c>
      <c r="N206" s="30" t="str">
        <f>IF($J206=1,E206,"")</f>
        <v/>
      </c>
      <c r="O206" s="39" t="str">
        <f>IF($J206=1,F206,"")</f>
        <v/>
      </c>
      <c r="P206" s="39" t="str">
        <f t="shared" si="39"/>
        <v/>
      </c>
      <c r="W206" s="27">
        <v>40718</v>
      </c>
      <c r="X206" s="26">
        <v>2809.5</v>
      </c>
      <c r="AA206" s="27">
        <v>41963</v>
      </c>
      <c r="AB206">
        <v>0.71878639501515995</v>
      </c>
      <c r="AC206" s="26">
        <f t="shared" si="35"/>
        <v>71.878639501515991</v>
      </c>
    </row>
    <row r="207" spans="3:29">
      <c r="C207" s="27">
        <v>41969</v>
      </c>
      <c r="D207" s="30">
        <v>0.57290983086857539</v>
      </c>
      <c r="E207" s="30">
        <v>0.51222876537846296</v>
      </c>
      <c r="F207" s="37">
        <f ca="1">VLOOKUP(C207+2,W:X,2,0)</f>
        <v>1366.6</v>
      </c>
      <c r="G207" s="37">
        <f t="shared" si="32"/>
        <v>73.837514257320407</v>
      </c>
      <c r="H207" s="26">
        <f t="shared" si="33"/>
        <v>11</v>
      </c>
      <c r="I207" s="26">
        <f t="shared" si="34"/>
        <v>0</v>
      </c>
      <c r="J207" s="26">
        <f t="shared" si="30"/>
        <v>1</v>
      </c>
      <c r="K207" s="27">
        <f t="shared" si="36"/>
        <v>41973</v>
      </c>
      <c r="L207" s="27">
        <f t="shared" si="37"/>
        <v>41971</v>
      </c>
      <c r="M207" s="30">
        <f t="shared" si="38"/>
        <v>0.57290983086857539</v>
      </c>
      <c r="N207" s="30">
        <f>IF($J207=1,E207,"")</f>
        <v>0.51222876537846296</v>
      </c>
      <c r="O207" s="39">
        <f ca="1">IF($J207=1,F207,"")</f>
        <v>1366.6</v>
      </c>
      <c r="P207" s="39">
        <f t="shared" si="39"/>
        <v>73.837514257320407</v>
      </c>
      <c r="W207" s="27">
        <v>40725</v>
      </c>
      <c r="X207" s="26">
        <v>2527.5</v>
      </c>
      <c r="AA207" s="27">
        <v>41969</v>
      </c>
      <c r="AB207">
        <v>0.73837514257320402</v>
      </c>
      <c r="AC207" s="26">
        <f t="shared" si="35"/>
        <v>73.837514257320407</v>
      </c>
    </row>
    <row r="208" spans="3:29">
      <c r="C208" s="27">
        <v>41977</v>
      </c>
      <c r="D208" s="30">
        <v>0.59279776197128353</v>
      </c>
      <c r="E208" s="30">
        <v>0.53685925114667898</v>
      </c>
      <c r="F208" s="37">
        <f t="shared" ca="1" si="31"/>
        <v>1548.6</v>
      </c>
      <c r="G208" s="37">
        <f t="shared" si="32"/>
        <v>79.936605938018303</v>
      </c>
      <c r="H208" s="26">
        <f t="shared" si="33"/>
        <v>12</v>
      </c>
      <c r="I208" s="26">
        <f t="shared" si="34"/>
        <v>1</v>
      </c>
      <c r="J208" s="26">
        <f t="shared" si="30"/>
        <v>0</v>
      </c>
      <c r="K208" s="27" t="str">
        <f t="shared" si="36"/>
        <v/>
      </c>
      <c r="L208" s="27" t="e">
        <f t="shared" si="37"/>
        <v>#VALUE!</v>
      </c>
      <c r="M208" s="30" t="str">
        <f t="shared" si="38"/>
        <v/>
      </c>
      <c r="N208" s="30" t="str">
        <f>IF($J208=1,E208,"")</f>
        <v/>
      </c>
      <c r="O208" s="39" t="str">
        <f>IF($J208=1,F208,"")</f>
        <v/>
      </c>
      <c r="P208" s="39" t="str">
        <f t="shared" si="39"/>
        <v/>
      </c>
      <c r="W208" s="27">
        <v>40732</v>
      </c>
      <c r="X208" s="26">
        <v>2362.6999999999998</v>
      </c>
      <c r="AA208" s="27">
        <v>41977</v>
      </c>
      <c r="AB208">
        <v>0.79936605938018301</v>
      </c>
      <c r="AC208" s="26">
        <f t="shared" si="35"/>
        <v>79.936605938018303</v>
      </c>
    </row>
    <row r="209" spans="3:29">
      <c r="C209" s="27">
        <v>41984</v>
      </c>
      <c r="D209" s="30">
        <v>0.5786710507683992</v>
      </c>
      <c r="E209" s="30">
        <v>0.53353274326337596</v>
      </c>
      <c r="F209" s="37">
        <f t="shared" ca="1" si="31"/>
        <v>1518.8</v>
      </c>
      <c r="G209" s="37">
        <f t="shared" si="32"/>
        <v>76.024613604356489</v>
      </c>
      <c r="H209" s="26">
        <f t="shared" si="33"/>
        <v>12</v>
      </c>
      <c r="I209" s="26">
        <f t="shared" si="34"/>
        <v>0</v>
      </c>
      <c r="J209" s="26">
        <f t="shared" si="30"/>
        <v>0</v>
      </c>
      <c r="K209" s="27" t="str">
        <f t="shared" si="36"/>
        <v/>
      </c>
      <c r="L209" s="27" t="e">
        <f t="shared" si="37"/>
        <v>#VALUE!</v>
      </c>
      <c r="M209" s="30" t="str">
        <f t="shared" si="38"/>
        <v/>
      </c>
      <c r="N209" s="30" t="str">
        <f>IF($J209=1,E209,"")</f>
        <v/>
      </c>
      <c r="O209" s="39" t="str">
        <f>IF($J209=1,F209,"")</f>
        <v/>
      </c>
      <c r="P209" s="39" t="str">
        <f t="shared" si="39"/>
        <v/>
      </c>
      <c r="W209" s="27">
        <v>40739</v>
      </c>
      <c r="X209" s="26">
        <v>2923.8</v>
      </c>
      <c r="AA209" s="27">
        <v>41984</v>
      </c>
      <c r="AB209">
        <v>0.76024613604356495</v>
      </c>
      <c r="AC209" s="26">
        <f t="shared" si="35"/>
        <v>76.024613604356489</v>
      </c>
    </row>
    <row r="210" spans="3:29">
      <c r="C210" s="27">
        <v>41991</v>
      </c>
      <c r="D210" s="30">
        <v>0.6155496963810797</v>
      </c>
      <c r="E210" s="30">
        <v>0.57447022909045797</v>
      </c>
      <c r="F210" s="37">
        <f t="shared" ca="1" si="31"/>
        <v>1538.7</v>
      </c>
      <c r="G210" s="37">
        <f t="shared" si="32"/>
        <v>86.293593480220892</v>
      </c>
      <c r="H210" s="26">
        <f t="shared" si="33"/>
        <v>12</v>
      </c>
      <c r="I210" s="26">
        <f t="shared" si="34"/>
        <v>0</v>
      </c>
      <c r="J210" s="26">
        <f t="shared" si="30"/>
        <v>0</v>
      </c>
      <c r="K210" s="27" t="str">
        <f t="shared" si="36"/>
        <v/>
      </c>
      <c r="L210" s="27" t="e">
        <f t="shared" si="37"/>
        <v>#VALUE!</v>
      </c>
      <c r="M210" s="30" t="str">
        <f t="shared" si="38"/>
        <v/>
      </c>
      <c r="N210" s="30" t="str">
        <f>IF($J210=1,E210,"")</f>
        <v/>
      </c>
      <c r="O210" s="39" t="str">
        <f>IF($J210=1,F210,"")</f>
        <v/>
      </c>
      <c r="P210" s="39" t="str">
        <f t="shared" si="39"/>
        <v/>
      </c>
      <c r="W210" s="27">
        <v>40746</v>
      </c>
      <c r="X210" s="26">
        <v>2769.6</v>
      </c>
      <c r="AA210" s="27">
        <v>41991</v>
      </c>
      <c r="AB210">
        <v>0.86293593480220898</v>
      </c>
      <c r="AC210" s="26">
        <f t="shared" si="35"/>
        <v>86.293593480220892</v>
      </c>
    </row>
    <row r="211" spans="3:29">
      <c r="C211" s="27">
        <v>41997</v>
      </c>
      <c r="D211" s="30">
        <v>0.60574636223541978</v>
      </c>
      <c r="E211" s="30">
        <v>0.57166642614489205</v>
      </c>
      <c r="F211" s="37">
        <f t="shared" ca="1" si="31"/>
        <v>1164.2</v>
      </c>
      <c r="G211" s="37">
        <f t="shared" si="32"/>
        <v>83.359599229973895</v>
      </c>
      <c r="H211" s="26">
        <f t="shared" si="33"/>
        <v>12</v>
      </c>
      <c r="I211" s="26">
        <f t="shared" si="34"/>
        <v>0</v>
      </c>
      <c r="J211" s="26">
        <f t="shared" si="30"/>
        <v>0</v>
      </c>
      <c r="K211" s="27" t="str">
        <f t="shared" si="36"/>
        <v/>
      </c>
      <c r="L211" s="27" t="e">
        <f t="shared" si="37"/>
        <v>#VALUE!</v>
      </c>
      <c r="M211" s="30" t="str">
        <f t="shared" si="38"/>
        <v/>
      </c>
      <c r="N211" s="30" t="str">
        <f>IF($J211=1,E211,"")</f>
        <v/>
      </c>
      <c r="O211" s="39" t="str">
        <f>IF($J211=1,F211,"")</f>
        <v/>
      </c>
      <c r="P211" s="39" t="str">
        <f t="shared" si="39"/>
        <v/>
      </c>
      <c r="W211" s="27">
        <v>40753</v>
      </c>
      <c r="X211" s="26">
        <v>2974.1</v>
      </c>
      <c r="AA211" s="27">
        <v>41997</v>
      </c>
      <c r="AB211">
        <v>0.83359599229973902</v>
      </c>
      <c r="AC211" s="26">
        <f t="shared" si="35"/>
        <v>83.359599229973895</v>
      </c>
    </row>
    <row r="212" spans="3:29">
      <c r="C212" s="27">
        <v>42004</v>
      </c>
      <c r="D212" s="30">
        <v>0.59072795930158906</v>
      </c>
      <c r="E212" s="30">
        <v>0.53680415412734395</v>
      </c>
      <c r="F212" s="37">
        <f t="shared" ca="1" si="31"/>
        <v>1347.6</v>
      </c>
      <c r="G212" s="37">
        <f t="shared" si="32"/>
        <v>79.447606896310504</v>
      </c>
      <c r="H212" s="26">
        <f t="shared" si="33"/>
        <v>12</v>
      </c>
      <c r="I212" s="26">
        <f t="shared" si="34"/>
        <v>0</v>
      </c>
      <c r="J212" s="26">
        <f t="shared" si="30"/>
        <v>1</v>
      </c>
      <c r="K212" s="27">
        <f t="shared" si="36"/>
        <v>42004</v>
      </c>
      <c r="L212" s="27">
        <f t="shared" si="37"/>
        <v>42004</v>
      </c>
      <c r="M212" s="30">
        <f t="shared" si="38"/>
        <v>0.59072795930158906</v>
      </c>
      <c r="N212" s="30">
        <f>IF($J212=1,E212,"")</f>
        <v>0.53680415412734395</v>
      </c>
      <c r="O212" s="39">
        <f ca="1">IF($J212=1,F212,"")</f>
        <v>1347.6</v>
      </c>
      <c r="P212" s="39">
        <f t="shared" si="39"/>
        <v>79.447606896310504</v>
      </c>
      <c r="W212" s="27">
        <v>40760</v>
      </c>
      <c r="X212" s="26">
        <v>3880.9</v>
      </c>
      <c r="AA212" s="27">
        <v>42004</v>
      </c>
      <c r="AB212">
        <v>0.79447606896310496</v>
      </c>
      <c r="AC212" s="26">
        <f t="shared" si="35"/>
        <v>79.447606896310504</v>
      </c>
    </row>
    <row r="213" spans="3:29">
      <c r="C213" s="27">
        <v>42012</v>
      </c>
      <c r="D213" s="30">
        <v>0.63580141506138355</v>
      </c>
      <c r="E213" s="30">
        <v>0.59931706558407905</v>
      </c>
      <c r="F213" s="37">
        <f t="shared" ca="1" si="31"/>
        <v>2271.5</v>
      </c>
      <c r="G213" s="37">
        <f t="shared" si="32"/>
        <v>87.478302869632103</v>
      </c>
      <c r="H213" s="26">
        <f t="shared" si="33"/>
        <v>1</v>
      </c>
      <c r="I213" s="26">
        <f t="shared" si="34"/>
        <v>1</v>
      </c>
      <c r="J213" s="26">
        <f t="shared" si="30"/>
        <v>0</v>
      </c>
      <c r="K213" s="27" t="str">
        <f t="shared" si="36"/>
        <v/>
      </c>
      <c r="L213" s="27" t="e">
        <f t="shared" si="37"/>
        <v>#VALUE!</v>
      </c>
      <c r="M213" s="30" t="str">
        <f t="shared" si="38"/>
        <v/>
      </c>
      <c r="N213" s="30" t="str">
        <f>IF($J213=1,E213,"")</f>
        <v/>
      </c>
      <c r="O213" s="39" t="str">
        <f>IF($J213=1,F213,"")</f>
        <v/>
      </c>
      <c r="P213" s="39" t="str">
        <f t="shared" si="39"/>
        <v/>
      </c>
      <c r="W213" s="27">
        <v>40767</v>
      </c>
      <c r="X213" s="26">
        <v>4184.3999999999996</v>
      </c>
      <c r="AA213" s="27">
        <v>42012</v>
      </c>
      <c r="AB213">
        <v>0.87478302869632096</v>
      </c>
      <c r="AC213" s="26">
        <f t="shared" si="35"/>
        <v>87.478302869632103</v>
      </c>
    </row>
    <row r="214" spans="3:29">
      <c r="C214" s="27">
        <v>42019</v>
      </c>
      <c r="D214" s="30">
        <v>0.66264885680249008</v>
      </c>
      <c r="E214" s="30">
        <v>0.65582330233583797</v>
      </c>
      <c r="F214" s="37">
        <f t="shared" ca="1" si="31"/>
        <v>2799.3</v>
      </c>
      <c r="G214" s="37">
        <f t="shared" si="32"/>
        <v>94.432097566956102</v>
      </c>
      <c r="H214" s="26">
        <f t="shared" si="33"/>
        <v>1</v>
      </c>
      <c r="I214" s="26">
        <f t="shared" si="34"/>
        <v>0</v>
      </c>
      <c r="J214" s="26">
        <f t="shared" si="30"/>
        <v>0</v>
      </c>
      <c r="K214" s="27" t="str">
        <f t="shared" si="36"/>
        <v/>
      </c>
      <c r="L214" s="27" t="e">
        <f t="shared" si="37"/>
        <v>#VALUE!</v>
      </c>
      <c r="M214" s="30" t="str">
        <f t="shared" si="38"/>
        <v/>
      </c>
      <c r="N214" s="30" t="str">
        <f>IF($J214=1,E214,"")</f>
        <v/>
      </c>
      <c r="O214" s="39" t="str">
        <f>IF($J214=1,F214,"")</f>
        <v/>
      </c>
      <c r="P214" s="39" t="str">
        <f t="shared" si="39"/>
        <v/>
      </c>
      <c r="W214" s="27">
        <v>40774</v>
      </c>
      <c r="X214" s="26">
        <v>4110.8</v>
      </c>
      <c r="AA214" s="27">
        <v>42019</v>
      </c>
      <c r="AB214">
        <v>0.94432097566956097</v>
      </c>
      <c r="AC214" s="26">
        <f t="shared" si="35"/>
        <v>94.432097566956102</v>
      </c>
    </row>
    <row r="215" spans="3:29">
      <c r="C215" s="27">
        <v>42026</v>
      </c>
      <c r="D215" s="30">
        <v>0.66474126748702123</v>
      </c>
      <c r="E215" s="30">
        <v>0.65720471867066899</v>
      </c>
      <c r="F215" s="37">
        <f t="shared" ca="1" si="31"/>
        <v>2572.3000000000002</v>
      </c>
      <c r="G215" s="37">
        <f t="shared" si="32"/>
        <v>94.928797188192206</v>
      </c>
      <c r="H215" s="26">
        <f t="shared" si="33"/>
        <v>1</v>
      </c>
      <c r="I215" s="26">
        <f t="shared" si="34"/>
        <v>0</v>
      </c>
      <c r="J215" s="26">
        <f t="shared" si="30"/>
        <v>0</v>
      </c>
      <c r="K215" s="27" t="str">
        <f t="shared" si="36"/>
        <v/>
      </c>
      <c r="L215" s="27" t="e">
        <f t="shared" si="37"/>
        <v>#VALUE!</v>
      </c>
      <c r="M215" s="30" t="str">
        <f t="shared" si="38"/>
        <v/>
      </c>
      <c r="N215" s="30" t="str">
        <f>IF($J215=1,E215,"")</f>
        <v/>
      </c>
      <c r="O215" s="39" t="str">
        <f>IF($J215=1,F215,"")</f>
        <v/>
      </c>
      <c r="P215" s="39" t="str">
        <f t="shared" si="39"/>
        <v/>
      </c>
      <c r="W215" s="27">
        <v>40781</v>
      </c>
      <c r="X215" s="26">
        <v>3601.3</v>
      </c>
      <c r="AA215" s="27">
        <v>42026</v>
      </c>
      <c r="AB215">
        <v>0.94928797188192204</v>
      </c>
      <c r="AC215" s="26">
        <f t="shared" si="35"/>
        <v>94.928797188192206</v>
      </c>
    </row>
    <row r="216" spans="3:29">
      <c r="C216" s="27">
        <v>42033</v>
      </c>
      <c r="D216" s="30">
        <v>0.66264885680249008</v>
      </c>
      <c r="E216" s="30">
        <v>0.65582330233583797</v>
      </c>
      <c r="F216" s="37">
        <f t="shared" ca="1" si="31"/>
        <v>2584.8000000000002</v>
      </c>
      <c r="G216" s="37">
        <f t="shared" si="32"/>
        <v>94.432097566956102</v>
      </c>
      <c r="H216" s="26">
        <f t="shared" si="33"/>
        <v>1</v>
      </c>
      <c r="I216" s="26">
        <f t="shared" si="34"/>
        <v>0</v>
      </c>
      <c r="J216" s="26">
        <f t="shared" si="30"/>
        <v>1</v>
      </c>
      <c r="K216" s="27">
        <f t="shared" si="36"/>
        <v>42035</v>
      </c>
      <c r="L216" s="27">
        <f t="shared" si="37"/>
        <v>42034</v>
      </c>
      <c r="M216" s="30">
        <f t="shared" si="38"/>
        <v>0.66264885680249008</v>
      </c>
      <c r="N216" s="30">
        <f>IF($J216=1,E216,"")</f>
        <v>0.65582330233583797</v>
      </c>
      <c r="O216" s="39">
        <f ca="1">IF($J216=1,F216,"")</f>
        <v>2584.8000000000002</v>
      </c>
      <c r="P216" s="39">
        <f t="shared" si="39"/>
        <v>94.432097566956102</v>
      </c>
      <c r="W216" s="27">
        <v>40788</v>
      </c>
      <c r="X216" s="26">
        <v>3372</v>
      </c>
      <c r="AA216" s="27">
        <v>42033</v>
      </c>
      <c r="AB216">
        <v>0.94432097566956097</v>
      </c>
      <c r="AC216" s="26">
        <f t="shared" si="35"/>
        <v>94.432097566956102</v>
      </c>
    </row>
    <row r="217" spans="3:29">
      <c r="C217" s="27">
        <v>42040</v>
      </c>
      <c r="D217" s="30">
        <v>0.68438167594716182</v>
      </c>
      <c r="E217" s="30">
        <v>0.65455905311871299</v>
      </c>
      <c r="F217" s="37">
        <f t="shared" ca="1" si="31"/>
        <v>2291.3000000000002</v>
      </c>
      <c r="G217" s="37">
        <f t="shared" si="32"/>
        <v>97.467479151222705</v>
      </c>
      <c r="H217" s="26">
        <f t="shared" si="33"/>
        <v>2</v>
      </c>
      <c r="I217" s="26">
        <f t="shared" si="34"/>
        <v>1</v>
      </c>
      <c r="J217" s="26">
        <f t="shared" si="30"/>
        <v>0</v>
      </c>
      <c r="K217" s="27" t="str">
        <f t="shared" si="36"/>
        <v/>
      </c>
      <c r="L217" s="27" t="e">
        <f t="shared" si="37"/>
        <v>#VALUE!</v>
      </c>
      <c r="M217" s="30" t="str">
        <f t="shared" si="38"/>
        <v/>
      </c>
      <c r="N217" s="30" t="str">
        <f>IF($J217=1,E217,"")</f>
        <v/>
      </c>
      <c r="O217" s="39" t="str">
        <f>IF($J217=1,F217,"")</f>
        <v/>
      </c>
      <c r="P217" s="39" t="str">
        <f t="shared" si="39"/>
        <v/>
      </c>
      <c r="W217" s="27">
        <v>40795</v>
      </c>
      <c r="X217" s="26">
        <v>3571.7</v>
      </c>
      <c r="AA217" s="27">
        <v>42040</v>
      </c>
      <c r="AB217">
        <v>0.97467479151222702</v>
      </c>
      <c r="AC217" s="26">
        <f t="shared" si="35"/>
        <v>97.467479151222705</v>
      </c>
    </row>
    <row r="218" spans="3:29">
      <c r="C218" s="27">
        <v>42047</v>
      </c>
      <c r="D218" s="30">
        <v>0.64890841265420796</v>
      </c>
      <c r="E218" s="30">
        <v>0.62719075850631201</v>
      </c>
      <c r="F218" s="37">
        <f t="shared" ca="1" si="31"/>
        <v>1904.2</v>
      </c>
      <c r="G218" s="37">
        <f t="shared" si="32"/>
        <v>90.017238089305991</v>
      </c>
      <c r="H218" s="26">
        <f t="shared" si="33"/>
        <v>2</v>
      </c>
      <c r="I218" s="26">
        <f t="shared" si="34"/>
        <v>0</v>
      </c>
      <c r="J218" s="26">
        <f t="shared" si="30"/>
        <v>0</v>
      </c>
      <c r="K218" s="27" t="str">
        <f t="shared" si="36"/>
        <v/>
      </c>
      <c r="L218" s="27" t="e">
        <f t="shared" si="37"/>
        <v>#VALUE!</v>
      </c>
      <c r="M218" s="30" t="str">
        <f t="shared" si="38"/>
        <v/>
      </c>
      <c r="N218" s="30" t="str">
        <f>IF($J218=1,E218,"")</f>
        <v/>
      </c>
      <c r="O218" s="39" t="str">
        <f>IF($J218=1,F218,"")</f>
        <v/>
      </c>
      <c r="P218" s="39" t="str">
        <f t="shared" si="39"/>
        <v/>
      </c>
      <c r="W218" s="27">
        <v>40802</v>
      </c>
      <c r="X218" s="26">
        <v>4033.8</v>
      </c>
      <c r="AA218" s="27">
        <v>42047</v>
      </c>
      <c r="AB218">
        <v>0.90017238089305995</v>
      </c>
      <c r="AC218" s="26">
        <f t="shared" si="35"/>
        <v>90.017238089305991</v>
      </c>
    </row>
    <row r="219" spans="3:29">
      <c r="C219" s="27">
        <v>42054</v>
      </c>
      <c r="D219" s="30">
        <v>0.62651628119673453</v>
      </c>
      <c r="E219" s="30">
        <v>0.59003468905342005</v>
      </c>
      <c r="F219" s="37">
        <f t="shared" ca="1" si="31"/>
        <v>1703.1</v>
      </c>
      <c r="G219" s="37">
        <f t="shared" si="32"/>
        <v>83.063679765036795</v>
      </c>
      <c r="H219" s="26">
        <f t="shared" si="33"/>
        <v>2</v>
      </c>
      <c r="I219" s="26">
        <f t="shared" si="34"/>
        <v>0</v>
      </c>
      <c r="J219" s="26">
        <f t="shared" si="30"/>
        <v>0</v>
      </c>
      <c r="K219" s="27" t="str">
        <f t="shared" si="36"/>
        <v/>
      </c>
      <c r="L219" s="27" t="e">
        <f t="shared" si="37"/>
        <v>#VALUE!</v>
      </c>
      <c r="M219" s="30" t="str">
        <f t="shared" si="38"/>
        <v/>
      </c>
      <c r="N219" s="30" t="str">
        <f>IF($J219=1,E219,"")</f>
        <v/>
      </c>
      <c r="O219" s="39" t="str">
        <f>IF($J219=1,F219,"")</f>
        <v/>
      </c>
      <c r="P219" s="39" t="str">
        <f t="shared" si="39"/>
        <v/>
      </c>
      <c r="W219" s="27">
        <v>40809</v>
      </c>
      <c r="X219" s="26">
        <v>4512.1000000000004</v>
      </c>
      <c r="AA219" s="27">
        <v>42054</v>
      </c>
      <c r="AB219">
        <v>0.83063679765036802</v>
      </c>
      <c r="AC219" s="26">
        <f t="shared" si="35"/>
        <v>83.063679765036795</v>
      </c>
    </row>
    <row r="220" spans="3:29">
      <c r="C220" s="27">
        <v>42061</v>
      </c>
      <c r="D220" s="30">
        <v>0.61098575112407738</v>
      </c>
      <c r="E220" s="30">
        <v>0.56144623129586702</v>
      </c>
      <c r="F220" s="37">
        <f t="shared" ca="1" si="31"/>
        <v>1740.3</v>
      </c>
      <c r="G220" s="37">
        <f t="shared" si="32"/>
        <v>79.0902178654556</v>
      </c>
      <c r="H220" s="26">
        <f t="shared" si="33"/>
        <v>2</v>
      </c>
      <c r="I220" s="26">
        <f t="shared" si="34"/>
        <v>0</v>
      </c>
      <c r="J220" s="26">
        <f t="shared" si="30"/>
        <v>1</v>
      </c>
      <c r="K220" s="27">
        <f t="shared" si="36"/>
        <v>42063</v>
      </c>
      <c r="L220" s="27">
        <f t="shared" si="37"/>
        <v>42062</v>
      </c>
      <c r="M220" s="30">
        <f t="shared" si="38"/>
        <v>0.61098575112407738</v>
      </c>
      <c r="N220" s="30">
        <f>IF($J220=1,E220,"")</f>
        <v>0.56144623129586702</v>
      </c>
      <c r="O220" s="39">
        <f ca="1">IF($J220=1,F220,"")</f>
        <v>1740.3</v>
      </c>
      <c r="P220" s="39">
        <f t="shared" si="39"/>
        <v>79.0902178654556</v>
      </c>
      <c r="W220" s="27">
        <v>40816</v>
      </c>
      <c r="X220" s="26">
        <v>4241.8</v>
      </c>
      <c r="AA220" s="27">
        <v>42061</v>
      </c>
      <c r="AB220">
        <v>0.79090217865455603</v>
      </c>
      <c r="AC220" s="26">
        <f t="shared" si="35"/>
        <v>79.0902178654556</v>
      </c>
    </row>
    <row r="221" spans="3:29">
      <c r="C221" s="27">
        <v>42068</v>
      </c>
      <c r="D221" s="30">
        <v>0.61966926616186646</v>
      </c>
      <c r="E221" s="30">
        <v>0.58384753948448997</v>
      </c>
      <c r="F221" s="37">
        <f t="shared" ca="1" si="31"/>
        <v>1685.7</v>
      </c>
      <c r="G221" s="37">
        <f t="shared" si="32"/>
        <v>82.755620316660711</v>
      </c>
      <c r="H221" s="26">
        <f t="shared" si="33"/>
        <v>3</v>
      </c>
      <c r="I221" s="26">
        <f t="shared" si="34"/>
        <v>1</v>
      </c>
      <c r="J221" s="26">
        <f t="shared" si="30"/>
        <v>0</v>
      </c>
      <c r="K221" s="27" t="str">
        <f t="shared" si="36"/>
        <v/>
      </c>
      <c r="L221" s="27" t="e">
        <f t="shared" si="37"/>
        <v>#VALUE!</v>
      </c>
      <c r="M221" s="30" t="str">
        <f t="shared" si="38"/>
        <v/>
      </c>
      <c r="N221" s="30" t="str">
        <f>IF($J221=1,E221,"")</f>
        <v/>
      </c>
      <c r="O221" s="39" t="str">
        <f>IF($J221=1,F221,"")</f>
        <v/>
      </c>
      <c r="P221" s="39" t="str">
        <f t="shared" si="39"/>
        <v/>
      </c>
      <c r="W221" s="27">
        <v>40823</v>
      </c>
      <c r="X221" s="26">
        <v>4251.1000000000004</v>
      </c>
      <c r="AA221" s="27">
        <v>42068</v>
      </c>
      <c r="AB221">
        <v>0.82755620316660705</v>
      </c>
      <c r="AC221" s="26">
        <f t="shared" si="35"/>
        <v>82.755620316660711</v>
      </c>
    </row>
    <row r="222" spans="3:29">
      <c r="C222" s="27">
        <v>42075</v>
      </c>
      <c r="D222" s="30">
        <v>0.57559445438514367</v>
      </c>
      <c r="E222" s="30">
        <v>0.51703371456013503</v>
      </c>
      <c r="F222" s="37">
        <f t="shared" ca="1" si="31"/>
        <v>1623.6</v>
      </c>
      <c r="G222" s="37">
        <f t="shared" si="32"/>
        <v>71.830748350652499</v>
      </c>
      <c r="H222" s="26">
        <f t="shared" si="33"/>
        <v>3</v>
      </c>
      <c r="I222" s="26">
        <f t="shared" si="34"/>
        <v>0</v>
      </c>
      <c r="J222" s="26">
        <f t="shared" si="30"/>
        <v>0</v>
      </c>
      <c r="K222" s="27" t="str">
        <f t="shared" si="36"/>
        <v/>
      </c>
      <c r="L222" s="27" t="e">
        <f t="shared" si="37"/>
        <v>#VALUE!</v>
      </c>
      <c r="M222" s="30" t="str">
        <f t="shared" si="38"/>
        <v/>
      </c>
      <c r="N222" s="30" t="str">
        <f>IF($J222=1,E222,"")</f>
        <v/>
      </c>
      <c r="O222" s="39" t="str">
        <f>IF($J222=1,F222,"")</f>
        <v/>
      </c>
      <c r="P222" s="39" t="str">
        <f t="shared" si="39"/>
        <v/>
      </c>
      <c r="W222" s="27">
        <v>40830</v>
      </c>
      <c r="X222" s="26">
        <v>3553.2</v>
      </c>
      <c r="AA222" s="27">
        <v>42075</v>
      </c>
      <c r="AB222">
        <v>0.71830748350652496</v>
      </c>
      <c r="AC222" s="26">
        <f t="shared" si="35"/>
        <v>71.830748350652499</v>
      </c>
    </row>
    <row r="223" spans="3:29">
      <c r="C223" s="27">
        <v>42082</v>
      </c>
      <c r="D223" s="30">
        <v>0.60937196228640689</v>
      </c>
      <c r="E223" s="30">
        <v>0.58146564562660097</v>
      </c>
      <c r="F223" s="37">
        <f t="shared" ca="1" si="31"/>
        <v>1860.8</v>
      </c>
      <c r="G223" s="37">
        <f t="shared" si="32"/>
        <v>79.776109780477697</v>
      </c>
      <c r="H223" s="26">
        <f t="shared" si="33"/>
        <v>3</v>
      </c>
      <c r="I223" s="26">
        <f t="shared" si="34"/>
        <v>0</v>
      </c>
      <c r="J223" s="26">
        <f t="shared" si="30"/>
        <v>0</v>
      </c>
      <c r="K223" s="27" t="str">
        <f t="shared" si="36"/>
        <v/>
      </c>
      <c r="L223" s="27" t="e">
        <f t="shared" si="37"/>
        <v>#VALUE!</v>
      </c>
      <c r="M223" s="30" t="str">
        <f t="shared" si="38"/>
        <v/>
      </c>
      <c r="N223" s="30" t="str">
        <f>IF($J223=1,E223,"")</f>
        <v/>
      </c>
      <c r="O223" s="39" t="str">
        <f>IF($J223=1,F223,"")</f>
        <v/>
      </c>
      <c r="P223" s="39" t="str">
        <f t="shared" si="39"/>
        <v/>
      </c>
      <c r="W223" s="27">
        <v>40837</v>
      </c>
      <c r="X223" s="26">
        <v>3719.3</v>
      </c>
      <c r="AA223" s="27">
        <v>42082</v>
      </c>
      <c r="AB223">
        <v>0.797761097804777</v>
      </c>
      <c r="AC223" s="26">
        <f t="shared" si="35"/>
        <v>79.776109780477697</v>
      </c>
    </row>
    <row r="224" spans="3:29">
      <c r="C224" s="27">
        <v>42089</v>
      </c>
      <c r="D224" s="30">
        <v>0.64195316325793905</v>
      </c>
      <c r="E224" s="30">
        <v>0.61985540937113104</v>
      </c>
      <c r="F224" s="37">
        <f t="shared" ca="1" si="31"/>
        <v>1941.6</v>
      </c>
      <c r="G224" s="37">
        <f t="shared" si="32"/>
        <v>88.714641389029609</v>
      </c>
      <c r="H224" s="26">
        <f t="shared" si="33"/>
        <v>3</v>
      </c>
      <c r="I224" s="26">
        <f t="shared" si="34"/>
        <v>0</v>
      </c>
      <c r="J224" s="26">
        <f t="shared" si="30"/>
        <v>1</v>
      </c>
      <c r="K224" s="27">
        <f t="shared" si="36"/>
        <v>42094</v>
      </c>
      <c r="L224" s="27">
        <f t="shared" si="37"/>
        <v>42094</v>
      </c>
      <c r="M224" s="30">
        <f t="shared" si="38"/>
        <v>0.64195316325793905</v>
      </c>
      <c r="N224" s="30">
        <f>IF($J224=1,E224,"")</f>
        <v>0.61985540937113104</v>
      </c>
      <c r="O224" s="39">
        <f ca="1">IF($J224=1,F224,"")</f>
        <v>1941.6</v>
      </c>
      <c r="P224" s="39">
        <f t="shared" si="39"/>
        <v>88.714641389029609</v>
      </c>
      <c r="W224" s="27">
        <v>40844</v>
      </c>
      <c r="X224" s="26">
        <v>3695</v>
      </c>
      <c r="AA224" s="27">
        <v>42089</v>
      </c>
      <c r="AB224">
        <v>0.88714641389029603</v>
      </c>
      <c r="AC224" s="26">
        <f t="shared" si="35"/>
        <v>88.714641389029609</v>
      </c>
    </row>
    <row r="225" spans="3:29">
      <c r="C225" s="27">
        <v>42096</v>
      </c>
      <c r="D225" s="30">
        <v>0.62778439660000751</v>
      </c>
      <c r="E225" s="30">
        <v>0.60618674833379105</v>
      </c>
      <c r="F225" s="37">
        <f t="shared" ca="1" si="31"/>
        <v>1854.7</v>
      </c>
      <c r="G225" s="37">
        <f t="shared" si="32"/>
        <v>85.8850107430235</v>
      </c>
      <c r="H225" s="26">
        <f t="shared" si="33"/>
        <v>4</v>
      </c>
      <c r="I225" s="26">
        <f t="shared" si="34"/>
        <v>1</v>
      </c>
      <c r="J225" s="26">
        <f t="shared" si="30"/>
        <v>0</v>
      </c>
      <c r="K225" s="27" t="str">
        <f t="shared" si="36"/>
        <v/>
      </c>
      <c r="L225" s="27" t="e">
        <f t="shared" si="37"/>
        <v>#VALUE!</v>
      </c>
      <c r="M225" s="30" t="str">
        <f t="shared" si="38"/>
        <v/>
      </c>
      <c r="N225" s="30" t="str">
        <f>IF($J225=1,E225,"")</f>
        <v/>
      </c>
      <c r="O225" s="39" t="str">
        <f>IF($J225=1,F225,"")</f>
        <v/>
      </c>
      <c r="P225" s="39" t="str">
        <f t="shared" si="39"/>
        <v/>
      </c>
      <c r="W225" s="27">
        <v>40851</v>
      </c>
      <c r="X225" s="26">
        <v>4137.6000000000004</v>
      </c>
      <c r="AA225" s="27">
        <v>42096</v>
      </c>
      <c r="AB225">
        <v>0.85885010743023504</v>
      </c>
      <c r="AC225" s="26">
        <f t="shared" si="35"/>
        <v>85.8850107430235</v>
      </c>
    </row>
    <row r="226" spans="3:29">
      <c r="C226" s="27">
        <v>42103</v>
      </c>
      <c r="D226" s="30">
        <v>0.64459292642165245</v>
      </c>
      <c r="E226" s="30">
        <v>0.63179874985391804</v>
      </c>
      <c r="F226" s="37">
        <f t="shared" ca="1" si="31"/>
        <v>1804.6</v>
      </c>
      <c r="G226" s="37">
        <f t="shared" si="32"/>
        <v>89.858087645701801</v>
      </c>
      <c r="H226" s="26">
        <f t="shared" si="33"/>
        <v>4</v>
      </c>
      <c r="I226" s="26">
        <f t="shared" si="34"/>
        <v>0</v>
      </c>
      <c r="J226" s="26">
        <f t="shared" si="30"/>
        <v>0</v>
      </c>
      <c r="K226" s="27" t="str">
        <f t="shared" si="36"/>
        <v/>
      </c>
      <c r="L226" s="27" t="e">
        <f t="shared" si="37"/>
        <v>#VALUE!</v>
      </c>
      <c r="M226" s="30" t="str">
        <f t="shared" si="38"/>
        <v/>
      </c>
      <c r="N226" s="30" t="str">
        <f>IF($J226=1,E226,"")</f>
        <v/>
      </c>
      <c r="O226" s="39" t="str">
        <f>IF($J226=1,F226,"")</f>
        <v/>
      </c>
      <c r="P226" s="39" t="str">
        <f t="shared" si="39"/>
        <v/>
      </c>
      <c r="W226" s="27">
        <v>40858</v>
      </c>
      <c r="X226" s="26">
        <v>3664.5</v>
      </c>
      <c r="AA226" s="27">
        <v>42103</v>
      </c>
      <c r="AB226">
        <v>0.89858087645701801</v>
      </c>
      <c r="AC226" s="26">
        <f t="shared" si="35"/>
        <v>89.858087645701801</v>
      </c>
    </row>
    <row r="227" spans="3:29">
      <c r="C227" s="27">
        <v>42110</v>
      </c>
      <c r="D227" s="30">
        <v>0.63055503904182508</v>
      </c>
      <c r="E227" s="30">
        <v>0.60745911385405604</v>
      </c>
      <c r="F227" s="37">
        <f t="shared" ca="1" si="31"/>
        <v>1817</v>
      </c>
      <c r="G227" s="37">
        <f t="shared" si="32"/>
        <v>86.381645355860002</v>
      </c>
      <c r="H227" s="26">
        <f t="shared" si="33"/>
        <v>4</v>
      </c>
      <c r="I227" s="26">
        <f t="shared" si="34"/>
        <v>0</v>
      </c>
      <c r="J227" s="26">
        <f t="shared" si="30"/>
        <v>0</v>
      </c>
      <c r="K227" s="27" t="str">
        <f t="shared" si="36"/>
        <v/>
      </c>
      <c r="L227" s="27" t="e">
        <f t="shared" si="37"/>
        <v>#VALUE!</v>
      </c>
      <c r="M227" s="30" t="str">
        <f t="shared" si="38"/>
        <v/>
      </c>
      <c r="N227" s="30" t="str">
        <f>IF($J227=1,E227,"")</f>
        <v/>
      </c>
      <c r="O227" s="39" t="str">
        <f>IF($J227=1,F227,"")</f>
        <v/>
      </c>
      <c r="P227" s="39" t="str">
        <f t="shared" si="39"/>
        <v/>
      </c>
      <c r="W227" s="27">
        <v>40865</v>
      </c>
      <c r="X227" s="26">
        <v>3466.8</v>
      </c>
      <c r="AA227" s="27">
        <v>42110</v>
      </c>
      <c r="AB227">
        <v>0.86381645355860004</v>
      </c>
      <c r="AC227" s="26">
        <f t="shared" si="35"/>
        <v>86.381645355860002</v>
      </c>
    </row>
    <row r="228" spans="3:29">
      <c r="C228" s="27">
        <v>42117</v>
      </c>
      <c r="D228" s="30">
        <v>0.64951370522505292</v>
      </c>
      <c r="E228" s="30">
        <v>0.63350921207897204</v>
      </c>
      <c r="F228" s="37">
        <f t="shared" ca="1" si="31"/>
        <v>1723</v>
      </c>
      <c r="G228" s="37">
        <f t="shared" si="32"/>
        <v>90.851356871370498</v>
      </c>
      <c r="H228" s="26">
        <f t="shared" si="33"/>
        <v>4</v>
      </c>
      <c r="I228" s="26">
        <f t="shared" si="34"/>
        <v>0</v>
      </c>
      <c r="J228" s="26">
        <f t="shared" si="30"/>
        <v>0</v>
      </c>
      <c r="K228" s="27" t="str">
        <f t="shared" si="36"/>
        <v/>
      </c>
      <c r="L228" s="27" t="e">
        <f t="shared" si="37"/>
        <v>#VALUE!</v>
      </c>
      <c r="M228" s="30" t="str">
        <f t="shared" si="38"/>
        <v/>
      </c>
      <c r="N228" s="30" t="str">
        <f>IF($J228=1,E228,"")</f>
        <v/>
      </c>
      <c r="O228" s="39" t="str">
        <f>IF($J228=1,F228,"")</f>
        <v/>
      </c>
      <c r="P228" s="39" t="str">
        <f t="shared" si="39"/>
        <v/>
      </c>
      <c r="W228" s="27">
        <v>40872</v>
      </c>
      <c r="X228" s="26">
        <v>2941.3</v>
      </c>
      <c r="AA228" s="27">
        <v>42117</v>
      </c>
      <c r="AB228">
        <v>0.90851356871370503</v>
      </c>
      <c r="AC228" s="26">
        <f t="shared" si="35"/>
        <v>90.851356871370498</v>
      </c>
    </row>
    <row r="229" spans="3:29">
      <c r="C229" s="27">
        <v>42124</v>
      </c>
      <c r="D229" s="30">
        <v>0.63639402671923606</v>
      </c>
      <c r="E229" s="30">
        <v>0.608876308109219</v>
      </c>
      <c r="F229" s="37">
        <f t="shared" ca="1" si="31"/>
        <v>1559.4</v>
      </c>
      <c r="G229" s="37">
        <f t="shared" si="32"/>
        <v>87.871549194363794</v>
      </c>
      <c r="H229" s="26">
        <f t="shared" si="33"/>
        <v>4</v>
      </c>
      <c r="I229" s="26">
        <f t="shared" si="34"/>
        <v>0</v>
      </c>
      <c r="J229" s="26">
        <f t="shared" si="30"/>
        <v>1</v>
      </c>
      <c r="K229" s="27">
        <f t="shared" si="36"/>
        <v>42124</v>
      </c>
      <c r="L229" s="27">
        <f t="shared" si="37"/>
        <v>42124</v>
      </c>
      <c r="M229" s="30">
        <f t="shared" si="38"/>
        <v>0.63639402671923606</v>
      </c>
      <c r="N229" s="30">
        <f>IF($J229=1,E229,"")</f>
        <v>0.608876308109219</v>
      </c>
      <c r="O229" s="39">
        <f ca="1">IF($J229=1,F229,"")</f>
        <v>1559.4</v>
      </c>
      <c r="P229" s="39">
        <f t="shared" si="39"/>
        <v>87.871549194363794</v>
      </c>
      <c r="W229" s="27">
        <v>40879</v>
      </c>
      <c r="X229" s="26">
        <v>3394.7</v>
      </c>
      <c r="AA229" s="27">
        <v>42124</v>
      </c>
      <c r="AB229">
        <v>0.87871549194363796</v>
      </c>
      <c r="AC229" s="26">
        <f t="shared" si="35"/>
        <v>87.871549194363794</v>
      </c>
    </row>
    <row r="230" spans="3:29">
      <c r="C230" s="27">
        <v>42131</v>
      </c>
      <c r="D230" s="30">
        <v>0.58097914250817684</v>
      </c>
      <c r="E230" s="30">
        <v>0.53238458781035902</v>
      </c>
      <c r="F230" s="37">
        <f t="shared" ca="1" si="31"/>
        <v>1477.8</v>
      </c>
      <c r="G230" s="37">
        <f t="shared" si="32"/>
        <v>74.272056396924398</v>
      </c>
      <c r="H230" s="26">
        <f t="shared" si="33"/>
        <v>5</v>
      </c>
      <c r="I230" s="26">
        <f t="shared" si="34"/>
        <v>1</v>
      </c>
      <c r="J230" s="26">
        <f t="shared" si="30"/>
        <v>0</v>
      </c>
      <c r="K230" s="27" t="str">
        <f t="shared" si="36"/>
        <v/>
      </c>
      <c r="L230" s="27" t="e">
        <f t="shared" si="37"/>
        <v>#VALUE!</v>
      </c>
      <c r="M230" s="30" t="str">
        <f t="shared" si="38"/>
        <v/>
      </c>
      <c r="N230" s="30" t="str">
        <f>IF($J230=1,E230,"")</f>
        <v/>
      </c>
      <c r="O230" s="39" t="str">
        <f>IF($J230=1,F230,"")</f>
        <v/>
      </c>
      <c r="P230" s="39" t="str">
        <f t="shared" si="39"/>
        <v/>
      </c>
      <c r="W230" s="27">
        <v>40886</v>
      </c>
      <c r="X230" s="26">
        <v>3708.6</v>
      </c>
      <c r="AA230" s="27">
        <v>42131</v>
      </c>
      <c r="AB230">
        <v>0.74272056396924402</v>
      </c>
      <c r="AC230" s="26">
        <f t="shared" si="35"/>
        <v>74.272056396924398</v>
      </c>
    </row>
    <row r="231" spans="3:29">
      <c r="C231" s="27">
        <v>42138</v>
      </c>
      <c r="D231" s="30">
        <v>0.56120232410101856</v>
      </c>
      <c r="E231" s="30">
        <v>0.52626041924754496</v>
      </c>
      <c r="F231" s="37">
        <f t="shared" ca="1" si="31"/>
        <v>1448.8</v>
      </c>
      <c r="G231" s="37">
        <f t="shared" si="32"/>
        <v>69.304945765777205</v>
      </c>
      <c r="H231" s="26">
        <f t="shared" si="33"/>
        <v>5</v>
      </c>
      <c r="I231" s="26">
        <f t="shared" si="34"/>
        <v>0</v>
      </c>
      <c r="J231" s="26">
        <f t="shared" si="30"/>
        <v>0</v>
      </c>
      <c r="K231" s="27" t="str">
        <f t="shared" si="36"/>
        <v/>
      </c>
      <c r="L231" s="27" t="e">
        <f t="shared" si="37"/>
        <v>#VALUE!</v>
      </c>
      <c r="M231" s="30" t="str">
        <f t="shared" si="38"/>
        <v/>
      </c>
      <c r="N231" s="30" t="str">
        <f>IF($J231=1,E231,"")</f>
        <v/>
      </c>
      <c r="O231" s="39" t="str">
        <f>IF($J231=1,F231,"")</f>
        <v/>
      </c>
      <c r="P231" s="39" t="str">
        <f t="shared" si="39"/>
        <v/>
      </c>
      <c r="W231" s="27">
        <v>40893</v>
      </c>
      <c r="X231" s="26">
        <v>3676.1</v>
      </c>
      <c r="AA231" s="27">
        <v>42138</v>
      </c>
      <c r="AB231">
        <v>0.69304945765777204</v>
      </c>
      <c r="AC231" s="26">
        <f t="shared" si="35"/>
        <v>69.304945765777205</v>
      </c>
    </row>
    <row r="232" spans="3:29">
      <c r="C232" s="27">
        <v>42145</v>
      </c>
      <c r="D232" s="30">
        <v>0.55264936292906153</v>
      </c>
      <c r="E232" s="30">
        <v>0.49530657385961702</v>
      </c>
      <c r="F232" s="37">
        <f t="shared" ca="1" si="31"/>
        <v>1408.1</v>
      </c>
      <c r="G232" s="37">
        <f t="shared" si="32"/>
        <v>67.81481257643361</v>
      </c>
      <c r="H232" s="26">
        <f t="shared" si="33"/>
        <v>5</v>
      </c>
      <c r="I232" s="26">
        <f t="shared" si="34"/>
        <v>0</v>
      </c>
      <c r="J232" s="26">
        <f t="shared" si="30"/>
        <v>0</v>
      </c>
      <c r="K232" s="27" t="str">
        <f t="shared" si="36"/>
        <v/>
      </c>
      <c r="L232" s="27" t="e">
        <f t="shared" si="37"/>
        <v>#VALUE!</v>
      </c>
      <c r="M232" s="30" t="str">
        <f t="shared" si="38"/>
        <v/>
      </c>
      <c r="N232" s="30" t="str">
        <f>IF($J232=1,E232,"")</f>
        <v/>
      </c>
      <c r="O232" s="39" t="str">
        <f>IF($J232=1,F232,"")</f>
        <v/>
      </c>
      <c r="P232" s="39" t="str">
        <f t="shared" si="39"/>
        <v/>
      </c>
      <c r="W232" s="27">
        <v>40900</v>
      </c>
      <c r="X232" s="26">
        <v>3684.5</v>
      </c>
      <c r="AA232" s="27">
        <v>42145</v>
      </c>
      <c r="AB232">
        <v>0.67814812576433603</v>
      </c>
      <c r="AC232" s="26">
        <f t="shared" si="35"/>
        <v>67.81481257643361</v>
      </c>
    </row>
    <row r="233" spans="3:29">
      <c r="C233" s="27">
        <v>42152</v>
      </c>
      <c r="D233" s="30">
        <v>0.54951676769042945</v>
      </c>
      <c r="E233" s="30">
        <v>0.49518214427458052</v>
      </c>
      <c r="F233" s="37">
        <f t="shared" ca="1" si="31"/>
        <v>1233.9000000000001</v>
      </c>
      <c r="G233" s="37">
        <f t="shared" si="32"/>
        <v>67.318101513318496</v>
      </c>
      <c r="H233" s="26">
        <f t="shared" si="33"/>
        <v>5</v>
      </c>
      <c r="I233" s="26">
        <f t="shared" si="34"/>
        <v>0</v>
      </c>
      <c r="J233" s="26">
        <f t="shared" si="30"/>
        <v>1</v>
      </c>
      <c r="K233" s="27">
        <f t="shared" si="36"/>
        <v>42155</v>
      </c>
      <c r="L233" s="27">
        <f t="shared" si="37"/>
        <v>42153</v>
      </c>
      <c r="M233" s="30">
        <f t="shared" si="38"/>
        <v>0.54951676769042945</v>
      </c>
      <c r="N233" s="30">
        <f>IF($J233=1,E233,"")</f>
        <v>0.49518214427458052</v>
      </c>
      <c r="O233" s="39">
        <f ca="1">IF($J233=1,F233,"")</f>
        <v>1233.9000000000001</v>
      </c>
      <c r="P233" s="39">
        <f t="shared" si="39"/>
        <v>67.318101513318496</v>
      </c>
      <c r="W233" s="27">
        <v>40907</v>
      </c>
      <c r="X233" s="26">
        <v>3608.1</v>
      </c>
      <c r="AA233" s="27">
        <v>42152</v>
      </c>
      <c r="AB233">
        <v>0.67318101513318496</v>
      </c>
      <c r="AC233" s="26">
        <f t="shared" si="35"/>
        <v>67.318101513318496</v>
      </c>
    </row>
    <row r="234" spans="3:29">
      <c r="C234" s="27">
        <v>42159</v>
      </c>
      <c r="D234" s="30">
        <v>0.54239887899197503</v>
      </c>
      <c r="E234" s="30">
        <v>0.49151040605794738</v>
      </c>
      <c r="F234" s="37">
        <f t="shared" ca="1" si="31"/>
        <v>1342.4</v>
      </c>
      <c r="G234" s="37">
        <f t="shared" si="32"/>
        <v>66.0024229614055</v>
      </c>
      <c r="H234" s="26">
        <f t="shared" si="33"/>
        <v>6</v>
      </c>
      <c r="I234" s="26">
        <f t="shared" si="34"/>
        <v>1</v>
      </c>
      <c r="J234" s="26">
        <f t="shared" si="30"/>
        <v>0</v>
      </c>
      <c r="K234" s="27" t="str">
        <f t="shared" si="36"/>
        <v/>
      </c>
      <c r="L234" s="27" t="e">
        <f t="shared" si="37"/>
        <v>#VALUE!</v>
      </c>
      <c r="M234" s="30" t="str">
        <f t="shared" si="38"/>
        <v/>
      </c>
      <c r="N234" s="30" t="str">
        <f>IF($J234=1,E234,"")</f>
        <v/>
      </c>
      <c r="O234" s="39" t="str">
        <f>IF($J234=1,F234,"")</f>
        <v/>
      </c>
      <c r="P234" s="39" t="str">
        <f t="shared" si="39"/>
        <v/>
      </c>
      <c r="W234" s="27">
        <v>40914</v>
      </c>
      <c r="X234" s="26">
        <v>3668.3</v>
      </c>
      <c r="AA234" s="27">
        <v>42159</v>
      </c>
      <c r="AB234">
        <v>0.66002422961405505</v>
      </c>
      <c r="AC234" s="26">
        <f t="shared" si="35"/>
        <v>66.0024229614055</v>
      </c>
    </row>
    <row r="235" spans="3:29">
      <c r="C235" s="27">
        <v>42166</v>
      </c>
      <c r="D235" s="30">
        <v>0.45533070729547037</v>
      </c>
      <c r="E235" s="30">
        <v>0.39779633268543002</v>
      </c>
      <c r="F235" s="37">
        <f t="shared" ca="1" si="31"/>
        <v>1273.4000000000001</v>
      </c>
      <c r="G235" s="37">
        <f t="shared" si="32"/>
        <v>49.112478797614997</v>
      </c>
      <c r="H235" s="26">
        <f t="shared" si="33"/>
        <v>6</v>
      </c>
      <c r="I235" s="26">
        <f t="shared" si="34"/>
        <v>0</v>
      </c>
      <c r="J235" s="26">
        <f t="shared" si="30"/>
        <v>0</v>
      </c>
      <c r="K235" s="27" t="str">
        <f t="shared" si="36"/>
        <v/>
      </c>
      <c r="L235" s="27" t="e">
        <f t="shared" si="37"/>
        <v>#VALUE!</v>
      </c>
      <c r="M235" s="30" t="str">
        <f t="shared" si="38"/>
        <v/>
      </c>
      <c r="N235" s="30" t="str">
        <f>IF($J235=1,E235,"")</f>
        <v/>
      </c>
      <c r="O235" s="39" t="str">
        <f>IF($J235=1,F235,"")</f>
        <v/>
      </c>
      <c r="P235" s="39" t="str">
        <f t="shared" si="39"/>
        <v/>
      </c>
      <c r="W235" s="27">
        <v>40921</v>
      </c>
      <c r="X235" s="26">
        <v>4626.5</v>
      </c>
      <c r="AA235" s="27">
        <v>42166</v>
      </c>
      <c r="AB235">
        <v>0.49112478797615</v>
      </c>
      <c r="AC235" s="26">
        <f t="shared" si="35"/>
        <v>49.112478797614997</v>
      </c>
    </row>
    <row r="236" spans="3:29">
      <c r="C236" s="27">
        <v>42173</v>
      </c>
      <c r="D236" s="30">
        <v>0.4684884497398818</v>
      </c>
      <c r="E236" s="30">
        <v>0.42202391195455535</v>
      </c>
      <c r="F236" s="37" t="e">
        <f t="shared" ca="1" si="31"/>
        <v>#N/A</v>
      </c>
      <c r="G236" s="37">
        <f t="shared" si="32"/>
        <v>50.602767988488296</v>
      </c>
      <c r="H236" s="26">
        <f t="shared" si="33"/>
        <v>6</v>
      </c>
      <c r="I236" s="26">
        <f t="shared" si="34"/>
        <v>0</v>
      </c>
      <c r="J236" s="26">
        <f t="shared" si="30"/>
        <v>0</v>
      </c>
      <c r="K236" s="27" t="str">
        <f t="shared" si="36"/>
        <v/>
      </c>
      <c r="L236" s="27" t="e">
        <f t="shared" si="37"/>
        <v>#VALUE!</v>
      </c>
      <c r="M236" s="30" t="str">
        <f t="shared" si="38"/>
        <v/>
      </c>
      <c r="N236" s="30" t="str">
        <f>IF($J236=1,E236,"")</f>
        <v/>
      </c>
      <c r="O236" s="39" t="str">
        <f>IF($J236=1,F236,"")</f>
        <v/>
      </c>
      <c r="P236" s="39" t="str">
        <f t="shared" si="39"/>
        <v/>
      </c>
      <c r="W236" s="27">
        <v>40928</v>
      </c>
      <c r="X236" s="26">
        <v>4326.3999999999996</v>
      </c>
      <c r="AA236" s="27">
        <v>42173</v>
      </c>
      <c r="AB236">
        <v>0.50602767988488295</v>
      </c>
      <c r="AC236" s="26">
        <f t="shared" si="35"/>
        <v>50.602767988488296</v>
      </c>
    </row>
    <row r="237" spans="3:29">
      <c r="W237" s="27">
        <v>40935</v>
      </c>
      <c r="X237" s="26">
        <v>4184.3</v>
      </c>
    </row>
    <row r="238" spans="3:29">
      <c r="W238" s="27">
        <v>40942</v>
      </c>
      <c r="X238" s="26">
        <v>4617.1000000000004</v>
      </c>
    </row>
    <row r="239" spans="3:29">
      <c r="W239" s="27">
        <v>40949</v>
      </c>
      <c r="X239" s="26">
        <v>4716.1000000000004</v>
      </c>
    </row>
    <row r="240" spans="3:29">
      <c r="W240" s="27">
        <v>40956</v>
      </c>
      <c r="X240" s="26">
        <v>4466.8999999999996</v>
      </c>
    </row>
    <row r="241" spans="23:24">
      <c r="W241" s="27">
        <v>40963</v>
      </c>
      <c r="X241" s="26">
        <v>4379.1000000000004</v>
      </c>
    </row>
    <row r="242" spans="23:24">
      <c r="W242" s="27">
        <v>40970</v>
      </c>
      <c r="X242" s="26">
        <v>4277.6000000000004</v>
      </c>
    </row>
    <row r="243" spans="23:24">
      <c r="W243" s="27">
        <v>40977</v>
      </c>
      <c r="X243" s="26">
        <v>4063.4</v>
      </c>
    </row>
    <row r="244" spans="23:24">
      <c r="W244" s="27">
        <v>40984</v>
      </c>
      <c r="X244" s="26">
        <v>3715.2</v>
      </c>
    </row>
    <row r="245" spans="23:24">
      <c r="W245" s="27">
        <v>40991</v>
      </c>
      <c r="X245" s="26">
        <v>3588.4</v>
      </c>
    </row>
    <row r="246" spans="23:24">
      <c r="W246" s="27">
        <v>40998</v>
      </c>
      <c r="X246" s="26">
        <v>3699.5</v>
      </c>
    </row>
    <row r="247" spans="23:24">
      <c r="W247" s="27">
        <v>41005</v>
      </c>
      <c r="X247" s="26">
        <v>3549.3</v>
      </c>
    </row>
    <row r="248" spans="23:24">
      <c r="W248" s="27">
        <v>41012</v>
      </c>
      <c r="X248" s="26">
        <v>4144.3</v>
      </c>
    </row>
    <row r="249" spans="23:24">
      <c r="W249" s="27">
        <v>41019</v>
      </c>
      <c r="X249" s="26">
        <v>3892.2</v>
      </c>
    </row>
    <row r="250" spans="23:24">
      <c r="W250" s="27">
        <v>41026</v>
      </c>
      <c r="X250" s="26">
        <v>3856</v>
      </c>
    </row>
    <row r="251" spans="23:24">
      <c r="W251" s="27">
        <v>41033</v>
      </c>
      <c r="X251" s="26">
        <v>3924.4</v>
      </c>
    </row>
    <row r="252" spans="23:24">
      <c r="W252" s="27">
        <v>41040</v>
      </c>
      <c r="X252" s="26">
        <v>4482</v>
      </c>
    </row>
    <row r="253" spans="23:24">
      <c r="W253" s="27">
        <v>41047</v>
      </c>
      <c r="X253" s="26">
        <v>4732</v>
      </c>
    </row>
    <row r="254" spans="23:24">
      <c r="W254" s="27">
        <v>41054</v>
      </c>
      <c r="X254" s="26">
        <v>4675.8999999999996</v>
      </c>
    </row>
    <row r="255" spans="23:24">
      <c r="W255" s="27">
        <v>41061</v>
      </c>
      <c r="X255" s="26">
        <v>4736</v>
      </c>
    </row>
    <row r="256" spans="23:24">
      <c r="W256" s="27">
        <v>41068</v>
      </c>
      <c r="X256" s="26">
        <v>5590</v>
      </c>
    </row>
    <row r="257" spans="23:24">
      <c r="W257" s="27">
        <v>41075</v>
      </c>
      <c r="X257" s="26">
        <v>4719.6000000000004</v>
      </c>
    </row>
    <row r="258" spans="23:24">
      <c r="W258" s="27">
        <v>41082</v>
      </c>
      <c r="X258" s="26">
        <v>4585.8</v>
      </c>
    </row>
    <row r="259" spans="23:24">
      <c r="W259" s="27">
        <v>41089</v>
      </c>
      <c r="X259" s="26">
        <v>4372.2</v>
      </c>
    </row>
    <row r="260" spans="23:24">
      <c r="W260" s="27">
        <v>41096</v>
      </c>
      <c r="X260" s="26">
        <v>4267.8999999999996</v>
      </c>
    </row>
    <row r="261" spans="23:24">
      <c r="W261" s="27">
        <v>41103</v>
      </c>
      <c r="X261" s="26">
        <v>5246.8</v>
      </c>
    </row>
    <row r="262" spans="23:24">
      <c r="W262" s="27">
        <v>41110</v>
      </c>
      <c r="X262" s="26">
        <v>5383.1</v>
      </c>
    </row>
    <row r="263" spans="23:24">
      <c r="W263" s="27">
        <v>41117</v>
      </c>
      <c r="X263" s="26">
        <v>5492.1</v>
      </c>
    </row>
    <row r="264" spans="23:24">
      <c r="W264" s="27">
        <v>41124</v>
      </c>
      <c r="X264" s="26">
        <v>5444.3</v>
      </c>
    </row>
    <row r="265" spans="23:24">
      <c r="W265" s="27">
        <v>41131</v>
      </c>
      <c r="X265" s="26">
        <v>5172.2</v>
      </c>
    </row>
    <row r="266" spans="23:24">
      <c r="W266" s="27">
        <v>41138</v>
      </c>
      <c r="X266" s="26">
        <v>4671.1000000000004</v>
      </c>
    </row>
    <row r="267" spans="23:24">
      <c r="W267" s="27">
        <v>41145</v>
      </c>
      <c r="X267" s="26">
        <v>4414.6000000000004</v>
      </c>
    </row>
    <row r="268" spans="23:24">
      <c r="W268" s="27">
        <v>41152</v>
      </c>
      <c r="X268" s="26">
        <v>4274.8</v>
      </c>
    </row>
    <row r="269" spans="23:24">
      <c r="W269" s="27">
        <v>41159</v>
      </c>
      <c r="X269" s="26">
        <v>4779.1000000000004</v>
      </c>
    </row>
    <row r="270" spans="23:24">
      <c r="W270" s="27">
        <v>41166</v>
      </c>
      <c r="X270" s="26">
        <v>4823.3</v>
      </c>
    </row>
    <row r="271" spans="23:24">
      <c r="W271" s="27">
        <v>41173</v>
      </c>
      <c r="X271" s="26">
        <v>4979</v>
      </c>
    </row>
    <row r="272" spans="23:24">
      <c r="W272" s="27">
        <v>41180</v>
      </c>
      <c r="X272" s="26">
        <v>5965.5</v>
      </c>
    </row>
    <row r="273" spans="23:24">
      <c r="W273" s="27">
        <v>41187</v>
      </c>
      <c r="X273" s="26">
        <v>5892.5</v>
      </c>
    </row>
    <row r="274" spans="23:24">
      <c r="W274" s="27">
        <v>41194</v>
      </c>
      <c r="X274" s="26">
        <v>5572.2</v>
      </c>
    </row>
    <row r="275" spans="23:24">
      <c r="W275" s="27">
        <v>41201</v>
      </c>
      <c r="X275" s="26">
        <v>4847.2</v>
      </c>
    </row>
    <row r="276" spans="23:24">
      <c r="W276" s="27">
        <v>41208</v>
      </c>
      <c r="X276" s="26">
        <v>4550.7</v>
      </c>
    </row>
    <row r="277" spans="23:24">
      <c r="W277" s="27">
        <v>41215</v>
      </c>
      <c r="X277" s="26">
        <v>4297.7</v>
      </c>
    </row>
    <row r="278" spans="23:24">
      <c r="W278" s="27">
        <v>41222</v>
      </c>
      <c r="X278" s="26">
        <v>4856.1000000000004</v>
      </c>
    </row>
    <row r="279" spans="23:24">
      <c r="W279" s="27">
        <v>41229</v>
      </c>
      <c r="X279" s="26">
        <v>4702.3999999999996</v>
      </c>
    </row>
    <row r="280" spans="23:24">
      <c r="W280" s="27">
        <v>41236</v>
      </c>
      <c r="X280" s="26">
        <v>4666.8</v>
      </c>
    </row>
    <row r="281" spans="23:24">
      <c r="W281" s="27">
        <v>41243</v>
      </c>
      <c r="X281" s="26">
        <v>4943</v>
      </c>
    </row>
    <row r="282" spans="23:24">
      <c r="W282" s="27">
        <v>41250</v>
      </c>
      <c r="X282" s="26">
        <v>5368.1</v>
      </c>
    </row>
    <row r="283" spans="23:24">
      <c r="W283" s="27">
        <v>41257</v>
      </c>
      <c r="X283" s="26">
        <v>4564.3999999999996</v>
      </c>
    </row>
    <row r="284" spans="23:24">
      <c r="W284" s="27">
        <v>41264</v>
      </c>
      <c r="X284" s="26">
        <v>3983.2</v>
      </c>
    </row>
    <row r="285" spans="23:24">
      <c r="W285" s="27">
        <v>41271</v>
      </c>
      <c r="X285" s="26">
        <v>3488.9</v>
      </c>
    </row>
    <row r="286" spans="23:24">
      <c r="W286" s="27">
        <v>41278</v>
      </c>
      <c r="X286" s="26">
        <v>3896.4</v>
      </c>
    </row>
    <row r="287" spans="23:24">
      <c r="W287" s="27">
        <v>41285</v>
      </c>
      <c r="X287" s="26">
        <v>4554.3999999999996</v>
      </c>
    </row>
    <row r="288" spans="23:24">
      <c r="W288" s="27">
        <v>41292</v>
      </c>
      <c r="X288" s="26">
        <v>4937.3999999999996</v>
      </c>
    </row>
    <row r="289" spans="23:24">
      <c r="W289" s="27">
        <v>41299</v>
      </c>
      <c r="X289" s="26">
        <v>4433.6000000000004</v>
      </c>
    </row>
    <row r="290" spans="23:24">
      <c r="W290" s="27">
        <v>41306</v>
      </c>
      <c r="X290" s="26">
        <v>4579</v>
      </c>
    </row>
    <row r="291" spans="23:24">
      <c r="W291" s="27">
        <v>41313</v>
      </c>
      <c r="X291" s="26">
        <v>4284.3</v>
      </c>
    </row>
    <row r="292" spans="23:24">
      <c r="W292" s="27">
        <v>41320</v>
      </c>
      <c r="X292" s="26">
        <v>4261.8</v>
      </c>
    </row>
    <row r="293" spans="23:24">
      <c r="W293" s="27">
        <v>41327</v>
      </c>
      <c r="X293" s="26">
        <v>4136.3</v>
      </c>
    </row>
    <row r="294" spans="23:24">
      <c r="W294" s="27">
        <v>41334</v>
      </c>
      <c r="X294" s="26">
        <v>4724.8999999999996</v>
      </c>
    </row>
    <row r="295" spans="23:24">
      <c r="W295" s="27">
        <v>41341</v>
      </c>
      <c r="X295" s="26">
        <v>4485.2</v>
      </c>
    </row>
    <row r="296" spans="23:24">
      <c r="W296" s="27">
        <v>41348</v>
      </c>
      <c r="X296" s="26">
        <v>4111.3</v>
      </c>
    </row>
    <row r="297" spans="23:24">
      <c r="W297" s="27">
        <v>41355</v>
      </c>
      <c r="X297" s="26">
        <v>4412.8999999999996</v>
      </c>
    </row>
    <row r="298" spans="23:24">
      <c r="W298" s="27">
        <v>41362</v>
      </c>
      <c r="X298" s="26">
        <v>4119.2</v>
      </c>
    </row>
    <row r="299" spans="23:24">
      <c r="W299" s="27">
        <v>41369</v>
      </c>
      <c r="X299" s="26">
        <v>4528.8999999999996</v>
      </c>
    </row>
    <row r="300" spans="23:24">
      <c r="W300" s="27">
        <v>41376</v>
      </c>
      <c r="X300" s="26">
        <v>4726.8999999999996</v>
      </c>
    </row>
    <row r="301" spans="23:24">
      <c r="W301" s="27">
        <v>41383</v>
      </c>
      <c r="X301" s="26">
        <v>4672.1000000000004</v>
      </c>
    </row>
    <row r="302" spans="23:24">
      <c r="W302" s="27">
        <v>41390</v>
      </c>
      <c r="X302" s="26">
        <v>4854.1000000000004</v>
      </c>
    </row>
    <row r="303" spans="23:24">
      <c r="W303" s="27">
        <v>41397</v>
      </c>
      <c r="X303" s="26">
        <v>5279.9</v>
      </c>
    </row>
    <row r="304" spans="23:24">
      <c r="W304" s="27">
        <v>41404</v>
      </c>
      <c r="X304" s="26">
        <v>4797.2</v>
      </c>
    </row>
    <row r="305" spans="23:24">
      <c r="W305" s="27">
        <v>41411</v>
      </c>
      <c r="X305" s="26">
        <v>4241.5</v>
      </c>
    </row>
    <row r="306" spans="23:24">
      <c r="W306" s="27">
        <v>41418</v>
      </c>
      <c r="X306" s="26">
        <v>3709.4</v>
      </c>
    </row>
    <row r="307" spans="23:24">
      <c r="W307" s="27">
        <v>41425</v>
      </c>
      <c r="X307" s="26">
        <v>3163.6</v>
      </c>
    </row>
    <row r="308" spans="23:24">
      <c r="W308" s="27">
        <v>41432</v>
      </c>
      <c r="X308" s="26">
        <v>3339.8</v>
      </c>
    </row>
    <row r="309" spans="23:24">
      <c r="W309" s="27">
        <v>41439</v>
      </c>
      <c r="X309" s="26">
        <v>3214.4</v>
      </c>
    </row>
    <row r="310" spans="23:24">
      <c r="W310" s="27">
        <v>41446</v>
      </c>
      <c r="X310" s="26">
        <v>3040.1</v>
      </c>
    </row>
    <row r="311" spans="23:24">
      <c r="W311" s="27">
        <v>41453</v>
      </c>
      <c r="X311" s="26">
        <v>2573.4</v>
      </c>
    </row>
    <row r="312" spans="23:24">
      <c r="W312" s="27">
        <v>41460</v>
      </c>
      <c r="X312" s="26">
        <v>2417.8000000000002</v>
      </c>
    </row>
    <row r="313" spans="23:24">
      <c r="W313" s="27">
        <v>41467</v>
      </c>
      <c r="X313" s="26">
        <v>2242.1999999999998</v>
      </c>
    </row>
    <row r="314" spans="23:24">
      <c r="W314" s="27">
        <v>41474</v>
      </c>
      <c r="X314" s="26">
        <v>2288</v>
      </c>
    </row>
    <row r="315" spans="23:24">
      <c r="W315" s="27">
        <v>41481</v>
      </c>
      <c r="X315" s="26">
        <v>2218.3000000000002</v>
      </c>
    </row>
    <row r="316" spans="23:24">
      <c r="W316" s="27">
        <v>41488</v>
      </c>
      <c r="X316" s="26">
        <v>2228.9</v>
      </c>
    </row>
    <row r="317" spans="23:24">
      <c r="W317" s="27">
        <v>41495</v>
      </c>
      <c r="X317" s="26">
        <v>2110.6</v>
      </c>
    </row>
    <row r="318" spans="23:24">
      <c r="W318" s="27">
        <v>41502</v>
      </c>
      <c r="X318" s="26">
        <v>1935.1</v>
      </c>
    </row>
    <row r="319" spans="23:24">
      <c r="W319" s="27">
        <v>41509</v>
      </c>
      <c r="X319" s="26">
        <v>1842.6</v>
      </c>
    </row>
    <row r="320" spans="23:24">
      <c r="W320" s="27">
        <v>41516</v>
      </c>
      <c r="X320" s="26">
        <v>1909</v>
      </c>
    </row>
    <row r="321" spans="23:24">
      <c r="W321" s="27">
        <v>41523</v>
      </c>
      <c r="X321" s="26">
        <v>1512.9</v>
      </c>
    </row>
    <row r="322" spans="23:24">
      <c r="W322" s="27">
        <v>41530</v>
      </c>
      <c r="X322" s="26">
        <v>1814</v>
      </c>
    </row>
    <row r="323" spans="23:24">
      <c r="W323" s="27">
        <v>41537</v>
      </c>
      <c r="X323" s="26">
        <v>1922.9</v>
      </c>
    </row>
    <row r="324" spans="23:24">
      <c r="W324" s="27">
        <v>41544</v>
      </c>
      <c r="X324" s="26">
        <v>1956.6</v>
      </c>
    </row>
    <row r="325" spans="23:24">
      <c r="W325" s="27">
        <v>41551</v>
      </c>
      <c r="X325" s="26">
        <v>2025.3</v>
      </c>
    </row>
    <row r="326" spans="23:24">
      <c r="W326" s="27">
        <v>41558</v>
      </c>
      <c r="X326" s="26">
        <v>2102.6999999999998</v>
      </c>
    </row>
    <row r="327" spans="23:24">
      <c r="W327" s="27">
        <v>41565</v>
      </c>
      <c r="X327" s="26">
        <v>2033.7</v>
      </c>
    </row>
    <row r="328" spans="23:24">
      <c r="W328" s="27">
        <v>41572</v>
      </c>
      <c r="X328" s="26">
        <v>2211.8000000000002</v>
      </c>
    </row>
    <row r="329" spans="23:24">
      <c r="W329" s="27">
        <v>41579</v>
      </c>
      <c r="X329" s="26">
        <v>2105.6</v>
      </c>
    </row>
    <row r="330" spans="23:24">
      <c r="W330" s="27">
        <v>41586</v>
      </c>
      <c r="X330" s="26">
        <v>2056.9</v>
      </c>
    </row>
    <row r="331" spans="23:24">
      <c r="W331" s="27">
        <v>41593</v>
      </c>
      <c r="X331" s="26">
        <v>1903.5</v>
      </c>
    </row>
    <row r="332" spans="23:24">
      <c r="W332" s="27">
        <v>41600</v>
      </c>
      <c r="X332" s="26">
        <v>1917.2</v>
      </c>
    </row>
    <row r="333" spans="23:24">
      <c r="W333" s="27">
        <v>41607</v>
      </c>
      <c r="X333" s="26">
        <v>1561.6</v>
      </c>
    </row>
    <row r="334" spans="23:24">
      <c r="W334" s="27">
        <v>41614</v>
      </c>
      <c r="X334" s="26">
        <v>1599.4</v>
      </c>
    </row>
    <row r="335" spans="23:24">
      <c r="W335" s="27">
        <v>41621</v>
      </c>
      <c r="X335" s="26">
        <v>1529.8</v>
      </c>
    </row>
    <row r="336" spans="23:24">
      <c r="W336" s="27">
        <v>41628</v>
      </c>
      <c r="X336" s="26">
        <v>1426.7</v>
      </c>
    </row>
    <row r="337" spans="23:24">
      <c r="W337" s="27">
        <v>41635</v>
      </c>
      <c r="X337" s="26">
        <v>1277.8</v>
      </c>
    </row>
    <row r="338" spans="23:24">
      <c r="W338" s="27">
        <v>41642</v>
      </c>
      <c r="X338" s="26">
        <v>1352.7</v>
      </c>
    </row>
    <row r="339" spans="23:24">
      <c r="W339" s="27">
        <v>41649</v>
      </c>
      <c r="X339" s="26">
        <v>1507</v>
      </c>
    </row>
    <row r="340" spans="23:24">
      <c r="W340" s="27">
        <v>41656</v>
      </c>
      <c r="X340" s="26">
        <v>1675.8</v>
      </c>
    </row>
    <row r="341" spans="23:24">
      <c r="W341" s="27">
        <v>41663</v>
      </c>
      <c r="X341" s="26">
        <v>1601.2</v>
      </c>
    </row>
    <row r="342" spans="23:24">
      <c r="W342" s="27">
        <v>41670</v>
      </c>
      <c r="X342" s="26">
        <v>1667.5</v>
      </c>
    </row>
    <row r="343" spans="23:24">
      <c r="W343" s="27">
        <v>41677</v>
      </c>
      <c r="X343" s="26">
        <v>1674.2</v>
      </c>
    </row>
    <row r="344" spans="23:24">
      <c r="W344" s="27">
        <v>41684</v>
      </c>
      <c r="X344" s="26">
        <v>1650.6</v>
      </c>
    </row>
    <row r="345" spans="23:24">
      <c r="W345" s="27">
        <v>41691</v>
      </c>
      <c r="X345" s="26">
        <v>1442.3</v>
      </c>
    </row>
    <row r="346" spans="23:24">
      <c r="W346" s="27">
        <v>41698</v>
      </c>
      <c r="X346" s="26">
        <v>1600.6</v>
      </c>
    </row>
    <row r="347" spans="23:24">
      <c r="W347" s="27">
        <v>41705</v>
      </c>
      <c r="X347" s="26">
        <v>1528</v>
      </c>
    </row>
    <row r="348" spans="23:24">
      <c r="W348" s="27">
        <v>41712</v>
      </c>
      <c r="X348" s="26">
        <v>1552.1</v>
      </c>
    </row>
    <row r="349" spans="23:24">
      <c r="W349" s="27">
        <v>41719</v>
      </c>
      <c r="X349" s="26">
        <v>1426.3</v>
      </c>
    </row>
    <row r="350" spans="23:24">
      <c r="W350" s="27">
        <v>41726</v>
      </c>
      <c r="X350" s="26">
        <v>1383.5</v>
      </c>
    </row>
    <row r="351" spans="23:24">
      <c r="W351" s="27">
        <v>41733</v>
      </c>
      <c r="X351" s="26">
        <v>1324.7</v>
      </c>
    </row>
    <row r="352" spans="23:24">
      <c r="W352" s="27">
        <v>41740</v>
      </c>
      <c r="X352" s="26">
        <v>1429.9</v>
      </c>
    </row>
    <row r="353" spans="23:24">
      <c r="W353" s="27">
        <v>41747</v>
      </c>
      <c r="X353" s="26">
        <v>1370.9</v>
      </c>
    </row>
    <row r="354" spans="23:24">
      <c r="W354" s="27">
        <v>41754</v>
      </c>
      <c r="X354" s="26">
        <v>1298.0999999999999</v>
      </c>
    </row>
    <row r="355" spans="23:24">
      <c r="W355" s="27">
        <v>41761</v>
      </c>
      <c r="X355" s="26">
        <v>1323.9</v>
      </c>
    </row>
    <row r="356" spans="23:24">
      <c r="W356" s="27">
        <v>41768</v>
      </c>
      <c r="X356" s="26">
        <v>1400.9</v>
      </c>
    </row>
    <row r="357" spans="23:24">
      <c r="W357" s="27">
        <v>41775</v>
      </c>
      <c r="X357" s="26">
        <v>1460.6</v>
      </c>
    </row>
    <row r="358" spans="23:24">
      <c r="W358" s="27">
        <v>41782</v>
      </c>
      <c r="X358" s="26">
        <v>1453.4</v>
      </c>
    </row>
    <row r="359" spans="23:24">
      <c r="W359" s="27">
        <v>41789</v>
      </c>
      <c r="X359" s="26">
        <v>1382.6</v>
      </c>
    </row>
    <row r="360" spans="23:24">
      <c r="W360" s="27">
        <v>41796</v>
      </c>
      <c r="X360" s="26">
        <v>1516.9</v>
      </c>
    </row>
    <row r="361" spans="23:24">
      <c r="W361" s="27">
        <v>41803</v>
      </c>
      <c r="X361" s="26">
        <v>1321.3</v>
      </c>
    </row>
    <row r="362" spans="23:24">
      <c r="W362" s="27">
        <v>41810</v>
      </c>
      <c r="X362" s="26">
        <v>1333.5</v>
      </c>
    </row>
    <row r="363" spans="23:24">
      <c r="W363" s="27">
        <v>41817</v>
      </c>
      <c r="X363" s="26">
        <v>1341.8</v>
      </c>
    </row>
    <row r="364" spans="23:24">
      <c r="W364" s="27">
        <v>41824</v>
      </c>
      <c r="X364" s="26">
        <v>1346.8</v>
      </c>
    </row>
    <row r="365" spans="23:24">
      <c r="W365" s="27">
        <v>41831</v>
      </c>
      <c r="X365" s="26">
        <v>1329.7</v>
      </c>
    </row>
    <row r="366" spans="23:24">
      <c r="W366" s="27">
        <v>41838</v>
      </c>
      <c r="X366" s="26">
        <v>1400.7</v>
      </c>
    </row>
    <row r="367" spans="23:24">
      <c r="W367" s="27">
        <v>41845</v>
      </c>
      <c r="X367" s="26">
        <v>1327.5</v>
      </c>
    </row>
    <row r="368" spans="23:24">
      <c r="W368" s="27">
        <v>41852</v>
      </c>
      <c r="X368" s="26">
        <v>1373.9</v>
      </c>
    </row>
    <row r="369" spans="23:24">
      <c r="W369" s="27">
        <v>41859</v>
      </c>
      <c r="X369" s="26">
        <v>1342.6</v>
      </c>
    </row>
    <row r="370" spans="23:24">
      <c r="W370" s="27">
        <v>41866</v>
      </c>
      <c r="X370" s="26">
        <v>1404.9</v>
      </c>
    </row>
    <row r="371" spans="23:24">
      <c r="W371" s="27">
        <v>41873</v>
      </c>
      <c r="X371" s="26">
        <v>1439.4</v>
      </c>
    </row>
    <row r="372" spans="23:24">
      <c r="W372" s="27">
        <v>41880</v>
      </c>
      <c r="X372" s="26">
        <v>1436</v>
      </c>
    </row>
    <row r="373" spans="23:24">
      <c r="W373" s="27">
        <v>41887</v>
      </c>
      <c r="X373" s="26">
        <v>1275.8</v>
      </c>
    </row>
    <row r="374" spans="23:24">
      <c r="W374" s="27">
        <v>41894</v>
      </c>
      <c r="X374" s="26">
        <v>1398.4</v>
      </c>
    </row>
    <row r="375" spans="23:24">
      <c r="W375" s="27">
        <v>41901</v>
      </c>
      <c r="X375" s="26">
        <v>1335.1</v>
      </c>
    </row>
    <row r="376" spans="23:24">
      <c r="W376" s="27">
        <v>41908</v>
      </c>
      <c r="X376" s="26">
        <v>1326.2</v>
      </c>
    </row>
    <row r="377" spans="23:24">
      <c r="W377" s="27">
        <v>41915</v>
      </c>
      <c r="X377" s="26">
        <v>1387.1</v>
      </c>
    </row>
    <row r="378" spans="23:24">
      <c r="W378" s="27">
        <v>41922</v>
      </c>
      <c r="X378" s="26">
        <v>1560.6</v>
      </c>
    </row>
    <row r="379" spans="23:24">
      <c r="W379" s="27">
        <v>41929</v>
      </c>
      <c r="X379" s="26">
        <v>1898.2</v>
      </c>
    </row>
    <row r="380" spans="23:24">
      <c r="W380" s="27">
        <v>41936</v>
      </c>
      <c r="X380" s="26">
        <v>1713.6</v>
      </c>
    </row>
    <row r="381" spans="23:24">
      <c r="W381" s="27">
        <v>41943</v>
      </c>
      <c r="X381" s="26">
        <v>1604.8</v>
      </c>
    </row>
    <row r="382" spans="23:24">
      <c r="W382" s="27">
        <v>41950</v>
      </c>
      <c r="X382" s="26">
        <v>1565.3</v>
      </c>
    </row>
    <row r="383" spans="23:24">
      <c r="W383" s="27">
        <v>41957</v>
      </c>
      <c r="X383" s="26">
        <v>1563.2</v>
      </c>
    </row>
    <row r="384" spans="23:24">
      <c r="W384" s="27">
        <v>41964</v>
      </c>
      <c r="X384" s="26">
        <v>1547.9</v>
      </c>
    </row>
    <row r="385" spans="23:24">
      <c r="W385" s="27">
        <v>41971</v>
      </c>
      <c r="X385" s="26">
        <v>1366.6</v>
      </c>
    </row>
    <row r="386" spans="23:24">
      <c r="W386" s="27">
        <v>41978</v>
      </c>
      <c r="X386" s="26">
        <v>1548.6</v>
      </c>
    </row>
    <row r="387" spans="23:24">
      <c r="W387" s="27">
        <v>41985</v>
      </c>
      <c r="X387" s="26">
        <v>1518.8</v>
      </c>
    </row>
    <row r="388" spans="23:24">
      <c r="W388" s="27">
        <v>41992</v>
      </c>
      <c r="X388" s="26">
        <v>1538.7</v>
      </c>
    </row>
    <row r="389" spans="23:24">
      <c r="W389" s="27">
        <v>41998</v>
      </c>
      <c r="X389" s="26">
        <v>1164.2</v>
      </c>
    </row>
    <row r="390" spans="23:24">
      <c r="W390" s="27">
        <v>42005</v>
      </c>
      <c r="X390" s="26">
        <v>1347.6</v>
      </c>
    </row>
    <row r="391" spans="23:24">
      <c r="W391" s="27">
        <v>42013</v>
      </c>
      <c r="X391" s="26">
        <v>2271.5</v>
      </c>
    </row>
    <row r="392" spans="23:24">
      <c r="W392" s="27">
        <v>42020</v>
      </c>
      <c r="X392" s="26">
        <v>2799.3</v>
      </c>
    </row>
    <row r="393" spans="23:24">
      <c r="W393" s="27">
        <v>42027</v>
      </c>
      <c r="X393" s="26">
        <v>2572.3000000000002</v>
      </c>
    </row>
    <row r="394" spans="23:24">
      <c r="W394" s="27">
        <v>42034</v>
      </c>
      <c r="X394" s="26">
        <v>2584.8000000000002</v>
      </c>
    </row>
    <row r="395" spans="23:24">
      <c r="W395" s="27">
        <v>42041</v>
      </c>
      <c r="X395" s="26">
        <v>2291.3000000000002</v>
      </c>
    </row>
    <row r="396" spans="23:24">
      <c r="W396" s="27">
        <v>42048</v>
      </c>
      <c r="X396" s="26">
        <v>1904.2</v>
      </c>
    </row>
    <row r="397" spans="23:24">
      <c r="W397" s="27">
        <v>42055</v>
      </c>
      <c r="X397" s="26">
        <v>1703.1</v>
      </c>
    </row>
    <row r="398" spans="23:24">
      <c r="W398" s="27">
        <v>42062</v>
      </c>
      <c r="X398" s="26">
        <v>1740.3</v>
      </c>
    </row>
    <row r="399" spans="23:24">
      <c r="W399" s="27">
        <v>42069</v>
      </c>
      <c r="X399" s="26">
        <v>1685.7</v>
      </c>
    </row>
    <row r="400" spans="23:24">
      <c r="W400" s="27">
        <v>42076</v>
      </c>
      <c r="X400" s="26">
        <v>1623.6</v>
      </c>
    </row>
    <row r="401" spans="23:24">
      <c r="W401" s="27">
        <v>42083</v>
      </c>
      <c r="X401" s="26">
        <v>1860.8</v>
      </c>
    </row>
    <row r="402" spans="23:24">
      <c r="W402" s="27">
        <v>42090</v>
      </c>
      <c r="X402" s="26">
        <v>1941.6</v>
      </c>
    </row>
    <row r="403" spans="23:24">
      <c r="W403" s="27">
        <v>42097</v>
      </c>
      <c r="X403" s="26">
        <v>1854.7</v>
      </c>
    </row>
    <row r="404" spans="23:24">
      <c r="W404" s="27">
        <v>42104</v>
      </c>
      <c r="X404" s="26">
        <v>1804.6</v>
      </c>
    </row>
    <row r="405" spans="23:24">
      <c r="W405" s="27">
        <v>42111</v>
      </c>
      <c r="X405" s="26">
        <v>1817</v>
      </c>
    </row>
    <row r="406" spans="23:24">
      <c r="W406" s="27">
        <v>42118</v>
      </c>
      <c r="X406" s="26">
        <v>1723</v>
      </c>
    </row>
    <row r="407" spans="23:24">
      <c r="W407" s="27">
        <v>42125</v>
      </c>
      <c r="X407" s="26">
        <v>1559.4</v>
      </c>
    </row>
    <row r="408" spans="23:24">
      <c r="W408" s="27">
        <v>42132</v>
      </c>
      <c r="X408" s="26">
        <v>1477.8</v>
      </c>
    </row>
    <row r="409" spans="23:24">
      <c r="W409" s="27">
        <v>42139</v>
      </c>
      <c r="X409" s="26">
        <v>1448.8</v>
      </c>
    </row>
    <row r="410" spans="23:24">
      <c r="W410" s="27">
        <v>42146</v>
      </c>
      <c r="X410" s="26">
        <v>1408.1</v>
      </c>
    </row>
    <row r="411" spans="23:24">
      <c r="W411" s="27">
        <v>42153</v>
      </c>
      <c r="X411" s="26">
        <v>1233.9000000000001</v>
      </c>
    </row>
    <row r="412" spans="23:24">
      <c r="W412" s="27">
        <v>42160</v>
      </c>
      <c r="X412" s="26">
        <v>1342.4</v>
      </c>
    </row>
    <row r="413" spans="23:24">
      <c r="W413" s="27">
        <v>42167</v>
      </c>
      <c r="X413" s="26">
        <v>1273.4000000000001</v>
      </c>
    </row>
  </sheetData>
  <sortState ref="C4:E236">
    <sortCondition ref="C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Data Set</vt:lpstr>
      <vt:lpstr>Realized Vol</vt:lpstr>
      <vt:lpstr>Yield Curve</vt:lpstr>
      <vt:lpstr>ppm risk premium</vt:lpstr>
      <vt:lpstr>Return&amp;Carry</vt:lpstr>
      <vt:lpstr>LIBOR 1m</vt:lpstr>
      <vt:lpstr>Refi%</vt:lpstr>
      <vt:lpstr>'ppm risk premium'!temp</vt:lpstr>
      <vt:lpstr>'Refi%'!temp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2015-06-25T17:01:17Z</dcterms:modified>
</cp:coreProperties>
</file>