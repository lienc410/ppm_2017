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R46" i="1" l="1"/>
  <c r="AP46" i="1"/>
  <c r="AO46" i="1"/>
  <c r="AN46" i="1"/>
  <c r="AJ46" i="1"/>
  <c r="AH46" i="1"/>
  <c r="AG46" i="1"/>
  <c r="AF46" i="1"/>
  <c r="AB46" i="1"/>
  <c r="AU25" i="1"/>
  <c r="Y25" i="1"/>
  <c r="AT46" i="1"/>
  <c r="X25" i="1"/>
  <c r="AS46" i="1"/>
  <c r="W25" i="1"/>
  <c r="V25" i="1"/>
  <c r="AQ46" i="1"/>
  <c r="U25" i="1"/>
  <c r="T25" i="1"/>
  <c r="S25" i="1"/>
  <c r="R25" i="1"/>
  <c r="AM46" i="1"/>
  <c r="Q25" i="1"/>
  <c r="AL46" i="1"/>
  <c r="P25" i="1"/>
  <c r="AK46" i="1"/>
  <c r="O25" i="1"/>
  <c r="N25" i="1"/>
  <c r="AI46" i="1"/>
  <c r="M25" i="1"/>
  <c r="L25" i="1"/>
  <c r="K25" i="1"/>
  <c r="J25" i="1"/>
  <c r="AE46" i="1"/>
  <c r="I25" i="1"/>
  <c r="AD46" i="1"/>
  <c r="H25" i="1"/>
  <c r="AC46" i="1"/>
  <c r="G25" i="1"/>
  <c r="F25" i="1"/>
  <c r="AA25" i="1"/>
  <c r="AU46" i="1"/>
  <c r="AA46" i="1"/>
  <c r="AG45" i="1"/>
  <c r="AU24" i="1"/>
  <c r="Y24" i="1"/>
  <c r="AT45" i="1"/>
  <c r="X24" i="1"/>
  <c r="AS45" i="1"/>
  <c r="W24" i="1"/>
  <c r="AR45" i="1"/>
  <c r="V24" i="1"/>
  <c r="AQ45" i="1"/>
  <c r="U24" i="1"/>
  <c r="AP45" i="1"/>
  <c r="T24" i="1"/>
  <c r="AO45" i="1"/>
  <c r="S24" i="1"/>
  <c r="AN45" i="1"/>
  <c r="R24" i="1"/>
  <c r="AM45" i="1"/>
  <c r="Q24" i="1"/>
  <c r="AL45" i="1"/>
  <c r="P24" i="1"/>
  <c r="AK45" i="1"/>
  <c r="O24" i="1"/>
  <c r="AJ45" i="1"/>
  <c r="N24" i="1"/>
  <c r="AI45" i="1"/>
  <c r="M24" i="1"/>
  <c r="AH45" i="1"/>
  <c r="L24" i="1"/>
  <c r="K24" i="1"/>
  <c r="AF45" i="1"/>
  <c r="J24" i="1"/>
  <c r="AE45" i="1"/>
  <c r="I24" i="1"/>
  <c r="AD45" i="1"/>
  <c r="H24" i="1"/>
  <c r="AC45" i="1"/>
  <c r="G24" i="1"/>
  <c r="AB45" i="1"/>
  <c r="F24" i="1"/>
  <c r="AA45" i="1"/>
  <c r="AU23" i="1"/>
  <c r="Y23" i="1"/>
  <c r="AT44" i="1"/>
  <c r="X23" i="1"/>
  <c r="AS44" i="1"/>
  <c r="W23" i="1"/>
  <c r="AR44" i="1"/>
  <c r="V23" i="1"/>
  <c r="AQ44" i="1"/>
  <c r="U23" i="1"/>
  <c r="AP44" i="1"/>
  <c r="T23" i="1"/>
  <c r="AO44" i="1"/>
  <c r="S23" i="1"/>
  <c r="AN44" i="1"/>
  <c r="R23" i="1"/>
  <c r="AM44" i="1"/>
  <c r="Q23" i="1"/>
  <c r="AL44" i="1"/>
  <c r="P23" i="1"/>
  <c r="AK44" i="1"/>
  <c r="O23" i="1"/>
  <c r="AJ44" i="1"/>
  <c r="N23" i="1"/>
  <c r="AI44" i="1"/>
  <c r="M23" i="1"/>
  <c r="AH44" i="1"/>
  <c r="L23" i="1"/>
  <c r="AG44" i="1"/>
  <c r="K23" i="1"/>
  <c r="AF44" i="1"/>
  <c r="J23" i="1"/>
  <c r="AE44" i="1"/>
  <c r="I23" i="1"/>
  <c r="AD44" i="1"/>
  <c r="H23" i="1"/>
  <c r="AC44" i="1"/>
  <c r="G23" i="1"/>
  <c r="AB44" i="1"/>
  <c r="F23" i="1"/>
  <c r="AA23" i="1"/>
  <c r="AA44" i="1"/>
  <c r="AU22" i="1"/>
  <c r="F22" i="1"/>
  <c r="AA43" i="1"/>
  <c r="G22" i="1"/>
  <c r="AB43" i="1"/>
  <c r="H22" i="1"/>
  <c r="AC43" i="1"/>
  <c r="I22" i="1"/>
  <c r="AD43" i="1"/>
  <c r="J22" i="1"/>
  <c r="AE43" i="1"/>
  <c r="K22" i="1"/>
  <c r="AF43" i="1"/>
  <c r="L22" i="1"/>
  <c r="AG43" i="1"/>
  <c r="M22" i="1"/>
  <c r="AH43" i="1"/>
  <c r="N22" i="1"/>
  <c r="AI43" i="1"/>
  <c r="O22" i="1"/>
  <c r="AJ43" i="1"/>
  <c r="P22" i="1"/>
  <c r="AK43" i="1"/>
  <c r="Q22" i="1"/>
  <c r="AL43" i="1"/>
  <c r="R22" i="1"/>
  <c r="AM43" i="1"/>
  <c r="S22" i="1"/>
  <c r="AN43" i="1"/>
  <c r="T22" i="1"/>
  <c r="AO43" i="1"/>
  <c r="U22" i="1"/>
  <c r="AP43" i="1"/>
  <c r="V22" i="1"/>
  <c r="AQ43" i="1"/>
  <c r="W22" i="1"/>
  <c r="AR43" i="1"/>
  <c r="X22" i="1"/>
  <c r="AS43" i="1"/>
  <c r="Y22" i="1"/>
  <c r="AT43" i="1"/>
  <c r="AA42" i="1"/>
  <c r="G21" i="1"/>
  <c r="AB42" i="1"/>
  <c r="H21" i="1"/>
  <c r="AC42" i="1"/>
  <c r="I21" i="1"/>
  <c r="AD42" i="1"/>
  <c r="J21" i="1"/>
  <c r="AE42" i="1"/>
  <c r="K21" i="1"/>
  <c r="AF42" i="1"/>
  <c r="L21" i="1"/>
  <c r="AG42" i="1"/>
  <c r="M21" i="1"/>
  <c r="AH42" i="1"/>
  <c r="N21" i="1"/>
  <c r="AI42" i="1"/>
  <c r="O21" i="1"/>
  <c r="AJ42" i="1"/>
  <c r="P21" i="1"/>
  <c r="AK42" i="1"/>
  <c r="Q21" i="1"/>
  <c r="AL42" i="1"/>
  <c r="R21" i="1"/>
  <c r="AM42" i="1"/>
  <c r="S21" i="1"/>
  <c r="AN42" i="1"/>
  <c r="T21" i="1"/>
  <c r="AO42" i="1"/>
  <c r="U21" i="1"/>
  <c r="AP42" i="1"/>
  <c r="V21" i="1"/>
  <c r="AQ42" i="1"/>
  <c r="W21" i="1"/>
  <c r="AR42" i="1"/>
  <c r="X21" i="1"/>
  <c r="AS42" i="1"/>
  <c r="Y21" i="1"/>
  <c r="AT42" i="1"/>
  <c r="AA21" i="1"/>
  <c r="AU21" i="1"/>
  <c r="G20" i="1"/>
  <c r="AB41" i="1"/>
  <c r="H20" i="1"/>
  <c r="AC41" i="1"/>
  <c r="I20" i="1"/>
  <c r="AD41" i="1"/>
  <c r="J20" i="1"/>
  <c r="AE41" i="1"/>
  <c r="K20" i="1"/>
  <c r="AF41" i="1"/>
  <c r="L20" i="1"/>
  <c r="AG41" i="1"/>
  <c r="M20" i="1"/>
  <c r="AH41" i="1"/>
  <c r="N20" i="1"/>
  <c r="AI41" i="1"/>
  <c r="O20" i="1"/>
  <c r="AJ41" i="1"/>
  <c r="P20" i="1"/>
  <c r="AK41" i="1"/>
  <c r="Q20" i="1"/>
  <c r="AL41" i="1"/>
  <c r="R20" i="1"/>
  <c r="AM41" i="1"/>
  <c r="S20" i="1"/>
  <c r="AN41" i="1"/>
  <c r="T20" i="1"/>
  <c r="AO41" i="1"/>
  <c r="U20" i="1"/>
  <c r="AP41" i="1"/>
  <c r="V20" i="1"/>
  <c r="AQ41" i="1"/>
  <c r="W20" i="1"/>
  <c r="AR41" i="1"/>
  <c r="X20" i="1"/>
  <c r="AS41" i="1"/>
  <c r="Y20" i="1"/>
  <c r="AT41" i="1"/>
  <c r="AA41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Y19" i="1"/>
  <c r="AT40" i="1"/>
  <c r="X19" i="1"/>
  <c r="AS40" i="1"/>
  <c r="W19" i="1"/>
  <c r="AR40" i="1"/>
  <c r="V19" i="1"/>
  <c r="AQ40" i="1"/>
  <c r="U19" i="1"/>
  <c r="AP40" i="1"/>
  <c r="T19" i="1"/>
  <c r="AO40" i="1"/>
  <c r="S19" i="1"/>
  <c r="AN40" i="1"/>
  <c r="R19" i="1"/>
  <c r="AM40" i="1"/>
  <c r="Q19" i="1"/>
  <c r="AL40" i="1"/>
  <c r="P19" i="1"/>
  <c r="AK40" i="1"/>
  <c r="O19" i="1"/>
  <c r="AJ40" i="1"/>
  <c r="N19" i="1"/>
  <c r="AI40" i="1"/>
  <c r="M19" i="1"/>
  <c r="AH40" i="1"/>
  <c r="L19" i="1"/>
  <c r="AG40" i="1"/>
  <c r="K19" i="1"/>
  <c r="AF40" i="1"/>
  <c r="J19" i="1"/>
  <c r="AE40" i="1"/>
  <c r="I19" i="1"/>
  <c r="AD40" i="1"/>
  <c r="H19" i="1"/>
  <c r="AC40" i="1"/>
  <c r="G19" i="1"/>
  <c r="AB40" i="1"/>
  <c r="Y18" i="1"/>
  <c r="AT39" i="1"/>
  <c r="X18" i="1"/>
  <c r="AS39" i="1"/>
  <c r="W18" i="1"/>
  <c r="AR39" i="1"/>
  <c r="V18" i="1"/>
  <c r="AQ39" i="1"/>
  <c r="U18" i="1"/>
  <c r="AP39" i="1"/>
  <c r="T18" i="1"/>
  <c r="AO39" i="1"/>
  <c r="S18" i="1"/>
  <c r="AN39" i="1"/>
  <c r="R18" i="1"/>
  <c r="AM39" i="1"/>
  <c r="Q18" i="1"/>
  <c r="AL39" i="1"/>
  <c r="P18" i="1"/>
  <c r="AK39" i="1"/>
  <c r="O18" i="1"/>
  <c r="AJ39" i="1"/>
  <c r="N18" i="1"/>
  <c r="AI39" i="1"/>
  <c r="M18" i="1"/>
  <c r="AH39" i="1"/>
  <c r="L18" i="1"/>
  <c r="AG39" i="1"/>
  <c r="K18" i="1"/>
  <c r="AF39" i="1"/>
  <c r="J18" i="1"/>
  <c r="AE39" i="1"/>
  <c r="I18" i="1"/>
  <c r="AD39" i="1"/>
  <c r="H18" i="1"/>
  <c r="AC39" i="1"/>
  <c r="G18" i="1"/>
  <c r="AB39" i="1"/>
  <c r="Y17" i="1"/>
  <c r="AT38" i="1"/>
  <c r="X17" i="1"/>
  <c r="AS38" i="1"/>
  <c r="W17" i="1"/>
  <c r="AR38" i="1"/>
  <c r="V17" i="1"/>
  <c r="AQ38" i="1"/>
  <c r="U17" i="1"/>
  <c r="AP38" i="1"/>
  <c r="T17" i="1"/>
  <c r="AO38" i="1"/>
  <c r="S17" i="1"/>
  <c r="AN38" i="1"/>
  <c r="R17" i="1"/>
  <c r="AM38" i="1"/>
  <c r="Q17" i="1"/>
  <c r="AL38" i="1"/>
  <c r="P17" i="1"/>
  <c r="AK38" i="1"/>
  <c r="O17" i="1"/>
  <c r="AJ38" i="1"/>
  <c r="N17" i="1"/>
  <c r="AI38" i="1"/>
  <c r="M17" i="1"/>
  <c r="AH38" i="1"/>
  <c r="L17" i="1"/>
  <c r="AG38" i="1"/>
  <c r="K17" i="1"/>
  <c r="AF38" i="1"/>
  <c r="J17" i="1"/>
  <c r="AE38" i="1"/>
  <c r="I17" i="1"/>
  <c r="AD38" i="1"/>
  <c r="H17" i="1"/>
  <c r="AC38" i="1"/>
  <c r="G17" i="1"/>
  <c r="AB38" i="1"/>
  <c r="Y16" i="1"/>
  <c r="AT37" i="1"/>
  <c r="X16" i="1"/>
  <c r="AS37" i="1"/>
  <c r="W16" i="1"/>
  <c r="AR37" i="1"/>
  <c r="V16" i="1"/>
  <c r="AQ37" i="1"/>
  <c r="U16" i="1"/>
  <c r="AP37" i="1"/>
  <c r="T16" i="1"/>
  <c r="AO37" i="1"/>
  <c r="S16" i="1"/>
  <c r="R16" i="1"/>
  <c r="AM37" i="1"/>
  <c r="Q16" i="1"/>
  <c r="AL37" i="1"/>
  <c r="P16" i="1"/>
  <c r="AK37" i="1"/>
  <c r="O16" i="1"/>
  <c r="AJ37" i="1"/>
  <c r="N16" i="1"/>
  <c r="AI37" i="1"/>
  <c r="M16" i="1"/>
  <c r="AH37" i="1"/>
  <c r="L16" i="1"/>
  <c r="AG37" i="1"/>
  <c r="K16" i="1"/>
  <c r="AF37" i="1"/>
  <c r="J16" i="1"/>
  <c r="AE37" i="1"/>
  <c r="I16" i="1"/>
  <c r="AD37" i="1"/>
  <c r="H16" i="1"/>
  <c r="AC37" i="1"/>
  <c r="G16" i="1"/>
  <c r="AB37" i="1"/>
  <c r="Y15" i="1"/>
  <c r="AT36" i="1"/>
  <c r="X15" i="1"/>
  <c r="AS36" i="1"/>
  <c r="W15" i="1"/>
  <c r="AR36" i="1"/>
  <c r="V15" i="1"/>
  <c r="AQ36" i="1"/>
  <c r="U15" i="1"/>
  <c r="AP36" i="1"/>
  <c r="T15" i="1"/>
  <c r="AO36" i="1"/>
  <c r="S15" i="1"/>
  <c r="AN36" i="1"/>
  <c r="R15" i="1"/>
  <c r="AM36" i="1"/>
  <c r="Q15" i="1"/>
  <c r="AL36" i="1"/>
  <c r="P15" i="1"/>
  <c r="AK36" i="1"/>
  <c r="O15" i="1"/>
  <c r="AJ36" i="1"/>
  <c r="N15" i="1"/>
  <c r="AI36" i="1"/>
  <c r="M15" i="1"/>
  <c r="AH36" i="1"/>
  <c r="L15" i="1"/>
  <c r="AG36" i="1"/>
  <c r="K15" i="1"/>
  <c r="AF36" i="1"/>
  <c r="J15" i="1"/>
  <c r="AE36" i="1"/>
  <c r="I15" i="1"/>
  <c r="AD36" i="1"/>
  <c r="H15" i="1"/>
  <c r="AC36" i="1"/>
  <c r="G15" i="1"/>
  <c r="AB36" i="1"/>
  <c r="Y14" i="1"/>
  <c r="AT35" i="1"/>
  <c r="X14" i="1"/>
  <c r="AS35" i="1"/>
  <c r="W14" i="1"/>
  <c r="AR35" i="1"/>
  <c r="V14" i="1"/>
  <c r="AQ35" i="1"/>
  <c r="U14" i="1"/>
  <c r="AP35" i="1"/>
  <c r="T14" i="1"/>
  <c r="AO35" i="1"/>
  <c r="S14" i="1"/>
  <c r="AN35" i="1"/>
  <c r="R14" i="1"/>
  <c r="AM35" i="1"/>
  <c r="Q14" i="1"/>
  <c r="AL35" i="1"/>
  <c r="P14" i="1"/>
  <c r="AK35" i="1"/>
  <c r="O14" i="1"/>
  <c r="AJ35" i="1"/>
  <c r="N14" i="1"/>
  <c r="AI35" i="1"/>
  <c r="M14" i="1"/>
  <c r="AH35" i="1"/>
  <c r="L14" i="1"/>
  <c r="AG35" i="1"/>
  <c r="K14" i="1"/>
  <c r="AF35" i="1"/>
  <c r="J14" i="1"/>
  <c r="AE35" i="1"/>
  <c r="I14" i="1"/>
  <c r="AD35" i="1"/>
  <c r="H14" i="1"/>
  <c r="AC35" i="1"/>
  <c r="G14" i="1"/>
  <c r="AB35" i="1"/>
  <c r="Y13" i="1"/>
  <c r="AT34" i="1"/>
  <c r="X13" i="1"/>
  <c r="AS34" i="1"/>
  <c r="W13" i="1"/>
  <c r="AR34" i="1"/>
  <c r="V13" i="1"/>
  <c r="AQ34" i="1"/>
  <c r="U13" i="1"/>
  <c r="AP34" i="1"/>
  <c r="T13" i="1"/>
  <c r="AO34" i="1"/>
  <c r="S13" i="1"/>
  <c r="AN34" i="1"/>
  <c r="R13" i="1"/>
  <c r="AM34" i="1"/>
  <c r="Q13" i="1"/>
  <c r="AL34" i="1"/>
  <c r="P13" i="1"/>
  <c r="AK34" i="1"/>
  <c r="O13" i="1"/>
  <c r="AJ34" i="1"/>
  <c r="N13" i="1"/>
  <c r="AI34" i="1"/>
  <c r="M13" i="1"/>
  <c r="AH34" i="1"/>
  <c r="L13" i="1"/>
  <c r="K13" i="1"/>
  <c r="AF34" i="1"/>
  <c r="J13" i="1"/>
  <c r="AE34" i="1"/>
  <c r="I13" i="1"/>
  <c r="AD34" i="1"/>
  <c r="H13" i="1"/>
  <c r="AC34" i="1"/>
  <c r="G13" i="1"/>
  <c r="AB34" i="1"/>
  <c r="Y12" i="1"/>
  <c r="AT33" i="1"/>
  <c r="X12" i="1"/>
  <c r="AS33" i="1"/>
  <c r="W12" i="1"/>
  <c r="AR33" i="1"/>
  <c r="V12" i="1"/>
  <c r="U12" i="1"/>
  <c r="AP33" i="1"/>
  <c r="T12" i="1"/>
  <c r="AO33" i="1"/>
  <c r="S12" i="1"/>
  <c r="AN33" i="1"/>
  <c r="R12" i="1"/>
  <c r="AM33" i="1"/>
  <c r="Q12" i="1"/>
  <c r="AL33" i="1"/>
  <c r="P12" i="1"/>
  <c r="AK33" i="1"/>
  <c r="O12" i="1"/>
  <c r="AJ33" i="1"/>
  <c r="N12" i="1"/>
  <c r="AI33" i="1"/>
  <c r="M12" i="1"/>
  <c r="AH33" i="1"/>
  <c r="L12" i="1"/>
  <c r="AG33" i="1"/>
  <c r="K12" i="1"/>
  <c r="AF33" i="1"/>
  <c r="J12" i="1"/>
  <c r="AE33" i="1"/>
  <c r="I12" i="1"/>
  <c r="AD33" i="1"/>
  <c r="H12" i="1"/>
  <c r="AC33" i="1"/>
  <c r="G12" i="1"/>
  <c r="AB33" i="1"/>
  <c r="Y11" i="1"/>
  <c r="AT32" i="1"/>
  <c r="X11" i="1"/>
  <c r="AS32" i="1"/>
  <c r="W11" i="1"/>
  <c r="AR32" i="1"/>
  <c r="V11" i="1"/>
  <c r="AQ32" i="1"/>
  <c r="U11" i="1"/>
  <c r="AP32" i="1"/>
  <c r="T11" i="1"/>
  <c r="AO32" i="1"/>
  <c r="S11" i="1"/>
  <c r="AN32" i="1"/>
  <c r="R11" i="1"/>
  <c r="AM32" i="1"/>
  <c r="Q11" i="1"/>
  <c r="AL32" i="1"/>
  <c r="P11" i="1"/>
  <c r="AK32" i="1"/>
  <c r="O11" i="1"/>
  <c r="AJ32" i="1"/>
  <c r="N11" i="1"/>
  <c r="AI32" i="1"/>
  <c r="M11" i="1"/>
  <c r="AH32" i="1"/>
  <c r="L11" i="1"/>
  <c r="AG32" i="1"/>
  <c r="K11" i="1"/>
  <c r="AF32" i="1"/>
  <c r="J11" i="1"/>
  <c r="AE32" i="1"/>
  <c r="I11" i="1"/>
  <c r="H11" i="1"/>
  <c r="AC32" i="1"/>
  <c r="G11" i="1"/>
  <c r="AB32" i="1"/>
  <c r="Y10" i="1"/>
  <c r="AT31" i="1"/>
  <c r="X10" i="1"/>
  <c r="AS31" i="1"/>
  <c r="W10" i="1"/>
  <c r="AR31" i="1"/>
  <c r="V10" i="1"/>
  <c r="AQ31" i="1"/>
  <c r="U10" i="1"/>
  <c r="AP31" i="1"/>
  <c r="T10" i="1"/>
  <c r="AO31" i="1"/>
  <c r="S10" i="1"/>
  <c r="AN31" i="1"/>
  <c r="R10" i="1"/>
  <c r="AM31" i="1"/>
  <c r="Q10" i="1"/>
  <c r="AL31" i="1"/>
  <c r="P10" i="1"/>
  <c r="AK31" i="1"/>
  <c r="O10" i="1"/>
  <c r="AJ31" i="1"/>
  <c r="N10" i="1"/>
  <c r="AI31" i="1"/>
  <c r="M10" i="1"/>
  <c r="AH31" i="1"/>
  <c r="L10" i="1"/>
  <c r="AG31" i="1"/>
  <c r="K10" i="1"/>
  <c r="AF31" i="1"/>
  <c r="J10" i="1"/>
  <c r="AE31" i="1"/>
  <c r="I10" i="1"/>
  <c r="AD31" i="1"/>
  <c r="H10" i="1"/>
  <c r="AC31" i="1"/>
  <c r="G10" i="1"/>
  <c r="AB31" i="1"/>
  <c r="Y9" i="1"/>
  <c r="AT30" i="1"/>
  <c r="X9" i="1"/>
  <c r="AS30" i="1"/>
  <c r="W9" i="1"/>
  <c r="AR30" i="1"/>
  <c r="V9" i="1"/>
  <c r="AQ30" i="1"/>
  <c r="U9" i="1"/>
  <c r="AP30" i="1"/>
  <c r="T9" i="1"/>
  <c r="AO30" i="1"/>
  <c r="S9" i="1"/>
  <c r="AN30" i="1"/>
  <c r="R9" i="1"/>
  <c r="AM30" i="1"/>
  <c r="Q9" i="1"/>
  <c r="AL30" i="1"/>
  <c r="P9" i="1"/>
  <c r="AK30" i="1"/>
  <c r="O9" i="1"/>
  <c r="AJ30" i="1"/>
  <c r="N9" i="1"/>
  <c r="AI30" i="1"/>
  <c r="M9" i="1"/>
  <c r="AH30" i="1"/>
  <c r="L9" i="1"/>
  <c r="AG30" i="1"/>
  <c r="K9" i="1"/>
  <c r="AF30" i="1"/>
  <c r="J9" i="1"/>
  <c r="AE30" i="1"/>
  <c r="I9" i="1"/>
  <c r="AD30" i="1"/>
  <c r="H9" i="1"/>
  <c r="AC30" i="1"/>
  <c r="G9" i="1"/>
  <c r="AB30" i="1"/>
  <c r="Y8" i="1"/>
  <c r="AT29" i="1"/>
  <c r="X8" i="1"/>
  <c r="AS29" i="1"/>
  <c r="W8" i="1"/>
  <c r="AR29" i="1"/>
  <c r="V8" i="1"/>
  <c r="AQ29" i="1"/>
  <c r="U8" i="1"/>
  <c r="AP29" i="1"/>
  <c r="T8" i="1"/>
  <c r="AO29" i="1"/>
  <c r="S8" i="1"/>
  <c r="AN29" i="1"/>
  <c r="R8" i="1"/>
  <c r="AM29" i="1"/>
  <c r="Q8" i="1"/>
  <c r="AL29" i="1"/>
  <c r="P8" i="1"/>
  <c r="AK29" i="1"/>
  <c r="O8" i="1"/>
  <c r="AJ29" i="1"/>
  <c r="N8" i="1"/>
  <c r="AI29" i="1"/>
  <c r="M8" i="1"/>
  <c r="AH29" i="1"/>
  <c r="L8" i="1"/>
  <c r="AG29" i="1"/>
  <c r="K8" i="1"/>
  <c r="AF29" i="1"/>
  <c r="J8" i="1"/>
  <c r="AE29" i="1"/>
  <c r="I8" i="1"/>
  <c r="AD29" i="1"/>
  <c r="H8" i="1"/>
  <c r="AC29" i="1"/>
  <c r="G8" i="1"/>
  <c r="AB29" i="1"/>
  <c r="AA40" i="1"/>
  <c r="AU19" i="1"/>
  <c r="AA39" i="1"/>
  <c r="AU18" i="1"/>
  <c r="AA38" i="1"/>
  <c r="AU17" i="1"/>
  <c r="AA37" i="1"/>
  <c r="AU16" i="1"/>
  <c r="AN37" i="1"/>
  <c r="AA36" i="1"/>
  <c r="AA35" i="1"/>
  <c r="AA34" i="1"/>
  <c r="AA33" i="1"/>
  <c r="AA32" i="1"/>
  <c r="AA31" i="1"/>
  <c r="AA30" i="1"/>
  <c r="AA29" i="1"/>
  <c r="AU15" i="1"/>
  <c r="AU14" i="1"/>
  <c r="AU13" i="1"/>
  <c r="AG34" i="1"/>
  <c r="AU12" i="1"/>
  <c r="AQ33" i="1"/>
  <c r="AD32" i="1"/>
  <c r="AU8" i="1"/>
  <c r="AU9" i="1"/>
  <c r="AU10" i="1"/>
  <c r="AU11" i="1"/>
  <c r="AU31" i="1"/>
  <c r="AU39" i="1"/>
  <c r="AU35" i="1"/>
  <c r="AU40" i="1"/>
  <c r="AU38" i="1"/>
  <c r="AU30" i="1"/>
  <c r="AU33" i="1"/>
  <c r="AU45" i="1"/>
  <c r="AU29" i="1"/>
  <c r="AU37" i="1"/>
  <c r="AU44" i="1"/>
  <c r="AU32" i="1"/>
  <c r="AU34" i="1"/>
  <c r="AU43" i="1"/>
  <c r="AU36" i="1"/>
  <c r="AU41" i="1"/>
  <c r="AU42" i="1"/>
  <c r="AA24" i="1"/>
  <c r="AA22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<sst xmlns="http://schemas.openxmlformats.org/spreadsheetml/2006/main" count="1189" uniqueCount="29">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</sst>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9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2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27</xdr:row>
      <xdr:rowOff>228600</xdr:rowOff>
    </xdr:from>
    <xdr:to>
      <xdr:col>25</xdr:col>
      <xdr:colOff>114300</xdr:colOff>
      <xdr:row>34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46"/>
  <sheetViews>
    <sheetView tabSelected="1" topLeftCell="T1" workbookViewId="0">
      <selection activeCell="AR62" sqref="AR62"/>
    </sheetView>
  </sheetViews>
  <sheetFormatPr defaultRowHeight="12.75" x14ac:dyDescent="0.2"/>
  <sheetData>
    <row r="6" spans="6:50" ht="15" x14ac:dyDescent="0.25">
      <c r="F6" s="38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AA6" s="40" t="s">
        <v>21</v>
      </c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37">
        <v>0.13</v>
      </c>
      <c r="AC22" s="37">
        <v>0.12</v>
      </c>
      <c r="AD22" s="37">
        <v>7.0000000000000007E-2</v>
      </c>
      <c r="AE22" s="37">
        <v>0.09</v>
      </c>
      <c r="AF22" s="37">
        <v>0.14000000000000001</v>
      </c>
      <c r="AG22" s="37">
        <v>0.01</v>
      </c>
      <c r="AH22" s="37">
        <v>0.1</v>
      </c>
      <c r="AI22" s="37">
        <v>7.0000000000000007E-2</v>
      </c>
      <c r="AJ22" s="37">
        <v>0.03</v>
      </c>
      <c r="AK22" s="37">
        <v>0.04</v>
      </c>
      <c r="AL22" s="37">
        <v>0.03</v>
      </c>
      <c r="AM22" s="37">
        <v>0.04</v>
      </c>
      <c r="AN22" s="37">
        <v>0.03</v>
      </c>
      <c r="AO22" s="37">
        <v>0.05</v>
      </c>
      <c r="AP22" s="37">
        <v>0.02</v>
      </c>
      <c r="AQ22" s="37">
        <v>0.01</v>
      </c>
      <c r="AR22" s="37">
        <v>0.01</v>
      </c>
      <c r="AS22" s="37">
        <v>0</v>
      </c>
      <c r="AT22" s="37">
        <v>0.01</v>
      </c>
      <c r="AU22" s="19">
        <f t="shared" si="3"/>
        <v>1.0000000000000002</v>
      </c>
    </row>
    <row r="23" spans="6:47" x14ac:dyDescent="0.2">
      <c r="F23" s="4">
        <f>Return!F23</f>
        <v>42489</v>
      </c>
      <c r="G23" s="26">
        <f>Return!G23</f>
        <v>1.2924263455010854E-2</v>
      </c>
      <c r="H23" s="26">
        <f>Return!H23</f>
        <v>1.0213686193189853E-2</v>
      </c>
      <c r="I23" s="26">
        <f>Return!I23</f>
        <v>5.1691190811131715E-3</v>
      </c>
      <c r="J23" s="26">
        <f>Return!J23</f>
        <v>1.2471291335067081E-2</v>
      </c>
      <c r="K23" s="26">
        <f>Return!K23</f>
        <v>9.4981500806763375E-3</v>
      </c>
      <c r="L23" s="26">
        <f>Return!L23</f>
        <v>8.1365643468467308E-3</v>
      </c>
      <c r="M23" s="26">
        <f>Return!M23</f>
        <v>1.2874107034715365E-2</v>
      </c>
      <c r="N23" s="26">
        <f>Return!N23</f>
        <v>1.8503689917784838E-2</v>
      </c>
      <c r="O23" s="26">
        <f>Return!O23</f>
        <v>1.5902904613989133E-2</v>
      </c>
      <c r="P23" s="26">
        <f>Return!P23</f>
        <v>2.2088753460758337E-2</v>
      </c>
      <c r="Q23" s="26">
        <f>Return!Q23</f>
        <v>1.5840785933554757E-2</v>
      </c>
      <c r="R23" s="26">
        <f>Return!R23</f>
        <v>1.8123449518173906E-2</v>
      </c>
      <c r="S23" s="26">
        <f>Return!S23</f>
        <v>1.794900756209783E-2</v>
      </c>
      <c r="T23" s="26">
        <f>Return!T23</f>
        <v>1.5931599529768192E-2</v>
      </c>
      <c r="U23" s="26">
        <f>Return!U23</f>
        <v>6.4401547282233462E-3</v>
      </c>
      <c r="V23" s="26">
        <f>Return!V23</f>
        <v>1.1942686771837518E-2</v>
      </c>
      <c r="W23" s="26">
        <f>Return!W23</f>
        <v>2.3379109156238309E-2</v>
      </c>
      <c r="X23" s="26">
        <f>Return!X23</f>
        <v>2.3484867504314222E-2</v>
      </c>
      <c r="Y23" s="26">
        <f>Return!Y23</f>
        <v>1.8659862601862587E-2</v>
      </c>
      <c r="AA23" s="4">
        <f t="shared" ref="AA23" si="5">F23</f>
        <v>42489</v>
      </c>
      <c r="AB23" s="37">
        <v>0.13</v>
      </c>
      <c r="AC23" s="37">
        <v>0.12</v>
      </c>
      <c r="AD23" s="37">
        <v>7.0000000000000007E-2</v>
      </c>
      <c r="AE23" s="37">
        <v>0.09</v>
      </c>
      <c r="AF23" s="37">
        <v>0.14000000000000001</v>
      </c>
      <c r="AG23" s="37">
        <v>0.01</v>
      </c>
      <c r="AH23" s="37">
        <v>0.1</v>
      </c>
      <c r="AI23" s="37">
        <v>7.0000000000000007E-2</v>
      </c>
      <c r="AJ23" s="37">
        <v>0.03</v>
      </c>
      <c r="AK23" s="37">
        <v>0.04</v>
      </c>
      <c r="AL23" s="37">
        <v>0.03</v>
      </c>
      <c r="AM23" s="37">
        <v>0.04</v>
      </c>
      <c r="AN23" s="37">
        <v>0.03</v>
      </c>
      <c r="AO23" s="37">
        <v>0.05</v>
      </c>
      <c r="AP23" s="37">
        <v>0.02</v>
      </c>
      <c r="AQ23" s="37">
        <v>0.01</v>
      </c>
      <c r="AR23" s="37">
        <v>0.01</v>
      </c>
      <c r="AS23" s="37">
        <v>0</v>
      </c>
      <c r="AT23" s="37">
        <v>0.01</v>
      </c>
      <c r="AU23" s="19">
        <f t="shared" ref="AU23" si="6">SUM(AB23:AT23)</f>
        <v>1.0000000000000002</v>
      </c>
    </row>
    <row r="24" spans="6:47" x14ac:dyDescent="0.2">
      <c r="F24" s="4">
        <f>Return!F24</f>
        <v>42521</v>
      </c>
      <c r="G24" s="26">
        <f>Return!G24</f>
        <v>3.7738094695350055E-2</v>
      </c>
      <c r="H24" s="26">
        <f>Return!H24</f>
        <v>3.846417621519338E-2</v>
      </c>
      <c r="I24" s="26">
        <f>Return!I24</f>
        <v>4.5583780264690343E-2</v>
      </c>
      <c r="J24" s="26">
        <f>Return!J24</f>
        <v>3.5342319525555554E-2</v>
      </c>
      <c r="K24" s="26">
        <f>Return!K24</f>
        <v>3.0728284016672047E-2</v>
      </c>
      <c r="L24" s="26">
        <f>Return!L24</f>
        <v>3.4270763601772281E-2</v>
      </c>
      <c r="M24" s="26">
        <f>Return!M24</f>
        <v>3.7572338118019744E-2</v>
      </c>
      <c r="N24" s="26">
        <f>Return!N24</f>
        <v>3.9007810250953678E-2</v>
      </c>
      <c r="O24" s="26">
        <f>Return!O24</f>
        <v>3.2593090016116655E-2</v>
      </c>
      <c r="P24" s="26">
        <f>Return!P24</f>
        <v>3.531444098659553E-2</v>
      </c>
      <c r="Q24" s="26">
        <f>Return!Q24</f>
        <v>3.5640502617595438E-2</v>
      </c>
      <c r="R24" s="26">
        <f>Return!R24</f>
        <v>2.9825751765785613E-2</v>
      </c>
      <c r="S24" s="26">
        <f>Return!S24</f>
        <v>3.1978533643832296E-2</v>
      </c>
      <c r="T24" s="26">
        <f>Return!T24</f>
        <v>3.5944088724727097E-2</v>
      </c>
      <c r="U24" s="26">
        <f>Return!U24</f>
        <v>2.8364113691922821E-2</v>
      </c>
      <c r="V24" s="26">
        <f>Return!V24</f>
        <v>3.2382858548542837E-2</v>
      </c>
      <c r="W24" s="26">
        <f>Return!W24</f>
        <v>3.6849352781354927E-2</v>
      </c>
      <c r="X24" s="26">
        <f>Return!X24</f>
        <v>3.3969813925671222E-2</v>
      </c>
      <c r="Y24" s="26">
        <f>Return!Y24</f>
        <v>2.8964065502726788E-2</v>
      </c>
      <c r="AA24" s="4">
        <f t="shared" ref="AA24" si="7">F24</f>
        <v>42521</v>
      </c>
      <c r="AB24" s="37">
        <v>0.13</v>
      </c>
      <c r="AC24" s="37">
        <v>0.12</v>
      </c>
      <c r="AD24" s="37">
        <v>7.0000000000000007E-2</v>
      </c>
      <c r="AE24" s="37">
        <v>0.09</v>
      </c>
      <c r="AF24" s="37">
        <v>0.14000000000000001</v>
      </c>
      <c r="AG24" s="37">
        <v>0.01</v>
      </c>
      <c r="AH24" s="37">
        <v>0.1</v>
      </c>
      <c r="AI24" s="37">
        <v>7.0000000000000007E-2</v>
      </c>
      <c r="AJ24" s="37">
        <v>0.03</v>
      </c>
      <c r="AK24" s="37">
        <v>0.04</v>
      </c>
      <c r="AL24" s="37">
        <v>0.03</v>
      </c>
      <c r="AM24" s="37">
        <v>0.04</v>
      </c>
      <c r="AN24" s="37">
        <v>0.03</v>
      </c>
      <c r="AO24" s="37">
        <v>0.05</v>
      </c>
      <c r="AP24" s="37">
        <v>0.02</v>
      </c>
      <c r="AQ24" s="37">
        <v>0.01</v>
      </c>
      <c r="AR24" s="37">
        <v>0.01</v>
      </c>
      <c r="AS24" s="37">
        <v>0</v>
      </c>
      <c r="AT24" s="37">
        <v>0.01</v>
      </c>
      <c r="AU24" s="19">
        <f t="shared" ref="AU24" si="8">SUM(AB24:AT24)</f>
        <v>1.0000000000000002</v>
      </c>
    </row>
    <row r="25" spans="6:47" x14ac:dyDescent="0.2">
      <c r="F25" s="4">
        <f>Return!F25</f>
        <v>42551</v>
      </c>
      <c r="G25" s="26">
        <f>Return!G25</f>
        <v>3.4365653770311422E-2</v>
      </c>
      <c r="H25" s="26">
        <f>Return!H25</f>
        <v>3.7535543692606366E-2</v>
      </c>
      <c r="I25" s="26">
        <f>Return!I25</f>
        <v>3.9350154426490702E-2</v>
      </c>
      <c r="J25" s="26">
        <f>Return!J25</f>
        <v>1.9004338152583733E-2</v>
      </c>
      <c r="K25" s="26">
        <f>Return!K25</f>
        <v>1.1849014987595607E-2</v>
      </c>
      <c r="L25" s="26">
        <f>Return!L25</f>
        <v>3.0868701754552141E-2</v>
      </c>
      <c r="M25" s="26">
        <f>Return!M25</f>
        <v>-3.2835625183107453E-3</v>
      </c>
      <c r="N25" s="26">
        <f>Return!N25</f>
        <v>4.5779587704308788E-4</v>
      </c>
      <c r="O25" s="26">
        <f>Return!O25</f>
        <v>-1.6508695447099431E-3</v>
      </c>
      <c r="P25" s="26">
        <f>Return!P25</f>
        <v>1.7149253105325668E-2</v>
      </c>
      <c r="Q25" s="26">
        <f>Return!Q25</f>
        <v>3.5170888991724159E-2</v>
      </c>
      <c r="R25" s="26">
        <f>Return!R25</f>
        <v>1.3692127891511419E-3</v>
      </c>
      <c r="S25" s="26">
        <f>Return!S25</f>
        <v>7.5143448300079019E-3</v>
      </c>
      <c r="T25" s="26">
        <f>Return!T25</f>
        <v>3.4258755575580446E-2</v>
      </c>
      <c r="U25" s="26">
        <f>Return!U25</f>
        <v>1.3212870730596737E-3</v>
      </c>
      <c r="V25" s="26">
        <f>Return!V25</f>
        <v>1.7653088824538532E-2</v>
      </c>
      <c r="W25" s="26">
        <f>Return!W25</f>
        <v>4.5911595291396656E-2</v>
      </c>
      <c r="X25" s="26">
        <f>Return!X25</f>
        <v>3.0844215652262807E-2</v>
      </c>
      <c r="Y25" s="26">
        <f>Return!Y25</f>
        <v>2.6140036404572298E-2</v>
      </c>
      <c r="AA25" s="4">
        <f t="shared" ref="AA25" si="9">F25</f>
        <v>42551</v>
      </c>
      <c r="AB25" s="37">
        <v>0.13</v>
      </c>
      <c r="AC25" s="37">
        <v>0.12</v>
      </c>
      <c r="AD25" s="37">
        <v>7.0000000000000007E-2</v>
      </c>
      <c r="AE25" s="37">
        <v>0.09</v>
      </c>
      <c r="AF25" s="37">
        <v>0.14000000000000001</v>
      </c>
      <c r="AG25" s="37">
        <v>0.01</v>
      </c>
      <c r="AH25" s="37">
        <v>0.1</v>
      </c>
      <c r="AI25" s="37">
        <v>7.0000000000000007E-2</v>
      </c>
      <c r="AJ25" s="37">
        <v>0.03</v>
      </c>
      <c r="AK25" s="37">
        <v>0.04</v>
      </c>
      <c r="AL25" s="37">
        <v>0.03</v>
      </c>
      <c r="AM25" s="37">
        <v>0.04</v>
      </c>
      <c r="AN25" s="37">
        <v>0.03</v>
      </c>
      <c r="AO25" s="37">
        <v>0.05</v>
      </c>
      <c r="AP25" s="37">
        <v>0.02</v>
      </c>
      <c r="AQ25" s="37">
        <v>0.01</v>
      </c>
      <c r="AR25" s="37">
        <v>0.01</v>
      </c>
      <c r="AS25" s="37">
        <v>0</v>
      </c>
      <c r="AT25" s="37">
        <v>0.01</v>
      </c>
      <c r="AU25" s="19">
        <f t="shared" ref="AU25" si="10">SUM(AB25:AT25)</f>
        <v>1.0000000000000002</v>
      </c>
    </row>
    <row r="27" spans="6:47" ht="15" x14ac:dyDescent="0.25">
      <c r="AA27" s="40" t="s">
        <v>28</v>
      </c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15"/>
      <c r="AT27" s="15"/>
      <c r="AU27" s="17"/>
    </row>
    <row r="28" spans="6:47" ht="39" x14ac:dyDescent="0.25">
      <c r="AA28" s="7" t="s">
        <v>0</v>
      </c>
      <c r="AB28" s="7" t="s">
        <v>1</v>
      </c>
      <c r="AC28" s="8" t="s">
        <v>4</v>
      </c>
      <c r="AD28" s="8" t="s">
        <v>24</v>
      </c>
      <c r="AE28" s="8" t="s">
        <v>2</v>
      </c>
      <c r="AF28" s="8" t="s">
        <v>5</v>
      </c>
      <c r="AG28" s="8" t="s">
        <v>8</v>
      </c>
      <c r="AH28" s="8" t="s">
        <v>25</v>
      </c>
      <c r="AI28" s="8" t="s">
        <v>3</v>
      </c>
      <c r="AJ28" s="8" t="s">
        <v>6</v>
      </c>
      <c r="AK28" s="8" t="s">
        <v>9</v>
      </c>
      <c r="AL28" s="8" t="s">
        <v>12</v>
      </c>
      <c r="AM28" s="8" t="s">
        <v>7</v>
      </c>
      <c r="AN28" s="8" t="s">
        <v>10</v>
      </c>
      <c r="AO28" s="8" t="s">
        <v>13</v>
      </c>
      <c r="AP28" s="8" t="s">
        <v>11</v>
      </c>
      <c r="AQ28" s="8" t="s">
        <v>14</v>
      </c>
      <c r="AR28" s="8" t="s">
        <v>15</v>
      </c>
      <c r="AS28" s="7" t="s">
        <v>16</v>
      </c>
      <c r="AT28" s="8" t="s">
        <v>17</v>
      </c>
      <c r="AU28" s="18" t="s">
        <v>22</v>
      </c>
    </row>
    <row r="29" spans="6:47" x14ac:dyDescent="0.2">
      <c r="AA29" s="4">
        <f>F8</f>
        <v>42034</v>
      </c>
      <c r="AB29" s="27">
        <f>G8*AB8</f>
        <v>-1.4207350765143704E-2</v>
      </c>
      <c r="AC29" s="27">
        <f>H8*AC8</f>
        <v>-1.2061270631290165E-2</v>
      </c>
      <c r="AD29" s="27">
        <f>I8*AD8</f>
        <v>0</v>
      </c>
      <c r="AE29" s="27">
        <f>J8*AE8</f>
        <v>-1.4074728785817779E-2</v>
      </c>
      <c r="AF29" s="27">
        <f>K8*AF8</f>
        <v>-1.7550169409448337E-2</v>
      </c>
      <c r="AG29" s="27">
        <f>L8*AG8</f>
        <v>-1.0352144704414738E-3</v>
      </c>
      <c r="AH29" s="27">
        <f>M8*AH8</f>
        <v>0</v>
      </c>
      <c r="AI29" s="27">
        <f>N8*AI8</f>
        <v>-1.3521045788799556E-2</v>
      </c>
      <c r="AJ29" s="27">
        <f>O8*AJ8</f>
        <v>-3.9098874894073427E-3</v>
      </c>
      <c r="AK29" s="27">
        <f>P8*AK8</f>
        <v>-3.9099042784805794E-3</v>
      </c>
      <c r="AL29" s="27">
        <f>Q8*AL8</f>
        <v>-2.0814776014493161E-3</v>
      </c>
      <c r="AM29" s="27">
        <f>R8*AM8</f>
        <v>-2.7180579867551197E-3</v>
      </c>
      <c r="AN29" s="27">
        <f>S8*AN8</f>
        <v>-2.64117389974604E-3</v>
      </c>
      <c r="AO29" s="27">
        <f>T8*AO8</f>
        <v>-2.2326545045217249E-3</v>
      </c>
      <c r="AP29" s="27">
        <f>U8*AP8</f>
        <v>-1.14238016378485E-3</v>
      </c>
      <c r="AQ29" s="27">
        <f>V8*AQ8</f>
        <v>-6.7550106709571495E-4</v>
      </c>
      <c r="AR29" s="27">
        <f>W8*AR8</f>
        <v>1.1878782193645951E-3</v>
      </c>
      <c r="AS29" s="27">
        <f>X8*AS8</f>
        <v>5.350345820434257E-4</v>
      </c>
      <c r="AT29" s="27">
        <f>Y8*AT8</f>
        <v>6.7007997342069991E-4</v>
      </c>
      <c r="AU29" s="28">
        <f t="shared" ref="AU29:AU32" si="11">SUM(AB29:AT29)</f>
        <v>-8.9367824067352983E-2</v>
      </c>
    </row>
    <row r="30" spans="6:47" x14ac:dyDescent="0.2">
      <c r="AA30" s="5">
        <f>F9</f>
        <v>42062</v>
      </c>
      <c r="AB30" s="27">
        <f>G9*AB9</f>
        <v>5.8002259907466835E-3</v>
      </c>
      <c r="AC30" s="27">
        <f>H9*AC9</f>
        <v>4.2069014581138818E-3</v>
      </c>
      <c r="AD30" s="27">
        <f>I9*AD9</f>
        <v>0</v>
      </c>
      <c r="AE30" s="27">
        <f>J9*AE9</f>
        <v>8.734360775549798E-3</v>
      </c>
      <c r="AF30" s="27">
        <f>K9*AF9</f>
        <v>8.3583001950976264E-3</v>
      </c>
      <c r="AG30" s="27">
        <f>L9*AG9</f>
        <v>6.1532891977234471E-4</v>
      </c>
      <c r="AH30" s="27">
        <f>M9*AH9</f>
        <v>0</v>
      </c>
      <c r="AI30" s="27">
        <f>N9*AI9</f>
        <v>1.0603715179818566E-2</v>
      </c>
      <c r="AJ30" s="27">
        <f>O9*AJ9</f>
        <v>2.8092571070113155E-3</v>
      </c>
      <c r="AK30" s="27">
        <f>P9*AK9</f>
        <v>2.6869103830769198E-3</v>
      </c>
      <c r="AL30" s="27">
        <f>Q9*AL9</f>
        <v>2.0063262829631955E-3</v>
      </c>
      <c r="AM30" s="27">
        <f>R9*AM9</f>
        <v>1.9407404513704693E-3</v>
      </c>
      <c r="AN30" s="27">
        <f>S9*AN9</f>
        <v>2.2973496128137569E-3</v>
      </c>
      <c r="AO30" s="27">
        <f>T9*AO9</f>
        <v>2.7386802735611753E-3</v>
      </c>
      <c r="AP30" s="27">
        <f>U9*AP9</f>
        <v>1.1804986065282995E-3</v>
      </c>
      <c r="AQ30" s="27">
        <f>V9*AQ9</f>
        <v>1.0076650492701412E-3</v>
      </c>
      <c r="AR30" s="27">
        <f>W9*AR9</f>
        <v>-3.4587319053954025E-5</v>
      </c>
      <c r="AS30" s="27">
        <f>X9*AS9</f>
        <v>9.3517563127764396E-5</v>
      </c>
      <c r="AT30" s="27">
        <f>Y9*AT9</f>
        <v>2.4392528951820149E-4</v>
      </c>
      <c r="AU30" s="28">
        <f t="shared" si="11"/>
        <v>5.528911581928618E-2</v>
      </c>
    </row>
    <row r="31" spans="6:47" x14ac:dyDescent="0.2">
      <c r="AA31" s="5">
        <f>F10</f>
        <v>42094</v>
      </c>
      <c r="AB31" s="27">
        <f>G10*AB10</f>
        <v>8.8242820031429053E-4</v>
      </c>
      <c r="AC31" s="27">
        <f>H10*AC10</f>
        <v>1.0482659148428369E-3</v>
      </c>
      <c r="AD31" s="27">
        <f>I10*AD10</f>
        <v>0</v>
      </c>
      <c r="AE31" s="27">
        <f>J10*AE10</f>
        <v>-3.3902514917871893E-4</v>
      </c>
      <c r="AF31" s="27">
        <f>K10*AF10</f>
        <v>1.5482268709885835E-3</v>
      </c>
      <c r="AG31" s="27">
        <f>L10*AG10</f>
        <v>1.9290308797155131E-4</v>
      </c>
      <c r="AH31" s="27">
        <f>M10*AH10</f>
        <v>0</v>
      </c>
      <c r="AI31" s="27">
        <f>N10*AI10</f>
        <v>-1.1028338787321694E-3</v>
      </c>
      <c r="AJ31" s="27">
        <f>O10*AJ10</f>
        <v>5.2149816658907371E-4</v>
      </c>
      <c r="AK31" s="27">
        <f>P10*AK10</f>
        <v>6.8893836477768066E-4</v>
      </c>
      <c r="AL31" s="27">
        <f>Q10*AL10</f>
        <v>5.5446021948541856E-4</v>
      </c>
      <c r="AM31" s="27">
        <f>R10*AM10</f>
        <v>1.2657254982644894E-3</v>
      </c>
      <c r="AN31" s="27">
        <f>S10*AN10</f>
        <v>8.8172801306389884E-4</v>
      </c>
      <c r="AO31" s="27">
        <f>T10*AO10</f>
        <v>1.8705989191404159E-3</v>
      </c>
      <c r="AP31" s="27">
        <f>U10*AP10</f>
        <v>5.7754317871201374E-4</v>
      </c>
      <c r="AQ31" s="27">
        <f>V10*AQ10</f>
        <v>6.2694380409408247E-4</v>
      </c>
      <c r="AR31" s="27">
        <f>W10*AR10</f>
        <v>1.0649554755074657E-3</v>
      </c>
      <c r="AS31" s="27">
        <f>X10*AS10</f>
        <v>6.5872221950094394E-4</v>
      </c>
      <c r="AT31" s="27">
        <f>Y10*AT10</f>
        <v>8.5398963878690335E-4</v>
      </c>
      <c r="AU31" s="28">
        <f t="shared" si="11"/>
        <v>1.179506854412876E-2</v>
      </c>
    </row>
    <row r="32" spans="6:47" x14ac:dyDescent="0.2">
      <c r="AA32" s="5">
        <f>F11</f>
        <v>42124</v>
      </c>
      <c r="AB32" s="27">
        <f>G11*AB11</f>
        <v>-9.3678984823258589E-4</v>
      </c>
      <c r="AC32" s="27">
        <f>H11*AC11</f>
        <v>-1.2566678092420433E-3</v>
      </c>
      <c r="AD32" s="27">
        <f>I11*AD11</f>
        <v>2.6900756381567294E-3</v>
      </c>
      <c r="AE32" s="27">
        <f>J11*AE11</f>
        <v>1.0633699723896269E-3</v>
      </c>
      <c r="AF32" s="27">
        <f>K11*AF11</f>
        <v>1.1885679193175875E-3</v>
      </c>
      <c r="AG32" s="27">
        <f>L11*AG11</f>
        <v>7.2011751286546496E-5</v>
      </c>
      <c r="AH32" s="27">
        <f>M11*AH11</f>
        <v>3.3577868342639949E-3</v>
      </c>
      <c r="AI32" s="27">
        <f>N11*AI11</f>
        <v>2.1115437771951975E-3</v>
      </c>
      <c r="AJ32" s="27">
        <f>O11*AJ11</f>
        <v>6.1601473756812519E-4</v>
      </c>
      <c r="AK32" s="27">
        <f>P11*AK11</f>
        <v>4.9783673914334243E-4</v>
      </c>
      <c r="AL32" s="27">
        <f>Q11*AL11</f>
        <v>3.4824843944844644E-4</v>
      </c>
      <c r="AM32" s="27">
        <f>R11*AM11</f>
        <v>4.1542949238935735E-4</v>
      </c>
      <c r="AN32" s="27">
        <f>S11*AN11</f>
        <v>3.5752962677609119E-4</v>
      </c>
      <c r="AO32" s="27">
        <f>T11*AO11</f>
        <v>5.6448961850672321E-4</v>
      </c>
      <c r="AP32" s="27">
        <f>U11*AP11</f>
        <v>3.0167342979701018E-4</v>
      </c>
      <c r="AQ32" s="27">
        <f>V11*AQ11</f>
        <v>2.4000072846332477E-4</v>
      </c>
      <c r="AR32" s="27">
        <f>W11*AR11</f>
        <v>1.0735911481689908E-4</v>
      </c>
      <c r="AS32" s="27">
        <f>X11*AS11</f>
        <v>6.365926329379178E-5</v>
      </c>
      <c r="AT32" s="27">
        <f>Y11*AT11</f>
        <v>1.0977427802817448E-4</v>
      </c>
      <c r="AU32" s="28">
        <f t="shared" si="11"/>
        <v>1.1911913703366339E-2</v>
      </c>
    </row>
    <row r="33" spans="27:47" x14ac:dyDescent="0.2">
      <c r="AA33" s="5">
        <f>F12</f>
        <v>42153</v>
      </c>
      <c r="AB33" s="27">
        <f>G12*AB12</f>
        <v>-3.701432526936613E-3</v>
      </c>
      <c r="AC33" s="27">
        <f>H12*AC12</f>
        <v>-4.4175088236516717E-3</v>
      </c>
      <c r="AD33" s="27">
        <f>I12*AD12</f>
        <v>-1.0535449607472213E-4</v>
      </c>
      <c r="AE33" s="27">
        <f>J12*AE12</f>
        <v>-7.1561257787276084E-4</v>
      </c>
      <c r="AF33" s="27">
        <f>K12*AF12</f>
        <v>-3.5968350985822167E-3</v>
      </c>
      <c r="AG33" s="27">
        <f>L12*AG12</f>
        <v>-2.7386944930088609E-4</v>
      </c>
      <c r="AH33" s="27">
        <f>M12*AH12</f>
        <v>1.9111807506299557E-3</v>
      </c>
      <c r="AI33" s="27">
        <f>N12*AI12</f>
        <v>3.7710871028086946E-4</v>
      </c>
      <c r="AJ33" s="27">
        <f>O12*AJ12</f>
        <v>-3.1135691397905026E-4</v>
      </c>
      <c r="AK33" s="27">
        <f>P12*AK12</f>
        <v>-5.3522629722983555E-4</v>
      </c>
      <c r="AL33" s="27">
        <f>Q12*AL12</f>
        <v>-5.2812998444927244E-4</v>
      </c>
      <c r="AM33" s="27">
        <f>R12*AM12</f>
        <v>-7.7429771598898128E-4</v>
      </c>
      <c r="AN33" s="27">
        <f>S12*AN12</f>
        <v>-8.7700414444116727E-4</v>
      </c>
      <c r="AO33" s="27">
        <f>T12*AO12</f>
        <v>-1.585204772167301E-3</v>
      </c>
      <c r="AP33" s="27">
        <f>U12*AP12</f>
        <v>-2.6104959669561047E-4</v>
      </c>
      <c r="AQ33" s="27">
        <f>V12*AQ12</f>
        <v>-2.6089367706173881E-4</v>
      </c>
      <c r="AR33" s="27">
        <f>W12*AR12</f>
        <v>-5.4588200792737916E-4</v>
      </c>
      <c r="AS33" s="27">
        <f>X12*AS12</f>
        <v>-2.1470953705976615E-4</v>
      </c>
      <c r="AT33" s="27">
        <f>Y12*AT12</f>
        <v>-2.2463288813703673E-4</v>
      </c>
      <c r="AU33" s="28">
        <f t="shared" ref="AU33" si="12">SUM(AB33:AT33)</f>
        <v>-1.6640711046645183E-2</v>
      </c>
    </row>
    <row r="34" spans="27:47" x14ac:dyDescent="0.2">
      <c r="AA34" s="5">
        <f>F13</f>
        <v>42185</v>
      </c>
      <c r="AB34" s="27">
        <f>G13*AB13</f>
        <v>-4.0591568298225002E-3</v>
      </c>
      <c r="AC34" s="27">
        <f>H13*AC13</f>
        <v>-4.0431701033856998E-3</v>
      </c>
      <c r="AD34" s="27">
        <f>I13*AD13</f>
        <v>-8.7237330203262121E-4</v>
      </c>
      <c r="AE34" s="27">
        <f>J13*AE13</f>
        <v>-1.4312164354350748E-4</v>
      </c>
      <c r="AF34" s="27">
        <f>K13*AF13</f>
        <v>-1.1286565810478648E-3</v>
      </c>
      <c r="AG34" s="27">
        <f>L13*AG13</f>
        <v>-1.2410764081724655E-4</v>
      </c>
      <c r="AH34" s="27">
        <f>M13*AH13</f>
        <v>2.4847066647543273E-3</v>
      </c>
      <c r="AI34" s="27">
        <f>N13*AI13</f>
        <v>2.7573529358897422E-3</v>
      </c>
      <c r="AJ34" s="27">
        <f>O13*AJ13</f>
        <v>2.536912251711562E-4</v>
      </c>
      <c r="AK34" s="27">
        <f>P13*AK13</f>
        <v>-9.8909520796206248E-5</v>
      </c>
      <c r="AL34" s="27">
        <f>Q13*AL13</f>
        <v>-2.552991216484113E-4</v>
      </c>
      <c r="AM34" s="27">
        <f>R13*AM13</f>
        <v>5.7007804864814951E-5</v>
      </c>
      <c r="AN34" s="27">
        <f>S13*AN13</f>
        <v>-7.0863065881056851E-5</v>
      </c>
      <c r="AO34" s="27">
        <f>T13*AO13</f>
        <v>-6.8650295439515673E-4</v>
      </c>
      <c r="AP34" s="27">
        <f>U13*AP13</f>
        <v>-6.2279176994321778E-5</v>
      </c>
      <c r="AQ34" s="27">
        <f>V13*AQ13</f>
        <v>-1.1809412663220511E-4</v>
      </c>
      <c r="AR34" s="27">
        <f>W13*AR13</f>
        <v>-2.9548980967039585E-4</v>
      </c>
      <c r="AS34" s="27">
        <f>X13*AS13</f>
        <v>-1.134347351559241E-4</v>
      </c>
      <c r="AT34" s="27">
        <f>Y13*AT13</f>
        <v>-7.8160772410222084E-5</v>
      </c>
      <c r="AU34" s="28">
        <f t="shared" ref="AU34:AU39" si="13">SUM(AB34:AT34)</f>
        <v>-6.5968607535533009E-3</v>
      </c>
    </row>
    <row r="35" spans="27:47" x14ac:dyDescent="0.2">
      <c r="AA35" s="5">
        <f>F14</f>
        <v>42216</v>
      </c>
      <c r="AB35" s="27">
        <f>G14*AB14</f>
        <v>1.9097827395830474E-3</v>
      </c>
      <c r="AC35" s="27">
        <f>H14*AC14</f>
        <v>1.151629195529651E-3</v>
      </c>
      <c r="AD35" s="27">
        <f>I14*AD14</f>
        <v>1.1775912648854692E-3</v>
      </c>
      <c r="AE35" s="27">
        <f>J14*AE14</f>
        <v>1.0557999551416076E-3</v>
      </c>
      <c r="AF35" s="27">
        <f>K14*AF14</f>
        <v>7.3429324934561784E-4</v>
      </c>
      <c r="AG35" s="27">
        <f>L14*AG14</f>
        <v>6.6847609554234228E-5</v>
      </c>
      <c r="AH35" s="27">
        <f>M14*AH14</f>
        <v>1.4261234457953278E-3</v>
      </c>
      <c r="AI35" s="27">
        <f>N14*AI14</f>
        <v>7.8832927429530397E-4</v>
      </c>
      <c r="AJ35" s="27">
        <f>O14*AJ14</f>
        <v>3.4908820252506947E-5</v>
      </c>
      <c r="AK35" s="27">
        <f>P14*AK14</f>
        <v>3.2319322658708833E-4</v>
      </c>
      <c r="AL35" s="27">
        <f>Q14*AL14</f>
        <v>3.7139431498934503E-4</v>
      </c>
      <c r="AM35" s="27">
        <f>R14*AM14</f>
        <v>4.0587744974058436E-4</v>
      </c>
      <c r="AN35" s="27">
        <f>S14*AN14</f>
        <v>4.4836952782464082E-4</v>
      </c>
      <c r="AO35" s="27">
        <f>T14*AO14</f>
        <v>8.7992749745057538E-4</v>
      </c>
      <c r="AP35" s="27">
        <f>U14*AP14</f>
        <v>2.4631715784605629E-4</v>
      </c>
      <c r="AQ35" s="27">
        <f>V14*AQ14</f>
        <v>2.4811471128945801E-4</v>
      </c>
      <c r="AR35" s="27">
        <f>W14*AR14</f>
        <v>1.6142937078474578E-4</v>
      </c>
      <c r="AS35" s="27">
        <f>X14*AS14</f>
        <v>1.6328716861853607E-4</v>
      </c>
      <c r="AT35" s="27">
        <f>Y14*AT14</f>
        <v>2.1563621230355501E-4</v>
      </c>
      <c r="AU35" s="28">
        <f t="shared" si="13"/>
        <v>1.180885219181735E-2</v>
      </c>
    </row>
    <row r="36" spans="27:47" x14ac:dyDescent="0.2">
      <c r="AA36" s="5">
        <f>F15</f>
        <v>42247</v>
      </c>
      <c r="AB36" s="27">
        <f>G15*AB15</f>
        <v>-1.3100436774361236E-3</v>
      </c>
      <c r="AC36" s="27">
        <f>H15*AC15</f>
        <v>-1.4098827698832553E-3</v>
      </c>
      <c r="AD36" s="27">
        <f>I15*AD15</f>
        <v>-8.0794573467757942E-4</v>
      </c>
      <c r="AE36" s="27">
        <f>J15*AE15</f>
        <v>-1.7718548425402962E-3</v>
      </c>
      <c r="AF36" s="27">
        <f>K15*AF15</f>
        <v>-2.5265845411228398E-3</v>
      </c>
      <c r="AG36" s="27">
        <f>L15*AG15</f>
        <v>-2.140612831579509E-4</v>
      </c>
      <c r="AH36" s="27">
        <f>M15*AH15</f>
        <v>-1.3115188277638158E-3</v>
      </c>
      <c r="AI36" s="27">
        <f>N15*AI15</f>
        <v>-1.6764397752536205E-3</v>
      </c>
      <c r="AJ36" s="27">
        <f>O15*AJ15</f>
        <v>-6.38397779322717E-4</v>
      </c>
      <c r="AK36" s="27">
        <f>P15*AK15</f>
        <v>-7.3776944149443583E-4</v>
      </c>
      <c r="AL36" s="27">
        <f>Q15*AL15</f>
        <v>-5.2511229025703412E-4</v>
      </c>
      <c r="AM36" s="27">
        <f>R15*AM15</f>
        <v>-4.0453923206076734E-4</v>
      </c>
      <c r="AN36" s="27">
        <f>S15*AN15</f>
        <v>-3.544806471354751E-4</v>
      </c>
      <c r="AO36" s="27">
        <f>T15*AO15</f>
        <v>-8.4348798496287924E-4</v>
      </c>
      <c r="AP36" s="27">
        <f>U15*AP15</f>
        <v>-1.8702836919617352E-4</v>
      </c>
      <c r="AQ36" s="27">
        <f>V15*AQ15</f>
        <v>-1.3414344447823211E-4</v>
      </c>
      <c r="AR36" s="27">
        <f>W15*AR15</f>
        <v>-2.0819441129035188E-4</v>
      </c>
      <c r="AS36" s="27">
        <f>X15*AS15</f>
        <v>-1.5451911005317143E-4</v>
      </c>
      <c r="AT36" s="27">
        <f>Y15*AT15</f>
        <v>-6.6503165034815698E-5</v>
      </c>
      <c r="AU36" s="28">
        <f t="shared" si="13"/>
        <v>-1.5282507327121535E-2</v>
      </c>
    </row>
    <row r="37" spans="27:47" x14ac:dyDescent="0.2">
      <c r="AA37" s="5">
        <f>F16</f>
        <v>42277</v>
      </c>
      <c r="AB37" s="27">
        <f>G16*AB16</f>
        <v>-7.8060478042403492E-4</v>
      </c>
      <c r="AC37" s="27">
        <f>H16*AC16</f>
        <v>-6.6907193344025546E-4</v>
      </c>
      <c r="AD37" s="27">
        <f>I16*AD16</f>
        <v>-3.1654787558014818E-4</v>
      </c>
      <c r="AE37" s="27">
        <f>J16*AE16</f>
        <v>-1.0599087150198335E-3</v>
      </c>
      <c r="AF37" s="27">
        <f>K16*AF16</f>
        <v>-2.0946223357915972E-3</v>
      </c>
      <c r="AG37" s="27">
        <f>L16*AG16</f>
        <v>-1.5686708552440878E-4</v>
      </c>
      <c r="AH37" s="27">
        <f>M16*AH16</f>
        <v>-1.4566406904380326E-3</v>
      </c>
      <c r="AI37" s="27">
        <f>N16*AI16</f>
        <v>-1.2863605944907052E-3</v>
      </c>
      <c r="AJ37" s="27">
        <f>O16*AJ16</f>
        <v>-7.9676211414694787E-4</v>
      </c>
      <c r="AK37" s="27">
        <f>P16*AK16</f>
        <v>-8.6568979274874588E-4</v>
      </c>
      <c r="AL37" s="27">
        <f>Q16*AL16</f>
        <v>-6.3808644034358197E-4</v>
      </c>
      <c r="AM37" s="27">
        <f>R16*AM16</f>
        <v>-1.1410067467424562E-3</v>
      </c>
      <c r="AN37" s="27">
        <f>S16*AN16</f>
        <v>-1.1332764094066699E-3</v>
      </c>
      <c r="AO37" s="27">
        <f>T16*AO16</f>
        <v>-1.8101788566435115E-3</v>
      </c>
      <c r="AP37" s="27">
        <f>U16*AP16</f>
        <v>-7.098582391055E-4</v>
      </c>
      <c r="AQ37" s="27">
        <f>V16*AQ16</f>
        <v>-6.1986684826801025E-4</v>
      </c>
      <c r="AR37" s="27">
        <f>W16*AR16</f>
        <v>-3.6405379312531777E-5</v>
      </c>
      <c r="AS37" s="27">
        <f>X16*AS16</f>
        <v>-1.6476762872011987E-4</v>
      </c>
      <c r="AT37" s="27">
        <f>Y16*AT16</f>
        <v>-1.4163576608943934E-4</v>
      </c>
      <c r="AU37" s="28">
        <f t="shared" si="13"/>
        <v>-1.5878158232236532E-2</v>
      </c>
    </row>
    <row r="38" spans="27:47" x14ac:dyDescent="0.2">
      <c r="AA38" s="5">
        <f>F17</f>
        <v>42307</v>
      </c>
      <c r="AB38" s="27">
        <f>G17*AB17</f>
        <v>-9.9222792559444688E-5</v>
      </c>
      <c r="AC38" s="27">
        <f>H17*AC17</f>
        <v>2.6578804472462877E-4</v>
      </c>
      <c r="AD38" s="27">
        <f>I17*AD17</f>
        <v>-5.7442552591844642E-4</v>
      </c>
      <c r="AE38" s="27">
        <f>J17*AE17</f>
        <v>-8.6550326773260908E-4</v>
      </c>
      <c r="AF38" s="27">
        <f>K17*AF17</f>
        <v>-5.5511403662619968E-4</v>
      </c>
      <c r="AG38" s="27">
        <f>L17*AG17</f>
        <v>-1.1279866529270481E-5</v>
      </c>
      <c r="AH38" s="27">
        <f>M17*AH17</f>
        <v>-2.965400571380247E-4</v>
      </c>
      <c r="AI38" s="27">
        <f>N17*AI17</f>
        <v>-4.0835951785934136E-5</v>
      </c>
      <c r="AJ38" s="27">
        <f>O17*AJ17</f>
        <v>5.2471831694569395E-5</v>
      </c>
      <c r="AK38" s="27">
        <f>P17*AK17</f>
        <v>8.6185260516573784E-5</v>
      </c>
      <c r="AL38" s="27">
        <f>Q17*AL17</f>
        <v>1.1180517601559257E-4</v>
      </c>
      <c r="AM38" s="27">
        <f>R17*AM17</f>
        <v>-5.3284565537168026E-6</v>
      </c>
      <c r="AN38" s="27">
        <f>S17*AN17</f>
        <v>8.0932871682464522E-5</v>
      </c>
      <c r="AO38" s="27">
        <f>T17*AO17</f>
        <v>2.1270465611031614E-4</v>
      </c>
      <c r="AP38" s="27">
        <f>U17*AP17</f>
        <v>1.1810014172719514E-5</v>
      </c>
      <c r="AQ38" s="27">
        <f>V17*AQ17</f>
        <v>2.8520702711645768E-6</v>
      </c>
      <c r="AR38" s="27">
        <f>W17*AR17</f>
        <v>1.6008201090362718E-4</v>
      </c>
      <c r="AS38" s="27">
        <f>X17*AS17</f>
        <v>6.0920543310676769E-5</v>
      </c>
      <c r="AT38" s="27">
        <f>Y17*AT17</f>
        <v>9.3410277510191166E-5</v>
      </c>
      <c r="AU38" s="28">
        <f t="shared" si="13"/>
        <v>-1.3092871979311221E-3</v>
      </c>
    </row>
    <row r="39" spans="27:47" x14ac:dyDescent="0.2">
      <c r="AA39" s="5">
        <f>F18</f>
        <v>42338</v>
      </c>
      <c r="AB39" s="27">
        <f>G18*AB18</f>
        <v>6.9926343649771015E-4</v>
      </c>
      <c r="AC39" s="27">
        <f>H18*AC18</f>
        <v>1.2737431716198166E-3</v>
      </c>
      <c r="AD39" s="27">
        <f>I18*AD18</f>
        <v>1.7703165632329478E-3</v>
      </c>
      <c r="AE39" s="27">
        <f>J18*AE18</f>
        <v>1.1924435409746237E-3</v>
      </c>
      <c r="AF39" s="27">
        <f>K18*AF18</f>
        <v>2.4885976354964748E-3</v>
      </c>
      <c r="AG39" s="27">
        <f>L18*AG18</f>
        <v>1.5357563917548945E-4</v>
      </c>
      <c r="AH39" s="27">
        <f>M18*AH18</f>
        <v>2.2346219978129022E-3</v>
      </c>
      <c r="AI39" s="27">
        <f>N18*AI18</f>
        <v>1.654078642606316E-3</v>
      </c>
      <c r="AJ39" s="27">
        <f>O18*AJ18</f>
        <v>6.0565205552837176E-4</v>
      </c>
      <c r="AK39" s="27">
        <f>P18*AK18</f>
        <v>7.9099023154149072E-4</v>
      </c>
      <c r="AL39" s="27">
        <f>Q18*AL18</f>
        <v>1.3731529074187886E-3</v>
      </c>
      <c r="AM39" s="27">
        <f>R18*AM18</f>
        <v>7.437245895658951E-4</v>
      </c>
      <c r="AN39" s="27">
        <f>S18*AN18</f>
        <v>5.3831217815670574E-4</v>
      </c>
      <c r="AO39" s="27">
        <f>T18*AO18</f>
        <v>1.550415652203463E-3</v>
      </c>
      <c r="AP39" s="27">
        <f>U18*AP18</f>
        <v>3.6770251269422353E-4</v>
      </c>
      <c r="AQ39" s="27">
        <f>V18*AQ18</f>
        <v>1.7723390603125556E-4</v>
      </c>
      <c r="AR39" s="27">
        <f>W18*AR18</f>
        <v>1.2392457178721949E-4</v>
      </c>
      <c r="AS39" s="27">
        <f>X18*AS18</f>
        <v>0</v>
      </c>
      <c r="AT39" s="27">
        <f>Y18*AT18</f>
        <v>3.8403766078110024E-5</v>
      </c>
      <c r="AU39" s="28">
        <f t="shared" si="13"/>
        <v>1.7776152998421807E-2</v>
      </c>
    </row>
    <row r="40" spans="27:47" x14ac:dyDescent="0.2">
      <c r="AA40" s="5">
        <f>F19</f>
        <v>42369</v>
      </c>
      <c r="AB40" s="27">
        <f>G19*AB19</f>
        <v>7.4758835452710232E-4</v>
      </c>
      <c r="AC40" s="27">
        <f>H19*AC19</f>
        <v>7.5533809632167604E-4</v>
      </c>
      <c r="AD40" s="27">
        <f>I19*AD19</f>
        <v>1.0672620278897084E-3</v>
      </c>
      <c r="AE40" s="27">
        <f>J19*AE19</f>
        <v>1.1373573528160529E-3</v>
      </c>
      <c r="AF40" s="27">
        <f>K19*AF19</f>
        <v>1.9015082392621044E-3</v>
      </c>
      <c r="AG40" s="27">
        <f>L19*AG19</f>
        <v>2.0454416461505254E-4</v>
      </c>
      <c r="AH40" s="27">
        <f>M19*AH19</f>
        <v>1.6882201037100586E-3</v>
      </c>
      <c r="AI40" s="27">
        <f>N19*AI19</f>
        <v>1.1760677062507387E-3</v>
      </c>
      <c r="AJ40" s="27">
        <f>O19*AJ19</f>
        <v>3.5495056183098894E-4</v>
      </c>
      <c r="AK40" s="27">
        <f>P19*AK19</f>
        <v>4.9772095025118373E-4</v>
      </c>
      <c r="AL40" s="27">
        <f>Q19*AL19</f>
        <v>6.7168717671613589E-4</v>
      </c>
      <c r="AM40" s="27">
        <f>R19*AM19</f>
        <v>6.2598736955800762E-4</v>
      </c>
      <c r="AN40" s="27">
        <f>S19*AN19</f>
        <v>4.8051691384422886E-4</v>
      </c>
      <c r="AO40" s="27">
        <f>T19*AO19</f>
        <v>1.2563590601161745E-3</v>
      </c>
      <c r="AP40" s="27">
        <f>U19*AP19</f>
        <v>4.0509298365721592E-4</v>
      </c>
      <c r="AQ40" s="27">
        <f>V19*AQ19</f>
        <v>2.3102235965215324E-4</v>
      </c>
      <c r="AR40" s="27">
        <f>W19*AR19</f>
        <v>2.3198838972412705E-4</v>
      </c>
      <c r="AS40" s="27">
        <f>X19*AS19</f>
        <v>0</v>
      </c>
      <c r="AT40" s="27">
        <f>Y19*AT19</f>
        <v>1.6692533721808899E-4</v>
      </c>
      <c r="AU40" s="28">
        <f t="shared" ref="AU40" si="14">SUM(AB40:AT40)</f>
        <v>1.3600137147960796E-2</v>
      </c>
    </row>
    <row r="41" spans="27:47" x14ac:dyDescent="0.2">
      <c r="AA41" s="5">
        <f>F20</f>
        <v>42370</v>
      </c>
      <c r="AB41" s="27">
        <f t="shared" ref="AB41" si="15">G20*AB20</f>
        <v>-1.5530017077579729E-4</v>
      </c>
      <c r="AC41" s="27">
        <f t="shared" ref="AC41" si="16">H20*AC20</f>
        <v>-1.0249775517826353E-4</v>
      </c>
      <c r="AD41" s="27">
        <f t="shared" ref="AD41" si="17">I20*AD20</f>
        <v>-4.6896276936612139E-4</v>
      </c>
      <c r="AE41" s="27">
        <f t="shared" ref="AE41" si="18">J20*AE20</f>
        <v>-1.5882058520134466E-3</v>
      </c>
      <c r="AF41" s="27">
        <f t="shared" ref="AF41" si="19">K20*AF20</f>
        <v>-3.153121656336078E-3</v>
      </c>
      <c r="AG41" s="27">
        <f t="shared" ref="AG41" si="20">L20*AG20</f>
        <v>-1.6556482992294508E-4</v>
      </c>
      <c r="AH41" s="27">
        <f t="shared" ref="AH41" si="21">M20*AH20</f>
        <v>-4.3270867871252677E-3</v>
      </c>
      <c r="AI41" s="27">
        <f t="shared" ref="AI41" si="22">N20*AI20</f>
        <v>-3.1457166725815358E-3</v>
      </c>
      <c r="AJ41" s="27">
        <f t="shared" ref="AJ41" si="23">O20*AJ20</f>
        <v>-1.2469689748347422E-3</v>
      </c>
      <c r="AK41" s="27">
        <f t="shared" ref="AK41" si="24">P20*AK20</f>
        <v>-1.2925946023414304E-3</v>
      </c>
      <c r="AL41" s="27">
        <f t="shared" ref="AL41" si="25">Q20*AL20</f>
        <v>-7.1956041261351578E-4</v>
      </c>
      <c r="AM41" s="27">
        <f t="shared" ref="AM41" si="26">R20*AM20</f>
        <v>-1.4303223742257653E-3</v>
      </c>
      <c r="AN41" s="27">
        <f t="shared" ref="AN41" si="27">S20*AN20</f>
        <v>-9.1763482146436806E-4</v>
      </c>
      <c r="AO41" s="27">
        <f t="shared" ref="AO41" si="28">T20*AO20</f>
        <v>-1.2421669188550366E-3</v>
      </c>
      <c r="AP41" s="27">
        <f t="shared" ref="AP41" si="29">U20*AP20</f>
        <v>-5.626770283394955E-4</v>
      </c>
      <c r="AQ41" s="27">
        <f t="shared" ref="AQ41" si="30">V20*AQ20</f>
        <v>-2.3576599739564275E-4</v>
      </c>
      <c r="AR41" s="27">
        <f t="shared" ref="AR41" si="31">W20*AR20</f>
        <v>1.545248229914753E-4</v>
      </c>
      <c r="AS41" s="27">
        <f t="shared" ref="AS41" si="32">X20*AS20</f>
        <v>0</v>
      </c>
      <c r="AT41" s="27">
        <f t="shared" ref="AT41" si="33">Y20*AT20</f>
        <v>4.6090347642222532E-5</v>
      </c>
      <c r="AU41" s="28">
        <f t="shared" ref="AU41" si="34">SUM(AB41:AT41)</f>
        <v>-2.0553532452735758E-2</v>
      </c>
    </row>
    <row r="42" spans="27:47" x14ac:dyDescent="0.2">
      <c r="AA42" s="5">
        <f>F21</f>
        <v>42429</v>
      </c>
      <c r="AB42" s="27">
        <f>G21*AB21</f>
        <v>-5.8721720995537406E-4</v>
      </c>
      <c r="AC42" s="27">
        <f>H21*AC21</f>
        <v>1.5915020490408515E-3</v>
      </c>
      <c r="AD42" s="27">
        <f>I21*AD21</f>
        <v>9.3683048077196416E-4</v>
      </c>
      <c r="AE42" s="27">
        <f>J21*AE21</f>
        <v>4.9060672419727559E-4</v>
      </c>
      <c r="AF42" s="27">
        <f>K21*AF21</f>
        <v>2.7693191463427973E-4</v>
      </c>
      <c r="AG42" s="27">
        <f>L21*AG21</f>
        <v>1.2403356680608767E-4</v>
      </c>
      <c r="AH42" s="27">
        <f>M21*AH21</f>
        <v>-1.4448979852678124E-4</v>
      </c>
      <c r="AI42" s="27">
        <f>N21*AI21</f>
        <v>-3.3163036589068165E-4</v>
      </c>
      <c r="AJ42" s="27">
        <f>O21*AJ21</f>
        <v>-8.3523800222300431E-5</v>
      </c>
      <c r="AK42" s="27">
        <f>P21*AK21</f>
        <v>1.8051873672455087E-4</v>
      </c>
      <c r="AL42" s="27">
        <f>Q21*AL21</f>
        <v>3.7148367048247752E-4</v>
      </c>
      <c r="AM42" s="27">
        <f>R21*AM21</f>
        <v>2.7289281224351035E-4</v>
      </c>
      <c r="AN42" s="27">
        <f>S21*AN21</f>
        <v>2.3481480884867344E-4</v>
      </c>
      <c r="AO42" s="27">
        <f>T21*AO21</f>
        <v>7.4504905798670204E-4</v>
      </c>
      <c r="AP42" s="27">
        <f>U21*AP21</f>
        <v>2.7777130070940183E-4</v>
      </c>
      <c r="AQ42" s="27">
        <f>V21*AQ21</f>
        <v>1.1210630242291409E-4</v>
      </c>
      <c r="AR42" s="27">
        <f>W21*AR21</f>
        <v>3.656524632636482E-4</v>
      </c>
      <c r="AS42" s="27">
        <f>X21*AS21</f>
        <v>0</v>
      </c>
      <c r="AT42" s="27">
        <f>Y21*AT21</f>
        <v>3.2359412838260936E-4</v>
      </c>
      <c r="AU42" s="28">
        <f t="shared" ref="AU42:AU43" si="35">SUM(AB42:AT42)</f>
        <v>5.1569268419198074E-3</v>
      </c>
    </row>
    <row r="43" spans="27:47" x14ac:dyDescent="0.2">
      <c r="AA43" s="5">
        <f>F22</f>
        <v>42460</v>
      </c>
      <c r="AB43" s="27">
        <f>G22*AB22</f>
        <v>1.2427594689496768E-3</v>
      </c>
      <c r="AC43" s="27">
        <f>H22*AC22</f>
        <v>7.9386622103234212E-4</v>
      </c>
      <c r="AD43" s="27">
        <f>I22*AD22</f>
        <v>7.3490145207672842E-4</v>
      </c>
      <c r="AE43" s="27">
        <f>J22*AE22</f>
        <v>1.1516888864241714E-3</v>
      </c>
      <c r="AF43" s="27">
        <f>K22*AF22</f>
        <v>1.3558475506260637E-3</v>
      </c>
      <c r="AG43" s="27">
        <f>L22*AG22</f>
        <v>1.415480039152106E-4</v>
      </c>
      <c r="AH43" s="27">
        <f>M22*AH22</f>
        <v>1.8324595369378029E-3</v>
      </c>
      <c r="AI43" s="27">
        <f>N22*AI22</f>
        <v>1.6411434883586787E-3</v>
      </c>
      <c r="AJ43" s="27">
        <f>O22*AJ22</f>
        <v>7.7548939017853648E-4</v>
      </c>
      <c r="AK43" s="27">
        <f>P22*AK22</f>
        <v>1.0355200667166108E-3</v>
      </c>
      <c r="AL43" s="27">
        <f>Q22*AL22</f>
        <v>6.1872962507765418E-4</v>
      </c>
      <c r="AM43" s="27">
        <f>R22*AM22</f>
        <v>5.2796222049757981E-4</v>
      </c>
      <c r="AN43" s="27">
        <f>S22*AN22</f>
        <v>3.9459753873175794E-4</v>
      </c>
      <c r="AO43" s="27">
        <f>T22*AO22</f>
        <v>6.5901373745163032E-4</v>
      </c>
      <c r="AP43" s="27">
        <f>U22*AP22</f>
        <v>3.6091060029685985E-5</v>
      </c>
      <c r="AQ43" s="27">
        <f>V22*AQ22</f>
        <v>2.6630721506315513E-5</v>
      </c>
      <c r="AR43" s="27">
        <f>W22*AR22</f>
        <v>1.7485969047066787E-4</v>
      </c>
      <c r="AS43" s="27">
        <f>X22*AS22</f>
        <v>0</v>
      </c>
      <c r="AT43" s="27">
        <f>Y22*AT22</f>
        <v>1.9157687077206553E-4</v>
      </c>
      <c r="AU43" s="28">
        <f t="shared" si="35"/>
        <v>1.3334685529753181E-2</v>
      </c>
    </row>
    <row r="44" spans="27:47" x14ac:dyDescent="0.2">
      <c r="AA44" s="5">
        <f>F23</f>
        <v>42489</v>
      </c>
      <c r="AB44" s="27">
        <f>G23*AB23</f>
        <v>1.680154249151411E-3</v>
      </c>
      <c r="AC44" s="27">
        <f>H23*AC23</f>
        <v>1.2256423431827822E-3</v>
      </c>
      <c r="AD44" s="27">
        <f>I23*AD23</f>
        <v>3.6183833567792205E-4</v>
      </c>
      <c r="AE44" s="27">
        <f>J23*AE23</f>
        <v>1.1224162201560373E-3</v>
      </c>
      <c r="AF44" s="27">
        <f>K23*AF23</f>
        <v>1.3297410112946874E-3</v>
      </c>
      <c r="AG44" s="27">
        <f>L23*AG23</f>
        <v>8.1365643468467316E-5</v>
      </c>
      <c r="AH44" s="27">
        <f>M23*AH23</f>
        <v>1.2874107034715366E-3</v>
      </c>
      <c r="AI44" s="27">
        <f>N23*AI23</f>
        <v>1.2952582942449388E-3</v>
      </c>
      <c r="AJ44" s="27">
        <f>O23*AJ23</f>
        <v>4.7708713841967395E-4</v>
      </c>
      <c r="AK44" s="27">
        <f>P23*AK23</f>
        <v>8.8355013843033348E-4</v>
      </c>
      <c r="AL44" s="27">
        <f>Q23*AL23</f>
        <v>4.752235780066427E-4</v>
      </c>
      <c r="AM44" s="27">
        <f>R23*AM23</f>
        <v>7.2493798072695629E-4</v>
      </c>
      <c r="AN44" s="27">
        <f>S23*AN23</f>
        <v>5.3847022686293489E-4</v>
      </c>
      <c r="AO44" s="27">
        <f>T23*AO23</f>
        <v>7.9657997648840961E-4</v>
      </c>
      <c r="AP44" s="27">
        <f>U23*AP23</f>
        <v>1.2880309456446691E-4</v>
      </c>
      <c r="AQ44" s="27">
        <f>V23*AQ23</f>
        <v>1.1942686771837518E-4</v>
      </c>
      <c r="AR44" s="27">
        <f>W23*AR23</f>
        <v>2.3379109156238309E-4</v>
      </c>
      <c r="AS44" s="27">
        <f>X23*AS23</f>
        <v>0</v>
      </c>
      <c r="AT44" s="27">
        <f>Y23*AT23</f>
        <v>1.8659862601862589E-4</v>
      </c>
      <c r="AU44" s="28">
        <f t="shared" ref="AU44" si="36">SUM(AB44:AT44)</f>
        <v>1.2948295519446585E-2</v>
      </c>
    </row>
    <row r="45" spans="27:47" x14ac:dyDescent="0.2">
      <c r="AA45" s="5">
        <f t="shared" ref="AA45" si="37">F24</f>
        <v>42521</v>
      </c>
      <c r="AB45" s="27">
        <f t="shared" ref="AB45" si="38">G24*AB24</f>
        <v>4.9059523103955069E-3</v>
      </c>
      <c r="AC45" s="27">
        <f t="shared" ref="AC45" si="39">H24*AC24</f>
        <v>4.6157011458232058E-3</v>
      </c>
      <c r="AD45" s="27">
        <f t="shared" ref="AD45" si="40">I24*AD24</f>
        <v>3.1908646185283243E-3</v>
      </c>
      <c r="AE45" s="27">
        <f t="shared" ref="AE45" si="41">J24*AE24</f>
        <v>3.1808087572999999E-3</v>
      </c>
      <c r="AF45" s="27">
        <f t="shared" ref="AF45" si="42">K24*AF24</f>
        <v>4.3019597623340866E-3</v>
      </c>
      <c r="AG45" s="27">
        <f t="shared" ref="AG45" si="43">L24*AG24</f>
        <v>3.4270763601772279E-4</v>
      </c>
      <c r="AH45" s="27">
        <f t="shared" ref="AH45" si="44">M24*AH24</f>
        <v>3.7572338118019746E-3</v>
      </c>
      <c r="AI45" s="27">
        <f t="shared" ref="AI45" si="45">N24*AI24</f>
        <v>2.7305467175667577E-3</v>
      </c>
      <c r="AJ45" s="27">
        <f t="shared" ref="AJ45" si="46">O24*AJ24</f>
        <v>9.7779270048349966E-4</v>
      </c>
      <c r="AK45" s="27">
        <f t="shared" ref="AK45" si="47">P24*AK24</f>
        <v>1.4125776394638212E-3</v>
      </c>
      <c r="AL45" s="27">
        <f t="shared" ref="AL45" si="48">Q24*AL24</f>
        <v>1.0692150785278631E-3</v>
      </c>
      <c r="AM45" s="27">
        <f t="shared" ref="AM45" si="49">R24*AM24</f>
        <v>1.1930300706314246E-3</v>
      </c>
      <c r="AN45" s="27">
        <f t="shared" ref="AN45" si="50">S24*AN24</f>
        <v>9.593560093149689E-4</v>
      </c>
      <c r="AO45" s="27">
        <f t="shared" ref="AO45" si="51">T24*AO24</f>
        <v>1.7972044362363549E-3</v>
      </c>
      <c r="AP45" s="27">
        <f t="shared" ref="AP45" si="52">U24*AP24</f>
        <v>5.6728227383845648E-4</v>
      </c>
      <c r="AQ45" s="27">
        <f t="shared" ref="AQ45" si="53">V24*AQ24</f>
        <v>3.2382858548542839E-4</v>
      </c>
      <c r="AR45" s="27">
        <f t="shared" ref="AR45" si="54">W24*AR24</f>
        <v>3.6849352781354928E-4</v>
      </c>
      <c r="AS45" s="27">
        <f t="shared" ref="AS45" si="55">X24*AS24</f>
        <v>0</v>
      </c>
      <c r="AT45" s="27">
        <f t="shared" ref="AT45" si="56">Y24*AT24</f>
        <v>2.8964065502726791E-4</v>
      </c>
      <c r="AU45" s="28">
        <f t="shared" ref="AU45" si="57">SUM(AB45:AT45)</f>
        <v>3.5984195736590209E-2</v>
      </c>
    </row>
    <row r="46" spans="27:47" x14ac:dyDescent="0.2">
      <c r="AA46" s="5">
        <f t="shared" ref="AA46" si="58">F25</f>
        <v>42551</v>
      </c>
      <c r="AB46" s="27">
        <f t="shared" ref="AB46" si="59">G25*AB25</f>
        <v>4.4675349901404848E-3</v>
      </c>
      <c r="AC46" s="27">
        <f t="shared" ref="AC46" si="60">H25*AC25</f>
        <v>4.5042652431127638E-3</v>
      </c>
      <c r="AD46" s="27">
        <f t="shared" ref="AD46" si="61">I25*AD25</f>
        <v>2.7545108098543493E-3</v>
      </c>
      <c r="AE46" s="27">
        <f t="shared" ref="AE46" si="62">J25*AE25</f>
        <v>1.710390433732536E-3</v>
      </c>
      <c r="AF46" s="27">
        <f t="shared" ref="AF46" si="63">K25*AF25</f>
        <v>1.6588620982633852E-3</v>
      </c>
      <c r="AG46" s="27">
        <f t="shared" ref="AG46" si="64">L25*AG25</f>
        <v>3.0868701754552144E-4</v>
      </c>
      <c r="AH46" s="27">
        <f t="shared" ref="AH46" si="65">M25*AH25</f>
        <v>-3.2835625183107457E-4</v>
      </c>
      <c r="AI46" s="27">
        <f t="shared" ref="AI46" si="66">N25*AI25</f>
        <v>3.2045711393016153E-5</v>
      </c>
      <c r="AJ46" s="27">
        <f t="shared" ref="AJ46" si="67">O25*AJ25</f>
        <v>-4.9526086341298287E-5</v>
      </c>
      <c r="AK46" s="27">
        <f t="shared" ref="AK46" si="68">P25*AK25</f>
        <v>6.8597012421302674E-4</v>
      </c>
      <c r="AL46" s="27">
        <f t="shared" ref="AL46" si="69">Q25*AL25</f>
        <v>1.0551266697517248E-3</v>
      </c>
      <c r="AM46" s="27">
        <f t="shared" ref="AM46" si="70">R25*AM25</f>
        <v>5.4768511566045677E-5</v>
      </c>
      <c r="AN46" s="27">
        <f t="shared" ref="AN46" si="71">S25*AN25</f>
        <v>2.2543034490023705E-4</v>
      </c>
      <c r="AO46" s="27">
        <f t="shared" ref="AO46" si="72">T25*AO25</f>
        <v>1.7129377787790225E-3</v>
      </c>
      <c r="AP46" s="27">
        <f t="shared" ref="AP46" si="73">U25*AP25</f>
        <v>2.6425741461193474E-5</v>
      </c>
      <c r="AQ46" s="27">
        <f t="shared" ref="AQ46" si="74">V25*AQ25</f>
        <v>1.7653088824538533E-4</v>
      </c>
      <c r="AR46" s="27">
        <f t="shared" ref="AR46" si="75">W25*AR25</f>
        <v>4.5911595291396655E-4</v>
      </c>
      <c r="AS46" s="27">
        <f t="shared" ref="AS46" si="76">X25*AS25</f>
        <v>0</v>
      </c>
      <c r="AT46" s="27">
        <f t="shared" ref="AT46" si="77">Y25*AT25</f>
        <v>2.6140036404572299E-4</v>
      </c>
      <c r="AU46" s="28">
        <f t="shared" ref="AU46" si="78">SUM(AB46:AT46)</f>
        <v>1.9716120341746007E-2</v>
      </c>
    </row>
  </sheetData>
  <mergeCells count="3">
    <mergeCell ref="F6:Y6"/>
    <mergeCell ref="AA27:AR27"/>
    <mergeCell ref="AA6:AR6"/>
  </mergeCells>
  <conditionalFormatting sqref="G8:Y14 AB8:AU8 AB29:AU35">
    <cfRule type="cellIs" dxfId="20" priority="24" operator="equal">
      <formula>0</formula>
    </cfRule>
  </conditionalFormatting>
  <conditionalFormatting sqref="AB9:AU14">
    <cfRule type="cellIs" dxfId="19" priority="20" operator="equal">
      <formula>0</formula>
    </cfRule>
  </conditionalFormatting>
  <conditionalFormatting sqref="G15:Y15">
    <cfRule type="cellIs" dxfId="18" priority="19" operator="equal">
      <formula>0</formula>
    </cfRule>
  </conditionalFormatting>
  <conditionalFormatting sqref="AB15:AU15">
    <cfRule type="cellIs" dxfId="17" priority="18" operator="equal">
      <formula>0</formula>
    </cfRule>
  </conditionalFormatting>
  <conditionalFormatting sqref="AB36:AU36">
    <cfRule type="cellIs" dxfId="16" priority="17" operator="equal">
      <formula>0</formula>
    </cfRule>
  </conditionalFormatting>
  <conditionalFormatting sqref="G16:Y17">
    <cfRule type="cellIs" dxfId="15" priority="16" operator="equal">
      <formula>0</formula>
    </cfRule>
  </conditionalFormatting>
  <conditionalFormatting sqref="AB16:AU17 AB20:AT21">
    <cfRule type="cellIs" dxfId="14" priority="15" operator="equal">
      <formula>0</formula>
    </cfRule>
  </conditionalFormatting>
  <conditionalFormatting sqref="AB37:AU43">
    <cfRule type="cellIs" dxfId="13" priority="14" operator="equal">
      <formula>0</formula>
    </cfRule>
  </conditionalFormatting>
  <conditionalFormatting sqref="G18:Y18">
    <cfRule type="cellIs" dxfId="12" priority="13" operator="equal">
      <formula>0</formula>
    </cfRule>
  </conditionalFormatting>
  <conditionalFormatting sqref="AB18:AU18">
    <cfRule type="cellIs" dxfId="11" priority="12" operator="equal">
      <formula>0</formula>
    </cfRule>
  </conditionalFormatting>
  <conditionalFormatting sqref="G19:Y22">
    <cfRule type="cellIs" dxfId="10" priority="11" operator="equal">
      <formula>0</formula>
    </cfRule>
  </conditionalFormatting>
  <conditionalFormatting sqref="AB19:AU19 AU20:AU22">
    <cfRule type="cellIs" dxfId="9" priority="10" operator="equal">
      <formula>0</formula>
    </cfRule>
  </conditionalFormatting>
  <conditionalFormatting sqref="G23:Y23">
    <cfRule type="cellIs" dxfId="8" priority="9" operator="equal">
      <formula>0</formula>
    </cfRule>
  </conditionalFormatting>
  <conditionalFormatting sqref="AU23">
    <cfRule type="cellIs" dxfId="7" priority="8" operator="equal">
      <formula>0</formula>
    </cfRule>
  </conditionalFormatting>
  <conditionalFormatting sqref="AB44:AU44">
    <cfRule type="cellIs" dxfId="6" priority="7" operator="equal">
      <formula>0</formula>
    </cfRule>
  </conditionalFormatting>
  <conditionalFormatting sqref="G24:Y24">
    <cfRule type="cellIs" dxfId="5" priority="6" operator="equal">
      <formula>0</formula>
    </cfRule>
  </conditionalFormatting>
  <conditionalFormatting sqref="AU24">
    <cfRule type="cellIs" dxfId="4" priority="5" operator="equal">
      <formula>0</formula>
    </cfRule>
  </conditionalFormatting>
  <conditionalFormatting sqref="AB45:AU45">
    <cfRule type="cellIs" dxfId="3" priority="4" operator="equal">
      <formula>0</formula>
    </cfRule>
  </conditionalFormatting>
  <conditionalFormatting sqref="G25:Y25">
    <cfRule type="cellIs" dxfId="2" priority="3" operator="equal">
      <formula>0</formula>
    </cfRule>
  </conditionalFormatting>
  <conditionalFormatting sqref="AU25">
    <cfRule type="cellIs" dxfId="1" priority="2" operator="equal">
      <formula>0</formula>
    </cfRule>
  </conditionalFormatting>
  <conditionalFormatting sqref="AB46:AU46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5"/>
  <sheetViews>
    <sheetView workbookViewId="0">
      <selection activeCell="I32" sqref="I32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2" t="s">
        <v>23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  <row r="23" spans="6:28" x14ac:dyDescent="0.2">
      <c r="F23" s="4">
        <v>42489</v>
      </c>
      <c r="G23" s="33">
        <v>1.2924263455010854E-2</v>
      </c>
      <c r="H23" s="34">
        <v>1.0213686193189853E-2</v>
      </c>
      <c r="I23" s="33">
        <v>5.1691190811131715E-3</v>
      </c>
      <c r="J23" s="35">
        <v>1.2471291335067081E-2</v>
      </c>
      <c r="K23" s="34">
        <v>9.4981500806763375E-3</v>
      </c>
      <c r="L23" s="34">
        <v>8.1365643468467308E-3</v>
      </c>
      <c r="M23" s="33">
        <v>1.2874107034715365E-2</v>
      </c>
      <c r="N23" s="34">
        <v>1.8503689917784838E-2</v>
      </c>
      <c r="O23" s="34">
        <v>1.5902904613989133E-2</v>
      </c>
      <c r="P23" s="34">
        <v>2.2088753460758337E-2</v>
      </c>
      <c r="Q23" s="34">
        <v>1.5840785933554757E-2</v>
      </c>
      <c r="R23" s="33">
        <v>1.8123449518173906E-2</v>
      </c>
      <c r="S23" s="34">
        <v>1.794900756209783E-2</v>
      </c>
      <c r="T23" s="34">
        <v>1.5931599529768192E-2</v>
      </c>
      <c r="U23" s="33">
        <v>6.4401547282233462E-3</v>
      </c>
      <c r="V23" s="34">
        <v>1.1942686771837518E-2</v>
      </c>
      <c r="W23" s="33">
        <v>2.3379109156238309E-2</v>
      </c>
      <c r="X23" s="33">
        <v>2.3484867504314222E-2</v>
      </c>
      <c r="Y23" s="33">
        <v>1.8659862601862587E-2</v>
      </c>
      <c r="Z23" s="33">
        <v>9.3692580743223175E-3</v>
      </c>
      <c r="AA23" s="34">
        <v>1.2297866427613879E-2</v>
      </c>
      <c r="AB23" s="36">
        <v>1.0813120291628842E-2</v>
      </c>
    </row>
    <row r="24" spans="6:28" x14ac:dyDescent="0.2">
      <c r="F24" s="4">
        <v>42521</v>
      </c>
      <c r="G24" s="33">
        <v>3.7738094695350055E-2</v>
      </c>
      <c r="H24" s="34">
        <v>3.846417621519338E-2</v>
      </c>
      <c r="I24" s="33">
        <v>4.5583780264690343E-2</v>
      </c>
      <c r="J24" s="35">
        <v>3.5342319525555554E-2</v>
      </c>
      <c r="K24" s="34">
        <v>3.0728284016672047E-2</v>
      </c>
      <c r="L24" s="34">
        <v>3.4270763601772281E-2</v>
      </c>
      <c r="M24" s="33">
        <v>3.7572338118019744E-2</v>
      </c>
      <c r="N24" s="34">
        <v>3.9007810250953678E-2</v>
      </c>
      <c r="O24" s="34">
        <v>3.2593090016116655E-2</v>
      </c>
      <c r="P24" s="34">
        <v>3.531444098659553E-2</v>
      </c>
      <c r="Q24" s="34">
        <v>3.5640502617595438E-2</v>
      </c>
      <c r="R24" s="33">
        <v>2.9825751765785613E-2</v>
      </c>
      <c r="S24" s="34">
        <v>3.1978533643832296E-2</v>
      </c>
      <c r="T24" s="34">
        <v>3.5944088724727097E-2</v>
      </c>
      <c r="U24" s="33">
        <v>2.8364113691922821E-2</v>
      </c>
      <c r="V24" s="34">
        <v>3.2382858548542837E-2</v>
      </c>
      <c r="W24" s="33">
        <v>3.6849352781354927E-2</v>
      </c>
      <c r="X24" s="33">
        <v>3.3969813925671222E-2</v>
      </c>
      <c r="Y24" s="33">
        <v>2.8964065502726788E-2</v>
      </c>
      <c r="Z24" s="33">
        <v>4.5342596328115103E-3</v>
      </c>
      <c r="AA24" s="34">
        <v>8.2751715524469471E-3</v>
      </c>
      <c r="AB24" s="36">
        <v>7.1619613367726043E-3</v>
      </c>
    </row>
    <row r="25" spans="6:28" x14ac:dyDescent="0.2">
      <c r="F25" s="4">
        <v>42551</v>
      </c>
      <c r="G25" s="33">
        <v>3.4365653770311422E-2</v>
      </c>
      <c r="H25" s="34">
        <v>3.7535543692606366E-2</v>
      </c>
      <c r="I25" s="33">
        <v>3.9350154426490702E-2</v>
      </c>
      <c r="J25" s="35">
        <v>1.9004338152583733E-2</v>
      </c>
      <c r="K25" s="34">
        <v>1.1849014987595607E-2</v>
      </c>
      <c r="L25" s="34">
        <v>3.0868701754552141E-2</v>
      </c>
      <c r="M25" s="33">
        <v>-3.2835625183107453E-3</v>
      </c>
      <c r="N25" s="34">
        <v>4.5779587704308788E-4</v>
      </c>
      <c r="O25" s="34">
        <v>-1.6508695447099431E-3</v>
      </c>
      <c r="P25" s="34">
        <v>1.7149253105325668E-2</v>
      </c>
      <c r="Q25" s="34">
        <v>3.5170888991724159E-2</v>
      </c>
      <c r="R25" s="33">
        <v>1.3692127891511419E-3</v>
      </c>
      <c r="S25" s="34">
        <v>7.5143448300079019E-3</v>
      </c>
      <c r="T25" s="34">
        <v>3.4258755575580446E-2</v>
      </c>
      <c r="U25" s="33">
        <v>1.3212870730596737E-3</v>
      </c>
      <c r="V25" s="34">
        <v>1.7653088824538532E-2</v>
      </c>
      <c r="W25" s="33">
        <v>4.5911595291396656E-2</v>
      </c>
      <c r="X25" s="33">
        <v>3.0844215652262807E-2</v>
      </c>
      <c r="Y25" s="33">
        <v>2.6140036404572298E-2</v>
      </c>
      <c r="Z25" s="33">
        <v>-0.11082100936409123</v>
      </c>
      <c r="AA25" s="34">
        <v>-9.6261761145462033E-2</v>
      </c>
      <c r="AB25" s="36">
        <v>-7.4309221701654216E-2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2016-07-06T17:14:49Z</dcterms:modified>
</cp:coreProperties>
</file>