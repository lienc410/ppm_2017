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0" yWindow="0" windowWidth="31170" windowHeight="15795"/>
  </bookViews>
  <sheets>
    <sheet name="Price D Coupon" sheetId="1" r:id="rId1"/>
    <sheet name="Price" sheetId="2" r:id="rId2"/>
    <sheet name="CurrentCoupon" sheetId="3" r:id="rId3"/>
  </sheets>
  <calcPr calcId="145621"/>
</workbook>
</file>

<file path=xl/calcChain.xml><?xml version="1.0" encoding="utf-8"?>
<calcChain xmlns="http://schemas.openxmlformats.org/spreadsheetml/2006/main">
  <c r="BB62" i="1" l="1"/>
  <c r="BB63" i="1"/>
  <c r="BB64" i="1"/>
  <c r="BB65" i="1"/>
  <c r="BB66" i="1"/>
  <c r="BB67" i="1"/>
  <c r="BB68" i="1"/>
  <c r="BB69" i="1"/>
  <c r="BB70" i="1"/>
  <c r="BB71" i="1"/>
  <c r="BB72" i="1"/>
  <c r="BB73" i="1"/>
  <c r="BB74" i="1"/>
  <c r="BB75" i="1"/>
  <c r="BB76" i="1"/>
  <c r="BB77" i="1"/>
  <c r="BB78" i="1"/>
  <c r="BB79" i="1"/>
  <c r="BB80" i="1"/>
  <c r="BB81" i="1"/>
  <c r="BB82" i="1"/>
  <c r="BB83" i="1"/>
  <c r="BB84" i="1"/>
  <c r="BB85" i="1"/>
  <c r="BB86" i="1"/>
  <c r="BB87" i="1"/>
  <c r="BB88" i="1"/>
  <c r="BB89" i="1"/>
  <c r="BB90" i="1"/>
  <c r="BB91" i="1"/>
  <c r="BB92" i="1"/>
  <c r="BB93" i="1"/>
  <c r="BB94" i="1"/>
  <c r="BB95" i="1"/>
  <c r="BB96" i="1"/>
  <c r="BB97" i="1"/>
  <c r="BB98" i="1"/>
  <c r="BB99" i="1"/>
  <c r="BB100" i="1"/>
  <c r="BB101" i="1"/>
  <c r="BB102" i="1"/>
  <c r="BB103" i="1"/>
  <c r="BB104" i="1"/>
  <c r="BB105" i="1"/>
  <c r="BB106" i="1"/>
  <c r="BB107" i="1"/>
  <c r="BB108" i="1"/>
  <c r="BB109" i="1"/>
  <c r="BB61" i="1"/>
  <c r="G56" i="1" l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AD56" i="1"/>
  <c r="AD55" i="1" l="1"/>
  <c r="AE55" i="1" s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AD54" i="1"/>
  <c r="AE54" i="1" s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AE53" i="1"/>
  <c r="AD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AD52" i="1"/>
  <c r="AE52" i="1" s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AD51" i="1"/>
  <c r="AE51" i="1" s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AD50" i="1"/>
  <c r="AE50" i="1" s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AE49" i="1"/>
  <c r="AD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AD48" i="1"/>
  <c r="AE48" i="1" s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AD47" i="1"/>
  <c r="AE47" i="1" s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AD46" i="1"/>
  <c r="AE46" i="1" s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AE45" i="1"/>
  <c r="AD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AD44" i="1"/>
  <c r="AE44" i="1" s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AD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AD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AD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AD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AD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AD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AD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AD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AD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AD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AD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AD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AD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AD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AD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AD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AD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AD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AD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AD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AD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AD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AD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AD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AD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AD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AD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AD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AD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AD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AD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AD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AD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AD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AD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AD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AH101" i="1" l="1"/>
  <c r="AS109" i="1"/>
  <c r="AU109" i="1"/>
  <c r="AX109" i="1"/>
  <c r="AW109" i="1"/>
  <c r="AS108" i="1"/>
  <c r="AO105" i="1"/>
  <c r="AW103" i="1"/>
  <c r="AK102" i="1"/>
  <c r="AS100" i="1"/>
  <c r="AO97" i="1"/>
  <c r="AW95" i="1"/>
  <c r="AK94" i="1"/>
  <c r="AS92" i="1"/>
  <c r="AO89" i="1"/>
  <c r="AW87" i="1"/>
  <c r="AK86" i="1"/>
  <c r="AS84" i="1"/>
  <c r="AO81" i="1"/>
  <c r="AJ108" i="1"/>
  <c r="AR106" i="1"/>
  <c r="AN103" i="1"/>
  <c r="AV101" i="1"/>
  <c r="AJ100" i="1"/>
  <c r="AR98" i="1"/>
  <c r="AN95" i="1"/>
  <c r="AV93" i="1"/>
  <c r="AJ92" i="1"/>
  <c r="AR90" i="1"/>
  <c r="AN87" i="1"/>
  <c r="AV85" i="1"/>
  <c r="AJ84" i="1"/>
  <c r="AR82" i="1"/>
  <c r="AU107" i="1"/>
  <c r="AI106" i="1"/>
  <c r="AQ104" i="1"/>
  <c r="AM101" i="1"/>
  <c r="AU99" i="1"/>
  <c r="AI98" i="1"/>
  <c r="AQ96" i="1"/>
  <c r="AM93" i="1"/>
  <c r="AU91" i="1"/>
  <c r="AI90" i="1"/>
  <c r="AQ88" i="1"/>
  <c r="AM85" i="1"/>
  <c r="AU83" i="1"/>
  <c r="AI82" i="1"/>
  <c r="AQ80" i="1"/>
  <c r="AM77" i="1"/>
  <c r="AU75" i="1"/>
  <c r="AI74" i="1"/>
  <c r="AQ72" i="1"/>
  <c r="AM69" i="1"/>
  <c r="AU67" i="1"/>
  <c r="AI66" i="1"/>
  <c r="AQ64" i="1"/>
  <c r="AM61" i="1"/>
  <c r="AL107" i="1"/>
  <c r="AL105" i="1"/>
  <c r="AL103" i="1"/>
  <c r="AL101" i="1"/>
  <c r="AM108" i="1"/>
  <c r="AU106" i="1"/>
  <c r="AI105" i="1"/>
  <c r="AQ103" i="1"/>
  <c r="AM102" i="1"/>
  <c r="AU100" i="1"/>
  <c r="AI99" i="1"/>
  <c r="AQ97" i="1"/>
  <c r="AH86" i="1"/>
  <c r="AH99" i="1"/>
  <c r="AJ109" i="1"/>
  <c r="AN109" i="1"/>
  <c r="AS106" i="1"/>
  <c r="AO103" i="1"/>
  <c r="AK100" i="1"/>
  <c r="AW93" i="1"/>
  <c r="AS90" i="1"/>
  <c r="AO87" i="1"/>
  <c r="AK84" i="1"/>
  <c r="AJ106" i="1"/>
  <c r="AV99" i="1"/>
  <c r="AR96" i="1"/>
  <c r="AN93" i="1"/>
  <c r="AJ90" i="1"/>
  <c r="AV83" i="1"/>
  <c r="AU105" i="1"/>
  <c r="AQ102" i="1"/>
  <c r="AM99" i="1"/>
  <c r="AI96" i="1"/>
  <c r="AU89" i="1"/>
  <c r="AQ86" i="1"/>
  <c r="AM83" i="1"/>
  <c r="AI80" i="1"/>
  <c r="AU73" i="1"/>
  <c r="AQ70" i="1"/>
  <c r="AM67" i="1"/>
  <c r="AI64" i="1"/>
  <c r="AX108" i="1"/>
  <c r="AX104" i="1"/>
  <c r="AX100" i="1"/>
  <c r="AM106" i="1"/>
  <c r="AH103" i="1"/>
  <c r="AM98" i="1"/>
  <c r="AU96" i="1"/>
  <c r="AI95" i="1"/>
  <c r="AQ93" i="1"/>
  <c r="AM90" i="1"/>
  <c r="AU88" i="1"/>
  <c r="AI87" i="1"/>
  <c r="AQ85" i="1"/>
  <c r="AM82" i="1"/>
  <c r="AI81" i="1"/>
  <c r="AQ79" i="1"/>
  <c r="AM76" i="1"/>
  <c r="AW108" i="1"/>
  <c r="AT104" i="1"/>
  <c r="AN100" i="1"/>
  <c r="AL96" i="1"/>
  <c r="AL92" i="1"/>
  <c r="AL88" i="1"/>
  <c r="AL84" i="1"/>
  <c r="AH69" i="1"/>
  <c r="AM100" i="1"/>
  <c r="BE9" i="1"/>
  <c r="AR109" i="1"/>
  <c r="AO109" i="1"/>
  <c r="AH109" i="1"/>
  <c r="AK106" i="1"/>
  <c r="AW99" i="1"/>
  <c r="AS96" i="1"/>
  <c r="AO93" i="1"/>
  <c r="AK90" i="1"/>
  <c r="AW83" i="1"/>
  <c r="AV105" i="1"/>
  <c r="AR102" i="1"/>
  <c r="AN99" i="1"/>
  <c r="AJ96" i="1"/>
  <c r="AV89" i="1"/>
  <c r="AR86" i="1"/>
  <c r="AN83" i="1"/>
  <c r="AQ108" i="1"/>
  <c r="AM105" i="1"/>
  <c r="AI102" i="1"/>
  <c r="AU95" i="1"/>
  <c r="AQ92" i="1"/>
  <c r="AM89" i="1"/>
  <c r="AI86" i="1"/>
  <c r="AU79" i="1"/>
  <c r="AQ76" i="1"/>
  <c r="AM73" i="1"/>
  <c r="AI70" i="1"/>
  <c r="AU63" i="1"/>
  <c r="AP108" i="1"/>
  <c r="AP104" i="1"/>
  <c r="AP100" i="1"/>
  <c r="AI103" i="1"/>
  <c r="AM96" i="1"/>
  <c r="AU94" i="1"/>
  <c r="AI93" i="1"/>
  <c r="AQ91" i="1"/>
  <c r="AM88" i="1"/>
  <c r="AU86" i="1"/>
  <c r="AI85" i="1"/>
  <c r="AQ83" i="1"/>
  <c r="AU80" i="1"/>
  <c r="AI79" i="1"/>
  <c r="AQ77" i="1"/>
  <c r="AX107" i="1"/>
  <c r="AR103" i="1"/>
  <c r="AP99" i="1"/>
  <c r="AP95" i="1"/>
  <c r="AP91" i="1"/>
  <c r="AP87" i="1"/>
  <c r="AP83" i="1"/>
  <c r="AH82" i="1"/>
  <c r="AP109" i="1"/>
  <c r="AW105" i="1"/>
  <c r="AS102" i="1"/>
  <c r="AO99" i="1"/>
  <c r="AK96" i="1"/>
  <c r="AW89" i="1"/>
  <c r="AS86" i="1"/>
  <c r="AO83" i="1"/>
  <c r="AR108" i="1"/>
  <c r="AN105" i="1"/>
  <c r="AJ102" i="1"/>
  <c r="AV95" i="1"/>
  <c r="AR92" i="1"/>
  <c r="AN89" i="1"/>
  <c r="AJ86" i="1"/>
  <c r="AI108" i="1"/>
  <c r="AU101" i="1"/>
  <c r="AQ98" i="1"/>
  <c r="AM95" i="1"/>
  <c r="AI92" i="1"/>
  <c r="AU85" i="1"/>
  <c r="AQ82" i="1"/>
  <c r="AM79" i="1"/>
  <c r="AI76" i="1"/>
  <c r="AU69" i="1"/>
  <c r="AQ66" i="1"/>
  <c r="AM63" i="1"/>
  <c r="AT107" i="1"/>
  <c r="AT103" i="1"/>
  <c r="AU108" i="1"/>
  <c r="AQ105" i="1"/>
  <c r="AU102" i="1"/>
  <c r="AH67" i="1"/>
  <c r="AK109" i="1"/>
  <c r="AO80" i="1"/>
  <c r="AS75" i="1"/>
  <c r="AV72" i="1"/>
  <c r="AT68" i="1"/>
  <c r="AR64" i="1"/>
  <c r="AS107" i="1"/>
  <c r="AN102" i="1"/>
  <c r="AT93" i="1"/>
  <c r="AX84" i="1"/>
  <c r="AK78" i="1"/>
  <c r="AI109" i="1"/>
  <c r="AM109" i="1"/>
  <c r="AS104" i="1"/>
  <c r="AK98" i="1"/>
  <c r="AW91" i="1"/>
  <c r="AO85" i="1"/>
  <c r="AN107" i="1"/>
  <c r="AR94" i="1"/>
  <c r="AJ88" i="1"/>
  <c r="AV81" i="1"/>
  <c r="AU103" i="1"/>
  <c r="AM97" i="1"/>
  <c r="AQ84" i="1"/>
  <c r="AI78" i="1"/>
  <c r="AU71" i="1"/>
  <c r="AM65" i="1"/>
  <c r="AP106" i="1"/>
  <c r="AQ107" i="1"/>
  <c r="AQ101" i="1"/>
  <c r="AI97" i="1"/>
  <c r="AU90" i="1"/>
  <c r="AQ87" i="1"/>
  <c r="AM84" i="1"/>
  <c r="AH81" i="1"/>
  <c r="AM78" i="1"/>
  <c r="AI75" i="1"/>
  <c r="AP101" i="1"/>
  <c r="AX93" i="1"/>
  <c r="AX85" i="1"/>
  <c r="AV77" i="1"/>
  <c r="AS74" i="1"/>
  <c r="AP70" i="1"/>
  <c r="AN66" i="1"/>
  <c r="AW61" i="1"/>
  <c r="AT106" i="1"/>
  <c r="AT97" i="1"/>
  <c r="AX88" i="1"/>
  <c r="AN80" i="1"/>
  <c r="AT77" i="1"/>
  <c r="AL72" i="1"/>
  <c r="AO70" i="1"/>
  <c r="AJ68" i="1"/>
  <c r="AM66" i="1"/>
  <c r="AP64" i="1"/>
  <c r="AT62" i="1"/>
  <c r="AT108" i="1"/>
  <c r="AK103" i="1"/>
  <c r="AK99" i="1"/>
  <c r="AW92" i="1"/>
  <c r="AS89" i="1"/>
  <c r="AO86" i="1"/>
  <c r="AK83" i="1"/>
  <c r="AL80" i="1"/>
  <c r="AJ78" i="1"/>
  <c r="AP75" i="1"/>
  <c r="AR73" i="1"/>
  <c r="AL71" i="1"/>
  <c r="AO108" i="1"/>
  <c r="AL104" i="1"/>
  <c r="AJ99" i="1"/>
  <c r="AV92" i="1"/>
  <c r="AR89" i="1"/>
  <c r="AN86" i="1"/>
  <c r="AJ83" i="1"/>
  <c r="AK80" i="1"/>
  <c r="AR77" i="1"/>
  <c r="AO75" i="1"/>
  <c r="AQ73" i="1"/>
  <c r="AK71" i="1"/>
  <c r="AO69" i="1"/>
  <c r="AR67" i="1"/>
  <c r="AV65" i="1"/>
  <c r="AS61" i="1"/>
  <c r="AL106" i="1"/>
  <c r="AQ109" i="1"/>
  <c r="AV109" i="1"/>
  <c r="AK104" i="1"/>
  <c r="AW97" i="1"/>
  <c r="AO91" i="1"/>
  <c r="AR100" i="1"/>
  <c r="AJ94" i="1"/>
  <c r="AV87" i="1"/>
  <c r="AN81" i="1"/>
  <c r="AM103" i="1"/>
  <c r="AQ90" i="1"/>
  <c r="AI84" i="1"/>
  <c r="AU77" i="1"/>
  <c r="AM71" i="1"/>
  <c r="AT105" i="1"/>
  <c r="AI107" i="1"/>
  <c r="AI101" i="1"/>
  <c r="AX79" i="1"/>
  <c r="AK77" i="1"/>
  <c r="AM72" i="1"/>
  <c r="AK68" i="1"/>
  <c r="AS63" i="1"/>
  <c r="AN61" i="1"/>
  <c r="AK101" i="1"/>
  <c r="AX92" i="1"/>
  <c r="AL83" i="1"/>
  <c r="AW79" i="1"/>
  <c r="AR74" i="1"/>
  <c r="AK108" i="1"/>
  <c r="AW101" i="1"/>
  <c r="AO95" i="1"/>
  <c r="AS82" i="1"/>
  <c r="AR104" i="1"/>
  <c r="AJ98" i="1"/>
  <c r="AV91" i="1"/>
  <c r="AN85" i="1"/>
  <c r="AM107" i="1"/>
  <c r="AQ94" i="1"/>
  <c r="AI88" i="1"/>
  <c r="AU81" i="1"/>
  <c r="AM75" i="1"/>
  <c r="AQ62" i="1"/>
  <c r="AX102" i="1"/>
  <c r="AU104" i="1"/>
  <c r="AQ99" i="1"/>
  <c r="AU92" i="1"/>
  <c r="AQ89" i="1"/>
  <c r="AM86" i="1"/>
  <c r="AI83" i="1"/>
  <c r="AM80" i="1"/>
  <c r="AI77" i="1"/>
  <c r="AV106" i="1"/>
  <c r="AT98" i="1"/>
  <c r="AT90" i="1"/>
  <c r="AN79" i="1"/>
  <c r="AJ74" i="1"/>
  <c r="AJ63" i="1"/>
  <c r="AR105" i="1"/>
  <c r="AX96" i="1"/>
  <c r="AL87" i="1"/>
  <c r="AP82" i="1"/>
  <c r="AJ77" i="1"/>
  <c r="AW71" i="1"/>
  <c r="AT67" i="1"/>
  <c r="AX65" i="1"/>
  <c r="AK62" i="1"/>
  <c r="AO106" i="1"/>
  <c r="AL102" i="1"/>
  <c r="AO98" i="1"/>
  <c r="AK95" i="1"/>
  <c r="AW88" i="1"/>
  <c r="AS85" i="1"/>
  <c r="AO82" i="1"/>
  <c r="AV79" i="1"/>
  <c r="AS77" i="1"/>
  <c r="AI73" i="1"/>
  <c r="AW70" i="1"/>
  <c r="AP107" i="1"/>
  <c r="AJ103" i="1"/>
  <c r="AN98" i="1"/>
  <c r="AJ95" i="1"/>
  <c r="AV88" i="1"/>
  <c r="AR85" i="1"/>
  <c r="AN82" i="1"/>
  <c r="AT79" i="1"/>
  <c r="AX74" i="1"/>
  <c r="AS72" i="1"/>
  <c r="AV70" i="1"/>
  <c r="AI67" i="1"/>
  <c r="AL65" i="1"/>
  <c r="AP63" i="1"/>
  <c r="AJ61" i="1"/>
  <c r="AJ105" i="1"/>
  <c r="AX99" i="1"/>
  <c r="AX95" i="1"/>
  <c r="AX91" i="1"/>
  <c r="AX87" i="1"/>
  <c r="AX83" i="1"/>
  <c r="AJ80" i="1"/>
  <c r="AP77" i="1"/>
  <c r="AN75" i="1"/>
  <c r="AP73" i="1"/>
  <c r="AJ71" i="1"/>
  <c r="AN69" i="1"/>
  <c r="AQ67" i="1"/>
  <c r="AK65" i="1"/>
  <c r="AO63" i="1"/>
  <c r="AR61" i="1"/>
  <c r="AT99" i="1"/>
  <c r="AX103" i="1"/>
  <c r="AO92" i="1"/>
  <c r="AV75" i="1"/>
  <c r="AL109" i="1"/>
  <c r="AK88" i="1"/>
  <c r="AV103" i="1"/>
  <c r="AQ106" i="1"/>
  <c r="AU93" i="1"/>
  <c r="AI68" i="1"/>
  <c r="AT101" i="1"/>
  <c r="AI69" i="1"/>
  <c r="AV108" i="1"/>
  <c r="AL99" i="1"/>
  <c r="AL98" i="1"/>
  <c r="AP89" i="1"/>
  <c r="AT80" i="1"/>
  <c r="AO68" i="1"/>
  <c r="AX63" i="1"/>
  <c r="AX98" i="1"/>
  <c r="AK64" i="1"/>
  <c r="AX78" i="1"/>
  <c r="AJ65" i="1"/>
  <c r="AS103" i="1"/>
  <c r="AN92" i="1"/>
  <c r="AS83" i="1"/>
  <c r="AX76" i="1"/>
  <c r="AW67" i="1"/>
  <c r="AK63" i="1"/>
  <c r="AO100" i="1"/>
  <c r="AW98" i="1"/>
  <c r="AK81" i="1"/>
  <c r="AL75" i="1"/>
  <c r="AS70" i="1"/>
  <c r="AU66" i="1"/>
  <c r="AJ62" i="1"/>
  <c r="AW68" i="1"/>
  <c r="AV98" i="1"/>
  <c r="AT109" i="1"/>
  <c r="AS98" i="1"/>
  <c r="AW85" i="1"/>
  <c r="AN101" i="1"/>
  <c r="AR88" i="1"/>
  <c r="AI104" i="1"/>
  <c r="AM91" i="1"/>
  <c r="AQ78" i="1"/>
  <c r="AU65" i="1"/>
  <c r="AH97" i="1"/>
  <c r="AI91" i="1"/>
  <c r="AU84" i="1"/>
  <c r="AU78" i="1"/>
  <c r="AO102" i="1"/>
  <c r="AT86" i="1"/>
  <c r="AL78" i="1"/>
  <c r="AK73" i="1"/>
  <c r="AP98" i="1"/>
  <c r="AT89" i="1"/>
  <c r="AX80" i="1"/>
  <c r="AR75" i="1"/>
  <c r="AX70" i="1"/>
  <c r="AV66" i="1"/>
  <c r="AI63" i="1"/>
  <c r="AN104" i="1"/>
  <c r="AW96" i="1"/>
  <c r="AO90" i="1"/>
  <c r="AT78" i="1"/>
  <c r="AR93" i="1"/>
  <c r="AJ87" i="1"/>
  <c r="AV80" i="1"/>
  <c r="AT71" i="1"/>
  <c r="AN64" i="1"/>
  <c r="AP93" i="1"/>
  <c r="AT84" i="1"/>
  <c r="AW74" i="1"/>
  <c r="AL70" i="1"/>
  <c r="AT65" i="1"/>
  <c r="AW102" i="1"/>
  <c r="AP96" i="1"/>
  <c r="AL77" i="1"/>
  <c r="AT82" i="1"/>
  <c r="AT76" i="1"/>
  <c r="AX71" i="1"/>
  <c r="AV67" i="1"/>
  <c r="AP86" i="1"/>
  <c r="AL79" i="1"/>
  <c r="AS73" i="1"/>
  <c r="AP97" i="1"/>
  <c r="AT88" i="1"/>
  <c r="AR72" i="1"/>
  <c r="AI61" i="1"/>
  <c r="AL97" i="1"/>
  <c r="AT83" i="1"/>
  <c r="AL63" i="1"/>
  <c r="AP92" i="1"/>
  <c r="AW75" i="1"/>
  <c r="AN63" i="1"/>
  <c r="AL81" i="1"/>
  <c r="AT75" i="1"/>
  <c r="AT70" i="1"/>
  <c r="AX66" i="1"/>
  <c r="AM62" i="1"/>
  <c r="AN96" i="1"/>
  <c r="AS87" i="1"/>
  <c r="AR79" i="1"/>
  <c r="AK74" i="1"/>
  <c r="AP69" i="1"/>
  <c r="AW65" i="1"/>
  <c r="AK61" i="1"/>
  <c r="AO62" i="1"/>
  <c r="AW107" i="1"/>
  <c r="AK82" i="1"/>
  <c r="AV97" i="1"/>
  <c r="AQ100" i="1"/>
  <c r="AU87" i="1"/>
  <c r="AI62" i="1"/>
  <c r="AM104" i="1"/>
  <c r="AQ95" i="1"/>
  <c r="AI89" i="1"/>
  <c r="AU82" i="1"/>
  <c r="AU76" i="1"/>
  <c r="AX97" i="1"/>
  <c r="AL67" i="1"/>
  <c r="AU62" i="1"/>
  <c r="AO104" i="1"/>
  <c r="AL95" i="1"/>
  <c r="AQ69" i="1"/>
  <c r="AO65" i="1"/>
  <c r="AV61" i="1"/>
  <c r="AJ101" i="1"/>
  <c r="AO94" i="1"/>
  <c r="AS81" i="1"/>
  <c r="AR76" i="1"/>
  <c r="AT72" i="1"/>
  <c r="AN106" i="1"/>
  <c r="AR97" i="1"/>
  <c r="AJ91" i="1"/>
  <c r="AV84" i="1"/>
  <c r="AJ79" i="1"/>
  <c r="AO74" i="1"/>
  <c r="AM70" i="1"/>
  <c r="AT66" i="1"/>
  <c r="AN108" i="1"/>
  <c r="AT92" i="1"/>
  <c r="AS79" i="1"/>
  <c r="AN74" i="1"/>
  <c r="AW69" i="1"/>
  <c r="AX101" i="1"/>
  <c r="AV94" i="1"/>
  <c r="AT69" i="1"/>
  <c r="AO107" i="1"/>
  <c r="AW81" i="1"/>
  <c r="AV107" i="1"/>
  <c r="AJ82" i="1"/>
  <c r="AX106" i="1"/>
  <c r="AM94" i="1"/>
  <c r="AQ81" i="1"/>
  <c r="AT94" i="1"/>
  <c r="AW66" i="1"/>
  <c r="AP103" i="1"/>
  <c r="AU72" i="1"/>
  <c r="AK87" i="1"/>
  <c r="AK105" i="1"/>
  <c r="AN90" i="1"/>
  <c r="AS78" i="1"/>
  <c r="AX69" i="1"/>
  <c r="AW100" i="1"/>
  <c r="AS66" i="1"/>
  <c r="AP62" i="1"/>
  <c r="AV100" i="1"/>
  <c r="AR70" i="1"/>
  <c r="AS65" i="1"/>
  <c r="AL93" i="1"/>
  <c r="AN76" i="1"/>
  <c r="AP66" i="1"/>
  <c r="AJ89" i="1"/>
  <c r="AV74" i="1"/>
  <c r="AQ65" i="1"/>
  <c r="AW104" i="1"/>
  <c r="AV104" i="1"/>
  <c r="AT74" i="1"/>
  <c r="AH70" i="1"/>
  <c r="AK107" i="1"/>
  <c r="AW72" i="1"/>
  <c r="AP84" i="1"/>
  <c r="AK76" i="1"/>
  <c r="AL91" i="1"/>
  <c r="AM64" i="1"/>
  <c r="AO78" i="1"/>
  <c r="AW76" i="1"/>
  <c r="AV62" i="1"/>
  <c r="AN91" i="1"/>
  <c r="AP90" i="1"/>
  <c r="AK79" i="1"/>
  <c r="AJ72" i="1"/>
  <c r="AL94" i="1"/>
  <c r="AS99" i="1"/>
  <c r="AX62" i="1"/>
  <c r="AO67" i="1"/>
  <c r="AP65" i="1"/>
  <c r="AL100" i="1"/>
  <c r="AL90" i="1"/>
  <c r="AP81" i="1"/>
  <c r="AX75" i="1"/>
  <c r="AN88" i="1"/>
  <c r="AL73" i="1"/>
  <c r="AI65" i="1"/>
  <c r="AJ64" i="1"/>
  <c r="AV102" i="1"/>
  <c r="AR83" i="1"/>
  <c r="AV71" i="1"/>
  <c r="AT102" i="1"/>
  <c r="AL89" i="1"/>
  <c r="AK75" i="1"/>
  <c r="AL69" i="1"/>
  <c r="AW82" i="1"/>
  <c r="AK70" i="1"/>
  <c r="AR65" i="1"/>
  <c r="AR80" i="1"/>
  <c r="AJ69" i="1"/>
  <c r="AS64" i="1"/>
  <c r="AN72" i="1"/>
  <c r="AO64" i="1"/>
  <c r="AW94" i="1"/>
  <c r="AL64" i="1"/>
  <c r="AV96" i="1"/>
  <c r="AK89" i="1"/>
  <c r="AW77" i="1"/>
  <c r="AX94" i="1"/>
  <c r="AP61" i="1"/>
  <c r="AU68" i="1"/>
  <c r="AS67" i="1"/>
  <c r="AP67" i="1"/>
  <c r="AU74" i="1"/>
  <c r="AN84" i="1"/>
  <c r="AQ68" i="1"/>
  <c r="AW78" i="1"/>
  <c r="AP105" i="1"/>
  <c r="AN94" i="1"/>
  <c r="AS95" i="1"/>
  <c r="AX90" i="1"/>
  <c r="AO66" i="1"/>
  <c r="AO101" i="1"/>
  <c r="AJ104" i="1"/>
  <c r="AM81" i="1"/>
  <c r="AP102" i="1"/>
  <c r="AM92" i="1"/>
  <c r="AX89" i="1"/>
  <c r="AT73" i="1"/>
  <c r="AT81" i="1"/>
  <c r="AN71" i="1"/>
  <c r="AR63" i="1"/>
  <c r="AS97" i="1"/>
  <c r="AW84" i="1"/>
  <c r="AP74" i="1"/>
  <c r="AP76" i="1"/>
  <c r="AP68" i="1"/>
  <c r="AR62" i="1"/>
  <c r="AU70" i="1"/>
  <c r="AJ66" i="1"/>
  <c r="AJ81" i="1"/>
  <c r="AX73" i="1"/>
  <c r="AU64" i="1"/>
  <c r="AR91" i="1"/>
  <c r="AJ75" i="1"/>
  <c r="AK69" i="1"/>
  <c r="AX105" i="1"/>
  <c r="AW86" i="1"/>
  <c r="AV73" i="1"/>
  <c r="AL68" i="1"/>
  <c r="AT100" i="1"/>
  <c r="AO77" i="1"/>
  <c r="AJ67" i="1"/>
  <c r="AQ63" i="1"/>
  <c r="AK85" i="1"/>
  <c r="AW63" i="1"/>
  <c r="AM68" i="1"/>
  <c r="AS62" i="1"/>
  <c r="AH64" i="1"/>
  <c r="AX68" i="1"/>
  <c r="AO96" i="1"/>
  <c r="AT91" i="1"/>
  <c r="AX86" i="1"/>
  <c r="AV63" i="1"/>
  <c r="AS88" i="1"/>
  <c r="AU98" i="1"/>
  <c r="AR69" i="1"/>
  <c r="AK67" i="1"/>
  <c r="AN70" i="1"/>
  <c r="AW64" i="1"/>
  <c r="AP85" i="1"/>
  <c r="AP78" i="1"/>
  <c r="AX82" i="1"/>
  <c r="AX77" i="1"/>
  <c r="AR101" i="1"/>
  <c r="AS94" i="1"/>
  <c r="AN97" i="1"/>
  <c r="AI100" i="1"/>
  <c r="AQ74" i="1"/>
  <c r="AX81" i="1"/>
  <c r="AO71" i="1"/>
  <c r="AP94" i="1"/>
  <c r="AV78" i="1"/>
  <c r="AT96" i="1"/>
  <c r="AV64" i="1"/>
  <c r="AL108" i="1"/>
  <c r="AN62" i="1"/>
  <c r="AN73" i="1"/>
  <c r="AR99" i="1"/>
  <c r="AS69" i="1"/>
  <c r="AO61" i="1"/>
  <c r="AN78" i="1"/>
  <c r="AR68" i="1"/>
  <c r="AK97" i="1"/>
  <c r="AR87" i="1"/>
  <c r="AP79" i="1"/>
  <c r="AN68" i="1"/>
  <c r="AS101" i="1"/>
  <c r="AS80" i="1"/>
  <c r="AW73" i="1"/>
  <c r="AT64" i="1"/>
  <c r="AR95" i="1"/>
  <c r="AO72" i="1"/>
  <c r="AT63" i="1"/>
  <c r="AV86" i="1"/>
  <c r="AH71" i="1"/>
  <c r="AL66" i="1"/>
  <c r="AV90" i="1"/>
  <c r="AH107" i="1"/>
  <c r="AH73" i="1"/>
  <c r="AH94" i="1"/>
  <c r="AH79" i="1"/>
  <c r="AH63" i="1"/>
  <c r="AH61" i="1"/>
  <c r="AH66" i="1"/>
  <c r="AH105" i="1"/>
  <c r="AH85" i="1"/>
  <c r="AH90" i="1"/>
  <c r="AH96" i="1"/>
  <c r="AH91" i="1"/>
  <c r="AH77" i="1"/>
  <c r="AH98" i="1"/>
  <c r="AH95" i="1"/>
  <c r="AH102" i="1"/>
  <c r="AH68" i="1"/>
  <c r="AK92" i="1"/>
  <c r="AU97" i="1"/>
  <c r="AI72" i="1"/>
  <c r="AQ75" i="1"/>
  <c r="AL62" i="1"/>
  <c r="AS68" i="1"/>
  <c r="AL61" i="1"/>
  <c r="AS93" i="1"/>
  <c r="AW80" i="1"/>
  <c r="AK72" i="1"/>
  <c r="AK66" i="1"/>
  <c r="AL86" i="1"/>
  <c r="AR78" i="1"/>
  <c r="AV68" i="1"/>
  <c r="AT95" i="1"/>
  <c r="AO79" i="1"/>
  <c r="AN67" i="1"/>
  <c r="AI71" i="1"/>
  <c r="AR107" i="1"/>
  <c r="AJ93" i="1"/>
  <c r="AJ97" i="1"/>
  <c r="AP72" i="1"/>
  <c r="AK93" i="1"/>
  <c r="AP71" i="1"/>
  <c r="AO84" i="1"/>
  <c r="AH92" i="1"/>
  <c r="AI94" i="1"/>
  <c r="AS105" i="1"/>
  <c r="AS76" i="1"/>
  <c r="AK91" i="1"/>
  <c r="AR81" i="1"/>
  <c r="AX67" i="1"/>
  <c r="AR71" i="1"/>
  <c r="AL76" i="1"/>
  <c r="AR84" i="1"/>
  <c r="AM87" i="1"/>
  <c r="AT85" i="1"/>
  <c r="AT87" i="1"/>
  <c r="AS91" i="1"/>
  <c r="AJ70" i="1"/>
  <c r="AO73" i="1"/>
  <c r="AN77" i="1"/>
  <c r="AH88" i="1"/>
  <c r="AH76" i="1"/>
  <c r="AH72" i="1"/>
  <c r="AH87" i="1"/>
  <c r="AH89" i="1"/>
  <c r="AL82" i="1"/>
  <c r="AH104" i="1"/>
  <c r="AJ107" i="1"/>
  <c r="AU61" i="1"/>
  <c r="AJ73" i="1"/>
  <c r="AL74" i="1"/>
  <c r="AQ71" i="1"/>
  <c r="AH100" i="1"/>
  <c r="AH65" i="1"/>
  <c r="AT61" i="1"/>
  <c r="AO88" i="1"/>
  <c r="AV82" i="1"/>
  <c r="AH84" i="1"/>
  <c r="AV76" i="1"/>
  <c r="AX61" i="1"/>
  <c r="AV69" i="1"/>
  <c r="AH106" i="1"/>
  <c r="AH93" i="1"/>
  <c r="AH80" i="1"/>
  <c r="AH74" i="1"/>
  <c r="AH83" i="1"/>
  <c r="AJ76" i="1"/>
  <c r="AX64" i="1"/>
  <c r="AH108" i="1"/>
  <c r="AH75" i="1"/>
  <c r="AW106" i="1"/>
  <c r="AQ61" i="1"/>
  <c r="AW62" i="1"/>
  <c r="AW90" i="1"/>
  <c r="AM74" i="1"/>
  <c r="AL85" i="1"/>
  <c r="AR66" i="1"/>
  <c r="AP88" i="1"/>
  <c r="AN65" i="1"/>
  <c r="AH62" i="1"/>
  <c r="AX72" i="1"/>
  <c r="AP80" i="1"/>
  <c r="AO76" i="1"/>
  <c r="AH78" i="1"/>
  <c r="AS71" i="1"/>
  <c r="AJ85" i="1"/>
</calcChain>
</file>

<file path=xl/sharedStrings.xml><?xml version="1.0" encoding="utf-8"?>
<sst xmlns="http://schemas.openxmlformats.org/spreadsheetml/2006/main" count="98" uniqueCount="29">
  <si>
    <t>IOS Unhedged 1m Return (%)</t>
  </si>
  <si>
    <t>Date</t>
  </si>
  <si>
    <t>FN30.
300.
13</t>
  </si>
  <si>
    <t>FN30.
350.
13</t>
  </si>
  <si>
    <t>FN30.
400.
13</t>
  </si>
  <si>
    <t>FN30.
300.
12</t>
  </si>
  <si>
    <t>FN30.
350.
12</t>
  </si>
  <si>
    <t>FN30.
400.
11</t>
  </si>
  <si>
    <t>FN30.
450.
11</t>
  </si>
  <si>
    <t>FN30.
350.
10</t>
  </si>
  <si>
    <t>FN30.
400.
10</t>
  </si>
  <si>
    <t>FN30.
450.
10</t>
  </si>
  <si>
    <t>FN30.
500.
10</t>
  </si>
  <si>
    <t>FN30.
400.
09</t>
  </si>
  <si>
    <t>FN30.
450.
09</t>
  </si>
  <si>
    <t>FN30.
500.
09</t>
  </si>
  <si>
    <t>FN30.
550.
08</t>
  </si>
  <si>
    <t>FN30.
600.
08</t>
  </si>
  <si>
    <t>FN30.
650.
67</t>
  </si>
  <si>
    <t>GII30.
400.
10</t>
  </si>
  <si>
    <t>GII30.
450.
10</t>
  </si>
  <si>
    <t>GII30.
500.
10</t>
  </si>
  <si>
    <t>Avg</t>
  </si>
  <si>
    <t>Asof</t>
  </si>
  <si>
    <t>Coupon</t>
  </si>
  <si>
    <t>Current Coupon</t>
  </si>
  <si>
    <t>Weight</t>
  </si>
  <si>
    <t>Total</t>
  </si>
  <si>
    <t>Monthly Return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</si>
</sst>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;@"/>
    <numFmt numFmtId="165" formatCode="0.0000"/>
    <numFmt numFmtId="166" formatCode="0.0%;[Red]\-0.0%"/>
  </numFmts>
  <fonts count="3" x14ac:knownFonts="1"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EFEBE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2E398A"/>
      </left>
      <right/>
      <top style="thin">
        <color rgb="FF2E398A"/>
      </top>
      <bottom style="thin">
        <color rgb="FF2E398A"/>
      </bottom>
      <diagonal/>
    </border>
    <border>
      <left/>
      <right/>
      <top style="thin">
        <color rgb="FF2E398A"/>
      </top>
      <bottom style="thin">
        <color rgb="FF2E398A"/>
      </bottom>
      <diagonal/>
    </border>
    <border>
      <left/>
      <right style="thin">
        <color rgb="FF2E398A"/>
      </right>
      <top style="thin">
        <color rgb="FF2E398A"/>
      </top>
      <bottom style="thin">
        <color rgb="FF2E398A"/>
      </bottom>
      <diagonal/>
    </border>
    <border>
      <left style="thin">
        <color rgb="FF2E398A"/>
      </left>
      <right style="thin">
        <color rgb="FF2E398A"/>
      </right>
      <top style="thin">
        <color rgb="FF2E398A"/>
      </top>
      <bottom style="thin">
        <color rgb="FF2E398A"/>
      </bottom>
      <diagonal/>
    </border>
    <border>
      <left style="thin">
        <color rgb="FF2E398A"/>
      </left>
      <right/>
      <top/>
      <bottom/>
      <diagonal/>
    </border>
    <border>
      <left style="thin">
        <color rgb="FF2E398A"/>
      </left>
      <right style="hair">
        <color indexed="64"/>
      </right>
      <top style="thin">
        <color rgb="FF2E398A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thin">
        <color rgb="FF2E398A"/>
      </right>
      <top/>
      <bottom style="hair">
        <color indexed="64"/>
      </bottom>
      <diagonal/>
    </border>
    <border>
      <left style="thin">
        <color rgb="FF2E398A"/>
      </left>
      <right style="thin">
        <color rgb="FF2E398A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rgb="FF2E398A"/>
      </left>
      <right style="thin">
        <color rgb="FF2E398A"/>
      </right>
      <top/>
      <bottom/>
      <diagonal/>
    </border>
    <border>
      <left style="thin">
        <color rgb="FF2E398A"/>
      </left>
      <right/>
      <top/>
      <bottom style="thin">
        <color rgb="FF2E398A"/>
      </bottom>
      <diagonal/>
    </border>
    <border>
      <left style="thin">
        <color rgb="FF2E398A"/>
      </left>
      <right style="hair">
        <color indexed="64"/>
      </right>
      <top/>
      <bottom style="thin">
        <color rgb="FF2E398A"/>
      </bottom>
      <diagonal/>
    </border>
    <border>
      <left style="hair">
        <color indexed="64"/>
      </left>
      <right style="hair">
        <color indexed="64"/>
      </right>
      <top/>
      <bottom style="thin">
        <color rgb="FF2E398A"/>
      </bottom>
      <diagonal/>
    </border>
    <border>
      <left style="hair">
        <color indexed="64"/>
      </left>
      <right/>
      <top/>
      <bottom style="thin">
        <color rgb="FF2E398A"/>
      </bottom>
      <diagonal/>
    </border>
    <border>
      <left style="thin">
        <color rgb="FF2E398A"/>
      </left>
      <right style="thin">
        <color rgb="FF2E398A"/>
      </right>
      <top/>
      <bottom style="thin">
        <color rgb="FF2E398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2E398A"/>
      </left>
      <right style="thin">
        <color rgb="FF2E398A"/>
      </right>
      <top style="thin">
        <color rgb="FF2E398A"/>
      </top>
      <bottom/>
      <diagonal/>
    </border>
    <border>
      <left style="thin">
        <color rgb="FF2E398A"/>
      </left>
      <right style="thin">
        <color rgb="FF2E398A"/>
      </right>
      <top style="thin">
        <color rgb="FF2E398A"/>
      </top>
      <bottom style="hair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0">
    <xf numFmtId="0" fontId="0" fillId="0" borderId="0" xfId="0"/>
    <xf numFmtId="0" fontId="1" fillId="2" borderId="3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 wrapText="1"/>
    </xf>
    <xf numFmtId="0" fontId="0" fillId="2" borderId="2" xfId="0" applyFont="1" applyFill="1" applyBorder="1" applyAlignment="1">
      <alignment horizontal="center" wrapText="1"/>
    </xf>
    <xf numFmtId="0" fontId="0" fillId="2" borderId="4" xfId="0" applyFont="1" applyFill="1" applyBorder="1" applyAlignment="1">
      <alignment horizontal="center" wrapText="1"/>
    </xf>
    <xf numFmtId="164" fontId="0" fillId="2" borderId="5" xfId="0" applyNumberFormat="1" applyFont="1" applyFill="1" applyBorder="1"/>
    <xf numFmtId="164" fontId="0" fillId="2" borderId="16" xfId="0" applyNumberFormat="1" applyFont="1" applyFill="1" applyBorder="1"/>
    <xf numFmtId="165" fontId="0" fillId="0" borderId="6" xfId="0" applyNumberFormat="1" applyFont="1" applyBorder="1"/>
    <xf numFmtId="165" fontId="0" fillId="0" borderId="7" xfId="0" applyNumberFormat="1" applyFont="1" applyBorder="1"/>
    <xf numFmtId="165" fontId="0" fillId="0" borderId="8" xfId="0" applyNumberFormat="1" applyFont="1" applyBorder="1"/>
    <xf numFmtId="165" fontId="0" fillId="0" borderId="9" xfId="0" applyNumberFormat="1" applyFont="1" applyBorder="1"/>
    <xf numFmtId="165" fontId="0" fillId="0" borderId="10" xfId="0" applyNumberFormat="1" applyFont="1" applyBorder="1"/>
    <xf numFmtId="165" fontId="0" fillId="0" borderId="11" xfId="0" applyNumberFormat="1" applyFont="1" applyBorder="1"/>
    <xf numFmtId="165" fontId="0" fillId="0" borderId="12" xfId="0" applyNumberFormat="1" applyFont="1" applyBorder="1"/>
    <xf numFmtId="165" fontId="0" fillId="0" borderId="13" xfId="0" applyNumberFormat="1" applyFont="1" applyBorder="1"/>
    <xf numFmtId="165" fontId="0" fillId="0" borderId="14" xfId="0" applyNumberFormat="1" applyFont="1" applyBorder="1"/>
    <xf numFmtId="165" fontId="0" fillId="0" borderId="15" xfId="0" applyNumberFormat="1" applyFont="1" applyBorder="1"/>
    <xf numFmtId="165" fontId="0" fillId="0" borderId="17" xfId="0" applyNumberFormat="1" applyFont="1" applyBorder="1"/>
    <xf numFmtId="165" fontId="0" fillId="0" borderId="18" xfId="0" applyNumberFormat="1" applyFont="1" applyBorder="1"/>
    <xf numFmtId="165" fontId="0" fillId="0" borderId="19" xfId="0" applyNumberFormat="1" applyFont="1" applyBorder="1"/>
    <xf numFmtId="165" fontId="0" fillId="0" borderId="20" xfId="0" applyNumberFormat="1" applyFont="1" applyBorder="1"/>
    <xf numFmtId="0" fontId="1" fillId="2" borderId="3" xfId="0" applyFont="1" applyFill="1" applyBorder="1" applyAlignment="1">
      <alignment horizontal="center"/>
    </xf>
    <xf numFmtId="164" fontId="0" fillId="3" borderId="5" xfId="0" applyNumberFormat="1" applyFont="1" applyFill="1" applyBorder="1"/>
    <xf numFmtId="164" fontId="0" fillId="4" borderId="5" xfId="0" applyNumberFormat="1" applyFont="1" applyFill="1" applyBorder="1"/>
    <xf numFmtId="164" fontId="0" fillId="4" borderId="16" xfId="0" applyNumberFormat="1" applyFont="1" applyFill="1" applyBorder="1"/>
    <xf numFmtId="164" fontId="0" fillId="5" borderId="5" xfId="0" applyNumberFormat="1" applyFont="1" applyFill="1" applyBorder="1"/>
    <xf numFmtId="164" fontId="0" fillId="6" borderId="5" xfId="0" applyNumberFormat="1" applyFont="1" applyFill="1" applyBorder="1"/>
    <xf numFmtId="0" fontId="0" fillId="3" borderId="2" xfId="0" applyFont="1" applyFill="1" applyBorder="1" applyAlignment="1">
      <alignment horizontal="center" wrapText="1"/>
    </xf>
    <xf numFmtId="0" fontId="0" fillId="4" borderId="1" xfId="0" applyFont="1" applyFill="1" applyBorder="1" applyAlignment="1">
      <alignment horizontal="center" wrapText="1"/>
    </xf>
    <xf numFmtId="0" fontId="0" fillId="4" borderId="2" xfId="0" applyFont="1" applyFill="1" applyBorder="1" applyAlignment="1">
      <alignment horizontal="center" wrapText="1"/>
    </xf>
    <xf numFmtId="0" fontId="0" fillId="5" borderId="2" xfId="0" applyFont="1" applyFill="1" applyBorder="1" applyAlignment="1">
      <alignment horizontal="center" wrapText="1"/>
    </xf>
    <xf numFmtId="0" fontId="0" fillId="6" borderId="2" xfId="0" applyFont="1" applyFill="1" applyBorder="1" applyAlignment="1">
      <alignment horizontal="center" wrapText="1"/>
    </xf>
    <xf numFmtId="14" fontId="0" fillId="0" borderId="0" xfId="0" applyNumberFormat="1"/>
    <xf numFmtId="0" fontId="0" fillId="2" borderId="21" xfId="0" applyFont="1" applyFill="1" applyBorder="1" applyAlignment="1">
      <alignment horizontal="center" wrapText="1"/>
    </xf>
    <xf numFmtId="164" fontId="0" fillId="6" borderId="21" xfId="0" applyNumberFormat="1" applyFont="1" applyFill="1" applyBorder="1"/>
    <xf numFmtId="0" fontId="0" fillId="0" borderId="21" xfId="0" applyBorder="1"/>
    <xf numFmtId="164" fontId="0" fillId="5" borderId="21" xfId="0" applyNumberFormat="1" applyFont="1" applyFill="1" applyBorder="1"/>
    <xf numFmtId="164" fontId="0" fillId="3" borderId="21" xfId="0" applyNumberFormat="1" applyFont="1" applyFill="1" applyBorder="1"/>
    <xf numFmtId="164" fontId="0" fillId="4" borderId="21" xfId="0" applyNumberFormat="1" applyFont="1" applyFill="1" applyBorder="1"/>
    <xf numFmtId="0" fontId="0" fillId="7" borderId="1" xfId="0" applyFont="1" applyFill="1" applyBorder="1" applyAlignment="1">
      <alignment horizontal="center" wrapText="1"/>
    </xf>
    <xf numFmtId="0" fontId="0" fillId="7" borderId="2" xfId="0" applyFont="1" applyFill="1" applyBorder="1" applyAlignment="1">
      <alignment horizontal="center" wrapText="1"/>
    </xf>
    <xf numFmtId="0" fontId="1" fillId="7" borderId="22" xfId="0" applyFont="1" applyFill="1" applyBorder="1" applyAlignment="1">
      <alignment horizontal="center" wrapText="1"/>
    </xf>
    <xf numFmtId="9" fontId="0" fillId="0" borderId="6" xfId="1" applyFont="1" applyBorder="1"/>
    <xf numFmtId="9" fontId="0" fillId="0" borderId="7" xfId="1" applyFont="1" applyBorder="1"/>
    <xf numFmtId="9" fontId="0" fillId="0" borderId="8" xfId="1" applyFont="1" applyBorder="1"/>
    <xf numFmtId="9" fontId="0" fillId="0" borderId="9" xfId="1" applyFont="1" applyBorder="1"/>
    <xf numFmtId="9" fontId="0" fillId="0" borderId="11" xfId="1" applyFont="1" applyBorder="1"/>
    <xf numFmtId="9" fontId="0" fillId="0" borderId="12" xfId="1" applyFont="1" applyBorder="1"/>
    <xf numFmtId="9" fontId="0" fillId="0" borderId="13" xfId="1" applyFont="1" applyBorder="1"/>
    <xf numFmtId="9" fontId="0" fillId="0" borderId="14" xfId="1" applyFont="1" applyBorder="1"/>
    <xf numFmtId="9" fontId="0" fillId="0" borderId="15" xfId="1" applyFont="1" applyBorder="1"/>
    <xf numFmtId="9" fontId="0" fillId="0" borderId="17" xfId="1" applyFont="1" applyBorder="1"/>
    <xf numFmtId="9" fontId="0" fillId="0" borderId="18" xfId="1" applyFont="1" applyBorder="1"/>
    <xf numFmtId="9" fontId="0" fillId="0" borderId="19" xfId="1" applyFont="1" applyBorder="1"/>
    <xf numFmtId="9" fontId="0" fillId="0" borderId="20" xfId="1" applyFont="1" applyBorder="1"/>
    <xf numFmtId="166" fontId="0" fillId="0" borderId="23" xfId="0" applyNumberFormat="1" applyFont="1" applyBorder="1"/>
    <xf numFmtId="166" fontId="0" fillId="0" borderId="11" xfId="0" applyNumberFormat="1" applyFont="1" applyBorder="1"/>
    <xf numFmtId="166" fontId="0" fillId="0" borderId="15" xfId="0" applyNumberFormat="1" applyFont="1" applyBorder="1"/>
    <xf numFmtId="166" fontId="0" fillId="0" borderId="20" xfId="0" applyNumberFormat="1" applyFont="1" applyBorder="1"/>
    <xf numFmtId="2" fontId="0" fillId="0" borderId="6" xfId="1" applyNumberFormat="1" applyFont="1" applyBorder="1"/>
    <xf numFmtId="2" fontId="0" fillId="0" borderId="11" xfId="1" applyNumberFormat="1" applyFont="1" applyBorder="1"/>
    <xf numFmtId="0" fontId="1" fillId="7" borderId="1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1"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F5:BE109"/>
  <sheetViews>
    <sheetView tabSelected="1" workbookViewId="0">
      <selection activeCell="X60" sqref="X60"/>
    </sheetView>
  </sheetViews>
  <sheetFormatPr defaultRowHeight="12.75" x14ac:dyDescent="0.2"/>
  <sheetData>
    <row r="5" spans="6:57" x14ac:dyDescent="0.2">
      <c r="G5">
        <v>3</v>
      </c>
      <c r="H5">
        <v>3.5</v>
      </c>
      <c r="I5">
        <v>4</v>
      </c>
      <c r="J5">
        <v>3</v>
      </c>
      <c r="K5">
        <v>3.5</v>
      </c>
      <c r="L5">
        <v>4</v>
      </c>
      <c r="M5">
        <v>4.5</v>
      </c>
      <c r="N5">
        <v>3.5</v>
      </c>
      <c r="O5">
        <v>4</v>
      </c>
      <c r="P5">
        <v>4.5</v>
      </c>
      <c r="Q5">
        <v>5</v>
      </c>
      <c r="R5">
        <v>4</v>
      </c>
      <c r="S5">
        <v>4.5</v>
      </c>
      <c r="T5">
        <v>5</v>
      </c>
      <c r="U5">
        <v>5.5</v>
      </c>
      <c r="V5">
        <v>6</v>
      </c>
      <c r="W5">
        <v>6.5</v>
      </c>
      <c r="X5">
        <v>4</v>
      </c>
      <c r="Y5">
        <v>4.5</v>
      </c>
      <c r="Z5">
        <v>5</v>
      </c>
    </row>
    <row r="6" spans="6:57" ht="15" x14ac:dyDescent="0.25">
      <c r="F6" s="64" t="s">
        <v>0</v>
      </c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6"/>
      <c r="AA6" s="1"/>
      <c r="AG6" s="61" t="s">
        <v>26</v>
      </c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/>
      <c r="AX6" s="62"/>
      <c r="AY6" s="62"/>
      <c r="AZ6" s="62"/>
      <c r="BA6" s="62"/>
      <c r="BB6" s="63"/>
    </row>
    <row r="7" spans="6:57" ht="39" x14ac:dyDescent="0.25">
      <c r="F7" s="2" t="s">
        <v>1</v>
      </c>
      <c r="G7" s="28" t="s">
        <v>2</v>
      </c>
      <c r="H7" s="29" t="s">
        <v>3</v>
      </c>
      <c r="I7" s="29" t="s">
        <v>4</v>
      </c>
      <c r="J7" s="27" t="s">
        <v>5</v>
      </c>
      <c r="K7" s="27" t="s">
        <v>6</v>
      </c>
      <c r="L7" s="30" t="s">
        <v>7</v>
      </c>
      <c r="M7" s="30" t="s">
        <v>8</v>
      </c>
      <c r="N7" s="31" t="s">
        <v>9</v>
      </c>
      <c r="O7" s="31" t="s">
        <v>10</v>
      </c>
      <c r="P7" s="31" t="s">
        <v>11</v>
      </c>
      <c r="Q7" s="31" t="s">
        <v>12</v>
      </c>
      <c r="R7" s="3" t="s">
        <v>13</v>
      </c>
      <c r="S7" s="3" t="s">
        <v>14</v>
      </c>
      <c r="T7" s="3" t="s">
        <v>15</v>
      </c>
      <c r="U7" s="3" t="s">
        <v>16</v>
      </c>
      <c r="V7" s="3" t="s">
        <v>17</v>
      </c>
      <c r="W7" s="3" t="s">
        <v>18</v>
      </c>
      <c r="X7" s="2" t="s">
        <v>19</v>
      </c>
      <c r="Y7" s="3" t="s">
        <v>20</v>
      </c>
      <c r="Z7" s="3" t="s">
        <v>21</v>
      </c>
      <c r="AA7" s="4" t="s">
        <v>22</v>
      </c>
      <c r="AC7" s="33" t="s">
        <v>1</v>
      </c>
      <c r="AD7" s="33" t="s">
        <v>25</v>
      </c>
      <c r="AG7" s="39" t="s">
        <v>1</v>
      </c>
      <c r="AH7" s="39" t="s">
        <v>2</v>
      </c>
      <c r="AI7" s="40" t="s">
        <v>3</v>
      </c>
      <c r="AJ7" s="40" t="s">
        <v>4</v>
      </c>
      <c r="AK7" s="40" t="s">
        <v>5</v>
      </c>
      <c r="AL7" s="40" t="s">
        <v>6</v>
      </c>
      <c r="AM7" s="40" t="s">
        <v>7</v>
      </c>
      <c r="AN7" s="40" t="s">
        <v>8</v>
      </c>
      <c r="AO7" s="40" t="s">
        <v>9</v>
      </c>
      <c r="AP7" s="40" t="s">
        <v>10</v>
      </c>
      <c r="AQ7" s="40" t="s">
        <v>11</v>
      </c>
      <c r="AR7" s="40" t="s">
        <v>12</v>
      </c>
      <c r="AS7" s="40" t="s">
        <v>13</v>
      </c>
      <c r="AT7" s="40" t="s">
        <v>14</v>
      </c>
      <c r="AU7" s="40" t="s">
        <v>15</v>
      </c>
      <c r="AV7" s="40" t="s">
        <v>16</v>
      </c>
      <c r="AW7" s="40" t="s">
        <v>17</v>
      </c>
      <c r="AX7" s="40" t="s">
        <v>18</v>
      </c>
      <c r="AY7" s="39" t="s">
        <v>19</v>
      </c>
      <c r="AZ7" s="40" t="s">
        <v>20</v>
      </c>
      <c r="BA7" s="40" t="s">
        <v>21</v>
      </c>
      <c r="BB7" s="41" t="s">
        <v>27</v>
      </c>
    </row>
    <row r="8" spans="6:57" ht="25.5" x14ac:dyDescent="0.2">
      <c r="F8" s="26">
        <v>40633</v>
      </c>
      <c r="G8" s="10">
        <f>Price!G8/'Price D Coupon'!G$5</f>
        <v>0</v>
      </c>
      <c r="H8" s="10">
        <f>Price!H8/'Price D Coupon'!H$5</f>
        <v>0</v>
      </c>
      <c r="I8" s="10">
        <f>Price!I8/'Price D Coupon'!I$5</f>
        <v>0</v>
      </c>
      <c r="J8" s="10">
        <f>Price!J8/'Price D Coupon'!J$5</f>
        <v>0</v>
      </c>
      <c r="K8" s="10">
        <f>Price!K8/'Price D Coupon'!K$5</f>
        <v>0</v>
      </c>
      <c r="L8" s="10">
        <f>Price!L8/'Price D Coupon'!L$5</f>
        <v>0</v>
      </c>
      <c r="M8" s="10">
        <f>Price!M8/'Price D Coupon'!M$5</f>
        <v>0</v>
      </c>
      <c r="N8" s="10">
        <f>Price!N8/'Price D Coupon'!N$5</f>
        <v>7.0884920628571431</v>
      </c>
      <c r="O8" s="10">
        <f>Price!O8/'Price D Coupon'!O$5</f>
        <v>6.4990277775000003</v>
      </c>
      <c r="P8" s="10">
        <f>Price!P8/'Price D Coupon'!P$5</f>
        <v>5.8183333333333334</v>
      </c>
      <c r="Q8" s="10">
        <f>Price!Q8/'Price D Coupon'!Q$5</f>
        <v>5.1941779780000008</v>
      </c>
      <c r="R8" s="10">
        <f>Price!R8/'Price D Coupon'!R$5</f>
        <v>6.0477777775000003</v>
      </c>
      <c r="S8" s="10">
        <f>Price!S8/'Price D Coupon'!S$5</f>
        <v>5.4329999999999998</v>
      </c>
      <c r="T8" s="10">
        <f>Price!T8/'Price D Coupon'!T$5</f>
        <v>4.8323779780000002</v>
      </c>
      <c r="U8" s="10">
        <f>Price!U8/'Price D Coupon'!U$5</f>
        <v>3.736050323636364</v>
      </c>
      <c r="V8" s="10">
        <f>Price!V8/'Price D Coupon'!V$5</f>
        <v>3.3697777783333334</v>
      </c>
      <c r="W8" s="10">
        <f>Price!W8/'Price D Coupon'!W$5</f>
        <v>3.2810853169230771</v>
      </c>
      <c r="X8" s="10"/>
      <c r="Y8" s="10"/>
      <c r="Z8" s="10"/>
      <c r="AA8" s="11">
        <v>23.785472223000003</v>
      </c>
      <c r="AC8" s="34">
        <v>40633</v>
      </c>
      <c r="AD8" s="35">
        <f>VLOOKUP(AC8,CurrentCoupon!$B$4:$C$1468,2,0)</f>
        <v>4.26321220258097</v>
      </c>
      <c r="AG8" s="5">
        <v>40633</v>
      </c>
      <c r="AH8" s="42">
        <v>0</v>
      </c>
      <c r="AI8" s="42">
        <v>0</v>
      </c>
      <c r="AJ8" s="42">
        <v>0</v>
      </c>
      <c r="AK8" s="42">
        <v>0</v>
      </c>
      <c r="AL8" s="42">
        <v>0</v>
      </c>
      <c r="AM8" s="42">
        <v>0</v>
      </c>
      <c r="AN8" s="42">
        <v>0</v>
      </c>
      <c r="AO8" s="42">
        <v>2.7406309509684916E-2</v>
      </c>
      <c r="AP8" s="42">
        <v>0.14046648601037554</v>
      </c>
      <c r="AQ8" s="42">
        <v>0.12975199274639487</v>
      </c>
      <c r="AR8" s="42">
        <v>6.2968110776433703E-2</v>
      </c>
      <c r="AS8" s="42">
        <v>0.1294842408581158</v>
      </c>
      <c r="AT8" s="42">
        <v>0.28829270139547647</v>
      </c>
      <c r="AU8" s="42">
        <v>6.6411433101945902E-2</v>
      </c>
      <c r="AV8" s="42">
        <v>7.027950143222679E-2</v>
      </c>
      <c r="AW8" s="42">
        <v>3.6736392567162462E-2</v>
      </c>
      <c r="AX8" s="42">
        <v>4.8202831602183825E-2</v>
      </c>
      <c r="AY8" s="45"/>
      <c r="AZ8" s="43"/>
      <c r="BA8" s="44"/>
      <c r="BB8" s="46">
        <v>1.0000000000000002</v>
      </c>
      <c r="BD8" s="2" t="s">
        <v>1</v>
      </c>
      <c r="BE8" s="4" t="s">
        <v>28</v>
      </c>
    </row>
    <row r="9" spans="6:57" x14ac:dyDescent="0.2">
      <c r="F9" s="26">
        <v>40662</v>
      </c>
      <c r="G9" s="10">
        <f>Price!G9/'Price D Coupon'!G$5</f>
        <v>0</v>
      </c>
      <c r="H9" s="10">
        <f>Price!H9/'Price D Coupon'!H$5</f>
        <v>0</v>
      </c>
      <c r="I9" s="10">
        <f>Price!I9/'Price D Coupon'!I$5</f>
        <v>0</v>
      </c>
      <c r="J9" s="10">
        <f>Price!J9/'Price D Coupon'!J$5</f>
        <v>0</v>
      </c>
      <c r="K9" s="10">
        <f>Price!K9/'Price D Coupon'!K$5</f>
        <v>0</v>
      </c>
      <c r="L9" s="10">
        <f>Price!L9/'Price D Coupon'!L$5</f>
        <v>0</v>
      </c>
      <c r="M9" s="10">
        <f>Price!M9/'Price D Coupon'!M$5</f>
        <v>0</v>
      </c>
      <c r="N9" s="10">
        <f>Price!N9/'Price D Coupon'!N$5</f>
        <v>7.1224124114285718</v>
      </c>
      <c r="O9" s="10">
        <f>Price!O9/'Price D Coupon'!O$5</f>
        <v>6.5653055550000001</v>
      </c>
      <c r="P9" s="10">
        <f>Price!P9/'Price D Coupon'!P$5</f>
        <v>5.8551111111111105</v>
      </c>
      <c r="Q9" s="10">
        <f>Price!Q9/'Price D Coupon'!Q$5</f>
        <v>5.3055555559999998</v>
      </c>
      <c r="R9" s="10">
        <f>Price!R9/'Price D Coupon'!R$5</f>
        <v>6.0878055550000001</v>
      </c>
      <c r="S9" s="10">
        <f>Price!S9/'Price D Coupon'!S$5</f>
        <v>5.4904446666666669</v>
      </c>
      <c r="T9" s="10">
        <f>Price!T9/'Price D Coupon'!T$5</f>
        <v>4.996155356</v>
      </c>
      <c r="U9" s="10">
        <f>Price!U9/'Price D Coupon'!U$5</f>
        <v>3.7941010109090909</v>
      </c>
      <c r="V9" s="10">
        <f>Price!V9/'Price D Coupon'!V$5</f>
        <v>3.3973890549999997</v>
      </c>
      <c r="W9" s="10">
        <f>Price!W9/'Price D Coupon'!W$5</f>
        <v>3.3001709400000001</v>
      </c>
      <c r="X9" s="10"/>
      <c r="Y9" s="10"/>
      <c r="Z9" s="10"/>
      <c r="AA9" s="12">
        <v>24.080744444</v>
      </c>
      <c r="AC9" s="34">
        <v>40662</v>
      </c>
      <c r="AD9" s="35">
        <f>VLOOKUP(AC9,CurrentCoupon!$B$4:$C$1468,2,0)</f>
        <v>4.0911415079480502</v>
      </c>
      <c r="AG9" s="5">
        <v>40662</v>
      </c>
      <c r="AH9" s="42">
        <v>0</v>
      </c>
      <c r="AI9" s="42">
        <v>0</v>
      </c>
      <c r="AJ9" s="42">
        <v>0</v>
      </c>
      <c r="AK9" s="42">
        <v>0</v>
      </c>
      <c r="AL9" s="42">
        <v>0</v>
      </c>
      <c r="AM9" s="42">
        <v>0</v>
      </c>
      <c r="AN9" s="42">
        <v>0</v>
      </c>
      <c r="AO9" s="42">
        <v>2.7596453691316442E-2</v>
      </c>
      <c r="AP9" s="42">
        <v>0.14136961211083349</v>
      </c>
      <c r="AQ9" s="42">
        <v>0.13033035628645867</v>
      </c>
      <c r="AR9" s="42">
        <v>6.3100658741694182E-2</v>
      </c>
      <c r="AS9" s="42">
        <v>0.12997806399135686</v>
      </c>
      <c r="AT9" s="42">
        <v>0.28862027926551687</v>
      </c>
      <c r="AU9" s="42">
        <v>6.6274005737986405E-2</v>
      </c>
      <c r="AV9" s="42">
        <v>6.9072966482252238E-2</v>
      </c>
      <c r="AW9" s="42">
        <v>3.6075726499917041E-2</v>
      </c>
      <c r="AX9" s="42">
        <v>4.7581877192667821E-2</v>
      </c>
      <c r="AY9" s="45"/>
      <c r="AZ9" s="43"/>
      <c r="BA9" s="44"/>
      <c r="BB9" s="46">
        <v>1</v>
      </c>
      <c r="BD9" s="5">
        <v>40633</v>
      </c>
      <c r="BE9" s="55">
        <f>G8*AH8</f>
        <v>0</v>
      </c>
    </row>
    <row r="10" spans="6:57" x14ac:dyDescent="0.2">
      <c r="F10" s="26">
        <v>40694</v>
      </c>
      <c r="G10" s="10">
        <f>Price!G10/'Price D Coupon'!G$5</f>
        <v>0</v>
      </c>
      <c r="H10" s="10">
        <f>Price!H10/'Price D Coupon'!H$5</f>
        <v>0</v>
      </c>
      <c r="I10" s="10">
        <f>Price!I10/'Price D Coupon'!I$5</f>
        <v>0</v>
      </c>
      <c r="J10" s="10">
        <f>Price!J10/'Price D Coupon'!J$5</f>
        <v>0</v>
      </c>
      <c r="K10" s="10">
        <f>Price!K10/'Price D Coupon'!K$5</f>
        <v>0</v>
      </c>
      <c r="L10" s="10">
        <f>Price!L10/'Price D Coupon'!L$5</f>
        <v>0</v>
      </c>
      <c r="M10" s="10">
        <f>Price!M10/'Price D Coupon'!M$5</f>
        <v>0</v>
      </c>
      <c r="N10" s="10">
        <f>Price!N10/'Price D Coupon'!N$5</f>
        <v>7.2636352057142863</v>
      </c>
      <c r="O10" s="10">
        <f>Price!O10/'Price D Coupon'!O$5</f>
        <v>6.6542777774999999</v>
      </c>
      <c r="P10" s="10">
        <f>Price!P10/'Price D Coupon'!P$5</f>
        <v>5.8974446666666669</v>
      </c>
      <c r="Q10" s="10">
        <f>Price!Q10/'Price D Coupon'!Q$5</f>
        <v>5.3237777780000002</v>
      </c>
      <c r="R10" s="10">
        <f>Price!R10/'Price D Coupon'!R$5</f>
        <v>6.1670280275000007</v>
      </c>
      <c r="S10" s="10">
        <f>Price!S10/'Price D Coupon'!S$5</f>
        <v>5.4607777777777775</v>
      </c>
      <c r="T10" s="10">
        <f>Price!T10/'Price D Coupon'!T$5</f>
        <v>4.9191779780000005</v>
      </c>
      <c r="U10" s="10">
        <f>Price!U10/'Price D Coupon'!U$5</f>
        <v>3.6756870509090906</v>
      </c>
      <c r="V10" s="10">
        <f>Price!V10/'Price D Coupon'!V$5</f>
        <v>3.4141109449999996</v>
      </c>
      <c r="W10" s="10">
        <f>Price!W10/'Price D Coupon'!W$5</f>
        <v>3.40431624</v>
      </c>
      <c r="X10" s="10"/>
      <c r="Y10" s="10"/>
      <c r="Z10" s="10"/>
      <c r="AA10" s="12">
        <v>24.186372623000004</v>
      </c>
      <c r="AC10" s="34">
        <v>40694</v>
      </c>
      <c r="AD10" s="35">
        <f>VLOOKUP(AC10,CurrentCoupon!$B$4:$C$1468,2,0)</f>
        <v>3.93235427092598</v>
      </c>
      <c r="AG10" s="5">
        <v>40694</v>
      </c>
      <c r="AH10" s="42">
        <v>0</v>
      </c>
      <c r="AI10" s="42">
        <v>0</v>
      </c>
      <c r="AJ10" s="42">
        <v>0</v>
      </c>
      <c r="AK10" s="42">
        <v>0</v>
      </c>
      <c r="AL10" s="42">
        <v>0</v>
      </c>
      <c r="AM10" s="42">
        <v>0</v>
      </c>
      <c r="AN10" s="42">
        <v>0</v>
      </c>
      <c r="AO10" s="42">
        <v>2.7772655228012245E-2</v>
      </c>
      <c r="AP10" s="42">
        <v>0.14222877374359705</v>
      </c>
      <c r="AQ10" s="42">
        <v>0.1308921871647982</v>
      </c>
      <c r="AR10" s="42">
        <v>6.3273705468396738E-2</v>
      </c>
      <c r="AS10" s="42">
        <v>0.13043913725004624</v>
      </c>
      <c r="AT10" s="42">
        <v>0.28907309805873088</v>
      </c>
      <c r="AU10" s="42">
        <v>6.6206834900558509E-2</v>
      </c>
      <c r="AV10" s="42">
        <v>6.7961285557668963E-2</v>
      </c>
      <c r="AW10" s="42">
        <v>3.5405404756512771E-2</v>
      </c>
      <c r="AX10" s="42">
        <v>4.6746917871678603E-2</v>
      </c>
      <c r="AY10" s="45"/>
      <c r="AZ10" s="43"/>
      <c r="BA10" s="44"/>
      <c r="BB10" s="46">
        <v>1.0000000000000002</v>
      </c>
      <c r="BD10" s="5">
        <v>40662</v>
      </c>
      <c r="BE10" s="56">
        <v>1.824176957431662E-2</v>
      </c>
    </row>
    <row r="11" spans="6:57" x14ac:dyDescent="0.2">
      <c r="F11" s="26">
        <v>40724</v>
      </c>
      <c r="G11" s="10">
        <f>Price!G11/'Price D Coupon'!G$5</f>
        <v>0</v>
      </c>
      <c r="H11" s="10">
        <f>Price!H11/'Price D Coupon'!H$5</f>
        <v>0</v>
      </c>
      <c r="I11" s="10">
        <f>Price!I11/'Price D Coupon'!I$5</f>
        <v>0</v>
      </c>
      <c r="J11" s="10">
        <f>Price!J11/'Price D Coupon'!J$5</f>
        <v>0</v>
      </c>
      <c r="K11" s="10">
        <f>Price!K11/'Price D Coupon'!K$5</f>
        <v>0</v>
      </c>
      <c r="L11" s="10">
        <f>Price!L11/'Price D Coupon'!L$5</f>
        <v>0</v>
      </c>
      <c r="M11" s="10">
        <f>Price!M11/'Price D Coupon'!M$5</f>
        <v>0</v>
      </c>
      <c r="N11" s="10">
        <f>Price!N11/'Price D Coupon'!N$5</f>
        <v>7.3284920628571433</v>
      </c>
      <c r="O11" s="10">
        <f>Price!O11/'Price D Coupon'!O$5</f>
        <v>6.7217780275000001</v>
      </c>
      <c r="P11" s="10">
        <f>Price!P11/'Price D Coupon'!P$5</f>
        <v>5.9816666666666665</v>
      </c>
      <c r="Q11" s="10">
        <f>Price!Q11/'Price D Coupon'!Q$5</f>
        <v>5.466777778</v>
      </c>
      <c r="R11" s="10">
        <f>Price!R11/'Price D Coupon'!R$5</f>
        <v>6.1532777775000005</v>
      </c>
      <c r="S11" s="10">
        <f>Price!S11/'Price D Coupon'!S$5</f>
        <v>5.4625555555555563</v>
      </c>
      <c r="T11" s="10">
        <f>Price!T11/'Price D Coupon'!T$5</f>
        <v>4.9863775779999999</v>
      </c>
      <c r="U11" s="10">
        <f>Price!U11/'Price D Coupon'!U$5</f>
        <v>3.6891414145454546</v>
      </c>
      <c r="V11" s="10">
        <f>Price!V11/'Price D Coupon'!V$5</f>
        <v>3.4727777783333331</v>
      </c>
      <c r="W11" s="10">
        <f>Price!W11/'Price D Coupon'!W$5</f>
        <v>3.4553933169230766</v>
      </c>
      <c r="X11" s="10"/>
      <c r="Y11" s="10"/>
      <c r="Z11" s="10"/>
      <c r="AA11" s="12">
        <v>25.453709709999998</v>
      </c>
      <c r="AC11" s="34">
        <v>40724</v>
      </c>
      <c r="AD11" s="35">
        <f>VLOOKUP(AC11,CurrentCoupon!$B$4:$C$1468,2,0)</f>
        <v>4.0210177977435997</v>
      </c>
      <c r="AG11" s="5">
        <v>40724</v>
      </c>
      <c r="AH11" s="42">
        <v>0</v>
      </c>
      <c r="AI11" s="42">
        <v>0</v>
      </c>
      <c r="AJ11" s="42">
        <v>0</v>
      </c>
      <c r="AK11" s="42">
        <v>0</v>
      </c>
      <c r="AL11" s="42">
        <v>0</v>
      </c>
      <c r="AM11" s="42">
        <v>0</v>
      </c>
      <c r="AN11" s="42">
        <v>0</v>
      </c>
      <c r="AO11" s="42">
        <v>2.7926501957768753E-2</v>
      </c>
      <c r="AP11" s="42">
        <v>0.14295239492599032</v>
      </c>
      <c r="AQ11" s="42">
        <v>0.13137857716900042</v>
      </c>
      <c r="AR11" s="42">
        <v>6.3413192505560836E-2</v>
      </c>
      <c r="AS11" s="42">
        <v>0.13080464567183972</v>
      </c>
      <c r="AT11" s="42">
        <v>0.28954874201329145</v>
      </c>
      <c r="AU11" s="42">
        <v>6.6167140076564837E-2</v>
      </c>
      <c r="AV11" s="42">
        <v>6.6975610249229073E-2</v>
      </c>
      <c r="AW11" s="42">
        <v>3.4766828812003103E-2</v>
      </c>
      <c r="AX11" s="42">
        <v>4.6066366618751513E-2</v>
      </c>
      <c r="AY11" s="45"/>
      <c r="AZ11" s="43"/>
      <c r="BA11" s="44"/>
      <c r="BB11" s="46">
        <v>1</v>
      </c>
      <c r="BD11" s="5">
        <v>40694</v>
      </c>
      <c r="BE11" s="56">
        <v>9.513688870633372E-3</v>
      </c>
    </row>
    <row r="12" spans="6:57" x14ac:dyDescent="0.2">
      <c r="F12" s="26">
        <v>40753</v>
      </c>
      <c r="G12" s="10">
        <f>Price!G12/'Price D Coupon'!G$5</f>
        <v>0</v>
      </c>
      <c r="H12" s="10">
        <f>Price!H12/'Price D Coupon'!H$5</f>
        <v>0</v>
      </c>
      <c r="I12" s="10">
        <f>Price!I12/'Price D Coupon'!I$5</f>
        <v>0</v>
      </c>
      <c r="J12" s="10">
        <f>Price!J12/'Price D Coupon'!J$5</f>
        <v>0</v>
      </c>
      <c r="K12" s="10">
        <f>Price!K12/'Price D Coupon'!K$5</f>
        <v>0</v>
      </c>
      <c r="L12" s="10">
        <f>Price!L12/'Price D Coupon'!L$5</f>
        <v>0</v>
      </c>
      <c r="M12" s="10">
        <f>Price!M12/'Price D Coupon'!M$5</f>
        <v>0</v>
      </c>
      <c r="N12" s="10">
        <f>Price!N12/'Price D Coupon'!N$5</f>
        <v>7.1242063485714286</v>
      </c>
      <c r="O12" s="10">
        <f>Price!O12/'Price D Coupon'!O$5</f>
        <v>6.4317780275000001</v>
      </c>
      <c r="P12" s="10">
        <f>Price!P12/'Price D Coupon'!P$5</f>
        <v>5.5701108888888884</v>
      </c>
      <c r="Q12" s="10">
        <f>Price!Q12/'Price D Coupon'!Q$5</f>
        <v>5.0777777779999997</v>
      </c>
      <c r="R12" s="10">
        <f>Price!R12/'Price D Coupon'!R$5</f>
        <v>5.8300275275000004</v>
      </c>
      <c r="S12" s="10">
        <f>Price!S12/'Price D Coupon'!S$5</f>
        <v>5.0389999999999997</v>
      </c>
      <c r="T12" s="10">
        <f>Price!T12/'Price D Coupon'!T$5</f>
        <v>4.571577778</v>
      </c>
      <c r="U12" s="10">
        <f>Price!U12/'Price D Coupon'!U$5</f>
        <v>3.5185959600000003</v>
      </c>
      <c r="V12" s="10">
        <f>Price!V12/'Price D Coupon'!V$5</f>
        <v>3.3341111116666666</v>
      </c>
      <c r="W12" s="10">
        <f>Price!W12/'Price D Coupon'!W$5</f>
        <v>3.3604700861538461</v>
      </c>
      <c r="X12" s="10"/>
      <c r="Y12" s="10"/>
      <c r="Z12" s="10"/>
      <c r="AA12" s="12">
        <v>24.15678624846154</v>
      </c>
      <c r="AC12" s="34">
        <v>40753</v>
      </c>
      <c r="AD12" s="35">
        <f>VLOOKUP(AC12,CurrentCoupon!$B$4:$C$1468,2,0)</f>
        <v>3.8088238659156599</v>
      </c>
      <c r="AG12" s="5">
        <v>40753</v>
      </c>
      <c r="AH12" s="42">
        <v>0</v>
      </c>
      <c r="AI12" s="42">
        <v>0</v>
      </c>
      <c r="AJ12" s="42">
        <v>0</v>
      </c>
      <c r="AK12" s="42">
        <v>0</v>
      </c>
      <c r="AL12" s="42">
        <v>0</v>
      </c>
      <c r="AM12" s="42">
        <v>0</v>
      </c>
      <c r="AN12" s="42">
        <v>0</v>
      </c>
      <c r="AO12" s="42">
        <v>2.8075951703501682E-2</v>
      </c>
      <c r="AP12" s="42">
        <v>0.14365704106582969</v>
      </c>
      <c r="AQ12" s="42">
        <v>0.13186398842783459</v>
      </c>
      <c r="AR12" s="42">
        <v>6.3549087397626311E-2</v>
      </c>
      <c r="AS12" s="42">
        <v>0.13116041309480575</v>
      </c>
      <c r="AT12" s="42">
        <v>0.28990556795270689</v>
      </c>
      <c r="AU12" s="42">
        <v>6.6127745795580617E-2</v>
      </c>
      <c r="AV12" s="42">
        <v>6.6052679711001178E-2</v>
      </c>
      <c r="AW12" s="42">
        <v>3.4214858305890203E-2</v>
      </c>
      <c r="AX12" s="42">
        <v>4.5392666545222969E-2</v>
      </c>
      <c r="AY12" s="45"/>
      <c r="AZ12" s="43"/>
      <c r="BA12" s="44"/>
      <c r="BB12" s="46">
        <v>0.99999999999999989</v>
      </c>
      <c r="BD12" s="5">
        <v>40724</v>
      </c>
      <c r="BE12" s="56">
        <v>1.4594354068344891E-2</v>
      </c>
    </row>
    <row r="13" spans="6:57" x14ac:dyDescent="0.2">
      <c r="F13" s="26">
        <v>40786</v>
      </c>
      <c r="G13" s="10">
        <f>Price!G13/'Price D Coupon'!G$5</f>
        <v>0</v>
      </c>
      <c r="H13" s="10">
        <f>Price!H13/'Price D Coupon'!H$5</f>
        <v>0</v>
      </c>
      <c r="I13" s="10">
        <f>Price!I13/'Price D Coupon'!I$5</f>
        <v>0</v>
      </c>
      <c r="J13" s="10">
        <f>Price!J13/'Price D Coupon'!J$5</f>
        <v>0</v>
      </c>
      <c r="K13" s="10">
        <f>Price!K13/'Price D Coupon'!K$5</f>
        <v>0</v>
      </c>
      <c r="L13" s="10">
        <f>Price!L13/'Price D Coupon'!L$5</f>
        <v>0</v>
      </c>
      <c r="M13" s="10">
        <f>Price!M13/'Price D Coupon'!M$5</f>
        <v>0</v>
      </c>
      <c r="N13" s="10">
        <f>Price!N13/'Price D Coupon'!N$5</f>
        <v>6.3027777771428575</v>
      </c>
      <c r="O13" s="10">
        <f>Price!O13/'Price D Coupon'!O$5</f>
        <v>5.3182777775000005</v>
      </c>
      <c r="P13" s="10">
        <f>Price!P13/'Price D Coupon'!P$5</f>
        <v>4.1221111111111117</v>
      </c>
      <c r="Q13" s="10">
        <f>Price!Q13/'Price D Coupon'!Q$5</f>
        <v>3.9151777780000003</v>
      </c>
      <c r="R13" s="10">
        <f>Price!R13/'Price D Coupon'!R$5</f>
        <v>4.8340277775000002</v>
      </c>
      <c r="S13" s="10">
        <f>Price!S13/'Price D Coupon'!S$5</f>
        <v>3.7472222222222222</v>
      </c>
      <c r="T13" s="10">
        <f>Price!T13/'Price D Coupon'!T$5</f>
        <v>3.4839777779999999</v>
      </c>
      <c r="U13" s="10">
        <f>Price!U13/'Price D Coupon'!U$5</f>
        <v>2.9220505054545454</v>
      </c>
      <c r="V13" s="10">
        <f>Price!V13/'Price D Coupon'!V$5</f>
        <v>2.9069444450000002</v>
      </c>
      <c r="W13" s="10">
        <f>Price!W13/'Price D Coupon'!W$5</f>
        <v>3.0720085476923078</v>
      </c>
      <c r="X13" s="10"/>
      <c r="Y13" s="10"/>
      <c r="Z13" s="10"/>
      <c r="AA13" s="12">
        <v>19.97878655615385</v>
      </c>
      <c r="AC13" s="34">
        <v>40786</v>
      </c>
      <c r="AD13" s="35">
        <f>VLOOKUP(AC13,CurrentCoupon!$B$4:$C$1468,2,0)</f>
        <v>3.4273948025536498</v>
      </c>
      <c r="AG13" s="5">
        <v>40786</v>
      </c>
      <c r="AH13" s="42">
        <v>0</v>
      </c>
      <c r="AI13" s="42">
        <v>0</v>
      </c>
      <c r="AJ13" s="42">
        <v>0</v>
      </c>
      <c r="AK13" s="42">
        <v>0</v>
      </c>
      <c r="AL13" s="42">
        <v>0</v>
      </c>
      <c r="AM13" s="42">
        <v>0</v>
      </c>
      <c r="AN13" s="42">
        <v>0</v>
      </c>
      <c r="AO13" s="42">
        <v>2.8268827828187799E-2</v>
      </c>
      <c r="AP13" s="42">
        <v>0.14449103457182499</v>
      </c>
      <c r="AQ13" s="42">
        <v>0.13233923955363772</v>
      </c>
      <c r="AR13" s="42">
        <v>6.3677521840788273E-2</v>
      </c>
      <c r="AS13" s="42">
        <v>0.13161044149590559</v>
      </c>
      <c r="AT13" s="42">
        <v>0.28981899813415352</v>
      </c>
      <c r="AU13" s="42">
        <v>6.5940193661404842E-2</v>
      </c>
      <c r="AV13" s="42">
        <v>6.5193393785316064E-2</v>
      </c>
      <c r="AW13" s="42">
        <v>3.3758086353651073E-2</v>
      </c>
      <c r="AX13" s="42">
        <v>4.4902262775129903E-2</v>
      </c>
      <c r="AY13" s="45"/>
      <c r="AZ13" s="43"/>
      <c r="BA13" s="44"/>
      <c r="BB13" s="46">
        <v>0.99999999999999967</v>
      </c>
      <c r="BD13" s="5">
        <v>40753</v>
      </c>
      <c r="BE13" s="56">
        <v>-5.6499117749605927E-2</v>
      </c>
    </row>
    <row r="14" spans="6:57" x14ac:dyDescent="0.2">
      <c r="F14" s="26">
        <v>40816</v>
      </c>
      <c r="G14" s="10">
        <f>Price!G14/'Price D Coupon'!G$5</f>
        <v>0</v>
      </c>
      <c r="H14" s="10">
        <f>Price!H14/'Price D Coupon'!H$5</f>
        <v>0</v>
      </c>
      <c r="I14" s="10">
        <f>Price!I14/'Price D Coupon'!I$5</f>
        <v>0</v>
      </c>
      <c r="J14" s="10">
        <f>Price!J14/'Price D Coupon'!J$5</f>
        <v>0</v>
      </c>
      <c r="K14" s="10">
        <f>Price!K14/'Price D Coupon'!K$5</f>
        <v>0</v>
      </c>
      <c r="L14" s="10">
        <f>Price!L14/'Price D Coupon'!L$5</f>
        <v>0</v>
      </c>
      <c r="M14" s="10">
        <f>Price!M14/'Price D Coupon'!M$5</f>
        <v>0</v>
      </c>
      <c r="N14" s="10">
        <f>Price!N14/'Price D Coupon'!N$5</f>
        <v>5.2637619057142855</v>
      </c>
      <c r="O14" s="10">
        <f>Price!O14/'Price D Coupon'!O$5</f>
        <v>4.2303333324999999</v>
      </c>
      <c r="P14" s="10">
        <f>Price!P14/'Price D Coupon'!P$5</f>
        <v>3.3707777777777777</v>
      </c>
      <c r="Q14" s="10">
        <f>Price!Q14/'Price D Coupon'!Q$5</f>
        <v>3.336533534</v>
      </c>
      <c r="R14" s="10">
        <f>Price!R14/'Price D Coupon'!R$5</f>
        <v>3.7340833325</v>
      </c>
      <c r="S14" s="10">
        <f>Price!S14/'Price D Coupon'!S$5</f>
        <v>2.9576666666666664</v>
      </c>
      <c r="T14" s="10">
        <f>Price!T14/'Price D Coupon'!T$5</f>
        <v>2.867733334</v>
      </c>
      <c r="U14" s="10">
        <f>Price!U14/'Price D Coupon'!U$5</f>
        <v>2.3765151509090909</v>
      </c>
      <c r="V14" s="10">
        <f>Price!V14/'Price D Coupon'!V$5</f>
        <v>2.4489999999999998</v>
      </c>
      <c r="W14" s="10">
        <f>Price!W14/'Price D Coupon'!W$5</f>
        <v>2.6832564107692312</v>
      </c>
      <c r="X14" s="10"/>
      <c r="Y14" s="10"/>
      <c r="Z14" s="10"/>
      <c r="AA14" s="12">
        <v>16.636435974615384</v>
      </c>
      <c r="AC14" s="34">
        <v>40816</v>
      </c>
      <c r="AD14" s="35">
        <f>VLOOKUP(AC14,CurrentCoupon!$B$4:$C$1468,2,0)</f>
        <v>3.0385261527896099</v>
      </c>
      <c r="AG14" s="5">
        <v>40816</v>
      </c>
      <c r="AH14" s="42">
        <v>0</v>
      </c>
      <c r="AI14" s="42">
        <v>0</v>
      </c>
      <c r="AJ14" s="42">
        <v>0</v>
      </c>
      <c r="AK14" s="42">
        <v>0</v>
      </c>
      <c r="AL14" s="42">
        <v>0</v>
      </c>
      <c r="AM14" s="42">
        <v>0</v>
      </c>
      <c r="AN14" s="42">
        <v>0</v>
      </c>
      <c r="AO14" s="42">
        <v>2.8492304081305004E-2</v>
      </c>
      <c r="AP14" s="42">
        <v>0.14538343618521979</v>
      </c>
      <c r="AQ14" s="42">
        <v>0.13281236368722435</v>
      </c>
      <c r="AR14" s="42">
        <v>6.3769571285318669E-2</v>
      </c>
      <c r="AS14" s="42">
        <v>0.13200485539254486</v>
      </c>
      <c r="AT14" s="42">
        <v>0.28945243564304352</v>
      </c>
      <c r="AU14" s="42">
        <v>6.5782076713566465E-2</v>
      </c>
      <c r="AV14" s="42">
        <v>6.44223983810258E-2</v>
      </c>
      <c r="AW14" s="42">
        <v>3.3367228721352594E-2</v>
      </c>
      <c r="AX14" s="42">
        <v>4.4513329909399039E-2</v>
      </c>
      <c r="AY14" s="45"/>
      <c r="AZ14" s="43"/>
      <c r="BA14" s="44"/>
      <c r="BB14" s="46">
        <v>1</v>
      </c>
      <c r="BD14" s="5">
        <v>40786</v>
      </c>
      <c r="BE14" s="56">
        <v>-0.20415554691478444</v>
      </c>
    </row>
    <row r="15" spans="6:57" x14ac:dyDescent="0.2">
      <c r="F15" s="26">
        <v>40847</v>
      </c>
      <c r="G15" s="10">
        <f>Price!G15/'Price D Coupon'!G$5</f>
        <v>0</v>
      </c>
      <c r="H15" s="10">
        <f>Price!H15/'Price D Coupon'!H$5</f>
        <v>0</v>
      </c>
      <c r="I15" s="10">
        <f>Price!I15/'Price D Coupon'!I$5</f>
        <v>0</v>
      </c>
      <c r="J15" s="10">
        <f>Price!J15/'Price D Coupon'!J$5</f>
        <v>0</v>
      </c>
      <c r="K15" s="10">
        <f>Price!K15/'Price D Coupon'!K$5</f>
        <v>0</v>
      </c>
      <c r="L15" s="10">
        <f>Price!L15/'Price D Coupon'!L$5</f>
        <v>0</v>
      </c>
      <c r="M15" s="10">
        <f>Price!M15/'Price D Coupon'!M$5</f>
        <v>0</v>
      </c>
      <c r="N15" s="10">
        <f>Price!N15/'Price D Coupon'!N$5</f>
        <v>5.1733494914285725</v>
      </c>
      <c r="O15" s="10">
        <f>Price!O15/'Price D Coupon'!O$5</f>
        <v>4.1737775275000004</v>
      </c>
      <c r="P15" s="10">
        <f>Price!P15/'Price D Coupon'!P$5</f>
        <v>3.6361111111111111</v>
      </c>
      <c r="Q15" s="10">
        <f>Price!Q15/'Price D Coupon'!Q$5</f>
        <v>3.8527777780000001</v>
      </c>
      <c r="R15" s="10">
        <f>Price!R15/'Price D Coupon'!R$5</f>
        <v>3.8182777774999996</v>
      </c>
      <c r="S15" s="10">
        <f>Price!S15/'Price D Coupon'!S$5</f>
        <v>3.1430000000000002</v>
      </c>
      <c r="T15" s="10">
        <f>Price!T15/'Price D Coupon'!T$5</f>
        <v>3.4089777779999997</v>
      </c>
      <c r="U15" s="10">
        <f>Price!U15/'Price D Coupon'!U$5</f>
        <v>2.3624141418181819</v>
      </c>
      <c r="V15" s="10">
        <f>Price!V15/'Price D Coupon'!V$5</f>
        <v>2.4069444450000002</v>
      </c>
      <c r="W15" s="10">
        <f>Price!W15/'Price D Coupon'!W$5</f>
        <v>2.5960085476923074</v>
      </c>
      <c r="X15" s="10"/>
      <c r="Y15" s="10"/>
      <c r="Z15" s="10"/>
      <c r="AA15" s="12">
        <v>17.298478633076922</v>
      </c>
      <c r="AC15" s="34">
        <v>40847</v>
      </c>
      <c r="AD15" s="35">
        <f>VLOOKUP(AC15,CurrentCoupon!$B$4:$C$1468,2,0)</f>
        <v>3.2515769978966</v>
      </c>
      <c r="AG15" s="5">
        <v>40847</v>
      </c>
      <c r="AH15" s="42">
        <v>0</v>
      </c>
      <c r="AI15" s="42">
        <v>0</v>
      </c>
      <c r="AJ15" s="42">
        <v>0</v>
      </c>
      <c r="AK15" s="42">
        <v>0</v>
      </c>
      <c r="AL15" s="42">
        <v>0</v>
      </c>
      <c r="AM15" s="42">
        <v>0</v>
      </c>
      <c r="AN15" s="42">
        <v>0</v>
      </c>
      <c r="AO15" s="42">
        <v>2.8725425227181536E-2</v>
      </c>
      <c r="AP15" s="42">
        <v>0.14628267509421089</v>
      </c>
      <c r="AQ15" s="42">
        <v>0.133265058314437</v>
      </c>
      <c r="AR15" s="42">
        <v>6.3944654252541921E-2</v>
      </c>
      <c r="AS15" s="42">
        <v>0.1324436330012049</v>
      </c>
      <c r="AT15" s="42">
        <v>0.2890669398377671</v>
      </c>
      <c r="AU15" s="42">
        <v>6.5618839285404601E-2</v>
      </c>
      <c r="AV15" s="42">
        <v>6.3584558487808154E-2</v>
      </c>
      <c r="AW15" s="42">
        <v>3.2958172448596543E-2</v>
      </c>
      <c r="AX15" s="42">
        <v>4.411004405084732E-2</v>
      </c>
      <c r="AY15" s="45"/>
      <c r="AZ15" s="43"/>
      <c r="BA15" s="44"/>
      <c r="BB15" s="46">
        <v>0.99999999999999989</v>
      </c>
      <c r="BD15" s="5">
        <v>40816</v>
      </c>
      <c r="BE15" s="56">
        <v>-0.18608869129036568</v>
      </c>
    </row>
    <row r="16" spans="6:57" x14ac:dyDescent="0.2">
      <c r="F16" s="26">
        <v>40877</v>
      </c>
      <c r="G16" s="10">
        <f>Price!G16/'Price D Coupon'!G$5</f>
        <v>0</v>
      </c>
      <c r="H16" s="10">
        <f>Price!H16/'Price D Coupon'!H$5</f>
        <v>0</v>
      </c>
      <c r="I16" s="10">
        <f>Price!I16/'Price D Coupon'!I$5</f>
        <v>0</v>
      </c>
      <c r="J16" s="10">
        <f>Price!J16/'Price D Coupon'!J$5</f>
        <v>0</v>
      </c>
      <c r="K16" s="10">
        <f>Price!K16/'Price D Coupon'!K$5</f>
        <v>0</v>
      </c>
      <c r="L16" s="10">
        <f>Price!L16/'Price D Coupon'!L$5</f>
        <v>0</v>
      </c>
      <c r="M16" s="10">
        <f>Price!M16/'Price D Coupon'!M$5</f>
        <v>0</v>
      </c>
      <c r="N16" s="10">
        <f>Price!N16/'Price D Coupon'!N$5</f>
        <v>5.0527777771428575</v>
      </c>
      <c r="O16" s="10">
        <f>Price!O16/'Price D Coupon'!O$5</f>
        <v>4.0567780275000001</v>
      </c>
      <c r="P16" s="10">
        <f>Price!P16/'Price D Coupon'!P$5</f>
        <v>3.7194444444444446</v>
      </c>
      <c r="Q16" s="10">
        <f>Price!Q16/'Price D Coupon'!Q$5</f>
        <v>3.9839777779999999</v>
      </c>
      <c r="R16" s="10">
        <f>Price!R16/'Price D Coupon'!R$5</f>
        <v>3.5800277774999998</v>
      </c>
      <c r="S16" s="10">
        <f>Price!S16/'Price D Coupon'!S$5</f>
        <v>3.0736666666666665</v>
      </c>
      <c r="T16" s="10">
        <f>Price!T16/'Price D Coupon'!T$5</f>
        <v>3.4745775780000003</v>
      </c>
      <c r="U16" s="10">
        <f>Price!U16/'Price D Coupon'!U$5</f>
        <v>2.4789595963636364</v>
      </c>
      <c r="V16" s="10">
        <f>Price!V16/'Price D Coupon'!V$5</f>
        <v>2.5787777783333334</v>
      </c>
      <c r="W16" s="10">
        <f>Price!W16/'Price D Coupon'!W$5</f>
        <v>2.730623932307692</v>
      </c>
      <c r="X16" s="10"/>
      <c r="Y16" s="10"/>
      <c r="Z16" s="10"/>
      <c r="AA16" s="12">
        <v>17.409093863846156</v>
      </c>
      <c r="AC16" s="34">
        <v>40877</v>
      </c>
      <c r="AD16" s="35">
        <f>VLOOKUP(AC16,CurrentCoupon!$B$4:$C$1468,2,0)</f>
        <v>3.1770193190764999</v>
      </c>
      <c r="AG16" s="5">
        <v>40877</v>
      </c>
      <c r="AH16" s="42">
        <v>0</v>
      </c>
      <c r="AI16" s="42">
        <v>0</v>
      </c>
      <c r="AJ16" s="42">
        <v>0</v>
      </c>
      <c r="AK16" s="42">
        <v>0</v>
      </c>
      <c r="AL16" s="42">
        <v>0</v>
      </c>
      <c r="AM16" s="42">
        <v>0</v>
      </c>
      <c r="AN16" s="42">
        <v>0</v>
      </c>
      <c r="AO16" s="42">
        <v>2.911347609502667E-2</v>
      </c>
      <c r="AP16" s="42">
        <v>0.14674367093890997</v>
      </c>
      <c r="AQ16" s="42">
        <v>0.13350213051287418</v>
      </c>
      <c r="AR16" s="42">
        <v>6.4358005314483435E-2</v>
      </c>
      <c r="AS16" s="42">
        <v>0.13246170514808966</v>
      </c>
      <c r="AT16" s="42">
        <v>0.28777045809815949</v>
      </c>
      <c r="AU16" s="42">
        <v>6.5689719914105105E-2</v>
      </c>
      <c r="AV16" s="42">
        <v>6.3254791366422272E-2</v>
      </c>
      <c r="AW16" s="42">
        <v>3.2898513985434419E-2</v>
      </c>
      <c r="AX16" s="42">
        <v>4.4207528626494734E-2</v>
      </c>
      <c r="AY16" s="45"/>
      <c r="AZ16" s="43"/>
      <c r="BA16" s="44"/>
      <c r="BB16" s="46">
        <v>0.99999999999999989</v>
      </c>
      <c r="BD16" s="5">
        <v>40847</v>
      </c>
      <c r="BE16" s="56">
        <v>5.2849339196914737E-2</v>
      </c>
    </row>
    <row r="17" spans="6:57" x14ac:dyDescent="0.2">
      <c r="F17" s="26">
        <v>40907</v>
      </c>
      <c r="G17" s="10">
        <f>Price!G17/'Price D Coupon'!G$5</f>
        <v>0</v>
      </c>
      <c r="H17" s="10">
        <f>Price!H17/'Price D Coupon'!H$5</f>
        <v>0</v>
      </c>
      <c r="I17" s="10">
        <f>Price!I17/'Price D Coupon'!I$5</f>
        <v>0</v>
      </c>
      <c r="J17" s="10">
        <f>Price!J17/'Price D Coupon'!J$5</f>
        <v>0</v>
      </c>
      <c r="K17" s="10">
        <f>Price!K17/'Price D Coupon'!K$5</f>
        <v>0</v>
      </c>
      <c r="L17" s="10">
        <f>Price!L17/'Price D Coupon'!L$5</f>
        <v>0</v>
      </c>
      <c r="M17" s="10">
        <f>Price!M17/'Price D Coupon'!M$5</f>
        <v>0</v>
      </c>
      <c r="N17" s="10">
        <f>Price!N17/'Price D Coupon'!N$5</f>
        <v>4.9109044771428572</v>
      </c>
      <c r="O17" s="10">
        <f>Price!O17/'Price D Coupon'!O$5</f>
        <v>3.9605833325000002</v>
      </c>
      <c r="P17" s="10">
        <f>Price!P17/'Price D Coupon'!P$5</f>
        <v>3.7181111111111114</v>
      </c>
      <c r="Q17" s="10">
        <f>Price!Q17/'Price D Coupon'!Q$5</f>
        <v>3.9707333340000006</v>
      </c>
      <c r="R17" s="10">
        <f>Price!R17/'Price D Coupon'!R$5</f>
        <v>3.4098333325000003</v>
      </c>
      <c r="S17" s="10">
        <f>Price!S17/'Price D Coupon'!S$5</f>
        <v>3.0063333333333331</v>
      </c>
      <c r="T17" s="10">
        <f>Price!T17/'Price D Coupon'!T$5</f>
        <v>3.3865335340000002</v>
      </c>
      <c r="U17" s="10">
        <f>Price!U17/'Price D Coupon'!U$5</f>
        <v>2.3423333327272724</v>
      </c>
      <c r="V17" s="10">
        <f>Price!V17/'Price D Coupon'!V$5</f>
        <v>2.5009999999999999</v>
      </c>
      <c r="W17" s="10">
        <f>Price!W17/'Price D Coupon'!W$5</f>
        <v>2.6712562569230771</v>
      </c>
      <c r="X17" s="10"/>
      <c r="Y17" s="10"/>
      <c r="Z17" s="10"/>
      <c r="AA17" s="12">
        <v>17.012435666923075</v>
      </c>
      <c r="AC17" s="34">
        <v>40907</v>
      </c>
      <c r="AD17" s="35">
        <f>VLOOKUP(AC17,CurrentCoupon!$B$4:$C$1468,2,0)</f>
        <v>3.0169008574553802</v>
      </c>
      <c r="AG17" s="5">
        <v>40907</v>
      </c>
      <c r="AH17" s="42">
        <v>0</v>
      </c>
      <c r="AI17" s="42">
        <v>0</v>
      </c>
      <c r="AJ17" s="42">
        <v>0</v>
      </c>
      <c r="AK17" s="42">
        <v>0</v>
      </c>
      <c r="AL17" s="42">
        <v>0</v>
      </c>
      <c r="AM17" s="42">
        <v>0</v>
      </c>
      <c r="AN17" s="42">
        <v>0</v>
      </c>
      <c r="AO17" s="42">
        <v>2.9527009196278538E-2</v>
      </c>
      <c r="AP17" s="42">
        <v>0.14725219337367662</v>
      </c>
      <c r="AQ17" s="42">
        <v>0.13390235182950719</v>
      </c>
      <c r="AR17" s="42">
        <v>6.4909728799399977E-2</v>
      </c>
      <c r="AS17" s="42">
        <v>0.13222634902056923</v>
      </c>
      <c r="AT17" s="42">
        <v>0.28593973889171309</v>
      </c>
      <c r="AU17" s="42">
        <v>6.5805923533826791E-2</v>
      </c>
      <c r="AV17" s="42">
        <v>6.3058815022318082E-2</v>
      </c>
      <c r="AW17" s="42">
        <v>3.2938145764076103E-2</v>
      </c>
      <c r="AX17" s="42">
        <v>4.4439744568634303E-2</v>
      </c>
      <c r="AY17" s="45"/>
      <c r="AZ17" s="43"/>
      <c r="BA17" s="44"/>
      <c r="BB17" s="46">
        <v>0.99999999999999989</v>
      </c>
      <c r="BD17" s="5">
        <v>40877</v>
      </c>
      <c r="BE17" s="56">
        <v>-7.0201412794057283E-3</v>
      </c>
    </row>
    <row r="18" spans="6:57" x14ac:dyDescent="0.2">
      <c r="F18" s="26">
        <v>40939</v>
      </c>
      <c r="G18" s="10">
        <f>Price!G18/'Price D Coupon'!G$5</f>
        <v>0</v>
      </c>
      <c r="H18" s="10">
        <f>Price!H18/'Price D Coupon'!H$5</f>
        <v>0</v>
      </c>
      <c r="I18" s="10">
        <f>Price!I18/'Price D Coupon'!I$5</f>
        <v>0</v>
      </c>
      <c r="J18" s="10">
        <f>Price!J18/'Price D Coupon'!J$5</f>
        <v>0</v>
      </c>
      <c r="K18" s="10">
        <f>Price!K18/'Price D Coupon'!K$5</f>
        <v>0</v>
      </c>
      <c r="L18" s="10">
        <f>Price!L18/'Price D Coupon'!L$5</f>
        <v>0</v>
      </c>
      <c r="M18" s="10">
        <f>Price!M18/'Price D Coupon'!M$5</f>
        <v>0</v>
      </c>
      <c r="N18" s="10">
        <f>Price!N18/'Price D Coupon'!N$5</f>
        <v>4.5884920628571431</v>
      </c>
      <c r="O18" s="10">
        <f>Price!O18/'Price D Coupon'!O$5</f>
        <v>3.6347777774999996</v>
      </c>
      <c r="P18" s="10">
        <f>Price!P18/'Price D Coupon'!P$5</f>
        <v>3.3861111111111111</v>
      </c>
      <c r="Q18" s="10">
        <f>Price!Q18/'Price D Coupon'!Q$5</f>
        <v>3.5903777779999997</v>
      </c>
      <c r="R18" s="10">
        <f>Price!R18/'Price D Coupon'!R$5</f>
        <v>3.0057777774999996</v>
      </c>
      <c r="S18" s="10">
        <f>Price!S18/'Price D Coupon'!S$5</f>
        <v>2.7021111111111114</v>
      </c>
      <c r="T18" s="10">
        <f>Price!T18/'Price D Coupon'!T$5</f>
        <v>3.0215777780000002</v>
      </c>
      <c r="U18" s="10">
        <f>Price!U18/'Price D Coupon'!U$5</f>
        <v>2.2744141418181818</v>
      </c>
      <c r="V18" s="10">
        <f>Price!V18/'Price D Coupon'!V$5</f>
        <v>2.3834444449999999</v>
      </c>
      <c r="W18" s="10">
        <f>Price!W18/'Price D Coupon'!W$5</f>
        <v>2.591239316923077</v>
      </c>
      <c r="X18" s="10"/>
      <c r="Y18" s="10"/>
      <c r="Z18" s="10"/>
      <c r="AA18" s="12">
        <v>15.700017094615387</v>
      </c>
      <c r="AC18" s="34">
        <v>40939</v>
      </c>
      <c r="AD18" s="35">
        <f>VLOOKUP(AC18,CurrentCoupon!$B$4:$C$1468,2,0)</f>
        <v>2.7762952709571298</v>
      </c>
      <c r="AG18" s="5">
        <v>40939</v>
      </c>
      <c r="AH18" s="42">
        <v>0</v>
      </c>
      <c r="AI18" s="42">
        <v>0</v>
      </c>
      <c r="AJ18" s="42">
        <v>0</v>
      </c>
      <c r="AK18" s="42">
        <v>0</v>
      </c>
      <c r="AL18" s="42">
        <v>0</v>
      </c>
      <c r="AM18" s="42">
        <v>0</v>
      </c>
      <c r="AN18" s="42">
        <v>0</v>
      </c>
      <c r="AO18" s="42">
        <v>2.9942397842585823E-2</v>
      </c>
      <c r="AP18" s="42">
        <v>0.14782150847049236</v>
      </c>
      <c r="AQ18" s="42">
        <v>0.13443017383464312</v>
      </c>
      <c r="AR18" s="42">
        <v>6.5593518216600144E-2</v>
      </c>
      <c r="AS18" s="42">
        <v>0.13183303065494731</v>
      </c>
      <c r="AT18" s="42">
        <v>0.28368873380833071</v>
      </c>
      <c r="AU18" s="42">
        <v>6.5946485876103009E-2</v>
      </c>
      <c r="AV18" s="42">
        <v>6.2894336170129822E-2</v>
      </c>
      <c r="AW18" s="42">
        <v>3.304018315359384E-2</v>
      </c>
      <c r="AX18" s="42">
        <v>4.4809631972573691E-2</v>
      </c>
      <c r="AY18" s="45"/>
      <c r="AZ18" s="43"/>
      <c r="BA18" s="44"/>
      <c r="BB18" s="46">
        <v>0.99999999999999978</v>
      </c>
      <c r="BD18" s="5">
        <v>40907</v>
      </c>
      <c r="BE18" s="56">
        <v>-2.7877513927723988E-2</v>
      </c>
    </row>
    <row r="19" spans="6:57" x14ac:dyDescent="0.2">
      <c r="F19" s="26">
        <v>40968</v>
      </c>
      <c r="G19" s="10">
        <f>Price!G19/'Price D Coupon'!G$5</f>
        <v>0</v>
      </c>
      <c r="H19" s="10">
        <f>Price!H19/'Price D Coupon'!H$5</f>
        <v>0</v>
      </c>
      <c r="I19" s="10">
        <f>Price!I19/'Price D Coupon'!I$5</f>
        <v>0</v>
      </c>
      <c r="J19" s="10">
        <f>Price!J19/'Price D Coupon'!J$5</f>
        <v>0</v>
      </c>
      <c r="K19" s="10">
        <f>Price!K19/'Price D Coupon'!K$5</f>
        <v>0</v>
      </c>
      <c r="L19" s="10">
        <f>Price!L19/'Price D Coupon'!L$5</f>
        <v>0</v>
      </c>
      <c r="M19" s="10">
        <f>Price!M19/'Price D Coupon'!M$5</f>
        <v>0</v>
      </c>
      <c r="N19" s="10">
        <f>Price!N19/'Price D Coupon'!N$5</f>
        <v>5.1153492057142866</v>
      </c>
      <c r="O19" s="10">
        <f>Price!O19/'Price D Coupon'!O$5</f>
        <v>4.2090277775000002</v>
      </c>
      <c r="P19" s="10">
        <f>Price!P19/'Price D Coupon'!P$5</f>
        <v>3.823666666666667</v>
      </c>
      <c r="Q19" s="10">
        <f>Price!Q19/'Price D Coupon'!Q$5</f>
        <v>3.955977978</v>
      </c>
      <c r="R19" s="10">
        <f>Price!R19/'Price D Coupon'!R$5</f>
        <v>3.4082777774999999</v>
      </c>
      <c r="S19" s="10">
        <f>Price!S19/'Price D Coupon'!S$5</f>
        <v>3.0563333333333333</v>
      </c>
      <c r="T19" s="10">
        <f>Price!T19/'Price D Coupon'!T$5</f>
        <v>3.330977978</v>
      </c>
      <c r="U19" s="10">
        <f>Price!U19/'Price D Coupon'!U$5</f>
        <v>2.4391414145454546</v>
      </c>
      <c r="V19" s="10">
        <f>Price!V19/'Price D Coupon'!V$5</f>
        <v>2.5762777783333335</v>
      </c>
      <c r="W19" s="10">
        <f>Price!W19/'Price D Coupon'!W$5</f>
        <v>2.7330856246153847</v>
      </c>
      <c r="X19" s="10"/>
      <c r="Y19" s="10"/>
      <c r="Z19" s="10"/>
      <c r="AA19" s="12">
        <v>17.081171171538465</v>
      </c>
      <c r="AC19" s="34">
        <v>40968</v>
      </c>
      <c r="AD19" s="35">
        <f>VLOOKUP(AC19,CurrentCoupon!$B$4:$C$1468,2,0)</f>
        <v>2.8817315463419</v>
      </c>
      <c r="AG19" s="5">
        <v>40968</v>
      </c>
      <c r="AH19" s="42">
        <v>0</v>
      </c>
      <c r="AI19" s="42">
        <v>0</v>
      </c>
      <c r="AJ19" s="42">
        <v>0</v>
      </c>
      <c r="AK19" s="42">
        <v>0</v>
      </c>
      <c r="AL19" s="42">
        <v>0</v>
      </c>
      <c r="AM19" s="42">
        <v>0</v>
      </c>
      <c r="AN19" s="42">
        <v>0</v>
      </c>
      <c r="AO19" s="42">
        <v>3.039264409545471E-2</v>
      </c>
      <c r="AP19" s="42">
        <v>0.14898141086213873</v>
      </c>
      <c r="AQ19" s="42">
        <v>0.13497453192735523</v>
      </c>
      <c r="AR19" s="42">
        <v>6.6073219389912216E-2</v>
      </c>
      <c r="AS19" s="42">
        <v>0.13169000520041443</v>
      </c>
      <c r="AT19" s="42">
        <v>0.28152185475946595</v>
      </c>
      <c r="AU19" s="42">
        <v>6.5906230973044183E-2</v>
      </c>
      <c r="AV19" s="42">
        <v>6.2505840971548474E-2</v>
      </c>
      <c r="AW19" s="42">
        <v>3.2979696345169951E-2</v>
      </c>
      <c r="AX19" s="42">
        <v>4.4974565475496144E-2</v>
      </c>
      <c r="AY19" s="45"/>
      <c r="AZ19" s="43"/>
      <c r="BA19" s="44"/>
      <c r="BB19" s="46">
        <v>1</v>
      </c>
      <c r="BD19" s="5">
        <v>40939</v>
      </c>
      <c r="BE19" s="56">
        <v>-8.8730633004441312E-2</v>
      </c>
    </row>
    <row r="20" spans="6:57" x14ac:dyDescent="0.2">
      <c r="F20" s="25">
        <v>40998</v>
      </c>
      <c r="G20" s="10">
        <f>Price!G20/'Price D Coupon'!G$5</f>
        <v>0</v>
      </c>
      <c r="H20" s="10">
        <f>Price!H20/'Price D Coupon'!H$5</f>
        <v>0</v>
      </c>
      <c r="I20" s="10">
        <f>Price!I20/'Price D Coupon'!I$5</f>
        <v>0</v>
      </c>
      <c r="J20" s="10">
        <f>Price!J20/'Price D Coupon'!J$5</f>
        <v>0</v>
      </c>
      <c r="K20" s="10">
        <f>Price!K20/'Price D Coupon'!K$5</f>
        <v>0</v>
      </c>
      <c r="L20" s="10">
        <f>Price!L20/'Price D Coupon'!L$5</f>
        <v>5.0945555549999995</v>
      </c>
      <c r="M20" s="10">
        <f>Price!M20/'Price D Coupon'!M$5</f>
        <v>4.6075553333333339</v>
      </c>
      <c r="N20" s="10">
        <f>Price!N20/'Price D Coupon'!N$5</f>
        <v>5.6181269828571434</v>
      </c>
      <c r="O20" s="10">
        <f>Price!O20/'Price D Coupon'!O$5</f>
        <v>4.7078053049999999</v>
      </c>
      <c r="P20" s="10">
        <f>Price!P20/'Price D Coupon'!P$5</f>
        <v>4.1804444444444444</v>
      </c>
      <c r="Q20" s="10">
        <f>Price!Q20/'Price D Coupon'!Q$5</f>
        <v>4.2837557559999997</v>
      </c>
      <c r="R20" s="10">
        <f>Price!R20/'Price D Coupon'!R$5</f>
        <v>3.9305555550000002</v>
      </c>
      <c r="S20" s="10">
        <f>Price!S20/'Price D Coupon'!S$5</f>
        <v>3.406222222222222</v>
      </c>
      <c r="T20" s="10">
        <f>Price!T20/'Price D Coupon'!T$5</f>
        <v>3.7023553560000004</v>
      </c>
      <c r="U20" s="10">
        <f>Price!U20/'Price D Coupon'!U$5</f>
        <v>2.5668282836363634</v>
      </c>
      <c r="V20" s="10">
        <f>Price!V20/'Price D Coupon'!V$5</f>
        <v>2.717055555</v>
      </c>
      <c r="W20" s="10">
        <f>Price!W20/'Price D Coupon'!W$5</f>
        <v>2.8584786323076923</v>
      </c>
      <c r="X20" s="10"/>
      <c r="Y20" s="10"/>
      <c r="Z20" s="10"/>
      <c r="AA20" s="12">
        <v>18.743310977333334</v>
      </c>
      <c r="AC20" s="36">
        <v>40998</v>
      </c>
      <c r="AD20" s="35">
        <f>VLOOKUP(AC20,CurrentCoupon!$B$4:$C$1468,2,0)</f>
        <v>3.0669215754139501</v>
      </c>
      <c r="AG20" s="5">
        <v>40998</v>
      </c>
      <c r="AH20" s="42">
        <v>0</v>
      </c>
      <c r="AI20" s="42">
        <v>0</v>
      </c>
      <c r="AJ20" s="42">
        <v>0</v>
      </c>
      <c r="AK20" s="42">
        <v>0</v>
      </c>
      <c r="AL20" s="42">
        <v>0</v>
      </c>
      <c r="AM20" s="42">
        <v>9.5316182503683802E-2</v>
      </c>
      <c r="AN20" s="42">
        <v>0.10063007444435763</v>
      </c>
      <c r="AO20" s="42">
        <v>2.4725973348430852E-2</v>
      </c>
      <c r="AP20" s="42">
        <v>0.12045299246074211</v>
      </c>
      <c r="AQ20" s="42">
        <v>0.10895322816788819</v>
      </c>
      <c r="AR20" s="42">
        <v>5.350765990687352E-2</v>
      </c>
      <c r="AS20" s="42">
        <v>0.10575842305842935</v>
      </c>
      <c r="AT20" s="42">
        <v>0.2249887327527845</v>
      </c>
      <c r="AU20" s="42">
        <v>5.3039099932202148E-2</v>
      </c>
      <c r="AV20" s="42">
        <v>4.9932228104106274E-2</v>
      </c>
      <c r="AW20" s="42">
        <v>2.643289975315179E-2</v>
      </c>
      <c r="AX20" s="42">
        <v>3.6262505567349675E-2</v>
      </c>
      <c r="AY20" s="45"/>
      <c r="AZ20" s="43"/>
      <c r="BA20" s="44"/>
      <c r="BB20" s="46">
        <v>0.99999999999999978</v>
      </c>
      <c r="BD20" s="5">
        <v>40968</v>
      </c>
      <c r="BE20" s="56">
        <v>0.12672609655781239</v>
      </c>
    </row>
    <row r="21" spans="6:57" x14ac:dyDescent="0.2">
      <c r="F21" s="25">
        <v>41029</v>
      </c>
      <c r="G21" s="10">
        <f>Price!G21/'Price D Coupon'!G$5</f>
        <v>0</v>
      </c>
      <c r="H21" s="10">
        <f>Price!H21/'Price D Coupon'!H$5</f>
        <v>0</v>
      </c>
      <c r="I21" s="10">
        <f>Price!I21/'Price D Coupon'!I$5</f>
        <v>0</v>
      </c>
      <c r="J21" s="10">
        <f>Price!J21/'Price D Coupon'!J$5</f>
        <v>0</v>
      </c>
      <c r="K21" s="10">
        <f>Price!K21/'Price D Coupon'!K$5</f>
        <v>0</v>
      </c>
      <c r="L21" s="10">
        <f>Price!L21/'Price D Coupon'!L$5</f>
        <v>4.7675275275000004</v>
      </c>
      <c r="M21" s="10">
        <f>Price!M21/'Price D Coupon'!M$5</f>
        <v>4.3096666666666668</v>
      </c>
      <c r="N21" s="10">
        <f>Price!N21/'Price D Coupon'!N$5</f>
        <v>5.2313492057142863</v>
      </c>
      <c r="O21" s="10">
        <f>Price!O21/'Price D Coupon'!O$5</f>
        <v>4.3847775274999998</v>
      </c>
      <c r="P21" s="10">
        <f>Price!P21/'Price D Coupon'!P$5</f>
        <v>3.8756664444444442</v>
      </c>
      <c r="Q21" s="10">
        <f>Price!Q21/'Price D Coupon'!Q$5</f>
        <v>4.143377578</v>
      </c>
      <c r="R21" s="10">
        <f>Price!R21/'Price D Coupon'!R$5</f>
        <v>3.6270277774999999</v>
      </c>
      <c r="S21" s="10">
        <f>Price!S21/'Price D Coupon'!S$5</f>
        <v>3.1292222222222223</v>
      </c>
      <c r="T21" s="10">
        <f>Price!T21/'Price D Coupon'!T$5</f>
        <v>3.5715777780000004</v>
      </c>
      <c r="U21" s="10">
        <f>Price!U21/'Price D Coupon'!U$5</f>
        <v>2.4618686872727271</v>
      </c>
      <c r="V21" s="10">
        <f>Price!V21/'Price D Coupon'!V$5</f>
        <v>2.6047777783333332</v>
      </c>
      <c r="W21" s="10">
        <f>Price!W21/'Price D Coupon'!W$5</f>
        <v>2.9398548553846151</v>
      </c>
      <c r="X21" s="10"/>
      <c r="Y21" s="10"/>
      <c r="Z21" s="10"/>
      <c r="AA21" s="12">
        <v>17.815722089333335</v>
      </c>
      <c r="AC21" s="36">
        <v>41029</v>
      </c>
      <c r="AD21" s="35">
        <f>VLOOKUP(AC21,CurrentCoupon!$B$4:$C$1468,2,0)</f>
        <v>2.8585941716778001</v>
      </c>
      <c r="AG21" s="5">
        <v>41029</v>
      </c>
      <c r="AH21" s="42">
        <v>0</v>
      </c>
      <c r="AI21" s="42">
        <v>0</v>
      </c>
      <c r="AJ21" s="42">
        <v>0</v>
      </c>
      <c r="AK21" s="42">
        <v>0</v>
      </c>
      <c r="AL21" s="42">
        <v>0</v>
      </c>
      <c r="AM21" s="42">
        <v>9.6252093806867903E-2</v>
      </c>
      <c r="AN21" s="42">
        <v>0.10142705762994778</v>
      </c>
      <c r="AO21" s="42">
        <v>2.4989519906409807E-2</v>
      </c>
      <c r="AP21" s="42">
        <v>0.1209608804006122</v>
      </c>
      <c r="AQ21" s="42">
        <v>0.10910633025651488</v>
      </c>
      <c r="AR21" s="42">
        <v>5.3922533157309584E-2</v>
      </c>
      <c r="AS21" s="42">
        <v>0.10525103759665572</v>
      </c>
      <c r="AT21" s="42">
        <v>0.22285725208701104</v>
      </c>
      <c r="AU21" s="42">
        <v>5.30785087249405E-2</v>
      </c>
      <c r="AV21" s="42">
        <v>4.9455515959395228E-2</v>
      </c>
      <c r="AW21" s="42">
        <v>2.633756495294249E-2</v>
      </c>
      <c r="AX21" s="42">
        <v>3.6361705521392972E-2</v>
      </c>
      <c r="AY21" s="45"/>
      <c r="AZ21" s="43"/>
      <c r="BA21" s="44"/>
      <c r="BB21" s="46">
        <v>1</v>
      </c>
      <c r="BD21" s="5">
        <v>40998</v>
      </c>
      <c r="BE21" s="56">
        <v>0.1005025355831364</v>
      </c>
    </row>
    <row r="22" spans="6:57" x14ac:dyDescent="0.2">
      <c r="F22" s="25">
        <v>41060</v>
      </c>
      <c r="G22" s="10">
        <f>Price!G22/'Price D Coupon'!G$5</f>
        <v>0</v>
      </c>
      <c r="H22" s="10">
        <f>Price!H22/'Price D Coupon'!H$5</f>
        <v>0</v>
      </c>
      <c r="I22" s="10">
        <f>Price!I22/'Price D Coupon'!I$5</f>
        <v>0</v>
      </c>
      <c r="J22" s="10">
        <f>Price!J22/'Price D Coupon'!J$5</f>
        <v>0</v>
      </c>
      <c r="K22" s="10">
        <f>Price!K22/'Price D Coupon'!K$5</f>
        <v>0</v>
      </c>
      <c r="L22" s="10">
        <f>Price!L22/'Price D Coupon'!L$5</f>
        <v>4.1777777775000002</v>
      </c>
      <c r="M22" s="10">
        <f>Price!M22/'Price D Coupon'!M$5</f>
        <v>3.8305555555555557</v>
      </c>
      <c r="N22" s="10">
        <f>Price!N22/'Price D Coupon'!N$5</f>
        <v>4.4053492057142858</v>
      </c>
      <c r="O22" s="10">
        <f>Price!O22/'Price D Coupon'!O$5</f>
        <v>3.7557777774999996</v>
      </c>
      <c r="P22" s="10">
        <f>Price!P22/'Price D Coupon'!P$5</f>
        <v>3.3930000000000002</v>
      </c>
      <c r="Q22" s="10">
        <f>Price!Q22/'Price D Coupon'!Q$5</f>
        <v>3.7495775780000002</v>
      </c>
      <c r="R22" s="10">
        <f>Price!R22/'Price D Coupon'!R$5</f>
        <v>2.9747777774999999</v>
      </c>
      <c r="S22" s="10">
        <f>Price!S22/'Price D Coupon'!S$5</f>
        <v>2.6952222222222222</v>
      </c>
      <c r="T22" s="10">
        <f>Price!T22/'Price D Coupon'!T$5</f>
        <v>3.196577778</v>
      </c>
      <c r="U22" s="10">
        <f>Price!U22/'Price D Coupon'!U$5</f>
        <v>2.2147777781818183</v>
      </c>
      <c r="V22" s="10">
        <f>Price!V22/'Price D Coupon'!V$5</f>
        <v>2.3652777783333332</v>
      </c>
      <c r="W22" s="10">
        <f>Price!W22/'Price D Coupon'!W$5</f>
        <v>2.8172393169230769</v>
      </c>
      <c r="X22" s="10"/>
      <c r="Y22" s="10"/>
      <c r="Z22" s="10"/>
      <c r="AA22" s="12">
        <v>15.875188822666665</v>
      </c>
      <c r="AC22" s="36">
        <v>41060</v>
      </c>
      <c r="AD22" s="35">
        <f>VLOOKUP(AC22,CurrentCoupon!$B$4:$C$1468,2,0)</f>
        <v>2.6463905286345102</v>
      </c>
      <c r="AG22" s="5">
        <v>41060</v>
      </c>
      <c r="AH22" s="42">
        <v>0</v>
      </c>
      <c r="AI22" s="42">
        <v>0</v>
      </c>
      <c r="AJ22" s="42">
        <v>0</v>
      </c>
      <c r="AK22" s="42">
        <v>0</v>
      </c>
      <c r="AL22" s="42">
        <v>0</v>
      </c>
      <c r="AM22" s="42">
        <v>9.7261378605002946E-2</v>
      </c>
      <c r="AN22" s="42">
        <v>0.10240089996049048</v>
      </c>
      <c r="AO22" s="42">
        <v>2.527341794536692E-2</v>
      </c>
      <c r="AP22" s="42">
        <v>0.12154213802419778</v>
      </c>
      <c r="AQ22" s="42">
        <v>0.10936992582968107</v>
      </c>
      <c r="AR22" s="42">
        <v>5.4391717695613323E-2</v>
      </c>
      <c r="AS22" s="42">
        <v>0.10443634682247545</v>
      </c>
      <c r="AT22" s="42">
        <v>0.22056301427692437</v>
      </c>
      <c r="AU22" s="42">
        <v>5.314471647315127E-2</v>
      </c>
      <c r="AV22" s="42">
        <v>4.8971817953961508E-2</v>
      </c>
      <c r="AW22" s="42">
        <v>2.6211471010650609E-2</v>
      </c>
      <c r="AX22" s="42">
        <v>3.643315540248418E-2</v>
      </c>
      <c r="AY22" s="45"/>
      <c r="AZ22" s="43"/>
      <c r="BA22" s="44"/>
      <c r="BB22" s="46">
        <v>0.99999999999999989</v>
      </c>
      <c r="BD22" s="5">
        <v>41029</v>
      </c>
      <c r="BE22" s="56">
        <v>-6.9145834011835092E-2</v>
      </c>
    </row>
    <row r="23" spans="6:57" x14ac:dyDescent="0.2">
      <c r="F23" s="25">
        <v>41089</v>
      </c>
      <c r="G23" s="10">
        <f>Price!G23/'Price D Coupon'!G$5</f>
        <v>0</v>
      </c>
      <c r="H23" s="10">
        <f>Price!H23/'Price D Coupon'!H$5</f>
        <v>0</v>
      </c>
      <c r="I23" s="10">
        <f>Price!I23/'Price D Coupon'!I$5</f>
        <v>0</v>
      </c>
      <c r="J23" s="10">
        <f>Price!J23/'Price D Coupon'!J$5</f>
        <v>0</v>
      </c>
      <c r="K23" s="10">
        <f>Price!K23/'Price D Coupon'!K$5</f>
        <v>0</v>
      </c>
      <c r="L23" s="10">
        <f>Price!L23/'Price D Coupon'!L$5</f>
        <v>4.1025555549999995</v>
      </c>
      <c r="M23" s="10">
        <f>Price!M23/'Price D Coupon'!M$5</f>
        <v>3.8506664444444443</v>
      </c>
      <c r="N23" s="10">
        <f>Price!N23/'Price D Coupon'!N$5</f>
        <v>4.5244126971428571</v>
      </c>
      <c r="O23" s="10">
        <f>Price!O23/'Price D Coupon'!O$5</f>
        <v>3.8563055550000001</v>
      </c>
      <c r="P23" s="10">
        <f>Price!P23/'Price D Coupon'!P$5</f>
        <v>3.5035555555555558</v>
      </c>
      <c r="Q23" s="10">
        <f>Price!Q23/'Price D Coupon'!Q$5</f>
        <v>3.808755756</v>
      </c>
      <c r="R23" s="10">
        <f>Price!R23/'Price D Coupon'!R$5</f>
        <v>3.1298055550000003</v>
      </c>
      <c r="S23" s="10">
        <f>Price!S23/'Price D Coupon'!S$5</f>
        <v>2.8819999999999997</v>
      </c>
      <c r="T23" s="10">
        <f>Price!T23/'Price D Coupon'!T$5</f>
        <v>3.2773553560000002</v>
      </c>
      <c r="U23" s="10">
        <f>Price!U23/'Price D Coupon'!U$5</f>
        <v>2.2373737381818182</v>
      </c>
      <c r="V23" s="10">
        <f>Price!V23/'Price D Coupon'!V$5</f>
        <v>2.3445555549999999</v>
      </c>
      <c r="W23" s="10">
        <f>Price!W23/'Price D Coupon'!W$5</f>
        <v>2.7454015553846154</v>
      </c>
      <c r="X23" s="10"/>
      <c r="Y23" s="10"/>
      <c r="Z23" s="10"/>
      <c r="AA23" s="12">
        <v>16.097577643999998</v>
      </c>
      <c r="AC23" s="36">
        <v>41089</v>
      </c>
      <c r="AD23" s="35">
        <f>VLOOKUP(AC23,CurrentCoupon!$B$4:$C$1468,2,0)</f>
        <v>2.6237188553228199</v>
      </c>
      <c r="AG23" s="5">
        <v>41089</v>
      </c>
      <c r="AH23" s="42">
        <v>0</v>
      </c>
      <c r="AI23" s="42">
        <v>0</v>
      </c>
      <c r="AJ23" s="42">
        <v>0</v>
      </c>
      <c r="AK23" s="42">
        <v>0</v>
      </c>
      <c r="AL23" s="42">
        <v>0</v>
      </c>
      <c r="AM23" s="42">
        <v>9.8458113394134752E-2</v>
      </c>
      <c r="AN23" s="42">
        <v>0.10332960916750446</v>
      </c>
      <c r="AO23" s="42">
        <v>2.5582193372854754E-2</v>
      </c>
      <c r="AP23" s="42">
        <v>0.12237017718873609</v>
      </c>
      <c r="AQ23" s="42">
        <v>0.10964712149002488</v>
      </c>
      <c r="AR23" s="42">
        <v>5.4715148525778613E-2</v>
      </c>
      <c r="AS23" s="42">
        <v>0.10392568171839089</v>
      </c>
      <c r="AT23" s="42">
        <v>0.21860485843572208</v>
      </c>
      <c r="AU23" s="42">
        <v>5.309175817261344E-2</v>
      </c>
      <c r="AV23" s="42">
        <v>4.8121344238039723E-2</v>
      </c>
      <c r="AW23" s="42">
        <v>2.5866524389252969E-2</v>
      </c>
      <c r="AX23" s="42">
        <v>3.6287469906947596E-2</v>
      </c>
      <c r="AY23" s="45"/>
      <c r="AZ23" s="43"/>
      <c r="BA23" s="44"/>
      <c r="BB23" s="46">
        <v>1.0000000000000002</v>
      </c>
      <c r="BD23" s="5">
        <v>41060</v>
      </c>
      <c r="BE23" s="56">
        <v>-0.12851627707292326</v>
      </c>
    </row>
    <row r="24" spans="6:57" x14ac:dyDescent="0.2">
      <c r="F24" s="25">
        <v>41121</v>
      </c>
      <c r="G24" s="10">
        <f>Price!G24/'Price D Coupon'!G$5</f>
        <v>0</v>
      </c>
      <c r="H24" s="10">
        <f>Price!H24/'Price D Coupon'!H$5</f>
        <v>0</v>
      </c>
      <c r="I24" s="10">
        <f>Price!I24/'Price D Coupon'!I$5</f>
        <v>0</v>
      </c>
      <c r="J24" s="10">
        <f>Price!J24/'Price D Coupon'!J$5</f>
        <v>0</v>
      </c>
      <c r="K24" s="10">
        <f>Price!K24/'Price D Coupon'!K$5</f>
        <v>0</v>
      </c>
      <c r="L24" s="10">
        <f>Price!L24/'Price D Coupon'!L$5</f>
        <v>3.8067777774999998</v>
      </c>
      <c r="M24" s="10">
        <f>Price!M24/'Price D Coupon'!M$5</f>
        <v>3.9138888888888892</v>
      </c>
      <c r="N24" s="10">
        <f>Price!N24/'Price D Coupon'!N$5</f>
        <v>3.9502063485714283</v>
      </c>
      <c r="O24" s="10">
        <f>Price!O24/'Price D Coupon'!O$5</f>
        <v>3.6777777774999998</v>
      </c>
      <c r="P24" s="10">
        <f>Price!P24/'Price D Coupon'!P$5</f>
        <v>3.5145555555555554</v>
      </c>
      <c r="Q24" s="10">
        <f>Price!Q24/'Price D Coupon'!Q$5</f>
        <v>3.7871779780000003</v>
      </c>
      <c r="R24" s="10">
        <f>Price!R24/'Price D Coupon'!R$5</f>
        <v>3.0527777774999998</v>
      </c>
      <c r="S24" s="10">
        <f>Price!S24/'Price D Coupon'!S$5</f>
        <v>2.9174444444444445</v>
      </c>
      <c r="T24" s="10">
        <f>Price!T24/'Price D Coupon'!T$5</f>
        <v>3.2495777779999999</v>
      </c>
      <c r="U24" s="10">
        <f>Price!U24/'Price D Coupon'!U$5</f>
        <v>2.2316868690909093</v>
      </c>
      <c r="V24" s="10">
        <f>Price!V24/'Price D Coupon'!V$5</f>
        <v>2.3157777783333331</v>
      </c>
      <c r="W24" s="10">
        <f>Price!W24/'Price D Coupon'!W$5</f>
        <v>2.7860087015384614</v>
      </c>
      <c r="X24" s="10"/>
      <c r="Y24" s="10"/>
      <c r="Z24" s="10"/>
      <c r="AA24" s="12">
        <v>15.732455555999998</v>
      </c>
      <c r="AC24" s="36">
        <v>41121</v>
      </c>
      <c r="AD24" s="35">
        <f>VLOOKUP(AC24,CurrentCoupon!$B$4:$C$1468,2,0)</f>
        <v>2.3145960727619199</v>
      </c>
      <c r="AG24" s="5">
        <v>41121</v>
      </c>
      <c r="AH24" s="42">
        <v>0</v>
      </c>
      <c r="AI24" s="42">
        <v>0</v>
      </c>
      <c r="AJ24" s="42">
        <v>0</v>
      </c>
      <c r="AK24" s="42">
        <v>0</v>
      </c>
      <c r="AL24" s="42">
        <v>0</v>
      </c>
      <c r="AM24" s="42">
        <v>9.9603457866682232E-2</v>
      </c>
      <c r="AN24" s="42">
        <v>0.10429068606443413</v>
      </c>
      <c r="AO24" s="42">
        <v>2.5886760634665919E-2</v>
      </c>
      <c r="AP24" s="42">
        <v>0.12331534863967125</v>
      </c>
      <c r="AQ24" s="42">
        <v>0.10995066047693076</v>
      </c>
      <c r="AR24" s="42">
        <v>5.5058689716491846E-2</v>
      </c>
      <c r="AS24" s="42">
        <v>0.10357598027908374</v>
      </c>
      <c r="AT24" s="42">
        <v>0.21699627385081141</v>
      </c>
      <c r="AU24" s="42">
        <v>5.3009843516330424E-2</v>
      </c>
      <c r="AV24" s="42">
        <v>4.698244440493813E-2</v>
      </c>
      <c r="AW24" s="42">
        <v>2.5380165256900459E-2</v>
      </c>
      <c r="AX24" s="42">
        <v>3.5949689293059896E-2</v>
      </c>
      <c r="AY24" s="45"/>
      <c r="AZ24" s="43"/>
      <c r="BA24" s="44"/>
      <c r="BB24" s="46">
        <v>1.0000000000000002</v>
      </c>
      <c r="BD24" s="5">
        <v>41089</v>
      </c>
      <c r="BE24" s="56">
        <v>3.0132718760613676E-2</v>
      </c>
    </row>
    <row r="25" spans="6:57" x14ac:dyDescent="0.2">
      <c r="F25" s="25">
        <v>41152</v>
      </c>
      <c r="G25" s="10">
        <f>Price!G25/'Price D Coupon'!G$5</f>
        <v>0</v>
      </c>
      <c r="H25" s="10">
        <f>Price!H25/'Price D Coupon'!H$5</f>
        <v>0</v>
      </c>
      <c r="I25" s="10">
        <f>Price!I25/'Price D Coupon'!I$5</f>
        <v>0</v>
      </c>
      <c r="J25" s="10">
        <f>Price!J25/'Price D Coupon'!J$5</f>
        <v>0</v>
      </c>
      <c r="K25" s="10">
        <f>Price!K25/'Price D Coupon'!K$5</f>
        <v>0</v>
      </c>
      <c r="L25" s="10">
        <f>Price!L25/'Price D Coupon'!L$5</f>
        <v>4.1276113599999995</v>
      </c>
      <c r="M25" s="10">
        <f>Price!M25/'Price D Coupon'!M$5</f>
        <v>4.120222444444444</v>
      </c>
      <c r="N25" s="10">
        <f>Price!N25/'Price D Coupon'!N$5</f>
        <v>4.2708253971428567</v>
      </c>
      <c r="O25" s="10">
        <f>Price!O25/'Price D Coupon'!O$5</f>
        <v>3.95161111</v>
      </c>
      <c r="P25" s="10">
        <f>Price!P25/'Price D Coupon'!P$5</f>
        <v>3.6722222222222221</v>
      </c>
      <c r="Q25" s="10">
        <f>Price!Q25/'Price D Coupon'!Q$5</f>
        <v>3.9673111119999995</v>
      </c>
      <c r="R25" s="10">
        <f>Price!R25/'Price D Coupon'!R$5</f>
        <v>3.3111111100000001</v>
      </c>
      <c r="S25" s="10">
        <f>Price!S25/'Price D Coupon'!S$5</f>
        <v>3.1235555555555559</v>
      </c>
      <c r="T25" s="10">
        <f>Price!T25/'Price D Coupon'!T$5</f>
        <v>3.5017109119999992</v>
      </c>
      <c r="U25" s="10">
        <f>Price!U25/'Price D Coupon'!U$5</f>
        <v>2.3196565654545456</v>
      </c>
      <c r="V25" s="10">
        <f>Price!V25/'Price D Coupon'!V$5</f>
        <v>2.4101111116666667</v>
      </c>
      <c r="W25" s="10">
        <f>Price!W25/'Price D Coupon'!W$5</f>
        <v>2.8158803415384615</v>
      </c>
      <c r="X25" s="10"/>
      <c r="Y25" s="10"/>
      <c r="Z25" s="10"/>
      <c r="AA25" s="12">
        <v>16.617355621999998</v>
      </c>
      <c r="AC25" s="36">
        <v>41152</v>
      </c>
      <c r="AD25" s="35">
        <f>VLOOKUP(AC25,CurrentCoupon!$B$4:$C$1468,2,0)</f>
        <v>2.3689486742097801</v>
      </c>
      <c r="AG25" s="5">
        <v>41152</v>
      </c>
      <c r="AH25" s="42">
        <v>0</v>
      </c>
      <c r="AI25" s="42">
        <v>0</v>
      </c>
      <c r="AJ25" s="42">
        <v>0</v>
      </c>
      <c r="AK25" s="42">
        <v>0</v>
      </c>
      <c r="AL25" s="42">
        <v>0</v>
      </c>
      <c r="AM25" s="42">
        <v>0.10039783150735723</v>
      </c>
      <c r="AN25" s="42">
        <v>0.10530732990769927</v>
      </c>
      <c r="AO25" s="42">
        <v>2.6102645132748587E-2</v>
      </c>
      <c r="AP25" s="42">
        <v>0.12399000793978042</v>
      </c>
      <c r="AQ25" s="42">
        <v>0.11040535406603688</v>
      </c>
      <c r="AR25" s="42">
        <v>5.5519629368271282E-2</v>
      </c>
      <c r="AS25" s="42">
        <v>0.1031058940877545</v>
      </c>
      <c r="AT25" s="42">
        <v>0.21553213145486913</v>
      </c>
      <c r="AU25" s="42">
        <v>5.3098612147675833E-2</v>
      </c>
      <c r="AV25" s="42">
        <v>4.5936291740535928E-2</v>
      </c>
      <c r="AW25" s="42">
        <v>2.4957884579101461E-2</v>
      </c>
      <c r="AX25" s="42">
        <v>3.5646388068169492E-2</v>
      </c>
      <c r="AY25" s="45"/>
      <c r="AZ25" s="43"/>
      <c r="BA25" s="44"/>
      <c r="BB25" s="46">
        <v>1</v>
      </c>
      <c r="BD25" s="5">
        <v>41121</v>
      </c>
      <c r="BE25" s="56">
        <v>-1.5907642368620453E-2</v>
      </c>
    </row>
    <row r="26" spans="6:57" x14ac:dyDescent="0.2">
      <c r="F26" s="25">
        <v>41180</v>
      </c>
      <c r="G26" s="10">
        <f>Price!G26/'Price D Coupon'!G$5</f>
        <v>0</v>
      </c>
      <c r="H26" s="10">
        <f>Price!H26/'Price D Coupon'!H$5</f>
        <v>0</v>
      </c>
      <c r="I26" s="10">
        <f>Price!I26/'Price D Coupon'!I$5</f>
        <v>0</v>
      </c>
      <c r="J26" s="10">
        <f>Price!J26/'Price D Coupon'!J$5</f>
        <v>0</v>
      </c>
      <c r="K26" s="10">
        <f>Price!K26/'Price D Coupon'!K$5</f>
        <v>0</v>
      </c>
      <c r="L26" s="10">
        <f>Price!L26/'Price D Coupon'!L$5</f>
        <v>3.4432777774999996</v>
      </c>
      <c r="M26" s="10">
        <f>Price!M26/'Price D Coupon'!M$5</f>
        <v>3.5596666666666668</v>
      </c>
      <c r="N26" s="10">
        <f>Price!N26/'Price D Coupon'!N$5</f>
        <v>3.3519206342857144</v>
      </c>
      <c r="O26" s="10">
        <f>Price!O26/'Price D Coupon'!O$5</f>
        <v>3.2872777774999999</v>
      </c>
      <c r="P26" s="10">
        <f>Price!P26/'Price D Coupon'!P$5</f>
        <v>3.198555555555556</v>
      </c>
      <c r="Q26" s="10">
        <f>Price!Q26/'Price D Coupon'!Q$5</f>
        <v>3.7745775780000002</v>
      </c>
      <c r="R26" s="10">
        <f>Price!R26/'Price D Coupon'!R$5</f>
        <v>2.8067777774999998</v>
      </c>
      <c r="S26" s="10">
        <f>Price!S26/'Price D Coupon'!S$5</f>
        <v>2.7612222222222225</v>
      </c>
      <c r="T26" s="10">
        <f>Price!T26/'Price D Coupon'!T$5</f>
        <v>3.3403777779999997</v>
      </c>
      <c r="U26" s="10">
        <f>Price!U26/'Price D Coupon'!U$5</f>
        <v>2.1351414145454544</v>
      </c>
      <c r="V26" s="10">
        <f>Price!V26/'Price D Coupon'!V$5</f>
        <v>2.3184444449999999</v>
      </c>
      <c r="W26" s="10">
        <f>Price!W26/'Price D Coupon'!W$5</f>
        <v>2.7161623938461541</v>
      </c>
      <c r="X26" s="10"/>
      <c r="Y26" s="10"/>
      <c r="Z26" s="10"/>
      <c r="AA26" s="12">
        <v>14.983455489333332</v>
      </c>
      <c r="AC26" s="36">
        <v>41180</v>
      </c>
      <c r="AD26" s="35">
        <f>VLOOKUP(AC26,CurrentCoupon!$B$4:$C$1468,2,0)</f>
        <v>2.0399140401394802</v>
      </c>
      <c r="AG26" s="5">
        <v>41180</v>
      </c>
      <c r="AH26" s="42">
        <v>0</v>
      </c>
      <c r="AI26" s="42">
        <v>0</v>
      </c>
      <c r="AJ26" s="42">
        <v>0</v>
      </c>
      <c r="AK26" s="42">
        <v>0</v>
      </c>
      <c r="AL26" s="42">
        <v>0</v>
      </c>
      <c r="AM26" s="42">
        <v>0.10090619809534129</v>
      </c>
      <c r="AN26" s="42">
        <v>0.10644846578133313</v>
      </c>
      <c r="AO26" s="42">
        <v>2.6213032121486637E-2</v>
      </c>
      <c r="AP26" s="42">
        <v>0.12437717934484596</v>
      </c>
      <c r="AQ26" s="42">
        <v>0.11092926874059172</v>
      </c>
      <c r="AR26" s="42">
        <v>5.6204447162430234E-2</v>
      </c>
      <c r="AS26" s="42">
        <v>0.10237862187397354</v>
      </c>
      <c r="AT26" s="42">
        <v>0.21400730117211553</v>
      </c>
      <c r="AU26" s="42">
        <v>5.3378468067671415E-2</v>
      </c>
      <c r="AV26" s="42">
        <v>4.5083771241500342E-2</v>
      </c>
      <c r="AW26" s="42">
        <v>2.4636362975564034E-2</v>
      </c>
      <c r="AX26" s="42">
        <v>3.5436883423146097E-2</v>
      </c>
      <c r="AY26" s="45"/>
      <c r="AZ26" s="43"/>
      <c r="BA26" s="44"/>
      <c r="BB26" s="46">
        <v>0.99999999999999989</v>
      </c>
      <c r="BD26" s="5">
        <v>41152</v>
      </c>
      <c r="BE26" s="56">
        <v>5.8693092581460653E-2</v>
      </c>
    </row>
    <row r="27" spans="6:57" x14ac:dyDescent="0.2">
      <c r="F27" s="25">
        <v>41213</v>
      </c>
      <c r="G27" s="10">
        <f>Price!G27/'Price D Coupon'!G$5</f>
        <v>0</v>
      </c>
      <c r="H27" s="10">
        <f>Price!H27/'Price D Coupon'!H$5</f>
        <v>0</v>
      </c>
      <c r="I27" s="10">
        <f>Price!I27/'Price D Coupon'!I$5</f>
        <v>0</v>
      </c>
      <c r="J27" s="10">
        <f>Price!J27/'Price D Coupon'!J$5</f>
        <v>0</v>
      </c>
      <c r="K27" s="10">
        <f>Price!K27/'Price D Coupon'!K$5</f>
        <v>0</v>
      </c>
      <c r="L27" s="10">
        <f>Price!L27/'Price D Coupon'!L$5</f>
        <v>3.4747777774999999</v>
      </c>
      <c r="M27" s="10">
        <f>Price!M27/'Price D Coupon'!M$5</f>
        <v>3.6881108888888892</v>
      </c>
      <c r="N27" s="10">
        <f>Price!N27/'Price D Coupon'!N$5</f>
        <v>3.38763492</v>
      </c>
      <c r="O27" s="10">
        <f>Price!O27/'Price D Coupon'!O$5</f>
        <v>3.3497777774999999</v>
      </c>
      <c r="P27" s="10">
        <f>Price!P27/'Price D Coupon'!P$5</f>
        <v>3.3514444444444447</v>
      </c>
      <c r="Q27" s="10">
        <f>Price!Q27/'Price D Coupon'!Q$5</f>
        <v>3.7433775779999996</v>
      </c>
      <c r="R27" s="10">
        <f>Price!R27/'Price D Coupon'!R$5</f>
        <v>2.8105277774999999</v>
      </c>
      <c r="S27" s="10">
        <f>Price!S27/'Price D Coupon'!S$5</f>
        <v>2.8514444444444447</v>
      </c>
      <c r="T27" s="10">
        <f>Price!T27/'Price D Coupon'!T$5</f>
        <v>3.3495775780000003</v>
      </c>
      <c r="U27" s="10">
        <f>Price!U27/'Price D Coupon'!U$5</f>
        <v>2.2460505054545457</v>
      </c>
      <c r="V27" s="10">
        <f>Price!V27/'Price D Coupon'!V$5</f>
        <v>2.430444445</v>
      </c>
      <c r="W27" s="10">
        <f>Price!W27/'Price D Coupon'!W$5</f>
        <v>2.7547777784615382</v>
      </c>
      <c r="X27" s="10"/>
      <c r="Y27" s="10"/>
      <c r="Z27" s="10"/>
      <c r="AA27" s="12">
        <v>15.296122089333336</v>
      </c>
      <c r="AC27" s="36">
        <v>41213</v>
      </c>
      <c r="AD27" s="35">
        <f>VLOOKUP(AC27,CurrentCoupon!$B$4:$C$1468,2,0)</f>
        <v>2.1423497452898399</v>
      </c>
      <c r="AG27" s="5">
        <v>41213</v>
      </c>
      <c r="AH27" s="42">
        <v>0</v>
      </c>
      <c r="AI27" s="42">
        <v>0</v>
      </c>
      <c r="AJ27" s="42">
        <v>0</v>
      </c>
      <c r="AK27" s="42">
        <v>0</v>
      </c>
      <c r="AL27" s="42">
        <v>0</v>
      </c>
      <c r="AM27" s="42">
        <v>0.10142001507660525</v>
      </c>
      <c r="AN27" s="42">
        <v>0.10775211628591418</v>
      </c>
      <c r="AO27" s="42">
        <v>2.6236522845732035E-2</v>
      </c>
      <c r="AP27" s="42">
        <v>0.12436852369451007</v>
      </c>
      <c r="AQ27" s="42">
        <v>0.11152706954887</v>
      </c>
      <c r="AR27" s="42">
        <v>5.7028121449514947E-2</v>
      </c>
      <c r="AS27" s="42">
        <v>0.10132120694794139</v>
      </c>
      <c r="AT27" s="42">
        <v>0.21244409075356782</v>
      </c>
      <c r="AU27" s="42">
        <v>5.3730314944683208E-2</v>
      </c>
      <c r="AV27" s="42">
        <v>4.4318381584613362E-2</v>
      </c>
      <c r="AW27" s="42">
        <v>2.4416895843014347E-2</v>
      </c>
      <c r="AX27" s="42">
        <v>3.5436741025033296E-2</v>
      </c>
      <c r="AY27" s="45"/>
      <c r="AZ27" s="43"/>
      <c r="BA27" s="44"/>
      <c r="BB27" s="46">
        <v>0.99999999999999967</v>
      </c>
      <c r="BD27" s="5">
        <v>41180</v>
      </c>
      <c r="BE27" s="56">
        <v>-0.13606250669448994</v>
      </c>
    </row>
    <row r="28" spans="6:57" x14ac:dyDescent="0.2">
      <c r="F28" s="25">
        <v>41243</v>
      </c>
      <c r="G28" s="10">
        <f>Price!G28/'Price D Coupon'!G$5</f>
        <v>0</v>
      </c>
      <c r="H28" s="10">
        <f>Price!H28/'Price D Coupon'!H$5</f>
        <v>0</v>
      </c>
      <c r="I28" s="10">
        <f>Price!I28/'Price D Coupon'!I$5</f>
        <v>0</v>
      </c>
      <c r="J28" s="10">
        <f>Price!J28/'Price D Coupon'!J$5</f>
        <v>0</v>
      </c>
      <c r="K28" s="10">
        <f>Price!K28/'Price D Coupon'!K$5</f>
        <v>0</v>
      </c>
      <c r="L28" s="10">
        <f>Price!L28/'Price D Coupon'!L$5</f>
        <v>3.4645833325000002</v>
      </c>
      <c r="M28" s="10">
        <f>Price!M28/'Price D Coupon'!M$5</f>
        <v>3.4334444444444445</v>
      </c>
      <c r="N28" s="10">
        <f>Price!N28/'Price D Coupon'!N$5</f>
        <v>3.4377619057142854</v>
      </c>
      <c r="O28" s="10">
        <f>Price!O28/'Price D Coupon'!O$5</f>
        <v>3.2810833325000002</v>
      </c>
      <c r="P28" s="10">
        <f>Price!P28/'Price D Coupon'!P$5</f>
        <v>3.2076666666666664</v>
      </c>
      <c r="Q28" s="10">
        <f>Price!Q28/'Price D Coupon'!Q$5</f>
        <v>3.4895333339999999</v>
      </c>
      <c r="R28" s="10">
        <f>Price!R28/'Price D Coupon'!R$5</f>
        <v>2.7105833325000002</v>
      </c>
      <c r="S28" s="10">
        <f>Price!S28/'Price D Coupon'!S$5</f>
        <v>2.6798888888888888</v>
      </c>
      <c r="T28" s="10">
        <f>Price!T28/'Price D Coupon'!T$5</f>
        <v>3.0645333340000001</v>
      </c>
      <c r="U28" s="10">
        <f>Price!U28/'Price D Coupon'!U$5</f>
        <v>2.0554242418181818</v>
      </c>
      <c r="V28" s="10">
        <f>Price!V28/'Price D Coupon'!V$5</f>
        <v>2.2718333333333334</v>
      </c>
      <c r="W28" s="10">
        <f>Price!W28/'Price D Coupon'!W$5</f>
        <v>2.5872564107692306</v>
      </c>
      <c r="X28" s="10"/>
      <c r="Y28" s="10"/>
      <c r="Z28" s="10"/>
      <c r="AA28" s="12">
        <v>14.6189666</v>
      </c>
      <c r="AC28" s="36">
        <v>41243</v>
      </c>
      <c r="AD28" s="35">
        <f>VLOOKUP(AC28,CurrentCoupon!$B$4:$C$1468,2,0)</f>
        <v>2.0725335490580301</v>
      </c>
      <c r="AG28" s="5">
        <v>41243</v>
      </c>
      <c r="AH28" s="42">
        <v>0</v>
      </c>
      <c r="AI28" s="42">
        <v>0</v>
      </c>
      <c r="AJ28" s="42">
        <v>0</v>
      </c>
      <c r="AK28" s="42">
        <v>0</v>
      </c>
      <c r="AL28" s="42">
        <v>0</v>
      </c>
      <c r="AM28" s="42">
        <v>0.10195791523189537</v>
      </c>
      <c r="AN28" s="42">
        <v>0.1089120350233222</v>
      </c>
      <c r="AO28" s="42">
        <v>2.628355476798596E-2</v>
      </c>
      <c r="AP28" s="42">
        <v>0.12437817423131435</v>
      </c>
      <c r="AQ28" s="42">
        <v>0.11202675513212679</v>
      </c>
      <c r="AR28" s="42">
        <v>5.7752958539402363E-2</v>
      </c>
      <c r="AS28" s="42">
        <v>0.10021321204314776</v>
      </c>
      <c r="AT28" s="42">
        <v>0.2109874999702257</v>
      </c>
      <c r="AU28" s="42">
        <v>5.4007603964625443E-2</v>
      </c>
      <c r="AV28" s="42">
        <v>4.3738435133927188E-2</v>
      </c>
      <c r="AW28" s="42">
        <v>2.4255209200999654E-2</v>
      </c>
      <c r="AX28" s="42">
        <v>3.5486646761027196E-2</v>
      </c>
      <c r="AY28" s="45"/>
      <c r="AZ28" s="43"/>
      <c r="BA28" s="44"/>
      <c r="BB28" s="46">
        <v>0.99999999999999989</v>
      </c>
      <c r="BD28" s="5">
        <v>41213</v>
      </c>
      <c r="BE28" s="56">
        <v>1.7655999043972182E-2</v>
      </c>
    </row>
    <row r="29" spans="6:57" x14ac:dyDescent="0.2">
      <c r="F29" s="25">
        <v>41274</v>
      </c>
      <c r="G29" s="10">
        <f>Price!G29/'Price D Coupon'!G$5</f>
        <v>0</v>
      </c>
      <c r="H29" s="10">
        <f>Price!H29/'Price D Coupon'!H$5</f>
        <v>0</v>
      </c>
      <c r="I29" s="10">
        <f>Price!I29/'Price D Coupon'!I$5</f>
        <v>0</v>
      </c>
      <c r="J29" s="10">
        <f>Price!J29/'Price D Coupon'!J$5</f>
        <v>0</v>
      </c>
      <c r="K29" s="10">
        <f>Price!K29/'Price D Coupon'!K$5</f>
        <v>0</v>
      </c>
      <c r="L29" s="10">
        <f>Price!L29/'Price D Coupon'!L$5</f>
        <v>3.5595555550000002</v>
      </c>
      <c r="M29" s="10">
        <f>Price!M29/'Price D Coupon'!M$5</f>
        <v>3.5764444444444448</v>
      </c>
      <c r="N29" s="10">
        <f>Price!N29/'Price D Coupon'!N$5</f>
        <v>3.4975555542857144</v>
      </c>
      <c r="O29" s="10">
        <f>Price!O29/'Price D Coupon'!O$5</f>
        <v>3.3250555550000001</v>
      </c>
      <c r="P29" s="10">
        <f>Price!P29/'Price D Coupon'!P$5</f>
        <v>3.3160000000000003</v>
      </c>
      <c r="Q29" s="10">
        <f>Price!Q29/'Price D Coupon'!Q$5</f>
        <v>3.5649557560000007</v>
      </c>
      <c r="R29" s="10">
        <f>Price!R29/'Price D Coupon'!R$5</f>
        <v>2.8290555550000001</v>
      </c>
      <c r="S29" s="10">
        <f>Price!S29/'Price D Coupon'!S$5</f>
        <v>2.854222222222222</v>
      </c>
      <c r="T29" s="10">
        <f>Price!T29/'Price D Coupon'!T$5</f>
        <v>3.130555556</v>
      </c>
      <c r="U29" s="10">
        <f>Price!U29/'Price D Coupon'!U$5</f>
        <v>2.1806464654545454</v>
      </c>
      <c r="V29" s="10">
        <f>Price!V29/'Price D Coupon'!V$5</f>
        <v>2.3837222216666665</v>
      </c>
      <c r="W29" s="10">
        <f>Price!W29/'Price D Coupon'!W$5</f>
        <v>2.6661709400000002</v>
      </c>
      <c r="X29" s="10"/>
      <c r="Y29" s="10"/>
      <c r="Z29" s="10"/>
      <c r="AA29" s="12">
        <v>15.056044377333333</v>
      </c>
      <c r="AC29" s="36">
        <v>41274</v>
      </c>
      <c r="AD29" s="35">
        <f>VLOOKUP(AC29,CurrentCoupon!$B$4:$C$1468,2,0)</f>
        <v>2.1517307112587098</v>
      </c>
      <c r="AG29" s="5">
        <v>41274</v>
      </c>
      <c r="AH29" s="42">
        <v>0</v>
      </c>
      <c r="AI29" s="42">
        <v>0</v>
      </c>
      <c r="AJ29" s="42">
        <v>0</v>
      </c>
      <c r="AK29" s="42">
        <v>0</v>
      </c>
      <c r="AL29" s="42">
        <v>0</v>
      </c>
      <c r="AM29" s="42">
        <v>0.10267328680014742</v>
      </c>
      <c r="AN29" s="42">
        <v>0.11024715138738571</v>
      </c>
      <c r="AO29" s="42">
        <v>2.6384948673661663E-2</v>
      </c>
      <c r="AP29" s="42">
        <v>0.12453742107400272</v>
      </c>
      <c r="AQ29" s="42">
        <v>0.11260529605846888</v>
      </c>
      <c r="AR29" s="42">
        <v>5.8549754472590206E-2</v>
      </c>
      <c r="AS29" s="42">
        <v>9.9182410686268985E-2</v>
      </c>
      <c r="AT29" s="42">
        <v>0.209238269248158</v>
      </c>
      <c r="AU29" s="42">
        <v>5.4289093932870229E-2</v>
      </c>
      <c r="AV29" s="42">
        <v>4.2948274444561257E-2</v>
      </c>
      <c r="AW29" s="42">
        <v>2.394559027065904E-2</v>
      </c>
      <c r="AX29" s="42">
        <v>3.5398502951226034E-2</v>
      </c>
      <c r="AY29" s="45"/>
      <c r="AZ29" s="43"/>
      <c r="BA29" s="44"/>
      <c r="BB29" s="46">
        <v>1</v>
      </c>
      <c r="BD29" s="5">
        <v>41243</v>
      </c>
      <c r="BE29" s="56">
        <v>-5.8156333129240345E-2</v>
      </c>
    </row>
    <row r="30" spans="6:57" x14ac:dyDescent="0.2">
      <c r="F30" s="25">
        <v>41305</v>
      </c>
      <c r="G30" s="10">
        <f>Price!G30/'Price D Coupon'!G$5</f>
        <v>0</v>
      </c>
      <c r="H30" s="10">
        <f>Price!H30/'Price D Coupon'!H$5</f>
        <v>0</v>
      </c>
      <c r="I30" s="10">
        <f>Price!I30/'Price D Coupon'!I$5</f>
        <v>0</v>
      </c>
      <c r="J30" s="10">
        <f>Price!J30/'Price D Coupon'!J$5</f>
        <v>0</v>
      </c>
      <c r="K30" s="10">
        <f>Price!K30/'Price D Coupon'!K$5</f>
        <v>0</v>
      </c>
      <c r="L30" s="10">
        <f>Price!L30/'Price D Coupon'!L$5</f>
        <v>4.0957780275000006</v>
      </c>
      <c r="M30" s="10">
        <f>Price!M30/'Price D Coupon'!M$5</f>
        <v>3.8825553333333338</v>
      </c>
      <c r="N30" s="10">
        <f>Price!N30/'Price D Coupon'!N$5</f>
        <v>4.2313492057142854</v>
      </c>
      <c r="O30" s="10">
        <f>Price!O30/'Price D Coupon'!O$5</f>
        <v>3.8417777774999999</v>
      </c>
      <c r="P30" s="10">
        <f>Price!P30/'Price D Coupon'!P$5</f>
        <v>3.5978888888888889</v>
      </c>
      <c r="Q30" s="10">
        <f>Price!Q30/'Price D Coupon'!Q$5</f>
        <v>3.6245775780000002</v>
      </c>
      <c r="R30" s="10">
        <f>Price!R30/'Price D Coupon'!R$5</f>
        <v>3.2675277774999998</v>
      </c>
      <c r="S30" s="10">
        <f>Price!S30/'Price D Coupon'!S$5</f>
        <v>3.0318888888888891</v>
      </c>
      <c r="T30" s="10">
        <f>Price!T30/'Price D Coupon'!T$5</f>
        <v>3.183977778</v>
      </c>
      <c r="U30" s="10">
        <f>Price!U30/'Price D Coupon'!U$5</f>
        <v>2.197686869090909</v>
      </c>
      <c r="V30" s="10">
        <f>Price!V30/'Price D Coupon'!V$5</f>
        <v>2.3157777783333331</v>
      </c>
      <c r="W30" s="10">
        <f>Price!W30/'Price D Coupon'!W$5</f>
        <v>2.5672393169230769</v>
      </c>
      <c r="X30" s="10"/>
      <c r="Y30" s="10"/>
      <c r="Z30" s="10"/>
      <c r="AA30" s="12">
        <v>16.041722089333334</v>
      </c>
      <c r="AC30" s="36">
        <v>41305</v>
      </c>
      <c r="AD30" s="35">
        <f>VLOOKUP(AC30,CurrentCoupon!$B$4:$C$1468,2,0)</f>
        <v>2.57376759097352</v>
      </c>
      <c r="AG30" s="5">
        <v>41305</v>
      </c>
      <c r="AH30" s="42">
        <v>0</v>
      </c>
      <c r="AI30" s="42">
        <v>0</v>
      </c>
      <c r="AJ30" s="42">
        <v>0</v>
      </c>
      <c r="AK30" s="42">
        <v>0</v>
      </c>
      <c r="AL30" s="42">
        <v>0</v>
      </c>
      <c r="AM30" s="42">
        <v>0.10309605695896507</v>
      </c>
      <c r="AN30" s="42">
        <v>0.11150933728211818</v>
      </c>
      <c r="AO30" s="42">
        <v>2.6345179467815352E-2</v>
      </c>
      <c r="AP30" s="42">
        <v>0.12439664956049377</v>
      </c>
      <c r="AQ30" s="42">
        <v>0.113228327623536</v>
      </c>
      <c r="AR30" s="42">
        <v>5.937214678340573E-2</v>
      </c>
      <c r="AS30" s="42">
        <v>9.8149848824455016E-2</v>
      </c>
      <c r="AT30" s="42">
        <v>0.20795690524341723</v>
      </c>
      <c r="AU30" s="42">
        <v>5.4660001522464211E-2</v>
      </c>
      <c r="AV30" s="42">
        <v>4.2237801498082227E-2</v>
      </c>
      <c r="AW30" s="42">
        <v>2.3720951371056561E-2</v>
      </c>
      <c r="AX30" s="42">
        <v>3.5326793864190513E-2</v>
      </c>
      <c r="AY30" s="45"/>
      <c r="AZ30" s="43"/>
      <c r="BA30" s="44"/>
      <c r="BB30" s="46">
        <v>0.99999999999999978</v>
      </c>
      <c r="BD30" s="5">
        <v>41274</v>
      </c>
      <c r="BE30" s="56">
        <v>3.1244329246387089E-2</v>
      </c>
    </row>
    <row r="31" spans="6:57" x14ac:dyDescent="0.2">
      <c r="F31" s="25">
        <v>41333</v>
      </c>
      <c r="G31" s="10">
        <f>Price!G31/'Price D Coupon'!G$5</f>
        <v>0</v>
      </c>
      <c r="H31" s="10">
        <f>Price!H31/'Price D Coupon'!H$5</f>
        <v>0</v>
      </c>
      <c r="I31" s="10">
        <f>Price!I31/'Price D Coupon'!I$5</f>
        <v>0</v>
      </c>
      <c r="J31" s="10">
        <f>Price!J31/'Price D Coupon'!J$5</f>
        <v>0</v>
      </c>
      <c r="K31" s="10">
        <f>Price!K31/'Price D Coupon'!K$5</f>
        <v>0</v>
      </c>
      <c r="L31" s="10">
        <f>Price!L31/'Price D Coupon'!L$5</f>
        <v>4.0175277774999998</v>
      </c>
      <c r="M31" s="10">
        <f>Price!M31/'Price D Coupon'!M$5</f>
        <v>3.8478886666666665</v>
      </c>
      <c r="N31" s="10">
        <f>Price!N31/'Price D Coupon'!N$5</f>
        <v>4.3207777771428573</v>
      </c>
      <c r="O31" s="10">
        <f>Price!O31/'Price D Coupon'!O$5</f>
        <v>3.7987777774999998</v>
      </c>
      <c r="P31" s="10">
        <f>Price!P31/'Price D Coupon'!P$5</f>
        <v>3.577</v>
      </c>
      <c r="Q31" s="10">
        <f>Price!Q31/'Price D Coupon'!Q$5</f>
        <v>3.580977978</v>
      </c>
      <c r="R31" s="10">
        <f>Price!R31/'Price D Coupon'!R$5</f>
        <v>3.2675277774999998</v>
      </c>
      <c r="S31" s="10">
        <f>Price!S31/'Price D Coupon'!S$5</f>
        <v>3.0285555555555557</v>
      </c>
      <c r="T31" s="10">
        <f>Price!T31/'Price D Coupon'!T$5</f>
        <v>3.212177778</v>
      </c>
      <c r="U31" s="10">
        <f>Price!U31/'Price D Coupon'!U$5</f>
        <v>2.2431414145454549</v>
      </c>
      <c r="V31" s="10">
        <f>Price!V31/'Price D Coupon'!V$5</f>
        <v>2.3157777783333331</v>
      </c>
      <c r="W31" s="10">
        <f>Price!W31/'Price D Coupon'!W$5</f>
        <v>2.5118547015384616</v>
      </c>
      <c r="X31" s="10"/>
      <c r="Y31" s="10"/>
      <c r="Z31" s="10"/>
      <c r="AA31" s="12">
        <v>16.011522222666663</v>
      </c>
      <c r="AC31" s="36">
        <v>41333</v>
      </c>
      <c r="AD31" s="35">
        <f>VLOOKUP(AC31,CurrentCoupon!$B$4:$C$1468,2,0)</f>
        <v>2.5448374323223399</v>
      </c>
      <c r="AG31" s="5">
        <v>41333</v>
      </c>
      <c r="AH31" s="42">
        <v>0</v>
      </c>
      <c r="AI31" s="42">
        <v>0</v>
      </c>
      <c r="AJ31" s="42">
        <v>0</v>
      </c>
      <c r="AK31" s="42">
        <v>0</v>
      </c>
      <c r="AL31" s="42">
        <v>0</v>
      </c>
      <c r="AM31" s="42">
        <v>0.1035984512333054</v>
      </c>
      <c r="AN31" s="42">
        <v>0.11286648370232993</v>
      </c>
      <c r="AO31" s="42">
        <v>2.6323406892106233E-2</v>
      </c>
      <c r="AP31" s="42">
        <v>0.12436519588397528</v>
      </c>
      <c r="AQ31" s="42">
        <v>0.11383352923542668</v>
      </c>
      <c r="AR31" s="42">
        <v>6.0217342469495741E-2</v>
      </c>
      <c r="AS31" s="42">
        <v>9.7013240570438197E-2</v>
      </c>
      <c r="AT31" s="42">
        <v>0.20638403997266586</v>
      </c>
      <c r="AU31" s="42">
        <v>5.5050391001409356E-2</v>
      </c>
      <c r="AV31" s="42">
        <v>4.1550454155116184E-2</v>
      </c>
      <c r="AW31" s="42">
        <v>2.3532717225607964E-2</v>
      </c>
      <c r="AX31" s="42">
        <v>3.5264747658123173E-2</v>
      </c>
      <c r="AY31" s="45"/>
      <c r="AZ31" s="43"/>
      <c r="BA31" s="44"/>
      <c r="BB31" s="46">
        <v>1.0000000000000002</v>
      </c>
      <c r="BD31" s="5">
        <v>41305</v>
      </c>
      <c r="BE31" s="56">
        <v>7.6720092823496691E-2</v>
      </c>
    </row>
    <row r="32" spans="6:57" x14ac:dyDescent="0.2">
      <c r="F32" s="22">
        <v>41361</v>
      </c>
      <c r="G32" s="10">
        <f>Price!G32/'Price D Coupon'!G$5</f>
        <v>0</v>
      </c>
      <c r="H32" s="10">
        <f>Price!H32/'Price D Coupon'!H$5</f>
        <v>0</v>
      </c>
      <c r="I32" s="10">
        <f>Price!I32/'Price D Coupon'!I$5</f>
        <v>0</v>
      </c>
      <c r="J32" s="10">
        <f>Price!J32/'Price D Coupon'!J$5</f>
        <v>6.3444444433333338</v>
      </c>
      <c r="K32" s="10">
        <f>Price!K32/'Price D Coupon'!K$5</f>
        <v>5.5036346342857145</v>
      </c>
      <c r="L32" s="10">
        <f>Price!L32/'Price D Coupon'!L$5</f>
        <v>4.2872777774999999</v>
      </c>
      <c r="M32" s="10">
        <f>Price!M32/'Price D Coupon'!M$5</f>
        <v>3.9694444444444446</v>
      </c>
      <c r="N32" s="10">
        <f>Price!N32/'Price D Coupon'!N$5</f>
        <v>4.7044920628571427</v>
      </c>
      <c r="O32" s="10">
        <f>Price!O32/'Price D Coupon'!O$5</f>
        <v>4.0567780275000001</v>
      </c>
      <c r="P32" s="10">
        <f>Price!P32/'Price D Coupon'!P$5</f>
        <v>3.7332222222222224</v>
      </c>
      <c r="Q32" s="10">
        <f>Price!Q32/'Price D Coupon'!Q$5</f>
        <v>3.6651777780000003</v>
      </c>
      <c r="R32" s="10">
        <f>Price!R32/'Price D Coupon'!R$5</f>
        <v>3.5057777774999996</v>
      </c>
      <c r="S32" s="10">
        <f>Price!S32/'Price D Coupon'!S$5</f>
        <v>3.1916666666666669</v>
      </c>
      <c r="T32" s="10">
        <f>Price!T32/'Price D Coupon'!T$5</f>
        <v>3.3277777780000002</v>
      </c>
      <c r="U32" s="10">
        <f>Price!U32/'Price D Coupon'!U$5</f>
        <v>2.3027777781818184</v>
      </c>
      <c r="V32" s="10">
        <f>Price!V32/'Price D Coupon'!V$5</f>
        <v>2.3757777783333336</v>
      </c>
      <c r="W32" s="10">
        <f>Price!W32/'Price D Coupon'!W$5</f>
        <v>2.4733931630769233</v>
      </c>
      <c r="X32" s="10"/>
      <c r="Y32" s="10"/>
      <c r="Z32" s="10"/>
      <c r="AA32" s="12">
        <v>16.974228699411764</v>
      </c>
      <c r="AC32" s="37">
        <v>41361</v>
      </c>
      <c r="AD32" s="35">
        <f>VLOOKUP(AC32,CurrentCoupon!$B$4:$C$1468,2,0)</f>
        <v>2.6143335780898398</v>
      </c>
      <c r="AG32" s="5">
        <v>41361</v>
      </c>
      <c r="AH32" s="42">
        <v>0</v>
      </c>
      <c r="AI32" s="42">
        <v>0</v>
      </c>
      <c r="AJ32" s="42">
        <v>0</v>
      </c>
      <c r="AK32" s="42">
        <v>0.16604545387295105</v>
      </c>
      <c r="AL32" s="42">
        <v>0.21519206722702106</v>
      </c>
      <c r="AM32" s="42">
        <v>6.440881656543028E-2</v>
      </c>
      <c r="AN32" s="42">
        <v>7.0585714262057106E-2</v>
      </c>
      <c r="AO32" s="42">
        <v>1.635276283402097E-2</v>
      </c>
      <c r="AP32" s="42">
        <v>7.7062796212745602E-2</v>
      </c>
      <c r="AQ32" s="42">
        <v>7.0770295762404734E-2</v>
      </c>
      <c r="AR32" s="42">
        <v>3.773353520010711E-2</v>
      </c>
      <c r="AS32" s="42">
        <v>5.9393319317402944E-2</v>
      </c>
      <c r="AT32" s="42">
        <v>0.12675823402652306</v>
      </c>
      <c r="AU32" s="42">
        <v>3.4312793763058715E-2</v>
      </c>
      <c r="AV32" s="42">
        <v>2.5291294687803799E-2</v>
      </c>
      <c r="AW32" s="42">
        <v>1.4405995184042945E-2</v>
      </c>
      <c r="AX32" s="42">
        <v>2.1686921084430624E-2</v>
      </c>
      <c r="AY32" s="45"/>
      <c r="AZ32" s="43"/>
      <c r="BA32" s="44"/>
      <c r="BB32" s="46">
        <v>1</v>
      </c>
      <c r="BD32" s="5">
        <v>41333</v>
      </c>
      <c r="BE32" s="56">
        <v>-1.7108062596615532E-2</v>
      </c>
    </row>
    <row r="33" spans="6:57" x14ac:dyDescent="0.2">
      <c r="F33" s="22">
        <v>41394</v>
      </c>
      <c r="G33" s="10">
        <f>Price!G33/'Price D Coupon'!G$5</f>
        <v>0</v>
      </c>
      <c r="H33" s="10">
        <f>Price!H33/'Price D Coupon'!H$5</f>
        <v>0</v>
      </c>
      <c r="I33" s="10">
        <f>Price!I33/'Price D Coupon'!I$5</f>
        <v>0</v>
      </c>
      <c r="J33" s="10">
        <f>Price!J33/'Price D Coupon'!J$5</f>
        <v>5.8601114433333343</v>
      </c>
      <c r="K33" s="10">
        <f>Price!K33/'Price D Coupon'!K$5</f>
        <v>4.798206062857143</v>
      </c>
      <c r="L33" s="10">
        <f>Price!L33/'Price D Coupon'!L$5</f>
        <v>3.7755277774999998</v>
      </c>
      <c r="M33" s="10">
        <f>Price!M33/'Price D Coupon'!M$5</f>
        <v>3.4763333333333337</v>
      </c>
      <c r="N33" s="10">
        <f>Price!N33/'Price D Coupon'!N$5</f>
        <v>3.9187777771428571</v>
      </c>
      <c r="O33" s="10">
        <f>Price!O33/'Price D Coupon'!O$5</f>
        <v>3.4667777774999999</v>
      </c>
      <c r="P33" s="10">
        <f>Price!P33/'Price D Coupon'!P$5</f>
        <v>3.1152222222222226</v>
      </c>
      <c r="Q33" s="10">
        <f>Price!Q33/'Price D Coupon'!Q$5</f>
        <v>3.1903777780000002</v>
      </c>
      <c r="R33" s="10">
        <f>Price!R33/'Price D Coupon'!R$5</f>
        <v>2.8145277774999999</v>
      </c>
      <c r="S33" s="10">
        <f>Price!S33/'Price D Coupon'!S$5</f>
        <v>2.6118888888888891</v>
      </c>
      <c r="T33" s="10">
        <f>Price!T33/'Price D Coupon'!T$5</f>
        <v>2.9309777779999999</v>
      </c>
      <c r="U33" s="10">
        <f>Price!U33/'Price D Coupon'!U$5</f>
        <v>2.007323232727273</v>
      </c>
      <c r="V33" s="10">
        <f>Price!V33/'Price D Coupon'!V$5</f>
        <v>2.1101111116666664</v>
      </c>
      <c r="W33" s="10">
        <f>Price!W33/'Price D Coupon'!W$5</f>
        <v>2.2233931630769233</v>
      </c>
      <c r="X33" s="10"/>
      <c r="Y33" s="10"/>
      <c r="Z33" s="10"/>
      <c r="AA33" s="12">
        <v>14.73175822882353</v>
      </c>
      <c r="AC33" s="37">
        <v>41394</v>
      </c>
      <c r="AD33" s="35">
        <f>VLOOKUP(AC33,CurrentCoupon!$B$4:$C$1468,2,0)</f>
        <v>2.3535373905486399</v>
      </c>
      <c r="AG33" s="5">
        <v>41394</v>
      </c>
      <c r="AH33" s="42">
        <v>0</v>
      </c>
      <c r="AI33" s="42">
        <v>0</v>
      </c>
      <c r="AJ33" s="42">
        <v>0</v>
      </c>
      <c r="AK33" s="42">
        <v>0.16923057771147348</v>
      </c>
      <c r="AL33" s="42">
        <v>0.21766117829433518</v>
      </c>
      <c r="AM33" s="42">
        <v>6.4311837963362095E-2</v>
      </c>
      <c r="AN33" s="42">
        <v>7.0636887554089284E-2</v>
      </c>
      <c r="AO33" s="42">
        <v>1.6296094784065185E-2</v>
      </c>
      <c r="AP33" s="42">
        <v>7.6526100162507424E-2</v>
      </c>
      <c r="AQ33" s="42">
        <v>7.0361684621639956E-2</v>
      </c>
      <c r="AR33" s="42">
        <v>3.7783806993814416E-2</v>
      </c>
      <c r="AS33" s="42">
        <v>5.8183302565491465E-2</v>
      </c>
      <c r="AT33" s="42">
        <v>0.12472884370117576</v>
      </c>
      <c r="AU33" s="42">
        <v>3.4183924580162679E-2</v>
      </c>
      <c r="AV33" s="42">
        <v>2.4634716831360304E-2</v>
      </c>
      <c r="AW33" s="42">
        <v>1.4100709482951838E-2</v>
      </c>
      <c r="AX33" s="42">
        <v>2.136033475357095E-2</v>
      </c>
      <c r="AY33" s="45"/>
      <c r="AZ33" s="43"/>
      <c r="BA33" s="44"/>
      <c r="BB33" s="46">
        <v>0.99999999999999989</v>
      </c>
      <c r="BD33" s="5">
        <v>41361</v>
      </c>
      <c r="BE33" s="56">
        <v>4.7163211473699472E-2</v>
      </c>
    </row>
    <row r="34" spans="6:57" x14ac:dyDescent="0.2">
      <c r="F34" s="22">
        <v>41425</v>
      </c>
      <c r="G34" s="10">
        <f>Price!G34/'Price D Coupon'!G$5</f>
        <v>0</v>
      </c>
      <c r="H34" s="10">
        <f>Price!H34/'Price D Coupon'!H$5</f>
        <v>0</v>
      </c>
      <c r="I34" s="10">
        <f>Price!I34/'Price D Coupon'!I$5</f>
        <v>0</v>
      </c>
      <c r="J34" s="10">
        <f>Price!J34/'Price D Coupon'!J$5</f>
        <v>6.7823336666666671</v>
      </c>
      <c r="K34" s="10">
        <f>Price!K34/'Price D Coupon'!K$5</f>
        <v>5.8263333342857138</v>
      </c>
      <c r="L34" s="10">
        <f>Price!L34/'Price D Coupon'!L$5</f>
        <v>4.7848333324999999</v>
      </c>
      <c r="M34" s="10">
        <f>Price!M34/'Price D Coupon'!M$5</f>
        <v>4.1103331111111112</v>
      </c>
      <c r="N34" s="10">
        <f>Price!N34/'Price D Coupon'!N$5</f>
        <v>5.1966187628571427</v>
      </c>
      <c r="O34" s="10">
        <f>Price!O34/'Price D Coupon'!O$5</f>
        <v>4.4255833325000005</v>
      </c>
      <c r="P34" s="10">
        <f>Price!P34/'Price D Coupon'!P$5</f>
        <v>3.7041111111111107</v>
      </c>
      <c r="Q34" s="10">
        <f>Price!Q34/'Price D Coupon'!Q$5</f>
        <v>3.2333333340000001</v>
      </c>
      <c r="R34" s="10">
        <f>Price!R34/'Price D Coupon'!R$5</f>
        <v>3.9605833325000002</v>
      </c>
      <c r="S34" s="10">
        <f>Price!S34/'Price D Coupon'!S$5</f>
        <v>3.3361111111111108</v>
      </c>
      <c r="T34" s="10">
        <f>Price!T34/'Price D Coupon'!T$5</f>
        <v>2.964533334</v>
      </c>
      <c r="U34" s="10">
        <f>Price!U34/'Price D Coupon'!U$5</f>
        <v>2.1265151509090909</v>
      </c>
      <c r="V34" s="10">
        <f>Price!V34/'Price D Coupon'!V$5</f>
        <v>2.0245000000000002</v>
      </c>
      <c r="W34" s="10">
        <f>Price!W34/'Price D Coupon'!W$5</f>
        <v>2.149717949230769</v>
      </c>
      <c r="X34" s="10"/>
      <c r="Y34" s="10"/>
      <c r="Z34" s="10"/>
      <c r="AA34" s="12">
        <v>16.852392157058823</v>
      </c>
      <c r="AC34" s="37">
        <v>41425</v>
      </c>
      <c r="AD34" s="35">
        <f>VLOOKUP(AC34,CurrentCoupon!$B$4:$C$1468,2,0)</f>
        <v>2.95731349620652</v>
      </c>
      <c r="AG34" s="5">
        <v>41425</v>
      </c>
      <c r="AH34" s="42">
        <v>0</v>
      </c>
      <c r="AI34" s="42">
        <v>0</v>
      </c>
      <c r="AJ34" s="42">
        <v>0</v>
      </c>
      <c r="AK34" s="42">
        <v>0.17255010681714236</v>
      </c>
      <c r="AL34" s="42">
        <v>0.22058881039382058</v>
      </c>
      <c r="AM34" s="42">
        <v>6.4259229836297935E-2</v>
      </c>
      <c r="AN34" s="42">
        <v>7.0491603796593402E-2</v>
      </c>
      <c r="AO34" s="42">
        <v>1.6288673793540726E-2</v>
      </c>
      <c r="AP34" s="42">
        <v>7.6085759500041844E-2</v>
      </c>
      <c r="AQ34" s="42">
        <v>6.9807328015773065E-2</v>
      </c>
      <c r="AR34" s="42">
        <v>3.7774895660135518E-2</v>
      </c>
      <c r="AS34" s="42">
        <v>5.7132256465516909E-2</v>
      </c>
      <c r="AT34" s="42">
        <v>0.12249105932672152</v>
      </c>
      <c r="AU34" s="42">
        <v>3.3936742823214849E-2</v>
      </c>
      <c r="AV34" s="42">
        <v>2.3866232780925416E-2</v>
      </c>
      <c r="AW34" s="42">
        <v>1.3725027785880599E-2</v>
      </c>
      <c r="AX34" s="42">
        <v>2.1002273004395246E-2</v>
      </c>
      <c r="AY34" s="45"/>
      <c r="AZ34" s="43"/>
      <c r="BA34" s="44"/>
      <c r="BB34" s="46">
        <v>0.99999999999999989</v>
      </c>
      <c r="BD34" s="5">
        <v>41394</v>
      </c>
      <c r="BE34" s="56">
        <v>-0.1375545320631599</v>
      </c>
    </row>
    <row r="35" spans="6:57" x14ac:dyDescent="0.2">
      <c r="F35" s="22">
        <v>41453</v>
      </c>
      <c r="G35" s="10">
        <f>Price!G35/'Price D Coupon'!G$5</f>
        <v>0</v>
      </c>
      <c r="H35" s="10">
        <f>Price!H35/'Price D Coupon'!H$5</f>
        <v>0</v>
      </c>
      <c r="I35" s="10">
        <f>Price!I35/'Price D Coupon'!I$5</f>
        <v>0</v>
      </c>
      <c r="J35" s="10">
        <f>Price!J35/'Price D Coupon'!J$5</f>
        <v>6.9434447766666674</v>
      </c>
      <c r="K35" s="10">
        <f>Price!K35/'Price D Coupon'!K$5</f>
        <v>6.0527777771428575</v>
      </c>
      <c r="L35" s="10">
        <f>Price!L35/'Price D Coupon'!L$5</f>
        <v>5.2520280275000006</v>
      </c>
      <c r="M35" s="10">
        <f>Price!M35/'Price D Coupon'!M$5</f>
        <v>4.6152222222222221</v>
      </c>
      <c r="N35" s="10">
        <f>Price!N35/'Price D Coupon'!N$5</f>
        <v>5.6107774914285713</v>
      </c>
      <c r="O35" s="10">
        <f>Price!O35/'Price D Coupon'!O$5</f>
        <v>5.0057777775000005</v>
      </c>
      <c r="P35" s="10">
        <f>Price!P35/'Price D Coupon'!P$5</f>
        <v>4.3756664444444446</v>
      </c>
      <c r="Q35" s="10">
        <f>Price!Q35/'Price D Coupon'!Q$5</f>
        <v>3.7371779780000005</v>
      </c>
      <c r="R35" s="10">
        <f>Price!R35/'Price D Coupon'!R$5</f>
        <v>4.6542777774999999</v>
      </c>
      <c r="S35" s="10">
        <f>Price!S35/'Price D Coupon'!S$5</f>
        <v>4.052777777777778</v>
      </c>
      <c r="T35" s="10">
        <f>Price!T35/'Price D Coupon'!T$5</f>
        <v>3.4777777780000001</v>
      </c>
      <c r="U35" s="10">
        <f>Price!U35/'Price D Coupon'!U$5</f>
        <v>2.413505050909091</v>
      </c>
      <c r="V35" s="10">
        <f>Price!V35/'Price D Coupon'!V$5</f>
        <v>2.2689444450000003</v>
      </c>
      <c r="W35" s="10">
        <f>Price!W35/'Price D Coupon'!W$5</f>
        <v>2.2883162399999999</v>
      </c>
      <c r="X35" s="10"/>
      <c r="Y35" s="10"/>
      <c r="Z35" s="10"/>
      <c r="AA35" s="12">
        <v>18.916405287647059</v>
      </c>
      <c r="AC35" s="37">
        <v>41453</v>
      </c>
      <c r="AD35" s="35">
        <f>VLOOKUP(AC35,CurrentCoupon!$B$4:$C$1468,2,0)</f>
        <v>3.3094496735702101</v>
      </c>
      <c r="AG35" s="5">
        <v>41453</v>
      </c>
      <c r="AH35" s="42">
        <v>0</v>
      </c>
      <c r="AI35" s="42">
        <v>0</v>
      </c>
      <c r="AJ35" s="42">
        <v>0</v>
      </c>
      <c r="AK35" s="42">
        <v>0.17582777113389236</v>
      </c>
      <c r="AL35" s="42">
        <v>0.22364140588617387</v>
      </c>
      <c r="AM35" s="42">
        <v>6.426023779580245E-2</v>
      </c>
      <c r="AN35" s="42">
        <v>7.0297475667280063E-2</v>
      </c>
      <c r="AO35" s="42">
        <v>1.6318467197016479E-2</v>
      </c>
      <c r="AP35" s="42">
        <v>7.5791982568689423E-2</v>
      </c>
      <c r="AQ35" s="42">
        <v>6.9195597104197482E-2</v>
      </c>
      <c r="AR35" s="42">
        <v>3.7661433145187939E-2</v>
      </c>
      <c r="AS35" s="42">
        <v>5.6216146510529967E-2</v>
      </c>
      <c r="AT35" s="42">
        <v>0.12029056607774874</v>
      </c>
      <c r="AU35" s="42">
        <v>3.3634498170535453E-2</v>
      </c>
      <c r="AV35" s="42">
        <v>2.3015806069513207E-2</v>
      </c>
      <c r="AW35" s="42">
        <v>1.3294553264223796E-2</v>
      </c>
      <c r="AX35" s="42">
        <v>2.0554059409208673E-2</v>
      </c>
      <c r="AY35" s="45"/>
      <c r="AZ35" s="43"/>
      <c r="BA35" s="44"/>
      <c r="BB35" s="46">
        <v>0.99999999999999978</v>
      </c>
      <c r="BD35" s="5">
        <v>41425</v>
      </c>
      <c r="BE35" s="56">
        <v>0.20085392209736164</v>
      </c>
    </row>
    <row r="36" spans="6:57" x14ac:dyDescent="0.2">
      <c r="F36" s="22">
        <v>41486</v>
      </c>
      <c r="G36" s="10">
        <f>Price!G36/'Price D Coupon'!G$5</f>
        <v>0</v>
      </c>
      <c r="H36" s="10">
        <f>Price!H36/'Price D Coupon'!H$5</f>
        <v>0</v>
      </c>
      <c r="I36" s="10">
        <f>Price!I36/'Price D Coupon'!I$5</f>
        <v>0</v>
      </c>
      <c r="J36" s="10">
        <f>Price!J36/'Price D Coupon'!J$5</f>
        <v>7.2037774433333333</v>
      </c>
      <c r="K36" s="10">
        <f>Price!K36/'Price D Coupon'!K$5</f>
        <v>6.4859209199999999</v>
      </c>
      <c r="L36" s="10">
        <f>Price!L36/'Price D Coupon'!L$5</f>
        <v>5.7130280275000001</v>
      </c>
      <c r="M36" s="10">
        <f>Price!M36/'Price D Coupon'!M$5</f>
        <v>4.8478886666666661</v>
      </c>
      <c r="N36" s="10">
        <f>Price!N36/'Price D Coupon'!N$5</f>
        <v>6.1107774914285713</v>
      </c>
      <c r="O36" s="10">
        <f>Price!O36/'Price D Coupon'!O$5</f>
        <v>5.4005280275000001</v>
      </c>
      <c r="P36" s="10">
        <f>Price!P36/'Price D Coupon'!P$5</f>
        <v>4.5458888888888893</v>
      </c>
      <c r="Q36" s="10">
        <f>Price!Q36/'Price D Coupon'!Q$5</f>
        <v>3.9183775779999999</v>
      </c>
      <c r="R36" s="10">
        <f>Price!R36/'Price D Coupon'!R$5</f>
        <v>5.0997777774999999</v>
      </c>
      <c r="S36" s="10">
        <f>Price!S36/'Price D Coupon'!S$5</f>
        <v>4.2230002222222218</v>
      </c>
      <c r="T36" s="10">
        <f>Price!T36/'Price D Coupon'!T$5</f>
        <v>3.640377778</v>
      </c>
      <c r="U36" s="10">
        <f>Price!U36/'Price D Coupon'!U$5</f>
        <v>2.6862323236363639</v>
      </c>
      <c r="V36" s="10">
        <f>Price!V36/'Price D Coupon'!V$5</f>
        <v>2.4616111116666666</v>
      </c>
      <c r="W36" s="10">
        <f>Price!W36/'Price D Coupon'!W$5</f>
        <v>2.4421623938461541</v>
      </c>
      <c r="X36" s="10"/>
      <c r="Y36" s="10"/>
      <c r="Z36" s="10"/>
      <c r="AA36" s="12">
        <v>20.07369934647059</v>
      </c>
      <c r="AC36" s="37">
        <v>41486</v>
      </c>
      <c r="AD36" s="35">
        <f>VLOOKUP(AC36,CurrentCoupon!$B$4:$C$1468,2,0)</f>
        <v>3.4095392657433901</v>
      </c>
      <c r="AG36" s="5">
        <v>41486</v>
      </c>
      <c r="AH36" s="42">
        <v>0</v>
      </c>
      <c r="AI36" s="42">
        <v>0</v>
      </c>
      <c r="AJ36" s="42">
        <v>0</v>
      </c>
      <c r="AK36" s="42">
        <v>0.17912528860509899</v>
      </c>
      <c r="AL36" s="42">
        <v>0.226342722369753</v>
      </c>
      <c r="AM36" s="42">
        <v>6.4250589799217772E-2</v>
      </c>
      <c r="AN36" s="42">
        <v>7.0204599412611687E-2</v>
      </c>
      <c r="AO36" s="42">
        <v>1.6314421186506774E-2</v>
      </c>
      <c r="AP36" s="42">
        <v>7.5434274872982723E-2</v>
      </c>
      <c r="AQ36" s="42">
        <v>6.8719693859580294E-2</v>
      </c>
      <c r="AR36" s="42">
        <v>3.7573646524501243E-2</v>
      </c>
      <c r="AS36" s="42">
        <v>5.5336566219979982E-2</v>
      </c>
      <c r="AT36" s="42">
        <v>0.11825930782781739</v>
      </c>
      <c r="AU36" s="42">
        <v>3.334951971613289E-2</v>
      </c>
      <c r="AV36" s="42">
        <v>2.2145683800703017E-2</v>
      </c>
      <c r="AW36" s="42">
        <v>1.2850082179408057E-2</v>
      </c>
      <c r="AX36" s="42">
        <v>2.0093603625706221E-2</v>
      </c>
      <c r="AY36" s="45"/>
      <c r="AZ36" s="43"/>
      <c r="BA36" s="44"/>
      <c r="BB36" s="46">
        <v>0.99999999999999989</v>
      </c>
      <c r="BD36" s="5">
        <v>41453</v>
      </c>
      <c r="BE36" s="56">
        <v>9.7209580368906881E-2</v>
      </c>
    </row>
    <row r="37" spans="6:57" x14ac:dyDescent="0.2">
      <c r="F37" s="22">
        <v>41516</v>
      </c>
      <c r="G37" s="10">
        <f>Price!G37/'Price D Coupon'!G$5</f>
        <v>0</v>
      </c>
      <c r="H37" s="10">
        <f>Price!H37/'Price D Coupon'!H$5</f>
        <v>0</v>
      </c>
      <c r="I37" s="10">
        <f>Price!I37/'Price D Coupon'!I$5</f>
        <v>0</v>
      </c>
      <c r="J37" s="10">
        <f>Price!J37/'Price D Coupon'!J$5</f>
        <v>7.256333333333334</v>
      </c>
      <c r="K37" s="10">
        <f>Price!K37/'Price D Coupon'!K$5</f>
        <v>6.5314761914285713</v>
      </c>
      <c r="L37" s="10">
        <f>Price!L37/'Price D Coupon'!L$5</f>
        <v>5.8863333325000005</v>
      </c>
      <c r="M37" s="10">
        <f>Price!M37/'Price D Coupon'!M$5</f>
        <v>5.1832222222222226</v>
      </c>
      <c r="N37" s="10">
        <f>Price!N37/'Price D Coupon'!N$5</f>
        <v>6.1566190485714287</v>
      </c>
      <c r="O37" s="10">
        <f>Price!O37/'Price D Coupon'!O$5</f>
        <v>5.6168330825000004</v>
      </c>
      <c r="P37" s="10">
        <f>Price!P37/'Price D Coupon'!P$5</f>
        <v>4.8465557777777777</v>
      </c>
      <c r="Q37" s="10">
        <f>Price!Q37/'Price D Coupon'!Q$5</f>
        <v>4.2989331340000003</v>
      </c>
      <c r="R37" s="10">
        <f>Price!R37/'Price D Coupon'!R$5</f>
        <v>5.3200835825000006</v>
      </c>
      <c r="S37" s="10">
        <f>Price!S37/'Price D Coupon'!S$5</f>
        <v>4.5341113333333327</v>
      </c>
      <c r="T37" s="10">
        <f>Price!T37/'Price D Coupon'!T$5</f>
        <v>3.961533534</v>
      </c>
      <c r="U37" s="10">
        <f>Price!U37/'Price D Coupon'!U$5</f>
        <v>2.9332424236363637</v>
      </c>
      <c r="V37" s="10">
        <f>Price!V37/'Price D Coupon'!V$5</f>
        <v>2.6676666666666669</v>
      </c>
      <c r="W37" s="10">
        <f>Price!W37/'Price D Coupon'!W$5</f>
        <v>2.6040257953846155</v>
      </c>
      <c r="X37" s="10"/>
      <c r="Y37" s="10"/>
      <c r="Z37" s="10"/>
      <c r="AA37" s="12">
        <v>21.112509980588229</v>
      </c>
      <c r="AC37" s="37">
        <v>41516</v>
      </c>
      <c r="AD37" s="35">
        <f>VLOOKUP(AC37,CurrentCoupon!$B$4:$C$1468,2,0)</f>
        <v>3.5181082868119602</v>
      </c>
      <c r="AG37" s="5">
        <v>41516</v>
      </c>
      <c r="AH37" s="42">
        <v>0</v>
      </c>
      <c r="AI37" s="42">
        <v>0</v>
      </c>
      <c r="AJ37" s="42">
        <v>0</v>
      </c>
      <c r="AK37" s="42">
        <v>0.18224419776525008</v>
      </c>
      <c r="AL37" s="42">
        <v>0.22894663991373995</v>
      </c>
      <c r="AM37" s="42">
        <v>6.423180616878206E-2</v>
      </c>
      <c r="AN37" s="42">
        <v>7.0080784438280128E-2</v>
      </c>
      <c r="AO37" s="42">
        <v>1.6331317151931674E-2</v>
      </c>
      <c r="AP37" s="42">
        <v>7.5062054472512157E-2</v>
      </c>
      <c r="AQ37" s="42">
        <v>6.8270317491310295E-2</v>
      </c>
      <c r="AR37" s="42">
        <v>3.7485554356120013E-2</v>
      </c>
      <c r="AS37" s="42">
        <v>5.4534255794378116E-2</v>
      </c>
      <c r="AT37" s="42">
        <v>0.11630450772699083</v>
      </c>
      <c r="AU37" s="42">
        <v>3.3074401415550264E-2</v>
      </c>
      <c r="AV37" s="42">
        <v>2.1306852542925397E-2</v>
      </c>
      <c r="AW37" s="42">
        <v>1.2448574255088029E-2</v>
      </c>
      <c r="AX37" s="42">
        <v>1.9678736507140988E-2</v>
      </c>
      <c r="AY37" s="45"/>
      <c r="AZ37" s="43"/>
      <c r="BA37" s="44"/>
      <c r="BB37" s="46">
        <v>1</v>
      </c>
      <c r="BD37" s="5">
        <v>41486</v>
      </c>
      <c r="BE37" s="56">
        <v>5.3115329310679596E-2</v>
      </c>
    </row>
    <row r="38" spans="6:57" x14ac:dyDescent="0.2">
      <c r="F38" s="22">
        <v>41547</v>
      </c>
      <c r="G38" s="10">
        <f>Price!G38/'Price D Coupon'!G$5</f>
        <v>0</v>
      </c>
      <c r="H38" s="10">
        <f>Price!H38/'Price D Coupon'!H$5</f>
        <v>0</v>
      </c>
      <c r="I38" s="10">
        <f>Price!I38/'Price D Coupon'!I$5</f>
        <v>0</v>
      </c>
      <c r="J38" s="10">
        <f>Price!J38/'Price D Coupon'!J$5</f>
        <v>7.3757777766666672</v>
      </c>
      <c r="K38" s="10">
        <f>Price!K38/'Price D Coupon'!K$5</f>
        <v>6.6733494914285725</v>
      </c>
      <c r="L38" s="10">
        <f>Price!L38/'Price D Coupon'!L$5</f>
        <v>5.7872777774999999</v>
      </c>
      <c r="M38" s="10">
        <f>Price!M38/'Price D Coupon'!M$5</f>
        <v>5.1361111111111111</v>
      </c>
      <c r="N38" s="10">
        <f>Price!N38/'Price D Coupon'!N$5</f>
        <v>6.2002066342857143</v>
      </c>
      <c r="O38" s="10">
        <f>Price!O38/'Price D Coupon'!O$5</f>
        <v>5.5292777774999999</v>
      </c>
      <c r="P38" s="10">
        <f>Price!P38/'Price D Coupon'!P$5</f>
        <v>4.7714442222222226</v>
      </c>
      <c r="Q38" s="10">
        <f>Price!Q38/'Price D Coupon'!Q$5</f>
        <v>4.2027777779999997</v>
      </c>
      <c r="R38" s="10">
        <f>Price!R38/'Price D Coupon'!R$5</f>
        <v>5.1737775275000004</v>
      </c>
      <c r="S38" s="10">
        <f>Price!S38/'Price D Coupon'!S$5</f>
        <v>4.4174446666666665</v>
      </c>
      <c r="T38" s="10">
        <f>Price!T38/'Price D Coupon'!T$5</f>
        <v>3.8403777779999997</v>
      </c>
      <c r="U38" s="10">
        <f>Price!U38/'Price D Coupon'!U$5</f>
        <v>2.8255050509090909</v>
      </c>
      <c r="V38" s="10">
        <f>Price!V38/'Price D Coupon'!V$5</f>
        <v>2.6387777783333335</v>
      </c>
      <c r="W38" s="10">
        <f>Price!W38/'Price D Coupon'!W$5</f>
        <v>2.6681623938461536</v>
      </c>
      <c r="X38" s="10"/>
      <c r="Y38" s="10"/>
      <c r="Z38" s="10"/>
      <c r="AA38" s="12">
        <v>20.862287640588232</v>
      </c>
      <c r="AC38" s="37">
        <v>41547</v>
      </c>
      <c r="AD38" s="35">
        <f>VLOOKUP(AC38,CurrentCoupon!$B$4:$C$1468,2,0)</f>
        <v>3.2952489842634298</v>
      </c>
      <c r="AG38" s="5">
        <v>41547</v>
      </c>
      <c r="AH38" s="42">
        <v>0</v>
      </c>
      <c r="AI38" s="42">
        <v>0</v>
      </c>
      <c r="AJ38" s="42">
        <v>0</v>
      </c>
      <c r="AK38" s="42">
        <v>0.18506918735941263</v>
      </c>
      <c r="AL38" s="42">
        <v>0.23163084077300095</v>
      </c>
      <c r="AM38" s="42">
        <v>6.4342442553811885E-2</v>
      </c>
      <c r="AN38" s="42">
        <v>6.9913433598303876E-2</v>
      </c>
      <c r="AO38" s="42">
        <v>1.6377822201630959E-2</v>
      </c>
      <c r="AP38" s="42">
        <v>7.4900098299530593E-2</v>
      </c>
      <c r="AQ38" s="42">
        <v>6.7761100961296866E-2</v>
      </c>
      <c r="AR38" s="42">
        <v>3.722232245937751E-2</v>
      </c>
      <c r="AS38" s="42">
        <v>5.3980736392641511E-2</v>
      </c>
      <c r="AT38" s="42">
        <v>0.11454511929567812</v>
      </c>
      <c r="AU38" s="42">
        <v>3.2694140849394905E-2</v>
      </c>
      <c r="AV38" s="42">
        <v>2.0438680449223989E-2</v>
      </c>
      <c r="AW38" s="42">
        <v>1.1991344992740434E-2</v>
      </c>
      <c r="AX38" s="42">
        <v>1.913272981395573E-2</v>
      </c>
      <c r="AY38" s="45"/>
      <c r="AZ38" s="43"/>
      <c r="BA38" s="44"/>
      <c r="BB38" s="46">
        <v>1</v>
      </c>
      <c r="BD38" s="5">
        <v>41516</v>
      </c>
      <c r="BE38" s="56">
        <v>3.3668875494796441E-2</v>
      </c>
    </row>
    <row r="39" spans="6:57" x14ac:dyDescent="0.2">
      <c r="F39" s="22">
        <v>41578</v>
      </c>
      <c r="G39" s="10">
        <f>Price!G39/'Price D Coupon'!G$5</f>
        <v>0</v>
      </c>
      <c r="H39" s="10">
        <f>Price!H39/'Price D Coupon'!H$5</f>
        <v>0</v>
      </c>
      <c r="I39" s="10">
        <f>Price!I39/'Price D Coupon'!I$5</f>
        <v>0</v>
      </c>
      <c r="J39" s="10">
        <f>Price!J39/'Price D Coupon'!J$5</f>
        <v>7.2715277766666668</v>
      </c>
      <c r="K39" s="10">
        <f>Price!K39/'Price D Coupon'!K$5</f>
        <v>6.5259920628571431</v>
      </c>
      <c r="L39" s="10">
        <f>Price!L39/'Price D Coupon'!L$5</f>
        <v>5.6348105275</v>
      </c>
      <c r="M39" s="10">
        <f>Price!M39/'Price D Coupon'!M$5</f>
        <v>5.0493068888888892</v>
      </c>
      <c r="N39" s="10">
        <f>Price!N39/'Price D Coupon'!N$5</f>
        <v>6.0438492057142863</v>
      </c>
      <c r="O39" s="10">
        <f>Price!O39/'Price D Coupon'!O$5</f>
        <v>5.3848105275</v>
      </c>
      <c r="P39" s="10">
        <f>Price!P39/'Price D Coupon'!P$5</f>
        <v>4.6256957777777776</v>
      </c>
      <c r="Q39" s="10">
        <f>Price!Q39/'Price D Coupon'!Q$5</f>
        <v>4.0559039779999999</v>
      </c>
      <c r="R39" s="10">
        <f>Price!R39/'Price D Coupon'!R$5</f>
        <v>4.9082480275</v>
      </c>
      <c r="S39" s="10">
        <f>Price!S39/'Price D Coupon'!S$5</f>
        <v>4.1847222222222227</v>
      </c>
      <c r="T39" s="10">
        <f>Price!T39/'Price D Coupon'!T$5</f>
        <v>3.6309039780000001</v>
      </c>
      <c r="U39" s="10">
        <f>Price!U39/'Price D Coupon'!U$5</f>
        <v>2.7686868690909092</v>
      </c>
      <c r="V39" s="10">
        <f>Price!V39/'Price D Coupon'!V$5</f>
        <v>2.6256944450000002</v>
      </c>
      <c r="W39" s="10">
        <f>Price!W39/'Price D Coupon'!W$5</f>
        <v>2.7450854707692307</v>
      </c>
      <c r="X39" s="10"/>
      <c r="Y39" s="10"/>
      <c r="Z39" s="10"/>
      <c r="AA39" s="12">
        <v>20.336482287647055</v>
      </c>
      <c r="AC39" s="37">
        <v>41578</v>
      </c>
      <c r="AD39" s="35">
        <f>VLOOKUP(AC39,CurrentCoupon!$B$4:$C$1468,2,0)</f>
        <v>3.1803565883984102</v>
      </c>
      <c r="AG39" s="5">
        <v>41578</v>
      </c>
      <c r="AH39" s="42">
        <v>0</v>
      </c>
      <c r="AI39" s="42">
        <v>0</v>
      </c>
      <c r="AJ39" s="42">
        <v>0</v>
      </c>
      <c r="AK39" s="42">
        <v>0.18703307756569745</v>
      </c>
      <c r="AL39" s="42">
        <v>0.23360404926103909</v>
      </c>
      <c r="AM39" s="42">
        <v>6.4511675849610831E-2</v>
      </c>
      <c r="AN39" s="42">
        <v>6.9829712083748718E-2</v>
      </c>
      <c r="AO39" s="42">
        <v>1.6442350280285598E-2</v>
      </c>
      <c r="AP39" s="42">
        <v>7.4888248588752024E-2</v>
      </c>
      <c r="AQ39" s="42">
        <v>6.7417344798239409E-2</v>
      </c>
      <c r="AR39" s="42">
        <v>3.6985266018069833E-2</v>
      </c>
      <c r="AS39" s="42">
        <v>5.3744660744723879E-2</v>
      </c>
      <c r="AT39" s="42">
        <v>0.11348603439373549</v>
      </c>
      <c r="AU39" s="42">
        <v>3.2313570015502807E-2</v>
      </c>
      <c r="AV39" s="42">
        <v>1.9690632486229629E-2</v>
      </c>
      <c r="AW39" s="42">
        <v>1.1538434982662478E-2</v>
      </c>
      <c r="AX39" s="42">
        <v>1.8514942931702919E-2</v>
      </c>
      <c r="AY39" s="45"/>
      <c r="AZ39" s="43"/>
      <c r="BA39" s="44"/>
      <c r="BB39" s="46">
        <v>1</v>
      </c>
      <c r="BD39" s="5">
        <v>41547</v>
      </c>
      <c r="BE39" s="56">
        <v>-3.2124263956386616E-3</v>
      </c>
    </row>
    <row r="40" spans="6:57" x14ac:dyDescent="0.2">
      <c r="F40" s="22">
        <v>41607</v>
      </c>
      <c r="G40" s="10">
        <f>Price!G40/'Price D Coupon'!G$5</f>
        <v>0</v>
      </c>
      <c r="H40" s="10">
        <f>Price!H40/'Price D Coupon'!H$5</f>
        <v>0</v>
      </c>
      <c r="I40" s="10">
        <f>Price!I40/'Price D Coupon'!I$5</f>
        <v>0</v>
      </c>
      <c r="J40" s="10">
        <f>Price!J40/'Price D Coupon'!J$5</f>
        <v>7.5399325566666668</v>
      </c>
      <c r="K40" s="10">
        <f>Price!K40/'Price D Coupon'!K$5</f>
        <v>6.9439501257142862</v>
      </c>
      <c r="L40" s="10">
        <f>Price!L40/'Price D Coupon'!L$5</f>
        <v>6.1375883049999995</v>
      </c>
      <c r="M40" s="10">
        <f>Price!M40/'Price D Coupon'!M$5</f>
        <v>5.4826402222222219</v>
      </c>
      <c r="N40" s="10">
        <f>Price!N40/'Price D Coupon'!N$5</f>
        <v>6.5510929828571429</v>
      </c>
      <c r="O40" s="10">
        <f>Price!O40/'Price D Coupon'!O$5</f>
        <v>5.8836805549999998</v>
      </c>
      <c r="P40" s="10">
        <f>Price!P40/'Price D Coupon'!P$5</f>
        <v>5.0243068888888889</v>
      </c>
      <c r="Q40" s="10">
        <f>Price!Q40/'Price D Coupon'!Q$5</f>
        <v>4.3211817559999997</v>
      </c>
      <c r="R40" s="10">
        <f>Price!R40/'Price D Coupon'!R$5</f>
        <v>5.4383680549999998</v>
      </c>
      <c r="S40" s="10">
        <f>Price!S40/'Price D Coupon'!S$5</f>
        <v>4.5972222222222223</v>
      </c>
      <c r="T40" s="10">
        <f>Price!T40/'Price D Coupon'!T$5</f>
        <v>3.9211817560000002</v>
      </c>
      <c r="U40" s="10">
        <f>Price!U40/'Price D Coupon'!U$5</f>
        <v>3.0896464654545452</v>
      </c>
      <c r="V40" s="10">
        <f>Price!V40/'Price D Coupon'!V$5</f>
        <v>2.8967023883333329</v>
      </c>
      <c r="W40" s="10">
        <f>Price!W40/'Price D Coupon'!W$5</f>
        <v>2.9666141707692306</v>
      </c>
      <c r="X40" s="10"/>
      <c r="Y40" s="10"/>
      <c r="Z40" s="10"/>
      <c r="AA40" s="12">
        <v>21.79575586882353</v>
      </c>
      <c r="AC40" s="37">
        <v>41607</v>
      </c>
      <c r="AD40" s="35">
        <f>VLOOKUP(AC40,CurrentCoupon!$B$4:$C$1468,2,0)</f>
        <v>3.4152065149267101</v>
      </c>
      <c r="AG40" s="5">
        <v>41607</v>
      </c>
      <c r="AH40" s="42">
        <v>0</v>
      </c>
      <c r="AI40" s="42">
        <v>0</v>
      </c>
      <c r="AJ40" s="42">
        <v>0</v>
      </c>
      <c r="AK40" s="42">
        <v>0.18834939413067064</v>
      </c>
      <c r="AL40" s="42">
        <v>0.23491986121269348</v>
      </c>
      <c r="AM40" s="42">
        <v>6.4676948229086831E-2</v>
      </c>
      <c r="AN40" s="42">
        <v>6.977033805440111E-2</v>
      </c>
      <c r="AO40" s="42">
        <v>1.6492489535574948E-2</v>
      </c>
      <c r="AP40" s="42">
        <v>7.4936016747250339E-2</v>
      </c>
      <c r="AQ40" s="42">
        <v>6.722718478488024E-2</v>
      </c>
      <c r="AR40" s="42">
        <v>3.6770044276689264E-2</v>
      </c>
      <c r="AS40" s="42">
        <v>5.3658563319351191E-2</v>
      </c>
      <c r="AT40" s="42">
        <v>0.11290252539733682</v>
      </c>
      <c r="AU40" s="42">
        <v>3.2020591738542922E-2</v>
      </c>
      <c r="AV40" s="42">
        <v>1.9118094372848695E-2</v>
      </c>
      <c r="AW40" s="42">
        <v>1.1165845696153996E-2</v>
      </c>
      <c r="AX40" s="42">
        <v>1.799210250451961E-2</v>
      </c>
      <c r="AY40" s="45"/>
      <c r="AZ40" s="43"/>
      <c r="BA40" s="44"/>
      <c r="BB40" s="46">
        <v>1</v>
      </c>
      <c r="BD40" s="5">
        <v>41578</v>
      </c>
      <c r="BE40" s="56">
        <v>-2.3217150723686644E-2</v>
      </c>
    </row>
    <row r="41" spans="6:57" x14ac:dyDescent="0.2">
      <c r="F41" s="22">
        <v>41639</v>
      </c>
      <c r="G41" s="10">
        <f>Price!G41/'Price D Coupon'!G$5</f>
        <v>0</v>
      </c>
      <c r="H41" s="10">
        <f>Price!H41/'Price D Coupon'!H$5</f>
        <v>0</v>
      </c>
      <c r="I41" s="10">
        <f>Price!I41/'Price D Coupon'!I$5</f>
        <v>0</v>
      </c>
      <c r="J41" s="10">
        <f>Price!J41/'Price D Coupon'!J$5</f>
        <v>7.6284722233333335</v>
      </c>
      <c r="K41" s="10">
        <f>Price!K41/'Price D Coupon'!K$5</f>
        <v>7.1135929828571429</v>
      </c>
      <c r="L41" s="10">
        <f>Price!L41/'Price D Coupon'!L$5</f>
        <v>6.4500883049999995</v>
      </c>
      <c r="M41" s="10">
        <f>Price!M41/'Price D Coupon'!M$5</f>
        <v>5.8437513333333335</v>
      </c>
      <c r="N41" s="10">
        <f>Price!N41/'Price D Coupon'!N$5</f>
        <v>6.7162698400000007</v>
      </c>
      <c r="O41" s="10">
        <f>Price!O41/'Price D Coupon'!O$5</f>
        <v>6.2352430549999998</v>
      </c>
      <c r="P41" s="10">
        <f>Price!P41/'Price D Coupon'!P$5</f>
        <v>5.4965291111111112</v>
      </c>
      <c r="Q41" s="10">
        <f>Price!Q41/'Price D Coupon'!Q$5</f>
        <v>4.7961817560000002</v>
      </c>
      <c r="R41" s="10">
        <f>Price!R41/'Price D Coupon'!R$5</f>
        <v>5.8563383049999995</v>
      </c>
      <c r="S41" s="10">
        <f>Price!S41/'Price D Coupon'!S$5</f>
        <v>5.229166666666667</v>
      </c>
      <c r="T41" s="10">
        <f>Price!T41/'Price D Coupon'!T$5</f>
        <v>4.4274317559999998</v>
      </c>
      <c r="U41" s="10">
        <f>Price!U41/'Price D Coupon'!U$5</f>
        <v>3.4447611927272721</v>
      </c>
      <c r="V41" s="10">
        <f>Price!V41/'Price D Coupon'!V$5</f>
        <v>3.2326388883333332</v>
      </c>
      <c r="W41" s="10">
        <f>Price!W41/'Price D Coupon'!W$5</f>
        <v>3.2382478630769231</v>
      </c>
      <c r="X41" s="10"/>
      <c r="Y41" s="10"/>
      <c r="Z41" s="10"/>
      <c r="AA41" s="12">
        <v>23.372041574705886</v>
      </c>
      <c r="AC41" s="37">
        <v>41639</v>
      </c>
      <c r="AD41" s="35">
        <f>VLOOKUP(AC41,CurrentCoupon!$B$4:$C$1468,2,0)</f>
        <v>3.5930254960618</v>
      </c>
      <c r="AG41" s="5">
        <v>41639</v>
      </c>
      <c r="AH41" s="42">
        <v>0</v>
      </c>
      <c r="AI41" s="42">
        <v>0</v>
      </c>
      <c r="AJ41" s="42">
        <v>0</v>
      </c>
      <c r="AK41" s="42">
        <v>0.18952357905566788</v>
      </c>
      <c r="AL41" s="42">
        <v>0.23606415536004363</v>
      </c>
      <c r="AM41" s="42">
        <v>6.4764171616659191E-2</v>
      </c>
      <c r="AN41" s="42">
        <v>6.9715961465943735E-2</v>
      </c>
      <c r="AO41" s="42">
        <v>1.6531799027959676E-2</v>
      </c>
      <c r="AP41" s="42">
        <v>7.5011337028629735E-2</v>
      </c>
      <c r="AQ41" s="42">
        <v>6.706243260356165E-2</v>
      </c>
      <c r="AR41" s="42">
        <v>3.6582756641284617E-2</v>
      </c>
      <c r="AS41" s="42">
        <v>5.3637346199287728E-2</v>
      </c>
      <c r="AT41" s="42">
        <v>0.11243820073607415</v>
      </c>
      <c r="AU41" s="42">
        <v>3.1763102546844023E-2</v>
      </c>
      <c r="AV41" s="42">
        <v>1.8600086699480593E-2</v>
      </c>
      <c r="AW41" s="42">
        <v>1.0842263813307756E-2</v>
      </c>
      <c r="AX41" s="42">
        <v>1.7462807205255712E-2</v>
      </c>
      <c r="AY41" s="45"/>
      <c r="AZ41" s="43"/>
      <c r="BA41" s="44"/>
      <c r="BB41" s="46">
        <v>1</v>
      </c>
      <c r="BD41" s="5">
        <v>41607</v>
      </c>
      <c r="BE41" s="56">
        <v>7.9306297728596223E-2</v>
      </c>
    </row>
    <row r="42" spans="6:57" x14ac:dyDescent="0.2">
      <c r="F42" s="22">
        <v>41670</v>
      </c>
      <c r="G42" s="10">
        <f>Price!G42/'Price D Coupon'!G$5</f>
        <v>0</v>
      </c>
      <c r="H42" s="10">
        <f>Price!H42/'Price D Coupon'!H$5</f>
        <v>0</v>
      </c>
      <c r="I42" s="10">
        <f>Price!I42/'Price D Coupon'!I$5</f>
        <v>0</v>
      </c>
      <c r="J42" s="10">
        <f>Price!J42/'Price D Coupon'!J$5</f>
        <v>7.5062500000000005</v>
      </c>
      <c r="K42" s="10">
        <f>Price!K42/'Price D Coupon'!K$5</f>
        <v>6.9690476199999996</v>
      </c>
      <c r="L42" s="10">
        <f>Price!L42/'Price D Coupon'!L$5</f>
        <v>6.1794285824999999</v>
      </c>
      <c r="M42" s="10">
        <f>Price!M42/'Price D Coupon'!M$5</f>
        <v>5.5409735555555555</v>
      </c>
      <c r="N42" s="10">
        <f>Price!N42/'Price D Coupon'!N$5</f>
        <v>6.5002993342857138</v>
      </c>
      <c r="O42" s="10">
        <f>Price!O42/'Price D Coupon'!O$5</f>
        <v>5.9372410824999999</v>
      </c>
      <c r="P42" s="10">
        <f>Price!P42/'Price D Coupon'!P$5</f>
        <v>5.2145846666666662</v>
      </c>
      <c r="Q42" s="10">
        <f>Price!Q42/'Price D Coupon'!Q$5</f>
        <v>4.5645833339999999</v>
      </c>
      <c r="R42" s="10">
        <f>Price!R42/'Price D Coupon'!R$5</f>
        <v>5.5934910824999999</v>
      </c>
      <c r="S42" s="10">
        <f>Price!S42/'Price D Coupon'!S$5</f>
        <v>4.8951402222222216</v>
      </c>
      <c r="T42" s="10">
        <f>Price!T42/'Price D Coupon'!T$5</f>
        <v>4.2677095339999997</v>
      </c>
      <c r="U42" s="10">
        <f>Price!U42/'Price D Coupon'!U$5</f>
        <v>3.5128787872727272</v>
      </c>
      <c r="V42" s="10">
        <f>Price!V42/'Price D Coupon'!V$5</f>
        <v>3.2406250000000001</v>
      </c>
      <c r="W42" s="10">
        <f>Price!W42/'Price D Coupon'!W$5</f>
        <v>3.2241996415384615</v>
      </c>
      <c r="X42" s="10"/>
      <c r="Y42" s="10"/>
      <c r="Z42" s="10"/>
      <c r="AA42" s="12">
        <v>22.608888686470586</v>
      </c>
      <c r="AC42" s="37">
        <v>41670</v>
      </c>
      <c r="AD42" s="35">
        <f>VLOOKUP(AC42,CurrentCoupon!$B$4:$C$1468,2,0)</f>
        <v>3.3406752567006799</v>
      </c>
      <c r="AG42" s="5">
        <v>41670</v>
      </c>
      <c r="AH42" s="42">
        <v>0</v>
      </c>
      <c r="AI42" s="42">
        <v>0</v>
      </c>
      <c r="AJ42" s="42">
        <v>0</v>
      </c>
      <c r="AK42" s="42">
        <v>0.19063830399273007</v>
      </c>
      <c r="AL42" s="42">
        <v>0.23710770805555675</v>
      </c>
      <c r="AM42" s="42">
        <v>6.4865953023695355E-2</v>
      </c>
      <c r="AN42" s="42">
        <v>6.9639478035235042E-2</v>
      </c>
      <c r="AO42" s="42">
        <v>1.6569116099068831E-2</v>
      </c>
      <c r="AP42" s="42">
        <v>7.5077155298433437E-2</v>
      </c>
      <c r="AQ42" s="42">
        <v>6.687346279070823E-2</v>
      </c>
      <c r="AR42" s="42">
        <v>3.6395512057578738E-2</v>
      </c>
      <c r="AS42" s="42">
        <v>5.3615224117839477E-2</v>
      </c>
      <c r="AT42" s="42">
        <v>0.11194379394131536</v>
      </c>
      <c r="AU42" s="42">
        <v>3.1538420975217203E-2</v>
      </c>
      <c r="AV42" s="42">
        <v>1.8167378855021187E-2</v>
      </c>
      <c r="AW42" s="42">
        <v>1.0545060223755929E-2</v>
      </c>
      <c r="AX42" s="42">
        <v>1.7023432533844533E-2</v>
      </c>
      <c r="AY42" s="45"/>
      <c r="AZ42" s="43"/>
      <c r="BA42" s="44"/>
      <c r="BB42" s="46">
        <v>1.0000000000000002</v>
      </c>
      <c r="BD42" s="5">
        <v>41639</v>
      </c>
      <c r="BE42" s="56">
        <v>6.3918956307837907E-2</v>
      </c>
    </row>
    <row r="43" spans="6:57" x14ac:dyDescent="0.2">
      <c r="F43" s="22">
        <v>41698</v>
      </c>
      <c r="G43" s="10">
        <f>Price!G43/'Price D Coupon'!G$5</f>
        <v>0</v>
      </c>
      <c r="H43" s="10">
        <f>Price!H43/'Price D Coupon'!H$5</f>
        <v>0</v>
      </c>
      <c r="I43" s="10">
        <f>Price!I43/'Price D Coupon'!I$5</f>
        <v>0</v>
      </c>
      <c r="J43" s="10">
        <f>Price!J43/'Price D Coupon'!J$5</f>
        <v>7.5218769999999999</v>
      </c>
      <c r="K43" s="10">
        <f>Price!K43/'Price D Coupon'!K$5</f>
        <v>7.0226190485714284</v>
      </c>
      <c r="L43" s="10">
        <f>Price!L43/'Price D Coupon'!L$5</f>
        <v>6.2809910824999999</v>
      </c>
      <c r="M43" s="10">
        <f>Price!M43/'Price D Coupon'!M$5</f>
        <v>5.6104179999999992</v>
      </c>
      <c r="N43" s="10">
        <f>Price!N43/'Price D Coupon'!N$5</f>
        <v>6.5761904771428572</v>
      </c>
      <c r="O43" s="10">
        <f>Price!O43/'Price D Coupon'!O$5</f>
        <v>6.0427083325000002</v>
      </c>
      <c r="P43" s="10">
        <f>Price!P43/'Price D Coupon'!P$5</f>
        <v>5.3187513333333332</v>
      </c>
      <c r="Q43" s="10">
        <f>Price!Q43/'Price D Coupon'!Q$5</f>
        <v>4.8052095340000003</v>
      </c>
      <c r="R43" s="10">
        <f>Price!R43/'Price D Coupon'!R$5</f>
        <v>5.7106785824999999</v>
      </c>
      <c r="S43" s="10">
        <f>Price!S43/'Price D Coupon'!S$5</f>
        <v>5.0236111111111112</v>
      </c>
      <c r="T43" s="10">
        <f>Price!T43/'Price D Coupon'!T$5</f>
        <v>4.4989595339999999</v>
      </c>
      <c r="U43" s="10">
        <f>Price!U43/'Price D Coupon'!U$5</f>
        <v>3.6378787872727272</v>
      </c>
      <c r="V43" s="10">
        <f>Price!V43/'Price D Coupon'!V$5</f>
        <v>3.3734385000000002</v>
      </c>
      <c r="W43" s="10">
        <f>Price!W43/'Price D Coupon'!W$5</f>
        <v>3.3467948723076923</v>
      </c>
      <c r="X43" s="10"/>
      <c r="Y43" s="10"/>
      <c r="Z43" s="10"/>
      <c r="AA43" s="16">
        <v>23.153006333529415</v>
      </c>
      <c r="AC43" s="37">
        <v>41698</v>
      </c>
      <c r="AD43" s="35">
        <f>VLOOKUP(AC43,CurrentCoupon!$B$4:$C$1468,2,0)</f>
        <v>3.3514861848067001</v>
      </c>
      <c r="AG43" s="5">
        <v>41698</v>
      </c>
      <c r="AH43" s="42">
        <v>0</v>
      </c>
      <c r="AI43" s="42">
        <v>0</v>
      </c>
      <c r="AJ43" s="42">
        <v>0</v>
      </c>
      <c r="AK43" s="42">
        <v>0.19184365325804109</v>
      </c>
      <c r="AL43" s="42">
        <v>0.23825885943833094</v>
      </c>
      <c r="AM43" s="42">
        <v>6.4985621629748969E-2</v>
      </c>
      <c r="AN43" s="42">
        <v>6.9537900758378415E-2</v>
      </c>
      <c r="AO43" s="42">
        <v>1.6614290680099859E-2</v>
      </c>
      <c r="AP43" s="42">
        <v>7.5145460261030014E-2</v>
      </c>
      <c r="AQ43" s="42">
        <v>6.6686120695973045E-2</v>
      </c>
      <c r="AR43" s="42">
        <v>3.6160573792996441E-2</v>
      </c>
      <c r="AS43" s="42">
        <v>5.3572741080301259E-2</v>
      </c>
      <c r="AT43" s="42">
        <v>0.1113117372040512</v>
      </c>
      <c r="AU43" s="42">
        <v>3.1281395097581086E-2</v>
      </c>
      <c r="AV43" s="42">
        <v>1.7731279169920393E-2</v>
      </c>
      <c r="AW43" s="42">
        <v>1.0264368632072491E-2</v>
      </c>
      <c r="AX43" s="42">
        <v>1.6605998301474783E-2</v>
      </c>
      <c r="AY43" s="47"/>
      <c r="AZ43" s="48"/>
      <c r="BA43" s="49"/>
      <c r="BB43" s="50">
        <v>0.99999999999999989</v>
      </c>
      <c r="BD43" s="5">
        <v>41670</v>
      </c>
      <c r="BE43" s="56">
        <v>-3.1266771542105026E-2</v>
      </c>
    </row>
    <row r="44" spans="6:57" x14ac:dyDescent="0.2">
      <c r="F44" s="23">
        <v>41729</v>
      </c>
      <c r="G44" s="10">
        <f>Price!G44/'Price D Coupon'!G$5</f>
        <v>7.7871547766666671</v>
      </c>
      <c r="H44" s="10">
        <f>Price!H44/'Price D Coupon'!H$5</f>
        <v>7.3340294914285717</v>
      </c>
      <c r="I44" s="10">
        <f>Price!I44/'Price D Coupon'!I$5</f>
        <v>6.6348105275</v>
      </c>
      <c r="J44" s="10">
        <f>Price!J44/'Price D Coupon'!J$5</f>
        <v>7.5631944433333338</v>
      </c>
      <c r="K44" s="10">
        <f>Price!K44/'Price D Coupon'!K$5</f>
        <v>7.0929580628571429</v>
      </c>
      <c r="L44" s="10">
        <f>Price!L44/'Price D Coupon'!L$5</f>
        <v>6.3769980275</v>
      </c>
      <c r="M44" s="10">
        <f>Price!M44/'Price D Coupon'!M$5</f>
        <v>5.743751333333333</v>
      </c>
      <c r="N44" s="10">
        <f>Price!N44/'Price D Coupon'!N$5</f>
        <v>6.6867063485714286</v>
      </c>
      <c r="O44" s="10">
        <f>Price!O44/'Price D Coupon'!O$5</f>
        <v>6.1543402775000002</v>
      </c>
      <c r="P44" s="10">
        <f>Price!P44/'Price D Coupon'!P$5</f>
        <v>5.5145846666666669</v>
      </c>
      <c r="Q44" s="10">
        <f>Price!Q44/'Price D Coupon'!Q$5</f>
        <v>4.9715277780000005</v>
      </c>
      <c r="R44" s="10">
        <f>Price!R44/'Price D Coupon'!R$5</f>
        <v>5.8652777775000002</v>
      </c>
      <c r="S44" s="10">
        <f>Price!S44/'Price D Coupon'!S$5</f>
        <v>5.2125000000000004</v>
      </c>
      <c r="T44" s="10">
        <f>Price!T44/'Price D Coupon'!T$5</f>
        <v>4.6871539779999996</v>
      </c>
      <c r="U44" s="10">
        <f>Price!U44/'Price D Coupon'!U$5</f>
        <v>3.7800505054545455</v>
      </c>
      <c r="V44" s="10">
        <f>Price!V44/'Price D Coupon'!V$5</f>
        <v>3.4616329449999999</v>
      </c>
      <c r="W44" s="10">
        <f>Price!W44/'Price D Coupon'!W$5</f>
        <v>3.3532594707692307</v>
      </c>
      <c r="X44" s="10"/>
      <c r="Y44" s="10"/>
      <c r="Z44" s="10"/>
      <c r="AA44" s="12">
        <v>23.738136346470586</v>
      </c>
      <c r="AC44" s="38">
        <v>41729</v>
      </c>
      <c r="AD44" s="35">
        <f>VLOOKUP(AC44,CurrentCoupon!$B$4:$C$1468,2,0)</f>
        <v>3.44685935064701</v>
      </c>
      <c r="AE44">
        <f t="shared" ref="AE44:AE54" si="0">IF(AD44&lt;$G$5,G44,(H44-G44)/0.5*(AD44-$G$5)+G44)</f>
        <v>7.3821882352201946</v>
      </c>
      <c r="AG44" s="5">
        <v>41729</v>
      </c>
      <c r="AH44" s="42">
        <v>0.14015953093374786</v>
      </c>
      <c r="AI44" s="42">
        <v>9.8356249747597629E-2</v>
      </c>
      <c r="AJ44" s="42">
        <v>9.331608177341448E-2</v>
      </c>
      <c r="AK44" s="42">
        <v>0.1287711789269903</v>
      </c>
      <c r="AL44" s="42">
        <v>0.15976314460190055</v>
      </c>
      <c r="AM44" s="42">
        <v>4.347176047883218E-2</v>
      </c>
      <c r="AN44" s="42">
        <v>4.6432933408001094E-2</v>
      </c>
      <c r="AO44" s="42">
        <v>1.1122974229679462E-2</v>
      </c>
      <c r="AP44" s="42">
        <v>5.0247243259476888E-2</v>
      </c>
      <c r="AQ44" s="42">
        <v>4.4467649833736279E-2</v>
      </c>
      <c r="AR44" s="42">
        <v>2.4082135131825586E-2</v>
      </c>
      <c r="AS44" s="42">
        <v>3.5773150695473446E-2</v>
      </c>
      <c r="AT44" s="42">
        <v>7.4114285984418091E-2</v>
      </c>
      <c r="AU44" s="42">
        <v>2.0774719803309839E-2</v>
      </c>
      <c r="AV44" s="42">
        <v>1.1604631097133201E-2</v>
      </c>
      <c r="AW44" s="42">
        <v>6.7031661249304141E-3</v>
      </c>
      <c r="AX44" s="42">
        <v>1.0839163969532675E-2</v>
      </c>
      <c r="AY44" s="45"/>
      <c r="AZ44" s="43"/>
      <c r="BA44" s="44"/>
      <c r="BB44" s="46">
        <v>1</v>
      </c>
      <c r="BD44" s="5">
        <v>41698</v>
      </c>
      <c r="BE44" s="57">
        <v>2.1801735188962241E-2</v>
      </c>
    </row>
    <row r="45" spans="6:57" x14ac:dyDescent="0.2">
      <c r="F45" s="23">
        <v>41759</v>
      </c>
      <c r="G45" s="10">
        <f>Price!G45/'Price D Coupon'!G$5</f>
        <v>7.7767381100000001</v>
      </c>
      <c r="H45" s="10">
        <f>Price!H45/'Price D Coupon'!H$5</f>
        <v>7.2715294914285717</v>
      </c>
      <c r="I45" s="10">
        <f>Price!I45/'Price D Coupon'!I$5</f>
        <v>6.4394980275</v>
      </c>
      <c r="J45" s="10">
        <f>Price!J45/'Price D Coupon'!J$5</f>
        <v>7.5684047766666671</v>
      </c>
      <c r="K45" s="10">
        <f>Price!K45/'Price D Coupon'!K$5</f>
        <v>7.0081349200000007</v>
      </c>
      <c r="L45" s="10">
        <f>Price!L45/'Price D Coupon'!L$5</f>
        <v>6.2988730275</v>
      </c>
      <c r="M45" s="10">
        <f>Price!M45/'Price D Coupon'!M$5</f>
        <v>5.615277777777778</v>
      </c>
      <c r="N45" s="10">
        <f>Price!N45/'Price D Coupon'!N$5</f>
        <v>6.5840294914285717</v>
      </c>
      <c r="O45" s="10">
        <f>Price!O45/'Price D Coupon'!O$5</f>
        <v>6.0684027775000002</v>
      </c>
      <c r="P45" s="10">
        <f>Price!P45/'Price D Coupon'!P$5</f>
        <v>5.3965291111111107</v>
      </c>
      <c r="Q45" s="10">
        <f>Price!Q45/'Price D Coupon'!Q$5</f>
        <v>4.8715277779999999</v>
      </c>
      <c r="R45" s="10">
        <f>Price!R45/'Price D Coupon'!R$5</f>
        <v>5.7832480275</v>
      </c>
      <c r="S45" s="10">
        <f>Price!S45/'Price D Coupon'!S$5</f>
        <v>5.0805555555555557</v>
      </c>
      <c r="T45" s="10">
        <f>Price!T45/'Price D Coupon'!T$5</f>
        <v>4.5871539779999999</v>
      </c>
      <c r="U45" s="10">
        <f>Price!U45/'Price D Coupon'!U$5</f>
        <v>3.7260743236363636</v>
      </c>
      <c r="V45" s="10">
        <f>Price!V45/'Price D Coupon'!V$5</f>
        <v>3.4538194450000002</v>
      </c>
      <c r="W45" s="10">
        <f>Price!W45/'Price D Coupon'!W$5</f>
        <v>3.3989316246153845</v>
      </c>
      <c r="X45" s="10"/>
      <c r="Y45" s="10"/>
      <c r="Z45" s="10"/>
      <c r="AA45" s="12">
        <v>23.390709170000001</v>
      </c>
      <c r="AC45" s="38">
        <v>41759</v>
      </c>
      <c r="AD45" s="35">
        <f>VLOOKUP(AC45,CurrentCoupon!$B$4:$C$1468,2,0)</f>
        <v>3.3274269650204</v>
      </c>
      <c r="AE45">
        <f t="shared" si="0"/>
        <v>7.4459002606380169</v>
      </c>
      <c r="AG45" s="5">
        <v>41759</v>
      </c>
      <c r="AH45" s="42">
        <v>0.14062117027224802</v>
      </c>
      <c r="AI45" s="42">
        <v>9.864385043984461E-2</v>
      </c>
      <c r="AJ45" s="42">
        <v>9.3523479965613249E-2</v>
      </c>
      <c r="AK45" s="42">
        <v>0.12911479427762651</v>
      </c>
      <c r="AL45" s="42">
        <v>0.16001338934451934</v>
      </c>
      <c r="AM45" s="42">
        <v>4.3464161418833823E-2</v>
      </c>
      <c r="AN45" s="42">
        <v>4.6333065926640458E-2</v>
      </c>
      <c r="AO45" s="42">
        <v>1.1122388491239208E-2</v>
      </c>
      <c r="AP45" s="42">
        <v>5.0217910054826731E-2</v>
      </c>
      <c r="AQ45" s="42">
        <v>4.4342721708187587E-2</v>
      </c>
      <c r="AR45" s="42">
        <v>2.3949658127960072E-2</v>
      </c>
      <c r="AS45" s="42">
        <v>3.5710081818540511E-2</v>
      </c>
      <c r="AT45" s="42">
        <v>7.3778212846611957E-2</v>
      </c>
      <c r="AU45" s="42">
        <v>2.0624509264772644E-2</v>
      </c>
      <c r="AV45" s="42">
        <v>1.1370894879343247E-2</v>
      </c>
      <c r="AW45" s="42">
        <v>6.5605566125740396E-3</v>
      </c>
      <c r="AX45" s="42">
        <v>1.0609154550618168E-2</v>
      </c>
      <c r="AY45" s="45"/>
      <c r="AZ45" s="43"/>
      <c r="BA45" s="44"/>
      <c r="BB45" s="46">
        <v>1.0000000000000002</v>
      </c>
      <c r="BD45" s="5">
        <v>41729</v>
      </c>
      <c r="BE45" s="56">
        <v>2.1192306923944068E-2</v>
      </c>
    </row>
    <row r="46" spans="6:57" x14ac:dyDescent="0.2">
      <c r="F46" s="23">
        <v>41789</v>
      </c>
      <c r="G46" s="10">
        <f>Price!G46/'Price D Coupon'!G$5</f>
        <v>7.6753492233333338</v>
      </c>
      <c r="H46" s="10">
        <f>Price!H46/'Price D Coupon'!H$5</f>
        <v>7.0734126971428575</v>
      </c>
      <c r="I46" s="10">
        <f>Price!I46/'Price D Coupon'!I$5</f>
        <v>6.1180555549999998</v>
      </c>
      <c r="J46" s="10">
        <f>Price!J46/'Price D Coupon'!J$5</f>
        <v>7.4930555566666674</v>
      </c>
      <c r="K46" s="10">
        <f>Price!K46/'Price D Coupon'!K$5</f>
        <v>6.8412698400000007</v>
      </c>
      <c r="L46" s="10">
        <f>Price!L46/'Price D Coupon'!L$5</f>
        <v>6.0789930549999998</v>
      </c>
      <c r="M46" s="10">
        <f>Price!M46/'Price D Coupon'!M$5</f>
        <v>5.3402777777777777</v>
      </c>
      <c r="N46" s="10">
        <f>Price!N46/'Price D Coupon'!N$5</f>
        <v>6.3859126971428575</v>
      </c>
      <c r="O46" s="10">
        <f>Price!O46/'Price D Coupon'!O$5</f>
        <v>5.8368055549999998</v>
      </c>
      <c r="P46" s="10">
        <f>Price!P46/'Price D Coupon'!P$5</f>
        <v>5.083333333333333</v>
      </c>
      <c r="Q46" s="10">
        <f>Price!Q46/'Price D Coupon'!Q$5</f>
        <v>4.5461817560000002</v>
      </c>
      <c r="R46" s="10">
        <f>Price!R46/'Price D Coupon'!R$5</f>
        <v>5.5125883049999995</v>
      </c>
      <c r="S46" s="10">
        <f>Price!S46/'Price D Coupon'!S$5</f>
        <v>4.7187513333333335</v>
      </c>
      <c r="T46" s="10">
        <f>Price!T46/'Price D Coupon'!T$5</f>
        <v>4.2649317560000002</v>
      </c>
      <c r="U46" s="10">
        <f>Price!U46/'Price D Coupon'!U$5</f>
        <v>3.5612373745454544</v>
      </c>
      <c r="V46" s="10">
        <f>Price!V46/'Price D Coupon'!V$5</f>
        <v>3.4175357216666664</v>
      </c>
      <c r="W46" s="10">
        <f>Price!W46/'Price D Coupon'!W$5</f>
        <v>3.4017094015384615</v>
      </c>
      <c r="X46" s="10"/>
      <c r="Y46" s="10"/>
      <c r="Z46" s="10"/>
      <c r="AA46" s="12">
        <v>22.340790868823529</v>
      </c>
      <c r="AC46" s="38">
        <v>41789</v>
      </c>
      <c r="AD46" s="35">
        <f>VLOOKUP(AC46,CurrentCoupon!$B$4:$C$1468,2,0)</f>
        <v>3.1327170492887499</v>
      </c>
      <c r="AE46">
        <f t="shared" si="0"/>
        <v>7.5155747441030929</v>
      </c>
      <c r="AG46" s="5">
        <v>41789</v>
      </c>
      <c r="AH46" s="42">
        <v>0.14116669145847169</v>
      </c>
      <c r="AI46" s="42">
        <v>9.8992167197241271E-2</v>
      </c>
      <c r="AJ46" s="42">
        <v>9.3649007897313508E-2</v>
      </c>
      <c r="AK46" s="42">
        <v>0.12953462916540104</v>
      </c>
      <c r="AL46" s="42">
        <v>0.16034508429386779</v>
      </c>
      <c r="AM46" s="42">
        <v>4.3463751316360627E-2</v>
      </c>
      <c r="AN46" s="42">
        <v>4.6201625217440548E-2</v>
      </c>
      <c r="AO46" s="42">
        <v>1.1125464674546304E-2</v>
      </c>
      <c r="AP46" s="42">
        <v>5.0174574930556985E-2</v>
      </c>
      <c r="AQ46" s="42">
        <v>4.4177837620818124E-2</v>
      </c>
      <c r="AR46" s="42">
        <v>2.3813256310663729E-2</v>
      </c>
      <c r="AS46" s="42">
        <v>3.5619429542758589E-2</v>
      </c>
      <c r="AT46" s="42">
        <v>7.3323978100511653E-2</v>
      </c>
      <c r="AU46" s="42">
        <v>2.0456558440199807E-2</v>
      </c>
      <c r="AV46" s="42">
        <v>1.1149762167102919E-2</v>
      </c>
      <c r="AW46" s="42">
        <v>6.4080308921628283E-3</v>
      </c>
      <c r="AX46" s="42">
        <v>1.0398150774582483E-2</v>
      </c>
      <c r="AY46" s="45"/>
      <c r="AZ46" s="43"/>
      <c r="BA46" s="44"/>
      <c r="BB46" s="46">
        <v>0.99999999999999989</v>
      </c>
      <c r="BD46" s="5">
        <v>41759</v>
      </c>
      <c r="BE46" s="56">
        <v>-7.8448556933493809E-3</v>
      </c>
    </row>
    <row r="47" spans="6:57" x14ac:dyDescent="0.2">
      <c r="F47" s="23">
        <v>41820</v>
      </c>
      <c r="G47" s="10">
        <f>Price!G47/'Price D Coupon'!G$5</f>
        <v>7.7038214433333332</v>
      </c>
      <c r="H47" s="10">
        <f>Price!H47/'Price D Coupon'!H$5</f>
        <v>7.1643866342857141</v>
      </c>
      <c r="I47" s="10">
        <f>Price!I47/'Price D Coupon'!I$5</f>
        <v>6.3184027775000002</v>
      </c>
      <c r="J47" s="10">
        <f>Price!J47/'Price D Coupon'!J$5</f>
        <v>7.5059047766666671</v>
      </c>
      <c r="K47" s="10">
        <f>Price!K47/'Price D Coupon'!K$5</f>
        <v>6.9367063485714286</v>
      </c>
      <c r="L47" s="10">
        <f>Price!L47/'Price D Coupon'!L$5</f>
        <v>6.2285605275</v>
      </c>
      <c r="M47" s="10">
        <f>Price!M47/'Price D Coupon'!M$5</f>
        <v>5.5770846666666669</v>
      </c>
      <c r="N47" s="10">
        <f>Price!N47/'Price D Coupon'!N$5</f>
        <v>6.4858152057142862</v>
      </c>
      <c r="O47" s="10">
        <f>Price!O47/'Price D Coupon'!O$5</f>
        <v>6.0566855275</v>
      </c>
      <c r="P47" s="10">
        <f>Price!P47/'Price D Coupon'!P$5</f>
        <v>5.365277777777778</v>
      </c>
      <c r="Q47" s="10">
        <f>Price!Q47/'Price D Coupon'!Q$5</f>
        <v>4.8621539780000003</v>
      </c>
      <c r="R47" s="10">
        <f>Price!R47/'Price D Coupon'!R$5</f>
        <v>5.7012152775000002</v>
      </c>
      <c r="S47" s="10">
        <f>Price!S47/'Price D Coupon'!S$5</f>
        <v>4.9798624444444446</v>
      </c>
      <c r="T47" s="10">
        <f>Price!T47/'Price D Coupon'!T$5</f>
        <v>4.5715277780000001</v>
      </c>
      <c r="U47" s="10">
        <f>Price!U47/'Price D Coupon'!U$5</f>
        <v>3.6380050509090909</v>
      </c>
      <c r="V47" s="10">
        <f>Price!V47/'Price D Coupon'!V$5</f>
        <v>3.5397579449999999</v>
      </c>
      <c r="W47" s="10">
        <f>Price!W47/'Price D Coupon'!W$5</f>
        <v>3.4854700861538461</v>
      </c>
      <c r="X47" s="10"/>
      <c r="Y47" s="10"/>
      <c r="Z47" s="10"/>
      <c r="AA47" s="12">
        <v>23.10026869941176</v>
      </c>
      <c r="AC47" s="38">
        <v>41820</v>
      </c>
      <c r="AD47" s="35">
        <f>VLOOKUP(AC47,CurrentCoupon!$B$4:$C$1468,2,0)</f>
        <v>3.16005861973392</v>
      </c>
      <c r="AE47">
        <f t="shared" si="0"/>
        <v>7.5311390613881484</v>
      </c>
      <c r="AG47" s="5">
        <v>41820</v>
      </c>
      <c r="AH47" s="42">
        <v>0.1417181275377776</v>
      </c>
      <c r="AI47" s="42">
        <v>9.9321695621371178E-2</v>
      </c>
      <c r="AJ47" s="42">
        <v>9.3842230722355965E-2</v>
      </c>
      <c r="AK47" s="42">
        <v>0.12997409671647192</v>
      </c>
      <c r="AL47" s="42">
        <v>0.16063178619817237</v>
      </c>
      <c r="AM47" s="42">
        <v>4.3447040182385051E-2</v>
      </c>
      <c r="AN47" s="42">
        <v>4.6090471504489632E-2</v>
      </c>
      <c r="AO47" s="42">
        <v>1.1132258881690288E-2</v>
      </c>
      <c r="AP47" s="42">
        <v>5.0119114980403792E-2</v>
      </c>
      <c r="AQ47" s="42">
        <v>4.400769447776582E-2</v>
      </c>
      <c r="AR47" s="42">
        <v>2.3687647046653177E-2</v>
      </c>
      <c r="AS47" s="42">
        <v>3.5517132991963712E-2</v>
      </c>
      <c r="AT47" s="42">
        <v>7.2837989654949656E-2</v>
      </c>
      <c r="AU47" s="42">
        <v>2.0276544256312291E-2</v>
      </c>
      <c r="AV47" s="42">
        <v>1.0928789625449973E-2</v>
      </c>
      <c r="AW47" s="42">
        <v>6.2779744887071619E-3</v>
      </c>
      <c r="AX47" s="42">
        <v>1.0189405113080261E-2</v>
      </c>
      <c r="AY47" s="45"/>
      <c r="AZ47" s="43"/>
      <c r="BA47" s="44"/>
      <c r="BB47" s="46">
        <v>1</v>
      </c>
      <c r="BD47" s="5">
        <v>41789</v>
      </c>
      <c r="BE47" s="56">
        <v>-2.9344377458100548E-2</v>
      </c>
    </row>
    <row r="48" spans="6:57" x14ac:dyDescent="0.2">
      <c r="F48" s="23">
        <v>41851</v>
      </c>
      <c r="G48" s="10">
        <f>Price!G48/'Price D Coupon'!G$5</f>
        <v>7.6829881100000001</v>
      </c>
      <c r="H48" s="10">
        <f>Price!H48/'Price D Coupon'!H$5</f>
        <v>7.1197437771428573</v>
      </c>
      <c r="I48" s="10">
        <f>Price!I48/'Price D Coupon'!I$5</f>
        <v>6.3301230275</v>
      </c>
      <c r="J48" s="10">
        <f>Price!J48/'Price D Coupon'!J$5</f>
        <v>7.4746547766666671</v>
      </c>
      <c r="K48" s="10">
        <f>Price!K48/'Price D Coupon'!K$5</f>
        <v>6.9143866342857141</v>
      </c>
      <c r="L48" s="10">
        <f>Price!L48/'Price D Coupon'!L$5</f>
        <v>6.2519980275</v>
      </c>
      <c r="M48" s="10">
        <f>Price!M48/'Price D Coupon'!M$5</f>
        <v>5.656944444444445</v>
      </c>
      <c r="N48" s="10">
        <f>Price!N48/'Price D Coupon'!N$5</f>
        <v>6.5215294914285717</v>
      </c>
      <c r="O48" s="10">
        <f>Price!O48/'Price D Coupon'!O$5</f>
        <v>6.0957480275</v>
      </c>
      <c r="P48" s="10">
        <f>Price!P48/'Price D Coupon'!P$5</f>
        <v>5.4729179999999999</v>
      </c>
      <c r="Q48" s="10">
        <f>Price!Q48/'Price D Coupon'!Q$5</f>
        <v>5.0184039780000003</v>
      </c>
      <c r="R48" s="10">
        <f>Price!R48/'Price D Coupon'!R$5</f>
        <v>5.7559027775000002</v>
      </c>
      <c r="S48" s="10">
        <f>Price!S48/'Price D Coupon'!S$5</f>
        <v>5.1361111111111111</v>
      </c>
      <c r="T48" s="10">
        <f>Price!T48/'Price D Coupon'!T$5</f>
        <v>4.7684039780000003</v>
      </c>
      <c r="U48" s="10">
        <f>Price!U48/'Price D Coupon'!U$5</f>
        <v>3.8283470509090907</v>
      </c>
      <c r="V48" s="10">
        <f>Price!V48/'Price D Coupon'!V$5</f>
        <v>3.6986111116666667</v>
      </c>
      <c r="W48" s="10">
        <f>Price!W48/'Price D Coupon'!W$5</f>
        <v>3.6224902399999999</v>
      </c>
      <c r="X48" s="10"/>
      <c r="Y48" s="10"/>
      <c r="Z48" s="10"/>
      <c r="AA48" s="12">
        <v>23.62416717</v>
      </c>
      <c r="AC48" s="38">
        <v>41851</v>
      </c>
      <c r="AD48" s="35">
        <f>VLOOKUP(AC48,CurrentCoupon!$B$4:$C$1468,2,0)</f>
        <v>3.2761065930147799</v>
      </c>
      <c r="AE48">
        <f t="shared" si="0"/>
        <v>7.3719571624398634</v>
      </c>
      <c r="AG48" s="5">
        <v>41851</v>
      </c>
      <c r="AH48" s="42">
        <v>0.14230565455841804</v>
      </c>
      <c r="AI48" s="42">
        <v>9.965465456666267E-2</v>
      </c>
      <c r="AJ48" s="42">
        <v>9.4021309427989239E-2</v>
      </c>
      <c r="AK48" s="42">
        <v>0.13040735262808623</v>
      </c>
      <c r="AL48" s="42">
        <v>0.16091602822343137</v>
      </c>
      <c r="AM48" s="42">
        <v>4.3411461237148119E-2</v>
      </c>
      <c r="AN48" s="42">
        <v>4.5938061893242156E-2</v>
      </c>
      <c r="AO48" s="42">
        <v>1.1133828595392579E-2</v>
      </c>
      <c r="AP48" s="42">
        <v>5.0066548245849059E-2</v>
      </c>
      <c r="AQ48" s="42">
        <v>4.3832974849110966E-2</v>
      </c>
      <c r="AR48" s="42">
        <v>2.3567106657747458E-2</v>
      </c>
      <c r="AS48" s="42">
        <v>3.5409749104588585E-2</v>
      </c>
      <c r="AT48" s="42">
        <v>7.2357056815583673E-2</v>
      </c>
      <c r="AU48" s="42">
        <v>2.0100479785391912E-2</v>
      </c>
      <c r="AV48" s="42">
        <v>1.0733533438865869E-2</v>
      </c>
      <c r="AW48" s="42">
        <v>6.1568119634147177E-3</v>
      </c>
      <c r="AX48" s="42">
        <v>9.9873880090775354E-3</v>
      </c>
      <c r="AY48" s="45"/>
      <c r="AZ48" s="43"/>
      <c r="BA48" s="44"/>
      <c r="BB48" s="46">
        <v>1.0000000000000002</v>
      </c>
      <c r="BD48" s="5">
        <v>41820</v>
      </c>
      <c r="BE48" s="56">
        <v>2.7757434832433588E-2</v>
      </c>
    </row>
    <row r="49" spans="6:57" x14ac:dyDescent="0.2">
      <c r="F49" s="23">
        <v>41880</v>
      </c>
      <c r="G49" s="10">
        <f>Price!G49/'Price D Coupon'!G$5</f>
        <v>7.4774325566666668</v>
      </c>
      <c r="H49" s="10">
        <f>Price!H49/'Price D Coupon'!H$5</f>
        <v>6.8234126971428575</v>
      </c>
      <c r="I49" s="10">
        <f>Price!I49/'Price D Coupon'!I$5</f>
        <v>5.8524305549999998</v>
      </c>
      <c r="J49" s="10">
        <f>Price!J49/'Price D Coupon'!J$5</f>
        <v>7.2899325566666668</v>
      </c>
      <c r="K49" s="10">
        <f>Price!K49/'Price D Coupon'!K$5</f>
        <v>6.6314501257142862</v>
      </c>
      <c r="L49" s="10">
        <f>Price!L49/'Price D Coupon'!L$5</f>
        <v>5.8563383049999995</v>
      </c>
      <c r="M49" s="10">
        <f>Price!M49/'Price D Coupon'!M$5</f>
        <v>5.291666666666667</v>
      </c>
      <c r="N49" s="10">
        <f>Price!N49/'Price D Coupon'!N$5</f>
        <v>6.1894841257142863</v>
      </c>
      <c r="O49" s="10">
        <f>Price!O49/'Price D Coupon'!O$5</f>
        <v>5.7586805549999998</v>
      </c>
      <c r="P49" s="10">
        <f>Price!P49/'Price D Coupon'!P$5</f>
        <v>5.0763888888888893</v>
      </c>
      <c r="Q49" s="10">
        <f>Price!Q49/'Price D Coupon'!Q$5</f>
        <v>4.7055555560000002</v>
      </c>
      <c r="R49" s="10">
        <f>Price!R49/'Price D Coupon'!R$5</f>
        <v>5.3954008049999995</v>
      </c>
      <c r="S49" s="10">
        <f>Price!S49/'Price D Coupon'!S$5</f>
        <v>4.7256957777777773</v>
      </c>
      <c r="T49" s="10">
        <f>Price!T49/'Price D Coupon'!T$5</f>
        <v>4.4649317560000004</v>
      </c>
      <c r="U49" s="10">
        <f>Price!U49/'Price D Coupon'!U$5</f>
        <v>3.6862373745454544</v>
      </c>
      <c r="V49" s="10">
        <f>Price!V49/'Price D Coupon'!V$5</f>
        <v>3.5894107216666664</v>
      </c>
      <c r="W49" s="10">
        <f>Price!W49/'Price D Coupon'!W$5</f>
        <v>3.5868064784615381</v>
      </c>
      <c r="X49" s="10"/>
      <c r="Y49" s="10"/>
      <c r="Z49" s="10"/>
      <c r="AA49" s="12">
        <v>22.352740457058825</v>
      </c>
      <c r="AC49" s="38">
        <v>41880</v>
      </c>
      <c r="AD49" s="35">
        <f>VLOOKUP(AC49,CurrentCoupon!$B$4:$C$1468,2,0)</f>
        <v>3.0803371977218901</v>
      </c>
      <c r="AE49">
        <f t="shared" si="0"/>
        <v>7.3723483111294525</v>
      </c>
      <c r="AG49" s="5">
        <v>41880</v>
      </c>
      <c r="AH49" s="42">
        <v>0.14298975391682775</v>
      </c>
      <c r="AI49" s="42">
        <v>0.10006002359186844</v>
      </c>
      <c r="AJ49" s="42">
        <v>9.3952744711538583E-2</v>
      </c>
      <c r="AK49" s="42">
        <v>0.1309553886302674</v>
      </c>
      <c r="AL49" s="42">
        <v>0.16127148505097716</v>
      </c>
      <c r="AM49" s="42">
        <v>4.3372777219908516E-2</v>
      </c>
      <c r="AN49" s="42">
        <v>4.5780559908168816E-2</v>
      </c>
      <c r="AO49" s="42">
        <v>1.113185899446827E-2</v>
      </c>
      <c r="AP49" s="42">
        <v>4.998306375734015E-2</v>
      </c>
      <c r="AQ49" s="42">
        <v>4.3647075069460937E-2</v>
      </c>
      <c r="AR49" s="42">
        <v>2.3428339227857014E-2</v>
      </c>
      <c r="AS49" s="42">
        <v>3.5284096679786624E-2</v>
      </c>
      <c r="AT49" s="42">
        <v>7.1834870586667363E-2</v>
      </c>
      <c r="AU49" s="42">
        <v>1.9930637659027625E-2</v>
      </c>
      <c r="AV49" s="42">
        <v>1.0528337381292448E-2</v>
      </c>
      <c r="AW49" s="42">
        <v>6.0439661539254804E-3</v>
      </c>
      <c r="AX49" s="42">
        <v>9.8050214606174909E-3</v>
      </c>
      <c r="AY49" s="45"/>
      <c r="AZ49" s="43"/>
      <c r="BA49" s="44"/>
      <c r="BB49" s="46">
        <v>1</v>
      </c>
      <c r="BD49" s="5">
        <v>41851</v>
      </c>
      <c r="BE49" s="56">
        <v>7.4645314168620231E-3</v>
      </c>
    </row>
    <row r="50" spans="6:57" x14ac:dyDescent="0.2">
      <c r="F50" s="23">
        <v>41912</v>
      </c>
      <c r="G50" s="10">
        <f>Price!G50/'Price D Coupon'!G$5</f>
        <v>7.6100714433333332</v>
      </c>
      <c r="H50" s="10">
        <f>Price!H50/'Price D Coupon'!H$5</f>
        <v>6.9947437771428573</v>
      </c>
      <c r="I50" s="10">
        <f>Price!I50/'Price D Coupon'!I$5</f>
        <v>6.1699652775000002</v>
      </c>
      <c r="J50" s="10">
        <f>Price!J50/'Price D Coupon'!J$5</f>
        <v>7.4381944433333338</v>
      </c>
      <c r="K50" s="10">
        <f>Price!K50/'Price D Coupon'!K$5</f>
        <v>6.8429580628571429</v>
      </c>
      <c r="L50" s="10">
        <f>Price!L50/'Price D Coupon'!L$5</f>
        <v>6.1035605275</v>
      </c>
      <c r="M50" s="10">
        <f>Price!M50/'Price D Coupon'!M$5</f>
        <v>5.656944444444445</v>
      </c>
      <c r="N50" s="10">
        <f>Price!N50/'Price D Coupon'!N$5</f>
        <v>6.4277777771428575</v>
      </c>
      <c r="O50" s="10">
        <f>Price!O50/'Price D Coupon'!O$5</f>
        <v>5.9746527775000002</v>
      </c>
      <c r="P50" s="10">
        <f>Price!P50/'Price D Coupon'!P$5</f>
        <v>5.4451402222222223</v>
      </c>
      <c r="Q50" s="10">
        <f>Price!Q50/'Price D Coupon'!Q$5</f>
        <v>5.0715277780000001</v>
      </c>
      <c r="R50" s="10">
        <f>Price!R50/'Price D Coupon'!R$5</f>
        <v>5.6582480275</v>
      </c>
      <c r="S50" s="10">
        <f>Price!S50/'Price D Coupon'!S$5</f>
        <v>5.1256957777777776</v>
      </c>
      <c r="T50" s="10">
        <f>Price!T50/'Price D Coupon'!T$5</f>
        <v>4.8277777779999997</v>
      </c>
      <c r="U50" s="10">
        <f>Price!U50/'Price D Coupon'!U$5</f>
        <v>3.8567561418181815</v>
      </c>
      <c r="V50" s="10">
        <f>Price!V50/'Price D Coupon'!V$5</f>
        <v>3.7376746116666664</v>
      </c>
      <c r="W50" s="10">
        <f>Price!W50/'Price D Coupon'!W$5</f>
        <v>3.7018162399999999</v>
      </c>
      <c r="X50" s="10"/>
      <c r="Y50" s="10"/>
      <c r="Z50" s="10"/>
      <c r="AA50" s="12">
        <v>23.474349934705881</v>
      </c>
      <c r="AC50" s="38">
        <v>41912</v>
      </c>
      <c r="AD50" s="35">
        <f>VLOOKUP(AC50,CurrentCoupon!$B$4:$C$1468,2,0)</f>
        <v>3.2078957125058598</v>
      </c>
      <c r="AE50">
        <f t="shared" si="0"/>
        <v>7.3542234761588592</v>
      </c>
      <c r="AG50" s="5">
        <v>41912</v>
      </c>
      <c r="AH50" s="42">
        <v>0.14373459481821066</v>
      </c>
      <c r="AI50" s="42">
        <v>0.10044565289270864</v>
      </c>
      <c r="AJ50" s="42">
        <v>9.3821049314702101E-2</v>
      </c>
      <c r="AK50" s="42">
        <v>0.13153505652330588</v>
      </c>
      <c r="AL50" s="42">
        <v>0.1616941419773823</v>
      </c>
      <c r="AM50" s="42">
        <v>4.3300391697723151E-2</v>
      </c>
      <c r="AN50" s="42">
        <v>4.5626975986501554E-2</v>
      </c>
      <c r="AO50" s="42">
        <v>1.1141526724012174E-2</v>
      </c>
      <c r="AP50" s="42">
        <v>4.9898276974013306E-2</v>
      </c>
      <c r="AQ50" s="42">
        <v>4.3434666598872629E-2</v>
      </c>
      <c r="AR50" s="42">
        <v>2.3275456324405253E-2</v>
      </c>
      <c r="AS50" s="42">
        <v>3.5135694813915194E-2</v>
      </c>
      <c r="AT50" s="42">
        <v>7.1247425213316909E-2</v>
      </c>
      <c r="AU50" s="42">
        <v>1.9753501590960679E-2</v>
      </c>
      <c r="AV50" s="42">
        <v>1.0365520550161093E-2</v>
      </c>
      <c r="AW50" s="42">
        <v>5.9488495359690599E-3</v>
      </c>
      <c r="AX50" s="42">
        <v>9.6412184638394963E-3</v>
      </c>
      <c r="AY50" s="45"/>
      <c r="AZ50" s="43"/>
      <c r="BA50" s="44"/>
      <c r="BB50" s="46">
        <v>0.99999999999999989</v>
      </c>
      <c r="BD50" s="5">
        <v>41880</v>
      </c>
      <c r="BE50" s="56">
        <v>-4.7313023299059113E-2</v>
      </c>
    </row>
    <row r="51" spans="6:57" x14ac:dyDescent="0.2">
      <c r="F51" s="23">
        <v>41943</v>
      </c>
      <c r="G51" s="10">
        <f>Price!G51/'Price D Coupon'!G$5</f>
        <v>7.4854166666666666</v>
      </c>
      <c r="H51" s="10">
        <f>Price!H51/'Price D Coupon'!H$5</f>
        <v>6.7502993342857138</v>
      </c>
      <c r="I51" s="10">
        <f>Price!I51/'Price D Coupon'!I$5</f>
        <v>5.7302083325000002</v>
      </c>
      <c r="J51" s="10">
        <f>Price!J51/'Price D Coupon'!J$5</f>
        <v>7.2979166666666666</v>
      </c>
      <c r="K51" s="10">
        <f>Price!K51/'Price D Coupon'!K$5</f>
        <v>6.6074421914285706</v>
      </c>
      <c r="L51" s="10">
        <f>Price!L51/'Price D Coupon'!L$5</f>
        <v>5.8083333325000002</v>
      </c>
      <c r="M51" s="10">
        <f>Price!M51/'Price D Coupon'!M$5</f>
        <v>5.3534735555555555</v>
      </c>
      <c r="N51" s="10">
        <f>Price!N51/'Price D Coupon'!N$5</f>
        <v>6.1565476199999996</v>
      </c>
      <c r="O51" s="10">
        <f>Price!O51/'Price D Coupon'!O$5</f>
        <v>5.6872410824999999</v>
      </c>
      <c r="P51" s="10">
        <f>Price!P51/'Price D Coupon'!P$5</f>
        <v>5.1243068888888885</v>
      </c>
      <c r="Q51" s="10">
        <f>Price!Q51/'Price D Coupon'!Q$5</f>
        <v>4.7114595340000003</v>
      </c>
      <c r="R51" s="10">
        <f>Price!R51/'Price D Coupon'!R$5</f>
        <v>5.2888035824999999</v>
      </c>
      <c r="S51" s="10">
        <f>Price!S51/'Price D Coupon'!S$5</f>
        <v>4.7840291111111108</v>
      </c>
      <c r="T51" s="10">
        <f>Price!T51/'Price D Coupon'!T$5</f>
        <v>4.4802095340000001</v>
      </c>
      <c r="U51" s="10">
        <f>Price!U51/'Price D Coupon'!U$5</f>
        <v>3.6577662418181816</v>
      </c>
      <c r="V51" s="10">
        <f>Price!V51/'Price D Coupon'!V$5</f>
        <v>3.5739583333333336</v>
      </c>
      <c r="W51" s="10">
        <f>Price!W51/'Price D Coupon'!W$5</f>
        <v>3.6040073338461536</v>
      </c>
      <c r="X51" s="10"/>
      <c r="Y51" s="10"/>
      <c r="Z51" s="10"/>
      <c r="AA51" s="12">
        <v>22.330396392352942</v>
      </c>
      <c r="AC51" s="38">
        <v>41943</v>
      </c>
      <c r="AD51" s="35">
        <f>VLOOKUP(AC51,CurrentCoupon!$B$4:$C$1468,2,0)</f>
        <v>3.0097405474457601</v>
      </c>
      <c r="AE51">
        <f t="shared" si="0"/>
        <v>7.471095776158152</v>
      </c>
      <c r="AG51" s="5">
        <v>41943</v>
      </c>
      <c r="AH51" s="42">
        <v>0.14443816426622416</v>
      </c>
      <c r="AI51" s="42">
        <v>0.10079490926435079</v>
      </c>
      <c r="AJ51" s="42">
        <v>9.3803748654107219E-2</v>
      </c>
      <c r="AK51" s="42">
        <v>0.13206838030589066</v>
      </c>
      <c r="AL51" s="42">
        <v>0.16203743859544614</v>
      </c>
      <c r="AM51" s="42">
        <v>4.3269446795767566E-2</v>
      </c>
      <c r="AN51" s="42">
        <v>4.5468911689795152E-2</v>
      </c>
      <c r="AO51" s="42">
        <v>1.113524731555658E-2</v>
      </c>
      <c r="AP51" s="42">
        <v>4.9812967575776745E-2</v>
      </c>
      <c r="AQ51" s="42">
        <v>4.3218243269622959E-2</v>
      </c>
      <c r="AR51" s="42">
        <v>2.3134329116114665E-2</v>
      </c>
      <c r="AS51" s="42">
        <v>3.5004964152705806E-2</v>
      </c>
      <c r="AT51" s="42">
        <v>7.0717130330189462E-2</v>
      </c>
      <c r="AU51" s="42">
        <v>1.9568962138031307E-2</v>
      </c>
      <c r="AV51" s="42">
        <v>1.0184489769396734E-2</v>
      </c>
      <c r="AW51" s="42">
        <v>5.8467278659562758E-3</v>
      </c>
      <c r="AX51" s="42">
        <v>9.4959388950680308E-3</v>
      </c>
      <c r="AY51" s="45"/>
      <c r="AZ51" s="43"/>
      <c r="BA51" s="44"/>
      <c r="BB51" s="46">
        <v>1.0000000000000004</v>
      </c>
      <c r="BD51" s="5">
        <v>41912</v>
      </c>
      <c r="BE51" s="56">
        <v>4.3121934944080051E-2</v>
      </c>
    </row>
    <row r="52" spans="6:57" x14ac:dyDescent="0.2">
      <c r="F52" s="23">
        <v>41971</v>
      </c>
      <c r="G52" s="10">
        <f>Price!G52/'Price D Coupon'!G$5</f>
        <v>7.3392381100000001</v>
      </c>
      <c r="H52" s="10">
        <f>Price!H52/'Price D Coupon'!H$5</f>
        <v>6.5215294914285717</v>
      </c>
      <c r="I52" s="10">
        <f>Price!I52/'Price D Coupon'!I$5</f>
        <v>5.4121527775000002</v>
      </c>
      <c r="J52" s="10">
        <f>Price!J52/'Price D Coupon'!J$5</f>
        <v>7.1621547766666671</v>
      </c>
      <c r="K52" s="10">
        <f>Price!K52/'Price D Coupon'!K$5</f>
        <v>6.3920634914285719</v>
      </c>
      <c r="L52" s="10">
        <f>Price!L52/'Price D Coupon'!L$5</f>
        <v>5.5371527775000002</v>
      </c>
      <c r="M52" s="10">
        <f>Price!M52/'Price D Coupon'!M$5</f>
        <v>5.1326402222222223</v>
      </c>
      <c r="N52" s="10">
        <f>Price!N52/'Price D Coupon'!N$5</f>
        <v>5.8965294914285717</v>
      </c>
      <c r="O52" s="10">
        <f>Price!O52/'Price D Coupon'!O$5</f>
        <v>5.4199652775000002</v>
      </c>
      <c r="P52" s="10">
        <f>Price!P52/'Price D Coupon'!P$5</f>
        <v>4.9034735555555553</v>
      </c>
      <c r="Q52" s="10">
        <f>Price!Q52/'Price D Coupon'!Q$5</f>
        <v>4.5496539780000003</v>
      </c>
      <c r="R52" s="10">
        <f>Price!R52/'Price D Coupon'!R$5</f>
        <v>4.9707480275</v>
      </c>
      <c r="S52" s="10">
        <f>Price!S52/'Price D Coupon'!S$5</f>
        <v>4.5284735555555553</v>
      </c>
      <c r="T52" s="10">
        <f>Price!T52/'Price D Coupon'!T$5</f>
        <v>4.3090277779999999</v>
      </c>
      <c r="U52" s="10">
        <f>Price!U52/'Price D Coupon'!U$5</f>
        <v>3.5527777781818184</v>
      </c>
      <c r="V52" s="10">
        <f>Price!V52/'Price D Coupon'!V$5</f>
        <v>3.5032996116666664</v>
      </c>
      <c r="W52" s="10">
        <f>Price!W52/'Price D Coupon'!W$5</f>
        <v>3.5599902399999999</v>
      </c>
      <c r="X52" s="10"/>
      <c r="Y52" s="10"/>
      <c r="Z52" s="10"/>
      <c r="AA52" s="12">
        <v>21.502842228823532</v>
      </c>
      <c r="AC52" s="38">
        <v>41971</v>
      </c>
      <c r="AD52" s="35">
        <f>VLOOKUP(AC52,CurrentCoupon!$B$4:$C$1468,2,0)</f>
        <v>2.84568526355815</v>
      </c>
      <c r="AE52">
        <f t="shared" si="0"/>
        <v>7.3392381100000001</v>
      </c>
      <c r="AG52" s="5">
        <v>41971</v>
      </c>
      <c r="AH52" s="42">
        <v>0.14515802896313931</v>
      </c>
      <c r="AI52" s="42">
        <v>0.10116957644755255</v>
      </c>
      <c r="AJ52" s="42">
        <v>9.3660937985077991E-2</v>
      </c>
      <c r="AK52" s="42">
        <v>0.13265043516113506</v>
      </c>
      <c r="AL52" s="42">
        <v>0.16244464401363545</v>
      </c>
      <c r="AM52" s="42">
        <v>4.3218250887420248E-2</v>
      </c>
      <c r="AN52" s="42">
        <v>4.5310100728303639E-2</v>
      </c>
      <c r="AO52" s="42">
        <v>1.1141750385699386E-2</v>
      </c>
      <c r="AP52" s="42">
        <v>4.9725370465076787E-2</v>
      </c>
      <c r="AQ52" s="42">
        <v>4.2999052791296365E-2</v>
      </c>
      <c r="AR52" s="42">
        <v>2.2957062511345636E-2</v>
      </c>
      <c r="AS52" s="42">
        <v>3.4883357617876511E-2</v>
      </c>
      <c r="AT52" s="42">
        <v>7.0176318312634697E-2</v>
      </c>
      <c r="AU52" s="42">
        <v>1.9385706451805363E-2</v>
      </c>
      <c r="AV52" s="42">
        <v>1.0016056369676053E-2</v>
      </c>
      <c r="AW52" s="42">
        <v>5.7485049008420578E-3</v>
      </c>
      <c r="AX52" s="42">
        <v>9.354846007482976E-3</v>
      </c>
      <c r="AY52" s="45"/>
      <c r="AZ52" s="43"/>
      <c r="BA52" s="44"/>
      <c r="BB52" s="46">
        <v>1.0000000000000002</v>
      </c>
      <c r="BD52" s="5">
        <v>41943</v>
      </c>
      <c r="BE52" s="56">
        <v>-3.9672604856606668E-2</v>
      </c>
    </row>
    <row r="53" spans="6:57" x14ac:dyDescent="0.2">
      <c r="F53" s="23">
        <v>42004</v>
      </c>
      <c r="G53" s="10">
        <f>Price!G53/'Price D Coupon'!G$5</f>
        <v>7.0138888900000005</v>
      </c>
      <c r="H53" s="10">
        <f>Price!H53/'Price D Coupon'!H$5</f>
        <v>6.1894841257142863</v>
      </c>
      <c r="I53" s="10">
        <f>Price!I53/'Price D Coupon'!I$5</f>
        <v>5.0672758049999995</v>
      </c>
      <c r="J53" s="10">
        <f>Price!J53/'Price D Coupon'!J$5</f>
        <v>6.9513888900000005</v>
      </c>
      <c r="K53" s="10">
        <f>Price!K53/'Price D Coupon'!K$5</f>
        <v>6.2921644114285717</v>
      </c>
      <c r="L53" s="10">
        <f>Price!L53/'Price D Coupon'!L$5</f>
        <v>5.4383680549999998</v>
      </c>
      <c r="M53" s="10">
        <f>Price!M53/'Price D Coupon'!M$5</f>
        <v>5.065973555555555</v>
      </c>
      <c r="N53" s="10">
        <f>Price!N53/'Price D Coupon'!N$5</f>
        <v>5.7519841257142863</v>
      </c>
      <c r="O53" s="10">
        <f>Price!O53/'Price D Coupon'!O$5</f>
        <v>5.3172758049999995</v>
      </c>
      <c r="P53" s="10">
        <f>Price!P53/'Price D Coupon'!P$5</f>
        <v>4.854166666666667</v>
      </c>
      <c r="Q53" s="10">
        <f>Price!Q53/'Price D Coupon'!Q$5</f>
        <v>4.5086817559999997</v>
      </c>
      <c r="R53" s="10">
        <f>Price!R53/'Price D Coupon'!R$5</f>
        <v>4.8563383049999995</v>
      </c>
      <c r="S53" s="10">
        <f>Price!S53/'Price D Coupon'!S$5</f>
        <v>4.4687513333333335</v>
      </c>
      <c r="T53" s="10">
        <f>Price!T53/'Price D Coupon'!T$5</f>
        <v>4.2586817559999997</v>
      </c>
      <c r="U53" s="10">
        <f>Price!U53/'Price D Coupon'!U$5</f>
        <v>3.5385101018181815</v>
      </c>
      <c r="V53" s="10">
        <f>Price!V53/'Price D Coupon'!V$5</f>
        <v>3.4956607216666664</v>
      </c>
      <c r="W53" s="10">
        <f>Price!W53/'Price D Coupon'!W$5</f>
        <v>3.5603632476923077</v>
      </c>
      <c r="X53" s="10"/>
      <c r="Y53" s="10"/>
      <c r="Z53" s="10"/>
      <c r="AA53" s="12">
        <v>21.200166927647057</v>
      </c>
      <c r="AC53" s="38">
        <v>42004</v>
      </c>
      <c r="AD53" s="35">
        <f>VLOOKUP(AC53,CurrentCoupon!$B$4:$C$1468,2,0)</f>
        <v>2.8338661414623698</v>
      </c>
      <c r="AE53">
        <f t="shared" si="0"/>
        <v>7.0138888900000005</v>
      </c>
      <c r="AG53" s="5">
        <v>42004</v>
      </c>
      <c r="AH53" s="42">
        <v>0.14591157763564755</v>
      </c>
      <c r="AI53" s="42">
        <v>0.1015167171964465</v>
      </c>
      <c r="AJ53" s="42">
        <v>9.3517443771406403E-2</v>
      </c>
      <c r="AK53" s="42">
        <v>0.13322883551361403</v>
      </c>
      <c r="AL53" s="42">
        <v>0.16283379021528804</v>
      </c>
      <c r="AM53" s="42">
        <v>4.318126100383838E-2</v>
      </c>
      <c r="AN53" s="42">
        <v>4.515419209738742E-2</v>
      </c>
      <c r="AO53" s="42">
        <v>1.1139471452501243E-2</v>
      </c>
      <c r="AP53" s="42">
        <v>4.9636891598394246E-2</v>
      </c>
      <c r="AQ53" s="42">
        <v>4.2787228663136841E-2</v>
      </c>
      <c r="AR53" s="42">
        <v>2.2783040652295129E-2</v>
      </c>
      <c r="AS53" s="42">
        <v>3.4774424278852273E-2</v>
      </c>
      <c r="AT53" s="42">
        <v>6.9639651213128678E-2</v>
      </c>
      <c r="AU53" s="42">
        <v>1.9192669641278387E-2</v>
      </c>
      <c r="AV53" s="42">
        <v>9.8399952968074803E-3</v>
      </c>
      <c r="AW53" s="42">
        <v>5.6382196541865468E-3</v>
      </c>
      <c r="AX53" s="42">
        <v>9.2245901157909666E-3</v>
      </c>
      <c r="AY53" s="45"/>
      <c r="AZ53" s="43"/>
      <c r="BA53" s="44"/>
      <c r="BB53" s="46">
        <v>1</v>
      </c>
      <c r="BD53" s="5">
        <v>41971</v>
      </c>
      <c r="BE53" s="56">
        <v>-3.3127566680121533E-2</v>
      </c>
    </row>
    <row r="54" spans="6:57" x14ac:dyDescent="0.2">
      <c r="F54" s="23">
        <v>42034</v>
      </c>
      <c r="G54" s="10">
        <f>Price!G54/'Price D Coupon'!G$5</f>
        <v>5.8940992233333338</v>
      </c>
      <c r="H54" s="10">
        <f>Price!H54/'Price D Coupon'!H$5</f>
        <v>4.8948412685714286</v>
      </c>
      <c r="I54" s="10">
        <f>Price!I54/'Price D Coupon'!I$5</f>
        <v>3.7938380550000002</v>
      </c>
      <c r="J54" s="10">
        <f>Price!J54/'Price D Coupon'!J$5</f>
        <v>5.8524325566666668</v>
      </c>
      <c r="K54" s="10">
        <f>Price!K54/'Price D Coupon'!K$5</f>
        <v>5.0734126971428575</v>
      </c>
      <c r="L54" s="10">
        <f>Price!L54/'Price D Coupon'!L$5</f>
        <v>4.2899305549999998</v>
      </c>
      <c r="M54" s="10">
        <f>Price!M54/'Price D Coupon'!M$5</f>
        <v>4.128473555555555</v>
      </c>
      <c r="N54" s="10">
        <f>Price!N54/'Price D Coupon'!N$5</f>
        <v>4.5466269828571431</v>
      </c>
      <c r="O54" s="10">
        <f>Price!O54/'Price D Coupon'!O$5</f>
        <v>4.2000883049999995</v>
      </c>
      <c r="P54" s="10">
        <f>Price!P54/'Price D Coupon'!P$5</f>
        <v>3.9027777777777777</v>
      </c>
      <c r="Q54" s="10">
        <f>Price!Q54/'Price D Coupon'!Q$5</f>
        <v>3.7618055560000001</v>
      </c>
      <c r="R54" s="10">
        <f>Price!R54/'Price D Coupon'!R$5</f>
        <v>3.7821180550000002</v>
      </c>
      <c r="S54" s="10">
        <f>Price!S54/'Price D Coupon'!S$5</f>
        <v>3.5694444444444446</v>
      </c>
      <c r="T54" s="10">
        <f>Price!T54/'Price D Coupon'!T$5</f>
        <v>3.5461817560000002</v>
      </c>
      <c r="U54" s="10">
        <f>Price!U54/'Price D Coupon'!U$5</f>
        <v>3.3083975563636359</v>
      </c>
      <c r="V54" s="10">
        <f>Price!V54/'Price D Coupon'!V$5</f>
        <v>3.3237857216666664</v>
      </c>
      <c r="W54" s="10">
        <f>Price!W54/'Price D Coupon'!W$5</f>
        <v>3.459401709230769</v>
      </c>
      <c r="X54" s="10"/>
      <c r="Y54" s="10"/>
      <c r="Z54" s="10"/>
      <c r="AA54" s="12">
        <v>17.653290868823529</v>
      </c>
      <c r="AC54" s="38">
        <v>42034</v>
      </c>
      <c r="AD54" s="35">
        <f>VLOOKUP(AC54,CurrentCoupon!$B$4:$C$1468,2,0)</f>
        <v>2.4526687901347302</v>
      </c>
      <c r="AE54">
        <f t="shared" si="0"/>
        <v>5.8940992233333338</v>
      </c>
      <c r="AG54" s="5">
        <v>42034</v>
      </c>
      <c r="AH54" s="42">
        <v>0.14670890164535907</v>
      </c>
      <c r="AI54" s="42">
        <v>0.10176796643121883</v>
      </c>
      <c r="AJ54" s="42">
        <v>9.287026338115327E-2</v>
      </c>
      <c r="AK54" s="42">
        <v>0.13387539860904382</v>
      </c>
      <c r="AL54" s="42">
        <v>0.16331359549886551</v>
      </c>
      <c r="AM54" s="42">
        <v>4.317495372482702E-2</v>
      </c>
      <c r="AN54" s="42">
        <v>4.5038885640718979E-2</v>
      </c>
      <c r="AO54" s="42">
        <v>1.1157227557422706E-2</v>
      </c>
      <c r="AP54" s="42">
        <v>4.9576037868087681E-2</v>
      </c>
      <c r="AQ54" s="42">
        <v>4.2605814316459399E-2</v>
      </c>
      <c r="AR54" s="42">
        <v>2.2670741957401146E-2</v>
      </c>
      <c r="AS54" s="42">
        <v>3.4657797005626392E-2</v>
      </c>
      <c r="AT54" s="42">
        <v>6.9138470547379718E-2</v>
      </c>
      <c r="AU54" s="42">
        <v>1.904207162440219E-2</v>
      </c>
      <c r="AV54" s="42">
        <v>9.7161723794014099E-3</v>
      </c>
      <c r="AW54" s="42">
        <v>5.569277111351514E-3</v>
      </c>
      <c r="AX54" s="42">
        <v>9.116424701281451E-3</v>
      </c>
      <c r="AY54" s="45"/>
      <c r="AZ54" s="43"/>
      <c r="BA54" s="44"/>
      <c r="BB54" s="46">
        <v>1</v>
      </c>
      <c r="BD54" s="5">
        <v>42004</v>
      </c>
      <c r="BE54" s="56">
        <v>-2.6017101954365164E-2</v>
      </c>
    </row>
    <row r="55" spans="6:57" x14ac:dyDescent="0.2">
      <c r="F55" s="24">
        <v>42062</v>
      </c>
      <c r="G55" s="10">
        <f>Price!G55/'Price D Coupon'!G$5</f>
        <v>6.5815992233333338</v>
      </c>
      <c r="H55" s="10">
        <f>Price!H55/'Price D Coupon'!H$5</f>
        <v>5.7296644114285717</v>
      </c>
      <c r="I55" s="10">
        <f>Price!I55/'Price D Coupon'!I$5</f>
        <v>4.6610258049999995</v>
      </c>
      <c r="J55" s="10">
        <f>Price!J55/'Price D Coupon'!J$5</f>
        <v>6.5243055566666674</v>
      </c>
      <c r="K55" s="10">
        <f>Price!K55/'Price D Coupon'!K$5</f>
        <v>5.8323412685714286</v>
      </c>
      <c r="L55" s="10">
        <f>Price!L55/'Price D Coupon'!L$5</f>
        <v>5.0907133049999995</v>
      </c>
      <c r="M55" s="10">
        <f>Price!M55/'Price D Coupon'!M$5</f>
        <v>4.791666666666667</v>
      </c>
      <c r="N55" s="10">
        <f>Price!N55/'Price D Coupon'!N$5</f>
        <v>5.3635929828571429</v>
      </c>
      <c r="O55" s="10">
        <f>Price!O55/'Price D Coupon'!O$5</f>
        <v>4.9735258049999995</v>
      </c>
      <c r="P55" s="10">
        <f>Price!P55/'Price D Coupon'!P$5</f>
        <v>4.6006957777777773</v>
      </c>
      <c r="Q55" s="10">
        <f>Price!Q55/'Price D Coupon'!Q$5</f>
        <v>4.3399317560000004</v>
      </c>
      <c r="R55" s="10">
        <f>Price!R55/'Price D Coupon'!R$5</f>
        <v>4.5946180549999998</v>
      </c>
      <c r="S55" s="10">
        <f>Price!S55/'Price D Coupon'!S$5</f>
        <v>4.2743068888888889</v>
      </c>
      <c r="T55" s="10">
        <f>Price!T55/'Price D Coupon'!T$5</f>
        <v>4.1336817559999997</v>
      </c>
      <c r="U55" s="10">
        <f>Price!U55/'Price D Coupon'!U$5</f>
        <v>3.7714646472727269</v>
      </c>
      <c r="V55" s="10">
        <f>Price!V55/'Price D Coupon'!V$5</f>
        <v>3.7508690549999995</v>
      </c>
      <c r="W55" s="10">
        <f>Price!W55/'Price D Coupon'!W$5</f>
        <v>3.7935372476923073</v>
      </c>
      <c r="X55" s="10"/>
      <c r="Y55" s="10"/>
      <c r="Z55" s="10"/>
      <c r="AA55" s="20">
        <v>20.308622809999996</v>
      </c>
      <c r="AC55" s="38">
        <v>42062</v>
      </c>
      <c r="AD55" s="35">
        <f>VLOOKUP(AC55,CurrentCoupon!$B$4:$C$1468,2,0)</f>
        <v>2.7365985708724101</v>
      </c>
      <c r="AE55">
        <f>IF(AD55&lt;$G$5,G55,(H55-G55)/0.5*(AD55-$G$5)+G55)</f>
        <v>6.5815992233333338</v>
      </c>
      <c r="AG55" s="6">
        <v>42062</v>
      </c>
      <c r="AH55" s="42">
        <v>0.14765300138789611</v>
      </c>
      <c r="AI55" s="42">
        <v>0.10210331227661668</v>
      </c>
      <c r="AJ55" s="42">
        <v>9.2170980954587881E-2</v>
      </c>
      <c r="AK55" s="42">
        <v>0.13465479303821315</v>
      </c>
      <c r="AL55" s="42">
        <v>0.16389333124786321</v>
      </c>
      <c r="AM55" s="42">
        <v>4.3127725167335165E-2</v>
      </c>
      <c r="AN55" s="42">
        <v>4.4865756501597839E-2</v>
      </c>
      <c r="AO55" s="42">
        <v>1.1178398674028554E-2</v>
      </c>
      <c r="AP55" s="42">
        <v>4.9492497071774243E-2</v>
      </c>
      <c r="AQ55" s="42">
        <v>4.2362048893898059E-2</v>
      </c>
      <c r="AR55" s="42">
        <v>2.2522097806140357E-2</v>
      </c>
      <c r="AS55" s="42">
        <v>3.4505449139575317E-2</v>
      </c>
      <c r="AT55" s="42">
        <v>6.8507644664020623E-2</v>
      </c>
      <c r="AU55" s="42">
        <v>1.8883043028851645E-2</v>
      </c>
      <c r="AV55" s="42">
        <v>9.5794762307597307E-3</v>
      </c>
      <c r="AW55" s="42">
        <v>5.4880753604206883E-3</v>
      </c>
      <c r="AX55" s="42">
        <v>9.0123685564205257E-3</v>
      </c>
      <c r="AY55" s="51"/>
      <c r="AZ55" s="52"/>
      <c r="BA55" s="53"/>
      <c r="BB55" s="54">
        <v>0.99999999999999989</v>
      </c>
      <c r="BD55" s="5">
        <v>42034</v>
      </c>
      <c r="BE55" s="56">
        <v>-0.18730149031261209</v>
      </c>
    </row>
    <row r="56" spans="6:57" x14ac:dyDescent="0.2">
      <c r="F56" s="6">
        <v>42094</v>
      </c>
      <c r="G56" s="10">
        <f>Price!G56/'Price D Coupon'!G$5</f>
        <v>6.4225714433333332</v>
      </c>
      <c r="H56" s="10">
        <f>Price!H56/'Price D Coupon'!H$5</f>
        <v>5.5483152057142862</v>
      </c>
      <c r="I56" s="10">
        <f>Price!I56/'Price D Coupon'!I$5</f>
        <v>4.4551230275</v>
      </c>
      <c r="J56" s="10">
        <f>Price!J56/'Price D Coupon'!J$5</f>
        <v>6.3756944433333338</v>
      </c>
      <c r="K56" s="10">
        <f>Price!K56/'Price D Coupon'!K$5</f>
        <v>5.6777777771428575</v>
      </c>
      <c r="L56" s="10">
        <f>Price!L56/'Price D Coupon'!L$5</f>
        <v>4.9277777775000002</v>
      </c>
      <c r="M56" s="10">
        <f>Price!M56/'Price D Coupon'!M$5</f>
        <v>4.6951402222222223</v>
      </c>
      <c r="N56" s="10">
        <f>Price!N56/'Price D Coupon'!N$5</f>
        <v>5.2313492057142863</v>
      </c>
      <c r="O56" s="10">
        <f>Price!O56/'Price D Coupon'!O$5</f>
        <v>4.8066855275</v>
      </c>
      <c r="P56" s="10">
        <f>Price!P56/'Price D Coupon'!P$5</f>
        <v>4.4659735555555553</v>
      </c>
      <c r="Q56" s="10">
        <f>Price!Q56/'Price D Coupon'!Q$5</f>
        <v>4.2434039779999999</v>
      </c>
      <c r="R56" s="10">
        <f>Price!R56/'Price D Coupon'!R$5</f>
        <v>4.4316855275</v>
      </c>
      <c r="S56" s="10">
        <f>Price!S56/'Price D Coupon'!S$5</f>
        <v>4.1500000000000004</v>
      </c>
      <c r="T56" s="10">
        <f>Price!T56/'Price D Coupon'!T$5</f>
        <v>4.0527777780000003</v>
      </c>
      <c r="U56" s="10">
        <f>Price!U56/'Price D Coupon'!U$5</f>
        <v>3.9306197781818182</v>
      </c>
      <c r="V56" s="10">
        <f>Price!V56/'Price D Coupon'!V$5</f>
        <v>3.9772579449999999</v>
      </c>
      <c r="W56" s="10">
        <f>Price!W56/'Price D Coupon'!W$5</f>
        <v>3.9854700861538461</v>
      </c>
      <c r="X56" s="10"/>
      <c r="Y56" s="10"/>
      <c r="Z56" s="10"/>
      <c r="AA56" s="20">
        <v>21.308622809999999</v>
      </c>
      <c r="AC56" s="6">
        <v>42094</v>
      </c>
      <c r="AD56" s="35">
        <f>VLOOKUP(AC56,CurrentCoupon!$B$4:$C$1468,2,0)</f>
        <v>2.66103516127894</v>
      </c>
      <c r="AG56" s="6">
        <v>42094</v>
      </c>
      <c r="AH56" s="42">
        <v>0.14849147719438976</v>
      </c>
      <c r="AI56" s="42">
        <v>0.10231680856778137</v>
      </c>
      <c r="AJ56" s="42">
        <v>9.159499900416769E-2</v>
      </c>
      <c r="AK56" s="42">
        <v>0.13534429867598249</v>
      </c>
      <c r="AL56" s="42">
        <v>0.16435025148929799</v>
      </c>
      <c r="AM56" s="42">
        <v>4.3110237378890574E-2</v>
      </c>
      <c r="AN56" s="42">
        <v>4.4714080947247423E-2</v>
      </c>
      <c r="AO56" s="42">
        <v>1.1190123896183629E-2</v>
      </c>
      <c r="AP56" s="42">
        <v>4.9415117054602303E-2</v>
      </c>
      <c r="AQ56" s="42">
        <v>4.2190047704452727E-2</v>
      </c>
      <c r="AR56" s="42">
        <v>2.2388693851551955E-2</v>
      </c>
      <c r="AS56" s="42">
        <v>3.4341268049355403E-2</v>
      </c>
      <c r="AT56" s="42">
        <v>6.7955840712340121E-2</v>
      </c>
      <c r="AU56" s="42">
        <v>1.8764085212724442E-2</v>
      </c>
      <c r="AV56" s="42">
        <v>9.4829008574130527E-3</v>
      </c>
      <c r="AW56" s="42">
        <v>5.4262526405433184E-3</v>
      </c>
      <c r="AX56" s="42">
        <v>8.9235167630754668E-3</v>
      </c>
      <c r="AY56" s="51"/>
      <c r="AZ56" s="52"/>
      <c r="BA56" s="53"/>
      <c r="BB56" s="54">
        <v>0.99999999999999978</v>
      </c>
      <c r="BD56" s="6">
        <v>42062</v>
      </c>
      <c r="BE56" s="58">
        <v>0.16728926046005554</v>
      </c>
    </row>
    <row r="59" spans="6:57" ht="15" x14ac:dyDescent="0.25">
      <c r="AG59" s="67" t="s">
        <v>26</v>
      </c>
      <c r="AH59" s="68"/>
      <c r="AI59" s="68"/>
      <c r="AJ59" s="68"/>
      <c r="AK59" s="68"/>
      <c r="AL59" s="68"/>
      <c r="AM59" s="68"/>
      <c r="AN59" s="68"/>
      <c r="AO59" s="68"/>
      <c r="AP59" s="68"/>
      <c r="AQ59" s="68"/>
      <c r="AR59" s="68"/>
      <c r="AS59" s="68"/>
      <c r="AT59" s="68"/>
      <c r="AU59" s="68"/>
      <c r="AV59" s="68"/>
      <c r="AW59" s="68"/>
      <c r="AX59" s="68"/>
      <c r="AY59" s="68"/>
      <c r="AZ59" s="68"/>
      <c r="BA59" s="68"/>
      <c r="BB59" s="69"/>
    </row>
    <row r="60" spans="6:57" ht="39" x14ac:dyDescent="0.25">
      <c r="AG60" s="39" t="s">
        <v>1</v>
      </c>
      <c r="AH60" s="39" t="s">
        <v>2</v>
      </c>
      <c r="AI60" s="40" t="s">
        <v>3</v>
      </c>
      <c r="AJ60" s="40" t="s">
        <v>4</v>
      </c>
      <c r="AK60" s="40" t="s">
        <v>5</v>
      </c>
      <c r="AL60" s="40" t="s">
        <v>6</v>
      </c>
      <c r="AM60" s="40" t="s">
        <v>7</v>
      </c>
      <c r="AN60" s="40" t="s">
        <v>8</v>
      </c>
      <c r="AO60" s="40" t="s">
        <v>9</v>
      </c>
      <c r="AP60" s="40" t="s">
        <v>10</v>
      </c>
      <c r="AQ60" s="40" t="s">
        <v>11</v>
      </c>
      <c r="AR60" s="40" t="s">
        <v>12</v>
      </c>
      <c r="AS60" s="40" t="s">
        <v>13</v>
      </c>
      <c r="AT60" s="40" t="s">
        <v>14</v>
      </c>
      <c r="AU60" s="40" t="s">
        <v>15</v>
      </c>
      <c r="AV60" s="40" t="s">
        <v>16</v>
      </c>
      <c r="AW60" s="40" t="s">
        <v>17</v>
      </c>
      <c r="AX60" s="40" t="s">
        <v>18</v>
      </c>
      <c r="AY60" s="39" t="s">
        <v>19</v>
      </c>
      <c r="AZ60" s="40" t="s">
        <v>20</v>
      </c>
      <c r="BA60" s="40" t="s">
        <v>21</v>
      </c>
      <c r="BB60" s="41" t="s">
        <v>27</v>
      </c>
    </row>
    <row r="61" spans="6:57" x14ac:dyDescent="0.2">
      <c r="AG61" s="5">
        <v>40633</v>
      </c>
      <c r="AH61" s="59">
        <f>AH8*G8</f>
        <v>0</v>
      </c>
      <c r="AI61" s="59">
        <f t="shared" ref="AI61:BA74" si="1">AI8*H8</f>
        <v>0</v>
      </c>
      <c r="AJ61" s="59">
        <f t="shared" si="1"/>
        <v>0</v>
      </c>
      <c r="AK61" s="59">
        <f t="shared" si="1"/>
        <v>0</v>
      </c>
      <c r="AL61" s="59">
        <f t="shared" si="1"/>
        <v>0</v>
      </c>
      <c r="AM61" s="59">
        <f t="shared" si="1"/>
        <v>0</v>
      </c>
      <c r="AN61" s="59">
        <f t="shared" si="1"/>
        <v>0</v>
      </c>
      <c r="AO61" s="59">
        <f t="shared" si="1"/>
        <v>0.19426940743160775</v>
      </c>
      <c r="AP61" s="59">
        <f t="shared" si="1"/>
        <v>0.91289559438924583</v>
      </c>
      <c r="AQ61" s="59">
        <f t="shared" si="1"/>
        <v>0.75494034446277414</v>
      </c>
      <c r="AR61" s="59">
        <f t="shared" si="1"/>
        <v>0.32706757431121647</v>
      </c>
      <c r="AS61" s="59">
        <f t="shared" si="1"/>
        <v>0.78309191439817027</v>
      </c>
      <c r="AT61" s="59">
        <f t="shared" si="1"/>
        <v>1.5662942466816236</v>
      </c>
      <c r="AU61" s="59">
        <f t="shared" si="1"/>
        <v>0.3209251468092636</v>
      </c>
      <c r="AV61" s="59">
        <f t="shared" si="1"/>
        <v>0.26256775407087318</v>
      </c>
      <c r="AW61" s="59">
        <f t="shared" si="1"/>
        <v>0.1237934793289539</v>
      </c>
      <c r="AX61" s="59">
        <f t="shared" si="1"/>
        <v>0.15815760300404103</v>
      </c>
      <c r="AY61" s="59"/>
      <c r="AZ61" s="59"/>
      <c r="BA61" s="59"/>
      <c r="BB61" s="60">
        <f>SUM(AH61:AX61)</f>
        <v>5.4040030648877693</v>
      </c>
    </row>
    <row r="62" spans="6:57" x14ac:dyDescent="0.2">
      <c r="AG62" s="5">
        <v>40662</v>
      </c>
      <c r="AH62" s="59">
        <f t="shared" ref="AH62:AH108" si="2">AH9*G9</f>
        <v>0</v>
      </c>
      <c r="AI62" s="59">
        <f t="shared" si="1"/>
        <v>0</v>
      </c>
      <c r="AJ62" s="59">
        <f t="shared" si="1"/>
        <v>0</v>
      </c>
      <c r="AK62" s="59">
        <f t="shared" si="1"/>
        <v>0</v>
      </c>
      <c r="AL62" s="59">
        <f t="shared" si="1"/>
        <v>0</v>
      </c>
      <c r="AM62" s="59">
        <f t="shared" si="1"/>
        <v>0</v>
      </c>
      <c r="AN62" s="59">
        <f t="shared" si="1"/>
        <v>0</v>
      </c>
      <c r="AO62" s="59">
        <f t="shared" si="1"/>
        <v>0.19655332428244604</v>
      </c>
      <c r="AP62" s="59">
        <f t="shared" si="1"/>
        <v>0.92813469969945039</v>
      </c>
      <c r="AQ62" s="59">
        <f t="shared" si="1"/>
        <v>0.76309871720791389</v>
      </c>
      <c r="AR62" s="59">
        <f t="shared" si="1"/>
        <v>0.33478405057425553</v>
      </c>
      <c r="AS62" s="59">
        <f t="shared" si="1"/>
        <v>0.7912811799947278</v>
      </c>
      <c r="AT62" s="59">
        <f t="shared" si="1"/>
        <v>1.584653672985201</v>
      </c>
      <c r="AU62" s="59">
        <f t="shared" si="1"/>
        <v>0.33111522873141552</v>
      </c>
      <c r="AV62" s="59">
        <f t="shared" si="1"/>
        <v>0.26206981195680296</v>
      </c>
      <c r="AW62" s="59">
        <f t="shared" si="1"/>
        <v>0.1225632783619916</v>
      </c>
      <c r="AX62" s="59">
        <f t="shared" si="1"/>
        <v>0.15702832838189112</v>
      </c>
      <c r="AY62" s="59"/>
      <c r="AZ62" s="59"/>
      <c r="BA62" s="59"/>
      <c r="BB62" s="60">
        <f t="shared" ref="BB62:BB109" si="3">SUM(AH62:AX62)</f>
        <v>5.4712822921760953</v>
      </c>
    </row>
    <row r="63" spans="6:57" x14ac:dyDescent="0.2">
      <c r="AG63" s="5">
        <v>40694</v>
      </c>
      <c r="AH63" s="59">
        <f t="shared" si="2"/>
        <v>0</v>
      </c>
      <c r="AI63" s="59">
        <f t="shared" si="1"/>
        <v>0</v>
      </c>
      <c r="AJ63" s="59">
        <f t="shared" si="1"/>
        <v>0</v>
      </c>
      <c r="AK63" s="59">
        <f t="shared" si="1"/>
        <v>0</v>
      </c>
      <c r="AL63" s="59">
        <f t="shared" si="1"/>
        <v>0</v>
      </c>
      <c r="AM63" s="59">
        <f t="shared" si="1"/>
        <v>0</v>
      </c>
      <c r="AN63" s="59">
        <f t="shared" si="1"/>
        <v>0</v>
      </c>
      <c r="AO63" s="59">
        <f t="shared" si="1"/>
        <v>0.20173043627035467</v>
      </c>
      <c r="AP63" s="59">
        <f t="shared" si="1"/>
        <v>0.94642976844309334</v>
      </c>
      <c r="AQ63" s="59">
        <f t="shared" si="1"/>
        <v>0.77192943110337431</v>
      </c>
      <c r="AR63" s="59">
        <f t="shared" si="1"/>
        <v>0.33685514710436765</v>
      </c>
      <c r="AS63" s="59">
        <f t="shared" si="1"/>
        <v>0.80442181530395451</v>
      </c>
      <c r="AT63" s="59">
        <f t="shared" si="1"/>
        <v>1.5785639500324939</v>
      </c>
      <c r="AU63" s="59">
        <f t="shared" si="1"/>
        <v>0.32568320423590924</v>
      </c>
      <c r="AV63" s="59">
        <f t="shared" si="1"/>
        <v>0.24980441728745881</v>
      </c>
      <c r="AW63" s="59">
        <f t="shared" si="1"/>
        <v>0.1208779798913653</v>
      </c>
      <c r="AX63" s="59">
        <f t="shared" si="1"/>
        <v>0.1591412916805017</v>
      </c>
      <c r="AY63" s="59"/>
      <c r="AZ63" s="59"/>
      <c r="BA63" s="59"/>
      <c r="BB63" s="60">
        <f t="shared" si="3"/>
        <v>5.4954374413528742</v>
      </c>
    </row>
    <row r="64" spans="6:57" x14ac:dyDescent="0.2">
      <c r="AG64" s="5">
        <v>40724</v>
      </c>
      <c r="AH64" s="59">
        <f t="shared" si="2"/>
        <v>0</v>
      </c>
      <c r="AI64" s="59">
        <f t="shared" si="1"/>
        <v>0</v>
      </c>
      <c r="AJ64" s="59">
        <f t="shared" si="1"/>
        <v>0</v>
      </c>
      <c r="AK64" s="59">
        <f t="shared" si="1"/>
        <v>0</v>
      </c>
      <c r="AL64" s="59">
        <f t="shared" si="1"/>
        <v>0</v>
      </c>
      <c r="AM64" s="59">
        <f t="shared" si="1"/>
        <v>0</v>
      </c>
      <c r="AN64" s="59">
        <f t="shared" si="1"/>
        <v>0</v>
      </c>
      <c r="AO64" s="59">
        <f t="shared" si="1"/>
        <v>0.20465914794087278</v>
      </c>
      <c r="AP64" s="59">
        <f t="shared" si="1"/>
        <v>0.9608942671920242</v>
      </c>
      <c r="AQ64" s="59">
        <f t="shared" si="1"/>
        <v>0.7858628557659042</v>
      </c>
      <c r="AR64" s="59">
        <f t="shared" si="1"/>
        <v>0.3466658316214361</v>
      </c>
      <c r="AS64" s="59">
        <f t="shared" si="1"/>
        <v>0.80487731940629292</v>
      </c>
      <c r="AT64" s="59">
        <f t="shared" si="1"/>
        <v>1.5816760892888277</v>
      </c>
      <c r="AU64" s="59">
        <f t="shared" si="1"/>
        <v>0.3299343436781681</v>
      </c>
      <c r="AV64" s="59">
        <f t="shared" si="1"/>
        <v>0.24708249753488598</v>
      </c>
      <c r="AW64" s="59">
        <f t="shared" si="1"/>
        <v>0.12073747052144346</v>
      </c>
      <c r="AX64" s="59">
        <f t="shared" si="1"/>
        <v>0.15917741534936228</v>
      </c>
      <c r="AY64" s="59"/>
      <c r="AZ64" s="59"/>
      <c r="BA64" s="59"/>
      <c r="BB64" s="60">
        <f t="shared" si="3"/>
        <v>5.5415672382992183</v>
      </c>
    </row>
    <row r="65" spans="33:54" x14ac:dyDescent="0.2">
      <c r="AG65" s="5">
        <v>40753</v>
      </c>
      <c r="AH65" s="59">
        <f t="shared" si="2"/>
        <v>0</v>
      </c>
      <c r="AI65" s="59">
        <f t="shared" si="1"/>
        <v>0</v>
      </c>
      <c r="AJ65" s="59">
        <f t="shared" si="1"/>
        <v>0</v>
      </c>
      <c r="AK65" s="59">
        <f t="shared" si="1"/>
        <v>0</v>
      </c>
      <c r="AL65" s="59">
        <f t="shared" si="1"/>
        <v>0</v>
      </c>
      <c r="AM65" s="59">
        <f t="shared" si="1"/>
        <v>0</v>
      </c>
      <c r="AN65" s="59">
        <f t="shared" si="1"/>
        <v>0</v>
      </c>
      <c r="AO65" s="59">
        <f t="shared" si="1"/>
        <v>0.20001887336827151</v>
      </c>
      <c r="AP65" s="59">
        <f t="shared" si="1"/>
        <v>0.92397020022286858</v>
      </c>
      <c r="AQ65" s="59">
        <f t="shared" si="1"/>
        <v>0.73449703779419984</v>
      </c>
      <c r="AR65" s="59">
        <f t="shared" si="1"/>
        <v>0.32268814379984673</v>
      </c>
      <c r="AS65" s="59">
        <f t="shared" si="1"/>
        <v>0.76466881886098903</v>
      </c>
      <c r="AT65" s="59">
        <f t="shared" si="1"/>
        <v>1.46083415691369</v>
      </c>
      <c r="AU65" s="59">
        <f t="shared" si="1"/>
        <v>0.30230813318830929</v>
      </c>
      <c r="AV65" s="59">
        <f t="shared" si="1"/>
        <v>0.23241269197830272</v>
      </c>
      <c r="AW65" s="59">
        <f t="shared" si="1"/>
        <v>0.11407613926176907</v>
      </c>
      <c r="AX65" s="59">
        <f t="shared" si="1"/>
        <v>0.15254069805597825</v>
      </c>
      <c r="AY65" s="59"/>
      <c r="AZ65" s="59"/>
      <c r="BA65" s="59"/>
      <c r="BB65" s="60">
        <f t="shared" si="3"/>
        <v>5.2080148934442247</v>
      </c>
    </row>
    <row r="66" spans="33:54" x14ac:dyDescent="0.2">
      <c r="AG66" s="5">
        <v>40786</v>
      </c>
      <c r="AH66" s="59">
        <f t="shared" si="2"/>
        <v>0</v>
      </c>
      <c r="AI66" s="59">
        <f t="shared" si="1"/>
        <v>0</v>
      </c>
      <c r="AJ66" s="59">
        <f t="shared" si="1"/>
        <v>0</v>
      </c>
      <c r="AK66" s="59">
        <f t="shared" si="1"/>
        <v>0</v>
      </c>
      <c r="AL66" s="59">
        <f t="shared" si="1"/>
        <v>0</v>
      </c>
      <c r="AM66" s="59">
        <f t="shared" si="1"/>
        <v>0</v>
      </c>
      <c r="AN66" s="59">
        <f t="shared" si="1"/>
        <v>0</v>
      </c>
      <c r="AO66" s="59">
        <f t="shared" si="1"/>
        <v>0.17817213982137964</v>
      </c>
      <c r="AP66" s="59">
        <f t="shared" si="1"/>
        <v>0.76844345821132121</v>
      </c>
      <c r="AQ66" s="59">
        <f t="shared" si="1"/>
        <v>0.54551704980004512</v>
      </c>
      <c r="AR66" s="59">
        <f t="shared" si="1"/>
        <v>0.24930881846916392</v>
      </c>
      <c r="AS66" s="59">
        <f t="shared" si="1"/>
        <v>0.63620853000024635</v>
      </c>
      <c r="AT66" s="59">
        <f t="shared" si="1"/>
        <v>1.0860161902304808</v>
      </c>
      <c r="AU66" s="59">
        <f t="shared" si="1"/>
        <v>0.22973416939335092</v>
      </c>
      <c r="AV66" s="59">
        <f t="shared" si="1"/>
        <v>0.19049838926268003</v>
      </c>
      <c r="AW66" s="59">
        <f t="shared" si="1"/>
        <v>9.8132881599576297E-2</v>
      </c>
      <c r="AX66" s="59">
        <f t="shared" si="1"/>
        <v>0.1379401350559252</v>
      </c>
      <c r="AY66" s="59"/>
      <c r="AZ66" s="59"/>
      <c r="BA66" s="59"/>
      <c r="BB66" s="60">
        <f t="shared" si="3"/>
        <v>4.1199717618441696</v>
      </c>
    </row>
    <row r="67" spans="33:54" x14ac:dyDescent="0.2">
      <c r="AG67" s="5">
        <v>40816</v>
      </c>
      <c r="AH67" s="59">
        <f t="shared" si="2"/>
        <v>0</v>
      </c>
      <c r="AI67" s="59">
        <f t="shared" si="1"/>
        <v>0</v>
      </c>
      <c r="AJ67" s="59">
        <f t="shared" si="1"/>
        <v>0</v>
      </c>
      <c r="AK67" s="59">
        <f t="shared" si="1"/>
        <v>0</v>
      </c>
      <c r="AL67" s="59">
        <f t="shared" si="1"/>
        <v>0</v>
      </c>
      <c r="AM67" s="59">
        <f t="shared" si="1"/>
        <v>0</v>
      </c>
      <c r="AN67" s="59">
        <f t="shared" si="1"/>
        <v>0</v>
      </c>
      <c r="AO67" s="59">
        <f t="shared" si="1"/>
        <v>0.14997670482920095</v>
      </c>
      <c r="AP67" s="59">
        <f t="shared" si="1"/>
        <v>0.61502039608772185</v>
      </c>
      <c r="AQ67" s="59">
        <f t="shared" si="1"/>
        <v>0.44768096413103609</v>
      </c>
      <c r="AR67" s="59">
        <f t="shared" si="1"/>
        <v>0.21276931304226923</v>
      </c>
      <c r="AS67" s="59">
        <f t="shared" si="1"/>
        <v>0.49291713033037454</v>
      </c>
      <c r="AT67" s="59">
        <f t="shared" si="1"/>
        <v>0.85610382048690825</v>
      </c>
      <c r="AU67" s="59">
        <f t="shared" si="1"/>
        <v>0.18864545417123971</v>
      </c>
      <c r="AV67" s="59">
        <f t="shared" si="1"/>
        <v>0.15310080581040911</v>
      </c>
      <c r="AW67" s="59">
        <f t="shared" si="1"/>
        <v>8.1716343138592495E-2</v>
      </c>
      <c r="AX67" s="59">
        <f t="shared" si="1"/>
        <v>0.11944067784408073</v>
      </c>
      <c r="AY67" s="59"/>
      <c r="AZ67" s="59"/>
      <c r="BA67" s="59"/>
      <c r="BB67" s="60">
        <f t="shared" si="3"/>
        <v>3.3173716098718331</v>
      </c>
    </row>
    <row r="68" spans="33:54" x14ac:dyDescent="0.2">
      <c r="AG68" s="5">
        <v>40847</v>
      </c>
      <c r="AH68" s="59">
        <f t="shared" si="2"/>
        <v>0</v>
      </c>
      <c r="AI68" s="59">
        <f t="shared" si="1"/>
        <v>0</v>
      </c>
      <c r="AJ68" s="59">
        <f t="shared" si="1"/>
        <v>0</v>
      </c>
      <c r="AK68" s="59">
        <f t="shared" si="1"/>
        <v>0</v>
      </c>
      <c r="AL68" s="59">
        <f t="shared" si="1"/>
        <v>0</v>
      </c>
      <c r="AM68" s="59">
        <f t="shared" si="1"/>
        <v>0</v>
      </c>
      <c r="AN68" s="59">
        <f t="shared" si="1"/>
        <v>0</v>
      </c>
      <c r="AO68" s="59">
        <f t="shared" si="1"/>
        <v>0.14860666399010908</v>
      </c>
      <c r="AP68" s="59">
        <f t="shared" si="1"/>
        <v>0.61055134197080141</v>
      </c>
      <c r="AQ68" s="59">
        <f t="shared" si="1"/>
        <v>0.48456655925999453</v>
      </c>
      <c r="AR68" s="59">
        <f t="shared" si="1"/>
        <v>0.24636454292608673</v>
      </c>
      <c r="AS68" s="59">
        <f t="shared" si="1"/>
        <v>0.50570658065986629</v>
      </c>
      <c r="AT68" s="59">
        <f t="shared" si="1"/>
        <v>0.90853739191010208</v>
      </c>
      <c r="AU68" s="59">
        <f t="shared" si="1"/>
        <v>0.22369316494209765</v>
      </c>
      <c r="AV68" s="59">
        <f t="shared" si="1"/>
        <v>0.15021306017286329</v>
      </c>
      <c r="AW68" s="59">
        <f t="shared" si="1"/>
        <v>7.9328490092501508E-2</v>
      </c>
      <c r="AX68" s="59">
        <f t="shared" si="1"/>
        <v>0.11451005139508386</v>
      </c>
      <c r="AY68" s="59"/>
      <c r="AZ68" s="59"/>
      <c r="BA68" s="59"/>
      <c r="BB68" s="60">
        <f t="shared" si="3"/>
        <v>3.4720778473195062</v>
      </c>
    </row>
    <row r="69" spans="33:54" x14ac:dyDescent="0.2">
      <c r="AG69" s="5">
        <v>40877</v>
      </c>
      <c r="AH69" s="59">
        <f t="shared" si="2"/>
        <v>0</v>
      </c>
      <c r="AI69" s="59">
        <f t="shared" si="1"/>
        <v>0</v>
      </c>
      <c r="AJ69" s="59">
        <f t="shared" si="1"/>
        <v>0</v>
      </c>
      <c r="AK69" s="59">
        <f t="shared" si="1"/>
        <v>0</v>
      </c>
      <c r="AL69" s="59">
        <f t="shared" si="1"/>
        <v>0</v>
      </c>
      <c r="AM69" s="59">
        <f t="shared" si="1"/>
        <v>0</v>
      </c>
      <c r="AN69" s="59">
        <f t="shared" si="1"/>
        <v>0</v>
      </c>
      <c r="AO69" s="59">
        <f t="shared" si="1"/>
        <v>0.14710392502833058</v>
      </c>
      <c r="AP69" s="59">
        <f t="shared" si="1"/>
        <v>0.59530649993966023</v>
      </c>
      <c r="AQ69" s="59">
        <f t="shared" si="1"/>
        <v>0.49655375765760706</v>
      </c>
      <c r="AR69" s="59">
        <f t="shared" si="1"/>
        <v>0.25640086300930792</v>
      </c>
      <c r="AS69" s="59">
        <f t="shared" si="1"/>
        <v>0.47421658388517574</v>
      </c>
      <c r="AT69" s="59">
        <f t="shared" si="1"/>
        <v>0.88451046470770955</v>
      </c>
      <c r="AU69" s="59">
        <f t="shared" si="1"/>
        <v>0.2282440279186497</v>
      </c>
      <c r="AV69" s="59">
        <f t="shared" si="1"/>
        <v>0.1568060720737722</v>
      </c>
      <c r="AW69" s="59">
        <f t="shared" si="1"/>
        <v>8.4837956805826675E-2</v>
      </c>
      <c r="AX69" s="59">
        <f t="shared" si="1"/>
        <v>0.12071413565568391</v>
      </c>
      <c r="AY69" s="59"/>
      <c r="AZ69" s="59"/>
      <c r="BA69" s="59"/>
      <c r="BB69" s="60">
        <f t="shared" si="3"/>
        <v>3.4446942866817243</v>
      </c>
    </row>
    <row r="70" spans="33:54" x14ac:dyDescent="0.2">
      <c r="AG70" s="5">
        <v>40907</v>
      </c>
      <c r="AH70" s="59">
        <f t="shared" si="2"/>
        <v>0</v>
      </c>
      <c r="AI70" s="59">
        <f t="shared" si="1"/>
        <v>0</v>
      </c>
      <c r="AJ70" s="59">
        <f t="shared" si="1"/>
        <v>0</v>
      </c>
      <c r="AK70" s="59">
        <f t="shared" si="1"/>
        <v>0</v>
      </c>
      <c r="AL70" s="59">
        <f t="shared" si="1"/>
        <v>0</v>
      </c>
      <c r="AM70" s="59">
        <f t="shared" si="1"/>
        <v>0</v>
      </c>
      <c r="AN70" s="59">
        <f t="shared" si="1"/>
        <v>0</v>
      </c>
      <c r="AO70" s="59">
        <f t="shared" si="1"/>
        <v>0.1450043216586426</v>
      </c>
      <c r="AP70" s="59">
        <f t="shared" si="1"/>
        <v>0.58320458274985054</v>
      </c>
      <c r="AQ70" s="59">
        <f t="shared" si="1"/>
        <v>0.49786382214119995</v>
      </c>
      <c r="AR70" s="59">
        <f t="shared" si="1"/>
        <v>0.25773922384467735</v>
      </c>
      <c r="AS70" s="59">
        <f t="shared" si="1"/>
        <v>0.45086981232511575</v>
      </c>
      <c r="AT70" s="59">
        <f t="shared" si="1"/>
        <v>0.85963016835478667</v>
      </c>
      <c r="AU70" s="59">
        <f t="shared" si="1"/>
        <v>0.22285396678314423</v>
      </c>
      <c r="AV70" s="59">
        <f t="shared" si="1"/>
        <v>0.14770476434905891</v>
      </c>
      <c r="AW70" s="59">
        <f t="shared" si="1"/>
        <v>8.2378302555954325E-2</v>
      </c>
      <c r="AX70" s="59">
        <f t="shared" si="1"/>
        <v>0.11870994573502772</v>
      </c>
      <c r="AY70" s="59"/>
      <c r="AZ70" s="59"/>
      <c r="BA70" s="59"/>
      <c r="BB70" s="60">
        <f t="shared" si="3"/>
        <v>3.3659589104974583</v>
      </c>
    </row>
    <row r="71" spans="33:54" x14ac:dyDescent="0.2">
      <c r="AG71" s="5">
        <v>40939</v>
      </c>
      <c r="AH71" s="59">
        <f t="shared" si="2"/>
        <v>0</v>
      </c>
      <c r="AI71" s="59">
        <f t="shared" si="1"/>
        <v>0</v>
      </c>
      <c r="AJ71" s="59">
        <f t="shared" si="1"/>
        <v>0</v>
      </c>
      <c r="AK71" s="59">
        <f t="shared" si="1"/>
        <v>0</v>
      </c>
      <c r="AL71" s="59">
        <f t="shared" si="1"/>
        <v>0</v>
      </c>
      <c r="AM71" s="59">
        <f t="shared" si="1"/>
        <v>0</v>
      </c>
      <c r="AN71" s="59">
        <f t="shared" si="1"/>
        <v>0</v>
      </c>
      <c r="AO71" s="59">
        <f t="shared" si="1"/>
        <v>0.13739045484361589</v>
      </c>
      <c r="AP71" s="59">
        <f t="shared" si="1"/>
        <v>0.53729833402507354</v>
      </c>
      <c r="AQ71" s="59">
        <f t="shared" si="1"/>
        <v>0.45519550529008324</v>
      </c>
      <c r="AR71" s="59">
        <f t="shared" si="1"/>
        <v>0.23550551018571933</v>
      </c>
      <c r="AS71" s="59">
        <f t="shared" si="1"/>
        <v>0.39626079388311686</v>
      </c>
      <c r="AT71" s="59">
        <f t="shared" si="1"/>
        <v>0.76655847972053281</v>
      </c>
      <c r="AU71" s="59">
        <f t="shared" si="1"/>
        <v>0.19926243626042373</v>
      </c>
      <c r="AV71" s="59">
        <f t="shared" si="1"/>
        <v>0.14304776762561006</v>
      </c>
      <c r="AW71" s="59">
        <f t="shared" si="1"/>
        <v>7.8749440999215811E-2</v>
      </c>
      <c r="AX71" s="59">
        <f t="shared" si="1"/>
        <v>0.11611248014418632</v>
      </c>
      <c r="AY71" s="59"/>
      <c r="AZ71" s="59"/>
      <c r="BA71" s="59"/>
      <c r="BB71" s="60">
        <f t="shared" si="3"/>
        <v>3.0653812029775778</v>
      </c>
    </row>
    <row r="72" spans="33:54" x14ac:dyDescent="0.2">
      <c r="AG72" s="5">
        <v>40968</v>
      </c>
      <c r="AH72" s="59">
        <f t="shared" si="2"/>
        <v>0</v>
      </c>
      <c r="AI72" s="59">
        <f t="shared" si="1"/>
        <v>0</v>
      </c>
      <c r="AJ72" s="59">
        <f t="shared" si="1"/>
        <v>0</v>
      </c>
      <c r="AK72" s="59">
        <f t="shared" si="1"/>
        <v>0</v>
      </c>
      <c r="AL72" s="59">
        <f t="shared" si="1"/>
        <v>0</v>
      </c>
      <c r="AM72" s="59">
        <f t="shared" si="1"/>
        <v>0</v>
      </c>
      <c r="AN72" s="59">
        <f t="shared" si="1"/>
        <v>0</v>
      </c>
      <c r="AO72" s="59">
        <f t="shared" si="1"/>
        <v>0.15546898783324126</v>
      </c>
      <c r="AP72" s="59">
        <f t="shared" si="1"/>
        <v>0.62706689664988213</v>
      </c>
      <c r="AQ72" s="59">
        <f t="shared" si="1"/>
        <v>0.51609761857956393</v>
      </c>
      <c r="AR72" s="59">
        <f t="shared" si="1"/>
        <v>0.26138420084205533</v>
      </c>
      <c r="AS72" s="59">
        <f t="shared" si="1"/>
        <v>0.44883611824343195</v>
      </c>
      <c r="AT72" s="59">
        <f t="shared" si="1"/>
        <v>0.86042462876318115</v>
      </c>
      <c r="AU72" s="59">
        <f t="shared" si="1"/>
        <v>0.21953220398419168</v>
      </c>
      <c r="AV72" s="59">
        <f t="shared" si="1"/>
        <v>0.15246058536469598</v>
      </c>
      <c r="AW72" s="59">
        <f t="shared" si="1"/>
        <v>8.4964858830242393E-2</v>
      </c>
      <c r="AX72" s="59">
        <f t="shared" si="1"/>
        <v>0.1229193383744019</v>
      </c>
      <c r="AY72" s="59"/>
      <c r="AZ72" s="59"/>
      <c r="BA72" s="59"/>
      <c r="BB72" s="60">
        <f t="shared" si="3"/>
        <v>3.4491554374648876</v>
      </c>
    </row>
    <row r="73" spans="33:54" x14ac:dyDescent="0.2">
      <c r="AG73" s="5">
        <v>40998</v>
      </c>
      <c r="AH73" s="59">
        <f t="shared" si="2"/>
        <v>0</v>
      </c>
      <c r="AI73" s="59">
        <f t="shared" si="1"/>
        <v>0</v>
      </c>
      <c r="AJ73" s="59">
        <f t="shared" si="1"/>
        <v>0</v>
      </c>
      <c r="AK73" s="59">
        <f t="shared" si="1"/>
        <v>0</v>
      </c>
      <c r="AL73" s="59">
        <f t="shared" si="1"/>
        <v>0</v>
      </c>
      <c r="AM73" s="59">
        <f t="shared" si="1"/>
        <v>0.48559358705553607</v>
      </c>
      <c r="AN73" s="59">
        <f t="shared" si="1"/>
        <v>0.46365863619983044</v>
      </c>
      <c r="AO73" s="59">
        <f t="shared" si="1"/>
        <v>0.13891365804622596</v>
      </c>
      <c r="AP73" s="59">
        <f t="shared" si="1"/>
        <v>0.56706923690980671</v>
      </c>
      <c r="AQ73" s="59">
        <f t="shared" si="1"/>
        <v>0.45547291739873613</v>
      </c>
      <c r="AR73" s="59">
        <f t="shared" si="1"/>
        <v>0.22921374611615986</v>
      </c>
      <c r="AS73" s="59">
        <f t="shared" si="1"/>
        <v>0.41568935724034961</v>
      </c>
      <c r="AT73" s="59">
        <f t="shared" si="1"/>
        <v>0.76636162125215124</v>
      </c>
      <c r="AU73" s="59">
        <f t="shared" si="1"/>
        <v>0.19636959571140788</v>
      </c>
      <c r="AV73" s="59">
        <f t="shared" si="1"/>
        <v>0.12816745536260249</v>
      </c>
      <c r="AW73" s="59">
        <f t="shared" si="1"/>
        <v>7.1819657109059201E-2</v>
      </c>
      <c r="AX73" s="59">
        <f t="shared" si="1"/>
        <v>0.10365559731820778</v>
      </c>
      <c r="AY73" s="59"/>
      <c r="AZ73" s="59"/>
      <c r="BA73" s="59"/>
      <c r="BB73" s="60">
        <f t="shared" si="3"/>
        <v>4.0219850657200737</v>
      </c>
    </row>
    <row r="74" spans="33:54" x14ac:dyDescent="0.2">
      <c r="AG74" s="5">
        <v>41029</v>
      </c>
      <c r="AH74" s="59">
        <f t="shared" si="2"/>
        <v>0</v>
      </c>
      <c r="AI74" s="59">
        <f t="shared" si="1"/>
        <v>0</v>
      </c>
      <c r="AJ74" s="59">
        <f t="shared" si="1"/>
        <v>0</v>
      </c>
      <c r="AK74" s="59">
        <f t="shared" si="1"/>
        <v>0</v>
      </c>
      <c r="AL74" s="59">
        <f t="shared" si="1"/>
        <v>0</v>
      </c>
      <c r="AM74" s="59">
        <f t="shared" si="1"/>
        <v>0.45888450680375503</v>
      </c>
      <c r="AN74" s="59">
        <f t="shared" si="1"/>
        <v>0.43711680936586494</v>
      </c>
      <c r="AO74" s="59">
        <f t="shared" si="1"/>
        <v>0.13072890511357829</v>
      </c>
      <c r="AP74" s="59">
        <f t="shared" si="1"/>
        <v>0.53038655008721958</v>
      </c>
      <c r="AQ74" s="59">
        <f t="shared" ref="AQ74:AQ108" si="4">AQ21*P21</f>
        <v>0.42285974305164831</v>
      </c>
      <c r="AR74" s="59">
        <f t="shared" ref="AR74:AR108" si="5">AR21*Q21</f>
        <v>0.22342141483295808</v>
      </c>
      <c r="AS74" s="59">
        <f t="shared" ref="AS74:AS108" si="6">AS21*R21</f>
        <v>0.38174843697376709</v>
      </c>
      <c r="AT74" s="59">
        <f t="shared" ref="AT74:AT108" si="7">AT21*S21</f>
        <v>0.69736986561405467</v>
      </c>
      <c r="AU74" s="59">
        <f t="shared" ref="AU74:AU108" si="8">AU21*T21</f>
        <v>0.18957402225137662</v>
      </c>
      <c r="AV74" s="59">
        <f t="shared" ref="AV74:AV108" si="9">AV21*U21</f>
        <v>0.12175298615335174</v>
      </c>
      <c r="AW74" s="59">
        <f t="shared" ref="AW74:AW108" si="10">AW21*V21</f>
        <v>6.8603503924835399E-2</v>
      </c>
      <c r="AX74" s="59">
        <f t="shared" ref="AX74:AX108" si="11">AX21*W21</f>
        <v>0.10689813652713269</v>
      </c>
      <c r="AY74" s="59"/>
      <c r="AZ74" s="59"/>
      <c r="BA74" s="59"/>
      <c r="BB74" s="60">
        <f t="shared" si="3"/>
        <v>3.7693448806995429</v>
      </c>
    </row>
    <row r="75" spans="33:54" x14ac:dyDescent="0.2">
      <c r="AG75" s="5">
        <v>41060</v>
      </c>
      <c r="AH75" s="59">
        <f t="shared" si="2"/>
        <v>0</v>
      </c>
      <c r="AI75" s="59">
        <f t="shared" ref="AI75:AI108" si="12">AI22*H22</f>
        <v>0</v>
      </c>
      <c r="AJ75" s="59">
        <f t="shared" ref="AJ75:AJ108" si="13">AJ22*I22</f>
        <v>0</v>
      </c>
      <c r="AK75" s="59">
        <f t="shared" ref="AK75:AK108" si="14">AK22*J22</f>
        <v>0</v>
      </c>
      <c r="AL75" s="59">
        <f t="shared" ref="AL75:AL108" si="15">AL22*K22</f>
        <v>0</v>
      </c>
      <c r="AM75" s="59">
        <f t="shared" ref="AM75:AM108" si="16">AM22*L22</f>
        <v>0.40633642614499527</v>
      </c>
      <c r="AN75" s="59">
        <f t="shared" ref="AN75:AN108" si="17">AN22*M22</f>
        <v>0.39225233623754552</v>
      </c>
      <c r="AO75" s="59">
        <f t="shared" ref="AO75:AO108" si="18">AO22*N22</f>
        <v>0.11133823167130734</v>
      </c>
      <c r="AP75" s="59">
        <f t="shared" ref="AP75:AP108" si="19">AP22*O22</f>
        <v>0.45648526102111975</v>
      </c>
      <c r="AQ75" s="59">
        <f t="shared" si="4"/>
        <v>0.37109215834010789</v>
      </c>
      <c r="AR75" s="59">
        <f t="shared" si="5"/>
        <v>0.20394596510037755</v>
      </c>
      <c r="AS75" s="59">
        <f t="shared" si="6"/>
        <v>0.3106749236907827</v>
      </c>
      <c r="AT75" s="59">
        <f t="shared" si="7"/>
        <v>0.59446633747948385</v>
      </c>
      <c r="AU75" s="59">
        <f t="shared" si="8"/>
        <v>0.16988121969618589</v>
      </c>
      <c r="AV75" s="59">
        <f t="shared" si="9"/>
        <v>0.10846169416159934</v>
      </c>
      <c r="AW75" s="59">
        <f t="shared" si="10"/>
        <v>6.1997409918920242E-2</v>
      </c>
      <c r="AX75" s="59">
        <f t="shared" si="11"/>
        <v>0.10264091783944684</v>
      </c>
      <c r="AY75" s="59"/>
      <c r="AZ75" s="59"/>
      <c r="BA75" s="59"/>
      <c r="BB75" s="60">
        <f t="shared" si="3"/>
        <v>3.2895728813018721</v>
      </c>
    </row>
    <row r="76" spans="33:54" x14ac:dyDescent="0.2">
      <c r="AG76" s="5">
        <v>41089</v>
      </c>
      <c r="AH76" s="59">
        <f t="shared" si="2"/>
        <v>0</v>
      </c>
      <c r="AI76" s="59">
        <f t="shared" si="12"/>
        <v>0</v>
      </c>
      <c r="AJ76" s="59">
        <f t="shared" si="13"/>
        <v>0</v>
      </c>
      <c r="AK76" s="59">
        <f t="shared" si="14"/>
        <v>0</v>
      </c>
      <c r="AL76" s="59">
        <f t="shared" si="15"/>
        <v>0</v>
      </c>
      <c r="AM76" s="59">
        <f t="shared" si="16"/>
        <v>0.40392988003992736</v>
      </c>
      <c r="AN76" s="59">
        <f t="shared" si="17"/>
        <v>0.39788785873886845</v>
      </c>
      <c r="AO76" s="59">
        <f t="shared" si="18"/>
        <v>0.1157444005169079</v>
      </c>
      <c r="AP76" s="59">
        <f t="shared" si="19"/>
        <v>0.47189679405925727</v>
      </c>
      <c r="AQ76" s="59">
        <f t="shared" si="4"/>
        <v>0.38415478164705164</v>
      </c>
      <c r="AR76" s="59">
        <f t="shared" si="5"/>
        <v>0.20839663688795421</v>
      </c>
      <c r="AS76" s="59">
        <f t="shared" si="6"/>
        <v>0.32526717594938181</v>
      </c>
      <c r="AT76" s="59">
        <f t="shared" si="7"/>
        <v>0.63001920201175099</v>
      </c>
      <c r="AU76" s="59">
        <f t="shared" si="8"/>
        <v>0.17400055800647143</v>
      </c>
      <c r="AV76" s="59">
        <f t="shared" si="9"/>
        <v>0.10766543184419704</v>
      </c>
      <c r="AW76" s="59">
        <f t="shared" si="10"/>
        <v>6.0645503445366025E-2</v>
      </c>
      <c r="AX76" s="59">
        <f t="shared" si="11"/>
        <v>9.9623676323506355E-2</v>
      </c>
      <c r="AY76" s="59"/>
      <c r="AZ76" s="59"/>
      <c r="BA76" s="59"/>
      <c r="BB76" s="60">
        <f t="shared" si="3"/>
        <v>3.3792318994706405</v>
      </c>
    </row>
    <row r="77" spans="33:54" x14ac:dyDescent="0.2">
      <c r="AG77" s="5">
        <v>41121</v>
      </c>
      <c r="AH77" s="59">
        <f t="shared" si="2"/>
        <v>0</v>
      </c>
      <c r="AI77" s="59">
        <f t="shared" si="12"/>
        <v>0</v>
      </c>
      <c r="AJ77" s="59">
        <f t="shared" si="13"/>
        <v>0</v>
      </c>
      <c r="AK77" s="59">
        <f t="shared" si="14"/>
        <v>0</v>
      </c>
      <c r="AL77" s="59">
        <f t="shared" si="15"/>
        <v>0</v>
      </c>
      <c r="AM77" s="59">
        <f t="shared" si="16"/>
        <v>0.37916822996904348</v>
      </c>
      <c r="AN77" s="59">
        <f t="shared" si="17"/>
        <v>0.40818215740218805</v>
      </c>
      <c r="AO77" s="59">
        <f t="shared" si="18"/>
        <v>0.10225804620300624</v>
      </c>
      <c r="AP77" s="59">
        <f t="shared" si="19"/>
        <v>0.45352644885164778</v>
      </c>
      <c r="AQ77" s="59">
        <f t="shared" si="4"/>
        <v>0.38642770461619963</v>
      </c>
      <c r="AR77" s="59">
        <f t="shared" si="5"/>
        <v>0.208517057191833</v>
      </c>
      <c r="AS77" s="59">
        <f t="shared" si="6"/>
        <v>0.31619445087876508</v>
      </c>
      <c r="AT77" s="59">
        <f t="shared" si="7"/>
        <v>0.63307457361119501</v>
      </c>
      <c r="AU77" s="59">
        <f t="shared" si="8"/>
        <v>0.17225960950592473</v>
      </c>
      <c r="AV77" s="59">
        <f t="shared" si="9"/>
        <v>0.10485010425629408</v>
      </c>
      <c r="AW77" s="59">
        <f t="shared" si="10"/>
        <v>5.8774822712357795E-2</v>
      </c>
      <c r="AX77" s="59">
        <f t="shared" si="11"/>
        <v>0.10015614718806892</v>
      </c>
      <c r="AY77" s="59"/>
      <c r="AZ77" s="59"/>
      <c r="BA77" s="59"/>
      <c r="BB77" s="60">
        <f t="shared" si="3"/>
        <v>3.3233893523865246</v>
      </c>
    </row>
    <row r="78" spans="33:54" x14ac:dyDescent="0.2">
      <c r="AG78" s="5">
        <v>41152</v>
      </c>
      <c r="AH78" s="59">
        <f t="shared" si="2"/>
        <v>0</v>
      </c>
      <c r="AI78" s="59">
        <f t="shared" si="12"/>
        <v>0</v>
      </c>
      <c r="AJ78" s="59">
        <f t="shared" si="13"/>
        <v>0</v>
      </c>
      <c r="AK78" s="59">
        <f t="shared" si="14"/>
        <v>0</v>
      </c>
      <c r="AL78" s="59">
        <f t="shared" si="15"/>
        <v>0</v>
      </c>
      <c r="AM78" s="59">
        <f t="shared" si="16"/>
        <v>0.41440322984913358</v>
      </c>
      <c r="AN78" s="59">
        <f t="shared" si="17"/>
        <v>0.43388962425021815</v>
      </c>
      <c r="AO78" s="59">
        <f t="shared" si="18"/>
        <v>0.11147983976555004</v>
      </c>
      <c r="AP78" s="59">
        <f t="shared" si="19"/>
        <v>0.48996029290382453</v>
      </c>
      <c r="AQ78" s="59">
        <f t="shared" si="4"/>
        <v>0.40543299465361321</v>
      </c>
      <c r="AR78" s="59">
        <f t="shared" si="5"/>
        <v>0.22026364252686417</v>
      </c>
      <c r="AS78" s="59">
        <f t="shared" si="6"/>
        <v>0.34139507142044728</v>
      </c>
      <c r="AT78" s="59">
        <f t="shared" si="7"/>
        <v>0.67322658660658685</v>
      </c>
      <c r="AU78" s="59">
        <f t="shared" si="8"/>
        <v>0.18593598956957216</v>
      </c>
      <c r="AV78" s="59">
        <f t="shared" si="9"/>
        <v>0.10655642072856958</v>
      </c>
      <c r="AW78" s="59">
        <f t="shared" si="10"/>
        <v>6.0151274947786583E-2</v>
      </c>
      <c r="AX78" s="59">
        <f t="shared" si="11"/>
        <v>0.10037596340800965</v>
      </c>
      <c r="AY78" s="59"/>
      <c r="AZ78" s="59"/>
      <c r="BA78" s="59"/>
      <c r="BB78" s="60">
        <f t="shared" si="3"/>
        <v>3.5430709306301758</v>
      </c>
    </row>
    <row r="79" spans="33:54" x14ac:dyDescent="0.2">
      <c r="AG79" s="5">
        <v>41180</v>
      </c>
      <c r="AH79" s="59">
        <f t="shared" si="2"/>
        <v>0</v>
      </c>
      <c r="AI79" s="59">
        <f t="shared" si="12"/>
        <v>0</v>
      </c>
      <c r="AJ79" s="59">
        <f t="shared" si="13"/>
        <v>0</v>
      </c>
      <c r="AK79" s="59">
        <f t="shared" si="14"/>
        <v>0</v>
      </c>
      <c r="AL79" s="59">
        <f t="shared" si="15"/>
        <v>0</v>
      </c>
      <c r="AM79" s="59">
        <f t="shared" si="16"/>
        <v>0.34744806951370144</v>
      </c>
      <c r="AN79" s="59">
        <f t="shared" si="17"/>
        <v>0.37892105535961884</v>
      </c>
      <c r="AO79" s="59">
        <f t="shared" si="18"/>
        <v>8.7864003255205297E-2</v>
      </c>
      <c r="AP79" s="59">
        <f t="shared" si="19"/>
        <v>0.40886233768844416</v>
      </c>
      <c r="AQ79" s="59">
        <f t="shared" si="4"/>
        <v>0.35481342880393496</v>
      </c>
      <c r="AR79" s="59">
        <f t="shared" si="5"/>
        <v>0.2121480460431949</v>
      </c>
      <c r="AS79" s="59">
        <f t="shared" si="6"/>
        <v>0.28735404076694432</v>
      </c>
      <c r="AT79" s="59">
        <f t="shared" si="7"/>
        <v>0.59092171571424923</v>
      </c>
      <c r="AU79" s="59">
        <f t="shared" si="8"/>
        <v>0.17830424855693219</v>
      </c>
      <c r="AV79" s="59">
        <f t="shared" si="9"/>
        <v>9.6260227101620716E-2</v>
      </c>
      <c r="AW79" s="59">
        <f t="shared" si="10"/>
        <v>5.7118038885700106E-2</v>
      </c>
      <c r="AX79" s="59">
        <f t="shared" si="11"/>
        <v>9.6252330109059592E-2</v>
      </c>
      <c r="AY79" s="59"/>
      <c r="AZ79" s="59"/>
      <c r="BA79" s="59"/>
      <c r="BB79" s="60">
        <f t="shared" si="3"/>
        <v>3.0962675417986052</v>
      </c>
    </row>
    <row r="80" spans="33:54" x14ac:dyDescent="0.2">
      <c r="AG80" s="5">
        <v>41213</v>
      </c>
      <c r="AH80" s="59">
        <f t="shared" si="2"/>
        <v>0</v>
      </c>
      <c r="AI80" s="59">
        <f t="shared" si="12"/>
        <v>0</v>
      </c>
      <c r="AJ80" s="59">
        <f t="shared" si="13"/>
        <v>0</v>
      </c>
      <c r="AK80" s="59">
        <f t="shared" si="14"/>
        <v>0</v>
      </c>
      <c r="AL80" s="59">
        <f t="shared" si="15"/>
        <v>0</v>
      </c>
      <c r="AM80" s="59">
        <f t="shared" si="16"/>
        <v>0.35241201458190291</v>
      </c>
      <c r="AN80" s="59">
        <f t="shared" si="17"/>
        <v>0.39740175337490186</v>
      </c>
      <c r="AO80" s="59">
        <f t="shared" si="18"/>
        <v>8.8879760971579611E-2</v>
      </c>
      <c r="AP80" s="59">
        <f t="shared" si="19"/>
        <v>0.41660691689235202</v>
      </c>
      <c r="AQ80" s="59">
        <f t="shared" si="4"/>
        <v>0.37377677764472955</v>
      </c>
      <c r="AR80" s="59">
        <f t="shared" si="5"/>
        <v>0.2134777911495751</v>
      </c>
      <c r="AS80" s="59">
        <f t="shared" si="6"/>
        <v>0.28476606657701525</v>
      </c>
      <c r="AT80" s="59">
        <f t="shared" si="7"/>
        <v>0.60577252233431234</v>
      </c>
      <c r="AU80" s="59">
        <f t="shared" si="8"/>
        <v>0.17997385819758921</v>
      </c>
      <c r="AV80" s="59">
        <f t="shared" si="9"/>
        <v>9.9541323359048264E-2</v>
      </c>
      <c r="AW80" s="59">
        <f t="shared" si="10"/>
        <v>5.9343908865797809E-2</v>
      </c>
      <c r="AX80" s="59">
        <f t="shared" si="11"/>
        <v>9.762034671685807E-2</v>
      </c>
      <c r="AY80" s="59"/>
      <c r="AZ80" s="59"/>
      <c r="BA80" s="59"/>
      <c r="BB80" s="60">
        <f t="shared" si="3"/>
        <v>3.1695730406656621</v>
      </c>
    </row>
    <row r="81" spans="33:54" x14ac:dyDescent="0.2">
      <c r="AG81" s="5">
        <v>41243</v>
      </c>
      <c r="AH81" s="59">
        <f t="shared" si="2"/>
        <v>0</v>
      </c>
      <c r="AI81" s="59">
        <f t="shared" si="12"/>
        <v>0</v>
      </c>
      <c r="AJ81" s="59">
        <f t="shared" si="13"/>
        <v>0</v>
      </c>
      <c r="AK81" s="59">
        <f t="shared" si="14"/>
        <v>0</v>
      </c>
      <c r="AL81" s="59">
        <f t="shared" si="15"/>
        <v>0</v>
      </c>
      <c r="AM81" s="59">
        <f t="shared" si="16"/>
        <v>0.3532416937288726</v>
      </c>
      <c r="AN81" s="59">
        <f t="shared" si="17"/>
        <v>0.37394342158396437</v>
      </c>
      <c r="AO81" s="59">
        <f t="shared" si="18"/>
        <v>9.0356603328137206E-2</v>
      </c>
      <c r="AP81" s="59">
        <f t="shared" si="19"/>
        <v>0.40809515439714655</v>
      </c>
      <c r="AQ81" s="59">
        <f t="shared" si="4"/>
        <v>0.35934448821215198</v>
      </c>
      <c r="AR81" s="59">
        <f t="shared" si="5"/>
        <v>0.20153087396036448</v>
      </c>
      <c r="AS81" s="59">
        <f t="shared" si="6"/>
        <v>0.27163626226044463</v>
      </c>
      <c r="AT81" s="59">
        <f t="shared" si="7"/>
        <v>0.56542305686465255</v>
      </c>
      <c r="AU81" s="59">
        <f t="shared" si="8"/>
        <v>0.16550810263906524</v>
      </c>
      <c r="AV81" s="59">
        <f t="shared" si="9"/>
        <v>8.9901039873466024E-2</v>
      </c>
      <c r="AW81" s="59">
        <f t="shared" si="10"/>
        <v>5.5103792769804379E-2</v>
      </c>
      <c r="AX81" s="59">
        <f t="shared" si="11"/>
        <v>9.1813054329170765E-2</v>
      </c>
      <c r="AY81" s="59"/>
      <c r="AZ81" s="59"/>
      <c r="BA81" s="59"/>
      <c r="BB81" s="60">
        <f t="shared" si="3"/>
        <v>3.0258975439472406</v>
      </c>
    </row>
    <row r="82" spans="33:54" x14ac:dyDescent="0.2">
      <c r="AG82" s="5">
        <v>41274</v>
      </c>
      <c r="AH82" s="59">
        <f t="shared" si="2"/>
        <v>0</v>
      </c>
      <c r="AI82" s="59">
        <f t="shared" si="12"/>
        <v>0</v>
      </c>
      <c r="AJ82" s="59">
        <f t="shared" si="13"/>
        <v>0</v>
      </c>
      <c r="AK82" s="59">
        <f t="shared" si="14"/>
        <v>0</v>
      </c>
      <c r="AL82" s="59">
        <f t="shared" si="15"/>
        <v>0</v>
      </c>
      <c r="AM82" s="59">
        <f t="shared" si="16"/>
        <v>0.36547126837957294</v>
      </c>
      <c r="AN82" s="59">
        <f t="shared" si="17"/>
        <v>0.39429281209524125</v>
      </c>
      <c r="AO82" s="59">
        <f t="shared" si="18"/>
        <v>9.2282823783108842E-2</v>
      </c>
      <c r="AP82" s="59">
        <f t="shared" si="19"/>
        <v>0.41409384374748681</v>
      </c>
      <c r="AQ82" s="59">
        <f t="shared" si="4"/>
        <v>0.3733991617298828</v>
      </c>
      <c r="AR82" s="59">
        <f t="shared" si="5"/>
        <v>0.20872728421944725</v>
      </c>
      <c r="AS82" s="59">
        <f t="shared" si="6"/>
        <v>0.28059254991028065</v>
      </c>
      <c r="AT82" s="59">
        <f t="shared" si="7"/>
        <v>0.59721251782740914</v>
      </c>
      <c r="AU82" s="59">
        <f t="shared" si="8"/>
        <v>0.1699550246417528</v>
      </c>
      <c r="AV82" s="59">
        <f t="shared" si="9"/>
        <v>9.3655002864904288E-2</v>
      </c>
      <c r="AW82" s="59">
        <f t="shared" si="10"/>
        <v>5.7079635639095079E-2</v>
      </c>
      <c r="AX82" s="59">
        <f t="shared" si="11"/>
        <v>9.4378459888063093E-2</v>
      </c>
      <c r="AY82" s="59"/>
      <c r="AZ82" s="59"/>
      <c r="BA82" s="59"/>
      <c r="BB82" s="60">
        <f t="shared" si="3"/>
        <v>3.1411403847262451</v>
      </c>
    </row>
    <row r="83" spans="33:54" x14ac:dyDescent="0.2">
      <c r="AG83" s="5">
        <v>41305</v>
      </c>
      <c r="AH83" s="59">
        <f t="shared" si="2"/>
        <v>0</v>
      </c>
      <c r="AI83" s="59">
        <f t="shared" si="12"/>
        <v>0</v>
      </c>
      <c r="AJ83" s="59">
        <f t="shared" si="13"/>
        <v>0</v>
      </c>
      <c r="AK83" s="59">
        <f t="shared" si="14"/>
        <v>0</v>
      </c>
      <c r="AL83" s="59">
        <f t="shared" si="15"/>
        <v>0</v>
      </c>
      <c r="AM83" s="59">
        <f t="shared" si="16"/>
        <v>0.42225856481441765</v>
      </c>
      <c r="AN83" s="59">
        <f t="shared" si="17"/>
        <v>0.43294117218115347</v>
      </c>
      <c r="AO83" s="59">
        <f t="shared" si="18"/>
        <v>0.11147565421554079</v>
      </c>
      <c r="AP83" s="59">
        <f t="shared" si="19"/>
        <v>0.4779042838769601</v>
      </c>
      <c r="AQ83" s="59">
        <f t="shared" si="4"/>
        <v>0.40738294186419105</v>
      </c>
      <c r="AR83" s="59">
        <f t="shared" si="5"/>
        <v>0.21519895198885725</v>
      </c>
      <c r="AS83" s="59">
        <f t="shared" si="6"/>
        <v>0.32070735739133249</v>
      </c>
      <c r="AT83" s="59">
        <f t="shared" si="7"/>
        <v>0.63050223037523623</v>
      </c>
      <c r="AU83" s="59">
        <f t="shared" si="8"/>
        <v>0.17403623019297221</v>
      </c>
      <c r="AV83" s="59">
        <f t="shared" si="9"/>
        <v>9.2825461731603637E-2</v>
      </c>
      <c r="AW83" s="59">
        <f t="shared" si="10"/>
        <v>5.4932452066018392E-2</v>
      </c>
      <c r="AX83" s="59">
        <f t="shared" si="11"/>
        <v>9.0692334148986795E-2</v>
      </c>
      <c r="AY83" s="59"/>
      <c r="AZ83" s="59"/>
      <c r="BA83" s="59"/>
      <c r="BB83" s="60">
        <f t="shared" si="3"/>
        <v>3.4308576348472699</v>
      </c>
    </row>
    <row r="84" spans="33:54" x14ac:dyDescent="0.2">
      <c r="AG84" s="5">
        <v>41333</v>
      </c>
      <c r="AH84" s="59">
        <f t="shared" si="2"/>
        <v>0</v>
      </c>
      <c r="AI84" s="59">
        <f t="shared" si="12"/>
        <v>0</v>
      </c>
      <c r="AJ84" s="59">
        <f t="shared" si="13"/>
        <v>0</v>
      </c>
      <c r="AK84" s="59">
        <f t="shared" si="14"/>
        <v>0</v>
      </c>
      <c r="AL84" s="59">
        <f t="shared" si="15"/>
        <v>0</v>
      </c>
      <c r="AM84" s="59">
        <f t="shared" si="16"/>
        <v>0.41620965553578354</v>
      </c>
      <c r="AN84" s="59">
        <f t="shared" si="17"/>
        <v>0.43429766348471338</v>
      </c>
      <c r="AO84" s="59">
        <f t="shared" si="18"/>
        <v>0.11373759151810174</v>
      </c>
      <c r="AP84" s="59">
        <f t="shared" si="19"/>
        <v>0.47243574241847974</v>
      </c>
      <c r="AQ84" s="59">
        <f t="shared" si="4"/>
        <v>0.40718253407512123</v>
      </c>
      <c r="AR84" s="59">
        <f t="shared" si="5"/>
        <v>0.21563697727694839</v>
      </c>
      <c r="AS84" s="59">
        <f t="shared" si="6"/>
        <v>0.31699345834919673</v>
      </c>
      <c r="AT84" s="59">
        <f t="shared" si="7"/>
        <v>0.62504553083721703</v>
      </c>
      <c r="AU84" s="59">
        <f t="shared" si="8"/>
        <v>0.17683164264493831</v>
      </c>
      <c r="AV84" s="59">
        <f t="shared" si="9"/>
        <v>9.3203544508513397E-2</v>
      </c>
      <c r="AW84" s="59">
        <f t="shared" si="10"/>
        <v>5.4496543614864973E-2</v>
      </c>
      <c r="AX84" s="59">
        <f t="shared" si="11"/>
        <v>8.8579922203624151E-2</v>
      </c>
      <c r="AY84" s="59"/>
      <c r="AZ84" s="59"/>
      <c r="BA84" s="59"/>
      <c r="BB84" s="60">
        <f t="shared" si="3"/>
        <v>3.4146508064675025</v>
      </c>
    </row>
    <row r="85" spans="33:54" x14ac:dyDescent="0.2">
      <c r="AG85" s="5">
        <v>41361</v>
      </c>
      <c r="AH85" s="59">
        <f t="shared" si="2"/>
        <v>0</v>
      </c>
      <c r="AI85" s="59">
        <f t="shared" si="12"/>
        <v>0</v>
      </c>
      <c r="AJ85" s="59">
        <f t="shared" si="13"/>
        <v>0</v>
      </c>
      <c r="AK85" s="59">
        <f t="shared" si="14"/>
        <v>1.0534661571650057</v>
      </c>
      <c r="AL85" s="59">
        <f t="shared" si="15"/>
        <v>1.1843385142141729</v>
      </c>
      <c r="AM85" s="59">
        <f t="shared" si="16"/>
        <v>0.27613848793604312</v>
      </c>
      <c r="AN85" s="59">
        <f t="shared" si="17"/>
        <v>0.28018607133466555</v>
      </c>
      <c r="AO85" s="59">
        <f t="shared" si="18"/>
        <v>7.693144295843693E-2</v>
      </c>
      <c r="AP85" s="59">
        <f t="shared" si="19"/>
        <v>0.31262665841357656</v>
      </c>
      <c r="AQ85" s="59">
        <f t="shared" si="4"/>
        <v>0.26420124081344853</v>
      </c>
      <c r="AR85" s="59">
        <f t="shared" si="5"/>
        <v>0.13830011470081338</v>
      </c>
      <c r="AS85" s="59">
        <f t="shared" si="6"/>
        <v>0.2082197789949127</v>
      </c>
      <c r="AT85" s="59">
        <f t="shared" si="7"/>
        <v>0.4045700302679861</v>
      </c>
      <c r="AU85" s="59">
        <f t="shared" si="8"/>
        <v>0.1141853525858038</v>
      </c>
      <c r="AV85" s="59">
        <f t="shared" si="9"/>
        <v>5.8240231388522461E-2</v>
      </c>
      <c r="AW85" s="59">
        <f t="shared" si="10"/>
        <v>3.4225443233026252E-2</v>
      </c>
      <c r="AX85" s="59">
        <f t="shared" si="11"/>
        <v>5.3640282338419477E-2</v>
      </c>
      <c r="AY85" s="59"/>
      <c r="AZ85" s="59"/>
      <c r="BA85" s="59"/>
      <c r="BB85" s="60">
        <f t="shared" si="3"/>
        <v>4.4592698063448344</v>
      </c>
    </row>
    <row r="86" spans="33:54" x14ac:dyDescent="0.2">
      <c r="AG86" s="5">
        <v>41394</v>
      </c>
      <c r="AH86" s="59">
        <f t="shared" si="2"/>
        <v>0</v>
      </c>
      <c r="AI86" s="59">
        <f t="shared" si="12"/>
        <v>0</v>
      </c>
      <c r="AJ86" s="59">
        <f t="shared" si="13"/>
        <v>0</v>
      </c>
      <c r="AK86" s="59">
        <f t="shared" si="14"/>
        <v>0.99171004500891691</v>
      </c>
      <c r="AL86" s="59">
        <f t="shared" si="15"/>
        <v>1.0443831853405086</v>
      </c>
      <c r="AM86" s="59">
        <f t="shared" si="16"/>
        <v>0.24281113065275262</v>
      </c>
      <c r="AN86" s="59">
        <f t="shared" si="17"/>
        <v>0.24555736676719908</v>
      </c>
      <c r="AO86" s="59">
        <f t="shared" si="18"/>
        <v>6.3860774094008269E-2</v>
      </c>
      <c r="AP86" s="59">
        <f t="shared" si="19"/>
        <v>0.26529898344211988</v>
      </c>
      <c r="AQ86" s="59">
        <f t="shared" si="4"/>
        <v>0.21919228352632442</v>
      </c>
      <c r="AR86" s="59">
        <f t="shared" si="5"/>
        <v>0.12054461820130651</v>
      </c>
      <c r="AS86" s="59">
        <f t="shared" si="6"/>
        <v>0.16375852125726273</v>
      </c>
      <c r="AT86" s="59">
        <f t="shared" si="7"/>
        <v>0.3257778809870599</v>
      </c>
      <c r="AU86" s="59">
        <f t="shared" si="8"/>
        <v>0.10019232330928479</v>
      </c>
      <c r="AV86" s="59">
        <f t="shared" si="9"/>
        <v>4.9449839427247129E-2</v>
      </c>
      <c r="AW86" s="59">
        <f t="shared" si="10"/>
        <v>2.9754063762360207E-2</v>
      </c>
      <c r="AX86" s="59">
        <f t="shared" si="11"/>
        <v>4.749242225212405E-2</v>
      </c>
      <c r="AY86" s="59"/>
      <c r="AZ86" s="59"/>
      <c r="BA86" s="59"/>
      <c r="BB86" s="60">
        <f t="shared" si="3"/>
        <v>3.9097834380284753</v>
      </c>
    </row>
    <row r="87" spans="33:54" x14ac:dyDescent="0.2">
      <c r="AG87" s="5">
        <v>41425</v>
      </c>
      <c r="AH87" s="59">
        <f t="shared" si="2"/>
        <v>0</v>
      </c>
      <c r="AI87" s="59">
        <f t="shared" si="12"/>
        <v>0</v>
      </c>
      <c r="AJ87" s="59">
        <f t="shared" si="13"/>
        <v>0</v>
      </c>
      <c r="AK87" s="59">
        <f t="shared" si="14"/>
        <v>1.1702923986528342</v>
      </c>
      <c r="AL87" s="59">
        <f t="shared" si="15"/>
        <v>1.2852239391679479</v>
      </c>
      <c r="AM87" s="59">
        <f t="shared" si="16"/>
        <v>0.30746970484149688</v>
      </c>
      <c r="AN87" s="59">
        <f t="shared" si="17"/>
        <v>0.28974397314046357</v>
      </c>
      <c r="AO87" s="59">
        <f t="shared" si="18"/>
        <v>8.4646027857573178E-2</v>
      </c>
      <c r="AP87" s="59">
        <f t="shared" si="19"/>
        <v>0.33672386908398877</v>
      </c>
      <c r="AQ87" s="59">
        <f t="shared" si="4"/>
        <v>0.25857409934020292</v>
      </c>
      <c r="AR87" s="59">
        <f t="shared" si="5"/>
        <v>0.12213882932628811</v>
      </c>
      <c r="AS87" s="59">
        <f t="shared" si="6"/>
        <v>0.22627706270544165</v>
      </c>
      <c r="AT87" s="59">
        <f t="shared" si="7"/>
        <v>0.40864378403164592</v>
      </c>
      <c r="AU87" s="59">
        <f t="shared" si="8"/>
        <v>0.10060660534680568</v>
      </c>
      <c r="AV87" s="59">
        <f t="shared" si="9"/>
        <v>5.0751905603761104E-2</v>
      </c>
      <c r="AW87" s="59">
        <f t="shared" si="10"/>
        <v>2.7786318752515277E-2</v>
      </c>
      <c r="AX87" s="59">
        <f t="shared" si="11"/>
        <v>4.5148963252193287E-2</v>
      </c>
      <c r="AY87" s="59"/>
      <c r="AZ87" s="59"/>
      <c r="BA87" s="59"/>
      <c r="BB87" s="60">
        <f t="shared" si="3"/>
        <v>4.7140274811031571</v>
      </c>
    </row>
    <row r="88" spans="33:54" x14ac:dyDescent="0.2">
      <c r="AG88" s="5">
        <v>41453</v>
      </c>
      <c r="AH88" s="59">
        <f t="shared" si="2"/>
        <v>0</v>
      </c>
      <c r="AI88" s="59">
        <f t="shared" si="12"/>
        <v>0</v>
      </c>
      <c r="AJ88" s="59">
        <f t="shared" si="13"/>
        <v>0</v>
      </c>
      <c r="AK88" s="59">
        <f t="shared" si="14"/>
        <v>1.2208504190725671</v>
      </c>
      <c r="AL88" s="59">
        <f t="shared" si="15"/>
        <v>1.3536517315968191</v>
      </c>
      <c r="AM88" s="59">
        <f t="shared" si="16"/>
        <v>0.33749656995736932</v>
      </c>
      <c r="AN88" s="59">
        <f t="shared" si="17"/>
        <v>0.32443847186575686</v>
      </c>
      <c r="AO88" s="59">
        <f t="shared" si="18"/>
        <v>9.1559288443635548E-2</v>
      </c>
      <c r="AP88" s="59">
        <f t="shared" si="19"/>
        <v>0.37939782205501293</v>
      </c>
      <c r="AQ88" s="59">
        <f t="shared" si="4"/>
        <v>0.30277685235213408</v>
      </c>
      <c r="AR88" s="59">
        <f t="shared" si="5"/>
        <v>0.14074747857011566</v>
      </c>
      <c r="AS88" s="59">
        <f t="shared" si="6"/>
        <v>0.26164556144064377</v>
      </c>
      <c r="AT88" s="59">
        <f t="shared" si="7"/>
        <v>0.48751093307620952</v>
      </c>
      <c r="AU88" s="59">
        <f t="shared" si="8"/>
        <v>0.11697331031166985</v>
      </c>
      <c r="AV88" s="59">
        <f t="shared" si="9"/>
        <v>5.5548764199514239E-2</v>
      </c>
      <c r="AW88" s="59">
        <f t="shared" si="10"/>
        <v>3.0164602777617202E-2</v>
      </c>
      <c r="AX88" s="59">
        <f t="shared" si="11"/>
        <v>4.7034187944017009E-2</v>
      </c>
      <c r="AY88" s="59"/>
      <c r="AZ88" s="59"/>
      <c r="BA88" s="59"/>
      <c r="BB88" s="60">
        <f t="shared" si="3"/>
        <v>5.1497959936630808</v>
      </c>
    </row>
    <row r="89" spans="33:54" x14ac:dyDescent="0.2">
      <c r="AG89" s="5">
        <v>41486</v>
      </c>
      <c r="AH89" s="59">
        <f t="shared" si="2"/>
        <v>0</v>
      </c>
      <c r="AI89" s="59">
        <f t="shared" si="12"/>
        <v>0</v>
      </c>
      <c r="AJ89" s="59">
        <f t="shared" si="13"/>
        <v>0</v>
      </c>
      <c r="AK89" s="59">
        <f t="shared" si="14"/>
        <v>1.2903787135839855</v>
      </c>
      <c r="AL89" s="59">
        <f t="shared" si="15"/>
        <v>1.4680409981077329</v>
      </c>
      <c r="AM89" s="59">
        <f t="shared" si="16"/>
        <v>0.36706542030633671</v>
      </c>
      <c r="AN89" s="59">
        <f t="shared" si="17"/>
        <v>0.34034408184027348</v>
      </c>
      <c r="AO89" s="59">
        <f t="shared" si="18"/>
        <v>9.9693797772191006E-2</v>
      </c>
      <c r="AP89" s="59">
        <f t="shared" si="19"/>
        <v>0.40738491568568219</v>
      </c>
      <c r="AQ89" s="59">
        <f t="shared" si="4"/>
        <v>0.31239209276411212</v>
      </c>
      <c r="AR89" s="59">
        <f t="shared" si="5"/>
        <v>0.14722773406530329</v>
      </c>
      <c r="AS89" s="59">
        <f t="shared" si="6"/>
        <v>0.28220419069181107</v>
      </c>
      <c r="AT89" s="59">
        <f t="shared" si="7"/>
        <v>0.49940908323671901</v>
      </c>
      <c r="AU89" s="59">
        <f t="shared" si="8"/>
        <v>0.12140485048158305</v>
      </c>
      <c r="AV89" s="59">
        <f t="shared" si="9"/>
        <v>5.948845165447865E-2</v>
      </c>
      <c r="AW89" s="59">
        <f t="shared" si="10"/>
        <v>3.1631905078660691E-2</v>
      </c>
      <c r="AX89" s="59">
        <f t="shared" si="11"/>
        <v>4.9071843131550469E-2</v>
      </c>
      <c r="AY89" s="59"/>
      <c r="AZ89" s="59"/>
      <c r="BA89" s="59"/>
      <c r="BB89" s="60">
        <f t="shared" si="3"/>
        <v>5.4757380784004202</v>
      </c>
    </row>
    <row r="90" spans="33:54" x14ac:dyDescent="0.2">
      <c r="AG90" s="5">
        <v>41516</v>
      </c>
      <c r="AH90" s="59">
        <f t="shared" si="2"/>
        <v>0</v>
      </c>
      <c r="AI90" s="59">
        <f t="shared" si="12"/>
        <v>0</v>
      </c>
      <c r="AJ90" s="59">
        <f t="shared" si="13"/>
        <v>0</v>
      </c>
      <c r="AK90" s="59">
        <f t="shared" si="14"/>
        <v>1.3224246470505765</v>
      </c>
      <c r="AL90" s="59">
        <f t="shared" si="15"/>
        <v>1.4953595277041627</v>
      </c>
      <c r="AM90" s="59">
        <f t="shared" si="16"/>
        <v>0.378089821657981</v>
      </c>
      <c r="AN90" s="59">
        <f t="shared" si="17"/>
        <v>0.36324427925125891</v>
      </c>
      <c r="AO90" s="59">
        <f t="shared" si="18"/>
        <v>0.10054569826584384</v>
      </c>
      <c r="AP90" s="59">
        <f t="shared" si="19"/>
        <v>0.42161103080162338</v>
      </c>
      <c r="AQ90" s="59">
        <f t="shared" si="4"/>
        <v>0.33087590168823316</v>
      </c>
      <c r="AR90" s="59">
        <f t="shared" si="5"/>
        <v>0.16114789166788238</v>
      </c>
      <c r="AS90" s="59">
        <f t="shared" si="6"/>
        <v>0.29012679893552656</v>
      </c>
      <c r="AT90" s="59">
        <f t="shared" si="7"/>
        <v>0.52733758660270325</v>
      </c>
      <c r="AU90" s="59">
        <f t="shared" si="8"/>
        <v>0.13102535032467943</v>
      </c>
      <c r="AV90" s="59">
        <f t="shared" si="9"/>
        <v>6.249816379307311E-2</v>
      </c>
      <c r="AW90" s="59">
        <f t="shared" si="10"/>
        <v>3.3208646587823167E-2</v>
      </c>
      <c r="AX90" s="59">
        <f t="shared" si="11"/>
        <v>5.1243937485172079E-2</v>
      </c>
      <c r="AY90" s="59"/>
      <c r="AZ90" s="59"/>
      <c r="BA90" s="59"/>
      <c r="BB90" s="60">
        <f t="shared" si="3"/>
        <v>5.6687392818165394</v>
      </c>
    </row>
    <row r="91" spans="33:54" x14ac:dyDescent="0.2">
      <c r="AG91" s="5">
        <v>41547</v>
      </c>
      <c r="AH91" s="59">
        <f t="shared" si="2"/>
        <v>0</v>
      </c>
      <c r="AI91" s="59">
        <f t="shared" si="12"/>
        <v>0</v>
      </c>
      <c r="AJ91" s="59">
        <f t="shared" si="13"/>
        <v>0</v>
      </c>
      <c r="AK91" s="59">
        <f t="shared" si="14"/>
        <v>1.3650291992713155</v>
      </c>
      <c r="AL91" s="59">
        <f t="shared" si="15"/>
        <v>1.5457535534716784</v>
      </c>
      <c r="AM91" s="59">
        <f t="shared" si="16"/>
        <v>0.37236758794174585</v>
      </c>
      <c r="AN91" s="59">
        <f t="shared" si="17"/>
        <v>0.35908316312017741</v>
      </c>
      <c r="AO91" s="59">
        <f t="shared" si="18"/>
        <v>0.10154588186970413</v>
      </c>
      <c r="AP91" s="59">
        <f t="shared" si="19"/>
        <v>0.41414344906016004</v>
      </c>
      <c r="AQ91" s="59">
        <f t="shared" si="4"/>
        <v>0.32331831367319663</v>
      </c>
      <c r="AR91" s="59">
        <f t="shared" si="5"/>
        <v>0.1564371496778221</v>
      </c>
      <c r="AS91" s="59">
        <f t="shared" si="6"/>
        <v>0.27928432086615007</v>
      </c>
      <c r="AT91" s="59">
        <f t="shared" si="7"/>
        <v>0.50599672632539039</v>
      </c>
      <c r="AU91" s="59">
        <f t="shared" si="8"/>
        <v>0.12555785198881822</v>
      </c>
      <c r="AV91" s="59">
        <f t="shared" si="9"/>
        <v>5.7749594843199269E-2</v>
      </c>
      <c r="AW91" s="59">
        <f t="shared" si="10"/>
        <v>3.1642494699172144E-2</v>
      </c>
      <c r="AX91" s="59">
        <f t="shared" si="11"/>
        <v>5.1049230181215793E-2</v>
      </c>
      <c r="AY91" s="59"/>
      <c r="AZ91" s="59"/>
      <c r="BA91" s="59"/>
      <c r="BB91" s="60">
        <f t="shared" si="3"/>
        <v>5.6889585169897465</v>
      </c>
    </row>
    <row r="92" spans="33:54" x14ac:dyDescent="0.2">
      <c r="AG92" s="5">
        <v>41578</v>
      </c>
      <c r="AH92" s="59">
        <f t="shared" si="2"/>
        <v>0</v>
      </c>
      <c r="AI92" s="59">
        <f t="shared" si="12"/>
        <v>0</v>
      </c>
      <c r="AJ92" s="59">
        <f t="shared" si="13"/>
        <v>0</v>
      </c>
      <c r="AK92" s="59">
        <f t="shared" si="14"/>
        <v>1.3600162186744202</v>
      </c>
      <c r="AL92" s="59">
        <f t="shared" si="15"/>
        <v>1.5244981713288301</v>
      </c>
      <c r="AM92" s="59">
        <f t="shared" si="16"/>
        <v>0.3635110702240546</v>
      </c>
      <c r="AN92" s="59">
        <f t="shared" si="17"/>
        <v>0.35259164627360012</v>
      </c>
      <c r="AO92" s="59">
        <f t="shared" si="18"/>
        <v>9.9375085681580183E-2</v>
      </c>
      <c r="AP92" s="59">
        <f t="shared" si="19"/>
        <v>0.4032590293867489</v>
      </c>
      <c r="AQ92" s="59">
        <f t="shared" si="4"/>
        <v>0.31185212718220467</v>
      </c>
      <c r="AR92" s="59">
        <f t="shared" si="5"/>
        <v>0.15000868757007765</v>
      </c>
      <c r="AS92" s="59">
        <f t="shared" si="6"/>
        <v>0.26379212508894767</v>
      </c>
      <c r="AT92" s="59">
        <f t="shared" si="7"/>
        <v>0.47490753003934039</v>
      </c>
      <c r="AU92" s="59">
        <f t="shared" si="8"/>
        <v>0.11732746991267066</v>
      </c>
      <c r="AV92" s="59">
        <f t="shared" si="9"/>
        <v>5.4517195608718858E-2</v>
      </c>
      <c r="AW92" s="59">
        <f t="shared" si="10"/>
        <v>3.029640463797054E-2</v>
      </c>
      <c r="AX92" s="59">
        <f t="shared" si="11"/>
        <v>5.0825100833939152E-2</v>
      </c>
      <c r="AY92" s="59"/>
      <c r="AZ92" s="59"/>
      <c r="BA92" s="59"/>
      <c r="BB92" s="60">
        <f t="shared" si="3"/>
        <v>5.5567778624431039</v>
      </c>
    </row>
    <row r="93" spans="33:54" x14ac:dyDescent="0.2">
      <c r="AG93" s="5">
        <v>41607</v>
      </c>
      <c r="AH93" s="59">
        <f t="shared" si="2"/>
        <v>0</v>
      </c>
      <c r="AI93" s="59">
        <f t="shared" si="12"/>
        <v>0</v>
      </c>
      <c r="AJ93" s="59">
        <f t="shared" si="13"/>
        <v>0</v>
      </c>
      <c r="AK93" s="59">
        <f t="shared" si="14"/>
        <v>1.4201417288342852</v>
      </c>
      <c r="AL93" s="59">
        <f t="shared" si="15"/>
        <v>1.6312717998006656</v>
      </c>
      <c r="AM93" s="59">
        <f t="shared" si="16"/>
        <v>0.39696048105393378</v>
      </c>
      <c r="AN93" s="59">
        <f t="shared" si="17"/>
        <v>0.38252566173510127</v>
      </c>
      <c r="AO93" s="59">
        <f t="shared" si="18"/>
        <v>0.1080438324663499</v>
      </c>
      <c r="AP93" s="59">
        <f t="shared" si="19"/>
        <v>0.44089958460495116</v>
      </c>
      <c r="AQ93" s="59">
        <f t="shared" si="4"/>
        <v>0.33777000763528009</v>
      </c>
      <c r="AR93" s="59">
        <f t="shared" si="5"/>
        <v>0.15889004449574184</v>
      </c>
      <c r="AS93" s="59">
        <f t="shared" si="6"/>
        <v>0.29181501663315429</v>
      </c>
      <c r="AT93" s="59">
        <f t="shared" si="7"/>
        <v>0.51903799870164569</v>
      </c>
      <c r="AU93" s="59">
        <f t="shared" si="8"/>
        <v>0.12555856014149883</v>
      </c>
      <c r="AV93" s="59">
        <f t="shared" si="9"/>
        <v>5.9068152705298402E-2</v>
      </c>
      <c r="AW93" s="59">
        <f t="shared" si="10"/>
        <v>3.234413189581075E-2</v>
      </c>
      <c r="AX93" s="59">
        <f t="shared" si="11"/>
        <v>5.337562625184044E-2</v>
      </c>
      <c r="AY93" s="59"/>
      <c r="AZ93" s="59"/>
      <c r="BA93" s="59"/>
      <c r="BB93" s="60">
        <f t="shared" si="3"/>
        <v>5.9577026269555571</v>
      </c>
    </row>
    <row r="94" spans="33:54" x14ac:dyDescent="0.2">
      <c r="AG94" s="5">
        <v>41639</v>
      </c>
      <c r="AH94" s="59">
        <f t="shared" si="2"/>
        <v>0</v>
      </c>
      <c r="AI94" s="59">
        <f t="shared" si="12"/>
        <v>0</v>
      </c>
      <c r="AJ94" s="59">
        <f t="shared" si="13"/>
        <v>0</v>
      </c>
      <c r="AK94" s="59">
        <f t="shared" si="14"/>
        <v>1.4457753584928816</v>
      </c>
      <c r="AL94" s="59">
        <f t="shared" si="15"/>
        <v>1.6792643190733048</v>
      </c>
      <c r="AM94" s="59">
        <f t="shared" si="16"/>
        <v>0.41773462592762634</v>
      </c>
      <c r="AN94" s="59">
        <f t="shared" si="17"/>
        <v>0.40740274277122401</v>
      </c>
      <c r="AO94" s="59">
        <f t="shared" si="18"/>
        <v>0.1110320232124269</v>
      </c>
      <c r="AP94" s="59">
        <f t="shared" si="19"/>
        <v>0.46771391825402786</v>
      </c>
      <c r="AQ94" s="59">
        <f t="shared" si="4"/>
        <v>0.3686106130674035</v>
      </c>
      <c r="AR94" s="59">
        <f t="shared" si="5"/>
        <v>0.17545754998711713</v>
      </c>
      <c r="AS94" s="59">
        <f t="shared" si="6"/>
        <v>0.31411844512543485</v>
      </c>
      <c r="AT94" s="59">
        <f t="shared" si="7"/>
        <v>0.58795809134905441</v>
      </c>
      <c r="AU94" s="59">
        <f t="shared" si="8"/>
        <v>0.14062896888498169</v>
      </c>
      <c r="AV94" s="59">
        <f t="shared" si="9"/>
        <v>6.4072856843733442E-2</v>
      </c>
      <c r="AW94" s="59">
        <f t="shared" si="10"/>
        <v>3.5049123640467909E-2</v>
      </c>
      <c r="AX94" s="59">
        <f t="shared" si="11"/>
        <v>5.6548898115743609E-2</v>
      </c>
      <c r="AY94" s="59"/>
      <c r="AZ94" s="59"/>
      <c r="BA94" s="59"/>
      <c r="BB94" s="60">
        <f t="shared" si="3"/>
        <v>6.2713675347454272</v>
      </c>
    </row>
    <row r="95" spans="33:54" x14ac:dyDescent="0.2">
      <c r="AG95" s="5">
        <v>41670</v>
      </c>
      <c r="AH95" s="59">
        <f t="shared" si="2"/>
        <v>0</v>
      </c>
      <c r="AI95" s="59">
        <f t="shared" si="12"/>
        <v>0</v>
      </c>
      <c r="AJ95" s="59">
        <f t="shared" si="13"/>
        <v>0</v>
      </c>
      <c r="AK95" s="59">
        <f t="shared" si="14"/>
        <v>1.4309787693454301</v>
      </c>
      <c r="AL95" s="59">
        <f t="shared" si="15"/>
        <v>1.6524149085082325</v>
      </c>
      <c r="AM95" s="59">
        <f t="shared" si="16"/>
        <v>0.40083452414572535</v>
      </c>
      <c r="AN95" s="59">
        <f t="shared" si="17"/>
        <v>0.38587050621592933</v>
      </c>
      <c r="AO95" s="59">
        <f t="shared" si="18"/>
        <v>0.10770421434847982</v>
      </c>
      <c r="AP95" s="59">
        <f t="shared" si="19"/>
        <v>0.44575117079509152</v>
      </c>
      <c r="AQ95" s="59">
        <f t="shared" si="4"/>
        <v>0.34871733367533098</v>
      </c>
      <c r="AR95" s="59">
        <f t="shared" si="5"/>
        <v>0.16613034777041996</v>
      </c>
      <c r="AS95" s="59">
        <f t="shared" si="6"/>
        <v>0.29989627798937402</v>
      </c>
      <c r="AT95" s="59">
        <f t="shared" si="7"/>
        <v>0.54798056835028908</v>
      </c>
      <c r="AU95" s="59">
        <f t="shared" si="8"/>
        <v>0.13459681988324002</v>
      </c>
      <c r="AV95" s="59">
        <f t="shared" si="9"/>
        <v>6.3819799800151011E-2</v>
      </c>
      <c r="AW95" s="59">
        <f t="shared" si="10"/>
        <v>3.417258578760906E-2</v>
      </c>
      <c r="AX95" s="59">
        <f t="shared" si="11"/>
        <v>5.4886945073375729E-2</v>
      </c>
      <c r="AY95" s="59"/>
      <c r="AZ95" s="59"/>
      <c r="BA95" s="59"/>
      <c r="BB95" s="60">
        <f t="shared" si="3"/>
        <v>6.0737547716886793</v>
      </c>
    </row>
    <row r="96" spans="33:54" x14ac:dyDescent="0.2">
      <c r="AG96" s="5">
        <v>41698</v>
      </c>
      <c r="AH96" s="59">
        <f t="shared" si="2"/>
        <v>0</v>
      </c>
      <c r="AI96" s="59">
        <f t="shared" si="12"/>
        <v>0</v>
      </c>
      <c r="AJ96" s="59">
        <f t="shared" si="13"/>
        <v>0</v>
      </c>
      <c r="AK96" s="59">
        <f t="shared" si="14"/>
        <v>1.4430243630376343</v>
      </c>
      <c r="AL96" s="59">
        <f t="shared" si="15"/>
        <v>1.6732012047825253</v>
      </c>
      <c r="AM96" s="59">
        <f t="shared" si="16"/>
        <v>0.4081741099471724</v>
      </c>
      <c r="AN96" s="59">
        <f t="shared" si="17"/>
        <v>0.39013669009701984</v>
      </c>
      <c r="AO96" s="59">
        <f t="shared" si="18"/>
        <v>0.10925874015495601</v>
      </c>
      <c r="AP96" s="59">
        <f t="shared" si="19"/>
        <v>0.45408209886887368</v>
      </c>
      <c r="AQ96" s="59">
        <f t="shared" si="4"/>
        <v>0.35468689336653419</v>
      </c>
      <c r="AR96" s="59">
        <f t="shared" si="5"/>
        <v>0.17375913394501705</v>
      </c>
      <c r="AS96" s="59">
        <f t="shared" si="6"/>
        <v>0.30593670509309429</v>
      </c>
      <c r="AT96" s="59">
        <f t="shared" si="7"/>
        <v>0.55918687981535165</v>
      </c>
      <c r="AU96" s="59">
        <f t="shared" si="8"/>
        <v>0.14073373071108328</v>
      </c>
      <c r="AV96" s="59">
        <f t="shared" si="9"/>
        <v>6.4504244363464164E-2</v>
      </c>
      <c r="AW96" s="59">
        <f t="shared" si="10"/>
        <v>3.4626216321625679E-2</v>
      </c>
      <c r="AX96" s="59">
        <f t="shared" si="11"/>
        <v>5.557686996492605E-2</v>
      </c>
      <c r="AY96" s="59"/>
      <c r="AZ96" s="59"/>
      <c r="BA96" s="59"/>
      <c r="BB96" s="60">
        <f t="shared" si="3"/>
        <v>6.1668878804692788</v>
      </c>
    </row>
    <row r="97" spans="33:54" x14ac:dyDescent="0.2">
      <c r="AG97" s="5">
        <v>41729</v>
      </c>
      <c r="AH97" s="59">
        <f t="shared" si="2"/>
        <v>1.0914439608060942</v>
      </c>
      <c r="AI97" s="59">
        <f t="shared" si="12"/>
        <v>0.72134763631519505</v>
      </c>
      <c r="AJ97" s="59">
        <f t="shared" si="13"/>
        <v>0.61913452173530126</v>
      </c>
      <c r="AK97" s="59">
        <f t="shared" si="14"/>
        <v>0.97392146492209553</v>
      </c>
      <c r="AL97" s="59">
        <f t="shared" si="15"/>
        <v>1.1331932846514621</v>
      </c>
      <c r="AM97" s="59">
        <f t="shared" si="16"/>
        <v>0.27721933082546529</v>
      </c>
      <c r="AN97" s="59">
        <f t="shared" si="17"/>
        <v>0.26669922317278416</v>
      </c>
      <c r="AO97" s="59">
        <f t="shared" si="18"/>
        <v>7.4376062396594056E-2</v>
      </c>
      <c r="AP97" s="59">
        <f t="shared" si="19"/>
        <v>0.30923863302513899</v>
      </c>
      <c r="AQ97" s="59">
        <f t="shared" si="4"/>
        <v>0.24522061993582464</v>
      </c>
      <c r="AR97" s="59">
        <f t="shared" si="5"/>
        <v>0.1197250037614206</v>
      </c>
      <c r="AS97" s="59">
        <f t="shared" si="6"/>
        <v>0.20981946580531907</v>
      </c>
      <c r="AT97" s="59">
        <f t="shared" si="7"/>
        <v>0.38632071569377935</v>
      </c>
      <c r="AU97" s="59">
        <f t="shared" si="8"/>
        <v>9.7374310567919078E-2</v>
      </c>
      <c r="AV97" s="59">
        <f t="shared" si="9"/>
        <v>4.3866091644331896E-2</v>
      </c>
      <c r="AW97" s="59">
        <f t="shared" si="10"/>
        <v>2.3203900693867106E-2</v>
      </c>
      <c r="AX97" s="59">
        <f t="shared" si="11"/>
        <v>3.6346529236056052E-2</v>
      </c>
      <c r="AY97" s="59"/>
      <c r="AZ97" s="59"/>
      <c r="BA97" s="59"/>
      <c r="BB97" s="60">
        <f t="shared" si="3"/>
        <v>6.6284507551886458</v>
      </c>
    </row>
    <row r="98" spans="33:54" x14ac:dyDescent="0.2">
      <c r="AG98" s="5">
        <v>41759</v>
      </c>
      <c r="AH98" s="59">
        <f t="shared" si="2"/>
        <v>1.0935740139289902</v>
      </c>
      <c r="AI98" s="59">
        <f t="shared" si="12"/>
        <v>0.7172916676213994</v>
      </c>
      <c r="AJ98" s="59">
        <f t="shared" si="13"/>
        <v>0.60224426476350224</v>
      </c>
      <c r="AK98" s="59">
        <f t="shared" si="14"/>
        <v>0.97719302574912259</v>
      </c>
      <c r="AL98" s="59">
        <f t="shared" si="15"/>
        <v>1.1213954215328821</v>
      </c>
      <c r="AM98" s="59">
        <f t="shared" si="16"/>
        <v>0.2737752340239985</v>
      </c>
      <c r="AN98" s="59">
        <f t="shared" si="17"/>
        <v>0.26017303547417692</v>
      </c>
      <c r="AO98" s="59">
        <f t="shared" si="18"/>
        <v>7.3230133841444681E-2</v>
      </c>
      <c r="AP98" s="59">
        <f t="shared" si="19"/>
        <v>0.3047425048569557</v>
      </c>
      <c r="AQ98" s="59">
        <f t="shared" si="4"/>
        <v>0.23929678856413292</v>
      </c>
      <c r="AR98" s="59">
        <f t="shared" si="5"/>
        <v>0.11667142484396097</v>
      </c>
      <c r="AS98" s="59">
        <f t="shared" si="6"/>
        <v>0.20652026023893802</v>
      </c>
      <c r="AT98" s="59">
        <f t="shared" si="7"/>
        <v>0.37483430915681465</v>
      </c>
      <c r="AU98" s="59">
        <f t="shared" si="8"/>
        <v>9.4607799718199687E-2</v>
      </c>
      <c r="AV98" s="59">
        <f t="shared" si="9"/>
        <v>4.236879944668908E-2</v>
      </c>
      <c r="AW98" s="59">
        <f t="shared" si="10"/>
        <v>2.2658977998531549E-2</v>
      </c>
      <c r="AX98" s="59">
        <f t="shared" si="11"/>
        <v>3.6059790912528311E-2</v>
      </c>
      <c r="AY98" s="59"/>
      <c r="AZ98" s="59"/>
      <c r="BA98" s="59"/>
      <c r="BB98" s="60">
        <f t="shared" si="3"/>
        <v>6.5566374526722671</v>
      </c>
    </row>
    <row r="99" spans="33:54" x14ac:dyDescent="0.2">
      <c r="AG99" s="5">
        <v>41789</v>
      </c>
      <c r="AH99" s="59">
        <f t="shared" si="2"/>
        <v>1.0835036556463171</v>
      </c>
      <c r="AI99" s="59">
        <f t="shared" si="12"/>
        <v>0.7002124523706551</v>
      </c>
      <c r="AJ99" s="59">
        <f t="shared" si="13"/>
        <v>0.57294983298639779</v>
      </c>
      <c r="AK99" s="59">
        <f t="shared" si="14"/>
        <v>0.97061017284856443</v>
      </c>
      <c r="AL99" s="59">
        <f t="shared" si="15"/>
        <v>1.0969639891718954</v>
      </c>
      <c r="AM99" s="59">
        <f t="shared" si="16"/>
        <v>0.26421584239640333</v>
      </c>
      <c r="AN99" s="59">
        <f t="shared" si="17"/>
        <v>0.24672951244591515</v>
      </c>
      <c r="AO99" s="59">
        <f t="shared" si="18"/>
        <v>7.1046246126799578E-2</v>
      </c>
      <c r="AP99" s="59">
        <f t="shared" si="19"/>
        <v>0.29285923767443872</v>
      </c>
      <c r="AQ99" s="59">
        <f t="shared" si="4"/>
        <v>0.22457067457249211</v>
      </c>
      <c r="AR99" s="59">
        <f t="shared" si="5"/>
        <v>0.10825939139049132</v>
      </c>
      <c r="AS99" s="59">
        <f t="shared" si="6"/>
        <v>0.19635525072818247</v>
      </c>
      <c r="AT99" s="59">
        <f t="shared" si="7"/>
        <v>0.34599761942709351</v>
      </c>
      <c r="AU99" s="59">
        <f t="shared" si="8"/>
        <v>8.7245825710077982E-2</v>
      </c>
      <c r="AV99" s="59">
        <f t="shared" si="9"/>
        <v>3.9706949746779838E-2</v>
      </c>
      <c r="AW99" s="59">
        <f t="shared" si="10"/>
        <v>2.1899674479509985E-2</v>
      </c>
      <c r="AX99" s="59">
        <f t="shared" si="11"/>
        <v>3.537148724851167E-2</v>
      </c>
      <c r="AY99" s="59"/>
      <c r="AZ99" s="59"/>
      <c r="BA99" s="59"/>
      <c r="BB99" s="60">
        <f t="shared" si="3"/>
        <v>6.3584978149705247</v>
      </c>
    </row>
    <row r="100" spans="33:54" x14ac:dyDescent="0.2">
      <c r="AG100" s="5">
        <v>41820</v>
      </c>
      <c r="AH100" s="59">
        <f t="shared" si="2"/>
        <v>1.0917711498345792</v>
      </c>
      <c r="AI100" s="59">
        <f t="shared" si="12"/>
        <v>0.71157902860434563</v>
      </c>
      <c r="AJ100" s="59">
        <f t="shared" si="13"/>
        <v>0.59293301124292974</v>
      </c>
      <c r="AK100" s="59">
        <f t="shared" si="14"/>
        <v>0.97557319338710191</v>
      </c>
      <c r="AL100" s="59">
        <f t="shared" si="15"/>
        <v>1.1142555311032307</v>
      </c>
      <c r="AM100" s="59">
        <f t="shared" si="16"/>
        <v>0.27061251951670995</v>
      </c>
      <c r="AN100" s="59">
        <f t="shared" si="17"/>
        <v>0.25705046190712605</v>
      </c>
      <c r="AO100" s="59">
        <f t="shared" si="18"/>
        <v>7.2201773928814786E-2</v>
      </c>
      <c r="AP100" s="59">
        <f t="shared" si="19"/>
        <v>0.30355571835292011</v>
      </c>
      <c r="AQ100" s="59">
        <f t="shared" si="4"/>
        <v>0.23611350523279079</v>
      </c>
      <c r="AR100" s="59">
        <f t="shared" si="5"/>
        <v>0.1151729873173447</v>
      </c>
      <c r="AS100" s="59">
        <f t="shared" si="6"/>
        <v>0.2024908212267828</v>
      </c>
      <c r="AT100" s="59">
        <f t="shared" si="7"/>
        <v>0.36272316921151676</v>
      </c>
      <c r="AU100" s="59">
        <f t="shared" si="8"/>
        <v>9.269478530957799E-2</v>
      </c>
      <c r="AV100" s="59">
        <f t="shared" si="9"/>
        <v>3.9758991857709869E-2</v>
      </c>
      <c r="AW100" s="59">
        <f t="shared" si="10"/>
        <v>2.222251007490849E-2</v>
      </c>
      <c r="AX100" s="59">
        <f t="shared" si="11"/>
        <v>3.5514866717344294E-2</v>
      </c>
      <c r="AY100" s="59"/>
      <c r="AZ100" s="59"/>
      <c r="BA100" s="59"/>
      <c r="BB100" s="60">
        <f t="shared" si="3"/>
        <v>6.4962240248257341</v>
      </c>
    </row>
    <row r="101" spans="33:54" x14ac:dyDescent="0.2">
      <c r="AG101" s="5">
        <v>41851</v>
      </c>
      <c r="AH101" s="59">
        <f t="shared" si="2"/>
        <v>1.093332651958093</v>
      </c>
      <c r="AI101" s="59">
        <f t="shared" si="12"/>
        <v>0.70951560671431757</v>
      </c>
      <c r="AJ101" s="59">
        <f t="shared" si="13"/>
        <v>0.59516645588581751</v>
      </c>
      <c r="AK101" s="59">
        <f t="shared" si="14"/>
        <v>0.97474994123397918</v>
      </c>
      <c r="AL101" s="59">
        <f t="shared" si="15"/>
        <v>1.1126356347904367</v>
      </c>
      <c r="AM101" s="59">
        <f t="shared" si="16"/>
        <v>0.27140837002554274</v>
      </c>
      <c r="AN101" s="59">
        <f t="shared" si="17"/>
        <v>0.25986906401552129</v>
      </c>
      <c r="AO101" s="59">
        <f t="shared" si="18"/>
        <v>7.260959153736346E-2</v>
      </c>
      <c r="AP101" s="59">
        <f t="shared" si="19"/>
        <v>0.30519306271336799</v>
      </c>
      <c r="AQ101" s="59">
        <f t="shared" si="4"/>
        <v>0.23989427704524668</v>
      </c>
      <c r="AR101" s="59">
        <f t="shared" si="5"/>
        <v>0.11826926180119013</v>
      </c>
      <c r="AS101" s="59">
        <f t="shared" si="6"/>
        <v>0.20381507322167958</v>
      </c>
      <c r="AT101" s="59">
        <f t="shared" si="7"/>
        <v>0.37163388347781723</v>
      </c>
      <c r="AU101" s="59">
        <f t="shared" si="8"/>
        <v>9.5847207768371384E-2</v>
      </c>
      <c r="AV101" s="59">
        <f t="shared" si="9"/>
        <v>4.1091691086516259E-2</v>
      </c>
      <c r="AW101" s="59">
        <f t="shared" si="10"/>
        <v>2.2771653140327943E-2</v>
      </c>
      <c r="AX101" s="59">
        <f t="shared" si="11"/>
        <v>3.61792155859764E-2</v>
      </c>
      <c r="AY101" s="59"/>
      <c r="AZ101" s="59"/>
      <c r="BA101" s="59"/>
      <c r="BB101" s="60">
        <f t="shared" si="3"/>
        <v>6.5239826420015659</v>
      </c>
    </row>
    <row r="102" spans="33:54" x14ac:dyDescent="0.2">
      <c r="AG102" s="5">
        <v>41880</v>
      </c>
      <c r="AH102" s="59">
        <f t="shared" si="2"/>
        <v>1.0691962412074429</v>
      </c>
      <c r="AI102" s="59">
        <f t="shared" si="12"/>
        <v>0.68275083545316895</v>
      </c>
      <c r="AJ102" s="59">
        <f t="shared" si="13"/>
        <v>0.54985191387592303</v>
      </c>
      <c r="AK102" s="59">
        <f t="shared" si="14"/>
        <v>0.95465595104672218</v>
      </c>
      <c r="AL102" s="59">
        <f t="shared" si="15"/>
        <v>1.0694638098154321</v>
      </c>
      <c r="AM102" s="59">
        <f t="shared" si="16"/>
        <v>0.25400565662718161</v>
      </c>
      <c r="AN102" s="59">
        <f t="shared" si="17"/>
        <v>0.24225546284739333</v>
      </c>
      <c r="AO102" s="59">
        <f t="shared" si="18"/>
        <v>6.8900464535951153E-2</v>
      </c>
      <c r="AP102" s="59">
        <f t="shared" si="19"/>
        <v>0.28783649733871997</v>
      </c>
      <c r="AQ102" s="59">
        <f t="shared" si="4"/>
        <v>0.22156952691511075</v>
      </c>
      <c r="AR102" s="59">
        <f t="shared" si="5"/>
        <v>0.11024335182149532</v>
      </c>
      <c r="AS102" s="59">
        <f t="shared" si="6"/>
        <v>0.19037184362981857</v>
      </c>
      <c r="AT102" s="59">
        <f t="shared" si="7"/>
        <v>0.339469744628627</v>
      </c>
      <c r="AU102" s="59">
        <f t="shared" si="8"/>
        <v>8.8988937001121954E-2</v>
      </c>
      <c r="AV102" s="59">
        <f t="shared" si="9"/>
        <v>3.8809950746744239E-2</v>
      </c>
      <c r="AW102" s="59">
        <f t="shared" si="10"/>
        <v>2.1694276914290565E-2</v>
      </c>
      <c r="AX102" s="59">
        <f t="shared" si="11"/>
        <v>3.5168714496397233E-2</v>
      </c>
      <c r="AY102" s="59"/>
      <c r="AZ102" s="59"/>
      <c r="BA102" s="59"/>
      <c r="BB102" s="60">
        <f t="shared" si="3"/>
        <v>6.2252331789015392</v>
      </c>
    </row>
    <row r="103" spans="33:54" x14ac:dyDescent="0.2">
      <c r="AG103" s="5">
        <v>41912</v>
      </c>
      <c r="AH103" s="59">
        <f t="shared" si="2"/>
        <v>1.0938305354451523</v>
      </c>
      <c r="AI103" s="59">
        <f t="shared" si="12"/>
        <v>0.70259160551232525</v>
      </c>
      <c r="AJ103" s="59">
        <f t="shared" si="13"/>
        <v>0.57887261657032718</v>
      </c>
      <c r="AK103" s="59">
        <f t="shared" si="14"/>
        <v>0.97838332653518978</v>
      </c>
      <c r="AL103" s="59">
        <f t="shared" si="15"/>
        <v>1.1064662325608958</v>
      </c>
      <c r="AM103" s="59">
        <f t="shared" si="16"/>
        <v>0.26428656159151176</v>
      </c>
      <c r="AN103" s="59">
        <f t="shared" si="17"/>
        <v>0.25810926832364006</v>
      </c>
      <c r="AO103" s="59">
        <f t="shared" si="18"/>
        <v>7.1615257880048716E-2</v>
      </c>
      <c r="AP103" s="59">
        <f t="shared" si="19"/>
        <v>0.29812487911525293</v>
      </c>
      <c r="AQ103" s="59">
        <f t="shared" si="4"/>
        <v>0.23650785013633344</v>
      </c>
      <c r="AR103" s="59">
        <f t="shared" si="5"/>
        <v>0.11804212329484702</v>
      </c>
      <c r="AS103" s="59">
        <f t="shared" si="6"/>
        <v>0.19880647587567762</v>
      </c>
      <c r="AT103" s="59">
        <f t="shared" si="7"/>
        <v>0.36519262659343643</v>
      </c>
      <c r="AU103" s="59">
        <f t="shared" si="8"/>
        <v>9.5365516018527607E-2</v>
      </c>
      <c r="AV103" s="59">
        <f t="shared" si="9"/>
        <v>3.9977285044976371E-2</v>
      </c>
      <c r="AW103" s="59">
        <f t="shared" si="10"/>
        <v>2.2234863879216585E-2</v>
      </c>
      <c r="AX103" s="59">
        <f t="shared" si="11"/>
        <v>3.56900190828289E-2</v>
      </c>
      <c r="AY103" s="59"/>
      <c r="AZ103" s="59"/>
      <c r="BA103" s="59"/>
      <c r="BB103" s="60">
        <f t="shared" si="3"/>
        <v>6.4640970434601881</v>
      </c>
    </row>
    <row r="104" spans="33:54" x14ac:dyDescent="0.2">
      <c r="AG104" s="5">
        <v>41943</v>
      </c>
      <c r="AH104" s="59">
        <f t="shared" si="2"/>
        <v>1.081179842101132</v>
      </c>
      <c r="AI104" s="59">
        <f t="shared" si="12"/>
        <v>0.68039580890653606</v>
      </c>
      <c r="AJ104" s="59">
        <f t="shared" si="13"/>
        <v>0.53751502215750091</v>
      </c>
      <c r="AK104" s="59">
        <f t="shared" si="14"/>
        <v>0.96382403377403125</v>
      </c>
      <c r="AL104" s="59">
        <f t="shared" si="15"/>
        <v>1.0706530083665671</v>
      </c>
      <c r="AM104" s="59">
        <f t="shared" si="16"/>
        <v>0.25132337010269207</v>
      </c>
      <c r="AN104" s="59">
        <f t="shared" si="17"/>
        <v>0.2434166163312092</v>
      </c>
      <c r="AO104" s="59">
        <f t="shared" si="18"/>
        <v>6.8554680358701242E-2</v>
      </c>
      <c r="AP104" s="59">
        <f t="shared" si="19"/>
        <v>0.28329835563819794</v>
      </c>
      <c r="AQ104" s="59">
        <f t="shared" si="4"/>
        <v>0.22146354171220478</v>
      </c>
      <c r="AR104" s="59">
        <f t="shared" si="5"/>
        <v>0.10899645547681223</v>
      </c>
      <c r="AS104" s="59">
        <f t="shared" si="6"/>
        <v>0.18513437981611455</v>
      </c>
      <c r="AT104" s="59">
        <f t="shared" si="7"/>
        <v>0.33831281015386488</v>
      </c>
      <c r="AU104" s="59">
        <f t="shared" si="8"/>
        <v>8.7673050741292891E-2</v>
      </c>
      <c r="AV104" s="59">
        <f t="shared" si="9"/>
        <v>3.7252482868642009E-2</v>
      </c>
      <c r="AW104" s="59">
        <f t="shared" si="10"/>
        <v>2.0895961779266649E-2</v>
      </c>
      <c r="AX104" s="59">
        <f t="shared" si="11"/>
        <v>3.4223433419580125E-2</v>
      </c>
      <c r="AY104" s="59"/>
      <c r="AZ104" s="59"/>
      <c r="BA104" s="59"/>
      <c r="BB104" s="60">
        <f t="shared" si="3"/>
        <v>6.2141128537043446</v>
      </c>
    </row>
    <row r="105" spans="33:54" x14ac:dyDescent="0.2">
      <c r="AG105" s="5">
        <v>41971</v>
      </c>
      <c r="AH105" s="59">
        <f t="shared" si="2"/>
        <v>1.0653493381387558</v>
      </c>
      <c r="AI105" s="59">
        <f t="shared" si="12"/>
        <v>0.65978037643805143</v>
      </c>
      <c r="AJ105" s="59">
        <f t="shared" si="13"/>
        <v>0.50690730565919517</v>
      </c>
      <c r="AK105" s="59">
        <f t="shared" si="14"/>
        <v>0.95006294781623546</v>
      </c>
      <c r="AL105" s="59">
        <f t="shared" si="15"/>
        <v>1.0383564783776702</v>
      </c>
      <c r="AM105" s="59">
        <f t="shared" si="16"/>
        <v>0.23930605793997087</v>
      </c>
      <c r="AN105" s="59">
        <f t="shared" si="17"/>
        <v>0.23256044547103166</v>
      </c>
      <c r="AO105" s="59">
        <f t="shared" si="18"/>
        <v>6.5697659735412098E-2</v>
      </c>
      <c r="AP105" s="59">
        <f t="shared" si="19"/>
        <v>0.26950978133154024</v>
      </c>
      <c r="AQ105" s="59">
        <f t="shared" si="4"/>
        <v>0.21084471827605902</v>
      </c>
      <c r="AR105" s="59">
        <f t="shared" si="5"/>
        <v>0.10444669077793835</v>
      </c>
      <c r="AS105" s="59">
        <f t="shared" si="6"/>
        <v>0.17339638107163677</v>
      </c>
      <c r="AT105" s="59">
        <f t="shared" si="7"/>
        <v>0.3177916017050153</v>
      </c>
      <c r="AU105" s="59">
        <f t="shared" si="8"/>
        <v>8.3533547596983129E-2</v>
      </c>
      <c r="AV105" s="59">
        <f t="shared" si="9"/>
        <v>3.5584822495201535E-2</v>
      </c>
      <c r="AW105" s="59">
        <f t="shared" si="10"/>
        <v>2.013873498678391E-2</v>
      </c>
      <c r="AX105" s="59">
        <f t="shared" si="11"/>
        <v>3.3303160483342358E-2</v>
      </c>
      <c r="AY105" s="59"/>
      <c r="AZ105" s="59"/>
      <c r="BA105" s="59"/>
      <c r="BB105" s="60">
        <f t="shared" si="3"/>
        <v>6.0065700483008229</v>
      </c>
    </row>
    <row r="106" spans="33:54" x14ac:dyDescent="0.2">
      <c r="AG106" s="5">
        <v>42004</v>
      </c>
      <c r="AH106" s="59">
        <f t="shared" si="2"/>
        <v>1.0234075933010409</v>
      </c>
      <c r="AI106" s="59">
        <f t="shared" si="12"/>
        <v>0.62833610958203212</v>
      </c>
      <c r="AJ106" s="59">
        <f t="shared" si="13"/>
        <v>0.4738786801682956</v>
      </c>
      <c r="AK106" s="59">
        <f t="shared" si="14"/>
        <v>0.92612544701697408</v>
      </c>
      <c r="AL106" s="59">
        <f t="shared" si="15"/>
        <v>1.0245769797706614</v>
      </c>
      <c r="AM106" s="59">
        <f t="shared" si="16"/>
        <v>0.23483559041789187</v>
      </c>
      <c r="AN106" s="59">
        <f t="shared" si="17"/>
        <v>0.2287499430878403</v>
      </c>
      <c r="AO106" s="59">
        <f t="shared" si="18"/>
        <v>6.4074062963634618E-2</v>
      </c>
      <c r="AP106" s="59">
        <f t="shared" si="19"/>
        <v>0.26393304273154949</v>
      </c>
      <c r="AQ106" s="59">
        <f t="shared" si="4"/>
        <v>0.20769633913564342</v>
      </c>
      <c r="AR106" s="59">
        <f t="shared" si="5"/>
        <v>0.10272147973520938</v>
      </c>
      <c r="AS106" s="59">
        <f t="shared" si="6"/>
        <v>0.16887636865971228</v>
      </c>
      <c r="AT106" s="59">
        <f t="shared" si="7"/>
        <v>0.31120228421153706</v>
      </c>
      <c r="AU106" s="59">
        <f t="shared" si="8"/>
        <v>8.1735472050247324E-2</v>
      </c>
      <c r="AV106" s="59">
        <f t="shared" si="9"/>
        <v>3.4818922759596665E-2</v>
      </c>
      <c r="AW106" s="59">
        <f t="shared" si="10"/>
        <v>1.9709302985268927E-2</v>
      </c>
      <c r="AX106" s="59">
        <f t="shared" si="11"/>
        <v>3.2842891623287886E-2</v>
      </c>
      <c r="AY106" s="59"/>
      <c r="AZ106" s="59"/>
      <c r="BA106" s="59"/>
      <c r="BB106" s="60">
        <f t="shared" si="3"/>
        <v>5.8275205102004231</v>
      </c>
    </row>
    <row r="107" spans="33:54" x14ac:dyDescent="0.2">
      <c r="AG107" s="5">
        <v>42034</v>
      </c>
      <c r="AH107" s="59">
        <f t="shared" si="2"/>
        <v>0.86471682324399735</v>
      </c>
      <c r="AI107" s="59">
        <f t="shared" si="12"/>
        <v>0.49813804190612171</v>
      </c>
      <c r="AJ107" s="59">
        <f t="shared" si="13"/>
        <v>0.35233473939329224</v>
      </c>
      <c r="AK107" s="59">
        <f t="shared" si="14"/>
        <v>0.78349674135629543</v>
      </c>
      <c r="AL107" s="59">
        <f t="shared" si="15"/>
        <v>0.82855726901999693</v>
      </c>
      <c r="AM107" s="59">
        <f t="shared" si="16"/>
        <v>0.18521755319484648</v>
      </c>
      <c r="AN107" s="59">
        <f t="shared" si="17"/>
        <v>0.18594184833939911</v>
      </c>
      <c r="AO107" s="59">
        <f t="shared" si="18"/>
        <v>5.0727751866455367E-2</v>
      </c>
      <c r="AP107" s="59">
        <f t="shared" si="19"/>
        <v>0.20822373685799217</v>
      </c>
      <c r="AQ107" s="59">
        <f t="shared" si="4"/>
        <v>0.16628102531840405</v>
      </c>
      <c r="AR107" s="59">
        <f t="shared" si="5"/>
        <v>8.5282923053993945E-2</v>
      </c>
      <c r="AS107" s="59">
        <f t="shared" si="6"/>
        <v>0.13107987980150451</v>
      </c>
      <c r="AT107" s="59">
        <f t="shared" si="7"/>
        <v>0.24678592959273041</v>
      </c>
      <c r="AU107" s="59">
        <f t="shared" si="8"/>
        <v>6.752664699090033E-2</v>
      </c>
      <c r="AV107" s="59">
        <f t="shared" si="9"/>
        <v>3.2144960957219477E-2</v>
      </c>
      <c r="AW107" s="59">
        <f t="shared" si="10"/>
        <v>1.851108374271514E-2</v>
      </c>
      <c r="AX107" s="59">
        <f t="shared" si="11"/>
        <v>3.1537375193686656E-2</v>
      </c>
      <c r="AY107" s="59"/>
      <c r="AZ107" s="59"/>
      <c r="BA107" s="59"/>
      <c r="BB107" s="60">
        <f t="shared" si="3"/>
        <v>4.7365043298295513</v>
      </c>
    </row>
    <row r="108" spans="33:54" x14ac:dyDescent="0.2">
      <c r="AG108" s="6">
        <v>42062</v>
      </c>
      <c r="AH108" s="59">
        <f t="shared" si="2"/>
        <v>0.97179287925741265</v>
      </c>
      <c r="AI108" s="59">
        <f t="shared" si="12"/>
        <v>0.58501771464030849</v>
      </c>
      <c r="AJ108" s="59">
        <f t="shared" si="13"/>
        <v>0.4296113207014976</v>
      </c>
      <c r="AK108" s="59">
        <f t="shared" si="14"/>
        <v>0.87852901445101417</v>
      </c>
      <c r="AL108" s="59">
        <f t="shared" si="15"/>
        <v>0.95588183948055983</v>
      </c>
      <c r="AM108" s="59">
        <f t="shared" si="16"/>
        <v>0.21955088432373646</v>
      </c>
      <c r="AN108" s="59">
        <f t="shared" si="17"/>
        <v>0.21498174990348967</v>
      </c>
      <c r="AO108" s="59">
        <f t="shared" si="18"/>
        <v>5.9956380687599148E-2</v>
      </c>
      <c r="AP108" s="59">
        <f t="shared" si="19"/>
        <v>0.24615221134035611</v>
      </c>
      <c r="AQ108" s="59">
        <f t="shared" si="4"/>
        <v>0.19489489948417257</v>
      </c>
      <c r="AR108" s="59">
        <f t="shared" si="5"/>
        <v>9.774436748060647E-2</v>
      </c>
      <c r="AS108" s="59">
        <f t="shared" si="6"/>
        <v>0.15853935961257695</v>
      </c>
      <c r="AT108" s="59">
        <f t="shared" si="7"/>
        <v>0.2928226975289755</v>
      </c>
      <c r="AU108" s="59">
        <f t="shared" si="8"/>
        <v>7.8056490466127018E-2</v>
      </c>
      <c r="AV108" s="59">
        <f t="shared" si="9"/>
        <v>3.6128655943699718E-2</v>
      </c>
      <c r="AW108" s="59">
        <f t="shared" si="10"/>
        <v>2.0585052040909928E-2</v>
      </c>
      <c r="AX108" s="59">
        <f t="shared" si="11"/>
        <v>3.4188755808712216E-2</v>
      </c>
      <c r="AY108" s="59"/>
      <c r="AZ108" s="59"/>
      <c r="BA108" s="59"/>
      <c r="BB108" s="60">
        <f t="shared" si="3"/>
        <v>5.474434273151755</v>
      </c>
    </row>
    <row r="109" spans="33:54" x14ac:dyDescent="0.2">
      <c r="AG109" s="6">
        <v>42094</v>
      </c>
      <c r="AH109" s="59">
        <f t="shared" ref="AH109" si="20">AH56*G56</f>
        <v>0.9536971210070706</v>
      </c>
      <c r="AI109" s="59">
        <f t="shared" ref="AI109" si="21">AI56*H56</f>
        <v>0.56768590477677916</v>
      </c>
      <c r="AJ109" s="59">
        <f t="shared" ref="AJ109" si="22">AJ56*I56</f>
        <v>0.40806698926730706</v>
      </c>
      <c r="AK109" s="59">
        <f t="shared" ref="AK109" si="23">AK56*J56</f>
        <v>0.86291389300530863</v>
      </c>
      <c r="AL109" s="59">
        <f t="shared" ref="AL109" si="24">AL56*K56</f>
        <v>0.93314420557377598</v>
      </c>
      <c r="AM109" s="59">
        <f t="shared" ref="AM109" si="25">AM56*L56</f>
        <v>0.21243766973844683</v>
      </c>
      <c r="AN109" s="59">
        <f t="shared" ref="AN109" si="26">AN56*M56</f>
        <v>0.2099388799551217</v>
      </c>
      <c r="AO109" s="59">
        <f t="shared" ref="AO109" si="27">AO56*N56</f>
        <v>5.8539445756144684E-2</v>
      </c>
      <c r="AP109" s="59">
        <f t="shared" ref="AP109" si="28">AP56*O56</f>
        <v>0.23752292798607533</v>
      </c>
      <c r="AQ109" s="59">
        <f t="shared" ref="AQ109" si="29">AQ56*P56</f>
        <v>0.18841963735571324</v>
      </c>
      <c r="AR109" s="59">
        <f t="shared" ref="AR109" si="30">AR56*Q56</f>
        <v>9.5004272551899707E-2</v>
      </c>
      <c r="AS109" s="59">
        <f t="shared" ref="AS109" si="31">AS56*R56</f>
        <v>0.15218970061032649</v>
      </c>
      <c r="AT109" s="59">
        <f t="shared" ref="AT109" si="32">AT56*S56</f>
        <v>0.28201673895621154</v>
      </c>
      <c r="AU109" s="59">
        <f t="shared" ref="AU109" si="33">AU56*T56</f>
        <v>7.6046667574628024E-2</v>
      </c>
      <c r="AV109" s="59">
        <f t="shared" ref="AV109" si="34">AV56*U56</f>
        <v>3.7273677664685069E-2</v>
      </c>
      <c r="AW109" s="59">
        <f t="shared" ref="AW109" si="35">AW56*V56</f>
        <v>2.1581606426178141E-2</v>
      </c>
      <c r="AX109" s="59">
        <f t="shared" ref="AX109" si="36">AX56*W56</f>
        <v>3.5564409122529672E-2</v>
      </c>
      <c r="AY109" s="59"/>
      <c r="AZ109" s="59"/>
      <c r="BA109" s="59"/>
      <c r="BB109" s="60">
        <f t="shared" si="3"/>
        <v>5.3320437473282016</v>
      </c>
    </row>
  </sheetData>
  <mergeCells count="2">
    <mergeCell ref="F6:Z6"/>
    <mergeCell ref="AG59:BB59"/>
  </mergeCells>
  <conditionalFormatting sqref="G8:Z56">
    <cfRule type="cellIs" dxfId="0" priority="1" operator="equal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F5:AA56"/>
  <sheetViews>
    <sheetView workbookViewId="0">
      <selection activeCell="F56" sqref="F56"/>
    </sheetView>
  </sheetViews>
  <sheetFormatPr defaultRowHeight="12.75" x14ac:dyDescent="0.2"/>
  <sheetData>
    <row r="5" spans="6:27" x14ac:dyDescent="0.2">
      <c r="G5">
        <v>3</v>
      </c>
      <c r="H5">
        <v>3.5</v>
      </c>
      <c r="I5">
        <v>4</v>
      </c>
      <c r="J5">
        <v>3</v>
      </c>
      <c r="K5">
        <v>3.5</v>
      </c>
      <c r="L5">
        <v>4</v>
      </c>
      <c r="M5">
        <v>4.5</v>
      </c>
      <c r="N5">
        <v>3.5</v>
      </c>
      <c r="O5">
        <v>4</v>
      </c>
      <c r="P5">
        <v>4.5</v>
      </c>
      <c r="Q5">
        <v>5</v>
      </c>
      <c r="R5">
        <v>4</v>
      </c>
      <c r="S5">
        <v>4.5</v>
      </c>
      <c r="T5">
        <v>5</v>
      </c>
      <c r="U5">
        <v>5.5</v>
      </c>
      <c r="V5">
        <v>6</v>
      </c>
      <c r="W5">
        <v>6.5</v>
      </c>
      <c r="X5">
        <v>4</v>
      </c>
      <c r="Y5">
        <v>4.5</v>
      </c>
      <c r="Z5">
        <v>5</v>
      </c>
    </row>
    <row r="6" spans="6:27" ht="15" x14ac:dyDescent="0.25">
      <c r="F6" s="64" t="s">
        <v>0</v>
      </c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6"/>
      <c r="AA6" s="21"/>
    </row>
    <row r="7" spans="6:27" ht="38.25" x14ac:dyDescent="0.2">
      <c r="F7" s="2" t="s">
        <v>1</v>
      </c>
      <c r="G7" s="2" t="s">
        <v>2</v>
      </c>
      <c r="H7" s="3" t="s">
        <v>3</v>
      </c>
      <c r="I7" s="3" t="s">
        <v>4</v>
      </c>
      <c r="J7" s="3" t="s">
        <v>5</v>
      </c>
      <c r="K7" s="3" t="s">
        <v>6</v>
      </c>
      <c r="L7" s="3" t="s">
        <v>7</v>
      </c>
      <c r="M7" s="3" t="s">
        <v>8</v>
      </c>
      <c r="N7" s="3" t="s">
        <v>9</v>
      </c>
      <c r="O7" s="3" t="s">
        <v>10</v>
      </c>
      <c r="P7" s="3" t="s">
        <v>11</v>
      </c>
      <c r="Q7" s="3" t="s">
        <v>12</v>
      </c>
      <c r="R7" s="3" t="s">
        <v>13</v>
      </c>
      <c r="S7" s="3" t="s">
        <v>14</v>
      </c>
      <c r="T7" s="3" t="s">
        <v>15</v>
      </c>
      <c r="U7" s="3" t="s">
        <v>16</v>
      </c>
      <c r="V7" s="3" t="s">
        <v>17</v>
      </c>
      <c r="W7" s="3" t="s">
        <v>18</v>
      </c>
      <c r="X7" s="2" t="s">
        <v>19</v>
      </c>
      <c r="Y7" s="3" t="s">
        <v>20</v>
      </c>
      <c r="Z7" s="3" t="s">
        <v>21</v>
      </c>
      <c r="AA7" s="4" t="s">
        <v>22</v>
      </c>
    </row>
    <row r="8" spans="6:27" x14ac:dyDescent="0.2">
      <c r="F8" s="5">
        <v>40633</v>
      </c>
      <c r="G8" s="7"/>
      <c r="H8" s="8"/>
      <c r="I8" s="8"/>
      <c r="J8" s="8"/>
      <c r="K8" s="8"/>
      <c r="L8" s="8"/>
      <c r="M8" s="8"/>
      <c r="N8" s="8">
        <v>24.809722220000001</v>
      </c>
      <c r="O8" s="8">
        <v>25.996111110000001</v>
      </c>
      <c r="P8" s="8">
        <v>26.182500000000001</v>
      </c>
      <c r="Q8" s="8">
        <v>25.970889890000002</v>
      </c>
      <c r="R8" s="8">
        <v>24.191111110000001</v>
      </c>
      <c r="S8" s="8">
        <v>24.448499999999999</v>
      </c>
      <c r="T8" s="8">
        <v>24.161889890000001</v>
      </c>
      <c r="U8" s="8">
        <v>20.548276780000002</v>
      </c>
      <c r="V8" s="8">
        <v>20.218666670000001</v>
      </c>
      <c r="W8" s="9">
        <v>21.327054560000001</v>
      </c>
      <c r="X8" s="10"/>
      <c r="Y8" s="8"/>
      <c r="Z8" s="9"/>
      <c r="AA8" s="11">
        <v>23.785472223000003</v>
      </c>
    </row>
    <row r="9" spans="6:27" x14ac:dyDescent="0.2">
      <c r="F9" s="5">
        <v>40662</v>
      </c>
      <c r="G9" s="10"/>
      <c r="H9" s="8"/>
      <c r="I9" s="8"/>
      <c r="J9" s="8"/>
      <c r="K9" s="8"/>
      <c r="L9" s="8"/>
      <c r="M9" s="8"/>
      <c r="N9" s="8">
        <v>24.928443440000002</v>
      </c>
      <c r="O9" s="8">
        <v>26.261222220000001</v>
      </c>
      <c r="P9" s="8">
        <v>26.347999999999999</v>
      </c>
      <c r="Q9" s="8">
        <v>26.527777780000001</v>
      </c>
      <c r="R9" s="8">
        <v>24.35122222</v>
      </c>
      <c r="S9" s="8">
        <v>24.707001000000002</v>
      </c>
      <c r="T9" s="8">
        <v>24.980776779999999</v>
      </c>
      <c r="U9" s="8">
        <v>20.86755556</v>
      </c>
      <c r="V9" s="8">
        <v>20.384334329999998</v>
      </c>
      <c r="W9" s="9">
        <v>21.451111109999999</v>
      </c>
      <c r="X9" s="10"/>
      <c r="Y9" s="8"/>
      <c r="Z9" s="9"/>
      <c r="AA9" s="12">
        <v>24.080744444</v>
      </c>
    </row>
    <row r="10" spans="6:27" x14ac:dyDescent="0.2">
      <c r="F10" s="5">
        <v>40694</v>
      </c>
      <c r="G10" s="10"/>
      <c r="H10" s="8"/>
      <c r="I10" s="8"/>
      <c r="J10" s="8"/>
      <c r="K10" s="8"/>
      <c r="L10" s="8"/>
      <c r="M10" s="8"/>
      <c r="N10" s="8">
        <v>25.422723220000002</v>
      </c>
      <c r="O10" s="8">
        <v>26.61711111</v>
      </c>
      <c r="P10" s="8">
        <v>26.538501</v>
      </c>
      <c r="Q10" s="8">
        <v>26.618888890000001</v>
      </c>
      <c r="R10" s="8">
        <v>24.668112110000003</v>
      </c>
      <c r="S10" s="8">
        <v>24.573499999999999</v>
      </c>
      <c r="T10" s="8">
        <v>24.595889890000002</v>
      </c>
      <c r="U10" s="8">
        <v>20.21627878</v>
      </c>
      <c r="V10" s="8">
        <v>20.484665669999998</v>
      </c>
      <c r="W10" s="9">
        <v>22.12805556</v>
      </c>
      <c r="X10" s="10"/>
      <c r="Y10" s="8"/>
      <c r="Z10" s="9"/>
      <c r="AA10" s="12">
        <v>24.186372623000004</v>
      </c>
    </row>
    <row r="11" spans="6:27" x14ac:dyDescent="0.2">
      <c r="F11" s="5">
        <v>40724</v>
      </c>
      <c r="G11" s="10"/>
      <c r="H11" s="8"/>
      <c r="I11" s="8"/>
      <c r="J11" s="8"/>
      <c r="K11" s="8"/>
      <c r="L11" s="8"/>
      <c r="M11" s="8"/>
      <c r="N11" s="8">
        <v>25.649722220000001</v>
      </c>
      <c r="O11" s="8">
        <v>26.88711211</v>
      </c>
      <c r="P11" s="8">
        <v>26.9175</v>
      </c>
      <c r="Q11" s="8">
        <v>27.333888890000001</v>
      </c>
      <c r="R11" s="8">
        <v>24.613111110000002</v>
      </c>
      <c r="S11" s="8">
        <v>24.581500000000002</v>
      </c>
      <c r="T11" s="8">
        <v>24.931887889999999</v>
      </c>
      <c r="U11" s="8">
        <v>20.29027778</v>
      </c>
      <c r="V11" s="8">
        <v>20.83666667</v>
      </c>
      <c r="W11" s="9">
        <v>22.460056559999998</v>
      </c>
      <c r="X11" s="10">
        <v>27.97711211</v>
      </c>
      <c r="Y11" s="8">
        <v>29.038501</v>
      </c>
      <c r="Z11" s="9">
        <v>29.380889889999999</v>
      </c>
      <c r="AA11" s="12">
        <v>25.453709709999998</v>
      </c>
    </row>
    <row r="12" spans="6:27" x14ac:dyDescent="0.2">
      <c r="F12" s="5">
        <v>40753</v>
      </c>
      <c r="G12" s="10"/>
      <c r="H12" s="8"/>
      <c r="I12" s="8"/>
      <c r="J12" s="8"/>
      <c r="K12" s="8"/>
      <c r="L12" s="8"/>
      <c r="M12" s="8"/>
      <c r="N12" s="8">
        <v>24.934722220000001</v>
      </c>
      <c r="O12" s="8">
        <v>25.72711211</v>
      </c>
      <c r="P12" s="8">
        <v>25.065498999999999</v>
      </c>
      <c r="Q12" s="8">
        <v>25.38888889</v>
      </c>
      <c r="R12" s="8">
        <v>23.320110110000002</v>
      </c>
      <c r="S12" s="8">
        <v>22.6755</v>
      </c>
      <c r="T12" s="8">
        <v>22.857888890000002</v>
      </c>
      <c r="U12" s="8">
        <v>19.352277780000001</v>
      </c>
      <c r="V12" s="8">
        <v>20.004666669999999</v>
      </c>
      <c r="W12" s="9">
        <v>21.84305556</v>
      </c>
      <c r="X12" s="10">
        <v>27.195110110000002</v>
      </c>
      <c r="Y12" s="8">
        <v>27.878501</v>
      </c>
      <c r="Z12" s="9">
        <v>27.794888889999999</v>
      </c>
      <c r="AA12" s="12">
        <v>24.15678624846154</v>
      </c>
    </row>
    <row r="13" spans="6:27" x14ac:dyDescent="0.2">
      <c r="F13" s="5">
        <v>40786</v>
      </c>
      <c r="G13" s="10"/>
      <c r="H13" s="8"/>
      <c r="I13" s="8"/>
      <c r="J13" s="8"/>
      <c r="K13" s="8"/>
      <c r="L13" s="8"/>
      <c r="M13" s="8"/>
      <c r="N13" s="8">
        <v>22.059722220000001</v>
      </c>
      <c r="O13" s="8">
        <v>21.273111110000002</v>
      </c>
      <c r="P13" s="8">
        <v>18.549500000000002</v>
      </c>
      <c r="Q13" s="8">
        <v>19.575888890000002</v>
      </c>
      <c r="R13" s="8">
        <v>19.336111110000001</v>
      </c>
      <c r="S13" s="8">
        <v>16.862500000000001</v>
      </c>
      <c r="T13" s="8">
        <v>17.419888889999999</v>
      </c>
      <c r="U13" s="8">
        <v>16.071277779999999</v>
      </c>
      <c r="V13" s="8">
        <v>17.44166667</v>
      </c>
      <c r="W13" s="9">
        <v>19.96805556</v>
      </c>
      <c r="X13" s="10">
        <v>24.22711211</v>
      </c>
      <c r="Y13" s="8">
        <v>23.784501000000002</v>
      </c>
      <c r="Z13" s="9">
        <v>23.15488989</v>
      </c>
      <c r="AA13" s="12">
        <v>19.97878655615385</v>
      </c>
    </row>
    <row r="14" spans="6:27" x14ac:dyDescent="0.2">
      <c r="F14" s="5">
        <v>40816</v>
      </c>
      <c r="G14" s="10"/>
      <c r="H14" s="8"/>
      <c r="I14" s="8"/>
      <c r="J14" s="8"/>
      <c r="K14" s="8"/>
      <c r="L14" s="8"/>
      <c r="M14" s="8"/>
      <c r="N14" s="8">
        <v>18.423166670000001</v>
      </c>
      <c r="O14" s="8">
        <v>16.92133333</v>
      </c>
      <c r="P14" s="8">
        <v>15.1685</v>
      </c>
      <c r="Q14" s="8">
        <v>16.682667670000001</v>
      </c>
      <c r="R14" s="8">
        <v>14.93633333</v>
      </c>
      <c r="S14" s="8">
        <v>13.3095</v>
      </c>
      <c r="T14" s="8">
        <v>14.33866667</v>
      </c>
      <c r="U14" s="8">
        <v>13.070833329999999</v>
      </c>
      <c r="V14" s="8">
        <v>14.693999999999999</v>
      </c>
      <c r="W14" s="9">
        <v>17.441166670000001</v>
      </c>
      <c r="X14" s="10">
        <v>21.483333330000001</v>
      </c>
      <c r="Y14" s="8">
        <v>20.4815</v>
      </c>
      <c r="Z14" s="9">
        <v>19.32266667</v>
      </c>
      <c r="AA14" s="12">
        <v>16.636435974615384</v>
      </c>
    </row>
    <row r="15" spans="6:27" x14ac:dyDescent="0.2">
      <c r="F15" s="5">
        <v>40847</v>
      </c>
      <c r="G15" s="10"/>
      <c r="H15" s="8"/>
      <c r="I15" s="8"/>
      <c r="J15" s="8"/>
      <c r="K15" s="8"/>
      <c r="L15" s="8"/>
      <c r="M15" s="8"/>
      <c r="N15" s="8">
        <v>18.106723220000003</v>
      </c>
      <c r="O15" s="8">
        <v>16.695110110000002</v>
      </c>
      <c r="P15" s="8">
        <v>16.362500000000001</v>
      </c>
      <c r="Q15" s="8">
        <v>19.26388889</v>
      </c>
      <c r="R15" s="8">
        <v>15.273111109999999</v>
      </c>
      <c r="S15" s="8">
        <v>14.143500000000001</v>
      </c>
      <c r="T15" s="8">
        <v>17.044888889999999</v>
      </c>
      <c r="U15" s="8">
        <v>12.99327778</v>
      </c>
      <c r="V15" s="8">
        <v>14.44166667</v>
      </c>
      <c r="W15" s="9">
        <v>16.874055559999999</v>
      </c>
      <c r="X15" s="10">
        <v>21.930111110000002</v>
      </c>
      <c r="Y15" s="8">
        <v>21.0185</v>
      </c>
      <c r="Z15" s="9">
        <v>20.732888890000002</v>
      </c>
      <c r="AA15" s="12">
        <v>17.298478633076922</v>
      </c>
    </row>
    <row r="16" spans="6:27" x14ac:dyDescent="0.2">
      <c r="F16" s="5">
        <v>40877</v>
      </c>
      <c r="G16" s="10"/>
      <c r="H16" s="8"/>
      <c r="I16" s="8"/>
      <c r="J16" s="8"/>
      <c r="K16" s="8"/>
      <c r="L16" s="8"/>
      <c r="M16" s="8"/>
      <c r="N16" s="8">
        <v>17.684722220000001</v>
      </c>
      <c r="O16" s="8">
        <v>16.22711211</v>
      </c>
      <c r="P16" s="8">
        <v>16.737500000000001</v>
      </c>
      <c r="Q16" s="8">
        <v>19.919888889999999</v>
      </c>
      <c r="R16" s="8">
        <v>14.320111109999999</v>
      </c>
      <c r="S16" s="8">
        <v>13.8315</v>
      </c>
      <c r="T16" s="8">
        <v>17.372887890000001</v>
      </c>
      <c r="U16" s="8">
        <v>13.63427778</v>
      </c>
      <c r="V16" s="8">
        <v>15.472666670000001</v>
      </c>
      <c r="W16" s="9">
        <v>17.749055559999999</v>
      </c>
      <c r="X16" s="10">
        <v>21.555111110000002</v>
      </c>
      <c r="Y16" s="8">
        <v>20.815498999999999</v>
      </c>
      <c r="Z16" s="9">
        <v>20.997887890000001</v>
      </c>
      <c r="AA16" s="12">
        <v>17.409093863846156</v>
      </c>
    </row>
    <row r="17" spans="6:27" x14ac:dyDescent="0.2">
      <c r="F17" s="5">
        <v>40907</v>
      </c>
      <c r="G17" s="10"/>
      <c r="H17" s="8"/>
      <c r="I17" s="8"/>
      <c r="J17" s="8"/>
      <c r="K17" s="8"/>
      <c r="L17" s="8"/>
      <c r="M17" s="8"/>
      <c r="N17" s="8">
        <v>17.18816567</v>
      </c>
      <c r="O17" s="8">
        <v>15.842333330000001</v>
      </c>
      <c r="P17" s="8">
        <v>16.7315</v>
      </c>
      <c r="Q17" s="8">
        <v>19.853666670000003</v>
      </c>
      <c r="R17" s="8">
        <v>13.639333330000001</v>
      </c>
      <c r="S17" s="8">
        <v>13.528499999999999</v>
      </c>
      <c r="T17" s="8">
        <v>16.932667670000001</v>
      </c>
      <c r="U17" s="8">
        <v>12.882833329999999</v>
      </c>
      <c r="V17" s="8">
        <v>15.006</v>
      </c>
      <c r="W17" s="9">
        <v>17.363165670000001</v>
      </c>
      <c r="X17" s="10">
        <v>21.217332330000001</v>
      </c>
      <c r="Y17" s="8">
        <v>20.340498999999998</v>
      </c>
      <c r="Z17" s="9">
        <v>20.635666670000003</v>
      </c>
      <c r="AA17" s="12">
        <v>17.012435666923075</v>
      </c>
    </row>
    <row r="18" spans="6:27" x14ac:dyDescent="0.2">
      <c r="F18" s="5">
        <v>40939</v>
      </c>
      <c r="G18" s="10"/>
      <c r="H18" s="8"/>
      <c r="I18" s="8"/>
      <c r="J18" s="8"/>
      <c r="K18" s="8"/>
      <c r="L18" s="8"/>
      <c r="M18" s="8"/>
      <c r="N18" s="8">
        <v>16.059722220000001</v>
      </c>
      <c r="O18" s="8">
        <v>14.539111109999999</v>
      </c>
      <c r="P18" s="8">
        <v>15.237500000000001</v>
      </c>
      <c r="Q18" s="8">
        <v>17.951888889999999</v>
      </c>
      <c r="R18" s="8">
        <v>12.023111109999999</v>
      </c>
      <c r="S18" s="8">
        <v>12.159500000000001</v>
      </c>
      <c r="T18" s="8">
        <v>15.10788889</v>
      </c>
      <c r="U18" s="8">
        <v>12.50927778</v>
      </c>
      <c r="V18" s="8">
        <v>14.30066667</v>
      </c>
      <c r="W18" s="9">
        <v>16.84305556</v>
      </c>
      <c r="X18" s="10">
        <v>19.945110110000002</v>
      </c>
      <c r="Y18" s="8">
        <v>18.8935</v>
      </c>
      <c r="Z18" s="9">
        <v>18.52988989</v>
      </c>
      <c r="AA18" s="12">
        <v>15.700017094615387</v>
      </c>
    </row>
    <row r="19" spans="6:27" x14ac:dyDescent="0.2">
      <c r="F19" s="5">
        <v>40968</v>
      </c>
      <c r="G19" s="10"/>
      <c r="H19" s="8"/>
      <c r="I19" s="8"/>
      <c r="J19" s="8"/>
      <c r="K19" s="8"/>
      <c r="L19" s="8"/>
      <c r="M19" s="8"/>
      <c r="N19" s="8">
        <v>17.903722220000002</v>
      </c>
      <c r="O19" s="8">
        <v>16.836111110000001</v>
      </c>
      <c r="P19" s="8">
        <v>17.206500000000002</v>
      </c>
      <c r="Q19" s="8">
        <v>19.77988989</v>
      </c>
      <c r="R19" s="8">
        <v>13.63311111</v>
      </c>
      <c r="S19" s="8">
        <v>13.753500000000001</v>
      </c>
      <c r="T19" s="8">
        <v>16.65488989</v>
      </c>
      <c r="U19" s="8">
        <v>13.41527778</v>
      </c>
      <c r="V19" s="8">
        <v>15.45766667</v>
      </c>
      <c r="W19" s="9">
        <v>17.765056560000001</v>
      </c>
      <c r="X19" s="10">
        <v>20.680111110000002</v>
      </c>
      <c r="Y19" s="8">
        <v>19.799500000000002</v>
      </c>
      <c r="Z19" s="9">
        <v>19.169888889999999</v>
      </c>
      <c r="AA19" s="12">
        <v>17.081171171538465</v>
      </c>
    </row>
    <row r="20" spans="6:27" x14ac:dyDescent="0.2">
      <c r="F20" s="5">
        <v>40998</v>
      </c>
      <c r="G20" s="10"/>
      <c r="H20" s="8"/>
      <c r="I20" s="8"/>
      <c r="J20" s="8"/>
      <c r="K20" s="8"/>
      <c r="L20" s="8">
        <v>20.378222219999998</v>
      </c>
      <c r="M20" s="8">
        <v>20.733999000000001</v>
      </c>
      <c r="N20" s="8">
        <v>19.663444440000003</v>
      </c>
      <c r="O20" s="8">
        <v>18.83122122</v>
      </c>
      <c r="P20" s="8">
        <v>18.812000000000001</v>
      </c>
      <c r="Q20" s="8">
        <v>21.41877878</v>
      </c>
      <c r="R20" s="8">
        <v>15.722222220000001</v>
      </c>
      <c r="S20" s="8">
        <v>15.327999999999999</v>
      </c>
      <c r="T20" s="8">
        <v>18.511776780000002</v>
      </c>
      <c r="U20" s="8">
        <v>14.11755556</v>
      </c>
      <c r="V20" s="8">
        <v>16.30233333</v>
      </c>
      <c r="W20" s="9">
        <v>18.580111110000001</v>
      </c>
      <c r="X20" s="10">
        <v>21.363223219999998</v>
      </c>
      <c r="Y20" s="8">
        <v>20.655999999999999</v>
      </c>
      <c r="Z20" s="9">
        <v>20.730776779999999</v>
      </c>
      <c r="AA20" s="12">
        <v>18.743310977333334</v>
      </c>
    </row>
    <row r="21" spans="6:27" x14ac:dyDescent="0.2">
      <c r="F21" s="5">
        <v>41029</v>
      </c>
      <c r="G21" s="10"/>
      <c r="H21" s="8"/>
      <c r="I21" s="8"/>
      <c r="J21" s="8"/>
      <c r="K21" s="8"/>
      <c r="L21" s="8">
        <v>19.070110110000002</v>
      </c>
      <c r="M21" s="8">
        <v>19.3935</v>
      </c>
      <c r="N21" s="8">
        <v>18.309722220000001</v>
      </c>
      <c r="O21" s="8">
        <v>17.539110109999999</v>
      </c>
      <c r="P21" s="8">
        <v>17.440498999999999</v>
      </c>
      <c r="Q21" s="8">
        <v>20.716887889999999</v>
      </c>
      <c r="R21" s="8">
        <v>14.50811111</v>
      </c>
      <c r="S21" s="8">
        <v>14.0815</v>
      </c>
      <c r="T21" s="8">
        <v>17.857888890000002</v>
      </c>
      <c r="U21" s="8">
        <v>13.54027778</v>
      </c>
      <c r="V21" s="8">
        <v>15.628666669999999</v>
      </c>
      <c r="W21" s="9">
        <v>19.109056559999999</v>
      </c>
      <c r="X21" s="10">
        <v>20.36711111</v>
      </c>
      <c r="Y21" s="8">
        <v>19.7685</v>
      </c>
      <c r="Z21" s="9">
        <v>19.90488989</v>
      </c>
      <c r="AA21" s="12">
        <v>17.815722089333335</v>
      </c>
    </row>
    <row r="22" spans="6:27" x14ac:dyDescent="0.2">
      <c r="F22" s="5">
        <v>41060</v>
      </c>
      <c r="G22" s="10"/>
      <c r="H22" s="8"/>
      <c r="I22" s="8"/>
      <c r="J22" s="8"/>
      <c r="K22" s="8"/>
      <c r="L22" s="8">
        <v>16.711111110000001</v>
      </c>
      <c r="M22" s="8">
        <v>17.237500000000001</v>
      </c>
      <c r="N22" s="8">
        <v>15.418722219999999</v>
      </c>
      <c r="O22" s="8">
        <v>15.023111109999999</v>
      </c>
      <c r="P22" s="8">
        <v>15.268500000000001</v>
      </c>
      <c r="Q22" s="8">
        <v>18.747887890000001</v>
      </c>
      <c r="R22" s="8">
        <v>11.89911111</v>
      </c>
      <c r="S22" s="8">
        <v>12.128500000000001</v>
      </c>
      <c r="T22" s="8">
        <v>15.98288889</v>
      </c>
      <c r="U22" s="8">
        <v>12.18127778</v>
      </c>
      <c r="V22" s="8">
        <v>14.19166667</v>
      </c>
      <c r="W22" s="9">
        <v>18.312055560000001</v>
      </c>
      <c r="X22" s="10">
        <v>18.711111110000001</v>
      </c>
      <c r="Y22" s="8">
        <v>18.081500000000002</v>
      </c>
      <c r="Z22" s="9">
        <v>18.232888890000002</v>
      </c>
      <c r="AA22" s="12">
        <v>15.875188822666665</v>
      </c>
    </row>
    <row r="23" spans="6:27" x14ac:dyDescent="0.2">
      <c r="F23" s="5">
        <v>41089</v>
      </c>
      <c r="G23" s="10"/>
      <c r="H23" s="8"/>
      <c r="I23" s="8"/>
      <c r="J23" s="8"/>
      <c r="K23" s="8"/>
      <c r="L23" s="8">
        <v>16.410222219999998</v>
      </c>
      <c r="M23" s="8">
        <v>17.327998999999998</v>
      </c>
      <c r="N23" s="8">
        <v>15.83544444</v>
      </c>
      <c r="O23" s="8">
        <v>15.42522222</v>
      </c>
      <c r="P23" s="8">
        <v>15.766</v>
      </c>
      <c r="Q23" s="8">
        <v>19.04377878</v>
      </c>
      <c r="R23" s="8">
        <v>12.519222220000001</v>
      </c>
      <c r="S23" s="8">
        <v>12.968999999999999</v>
      </c>
      <c r="T23" s="8">
        <v>16.386776780000002</v>
      </c>
      <c r="U23" s="8">
        <v>12.30555556</v>
      </c>
      <c r="V23" s="8">
        <v>14.06733333</v>
      </c>
      <c r="W23" s="9">
        <v>17.84511011</v>
      </c>
      <c r="X23" s="10">
        <v>18.878222219999998</v>
      </c>
      <c r="Y23" s="8">
        <v>18.297001000000002</v>
      </c>
      <c r="Z23" s="9">
        <v>18.386776780000002</v>
      </c>
      <c r="AA23" s="12">
        <v>16.097577643999998</v>
      </c>
    </row>
    <row r="24" spans="6:27" x14ac:dyDescent="0.2">
      <c r="F24" s="5">
        <v>41121</v>
      </c>
      <c r="G24" s="10"/>
      <c r="H24" s="8"/>
      <c r="I24" s="8"/>
      <c r="J24" s="8"/>
      <c r="K24" s="8"/>
      <c r="L24" s="8">
        <v>15.227111109999999</v>
      </c>
      <c r="M24" s="8">
        <v>17.612500000000001</v>
      </c>
      <c r="N24" s="8">
        <v>13.825722219999999</v>
      </c>
      <c r="O24" s="8">
        <v>14.711111109999999</v>
      </c>
      <c r="P24" s="8">
        <v>15.8155</v>
      </c>
      <c r="Q24" s="8">
        <v>18.935889890000002</v>
      </c>
      <c r="R24" s="8">
        <v>12.211111109999999</v>
      </c>
      <c r="S24" s="8">
        <v>13.128500000000001</v>
      </c>
      <c r="T24" s="8">
        <v>16.247888889999999</v>
      </c>
      <c r="U24" s="8">
        <v>12.27427778</v>
      </c>
      <c r="V24" s="8">
        <v>13.894666669999999</v>
      </c>
      <c r="W24" s="9">
        <v>18.109056559999999</v>
      </c>
      <c r="X24" s="10">
        <v>18.055111110000002</v>
      </c>
      <c r="Y24" s="8">
        <v>17.940498999999999</v>
      </c>
      <c r="Z24" s="9">
        <v>17.997887890000001</v>
      </c>
      <c r="AA24" s="12">
        <v>15.732455555999998</v>
      </c>
    </row>
    <row r="25" spans="6:27" x14ac:dyDescent="0.2">
      <c r="F25" s="5">
        <v>41152</v>
      </c>
      <c r="G25" s="10"/>
      <c r="H25" s="8"/>
      <c r="I25" s="8"/>
      <c r="J25" s="8"/>
      <c r="K25" s="8"/>
      <c r="L25" s="8">
        <v>16.510445439999998</v>
      </c>
      <c r="M25" s="8">
        <v>18.541000999999998</v>
      </c>
      <c r="N25" s="8">
        <v>14.94788889</v>
      </c>
      <c r="O25" s="8">
        <v>15.80644444</v>
      </c>
      <c r="P25" s="8">
        <v>16.524999999999999</v>
      </c>
      <c r="Q25" s="8">
        <v>19.836555559999997</v>
      </c>
      <c r="R25" s="8">
        <v>13.244444440000001</v>
      </c>
      <c r="S25" s="8">
        <v>14.056000000000001</v>
      </c>
      <c r="T25" s="8">
        <v>17.508554559999997</v>
      </c>
      <c r="U25" s="8">
        <v>12.75811111</v>
      </c>
      <c r="V25" s="8">
        <v>14.46066667</v>
      </c>
      <c r="W25" s="9">
        <v>18.303222219999999</v>
      </c>
      <c r="X25" s="10">
        <v>18.869444439999999</v>
      </c>
      <c r="Y25" s="8">
        <v>18.805999999999997</v>
      </c>
      <c r="Z25" s="9">
        <v>19.086555559999997</v>
      </c>
      <c r="AA25" s="12">
        <v>16.617355621999998</v>
      </c>
    </row>
    <row r="26" spans="6:27" x14ac:dyDescent="0.2">
      <c r="F26" s="5">
        <v>41180</v>
      </c>
      <c r="G26" s="10"/>
      <c r="H26" s="8"/>
      <c r="I26" s="8"/>
      <c r="J26" s="8"/>
      <c r="K26" s="8"/>
      <c r="L26" s="8">
        <v>13.773111109999999</v>
      </c>
      <c r="M26" s="8">
        <v>16.0185</v>
      </c>
      <c r="N26" s="8">
        <v>11.73172222</v>
      </c>
      <c r="O26" s="8">
        <v>13.14911111</v>
      </c>
      <c r="P26" s="8">
        <v>14.393500000000001</v>
      </c>
      <c r="Q26" s="8">
        <v>18.872887890000001</v>
      </c>
      <c r="R26" s="8">
        <v>11.227111109999999</v>
      </c>
      <c r="S26" s="8">
        <v>12.425500000000001</v>
      </c>
      <c r="T26" s="8">
        <v>16.701888889999999</v>
      </c>
      <c r="U26" s="8">
        <v>11.74327778</v>
      </c>
      <c r="V26" s="8">
        <v>13.910666669999999</v>
      </c>
      <c r="W26" s="9">
        <v>17.655055560000001</v>
      </c>
      <c r="X26" s="10">
        <v>17.445110110000002</v>
      </c>
      <c r="Y26" s="8">
        <v>17.299500000000002</v>
      </c>
      <c r="Z26" s="9">
        <v>18.40488989</v>
      </c>
      <c r="AA26" s="12">
        <v>14.983455489333332</v>
      </c>
    </row>
    <row r="27" spans="6:27" x14ac:dyDescent="0.2">
      <c r="F27" s="5">
        <v>41213</v>
      </c>
      <c r="G27" s="10"/>
      <c r="H27" s="8"/>
      <c r="I27" s="8"/>
      <c r="J27" s="8"/>
      <c r="K27" s="8"/>
      <c r="L27" s="8">
        <v>13.89911111</v>
      </c>
      <c r="M27" s="8">
        <v>16.596499000000001</v>
      </c>
      <c r="N27" s="8">
        <v>11.85672222</v>
      </c>
      <c r="O27" s="8">
        <v>13.39911111</v>
      </c>
      <c r="P27" s="8">
        <v>15.0815</v>
      </c>
      <c r="Q27" s="8">
        <v>18.716887889999999</v>
      </c>
      <c r="R27" s="8">
        <v>11.24211111</v>
      </c>
      <c r="S27" s="8">
        <v>12.8315</v>
      </c>
      <c r="T27" s="8">
        <v>16.747887890000001</v>
      </c>
      <c r="U27" s="8">
        <v>12.353277780000001</v>
      </c>
      <c r="V27" s="8">
        <v>14.58266667</v>
      </c>
      <c r="W27" s="9">
        <v>17.906055559999999</v>
      </c>
      <c r="X27" s="10">
        <v>17.52411111</v>
      </c>
      <c r="Y27" s="8">
        <v>17.659501000000002</v>
      </c>
      <c r="Z27" s="9">
        <v>19.044888889999999</v>
      </c>
      <c r="AA27" s="12">
        <v>15.296122089333336</v>
      </c>
    </row>
    <row r="28" spans="6:27" x14ac:dyDescent="0.2">
      <c r="F28" s="5">
        <v>41243</v>
      </c>
      <c r="G28" s="10"/>
      <c r="H28" s="8"/>
      <c r="I28" s="8"/>
      <c r="J28" s="8"/>
      <c r="K28" s="8"/>
      <c r="L28" s="8">
        <v>13.858333330000001</v>
      </c>
      <c r="M28" s="8">
        <v>15.4505</v>
      </c>
      <c r="N28" s="8">
        <v>12.032166669999999</v>
      </c>
      <c r="O28" s="8">
        <v>13.124333330000001</v>
      </c>
      <c r="P28" s="8">
        <v>14.4345</v>
      </c>
      <c r="Q28" s="8">
        <v>17.44766667</v>
      </c>
      <c r="R28" s="8">
        <v>10.842333330000001</v>
      </c>
      <c r="S28" s="8">
        <v>12.0595</v>
      </c>
      <c r="T28" s="8">
        <v>15.32266667</v>
      </c>
      <c r="U28" s="8">
        <v>11.304833329999999</v>
      </c>
      <c r="V28" s="8">
        <v>13.631</v>
      </c>
      <c r="W28" s="9">
        <v>16.817166669999999</v>
      </c>
      <c r="X28" s="10">
        <v>17.233333330000001</v>
      </c>
      <c r="Y28" s="8">
        <v>17.2315</v>
      </c>
      <c r="Z28" s="9">
        <v>18.49466567</v>
      </c>
      <c r="AA28" s="12">
        <v>14.6189666</v>
      </c>
    </row>
    <row r="29" spans="6:27" x14ac:dyDescent="0.2">
      <c r="F29" s="5">
        <v>41274</v>
      </c>
      <c r="G29" s="10"/>
      <c r="H29" s="8"/>
      <c r="I29" s="8"/>
      <c r="J29" s="8"/>
      <c r="K29" s="8"/>
      <c r="L29" s="8">
        <v>14.238222220000001</v>
      </c>
      <c r="M29" s="8">
        <v>16.094000000000001</v>
      </c>
      <c r="N29" s="8">
        <v>12.24144444</v>
      </c>
      <c r="O29" s="8">
        <v>13.30022222</v>
      </c>
      <c r="P29" s="8">
        <v>14.922000000000001</v>
      </c>
      <c r="Q29" s="8">
        <v>17.824778780000003</v>
      </c>
      <c r="R29" s="8">
        <v>11.31622222</v>
      </c>
      <c r="S29" s="8">
        <v>12.843999999999999</v>
      </c>
      <c r="T29" s="8">
        <v>15.652777779999999</v>
      </c>
      <c r="U29" s="8">
        <v>11.993555560000001</v>
      </c>
      <c r="V29" s="8">
        <v>14.30233333</v>
      </c>
      <c r="W29" s="9">
        <v>17.330111110000001</v>
      </c>
      <c r="X29" s="10">
        <v>17.56622222</v>
      </c>
      <c r="Y29" s="8">
        <v>17.452998999999998</v>
      </c>
      <c r="Z29" s="9">
        <v>18.761776780000002</v>
      </c>
      <c r="AA29" s="12">
        <v>15.056044377333333</v>
      </c>
    </row>
    <row r="30" spans="6:27" x14ac:dyDescent="0.2">
      <c r="F30" s="5">
        <v>41305</v>
      </c>
      <c r="G30" s="10"/>
      <c r="H30" s="8"/>
      <c r="I30" s="8"/>
      <c r="J30" s="8"/>
      <c r="K30" s="8"/>
      <c r="L30" s="8">
        <v>16.383112110000003</v>
      </c>
      <c r="M30" s="8">
        <v>17.471499000000001</v>
      </c>
      <c r="N30" s="8">
        <v>14.809722219999999</v>
      </c>
      <c r="O30" s="8">
        <v>15.36711111</v>
      </c>
      <c r="P30" s="8">
        <v>16.1905</v>
      </c>
      <c r="Q30" s="8">
        <v>18.122887890000001</v>
      </c>
      <c r="R30" s="8">
        <v>13.070111109999999</v>
      </c>
      <c r="S30" s="8">
        <v>13.643500000000001</v>
      </c>
      <c r="T30" s="8">
        <v>15.919888890000001</v>
      </c>
      <c r="U30" s="8">
        <v>12.087277780000001</v>
      </c>
      <c r="V30" s="8">
        <v>13.894666669999999</v>
      </c>
      <c r="W30" s="9">
        <v>16.687055560000001</v>
      </c>
      <c r="X30" s="10">
        <v>18.789110109999999</v>
      </c>
      <c r="Y30" s="8">
        <v>18.6755</v>
      </c>
      <c r="Z30" s="9">
        <v>19.51388889</v>
      </c>
      <c r="AA30" s="12">
        <v>16.041722089333334</v>
      </c>
    </row>
    <row r="31" spans="6:27" x14ac:dyDescent="0.2">
      <c r="F31" s="5">
        <v>41333</v>
      </c>
      <c r="G31" s="10"/>
      <c r="H31" s="8"/>
      <c r="I31" s="8"/>
      <c r="J31" s="8"/>
      <c r="K31" s="8"/>
      <c r="L31" s="8">
        <v>16.070111109999999</v>
      </c>
      <c r="M31" s="8">
        <v>17.315498999999999</v>
      </c>
      <c r="N31" s="8">
        <v>15.12272222</v>
      </c>
      <c r="O31" s="8">
        <v>15.195111109999999</v>
      </c>
      <c r="P31" s="8">
        <v>16.096499999999999</v>
      </c>
      <c r="Q31" s="8">
        <v>17.90488989</v>
      </c>
      <c r="R31" s="8">
        <v>13.070111109999999</v>
      </c>
      <c r="S31" s="8">
        <v>13.628500000000001</v>
      </c>
      <c r="T31" s="8">
        <v>16.060888890000001</v>
      </c>
      <c r="U31" s="8">
        <v>12.337277780000001</v>
      </c>
      <c r="V31" s="8">
        <v>13.894666669999999</v>
      </c>
      <c r="W31" s="9">
        <v>16.327055560000002</v>
      </c>
      <c r="X31" s="10">
        <v>18.820110110000002</v>
      </c>
      <c r="Y31" s="8">
        <v>18.799500000000002</v>
      </c>
      <c r="Z31" s="9">
        <v>19.52988989</v>
      </c>
      <c r="AA31" s="12">
        <v>16.011522222666663</v>
      </c>
    </row>
    <row r="32" spans="6:27" x14ac:dyDescent="0.2">
      <c r="F32" s="5">
        <v>41361</v>
      </c>
      <c r="G32" s="10"/>
      <c r="H32" s="8"/>
      <c r="I32" s="8"/>
      <c r="J32" s="8">
        <v>19.033333330000001</v>
      </c>
      <c r="K32" s="8">
        <v>19.26272122</v>
      </c>
      <c r="L32" s="8">
        <v>17.14911111</v>
      </c>
      <c r="M32" s="8">
        <v>17.862500000000001</v>
      </c>
      <c r="N32" s="8">
        <v>16.46572222</v>
      </c>
      <c r="O32" s="8">
        <v>16.22711211</v>
      </c>
      <c r="P32" s="8">
        <v>16.799500000000002</v>
      </c>
      <c r="Q32" s="8">
        <v>18.325888890000002</v>
      </c>
      <c r="R32" s="8">
        <v>14.023111109999999</v>
      </c>
      <c r="S32" s="8">
        <v>14.362500000000001</v>
      </c>
      <c r="T32" s="8">
        <v>16.63888889</v>
      </c>
      <c r="U32" s="8">
        <v>12.66527778</v>
      </c>
      <c r="V32" s="8">
        <v>14.254666670000001</v>
      </c>
      <c r="W32" s="9">
        <v>16.077055560000002</v>
      </c>
      <c r="X32" s="10">
        <v>19.539110109999999</v>
      </c>
      <c r="Y32" s="8">
        <v>19.549500000000002</v>
      </c>
      <c r="Z32" s="9">
        <v>20.325888890000002</v>
      </c>
      <c r="AA32" s="12">
        <v>16.974228699411764</v>
      </c>
    </row>
    <row r="33" spans="6:27" x14ac:dyDescent="0.2">
      <c r="F33" s="5">
        <v>41394</v>
      </c>
      <c r="G33" s="10"/>
      <c r="H33" s="8"/>
      <c r="I33" s="8"/>
      <c r="J33" s="8">
        <v>17.580334330000003</v>
      </c>
      <c r="K33" s="8">
        <v>16.793721220000002</v>
      </c>
      <c r="L33" s="8">
        <v>15.102111109999999</v>
      </c>
      <c r="M33" s="8">
        <v>15.643500000000001</v>
      </c>
      <c r="N33" s="8">
        <v>13.71572222</v>
      </c>
      <c r="O33" s="8">
        <v>13.86711111</v>
      </c>
      <c r="P33" s="8">
        <v>14.018500000000001</v>
      </c>
      <c r="Q33" s="8">
        <v>15.951888890000001</v>
      </c>
      <c r="R33" s="8">
        <v>11.25811111</v>
      </c>
      <c r="S33" s="8">
        <v>11.753500000000001</v>
      </c>
      <c r="T33" s="8">
        <v>14.654888890000001</v>
      </c>
      <c r="U33" s="8">
        <v>11.04027778</v>
      </c>
      <c r="V33" s="8">
        <v>12.660666669999999</v>
      </c>
      <c r="W33" s="9">
        <v>14.45205556</v>
      </c>
      <c r="X33" s="10">
        <v>17.85211211</v>
      </c>
      <c r="Y33" s="8">
        <v>17.628501</v>
      </c>
      <c r="Z33" s="9">
        <v>16.466887889999999</v>
      </c>
      <c r="AA33" s="12">
        <v>14.73175822882353</v>
      </c>
    </row>
    <row r="34" spans="6:27" x14ac:dyDescent="0.2">
      <c r="F34" s="5">
        <v>41425</v>
      </c>
      <c r="G34" s="10"/>
      <c r="H34" s="8"/>
      <c r="I34" s="8"/>
      <c r="J34" s="8">
        <v>20.347001000000002</v>
      </c>
      <c r="K34" s="8">
        <v>20.392166669999998</v>
      </c>
      <c r="L34" s="8">
        <v>19.139333329999999</v>
      </c>
      <c r="M34" s="8">
        <v>18.496499</v>
      </c>
      <c r="N34" s="8">
        <v>18.18816567</v>
      </c>
      <c r="O34" s="8">
        <v>17.702333330000002</v>
      </c>
      <c r="P34" s="8">
        <v>16.668499999999998</v>
      </c>
      <c r="Q34" s="8">
        <v>16.166666670000001</v>
      </c>
      <c r="R34" s="8">
        <v>15.842333330000001</v>
      </c>
      <c r="S34" s="8">
        <v>15.012499999999999</v>
      </c>
      <c r="T34" s="8">
        <v>14.82266667</v>
      </c>
      <c r="U34" s="8">
        <v>11.695833329999999</v>
      </c>
      <c r="V34" s="8">
        <v>12.147</v>
      </c>
      <c r="W34" s="9">
        <v>13.973166669999999</v>
      </c>
      <c r="X34" s="10">
        <v>20.530334330000002</v>
      </c>
      <c r="Y34" s="8">
        <v>18.543499999999998</v>
      </c>
      <c r="Z34" s="9">
        <v>16.82266667</v>
      </c>
      <c r="AA34" s="12">
        <v>16.852392157058823</v>
      </c>
    </row>
    <row r="35" spans="6:27" x14ac:dyDescent="0.2">
      <c r="F35" s="5">
        <v>41453</v>
      </c>
      <c r="G35" s="10"/>
      <c r="H35" s="8"/>
      <c r="I35" s="8"/>
      <c r="J35" s="8">
        <v>20.830334330000003</v>
      </c>
      <c r="K35" s="8">
        <v>21.184722220000001</v>
      </c>
      <c r="L35" s="8">
        <v>21.008112110000003</v>
      </c>
      <c r="M35" s="8">
        <v>20.7685</v>
      </c>
      <c r="N35" s="8">
        <v>19.63772122</v>
      </c>
      <c r="O35" s="8">
        <v>20.023111110000002</v>
      </c>
      <c r="P35" s="8">
        <v>19.690498999999999</v>
      </c>
      <c r="Q35" s="8">
        <v>18.685889890000002</v>
      </c>
      <c r="R35" s="8">
        <v>18.61711111</v>
      </c>
      <c r="S35" s="8">
        <v>18.237500000000001</v>
      </c>
      <c r="T35" s="8">
        <v>17.38888889</v>
      </c>
      <c r="U35" s="8">
        <v>13.27427778</v>
      </c>
      <c r="V35" s="8">
        <v>13.613666670000001</v>
      </c>
      <c r="W35" s="9">
        <v>14.87405556</v>
      </c>
      <c r="X35" s="10">
        <v>22.211111110000001</v>
      </c>
      <c r="Y35" s="8">
        <v>20.9255</v>
      </c>
      <c r="Z35" s="9">
        <v>20.607888890000002</v>
      </c>
      <c r="AA35" s="12">
        <v>18.916405287647059</v>
      </c>
    </row>
    <row r="36" spans="6:27" x14ac:dyDescent="0.2">
      <c r="F36" s="5">
        <v>41486</v>
      </c>
      <c r="G36" s="10"/>
      <c r="H36" s="8"/>
      <c r="I36" s="8"/>
      <c r="J36" s="8">
        <v>21.61133233</v>
      </c>
      <c r="K36" s="8">
        <v>22.70072322</v>
      </c>
      <c r="L36" s="8">
        <v>22.85211211</v>
      </c>
      <c r="M36" s="8">
        <v>21.815498999999999</v>
      </c>
      <c r="N36" s="8">
        <v>21.38772122</v>
      </c>
      <c r="O36" s="8">
        <v>21.60211211</v>
      </c>
      <c r="P36" s="8">
        <v>20.456500000000002</v>
      </c>
      <c r="Q36" s="8">
        <v>19.591887889999999</v>
      </c>
      <c r="R36" s="8">
        <v>20.39911111</v>
      </c>
      <c r="S36" s="8">
        <v>19.003501</v>
      </c>
      <c r="T36" s="8">
        <v>18.201888889999999</v>
      </c>
      <c r="U36" s="8">
        <v>14.77427778</v>
      </c>
      <c r="V36" s="8">
        <v>14.769666669999999</v>
      </c>
      <c r="W36" s="9">
        <v>15.87405556</v>
      </c>
      <c r="X36" s="10">
        <v>23.10211211</v>
      </c>
      <c r="Y36" s="8">
        <v>22.0185</v>
      </c>
      <c r="Z36" s="9">
        <v>21.091887889999999</v>
      </c>
      <c r="AA36" s="12">
        <v>20.07369934647059</v>
      </c>
    </row>
    <row r="37" spans="6:27" x14ac:dyDescent="0.2">
      <c r="F37" s="5">
        <v>41516</v>
      </c>
      <c r="G37" s="10"/>
      <c r="H37" s="8"/>
      <c r="I37" s="8"/>
      <c r="J37" s="8">
        <v>21.769000000000002</v>
      </c>
      <c r="K37" s="8">
        <v>22.860166669999998</v>
      </c>
      <c r="L37" s="8">
        <v>23.545333330000002</v>
      </c>
      <c r="M37" s="8">
        <v>23.3245</v>
      </c>
      <c r="N37" s="8">
        <v>21.548166670000001</v>
      </c>
      <c r="O37" s="8">
        <v>22.467332330000001</v>
      </c>
      <c r="P37" s="8">
        <v>21.809501000000001</v>
      </c>
      <c r="Q37" s="8">
        <v>21.49466567</v>
      </c>
      <c r="R37" s="8">
        <v>21.280334330000002</v>
      </c>
      <c r="S37" s="8">
        <v>20.403500999999999</v>
      </c>
      <c r="T37" s="8">
        <v>19.807667670000001</v>
      </c>
      <c r="U37" s="8">
        <v>16.13283333</v>
      </c>
      <c r="V37" s="8">
        <v>16.006</v>
      </c>
      <c r="W37" s="9">
        <v>16.926167670000002</v>
      </c>
      <c r="X37" s="10">
        <v>23.342332330000001</v>
      </c>
      <c r="Y37" s="8">
        <v>23.184501000000001</v>
      </c>
      <c r="Z37" s="9">
        <v>23.010666670000003</v>
      </c>
      <c r="AA37" s="12">
        <v>21.112509980588229</v>
      </c>
    </row>
    <row r="38" spans="6:27" x14ac:dyDescent="0.2">
      <c r="F38" s="5">
        <v>41547</v>
      </c>
      <c r="G38" s="10"/>
      <c r="H38" s="8"/>
      <c r="I38" s="8"/>
      <c r="J38" s="8">
        <v>22.127333330000003</v>
      </c>
      <c r="K38" s="8">
        <v>23.356723220000003</v>
      </c>
      <c r="L38" s="8">
        <v>23.14911111</v>
      </c>
      <c r="M38" s="8">
        <v>23.112500000000001</v>
      </c>
      <c r="N38" s="8">
        <v>21.70072322</v>
      </c>
      <c r="O38" s="8">
        <v>22.11711111</v>
      </c>
      <c r="P38" s="8">
        <v>21.471499000000001</v>
      </c>
      <c r="Q38" s="8">
        <v>21.01388889</v>
      </c>
      <c r="R38" s="8">
        <v>20.695110110000002</v>
      </c>
      <c r="S38" s="8">
        <v>19.878501</v>
      </c>
      <c r="T38" s="8">
        <v>19.201888889999999</v>
      </c>
      <c r="U38" s="8">
        <v>15.54027778</v>
      </c>
      <c r="V38" s="8">
        <v>15.83266667</v>
      </c>
      <c r="W38" s="9">
        <v>17.34305556</v>
      </c>
      <c r="X38" s="10">
        <v>22.789110109999999</v>
      </c>
      <c r="Y38" s="8">
        <v>22.534501000000002</v>
      </c>
      <c r="Z38" s="9">
        <v>22.794888889999999</v>
      </c>
      <c r="AA38" s="12">
        <v>20.862287640588232</v>
      </c>
    </row>
    <row r="39" spans="6:27" x14ac:dyDescent="0.2">
      <c r="F39" s="5">
        <v>41578</v>
      </c>
      <c r="G39" s="10"/>
      <c r="H39" s="8"/>
      <c r="I39" s="8"/>
      <c r="J39" s="8">
        <v>21.814583330000001</v>
      </c>
      <c r="K39" s="8">
        <v>22.840972220000001</v>
      </c>
      <c r="L39" s="8">
        <v>22.53924211</v>
      </c>
      <c r="M39" s="8">
        <v>22.721881</v>
      </c>
      <c r="N39" s="8">
        <v>21.153472220000001</v>
      </c>
      <c r="O39" s="8">
        <v>21.53924211</v>
      </c>
      <c r="P39" s="8">
        <v>20.815631</v>
      </c>
      <c r="Q39" s="8">
        <v>20.27951989</v>
      </c>
      <c r="R39" s="8">
        <v>19.63299211</v>
      </c>
      <c r="S39" s="8">
        <v>18.831250000000001</v>
      </c>
      <c r="T39" s="8">
        <v>18.15451989</v>
      </c>
      <c r="U39" s="8">
        <v>15.22777778</v>
      </c>
      <c r="V39" s="8">
        <v>15.75416667</v>
      </c>
      <c r="W39" s="9">
        <v>17.84305556</v>
      </c>
      <c r="X39" s="10">
        <v>22.38299211</v>
      </c>
      <c r="Y39" s="8">
        <v>22.096881</v>
      </c>
      <c r="Z39" s="9">
        <v>22.09201989</v>
      </c>
      <c r="AA39" s="12">
        <v>20.336482287647055</v>
      </c>
    </row>
    <row r="40" spans="6:27" x14ac:dyDescent="0.2">
      <c r="F40" s="5">
        <v>41607</v>
      </c>
      <c r="G40" s="10"/>
      <c r="H40" s="8"/>
      <c r="I40" s="8"/>
      <c r="J40" s="8">
        <v>22.619797670000001</v>
      </c>
      <c r="K40" s="8">
        <v>24.303825440000001</v>
      </c>
      <c r="L40" s="8">
        <v>24.550353219999998</v>
      </c>
      <c r="M40" s="8">
        <v>24.671880999999999</v>
      </c>
      <c r="N40" s="8">
        <v>22.928825440000001</v>
      </c>
      <c r="O40" s="8">
        <v>23.534722219999999</v>
      </c>
      <c r="P40" s="8">
        <v>22.609380999999999</v>
      </c>
      <c r="Q40" s="8">
        <v>21.60590878</v>
      </c>
      <c r="R40" s="8">
        <v>21.753472219999999</v>
      </c>
      <c r="S40" s="8">
        <v>20.6875</v>
      </c>
      <c r="T40" s="8">
        <v>19.60590878</v>
      </c>
      <c r="U40" s="8">
        <v>16.993055559999998</v>
      </c>
      <c r="V40" s="8">
        <v>17.380214329999998</v>
      </c>
      <c r="W40" s="9">
        <v>19.282992109999999</v>
      </c>
      <c r="X40" s="10">
        <v>23.409722219999999</v>
      </c>
      <c r="Y40" s="8">
        <v>22.203130999999999</v>
      </c>
      <c r="Z40" s="9">
        <v>22.38715878</v>
      </c>
      <c r="AA40" s="12">
        <v>21.79575586882353</v>
      </c>
    </row>
    <row r="41" spans="6:27" x14ac:dyDescent="0.2">
      <c r="F41" s="5">
        <v>41639</v>
      </c>
      <c r="G41" s="10"/>
      <c r="H41" s="8"/>
      <c r="I41" s="8"/>
      <c r="J41" s="8">
        <v>22.885416670000001</v>
      </c>
      <c r="K41" s="8">
        <v>24.897575440000001</v>
      </c>
      <c r="L41" s="8">
        <v>25.800353219999998</v>
      </c>
      <c r="M41" s="8">
        <v>26.296880999999999</v>
      </c>
      <c r="N41" s="8">
        <v>23.506944440000002</v>
      </c>
      <c r="O41" s="8">
        <v>24.940972219999999</v>
      </c>
      <c r="P41" s="8">
        <v>24.734380999999999</v>
      </c>
      <c r="Q41" s="8">
        <v>23.98090878</v>
      </c>
      <c r="R41" s="8">
        <v>23.425353219999998</v>
      </c>
      <c r="S41" s="8">
        <v>23.53125</v>
      </c>
      <c r="T41" s="8">
        <v>22.13715878</v>
      </c>
      <c r="U41" s="8">
        <v>18.946186559999997</v>
      </c>
      <c r="V41" s="8">
        <v>19.395833329999999</v>
      </c>
      <c r="W41" s="9">
        <v>21.04861111</v>
      </c>
      <c r="X41" s="10">
        <v>24.440972219999999</v>
      </c>
      <c r="Y41" s="8">
        <v>23.671880999999999</v>
      </c>
      <c r="Z41" s="9">
        <v>23.684027780000001</v>
      </c>
      <c r="AA41" s="12">
        <v>23.372041574705886</v>
      </c>
    </row>
    <row r="42" spans="6:27" x14ac:dyDescent="0.2">
      <c r="F42" s="5">
        <v>41670</v>
      </c>
      <c r="G42" s="10"/>
      <c r="H42" s="8"/>
      <c r="I42" s="8"/>
      <c r="J42" s="8">
        <v>22.518750000000001</v>
      </c>
      <c r="K42" s="8">
        <v>24.391666669999999</v>
      </c>
      <c r="L42" s="8">
        <v>24.71771433</v>
      </c>
      <c r="M42" s="8">
        <v>24.934380999999998</v>
      </c>
      <c r="N42" s="8">
        <v>22.751047669999998</v>
      </c>
      <c r="O42" s="8">
        <v>23.74896433</v>
      </c>
      <c r="P42" s="8">
        <v>23.465630999999998</v>
      </c>
      <c r="Q42" s="8">
        <v>22.822916670000001</v>
      </c>
      <c r="R42" s="8">
        <v>22.37396433</v>
      </c>
      <c r="S42" s="8">
        <v>22.028130999999998</v>
      </c>
      <c r="T42" s="8">
        <v>21.338547670000001</v>
      </c>
      <c r="U42" s="8">
        <v>19.320833329999999</v>
      </c>
      <c r="V42" s="8">
        <v>19.443750000000001</v>
      </c>
      <c r="W42" s="9">
        <v>20.957297669999999</v>
      </c>
      <c r="X42" s="10">
        <v>23.59271433</v>
      </c>
      <c r="Y42" s="8">
        <v>22.903130999999998</v>
      </c>
      <c r="Z42" s="9">
        <v>23.041666670000001</v>
      </c>
      <c r="AA42" s="12">
        <v>22.608888686470586</v>
      </c>
    </row>
    <row r="43" spans="6:27" x14ac:dyDescent="0.2">
      <c r="F43" s="5">
        <v>41698</v>
      </c>
      <c r="G43" s="13"/>
      <c r="H43" s="14"/>
      <c r="I43" s="14"/>
      <c r="J43" s="14">
        <v>22.565631</v>
      </c>
      <c r="K43" s="14">
        <v>24.579166669999999</v>
      </c>
      <c r="L43" s="14">
        <v>25.12396433</v>
      </c>
      <c r="M43" s="14">
        <v>25.246880999999998</v>
      </c>
      <c r="N43" s="14">
        <v>23.016666669999999</v>
      </c>
      <c r="O43" s="14">
        <v>24.170833330000001</v>
      </c>
      <c r="P43" s="14">
        <v>23.934380999999998</v>
      </c>
      <c r="Q43" s="14">
        <v>24.026047670000001</v>
      </c>
      <c r="R43" s="14">
        <v>22.84271433</v>
      </c>
      <c r="S43" s="14">
        <v>22.606249999999999</v>
      </c>
      <c r="T43" s="14">
        <v>22.494797670000001</v>
      </c>
      <c r="U43" s="14">
        <v>20.008333329999999</v>
      </c>
      <c r="V43" s="14">
        <v>20.240631</v>
      </c>
      <c r="W43" s="15">
        <v>21.75416667</v>
      </c>
      <c r="X43" s="13">
        <v>23.84271433</v>
      </c>
      <c r="Y43" s="14">
        <v>23.403130999999998</v>
      </c>
      <c r="Z43" s="15">
        <v>23.744797670000001</v>
      </c>
      <c r="AA43" s="16">
        <v>23.153006333529415</v>
      </c>
    </row>
    <row r="44" spans="6:27" x14ac:dyDescent="0.2">
      <c r="F44" s="5">
        <v>41729</v>
      </c>
      <c r="G44" s="10">
        <v>23.36146433</v>
      </c>
      <c r="H44" s="8">
        <v>25.66910322</v>
      </c>
      <c r="I44" s="8">
        <v>26.53924211</v>
      </c>
      <c r="J44" s="8">
        <v>22.689583330000001</v>
      </c>
      <c r="K44" s="8">
        <v>24.82535322</v>
      </c>
      <c r="L44" s="8">
        <v>25.50799211</v>
      </c>
      <c r="M44" s="8">
        <v>25.846881</v>
      </c>
      <c r="N44" s="8">
        <v>23.403472220000001</v>
      </c>
      <c r="O44" s="8">
        <v>24.617361110000001</v>
      </c>
      <c r="P44" s="8">
        <v>24.815631</v>
      </c>
      <c r="Q44" s="8">
        <v>24.85763889</v>
      </c>
      <c r="R44" s="8">
        <v>23.461111110000001</v>
      </c>
      <c r="S44" s="8">
        <v>23.456250000000001</v>
      </c>
      <c r="T44" s="8">
        <v>23.43576989</v>
      </c>
      <c r="U44" s="8">
        <v>20.79027778</v>
      </c>
      <c r="V44" s="8">
        <v>20.769797669999999</v>
      </c>
      <c r="W44" s="9">
        <v>21.796186559999999</v>
      </c>
      <c r="X44" s="10">
        <v>24.32049211</v>
      </c>
      <c r="Y44" s="8">
        <v>24.190631</v>
      </c>
      <c r="Z44" s="9">
        <v>24.76388889</v>
      </c>
      <c r="AA44" s="12">
        <v>23.738136346470586</v>
      </c>
    </row>
    <row r="45" spans="6:27" x14ac:dyDescent="0.2">
      <c r="F45" s="5">
        <v>41759</v>
      </c>
      <c r="G45" s="10">
        <v>23.33021433</v>
      </c>
      <c r="H45" s="8">
        <v>25.45035322</v>
      </c>
      <c r="I45" s="8">
        <v>25.75799211</v>
      </c>
      <c r="J45" s="8">
        <v>22.70521433</v>
      </c>
      <c r="K45" s="8">
        <v>24.528472220000001</v>
      </c>
      <c r="L45" s="8">
        <v>25.19549211</v>
      </c>
      <c r="M45" s="8">
        <v>25.268750000000001</v>
      </c>
      <c r="N45" s="8">
        <v>23.04410322</v>
      </c>
      <c r="O45" s="8">
        <v>24.273611110000001</v>
      </c>
      <c r="P45" s="8">
        <v>24.284381</v>
      </c>
      <c r="Q45" s="8">
        <v>24.35763889</v>
      </c>
      <c r="R45" s="8">
        <v>23.13299211</v>
      </c>
      <c r="S45" s="8">
        <v>22.862500000000001</v>
      </c>
      <c r="T45" s="8">
        <v>22.93576989</v>
      </c>
      <c r="U45" s="8">
        <v>20.493408779999999</v>
      </c>
      <c r="V45" s="8">
        <v>20.72291667</v>
      </c>
      <c r="W45" s="9">
        <v>22.09305556</v>
      </c>
      <c r="X45" s="10">
        <v>23.961111110000001</v>
      </c>
      <c r="Y45" s="8">
        <v>23.643750000000001</v>
      </c>
      <c r="Z45" s="9">
        <v>24.13888889</v>
      </c>
      <c r="AA45" s="12">
        <v>23.390709170000001</v>
      </c>
    </row>
    <row r="46" spans="6:27" x14ac:dyDescent="0.2">
      <c r="F46" s="5">
        <v>41789</v>
      </c>
      <c r="G46" s="10">
        <v>23.026047670000001</v>
      </c>
      <c r="H46" s="8">
        <v>24.756944440000002</v>
      </c>
      <c r="I46" s="8">
        <v>24.472222219999999</v>
      </c>
      <c r="J46" s="8">
        <v>22.479166670000001</v>
      </c>
      <c r="K46" s="8">
        <v>23.944444440000002</v>
      </c>
      <c r="L46" s="8">
        <v>24.315972219999999</v>
      </c>
      <c r="M46" s="8">
        <v>24.03125</v>
      </c>
      <c r="N46" s="8">
        <v>22.350694440000002</v>
      </c>
      <c r="O46" s="8">
        <v>23.347222219999999</v>
      </c>
      <c r="P46" s="8">
        <v>22.875</v>
      </c>
      <c r="Q46" s="8">
        <v>22.73090878</v>
      </c>
      <c r="R46" s="8">
        <v>22.050353219999998</v>
      </c>
      <c r="S46" s="8">
        <v>21.234380999999999</v>
      </c>
      <c r="T46" s="8">
        <v>21.32465878</v>
      </c>
      <c r="U46" s="8">
        <v>19.586805559999998</v>
      </c>
      <c r="V46" s="8">
        <v>20.505214329999998</v>
      </c>
      <c r="W46" s="9">
        <v>22.11111111</v>
      </c>
      <c r="X46" s="10">
        <v>22.347222219999999</v>
      </c>
      <c r="Y46" s="8">
        <v>22.078130999999999</v>
      </c>
      <c r="Z46" s="9">
        <v>22.48090878</v>
      </c>
      <c r="AA46" s="12">
        <v>22.340790868823529</v>
      </c>
    </row>
    <row r="47" spans="6:27" x14ac:dyDescent="0.2">
      <c r="F47" s="5">
        <v>41820</v>
      </c>
      <c r="G47" s="10">
        <v>23.11146433</v>
      </c>
      <c r="H47" s="8">
        <v>25.07535322</v>
      </c>
      <c r="I47" s="8">
        <v>25.273611110000001</v>
      </c>
      <c r="J47" s="8">
        <v>22.51771433</v>
      </c>
      <c r="K47" s="8">
        <v>24.278472220000001</v>
      </c>
      <c r="L47" s="8">
        <v>24.91424211</v>
      </c>
      <c r="M47" s="8">
        <v>25.096881</v>
      </c>
      <c r="N47" s="8">
        <v>22.70035322</v>
      </c>
      <c r="O47" s="8">
        <v>24.22674211</v>
      </c>
      <c r="P47" s="8">
        <v>24.143750000000001</v>
      </c>
      <c r="Q47" s="8">
        <v>24.31076989</v>
      </c>
      <c r="R47" s="8">
        <v>22.804861110000001</v>
      </c>
      <c r="S47" s="8">
        <v>22.409381</v>
      </c>
      <c r="T47" s="8">
        <v>22.85763889</v>
      </c>
      <c r="U47" s="8">
        <v>20.00902778</v>
      </c>
      <c r="V47" s="8">
        <v>21.238547669999999</v>
      </c>
      <c r="W47" s="9">
        <v>22.65555556</v>
      </c>
      <c r="X47" s="10">
        <v>22.679861110000001</v>
      </c>
      <c r="Y47" s="8">
        <v>22.471881</v>
      </c>
      <c r="Z47" s="9">
        <v>23.38888889</v>
      </c>
      <c r="AA47" s="12">
        <v>23.10026869941176</v>
      </c>
    </row>
    <row r="48" spans="6:27" x14ac:dyDescent="0.2">
      <c r="F48" s="5">
        <v>41851</v>
      </c>
      <c r="G48" s="10">
        <v>23.04896433</v>
      </c>
      <c r="H48" s="8">
        <v>24.91910322</v>
      </c>
      <c r="I48" s="8">
        <v>25.32049211</v>
      </c>
      <c r="J48" s="8">
        <v>22.42396433</v>
      </c>
      <c r="K48" s="8">
        <v>24.20035322</v>
      </c>
      <c r="L48" s="8">
        <v>25.00799211</v>
      </c>
      <c r="M48" s="8">
        <v>25.456250000000001</v>
      </c>
      <c r="N48" s="8">
        <v>22.82535322</v>
      </c>
      <c r="O48" s="8">
        <v>24.38299211</v>
      </c>
      <c r="P48" s="8">
        <v>24.628131</v>
      </c>
      <c r="Q48" s="8">
        <v>25.09201989</v>
      </c>
      <c r="R48" s="8">
        <v>23.023611110000001</v>
      </c>
      <c r="S48" s="8">
        <v>23.112500000000001</v>
      </c>
      <c r="T48" s="8">
        <v>23.84201989</v>
      </c>
      <c r="U48" s="8">
        <v>21.055908779999999</v>
      </c>
      <c r="V48" s="8">
        <v>22.19166667</v>
      </c>
      <c r="W48" s="9">
        <v>23.546186559999999</v>
      </c>
      <c r="X48" s="10">
        <v>23.28924211</v>
      </c>
      <c r="Y48" s="8">
        <v>23.159381</v>
      </c>
      <c r="Z48" s="9">
        <v>24.37326989</v>
      </c>
      <c r="AA48" s="12">
        <v>23.62416717</v>
      </c>
    </row>
    <row r="49" spans="6:27" x14ac:dyDescent="0.2">
      <c r="F49" s="5">
        <v>41880</v>
      </c>
      <c r="G49" s="10">
        <v>22.432297670000001</v>
      </c>
      <c r="H49" s="8">
        <v>23.881944440000002</v>
      </c>
      <c r="I49" s="8">
        <v>23.409722219999999</v>
      </c>
      <c r="J49" s="8">
        <v>21.869797670000001</v>
      </c>
      <c r="K49" s="8">
        <v>23.210075440000001</v>
      </c>
      <c r="L49" s="8">
        <v>23.425353219999998</v>
      </c>
      <c r="M49" s="8">
        <v>23.8125</v>
      </c>
      <c r="N49" s="8">
        <v>21.663194440000002</v>
      </c>
      <c r="O49" s="8">
        <v>23.034722219999999</v>
      </c>
      <c r="P49" s="8">
        <v>22.84375</v>
      </c>
      <c r="Q49" s="8">
        <v>23.527777780000001</v>
      </c>
      <c r="R49" s="8">
        <v>21.581603219999998</v>
      </c>
      <c r="S49" s="8">
        <v>21.265630999999999</v>
      </c>
      <c r="T49" s="8">
        <v>22.32465878</v>
      </c>
      <c r="U49" s="8">
        <v>20.274305559999998</v>
      </c>
      <c r="V49" s="8">
        <v>21.536464329999998</v>
      </c>
      <c r="W49" s="9">
        <v>23.314242109999999</v>
      </c>
      <c r="X49" s="10">
        <v>21.456603219999998</v>
      </c>
      <c r="Y49" s="8">
        <v>22.296880999999999</v>
      </c>
      <c r="Z49" s="9">
        <v>22.559027780000001</v>
      </c>
      <c r="AA49" s="12">
        <v>22.352740457058825</v>
      </c>
    </row>
    <row r="50" spans="6:27" x14ac:dyDescent="0.2">
      <c r="F50" s="5">
        <v>41912</v>
      </c>
      <c r="G50" s="10">
        <v>22.83021433</v>
      </c>
      <c r="H50" s="8">
        <v>24.48160322</v>
      </c>
      <c r="I50" s="8">
        <v>24.679861110000001</v>
      </c>
      <c r="J50" s="8">
        <v>22.314583330000001</v>
      </c>
      <c r="K50" s="8">
        <v>23.95035322</v>
      </c>
      <c r="L50" s="8">
        <v>24.41424211</v>
      </c>
      <c r="M50" s="8">
        <v>25.456250000000001</v>
      </c>
      <c r="N50" s="8">
        <v>22.497222220000001</v>
      </c>
      <c r="O50" s="8">
        <v>23.898611110000001</v>
      </c>
      <c r="P50" s="8">
        <v>24.503131</v>
      </c>
      <c r="Q50" s="8">
        <v>25.35763889</v>
      </c>
      <c r="R50" s="8">
        <v>22.63299211</v>
      </c>
      <c r="S50" s="8">
        <v>23.065631</v>
      </c>
      <c r="T50" s="8">
        <v>24.13888889</v>
      </c>
      <c r="U50" s="8">
        <v>21.212158779999999</v>
      </c>
      <c r="V50" s="8">
        <v>22.426047669999999</v>
      </c>
      <c r="W50" s="9">
        <v>24.06180556</v>
      </c>
      <c r="X50" s="10">
        <v>22.16424211</v>
      </c>
      <c r="Y50" s="8">
        <v>23.159381</v>
      </c>
      <c r="Z50" s="9">
        <v>23.81076989</v>
      </c>
      <c r="AA50" s="12">
        <v>23.474349934705881</v>
      </c>
    </row>
    <row r="51" spans="6:27" x14ac:dyDescent="0.2">
      <c r="F51" s="5">
        <v>41943</v>
      </c>
      <c r="G51" s="10">
        <v>22.456250000000001</v>
      </c>
      <c r="H51" s="8">
        <v>23.626047669999998</v>
      </c>
      <c r="I51" s="8">
        <v>22.920833330000001</v>
      </c>
      <c r="J51" s="8">
        <v>21.893750000000001</v>
      </c>
      <c r="K51" s="8">
        <v>23.126047669999998</v>
      </c>
      <c r="L51" s="8">
        <v>23.233333330000001</v>
      </c>
      <c r="M51" s="8">
        <v>24.090630999999998</v>
      </c>
      <c r="N51" s="8">
        <v>21.547916669999999</v>
      </c>
      <c r="O51" s="8">
        <v>22.74896433</v>
      </c>
      <c r="P51" s="8">
        <v>23.059380999999998</v>
      </c>
      <c r="Q51" s="8">
        <v>23.557297670000001</v>
      </c>
      <c r="R51" s="8">
        <v>21.15521433</v>
      </c>
      <c r="S51" s="8">
        <v>21.528130999999998</v>
      </c>
      <c r="T51" s="8">
        <v>22.401047670000001</v>
      </c>
      <c r="U51" s="8">
        <v>20.117714329999998</v>
      </c>
      <c r="V51" s="8">
        <v>21.443750000000001</v>
      </c>
      <c r="W51" s="9">
        <v>23.426047669999999</v>
      </c>
      <c r="X51" s="10">
        <v>21.358333330000001</v>
      </c>
      <c r="Y51" s="8">
        <v>22.246880999999998</v>
      </c>
      <c r="Z51" s="9">
        <v>22.682297670000001</v>
      </c>
      <c r="AA51" s="12">
        <v>22.330396392352942</v>
      </c>
    </row>
    <row r="52" spans="6:27" x14ac:dyDescent="0.2">
      <c r="F52" s="5">
        <v>41971</v>
      </c>
      <c r="G52" s="10">
        <v>22.01771433</v>
      </c>
      <c r="H52" s="8">
        <v>22.82535322</v>
      </c>
      <c r="I52" s="8">
        <v>21.648611110000001</v>
      </c>
      <c r="J52" s="8">
        <v>21.48646433</v>
      </c>
      <c r="K52" s="8">
        <v>22.372222220000001</v>
      </c>
      <c r="L52" s="8">
        <v>22.148611110000001</v>
      </c>
      <c r="M52" s="8">
        <v>23.096881</v>
      </c>
      <c r="N52" s="8">
        <v>20.63785322</v>
      </c>
      <c r="O52" s="8">
        <v>21.679861110000001</v>
      </c>
      <c r="P52" s="8">
        <v>22.065631</v>
      </c>
      <c r="Q52" s="8">
        <v>22.74826989</v>
      </c>
      <c r="R52" s="8">
        <v>19.88299211</v>
      </c>
      <c r="S52" s="8">
        <v>20.378131</v>
      </c>
      <c r="T52" s="8">
        <v>21.54513889</v>
      </c>
      <c r="U52" s="8">
        <v>19.54027778</v>
      </c>
      <c r="V52" s="8">
        <v>21.019797669999999</v>
      </c>
      <c r="W52" s="9">
        <v>23.139936559999999</v>
      </c>
      <c r="X52" s="10">
        <v>20.617361110000001</v>
      </c>
      <c r="Y52" s="8">
        <v>21.393750000000001</v>
      </c>
      <c r="Z52" s="9">
        <v>21.79513889</v>
      </c>
      <c r="AA52" s="12">
        <v>21.502842228823532</v>
      </c>
    </row>
    <row r="53" spans="6:27" x14ac:dyDescent="0.2">
      <c r="F53" s="5">
        <v>42004</v>
      </c>
      <c r="G53" s="10">
        <v>21.041666670000001</v>
      </c>
      <c r="H53" s="8">
        <v>21.663194440000002</v>
      </c>
      <c r="I53" s="8">
        <v>20.269103219999998</v>
      </c>
      <c r="J53" s="8">
        <v>20.854166670000001</v>
      </c>
      <c r="K53" s="8">
        <v>22.022575440000001</v>
      </c>
      <c r="L53" s="8">
        <v>21.753472219999999</v>
      </c>
      <c r="M53" s="8">
        <v>22.796880999999999</v>
      </c>
      <c r="N53" s="8">
        <v>20.131944440000002</v>
      </c>
      <c r="O53" s="8">
        <v>21.269103219999998</v>
      </c>
      <c r="P53" s="8">
        <v>21.84375</v>
      </c>
      <c r="Q53" s="8">
        <v>22.54340878</v>
      </c>
      <c r="R53" s="8">
        <v>19.425353219999998</v>
      </c>
      <c r="S53" s="8">
        <v>20.109380999999999</v>
      </c>
      <c r="T53" s="8">
        <v>21.29340878</v>
      </c>
      <c r="U53" s="8">
        <v>19.461805559999998</v>
      </c>
      <c r="V53" s="8">
        <v>20.973964329999998</v>
      </c>
      <c r="W53" s="9">
        <v>23.14236111</v>
      </c>
      <c r="X53" s="10">
        <v>20.237853219999998</v>
      </c>
      <c r="Y53" s="8">
        <v>21.125</v>
      </c>
      <c r="Z53" s="9">
        <v>21.41840878</v>
      </c>
      <c r="AA53" s="12">
        <v>21.200166927647057</v>
      </c>
    </row>
    <row r="54" spans="6:27" x14ac:dyDescent="0.2">
      <c r="F54" s="5">
        <v>42034</v>
      </c>
      <c r="G54" s="10">
        <v>17.682297670000001</v>
      </c>
      <c r="H54" s="8">
        <v>17.131944440000002</v>
      </c>
      <c r="I54" s="8">
        <v>15.175352220000001</v>
      </c>
      <c r="J54" s="8">
        <v>17.557297670000001</v>
      </c>
      <c r="K54" s="8">
        <v>17.756944440000002</v>
      </c>
      <c r="L54" s="8">
        <v>17.159722219999999</v>
      </c>
      <c r="M54" s="8">
        <v>18.578130999999999</v>
      </c>
      <c r="N54" s="8">
        <v>15.91319444</v>
      </c>
      <c r="O54" s="8">
        <v>16.800353219999998</v>
      </c>
      <c r="P54" s="8">
        <v>17.5625</v>
      </c>
      <c r="Q54" s="8">
        <v>18.809027780000001</v>
      </c>
      <c r="R54" s="8">
        <v>15.128472220000001</v>
      </c>
      <c r="S54" s="8">
        <v>16.0625</v>
      </c>
      <c r="T54" s="8">
        <v>17.73090878</v>
      </c>
      <c r="U54" s="8">
        <v>18.196186559999997</v>
      </c>
      <c r="V54" s="8">
        <v>19.942714329999998</v>
      </c>
      <c r="W54" s="9">
        <v>22.48611111</v>
      </c>
      <c r="X54" s="10">
        <v>16.269103219999998</v>
      </c>
      <c r="Y54" s="8">
        <v>16.71875</v>
      </c>
      <c r="Z54" s="9">
        <v>17.434027780000001</v>
      </c>
      <c r="AA54" s="12">
        <v>17.653290868823529</v>
      </c>
    </row>
    <row r="55" spans="6:27" x14ac:dyDescent="0.2">
      <c r="F55" s="6">
        <v>42062</v>
      </c>
      <c r="G55" s="17">
        <v>19.744797670000001</v>
      </c>
      <c r="H55" s="18">
        <v>20.053825440000001</v>
      </c>
      <c r="I55" s="18">
        <v>18.644103219999998</v>
      </c>
      <c r="J55" s="18">
        <v>19.572916670000001</v>
      </c>
      <c r="K55" s="18">
        <v>20.413194440000002</v>
      </c>
      <c r="L55" s="18">
        <v>20.362853219999998</v>
      </c>
      <c r="M55" s="18">
        <v>21.5625</v>
      </c>
      <c r="N55" s="18">
        <v>18.772575440000001</v>
      </c>
      <c r="O55" s="18">
        <v>19.894103219999998</v>
      </c>
      <c r="P55" s="18">
        <v>20.703130999999999</v>
      </c>
      <c r="Q55" s="18">
        <v>21.69965878</v>
      </c>
      <c r="R55" s="18">
        <v>18.378472219999999</v>
      </c>
      <c r="S55" s="18">
        <v>19.234380999999999</v>
      </c>
      <c r="T55" s="18">
        <v>20.66840878</v>
      </c>
      <c r="U55" s="18">
        <v>20.743055559999998</v>
      </c>
      <c r="V55" s="18">
        <v>22.505214329999998</v>
      </c>
      <c r="W55" s="19">
        <v>24.657992109999999</v>
      </c>
      <c r="X55" s="17">
        <v>18.190972219999999</v>
      </c>
      <c r="Y55" s="18">
        <v>18.671880999999999</v>
      </c>
      <c r="Z55" s="19">
        <v>19.215277780000001</v>
      </c>
      <c r="AA55" s="20">
        <v>20.308622809999996</v>
      </c>
    </row>
    <row r="56" spans="6:27" x14ac:dyDescent="0.2">
      <c r="F56" s="6">
        <v>42094</v>
      </c>
      <c r="G56">
        <v>19.26771433</v>
      </c>
      <c r="H56">
        <v>19.41910322</v>
      </c>
      <c r="I56">
        <v>17.82049211</v>
      </c>
      <c r="J56">
        <v>19.127083330000001</v>
      </c>
      <c r="K56">
        <v>19.872222220000001</v>
      </c>
      <c r="L56">
        <v>19.711111110000001</v>
      </c>
      <c r="M56">
        <v>21.128131</v>
      </c>
      <c r="N56">
        <v>18.309722220000001</v>
      </c>
      <c r="O56">
        <v>19.22674211</v>
      </c>
      <c r="P56">
        <v>20.096881</v>
      </c>
      <c r="Q56">
        <v>21.21701989</v>
      </c>
      <c r="R56">
        <v>17.72674211</v>
      </c>
      <c r="S56">
        <v>18.675000000000001</v>
      </c>
      <c r="T56">
        <v>20.26388889</v>
      </c>
      <c r="U56">
        <v>21.618408779999999</v>
      </c>
      <c r="V56">
        <v>23.863547669999999</v>
      </c>
      <c r="W56">
        <v>25.90555556</v>
      </c>
      <c r="X56">
        <v>0</v>
      </c>
      <c r="Y56">
        <v>0</v>
      </c>
      <c r="Z56">
        <v>0</v>
      </c>
    </row>
  </sheetData>
  <mergeCells count="1">
    <mergeCell ref="F6:Z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3:C1484"/>
  <sheetViews>
    <sheetView workbookViewId="0">
      <selection activeCell="B3" sqref="B3:C1484"/>
    </sheetView>
  </sheetViews>
  <sheetFormatPr defaultRowHeight="12.75" x14ac:dyDescent="0.2"/>
  <cols>
    <col min="2" max="2" width="10.42578125" bestFit="1" customWidth="1"/>
  </cols>
  <sheetData>
    <row r="3" spans="2:3" x14ac:dyDescent="0.2">
      <c r="B3" t="s">
        <v>23</v>
      </c>
      <c r="C3" t="s">
        <v>24</v>
      </c>
    </row>
    <row r="4" spans="2:3" x14ac:dyDescent="0.2">
      <c r="B4" s="32">
        <v>42096</v>
      </c>
      <c r="C4">
        <v>2.6512826680006101</v>
      </c>
    </row>
    <row r="5" spans="2:3" x14ac:dyDescent="0.2">
      <c r="B5" s="32">
        <v>42095</v>
      </c>
      <c r="C5">
        <v>2.5992657753902901</v>
      </c>
    </row>
    <row r="6" spans="2:3" x14ac:dyDescent="0.2">
      <c r="B6" s="32">
        <v>42094</v>
      </c>
      <c r="C6">
        <v>2.66103516127894</v>
      </c>
    </row>
    <row r="7" spans="2:3" x14ac:dyDescent="0.2">
      <c r="B7" s="32">
        <v>42093</v>
      </c>
      <c r="C7">
        <v>2.6906214304432701</v>
      </c>
    </row>
    <row r="8" spans="2:3" x14ac:dyDescent="0.2">
      <c r="B8" s="32">
        <v>42090</v>
      </c>
      <c r="C8">
        <v>2.6934832462996599</v>
      </c>
    </row>
    <row r="9" spans="2:3" x14ac:dyDescent="0.2">
      <c r="B9" s="32">
        <v>42089</v>
      </c>
      <c r="C9">
        <v>2.7519990602785001</v>
      </c>
    </row>
    <row r="10" spans="2:3" x14ac:dyDescent="0.2">
      <c r="B10" s="32">
        <v>42088</v>
      </c>
      <c r="C10">
        <v>2.6641693960453199</v>
      </c>
    </row>
    <row r="11" spans="2:3" x14ac:dyDescent="0.2">
      <c r="B11" s="32">
        <v>42087</v>
      </c>
      <c r="C11">
        <v>2.60984671554638</v>
      </c>
    </row>
    <row r="12" spans="2:3" x14ac:dyDescent="0.2">
      <c r="B12" s="32">
        <v>42086</v>
      </c>
      <c r="C12">
        <v>2.6575094779916602</v>
      </c>
    </row>
    <row r="13" spans="2:3" x14ac:dyDescent="0.2">
      <c r="B13" s="32">
        <v>42083</v>
      </c>
      <c r="C13">
        <v>2.6717729385436999</v>
      </c>
    </row>
    <row r="14" spans="2:3" x14ac:dyDescent="0.2">
      <c r="B14" s="32">
        <v>42082</v>
      </c>
      <c r="C14">
        <v>2.70955656376128</v>
      </c>
    </row>
    <row r="15" spans="2:3" x14ac:dyDescent="0.2">
      <c r="B15" s="32">
        <v>42081</v>
      </c>
      <c r="C15">
        <v>2.6928489030954199</v>
      </c>
    </row>
    <row r="16" spans="2:3" x14ac:dyDescent="0.2">
      <c r="B16" s="32">
        <v>42080</v>
      </c>
      <c r="C16">
        <v>2.79584100930466</v>
      </c>
    </row>
    <row r="17" spans="2:3" x14ac:dyDescent="0.2">
      <c r="B17" s="32">
        <v>42079</v>
      </c>
      <c r="C17">
        <v>2.8241768518279202</v>
      </c>
    </row>
    <row r="18" spans="2:3" x14ac:dyDescent="0.2">
      <c r="B18" s="32">
        <v>42076</v>
      </c>
      <c r="C18">
        <v>2.8315057491425</v>
      </c>
    </row>
    <row r="19" spans="2:3" x14ac:dyDescent="0.2">
      <c r="B19" s="32">
        <v>42075</v>
      </c>
      <c r="C19">
        <v>2.8138191102539798</v>
      </c>
    </row>
    <row r="20" spans="2:3" x14ac:dyDescent="0.2">
      <c r="B20" s="32">
        <v>42074</v>
      </c>
      <c r="C20">
        <v>2.8278353033181198</v>
      </c>
    </row>
    <row r="21" spans="2:3" x14ac:dyDescent="0.2">
      <c r="B21" s="32">
        <v>42073</v>
      </c>
      <c r="C21">
        <v>2.84635033680676</v>
      </c>
    </row>
    <row r="22" spans="2:3" x14ac:dyDescent="0.2">
      <c r="B22" s="32">
        <v>42072</v>
      </c>
      <c r="C22">
        <v>2.90222752352993</v>
      </c>
    </row>
    <row r="23" spans="2:3" x14ac:dyDescent="0.2">
      <c r="B23" s="32">
        <v>42069</v>
      </c>
      <c r="C23">
        <v>2.9303170109018999</v>
      </c>
    </row>
    <row r="24" spans="2:3" x14ac:dyDescent="0.2">
      <c r="B24" s="32">
        <v>42068</v>
      </c>
      <c r="C24">
        <v>2.81556157497667</v>
      </c>
    </row>
    <row r="25" spans="2:3" x14ac:dyDescent="0.2">
      <c r="B25" s="32">
        <v>42067</v>
      </c>
      <c r="C25">
        <v>2.8241837227534399</v>
      </c>
    </row>
    <row r="26" spans="2:3" x14ac:dyDescent="0.2">
      <c r="B26" s="32">
        <v>42066</v>
      </c>
      <c r="C26">
        <v>2.8341999400292899</v>
      </c>
    </row>
    <row r="27" spans="2:3" x14ac:dyDescent="0.2">
      <c r="B27" s="32">
        <v>42065</v>
      </c>
      <c r="C27">
        <v>2.7916349569467398</v>
      </c>
    </row>
    <row r="28" spans="2:3" x14ac:dyDescent="0.2">
      <c r="B28" s="32">
        <v>42062</v>
      </c>
      <c r="C28">
        <v>2.7365985708724101</v>
      </c>
    </row>
    <row r="29" spans="2:3" x14ac:dyDescent="0.2">
      <c r="B29" s="32">
        <v>42061</v>
      </c>
      <c r="C29">
        <v>2.7641939622688101</v>
      </c>
    </row>
    <row r="30" spans="2:3" x14ac:dyDescent="0.2">
      <c r="B30" s="32">
        <v>42060</v>
      </c>
      <c r="C30">
        <v>2.7262373083687401</v>
      </c>
    </row>
    <row r="31" spans="2:3" x14ac:dyDescent="0.2">
      <c r="B31" s="32">
        <v>42059</v>
      </c>
      <c r="C31">
        <v>2.7456841844873301</v>
      </c>
    </row>
    <row r="32" spans="2:3" x14ac:dyDescent="0.2">
      <c r="B32" s="32">
        <v>42058</v>
      </c>
      <c r="C32">
        <v>2.8051692512697501</v>
      </c>
    </row>
    <row r="33" spans="2:3" x14ac:dyDescent="0.2">
      <c r="B33" s="32">
        <v>42055</v>
      </c>
      <c r="C33">
        <v>2.8495343936509898</v>
      </c>
    </row>
    <row r="34" spans="2:3" x14ac:dyDescent="0.2">
      <c r="B34" s="32">
        <v>42054</v>
      </c>
      <c r="C34">
        <v>2.8310816393070799</v>
      </c>
    </row>
    <row r="35" spans="2:3" x14ac:dyDescent="0.2">
      <c r="B35" s="32">
        <v>42053</v>
      </c>
      <c r="C35">
        <v>2.80663775198708</v>
      </c>
    </row>
    <row r="36" spans="2:3" x14ac:dyDescent="0.2">
      <c r="B36" s="32">
        <v>42052</v>
      </c>
      <c r="C36">
        <v>2.8647464299960101</v>
      </c>
    </row>
    <row r="37" spans="2:3" x14ac:dyDescent="0.2">
      <c r="B37" s="32">
        <v>42048</v>
      </c>
      <c r="C37">
        <v>2.7439532601441399</v>
      </c>
    </row>
    <row r="38" spans="2:3" x14ac:dyDescent="0.2">
      <c r="B38" s="32">
        <v>42047</v>
      </c>
      <c r="C38">
        <v>2.7217472845669599</v>
      </c>
    </row>
    <row r="39" spans="2:3" x14ac:dyDescent="0.2">
      <c r="B39" s="32">
        <v>42046</v>
      </c>
      <c r="C39">
        <v>2.7390944645368598</v>
      </c>
    </row>
    <row r="40" spans="2:3" x14ac:dyDescent="0.2">
      <c r="B40" s="32">
        <v>42045</v>
      </c>
      <c r="C40">
        <v>2.7450619013759301</v>
      </c>
    </row>
    <row r="41" spans="2:3" x14ac:dyDescent="0.2">
      <c r="B41" s="32">
        <v>42044</v>
      </c>
      <c r="C41">
        <v>2.6856648240007002</v>
      </c>
    </row>
    <row r="42" spans="2:3" x14ac:dyDescent="0.2">
      <c r="B42" s="32">
        <v>42041</v>
      </c>
      <c r="C42">
        <v>2.6748566998957601</v>
      </c>
    </row>
    <row r="43" spans="2:3" x14ac:dyDescent="0.2">
      <c r="B43" s="32">
        <v>42040</v>
      </c>
      <c r="C43">
        <v>2.5588939804772202</v>
      </c>
    </row>
    <row r="44" spans="2:3" x14ac:dyDescent="0.2">
      <c r="B44" s="32">
        <v>42039</v>
      </c>
      <c r="C44">
        <v>2.56620444102245</v>
      </c>
    </row>
    <row r="45" spans="2:3" x14ac:dyDescent="0.2">
      <c r="B45" s="32">
        <v>42038</v>
      </c>
      <c r="C45">
        <v>2.5386092043872699</v>
      </c>
    </row>
    <row r="46" spans="2:3" x14ac:dyDescent="0.2">
      <c r="B46" s="32">
        <v>42037</v>
      </c>
      <c r="C46">
        <v>2.4482414321452199</v>
      </c>
    </row>
    <row r="47" spans="2:3" x14ac:dyDescent="0.2">
      <c r="B47" s="32">
        <v>42034</v>
      </c>
      <c r="C47">
        <v>2.4526687901347302</v>
      </c>
    </row>
    <row r="48" spans="2:3" x14ac:dyDescent="0.2">
      <c r="B48" s="32">
        <v>42033</v>
      </c>
      <c r="C48">
        <v>2.5133603709402799</v>
      </c>
    </row>
    <row r="49" spans="2:3" x14ac:dyDescent="0.2">
      <c r="B49" s="32">
        <v>42032</v>
      </c>
      <c r="C49">
        <v>2.5075854882079498</v>
      </c>
    </row>
    <row r="50" spans="2:3" x14ac:dyDescent="0.2">
      <c r="B50" s="32">
        <v>42031</v>
      </c>
      <c r="C50">
        <v>2.58566791572217</v>
      </c>
    </row>
    <row r="51" spans="2:3" x14ac:dyDescent="0.2">
      <c r="B51" s="32">
        <v>42030</v>
      </c>
      <c r="C51">
        <v>2.5964187919228277</v>
      </c>
    </row>
    <row r="52" spans="2:3" x14ac:dyDescent="0.2">
      <c r="B52" s="32">
        <v>42027</v>
      </c>
      <c r="C52">
        <v>2.5688065849413189</v>
      </c>
    </row>
    <row r="53" spans="2:3" x14ac:dyDescent="0.2">
      <c r="B53" s="32">
        <v>42026</v>
      </c>
      <c r="C53">
        <v>2.6170205733531602</v>
      </c>
    </row>
    <row r="54" spans="2:3" x14ac:dyDescent="0.2">
      <c r="B54" s="32">
        <v>42025</v>
      </c>
      <c r="C54">
        <v>2.6084944348331098</v>
      </c>
    </row>
    <row r="55" spans="2:3" x14ac:dyDescent="0.2">
      <c r="B55" s="32">
        <v>42024</v>
      </c>
      <c r="C55">
        <v>2.55737179181423</v>
      </c>
    </row>
    <row r="56" spans="2:3" x14ac:dyDescent="0.2">
      <c r="B56" s="32">
        <v>42020</v>
      </c>
      <c r="C56">
        <v>2.5454794820645601</v>
      </c>
    </row>
    <row r="57" spans="2:3" x14ac:dyDescent="0.2">
      <c r="B57" s="32">
        <v>42019</v>
      </c>
      <c r="C57">
        <v>2.4553295319883701</v>
      </c>
    </row>
    <row r="58" spans="2:3" x14ac:dyDescent="0.2">
      <c r="B58" s="32">
        <v>42018</v>
      </c>
      <c r="C58">
        <v>2.49106608048328</v>
      </c>
    </row>
    <row r="59" spans="2:3" x14ac:dyDescent="0.2">
      <c r="B59" s="32">
        <v>42017</v>
      </c>
      <c r="C59">
        <v>2.57954379421794</v>
      </c>
    </row>
    <row r="60" spans="2:3" x14ac:dyDescent="0.2">
      <c r="B60" s="32">
        <v>42016</v>
      </c>
      <c r="C60">
        <v>2.5936190223084101</v>
      </c>
    </row>
    <row r="61" spans="2:3" x14ac:dyDescent="0.2">
      <c r="B61" s="32">
        <v>42013</v>
      </c>
      <c r="C61">
        <v>2.6462920309129299</v>
      </c>
    </row>
    <row r="62" spans="2:3" x14ac:dyDescent="0.2">
      <c r="B62" s="32">
        <v>42012</v>
      </c>
      <c r="C62">
        <v>2.6774292062275329</v>
      </c>
    </row>
    <row r="63" spans="2:3" x14ac:dyDescent="0.2">
      <c r="B63" s="32">
        <v>42011</v>
      </c>
      <c r="C63">
        <v>2.6248431051869581</v>
      </c>
    </row>
    <row r="64" spans="2:3" x14ac:dyDescent="0.2">
      <c r="B64" s="32">
        <v>42010</v>
      </c>
      <c r="C64">
        <v>2.61636453709349</v>
      </c>
    </row>
    <row r="65" spans="2:3" x14ac:dyDescent="0.2">
      <c r="B65" s="32">
        <v>42009</v>
      </c>
      <c r="C65">
        <v>2.6962701266687499</v>
      </c>
    </row>
    <row r="66" spans="2:3" x14ac:dyDescent="0.2">
      <c r="B66" s="32">
        <v>42006</v>
      </c>
      <c r="C66">
        <v>2.7854452423976599</v>
      </c>
    </row>
    <row r="67" spans="2:3" x14ac:dyDescent="0.2">
      <c r="B67" s="32">
        <v>42004</v>
      </c>
      <c r="C67">
        <v>2.8338661414623698</v>
      </c>
    </row>
    <row r="68" spans="2:3" x14ac:dyDescent="0.2">
      <c r="B68" s="32">
        <v>42003</v>
      </c>
      <c r="C68">
        <v>2.8519980737177399</v>
      </c>
    </row>
    <row r="69" spans="2:3" x14ac:dyDescent="0.2">
      <c r="B69" s="32">
        <v>42002</v>
      </c>
      <c r="C69">
        <v>2.8609798255384802</v>
      </c>
    </row>
    <row r="70" spans="2:3" x14ac:dyDescent="0.2">
      <c r="B70" s="32">
        <v>41999</v>
      </c>
      <c r="C70">
        <v>2.8912427168811901</v>
      </c>
    </row>
    <row r="71" spans="2:3" x14ac:dyDescent="0.2">
      <c r="B71" s="32">
        <v>41997</v>
      </c>
      <c r="C71">
        <v>2.90975275027838</v>
      </c>
    </row>
    <row r="72" spans="2:3" x14ac:dyDescent="0.2">
      <c r="B72" s="32">
        <v>41996</v>
      </c>
      <c r="C72">
        <v>2.91032440435752</v>
      </c>
    </row>
    <row r="73" spans="2:3" x14ac:dyDescent="0.2">
      <c r="B73" s="32">
        <v>41995</v>
      </c>
      <c r="C73">
        <v>2.8256441971088901</v>
      </c>
    </row>
    <row r="74" spans="2:3" x14ac:dyDescent="0.2">
      <c r="B74" s="32">
        <v>41992</v>
      </c>
      <c r="C74">
        <v>2.8337398573021799</v>
      </c>
    </row>
    <row r="75" spans="2:3" x14ac:dyDescent="0.2">
      <c r="B75" s="32">
        <v>41991</v>
      </c>
      <c r="C75">
        <v>2.8582300067965201</v>
      </c>
    </row>
    <row r="76" spans="2:3" x14ac:dyDescent="0.2">
      <c r="B76" s="32">
        <v>41990</v>
      </c>
      <c r="C76">
        <v>2.8371501312702399</v>
      </c>
    </row>
    <row r="77" spans="2:3" x14ac:dyDescent="0.2">
      <c r="B77" s="32">
        <v>41989</v>
      </c>
      <c r="C77">
        <v>2.7872489970640002</v>
      </c>
    </row>
    <row r="78" spans="2:3" x14ac:dyDescent="0.2">
      <c r="B78" s="32">
        <v>41988</v>
      </c>
      <c r="C78">
        <v>2.8291749929655099</v>
      </c>
    </row>
    <row r="79" spans="2:3" x14ac:dyDescent="0.2">
      <c r="B79" s="32">
        <v>41985</v>
      </c>
      <c r="C79">
        <v>2.80057780204395</v>
      </c>
    </row>
    <row r="80" spans="2:3" x14ac:dyDescent="0.2">
      <c r="B80" s="32">
        <v>41984</v>
      </c>
      <c r="C80">
        <v>2.8634343397483599</v>
      </c>
    </row>
    <row r="81" spans="2:3" x14ac:dyDescent="0.2">
      <c r="B81" s="32">
        <v>41983</v>
      </c>
      <c r="C81">
        <v>2.8515070487427501</v>
      </c>
    </row>
    <row r="82" spans="2:3" x14ac:dyDescent="0.2">
      <c r="B82" s="32">
        <v>41982</v>
      </c>
      <c r="C82">
        <v>2.8860238028398202</v>
      </c>
    </row>
    <row r="83" spans="2:3" x14ac:dyDescent="0.2">
      <c r="B83" s="32">
        <v>41981</v>
      </c>
      <c r="C83">
        <v>2.9087586637234901</v>
      </c>
    </row>
    <row r="84" spans="2:3" x14ac:dyDescent="0.2">
      <c r="B84" s="32">
        <v>41978</v>
      </c>
      <c r="C84">
        <v>2.9546349103912699</v>
      </c>
    </row>
    <row r="85" spans="2:3" x14ac:dyDescent="0.2">
      <c r="B85" s="32">
        <v>41977</v>
      </c>
      <c r="C85">
        <v>2.90250988237801</v>
      </c>
    </row>
    <row r="86" spans="2:3" x14ac:dyDescent="0.2">
      <c r="B86" s="32">
        <v>41976</v>
      </c>
      <c r="C86">
        <v>2.9323159668402701</v>
      </c>
    </row>
    <row r="87" spans="2:3" x14ac:dyDescent="0.2">
      <c r="B87" s="32">
        <v>41975</v>
      </c>
      <c r="C87">
        <v>2.92504129119764</v>
      </c>
    </row>
    <row r="88" spans="2:3" x14ac:dyDescent="0.2">
      <c r="B88" s="32">
        <v>41974</v>
      </c>
      <c r="C88">
        <v>2.8622800897906999</v>
      </c>
    </row>
    <row r="89" spans="2:3" x14ac:dyDescent="0.2">
      <c r="B89" s="32">
        <v>41971</v>
      </c>
      <c r="C89">
        <v>2.84568526355815</v>
      </c>
    </row>
    <row r="90" spans="2:3" x14ac:dyDescent="0.2">
      <c r="B90" s="32">
        <v>41969</v>
      </c>
      <c r="C90">
        <v>2.8840952878375998</v>
      </c>
    </row>
    <row r="91" spans="2:3" x14ac:dyDescent="0.2">
      <c r="B91" s="32">
        <v>41968</v>
      </c>
      <c r="C91">
        <v>2.8987235748393099</v>
      </c>
    </row>
    <row r="92" spans="2:3" x14ac:dyDescent="0.2">
      <c r="B92" s="32">
        <v>41967</v>
      </c>
      <c r="C92">
        <v>2.9533754292471799</v>
      </c>
    </row>
    <row r="93" spans="2:3" x14ac:dyDescent="0.2">
      <c r="B93" s="32">
        <v>41964</v>
      </c>
      <c r="C93">
        <v>2.96503071609644</v>
      </c>
    </row>
    <row r="94" spans="2:3" x14ac:dyDescent="0.2">
      <c r="B94" s="32">
        <v>41963</v>
      </c>
      <c r="C94">
        <v>2.9824542230370898</v>
      </c>
    </row>
    <row r="95" spans="2:3" x14ac:dyDescent="0.2">
      <c r="B95" s="32">
        <v>41962</v>
      </c>
      <c r="C95">
        <v>3.0039537946355401</v>
      </c>
    </row>
    <row r="96" spans="2:3" x14ac:dyDescent="0.2">
      <c r="B96" s="32">
        <v>41961</v>
      </c>
      <c r="C96">
        <v>2.98225794262494</v>
      </c>
    </row>
    <row r="97" spans="2:3" x14ac:dyDescent="0.2">
      <c r="B97" s="32">
        <v>41960</v>
      </c>
      <c r="C97">
        <v>2.9940977333827501</v>
      </c>
    </row>
    <row r="98" spans="2:3" x14ac:dyDescent="0.2">
      <c r="B98" s="32">
        <v>41957</v>
      </c>
      <c r="C98">
        <v>2.9883080633805301</v>
      </c>
    </row>
    <row r="99" spans="2:3" x14ac:dyDescent="0.2">
      <c r="B99" s="32">
        <v>41956</v>
      </c>
      <c r="C99">
        <v>3.0240880311784402</v>
      </c>
    </row>
    <row r="100" spans="2:3" x14ac:dyDescent="0.2">
      <c r="B100" s="32">
        <v>41955</v>
      </c>
      <c r="C100">
        <v>3.03648433223462</v>
      </c>
    </row>
    <row r="101" spans="2:3" x14ac:dyDescent="0.2">
      <c r="B101" s="32">
        <v>41953</v>
      </c>
      <c r="C101">
        <v>3.0363365323845302</v>
      </c>
    </row>
    <row r="102" spans="2:3" x14ac:dyDescent="0.2">
      <c r="B102" s="32">
        <v>41950</v>
      </c>
      <c r="C102">
        <v>3.00136099640791</v>
      </c>
    </row>
    <row r="103" spans="2:3" x14ac:dyDescent="0.2">
      <c r="B103" s="32">
        <v>41949</v>
      </c>
      <c r="C103">
        <v>3.05201083744713</v>
      </c>
    </row>
    <row r="104" spans="2:3" x14ac:dyDescent="0.2">
      <c r="B104" s="32">
        <v>41948</v>
      </c>
      <c r="C104">
        <v>3.04444949772784</v>
      </c>
    </row>
    <row r="105" spans="2:3" x14ac:dyDescent="0.2">
      <c r="B105" s="32">
        <v>41947</v>
      </c>
      <c r="C105">
        <v>3.0442418004482401</v>
      </c>
    </row>
    <row r="106" spans="2:3" x14ac:dyDescent="0.2">
      <c r="B106" s="32">
        <v>41946</v>
      </c>
      <c r="C106">
        <v>3.04727792085342</v>
      </c>
    </row>
    <row r="107" spans="2:3" x14ac:dyDescent="0.2">
      <c r="B107" s="32">
        <v>41943</v>
      </c>
      <c r="C107">
        <v>3.0097405474457601</v>
      </c>
    </row>
    <row r="108" spans="2:3" x14ac:dyDescent="0.2">
      <c r="B108" s="32">
        <v>41942</v>
      </c>
      <c r="C108">
        <v>2.9884141965756501</v>
      </c>
    </row>
    <row r="109" spans="2:3" x14ac:dyDescent="0.2">
      <c r="B109" s="32">
        <v>41941</v>
      </c>
      <c r="C109">
        <v>3.0090985385111702</v>
      </c>
    </row>
    <row r="110" spans="2:3" x14ac:dyDescent="0.2">
      <c r="B110" s="32">
        <v>41940</v>
      </c>
      <c r="C110">
        <v>2.9732615646767</v>
      </c>
    </row>
    <row r="111" spans="2:3" x14ac:dyDescent="0.2">
      <c r="B111" s="32">
        <v>41939</v>
      </c>
      <c r="C111">
        <v>2.95063055740501</v>
      </c>
    </row>
    <row r="112" spans="2:3" x14ac:dyDescent="0.2">
      <c r="B112" s="32">
        <v>41936</v>
      </c>
      <c r="C112">
        <v>2.9670641789919698</v>
      </c>
    </row>
    <row r="113" spans="2:3" x14ac:dyDescent="0.2">
      <c r="B113" s="32">
        <v>41935</v>
      </c>
      <c r="C113">
        <v>2.9569729972046299</v>
      </c>
    </row>
    <row r="114" spans="2:3" x14ac:dyDescent="0.2">
      <c r="B114" s="32">
        <v>41934</v>
      </c>
      <c r="C114">
        <v>2.91560839979166</v>
      </c>
    </row>
    <row r="115" spans="2:3" x14ac:dyDescent="0.2">
      <c r="B115" s="32">
        <v>41933</v>
      </c>
      <c r="C115">
        <v>2.90260596221672</v>
      </c>
    </row>
    <row r="116" spans="2:3" x14ac:dyDescent="0.2">
      <c r="B116" s="32">
        <v>41932</v>
      </c>
      <c r="C116">
        <v>2.88228276625992</v>
      </c>
    </row>
    <row r="117" spans="2:3" x14ac:dyDescent="0.2">
      <c r="B117" s="32">
        <v>41929</v>
      </c>
      <c r="C117">
        <v>2.9089681552965998</v>
      </c>
    </row>
    <row r="118" spans="2:3" x14ac:dyDescent="0.2">
      <c r="B118" s="32">
        <v>41928</v>
      </c>
      <c r="C118">
        <v>2.88997696662019</v>
      </c>
    </row>
    <row r="119" spans="2:3" x14ac:dyDescent="0.2">
      <c r="B119" s="32">
        <v>41927</v>
      </c>
      <c r="C119">
        <v>2.8012763487796</v>
      </c>
    </row>
    <row r="120" spans="2:3" x14ac:dyDescent="0.2">
      <c r="B120" s="32">
        <v>41926</v>
      </c>
      <c r="C120">
        <v>2.9156735260487601</v>
      </c>
    </row>
    <row r="121" spans="2:3" x14ac:dyDescent="0.2">
      <c r="B121" s="32">
        <v>41922</v>
      </c>
      <c r="C121">
        <v>3.0064713691768699</v>
      </c>
    </row>
    <row r="122" spans="2:3" x14ac:dyDescent="0.2">
      <c r="B122" s="32">
        <v>41921</v>
      </c>
      <c r="C122">
        <v>3.0093512074845101</v>
      </c>
    </row>
    <row r="123" spans="2:3" x14ac:dyDescent="0.2">
      <c r="B123" s="32">
        <v>41920</v>
      </c>
      <c r="C123">
        <v>3.00695688776984</v>
      </c>
    </row>
    <row r="124" spans="2:3" x14ac:dyDescent="0.2">
      <c r="B124" s="32">
        <v>41919</v>
      </c>
      <c r="C124">
        <v>3.05716566753143</v>
      </c>
    </row>
    <row r="125" spans="2:3" x14ac:dyDescent="0.2">
      <c r="B125" s="32">
        <v>41918</v>
      </c>
      <c r="C125">
        <v>3.12297819640008</v>
      </c>
    </row>
    <row r="126" spans="2:3" x14ac:dyDescent="0.2">
      <c r="B126" s="32">
        <v>41915</v>
      </c>
      <c r="C126">
        <v>3.14080245533752</v>
      </c>
    </row>
    <row r="127" spans="2:3" x14ac:dyDescent="0.2">
      <c r="B127" s="32">
        <v>41914</v>
      </c>
      <c r="C127">
        <v>3.13610168579967</v>
      </c>
    </row>
    <row r="128" spans="2:3" x14ac:dyDescent="0.2">
      <c r="B128" s="32">
        <v>41913</v>
      </c>
      <c r="C128">
        <v>3.1187867017573798</v>
      </c>
    </row>
    <row r="129" spans="2:3" x14ac:dyDescent="0.2">
      <c r="B129" s="32">
        <v>41912</v>
      </c>
      <c r="C129">
        <v>3.2078957125058598</v>
      </c>
    </row>
    <row r="130" spans="2:3" x14ac:dyDescent="0.2">
      <c r="B130" s="32">
        <v>41911</v>
      </c>
      <c r="C130">
        <v>3.1926835363021802</v>
      </c>
    </row>
    <row r="131" spans="2:3" x14ac:dyDescent="0.2">
      <c r="B131" s="32">
        <v>41908</v>
      </c>
      <c r="C131">
        <v>3.21516848659176</v>
      </c>
    </row>
    <row r="132" spans="2:3" x14ac:dyDescent="0.2">
      <c r="B132" s="32">
        <v>41907</v>
      </c>
      <c r="C132">
        <v>3.19667473354923</v>
      </c>
    </row>
    <row r="133" spans="2:3" x14ac:dyDescent="0.2">
      <c r="B133" s="32">
        <v>41906</v>
      </c>
      <c r="C133">
        <v>3.24020380359058</v>
      </c>
    </row>
    <row r="134" spans="2:3" x14ac:dyDescent="0.2">
      <c r="B134" s="32">
        <v>41905</v>
      </c>
      <c r="C134">
        <v>3.2147148443632201</v>
      </c>
    </row>
    <row r="135" spans="2:3" x14ac:dyDescent="0.2">
      <c r="B135" s="32">
        <v>41904</v>
      </c>
      <c r="C135">
        <v>3.2397623305872298</v>
      </c>
    </row>
    <row r="136" spans="2:3" x14ac:dyDescent="0.2">
      <c r="B136" s="32">
        <v>41901</v>
      </c>
      <c r="C136">
        <v>3.2564979130093699</v>
      </c>
    </row>
    <row r="137" spans="2:3" x14ac:dyDescent="0.2">
      <c r="B137" s="32">
        <v>41900</v>
      </c>
      <c r="C137">
        <v>3.3001731665241301</v>
      </c>
    </row>
    <row r="138" spans="2:3" x14ac:dyDescent="0.2">
      <c r="B138" s="32">
        <v>41899</v>
      </c>
      <c r="C138">
        <v>3.2889456294412902</v>
      </c>
    </row>
    <row r="139" spans="2:3" x14ac:dyDescent="0.2">
      <c r="B139" s="32">
        <v>41898</v>
      </c>
      <c r="C139">
        <v>3.28408302284724</v>
      </c>
    </row>
    <row r="140" spans="2:3" x14ac:dyDescent="0.2">
      <c r="B140" s="32">
        <v>41897</v>
      </c>
      <c r="C140">
        <v>3.2813411057709199</v>
      </c>
    </row>
    <row r="141" spans="2:3" x14ac:dyDescent="0.2">
      <c r="B141" s="32">
        <v>41894</v>
      </c>
      <c r="C141">
        <v>3.3013053863626398</v>
      </c>
    </row>
    <row r="142" spans="2:3" x14ac:dyDescent="0.2">
      <c r="B142" s="32">
        <v>41893</v>
      </c>
      <c r="C142">
        <v>3.2385398598967701</v>
      </c>
    </row>
    <row r="143" spans="2:3" x14ac:dyDescent="0.2">
      <c r="B143" s="32">
        <v>41892</v>
      </c>
      <c r="C143">
        <v>3.23966504008277</v>
      </c>
    </row>
    <row r="144" spans="2:3" x14ac:dyDescent="0.2">
      <c r="B144" s="32">
        <v>41891</v>
      </c>
      <c r="C144">
        <v>3.20426354311416</v>
      </c>
    </row>
    <row r="145" spans="2:3" x14ac:dyDescent="0.2">
      <c r="B145" s="32">
        <v>41890</v>
      </c>
      <c r="C145">
        <v>3.1760802516618698</v>
      </c>
    </row>
    <row r="146" spans="2:3" x14ac:dyDescent="0.2">
      <c r="B146" s="32">
        <v>41887</v>
      </c>
      <c r="C146">
        <v>3.1681849384338299</v>
      </c>
    </row>
    <row r="147" spans="2:3" x14ac:dyDescent="0.2">
      <c r="B147" s="32">
        <v>41886</v>
      </c>
      <c r="C147">
        <v>3.1528316914569898</v>
      </c>
    </row>
    <row r="148" spans="2:3" x14ac:dyDescent="0.2">
      <c r="B148" s="32">
        <v>41885</v>
      </c>
      <c r="C148">
        <v>3.1253552915520499</v>
      </c>
    </row>
    <row r="149" spans="2:3" x14ac:dyDescent="0.2">
      <c r="B149" s="32">
        <v>41884</v>
      </c>
      <c r="C149">
        <v>3.1334692922129599</v>
      </c>
    </row>
    <row r="150" spans="2:3" x14ac:dyDescent="0.2">
      <c r="B150" s="32">
        <v>41880</v>
      </c>
      <c r="C150">
        <v>3.0803371977218901</v>
      </c>
    </row>
    <row r="151" spans="2:3" x14ac:dyDescent="0.2">
      <c r="B151" s="32">
        <v>41879</v>
      </c>
      <c r="C151">
        <v>3.0781225342059799</v>
      </c>
    </row>
    <row r="152" spans="2:3" x14ac:dyDescent="0.2">
      <c r="B152" s="32">
        <v>41878</v>
      </c>
      <c r="C152">
        <v>3.09887022841253</v>
      </c>
    </row>
    <row r="153" spans="2:3" x14ac:dyDescent="0.2">
      <c r="B153" s="32">
        <v>41877</v>
      </c>
      <c r="C153">
        <v>3.12943696082093</v>
      </c>
    </row>
    <row r="154" spans="2:3" x14ac:dyDescent="0.2">
      <c r="B154" s="32">
        <v>41876</v>
      </c>
      <c r="C154">
        <v>3.1385592562937199</v>
      </c>
    </row>
    <row r="155" spans="2:3" x14ac:dyDescent="0.2">
      <c r="B155" s="32">
        <v>41873</v>
      </c>
      <c r="C155">
        <v>3.1508216358267802</v>
      </c>
    </row>
    <row r="156" spans="2:3" x14ac:dyDescent="0.2">
      <c r="B156" s="32">
        <v>41872</v>
      </c>
      <c r="C156">
        <v>3.1567795766011701</v>
      </c>
    </row>
    <row r="157" spans="2:3" x14ac:dyDescent="0.2">
      <c r="B157" s="32">
        <v>41871</v>
      </c>
      <c r="C157">
        <v>3.1828839679523702</v>
      </c>
    </row>
    <row r="158" spans="2:3" x14ac:dyDescent="0.2">
      <c r="B158" s="32">
        <v>41870</v>
      </c>
      <c r="C158">
        <v>3.1648384217316798</v>
      </c>
    </row>
    <row r="159" spans="2:3" x14ac:dyDescent="0.2">
      <c r="B159" s="32">
        <v>41869</v>
      </c>
      <c r="C159">
        <v>3.1399786597886301</v>
      </c>
    </row>
    <row r="160" spans="2:3" x14ac:dyDescent="0.2">
      <c r="B160" s="32">
        <v>41866</v>
      </c>
      <c r="C160">
        <v>3.0935764216510502</v>
      </c>
    </row>
    <row r="161" spans="2:3" x14ac:dyDescent="0.2">
      <c r="B161" s="32">
        <v>41865</v>
      </c>
      <c r="C161">
        <v>3.1399551635126901</v>
      </c>
    </row>
    <row r="162" spans="2:3" x14ac:dyDescent="0.2">
      <c r="B162" s="32">
        <v>41864</v>
      </c>
      <c r="C162">
        <v>3.1611594965890202</v>
      </c>
    </row>
    <row r="163" spans="2:3" x14ac:dyDescent="0.2">
      <c r="B163" s="32">
        <v>41863</v>
      </c>
      <c r="C163">
        <v>3.1921232293895798</v>
      </c>
    </row>
    <row r="164" spans="2:3" x14ac:dyDescent="0.2">
      <c r="B164" s="32">
        <v>41862</v>
      </c>
      <c r="C164">
        <v>3.1826449451887</v>
      </c>
    </row>
    <row r="165" spans="2:3" x14ac:dyDescent="0.2">
      <c r="B165" s="32">
        <v>41859</v>
      </c>
      <c r="C165">
        <v>3.1721768972748698</v>
      </c>
    </row>
    <row r="166" spans="2:3" x14ac:dyDescent="0.2">
      <c r="B166" s="32">
        <v>41858</v>
      </c>
      <c r="C166">
        <v>3.1812952620623198</v>
      </c>
    </row>
    <row r="167" spans="2:3" x14ac:dyDescent="0.2">
      <c r="B167" s="32">
        <v>41857</v>
      </c>
      <c r="C167">
        <v>3.2168042301856699</v>
      </c>
    </row>
    <row r="168" spans="2:3" x14ac:dyDescent="0.2">
      <c r="B168" s="32">
        <v>41856</v>
      </c>
      <c r="C168">
        <v>3.21632428795722</v>
      </c>
    </row>
    <row r="169" spans="2:3" x14ac:dyDescent="0.2">
      <c r="B169" s="32">
        <v>41855</v>
      </c>
      <c r="C169">
        <v>3.2178217897536898</v>
      </c>
    </row>
    <row r="170" spans="2:3" x14ac:dyDescent="0.2">
      <c r="B170" s="32">
        <v>41852</v>
      </c>
      <c r="C170">
        <v>3.2284236378811801</v>
      </c>
    </row>
    <row r="171" spans="2:3" x14ac:dyDescent="0.2">
      <c r="B171" s="32">
        <v>41851</v>
      </c>
      <c r="C171">
        <v>3.2761065930147799</v>
      </c>
    </row>
    <row r="172" spans="2:3" x14ac:dyDescent="0.2">
      <c r="B172" s="32">
        <v>41850</v>
      </c>
      <c r="C172">
        <v>3.2657922043638301</v>
      </c>
    </row>
    <row r="173" spans="2:3" x14ac:dyDescent="0.2">
      <c r="B173" s="32">
        <v>41849</v>
      </c>
      <c r="C173">
        <v>3.1823757597493798</v>
      </c>
    </row>
    <row r="174" spans="2:3" x14ac:dyDescent="0.2">
      <c r="B174" s="32">
        <v>41848</v>
      </c>
      <c r="C174">
        <v>3.2049602013827001</v>
      </c>
    </row>
    <row r="175" spans="2:3" x14ac:dyDescent="0.2">
      <c r="B175" s="32">
        <v>41845</v>
      </c>
      <c r="C175">
        <v>3.1915306555493599</v>
      </c>
    </row>
    <row r="176" spans="2:3" x14ac:dyDescent="0.2">
      <c r="B176" s="32">
        <v>41844</v>
      </c>
      <c r="C176">
        <v>3.2359256063250199</v>
      </c>
    </row>
    <row r="177" spans="2:3" x14ac:dyDescent="0.2">
      <c r="B177" s="32">
        <v>41843</v>
      </c>
      <c r="C177">
        <v>3.18443166753908</v>
      </c>
    </row>
    <row r="178" spans="2:3" x14ac:dyDescent="0.2">
      <c r="B178" s="32">
        <v>41842</v>
      </c>
      <c r="C178">
        <v>3.1713427686584299</v>
      </c>
    </row>
    <row r="179" spans="2:3" x14ac:dyDescent="0.2">
      <c r="B179" s="32">
        <v>41841</v>
      </c>
      <c r="C179">
        <v>3.1797287048205698</v>
      </c>
    </row>
    <row r="180" spans="2:3" x14ac:dyDescent="0.2">
      <c r="B180" s="32">
        <v>41838</v>
      </c>
      <c r="C180">
        <v>3.1834552504580702</v>
      </c>
    </row>
    <row r="181" spans="2:3" x14ac:dyDescent="0.2">
      <c r="B181" s="32">
        <v>41837</v>
      </c>
      <c r="C181">
        <v>3.1839990162061</v>
      </c>
    </row>
    <row r="182" spans="2:3" x14ac:dyDescent="0.2">
      <c r="B182" s="32">
        <v>41836</v>
      </c>
      <c r="C182">
        <v>3.23587971649664</v>
      </c>
    </row>
    <row r="183" spans="2:3" x14ac:dyDescent="0.2">
      <c r="B183" s="32">
        <v>41835</v>
      </c>
      <c r="C183">
        <v>3.2327612765480098</v>
      </c>
    </row>
    <row r="184" spans="2:3" x14ac:dyDescent="0.2">
      <c r="B184" s="32">
        <v>41834</v>
      </c>
      <c r="C184">
        <v>3.22381281335216</v>
      </c>
    </row>
    <row r="185" spans="2:3" x14ac:dyDescent="0.2">
      <c r="B185" s="32">
        <v>41831</v>
      </c>
      <c r="C185">
        <v>3.1874045932907902</v>
      </c>
    </row>
    <row r="186" spans="2:3" x14ac:dyDescent="0.2">
      <c r="B186" s="32">
        <v>41830</v>
      </c>
      <c r="C186">
        <v>3.20098644724558</v>
      </c>
    </row>
    <row r="187" spans="2:3" x14ac:dyDescent="0.2">
      <c r="B187" s="32">
        <v>41829</v>
      </c>
      <c r="C187">
        <v>3.2185084565507598</v>
      </c>
    </row>
    <row r="188" spans="2:3" x14ac:dyDescent="0.2">
      <c r="B188" s="32">
        <v>41828</v>
      </c>
      <c r="C188">
        <v>3.2329417252497299</v>
      </c>
    </row>
    <row r="189" spans="2:3" x14ac:dyDescent="0.2">
      <c r="B189" s="32">
        <v>41827</v>
      </c>
      <c r="C189">
        <v>3.2664759262762</v>
      </c>
    </row>
    <row r="190" spans="2:3" x14ac:dyDescent="0.2">
      <c r="B190" s="32">
        <v>41823</v>
      </c>
      <c r="C190">
        <v>3.2816971853818702</v>
      </c>
    </row>
    <row r="191" spans="2:3" x14ac:dyDescent="0.2">
      <c r="B191" s="32">
        <v>41822</v>
      </c>
      <c r="C191">
        <v>3.25804857470149</v>
      </c>
    </row>
    <row r="192" spans="2:3" x14ac:dyDescent="0.2">
      <c r="B192" s="32">
        <v>41821</v>
      </c>
      <c r="C192">
        <v>3.2107808202984001</v>
      </c>
    </row>
    <row r="193" spans="2:3" x14ac:dyDescent="0.2">
      <c r="B193" s="32">
        <v>41820</v>
      </c>
      <c r="C193">
        <v>3.16005861973392</v>
      </c>
    </row>
    <row r="194" spans="2:3" x14ac:dyDescent="0.2">
      <c r="B194" s="32">
        <v>41817</v>
      </c>
      <c r="C194">
        <v>3.1723768258530498</v>
      </c>
    </row>
    <row r="195" spans="2:3" x14ac:dyDescent="0.2">
      <c r="B195" s="32">
        <v>41816</v>
      </c>
      <c r="C195">
        <v>3.1705026484021301</v>
      </c>
    </row>
    <row r="196" spans="2:3" x14ac:dyDescent="0.2">
      <c r="B196" s="32">
        <v>41815</v>
      </c>
      <c r="C196">
        <v>3.1948973800231402</v>
      </c>
    </row>
    <row r="197" spans="2:3" x14ac:dyDescent="0.2">
      <c r="B197" s="32">
        <v>41814</v>
      </c>
      <c r="C197">
        <v>3.2180523990892298</v>
      </c>
    </row>
    <row r="198" spans="2:3" x14ac:dyDescent="0.2">
      <c r="B198" s="32">
        <v>41813</v>
      </c>
      <c r="C198">
        <v>3.2420059350164898</v>
      </c>
    </row>
    <row r="199" spans="2:3" x14ac:dyDescent="0.2">
      <c r="B199" s="32">
        <v>41810</v>
      </c>
      <c r="C199">
        <v>3.2387092672418598</v>
      </c>
    </row>
    <row r="200" spans="2:3" x14ac:dyDescent="0.2">
      <c r="B200" s="32">
        <v>41809</v>
      </c>
      <c r="C200">
        <v>3.2406996477189098</v>
      </c>
    </row>
    <row r="201" spans="2:3" x14ac:dyDescent="0.2">
      <c r="B201" s="32">
        <v>41808</v>
      </c>
      <c r="C201">
        <v>3.2554507349207298</v>
      </c>
    </row>
    <row r="202" spans="2:3" x14ac:dyDescent="0.2">
      <c r="B202" s="32">
        <v>41807</v>
      </c>
      <c r="C202">
        <v>3.2955237008358602</v>
      </c>
    </row>
    <row r="203" spans="2:3" x14ac:dyDescent="0.2">
      <c r="B203" s="32">
        <v>41806</v>
      </c>
      <c r="C203">
        <v>3.2401980086341502</v>
      </c>
    </row>
    <row r="204" spans="2:3" x14ac:dyDescent="0.2">
      <c r="B204" s="32">
        <v>41803</v>
      </c>
      <c r="C204">
        <v>3.2532056158969298</v>
      </c>
    </row>
    <row r="205" spans="2:3" x14ac:dyDescent="0.2">
      <c r="B205" s="32">
        <v>41802</v>
      </c>
      <c r="C205">
        <v>3.2368252535266899</v>
      </c>
    </row>
    <row r="206" spans="2:3" x14ac:dyDescent="0.2">
      <c r="B206" s="32">
        <v>41801</v>
      </c>
      <c r="C206">
        <v>3.2835967922496798</v>
      </c>
    </row>
    <row r="207" spans="2:3" x14ac:dyDescent="0.2">
      <c r="B207" s="32">
        <v>41800</v>
      </c>
      <c r="C207">
        <v>3.2863723435874199</v>
      </c>
    </row>
    <row r="208" spans="2:3" x14ac:dyDescent="0.2">
      <c r="B208" s="32">
        <v>41799</v>
      </c>
      <c r="C208">
        <v>3.2647835350343399</v>
      </c>
    </row>
    <row r="209" spans="2:3" x14ac:dyDescent="0.2">
      <c r="B209" s="32">
        <v>41796</v>
      </c>
      <c r="C209">
        <v>3.24953377621733</v>
      </c>
    </row>
    <row r="210" spans="2:3" x14ac:dyDescent="0.2">
      <c r="B210" s="32">
        <v>41795</v>
      </c>
      <c r="C210">
        <v>3.2377628105001701</v>
      </c>
    </row>
    <row r="211" spans="2:3" x14ac:dyDescent="0.2">
      <c r="B211" s="32">
        <v>41794</v>
      </c>
      <c r="C211">
        <v>3.2635254657079802</v>
      </c>
    </row>
    <row r="212" spans="2:3" x14ac:dyDescent="0.2">
      <c r="B212" s="32">
        <v>41793</v>
      </c>
      <c r="C212">
        <v>3.2594551208520199</v>
      </c>
    </row>
    <row r="213" spans="2:3" x14ac:dyDescent="0.2">
      <c r="B213" s="32">
        <v>41792</v>
      </c>
      <c r="C213">
        <v>3.2077358231055602</v>
      </c>
    </row>
    <row r="214" spans="2:3" x14ac:dyDescent="0.2">
      <c r="B214" s="32">
        <v>41789</v>
      </c>
      <c r="C214">
        <v>3.1327170492887499</v>
      </c>
    </row>
    <row r="215" spans="2:3" x14ac:dyDescent="0.2">
      <c r="B215" s="32">
        <v>41788</v>
      </c>
      <c r="C215">
        <v>3.12360003836893</v>
      </c>
    </row>
    <row r="216" spans="2:3" x14ac:dyDescent="0.2">
      <c r="B216" s="32">
        <v>41787</v>
      </c>
      <c r="C216">
        <v>3.0965824543668101</v>
      </c>
    </row>
    <row r="217" spans="2:3" x14ac:dyDescent="0.2">
      <c r="B217" s="32">
        <v>41786</v>
      </c>
      <c r="C217">
        <v>3.1863361498629699</v>
      </c>
    </row>
    <row r="218" spans="2:3" x14ac:dyDescent="0.2">
      <c r="B218" s="32">
        <v>41782</v>
      </c>
      <c r="C218">
        <v>3.2062850314999101</v>
      </c>
    </row>
    <row r="219" spans="2:3" x14ac:dyDescent="0.2">
      <c r="B219" s="32">
        <v>41781</v>
      </c>
      <c r="C219">
        <v>3.2144312113226099</v>
      </c>
    </row>
    <row r="220" spans="2:3" x14ac:dyDescent="0.2">
      <c r="B220" s="32">
        <v>41780</v>
      </c>
      <c r="C220">
        <v>3.2003729321605299</v>
      </c>
    </row>
    <row r="221" spans="2:3" x14ac:dyDescent="0.2">
      <c r="B221" s="32">
        <v>41779</v>
      </c>
      <c r="C221">
        <v>3.1906249352690699</v>
      </c>
    </row>
    <row r="222" spans="2:3" x14ac:dyDescent="0.2">
      <c r="B222" s="32">
        <v>41778</v>
      </c>
      <c r="C222">
        <v>3.2249711814966302</v>
      </c>
    </row>
    <row r="223" spans="2:3" x14ac:dyDescent="0.2">
      <c r="B223" s="32">
        <v>41775</v>
      </c>
      <c r="C223">
        <v>3.2071722937792901</v>
      </c>
    </row>
    <row r="224" spans="2:3" x14ac:dyDescent="0.2">
      <c r="B224" s="32">
        <v>41774</v>
      </c>
      <c r="C224">
        <v>3.1795097734540301</v>
      </c>
    </row>
    <row r="225" spans="2:3" x14ac:dyDescent="0.2">
      <c r="B225" s="32">
        <v>41773</v>
      </c>
      <c r="C225">
        <v>3.1970892272743101</v>
      </c>
    </row>
    <row r="226" spans="2:3" x14ac:dyDescent="0.2">
      <c r="B226" s="32">
        <v>41772</v>
      </c>
      <c r="C226">
        <v>3.2728026621506001</v>
      </c>
    </row>
    <row r="227" spans="2:3" x14ac:dyDescent="0.2">
      <c r="B227" s="32">
        <v>41771</v>
      </c>
      <c r="C227">
        <v>3.2957313796738501</v>
      </c>
    </row>
    <row r="228" spans="2:3" x14ac:dyDescent="0.2">
      <c r="B228" s="32">
        <v>41768</v>
      </c>
      <c r="C228">
        <v>3.26793441628852</v>
      </c>
    </row>
    <row r="229" spans="2:3" x14ac:dyDescent="0.2">
      <c r="B229" s="32">
        <v>41767</v>
      </c>
      <c r="C229">
        <v>3.2302009300383201</v>
      </c>
    </row>
    <row r="230" spans="2:3" x14ac:dyDescent="0.2">
      <c r="B230" s="32">
        <v>41766</v>
      </c>
      <c r="C230">
        <v>3.2365593112173601</v>
      </c>
    </row>
    <row r="231" spans="2:3" x14ac:dyDescent="0.2">
      <c r="B231" s="32">
        <v>41765</v>
      </c>
      <c r="C231">
        <v>3.2676928756403698</v>
      </c>
    </row>
    <row r="232" spans="2:3" x14ac:dyDescent="0.2">
      <c r="B232" s="32">
        <v>41764</v>
      </c>
      <c r="C232">
        <v>3.28849941945206</v>
      </c>
    </row>
    <row r="233" spans="2:3" x14ac:dyDescent="0.2">
      <c r="B233" s="32">
        <v>41761</v>
      </c>
      <c r="C233">
        <v>3.27582122809376</v>
      </c>
    </row>
    <row r="234" spans="2:3" x14ac:dyDescent="0.2">
      <c r="B234" s="32">
        <v>41760</v>
      </c>
      <c r="C234">
        <v>3.2875255326595201</v>
      </c>
    </row>
    <row r="235" spans="2:3" x14ac:dyDescent="0.2">
      <c r="B235" s="32">
        <v>41759</v>
      </c>
      <c r="C235">
        <v>3.3274269650204</v>
      </c>
    </row>
    <row r="236" spans="2:3" x14ac:dyDescent="0.2">
      <c r="B236" s="32">
        <v>41758</v>
      </c>
      <c r="C236">
        <v>3.3733743387763999</v>
      </c>
    </row>
    <row r="237" spans="2:3" x14ac:dyDescent="0.2">
      <c r="B237" s="32">
        <v>41757</v>
      </c>
      <c r="C237">
        <v>3.3514611406408399</v>
      </c>
    </row>
    <row r="238" spans="2:3" x14ac:dyDescent="0.2">
      <c r="B238" s="32">
        <v>41754</v>
      </c>
      <c r="C238">
        <v>3.34407232938596</v>
      </c>
    </row>
    <row r="239" spans="2:3" x14ac:dyDescent="0.2">
      <c r="B239" s="32">
        <v>41753</v>
      </c>
      <c r="C239">
        <v>3.3653149178353798</v>
      </c>
    </row>
    <row r="240" spans="2:3" x14ac:dyDescent="0.2">
      <c r="B240" s="32">
        <v>41752</v>
      </c>
      <c r="C240">
        <v>3.3712594555921802</v>
      </c>
    </row>
    <row r="241" spans="2:3" x14ac:dyDescent="0.2">
      <c r="B241" s="32">
        <v>41751</v>
      </c>
      <c r="C241">
        <v>3.41581155049382</v>
      </c>
    </row>
    <row r="242" spans="2:3" x14ac:dyDescent="0.2">
      <c r="B242" s="32">
        <v>41750</v>
      </c>
      <c r="C242">
        <v>3.4214944697037502</v>
      </c>
    </row>
    <row r="243" spans="2:3" x14ac:dyDescent="0.2">
      <c r="B243" s="32">
        <v>41746</v>
      </c>
      <c r="C243">
        <v>3.40802093158428</v>
      </c>
    </row>
    <row r="244" spans="2:3" x14ac:dyDescent="0.2">
      <c r="B244" s="32">
        <v>41745</v>
      </c>
      <c r="C244">
        <v>3.35080102179215</v>
      </c>
    </row>
    <row r="245" spans="2:3" x14ac:dyDescent="0.2">
      <c r="B245" s="32">
        <v>41744</v>
      </c>
      <c r="C245">
        <v>3.33793129587505</v>
      </c>
    </row>
    <row r="246" spans="2:3" x14ac:dyDescent="0.2">
      <c r="B246" s="32">
        <v>41743</v>
      </c>
      <c r="C246">
        <v>3.3408272423510099</v>
      </c>
    </row>
    <row r="247" spans="2:3" x14ac:dyDescent="0.2">
      <c r="B247" s="32">
        <v>41740</v>
      </c>
      <c r="C247">
        <v>3.31617276522991</v>
      </c>
    </row>
    <row r="248" spans="2:3" x14ac:dyDescent="0.2">
      <c r="B248" s="32">
        <v>41739</v>
      </c>
      <c r="C248">
        <v>3.3155243251593798</v>
      </c>
    </row>
    <row r="249" spans="2:3" x14ac:dyDescent="0.2">
      <c r="B249" s="32">
        <v>41738</v>
      </c>
      <c r="C249">
        <v>3.3750941774744798</v>
      </c>
    </row>
    <row r="250" spans="2:3" x14ac:dyDescent="0.2">
      <c r="B250" s="32">
        <v>41737</v>
      </c>
      <c r="C250">
        <v>3.3731827621311399</v>
      </c>
    </row>
    <row r="251" spans="2:3" x14ac:dyDescent="0.2">
      <c r="B251" s="32">
        <v>41736</v>
      </c>
      <c r="C251">
        <v>3.39509627944707</v>
      </c>
    </row>
    <row r="252" spans="2:3" x14ac:dyDescent="0.2">
      <c r="B252" s="32">
        <v>41733</v>
      </c>
      <c r="C252">
        <v>3.4295560527023699</v>
      </c>
    </row>
    <row r="253" spans="2:3" x14ac:dyDescent="0.2">
      <c r="B253" s="32">
        <v>41732</v>
      </c>
      <c r="C253">
        <v>3.4840318134841599</v>
      </c>
    </row>
    <row r="254" spans="2:3" x14ac:dyDescent="0.2">
      <c r="B254" s="32">
        <v>41731</v>
      </c>
      <c r="C254">
        <v>3.5066269417846301</v>
      </c>
    </row>
    <row r="255" spans="2:3" x14ac:dyDescent="0.2">
      <c r="B255" s="32">
        <v>41730</v>
      </c>
      <c r="C255">
        <v>3.4727016332033198</v>
      </c>
    </row>
    <row r="256" spans="2:3" x14ac:dyDescent="0.2">
      <c r="B256" s="32">
        <v>41729</v>
      </c>
      <c r="C256">
        <v>3.44685935064701</v>
      </c>
    </row>
    <row r="257" spans="2:3" x14ac:dyDescent="0.2">
      <c r="B257" s="32">
        <v>41726</v>
      </c>
      <c r="C257">
        <v>3.4306094277170498</v>
      </c>
    </row>
    <row r="258" spans="2:3" x14ac:dyDescent="0.2">
      <c r="B258" s="32">
        <v>41725</v>
      </c>
      <c r="C258">
        <v>3.4052671978447102</v>
      </c>
    </row>
    <row r="259" spans="2:3" x14ac:dyDescent="0.2">
      <c r="B259" s="32">
        <v>41724</v>
      </c>
      <c r="C259">
        <v>3.4217405544715098</v>
      </c>
    </row>
    <row r="260" spans="2:3" x14ac:dyDescent="0.2">
      <c r="B260" s="32">
        <v>41723</v>
      </c>
      <c r="C260">
        <v>3.4519694257459901</v>
      </c>
    </row>
    <row r="261" spans="2:3" x14ac:dyDescent="0.2">
      <c r="B261" s="32">
        <v>41722</v>
      </c>
      <c r="C261">
        <v>3.45266754883475</v>
      </c>
    </row>
    <row r="262" spans="2:3" x14ac:dyDescent="0.2">
      <c r="B262" s="32">
        <v>41719</v>
      </c>
      <c r="C262">
        <v>3.4523536219729101</v>
      </c>
    </row>
    <row r="263" spans="2:3" x14ac:dyDescent="0.2">
      <c r="B263" s="32">
        <v>41718</v>
      </c>
      <c r="C263">
        <v>3.4858096996422701</v>
      </c>
    </row>
    <row r="264" spans="2:3" x14ac:dyDescent="0.2">
      <c r="B264" s="32">
        <v>41717</v>
      </c>
      <c r="C264">
        <v>3.4724096295378999</v>
      </c>
    </row>
    <row r="265" spans="2:3" x14ac:dyDescent="0.2">
      <c r="B265" s="32">
        <v>41716</v>
      </c>
      <c r="C265">
        <v>3.3942283451593398</v>
      </c>
    </row>
    <row r="266" spans="2:3" x14ac:dyDescent="0.2">
      <c r="B266" s="32">
        <v>41715</v>
      </c>
      <c r="C266">
        <v>3.4174617229589801</v>
      </c>
    </row>
    <row r="267" spans="2:3" x14ac:dyDescent="0.2">
      <c r="B267" s="32">
        <v>41712</v>
      </c>
      <c r="C267">
        <v>3.3634875299273701</v>
      </c>
    </row>
    <row r="268" spans="2:3" x14ac:dyDescent="0.2">
      <c r="B268" s="32">
        <v>41711</v>
      </c>
      <c r="C268">
        <v>3.34843875975199</v>
      </c>
    </row>
    <row r="269" spans="2:3" x14ac:dyDescent="0.2">
      <c r="B269" s="32">
        <v>41710</v>
      </c>
      <c r="C269">
        <v>3.4085893370598099</v>
      </c>
    </row>
    <row r="270" spans="2:3" x14ac:dyDescent="0.2">
      <c r="B270" s="32">
        <v>41709</v>
      </c>
      <c r="C270">
        <v>3.4438493655509599</v>
      </c>
    </row>
    <row r="271" spans="2:3" x14ac:dyDescent="0.2">
      <c r="B271" s="32">
        <v>41708</v>
      </c>
      <c r="C271">
        <v>3.4465671397565498</v>
      </c>
    </row>
    <row r="272" spans="2:3" x14ac:dyDescent="0.2">
      <c r="B272" s="32">
        <v>41705</v>
      </c>
      <c r="C272">
        <v>3.4613667705973898</v>
      </c>
    </row>
    <row r="273" spans="2:3" x14ac:dyDescent="0.2">
      <c r="B273" s="32">
        <v>41704</v>
      </c>
      <c r="C273">
        <v>3.4237035729301399</v>
      </c>
    </row>
    <row r="274" spans="2:3" x14ac:dyDescent="0.2">
      <c r="B274" s="32">
        <v>41703</v>
      </c>
      <c r="C274">
        <v>3.40151851180392</v>
      </c>
    </row>
    <row r="275" spans="2:3" x14ac:dyDescent="0.2">
      <c r="B275" s="32">
        <v>41702</v>
      </c>
      <c r="C275">
        <v>3.3983132593490502</v>
      </c>
    </row>
    <row r="276" spans="2:3" x14ac:dyDescent="0.2">
      <c r="B276" s="32">
        <v>41701</v>
      </c>
      <c r="C276">
        <v>3.32529881785555</v>
      </c>
    </row>
    <row r="277" spans="2:3" x14ac:dyDescent="0.2">
      <c r="B277" s="32">
        <v>41698</v>
      </c>
      <c r="C277">
        <v>3.3514861848067001</v>
      </c>
    </row>
    <row r="278" spans="2:3" x14ac:dyDescent="0.2">
      <c r="B278" s="32">
        <v>41697</v>
      </c>
      <c r="C278">
        <v>3.3370205659412702</v>
      </c>
    </row>
    <row r="279" spans="2:3" x14ac:dyDescent="0.2">
      <c r="B279" s="32">
        <v>41696</v>
      </c>
      <c r="C279">
        <v>3.36185561650391</v>
      </c>
    </row>
    <row r="280" spans="2:3" x14ac:dyDescent="0.2">
      <c r="B280" s="32">
        <v>41695</v>
      </c>
      <c r="C280">
        <v>3.3762483730993802</v>
      </c>
    </row>
    <row r="281" spans="2:3" x14ac:dyDescent="0.2">
      <c r="B281" s="32">
        <v>41694</v>
      </c>
      <c r="C281">
        <v>3.4298763218774999</v>
      </c>
    </row>
    <row r="282" spans="2:3" x14ac:dyDescent="0.2">
      <c r="B282" s="32">
        <v>41691</v>
      </c>
      <c r="C282">
        <v>3.4238152467223899</v>
      </c>
    </row>
    <row r="283" spans="2:3" x14ac:dyDescent="0.2">
      <c r="B283" s="32">
        <v>41690</v>
      </c>
      <c r="C283">
        <v>3.4409874974018302</v>
      </c>
    </row>
    <row r="284" spans="2:3" x14ac:dyDescent="0.2">
      <c r="B284" s="32">
        <v>41689</v>
      </c>
      <c r="C284">
        <v>3.4208462339079002</v>
      </c>
    </row>
    <row r="285" spans="2:3" x14ac:dyDescent="0.2">
      <c r="B285" s="32">
        <v>41688</v>
      </c>
      <c r="C285">
        <v>3.4022510541238402</v>
      </c>
    </row>
    <row r="286" spans="2:3" x14ac:dyDescent="0.2">
      <c r="B286" s="32">
        <v>41684</v>
      </c>
      <c r="C286">
        <v>3.42404687499962</v>
      </c>
    </row>
    <row r="287" spans="2:3" x14ac:dyDescent="0.2">
      <c r="B287" s="32">
        <v>41683</v>
      </c>
      <c r="C287">
        <v>3.3963820586764299</v>
      </c>
    </row>
    <row r="288" spans="2:3" x14ac:dyDescent="0.2">
      <c r="B288" s="32">
        <v>41682</v>
      </c>
      <c r="C288">
        <v>3.4367814236357002</v>
      </c>
    </row>
    <row r="289" spans="2:3" x14ac:dyDescent="0.2">
      <c r="B289" s="32">
        <v>41681</v>
      </c>
      <c r="C289">
        <v>3.3874003692749199</v>
      </c>
    </row>
    <row r="290" spans="2:3" x14ac:dyDescent="0.2">
      <c r="B290" s="32">
        <v>41680</v>
      </c>
      <c r="C290">
        <v>3.34761054294983</v>
      </c>
    </row>
    <row r="291" spans="2:3" x14ac:dyDescent="0.2">
      <c r="B291" s="32">
        <v>41677</v>
      </c>
      <c r="C291">
        <v>3.34300170180666</v>
      </c>
    </row>
    <row r="292" spans="2:3" x14ac:dyDescent="0.2">
      <c r="B292" s="32">
        <v>41676</v>
      </c>
      <c r="C292">
        <v>3.3799296471468399</v>
      </c>
    </row>
    <row r="293" spans="2:3" x14ac:dyDescent="0.2">
      <c r="B293" s="32">
        <v>41675</v>
      </c>
      <c r="C293">
        <v>3.3584090078904199</v>
      </c>
    </row>
    <row r="294" spans="2:3" x14ac:dyDescent="0.2">
      <c r="B294" s="32">
        <v>41674</v>
      </c>
      <c r="C294">
        <v>3.3111616483337998</v>
      </c>
    </row>
    <row r="295" spans="2:3" x14ac:dyDescent="0.2">
      <c r="B295" s="32">
        <v>41673</v>
      </c>
      <c r="C295">
        <v>3.2710992042590501</v>
      </c>
    </row>
    <row r="296" spans="2:3" x14ac:dyDescent="0.2">
      <c r="B296" s="32">
        <v>41670</v>
      </c>
      <c r="C296">
        <v>3.3406752567006799</v>
      </c>
    </row>
    <row r="297" spans="2:3" x14ac:dyDescent="0.2">
      <c r="B297" s="32">
        <v>41669</v>
      </c>
      <c r="C297">
        <v>3.3710250871978902</v>
      </c>
    </row>
    <row r="298" spans="2:3" x14ac:dyDescent="0.2">
      <c r="B298" s="32">
        <v>41668</v>
      </c>
      <c r="C298">
        <v>3.3611475085431901</v>
      </c>
    </row>
    <row r="299" spans="2:3" x14ac:dyDescent="0.2">
      <c r="B299" s="32">
        <v>41667</v>
      </c>
      <c r="C299">
        <v>3.4146699129436402</v>
      </c>
    </row>
    <row r="300" spans="2:3" x14ac:dyDescent="0.2">
      <c r="B300" s="32">
        <v>41666</v>
      </c>
      <c r="C300">
        <v>3.4248929817112499</v>
      </c>
    </row>
    <row r="301" spans="2:3" x14ac:dyDescent="0.2">
      <c r="B301" s="32">
        <v>41663</v>
      </c>
      <c r="C301">
        <v>3.3821795348389898</v>
      </c>
    </row>
    <row r="302" spans="2:3" x14ac:dyDescent="0.2">
      <c r="B302" s="32">
        <v>41662</v>
      </c>
      <c r="C302">
        <v>3.42598487814407</v>
      </c>
    </row>
    <row r="303" spans="2:3" x14ac:dyDescent="0.2">
      <c r="B303" s="32">
        <v>41661</v>
      </c>
      <c r="C303">
        <v>3.4813003413665098</v>
      </c>
    </row>
    <row r="304" spans="2:3" x14ac:dyDescent="0.2">
      <c r="B304" s="32">
        <v>41660</v>
      </c>
      <c r="C304">
        <v>3.4306167460721202</v>
      </c>
    </row>
    <row r="305" spans="2:3" x14ac:dyDescent="0.2">
      <c r="B305" s="32">
        <v>41656</v>
      </c>
      <c r="C305">
        <v>3.4370844050238198</v>
      </c>
    </row>
    <row r="306" spans="2:3" x14ac:dyDescent="0.2">
      <c r="B306" s="32">
        <v>41655</v>
      </c>
      <c r="C306">
        <v>3.4570560243786002</v>
      </c>
    </row>
    <row r="307" spans="2:3" x14ac:dyDescent="0.2">
      <c r="B307" s="32">
        <v>41654</v>
      </c>
      <c r="C307">
        <v>3.4947799465752998</v>
      </c>
    </row>
    <row r="308" spans="2:3" x14ac:dyDescent="0.2">
      <c r="B308" s="32">
        <v>41653</v>
      </c>
      <c r="C308">
        <v>3.4834111891672799</v>
      </c>
    </row>
    <row r="309" spans="2:3" x14ac:dyDescent="0.2">
      <c r="B309" s="32">
        <v>41652</v>
      </c>
      <c r="C309">
        <v>3.4264575978101499</v>
      </c>
    </row>
    <row r="310" spans="2:3" x14ac:dyDescent="0.2">
      <c r="B310" s="32">
        <v>41649</v>
      </c>
      <c r="C310">
        <v>3.4718387266108799</v>
      </c>
    </row>
    <row r="311" spans="2:3" x14ac:dyDescent="0.2">
      <c r="B311" s="32">
        <v>41648</v>
      </c>
      <c r="C311">
        <v>3.5749416796778899</v>
      </c>
    </row>
    <row r="312" spans="2:3" x14ac:dyDescent="0.2">
      <c r="B312" s="32">
        <v>41647</v>
      </c>
      <c r="C312">
        <v>3.5963712535882499</v>
      </c>
    </row>
    <row r="313" spans="2:3" x14ac:dyDescent="0.2">
      <c r="B313" s="32">
        <v>41646</v>
      </c>
      <c r="C313">
        <v>3.5428500405358099</v>
      </c>
    </row>
    <row r="314" spans="2:3" x14ac:dyDescent="0.2">
      <c r="B314" s="32">
        <v>41645</v>
      </c>
      <c r="C314">
        <v>3.5763485946615199</v>
      </c>
    </row>
    <row r="315" spans="2:3" x14ac:dyDescent="0.2">
      <c r="B315" s="32">
        <v>41642</v>
      </c>
      <c r="C315">
        <v>3.6032550852643102</v>
      </c>
    </row>
    <row r="316" spans="2:3" x14ac:dyDescent="0.2">
      <c r="B316" s="32">
        <v>41641</v>
      </c>
      <c r="C316">
        <v>3.5996964231875999</v>
      </c>
    </row>
    <row r="317" spans="2:3" x14ac:dyDescent="0.2">
      <c r="B317" s="32">
        <v>41639</v>
      </c>
      <c r="C317">
        <v>3.5930254960618</v>
      </c>
    </row>
    <row r="318" spans="2:3" x14ac:dyDescent="0.2">
      <c r="B318" s="32">
        <v>41638</v>
      </c>
      <c r="C318">
        <v>3.5746743392906399</v>
      </c>
    </row>
    <row r="319" spans="2:3" x14ac:dyDescent="0.2">
      <c r="B319" s="32">
        <v>41635</v>
      </c>
      <c r="C319">
        <v>3.60938046615082</v>
      </c>
    </row>
    <row r="320" spans="2:3" x14ac:dyDescent="0.2">
      <c r="B320" s="32">
        <v>41634</v>
      </c>
      <c r="C320">
        <v>3.6110841836329799</v>
      </c>
    </row>
    <row r="321" spans="2:3" x14ac:dyDescent="0.2">
      <c r="B321" s="32">
        <v>41632</v>
      </c>
      <c r="C321">
        <v>3.6100621369380201</v>
      </c>
    </row>
    <row r="322" spans="2:3" x14ac:dyDescent="0.2">
      <c r="B322" s="32">
        <v>41631</v>
      </c>
      <c r="C322">
        <v>3.5422520494722902</v>
      </c>
    </row>
    <row r="323" spans="2:3" x14ac:dyDescent="0.2">
      <c r="B323" s="32">
        <v>41628</v>
      </c>
      <c r="C323">
        <v>3.5207189291483099</v>
      </c>
    </row>
    <row r="324" spans="2:3" x14ac:dyDescent="0.2">
      <c r="B324" s="32">
        <v>41627</v>
      </c>
      <c r="C324">
        <v>3.5894558660793101</v>
      </c>
    </row>
    <row r="325" spans="2:3" x14ac:dyDescent="0.2">
      <c r="B325" s="32">
        <v>41626</v>
      </c>
      <c r="C325">
        <v>3.5422755368494498</v>
      </c>
    </row>
    <row r="326" spans="2:3" x14ac:dyDescent="0.2">
      <c r="B326" s="32">
        <v>41625</v>
      </c>
      <c r="C326">
        <v>3.4998898139893</v>
      </c>
    </row>
    <row r="327" spans="2:3" x14ac:dyDescent="0.2">
      <c r="B327" s="32">
        <v>41624</v>
      </c>
      <c r="C327">
        <v>3.5307245323139602</v>
      </c>
    </row>
    <row r="328" spans="2:3" x14ac:dyDescent="0.2">
      <c r="B328" s="32">
        <v>41621</v>
      </c>
      <c r="C328">
        <v>3.5290996894050202</v>
      </c>
    </row>
    <row r="329" spans="2:3" x14ac:dyDescent="0.2">
      <c r="B329" s="32">
        <v>41620</v>
      </c>
      <c r="C329">
        <v>3.5427546786903199</v>
      </c>
    </row>
    <row r="330" spans="2:3" x14ac:dyDescent="0.2">
      <c r="B330" s="32">
        <v>41619</v>
      </c>
      <c r="C330">
        <v>3.5156873221910101</v>
      </c>
    </row>
    <row r="331" spans="2:3" x14ac:dyDescent="0.2">
      <c r="B331" s="32">
        <v>41618</v>
      </c>
      <c r="C331">
        <v>3.46476327795386</v>
      </c>
    </row>
    <row r="332" spans="2:3" x14ac:dyDescent="0.2">
      <c r="B332" s="32">
        <v>41617</v>
      </c>
      <c r="C332">
        <v>3.5044888951704301</v>
      </c>
    </row>
    <row r="333" spans="2:3" x14ac:dyDescent="0.2">
      <c r="B333" s="32">
        <v>41614</v>
      </c>
      <c r="C333">
        <v>3.5357721713068302</v>
      </c>
    </row>
    <row r="334" spans="2:3" x14ac:dyDescent="0.2">
      <c r="B334" s="32">
        <v>41613</v>
      </c>
      <c r="C334">
        <v>3.5521293611692002</v>
      </c>
    </row>
    <row r="335" spans="2:3" x14ac:dyDescent="0.2">
      <c r="B335" s="32">
        <v>41612</v>
      </c>
      <c r="C335">
        <v>3.53796119815684</v>
      </c>
    </row>
    <row r="336" spans="2:3" x14ac:dyDescent="0.2">
      <c r="B336" s="32">
        <v>41611</v>
      </c>
      <c r="C336">
        <v>3.4820134464127701</v>
      </c>
    </row>
    <row r="337" spans="2:3" x14ac:dyDescent="0.2">
      <c r="B337" s="32">
        <v>41610</v>
      </c>
      <c r="C337">
        <v>3.48278493540972</v>
      </c>
    </row>
    <row r="338" spans="2:3" x14ac:dyDescent="0.2">
      <c r="B338" s="32">
        <v>41607</v>
      </c>
      <c r="C338">
        <v>3.4152065149267101</v>
      </c>
    </row>
    <row r="339" spans="2:3" x14ac:dyDescent="0.2">
      <c r="B339" s="32">
        <v>41605</v>
      </c>
      <c r="C339">
        <v>3.41186502861204</v>
      </c>
    </row>
    <row r="340" spans="2:3" x14ac:dyDescent="0.2">
      <c r="B340" s="32">
        <v>41604</v>
      </c>
      <c r="C340">
        <v>3.36567559686896</v>
      </c>
    </row>
    <row r="341" spans="2:3" x14ac:dyDescent="0.2">
      <c r="B341" s="32">
        <v>41603</v>
      </c>
      <c r="C341">
        <v>3.3786024673164099</v>
      </c>
    </row>
    <row r="342" spans="2:3" x14ac:dyDescent="0.2">
      <c r="B342" s="32">
        <v>41600</v>
      </c>
      <c r="C342">
        <v>3.3765717476056198</v>
      </c>
    </row>
    <row r="343" spans="2:3" x14ac:dyDescent="0.2">
      <c r="B343" s="32">
        <v>41599</v>
      </c>
      <c r="C343">
        <v>3.3902241574747198</v>
      </c>
    </row>
    <row r="344" spans="2:3" x14ac:dyDescent="0.2">
      <c r="B344" s="32">
        <v>41598</v>
      </c>
      <c r="C344">
        <v>3.3953888640544201</v>
      </c>
    </row>
    <row r="345" spans="2:3" x14ac:dyDescent="0.2">
      <c r="B345" s="32">
        <v>41597</v>
      </c>
      <c r="C345">
        <v>3.3249162804545902</v>
      </c>
    </row>
    <row r="346" spans="2:3" x14ac:dyDescent="0.2">
      <c r="B346" s="32">
        <v>41596</v>
      </c>
      <c r="C346">
        <v>3.2892170945558501</v>
      </c>
    </row>
    <row r="347" spans="2:3" x14ac:dyDescent="0.2">
      <c r="B347" s="32">
        <v>41593</v>
      </c>
      <c r="C347">
        <v>3.3274975263328299</v>
      </c>
    </row>
    <row r="348" spans="2:3" x14ac:dyDescent="0.2">
      <c r="B348" s="32">
        <v>41592</v>
      </c>
      <c r="C348">
        <v>3.33440232330382</v>
      </c>
    </row>
    <row r="349" spans="2:3" x14ac:dyDescent="0.2">
      <c r="B349" s="32">
        <v>41591</v>
      </c>
      <c r="C349">
        <v>3.3863287913399098</v>
      </c>
    </row>
    <row r="350" spans="2:3" x14ac:dyDescent="0.2">
      <c r="B350" s="32">
        <v>41590</v>
      </c>
      <c r="C350">
        <v>3.42394236396553</v>
      </c>
    </row>
    <row r="351" spans="2:3" x14ac:dyDescent="0.2">
      <c r="B351" s="32">
        <v>41586</v>
      </c>
      <c r="C351">
        <v>3.4185329478981301</v>
      </c>
    </row>
    <row r="352" spans="2:3" x14ac:dyDescent="0.2">
      <c r="B352" s="32">
        <v>41585</v>
      </c>
      <c r="C352">
        <v>3.2915305734964</v>
      </c>
    </row>
    <row r="353" spans="2:3" x14ac:dyDescent="0.2">
      <c r="B353" s="32">
        <v>41584</v>
      </c>
      <c r="C353">
        <v>3.2997347907142101</v>
      </c>
    </row>
    <row r="354" spans="2:3" x14ac:dyDescent="0.2">
      <c r="B354" s="32">
        <v>41583</v>
      </c>
      <c r="C354">
        <v>3.31200880777374</v>
      </c>
    </row>
    <row r="355" spans="2:3" x14ac:dyDescent="0.2">
      <c r="B355" s="32">
        <v>41582</v>
      </c>
      <c r="C355">
        <v>3.2387584524434998</v>
      </c>
    </row>
    <row r="356" spans="2:3" x14ac:dyDescent="0.2">
      <c r="B356" s="32">
        <v>41579</v>
      </c>
      <c r="C356">
        <v>3.25928309164834</v>
      </c>
    </row>
    <row r="357" spans="2:3" x14ac:dyDescent="0.2">
      <c r="B357" s="32">
        <v>41578</v>
      </c>
      <c r="C357">
        <v>3.1803565883984102</v>
      </c>
    </row>
    <row r="358" spans="2:3" x14ac:dyDescent="0.2">
      <c r="B358" s="32">
        <v>41577</v>
      </c>
      <c r="C358">
        <v>3.1611386444386498</v>
      </c>
    </row>
    <row r="359" spans="2:3" x14ac:dyDescent="0.2">
      <c r="B359" s="32">
        <v>41576</v>
      </c>
      <c r="C359">
        <v>3.1543237441163701</v>
      </c>
    </row>
    <row r="360" spans="2:3" x14ac:dyDescent="0.2">
      <c r="B360" s="32">
        <v>41575</v>
      </c>
      <c r="C360">
        <v>3.1593236616906499</v>
      </c>
    </row>
    <row r="361" spans="2:3" x14ac:dyDescent="0.2">
      <c r="B361" s="32">
        <v>41572</v>
      </c>
      <c r="C361">
        <v>3.1521212861919801</v>
      </c>
    </row>
    <row r="362" spans="2:3" x14ac:dyDescent="0.2">
      <c r="B362" s="32">
        <v>41571</v>
      </c>
      <c r="C362">
        <v>3.1772287212477002</v>
      </c>
    </row>
    <row r="363" spans="2:3" x14ac:dyDescent="0.2">
      <c r="B363" s="32">
        <v>41570</v>
      </c>
      <c r="C363">
        <v>3.1541714940092298</v>
      </c>
    </row>
    <row r="364" spans="2:3" x14ac:dyDescent="0.2">
      <c r="B364" s="32">
        <v>41569</v>
      </c>
      <c r="C364">
        <v>3.18365964576661</v>
      </c>
    </row>
    <row r="365" spans="2:3" x14ac:dyDescent="0.2">
      <c r="B365" s="32">
        <v>41568</v>
      </c>
      <c r="C365">
        <v>3.2809533512237801</v>
      </c>
    </row>
    <row r="366" spans="2:3" x14ac:dyDescent="0.2">
      <c r="B366" s="32">
        <v>41565</v>
      </c>
      <c r="C366">
        <v>3.2585675716606302</v>
      </c>
    </row>
    <row r="367" spans="2:3" x14ac:dyDescent="0.2">
      <c r="B367" s="32">
        <v>41564</v>
      </c>
      <c r="C367">
        <v>3.2546149111271299</v>
      </c>
    </row>
    <row r="368" spans="2:3" x14ac:dyDescent="0.2">
      <c r="B368" s="32">
        <v>41563</v>
      </c>
      <c r="C368">
        <v>3.34533036324394</v>
      </c>
    </row>
    <row r="369" spans="2:3" x14ac:dyDescent="0.2">
      <c r="B369" s="32">
        <v>41562</v>
      </c>
      <c r="C369">
        <v>3.3897329963191098</v>
      </c>
    </row>
    <row r="370" spans="2:3" x14ac:dyDescent="0.2">
      <c r="B370" s="32">
        <v>41558</v>
      </c>
      <c r="C370">
        <v>3.3488826952464001</v>
      </c>
    </row>
    <row r="371" spans="2:3" x14ac:dyDescent="0.2">
      <c r="B371" s="32">
        <v>41557</v>
      </c>
      <c r="C371">
        <v>3.3459270723169801</v>
      </c>
    </row>
    <row r="372" spans="2:3" x14ac:dyDescent="0.2">
      <c r="B372" s="32">
        <v>41556</v>
      </c>
      <c r="C372">
        <v>3.3312145702916398</v>
      </c>
    </row>
    <row r="373" spans="2:3" x14ac:dyDescent="0.2">
      <c r="B373" s="32">
        <v>41555</v>
      </c>
      <c r="C373">
        <v>3.32900541071837</v>
      </c>
    </row>
    <row r="374" spans="2:3" x14ac:dyDescent="0.2">
      <c r="B374" s="32">
        <v>41554</v>
      </c>
      <c r="C374">
        <v>3.3152163432269299</v>
      </c>
    </row>
    <row r="375" spans="2:3" x14ac:dyDescent="0.2">
      <c r="B375" s="32">
        <v>41551</v>
      </c>
      <c r="C375">
        <v>3.3143904621736602</v>
      </c>
    </row>
    <row r="376" spans="2:3" x14ac:dyDescent="0.2">
      <c r="B376" s="32">
        <v>41550</v>
      </c>
      <c r="C376">
        <v>3.2850779326666601</v>
      </c>
    </row>
    <row r="377" spans="2:3" x14ac:dyDescent="0.2">
      <c r="B377" s="32">
        <v>41549</v>
      </c>
      <c r="C377">
        <v>3.3078730296866699</v>
      </c>
    </row>
    <row r="378" spans="2:3" x14ac:dyDescent="0.2">
      <c r="B378" s="32">
        <v>41548</v>
      </c>
      <c r="C378">
        <v>3.31544213268957</v>
      </c>
    </row>
    <row r="379" spans="2:3" x14ac:dyDescent="0.2">
      <c r="B379" s="32">
        <v>41547</v>
      </c>
      <c r="C379">
        <v>3.2952489842634298</v>
      </c>
    </row>
    <row r="380" spans="2:3" x14ac:dyDescent="0.2">
      <c r="B380" s="32">
        <v>41544</v>
      </c>
      <c r="C380">
        <v>3.2948871217977098</v>
      </c>
    </row>
    <row r="381" spans="2:3" x14ac:dyDescent="0.2">
      <c r="B381" s="32">
        <v>41543</v>
      </c>
      <c r="C381">
        <v>3.3233487722912298</v>
      </c>
    </row>
    <row r="382" spans="2:3" x14ac:dyDescent="0.2">
      <c r="B382" s="32">
        <v>41542</v>
      </c>
      <c r="C382">
        <v>3.2961562018547901</v>
      </c>
    </row>
    <row r="383" spans="2:3" x14ac:dyDescent="0.2">
      <c r="B383" s="32">
        <v>41541</v>
      </c>
      <c r="C383">
        <v>3.34069195374131</v>
      </c>
    </row>
    <row r="384" spans="2:3" x14ac:dyDescent="0.2">
      <c r="B384" s="32">
        <v>41540</v>
      </c>
      <c r="C384">
        <v>3.4029034600998802</v>
      </c>
    </row>
    <row r="385" spans="2:3" x14ac:dyDescent="0.2">
      <c r="B385" s="32">
        <v>41537</v>
      </c>
      <c r="C385">
        <v>3.43160773905766</v>
      </c>
    </row>
    <row r="386" spans="2:3" x14ac:dyDescent="0.2">
      <c r="B386" s="32">
        <v>41536</v>
      </c>
      <c r="C386">
        <v>3.4234814698257399</v>
      </c>
    </row>
    <row r="387" spans="2:3" x14ac:dyDescent="0.2">
      <c r="B387" s="32">
        <v>41535</v>
      </c>
      <c r="C387">
        <v>3.4041075181539902</v>
      </c>
    </row>
    <row r="388" spans="2:3" x14ac:dyDescent="0.2">
      <c r="B388" s="32">
        <v>41534</v>
      </c>
      <c r="C388">
        <v>3.5862960100393702</v>
      </c>
    </row>
    <row r="389" spans="2:3" x14ac:dyDescent="0.2">
      <c r="B389" s="32">
        <v>41533</v>
      </c>
      <c r="C389">
        <v>3.6050291044242799</v>
      </c>
    </row>
    <row r="390" spans="2:3" x14ac:dyDescent="0.2">
      <c r="B390" s="32">
        <v>41530</v>
      </c>
      <c r="C390">
        <v>3.65073359446493</v>
      </c>
    </row>
    <row r="391" spans="2:3" x14ac:dyDescent="0.2">
      <c r="B391" s="32">
        <v>41529</v>
      </c>
      <c r="C391">
        <v>3.6662950351399499</v>
      </c>
    </row>
    <row r="392" spans="2:3" x14ac:dyDescent="0.2">
      <c r="B392" s="32">
        <v>41528</v>
      </c>
      <c r="C392">
        <v>3.66717920569566</v>
      </c>
    </row>
    <row r="393" spans="2:3" x14ac:dyDescent="0.2">
      <c r="B393" s="32">
        <v>41527</v>
      </c>
      <c r="C393">
        <v>3.70255706458429</v>
      </c>
    </row>
    <row r="394" spans="2:3" x14ac:dyDescent="0.2">
      <c r="B394" s="32">
        <v>41526</v>
      </c>
      <c r="C394">
        <v>3.6494917316156599</v>
      </c>
    </row>
    <row r="395" spans="2:3" x14ac:dyDescent="0.2">
      <c r="B395" s="32">
        <v>41523</v>
      </c>
      <c r="C395">
        <v>3.7212376856688798</v>
      </c>
    </row>
    <row r="396" spans="2:3" x14ac:dyDescent="0.2">
      <c r="B396" s="32">
        <v>41522</v>
      </c>
      <c r="C396">
        <v>3.7866951063074699</v>
      </c>
    </row>
    <row r="397" spans="2:3" x14ac:dyDescent="0.2">
      <c r="B397" s="32">
        <v>41521</v>
      </c>
      <c r="C397">
        <v>3.6795741616596702</v>
      </c>
    </row>
    <row r="398" spans="2:3" x14ac:dyDescent="0.2">
      <c r="B398" s="32">
        <v>41520</v>
      </c>
      <c r="C398">
        <v>3.6230343632850399</v>
      </c>
    </row>
    <row r="399" spans="2:3" x14ac:dyDescent="0.2">
      <c r="B399" s="32">
        <v>41516</v>
      </c>
      <c r="C399">
        <v>3.5181082868119602</v>
      </c>
    </row>
    <row r="400" spans="2:3" x14ac:dyDescent="0.2">
      <c r="B400" s="32">
        <v>41515</v>
      </c>
      <c r="C400">
        <v>3.5163998212649701</v>
      </c>
    </row>
    <row r="401" spans="2:3" x14ac:dyDescent="0.2">
      <c r="B401" s="32">
        <v>41514</v>
      </c>
      <c r="C401">
        <v>3.5645215625566</v>
      </c>
    </row>
    <row r="402" spans="2:3" x14ac:dyDescent="0.2">
      <c r="B402" s="32">
        <v>41513</v>
      </c>
      <c r="C402">
        <v>3.4950120682199999</v>
      </c>
    </row>
    <row r="403" spans="2:3" x14ac:dyDescent="0.2">
      <c r="B403" s="32">
        <v>41512</v>
      </c>
      <c r="C403">
        <v>3.5649427405180001</v>
      </c>
    </row>
    <row r="404" spans="2:3" x14ac:dyDescent="0.2">
      <c r="B404" s="32">
        <v>41509</v>
      </c>
      <c r="C404">
        <v>3.6014591745782401</v>
      </c>
    </row>
    <row r="405" spans="2:3" x14ac:dyDescent="0.2">
      <c r="B405" s="32">
        <v>41508</v>
      </c>
      <c r="C405">
        <v>3.7101937917241501</v>
      </c>
    </row>
    <row r="406" spans="2:3" x14ac:dyDescent="0.2">
      <c r="B406" s="32">
        <v>41507</v>
      </c>
      <c r="C406">
        <v>3.6746442970123199</v>
      </c>
    </row>
    <row r="407" spans="2:3" x14ac:dyDescent="0.2">
      <c r="B407" s="32">
        <v>41506</v>
      </c>
      <c r="C407">
        <v>3.63068303363114</v>
      </c>
    </row>
    <row r="408" spans="2:3" x14ac:dyDescent="0.2">
      <c r="B408" s="32">
        <v>41505</v>
      </c>
      <c r="C408">
        <v>3.71104784086622</v>
      </c>
    </row>
    <row r="409" spans="2:3" x14ac:dyDescent="0.2">
      <c r="B409" s="32">
        <v>41502</v>
      </c>
      <c r="C409">
        <v>3.63422852757154</v>
      </c>
    </row>
    <row r="410" spans="2:3" x14ac:dyDescent="0.2">
      <c r="B410" s="32">
        <v>41501</v>
      </c>
      <c r="C410">
        <v>3.5424603238556802</v>
      </c>
    </row>
    <row r="411" spans="2:3" x14ac:dyDescent="0.2">
      <c r="B411" s="32">
        <v>41500</v>
      </c>
      <c r="C411">
        <v>3.48408848788866</v>
      </c>
    </row>
    <row r="412" spans="2:3" x14ac:dyDescent="0.2">
      <c r="B412" s="32">
        <v>41499</v>
      </c>
      <c r="C412">
        <v>3.48659769885389</v>
      </c>
    </row>
    <row r="413" spans="2:3" x14ac:dyDescent="0.2">
      <c r="B413" s="32">
        <v>41498</v>
      </c>
      <c r="C413">
        <v>3.38388390000057</v>
      </c>
    </row>
    <row r="414" spans="2:3" x14ac:dyDescent="0.2">
      <c r="B414" s="32">
        <v>41495</v>
      </c>
      <c r="C414">
        <v>3.3639509131930398</v>
      </c>
    </row>
    <row r="415" spans="2:3" x14ac:dyDescent="0.2">
      <c r="B415" s="32">
        <v>41494</v>
      </c>
      <c r="C415">
        <v>3.3814879030485301</v>
      </c>
    </row>
    <row r="416" spans="2:3" x14ac:dyDescent="0.2">
      <c r="B416" s="32">
        <v>41493</v>
      </c>
      <c r="C416">
        <v>3.40952934683791</v>
      </c>
    </row>
    <row r="417" spans="2:3" x14ac:dyDescent="0.2">
      <c r="B417" s="32">
        <v>41492</v>
      </c>
      <c r="C417">
        <v>3.44308693748463</v>
      </c>
    </row>
    <row r="418" spans="2:3" x14ac:dyDescent="0.2">
      <c r="B418" s="32">
        <v>41491</v>
      </c>
      <c r="C418">
        <v>3.4178117990662802</v>
      </c>
    </row>
    <row r="419" spans="2:3" x14ac:dyDescent="0.2">
      <c r="B419" s="32">
        <v>41488</v>
      </c>
      <c r="C419">
        <v>3.4035662511479701</v>
      </c>
    </row>
    <row r="420" spans="2:3" x14ac:dyDescent="0.2">
      <c r="B420" s="32">
        <v>41487</v>
      </c>
      <c r="C420">
        <v>3.5328707550914098</v>
      </c>
    </row>
    <row r="421" spans="2:3" x14ac:dyDescent="0.2">
      <c r="B421" s="32">
        <v>41486</v>
      </c>
      <c r="C421">
        <v>3.4095392657433901</v>
      </c>
    </row>
    <row r="422" spans="2:3" x14ac:dyDescent="0.2">
      <c r="B422" s="32">
        <v>41485</v>
      </c>
      <c r="C422">
        <v>3.4285967572115399</v>
      </c>
    </row>
    <row r="423" spans="2:3" x14ac:dyDescent="0.2">
      <c r="B423" s="32">
        <v>41484</v>
      </c>
      <c r="C423">
        <v>3.4061464314062202</v>
      </c>
    </row>
    <row r="424" spans="2:3" x14ac:dyDescent="0.2">
      <c r="B424" s="32">
        <v>41481</v>
      </c>
      <c r="C424">
        <v>3.3953206082541598</v>
      </c>
    </row>
    <row r="425" spans="2:3" x14ac:dyDescent="0.2">
      <c r="B425" s="32">
        <v>41480</v>
      </c>
      <c r="C425">
        <v>3.4407863915877401</v>
      </c>
    </row>
    <row r="426" spans="2:3" x14ac:dyDescent="0.2">
      <c r="B426" s="32">
        <v>41479</v>
      </c>
      <c r="C426">
        <v>3.4296755954575699</v>
      </c>
    </row>
    <row r="427" spans="2:3" x14ac:dyDescent="0.2">
      <c r="B427" s="32">
        <v>41478</v>
      </c>
      <c r="C427">
        <v>3.3639050543487601</v>
      </c>
    </row>
    <row r="428" spans="2:3" x14ac:dyDescent="0.2">
      <c r="B428" s="32">
        <v>41477</v>
      </c>
      <c r="C428">
        <v>3.3220828709767098</v>
      </c>
    </row>
    <row r="429" spans="2:3" x14ac:dyDescent="0.2">
      <c r="B429" s="32">
        <v>41474</v>
      </c>
      <c r="C429">
        <v>3.3313912756576198</v>
      </c>
    </row>
    <row r="430" spans="2:3" x14ac:dyDescent="0.2">
      <c r="B430" s="32">
        <v>41473</v>
      </c>
      <c r="C430">
        <v>3.38884755763491</v>
      </c>
    </row>
    <row r="431" spans="2:3" x14ac:dyDescent="0.2">
      <c r="B431" s="32">
        <v>41472</v>
      </c>
      <c r="C431">
        <v>3.34386583598301</v>
      </c>
    </row>
    <row r="432" spans="2:3" x14ac:dyDescent="0.2">
      <c r="B432" s="32">
        <v>41471</v>
      </c>
      <c r="C432">
        <v>3.3914708524147601</v>
      </c>
    </row>
    <row r="433" spans="2:3" x14ac:dyDescent="0.2">
      <c r="B433" s="32">
        <v>41470</v>
      </c>
      <c r="C433">
        <v>3.40503285889704</v>
      </c>
    </row>
    <row r="434" spans="2:3" x14ac:dyDescent="0.2">
      <c r="B434" s="32">
        <v>41467</v>
      </c>
      <c r="C434">
        <v>3.4748173662638</v>
      </c>
    </row>
    <row r="435" spans="2:3" x14ac:dyDescent="0.2">
      <c r="B435" s="32">
        <v>41466</v>
      </c>
      <c r="C435">
        <v>3.4679725505405199</v>
      </c>
    </row>
    <row r="436" spans="2:3" x14ac:dyDescent="0.2">
      <c r="B436" s="32">
        <v>41465</v>
      </c>
      <c r="C436">
        <v>3.58537205832996</v>
      </c>
    </row>
    <row r="437" spans="2:3" x14ac:dyDescent="0.2">
      <c r="B437" s="32">
        <v>41464</v>
      </c>
      <c r="C437">
        <v>3.4880159980232399</v>
      </c>
    </row>
    <row r="438" spans="2:3" x14ac:dyDescent="0.2">
      <c r="B438" s="32">
        <v>41463</v>
      </c>
      <c r="C438">
        <v>3.5446391609564598</v>
      </c>
    </row>
    <row r="439" spans="2:3" x14ac:dyDescent="0.2">
      <c r="B439" s="32">
        <v>41460</v>
      </c>
      <c r="C439">
        <v>3.6732513531495798</v>
      </c>
    </row>
    <row r="440" spans="2:3" x14ac:dyDescent="0.2">
      <c r="B440" s="32">
        <v>41458</v>
      </c>
      <c r="C440">
        <v>3.3689245044101299</v>
      </c>
    </row>
    <row r="441" spans="2:3" x14ac:dyDescent="0.2">
      <c r="B441" s="32">
        <v>41457</v>
      </c>
      <c r="C441">
        <v>3.3118182496923301</v>
      </c>
    </row>
    <row r="442" spans="2:3" x14ac:dyDescent="0.2">
      <c r="B442" s="32">
        <v>41456</v>
      </c>
      <c r="C442">
        <v>3.2979461773808199</v>
      </c>
    </row>
    <row r="443" spans="2:3" x14ac:dyDescent="0.2">
      <c r="B443" s="32">
        <v>41453</v>
      </c>
      <c r="C443">
        <v>3.3094496735702101</v>
      </c>
    </row>
    <row r="444" spans="2:3" x14ac:dyDescent="0.2">
      <c r="B444" s="32">
        <v>41452</v>
      </c>
      <c r="C444">
        <v>3.3206581307608101</v>
      </c>
    </row>
    <row r="445" spans="2:3" x14ac:dyDescent="0.2">
      <c r="B445" s="32">
        <v>41451</v>
      </c>
      <c r="C445">
        <v>3.44274839511578</v>
      </c>
    </row>
    <row r="446" spans="2:3" x14ac:dyDescent="0.2">
      <c r="B446" s="32">
        <v>41450</v>
      </c>
      <c r="C446">
        <v>3.4979073592115801</v>
      </c>
    </row>
    <row r="447" spans="2:3" x14ac:dyDescent="0.2">
      <c r="B447" s="32">
        <v>41449</v>
      </c>
      <c r="C447">
        <v>3.4842821250923999</v>
      </c>
    </row>
    <row r="448" spans="2:3" x14ac:dyDescent="0.2">
      <c r="B448" s="32">
        <v>41446</v>
      </c>
      <c r="C448">
        <v>3.4290560333253501</v>
      </c>
    </row>
    <row r="449" spans="2:3" x14ac:dyDescent="0.2">
      <c r="B449" s="32">
        <v>41445</v>
      </c>
      <c r="C449">
        <v>3.2731873242540099</v>
      </c>
    </row>
    <row r="450" spans="2:3" x14ac:dyDescent="0.2">
      <c r="B450" s="32">
        <v>41444</v>
      </c>
      <c r="C450">
        <v>3.1273804098375502</v>
      </c>
    </row>
    <row r="451" spans="2:3" x14ac:dyDescent="0.2">
      <c r="B451" s="32">
        <v>41443</v>
      </c>
      <c r="C451">
        <v>2.9821306488123902</v>
      </c>
    </row>
    <row r="452" spans="2:3" x14ac:dyDescent="0.2">
      <c r="B452" s="32">
        <v>41442</v>
      </c>
      <c r="C452">
        <v>2.9838518305616502</v>
      </c>
    </row>
    <row r="453" spans="2:3" x14ac:dyDescent="0.2">
      <c r="B453" s="32">
        <v>41439</v>
      </c>
      <c r="C453">
        <v>2.93282407442446</v>
      </c>
    </row>
    <row r="454" spans="2:3" x14ac:dyDescent="0.2">
      <c r="B454" s="32">
        <v>41438</v>
      </c>
      <c r="C454">
        <v>2.97051771574304</v>
      </c>
    </row>
    <row r="455" spans="2:3" x14ac:dyDescent="0.2">
      <c r="B455" s="32">
        <v>41437</v>
      </c>
      <c r="C455">
        <v>3.0172986003180302</v>
      </c>
    </row>
    <row r="456" spans="2:3" x14ac:dyDescent="0.2">
      <c r="B456" s="32">
        <v>41436</v>
      </c>
      <c r="C456">
        <v>2.9886237940572</v>
      </c>
    </row>
    <row r="457" spans="2:3" x14ac:dyDescent="0.2">
      <c r="B457" s="32">
        <v>41435</v>
      </c>
      <c r="C457">
        <v>3.0187503286824402</v>
      </c>
    </row>
    <row r="458" spans="2:3" x14ac:dyDescent="0.2">
      <c r="B458" s="32">
        <v>41432</v>
      </c>
      <c r="C458">
        <v>2.9931159990094902</v>
      </c>
    </row>
    <row r="459" spans="2:3" x14ac:dyDescent="0.2">
      <c r="B459" s="32">
        <v>41431</v>
      </c>
      <c r="C459">
        <v>2.9363931746100702</v>
      </c>
    </row>
    <row r="460" spans="2:3" x14ac:dyDescent="0.2">
      <c r="B460" s="32">
        <v>41430</v>
      </c>
      <c r="C460">
        <v>2.9737219853978498</v>
      </c>
    </row>
    <row r="461" spans="2:3" x14ac:dyDescent="0.2">
      <c r="B461" s="32">
        <v>41429</v>
      </c>
      <c r="C461">
        <v>2.9897357672895799</v>
      </c>
    </row>
    <row r="462" spans="2:3" x14ac:dyDescent="0.2">
      <c r="B462" s="32">
        <v>41428</v>
      </c>
      <c r="C462">
        <v>2.9603245306419401</v>
      </c>
    </row>
    <row r="463" spans="2:3" x14ac:dyDescent="0.2">
      <c r="B463" s="32">
        <v>41425</v>
      </c>
      <c r="C463">
        <v>2.95731349620652</v>
      </c>
    </row>
    <row r="464" spans="2:3" x14ac:dyDescent="0.2">
      <c r="B464" s="32">
        <v>41424</v>
      </c>
      <c r="C464">
        <v>2.9046454407398898</v>
      </c>
    </row>
    <row r="465" spans="2:3" x14ac:dyDescent="0.2">
      <c r="B465" s="32">
        <v>41423</v>
      </c>
      <c r="C465">
        <v>2.9196928046626902</v>
      </c>
    </row>
    <row r="466" spans="2:3" x14ac:dyDescent="0.2">
      <c r="B466" s="32">
        <v>41422</v>
      </c>
      <c r="C466">
        <v>2.9439593784478002</v>
      </c>
    </row>
    <row r="467" spans="2:3" x14ac:dyDescent="0.2">
      <c r="B467" s="32">
        <v>41418</v>
      </c>
      <c r="C467">
        <v>2.8149731764108399</v>
      </c>
    </row>
    <row r="468" spans="2:3" x14ac:dyDescent="0.2">
      <c r="B468" s="32">
        <v>41417</v>
      </c>
      <c r="C468">
        <v>2.8219074459123799</v>
      </c>
    </row>
    <row r="469" spans="2:3" x14ac:dyDescent="0.2">
      <c r="B469" s="32">
        <v>41416</v>
      </c>
      <c r="C469">
        <v>2.78843998218461</v>
      </c>
    </row>
    <row r="470" spans="2:3" x14ac:dyDescent="0.2">
      <c r="B470" s="32">
        <v>41415</v>
      </c>
      <c r="C470">
        <v>2.6645260639550199</v>
      </c>
    </row>
    <row r="471" spans="2:3" x14ac:dyDescent="0.2">
      <c r="B471" s="32">
        <v>41414</v>
      </c>
      <c r="C471">
        <v>2.7128835423314301</v>
      </c>
    </row>
    <row r="472" spans="2:3" x14ac:dyDescent="0.2">
      <c r="B472" s="32">
        <v>41411</v>
      </c>
      <c r="C472">
        <v>2.6858134280305799</v>
      </c>
    </row>
    <row r="473" spans="2:3" x14ac:dyDescent="0.2">
      <c r="B473" s="32">
        <v>41410</v>
      </c>
      <c r="C473">
        <v>2.5638774739999999</v>
      </c>
    </row>
    <row r="474" spans="2:3" x14ac:dyDescent="0.2">
      <c r="B474" s="32">
        <v>41409</v>
      </c>
      <c r="C474">
        <v>2.6618664133932302</v>
      </c>
    </row>
    <row r="475" spans="2:3" x14ac:dyDescent="0.2">
      <c r="B475" s="32">
        <v>41408</v>
      </c>
      <c r="C475">
        <v>2.6627244928863401</v>
      </c>
    </row>
    <row r="476" spans="2:3" x14ac:dyDescent="0.2">
      <c r="B476" s="32">
        <v>41407</v>
      </c>
      <c r="C476">
        <v>2.6209995675214</v>
      </c>
    </row>
    <row r="477" spans="2:3" x14ac:dyDescent="0.2">
      <c r="B477" s="32">
        <v>41404</v>
      </c>
      <c r="C477">
        <v>2.5868571182044802</v>
      </c>
    </row>
    <row r="478" spans="2:3" x14ac:dyDescent="0.2">
      <c r="B478" s="32">
        <v>41403</v>
      </c>
      <c r="C478">
        <v>2.49665490312618</v>
      </c>
    </row>
    <row r="479" spans="2:3" x14ac:dyDescent="0.2">
      <c r="B479" s="32">
        <v>41402</v>
      </c>
      <c r="C479">
        <v>2.4724453435903899</v>
      </c>
    </row>
    <row r="480" spans="2:3" x14ac:dyDescent="0.2">
      <c r="B480" s="32">
        <v>41401</v>
      </c>
      <c r="C480">
        <v>2.48894298716524</v>
      </c>
    </row>
    <row r="481" spans="2:3" x14ac:dyDescent="0.2">
      <c r="B481" s="32">
        <v>41400</v>
      </c>
      <c r="C481">
        <v>2.4724031733010898</v>
      </c>
    </row>
    <row r="482" spans="2:3" x14ac:dyDescent="0.2">
      <c r="B482" s="32">
        <v>41397</v>
      </c>
      <c r="C482">
        <v>2.4561501214153099</v>
      </c>
    </row>
    <row r="483" spans="2:3" x14ac:dyDescent="0.2">
      <c r="B483" s="32">
        <v>41396</v>
      </c>
      <c r="C483">
        <v>2.3421036791460899</v>
      </c>
    </row>
    <row r="484" spans="2:3" x14ac:dyDescent="0.2">
      <c r="B484" s="32">
        <v>41395</v>
      </c>
      <c r="C484">
        <v>2.31035596660836</v>
      </c>
    </row>
    <row r="485" spans="2:3" x14ac:dyDescent="0.2">
      <c r="B485" s="32">
        <v>41394</v>
      </c>
      <c r="C485">
        <v>2.3535373905486399</v>
      </c>
    </row>
    <row r="486" spans="2:3" x14ac:dyDescent="0.2">
      <c r="B486" s="32">
        <v>41393</v>
      </c>
      <c r="C486">
        <v>2.37447920783596</v>
      </c>
    </row>
    <row r="487" spans="2:3" x14ac:dyDescent="0.2">
      <c r="B487" s="32">
        <v>41390</v>
      </c>
      <c r="C487">
        <v>2.3795080679074299</v>
      </c>
    </row>
    <row r="488" spans="2:3" x14ac:dyDescent="0.2">
      <c r="B488" s="32">
        <v>41389</v>
      </c>
      <c r="C488">
        <v>2.4323453281375</v>
      </c>
    </row>
    <row r="489" spans="2:3" x14ac:dyDescent="0.2">
      <c r="B489" s="32">
        <v>41388</v>
      </c>
      <c r="C489">
        <v>2.4323883653727401</v>
      </c>
    </row>
    <row r="490" spans="2:3" x14ac:dyDescent="0.2">
      <c r="B490" s="32">
        <v>41387</v>
      </c>
      <c r="C490">
        <v>2.4375323431689502</v>
      </c>
    </row>
    <row r="491" spans="2:3" x14ac:dyDescent="0.2">
      <c r="B491" s="32">
        <v>41386</v>
      </c>
      <c r="C491">
        <v>2.4460987781161698</v>
      </c>
    </row>
    <row r="492" spans="2:3" x14ac:dyDescent="0.2">
      <c r="B492" s="32">
        <v>41383</v>
      </c>
      <c r="C492">
        <v>2.4478292625910401</v>
      </c>
    </row>
    <row r="493" spans="2:3" x14ac:dyDescent="0.2">
      <c r="B493" s="32">
        <v>41382</v>
      </c>
      <c r="C493">
        <v>2.43192110209089</v>
      </c>
    </row>
    <row r="494" spans="2:3" x14ac:dyDescent="0.2">
      <c r="B494" s="32">
        <v>41381</v>
      </c>
      <c r="C494">
        <v>2.4500518771238999</v>
      </c>
    </row>
    <row r="495" spans="2:3" x14ac:dyDescent="0.2">
      <c r="B495" s="32">
        <v>41380</v>
      </c>
      <c r="C495">
        <v>2.45465029105896</v>
      </c>
    </row>
    <row r="496" spans="2:3" x14ac:dyDescent="0.2">
      <c r="B496" s="32">
        <v>41379</v>
      </c>
      <c r="C496">
        <v>2.4306597894947899</v>
      </c>
    </row>
    <row r="497" spans="2:3" x14ac:dyDescent="0.2">
      <c r="B497" s="32">
        <v>41376</v>
      </c>
      <c r="C497">
        <v>2.4532379481842601</v>
      </c>
    </row>
    <row r="498" spans="2:3" x14ac:dyDescent="0.2">
      <c r="B498" s="32">
        <v>41375</v>
      </c>
      <c r="C498">
        <v>2.5180760618821498</v>
      </c>
    </row>
    <row r="499" spans="2:3" x14ac:dyDescent="0.2">
      <c r="B499" s="32">
        <v>41374</v>
      </c>
      <c r="C499">
        <v>2.54479183649527</v>
      </c>
    </row>
    <row r="500" spans="2:3" x14ac:dyDescent="0.2">
      <c r="B500" s="32">
        <v>41373</v>
      </c>
      <c r="C500">
        <v>2.4893778182677</v>
      </c>
    </row>
    <row r="501" spans="2:3" x14ac:dyDescent="0.2">
      <c r="B501" s="32">
        <v>41372</v>
      </c>
      <c r="C501">
        <v>2.4769497822755899</v>
      </c>
    </row>
    <row r="502" spans="2:3" x14ac:dyDescent="0.2">
      <c r="B502" s="32">
        <v>41369</v>
      </c>
      <c r="C502">
        <v>2.4173832768427301</v>
      </c>
    </row>
    <row r="503" spans="2:3" x14ac:dyDescent="0.2">
      <c r="B503" s="32">
        <v>41368</v>
      </c>
      <c r="C503">
        <v>2.4858730996264899</v>
      </c>
    </row>
    <row r="504" spans="2:3" x14ac:dyDescent="0.2">
      <c r="B504" s="32">
        <v>41367</v>
      </c>
      <c r="C504">
        <v>2.5647186741288901</v>
      </c>
    </row>
    <row r="505" spans="2:3" x14ac:dyDescent="0.2">
      <c r="B505" s="32">
        <v>41366</v>
      </c>
      <c r="C505">
        <v>2.6101991222676499</v>
      </c>
    </row>
    <row r="506" spans="2:3" x14ac:dyDescent="0.2">
      <c r="B506" s="32">
        <v>41365</v>
      </c>
      <c r="C506">
        <v>2.5951295555522802</v>
      </c>
    </row>
    <row r="507" spans="2:3" x14ac:dyDescent="0.2">
      <c r="B507" s="32">
        <v>41361</v>
      </c>
      <c r="C507">
        <v>2.6143335780898398</v>
      </c>
    </row>
    <row r="508" spans="2:3" x14ac:dyDescent="0.2">
      <c r="B508" s="32">
        <v>41360</v>
      </c>
      <c r="C508">
        <v>2.6080685310037901</v>
      </c>
    </row>
    <row r="509" spans="2:3" x14ac:dyDescent="0.2">
      <c r="B509" s="32">
        <v>41359</v>
      </c>
      <c r="C509">
        <v>2.6425583507311501</v>
      </c>
    </row>
    <row r="510" spans="2:3" x14ac:dyDescent="0.2">
      <c r="B510" s="32">
        <v>41358</v>
      </c>
      <c r="C510">
        <v>2.6394759315969498</v>
      </c>
    </row>
    <row r="511" spans="2:3" x14ac:dyDescent="0.2">
      <c r="B511" s="32">
        <v>41355</v>
      </c>
      <c r="C511">
        <v>2.6414844586182298</v>
      </c>
    </row>
    <row r="512" spans="2:3" x14ac:dyDescent="0.2">
      <c r="B512" s="32">
        <v>41354</v>
      </c>
      <c r="C512">
        <v>2.6762749111600002</v>
      </c>
    </row>
    <row r="513" spans="2:3" x14ac:dyDescent="0.2">
      <c r="B513" s="32">
        <v>41353</v>
      </c>
      <c r="C513">
        <v>2.6469827013594598</v>
      </c>
    </row>
    <row r="514" spans="2:3" x14ac:dyDescent="0.2">
      <c r="B514" s="32">
        <v>41352</v>
      </c>
      <c r="C514">
        <v>2.6068633017671599</v>
      </c>
    </row>
    <row r="515" spans="2:3" x14ac:dyDescent="0.2">
      <c r="B515" s="32">
        <v>41351</v>
      </c>
      <c r="C515">
        <v>2.6296268135310301</v>
      </c>
    </row>
    <row r="516" spans="2:3" x14ac:dyDescent="0.2">
      <c r="B516" s="32">
        <v>41348</v>
      </c>
      <c r="C516">
        <v>2.6643363272696798</v>
      </c>
    </row>
    <row r="517" spans="2:3" x14ac:dyDescent="0.2">
      <c r="B517" s="32">
        <v>41347</v>
      </c>
      <c r="C517">
        <v>2.7054585787984</v>
      </c>
    </row>
    <row r="518" spans="2:3" x14ac:dyDescent="0.2">
      <c r="B518" s="32">
        <v>41346</v>
      </c>
      <c r="C518">
        <v>2.70043867478531</v>
      </c>
    </row>
    <row r="519" spans="2:3" x14ac:dyDescent="0.2">
      <c r="B519" s="32">
        <v>41345</v>
      </c>
      <c r="C519">
        <v>2.7064552884836801</v>
      </c>
    </row>
    <row r="520" spans="2:3" x14ac:dyDescent="0.2">
      <c r="B520" s="32">
        <v>41344</v>
      </c>
      <c r="C520">
        <v>2.7399845789483299</v>
      </c>
    </row>
    <row r="521" spans="2:3" x14ac:dyDescent="0.2">
      <c r="B521" s="32">
        <v>41341</v>
      </c>
      <c r="C521">
        <v>2.7519155244705402</v>
      </c>
    </row>
    <row r="522" spans="2:3" x14ac:dyDescent="0.2">
      <c r="B522" s="32">
        <v>41340</v>
      </c>
      <c r="C522">
        <v>2.6733074908689098</v>
      </c>
    </row>
    <row r="523" spans="2:3" x14ac:dyDescent="0.2">
      <c r="B523" s="32">
        <v>41339</v>
      </c>
      <c r="C523">
        <v>2.6125524232747801</v>
      </c>
    </row>
    <row r="524" spans="2:3" x14ac:dyDescent="0.2">
      <c r="B524" s="32">
        <v>41338</v>
      </c>
      <c r="C524">
        <v>2.56075645776348</v>
      </c>
    </row>
    <row r="525" spans="2:3" x14ac:dyDescent="0.2">
      <c r="B525" s="32">
        <v>41337</v>
      </c>
      <c r="C525">
        <v>2.5457760046441602</v>
      </c>
    </row>
    <row r="526" spans="2:3" x14ac:dyDescent="0.2">
      <c r="B526" s="32">
        <v>41334</v>
      </c>
      <c r="C526">
        <v>2.5299300395983999</v>
      </c>
    </row>
    <row r="527" spans="2:3" x14ac:dyDescent="0.2">
      <c r="B527" s="32">
        <v>41333</v>
      </c>
      <c r="C527">
        <v>2.5448374323223399</v>
      </c>
    </row>
    <row r="528" spans="2:3" x14ac:dyDescent="0.2">
      <c r="B528" s="32">
        <v>41332</v>
      </c>
      <c r="C528">
        <v>2.5732198821136101</v>
      </c>
    </row>
    <row r="529" spans="2:3" x14ac:dyDescent="0.2">
      <c r="B529" s="32">
        <v>41331</v>
      </c>
      <c r="C529">
        <v>2.5389569445759999</v>
      </c>
    </row>
    <row r="530" spans="2:3" x14ac:dyDescent="0.2">
      <c r="B530" s="32">
        <v>41330</v>
      </c>
      <c r="C530">
        <v>2.5578588429933502</v>
      </c>
    </row>
    <row r="531" spans="2:3" x14ac:dyDescent="0.2">
      <c r="B531" s="32">
        <v>41327</v>
      </c>
      <c r="C531">
        <v>2.6251399034844098</v>
      </c>
    </row>
    <row r="532" spans="2:3" x14ac:dyDescent="0.2">
      <c r="B532" s="32">
        <v>41326</v>
      </c>
      <c r="C532">
        <v>2.6257405351132901</v>
      </c>
    </row>
    <row r="533" spans="2:3" x14ac:dyDescent="0.2">
      <c r="B533" s="32">
        <v>41325</v>
      </c>
      <c r="C533">
        <v>2.63796949913782</v>
      </c>
    </row>
    <row r="534" spans="2:3" x14ac:dyDescent="0.2">
      <c r="B534" s="32">
        <v>41324</v>
      </c>
      <c r="C534">
        <v>2.6380211947179002</v>
      </c>
    </row>
    <row r="535" spans="2:3" x14ac:dyDescent="0.2">
      <c r="B535" s="32">
        <v>41320</v>
      </c>
      <c r="C535">
        <v>2.6207856725732901</v>
      </c>
    </row>
    <row r="536" spans="2:3" x14ac:dyDescent="0.2">
      <c r="B536" s="32">
        <v>41319</v>
      </c>
      <c r="C536">
        <v>2.6085491789438602</v>
      </c>
    </row>
    <row r="537" spans="2:3" x14ac:dyDescent="0.2">
      <c r="B537" s="32">
        <v>41318</v>
      </c>
      <c r="C537">
        <v>2.6537197373142098</v>
      </c>
    </row>
    <row r="538" spans="2:3" x14ac:dyDescent="0.2">
      <c r="B538" s="32">
        <v>41317</v>
      </c>
      <c r="C538">
        <v>2.6070118411689598</v>
      </c>
    </row>
    <row r="539" spans="2:3" x14ac:dyDescent="0.2">
      <c r="B539" s="32">
        <v>41316</v>
      </c>
      <c r="C539">
        <v>2.56530846465939</v>
      </c>
    </row>
    <row r="540" spans="2:3" x14ac:dyDescent="0.2">
      <c r="B540" s="32">
        <v>41313</v>
      </c>
      <c r="C540">
        <v>2.5731755488249699</v>
      </c>
    </row>
    <row r="541" spans="2:3" x14ac:dyDescent="0.2">
      <c r="B541" s="32">
        <v>41312</v>
      </c>
      <c r="C541">
        <v>2.5513624904448799</v>
      </c>
    </row>
    <row r="542" spans="2:3" x14ac:dyDescent="0.2">
      <c r="B542" s="32">
        <v>41311</v>
      </c>
      <c r="C542">
        <v>2.55943207517402</v>
      </c>
    </row>
    <row r="543" spans="2:3" x14ac:dyDescent="0.2">
      <c r="B543" s="32">
        <v>41310</v>
      </c>
      <c r="C543">
        <v>2.6005196496782901</v>
      </c>
    </row>
    <row r="544" spans="2:3" x14ac:dyDescent="0.2">
      <c r="B544" s="32">
        <v>41309</v>
      </c>
      <c r="C544">
        <v>2.5556270132589098</v>
      </c>
    </row>
    <row r="545" spans="2:3" x14ac:dyDescent="0.2">
      <c r="B545" s="32">
        <v>41306</v>
      </c>
      <c r="C545">
        <v>2.5914055356862402</v>
      </c>
    </row>
    <row r="546" spans="2:3" x14ac:dyDescent="0.2">
      <c r="B546" s="32">
        <v>41305</v>
      </c>
      <c r="C546">
        <v>2.57376759097352</v>
      </c>
    </row>
    <row r="547" spans="2:3" x14ac:dyDescent="0.2">
      <c r="B547" s="32">
        <v>41304</v>
      </c>
      <c r="C547">
        <v>2.5772925233697599</v>
      </c>
    </row>
    <row r="548" spans="2:3" x14ac:dyDescent="0.2">
      <c r="B548" s="32">
        <v>41303</v>
      </c>
      <c r="C548">
        <v>2.5598092537420398</v>
      </c>
    </row>
    <row r="549" spans="2:3" x14ac:dyDescent="0.2">
      <c r="B549" s="32">
        <v>41302</v>
      </c>
      <c r="C549">
        <v>2.5393282304868099</v>
      </c>
    </row>
    <row r="550" spans="2:3" x14ac:dyDescent="0.2">
      <c r="B550" s="32">
        <v>41299</v>
      </c>
      <c r="C550">
        <v>2.50531849536197</v>
      </c>
    </row>
    <row r="551" spans="2:3" x14ac:dyDescent="0.2">
      <c r="B551" s="32">
        <v>41298</v>
      </c>
      <c r="C551">
        <v>2.3674188938348699</v>
      </c>
    </row>
    <row r="552" spans="2:3" x14ac:dyDescent="0.2">
      <c r="B552" s="32">
        <v>41297</v>
      </c>
      <c r="C552">
        <v>2.3433125325998301</v>
      </c>
    </row>
    <row r="553" spans="2:3" x14ac:dyDescent="0.2">
      <c r="B553" s="32">
        <v>41296</v>
      </c>
      <c r="C553">
        <v>2.35220774246172</v>
      </c>
    </row>
    <row r="554" spans="2:3" x14ac:dyDescent="0.2">
      <c r="B554" s="32">
        <v>41292</v>
      </c>
      <c r="C554">
        <v>2.3502791672529901</v>
      </c>
    </row>
    <row r="555" spans="2:3" x14ac:dyDescent="0.2">
      <c r="B555" s="32">
        <v>41291</v>
      </c>
      <c r="C555">
        <v>2.3689111618910199</v>
      </c>
    </row>
    <row r="556" spans="2:3" x14ac:dyDescent="0.2">
      <c r="B556" s="32">
        <v>41290</v>
      </c>
      <c r="C556">
        <v>2.2944098288443899</v>
      </c>
    </row>
    <row r="557" spans="2:3" x14ac:dyDescent="0.2">
      <c r="B557" s="32">
        <v>41289</v>
      </c>
      <c r="C557">
        <v>2.2938425272831502</v>
      </c>
    </row>
    <row r="558" spans="2:3" x14ac:dyDescent="0.2">
      <c r="B558" s="32">
        <v>41288</v>
      </c>
      <c r="C558">
        <v>2.2784009909774001</v>
      </c>
    </row>
    <row r="559" spans="2:3" x14ac:dyDescent="0.2">
      <c r="B559" s="32">
        <v>41285</v>
      </c>
      <c r="C559">
        <v>2.2816853967186499</v>
      </c>
    </row>
    <row r="560" spans="2:3" x14ac:dyDescent="0.2">
      <c r="B560" s="32">
        <v>41284</v>
      </c>
      <c r="C560">
        <v>2.3058062237430601</v>
      </c>
    </row>
    <row r="561" spans="2:3" x14ac:dyDescent="0.2">
      <c r="B561" s="32">
        <v>41283</v>
      </c>
      <c r="C561">
        <v>2.2542377381479901</v>
      </c>
    </row>
    <row r="562" spans="2:3" x14ac:dyDescent="0.2">
      <c r="B562" s="32">
        <v>41282</v>
      </c>
      <c r="C562">
        <v>2.2872202205924901</v>
      </c>
    </row>
    <row r="563" spans="2:3" x14ac:dyDescent="0.2">
      <c r="B563" s="32">
        <v>41281</v>
      </c>
      <c r="C563">
        <v>2.3132421541265802</v>
      </c>
    </row>
    <row r="564" spans="2:3" x14ac:dyDescent="0.2">
      <c r="B564" s="32">
        <v>41278</v>
      </c>
      <c r="C564">
        <v>2.3583903097049501</v>
      </c>
    </row>
    <row r="565" spans="2:3" x14ac:dyDescent="0.2">
      <c r="B565" s="32">
        <v>41277</v>
      </c>
      <c r="C565">
        <v>2.33893527316877</v>
      </c>
    </row>
    <row r="566" spans="2:3" x14ac:dyDescent="0.2">
      <c r="B566" s="32">
        <v>41276</v>
      </c>
      <c r="C566">
        <v>2.2179772298988301</v>
      </c>
    </row>
    <row r="567" spans="2:3" x14ac:dyDescent="0.2">
      <c r="B567" s="32">
        <v>41274</v>
      </c>
      <c r="C567">
        <v>2.1517307112587098</v>
      </c>
    </row>
    <row r="568" spans="2:3" x14ac:dyDescent="0.2">
      <c r="B568" s="32">
        <v>41271</v>
      </c>
      <c r="C568">
        <v>2.1401763219910399</v>
      </c>
    </row>
    <row r="569" spans="2:3" x14ac:dyDescent="0.2">
      <c r="B569" s="32">
        <v>41270</v>
      </c>
      <c r="C569">
        <v>2.12227766952706</v>
      </c>
    </row>
    <row r="570" spans="2:3" x14ac:dyDescent="0.2">
      <c r="B570" s="32">
        <v>41269</v>
      </c>
      <c r="C570">
        <v>2.1575085514306598</v>
      </c>
    </row>
    <row r="571" spans="2:3" x14ac:dyDescent="0.2">
      <c r="B571" s="32">
        <v>41267</v>
      </c>
      <c r="C571">
        <v>2.1781660184228402</v>
      </c>
    </row>
    <row r="572" spans="2:3" x14ac:dyDescent="0.2">
      <c r="B572" s="32">
        <v>41264</v>
      </c>
      <c r="C572">
        <v>2.14957407921754</v>
      </c>
    </row>
    <row r="573" spans="2:3" x14ac:dyDescent="0.2">
      <c r="B573" s="32">
        <v>41263</v>
      </c>
      <c r="C573">
        <v>2.18927927513684</v>
      </c>
    </row>
    <row r="574" spans="2:3" x14ac:dyDescent="0.2">
      <c r="B574" s="32">
        <v>41262</v>
      </c>
      <c r="C574">
        <v>2.20825796099597</v>
      </c>
    </row>
    <row r="575" spans="2:3" x14ac:dyDescent="0.2">
      <c r="B575" s="32">
        <v>41261</v>
      </c>
      <c r="C575">
        <v>2.2549632116225702</v>
      </c>
    </row>
    <row r="576" spans="2:3" x14ac:dyDescent="0.2">
      <c r="B576" s="32">
        <v>41260</v>
      </c>
      <c r="C576">
        <v>2.1860869431888501</v>
      </c>
    </row>
    <row r="577" spans="2:3" x14ac:dyDescent="0.2">
      <c r="B577" s="32">
        <v>41257</v>
      </c>
      <c r="C577">
        <v>2.1747058079367898</v>
      </c>
    </row>
    <row r="578" spans="2:3" x14ac:dyDescent="0.2">
      <c r="B578" s="32">
        <v>41256</v>
      </c>
      <c r="C578">
        <v>2.17954329599754</v>
      </c>
    </row>
    <row r="579" spans="2:3" x14ac:dyDescent="0.2">
      <c r="B579" s="32">
        <v>41255</v>
      </c>
      <c r="C579">
        <v>2.1698452448822598</v>
      </c>
    </row>
    <row r="580" spans="2:3" x14ac:dyDescent="0.2">
      <c r="B580" s="32">
        <v>41254</v>
      </c>
      <c r="C580">
        <v>2.1257047070821802</v>
      </c>
    </row>
    <row r="581" spans="2:3" x14ac:dyDescent="0.2">
      <c r="B581" s="32">
        <v>41253</v>
      </c>
      <c r="C581">
        <v>2.1263199579473602</v>
      </c>
    </row>
    <row r="582" spans="2:3" x14ac:dyDescent="0.2">
      <c r="B582" s="32">
        <v>41250</v>
      </c>
      <c r="C582">
        <v>2.1663327490122799</v>
      </c>
    </row>
    <row r="583" spans="2:3" x14ac:dyDescent="0.2">
      <c r="B583" s="32">
        <v>41249</v>
      </c>
      <c r="C583">
        <v>2.1082736282319798</v>
      </c>
    </row>
    <row r="584" spans="2:3" x14ac:dyDescent="0.2">
      <c r="B584" s="32">
        <v>41248</v>
      </c>
      <c r="C584">
        <v>2.0799414922025399</v>
      </c>
    </row>
    <row r="585" spans="2:3" x14ac:dyDescent="0.2">
      <c r="B585" s="32">
        <v>41247</v>
      </c>
      <c r="C585">
        <v>2.0678302367394399</v>
      </c>
    </row>
    <row r="586" spans="2:3" x14ac:dyDescent="0.2">
      <c r="B586" s="32">
        <v>41246</v>
      </c>
      <c r="C586">
        <v>2.0862225711456399</v>
      </c>
    </row>
    <row r="587" spans="2:3" x14ac:dyDescent="0.2">
      <c r="B587" s="32">
        <v>41243</v>
      </c>
      <c r="C587">
        <v>2.0725335490580301</v>
      </c>
    </row>
    <row r="588" spans="2:3" x14ac:dyDescent="0.2">
      <c r="B588" s="32">
        <v>41242</v>
      </c>
      <c r="C588">
        <v>2.0724438614292899</v>
      </c>
    </row>
    <row r="589" spans="2:3" x14ac:dyDescent="0.2">
      <c r="B589" s="32">
        <v>41241</v>
      </c>
      <c r="C589">
        <v>2.0509742576327699</v>
      </c>
    </row>
    <row r="590" spans="2:3" x14ac:dyDescent="0.2">
      <c r="B590" s="32">
        <v>41240</v>
      </c>
      <c r="C590">
        <v>2.0440489527996202</v>
      </c>
    </row>
    <row r="591" spans="2:3" x14ac:dyDescent="0.2">
      <c r="B591" s="32">
        <v>41239</v>
      </c>
      <c r="C591">
        <v>2.1328988734204701</v>
      </c>
    </row>
    <row r="592" spans="2:3" x14ac:dyDescent="0.2">
      <c r="B592" s="32">
        <v>41236</v>
      </c>
      <c r="C592">
        <v>2.2012643194611901</v>
      </c>
    </row>
    <row r="593" spans="2:3" x14ac:dyDescent="0.2">
      <c r="B593" s="32">
        <v>41234</v>
      </c>
      <c r="C593">
        <v>2.1925425327534098</v>
      </c>
    </row>
    <row r="594" spans="2:3" x14ac:dyDescent="0.2">
      <c r="B594" s="32">
        <v>41233</v>
      </c>
      <c r="C594">
        <v>2.1420411801194499</v>
      </c>
    </row>
    <row r="595" spans="2:3" x14ac:dyDescent="0.2">
      <c r="B595" s="32">
        <v>41232</v>
      </c>
      <c r="C595">
        <v>2.0699676944682599</v>
      </c>
    </row>
    <row r="596" spans="2:3" x14ac:dyDescent="0.2">
      <c r="B596" s="32">
        <v>41229</v>
      </c>
      <c r="C596">
        <v>2.0361071292777302</v>
      </c>
    </row>
    <row r="597" spans="2:3" x14ac:dyDescent="0.2">
      <c r="B597" s="32">
        <v>41228</v>
      </c>
      <c r="C597">
        <v>2.0923386430292501</v>
      </c>
    </row>
    <row r="598" spans="2:3" x14ac:dyDescent="0.2">
      <c r="B598" s="32">
        <v>41227</v>
      </c>
      <c r="C598">
        <v>2.1343540804519301</v>
      </c>
    </row>
    <row r="599" spans="2:3" x14ac:dyDescent="0.2">
      <c r="B599" s="32">
        <v>41226</v>
      </c>
      <c r="C599">
        <v>2.0829778986268401</v>
      </c>
    </row>
    <row r="600" spans="2:3" x14ac:dyDescent="0.2">
      <c r="B600" s="32">
        <v>41222</v>
      </c>
      <c r="C600">
        <v>2.0595956654124499</v>
      </c>
    </row>
    <row r="601" spans="2:3" x14ac:dyDescent="0.2">
      <c r="B601" s="32">
        <v>41221</v>
      </c>
      <c r="C601">
        <v>2.04956432037537</v>
      </c>
    </row>
    <row r="602" spans="2:3" x14ac:dyDescent="0.2">
      <c r="B602" s="32">
        <v>41220</v>
      </c>
      <c r="C602">
        <v>2.0919724577728598</v>
      </c>
    </row>
    <row r="603" spans="2:3" x14ac:dyDescent="0.2">
      <c r="B603" s="32">
        <v>41219</v>
      </c>
      <c r="C603">
        <v>2.2488911274377399</v>
      </c>
    </row>
    <row r="604" spans="2:3" x14ac:dyDescent="0.2">
      <c r="B604" s="32">
        <v>41218</v>
      </c>
      <c r="C604">
        <v>2.1479421519661601</v>
      </c>
    </row>
    <row r="605" spans="2:3" x14ac:dyDescent="0.2">
      <c r="B605" s="32">
        <v>41215</v>
      </c>
      <c r="C605">
        <v>2.1949310629738199</v>
      </c>
    </row>
    <row r="606" spans="2:3" x14ac:dyDescent="0.2">
      <c r="B606" s="32">
        <v>41214</v>
      </c>
      <c r="C606">
        <v>2.2324289694544102</v>
      </c>
    </row>
    <row r="607" spans="2:3" x14ac:dyDescent="0.2">
      <c r="B607" s="32">
        <v>41213</v>
      </c>
      <c r="C607">
        <v>2.1423497452898399</v>
      </c>
    </row>
    <row r="608" spans="2:3" x14ac:dyDescent="0.2">
      <c r="B608" s="32">
        <v>41211</v>
      </c>
      <c r="C608">
        <v>2.1758632003490601</v>
      </c>
    </row>
    <row r="609" spans="2:3" x14ac:dyDescent="0.2">
      <c r="B609" s="32">
        <v>41208</v>
      </c>
      <c r="C609">
        <v>2.2062412812927401</v>
      </c>
    </row>
    <row r="610" spans="2:3" x14ac:dyDescent="0.2">
      <c r="B610" s="32">
        <v>41207</v>
      </c>
      <c r="C610">
        <v>2.2775343256732099</v>
      </c>
    </row>
    <row r="611" spans="2:3" x14ac:dyDescent="0.2">
      <c r="B611" s="32">
        <v>41206</v>
      </c>
      <c r="C611">
        <v>2.2250151290701798</v>
      </c>
    </row>
    <row r="612" spans="2:3" x14ac:dyDescent="0.2">
      <c r="B612" s="32">
        <v>41205</v>
      </c>
      <c r="C612">
        <v>2.1883122196514102</v>
      </c>
    </row>
    <row r="613" spans="2:3" x14ac:dyDescent="0.2">
      <c r="B613" s="32">
        <v>41204</v>
      </c>
      <c r="C613">
        <v>2.2048003727510999</v>
      </c>
    </row>
    <row r="614" spans="2:3" x14ac:dyDescent="0.2">
      <c r="B614" s="32">
        <v>41201</v>
      </c>
      <c r="C614">
        <v>2.17149064090427</v>
      </c>
    </row>
    <row r="615" spans="2:3" x14ac:dyDescent="0.2">
      <c r="B615" s="32">
        <v>41200</v>
      </c>
      <c r="C615">
        <v>2.23804060063864</v>
      </c>
    </row>
    <row r="616" spans="2:3" x14ac:dyDescent="0.2">
      <c r="B616" s="32">
        <v>41199</v>
      </c>
      <c r="C616">
        <v>2.1999397264302898</v>
      </c>
    </row>
    <row r="617" spans="2:3" x14ac:dyDescent="0.2">
      <c r="B617" s="32">
        <v>41198</v>
      </c>
      <c r="C617">
        <v>2.0903131154582399</v>
      </c>
    </row>
    <row r="618" spans="2:3" x14ac:dyDescent="0.2">
      <c r="B618" s="32">
        <v>41197</v>
      </c>
      <c r="C618">
        <v>2.0433983497425001</v>
      </c>
    </row>
    <row r="619" spans="2:3" x14ac:dyDescent="0.2">
      <c r="B619" s="32">
        <v>41194</v>
      </c>
      <c r="C619">
        <v>2.0148705784973</v>
      </c>
    </row>
    <row r="620" spans="2:3" x14ac:dyDescent="0.2">
      <c r="B620" s="32">
        <v>41193</v>
      </c>
      <c r="C620">
        <v>2.0188150642087299</v>
      </c>
    </row>
    <row r="621" spans="2:3" x14ac:dyDescent="0.2">
      <c r="B621" s="32">
        <v>41192</v>
      </c>
      <c r="C621">
        <v>2.0566984028863402</v>
      </c>
    </row>
    <row r="622" spans="2:3" x14ac:dyDescent="0.2">
      <c r="B622" s="32">
        <v>41191</v>
      </c>
      <c r="C622">
        <v>2.1121992044017102</v>
      </c>
    </row>
    <row r="623" spans="2:3" x14ac:dyDescent="0.2">
      <c r="B623" s="32">
        <v>41187</v>
      </c>
      <c r="C623">
        <v>2.0999165140206202</v>
      </c>
    </row>
    <row r="624" spans="2:3" x14ac:dyDescent="0.2">
      <c r="B624" s="32">
        <v>41186</v>
      </c>
      <c r="C624">
        <v>2.0658821659188802</v>
      </c>
    </row>
    <row r="625" spans="2:3" x14ac:dyDescent="0.2">
      <c r="B625" s="32">
        <v>41185</v>
      </c>
      <c r="C625">
        <v>1.9744446236261499</v>
      </c>
    </row>
    <row r="626" spans="2:3" x14ac:dyDescent="0.2">
      <c r="B626" s="32">
        <v>41184</v>
      </c>
      <c r="C626">
        <v>1.89926870046304</v>
      </c>
    </row>
    <row r="627" spans="2:3" x14ac:dyDescent="0.2">
      <c r="B627" s="32">
        <v>41183</v>
      </c>
      <c r="C627">
        <v>1.9791061697796299</v>
      </c>
    </row>
    <row r="628" spans="2:3" x14ac:dyDescent="0.2">
      <c r="B628" s="32">
        <v>41180</v>
      </c>
      <c r="C628">
        <v>2.0399140401394802</v>
      </c>
    </row>
    <row r="629" spans="2:3" x14ac:dyDescent="0.2">
      <c r="B629" s="32">
        <v>41179</v>
      </c>
      <c r="C629">
        <v>2.0509749333657501</v>
      </c>
    </row>
    <row r="630" spans="2:3" x14ac:dyDescent="0.2">
      <c r="B630" s="32">
        <v>41178</v>
      </c>
      <c r="C630">
        <v>1.9736635579989501</v>
      </c>
    </row>
    <row r="631" spans="2:3" x14ac:dyDescent="0.2">
      <c r="B631" s="32">
        <v>41177</v>
      </c>
      <c r="C631">
        <v>1.9795562323798399</v>
      </c>
    </row>
    <row r="632" spans="2:3" x14ac:dyDescent="0.2">
      <c r="B632" s="32">
        <v>41176</v>
      </c>
      <c r="C632">
        <v>2.0433470771670201</v>
      </c>
    </row>
    <row r="633" spans="2:3" x14ac:dyDescent="0.2">
      <c r="B633" s="32">
        <v>41173</v>
      </c>
      <c r="C633">
        <v>2.0967004826224001</v>
      </c>
    </row>
    <row r="634" spans="2:3" x14ac:dyDescent="0.2">
      <c r="B634" s="32">
        <v>41172</v>
      </c>
      <c r="C634">
        <v>2.1699341948075102</v>
      </c>
    </row>
    <row r="635" spans="2:3" x14ac:dyDescent="0.2">
      <c r="B635" s="32">
        <v>41171</v>
      </c>
      <c r="C635">
        <v>2.2108565855724298</v>
      </c>
    </row>
    <row r="636" spans="2:3" x14ac:dyDescent="0.2">
      <c r="B636" s="32">
        <v>41170</v>
      </c>
      <c r="C636">
        <v>2.2693986193058602</v>
      </c>
    </row>
    <row r="637" spans="2:3" x14ac:dyDescent="0.2">
      <c r="B637" s="32">
        <v>41169</v>
      </c>
      <c r="C637">
        <v>2.2811650726171102</v>
      </c>
    </row>
    <row r="638" spans="2:3" x14ac:dyDescent="0.2">
      <c r="B638" s="32">
        <v>41166</v>
      </c>
      <c r="C638">
        <v>2.2680491660278101</v>
      </c>
    </row>
    <row r="639" spans="2:3" x14ac:dyDescent="0.2">
      <c r="B639" s="32">
        <v>41165</v>
      </c>
      <c r="C639">
        <v>2.2060134697218898</v>
      </c>
    </row>
    <row r="640" spans="2:3" x14ac:dyDescent="0.2">
      <c r="B640" s="32">
        <v>41164</v>
      </c>
      <c r="C640">
        <v>2.4292166245487601</v>
      </c>
    </row>
    <row r="641" spans="2:3" x14ac:dyDescent="0.2">
      <c r="B641" s="32">
        <v>41163</v>
      </c>
      <c r="C641">
        <v>2.3937114953982901</v>
      </c>
    </row>
    <row r="642" spans="2:3" x14ac:dyDescent="0.2">
      <c r="B642" s="32">
        <v>41162</v>
      </c>
      <c r="C642">
        <v>2.3778465565534201</v>
      </c>
    </row>
    <row r="643" spans="2:3" x14ac:dyDescent="0.2">
      <c r="B643" s="32">
        <v>41159</v>
      </c>
      <c r="C643">
        <v>2.3738371878590399</v>
      </c>
    </row>
    <row r="644" spans="2:3" x14ac:dyDescent="0.2">
      <c r="B644" s="32">
        <v>41158</v>
      </c>
      <c r="C644">
        <v>2.4560721347491201</v>
      </c>
    </row>
    <row r="645" spans="2:3" x14ac:dyDescent="0.2">
      <c r="B645" s="32">
        <v>41157</v>
      </c>
      <c r="C645">
        <v>2.39527607095176</v>
      </c>
    </row>
    <row r="646" spans="2:3" x14ac:dyDescent="0.2">
      <c r="B646" s="32">
        <v>41156</v>
      </c>
      <c r="C646">
        <v>2.3841669341916099</v>
      </c>
    </row>
    <row r="647" spans="2:3" x14ac:dyDescent="0.2">
      <c r="B647" s="32">
        <v>41152</v>
      </c>
      <c r="C647">
        <v>2.3689486742097801</v>
      </c>
    </row>
    <row r="648" spans="2:3" x14ac:dyDescent="0.2">
      <c r="B648" s="32">
        <v>41151</v>
      </c>
      <c r="C648">
        <v>2.4337082726962702</v>
      </c>
    </row>
    <row r="649" spans="2:3" x14ac:dyDescent="0.2">
      <c r="B649" s="32">
        <v>41150</v>
      </c>
      <c r="C649">
        <v>2.4687840450515499</v>
      </c>
    </row>
    <row r="650" spans="2:3" x14ac:dyDescent="0.2">
      <c r="B650" s="32">
        <v>41149</v>
      </c>
      <c r="C650">
        <v>2.4110384199427202</v>
      </c>
    </row>
    <row r="651" spans="2:3" x14ac:dyDescent="0.2">
      <c r="B651" s="32">
        <v>41148</v>
      </c>
      <c r="C651">
        <v>2.4407526300903402</v>
      </c>
    </row>
    <row r="652" spans="2:3" x14ac:dyDescent="0.2">
      <c r="B652" s="32">
        <v>41145</v>
      </c>
      <c r="C652">
        <v>2.4760934642707801</v>
      </c>
    </row>
    <row r="653" spans="2:3" x14ac:dyDescent="0.2">
      <c r="B653" s="32">
        <v>41144</v>
      </c>
      <c r="C653">
        <v>2.4447051610431401</v>
      </c>
    </row>
    <row r="654" spans="2:3" x14ac:dyDescent="0.2">
      <c r="B654" s="32">
        <v>41143</v>
      </c>
      <c r="C654">
        <v>2.5120707644049798</v>
      </c>
    </row>
    <row r="655" spans="2:3" x14ac:dyDescent="0.2">
      <c r="B655" s="32">
        <v>41142</v>
      </c>
      <c r="C655">
        <v>2.6258914158610902</v>
      </c>
    </row>
    <row r="656" spans="2:3" x14ac:dyDescent="0.2">
      <c r="B656" s="32">
        <v>41141</v>
      </c>
      <c r="C656">
        <v>2.6186769861639401</v>
      </c>
    </row>
    <row r="657" spans="2:3" x14ac:dyDescent="0.2">
      <c r="B657" s="32">
        <v>41138</v>
      </c>
      <c r="C657">
        <v>2.6390371038052001</v>
      </c>
    </row>
    <row r="658" spans="2:3" x14ac:dyDescent="0.2">
      <c r="B658" s="32">
        <v>41137</v>
      </c>
      <c r="C658">
        <v>2.67019432510418</v>
      </c>
    </row>
    <row r="659" spans="2:3" x14ac:dyDescent="0.2">
      <c r="B659" s="32">
        <v>41136</v>
      </c>
      <c r="C659">
        <v>2.6381335660023502</v>
      </c>
    </row>
    <row r="660" spans="2:3" x14ac:dyDescent="0.2">
      <c r="B660" s="32">
        <v>41135</v>
      </c>
      <c r="C660">
        <v>2.5032104637526098</v>
      </c>
    </row>
    <row r="661" spans="2:3" x14ac:dyDescent="0.2">
      <c r="B661" s="32">
        <v>41134</v>
      </c>
      <c r="C661">
        <v>2.4326197879338101</v>
      </c>
    </row>
    <row r="662" spans="2:3" x14ac:dyDescent="0.2">
      <c r="B662" s="32">
        <v>41131</v>
      </c>
      <c r="C662">
        <v>2.43734688080974</v>
      </c>
    </row>
    <row r="663" spans="2:3" x14ac:dyDescent="0.2">
      <c r="B663" s="32">
        <v>41130</v>
      </c>
      <c r="C663">
        <v>2.45717074132124</v>
      </c>
    </row>
    <row r="664" spans="2:3" x14ac:dyDescent="0.2">
      <c r="B664" s="32">
        <v>41129</v>
      </c>
      <c r="C664">
        <v>2.45387778372179</v>
      </c>
    </row>
    <row r="665" spans="2:3" x14ac:dyDescent="0.2">
      <c r="B665" s="32">
        <v>41128</v>
      </c>
      <c r="C665">
        <v>2.4648279812140101</v>
      </c>
    </row>
    <row r="666" spans="2:3" x14ac:dyDescent="0.2">
      <c r="B666" s="32">
        <v>41127</v>
      </c>
      <c r="C666">
        <v>2.4102554462908099</v>
      </c>
    </row>
    <row r="667" spans="2:3" x14ac:dyDescent="0.2">
      <c r="B667" s="32">
        <v>41124</v>
      </c>
      <c r="C667">
        <v>2.42675409444622</v>
      </c>
    </row>
    <row r="668" spans="2:3" x14ac:dyDescent="0.2">
      <c r="B668" s="32">
        <v>41123</v>
      </c>
      <c r="C668">
        <v>2.33657189118883</v>
      </c>
    </row>
    <row r="669" spans="2:3" x14ac:dyDescent="0.2">
      <c r="B669" s="32">
        <v>41122</v>
      </c>
      <c r="C669">
        <v>2.3658814096234999</v>
      </c>
    </row>
    <row r="670" spans="2:3" x14ac:dyDescent="0.2">
      <c r="B670" s="32">
        <v>41121</v>
      </c>
      <c r="C670">
        <v>2.3145960727619199</v>
      </c>
    </row>
    <row r="671" spans="2:3" x14ac:dyDescent="0.2">
      <c r="B671" s="32">
        <v>41120</v>
      </c>
      <c r="C671">
        <v>2.3365107534465399</v>
      </c>
    </row>
    <row r="672" spans="2:3" x14ac:dyDescent="0.2">
      <c r="B672" s="32">
        <v>41117</v>
      </c>
      <c r="C672">
        <v>2.4685368274640398</v>
      </c>
    </row>
    <row r="673" spans="2:3" x14ac:dyDescent="0.2">
      <c r="B673" s="32">
        <v>41116</v>
      </c>
      <c r="C673">
        <v>2.2877898548229898</v>
      </c>
    </row>
    <row r="674" spans="2:3" x14ac:dyDescent="0.2">
      <c r="B674" s="32">
        <v>41115</v>
      </c>
      <c r="C674">
        <v>2.2633680242154099</v>
      </c>
    </row>
    <row r="675" spans="2:3" x14ac:dyDescent="0.2">
      <c r="B675" s="32">
        <v>41114</v>
      </c>
      <c r="C675">
        <v>2.2471779895370898</v>
      </c>
    </row>
    <row r="676" spans="2:3" x14ac:dyDescent="0.2">
      <c r="B676" s="32">
        <v>41113</v>
      </c>
      <c r="C676">
        <v>2.27723185682542</v>
      </c>
    </row>
    <row r="677" spans="2:3" x14ac:dyDescent="0.2">
      <c r="B677" s="32">
        <v>41110</v>
      </c>
      <c r="C677">
        <v>2.32496037866738</v>
      </c>
    </row>
    <row r="678" spans="2:3" x14ac:dyDescent="0.2">
      <c r="B678" s="32">
        <v>41109</v>
      </c>
      <c r="C678">
        <v>2.3931217438343899</v>
      </c>
    </row>
    <row r="679" spans="2:3" x14ac:dyDescent="0.2">
      <c r="B679" s="32">
        <v>41108</v>
      </c>
      <c r="C679">
        <v>2.3758504228028601</v>
      </c>
    </row>
    <row r="680" spans="2:3" x14ac:dyDescent="0.2">
      <c r="B680" s="32">
        <v>41107</v>
      </c>
      <c r="C680">
        <v>2.4360959184987601</v>
      </c>
    </row>
    <row r="681" spans="2:3" x14ac:dyDescent="0.2">
      <c r="B681" s="32">
        <v>41106</v>
      </c>
      <c r="C681">
        <v>2.3968423718228902</v>
      </c>
    </row>
    <row r="682" spans="2:3" x14ac:dyDescent="0.2">
      <c r="B682" s="32">
        <v>41103</v>
      </c>
      <c r="C682">
        <v>2.45850252986091</v>
      </c>
    </row>
    <row r="683" spans="2:3" x14ac:dyDescent="0.2">
      <c r="B683" s="32">
        <v>41102</v>
      </c>
      <c r="C683">
        <v>2.4034266466938199</v>
      </c>
    </row>
    <row r="684" spans="2:3" x14ac:dyDescent="0.2">
      <c r="B684" s="32">
        <v>41101</v>
      </c>
      <c r="C684">
        <v>2.4116172706611501</v>
      </c>
    </row>
    <row r="685" spans="2:3" x14ac:dyDescent="0.2">
      <c r="B685" s="32">
        <v>41100</v>
      </c>
      <c r="C685">
        <v>2.42302981927218</v>
      </c>
    </row>
    <row r="686" spans="2:3" x14ac:dyDescent="0.2">
      <c r="B686" s="32">
        <v>41099</v>
      </c>
      <c r="C686">
        <v>2.4491972100580299</v>
      </c>
    </row>
    <row r="687" spans="2:3" x14ac:dyDescent="0.2">
      <c r="B687" s="32">
        <v>41096</v>
      </c>
      <c r="C687">
        <v>2.4766480457309101</v>
      </c>
    </row>
    <row r="688" spans="2:3" x14ac:dyDescent="0.2">
      <c r="B688" s="32">
        <v>41095</v>
      </c>
      <c r="C688">
        <v>2.5563795134905498</v>
      </c>
    </row>
    <row r="689" spans="2:3" x14ac:dyDescent="0.2">
      <c r="B689" s="32">
        <v>41093</v>
      </c>
      <c r="C689">
        <v>2.58328220354782</v>
      </c>
    </row>
    <row r="690" spans="2:3" x14ac:dyDescent="0.2">
      <c r="B690" s="32">
        <v>41092</v>
      </c>
      <c r="C690">
        <v>2.54531844167705</v>
      </c>
    </row>
    <row r="691" spans="2:3" x14ac:dyDescent="0.2">
      <c r="B691" s="32">
        <v>41089</v>
      </c>
      <c r="C691">
        <v>2.6237188553228199</v>
      </c>
    </row>
    <row r="692" spans="2:3" x14ac:dyDescent="0.2">
      <c r="B692" s="32">
        <v>41088</v>
      </c>
      <c r="C692">
        <v>2.5509636037861898</v>
      </c>
    </row>
    <row r="693" spans="2:3" x14ac:dyDescent="0.2">
      <c r="B693" s="32">
        <v>41087</v>
      </c>
      <c r="C693">
        <v>2.5886723749410501</v>
      </c>
    </row>
    <row r="694" spans="2:3" x14ac:dyDescent="0.2">
      <c r="B694" s="32">
        <v>41086</v>
      </c>
      <c r="C694">
        <v>2.6163872152587899</v>
      </c>
    </row>
    <row r="695" spans="2:3" x14ac:dyDescent="0.2">
      <c r="B695" s="32">
        <v>41085</v>
      </c>
      <c r="C695">
        <v>2.57850061271707</v>
      </c>
    </row>
    <row r="696" spans="2:3" x14ac:dyDescent="0.2">
      <c r="B696" s="32">
        <v>41082</v>
      </c>
      <c r="C696">
        <v>2.6681925280418901</v>
      </c>
    </row>
    <row r="697" spans="2:3" x14ac:dyDescent="0.2">
      <c r="B697" s="32">
        <v>41081</v>
      </c>
      <c r="C697">
        <v>2.61404533663225</v>
      </c>
    </row>
    <row r="698" spans="2:3" x14ac:dyDescent="0.2">
      <c r="B698" s="32">
        <v>41080</v>
      </c>
      <c r="C698">
        <v>2.6422120111570599</v>
      </c>
    </row>
    <row r="699" spans="2:3" x14ac:dyDescent="0.2">
      <c r="B699" s="32">
        <v>41079</v>
      </c>
      <c r="C699">
        <v>2.5989008122860202</v>
      </c>
    </row>
    <row r="700" spans="2:3" x14ac:dyDescent="0.2">
      <c r="B700" s="32">
        <v>41078</v>
      </c>
      <c r="C700">
        <v>2.5951502868946998</v>
      </c>
    </row>
    <row r="701" spans="2:3" x14ac:dyDescent="0.2">
      <c r="B701" s="32">
        <v>41075</v>
      </c>
      <c r="C701">
        <v>2.6135481549442598</v>
      </c>
    </row>
    <row r="702" spans="2:3" x14ac:dyDescent="0.2">
      <c r="B702" s="32">
        <v>41074</v>
      </c>
      <c r="C702">
        <v>2.63093877997242</v>
      </c>
    </row>
    <row r="703" spans="2:3" x14ac:dyDescent="0.2">
      <c r="B703" s="32">
        <v>41073</v>
      </c>
      <c r="C703">
        <v>2.6525646200106201</v>
      </c>
    </row>
    <row r="704" spans="2:3" x14ac:dyDescent="0.2">
      <c r="B704" s="32">
        <v>41072</v>
      </c>
      <c r="C704">
        <v>2.6959588926221301</v>
      </c>
    </row>
    <row r="705" spans="2:3" x14ac:dyDescent="0.2">
      <c r="B705" s="32">
        <v>41071</v>
      </c>
      <c r="C705">
        <v>2.6398968961248501</v>
      </c>
    </row>
    <row r="706" spans="2:3" x14ac:dyDescent="0.2">
      <c r="B706" s="32">
        <v>41068</v>
      </c>
      <c r="C706">
        <v>2.6791053539735099</v>
      </c>
    </row>
    <row r="707" spans="2:3" x14ac:dyDescent="0.2">
      <c r="B707" s="32">
        <v>41067</v>
      </c>
      <c r="C707">
        <v>2.6775785563630401</v>
      </c>
    </row>
    <row r="708" spans="2:3" x14ac:dyDescent="0.2">
      <c r="B708" s="32">
        <v>41066</v>
      </c>
      <c r="C708">
        <v>2.7069899299945201</v>
      </c>
    </row>
    <row r="709" spans="2:3" x14ac:dyDescent="0.2">
      <c r="B709" s="32">
        <v>41065</v>
      </c>
      <c r="C709">
        <v>2.67215902179854</v>
      </c>
    </row>
    <row r="710" spans="2:3" x14ac:dyDescent="0.2">
      <c r="B710" s="32">
        <v>41064</v>
      </c>
      <c r="C710">
        <v>2.62225605452167</v>
      </c>
    </row>
    <row r="711" spans="2:3" x14ac:dyDescent="0.2">
      <c r="B711" s="32">
        <v>41061</v>
      </c>
      <c r="C711">
        <v>2.5315862032348999</v>
      </c>
    </row>
    <row r="712" spans="2:3" x14ac:dyDescent="0.2">
      <c r="B712" s="32">
        <v>41060</v>
      </c>
      <c r="C712">
        <v>2.6463905286345102</v>
      </c>
    </row>
    <row r="713" spans="2:3" x14ac:dyDescent="0.2">
      <c r="B713" s="32">
        <v>41059</v>
      </c>
      <c r="C713">
        <v>2.6848642616862599</v>
      </c>
    </row>
    <row r="714" spans="2:3" x14ac:dyDescent="0.2">
      <c r="B714" s="32">
        <v>41058</v>
      </c>
      <c r="C714">
        <v>2.77148784579206</v>
      </c>
    </row>
    <row r="715" spans="2:3" x14ac:dyDescent="0.2">
      <c r="B715" s="32">
        <v>41054</v>
      </c>
      <c r="C715">
        <v>2.7634534959262198</v>
      </c>
    </row>
    <row r="716" spans="2:3" x14ac:dyDescent="0.2">
      <c r="B716" s="32">
        <v>41053</v>
      </c>
      <c r="C716">
        <v>2.7605421873144298</v>
      </c>
    </row>
    <row r="717" spans="2:3" x14ac:dyDescent="0.2">
      <c r="B717" s="32">
        <v>41052</v>
      </c>
      <c r="C717">
        <v>2.7350812469927099</v>
      </c>
    </row>
    <row r="718" spans="2:3" x14ac:dyDescent="0.2">
      <c r="B718" s="32">
        <v>41051</v>
      </c>
      <c r="C718">
        <v>2.76969358536605</v>
      </c>
    </row>
    <row r="719" spans="2:3" x14ac:dyDescent="0.2">
      <c r="B719" s="32">
        <v>41050</v>
      </c>
      <c r="C719">
        <v>2.73357010628694</v>
      </c>
    </row>
    <row r="720" spans="2:3" x14ac:dyDescent="0.2">
      <c r="B720" s="32">
        <v>41047</v>
      </c>
      <c r="C720">
        <v>2.67797206633489</v>
      </c>
    </row>
    <row r="721" spans="2:3" x14ac:dyDescent="0.2">
      <c r="B721" s="32">
        <v>41046</v>
      </c>
      <c r="C721">
        <v>2.6718406862121098</v>
      </c>
    </row>
    <row r="722" spans="2:3" x14ac:dyDescent="0.2">
      <c r="B722" s="32">
        <v>41045</v>
      </c>
      <c r="C722">
        <v>2.7401286983352402</v>
      </c>
    </row>
    <row r="723" spans="2:3" x14ac:dyDescent="0.2">
      <c r="B723" s="32">
        <v>41044</v>
      </c>
      <c r="C723">
        <v>2.7697091879875599</v>
      </c>
    </row>
    <row r="724" spans="2:3" x14ac:dyDescent="0.2">
      <c r="B724" s="32">
        <v>41043</v>
      </c>
      <c r="C724">
        <v>2.7739749118365999</v>
      </c>
    </row>
    <row r="725" spans="2:3" x14ac:dyDescent="0.2">
      <c r="B725" s="32">
        <v>41040</v>
      </c>
      <c r="C725">
        <v>2.8052772077153998</v>
      </c>
    </row>
    <row r="726" spans="2:3" x14ac:dyDescent="0.2">
      <c r="B726" s="32">
        <v>41039</v>
      </c>
      <c r="C726">
        <v>2.8246078637178802</v>
      </c>
    </row>
    <row r="727" spans="2:3" x14ac:dyDescent="0.2">
      <c r="B727" s="32">
        <v>41038</v>
      </c>
      <c r="C727">
        <v>2.8327642978398999</v>
      </c>
    </row>
    <row r="728" spans="2:3" x14ac:dyDescent="0.2">
      <c r="B728" s="32">
        <v>41037</v>
      </c>
      <c r="C728">
        <v>2.8457023219339699</v>
      </c>
    </row>
    <row r="729" spans="2:3" x14ac:dyDescent="0.2">
      <c r="B729" s="32">
        <v>41036</v>
      </c>
      <c r="C729">
        <v>2.85847369417964</v>
      </c>
    </row>
    <row r="730" spans="2:3" x14ac:dyDescent="0.2">
      <c r="B730" s="32">
        <v>41033</v>
      </c>
      <c r="C730">
        <v>2.8508681241779898</v>
      </c>
    </row>
    <row r="731" spans="2:3" x14ac:dyDescent="0.2">
      <c r="B731" s="32">
        <v>41032</v>
      </c>
      <c r="C731">
        <v>2.88233463781564</v>
      </c>
    </row>
    <row r="732" spans="2:3" x14ac:dyDescent="0.2">
      <c r="B732" s="32">
        <v>41031</v>
      </c>
      <c r="C732">
        <v>2.8733809550088201</v>
      </c>
    </row>
    <row r="733" spans="2:3" x14ac:dyDescent="0.2">
      <c r="B733" s="32">
        <v>41030</v>
      </c>
      <c r="C733">
        <v>2.8908484323394701</v>
      </c>
    </row>
    <row r="734" spans="2:3" x14ac:dyDescent="0.2">
      <c r="B734" s="32">
        <v>41029</v>
      </c>
      <c r="C734">
        <v>2.8585941716778001</v>
      </c>
    </row>
    <row r="735" spans="2:3" x14ac:dyDescent="0.2">
      <c r="B735" s="32">
        <v>41026</v>
      </c>
      <c r="C735">
        <v>2.8716721168117001</v>
      </c>
    </row>
    <row r="736" spans="2:3" x14ac:dyDescent="0.2">
      <c r="B736" s="32">
        <v>41025</v>
      </c>
      <c r="C736">
        <v>2.8924009736045302</v>
      </c>
    </row>
    <row r="737" spans="2:3" x14ac:dyDescent="0.2">
      <c r="B737" s="32">
        <v>41024</v>
      </c>
      <c r="C737">
        <v>2.9224114614009999</v>
      </c>
    </row>
    <row r="738" spans="2:3" x14ac:dyDescent="0.2">
      <c r="B738" s="32">
        <v>41023</v>
      </c>
      <c r="C738">
        <v>2.9009701197976399</v>
      </c>
    </row>
    <row r="739" spans="2:3" x14ac:dyDescent="0.2">
      <c r="B739" s="32">
        <v>41022</v>
      </c>
      <c r="C739">
        <v>2.8708141508909</v>
      </c>
    </row>
    <row r="740" spans="2:3" x14ac:dyDescent="0.2">
      <c r="B740" s="32">
        <v>41019</v>
      </c>
      <c r="C740">
        <v>2.90335136163185</v>
      </c>
    </row>
    <row r="741" spans="2:3" x14ac:dyDescent="0.2">
      <c r="B741" s="32">
        <v>41018</v>
      </c>
      <c r="C741">
        <v>2.8874390264499499</v>
      </c>
    </row>
    <row r="742" spans="2:3" x14ac:dyDescent="0.2">
      <c r="B742" s="32">
        <v>41017</v>
      </c>
      <c r="C742">
        <v>2.9304565344863098</v>
      </c>
    </row>
    <row r="743" spans="2:3" x14ac:dyDescent="0.2">
      <c r="B743" s="32">
        <v>41016</v>
      </c>
      <c r="C743">
        <v>2.9570995386029302</v>
      </c>
    </row>
    <row r="744" spans="2:3" x14ac:dyDescent="0.2">
      <c r="B744" s="32">
        <v>41015</v>
      </c>
      <c r="C744">
        <v>2.91808321555345</v>
      </c>
    </row>
    <row r="745" spans="2:3" x14ac:dyDescent="0.2">
      <c r="B745" s="32">
        <v>41012</v>
      </c>
      <c r="C745">
        <v>2.93226575052006</v>
      </c>
    </row>
    <row r="746" spans="2:3" x14ac:dyDescent="0.2">
      <c r="B746" s="32">
        <v>41011</v>
      </c>
      <c r="C746">
        <v>2.9674500244903301</v>
      </c>
    </row>
    <row r="747" spans="2:3" x14ac:dyDescent="0.2">
      <c r="B747" s="32">
        <v>41010</v>
      </c>
      <c r="C747">
        <v>2.9307831448374801</v>
      </c>
    </row>
    <row r="748" spans="2:3" x14ac:dyDescent="0.2">
      <c r="B748" s="32">
        <v>41009</v>
      </c>
      <c r="C748">
        <v>2.9109852395687899</v>
      </c>
    </row>
    <row r="749" spans="2:3" x14ac:dyDescent="0.2">
      <c r="B749" s="32">
        <v>41008</v>
      </c>
      <c r="C749">
        <v>2.9115161148392898</v>
      </c>
    </row>
    <row r="750" spans="2:3" x14ac:dyDescent="0.2">
      <c r="B750" s="32">
        <v>41005</v>
      </c>
      <c r="C750">
        <v>2.93072207475555</v>
      </c>
    </row>
    <row r="751" spans="2:3" x14ac:dyDescent="0.2">
      <c r="B751" s="32">
        <v>41004</v>
      </c>
      <c r="C751">
        <v>3.0539631363774702</v>
      </c>
    </row>
    <row r="752" spans="2:3" x14ac:dyDescent="0.2">
      <c r="B752" s="32">
        <v>41003</v>
      </c>
      <c r="C752">
        <v>3.10879854950432</v>
      </c>
    </row>
    <row r="753" spans="2:3" x14ac:dyDescent="0.2">
      <c r="B753" s="32">
        <v>41002</v>
      </c>
      <c r="C753">
        <v>3.1649158455545399</v>
      </c>
    </row>
    <row r="754" spans="2:3" x14ac:dyDescent="0.2">
      <c r="B754" s="32">
        <v>41001</v>
      </c>
      <c r="C754">
        <v>3.0449639552276002</v>
      </c>
    </row>
    <row r="755" spans="2:3" x14ac:dyDescent="0.2">
      <c r="B755" s="32">
        <v>40998</v>
      </c>
      <c r="C755">
        <v>3.0669215754139501</v>
      </c>
    </row>
    <row r="756" spans="2:3" x14ac:dyDescent="0.2">
      <c r="B756" s="32">
        <v>40997</v>
      </c>
      <c r="C756">
        <v>3.0219603652996301</v>
      </c>
    </row>
    <row r="757" spans="2:3" x14ac:dyDescent="0.2">
      <c r="B757" s="32">
        <v>40996</v>
      </c>
      <c r="C757">
        <v>3.0568438879801101</v>
      </c>
    </row>
    <row r="758" spans="2:3" x14ac:dyDescent="0.2">
      <c r="B758" s="32">
        <v>40995</v>
      </c>
      <c r="C758">
        <v>3.0399029769438499</v>
      </c>
    </row>
    <row r="759" spans="2:3" x14ac:dyDescent="0.2">
      <c r="B759" s="32">
        <v>40994</v>
      </c>
      <c r="C759">
        <v>3.1182772307865498</v>
      </c>
    </row>
    <row r="760" spans="2:3" x14ac:dyDescent="0.2">
      <c r="B760" s="32">
        <v>40991</v>
      </c>
      <c r="C760">
        <v>3.1324491901767901</v>
      </c>
    </row>
    <row r="761" spans="2:3" x14ac:dyDescent="0.2">
      <c r="B761" s="32">
        <v>40990</v>
      </c>
      <c r="C761">
        <v>3.1570833298388399</v>
      </c>
    </row>
    <row r="762" spans="2:3" x14ac:dyDescent="0.2">
      <c r="B762" s="32">
        <v>40989</v>
      </c>
      <c r="C762">
        <v>3.15731967015545</v>
      </c>
    </row>
    <row r="763" spans="2:3" x14ac:dyDescent="0.2">
      <c r="B763" s="32">
        <v>40988</v>
      </c>
      <c r="C763">
        <v>3.24144029220705</v>
      </c>
    </row>
    <row r="764" spans="2:3" x14ac:dyDescent="0.2">
      <c r="B764" s="32">
        <v>40987</v>
      </c>
      <c r="C764">
        <v>3.2363757673390801</v>
      </c>
    </row>
    <row r="765" spans="2:3" x14ac:dyDescent="0.2">
      <c r="B765" s="32">
        <v>40984</v>
      </c>
      <c r="C765">
        <v>3.13095195050672</v>
      </c>
    </row>
    <row r="766" spans="2:3" x14ac:dyDescent="0.2">
      <c r="B766" s="32">
        <v>40983</v>
      </c>
      <c r="C766">
        <v>3.1589558563859499</v>
      </c>
    </row>
    <row r="767" spans="2:3" x14ac:dyDescent="0.2">
      <c r="B767" s="32">
        <v>40982</v>
      </c>
      <c r="C767">
        <v>3.1695853606328299</v>
      </c>
    </row>
    <row r="768" spans="2:3" x14ac:dyDescent="0.2">
      <c r="B768" s="32">
        <v>40981</v>
      </c>
      <c r="C768">
        <v>2.99140124187609</v>
      </c>
    </row>
    <row r="769" spans="2:3" x14ac:dyDescent="0.2">
      <c r="B769" s="32">
        <v>40980</v>
      </c>
      <c r="C769">
        <v>2.9162427900275998</v>
      </c>
    </row>
    <row r="770" spans="2:3" x14ac:dyDescent="0.2">
      <c r="B770" s="32">
        <v>40977</v>
      </c>
      <c r="C770">
        <v>2.9219507354995198</v>
      </c>
    </row>
    <row r="771" spans="2:3" x14ac:dyDescent="0.2">
      <c r="B771" s="32">
        <v>40976</v>
      </c>
      <c r="C771">
        <v>2.9336402803405499</v>
      </c>
    </row>
    <row r="772" spans="2:3" x14ac:dyDescent="0.2">
      <c r="B772" s="32">
        <v>40975</v>
      </c>
      <c r="C772">
        <v>2.8996218577463</v>
      </c>
    </row>
    <row r="773" spans="2:3" x14ac:dyDescent="0.2">
      <c r="B773" s="32">
        <v>40974</v>
      </c>
      <c r="C773">
        <v>2.8650613840049299</v>
      </c>
    </row>
    <row r="774" spans="2:3" x14ac:dyDescent="0.2">
      <c r="B774" s="32">
        <v>40973</v>
      </c>
      <c r="C774">
        <v>2.9007707644806802</v>
      </c>
    </row>
    <row r="775" spans="2:3" x14ac:dyDescent="0.2">
      <c r="B775" s="32">
        <v>40970</v>
      </c>
      <c r="C775">
        <v>2.89080300621736</v>
      </c>
    </row>
    <row r="776" spans="2:3" x14ac:dyDescent="0.2">
      <c r="B776" s="32">
        <v>40969</v>
      </c>
      <c r="C776">
        <v>2.9287236028717998</v>
      </c>
    </row>
    <row r="777" spans="2:3" x14ac:dyDescent="0.2">
      <c r="B777" s="32">
        <v>40968</v>
      </c>
      <c r="C777">
        <v>2.8817315463419</v>
      </c>
    </row>
    <row r="778" spans="2:3" x14ac:dyDescent="0.2">
      <c r="B778" s="32">
        <v>40967</v>
      </c>
      <c r="C778">
        <v>2.8101961676338898</v>
      </c>
    </row>
    <row r="779" spans="2:3" x14ac:dyDescent="0.2">
      <c r="B779" s="32">
        <v>40966</v>
      </c>
      <c r="C779">
        <v>2.8205390519018301</v>
      </c>
    </row>
    <row r="780" spans="2:3" x14ac:dyDescent="0.2">
      <c r="B780" s="32">
        <v>40963</v>
      </c>
      <c r="C780">
        <v>2.8468470783678899</v>
      </c>
    </row>
    <row r="781" spans="2:3" x14ac:dyDescent="0.2">
      <c r="B781" s="32">
        <v>40962</v>
      </c>
      <c r="C781">
        <v>2.8348328361096802</v>
      </c>
    </row>
    <row r="782" spans="2:3" x14ac:dyDescent="0.2">
      <c r="B782" s="32">
        <v>40961</v>
      </c>
      <c r="C782">
        <v>2.8731313932433</v>
      </c>
    </row>
    <row r="783" spans="2:3" x14ac:dyDescent="0.2">
      <c r="B783" s="32">
        <v>40960</v>
      </c>
      <c r="C783">
        <v>2.9231559987667999</v>
      </c>
    </row>
    <row r="784" spans="2:3" x14ac:dyDescent="0.2">
      <c r="B784" s="32">
        <v>40956</v>
      </c>
      <c r="C784">
        <v>2.8683607059376999</v>
      </c>
    </row>
    <row r="785" spans="2:3" x14ac:dyDescent="0.2">
      <c r="B785" s="32">
        <v>40955</v>
      </c>
      <c r="C785">
        <v>2.8316730610652701</v>
      </c>
    </row>
    <row r="786" spans="2:3" x14ac:dyDescent="0.2">
      <c r="B786" s="32">
        <v>40954</v>
      </c>
      <c r="C786">
        <v>2.78221187240857</v>
      </c>
    </row>
    <row r="787" spans="2:3" x14ac:dyDescent="0.2">
      <c r="B787" s="32">
        <v>40953</v>
      </c>
      <c r="C787">
        <v>2.7668146373676499</v>
      </c>
    </row>
    <row r="788" spans="2:3" x14ac:dyDescent="0.2">
      <c r="B788" s="32">
        <v>40952</v>
      </c>
      <c r="C788">
        <v>2.8174854723691301</v>
      </c>
    </row>
    <row r="789" spans="2:3" x14ac:dyDescent="0.2">
      <c r="B789" s="32">
        <v>40949</v>
      </c>
      <c r="C789">
        <v>2.8097489693642799</v>
      </c>
    </row>
    <row r="790" spans="2:3" x14ac:dyDescent="0.2">
      <c r="B790" s="32">
        <v>40948</v>
      </c>
      <c r="C790">
        <v>2.8458544397299299</v>
      </c>
    </row>
    <row r="791" spans="2:3" x14ac:dyDescent="0.2">
      <c r="B791" s="32">
        <v>40947</v>
      </c>
      <c r="C791">
        <v>2.7670306950221799</v>
      </c>
    </row>
    <row r="792" spans="2:3" x14ac:dyDescent="0.2">
      <c r="B792" s="32">
        <v>40946</v>
      </c>
      <c r="C792">
        <v>2.7946021127853302</v>
      </c>
    </row>
    <row r="793" spans="2:3" x14ac:dyDescent="0.2">
      <c r="B793" s="32">
        <v>40945</v>
      </c>
      <c r="C793">
        <v>2.7613284335862098</v>
      </c>
    </row>
    <row r="794" spans="2:3" x14ac:dyDescent="0.2">
      <c r="B794" s="32">
        <v>40942</v>
      </c>
      <c r="C794">
        <v>2.8101423093636502</v>
      </c>
    </row>
    <row r="795" spans="2:3" x14ac:dyDescent="0.2">
      <c r="B795" s="32">
        <v>40941</v>
      </c>
      <c r="C795">
        <v>2.7164025154935398</v>
      </c>
    </row>
    <row r="796" spans="2:3" x14ac:dyDescent="0.2">
      <c r="B796" s="32">
        <v>40940</v>
      </c>
      <c r="C796">
        <v>2.77294304324607</v>
      </c>
    </row>
    <row r="797" spans="2:3" x14ac:dyDescent="0.2">
      <c r="B797" s="32">
        <v>40939</v>
      </c>
      <c r="C797">
        <v>2.7762952709571298</v>
      </c>
    </row>
    <row r="798" spans="2:3" x14ac:dyDescent="0.2">
      <c r="B798" s="32">
        <v>40938</v>
      </c>
      <c r="C798">
        <v>2.8089477142816799</v>
      </c>
    </row>
    <row r="799" spans="2:3" x14ac:dyDescent="0.2">
      <c r="B799" s="32">
        <v>40935</v>
      </c>
      <c r="C799">
        <v>2.8082441725420599</v>
      </c>
    </row>
    <row r="800" spans="2:3" x14ac:dyDescent="0.2">
      <c r="B800" s="32">
        <v>40934</v>
      </c>
      <c r="C800">
        <v>2.8435838400443298</v>
      </c>
    </row>
    <row r="801" spans="2:3" x14ac:dyDescent="0.2">
      <c r="B801" s="32">
        <v>40933</v>
      </c>
      <c r="C801">
        <v>2.9051562775956401</v>
      </c>
    </row>
    <row r="802" spans="2:3" x14ac:dyDescent="0.2">
      <c r="B802" s="32">
        <v>40932</v>
      </c>
      <c r="C802">
        <v>2.95988088830397</v>
      </c>
    </row>
    <row r="803" spans="2:3" x14ac:dyDescent="0.2">
      <c r="B803" s="32">
        <v>40931</v>
      </c>
      <c r="C803">
        <v>2.9725641421192601</v>
      </c>
    </row>
    <row r="804" spans="2:3" x14ac:dyDescent="0.2">
      <c r="B804" s="32">
        <v>40928</v>
      </c>
      <c r="C804">
        <v>2.9761108761892499</v>
      </c>
    </row>
    <row r="805" spans="2:3" x14ac:dyDescent="0.2">
      <c r="B805" s="32">
        <v>40927</v>
      </c>
      <c r="C805">
        <v>2.96476682464895</v>
      </c>
    </row>
    <row r="806" spans="2:3" x14ac:dyDescent="0.2">
      <c r="B806" s="32">
        <v>40926</v>
      </c>
      <c r="C806">
        <v>2.9029521947901298</v>
      </c>
    </row>
    <row r="807" spans="2:3" x14ac:dyDescent="0.2">
      <c r="B807" s="32">
        <v>40925</v>
      </c>
      <c r="C807">
        <v>2.86264141643864</v>
      </c>
    </row>
    <row r="808" spans="2:3" x14ac:dyDescent="0.2">
      <c r="B808" s="32">
        <v>40921</v>
      </c>
      <c r="C808">
        <v>2.81630541701854</v>
      </c>
    </row>
    <row r="809" spans="2:3" x14ac:dyDescent="0.2">
      <c r="B809" s="32">
        <v>40920</v>
      </c>
      <c r="C809">
        <v>2.8523399167499401</v>
      </c>
    </row>
    <row r="810" spans="2:3" x14ac:dyDescent="0.2">
      <c r="B810" s="32">
        <v>40919</v>
      </c>
      <c r="C810">
        <v>2.8837720214222302</v>
      </c>
    </row>
    <row r="811" spans="2:3" x14ac:dyDescent="0.2">
      <c r="B811" s="32">
        <v>40918</v>
      </c>
      <c r="C811">
        <v>2.9177878153619399</v>
      </c>
    </row>
    <row r="812" spans="2:3" x14ac:dyDescent="0.2">
      <c r="B812" s="32">
        <v>40917</v>
      </c>
      <c r="C812">
        <v>2.8757178049708001</v>
      </c>
    </row>
    <row r="813" spans="2:3" x14ac:dyDescent="0.2">
      <c r="B813" s="32">
        <v>40914</v>
      </c>
      <c r="C813">
        <v>2.85737725851964</v>
      </c>
    </row>
    <row r="814" spans="2:3" x14ac:dyDescent="0.2">
      <c r="B814" s="32">
        <v>40913</v>
      </c>
      <c r="C814">
        <v>2.91011038878244</v>
      </c>
    </row>
    <row r="815" spans="2:3" x14ac:dyDescent="0.2">
      <c r="B815" s="32">
        <v>40912</v>
      </c>
      <c r="C815">
        <v>2.99570308668953</v>
      </c>
    </row>
    <row r="816" spans="2:3" x14ac:dyDescent="0.2">
      <c r="B816" s="32">
        <v>40911</v>
      </c>
      <c r="C816">
        <v>2.9922052054175601</v>
      </c>
    </row>
    <row r="817" spans="2:3" x14ac:dyDescent="0.2">
      <c r="B817" s="32">
        <v>40907</v>
      </c>
      <c r="C817">
        <v>3.0169008574553802</v>
      </c>
    </row>
    <row r="818" spans="2:3" x14ac:dyDescent="0.2">
      <c r="B818" s="32">
        <v>40906</v>
      </c>
      <c r="C818">
        <v>3.02888356326996</v>
      </c>
    </row>
    <row r="819" spans="2:3" x14ac:dyDescent="0.2">
      <c r="B819" s="32">
        <v>40905</v>
      </c>
      <c r="C819">
        <v>3.0482411283834199</v>
      </c>
    </row>
    <row r="820" spans="2:3" x14ac:dyDescent="0.2">
      <c r="B820" s="32">
        <v>40904</v>
      </c>
      <c r="C820">
        <v>3.1525411390212401</v>
      </c>
    </row>
    <row r="821" spans="2:3" x14ac:dyDescent="0.2">
      <c r="B821" s="32">
        <v>40900</v>
      </c>
      <c r="C821">
        <v>3.1705040957732402</v>
      </c>
    </row>
    <row r="822" spans="2:3" x14ac:dyDescent="0.2">
      <c r="B822" s="32">
        <v>40899</v>
      </c>
      <c r="C822">
        <v>3.0957276012742798</v>
      </c>
    </row>
    <row r="823" spans="2:3" x14ac:dyDescent="0.2">
      <c r="B823" s="32">
        <v>40898</v>
      </c>
      <c r="C823">
        <v>3.1062066033086002</v>
      </c>
    </row>
    <row r="824" spans="2:3" x14ac:dyDescent="0.2">
      <c r="B824" s="32">
        <v>40897</v>
      </c>
      <c r="C824">
        <v>3.0682671271732498</v>
      </c>
    </row>
    <row r="825" spans="2:3" x14ac:dyDescent="0.2">
      <c r="B825" s="32">
        <v>40896</v>
      </c>
      <c r="C825">
        <v>2.9894475753554</v>
      </c>
    </row>
    <row r="826" spans="2:3" x14ac:dyDescent="0.2">
      <c r="B826" s="32">
        <v>40893</v>
      </c>
      <c r="C826">
        <v>3.0010367845375399</v>
      </c>
    </row>
    <row r="827" spans="2:3" x14ac:dyDescent="0.2">
      <c r="B827" s="32">
        <v>40892</v>
      </c>
      <c r="C827">
        <v>3.0512455688630302</v>
      </c>
    </row>
    <row r="828" spans="2:3" x14ac:dyDescent="0.2">
      <c r="B828" s="32">
        <v>40891</v>
      </c>
      <c r="C828">
        <v>3.0099010383254599</v>
      </c>
    </row>
    <row r="829" spans="2:3" x14ac:dyDescent="0.2">
      <c r="B829" s="32">
        <v>40890</v>
      </c>
      <c r="C829">
        <v>3.0836009703649698</v>
      </c>
    </row>
    <row r="830" spans="2:3" x14ac:dyDescent="0.2">
      <c r="B830" s="32">
        <v>40889</v>
      </c>
      <c r="C830">
        <v>3.12818591225721</v>
      </c>
    </row>
    <row r="831" spans="2:3" x14ac:dyDescent="0.2">
      <c r="B831" s="32">
        <v>40886</v>
      </c>
      <c r="C831">
        <v>3.13668507715898</v>
      </c>
    </row>
    <row r="832" spans="2:3" x14ac:dyDescent="0.2">
      <c r="B832" s="32">
        <v>40885</v>
      </c>
      <c r="C832">
        <v>3.0582086355581701</v>
      </c>
    </row>
    <row r="833" spans="2:3" x14ac:dyDescent="0.2">
      <c r="B833" s="32">
        <v>40884</v>
      </c>
      <c r="C833">
        <v>3.0901166558694499</v>
      </c>
    </row>
    <row r="834" spans="2:3" x14ac:dyDescent="0.2">
      <c r="B834" s="32">
        <v>40883</v>
      </c>
      <c r="C834">
        <v>3.1701948375886699</v>
      </c>
    </row>
    <row r="835" spans="2:3" x14ac:dyDescent="0.2">
      <c r="B835" s="32">
        <v>40882</v>
      </c>
      <c r="C835">
        <v>3.1564944605964</v>
      </c>
    </row>
    <row r="836" spans="2:3" x14ac:dyDescent="0.2">
      <c r="B836" s="32">
        <v>40879</v>
      </c>
      <c r="C836">
        <v>3.1429302987422898</v>
      </c>
    </row>
    <row r="837" spans="2:3" x14ac:dyDescent="0.2">
      <c r="B837" s="32">
        <v>40878</v>
      </c>
      <c r="C837">
        <v>3.2092148157425902</v>
      </c>
    </row>
    <row r="838" spans="2:3" x14ac:dyDescent="0.2">
      <c r="B838" s="32">
        <v>40877</v>
      </c>
      <c r="C838">
        <v>3.1770193190764999</v>
      </c>
    </row>
    <row r="839" spans="2:3" x14ac:dyDescent="0.2">
      <c r="B839" s="32">
        <v>40876</v>
      </c>
      <c r="C839">
        <v>3.18160535509739</v>
      </c>
    </row>
    <row r="840" spans="2:3" x14ac:dyDescent="0.2">
      <c r="B840" s="32">
        <v>40875</v>
      </c>
      <c r="C840">
        <v>3.1879027130286501</v>
      </c>
    </row>
    <row r="841" spans="2:3" x14ac:dyDescent="0.2">
      <c r="B841" s="32">
        <v>40872</v>
      </c>
      <c r="C841">
        <v>3.2226255567609399</v>
      </c>
    </row>
    <row r="842" spans="2:3" x14ac:dyDescent="0.2">
      <c r="B842" s="32">
        <v>40870</v>
      </c>
      <c r="C842">
        <v>3.1451663238468299</v>
      </c>
    </row>
    <row r="843" spans="2:3" x14ac:dyDescent="0.2">
      <c r="B843" s="32">
        <v>40869</v>
      </c>
      <c r="C843">
        <v>3.1441680368371498</v>
      </c>
    </row>
    <row r="844" spans="2:3" x14ac:dyDescent="0.2">
      <c r="B844" s="32">
        <v>40868</v>
      </c>
      <c r="C844">
        <v>3.1766805050266198</v>
      </c>
    </row>
    <row r="845" spans="2:3" x14ac:dyDescent="0.2">
      <c r="B845" s="32">
        <v>40865</v>
      </c>
      <c r="C845">
        <v>3.2133365381632499</v>
      </c>
    </row>
    <row r="846" spans="2:3" x14ac:dyDescent="0.2">
      <c r="B846" s="32">
        <v>40864</v>
      </c>
      <c r="C846">
        <v>3.1637028117931498</v>
      </c>
    </row>
    <row r="847" spans="2:3" x14ac:dyDescent="0.2">
      <c r="B847" s="32">
        <v>40863</v>
      </c>
      <c r="C847">
        <v>3.2014386947341</v>
      </c>
    </row>
    <row r="848" spans="2:3" x14ac:dyDescent="0.2">
      <c r="B848" s="32">
        <v>40862</v>
      </c>
      <c r="C848">
        <v>3.21923846967334</v>
      </c>
    </row>
    <row r="849" spans="2:3" x14ac:dyDescent="0.2">
      <c r="B849" s="32">
        <v>40861</v>
      </c>
      <c r="C849">
        <v>3.1932759720766599</v>
      </c>
    </row>
    <row r="850" spans="2:3" x14ac:dyDescent="0.2">
      <c r="B850" s="32">
        <v>40857</v>
      </c>
      <c r="C850">
        <v>3.1968294834055402</v>
      </c>
    </row>
    <row r="851" spans="2:3" x14ac:dyDescent="0.2">
      <c r="B851" s="32">
        <v>40856</v>
      </c>
      <c r="C851">
        <v>3.1408308394137698</v>
      </c>
    </row>
    <row r="852" spans="2:3" x14ac:dyDescent="0.2">
      <c r="B852" s="32">
        <v>40855</v>
      </c>
      <c r="C852">
        <v>3.1915310433588799</v>
      </c>
    </row>
    <row r="853" spans="2:3" x14ac:dyDescent="0.2">
      <c r="B853" s="32">
        <v>40854</v>
      </c>
      <c r="C853">
        <v>3.1153555046375301</v>
      </c>
    </row>
    <row r="854" spans="2:3" x14ac:dyDescent="0.2">
      <c r="B854" s="32">
        <v>40851</v>
      </c>
      <c r="C854">
        <v>3.1459189472432798</v>
      </c>
    </row>
    <row r="855" spans="2:3" x14ac:dyDescent="0.2">
      <c r="B855" s="32">
        <v>40850</v>
      </c>
      <c r="C855">
        <v>3.1865900219174601</v>
      </c>
    </row>
    <row r="856" spans="2:3" x14ac:dyDescent="0.2">
      <c r="B856" s="32">
        <v>40849</v>
      </c>
      <c r="C856">
        <v>3.1403563464711799</v>
      </c>
    </row>
    <row r="857" spans="2:3" x14ac:dyDescent="0.2">
      <c r="B857" s="32">
        <v>40848</v>
      </c>
      <c r="C857">
        <v>3.1279977145133802</v>
      </c>
    </row>
    <row r="858" spans="2:3" x14ac:dyDescent="0.2">
      <c r="B858" s="32">
        <v>40847</v>
      </c>
      <c r="C858">
        <v>3.2515769978966</v>
      </c>
    </row>
    <row r="859" spans="2:3" x14ac:dyDescent="0.2">
      <c r="B859" s="32">
        <v>40844</v>
      </c>
      <c r="C859">
        <v>3.3602109055046498</v>
      </c>
    </row>
    <row r="860" spans="2:3" x14ac:dyDescent="0.2">
      <c r="B860" s="32">
        <v>40843</v>
      </c>
      <c r="C860">
        <v>3.4409162615373701</v>
      </c>
    </row>
    <row r="861" spans="2:3" x14ac:dyDescent="0.2">
      <c r="B861" s="32">
        <v>40842</v>
      </c>
      <c r="C861">
        <v>3.3217981772157801</v>
      </c>
    </row>
    <row r="862" spans="2:3" x14ac:dyDescent="0.2">
      <c r="B862" s="32">
        <v>40841</v>
      </c>
      <c r="C862">
        <v>3.26466509083714</v>
      </c>
    </row>
    <row r="863" spans="2:3" x14ac:dyDescent="0.2">
      <c r="B863" s="32">
        <v>40840</v>
      </c>
      <c r="C863">
        <v>3.3634960671290699</v>
      </c>
    </row>
    <row r="864" spans="2:3" x14ac:dyDescent="0.2">
      <c r="B864" s="32">
        <v>40837</v>
      </c>
      <c r="C864">
        <v>3.3306571574489601</v>
      </c>
    </row>
    <row r="865" spans="2:3" x14ac:dyDescent="0.2">
      <c r="B865" s="32">
        <v>40836</v>
      </c>
      <c r="C865">
        <v>3.3269877497661899</v>
      </c>
    </row>
    <row r="866" spans="2:3" x14ac:dyDescent="0.2">
      <c r="B866" s="32">
        <v>40835</v>
      </c>
      <c r="C866">
        <v>3.3017117850831799</v>
      </c>
    </row>
    <row r="867" spans="2:3" x14ac:dyDescent="0.2">
      <c r="B867" s="32">
        <v>40834</v>
      </c>
      <c r="C867">
        <v>3.2937414945904302</v>
      </c>
    </row>
    <row r="868" spans="2:3" x14ac:dyDescent="0.2">
      <c r="B868" s="32">
        <v>40833</v>
      </c>
      <c r="C868">
        <v>3.29814365265038</v>
      </c>
    </row>
    <row r="869" spans="2:3" x14ac:dyDescent="0.2">
      <c r="B869" s="32">
        <v>40830</v>
      </c>
      <c r="C869">
        <v>3.3644554409980398</v>
      </c>
    </row>
    <row r="870" spans="2:3" x14ac:dyDescent="0.2">
      <c r="B870" s="32">
        <v>40829</v>
      </c>
      <c r="C870">
        <v>3.3067216512953301</v>
      </c>
    </row>
    <row r="871" spans="2:3" x14ac:dyDescent="0.2">
      <c r="B871" s="32">
        <v>40828</v>
      </c>
      <c r="C871">
        <v>3.3378096663708501</v>
      </c>
    </row>
    <row r="872" spans="2:3" x14ac:dyDescent="0.2">
      <c r="B872" s="32">
        <v>40827</v>
      </c>
      <c r="C872">
        <v>3.3168034791382999</v>
      </c>
    </row>
    <row r="873" spans="2:3" x14ac:dyDescent="0.2">
      <c r="B873" s="32">
        <v>40823</v>
      </c>
      <c r="C873">
        <v>3.2827632035572001</v>
      </c>
    </row>
    <row r="874" spans="2:3" x14ac:dyDescent="0.2">
      <c r="B874" s="32">
        <v>40822</v>
      </c>
      <c r="C874">
        <v>3.1859593753289501</v>
      </c>
    </row>
    <row r="875" spans="2:3" x14ac:dyDescent="0.2">
      <c r="B875" s="32">
        <v>40821</v>
      </c>
      <c r="C875">
        <v>3.1183780726897798</v>
      </c>
    </row>
    <row r="876" spans="2:3" x14ac:dyDescent="0.2">
      <c r="B876" s="32">
        <v>40820</v>
      </c>
      <c r="C876">
        <v>3.0428155900438001</v>
      </c>
    </row>
    <row r="877" spans="2:3" x14ac:dyDescent="0.2">
      <c r="B877" s="32">
        <v>40819</v>
      </c>
      <c r="C877">
        <v>2.9658180500681501</v>
      </c>
    </row>
    <row r="878" spans="2:3" x14ac:dyDescent="0.2">
      <c r="B878" s="32">
        <v>40816</v>
      </c>
      <c r="C878">
        <v>3.0385261527896099</v>
      </c>
    </row>
    <row r="879" spans="2:3" x14ac:dyDescent="0.2">
      <c r="B879" s="32">
        <v>40815</v>
      </c>
      <c r="C879">
        <v>3.08102846716154</v>
      </c>
    </row>
    <row r="880" spans="2:3" x14ac:dyDescent="0.2">
      <c r="B880" s="32">
        <v>40814</v>
      </c>
      <c r="C880">
        <v>3.16373332869864</v>
      </c>
    </row>
    <row r="881" spans="2:3" x14ac:dyDescent="0.2">
      <c r="B881" s="32">
        <v>40813</v>
      </c>
      <c r="C881">
        <v>3.19162579468055</v>
      </c>
    </row>
    <row r="882" spans="2:3" x14ac:dyDescent="0.2">
      <c r="B882" s="32">
        <v>40812</v>
      </c>
      <c r="C882">
        <v>3.0707186110207298</v>
      </c>
    </row>
    <row r="883" spans="2:3" x14ac:dyDescent="0.2">
      <c r="B883" s="32">
        <v>40809</v>
      </c>
      <c r="C883">
        <v>2.9787961071901798</v>
      </c>
    </row>
    <row r="884" spans="2:3" x14ac:dyDescent="0.2">
      <c r="B884" s="32">
        <v>40808</v>
      </c>
      <c r="C884">
        <v>2.8513672376672798</v>
      </c>
    </row>
    <row r="885" spans="2:3" x14ac:dyDescent="0.2">
      <c r="B885" s="32">
        <v>40807</v>
      </c>
      <c r="C885">
        <v>3.0193449968875199</v>
      </c>
    </row>
    <row r="886" spans="2:3" x14ac:dyDescent="0.2">
      <c r="B886" s="32">
        <v>40806</v>
      </c>
      <c r="C886">
        <v>3.25926253404289</v>
      </c>
    </row>
    <row r="887" spans="2:3" x14ac:dyDescent="0.2">
      <c r="B887" s="32">
        <v>40805</v>
      </c>
      <c r="C887">
        <v>3.2381411967187499</v>
      </c>
    </row>
    <row r="888" spans="2:3" x14ac:dyDescent="0.2">
      <c r="B888" s="32">
        <v>40802</v>
      </c>
      <c r="C888">
        <v>3.3468903558930401</v>
      </c>
    </row>
    <row r="889" spans="2:3" x14ac:dyDescent="0.2">
      <c r="B889" s="32">
        <v>40801</v>
      </c>
      <c r="C889">
        <v>3.3472561381998802</v>
      </c>
    </row>
    <row r="890" spans="2:3" x14ac:dyDescent="0.2">
      <c r="B890" s="32">
        <v>40800</v>
      </c>
      <c r="C890">
        <v>3.3005008889944101</v>
      </c>
    </row>
    <row r="891" spans="2:3" x14ac:dyDescent="0.2">
      <c r="B891" s="32">
        <v>40799</v>
      </c>
      <c r="C891">
        <v>3.3011183094631602</v>
      </c>
    </row>
    <row r="892" spans="2:3" x14ac:dyDescent="0.2">
      <c r="B892" s="32">
        <v>40798</v>
      </c>
      <c r="C892">
        <v>3.26610474456754</v>
      </c>
    </row>
    <row r="893" spans="2:3" x14ac:dyDescent="0.2">
      <c r="B893" s="32">
        <v>40795</v>
      </c>
      <c r="C893">
        <v>3.2179153943453298</v>
      </c>
    </row>
    <row r="894" spans="2:3" x14ac:dyDescent="0.2">
      <c r="B894" s="32">
        <v>40794</v>
      </c>
      <c r="C894">
        <v>3.2850540934441099</v>
      </c>
    </row>
    <row r="895" spans="2:3" x14ac:dyDescent="0.2">
      <c r="B895" s="32">
        <v>40793</v>
      </c>
      <c r="C895">
        <v>3.3161398377086599</v>
      </c>
    </row>
    <row r="896" spans="2:3" x14ac:dyDescent="0.2">
      <c r="B896" s="32">
        <v>40792</v>
      </c>
      <c r="C896">
        <v>3.2630175220730102</v>
      </c>
    </row>
    <row r="897" spans="2:3" x14ac:dyDescent="0.2">
      <c r="B897" s="32">
        <v>40788</v>
      </c>
      <c r="C897">
        <v>3.2634227208320401</v>
      </c>
    </row>
    <row r="898" spans="2:3" x14ac:dyDescent="0.2">
      <c r="B898" s="32">
        <v>40787</v>
      </c>
      <c r="C898">
        <v>3.3636197658163201</v>
      </c>
    </row>
    <row r="899" spans="2:3" x14ac:dyDescent="0.2">
      <c r="B899" s="32">
        <v>40786</v>
      </c>
      <c r="C899">
        <v>3.4273948025536498</v>
      </c>
    </row>
    <row r="900" spans="2:3" x14ac:dyDescent="0.2">
      <c r="B900" s="32">
        <v>40785</v>
      </c>
      <c r="C900">
        <v>3.3588973610641801</v>
      </c>
    </row>
    <row r="901" spans="2:3" x14ac:dyDescent="0.2">
      <c r="B901" s="32">
        <v>40784</v>
      </c>
      <c r="C901">
        <v>3.44007422057935</v>
      </c>
    </row>
    <row r="902" spans="2:3" x14ac:dyDescent="0.2">
      <c r="B902" s="32">
        <v>40781</v>
      </c>
      <c r="C902">
        <v>3.35269320675931</v>
      </c>
    </row>
    <row r="903" spans="2:3" x14ac:dyDescent="0.2">
      <c r="B903" s="32">
        <v>40780</v>
      </c>
      <c r="C903">
        <v>3.3922014866602601</v>
      </c>
    </row>
    <row r="904" spans="2:3" x14ac:dyDescent="0.2">
      <c r="B904" s="32">
        <v>40779</v>
      </c>
      <c r="C904">
        <v>3.3081684069465198</v>
      </c>
    </row>
    <row r="905" spans="2:3" x14ac:dyDescent="0.2">
      <c r="B905" s="32">
        <v>40778</v>
      </c>
      <c r="C905">
        <v>3.3649434025508</v>
      </c>
    </row>
    <row r="906" spans="2:3" x14ac:dyDescent="0.2">
      <c r="B906" s="32">
        <v>40777</v>
      </c>
      <c r="C906">
        <v>3.3037905291021898</v>
      </c>
    </row>
    <row r="907" spans="2:3" x14ac:dyDescent="0.2">
      <c r="B907" s="32">
        <v>40774</v>
      </c>
      <c r="C907">
        <v>3.2837852746687299</v>
      </c>
    </row>
    <row r="908" spans="2:3" x14ac:dyDescent="0.2">
      <c r="B908" s="32">
        <v>40773</v>
      </c>
      <c r="C908">
        <v>3.2492398871399901</v>
      </c>
    </row>
    <row r="909" spans="2:3" x14ac:dyDescent="0.2">
      <c r="B909" s="32">
        <v>40772</v>
      </c>
      <c r="C909">
        <v>3.26932734313012</v>
      </c>
    </row>
    <row r="910" spans="2:3" x14ac:dyDescent="0.2">
      <c r="B910" s="32">
        <v>40771</v>
      </c>
      <c r="C910">
        <v>3.3118241286544898</v>
      </c>
    </row>
    <row r="911" spans="2:3" x14ac:dyDescent="0.2">
      <c r="B911" s="32">
        <v>40770</v>
      </c>
      <c r="C911">
        <v>3.3816169312489701</v>
      </c>
    </row>
    <row r="912" spans="2:3" x14ac:dyDescent="0.2">
      <c r="B912" s="32">
        <v>40767</v>
      </c>
      <c r="C912">
        <v>3.31670518615761</v>
      </c>
    </row>
    <row r="913" spans="2:3" x14ac:dyDescent="0.2">
      <c r="B913" s="32">
        <v>40766</v>
      </c>
      <c r="C913">
        <v>3.3763418020017699</v>
      </c>
    </row>
    <row r="914" spans="2:3" x14ac:dyDescent="0.2">
      <c r="B914" s="32">
        <v>40765</v>
      </c>
      <c r="C914">
        <v>3.2328090551178201</v>
      </c>
    </row>
    <row r="915" spans="2:3" x14ac:dyDescent="0.2">
      <c r="B915" s="32">
        <v>40764</v>
      </c>
      <c r="C915">
        <v>3.3615209507412498</v>
      </c>
    </row>
    <row r="916" spans="2:3" x14ac:dyDescent="0.2">
      <c r="B916" s="32">
        <v>40763</v>
      </c>
      <c r="C916">
        <v>3.5272994184639499</v>
      </c>
    </row>
    <row r="917" spans="2:3" x14ac:dyDescent="0.2">
      <c r="B917" s="32">
        <v>40760</v>
      </c>
      <c r="C917">
        <v>3.6494432992963999</v>
      </c>
    </row>
    <row r="918" spans="2:3" x14ac:dyDescent="0.2">
      <c r="B918" s="32">
        <v>40759</v>
      </c>
      <c r="C918">
        <v>3.4866024421459598</v>
      </c>
    </row>
    <row r="919" spans="2:3" x14ac:dyDescent="0.2">
      <c r="B919" s="32">
        <v>40758</v>
      </c>
      <c r="C919">
        <v>3.61498902203365</v>
      </c>
    </row>
    <row r="920" spans="2:3" x14ac:dyDescent="0.2">
      <c r="B920" s="32">
        <v>40757</v>
      </c>
      <c r="C920">
        <v>3.6570869761159299</v>
      </c>
    </row>
    <row r="921" spans="2:3" x14ac:dyDescent="0.2">
      <c r="B921" s="32">
        <v>40756</v>
      </c>
      <c r="C921">
        <v>3.76446810625648</v>
      </c>
    </row>
    <row r="922" spans="2:3" x14ac:dyDescent="0.2">
      <c r="B922" s="32">
        <v>40753</v>
      </c>
      <c r="C922">
        <v>3.8088238659156599</v>
      </c>
    </row>
    <row r="923" spans="2:3" x14ac:dyDescent="0.2">
      <c r="B923" s="32">
        <v>40752</v>
      </c>
      <c r="C923">
        <v>3.9324314812140502</v>
      </c>
    </row>
    <row r="924" spans="2:3" x14ac:dyDescent="0.2">
      <c r="B924" s="32">
        <v>40751</v>
      </c>
      <c r="C924">
        <v>3.9740262536050301</v>
      </c>
    </row>
    <row r="925" spans="2:3" x14ac:dyDescent="0.2">
      <c r="B925" s="32">
        <v>40750</v>
      </c>
      <c r="C925">
        <v>3.93180055447786</v>
      </c>
    </row>
    <row r="926" spans="2:3" x14ac:dyDescent="0.2">
      <c r="B926" s="32">
        <v>40749</v>
      </c>
      <c r="C926">
        <v>3.9604705885529299</v>
      </c>
    </row>
    <row r="927" spans="2:3" x14ac:dyDescent="0.2">
      <c r="B927" s="32">
        <v>40746</v>
      </c>
      <c r="C927">
        <v>3.9256648990876601</v>
      </c>
    </row>
    <row r="928" spans="2:3" x14ac:dyDescent="0.2">
      <c r="B928" s="32">
        <v>40745</v>
      </c>
      <c r="C928">
        <v>3.95043209572012</v>
      </c>
    </row>
    <row r="929" spans="2:3" x14ac:dyDescent="0.2">
      <c r="B929" s="32">
        <v>40744</v>
      </c>
      <c r="C929">
        <v>3.9147234393454702</v>
      </c>
    </row>
    <row r="930" spans="2:3" x14ac:dyDescent="0.2">
      <c r="B930" s="32">
        <v>40743</v>
      </c>
      <c r="C930">
        <v>3.9028989279116901</v>
      </c>
    </row>
    <row r="931" spans="2:3" x14ac:dyDescent="0.2">
      <c r="B931" s="32">
        <v>40742</v>
      </c>
      <c r="C931">
        <v>3.9143080460747499</v>
      </c>
    </row>
    <row r="932" spans="2:3" x14ac:dyDescent="0.2">
      <c r="B932" s="32">
        <v>40739</v>
      </c>
      <c r="C932">
        <v>3.8829277036335901</v>
      </c>
    </row>
    <row r="933" spans="2:3" x14ac:dyDescent="0.2">
      <c r="B933" s="32">
        <v>40738</v>
      </c>
      <c r="C933">
        <v>3.8985405222991401</v>
      </c>
    </row>
    <row r="934" spans="2:3" x14ac:dyDescent="0.2">
      <c r="B934" s="32">
        <v>40737</v>
      </c>
      <c r="C934">
        <v>3.8643242728668699</v>
      </c>
    </row>
    <row r="935" spans="2:3" x14ac:dyDescent="0.2">
      <c r="B935" s="32">
        <v>40736</v>
      </c>
      <c r="C935">
        <v>3.8994081954805799</v>
      </c>
    </row>
    <row r="936" spans="2:3" x14ac:dyDescent="0.2">
      <c r="B936" s="32">
        <v>40735</v>
      </c>
      <c r="C936">
        <v>3.9124758151912502</v>
      </c>
    </row>
    <row r="937" spans="2:3" x14ac:dyDescent="0.2">
      <c r="B937" s="32">
        <v>40732</v>
      </c>
      <c r="C937">
        <v>3.9560446412855801</v>
      </c>
    </row>
    <row r="938" spans="2:3" x14ac:dyDescent="0.2">
      <c r="B938" s="32">
        <v>40731</v>
      </c>
      <c r="C938">
        <v>4.0552994132592604</v>
      </c>
    </row>
    <row r="939" spans="2:3" x14ac:dyDescent="0.2">
      <c r="B939" s="32">
        <v>40730</v>
      </c>
      <c r="C939">
        <v>4.00074846478753</v>
      </c>
    </row>
    <row r="940" spans="2:3" x14ac:dyDescent="0.2">
      <c r="B940" s="32">
        <v>40729</v>
      </c>
      <c r="C940">
        <v>4.0109296583696397</v>
      </c>
    </row>
    <row r="941" spans="2:3" x14ac:dyDescent="0.2">
      <c r="B941" s="32">
        <v>40725</v>
      </c>
      <c r="C941">
        <v>4.04948996007146</v>
      </c>
    </row>
    <row r="942" spans="2:3" x14ac:dyDescent="0.2">
      <c r="B942" s="32">
        <v>40724</v>
      </c>
      <c r="C942">
        <v>4.0210177977435997</v>
      </c>
    </row>
    <row r="943" spans="2:3" x14ac:dyDescent="0.2">
      <c r="B943" s="32">
        <v>40723</v>
      </c>
      <c r="C943">
        <v>3.9900665756964502</v>
      </c>
    </row>
    <row r="944" spans="2:3" x14ac:dyDescent="0.2">
      <c r="B944" s="32">
        <v>40722</v>
      </c>
      <c r="C944">
        <v>3.9645862144820998</v>
      </c>
    </row>
    <row r="945" spans="2:3" x14ac:dyDescent="0.2">
      <c r="B945" s="32">
        <v>40721</v>
      </c>
      <c r="C945">
        <v>3.88514648916032</v>
      </c>
    </row>
    <row r="946" spans="2:3" x14ac:dyDescent="0.2">
      <c r="B946" s="32">
        <v>40718</v>
      </c>
      <c r="C946">
        <v>3.8413126795761698</v>
      </c>
    </row>
    <row r="947" spans="2:3" x14ac:dyDescent="0.2">
      <c r="B947" s="32">
        <v>40717</v>
      </c>
      <c r="C947">
        <v>3.84233320184673</v>
      </c>
    </row>
    <row r="948" spans="2:3" x14ac:dyDescent="0.2">
      <c r="B948" s="32">
        <v>40716</v>
      </c>
      <c r="C948">
        <v>3.9103100553676802</v>
      </c>
    </row>
    <row r="949" spans="2:3" x14ac:dyDescent="0.2">
      <c r="B949" s="32">
        <v>40715</v>
      </c>
      <c r="C949">
        <v>3.9333528033335798</v>
      </c>
    </row>
    <row r="950" spans="2:3" x14ac:dyDescent="0.2">
      <c r="B950" s="32">
        <v>40714</v>
      </c>
      <c r="C950">
        <v>3.9260526521362999</v>
      </c>
    </row>
    <row r="951" spans="2:3" x14ac:dyDescent="0.2">
      <c r="B951" s="32">
        <v>40711</v>
      </c>
      <c r="C951">
        <v>3.9054668226802498</v>
      </c>
    </row>
    <row r="952" spans="2:3" x14ac:dyDescent="0.2">
      <c r="B952" s="32">
        <v>40710</v>
      </c>
      <c r="C952">
        <v>3.8841647371272701</v>
      </c>
    </row>
    <row r="953" spans="2:3" x14ac:dyDescent="0.2">
      <c r="B953" s="32">
        <v>40709</v>
      </c>
      <c r="C953">
        <v>3.9059042463873701</v>
      </c>
    </row>
    <row r="954" spans="2:3" x14ac:dyDescent="0.2">
      <c r="B954" s="32">
        <v>40708</v>
      </c>
      <c r="C954">
        <v>3.9753443748507</v>
      </c>
    </row>
    <row r="955" spans="2:3" x14ac:dyDescent="0.2">
      <c r="B955" s="32">
        <v>40707</v>
      </c>
      <c r="C955">
        <v>3.9067873129845099</v>
      </c>
    </row>
    <row r="956" spans="2:3" x14ac:dyDescent="0.2">
      <c r="B956" s="32">
        <v>40704</v>
      </c>
      <c r="C956">
        <v>3.8969631716255102</v>
      </c>
    </row>
    <row r="957" spans="2:3" x14ac:dyDescent="0.2">
      <c r="B957" s="32">
        <v>40703</v>
      </c>
      <c r="C957">
        <v>3.8960475696297299</v>
      </c>
    </row>
    <row r="958" spans="2:3" x14ac:dyDescent="0.2">
      <c r="B958" s="32">
        <v>40702</v>
      </c>
      <c r="C958">
        <v>3.8566823596436302</v>
      </c>
    </row>
    <row r="959" spans="2:3" x14ac:dyDescent="0.2">
      <c r="B959" s="32">
        <v>40701</v>
      </c>
      <c r="C959">
        <v>3.8958144444652301</v>
      </c>
    </row>
    <row r="960" spans="2:3" x14ac:dyDescent="0.2">
      <c r="B960" s="32">
        <v>40700</v>
      </c>
      <c r="C960">
        <v>3.9007146694666899</v>
      </c>
    </row>
    <row r="961" spans="2:3" x14ac:dyDescent="0.2">
      <c r="B961" s="32">
        <v>40697</v>
      </c>
      <c r="C961">
        <v>3.8932835819735199</v>
      </c>
    </row>
    <row r="962" spans="2:3" x14ac:dyDescent="0.2">
      <c r="B962" s="32">
        <v>40696</v>
      </c>
      <c r="C962">
        <v>3.91386634442794</v>
      </c>
    </row>
    <row r="963" spans="2:3" x14ac:dyDescent="0.2">
      <c r="B963" s="32">
        <v>40695</v>
      </c>
      <c r="C963">
        <v>3.86349424372803</v>
      </c>
    </row>
    <row r="964" spans="2:3" x14ac:dyDescent="0.2">
      <c r="B964" s="32">
        <v>40694</v>
      </c>
      <c r="C964">
        <v>3.93235427092598</v>
      </c>
    </row>
    <row r="965" spans="2:3" x14ac:dyDescent="0.2">
      <c r="B965" s="32">
        <v>40690</v>
      </c>
      <c r="C965">
        <v>3.9340132469573699</v>
      </c>
    </row>
    <row r="966" spans="2:3" x14ac:dyDescent="0.2">
      <c r="B966" s="32">
        <v>40689</v>
      </c>
      <c r="C966">
        <v>3.9110937732392999</v>
      </c>
    </row>
    <row r="967" spans="2:3" x14ac:dyDescent="0.2">
      <c r="B967" s="32">
        <v>40688</v>
      </c>
      <c r="C967">
        <v>3.9826402417029598</v>
      </c>
    </row>
    <row r="968" spans="2:3" x14ac:dyDescent="0.2">
      <c r="B968" s="32">
        <v>40687</v>
      </c>
      <c r="C968">
        <v>3.9840068188340201</v>
      </c>
    </row>
    <row r="969" spans="2:3" x14ac:dyDescent="0.2">
      <c r="B969" s="32">
        <v>40686</v>
      </c>
      <c r="C969">
        <v>3.9961535030173398</v>
      </c>
    </row>
    <row r="970" spans="2:3" x14ac:dyDescent="0.2">
      <c r="B970" s="32">
        <v>40683</v>
      </c>
      <c r="C970">
        <v>3.9928413440389701</v>
      </c>
    </row>
    <row r="971" spans="2:3" x14ac:dyDescent="0.2">
      <c r="B971" s="32">
        <v>40682</v>
      </c>
      <c r="C971">
        <v>4.0056577921068204</v>
      </c>
    </row>
    <row r="972" spans="2:3" x14ac:dyDescent="0.2">
      <c r="B972" s="32">
        <v>40681</v>
      </c>
      <c r="C972">
        <v>3.9981747408284201</v>
      </c>
    </row>
    <row r="973" spans="2:3" x14ac:dyDescent="0.2">
      <c r="B973" s="32">
        <v>40680</v>
      </c>
      <c r="C973">
        <v>3.9561973951129898</v>
      </c>
    </row>
    <row r="974" spans="2:3" x14ac:dyDescent="0.2">
      <c r="B974" s="32">
        <v>40679</v>
      </c>
      <c r="C974">
        <v>3.9714462688070098</v>
      </c>
    </row>
    <row r="975" spans="2:3" x14ac:dyDescent="0.2">
      <c r="B975" s="32">
        <v>40676</v>
      </c>
      <c r="C975">
        <v>3.98862222187666</v>
      </c>
    </row>
    <row r="976" spans="2:3" x14ac:dyDescent="0.2">
      <c r="B976" s="32">
        <v>40675</v>
      </c>
      <c r="C976">
        <v>4.0052084315685699</v>
      </c>
    </row>
    <row r="977" spans="2:3" x14ac:dyDescent="0.2">
      <c r="B977" s="32">
        <v>40674</v>
      </c>
      <c r="C977">
        <v>3.98265251730554</v>
      </c>
    </row>
    <row r="978" spans="2:3" x14ac:dyDescent="0.2">
      <c r="B978" s="32">
        <v>40673</v>
      </c>
      <c r="C978">
        <v>4.01017409767306</v>
      </c>
    </row>
    <row r="979" spans="2:3" x14ac:dyDescent="0.2">
      <c r="B979" s="32">
        <v>40672</v>
      </c>
      <c r="C979">
        <v>3.9671840173196098</v>
      </c>
    </row>
    <row r="980" spans="2:3" x14ac:dyDescent="0.2">
      <c r="B980" s="32">
        <v>40669</v>
      </c>
      <c r="C980">
        <v>3.9810369231878999</v>
      </c>
    </row>
    <row r="981" spans="2:3" x14ac:dyDescent="0.2">
      <c r="B981" s="32">
        <v>40668</v>
      </c>
      <c r="C981">
        <v>3.9897426848348498</v>
      </c>
    </row>
    <row r="982" spans="2:3" x14ac:dyDescent="0.2">
      <c r="B982" s="32">
        <v>40667</v>
      </c>
      <c r="C982">
        <v>4.0402883420391804</v>
      </c>
    </row>
    <row r="983" spans="2:3" x14ac:dyDescent="0.2">
      <c r="B983" s="32">
        <v>40666</v>
      </c>
      <c r="C983">
        <v>4.0711736764918296</v>
      </c>
    </row>
    <row r="984" spans="2:3" x14ac:dyDescent="0.2">
      <c r="B984" s="32">
        <v>40665</v>
      </c>
      <c r="C984">
        <v>4.1017392555975398</v>
      </c>
    </row>
    <row r="985" spans="2:3" x14ac:dyDescent="0.2">
      <c r="B985" s="32">
        <v>40662</v>
      </c>
      <c r="C985">
        <v>4.0911415079480502</v>
      </c>
    </row>
    <row r="986" spans="2:3" x14ac:dyDescent="0.2">
      <c r="B986" s="32">
        <v>40661</v>
      </c>
      <c r="C986">
        <v>4.1085299627435603</v>
      </c>
    </row>
    <row r="987" spans="2:3" x14ac:dyDescent="0.2">
      <c r="B987" s="32">
        <v>40660</v>
      </c>
      <c r="C987">
        <v>4.1737753595226996</v>
      </c>
    </row>
    <row r="988" spans="2:3" x14ac:dyDescent="0.2">
      <c r="B988" s="32">
        <v>40659</v>
      </c>
      <c r="C988">
        <v>4.1488060132239797</v>
      </c>
    </row>
    <row r="989" spans="2:3" x14ac:dyDescent="0.2">
      <c r="B989" s="32">
        <v>40658</v>
      </c>
      <c r="C989">
        <v>4.1798117346260302</v>
      </c>
    </row>
    <row r="990" spans="2:3" x14ac:dyDescent="0.2">
      <c r="B990" s="32">
        <v>40654</v>
      </c>
      <c r="C990">
        <v>4.2118801952184501</v>
      </c>
    </row>
    <row r="991" spans="2:3" x14ac:dyDescent="0.2">
      <c r="B991" s="32">
        <v>40653</v>
      </c>
      <c r="C991">
        <v>4.2102300154498904</v>
      </c>
    </row>
    <row r="992" spans="2:3" x14ac:dyDescent="0.2">
      <c r="B992" s="32">
        <v>40652</v>
      </c>
      <c r="C992">
        <v>4.1805597151959502</v>
      </c>
    </row>
    <row r="993" spans="2:3" x14ac:dyDescent="0.2">
      <c r="B993" s="32">
        <v>40651</v>
      </c>
      <c r="C993">
        <v>4.1920950828505896</v>
      </c>
    </row>
    <row r="994" spans="2:3" x14ac:dyDescent="0.2">
      <c r="B994" s="32">
        <v>40648</v>
      </c>
      <c r="C994">
        <v>4.2253488908248604</v>
      </c>
    </row>
    <row r="995" spans="2:3" x14ac:dyDescent="0.2">
      <c r="B995" s="32">
        <v>40647</v>
      </c>
      <c r="C995">
        <v>4.2935055694790503</v>
      </c>
    </row>
    <row r="996" spans="2:3" x14ac:dyDescent="0.2">
      <c r="B996" s="32">
        <v>40646</v>
      </c>
      <c r="C996">
        <v>4.2868662030008098</v>
      </c>
    </row>
    <row r="997" spans="2:3" x14ac:dyDescent="0.2">
      <c r="B997" s="32">
        <v>40645</v>
      </c>
      <c r="C997">
        <v>4.30611620618477</v>
      </c>
    </row>
    <row r="998" spans="2:3" x14ac:dyDescent="0.2">
      <c r="B998" s="32">
        <v>40644</v>
      </c>
      <c r="C998">
        <v>4.3573317351240703</v>
      </c>
    </row>
    <row r="999" spans="2:3" x14ac:dyDescent="0.2">
      <c r="B999" s="32">
        <v>40641</v>
      </c>
      <c r="C999">
        <v>4.3622076135317203</v>
      </c>
    </row>
    <row r="1000" spans="2:3" x14ac:dyDescent="0.2">
      <c r="B1000" s="32">
        <v>40640</v>
      </c>
      <c r="C1000">
        <v>4.3534210844177004</v>
      </c>
    </row>
    <row r="1001" spans="2:3" x14ac:dyDescent="0.2">
      <c r="B1001" s="32">
        <v>40639</v>
      </c>
      <c r="C1001">
        <v>4.3581821128406304</v>
      </c>
    </row>
    <row r="1002" spans="2:3" x14ac:dyDescent="0.2">
      <c r="B1002" s="32">
        <v>40638</v>
      </c>
      <c r="C1002">
        <v>4.32682935952222</v>
      </c>
    </row>
    <row r="1003" spans="2:3" x14ac:dyDescent="0.2">
      <c r="B1003" s="32">
        <v>40637</v>
      </c>
      <c r="C1003">
        <v>4.2707131453580098</v>
      </c>
    </row>
    <row r="1004" spans="2:3" x14ac:dyDescent="0.2">
      <c r="B1004" s="32">
        <v>40634</v>
      </c>
      <c r="C1004">
        <v>4.2725182079422597</v>
      </c>
    </row>
    <row r="1005" spans="2:3" x14ac:dyDescent="0.2">
      <c r="B1005" s="32">
        <v>40633</v>
      </c>
      <c r="C1005">
        <v>4.26321220258097</v>
      </c>
    </row>
    <row r="1006" spans="2:3" x14ac:dyDescent="0.2">
      <c r="B1006" s="32">
        <v>40632</v>
      </c>
      <c r="C1006">
        <v>4.2688327995501503</v>
      </c>
    </row>
    <row r="1007" spans="2:3" x14ac:dyDescent="0.2">
      <c r="B1007" s="32">
        <v>40631</v>
      </c>
      <c r="C1007">
        <v>4.3031579691569499</v>
      </c>
    </row>
    <row r="1008" spans="2:3" x14ac:dyDescent="0.2">
      <c r="B1008" s="32">
        <v>40630</v>
      </c>
      <c r="C1008">
        <v>4.2631006281435502</v>
      </c>
    </row>
    <row r="1009" spans="2:3" x14ac:dyDescent="0.2">
      <c r="B1009" s="32">
        <v>40627</v>
      </c>
      <c r="C1009">
        <v>4.2607943289152903</v>
      </c>
    </row>
    <row r="1010" spans="2:3" x14ac:dyDescent="0.2">
      <c r="B1010" s="32">
        <v>40626</v>
      </c>
      <c r="C1010">
        <v>4.22853993673895</v>
      </c>
    </row>
    <row r="1011" spans="2:3" x14ac:dyDescent="0.2">
      <c r="B1011" s="32">
        <v>40625</v>
      </c>
      <c r="C1011">
        <v>4.2092705664772598</v>
      </c>
    </row>
    <row r="1012" spans="2:3" x14ac:dyDescent="0.2">
      <c r="B1012" s="32">
        <v>40624</v>
      </c>
      <c r="C1012">
        <v>4.1893598629654702</v>
      </c>
    </row>
    <row r="1013" spans="2:3" x14ac:dyDescent="0.2">
      <c r="B1013" s="32">
        <v>40623</v>
      </c>
      <c r="C1013">
        <v>4.1633848417706298</v>
      </c>
    </row>
    <row r="1014" spans="2:3" x14ac:dyDescent="0.2">
      <c r="B1014" s="32">
        <v>40620</v>
      </c>
      <c r="C1014">
        <v>4.1111783880134496</v>
      </c>
    </row>
    <row r="1015" spans="2:3" x14ac:dyDescent="0.2">
      <c r="B1015" s="32">
        <v>40619</v>
      </c>
      <c r="C1015">
        <v>4.1072423459751501</v>
      </c>
    </row>
    <row r="1016" spans="2:3" x14ac:dyDescent="0.2">
      <c r="B1016" s="32">
        <v>40618</v>
      </c>
      <c r="C1016">
        <v>4.0816167711617402</v>
      </c>
    </row>
    <row r="1017" spans="2:3" x14ac:dyDescent="0.2">
      <c r="B1017" s="32">
        <v>40617</v>
      </c>
      <c r="C1017">
        <v>4.1729690002093802</v>
      </c>
    </row>
    <row r="1018" spans="2:3" x14ac:dyDescent="0.2">
      <c r="B1018" s="32">
        <v>40616</v>
      </c>
      <c r="C1018">
        <v>4.1795306518075401</v>
      </c>
    </row>
    <row r="1019" spans="2:3" x14ac:dyDescent="0.2">
      <c r="B1019" s="32">
        <v>40613</v>
      </c>
      <c r="C1019">
        <v>4.2139949993879302</v>
      </c>
    </row>
    <row r="1020" spans="2:3" x14ac:dyDescent="0.2">
      <c r="B1020" s="32">
        <v>40612</v>
      </c>
      <c r="C1020">
        <v>4.1984052857638501</v>
      </c>
    </row>
    <row r="1021" spans="2:3" x14ac:dyDescent="0.2">
      <c r="B1021" s="32">
        <v>40611</v>
      </c>
      <c r="C1021">
        <v>4.2484409490171098</v>
      </c>
    </row>
    <row r="1022" spans="2:3" x14ac:dyDescent="0.2">
      <c r="B1022" s="32">
        <v>40610</v>
      </c>
      <c r="C1022">
        <v>4.3121099537916301</v>
      </c>
    </row>
    <row r="1023" spans="2:3" x14ac:dyDescent="0.2">
      <c r="B1023" s="32">
        <v>40609</v>
      </c>
      <c r="C1023">
        <v>4.2757251655325801</v>
      </c>
    </row>
    <row r="1024" spans="2:3" x14ac:dyDescent="0.2">
      <c r="B1024" s="32">
        <v>40606</v>
      </c>
      <c r="C1024">
        <v>4.2658188568583704</v>
      </c>
    </row>
    <row r="1025" spans="2:3" x14ac:dyDescent="0.2">
      <c r="B1025" s="32">
        <v>40605</v>
      </c>
      <c r="C1025">
        <v>4.3559011648520096</v>
      </c>
    </row>
    <row r="1026" spans="2:3" x14ac:dyDescent="0.2">
      <c r="B1026" s="32">
        <v>40604</v>
      </c>
      <c r="C1026">
        <v>4.2791501508107297</v>
      </c>
    </row>
    <row r="1027" spans="2:3" x14ac:dyDescent="0.2">
      <c r="B1027" s="32">
        <v>40603</v>
      </c>
      <c r="C1027">
        <v>4.2366916114708397</v>
      </c>
    </row>
    <row r="1028" spans="2:3" x14ac:dyDescent="0.2">
      <c r="B1028" s="32">
        <v>40602</v>
      </c>
      <c r="C1028">
        <v>4.23083224039922</v>
      </c>
    </row>
    <row r="1029" spans="2:3" x14ac:dyDescent="0.2">
      <c r="B1029" s="32">
        <v>40599</v>
      </c>
      <c r="C1029">
        <v>4.24966898318924</v>
      </c>
    </row>
    <row r="1030" spans="2:3" x14ac:dyDescent="0.2">
      <c r="B1030" s="32">
        <v>40598</v>
      </c>
      <c r="C1030">
        <v>4.2636232083898697</v>
      </c>
    </row>
    <row r="1031" spans="2:3" x14ac:dyDescent="0.2">
      <c r="B1031" s="32">
        <v>40597</v>
      </c>
      <c r="C1031">
        <v>4.3068603066225304</v>
      </c>
    </row>
    <row r="1032" spans="2:3" x14ac:dyDescent="0.2">
      <c r="B1032" s="32">
        <v>40596</v>
      </c>
      <c r="C1032">
        <v>4.2999787872892696</v>
      </c>
    </row>
    <row r="1033" spans="2:3" x14ac:dyDescent="0.2">
      <c r="B1033" s="32">
        <v>40592</v>
      </c>
      <c r="C1033">
        <v>4.3663894001401404</v>
      </c>
    </row>
    <row r="1034" spans="2:3" x14ac:dyDescent="0.2">
      <c r="B1034" s="32">
        <v>40591</v>
      </c>
      <c r="C1034">
        <v>4.3504406978742196</v>
      </c>
    </row>
    <row r="1035" spans="2:3" x14ac:dyDescent="0.2">
      <c r="B1035" s="32">
        <v>40590</v>
      </c>
      <c r="C1035">
        <v>4.3989620429497798</v>
      </c>
    </row>
    <row r="1036" spans="2:3" x14ac:dyDescent="0.2">
      <c r="B1036" s="32">
        <v>40589</v>
      </c>
      <c r="C1036">
        <v>4.3851093392960596</v>
      </c>
    </row>
    <row r="1037" spans="2:3" x14ac:dyDescent="0.2">
      <c r="B1037" s="32">
        <v>40588</v>
      </c>
      <c r="C1037">
        <v>4.3931467669702702</v>
      </c>
    </row>
    <row r="1038" spans="2:3" x14ac:dyDescent="0.2">
      <c r="B1038" s="32">
        <v>40585</v>
      </c>
      <c r="C1038">
        <v>4.4343090035877397</v>
      </c>
    </row>
    <row r="1039" spans="2:3" x14ac:dyDescent="0.2">
      <c r="B1039" s="32">
        <v>40584</v>
      </c>
      <c r="C1039">
        <v>4.5012486389065298</v>
      </c>
    </row>
    <row r="1040" spans="2:3" x14ac:dyDescent="0.2">
      <c r="B1040" s="32">
        <v>40583</v>
      </c>
      <c r="C1040">
        <v>4.4529420360272596</v>
      </c>
    </row>
    <row r="1041" spans="2:3" x14ac:dyDescent="0.2">
      <c r="B1041" s="32">
        <v>40582</v>
      </c>
      <c r="C1041">
        <v>4.4871263560303003</v>
      </c>
    </row>
    <row r="1042" spans="2:3" x14ac:dyDescent="0.2">
      <c r="B1042" s="32">
        <v>40581</v>
      </c>
      <c r="C1042">
        <v>4.4120235680825504</v>
      </c>
    </row>
    <row r="1043" spans="2:3" x14ac:dyDescent="0.2">
      <c r="B1043" s="32">
        <v>40578</v>
      </c>
      <c r="C1043">
        <v>4.3946942714157897</v>
      </c>
    </row>
    <row r="1044" spans="2:3" x14ac:dyDescent="0.2">
      <c r="B1044" s="32">
        <v>40577</v>
      </c>
      <c r="C1044">
        <v>4.3267547753136801</v>
      </c>
    </row>
    <row r="1045" spans="2:3" x14ac:dyDescent="0.2">
      <c r="B1045" s="32">
        <v>40576</v>
      </c>
      <c r="C1045">
        <v>4.28369779454294</v>
      </c>
    </row>
    <row r="1046" spans="2:3" x14ac:dyDescent="0.2">
      <c r="B1046" s="32">
        <v>40575</v>
      </c>
      <c r="C1046">
        <v>4.2330193845594</v>
      </c>
    </row>
    <row r="1047" spans="2:3" x14ac:dyDescent="0.2">
      <c r="B1047" s="32">
        <v>40574</v>
      </c>
      <c r="C1047">
        <v>4.1734715507654796</v>
      </c>
    </row>
    <row r="1048" spans="2:3" x14ac:dyDescent="0.2">
      <c r="B1048" s="32">
        <v>40571</v>
      </c>
      <c r="C1048">
        <v>4.14863561976171</v>
      </c>
    </row>
    <row r="1049" spans="2:3" x14ac:dyDescent="0.2">
      <c r="B1049" s="32">
        <v>40570</v>
      </c>
      <c r="C1049">
        <v>4.1787721751727096</v>
      </c>
    </row>
    <row r="1050" spans="2:3" x14ac:dyDescent="0.2">
      <c r="B1050" s="32">
        <v>40569</v>
      </c>
      <c r="C1050">
        <v>4.2301753993648097</v>
      </c>
    </row>
    <row r="1051" spans="2:3" x14ac:dyDescent="0.2">
      <c r="B1051" s="32">
        <v>40568</v>
      </c>
      <c r="C1051">
        <v>4.1484976418835604</v>
      </c>
    </row>
    <row r="1052" spans="2:3" x14ac:dyDescent="0.2">
      <c r="B1052" s="32">
        <v>40567</v>
      </c>
      <c r="C1052">
        <v>4.1956447039949802</v>
      </c>
    </row>
    <row r="1053" spans="2:3" x14ac:dyDescent="0.2">
      <c r="B1053" s="32">
        <v>40564</v>
      </c>
      <c r="C1053">
        <v>4.1821146174950501</v>
      </c>
    </row>
    <row r="1054" spans="2:3" x14ac:dyDescent="0.2">
      <c r="B1054" s="32">
        <v>40563</v>
      </c>
      <c r="C1054">
        <v>4.2162328947968701</v>
      </c>
    </row>
    <row r="1055" spans="2:3" x14ac:dyDescent="0.2">
      <c r="B1055" s="32">
        <v>40562</v>
      </c>
      <c r="C1055">
        <v>4.1151242571540303</v>
      </c>
    </row>
    <row r="1056" spans="2:3" x14ac:dyDescent="0.2">
      <c r="B1056" s="32">
        <v>40561</v>
      </c>
      <c r="C1056">
        <v>4.14123720248294</v>
      </c>
    </row>
    <row r="1057" spans="2:3" x14ac:dyDescent="0.2">
      <c r="B1057" s="32">
        <v>40557</v>
      </c>
      <c r="C1057">
        <v>4.0858523120533601</v>
      </c>
    </row>
    <row r="1058" spans="2:3" x14ac:dyDescent="0.2">
      <c r="B1058" s="32">
        <v>40556</v>
      </c>
      <c r="C1058">
        <v>4.0727672759857096</v>
      </c>
    </row>
    <row r="1059" spans="2:3" x14ac:dyDescent="0.2">
      <c r="B1059" s="32">
        <v>40555</v>
      </c>
      <c r="C1059">
        <v>4.1275516725905304</v>
      </c>
    </row>
    <row r="1060" spans="2:3" x14ac:dyDescent="0.2">
      <c r="B1060" s="32">
        <v>40554</v>
      </c>
      <c r="C1060">
        <v>4.1304635686140401</v>
      </c>
    </row>
    <row r="1061" spans="2:3" x14ac:dyDescent="0.2">
      <c r="B1061" s="32">
        <v>40553</v>
      </c>
      <c r="C1061">
        <v>4.0762960784999098</v>
      </c>
    </row>
    <row r="1062" spans="2:3" x14ac:dyDescent="0.2">
      <c r="B1062" s="32">
        <v>40550</v>
      </c>
      <c r="C1062">
        <v>4.1021104273380802</v>
      </c>
    </row>
    <row r="1063" spans="2:3" x14ac:dyDescent="0.2">
      <c r="B1063" s="32">
        <v>40549</v>
      </c>
      <c r="C1063">
        <v>4.2000787125651602</v>
      </c>
    </row>
    <row r="1064" spans="2:3" x14ac:dyDescent="0.2">
      <c r="B1064" s="32">
        <v>40548</v>
      </c>
      <c r="C1064">
        <v>4.2469378689917301</v>
      </c>
    </row>
    <row r="1065" spans="2:3" x14ac:dyDescent="0.2">
      <c r="B1065" s="32">
        <v>40547</v>
      </c>
      <c r="C1065">
        <v>4.1122999566586502</v>
      </c>
    </row>
    <row r="1066" spans="2:3" x14ac:dyDescent="0.2">
      <c r="B1066" s="32">
        <v>40546</v>
      </c>
      <c r="C1066">
        <v>4.11936695587936</v>
      </c>
    </row>
    <row r="1067" spans="2:3" x14ac:dyDescent="0.2">
      <c r="B1067" s="32">
        <v>40543</v>
      </c>
      <c r="C1067">
        <v>4.1057743711836503</v>
      </c>
    </row>
    <row r="1068" spans="2:3" x14ac:dyDescent="0.2">
      <c r="B1068" s="32">
        <v>40542</v>
      </c>
      <c r="C1068">
        <v>4.18878443667134</v>
      </c>
    </row>
    <row r="1069" spans="2:3" x14ac:dyDescent="0.2">
      <c r="B1069" s="32">
        <v>40541</v>
      </c>
      <c r="C1069">
        <v>4.1712027046695104</v>
      </c>
    </row>
    <row r="1070" spans="2:3" x14ac:dyDescent="0.2">
      <c r="B1070" s="32">
        <v>40540</v>
      </c>
      <c r="C1070">
        <v>4.3267789144844704</v>
      </c>
    </row>
    <row r="1071" spans="2:3" x14ac:dyDescent="0.2">
      <c r="B1071" s="32">
        <v>40539</v>
      </c>
      <c r="C1071">
        <v>4.2128404720611599</v>
      </c>
    </row>
    <row r="1072" spans="2:3" x14ac:dyDescent="0.2">
      <c r="B1072" s="32">
        <v>40535</v>
      </c>
      <c r="C1072">
        <v>4.2265070801815998</v>
      </c>
    </row>
    <row r="1073" spans="2:3" x14ac:dyDescent="0.2">
      <c r="B1073" s="32">
        <v>40534</v>
      </c>
      <c r="C1073">
        <v>4.1785023611627299</v>
      </c>
    </row>
    <row r="1074" spans="2:3" x14ac:dyDescent="0.2">
      <c r="B1074" s="32">
        <v>40533</v>
      </c>
      <c r="C1074">
        <v>4.1747769851216496</v>
      </c>
    </row>
    <row r="1075" spans="2:3" x14ac:dyDescent="0.2">
      <c r="B1075" s="32">
        <v>40532</v>
      </c>
      <c r="C1075">
        <v>4.2106190227226401</v>
      </c>
    </row>
    <row r="1076" spans="2:3" x14ac:dyDescent="0.2">
      <c r="B1076" s="32">
        <v>40529</v>
      </c>
      <c r="C1076">
        <v>4.1670201724021796</v>
      </c>
    </row>
    <row r="1077" spans="2:3" x14ac:dyDescent="0.2">
      <c r="B1077" s="32">
        <v>40528</v>
      </c>
      <c r="C1077">
        <v>4.3563887495905904</v>
      </c>
    </row>
    <row r="1078" spans="2:3" x14ac:dyDescent="0.2">
      <c r="B1078" s="32">
        <v>40527</v>
      </c>
      <c r="C1078">
        <v>4.3841234940053697</v>
      </c>
    </row>
    <row r="1079" spans="2:3" x14ac:dyDescent="0.2">
      <c r="B1079" s="32">
        <v>40526</v>
      </c>
      <c r="C1079">
        <v>4.2874791963185999</v>
      </c>
    </row>
    <row r="1080" spans="2:3" x14ac:dyDescent="0.2">
      <c r="B1080" s="32">
        <v>40525</v>
      </c>
      <c r="C1080">
        <v>4.1089742638804996</v>
      </c>
    </row>
    <row r="1081" spans="2:3" x14ac:dyDescent="0.2">
      <c r="B1081" s="32">
        <v>40522</v>
      </c>
      <c r="C1081">
        <v>4.1283648412935303</v>
      </c>
    </row>
    <row r="1082" spans="2:3" x14ac:dyDescent="0.2">
      <c r="B1082" s="32">
        <v>40521</v>
      </c>
      <c r="C1082">
        <v>4.05607255604572</v>
      </c>
    </row>
    <row r="1083" spans="2:3" x14ac:dyDescent="0.2">
      <c r="B1083" s="32">
        <v>40520</v>
      </c>
      <c r="C1083">
        <v>4.1053911512333396</v>
      </c>
    </row>
    <row r="1084" spans="2:3" x14ac:dyDescent="0.2">
      <c r="B1084" s="32">
        <v>40519</v>
      </c>
      <c r="C1084">
        <v>4.0550663978664101</v>
      </c>
    </row>
    <row r="1085" spans="2:3" x14ac:dyDescent="0.2">
      <c r="B1085" s="32">
        <v>40518</v>
      </c>
      <c r="C1085">
        <v>3.8510282187821998</v>
      </c>
    </row>
    <row r="1086" spans="2:3" x14ac:dyDescent="0.2">
      <c r="B1086" s="32">
        <v>40515</v>
      </c>
      <c r="C1086">
        <v>3.94456802211183</v>
      </c>
    </row>
    <row r="1087" spans="2:3" x14ac:dyDescent="0.2">
      <c r="B1087" s="32">
        <v>40514</v>
      </c>
      <c r="C1087">
        <v>3.9593986970399602</v>
      </c>
    </row>
    <row r="1088" spans="2:3" x14ac:dyDescent="0.2">
      <c r="B1088" s="32">
        <v>40513</v>
      </c>
      <c r="C1088">
        <v>3.9343682452256599</v>
      </c>
    </row>
    <row r="1089" spans="2:3" x14ac:dyDescent="0.2">
      <c r="B1089" s="32">
        <v>40512</v>
      </c>
      <c r="C1089">
        <v>3.77972455261011</v>
      </c>
    </row>
    <row r="1090" spans="2:3" x14ac:dyDescent="0.2">
      <c r="B1090" s="32">
        <v>40511</v>
      </c>
      <c r="C1090">
        <v>3.77045062155505</v>
      </c>
    </row>
    <row r="1091" spans="2:3" x14ac:dyDescent="0.2">
      <c r="B1091" s="32">
        <v>40508</v>
      </c>
      <c r="C1091">
        <v>3.8227318166189899</v>
      </c>
    </row>
    <row r="1092" spans="2:3" x14ac:dyDescent="0.2">
      <c r="B1092" s="32">
        <v>40506</v>
      </c>
      <c r="C1092">
        <v>3.8537113332934001</v>
      </c>
    </row>
    <row r="1093" spans="2:3" x14ac:dyDescent="0.2">
      <c r="B1093" s="32">
        <v>40505</v>
      </c>
      <c r="C1093">
        <v>3.70185042885449</v>
      </c>
    </row>
    <row r="1094" spans="2:3" x14ac:dyDescent="0.2">
      <c r="B1094" s="32">
        <v>40504</v>
      </c>
      <c r="C1094">
        <v>3.7276148600385599</v>
      </c>
    </row>
    <row r="1095" spans="2:3" x14ac:dyDescent="0.2">
      <c r="B1095" s="32">
        <v>40501</v>
      </c>
      <c r="C1095">
        <v>3.7656964979535998</v>
      </c>
    </row>
    <row r="1096" spans="2:3" x14ac:dyDescent="0.2">
      <c r="B1096" s="32">
        <v>40500</v>
      </c>
      <c r="C1096">
        <v>3.7504056732158699</v>
      </c>
    </row>
    <row r="1097" spans="2:3" x14ac:dyDescent="0.2">
      <c r="B1097" s="32">
        <v>40499</v>
      </c>
      <c r="C1097">
        <v>3.7192905700547598</v>
      </c>
    </row>
    <row r="1098" spans="2:3" x14ac:dyDescent="0.2">
      <c r="B1098" s="32">
        <v>40498</v>
      </c>
      <c r="C1098">
        <v>3.7216750580319999</v>
      </c>
    </row>
    <row r="1099" spans="2:3" x14ac:dyDescent="0.2">
      <c r="B1099" s="32">
        <v>40497</v>
      </c>
      <c r="C1099">
        <v>3.7358424195517999</v>
      </c>
    </row>
    <row r="1100" spans="2:3" x14ac:dyDescent="0.2">
      <c r="B1100" s="32">
        <v>40494</v>
      </c>
      <c r="C1100">
        <v>3.6084692172926802</v>
      </c>
    </row>
    <row r="1101" spans="2:3" x14ac:dyDescent="0.2">
      <c r="B1101" s="32">
        <v>40492</v>
      </c>
      <c r="C1101">
        <v>3.4875216571101499</v>
      </c>
    </row>
    <row r="1102" spans="2:3" x14ac:dyDescent="0.2">
      <c r="B1102" s="32">
        <v>40491</v>
      </c>
      <c r="C1102">
        <v>3.5005083818006302</v>
      </c>
    </row>
    <row r="1103" spans="2:3" x14ac:dyDescent="0.2">
      <c r="B1103" s="32">
        <v>40490</v>
      </c>
      <c r="C1103">
        <v>3.4019325101208402</v>
      </c>
    </row>
    <row r="1104" spans="2:3" x14ac:dyDescent="0.2">
      <c r="B1104" s="32">
        <v>40487</v>
      </c>
      <c r="C1104">
        <v>3.36447856474331</v>
      </c>
    </row>
    <row r="1105" spans="2:3" x14ac:dyDescent="0.2">
      <c r="B1105" s="32">
        <v>40486</v>
      </c>
      <c r="C1105">
        <v>3.2932799331983502</v>
      </c>
    </row>
    <row r="1106" spans="2:3" x14ac:dyDescent="0.2">
      <c r="B1106" s="32">
        <v>40485</v>
      </c>
      <c r="C1106">
        <v>3.3788755445641998</v>
      </c>
    </row>
    <row r="1107" spans="2:3" x14ac:dyDescent="0.2">
      <c r="B1107" s="32">
        <v>40484</v>
      </c>
      <c r="C1107">
        <v>3.3942292142664399</v>
      </c>
    </row>
    <row r="1108" spans="2:3" x14ac:dyDescent="0.2">
      <c r="B1108" s="32">
        <v>40483</v>
      </c>
      <c r="C1108">
        <v>3.4437756409484899</v>
      </c>
    </row>
    <row r="1109" spans="2:3" x14ac:dyDescent="0.2">
      <c r="B1109" s="32">
        <v>40480</v>
      </c>
      <c r="C1109">
        <v>3.3978435458388301</v>
      </c>
    </row>
    <row r="1110" spans="2:3" x14ac:dyDescent="0.2">
      <c r="B1110" s="32">
        <v>40479</v>
      </c>
      <c r="C1110">
        <v>3.4349602054057899</v>
      </c>
    </row>
    <row r="1111" spans="2:3" x14ac:dyDescent="0.2">
      <c r="B1111" s="32">
        <v>40478</v>
      </c>
      <c r="C1111">
        <v>3.4972821592251799</v>
      </c>
    </row>
    <row r="1112" spans="2:3" x14ac:dyDescent="0.2">
      <c r="B1112" s="32">
        <v>40477</v>
      </c>
      <c r="C1112">
        <v>3.4470194550256101</v>
      </c>
    </row>
    <row r="1113" spans="2:3" x14ac:dyDescent="0.2">
      <c r="B1113" s="32">
        <v>40476</v>
      </c>
      <c r="C1113">
        <v>3.3738531590782599</v>
      </c>
    </row>
    <row r="1114" spans="2:3" x14ac:dyDescent="0.2">
      <c r="B1114" s="32">
        <v>40473</v>
      </c>
      <c r="C1114">
        <v>3.3180812438752501</v>
      </c>
    </row>
    <row r="1115" spans="2:3" x14ac:dyDescent="0.2">
      <c r="B1115" s="32">
        <v>40472</v>
      </c>
      <c r="C1115">
        <v>3.29243233279866</v>
      </c>
    </row>
    <row r="1116" spans="2:3" x14ac:dyDescent="0.2">
      <c r="B1116" s="32">
        <v>40471</v>
      </c>
      <c r="C1116">
        <v>3.2551499981762402</v>
      </c>
    </row>
    <row r="1117" spans="2:3" x14ac:dyDescent="0.2">
      <c r="B1117" s="32">
        <v>40470</v>
      </c>
      <c r="C1117">
        <v>3.2698607393854702</v>
      </c>
    </row>
    <row r="1118" spans="2:3" x14ac:dyDescent="0.2">
      <c r="B1118" s="32">
        <v>40469</v>
      </c>
      <c r="C1118">
        <v>3.29993933931729</v>
      </c>
    </row>
    <row r="1119" spans="2:3" x14ac:dyDescent="0.2">
      <c r="B1119" s="32">
        <v>40466</v>
      </c>
      <c r="C1119">
        <v>3.3753713873087698</v>
      </c>
    </row>
    <row r="1120" spans="2:3" x14ac:dyDescent="0.2">
      <c r="B1120" s="32">
        <v>40465</v>
      </c>
      <c r="C1120">
        <v>3.2849236576117899</v>
      </c>
    </row>
    <row r="1121" spans="2:3" x14ac:dyDescent="0.2">
      <c r="B1121" s="32">
        <v>40464</v>
      </c>
      <c r="C1121">
        <v>3.2618668739394301</v>
      </c>
    </row>
    <row r="1122" spans="2:3" x14ac:dyDescent="0.2">
      <c r="B1122" s="32">
        <v>40463</v>
      </c>
      <c r="C1122">
        <v>3.28568492905061</v>
      </c>
    </row>
    <row r="1123" spans="2:3" x14ac:dyDescent="0.2">
      <c r="B1123" s="32">
        <v>40459</v>
      </c>
      <c r="C1123">
        <v>3.2304597597994502</v>
      </c>
    </row>
    <row r="1124" spans="2:3" x14ac:dyDescent="0.2">
      <c r="B1124" s="32">
        <v>40458</v>
      </c>
      <c r="C1124">
        <v>3.2236541263428502</v>
      </c>
    </row>
    <row r="1125" spans="2:3" x14ac:dyDescent="0.2">
      <c r="B1125" s="32">
        <v>40457</v>
      </c>
      <c r="C1125">
        <v>3.2627915445419702</v>
      </c>
    </row>
    <row r="1126" spans="2:3" x14ac:dyDescent="0.2">
      <c r="B1126" s="32">
        <v>40456</v>
      </c>
      <c r="C1126">
        <v>3.33658833970674</v>
      </c>
    </row>
    <row r="1127" spans="2:3" x14ac:dyDescent="0.2">
      <c r="B1127" s="32">
        <v>40455</v>
      </c>
      <c r="C1127">
        <v>3.33557494189058</v>
      </c>
    </row>
    <row r="1128" spans="2:3" x14ac:dyDescent="0.2">
      <c r="B1128" s="32">
        <v>40452</v>
      </c>
      <c r="C1128">
        <v>3.3887067722686099</v>
      </c>
    </row>
    <row r="1129" spans="2:3" x14ac:dyDescent="0.2">
      <c r="B1129" s="32">
        <v>40451</v>
      </c>
      <c r="C1129">
        <v>3.3837525303970701</v>
      </c>
    </row>
    <row r="1130" spans="2:3" x14ac:dyDescent="0.2">
      <c r="B1130" s="32">
        <v>40450</v>
      </c>
      <c r="C1130">
        <v>3.3780590589163499</v>
      </c>
    </row>
    <row r="1131" spans="2:3" x14ac:dyDescent="0.2">
      <c r="B1131" s="32">
        <v>40449</v>
      </c>
      <c r="C1131">
        <v>3.3126574854818198</v>
      </c>
    </row>
    <row r="1132" spans="2:3" x14ac:dyDescent="0.2">
      <c r="B1132" s="32">
        <v>40448</v>
      </c>
      <c r="C1132">
        <v>3.3545487544925501</v>
      </c>
    </row>
    <row r="1133" spans="2:3" x14ac:dyDescent="0.2">
      <c r="B1133" s="32">
        <v>40445</v>
      </c>
      <c r="C1133">
        <v>3.4477944939432299</v>
      </c>
    </row>
    <row r="1134" spans="2:3" x14ac:dyDescent="0.2">
      <c r="B1134" s="32">
        <v>40444</v>
      </c>
      <c r="C1134">
        <v>3.3812572324869898</v>
      </c>
    </row>
    <row r="1135" spans="2:3" x14ac:dyDescent="0.2">
      <c r="B1135" s="32">
        <v>40443</v>
      </c>
      <c r="C1135">
        <v>3.3486154121359601</v>
      </c>
    </row>
    <row r="1136" spans="2:3" x14ac:dyDescent="0.2">
      <c r="B1136" s="32">
        <v>40442</v>
      </c>
      <c r="C1136">
        <v>3.3816928010474498</v>
      </c>
    </row>
    <row r="1137" spans="2:3" x14ac:dyDescent="0.2">
      <c r="B1137" s="32">
        <v>40441</v>
      </c>
      <c r="C1137">
        <v>3.5072902678740601</v>
      </c>
    </row>
    <row r="1138" spans="2:3" x14ac:dyDescent="0.2">
      <c r="B1138" s="32">
        <v>40438</v>
      </c>
      <c r="C1138">
        <v>3.5812170938916301</v>
      </c>
    </row>
    <row r="1139" spans="2:3" x14ac:dyDescent="0.2">
      <c r="B1139" s="32">
        <v>40437</v>
      </c>
      <c r="C1139">
        <v>3.5452565074921298</v>
      </c>
    </row>
    <row r="1140" spans="2:3" x14ac:dyDescent="0.2">
      <c r="B1140" s="32">
        <v>40436</v>
      </c>
      <c r="C1140">
        <v>3.4999897213938702</v>
      </c>
    </row>
    <row r="1141" spans="2:3" x14ac:dyDescent="0.2">
      <c r="B1141" s="32">
        <v>40435</v>
      </c>
      <c r="C1141">
        <v>3.4240397608872502</v>
      </c>
    </row>
    <row r="1142" spans="2:3" x14ac:dyDescent="0.2">
      <c r="B1142" s="32">
        <v>40434</v>
      </c>
      <c r="C1142">
        <v>3.4826570671786499</v>
      </c>
    </row>
    <row r="1143" spans="2:3" x14ac:dyDescent="0.2">
      <c r="B1143" s="32">
        <v>40431</v>
      </c>
      <c r="C1143">
        <v>3.5824167330839298</v>
      </c>
    </row>
    <row r="1144" spans="2:3" x14ac:dyDescent="0.2">
      <c r="B1144" s="32">
        <v>40430</v>
      </c>
      <c r="C1144">
        <v>3.5426000000000002</v>
      </c>
    </row>
    <row r="1145" spans="2:3" x14ac:dyDescent="0.2">
      <c r="B1145" s="32">
        <v>40429</v>
      </c>
      <c r="C1145">
        <v>3.4279999999999999</v>
      </c>
    </row>
    <row r="1146" spans="2:3" x14ac:dyDescent="0.2">
      <c r="B1146" s="32">
        <v>40428</v>
      </c>
      <c r="C1146">
        <v>3.3871000000000002</v>
      </c>
    </row>
    <row r="1147" spans="2:3" x14ac:dyDescent="0.2">
      <c r="B1147" s="32">
        <v>40424</v>
      </c>
      <c r="C1147">
        <v>3.4859467631869601</v>
      </c>
    </row>
    <row r="1148" spans="2:3" x14ac:dyDescent="0.2">
      <c r="B1148" s="32">
        <v>40423</v>
      </c>
      <c r="C1148">
        <v>3.3890510312770701</v>
      </c>
    </row>
    <row r="1149" spans="2:3" x14ac:dyDescent="0.2">
      <c r="B1149" s="32">
        <v>40422</v>
      </c>
      <c r="C1149">
        <v>3.32481371924804</v>
      </c>
    </row>
    <row r="1150" spans="2:3" x14ac:dyDescent="0.2">
      <c r="B1150" s="32">
        <v>40421</v>
      </c>
      <c r="C1150">
        <v>3.2159138186340601</v>
      </c>
    </row>
    <row r="1151" spans="2:3" x14ac:dyDescent="0.2">
      <c r="B1151" s="32">
        <v>40420</v>
      </c>
      <c r="C1151">
        <v>3.3509813047921901</v>
      </c>
    </row>
    <row r="1152" spans="2:3" x14ac:dyDescent="0.2">
      <c r="B1152" s="32">
        <v>40417</v>
      </c>
      <c r="C1152">
        <v>3.4736376064582202</v>
      </c>
    </row>
    <row r="1153" spans="2:3" x14ac:dyDescent="0.2">
      <c r="B1153" s="32">
        <v>40416</v>
      </c>
      <c r="C1153">
        <v>3.3148411862097</v>
      </c>
    </row>
    <row r="1154" spans="2:3" x14ac:dyDescent="0.2">
      <c r="B1154" s="32">
        <v>40415</v>
      </c>
      <c r="C1154">
        <v>3.3775667961303499</v>
      </c>
    </row>
    <row r="1155" spans="2:3" x14ac:dyDescent="0.2">
      <c r="B1155" s="32">
        <v>40414</v>
      </c>
      <c r="C1155">
        <v>3.3648256919240902</v>
      </c>
    </row>
    <row r="1156" spans="2:3" x14ac:dyDescent="0.2">
      <c r="B1156" s="32">
        <v>40413</v>
      </c>
      <c r="C1156">
        <v>3.4281900657226099</v>
      </c>
    </row>
    <row r="1157" spans="2:3" x14ac:dyDescent="0.2">
      <c r="B1157" s="32">
        <v>40410</v>
      </c>
      <c r="C1157">
        <v>3.4259342822959402</v>
      </c>
    </row>
    <row r="1158" spans="2:3" x14ac:dyDescent="0.2">
      <c r="B1158" s="32">
        <v>40409</v>
      </c>
      <c r="C1158">
        <v>3.3146540643406799</v>
      </c>
    </row>
    <row r="1159" spans="2:3" x14ac:dyDescent="0.2">
      <c r="B1159" s="32">
        <v>40408</v>
      </c>
      <c r="C1159">
        <v>3.4513058656963702</v>
      </c>
    </row>
    <row r="1160" spans="2:3" x14ac:dyDescent="0.2">
      <c r="B1160" s="32">
        <v>40407</v>
      </c>
      <c r="C1160">
        <v>3.4027398981402199</v>
      </c>
    </row>
    <row r="1161" spans="2:3" x14ac:dyDescent="0.2">
      <c r="B1161" s="32">
        <v>40406</v>
      </c>
      <c r="C1161">
        <v>3.3097577744325402</v>
      </c>
    </row>
    <row r="1162" spans="2:3" x14ac:dyDescent="0.2">
      <c r="B1162" s="32">
        <v>40403</v>
      </c>
      <c r="C1162">
        <v>3.3899712399776001</v>
      </c>
    </row>
    <row r="1163" spans="2:3" x14ac:dyDescent="0.2">
      <c r="B1163" s="32">
        <v>40402</v>
      </c>
      <c r="C1163">
        <v>3.4547274007447699</v>
      </c>
    </row>
    <row r="1164" spans="2:3" x14ac:dyDescent="0.2">
      <c r="B1164" s="32">
        <v>40401</v>
      </c>
      <c r="C1164">
        <v>3.35854987033981</v>
      </c>
    </row>
    <row r="1165" spans="2:3" x14ac:dyDescent="0.2">
      <c r="B1165" s="32">
        <v>40400</v>
      </c>
      <c r="C1165">
        <v>3.4542970342524599</v>
      </c>
    </row>
    <row r="1166" spans="2:3" x14ac:dyDescent="0.2">
      <c r="B1166" s="32">
        <v>40399</v>
      </c>
      <c r="C1166">
        <v>3.49180448486619</v>
      </c>
    </row>
    <row r="1167" spans="2:3" x14ac:dyDescent="0.2">
      <c r="B1167" s="32">
        <v>40396</v>
      </c>
      <c r="C1167">
        <v>3.4895808718983901</v>
      </c>
    </row>
    <row r="1168" spans="2:3" x14ac:dyDescent="0.2">
      <c r="B1168" s="32">
        <v>40395</v>
      </c>
      <c r="C1168">
        <v>3.5533724108576199</v>
      </c>
    </row>
    <row r="1169" spans="2:3" x14ac:dyDescent="0.2">
      <c r="B1169" s="32">
        <v>40394</v>
      </c>
      <c r="C1169">
        <v>3.5817037313601801</v>
      </c>
    </row>
    <row r="1170" spans="2:3" x14ac:dyDescent="0.2">
      <c r="B1170" s="32">
        <v>40393</v>
      </c>
      <c r="C1170">
        <v>3.5231448518386399</v>
      </c>
    </row>
    <row r="1171" spans="2:3" x14ac:dyDescent="0.2">
      <c r="B1171" s="32">
        <v>40392</v>
      </c>
      <c r="C1171">
        <v>3.57269688805264</v>
      </c>
    </row>
    <row r="1172" spans="2:3" x14ac:dyDescent="0.2">
      <c r="B1172" s="32">
        <v>40389</v>
      </c>
      <c r="C1172">
        <v>3.4896878921206298</v>
      </c>
    </row>
    <row r="1173" spans="2:3" x14ac:dyDescent="0.2">
      <c r="B1173" s="32">
        <v>40388</v>
      </c>
      <c r="C1173">
        <v>3.5563108510344099</v>
      </c>
    </row>
    <row r="1174" spans="2:3" x14ac:dyDescent="0.2">
      <c r="B1174" s="32">
        <v>40387</v>
      </c>
      <c r="C1174">
        <v>3.5712445785635301</v>
      </c>
    </row>
    <row r="1175" spans="2:3" x14ac:dyDescent="0.2">
      <c r="B1175" s="32">
        <v>40386</v>
      </c>
      <c r="C1175">
        <v>3.61999586617174</v>
      </c>
    </row>
    <row r="1176" spans="2:3" x14ac:dyDescent="0.2">
      <c r="B1176" s="32">
        <v>40385</v>
      </c>
      <c r="C1176">
        <v>3.62029695072312</v>
      </c>
    </row>
    <row r="1177" spans="2:3" x14ac:dyDescent="0.2">
      <c r="B1177" s="32">
        <v>40382</v>
      </c>
      <c r="C1177">
        <v>3.6186192566546098</v>
      </c>
    </row>
    <row r="1178" spans="2:3" x14ac:dyDescent="0.2">
      <c r="B1178" s="32">
        <v>40381</v>
      </c>
      <c r="C1178">
        <v>3.5744549502502401</v>
      </c>
    </row>
    <row r="1179" spans="2:3" x14ac:dyDescent="0.2">
      <c r="B1179" s="32">
        <v>40380</v>
      </c>
      <c r="C1179">
        <v>3.5678680750549598</v>
      </c>
    </row>
    <row r="1180" spans="2:3" x14ac:dyDescent="0.2">
      <c r="B1180" s="32">
        <v>40379</v>
      </c>
      <c r="C1180">
        <v>3.6359250391556399</v>
      </c>
    </row>
    <row r="1181" spans="2:3" x14ac:dyDescent="0.2">
      <c r="B1181" s="32">
        <v>40378</v>
      </c>
      <c r="C1181">
        <v>3.6574122729716501</v>
      </c>
    </row>
    <row r="1182" spans="2:3" x14ac:dyDescent="0.2">
      <c r="B1182" s="32">
        <v>40375</v>
      </c>
      <c r="C1182">
        <v>3.5977339672611302</v>
      </c>
    </row>
    <row r="1183" spans="2:3" x14ac:dyDescent="0.2">
      <c r="B1183" s="32">
        <v>40374</v>
      </c>
      <c r="C1183">
        <v>3.61225468229547</v>
      </c>
    </row>
    <row r="1184" spans="2:3" x14ac:dyDescent="0.2">
      <c r="B1184" s="32">
        <v>40373</v>
      </c>
      <c r="C1184">
        <v>3.7004314254453599</v>
      </c>
    </row>
    <row r="1185" spans="2:3" x14ac:dyDescent="0.2">
      <c r="B1185" s="32">
        <v>40372</v>
      </c>
      <c r="C1185">
        <v>3.7530610600060998</v>
      </c>
    </row>
    <row r="1186" spans="2:3" x14ac:dyDescent="0.2">
      <c r="B1186" s="32">
        <v>40371</v>
      </c>
      <c r="C1186">
        <v>3.7139520787979201</v>
      </c>
    </row>
    <row r="1187" spans="2:3" x14ac:dyDescent="0.2">
      <c r="B1187" s="32">
        <v>40368</v>
      </c>
      <c r="C1187">
        <v>3.7157547738350298</v>
      </c>
    </row>
    <row r="1188" spans="2:3" x14ac:dyDescent="0.2">
      <c r="B1188" s="32">
        <v>40367</v>
      </c>
      <c r="C1188">
        <v>3.7116847376523299</v>
      </c>
    </row>
    <row r="1189" spans="2:3" x14ac:dyDescent="0.2">
      <c r="B1189" s="32">
        <v>40366</v>
      </c>
      <c r="C1189">
        <v>3.6983718742730902</v>
      </c>
    </row>
    <row r="1190" spans="2:3" x14ac:dyDescent="0.2">
      <c r="B1190" s="32">
        <v>40365</v>
      </c>
      <c r="C1190">
        <v>3.6351349086376898</v>
      </c>
    </row>
    <row r="1191" spans="2:3" x14ac:dyDescent="0.2">
      <c r="B1191" s="32">
        <v>40361</v>
      </c>
      <c r="C1191">
        <v>3.7169645721765798</v>
      </c>
    </row>
    <row r="1192" spans="2:3" x14ac:dyDescent="0.2">
      <c r="B1192" s="32">
        <v>40360</v>
      </c>
      <c r="C1192">
        <v>3.6937861699124901</v>
      </c>
    </row>
    <row r="1193" spans="2:3" x14ac:dyDescent="0.2">
      <c r="B1193" s="32">
        <v>40359</v>
      </c>
      <c r="C1193">
        <v>3.7245864326615101</v>
      </c>
    </row>
    <row r="1194" spans="2:3" x14ac:dyDescent="0.2">
      <c r="B1194" s="32">
        <v>40358</v>
      </c>
      <c r="C1194">
        <v>3.7253294237149102</v>
      </c>
    </row>
    <row r="1195" spans="2:3" x14ac:dyDescent="0.2">
      <c r="B1195" s="32">
        <v>40357</v>
      </c>
      <c r="C1195">
        <v>3.76157153445837</v>
      </c>
    </row>
    <row r="1196" spans="2:3" x14ac:dyDescent="0.2">
      <c r="B1196" s="32">
        <v>40354</v>
      </c>
      <c r="C1196">
        <v>3.8645789384645899</v>
      </c>
    </row>
    <row r="1197" spans="2:3" x14ac:dyDescent="0.2">
      <c r="B1197" s="32">
        <v>40353</v>
      </c>
      <c r="C1197">
        <v>3.9081396695725101</v>
      </c>
    </row>
    <row r="1198" spans="2:3" x14ac:dyDescent="0.2">
      <c r="B1198" s="32">
        <v>40352</v>
      </c>
      <c r="C1198">
        <v>3.8309205213509201</v>
      </c>
    </row>
    <row r="1199" spans="2:3" x14ac:dyDescent="0.2">
      <c r="B1199" s="32">
        <v>40351</v>
      </c>
      <c r="C1199">
        <v>3.8749234361838099</v>
      </c>
    </row>
    <row r="1200" spans="2:3" x14ac:dyDescent="0.2">
      <c r="B1200" s="32">
        <v>40350</v>
      </c>
      <c r="C1200">
        <v>3.95504263689417</v>
      </c>
    </row>
    <row r="1201" spans="2:3" x14ac:dyDescent="0.2">
      <c r="B1201" s="32">
        <v>40347</v>
      </c>
      <c r="C1201">
        <v>3.9704372321975399</v>
      </c>
    </row>
    <row r="1202" spans="2:3" x14ac:dyDescent="0.2">
      <c r="B1202" s="32">
        <v>40346</v>
      </c>
      <c r="C1202">
        <v>3.9681915618839301</v>
      </c>
    </row>
    <row r="1203" spans="2:3" x14ac:dyDescent="0.2">
      <c r="B1203" s="32">
        <v>40345</v>
      </c>
      <c r="C1203">
        <v>4.0548762191412902</v>
      </c>
    </row>
    <row r="1204" spans="2:3" x14ac:dyDescent="0.2">
      <c r="B1204" s="32">
        <v>40344</v>
      </c>
      <c r="C1204">
        <v>4.0755435435930698</v>
      </c>
    </row>
    <row r="1205" spans="2:3" x14ac:dyDescent="0.2">
      <c r="B1205" s="32">
        <v>40343</v>
      </c>
      <c r="C1205">
        <v>4.0388489600085498</v>
      </c>
    </row>
    <row r="1206" spans="2:3" x14ac:dyDescent="0.2">
      <c r="B1206" s="32">
        <v>40340</v>
      </c>
      <c r="C1206">
        <v>4.0220452407104803</v>
      </c>
    </row>
    <row r="1207" spans="2:3" x14ac:dyDescent="0.2">
      <c r="B1207" s="32">
        <v>40339</v>
      </c>
      <c r="C1207">
        <v>4.1065329889998603</v>
      </c>
    </row>
    <row r="1208" spans="2:3" x14ac:dyDescent="0.2">
      <c r="B1208" s="32">
        <v>40338</v>
      </c>
      <c r="C1208">
        <v>3.99424998031441</v>
      </c>
    </row>
    <row r="1209" spans="2:3" x14ac:dyDescent="0.2">
      <c r="B1209" s="32">
        <v>40337</v>
      </c>
      <c r="C1209">
        <v>3.9995818786114699</v>
      </c>
    </row>
    <row r="1210" spans="2:3" x14ac:dyDescent="0.2">
      <c r="B1210" s="32">
        <v>40336</v>
      </c>
      <c r="C1210">
        <v>4.0322223616301196</v>
      </c>
    </row>
    <row r="1211" spans="2:3" x14ac:dyDescent="0.2">
      <c r="B1211" s="32">
        <v>40333</v>
      </c>
      <c r="C1211">
        <v>4.0385004286184003</v>
      </c>
    </row>
    <row r="1212" spans="2:3" x14ac:dyDescent="0.2">
      <c r="B1212" s="32">
        <v>40332</v>
      </c>
      <c r="C1212">
        <v>4.1875796065751203</v>
      </c>
    </row>
    <row r="1213" spans="2:3" x14ac:dyDescent="0.2">
      <c r="B1213" s="32">
        <v>40331</v>
      </c>
      <c r="C1213">
        <v>4.1766757617978998</v>
      </c>
    </row>
    <row r="1214" spans="2:3" x14ac:dyDescent="0.2">
      <c r="B1214" s="32">
        <v>40330</v>
      </c>
      <c r="C1214">
        <v>4.1510729312983097</v>
      </c>
    </row>
    <row r="1215" spans="2:3" x14ac:dyDescent="0.2">
      <c r="B1215" s="32">
        <v>40326</v>
      </c>
      <c r="C1215">
        <v>4.1547377505957597</v>
      </c>
    </row>
    <row r="1216" spans="2:3" x14ac:dyDescent="0.2">
      <c r="B1216" s="32">
        <v>40325</v>
      </c>
      <c r="C1216">
        <v>4.1816156787089804</v>
      </c>
    </row>
    <row r="1217" spans="2:3" x14ac:dyDescent="0.2">
      <c r="B1217" s="32">
        <v>40324</v>
      </c>
      <c r="C1217">
        <v>4.0848766627969999</v>
      </c>
    </row>
    <row r="1218" spans="2:3" x14ac:dyDescent="0.2">
      <c r="B1218" s="32">
        <v>40323</v>
      </c>
      <c r="C1218">
        <v>4.0582150153093597</v>
      </c>
    </row>
    <row r="1219" spans="2:3" x14ac:dyDescent="0.2">
      <c r="B1219" s="32">
        <v>40322</v>
      </c>
      <c r="C1219">
        <v>4.1135456996822297</v>
      </c>
    </row>
    <row r="1220" spans="2:3" x14ac:dyDescent="0.2">
      <c r="B1220" s="32">
        <v>40319</v>
      </c>
      <c r="C1220">
        <v>4.0434395753567598</v>
      </c>
    </row>
    <row r="1221" spans="2:3" x14ac:dyDescent="0.2">
      <c r="B1221" s="32">
        <v>40318</v>
      </c>
      <c r="C1221">
        <v>4.0603021710098597</v>
      </c>
    </row>
    <row r="1222" spans="2:3" x14ac:dyDescent="0.2">
      <c r="B1222" s="32">
        <v>40317</v>
      </c>
      <c r="C1222">
        <v>4.1277739940837899</v>
      </c>
    </row>
    <row r="1223" spans="2:3" x14ac:dyDescent="0.2">
      <c r="B1223" s="32">
        <v>40316</v>
      </c>
      <c r="C1223">
        <v>4.1366014421206501</v>
      </c>
    </row>
    <row r="1224" spans="2:3" x14ac:dyDescent="0.2">
      <c r="B1224" s="32">
        <v>40315</v>
      </c>
      <c r="C1224">
        <v>4.1901624922476204</v>
      </c>
    </row>
    <row r="1225" spans="2:3" x14ac:dyDescent="0.2">
      <c r="B1225" s="32">
        <v>40312</v>
      </c>
      <c r="C1225">
        <v>4.1918495185036004</v>
      </c>
    </row>
    <row r="1226" spans="2:3" x14ac:dyDescent="0.2">
      <c r="B1226" s="32">
        <v>40311</v>
      </c>
      <c r="C1226">
        <v>4.2824920445458003</v>
      </c>
    </row>
    <row r="1227" spans="2:3" x14ac:dyDescent="0.2">
      <c r="B1227" s="32">
        <v>40310</v>
      </c>
      <c r="C1227">
        <v>4.29267231886561</v>
      </c>
    </row>
    <row r="1228" spans="2:3" x14ac:dyDescent="0.2">
      <c r="B1228" s="32">
        <v>40309</v>
      </c>
      <c r="C1228">
        <v>4.2863821248238798</v>
      </c>
    </row>
    <row r="1229" spans="2:3" x14ac:dyDescent="0.2">
      <c r="B1229" s="32">
        <v>40308</v>
      </c>
      <c r="C1229">
        <v>4.3116514744048198</v>
      </c>
    </row>
    <row r="1230" spans="2:3" x14ac:dyDescent="0.2">
      <c r="B1230" s="32">
        <v>40305</v>
      </c>
      <c r="C1230">
        <v>4.2583811688869497</v>
      </c>
    </row>
    <row r="1231" spans="2:3" x14ac:dyDescent="0.2">
      <c r="B1231" s="32">
        <v>40304</v>
      </c>
      <c r="C1231">
        <v>4.2225645965485699</v>
      </c>
    </row>
    <row r="1232" spans="2:3" x14ac:dyDescent="0.2">
      <c r="B1232" s="32">
        <v>40303</v>
      </c>
      <c r="C1232">
        <v>4.33515952342636</v>
      </c>
    </row>
    <row r="1233" spans="2:3" x14ac:dyDescent="0.2">
      <c r="B1233" s="32">
        <v>40302</v>
      </c>
      <c r="C1233">
        <v>4.3804364670362999</v>
      </c>
    </row>
    <row r="1234" spans="2:3" x14ac:dyDescent="0.2">
      <c r="B1234" s="32">
        <v>40301</v>
      </c>
      <c r="C1234">
        <v>4.4330227290786599</v>
      </c>
    </row>
    <row r="1235" spans="2:3" x14ac:dyDescent="0.2">
      <c r="B1235" s="32">
        <v>40298</v>
      </c>
      <c r="C1235">
        <v>4.3907036032517297</v>
      </c>
    </row>
    <row r="1236" spans="2:3" x14ac:dyDescent="0.2">
      <c r="B1236" s="32">
        <v>40297</v>
      </c>
      <c r="C1236">
        <v>4.4231720775400198</v>
      </c>
    </row>
    <row r="1237" spans="2:3" x14ac:dyDescent="0.2">
      <c r="B1237" s="32">
        <v>40296</v>
      </c>
      <c r="C1237">
        <v>4.4652868467046396</v>
      </c>
    </row>
    <row r="1238" spans="2:3" x14ac:dyDescent="0.2">
      <c r="B1238" s="32">
        <v>40295</v>
      </c>
      <c r="C1238">
        <v>4.4098221091894096</v>
      </c>
    </row>
    <row r="1239" spans="2:3" x14ac:dyDescent="0.2">
      <c r="B1239" s="32">
        <v>40294</v>
      </c>
      <c r="C1239">
        <v>4.4869707371824896</v>
      </c>
    </row>
    <row r="1240" spans="2:3" x14ac:dyDescent="0.2">
      <c r="B1240" s="32">
        <v>40291</v>
      </c>
      <c r="C1240">
        <v>4.4965756326414796</v>
      </c>
    </row>
    <row r="1241" spans="2:3" x14ac:dyDescent="0.2">
      <c r="B1241" s="32">
        <v>40290</v>
      </c>
      <c r="C1241">
        <v>4.4736805890433802</v>
      </c>
    </row>
    <row r="1242" spans="2:3" x14ac:dyDescent="0.2">
      <c r="B1242" s="32">
        <v>40289</v>
      </c>
      <c r="C1242">
        <v>4.428704005388</v>
      </c>
    </row>
    <row r="1243" spans="2:3" x14ac:dyDescent="0.2">
      <c r="B1243" s="32">
        <v>40288</v>
      </c>
      <c r="C1243">
        <v>4.4716808473301803</v>
      </c>
    </row>
    <row r="1244" spans="2:3" x14ac:dyDescent="0.2">
      <c r="B1244" s="32">
        <v>40287</v>
      </c>
      <c r="C1244">
        <v>4.4647730176576399</v>
      </c>
    </row>
    <row r="1245" spans="2:3" x14ac:dyDescent="0.2">
      <c r="B1245" s="32">
        <v>40284</v>
      </c>
      <c r="C1245">
        <v>4.42115238805538</v>
      </c>
    </row>
    <row r="1246" spans="2:3" x14ac:dyDescent="0.2">
      <c r="B1246" s="32">
        <v>40283</v>
      </c>
      <c r="C1246">
        <v>4.4789537620961699</v>
      </c>
    </row>
    <row r="1247" spans="2:3" x14ac:dyDescent="0.2">
      <c r="B1247" s="32">
        <v>40282</v>
      </c>
      <c r="C1247">
        <v>4.4864108282816497</v>
      </c>
    </row>
    <row r="1248" spans="2:3" x14ac:dyDescent="0.2">
      <c r="B1248" s="32">
        <v>40281</v>
      </c>
      <c r="C1248">
        <v>4.43648737834312</v>
      </c>
    </row>
    <row r="1249" spans="2:3" x14ac:dyDescent="0.2">
      <c r="B1249" s="32">
        <v>40280</v>
      </c>
      <c r="C1249">
        <v>4.46067713288181</v>
      </c>
    </row>
    <row r="1250" spans="2:3" x14ac:dyDescent="0.2">
      <c r="B1250" s="32">
        <v>40277</v>
      </c>
      <c r="C1250">
        <v>4.5414983688963702</v>
      </c>
    </row>
    <row r="1251" spans="2:3" x14ac:dyDescent="0.2">
      <c r="B1251" s="32">
        <v>40276</v>
      </c>
      <c r="C1251">
        <v>4.5547050374212796</v>
      </c>
    </row>
    <row r="1252" spans="2:3" x14ac:dyDescent="0.2">
      <c r="B1252" s="32">
        <v>40275</v>
      </c>
      <c r="C1252">
        <v>4.5339139017749996</v>
      </c>
    </row>
    <row r="1253" spans="2:3" x14ac:dyDescent="0.2">
      <c r="B1253" s="32">
        <v>40274</v>
      </c>
      <c r="C1253">
        <v>4.6396609638543298</v>
      </c>
    </row>
    <row r="1254" spans="2:3" x14ac:dyDescent="0.2">
      <c r="B1254" s="32">
        <v>40273</v>
      </c>
      <c r="C1254">
        <v>4.6749268739863803</v>
      </c>
    </row>
    <row r="1255" spans="2:3" x14ac:dyDescent="0.2">
      <c r="B1255" s="32">
        <v>40269</v>
      </c>
      <c r="C1255">
        <v>4.5550104650883503</v>
      </c>
    </row>
    <row r="1256" spans="2:3" x14ac:dyDescent="0.2">
      <c r="B1256" s="32">
        <v>40268</v>
      </c>
      <c r="C1256">
        <v>4.50331407162441</v>
      </c>
    </row>
    <row r="1257" spans="2:3" x14ac:dyDescent="0.2">
      <c r="B1257" s="32">
        <v>40267</v>
      </c>
      <c r="C1257">
        <v>4.4898920529880604</v>
      </c>
    </row>
    <row r="1258" spans="2:3" x14ac:dyDescent="0.2">
      <c r="B1258" s="32">
        <v>40266</v>
      </c>
      <c r="C1258">
        <v>4.4592769235468799</v>
      </c>
    </row>
    <row r="1259" spans="2:3" x14ac:dyDescent="0.2">
      <c r="B1259" s="32">
        <v>40263</v>
      </c>
      <c r="C1259">
        <v>4.4567860106722499</v>
      </c>
    </row>
    <row r="1260" spans="2:3" x14ac:dyDescent="0.2">
      <c r="B1260" s="32">
        <v>40262</v>
      </c>
      <c r="C1260">
        <v>4.5108071165053296</v>
      </c>
    </row>
    <row r="1261" spans="2:3" x14ac:dyDescent="0.2">
      <c r="B1261" s="32">
        <v>40261</v>
      </c>
      <c r="C1261">
        <v>4.44806938128339</v>
      </c>
    </row>
    <row r="1262" spans="2:3" x14ac:dyDescent="0.2">
      <c r="B1262" s="32">
        <v>40260</v>
      </c>
      <c r="C1262">
        <v>4.3288813937469399</v>
      </c>
    </row>
    <row r="1263" spans="2:3" x14ac:dyDescent="0.2">
      <c r="B1263" s="32">
        <v>40259</v>
      </c>
      <c r="C1263">
        <v>4.3264666924807997</v>
      </c>
    </row>
    <row r="1264" spans="2:3" x14ac:dyDescent="0.2">
      <c r="B1264" s="32">
        <v>40256</v>
      </c>
      <c r="C1264">
        <v>4.3559191149383603</v>
      </c>
    </row>
    <row r="1265" spans="2:3" x14ac:dyDescent="0.2">
      <c r="B1265" s="32">
        <v>40255</v>
      </c>
      <c r="C1265">
        <v>4.3324190334721902</v>
      </c>
    </row>
    <row r="1266" spans="2:3" x14ac:dyDescent="0.2">
      <c r="B1266" s="32">
        <v>40254</v>
      </c>
      <c r="C1266">
        <v>4.2959930858907898</v>
      </c>
    </row>
    <row r="1267" spans="2:3" x14ac:dyDescent="0.2">
      <c r="B1267" s="32">
        <v>40253</v>
      </c>
      <c r="C1267">
        <v>4.3166556715219997</v>
      </c>
    </row>
    <row r="1268" spans="2:3" x14ac:dyDescent="0.2">
      <c r="B1268" s="32">
        <v>40252</v>
      </c>
      <c r="C1268">
        <v>4.3389433333037397</v>
      </c>
    </row>
    <row r="1269" spans="2:3" x14ac:dyDescent="0.2">
      <c r="B1269" s="32">
        <v>40249</v>
      </c>
      <c r="C1269">
        <v>4.3434277440528701</v>
      </c>
    </row>
    <row r="1270" spans="2:3" x14ac:dyDescent="0.2">
      <c r="B1270" s="32">
        <v>40248</v>
      </c>
      <c r="C1270">
        <v>4.3258467011541697</v>
      </c>
    </row>
    <row r="1271" spans="2:3" x14ac:dyDescent="0.2">
      <c r="B1271" s="32">
        <v>40247</v>
      </c>
      <c r="C1271">
        <v>4.3172642307534899</v>
      </c>
    </row>
    <row r="1272" spans="2:3" x14ac:dyDescent="0.2">
      <c r="B1272" s="32">
        <v>40246</v>
      </c>
      <c r="C1272">
        <v>4.3086396970179104</v>
      </c>
    </row>
    <row r="1273" spans="2:3" x14ac:dyDescent="0.2">
      <c r="B1273" s="32">
        <v>40245</v>
      </c>
      <c r="C1273">
        <v>4.3426015987932098</v>
      </c>
    </row>
    <row r="1274" spans="2:3" x14ac:dyDescent="0.2">
      <c r="B1274" s="32">
        <v>40242</v>
      </c>
      <c r="C1274">
        <v>4.3264407511767597</v>
      </c>
    </row>
    <row r="1275" spans="2:3" x14ac:dyDescent="0.2">
      <c r="B1275" s="32">
        <v>40241</v>
      </c>
      <c r="C1275">
        <v>4.28354406281293</v>
      </c>
    </row>
    <row r="1276" spans="2:3" x14ac:dyDescent="0.2">
      <c r="B1276" s="32">
        <v>40240</v>
      </c>
      <c r="C1276">
        <v>4.3075702513209801</v>
      </c>
    </row>
    <row r="1277" spans="2:3" x14ac:dyDescent="0.2">
      <c r="B1277" s="32">
        <v>40239</v>
      </c>
      <c r="C1277">
        <v>4.33436583116631</v>
      </c>
    </row>
    <row r="1278" spans="2:3" x14ac:dyDescent="0.2">
      <c r="B1278" s="32">
        <v>40238</v>
      </c>
      <c r="C1278">
        <v>4.3283668171127099</v>
      </c>
    </row>
    <row r="1279" spans="2:3" x14ac:dyDescent="0.2">
      <c r="B1279" s="32">
        <v>40235</v>
      </c>
      <c r="C1279">
        <v>4.2907489973721598</v>
      </c>
    </row>
    <row r="1280" spans="2:3" x14ac:dyDescent="0.2">
      <c r="B1280" s="32">
        <v>40234</v>
      </c>
      <c r="C1280">
        <v>4.3541837134250203</v>
      </c>
    </row>
    <row r="1281" spans="2:3" x14ac:dyDescent="0.2">
      <c r="B1281" s="32">
        <v>40233</v>
      </c>
      <c r="C1281">
        <v>4.3958479142443396</v>
      </c>
    </row>
    <row r="1282" spans="2:3" x14ac:dyDescent="0.2">
      <c r="B1282" s="32">
        <v>40232</v>
      </c>
      <c r="C1282">
        <v>4.3914373803155096</v>
      </c>
    </row>
    <row r="1283" spans="2:3" x14ac:dyDescent="0.2">
      <c r="B1283" s="32">
        <v>40231</v>
      </c>
      <c r="C1283">
        <v>4.4624514287627797</v>
      </c>
    </row>
    <row r="1284" spans="2:3" x14ac:dyDescent="0.2">
      <c r="B1284" s="32">
        <v>40228</v>
      </c>
      <c r="C1284">
        <v>4.4863054912143996</v>
      </c>
    </row>
    <row r="1285" spans="2:3" x14ac:dyDescent="0.2">
      <c r="B1285" s="32">
        <v>40227</v>
      </c>
      <c r="C1285">
        <v>4.4681580494178297</v>
      </c>
    </row>
    <row r="1286" spans="2:3" x14ac:dyDescent="0.2">
      <c r="B1286" s="32">
        <v>40226</v>
      </c>
      <c r="C1286">
        <v>4.39139662370218</v>
      </c>
    </row>
    <row r="1287" spans="2:3" x14ac:dyDescent="0.2">
      <c r="B1287" s="32">
        <v>40225</v>
      </c>
      <c r="C1287">
        <v>4.3232740567057197</v>
      </c>
    </row>
    <row r="1288" spans="2:3" x14ac:dyDescent="0.2">
      <c r="B1288" s="32">
        <v>40221</v>
      </c>
      <c r="C1288">
        <v>4.3460644034455198</v>
      </c>
    </row>
    <row r="1289" spans="2:3" x14ac:dyDescent="0.2">
      <c r="B1289" s="32">
        <v>40220</v>
      </c>
      <c r="C1289">
        <v>4.39879039135689</v>
      </c>
    </row>
    <row r="1290" spans="2:3" x14ac:dyDescent="0.2">
      <c r="B1290" s="32">
        <v>40219</v>
      </c>
      <c r="C1290">
        <v>4.4063561989726701</v>
      </c>
    </row>
    <row r="1291" spans="2:3" x14ac:dyDescent="0.2">
      <c r="B1291" s="32">
        <v>40218</v>
      </c>
      <c r="C1291">
        <v>4.3653171841277603</v>
      </c>
    </row>
    <row r="1292" spans="2:3" x14ac:dyDescent="0.2">
      <c r="B1292" s="32">
        <v>40217</v>
      </c>
      <c r="C1292">
        <v>4.3320366694681303</v>
      </c>
    </row>
    <row r="1293" spans="2:3" x14ac:dyDescent="0.2">
      <c r="B1293" s="32">
        <v>40214</v>
      </c>
      <c r="C1293">
        <v>4.27659949074806</v>
      </c>
    </row>
    <row r="1294" spans="2:3" x14ac:dyDescent="0.2">
      <c r="B1294" s="32">
        <v>40213</v>
      </c>
      <c r="C1294">
        <v>4.3238522350012696</v>
      </c>
    </row>
    <row r="1295" spans="2:3" x14ac:dyDescent="0.2">
      <c r="B1295" s="32">
        <v>40212</v>
      </c>
      <c r="C1295">
        <v>4.3947791027497498</v>
      </c>
    </row>
    <row r="1296" spans="2:3" x14ac:dyDescent="0.2">
      <c r="B1296" s="32">
        <v>40211</v>
      </c>
      <c r="C1296">
        <v>4.36192533618898</v>
      </c>
    </row>
    <row r="1297" spans="2:3" x14ac:dyDescent="0.2">
      <c r="B1297" s="32">
        <v>40210</v>
      </c>
      <c r="C1297">
        <v>4.3830379443838403</v>
      </c>
    </row>
    <row r="1298" spans="2:3" x14ac:dyDescent="0.2">
      <c r="B1298" s="32">
        <v>40207</v>
      </c>
      <c r="C1298">
        <v>4.3620296970155801</v>
      </c>
    </row>
    <row r="1299" spans="2:3" x14ac:dyDescent="0.2">
      <c r="B1299" s="32">
        <v>40206</v>
      </c>
      <c r="C1299">
        <v>4.4035449757031202</v>
      </c>
    </row>
    <row r="1300" spans="2:3" x14ac:dyDescent="0.2">
      <c r="B1300" s="32">
        <v>40205</v>
      </c>
      <c r="C1300">
        <v>4.3871320688708701</v>
      </c>
    </row>
    <row r="1301" spans="2:3" x14ac:dyDescent="0.2">
      <c r="B1301" s="32">
        <v>40204</v>
      </c>
      <c r="C1301">
        <v>4.3708224568224496</v>
      </c>
    </row>
    <row r="1302" spans="2:3" x14ac:dyDescent="0.2">
      <c r="B1302" s="32">
        <v>40203</v>
      </c>
      <c r="C1302">
        <v>4.3808133444291499</v>
      </c>
    </row>
    <row r="1303" spans="2:3" x14ac:dyDescent="0.2">
      <c r="B1303" s="32">
        <v>40200</v>
      </c>
      <c r="C1303">
        <v>4.3453136562403598</v>
      </c>
    </row>
    <row r="1304" spans="2:3" x14ac:dyDescent="0.2">
      <c r="B1304" s="32">
        <v>40199</v>
      </c>
      <c r="C1304">
        <v>4.3351721963990704</v>
      </c>
    </row>
    <row r="1305" spans="2:3" x14ac:dyDescent="0.2">
      <c r="B1305" s="32">
        <v>40198</v>
      </c>
      <c r="C1305">
        <v>4.3677855259785003</v>
      </c>
    </row>
    <row r="1306" spans="2:3" x14ac:dyDescent="0.2">
      <c r="B1306" s="32">
        <v>40197</v>
      </c>
      <c r="C1306">
        <v>4.40197102684707</v>
      </c>
    </row>
    <row r="1307" spans="2:3" x14ac:dyDescent="0.2">
      <c r="B1307" s="32">
        <v>40193</v>
      </c>
      <c r="C1307">
        <v>4.3696707015242504</v>
      </c>
    </row>
    <row r="1308" spans="2:3" x14ac:dyDescent="0.2">
      <c r="B1308" s="32">
        <v>40192</v>
      </c>
      <c r="C1308">
        <v>4.4265935062281203</v>
      </c>
    </row>
    <row r="1309" spans="2:3" x14ac:dyDescent="0.2">
      <c r="B1309" s="32">
        <v>40191</v>
      </c>
      <c r="C1309">
        <v>4.45414970407412</v>
      </c>
    </row>
    <row r="1310" spans="2:3" x14ac:dyDescent="0.2">
      <c r="B1310" s="32">
        <v>40190</v>
      </c>
      <c r="C1310">
        <v>4.4087647025481802</v>
      </c>
    </row>
    <row r="1311" spans="2:3" x14ac:dyDescent="0.2">
      <c r="B1311" s="32">
        <v>40189</v>
      </c>
      <c r="C1311">
        <v>4.4888752273782604</v>
      </c>
    </row>
    <row r="1312" spans="2:3" x14ac:dyDescent="0.2">
      <c r="B1312" s="32">
        <v>40186</v>
      </c>
      <c r="C1312">
        <v>4.4995349725531799</v>
      </c>
    </row>
    <row r="1313" spans="2:3" x14ac:dyDescent="0.2">
      <c r="B1313" s="32">
        <v>40185</v>
      </c>
      <c r="C1313">
        <v>4.5050354214295503</v>
      </c>
    </row>
    <row r="1314" spans="2:3" x14ac:dyDescent="0.2">
      <c r="B1314" s="32">
        <v>40184</v>
      </c>
      <c r="C1314">
        <v>4.4757415062169699</v>
      </c>
    </row>
    <row r="1315" spans="2:3" x14ac:dyDescent="0.2">
      <c r="B1315" s="32">
        <v>40183</v>
      </c>
      <c r="C1315">
        <v>4.4366588454273899</v>
      </c>
    </row>
    <row r="1316" spans="2:3" x14ac:dyDescent="0.2">
      <c r="B1316" s="32">
        <v>40182</v>
      </c>
      <c r="C1316">
        <v>4.5325306763420503</v>
      </c>
    </row>
    <row r="1317" spans="2:3" x14ac:dyDescent="0.2">
      <c r="B1317" s="32">
        <v>40178</v>
      </c>
      <c r="C1317">
        <v>4.55924813591131</v>
      </c>
    </row>
    <row r="1318" spans="2:3" x14ac:dyDescent="0.2">
      <c r="B1318" s="32">
        <v>40177</v>
      </c>
      <c r="C1318">
        <v>4.5227658881926001</v>
      </c>
    </row>
    <row r="1319" spans="2:3" x14ac:dyDescent="0.2">
      <c r="B1319" s="32">
        <v>40176</v>
      </c>
      <c r="C1319">
        <v>4.5562322293542801</v>
      </c>
    </row>
    <row r="1320" spans="2:3" x14ac:dyDescent="0.2">
      <c r="B1320" s="32">
        <v>40175</v>
      </c>
      <c r="C1320">
        <v>4.59677757599475</v>
      </c>
    </row>
    <row r="1321" spans="2:3" x14ac:dyDescent="0.2">
      <c r="B1321" s="32">
        <v>40171</v>
      </c>
      <c r="C1321">
        <v>4.5466749341860799</v>
      </c>
    </row>
    <row r="1322" spans="2:3" x14ac:dyDescent="0.2">
      <c r="B1322" s="32">
        <v>40170</v>
      </c>
      <c r="C1322">
        <v>4.4959394472763297</v>
      </c>
    </row>
    <row r="1323" spans="2:3" x14ac:dyDescent="0.2">
      <c r="B1323" s="32">
        <v>40169</v>
      </c>
      <c r="C1323">
        <v>4.4853991734605403</v>
      </c>
    </row>
    <row r="1324" spans="2:3" x14ac:dyDescent="0.2">
      <c r="B1324" s="32">
        <v>40168</v>
      </c>
      <c r="C1324">
        <v>4.4100417756267198</v>
      </c>
    </row>
    <row r="1325" spans="2:3" x14ac:dyDescent="0.2">
      <c r="B1325" s="32">
        <v>40165</v>
      </c>
      <c r="C1325">
        <v>4.2629090218108301</v>
      </c>
    </row>
    <row r="1326" spans="2:3" x14ac:dyDescent="0.2">
      <c r="B1326" s="32">
        <v>40164</v>
      </c>
      <c r="C1326">
        <v>4.1982238259141704</v>
      </c>
    </row>
    <row r="1327" spans="2:3" x14ac:dyDescent="0.2">
      <c r="B1327" s="32">
        <v>40163</v>
      </c>
      <c r="C1327">
        <v>4.3249234913731902</v>
      </c>
    </row>
    <row r="1328" spans="2:3" x14ac:dyDescent="0.2">
      <c r="B1328" s="32">
        <v>40162</v>
      </c>
      <c r="C1328">
        <v>4.35407192844752</v>
      </c>
    </row>
    <row r="1329" spans="2:3" x14ac:dyDescent="0.2">
      <c r="B1329" s="32">
        <v>40161</v>
      </c>
      <c r="C1329">
        <v>4.2831681294625197</v>
      </c>
    </row>
    <row r="1330" spans="2:3" x14ac:dyDescent="0.2">
      <c r="B1330" s="32">
        <v>40158</v>
      </c>
      <c r="C1330">
        <v>4.24709221665087</v>
      </c>
    </row>
    <row r="1331" spans="2:3" x14ac:dyDescent="0.2">
      <c r="B1331" s="32">
        <v>40157</v>
      </c>
      <c r="C1331">
        <v>4.2251526469505096</v>
      </c>
    </row>
    <row r="1332" spans="2:3" x14ac:dyDescent="0.2">
      <c r="B1332" s="32">
        <v>40156</v>
      </c>
      <c r="C1332">
        <v>4.1916747687051901</v>
      </c>
    </row>
    <row r="1333" spans="2:3" x14ac:dyDescent="0.2">
      <c r="B1333" s="32">
        <v>40155</v>
      </c>
      <c r="C1333">
        <v>4.150426323254</v>
      </c>
    </row>
    <row r="1334" spans="2:3" x14ac:dyDescent="0.2">
      <c r="B1334" s="32">
        <v>40154</v>
      </c>
      <c r="C1334">
        <v>4.1946030538706003</v>
      </c>
    </row>
    <row r="1335" spans="2:3" x14ac:dyDescent="0.2">
      <c r="B1335" s="32">
        <v>40151</v>
      </c>
      <c r="C1335">
        <v>4.2443083823505896</v>
      </c>
    </row>
    <row r="1336" spans="2:3" x14ac:dyDescent="0.2">
      <c r="B1336" s="32">
        <v>40150</v>
      </c>
      <c r="C1336">
        <v>4.1694309446566704</v>
      </c>
    </row>
    <row r="1337" spans="2:3" x14ac:dyDescent="0.2">
      <c r="B1337" s="32">
        <v>40149</v>
      </c>
      <c r="C1337">
        <v>4.1065098067076402</v>
      </c>
    </row>
    <row r="1338" spans="2:3" x14ac:dyDescent="0.2">
      <c r="B1338" s="32">
        <v>40148</v>
      </c>
      <c r="C1338">
        <v>4.0436498008653103</v>
      </c>
    </row>
    <row r="1339" spans="2:3" x14ac:dyDescent="0.2">
      <c r="B1339" s="32">
        <v>40147</v>
      </c>
      <c r="C1339">
        <v>3.9489986239848101</v>
      </c>
    </row>
    <row r="1340" spans="2:3" x14ac:dyDescent="0.2">
      <c r="B1340" s="32">
        <v>40144</v>
      </c>
      <c r="C1340">
        <v>3.9539461258953699</v>
      </c>
    </row>
    <row r="1341" spans="2:3" x14ac:dyDescent="0.2">
      <c r="B1341" s="32">
        <v>40142</v>
      </c>
      <c r="C1341">
        <v>3.99745211095173</v>
      </c>
    </row>
    <row r="1342" spans="2:3" x14ac:dyDescent="0.2">
      <c r="B1342" s="32">
        <v>40141</v>
      </c>
      <c r="C1342">
        <v>4.0075676353274599</v>
      </c>
    </row>
    <row r="1343" spans="2:3" x14ac:dyDescent="0.2">
      <c r="B1343" s="32">
        <v>40140</v>
      </c>
      <c r="C1343">
        <v>4.0891366736037797</v>
      </c>
    </row>
    <row r="1344" spans="2:3" x14ac:dyDescent="0.2">
      <c r="B1344" s="32">
        <v>40137</v>
      </c>
      <c r="C1344">
        <v>4.1140697739800602</v>
      </c>
    </row>
    <row r="1345" spans="2:3" x14ac:dyDescent="0.2">
      <c r="B1345" s="32">
        <v>40136</v>
      </c>
      <c r="C1345">
        <v>4.1420321818090899</v>
      </c>
    </row>
    <row r="1346" spans="2:3" x14ac:dyDescent="0.2">
      <c r="B1346" s="32">
        <v>40135</v>
      </c>
      <c r="C1346">
        <v>4.1321940857741</v>
      </c>
    </row>
    <row r="1347" spans="2:3" x14ac:dyDescent="0.2">
      <c r="B1347" s="32">
        <v>40134</v>
      </c>
      <c r="C1347">
        <v>4.0836397040229198</v>
      </c>
    </row>
    <row r="1348" spans="2:3" x14ac:dyDescent="0.2">
      <c r="B1348" s="32">
        <v>40133</v>
      </c>
      <c r="C1348">
        <v>4.0276416526255199</v>
      </c>
    </row>
    <row r="1349" spans="2:3" x14ac:dyDescent="0.2">
      <c r="B1349" s="32">
        <v>40130</v>
      </c>
      <c r="C1349">
        <v>4.1259829792930098</v>
      </c>
    </row>
    <row r="1350" spans="2:3" x14ac:dyDescent="0.2">
      <c r="B1350" s="32">
        <v>40129</v>
      </c>
      <c r="C1350">
        <v>4.20548521315607</v>
      </c>
    </row>
    <row r="1351" spans="2:3" x14ac:dyDescent="0.2">
      <c r="B1351" s="32">
        <v>40127</v>
      </c>
      <c r="C1351">
        <v>4.2500557876279803</v>
      </c>
    </row>
    <row r="1352" spans="2:3" x14ac:dyDescent="0.2">
      <c r="B1352" s="32">
        <v>40126</v>
      </c>
      <c r="C1352">
        <v>4.2771826509263802</v>
      </c>
    </row>
    <row r="1353" spans="2:3" x14ac:dyDescent="0.2">
      <c r="B1353" s="32">
        <v>40123</v>
      </c>
      <c r="C1353">
        <v>4.2931767610180103</v>
      </c>
    </row>
    <row r="1354" spans="2:3" x14ac:dyDescent="0.2">
      <c r="B1354" s="32">
        <v>40122</v>
      </c>
      <c r="C1354">
        <v>4.3402733466802799</v>
      </c>
    </row>
    <row r="1355" spans="2:3" x14ac:dyDescent="0.2">
      <c r="B1355" s="32">
        <v>40121</v>
      </c>
      <c r="C1355">
        <v>4.3972220458174904</v>
      </c>
    </row>
    <row r="1356" spans="2:3" x14ac:dyDescent="0.2">
      <c r="B1356" s="32">
        <v>40120</v>
      </c>
      <c r="C1356">
        <v>4.373408196372</v>
      </c>
    </row>
    <row r="1357" spans="2:3" x14ac:dyDescent="0.2">
      <c r="B1357" s="32">
        <v>40119</v>
      </c>
      <c r="C1357">
        <v>4.3408438369016098</v>
      </c>
    </row>
    <row r="1358" spans="2:3" x14ac:dyDescent="0.2">
      <c r="B1358" s="32">
        <v>40116</v>
      </c>
      <c r="C1358">
        <v>4.2897391912668903</v>
      </c>
    </row>
    <row r="1359" spans="2:3" x14ac:dyDescent="0.2">
      <c r="B1359" s="32">
        <v>40115</v>
      </c>
      <c r="C1359">
        <v>4.3555541278720096</v>
      </c>
    </row>
    <row r="1360" spans="2:3" x14ac:dyDescent="0.2">
      <c r="B1360" s="32">
        <v>40114</v>
      </c>
      <c r="C1360">
        <v>4.2932098032766302</v>
      </c>
    </row>
    <row r="1361" spans="2:3" x14ac:dyDescent="0.2">
      <c r="B1361" s="32">
        <v>40113</v>
      </c>
      <c r="C1361">
        <v>4.3816960794866402</v>
      </c>
    </row>
    <row r="1362" spans="2:3" x14ac:dyDescent="0.2">
      <c r="B1362" s="32">
        <v>40112</v>
      </c>
      <c r="C1362">
        <v>4.4589642626822599</v>
      </c>
    </row>
    <row r="1363" spans="2:3" x14ac:dyDescent="0.2">
      <c r="B1363" s="32">
        <v>40109</v>
      </c>
      <c r="C1363">
        <v>4.38826230842961</v>
      </c>
    </row>
    <row r="1364" spans="2:3" x14ac:dyDescent="0.2">
      <c r="B1364" s="32">
        <v>40108</v>
      </c>
      <c r="C1364">
        <v>4.3488818556653497</v>
      </c>
    </row>
    <row r="1365" spans="2:3" x14ac:dyDescent="0.2">
      <c r="B1365" s="32">
        <v>40107</v>
      </c>
      <c r="C1365">
        <v>4.3519072215429899</v>
      </c>
    </row>
    <row r="1366" spans="2:3" x14ac:dyDescent="0.2">
      <c r="B1366" s="32">
        <v>40106</v>
      </c>
      <c r="C1366">
        <v>4.3050974396980903</v>
      </c>
    </row>
    <row r="1367" spans="2:3" x14ac:dyDescent="0.2">
      <c r="B1367" s="32">
        <v>40105</v>
      </c>
      <c r="C1367">
        <v>4.3423147818274304</v>
      </c>
    </row>
    <row r="1368" spans="2:3" x14ac:dyDescent="0.2">
      <c r="B1368" s="32">
        <v>40102</v>
      </c>
      <c r="C1368">
        <v>4.35814613727121</v>
      </c>
    </row>
    <row r="1369" spans="2:3" x14ac:dyDescent="0.2">
      <c r="B1369" s="32">
        <v>40101</v>
      </c>
      <c r="C1369">
        <v>4.4003888929265802</v>
      </c>
    </row>
    <row r="1370" spans="2:3" x14ac:dyDescent="0.2">
      <c r="B1370" s="32">
        <v>40100</v>
      </c>
      <c r="C1370">
        <v>4.3229656821981903</v>
      </c>
    </row>
    <row r="1371" spans="2:3" x14ac:dyDescent="0.2">
      <c r="B1371" s="32">
        <v>40099</v>
      </c>
      <c r="C1371">
        <v>4.2189338879677702</v>
      </c>
    </row>
    <row r="1372" spans="2:3" x14ac:dyDescent="0.2">
      <c r="B1372" s="32">
        <v>40095</v>
      </c>
      <c r="C1372">
        <v>4.25157131551628</v>
      </c>
    </row>
    <row r="1373" spans="2:3" x14ac:dyDescent="0.2">
      <c r="B1373" s="32">
        <v>40094</v>
      </c>
      <c r="C1373">
        <v>4.1215548044602803</v>
      </c>
    </row>
    <row r="1374" spans="2:3" x14ac:dyDescent="0.2">
      <c r="B1374" s="32">
        <v>40093</v>
      </c>
      <c r="C1374">
        <v>4.0916476404722104</v>
      </c>
    </row>
    <row r="1375" spans="2:3" x14ac:dyDescent="0.2">
      <c r="B1375" s="32">
        <v>40092</v>
      </c>
      <c r="C1375">
        <v>4.1411248917961396</v>
      </c>
    </row>
    <row r="1376" spans="2:3" x14ac:dyDescent="0.2">
      <c r="B1376" s="32">
        <v>40091</v>
      </c>
      <c r="C1376">
        <v>4.13196584982978</v>
      </c>
    </row>
    <row r="1377" spans="2:3" x14ac:dyDescent="0.2">
      <c r="B1377" s="32">
        <v>40088</v>
      </c>
      <c r="C1377">
        <v>4.1062803770596004</v>
      </c>
    </row>
    <row r="1378" spans="2:3" x14ac:dyDescent="0.2">
      <c r="B1378" s="32">
        <v>40087</v>
      </c>
      <c r="C1378">
        <v>4.1036651214712503</v>
      </c>
    </row>
    <row r="1379" spans="2:3" x14ac:dyDescent="0.2">
      <c r="B1379" s="32">
        <v>40086</v>
      </c>
      <c r="C1379">
        <v>4.2246706147488897</v>
      </c>
    </row>
    <row r="1380" spans="2:3" x14ac:dyDescent="0.2">
      <c r="B1380" s="32">
        <v>40085</v>
      </c>
      <c r="C1380">
        <v>4.20861900620468</v>
      </c>
    </row>
    <row r="1381" spans="2:3" x14ac:dyDescent="0.2">
      <c r="B1381" s="32">
        <v>40084</v>
      </c>
      <c r="C1381">
        <v>4.2157690741212202</v>
      </c>
    </row>
    <row r="1382" spans="2:3" x14ac:dyDescent="0.2">
      <c r="B1382" s="32">
        <v>40081</v>
      </c>
      <c r="C1382">
        <v>4.2693829925010798</v>
      </c>
    </row>
    <row r="1383" spans="2:3" x14ac:dyDescent="0.2">
      <c r="B1383" s="32">
        <v>40080</v>
      </c>
      <c r="C1383">
        <v>4.3077555523319999</v>
      </c>
    </row>
    <row r="1384" spans="2:3" x14ac:dyDescent="0.2">
      <c r="B1384" s="32">
        <v>40079</v>
      </c>
      <c r="C1384">
        <v>4.3746957229884798</v>
      </c>
    </row>
    <row r="1385" spans="2:3" x14ac:dyDescent="0.2">
      <c r="B1385" s="32">
        <v>40078</v>
      </c>
      <c r="C1385">
        <v>4.3858952470103896</v>
      </c>
    </row>
    <row r="1386" spans="2:3" x14ac:dyDescent="0.2">
      <c r="B1386" s="32">
        <v>40077</v>
      </c>
      <c r="C1386">
        <v>4.4135306739200999</v>
      </c>
    </row>
    <row r="1387" spans="2:3" x14ac:dyDescent="0.2">
      <c r="B1387" s="32">
        <v>40074</v>
      </c>
      <c r="C1387">
        <v>4.38724504861732</v>
      </c>
    </row>
    <row r="1388" spans="2:3" x14ac:dyDescent="0.2">
      <c r="B1388" s="32">
        <v>40073</v>
      </c>
      <c r="C1388">
        <v>4.3106149816517698</v>
      </c>
    </row>
    <row r="1389" spans="2:3" x14ac:dyDescent="0.2">
      <c r="B1389" s="32">
        <v>40072</v>
      </c>
      <c r="C1389">
        <v>4.3875037639123304</v>
      </c>
    </row>
    <row r="1390" spans="2:3" x14ac:dyDescent="0.2">
      <c r="B1390" s="32">
        <v>40071</v>
      </c>
      <c r="C1390">
        <v>4.3923528334419304</v>
      </c>
    </row>
    <row r="1391" spans="2:3" x14ac:dyDescent="0.2">
      <c r="B1391" s="32">
        <v>40070</v>
      </c>
      <c r="C1391">
        <v>4.3567155764944898</v>
      </c>
    </row>
    <row r="1392" spans="2:3" x14ac:dyDescent="0.2">
      <c r="B1392" s="32">
        <v>40067</v>
      </c>
      <c r="C1392">
        <v>4.2893929732223901</v>
      </c>
    </row>
    <row r="1393" spans="2:3" x14ac:dyDescent="0.2">
      <c r="B1393" s="32">
        <v>40066</v>
      </c>
      <c r="C1393">
        <v>4.2849705602631802</v>
      </c>
    </row>
    <row r="1394" spans="2:3" x14ac:dyDescent="0.2">
      <c r="B1394" s="32">
        <v>40065</v>
      </c>
      <c r="C1394">
        <v>4.3998633854908302</v>
      </c>
    </row>
    <row r="1395" spans="2:3" x14ac:dyDescent="0.2">
      <c r="B1395" s="32">
        <v>40064</v>
      </c>
      <c r="C1395">
        <v>4.4147056243728899</v>
      </c>
    </row>
    <row r="1396" spans="2:3" x14ac:dyDescent="0.2">
      <c r="B1396" s="32">
        <v>40060</v>
      </c>
      <c r="C1396">
        <v>4.4236895250434403</v>
      </c>
    </row>
    <row r="1397" spans="2:3" x14ac:dyDescent="0.2">
      <c r="B1397" s="32">
        <v>40059</v>
      </c>
      <c r="C1397">
        <v>4.3619708283631802</v>
      </c>
    </row>
    <row r="1398" spans="2:3" x14ac:dyDescent="0.2">
      <c r="B1398" s="32">
        <v>40058</v>
      </c>
      <c r="C1398">
        <v>4.3146942011491198</v>
      </c>
    </row>
    <row r="1399" spans="2:3" x14ac:dyDescent="0.2">
      <c r="B1399" s="32">
        <v>40057</v>
      </c>
      <c r="C1399">
        <v>4.4018032228453601</v>
      </c>
    </row>
    <row r="1400" spans="2:3" x14ac:dyDescent="0.2">
      <c r="B1400" s="32">
        <v>40056</v>
      </c>
      <c r="C1400">
        <v>4.4218428473129299</v>
      </c>
    </row>
    <row r="1401" spans="2:3" x14ac:dyDescent="0.2">
      <c r="B1401" s="32">
        <v>40053</v>
      </c>
      <c r="C1401">
        <v>4.4840186363491501</v>
      </c>
    </row>
    <row r="1402" spans="2:3" x14ac:dyDescent="0.2">
      <c r="B1402" s="32">
        <v>40052</v>
      </c>
      <c r="C1402">
        <v>4.4893181215842404</v>
      </c>
    </row>
    <row r="1403" spans="2:3" x14ac:dyDescent="0.2">
      <c r="B1403" s="32">
        <v>40051</v>
      </c>
      <c r="C1403">
        <v>4.4625044526524196</v>
      </c>
    </row>
    <row r="1404" spans="2:3" x14ac:dyDescent="0.2">
      <c r="B1404" s="32">
        <v>40050</v>
      </c>
      <c r="C1404">
        <v>4.4667812706961696</v>
      </c>
    </row>
    <row r="1405" spans="2:3" x14ac:dyDescent="0.2">
      <c r="B1405" s="32">
        <v>40049</v>
      </c>
      <c r="C1405">
        <v>4.4896940069303302</v>
      </c>
    </row>
    <row r="1406" spans="2:3" x14ac:dyDescent="0.2">
      <c r="B1406" s="32">
        <v>40046</v>
      </c>
      <c r="C1406">
        <v>4.5218268263556496</v>
      </c>
    </row>
    <row r="1407" spans="2:3" x14ac:dyDescent="0.2">
      <c r="B1407" s="32">
        <v>40045</v>
      </c>
      <c r="C1407">
        <v>4.4468130329155198</v>
      </c>
    </row>
    <row r="1408" spans="2:3" x14ac:dyDescent="0.2">
      <c r="B1408" s="32">
        <v>40044</v>
      </c>
      <c r="C1408">
        <v>4.4772482198843999</v>
      </c>
    </row>
    <row r="1409" spans="2:3" x14ac:dyDescent="0.2">
      <c r="B1409" s="32">
        <v>40043</v>
      </c>
      <c r="C1409">
        <v>4.5086621780802796</v>
      </c>
    </row>
    <row r="1410" spans="2:3" x14ac:dyDescent="0.2">
      <c r="B1410" s="32">
        <v>40042</v>
      </c>
      <c r="C1410">
        <v>4.4661577062572499</v>
      </c>
    </row>
    <row r="1411" spans="2:3" x14ac:dyDescent="0.2">
      <c r="B1411" s="32">
        <v>40039</v>
      </c>
      <c r="C1411">
        <v>4.4905768064664304</v>
      </c>
    </row>
    <row r="1412" spans="2:3" x14ac:dyDescent="0.2">
      <c r="B1412" s="32">
        <v>40038</v>
      </c>
      <c r="C1412">
        <v>4.5270636921351999</v>
      </c>
    </row>
    <row r="1413" spans="2:3" x14ac:dyDescent="0.2">
      <c r="B1413" s="32">
        <v>40037</v>
      </c>
      <c r="C1413">
        <v>4.63628090103954</v>
      </c>
    </row>
    <row r="1414" spans="2:3" x14ac:dyDescent="0.2">
      <c r="B1414" s="32">
        <v>40036</v>
      </c>
      <c r="C1414">
        <v>4.6274021600222</v>
      </c>
    </row>
    <row r="1415" spans="2:3" x14ac:dyDescent="0.2">
      <c r="B1415" s="32">
        <v>40035</v>
      </c>
      <c r="C1415">
        <v>4.6941420395</v>
      </c>
    </row>
    <row r="1416" spans="2:3" x14ac:dyDescent="0.2">
      <c r="B1416" s="32">
        <v>40032</v>
      </c>
      <c r="C1416">
        <v>4.8023291340184597</v>
      </c>
    </row>
    <row r="1417" spans="2:3" x14ac:dyDescent="0.2">
      <c r="B1417" s="32">
        <v>40031</v>
      </c>
      <c r="C1417">
        <v>4.7088204691244897</v>
      </c>
    </row>
    <row r="1418" spans="2:3" x14ac:dyDescent="0.2">
      <c r="B1418" s="32">
        <v>40030</v>
      </c>
      <c r="C1418">
        <v>4.69170438695099</v>
      </c>
    </row>
    <row r="1419" spans="2:3" x14ac:dyDescent="0.2">
      <c r="B1419" s="32">
        <v>40029</v>
      </c>
      <c r="C1419">
        <v>4.5781811389704599</v>
      </c>
    </row>
    <row r="1420" spans="2:3" x14ac:dyDescent="0.2">
      <c r="B1420" s="32">
        <v>40028</v>
      </c>
      <c r="C1420">
        <v>4.5200238311858598</v>
      </c>
    </row>
    <row r="1421" spans="2:3" x14ac:dyDescent="0.2">
      <c r="B1421" s="32">
        <v>40025</v>
      </c>
      <c r="C1421">
        <v>4.3966180199050102</v>
      </c>
    </row>
    <row r="1422" spans="2:3" x14ac:dyDescent="0.2">
      <c r="B1422" s="32">
        <v>40024</v>
      </c>
      <c r="C1422">
        <v>4.54111441805032</v>
      </c>
    </row>
    <row r="1423" spans="2:3" x14ac:dyDescent="0.2">
      <c r="B1423" s="32">
        <v>40023</v>
      </c>
      <c r="C1423">
        <v>4.5456448076002696</v>
      </c>
    </row>
    <row r="1424" spans="2:3" x14ac:dyDescent="0.2">
      <c r="B1424" s="32">
        <v>40022</v>
      </c>
      <c r="C1424">
        <v>4.5880604059327803</v>
      </c>
    </row>
    <row r="1425" spans="2:3" x14ac:dyDescent="0.2">
      <c r="B1425" s="32">
        <v>40021</v>
      </c>
      <c r="C1425">
        <v>4.63863921638956</v>
      </c>
    </row>
    <row r="1426" spans="2:3" x14ac:dyDescent="0.2">
      <c r="B1426" s="32">
        <v>40018</v>
      </c>
      <c r="C1426">
        <v>4.6096118243029496</v>
      </c>
    </row>
    <row r="1427" spans="2:3" x14ac:dyDescent="0.2">
      <c r="B1427" s="32">
        <v>40017</v>
      </c>
      <c r="C1427">
        <v>4.6713719716358098</v>
      </c>
    </row>
    <row r="1428" spans="2:3" x14ac:dyDescent="0.2">
      <c r="B1428" s="32">
        <v>40016</v>
      </c>
      <c r="C1428">
        <v>4.4958474326444602</v>
      </c>
    </row>
    <row r="1429" spans="2:3" x14ac:dyDescent="0.2">
      <c r="B1429" s="32">
        <v>40015</v>
      </c>
      <c r="C1429">
        <v>4.4450564746735504</v>
      </c>
    </row>
    <row r="1430" spans="2:3" x14ac:dyDescent="0.2">
      <c r="B1430" s="32">
        <v>40014</v>
      </c>
      <c r="C1430">
        <v>4.5684126556630096</v>
      </c>
    </row>
    <row r="1431" spans="2:3" x14ac:dyDescent="0.2">
      <c r="B1431" s="32">
        <v>40011</v>
      </c>
      <c r="C1431">
        <v>4.6304839866395699</v>
      </c>
    </row>
    <row r="1432" spans="2:3" x14ac:dyDescent="0.2">
      <c r="B1432" s="32">
        <v>40010</v>
      </c>
      <c r="C1432">
        <v>4.5721462536322504</v>
      </c>
    </row>
    <row r="1433" spans="2:3" x14ac:dyDescent="0.2">
      <c r="B1433" s="32">
        <v>40009</v>
      </c>
      <c r="C1433">
        <v>4.6454097169322601</v>
      </c>
    </row>
    <row r="1434" spans="2:3" x14ac:dyDescent="0.2">
      <c r="B1434" s="32">
        <v>40008</v>
      </c>
      <c r="C1434">
        <v>4.4750737593381604</v>
      </c>
    </row>
    <row r="1435" spans="2:3" x14ac:dyDescent="0.2">
      <c r="B1435" s="32">
        <v>40007</v>
      </c>
      <c r="C1435">
        <v>4.4042626448622402</v>
      </c>
    </row>
    <row r="1436" spans="2:3" x14ac:dyDescent="0.2">
      <c r="B1436" s="32">
        <v>40004</v>
      </c>
      <c r="C1436">
        <v>4.3342654887123597</v>
      </c>
    </row>
    <row r="1437" spans="2:3" x14ac:dyDescent="0.2">
      <c r="B1437" s="32">
        <v>40003</v>
      </c>
      <c r="C1437">
        <v>4.4334603391427096</v>
      </c>
    </row>
    <row r="1438" spans="2:3" x14ac:dyDescent="0.2">
      <c r="B1438" s="32">
        <v>40002</v>
      </c>
      <c r="C1438">
        <v>4.3291738104190198</v>
      </c>
    </row>
    <row r="1439" spans="2:3" x14ac:dyDescent="0.2">
      <c r="B1439" s="32">
        <v>40001</v>
      </c>
      <c r="C1439">
        <v>4.47649476719163</v>
      </c>
    </row>
    <row r="1440" spans="2:3" x14ac:dyDescent="0.2">
      <c r="B1440" s="32">
        <v>40000</v>
      </c>
      <c r="C1440">
        <v>4.5132098360502599</v>
      </c>
    </row>
    <row r="1441" spans="2:3" x14ac:dyDescent="0.2">
      <c r="B1441" s="32">
        <v>39996</v>
      </c>
      <c r="C1441">
        <v>4.51238356820474</v>
      </c>
    </row>
    <row r="1442" spans="2:3" x14ac:dyDescent="0.2">
      <c r="B1442" s="32">
        <v>39995</v>
      </c>
      <c r="C1442">
        <v>4.5519930038564898</v>
      </c>
    </row>
    <row r="1443" spans="2:3" x14ac:dyDescent="0.2">
      <c r="B1443" s="32">
        <v>39994</v>
      </c>
      <c r="C1443">
        <v>4.5836926722253999</v>
      </c>
    </row>
    <row r="1444" spans="2:3" x14ac:dyDescent="0.2">
      <c r="B1444" s="32">
        <v>39993</v>
      </c>
      <c r="C1444">
        <v>4.5382302787035904</v>
      </c>
    </row>
    <row r="1445" spans="2:3" x14ac:dyDescent="0.2">
      <c r="B1445" s="32">
        <v>39990</v>
      </c>
      <c r="C1445">
        <v>4.5296267398521097</v>
      </c>
    </row>
    <row r="1446" spans="2:3" x14ac:dyDescent="0.2">
      <c r="B1446" s="32">
        <v>39989</v>
      </c>
      <c r="C1446">
        <v>4.5573550156860199</v>
      </c>
    </row>
    <row r="1447" spans="2:3" x14ac:dyDescent="0.2">
      <c r="B1447" s="32">
        <v>39988</v>
      </c>
      <c r="C1447">
        <v>4.7295240214605601</v>
      </c>
    </row>
    <row r="1448" spans="2:3" x14ac:dyDescent="0.2">
      <c r="B1448" s="32">
        <v>39987</v>
      </c>
      <c r="C1448">
        <v>4.7171670120953504</v>
      </c>
    </row>
    <row r="1449" spans="2:3" x14ac:dyDescent="0.2">
      <c r="B1449" s="32">
        <v>39986</v>
      </c>
      <c r="C1449">
        <v>4.70691842962996</v>
      </c>
    </row>
    <row r="1450" spans="2:3" x14ac:dyDescent="0.2">
      <c r="B1450" s="32">
        <v>39983</v>
      </c>
      <c r="C1450">
        <v>4.7997659816222598</v>
      </c>
    </row>
    <row r="1451" spans="2:3" x14ac:dyDescent="0.2">
      <c r="B1451" s="32">
        <v>39982</v>
      </c>
      <c r="C1451">
        <v>4.8695263849477799</v>
      </c>
    </row>
    <row r="1452" spans="2:3" x14ac:dyDescent="0.2">
      <c r="B1452" s="32">
        <v>39981</v>
      </c>
      <c r="C1452">
        <v>4.5533712237404398</v>
      </c>
    </row>
    <row r="1453" spans="2:3" x14ac:dyDescent="0.2">
      <c r="B1453" s="32">
        <v>39980</v>
      </c>
      <c r="C1453">
        <v>4.6514330531076</v>
      </c>
    </row>
    <row r="1454" spans="2:3" x14ac:dyDescent="0.2">
      <c r="B1454" s="32">
        <v>39979</v>
      </c>
      <c r="C1454">
        <v>4.7158540195913403</v>
      </c>
    </row>
    <row r="1455" spans="2:3" x14ac:dyDescent="0.2">
      <c r="B1455" s="32">
        <v>39976</v>
      </c>
      <c r="C1455">
        <v>4.8431358731509304</v>
      </c>
    </row>
    <row r="1456" spans="2:3" x14ac:dyDescent="0.2">
      <c r="B1456" s="32">
        <v>39975</v>
      </c>
      <c r="C1456">
        <v>4.9733954933239399</v>
      </c>
    </row>
    <row r="1457" spans="2:3" x14ac:dyDescent="0.2">
      <c r="B1457" s="32">
        <v>39974</v>
      </c>
      <c r="C1457">
        <v>5.0580311566362104</v>
      </c>
    </row>
    <row r="1458" spans="2:3" x14ac:dyDescent="0.2">
      <c r="B1458" s="32">
        <v>39973</v>
      </c>
      <c r="C1458">
        <v>4.9680896333680096</v>
      </c>
    </row>
    <row r="1459" spans="2:3" x14ac:dyDescent="0.2">
      <c r="B1459" s="32">
        <v>39972</v>
      </c>
      <c r="C1459">
        <v>5.0210252747438799</v>
      </c>
    </row>
    <row r="1460" spans="2:3" x14ac:dyDescent="0.2">
      <c r="B1460" s="32">
        <v>39969</v>
      </c>
      <c r="C1460">
        <v>4.9133558436838003</v>
      </c>
    </row>
    <row r="1461" spans="2:3" x14ac:dyDescent="0.2">
      <c r="B1461" s="32">
        <v>39968</v>
      </c>
      <c r="C1461">
        <v>4.7247724048366599</v>
      </c>
    </row>
    <row r="1462" spans="2:3" x14ac:dyDescent="0.2">
      <c r="B1462" s="32">
        <v>39967</v>
      </c>
      <c r="C1462">
        <v>4.5316630868018404</v>
      </c>
    </row>
    <row r="1463" spans="2:3" x14ac:dyDescent="0.2">
      <c r="B1463" s="32">
        <v>39966</v>
      </c>
      <c r="C1463">
        <v>4.6038312574802696</v>
      </c>
    </row>
    <row r="1464" spans="2:3" x14ac:dyDescent="0.2">
      <c r="B1464" s="32">
        <v>39965</v>
      </c>
      <c r="C1464">
        <v>4.6571853089091997</v>
      </c>
    </row>
    <row r="1465" spans="2:3" x14ac:dyDescent="0.2">
      <c r="B1465" s="32">
        <v>39962</v>
      </c>
      <c r="C1465">
        <v>4.3482980174609898</v>
      </c>
    </row>
    <row r="1466" spans="2:3" x14ac:dyDescent="0.2">
      <c r="B1466" s="32">
        <v>39961</v>
      </c>
      <c r="C1466">
        <v>4.6970142591137503</v>
      </c>
    </row>
    <row r="1467" spans="2:3" x14ac:dyDescent="0.2">
      <c r="B1467" s="32">
        <v>39960</v>
      </c>
      <c r="C1467">
        <v>4.5461261028594704</v>
      </c>
    </row>
    <row r="1468" spans="2:3" x14ac:dyDescent="0.2">
      <c r="B1468" s="32">
        <v>39959</v>
      </c>
      <c r="C1468">
        <v>4.1847992907242402</v>
      </c>
    </row>
    <row r="1469" spans="2:3" x14ac:dyDescent="0.2">
      <c r="B1469" s="32">
        <v>39955</v>
      </c>
      <c r="C1469">
        <v>4.1267911600136697</v>
      </c>
    </row>
    <row r="1470" spans="2:3" x14ac:dyDescent="0.2">
      <c r="B1470" s="32">
        <v>39954</v>
      </c>
      <c r="C1470">
        <v>4.0624954510543301</v>
      </c>
    </row>
    <row r="1471" spans="2:3" x14ac:dyDescent="0.2">
      <c r="B1471" s="32">
        <v>39953</v>
      </c>
      <c r="C1471">
        <v>3.9658918180527398</v>
      </c>
    </row>
    <row r="1472" spans="2:3" x14ac:dyDescent="0.2">
      <c r="B1472" s="32">
        <v>39952</v>
      </c>
      <c r="C1472">
        <v>4.0019424974542304</v>
      </c>
    </row>
    <row r="1473" spans="2:3" x14ac:dyDescent="0.2">
      <c r="B1473" s="32">
        <v>39951</v>
      </c>
      <c r="C1473">
        <v>3.9990234053017799</v>
      </c>
    </row>
    <row r="1474" spans="2:3" x14ac:dyDescent="0.2">
      <c r="B1474" s="32">
        <v>39948</v>
      </c>
      <c r="C1474">
        <v>3.9483608476023102</v>
      </c>
    </row>
    <row r="1475" spans="2:3" x14ac:dyDescent="0.2">
      <c r="B1475" s="32">
        <v>39947</v>
      </c>
      <c r="C1475">
        <v>3.9377092917489702</v>
      </c>
    </row>
    <row r="1476" spans="2:3" x14ac:dyDescent="0.2">
      <c r="B1476" s="32">
        <v>39946</v>
      </c>
      <c r="C1476">
        <v>3.9344361689485301</v>
      </c>
    </row>
    <row r="1477" spans="2:3" x14ac:dyDescent="0.2">
      <c r="B1477" s="32">
        <v>39945</v>
      </c>
      <c r="C1477">
        <v>3.9836601215814702</v>
      </c>
    </row>
    <row r="1478" spans="2:3" x14ac:dyDescent="0.2">
      <c r="B1478" s="32">
        <v>39944</v>
      </c>
      <c r="C1478">
        <v>3.99949062402847</v>
      </c>
    </row>
    <row r="1479" spans="2:3" x14ac:dyDescent="0.2">
      <c r="B1479" s="32">
        <v>39941</v>
      </c>
      <c r="C1479">
        <v>4.1292620798053701</v>
      </c>
    </row>
    <row r="1480" spans="2:3" x14ac:dyDescent="0.2">
      <c r="B1480" s="32">
        <v>39940</v>
      </c>
      <c r="C1480">
        <v>4.0854192145494599</v>
      </c>
    </row>
    <row r="1481" spans="2:3" x14ac:dyDescent="0.2">
      <c r="B1481" s="32">
        <v>39939</v>
      </c>
      <c r="C1481">
        <v>3.9681320887033702</v>
      </c>
    </row>
    <row r="1482" spans="2:3" x14ac:dyDescent="0.2">
      <c r="B1482" s="32">
        <v>39938</v>
      </c>
      <c r="C1482">
        <v>3.98397047379131</v>
      </c>
    </row>
    <row r="1483" spans="2:3" x14ac:dyDescent="0.2">
      <c r="B1483" s="32">
        <v>39937</v>
      </c>
      <c r="C1483">
        <v>4.0382751963727896</v>
      </c>
    </row>
    <row r="1484" spans="2:3" x14ac:dyDescent="0.2">
      <c r="B1484" s="32">
        <v>39934</v>
      </c>
      <c r="C1484">
        <v>4.0858865652484404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Price D Coupon</vt:lpstr>
      <vt:lpstr>Price</vt:lpstr>
      <vt:lpstr>CurrentCoupon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 Ho</dc:creator>
  <cp:lastModifiedBy>Lien Chen</cp:lastModifiedBy>
  <dcterms:created xsi:type="dcterms:W3CDTF">2015-03-27T19:17:02Z</dcterms:created>
  <dcterms:modified xsi:type="dcterms:W3CDTF">2015-04-06T18:46:59Z</dcterms:modified>
</cp:coreProperties>
</file>