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60" windowWidth="30675" windowHeight="17175"/>
  </bookViews>
  <sheets>
    <sheet name="modelouput" sheetId="1" r:id="rId1"/>
  </sheets>
  <calcPr calcId="145621"/>
  <fileRecoveryPr repairLoad="1"/>
</workbook>
</file>

<file path=xl/calcChain.xml><?xml version="1.0" encoding="utf-8"?>
<calcChain xmlns="http://schemas.openxmlformats.org/spreadsheetml/2006/main">
  <c r="D52" i="1" l="1"/>
  <c r="C52" i="1"/>
  <c r="B52" i="1"/>
  <c r="M48" i="1"/>
  <c r="L48" i="1"/>
  <c r="K48" i="1"/>
  <c r="J48" i="1"/>
  <c r="I48" i="1"/>
  <c r="M47" i="1"/>
  <c r="L47" i="1"/>
  <c r="K47" i="1"/>
  <c r="J47" i="1"/>
  <c r="I47" i="1"/>
  <c r="M46" i="1"/>
  <c r="L46" i="1"/>
  <c r="K46" i="1"/>
  <c r="J46" i="1"/>
  <c r="I46" i="1"/>
  <c r="L45" i="1"/>
  <c r="M45" i="1"/>
  <c r="K45" i="1"/>
  <c r="J45" i="1"/>
  <c r="I45" i="1"/>
  <c r="M44" i="1"/>
  <c r="L44" i="1"/>
  <c r="K44" i="1"/>
  <c r="J44" i="1"/>
  <c r="I44" i="1"/>
  <c r="L43" i="1"/>
  <c r="M43" i="1"/>
  <c r="K43" i="1"/>
  <c r="J43" i="1"/>
  <c r="I43" i="1"/>
  <c r="L42" i="1"/>
  <c r="M42" i="1"/>
  <c r="K42" i="1"/>
  <c r="J42" i="1"/>
  <c r="I42" i="1"/>
  <c r="L41" i="1"/>
  <c r="M41" i="1"/>
  <c r="K41" i="1"/>
  <c r="J41" i="1"/>
  <c r="I41" i="1"/>
  <c r="M40" i="1"/>
  <c r="L40" i="1"/>
  <c r="K40" i="1"/>
  <c r="J40" i="1"/>
  <c r="I40" i="1"/>
  <c r="M39" i="1"/>
  <c r="L39" i="1"/>
  <c r="K39" i="1"/>
  <c r="J39" i="1"/>
  <c r="I39" i="1"/>
  <c r="L38" i="1"/>
  <c r="M38" i="1"/>
  <c r="K38" i="1"/>
  <c r="J38" i="1"/>
  <c r="I38" i="1"/>
  <c r="L37" i="1"/>
  <c r="M37" i="1"/>
  <c r="K37" i="1"/>
  <c r="J37" i="1"/>
  <c r="I37" i="1"/>
  <c r="M36" i="1"/>
  <c r="L36" i="1"/>
  <c r="K36" i="1"/>
  <c r="J36" i="1"/>
  <c r="I36" i="1"/>
  <c r="L35" i="1"/>
  <c r="M35" i="1"/>
  <c r="K35" i="1"/>
  <c r="J35" i="1"/>
  <c r="I35" i="1"/>
  <c r="L34" i="1"/>
  <c r="M34" i="1"/>
  <c r="K34" i="1"/>
  <c r="J34" i="1"/>
  <c r="I34" i="1"/>
  <c r="L33" i="1"/>
  <c r="M33" i="1"/>
  <c r="K33" i="1"/>
  <c r="J33" i="1"/>
  <c r="I33" i="1"/>
  <c r="M32" i="1"/>
  <c r="L32" i="1"/>
  <c r="K32" i="1"/>
  <c r="J32" i="1"/>
  <c r="I32" i="1"/>
  <c r="M31" i="1"/>
  <c r="L31" i="1"/>
  <c r="K31" i="1"/>
  <c r="J31" i="1"/>
  <c r="I31" i="1"/>
  <c r="M30" i="1"/>
  <c r="L30" i="1"/>
  <c r="K30" i="1"/>
  <c r="J30" i="1"/>
  <c r="I30" i="1"/>
  <c r="L29" i="1"/>
  <c r="M29" i="1"/>
  <c r="K29" i="1"/>
  <c r="J29" i="1"/>
  <c r="I29" i="1"/>
  <c r="M28" i="1"/>
  <c r="L28" i="1"/>
  <c r="K28" i="1"/>
  <c r="J28" i="1"/>
  <c r="I28" i="1"/>
  <c r="L27" i="1"/>
  <c r="M27" i="1"/>
  <c r="K27" i="1"/>
  <c r="J27" i="1"/>
  <c r="I27" i="1"/>
  <c r="L26" i="1"/>
  <c r="M26" i="1"/>
  <c r="K26" i="1"/>
  <c r="J26" i="1"/>
  <c r="I26" i="1"/>
  <c r="L25" i="1"/>
  <c r="M25" i="1"/>
  <c r="K25" i="1"/>
  <c r="J25" i="1"/>
  <c r="I25" i="1"/>
  <c r="M24" i="1"/>
  <c r="L24" i="1"/>
  <c r="K24" i="1"/>
  <c r="J24" i="1"/>
  <c r="I24" i="1"/>
  <c r="M23" i="1"/>
  <c r="L23" i="1"/>
  <c r="K23" i="1"/>
  <c r="J23" i="1"/>
  <c r="I23" i="1"/>
  <c r="M22" i="1"/>
  <c r="L22" i="1"/>
  <c r="K22" i="1"/>
  <c r="J22" i="1"/>
  <c r="I22" i="1"/>
  <c r="L21" i="1"/>
  <c r="M21" i="1"/>
  <c r="K21" i="1"/>
  <c r="J21" i="1"/>
  <c r="I21" i="1"/>
  <c r="M20" i="1"/>
  <c r="L20" i="1"/>
  <c r="K20" i="1"/>
  <c r="J20" i="1"/>
  <c r="I20" i="1"/>
  <c r="L19" i="1"/>
  <c r="M19" i="1"/>
  <c r="K19" i="1"/>
  <c r="J19" i="1"/>
  <c r="I19" i="1"/>
  <c r="L18" i="1"/>
  <c r="M18" i="1"/>
  <c r="K18" i="1"/>
  <c r="J18" i="1"/>
  <c r="I18" i="1"/>
  <c r="L17" i="1"/>
  <c r="M17" i="1"/>
  <c r="K17" i="1"/>
  <c r="J17" i="1"/>
  <c r="I17" i="1"/>
  <c r="M16" i="1"/>
  <c r="L16" i="1"/>
  <c r="K16" i="1"/>
  <c r="J16" i="1"/>
  <c r="I16" i="1"/>
  <c r="M15" i="1"/>
  <c r="L15" i="1"/>
  <c r="K15" i="1"/>
  <c r="J15" i="1"/>
  <c r="I15" i="1"/>
  <c r="M14" i="1"/>
  <c r="L14" i="1"/>
  <c r="K14" i="1"/>
  <c r="J14" i="1"/>
  <c r="I14" i="1"/>
  <c r="L13" i="1"/>
  <c r="M13" i="1"/>
  <c r="K13" i="1"/>
  <c r="J13" i="1"/>
  <c r="I13" i="1"/>
  <c r="M12" i="1"/>
  <c r="L12" i="1"/>
  <c r="K12" i="1"/>
  <c r="J12" i="1"/>
  <c r="I12" i="1"/>
  <c r="L11" i="1"/>
  <c r="M11" i="1"/>
  <c r="K11" i="1"/>
  <c r="J11" i="1"/>
  <c r="I11" i="1"/>
  <c r="L10" i="1"/>
  <c r="M10" i="1"/>
  <c r="K10" i="1"/>
  <c r="J10" i="1"/>
  <c r="I10" i="1"/>
  <c r="L9" i="1"/>
  <c r="M9" i="1"/>
  <c r="K9" i="1"/>
  <c r="J9" i="1"/>
  <c r="I9" i="1"/>
  <c r="M8" i="1"/>
  <c r="L8" i="1"/>
  <c r="K8" i="1"/>
  <c r="J8" i="1"/>
  <c r="I8" i="1"/>
  <c r="M7" i="1"/>
  <c r="L7" i="1"/>
  <c r="K7" i="1"/>
  <c r="J7" i="1"/>
  <c r="I7" i="1"/>
  <c r="M6" i="1"/>
  <c r="L6" i="1"/>
  <c r="K6" i="1"/>
  <c r="J6" i="1"/>
  <c r="I6" i="1"/>
  <c r="L5" i="1"/>
  <c r="M5" i="1"/>
  <c r="K5" i="1"/>
  <c r="J5" i="1"/>
  <c r="I5" i="1"/>
  <c r="M4" i="1"/>
  <c r="L4" i="1"/>
  <c r="K4" i="1"/>
  <c r="J4" i="1"/>
  <c r="I4" i="1"/>
  <c r="L3" i="1"/>
  <c r="M3" i="1"/>
  <c r="K3" i="1"/>
  <c r="J3" i="1"/>
  <c r="I3" i="1"/>
  <c r="L2" i="1"/>
  <c r="M2" i="1"/>
  <c r="L51" i="1"/>
  <c r="K2" i="1"/>
  <c r="D51" i="1"/>
  <c r="D53" i="1"/>
  <c r="J2" i="1"/>
  <c r="C51" i="1"/>
  <c r="C53" i="1"/>
  <c r="I2" i="1"/>
  <c r="B51" i="1"/>
  <c r="B53" i="1"/>
  <c r="L53" i="1"/>
  <c r="L52" i="1"/>
</calcChain>
</file>

<file path=xl/sharedStrings.xml><?xml version="1.0" encoding="utf-8"?>
<sst xmlns="http://schemas.openxmlformats.org/spreadsheetml/2006/main" count="15" uniqueCount="15">
  <si>
    <t>Date</t>
  </si>
  <si>
    <t>MonthlyReturn</t>
  </si>
  <si>
    <t>ModelReturn</t>
  </si>
  <si>
    <t>zscore</t>
  </si>
  <si>
    <t>k</t>
  </si>
  <si>
    <t>OptReturn</t>
  </si>
  <si>
    <t>PercentError</t>
  </si>
  <si>
    <t>Passive</t>
  </si>
  <si>
    <t>Average Return</t>
  </si>
  <si>
    <t>Std Deviation</t>
  </si>
  <si>
    <t>Sharpe Ratio</t>
  </si>
  <si>
    <t>Regression Model</t>
  </si>
  <si>
    <t>K Strategy</t>
  </si>
  <si>
    <t>Zscore*ModelReturn</t>
  </si>
  <si>
    <t>Zscore*MonthlyReturn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</si>
</sst>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F53"/>
  <sheetViews>
    <sheetView tabSelected="1" workbookViewId="0">
      <selection activeCell="R28" sqref="R28"/>
    </sheetView>
  </sheetViews>
  <sheetFormatPr defaultRowHeight="15" x14ac:dyDescent="0.25"/>
  <cols>
    <col min="1" max="1" width="14.85546875" bestFit="1" customWidth="1"/>
    <col min="9" max="11" width="9.140625" hidden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L1" t="s">
        <v>14</v>
      </c>
    </row>
    <row r="2" spans="1:13" x14ac:dyDescent="0.25">
      <c r="A2" s="1">
        <v>40662</v>
      </c>
      <c r="B2">
        <v>399.5</v>
      </c>
      <c r="C2">
        <v>499.67203368251501</v>
      </c>
      <c r="D2">
        <v>0.83392370996315202</v>
      </c>
      <c r="E2" s="2">
        <v>2.9782280908843699E-6</v>
      </c>
      <c r="F2">
        <v>1.48813728694258E-3</v>
      </c>
      <c r="G2">
        <v>0.25074351359828401</v>
      </c>
      <c r="I2">
        <f>B2+10000</f>
        <v>10399.5</v>
      </c>
      <c r="J2">
        <f>C2+10000</f>
        <v>10499.672033682515</v>
      </c>
      <c r="K2">
        <f>F2+10000</f>
        <v>10000.001488137286</v>
      </c>
      <c r="L2">
        <f>D2*B2</f>
        <v>333.15252213027924</v>
      </c>
      <c r="M2">
        <f>L2+10000</f>
        <v>10333.15252213028</v>
      </c>
    </row>
    <row r="3" spans="1:13" x14ac:dyDescent="0.25">
      <c r="A3" s="1">
        <v>40694</v>
      </c>
      <c r="B3">
        <v>368.4</v>
      </c>
      <c r="C3">
        <v>533.037308268846</v>
      </c>
      <c r="D3">
        <v>0.89808795327053204</v>
      </c>
      <c r="E3" s="2">
        <v>3.0850634446294902E-6</v>
      </c>
      <c r="F3">
        <v>1.64445391436392E-3</v>
      </c>
      <c r="G3">
        <v>0.44689823091434899</v>
      </c>
      <c r="I3">
        <f t="shared" ref="I3:I48" si="0">B3+10000</f>
        <v>10368.4</v>
      </c>
      <c r="J3">
        <f t="shared" ref="J3:J48" si="1">C3+10000</f>
        <v>10533.037308268846</v>
      </c>
      <c r="K3">
        <f t="shared" ref="K3:K48" si="2">F3+10000</f>
        <v>10000.001644453914</v>
      </c>
      <c r="L3">
        <f t="shared" ref="L3:L48" si="3">D3*B3</f>
        <v>330.85560198486399</v>
      </c>
      <c r="M3">
        <f t="shared" ref="M3:M48" si="4">L3+10000</f>
        <v>10330.855601984864</v>
      </c>
    </row>
    <row r="4" spans="1:13" x14ac:dyDescent="0.25">
      <c r="A4" s="1">
        <v>40724</v>
      </c>
      <c r="B4">
        <v>-89.7</v>
      </c>
      <c r="C4">
        <v>305.10285487757301</v>
      </c>
      <c r="D4">
        <v>0.459750732706382</v>
      </c>
      <c r="E4" s="2">
        <v>2.3552190701811501E-6</v>
      </c>
      <c r="F4">
        <v>7.1858406217437305E-4</v>
      </c>
      <c r="G4">
        <v>4.4013696195938996</v>
      </c>
      <c r="I4">
        <f t="shared" si="0"/>
        <v>9910.2999999999993</v>
      </c>
      <c r="J4">
        <f t="shared" si="1"/>
        <v>10305.102854877572</v>
      </c>
      <c r="K4">
        <f t="shared" si="2"/>
        <v>10000.000718584062</v>
      </c>
      <c r="L4">
        <f t="shared" si="3"/>
        <v>-41.23964072376247</v>
      </c>
      <c r="M4">
        <f t="shared" si="4"/>
        <v>9958.7603592762371</v>
      </c>
    </row>
    <row r="5" spans="1:13" x14ac:dyDescent="0.25">
      <c r="A5" s="1">
        <v>40753</v>
      </c>
      <c r="B5">
        <v>-70.5</v>
      </c>
      <c r="C5">
        <v>-1113.8302203000401</v>
      </c>
      <c r="D5">
        <v>-2.2689775094967302</v>
      </c>
      <c r="E5" s="2">
        <v>-2.18819377166484E-6</v>
      </c>
      <c r="F5">
        <v>2.43727635075262E-3</v>
      </c>
      <c r="G5">
        <v>14.799010217021801</v>
      </c>
      <c r="I5">
        <f t="shared" si="0"/>
        <v>9929.5</v>
      </c>
      <c r="J5">
        <f t="shared" si="1"/>
        <v>8886.1697796999597</v>
      </c>
      <c r="K5">
        <f t="shared" si="2"/>
        <v>10000.002437276351</v>
      </c>
      <c r="L5">
        <f t="shared" si="3"/>
        <v>159.96291441951948</v>
      </c>
      <c r="M5">
        <f t="shared" si="4"/>
        <v>10159.962914419519</v>
      </c>
    </row>
    <row r="6" spans="1:13" x14ac:dyDescent="0.25">
      <c r="A6" s="1">
        <v>40786</v>
      </c>
      <c r="B6">
        <v>-1294</v>
      </c>
      <c r="C6">
        <v>-779.43845910377297</v>
      </c>
      <c r="D6">
        <v>-1.62591388747067</v>
      </c>
      <c r="E6" s="2">
        <v>-1.11747391277619E-6</v>
      </c>
      <c r="F6">
        <v>8.7100214466293295E-4</v>
      </c>
      <c r="G6">
        <v>0.39765188631856802</v>
      </c>
      <c r="I6">
        <f t="shared" si="0"/>
        <v>8706</v>
      </c>
      <c r="J6">
        <f t="shared" si="1"/>
        <v>9220.5615408962276</v>
      </c>
      <c r="K6">
        <f t="shared" si="2"/>
        <v>10000.000871002145</v>
      </c>
      <c r="L6">
        <f t="shared" si="3"/>
        <v>2103.9325703870468</v>
      </c>
      <c r="M6">
        <f t="shared" si="4"/>
        <v>12103.932570387047</v>
      </c>
    </row>
    <row r="7" spans="1:13" x14ac:dyDescent="0.25">
      <c r="A7" s="1">
        <v>40816</v>
      </c>
      <c r="B7">
        <v>-1064.5999999999999</v>
      </c>
      <c r="C7">
        <v>-355.340711005983</v>
      </c>
      <c r="D7">
        <v>-0.81033807002464797</v>
      </c>
      <c r="E7" s="2">
        <v>2.40483829285946E-7</v>
      </c>
      <c r="F7" s="2">
        <v>-8.5453694883909402E-5</v>
      </c>
      <c r="G7">
        <v>0.66622138736992098</v>
      </c>
      <c r="I7">
        <f t="shared" si="0"/>
        <v>8935.4</v>
      </c>
      <c r="J7">
        <f t="shared" si="1"/>
        <v>9644.6592889940166</v>
      </c>
      <c r="K7">
        <f t="shared" si="2"/>
        <v>9999.9999145463044</v>
      </c>
      <c r="L7">
        <f t="shared" si="3"/>
        <v>862.6859093482401</v>
      </c>
      <c r="M7">
        <f t="shared" si="4"/>
        <v>10862.68590934824</v>
      </c>
    </row>
    <row r="8" spans="1:13" x14ac:dyDescent="0.25">
      <c r="A8" s="1">
        <v>40847</v>
      </c>
      <c r="B8">
        <v>235.9</v>
      </c>
      <c r="C8">
        <v>97.680785471739895</v>
      </c>
      <c r="D8">
        <v>6.0860560403460301E-2</v>
      </c>
      <c r="E8" s="2">
        <v>1.6910551921894E-6</v>
      </c>
      <c r="F8">
        <v>1.65183599449124E-4</v>
      </c>
      <c r="G8">
        <v>0.58592291025120902</v>
      </c>
      <c r="I8">
        <f t="shared" si="0"/>
        <v>10235.9</v>
      </c>
      <c r="J8">
        <f t="shared" si="1"/>
        <v>10097.680785471739</v>
      </c>
      <c r="K8">
        <f t="shared" si="2"/>
        <v>10000.000165183599</v>
      </c>
      <c r="L8">
        <f t="shared" si="3"/>
        <v>14.357006199176285</v>
      </c>
      <c r="M8">
        <f t="shared" si="4"/>
        <v>10014.357006199176</v>
      </c>
    </row>
    <row r="9" spans="1:13" x14ac:dyDescent="0.25">
      <c r="A9" s="1">
        <v>40877</v>
      </c>
      <c r="B9">
        <v>144.1</v>
      </c>
      <c r="C9">
        <v>-91.068558123420701</v>
      </c>
      <c r="D9">
        <v>-0.30212038180972001</v>
      </c>
      <c r="E9" s="2">
        <v>1.0866812392650101E-6</v>
      </c>
      <c r="F9" s="2">
        <v>-9.8962493599636105E-5</v>
      </c>
      <c r="G9">
        <v>1.6319816663665601</v>
      </c>
      <c r="I9">
        <f t="shared" si="0"/>
        <v>10144.1</v>
      </c>
      <c r="J9">
        <f t="shared" si="1"/>
        <v>9908.9314418765789</v>
      </c>
      <c r="K9">
        <f t="shared" si="2"/>
        <v>9999.9999010375068</v>
      </c>
      <c r="L9">
        <f t="shared" si="3"/>
        <v>-43.535547018780655</v>
      </c>
      <c r="M9">
        <f t="shared" si="4"/>
        <v>9956.4644529812194</v>
      </c>
    </row>
    <row r="10" spans="1:13" x14ac:dyDescent="0.25">
      <c r="A10" s="1">
        <v>40907</v>
      </c>
      <c r="B10">
        <v>58.3</v>
      </c>
      <c r="C10">
        <v>-161.007951195972</v>
      </c>
      <c r="D10">
        <v>-0.43661974647899798</v>
      </c>
      <c r="E10" s="2">
        <v>8.6273583817766696E-7</v>
      </c>
      <c r="F10">
        <v>-1.3890732972832501E-4</v>
      </c>
      <c r="G10">
        <v>3.7617144287473701</v>
      </c>
      <c r="I10">
        <f t="shared" si="0"/>
        <v>10058.299999999999</v>
      </c>
      <c r="J10">
        <f t="shared" si="1"/>
        <v>9838.9920488040279</v>
      </c>
      <c r="K10">
        <f t="shared" si="2"/>
        <v>9999.9998610926705</v>
      </c>
      <c r="L10">
        <f t="shared" si="3"/>
        <v>-25.45493121972558</v>
      </c>
      <c r="M10">
        <f t="shared" si="4"/>
        <v>9974.545068780275</v>
      </c>
    </row>
    <row r="11" spans="1:13" x14ac:dyDescent="0.25">
      <c r="A11" s="1">
        <v>40939</v>
      </c>
      <c r="B11">
        <v>-302.5</v>
      </c>
      <c r="C11">
        <v>52.9290595320075</v>
      </c>
      <c r="D11">
        <v>-2.52007913229387E-2</v>
      </c>
      <c r="E11" s="2">
        <v>1.5477605083975599E-6</v>
      </c>
      <c r="F11" s="2">
        <v>8.1921508090264703E-5</v>
      </c>
      <c r="G11">
        <v>1.1749720976264699</v>
      </c>
      <c r="I11">
        <f t="shared" si="0"/>
        <v>9697.5</v>
      </c>
      <c r="J11">
        <f t="shared" si="1"/>
        <v>10052.929059532007</v>
      </c>
      <c r="K11">
        <f t="shared" si="2"/>
        <v>10000.000081921507</v>
      </c>
      <c r="L11">
        <f t="shared" si="3"/>
        <v>7.6232393751889571</v>
      </c>
      <c r="M11">
        <f t="shared" si="4"/>
        <v>10007.623239375189</v>
      </c>
    </row>
    <row r="12" spans="1:13" x14ac:dyDescent="0.25">
      <c r="A12" s="1">
        <v>40968</v>
      </c>
      <c r="B12">
        <v>1155.7</v>
      </c>
      <c r="C12">
        <v>652.51029913358002</v>
      </c>
      <c r="D12">
        <v>1.1278446134373701</v>
      </c>
      <c r="E12" s="2">
        <v>3.4676150465650699E-6</v>
      </c>
      <c r="F12">
        <v>2.2626545313142801E-3</v>
      </c>
      <c r="G12">
        <v>0.43539820097466497</v>
      </c>
      <c r="I12">
        <f t="shared" si="0"/>
        <v>11155.7</v>
      </c>
      <c r="J12">
        <f t="shared" si="1"/>
        <v>10652.510299133581</v>
      </c>
      <c r="K12">
        <f t="shared" si="2"/>
        <v>10000.002262654531</v>
      </c>
      <c r="L12">
        <f t="shared" si="3"/>
        <v>1303.4500197495686</v>
      </c>
      <c r="M12">
        <f t="shared" si="4"/>
        <v>11303.450019749569</v>
      </c>
    </row>
    <row r="13" spans="1:13" x14ac:dyDescent="0.25">
      <c r="A13" s="1">
        <v>40998</v>
      </c>
      <c r="B13">
        <v>714</v>
      </c>
      <c r="C13">
        <v>465.66634468504799</v>
      </c>
      <c r="D13">
        <v>0.76852789561063495</v>
      </c>
      <c r="E13" s="2">
        <v>2.8693421350984899E-6</v>
      </c>
      <c r="F13">
        <v>1.33615606370211E-3</v>
      </c>
      <c r="G13">
        <v>0.34780623993690701</v>
      </c>
      <c r="I13">
        <f t="shared" si="0"/>
        <v>10714</v>
      </c>
      <c r="J13">
        <f t="shared" si="1"/>
        <v>10465.666344685047</v>
      </c>
      <c r="K13">
        <f t="shared" si="2"/>
        <v>10000.001336156063</v>
      </c>
      <c r="L13">
        <f t="shared" si="3"/>
        <v>548.72891746599339</v>
      </c>
      <c r="M13">
        <f t="shared" si="4"/>
        <v>10548.728917465993</v>
      </c>
    </row>
    <row r="14" spans="1:13" x14ac:dyDescent="0.25">
      <c r="A14" s="1">
        <v>41029</v>
      </c>
      <c r="B14">
        <v>-200.7</v>
      </c>
      <c r="C14">
        <v>-22.773179327964801</v>
      </c>
      <c r="D14">
        <v>-0.170782595559446</v>
      </c>
      <c r="E14" s="2">
        <v>1.3053625192254199E-6</v>
      </c>
      <c r="F14" s="2">
        <v>-2.9727254738324502E-5</v>
      </c>
      <c r="G14">
        <v>0.88653124400615402</v>
      </c>
      <c r="I14">
        <f t="shared" si="0"/>
        <v>9799.2999999999993</v>
      </c>
      <c r="J14">
        <f t="shared" si="1"/>
        <v>9977.2268206720346</v>
      </c>
      <c r="K14">
        <f t="shared" si="2"/>
        <v>9999.9999702727455</v>
      </c>
      <c r="L14">
        <f t="shared" si="3"/>
        <v>34.276066928780807</v>
      </c>
      <c r="M14">
        <f t="shared" si="4"/>
        <v>10034.27606692878</v>
      </c>
    </row>
    <row r="15" spans="1:13" x14ac:dyDescent="0.25">
      <c r="A15" s="1">
        <v>41060</v>
      </c>
      <c r="B15">
        <v>-718.5</v>
      </c>
      <c r="C15">
        <v>19.087396070874899</v>
      </c>
      <c r="D15">
        <v>-9.0281170704444594E-2</v>
      </c>
      <c r="E15" s="2">
        <v>1.4393997611230701E-6</v>
      </c>
      <c r="F15" s="2">
        <v>2.74743933448787E-5</v>
      </c>
      <c r="G15">
        <v>1.0265656173568201</v>
      </c>
      <c r="I15">
        <f t="shared" si="0"/>
        <v>9281.5</v>
      </c>
      <c r="J15">
        <f t="shared" si="1"/>
        <v>10019.087396070874</v>
      </c>
      <c r="K15">
        <f t="shared" si="2"/>
        <v>10000.000027474392</v>
      </c>
      <c r="L15">
        <f t="shared" si="3"/>
        <v>64.867021151143447</v>
      </c>
      <c r="M15">
        <f t="shared" si="4"/>
        <v>10064.867021151143</v>
      </c>
    </row>
    <row r="16" spans="1:13" x14ac:dyDescent="0.25">
      <c r="A16" s="1">
        <v>41089</v>
      </c>
      <c r="B16">
        <v>438.9</v>
      </c>
      <c r="C16">
        <v>519.79498397795805</v>
      </c>
      <c r="D16">
        <v>0.87262184432072398</v>
      </c>
      <c r="E16" s="2">
        <v>3.0426616236474999E-6</v>
      </c>
      <c r="F16">
        <v>1.5815602499142001E-3</v>
      </c>
      <c r="G16">
        <v>0.18431301886069301</v>
      </c>
      <c r="I16">
        <f t="shared" si="0"/>
        <v>10438.9</v>
      </c>
      <c r="J16">
        <f t="shared" si="1"/>
        <v>10519.794983977958</v>
      </c>
      <c r="K16">
        <f t="shared" si="2"/>
        <v>10000.001581560249</v>
      </c>
      <c r="L16">
        <f t="shared" si="3"/>
        <v>382.99372747236572</v>
      </c>
      <c r="M16">
        <f t="shared" si="4"/>
        <v>10382.993727472365</v>
      </c>
    </row>
    <row r="17" spans="1:32" x14ac:dyDescent="0.25">
      <c r="A17" s="1">
        <v>41121</v>
      </c>
      <c r="B17">
        <v>620.6</v>
      </c>
      <c r="C17">
        <v>444.213512139204</v>
      </c>
      <c r="D17">
        <v>0.72727228527413501</v>
      </c>
      <c r="E17" s="2">
        <v>2.80065032955258E-6</v>
      </c>
      <c r="F17">
        <v>1.2440867191643699E-3</v>
      </c>
      <c r="G17">
        <v>0.28421928433902</v>
      </c>
      <c r="I17">
        <f t="shared" si="0"/>
        <v>10620.6</v>
      </c>
      <c r="J17">
        <f t="shared" si="1"/>
        <v>10444.213512139204</v>
      </c>
      <c r="K17">
        <f t="shared" si="2"/>
        <v>10000.001244086719</v>
      </c>
      <c r="L17">
        <f t="shared" si="3"/>
        <v>451.34518024112822</v>
      </c>
      <c r="M17">
        <f t="shared" si="4"/>
        <v>10451.345180241129</v>
      </c>
    </row>
    <row r="18" spans="1:32" x14ac:dyDescent="0.25">
      <c r="A18" s="1">
        <v>41152</v>
      </c>
      <c r="B18">
        <v>601.29999999999995</v>
      </c>
      <c r="C18">
        <v>208.733674480372</v>
      </c>
      <c r="D18">
        <v>0.27442465297221802</v>
      </c>
      <c r="E18" s="2">
        <v>2.0466456924550699E-6</v>
      </c>
      <c r="F18">
        <v>4.2720387574557298E-4</v>
      </c>
      <c r="G18">
        <v>0.652862673406998</v>
      </c>
      <c r="I18">
        <f t="shared" si="0"/>
        <v>10601.3</v>
      </c>
      <c r="J18">
        <f t="shared" si="1"/>
        <v>10208.733674480372</v>
      </c>
      <c r="K18">
        <f t="shared" si="2"/>
        <v>10000.000427203875</v>
      </c>
      <c r="L18">
        <f t="shared" si="3"/>
        <v>165.01154383219469</v>
      </c>
      <c r="M18">
        <f t="shared" si="4"/>
        <v>10165.011543832195</v>
      </c>
    </row>
    <row r="19" spans="1:32" x14ac:dyDescent="0.25">
      <c r="A19" s="1">
        <v>41180</v>
      </c>
      <c r="B19">
        <v>-398.4</v>
      </c>
      <c r="C19">
        <v>-27.536950585629501</v>
      </c>
      <c r="D19">
        <v>-0.179943730356842</v>
      </c>
      <c r="E19" s="2">
        <v>1.2901089601349199E-6</v>
      </c>
      <c r="F19" s="2">
        <v>-3.55256666853132E-5</v>
      </c>
      <c r="G19">
        <v>0.93088114812844003</v>
      </c>
      <c r="I19">
        <f t="shared" si="0"/>
        <v>9601.6</v>
      </c>
      <c r="J19">
        <f t="shared" si="1"/>
        <v>9972.4630494143712</v>
      </c>
      <c r="K19">
        <f t="shared" si="2"/>
        <v>9999.999964474333</v>
      </c>
      <c r="L19">
        <f t="shared" si="3"/>
        <v>71.689582174165849</v>
      </c>
      <c r="M19">
        <f t="shared" si="4"/>
        <v>10071.689582174165</v>
      </c>
    </row>
    <row r="20" spans="1:32" x14ac:dyDescent="0.25">
      <c r="A20" s="1">
        <v>41213</v>
      </c>
      <c r="B20">
        <v>15.6</v>
      </c>
      <c r="C20">
        <v>-61.2698997244228</v>
      </c>
      <c r="D20">
        <v>-0.244815042907157</v>
      </c>
      <c r="E20" s="2">
        <v>1.1820963152881199E-6</v>
      </c>
      <c r="F20" s="2">
        <v>-7.2426922702313102E-5</v>
      </c>
      <c r="G20">
        <v>4.9275576746424896</v>
      </c>
      <c r="I20">
        <f t="shared" si="0"/>
        <v>10015.6</v>
      </c>
      <c r="J20">
        <f t="shared" si="1"/>
        <v>9938.7301002755776</v>
      </c>
      <c r="K20">
        <f t="shared" si="2"/>
        <v>9999.999927573077</v>
      </c>
      <c r="L20">
        <f t="shared" si="3"/>
        <v>-3.8191146693516491</v>
      </c>
      <c r="M20">
        <f t="shared" si="4"/>
        <v>9996.1808853306484</v>
      </c>
    </row>
    <row r="21" spans="1:32" x14ac:dyDescent="0.25">
      <c r="A21" s="1">
        <v>41243</v>
      </c>
      <c r="B21">
        <v>-372.5</v>
      </c>
      <c r="C21">
        <v>29.178940595881901</v>
      </c>
      <c r="D21">
        <v>-7.0874277571454494E-2</v>
      </c>
      <c r="E21" s="2">
        <v>1.47171280942046E-6</v>
      </c>
      <c r="F21" s="2">
        <v>4.2943020640277999E-5</v>
      </c>
      <c r="G21">
        <v>1.0783327264319</v>
      </c>
      <c r="I21">
        <f t="shared" si="0"/>
        <v>9627.5</v>
      </c>
      <c r="J21">
        <f t="shared" si="1"/>
        <v>10029.178940595883</v>
      </c>
      <c r="K21">
        <f t="shared" si="2"/>
        <v>10000.00004294302</v>
      </c>
      <c r="L21">
        <f t="shared" si="3"/>
        <v>26.4006683953668</v>
      </c>
      <c r="M21">
        <f t="shared" si="4"/>
        <v>10026.400668395367</v>
      </c>
    </row>
    <row r="22" spans="1:32" x14ac:dyDescent="0.25">
      <c r="A22" s="1">
        <v>41274</v>
      </c>
      <c r="B22">
        <v>266.2</v>
      </c>
      <c r="C22">
        <v>15.862479244026799</v>
      </c>
      <c r="D22">
        <v>-9.6482958356110093E-2</v>
      </c>
      <c r="E22" s="2">
        <v>1.4290736021369201E-6</v>
      </c>
      <c r="F22" s="2">
        <v>2.2668650352083599E-5</v>
      </c>
      <c r="G22">
        <v>0.94041142282484302</v>
      </c>
      <c r="I22">
        <f t="shared" si="0"/>
        <v>10266.200000000001</v>
      </c>
      <c r="J22">
        <f t="shared" si="1"/>
        <v>10015.862479244026</v>
      </c>
      <c r="K22">
        <f t="shared" si="2"/>
        <v>10000.00002266865</v>
      </c>
      <c r="L22">
        <f t="shared" si="3"/>
        <v>-25.683763514396507</v>
      </c>
      <c r="M22">
        <f t="shared" si="4"/>
        <v>9974.3162364856034</v>
      </c>
    </row>
    <row r="23" spans="1:32" x14ac:dyDescent="0.25">
      <c r="A23" s="1">
        <v>41305</v>
      </c>
      <c r="B23">
        <v>289.2</v>
      </c>
      <c r="C23">
        <v>108.019788671546</v>
      </c>
      <c r="D23">
        <v>8.0743337485111699E-2</v>
      </c>
      <c r="E23" s="2">
        <v>1.72416060126868E-6</v>
      </c>
      <c r="F23">
        <v>1.8624346378484801E-4</v>
      </c>
      <c r="G23">
        <v>0.62648759103891505</v>
      </c>
      <c r="I23">
        <f t="shared" si="0"/>
        <v>10289.200000000001</v>
      </c>
      <c r="J23">
        <f t="shared" si="1"/>
        <v>10108.019788671547</v>
      </c>
      <c r="K23">
        <f t="shared" si="2"/>
        <v>10000.000186243464</v>
      </c>
      <c r="L23">
        <f t="shared" si="3"/>
        <v>23.350973200694302</v>
      </c>
      <c r="M23">
        <f t="shared" si="4"/>
        <v>10023.350973200695</v>
      </c>
    </row>
    <row r="24" spans="1:32" x14ac:dyDescent="0.25">
      <c r="A24" s="1">
        <v>41333</v>
      </c>
      <c r="B24">
        <v>-18.8</v>
      </c>
      <c r="C24">
        <v>0.15562536296846499</v>
      </c>
      <c r="D24">
        <v>-0.12668856602794301</v>
      </c>
      <c r="E24" s="2">
        <v>1.37878037627828E-6</v>
      </c>
      <c r="F24" s="2">
        <v>2.1457319651210399E-7</v>
      </c>
      <c r="G24">
        <v>1.00827794483875</v>
      </c>
      <c r="I24">
        <f t="shared" si="0"/>
        <v>9981.2000000000007</v>
      </c>
      <c r="J24">
        <f t="shared" si="1"/>
        <v>10000.155625362968</v>
      </c>
      <c r="K24">
        <f t="shared" si="2"/>
        <v>10000.000000214573</v>
      </c>
      <c r="L24">
        <f t="shared" si="3"/>
        <v>2.3817450413253285</v>
      </c>
      <c r="M24">
        <f t="shared" si="4"/>
        <v>10002.381745041326</v>
      </c>
    </row>
    <row r="25" spans="1:32" x14ac:dyDescent="0.25">
      <c r="A25" s="1">
        <v>41361</v>
      </c>
      <c r="B25">
        <v>440.5</v>
      </c>
      <c r="C25">
        <v>424.56935368168399</v>
      </c>
      <c r="D25">
        <v>0.68949490809188796</v>
      </c>
      <c r="E25" s="2">
        <v>2.7377498845883302E-6</v>
      </c>
      <c r="F25">
        <v>1.1623646990417699E-3</v>
      </c>
      <c r="G25">
        <v>3.6164917862239403E-2</v>
      </c>
      <c r="I25">
        <f t="shared" si="0"/>
        <v>10440.5</v>
      </c>
      <c r="J25">
        <f t="shared" si="1"/>
        <v>10424.569353681683</v>
      </c>
      <c r="K25">
        <f t="shared" si="2"/>
        <v>10000.001162364699</v>
      </c>
      <c r="L25">
        <f t="shared" si="3"/>
        <v>303.72250701447666</v>
      </c>
      <c r="M25">
        <f t="shared" si="4"/>
        <v>10303.722507014476</v>
      </c>
    </row>
    <row r="26" spans="1:32" x14ac:dyDescent="0.25">
      <c r="A26" s="1">
        <v>41394</v>
      </c>
      <c r="B26">
        <v>-908</v>
      </c>
      <c r="C26">
        <v>-31.401408229860198</v>
      </c>
      <c r="D26">
        <v>-0.18737540905901701</v>
      </c>
      <c r="E26" s="2">
        <v>1.2777349963485199E-6</v>
      </c>
      <c r="F26" s="2">
        <v>-4.0122678229918902E-5</v>
      </c>
      <c r="G26">
        <v>0.96541695128869998</v>
      </c>
      <c r="I26">
        <f t="shared" si="0"/>
        <v>9092</v>
      </c>
      <c r="J26">
        <f t="shared" si="1"/>
        <v>9968.59859177014</v>
      </c>
      <c r="K26">
        <f t="shared" si="2"/>
        <v>9999.9999598773211</v>
      </c>
      <c r="L26">
        <f t="shared" si="3"/>
        <v>170.13687142558743</v>
      </c>
      <c r="M26">
        <f t="shared" si="4"/>
        <v>10170.136871425588</v>
      </c>
      <c r="AF26">
        <v>2600</v>
      </c>
    </row>
    <row r="27" spans="1:32" x14ac:dyDescent="0.25">
      <c r="A27" s="1">
        <v>41425</v>
      </c>
      <c r="B27">
        <v>784.4</v>
      </c>
      <c r="C27">
        <v>373.26118614317301</v>
      </c>
      <c r="D27">
        <v>0.59082496497247905</v>
      </c>
      <c r="E27" s="2">
        <v>2.5734615250003601E-6</v>
      </c>
      <c r="F27">
        <v>9.6057330131545202E-4</v>
      </c>
      <c r="G27">
        <v>0.52414433179095699</v>
      </c>
      <c r="I27">
        <f t="shared" si="0"/>
        <v>10784.4</v>
      </c>
      <c r="J27">
        <f t="shared" si="1"/>
        <v>10373.261186143172</v>
      </c>
      <c r="K27">
        <f t="shared" si="2"/>
        <v>10000.000960573301</v>
      </c>
      <c r="L27">
        <f t="shared" si="3"/>
        <v>463.44310252441255</v>
      </c>
      <c r="M27">
        <f t="shared" si="4"/>
        <v>10463.443102524412</v>
      </c>
      <c r="AF27">
        <v>1000</v>
      </c>
    </row>
    <row r="28" spans="1:32" x14ac:dyDescent="0.25">
      <c r="A28" s="1">
        <v>41453</v>
      </c>
      <c r="B28">
        <v>490.3</v>
      </c>
      <c r="C28">
        <v>-153.07095948920301</v>
      </c>
      <c r="D28">
        <v>-0.42135624053409598</v>
      </c>
      <c r="E28" s="2">
        <v>8.88150024848624E-7</v>
      </c>
      <c r="F28">
        <v>-1.3594997647393801E-4</v>
      </c>
      <c r="G28">
        <v>1.3121985712608699</v>
      </c>
      <c r="I28">
        <f t="shared" si="0"/>
        <v>10490.3</v>
      </c>
      <c r="J28">
        <f t="shared" si="1"/>
        <v>9846.9290405107968</v>
      </c>
      <c r="K28">
        <f t="shared" si="2"/>
        <v>9999.9998640500235</v>
      </c>
      <c r="L28">
        <f t="shared" si="3"/>
        <v>-206.59096473386725</v>
      </c>
      <c r="M28">
        <f t="shared" si="4"/>
        <v>9793.4090352661333</v>
      </c>
      <c r="AF28">
        <v>-1000</v>
      </c>
    </row>
    <row r="29" spans="1:32" x14ac:dyDescent="0.25">
      <c r="A29" s="1">
        <v>41486</v>
      </c>
      <c r="B29">
        <v>457</v>
      </c>
      <c r="C29">
        <v>130.60078935651401</v>
      </c>
      <c r="D29">
        <v>0.124168510514197</v>
      </c>
      <c r="E29" s="2">
        <v>1.7964647925575999E-6</v>
      </c>
      <c r="F29">
        <v>2.3461971995920899E-4</v>
      </c>
      <c r="G29">
        <v>0.71422146749121695</v>
      </c>
      <c r="I29">
        <f t="shared" si="0"/>
        <v>10457</v>
      </c>
      <c r="J29">
        <f t="shared" si="1"/>
        <v>10130.600789356515</v>
      </c>
      <c r="K29">
        <f t="shared" si="2"/>
        <v>10000.00023461972</v>
      </c>
      <c r="L29">
        <f t="shared" si="3"/>
        <v>56.745009304988031</v>
      </c>
      <c r="M29">
        <f t="shared" si="4"/>
        <v>10056.745009304988</v>
      </c>
      <c r="AF29">
        <v>-200</v>
      </c>
    </row>
    <row r="30" spans="1:32" x14ac:dyDescent="0.25">
      <c r="A30" s="1">
        <v>41516</v>
      </c>
      <c r="B30">
        <v>247.2</v>
      </c>
      <c r="C30">
        <v>165.80777012298</v>
      </c>
      <c r="D30">
        <v>0.191874510480498</v>
      </c>
      <c r="E30" s="2">
        <v>1.9091972753894402E-6</v>
      </c>
      <c r="F30">
        <v>3.1655974295719197E-4</v>
      </c>
      <c r="G30">
        <v>0.32925659335364099</v>
      </c>
      <c r="I30">
        <f t="shared" si="0"/>
        <v>10247.200000000001</v>
      </c>
      <c r="J30">
        <f t="shared" si="1"/>
        <v>10165.807770122979</v>
      </c>
      <c r="K30">
        <f t="shared" si="2"/>
        <v>10000.000316559743</v>
      </c>
      <c r="L30">
        <f t="shared" si="3"/>
        <v>47.431378990779102</v>
      </c>
      <c r="M30">
        <f t="shared" si="4"/>
        <v>10047.431378990779</v>
      </c>
    </row>
    <row r="31" spans="1:32" x14ac:dyDescent="0.25">
      <c r="A31" s="1">
        <v>41547</v>
      </c>
      <c r="B31">
        <v>185.9</v>
      </c>
      <c r="C31">
        <v>96.619317808461702</v>
      </c>
      <c r="D31">
        <v>5.8819268363939699E-2</v>
      </c>
      <c r="E31" s="2">
        <v>1.68765638085931E-6</v>
      </c>
      <c r="F31">
        <v>1.6306020821372399E-4</v>
      </c>
      <c r="G31">
        <v>0.48026187300451001</v>
      </c>
      <c r="I31">
        <f t="shared" si="0"/>
        <v>10185.9</v>
      </c>
      <c r="J31">
        <f t="shared" si="1"/>
        <v>10096.619317808461</v>
      </c>
      <c r="K31">
        <f t="shared" si="2"/>
        <v>10000.000163060207</v>
      </c>
      <c r="L31">
        <f t="shared" si="3"/>
        <v>10.93450198885639</v>
      </c>
      <c r="M31">
        <f t="shared" si="4"/>
        <v>10010.934501988857</v>
      </c>
    </row>
    <row r="32" spans="1:32" x14ac:dyDescent="0.25">
      <c r="A32" s="1">
        <v>41578</v>
      </c>
      <c r="B32">
        <v>-64.2</v>
      </c>
      <c r="C32">
        <v>291.12418959344501</v>
      </c>
      <c r="D32">
        <v>0.43286857778562898</v>
      </c>
      <c r="E32" s="2">
        <v>2.3104594909770198E-6</v>
      </c>
      <c r="F32">
        <v>6.7263064689916999E-4</v>
      </c>
      <c r="G32">
        <v>5.5346446977172103</v>
      </c>
      <c r="I32">
        <f t="shared" si="0"/>
        <v>9935.7999999999993</v>
      </c>
      <c r="J32">
        <f t="shared" si="1"/>
        <v>10291.124189593445</v>
      </c>
      <c r="K32">
        <f t="shared" si="2"/>
        <v>10000.000672630647</v>
      </c>
      <c r="L32">
        <f t="shared" si="3"/>
        <v>-27.790162693837381</v>
      </c>
      <c r="M32">
        <f t="shared" si="4"/>
        <v>9972.2098373061617</v>
      </c>
    </row>
    <row r="33" spans="1:13" x14ac:dyDescent="0.25">
      <c r="A33" s="1">
        <v>41607</v>
      </c>
      <c r="B33">
        <v>497.4</v>
      </c>
      <c r="C33">
        <v>251.78652163533499</v>
      </c>
      <c r="D33">
        <v>0.357218917193802</v>
      </c>
      <c r="E33" s="2">
        <v>2.1845005793865101E-6</v>
      </c>
      <c r="F33">
        <v>5.5002780239410301E-4</v>
      </c>
      <c r="G33">
        <v>0.49379468911271601</v>
      </c>
      <c r="I33">
        <f t="shared" si="0"/>
        <v>10497.4</v>
      </c>
      <c r="J33">
        <f t="shared" si="1"/>
        <v>10251.786521635335</v>
      </c>
      <c r="K33">
        <f t="shared" si="2"/>
        <v>10000.000550027802</v>
      </c>
      <c r="L33">
        <f t="shared" si="3"/>
        <v>177.6806894121971</v>
      </c>
      <c r="M33">
        <f t="shared" si="4"/>
        <v>10177.680689412196</v>
      </c>
    </row>
    <row r="34" spans="1:13" x14ac:dyDescent="0.25">
      <c r="A34" s="1">
        <v>41639</v>
      </c>
      <c r="B34">
        <v>496.6</v>
      </c>
      <c r="C34">
        <v>102.12211802899201</v>
      </c>
      <c r="D34">
        <v>6.9401618325077394E-2</v>
      </c>
      <c r="E34" s="2">
        <v>1.70527630503012E-6</v>
      </c>
      <c r="F34">
        <v>1.74146428094329E-4</v>
      </c>
      <c r="G34">
        <v>0.79435739422273</v>
      </c>
      <c r="I34">
        <f t="shared" si="0"/>
        <v>10496.6</v>
      </c>
      <c r="J34">
        <f t="shared" si="1"/>
        <v>10102.122118028992</v>
      </c>
      <c r="K34">
        <f t="shared" si="2"/>
        <v>10000.000174146428</v>
      </c>
      <c r="L34">
        <f t="shared" si="3"/>
        <v>34.464843660233434</v>
      </c>
      <c r="M34">
        <f t="shared" si="4"/>
        <v>10034.464843660233</v>
      </c>
    </row>
    <row r="35" spans="1:13" x14ac:dyDescent="0.25">
      <c r="A35" s="1">
        <v>41670</v>
      </c>
      <c r="B35">
        <v>-60.5</v>
      </c>
      <c r="C35">
        <v>197.30983743016401</v>
      </c>
      <c r="D35">
        <v>0.25245564869812398</v>
      </c>
      <c r="E35" s="2">
        <v>2.0100666536934499E-6</v>
      </c>
      <c r="F35">
        <v>3.9660592466404701E-4</v>
      </c>
      <c r="G35">
        <v>4.2613196269448599</v>
      </c>
      <c r="I35">
        <f t="shared" si="0"/>
        <v>9939.5</v>
      </c>
      <c r="J35">
        <f t="shared" si="1"/>
        <v>10197.309837430164</v>
      </c>
      <c r="K35">
        <f t="shared" si="2"/>
        <v>10000.000396605925</v>
      </c>
      <c r="L35">
        <f t="shared" si="3"/>
        <v>-15.273566746236501</v>
      </c>
      <c r="M35">
        <f t="shared" si="4"/>
        <v>9984.7264332537634</v>
      </c>
    </row>
    <row r="36" spans="1:13" x14ac:dyDescent="0.25">
      <c r="A36" s="1">
        <v>41698</v>
      </c>
      <c r="B36">
        <v>240.1</v>
      </c>
      <c r="C36">
        <v>248.262376601331</v>
      </c>
      <c r="D36">
        <v>0.350441688406812</v>
      </c>
      <c r="E36" s="2">
        <v>2.1732162939722599E-6</v>
      </c>
      <c r="F36">
        <v>5.3952784201028998E-4</v>
      </c>
      <c r="G36">
        <v>3.3995737614872602E-2</v>
      </c>
      <c r="I36">
        <f t="shared" si="0"/>
        <v>10240.1</v>
      </c>
      <c r="J36">
        <f t="shared" si="1"/>
        <v>10248.262376601331</v>
      </c>
      <c r="K36">
        <f t="shared" si="2"/>
        <v>10000.000539527842</v>
      </c>
      <c r="L36">
        <f t="shared" si="3"/>
        <v>84.141049386475558</v>
      </c>
      <c r="M36">
        <f t="shared" si="4"/>
        <v>10084.141049386475</v>
      </c>
    </row>
    <row r="37" spans="1:13" x14ac:dyDescent="0.25">
      <c r="A37" s="1">
        <v>41729</v>
      </c>
      <c r="B37">
        <v>163</v>
      </c>
      <c r="C37">
        <v>115.217890851741</v>
      </c>
      <c r="D37">
        <v>9.4585896414048701E-2</v>
      </c>
      <c r="E37" s="2">
        <v>1.74720886933328E-6</v>
      </c>
      <c r="F37">
        <v>2.01309720802037E-4</v>
      </c>
      <c r="G37">
        <v>0.29314177391569701</v>
      </c>
      <c r="I37">
        <f t="shared" si="0"/>
        <v>10163</v>
      </c>
      <c r="J37">
        <f t="shared" si="1"/>
        <v>10115.217890851742</v>
      </c>
      <c r="K37">
        <f t="shared" si="2"/>
        <v>10000.00020130972</v>
      </c>
      <c r="L37">
        <f t="shared" si="3"/>
        <v>15.417501115489939</v>
      </c>
      <c r="M37">
        <f t="shared" si="4"/>
        <v>10015.417501115489</v>
      </c>
    </row>
    <row r="38" spans="1:13" x14ac:dyDescent="0.25">
      <c r="A38" s="1">
        <v>41759</v>
      </c>
      <c r="B38">
        <v>67.8</v>
      </c>
      <c r="C38">
        <v>1.40555905555186</v>
      </c>
      <c r="D38">
        <v>-0.124284837883536</v>
      </c>
      <c r="E38" s="2">
        <v>1.3827826543911E-6</v>
      </c>
      <c r="F38" s="2">
        <v>1.9435826817394598E-6</v>
      </c>
      <c r="G38">
        <v>0.97926904047858598</v>
      </c>
      <c r="I38">
        <f t="shared" si="0"/>
        <v>10067.799999999999</v>
      </c>
      <c r="J38">
        <f t="shared" si="1"/>
        <v>10001.405559055553</v>
      </c>
      <c r="K38">
        <f t="shared" si="2"/>
        <v>10000.000001943583</v>
      </c>
      <c r="L38">
        <f t="shared" si="3"/>
        <v>-8.4265120085037406</v>
      </c>
      <c r="M38">
        <f t="shared" si="4"/>
        <v>9991.5734879914962</v>
      </c>
    </row>
    <row r="39" spans="1:13" x14ac:dyDescent="0.25">
      <c r="A39" s="1">
        <v>41789</v>
      </c>
      <c r="B39">
        <v>-107</v>
      </c>
      <c r="C39">
        <v>-5.7452993014485401</v>
      </c>
      <c r="D39">
        <v>-0.13803654294707399</v>
      </c>
      <c r="E39" s="2">
        <v>1.3598856606866301E-6</v>
      </c>
      <c r="F39" s="2">
        <v>-7.8129501363927496E-6</v>
      </c>
      <c r="G39">
        <v>0.94630561400515401</v>
      </c>
      <c r="I39">
        <f t="shared" si="0"/>
        <v>9893</v>
      </c>
      <c r="J39">
        <f t="shared" si="1"/>
        <v>9994.2547006985515</v>
      </c>
      <c r="K39">
        <f t="shared" si="2"/>
        <v>9999.9999921870494</v>
      </c>
      <c r="L39">
        <f t="shared" si="3"/>
        <v>14.769910095336916</v>
      </c>
      <c r="M39">
        <f t="shared" si="4"/>
        <v>10014.769910095338</v>
      </c>
    </row>
    <row r="40" spans="1:13" x14ac:dyDescent="0.25">
      <c r="A40" s="1">
        <v>41820</v>
      </c>
      <c r="B40">
        <v>280.39999999999998</v>
      </c>
      <c r="C40">
        <v>6.4697023734975998</v>
      </c>
      <c r="D40">
        <v>-0.11454606222456901</v>
      </c>
      <c r="E40" s="2">
        <v>1.3989980025186599E-6</v>
      </c>
      <c r="F40" s="2">
        <v>9.0511006974133393E-6</v>
      </c>
      <c r="G40">
        <v>0.97692688169223396</v>
      </c>
      <c r="I40">
        <f t="shared" si="0"/>
        <v>10280.4</v>
      </c>
      <c r="J40">
        <f t="shared" si="1"/>
        <v>10006.469702373497</v>
      </c>
      <c r="K40">
        <f t="shared" si="2"/>
        <v>10000.0000090511</v>
      </c>
      <c r="L40">
        <f t="shared" si="3"/>
        <v>-32.118715847769145</v>
      </c>
      <c r="M40">
        <f t="shared" si="4"/>
        <v>9967.8812841522304</v>
      </c>
    </row>
    <row r="41" spans="1:13" x14ac:dyDescent="0.25">
      <c r="A41" s="1">
        <v>41851</v>
      </c>
      <c r="B41">
        <v>-23.3</v>
      </c>
      <c r="C41">
        <v>-194.174008094416</v>
      </c>
      <c r="D41">
        <v>-0.50040087733323002</v>
      </c>
      <c r="E41" s="2">
        <v>7.5653837794373305E-7</v>
      </c>
      <c r="F41">
        <v>-1.46900089122583E-4</v>
      </c>
      <c r="G41">
        <v>7.3336484160693702</v>
      </c>
      <c r="I41">
        <f t="shared" si="0"/>
        <v>9976.7000000000007</v>
      </c>
      <c r="J41">
        <f t="shared" si="1"/>
        <v>9805.8259919055836</v>
      </c>
      <c r="K41">
        <f t="shared" si="2"/>
        <v>9999.999853099911</v>
      </c>
      <c r="L41">
        <f t="shared" si="3"/>
        <v>11.659340441864259</v>
      </c>
      <c r="M41">
        <f t="shared" si="4"/>
        <v>10011.659340441864</v>
      </c>
    </row>
    <row r="42" spans="1:13" x14ac:dyDescent="0.25">
      <c r="A42" s="1">
        <v>41880</v>
      </c>
      <c r="B42">
        <v>-178.3</v>
      </c>
      <c r="C42">
        <v>-274.39984458567102</v>
      </c>
      <c r="D42">
        <v>-0.65468194218236297</v>
      </c>
      <c r="E42" s="2">
        <v>4.9965586379374202E-7</v>
      </c>
      <c r="F42">
        <v>-1.3710549137132199E-4</v>
      </c>
      <c r="G42">
        <v>0.53897837681251204</v>
      </c>
      <c r="I42">
        <f t="shared" si="0"/>
        <v>9821.7000000000007</v>
      </c>
      <c r="J42">
        <f t="shared" si="1"/>
        <v>9725.6001554143295</v>
      </c>
      <c r="K42">
        <f t="shared" si="2"/>
        <v>9999.9998628945086</v>
      </c>
      <c r="L42">
        <f t="shared" si="3"/>
        <v>116.72979029111532</v>
      </c>
      <c r="M42">
        <f t="shared" si="4"/>
        <v>10116.729790291116</v>
      </c>
    </row>
    <row r="43" spans="1:13" x14ac:dyDescent="0.25">
      <c r="A43" s="1">
        <v>41912</v>
      </c>
      <c r="B43">
        <v>293.5</v>
      </c>
      <c r="C43">
        <v>42.951115325422897</v>
      </c>
      <c r="D43">
        <v>-4.4389221441269798E-2</v>
      </c>
      <c r="E43" s="2">
        <v>1.5158112074499101E-6</v>
      </c>
      <c r="F43" s="2">
        <v>6.5105781982749896E-5</v>
      </c>
      <c r="G43">
        <v>0.85365889156584995</v>
      </c>
      <c r="I43">
        <f t="shared" si="0"/>
        <v>10293.5</v>
      </c>
      <c r="J43">
        <f t="shared" si="1"/>
        <v>10042.951115325423</v>
      </c>
      <c r="K43">
        <f t="shared" si="2"/>
        <v>10000.000065105782</v>
      </c>
      <c r="L43">
        <f t="shared" si="3"/>
        <v>-13.028236493012686</v>
      </c>
      <c r="M43">
        <f t="shared" si="4"/>
        <v>9986.9717635069865</v>
      </c>
    </row>
    <row r="44" spans="1:13" x14ac:dyDescent="0.25">
      <c r="A44" s="1">
        <v>41943</v>
      </c>
      <c r="B44">
        <v>-89.2</v>
      </c>
      <c r="C44">
        <v>-30.266739265768301</v>
      </c>
      <c r="D44">
        <v>-0.18519334473052099</v>
      </c>
      <c r="E44" s="2">
        <v>1.2813681976833001E-6</v>
      </c>
      <c r="F44" s="2">
        <v>-3.8782837142727998E-5</v>
      </c>
      <c r="G44">
        <v>0.66068677953174604</v>
      </c>
      <c r="I44">
        <f t="shared" si="0"/>
        <v>9910.7999999999993</v>
      </c>
      <c r="J44">
        <f t="shared" si="1"/>
        <v>9969.7332607342323</v>
      </c>
      <c r="K44">
        <f t="shared" si="2"/>
        <v>9999.9999612171632</v>
      </c>
      <c r="L44">
        <f t="shared" si="3"/>
        <v>16.519246349962472</v>
      </c>
      <c r="M44">
        <f t="shared" si="4"/>
        <v>10016.519246349962</v>
      </c>
    </row>
    <row r="45" spans="1:13" x14ac:dyDescent="0.25">
      <c r="A45" s="1">
        <v>41971</v>
      </c>
      <c r="B45">
        <v>-29.4</v>
      </c>
      <c r="C45">
        <v>-225.843694148823</v>
      </c>
      <c r="D45">
        <v>-0.561304360570133</v>
      </c>
      <c r="E45" s="2">
        <v>6.5513228569458798E-7</v>
      </c>
      <c r="F45">
        <v>-1.4795749555742801E-4</v>
      </c>
      <c r="G45">
        <v>6.6817583043817503</v>
      </c>
      <c r="I45">
        <f t="shared" si="0"/>
        <v>9970.6</v>
      </c>
      <c r="J45">
        <f t="shared" si="1"/>
        <v>9774.1563058511765</v>
      </c>
      <c r="K45">
        <f t="shared" si="2"/>
        <v>9999.9998520425052</v>
      </c>
      <c r="L45">
        <f t="shared" si="3"/>
        <v>16.502348200761908</v>
      </c>
      <c r="M45">
        <f t="shared" si="4"/>
        <v>10016.502348200762</v>
      </c>
    </row>
    <row r="46" spans="1:13" x14ac:dyDescent="0.25">
      <c r="A46" s="1">
        <v>42004</v>
      </c>
      <c r="B46">
        <v>-158.30000000000001</v>
      </c>
      <c r="C46">
        <v>83.173541728375895</v>
      </c>
      <c r="D46">
        <v>3.2961904426266501E-2</v>
      </c>
      <c r="E46" s="2">
        <v>1.6446031088061599E-6</v>
      </c>
      <c r="F46">
        <v>1.3678746529690501E-4</v>
      </c>
      <c r="G46">
        <v>1.52541719348311</v>
      </c>
      <c r="I46">
        <f t="shared" si="0"/>
        <v>9841.7000000000007</v>
      </c>
      <c r="J46">
        <f t="shared" si="1"/>
        <v>10083.173541728376</v>
      </c>
      <c r="K46">
        <f t="shared" si="2"/>
        <v>10000.000136787465</v>
      </c>
      <c r="L46">
        <f t="shared" si="3"/>
        <v>-5.2178694706779876</v>
      </c>
      <c r="M46">
        <f t="shared" si="4"/>
        <v>9994.7821305293219</v>
      </c>
    </row>
    <row r="47" spans="1:13" x14ac:dyDescent="0.25">
      <c r="A47" s="1">
        <v>42034</v>
      </c>
      <c r="B47">
        <v>-1182.0999999999999</v>
      </c>
      <c r="C47">
        <v>-3.3209252355379402</v>
      </c>
      <c r="D47">
        <v>-0.13337426669244001</v>
      </c>
      <c r="E47" s="2">
        <v>1.3676484878820599E-6</v>
      </c>
      <c r="F47" s="2">
        <v>-4.5418583767528601E-6</v>
      </c>
      <c r="G47">
        <v>0.99719065625959102</v>
      </c>
      <c r="I47">
        <f t="shared" si="0"/>
        <v>8817.9</v>
      </c>
      <c r="J47">
        <f t="shared" si="1"/>
        <v>9996.6790747644627</v>
      </c>
      <c r="K47">
        <f t="shared" si="2"/>
        <v>9999.9999954581417</v>
      </c>
      <c r="L47">
        <f t="shared" si="3"/>
        <v>157.66172065713332</v>
      </c>
      <c r="M47">
        <f t="shared" si="4"/>
        <v>10157.661720657134</v>
      </c>
    </row>
    <row r="48" spans="1:13" x14ac:dyDescent="0.25">
      <c r="A48" s="1">
        <v>42062</v>
      </c>
      <c r="B48">
        <v>1115.8</v>
      </c>
      <c r="C48">
        <v>785.262451787185</v>
      </c>
      <c r="D48">
        <v>1.3831382241764201</v>
      </c>
      <c r="E48" s="2">
        <v>3.8926864228691296E-6</v>
      </c>
      <c r="F48">
        <v>3.0567804844609E-3</v>
      </c>
      <c r="G48">
        <v>0.29623368723141702</v>
      </c>
      <c r="I48">
        <f t="shared" si="0"/>
        <v>11115.8</v>
      </c>
      <c r="J48">
        <f t="shared" si="1"/>
        <v>10785.262451787185</v>
      </c>
      <c r="K48">
        <f t="shared" si="2"/>
        <v>10000.003056780484</v>
      </c>
      <c r="L48">
        <f t="shared" si="3"/>
        <v>1543.3056305360494</v>
      </c>
      <c r="M48">
        <f t="shared" si="4"/>
        <v>11543.30563053605</v>
      </c>
    </row>
    <row r="49" spans="1:12" x14ac:dyDescent="0.25">
      <c r="A49" s="1"/>
      <c r="E49" s="2"/>
    </row>
    <row r="50" spans="1:12" x14ac:dyDescent="0.25">
      <c r="B50" t="s">
        <v>7</v>
      </c>
      <c r="C50" t="s">
        <v>11</v>
      </c>
      <c r="D50" t="s">
        <v>12</v>
      </c>
      <c r="L50" t="s">
        <v>13</v>
      </c>
    </row>
    <row r="51" spans="1:12" x14ac:dyDescent="0.25">
      <c r="A51" t="s">
        <v>8</v>
      </c>
      <c r="B51">
        <f>GEOMEAN(I2:I48)-10000</f>
        <v>66.03341920245839</v>
      </c>
      <c r="C51">
        <f>GEOMEAN(J2:J48)-10000</f>
        <v>74.128681268815853</v>
      </c>
      <c r="D51">
        <f>GEOMEAN(K2:K48)-10000</f>
        <v>4.6933363410062157E-4</v>
      </c>
      <c r="L51">
        <f>GEOMEAN(M2:M48)-10000</f>
        <v>197.57491558462789</v>
      </c>
    </row>
    <row r="52" spans="1:12" x14ac:dyDescent="0.25">
      <c r="A52" t="s">
        <v>9</v>
      </c>
      <c r="B52">
        <f>STDEV(B2:B48)</f>
        <v>519.99794381575975</v>
      </c>
      <c r="C52">
        <f>STDEV(C2:C48)</f>
        <v>329.13870719679699</v>
      </c>
      <c r="D52">
        <f>STDEV(F2:F48)</f>
        <v>7.5489758728753504E-4</v>
      </c>
      <c r="L52">
        <f>STDEV(L2:L48)</f>
        <v>434.02900419891955</v>
      </c>
    </row>
    <row r="53" spans="1:12" x14ac:dyDescent="0.25">
      <c r="A53" t="s">
        <v>10</v>
      </c>
      <c r="B53">
        <f>B51/B52</f>
        <v>0.12698784675551461</v>
      </c>
      <c r="C53">
        <f>C51/C52</f>
        <v>0.22522018725829532</v>
      </c>
      <c r="D53">
        <f>D51/D52</f>
        <v>0.6217182860353424</v>
      </c>
      <c r="L53">
        <f>L51/L52</f>
        <v>0.45521131922805197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modelouput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2015-03-30T21:09:09Z</dcterms:created>
  <dcterms:modified xsi:type="dcterms:W3CDTF">2015-04-02T21:47:57Z</dcterms:modified>
</cp:coreProperties>
</file>