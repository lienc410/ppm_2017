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30435" windowHeight="16890"/>
  </bookViews>
  <sheets>
    <sheet name="IOS Return Input Data 1m lag" sheetId="1" r:id="rId1"/>
  </sheets>
  <calcPr calcId="145621"/>
</workbook>
</file>

<file path=xl/calcChain.xml><?xml version="1.0" encoding="utf-8"?>
<calcChain xmlns="http://schemas.openxmlformats.org/spreadsheetml/2006/main">
  <c r="F2" i="1" l="1"/>
  <c r="E2" i="1"/>
  <c r="D2" i="1"/>
  <c r="K54" i="1" l="1"/>
  <c r="K52" i="1"/>
  <c r="J52" i="1"/>
  <c r="J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3" i="1"/>
  <c r="J5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</calcChain>
</file>

<file path=xl/sharedStrings.xml><?xml version="1.0" encoding="utf-8"?>
<sst xmlns="http://schemas.openxmlformats.org/spreadsheetml/2006/main" count="15" uniqueCount="15">
  <si>
    <t>Date</t>
  </si>
  <si>
    <t>MonthlyReturn</t>
  </si>
  <si>
    <t>OAS</t>
  </si>
  <si>
    <t>Carry</t>
  </si>
  <si>
    <t>RealizedVol</t>
  </si>
  <si>
    <t>YieldCurve</t>
  </si>
  <si>
    <t>PrepaymentRisk</t>
  </si>
  <si>
    <t>Px/Coupon</t>
  </si>
  <si>
    <t>ModelReturn</t>
  </si>
  <si>
    <t>Geometric Avg.</t>
  </si>
  <si>
    <t>MonthlyReturn+1</t>
  </si>
  <si>
    <t>Sigma</t>
  </si>
  <si>
    <t>Zscore</t>
  </si>
  <si>
    <t>annualized</t>
  </si>
  <si>
    <t>Sharpe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</si>
</sst>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"/>
    <numFmt numFmtId="166" formatCode="0.0"/>
    <numFmt numFmtId="167" formatCode="mm/dd/yy;@"/>
    <numFmt numFmtId="168" formatCode="0.0%;[Red]\-0.0%"/>
    <numFmt numFmtId="169" formatCode="#,##0_);[Red]\-#,##0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FEBE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0" fontId="18" fillId="0" borderId="0"/>
  </cellStyleXfs>
  <cellXfs count="10">
    <xf numFmtId="0" fontId="0" fillId="0" borderId="0" xfId="0"/>
    <xf numFmtId="14" fontId="0" fillId="0" borderId="0" xfId="0" applyNumberFormat="1"/>
    <xf numFmtId="164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167" fontId="0" fillId="33" borderId="10" xfId="0" applyNumberFormat="1" applyFont="1" applyFill="1" applyBorder="1"/>
    <xf numFmtId="168" fontId="18" fillId="0" borderId="11" xfId="43" applyNumberFormat="1" applyFont="1" applyBorder="1"/>
    <xf numFmtId="169" fontId="0" fillId="0" borderId="10" xfId="42" applyNumberFormat="1" applyFont="1" applyBorder="1"/>
    <xf numFmtId="0" fontId="0" fillId="0" borderId="10" xfId="0" applyBorder="1"/>
    <xf numFmtId="2" fontId="0" fillId="0" borderId="10" xfId="0" applyNumberForma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workbookViewId="0">
      <selection activeCell="S22" sqref="S22"/>
    </sheetView>
  </sheetViews>
  <sheetFormatPr defaultRowHeight="15" x14ac:dyDescent="0.25"/>
  <cols>
    <col min="1" max="1" width="10.7109375" bestFit="1" customWidth="1"/>
    <col min="2" max="11" width="14.85546875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12</v>
      </c>
    </row>
    <row r="2" spans="1:11" x14ac:dyDescent="0.25">
      <c r="A2" s="5">
        <v>40633</v>
      </c>
      <c r="B2" s="6">
        <v>3.2147753175075941E-2</v>
      </c>
      <c r="C2" s="7">
        <v>12.454245092935345</v>
      </c>
      <c r="D2" s="3">
        <f>1.09911135304837*100</f>
        <v>109.911135304837</v>
      </c>
      <c r="E2" s="8">
        <f>0.0496*10000</f>
        <v>496</v>
      </c>
      <c r="F2" s="8">
        <f>100*4.507</f>
        <v>450.7</v>
      </c>
      <c r="G2" s="9">
        <v>76.888121881587068</v>
      </c>
      <c r="H2" s="8">
        <v>5.4040030648877693</v>
      </c>
      <c r="I2" s="4"/>
      <c r="J2" s="4"/>
      <c r="K2" s="4"/>
    </row>
    <row r="3" spans="1:11" x14ac:dyDescent="0.25">
      <c r="A3" s="1">
        <v>40662</v>
      </c>
      <c r="B3" s="3">
        <v>399.45300504856652</v>
      </c>
      <c r="C3" s="3">
        <v>12</v>
      </c>
      <c r="D3" s="3">
        <v>109.911135304837</v>
      </c>
      <c r="E3" s="3">
        <v>496</v>
      </c>
      <c r="F3" s="3">
        <v>450.7</v>
      </c>
      <c r="G3" s="3">
        <v>76.888121881587068</v>
      </c>
      <c r="H3" s="3">
        <v>5.4040030650000004</v>
      </c>
      <c r="I3" s="3">
        <v>785.95165266250797</v>
      </c>
      <c r="J3" s="3">
        <f>B3+10000</f>
        <v>10399.453005048566</v>
      </c>
      <c r="K3" s="3">
        <f>(I3-$J$52)/$J$53</f>
        <v>1.3844770664206065</v>
      </c>
    </row>
    <row r="4" spans="1:11" x14ac:dyDescent="0.25">
      <c r="A4" s="1">
        <v>40694</v>
      </c>
      <c r="B4" s="3">
        <v>368.36948680963525</v>
      </c>
      <c r="C4" s="3">
        <v>-14</v>
      </c>
      <c r="D4" s="3">
        <v>109.84</v>
      </c>
      <c r="E4" s="3">
        <v>401</v>
      </c>
      <c r="F4" s="3">
        <v>440</v>
      </c>
      <c r="G4" s="3">
        <v>76.964595799999998</v>
      </c>
      <c r="H4" s="3">
        <v>5.4712822919999997</v>
      </c>
      <c r="I4" s="3">
        <v>506.769768683802</v>
      </c>
      <c r="J4" s="3">
        <f t="shared" ref="J4:J49" si="0">B4+10000</f>
        <v>10368.369486809635</v>
      </c>
      <c r="K4" s="3">
        <f t="shared" ref="K4:K49" si="1">(I4-$J$52)/$J$53</f>
        <v>0.84758180160497376</v>
      </c>
    </row>
    <row r="5" spans="1:11" x14ac:dyDescent="0.25">
      <c r="A5" s="1">
        <v>40724</v>
      </c>
      <c r="B5" s="3">
        <v>-89.725230837073866</v>
      </c>
      <c r="C5" s="3">
        <v>-39</v>
      </c>
      <c r="D5" s="3">
        <v>123.6</v>
      </c>
      <c r="E5" s="3">
        <v>325</v>
      </c>
      <c r="F5" s="3">
        <v>422</v>
      </c>
      <c r="G5" s="3">
        <v>96.692871260000004</v>
      </c>
      <c r="H5" s="3">
        <v>5.495437441</v>
      </c>
      <c r="I5" s="3">
        <v>317.71625912263198</v>
      </c>
      <c r="J5" s="3">
        <f t="shared" si="0"/>
        <v>9910.2747691629265</v>
      </c>
      <c r="K5" s="3">
        <f t="shared" si="1"/>
        <v>0.48401260207943791</v>
      </c>
    </row>
    <row r="6" spans="1:11" x14ac:dyDescent="0.25">
      <c r="A6" s="1">
        <v>40753</v>
      </c>
      <c r="B6" s="3">
        <v>-70.542451766380864</v>
      </c>
      <c r="C6" s="3">
        <v>-72</v>
      </c>
      <c r="D6" s="3">
        <v>116.11</v>
      </c>
      <c r="E6" s="3">
        <v>344</v>
      </c>
      <c r="F6" s="3">
        <v>438</v>
      </c>
      <c r="G6" s="3">
        <v>106.0241044</v>
      </c>
      <c r="H6" s="3">
        <v>6.7509728139999998</v>
      </c>
      <c r="I6" s="3">
        <v>-777.59499270886204</v>
      </c>
      <c r="J6" s="3">
        <f t="shared" si="0"/>
        <v>9929.4575482336186</v>
      </c>
      <c r="K6" s="3">
        <f t="shared" si="1"/>
        <v>-1.6223827564835336</v>
      </c>
    </row>
    <row r="7" spans="1:11" x14ac:dyDescent="0.25">
      <c r="A7" s="1">
        <v>40786</v>
      </c>
      <c r="B7" s="3">
        <v>-1294.0148616743234</v>
      </c>
      <c r="C7" s="3">
        <v>15</v>
      </c>
      <c r="D7" s="3">
        <v>94.86</v>
      </c>
      <c r="E7" s="3">
        <v>400</v>
      </c>
      <c r="F7" s="3">
        <v>413</v>
      </c>
      <c r="G7" s="3">
        <v>102.75983189999999</v>
      </c>
      <c r="H7" s="3">
        <v>6.3714749939999997</v>
      </c>
      <c r="I7" s="3">
        <v>-1190.4719425933199</v>
      </c>
      <c r="J7" s="3">
        <f t="shared" si="0"/>
        <v>8705.9851383256773</v>
      </c>
      <c r="K7" s="3">
        <f t="shared" si="1"/>
        <v>-2.4163872820830328</v>
      </c>
    </row>
    <row r="8" spans="1:11" x14ac:dyDescent="0.25">
      <c r="A8" s="1">
        <v>40816</v>
      </c>
      <c r="B8" s="3">
        <v>-1064.639937577718</v>
      </c>
      <c r="C8" s="3">
        <v>413</v>
      </c>
      <c r="D8" s="3">
        <v>98.9</v>
      </c>
      <c r="E8" s="3">
        <v>661</v>
      </c>
      <c r="F8" s="3">
        <v>360</v>
      </c>
      <c r="G8" s="3">
        <v>129.3612804</v>
      </c>
      <c r="H8" s="3">
        <v>5.121682925</v>
      </c>
      <c r="I8" s="3">
        <v>-562.01440776407799</v>
      </c>
      <c r="J8" s="3">
        <f t="shared" si="0"/>
        <v>8935.3600624222818</v>
      </c>
      <c r="K8" s="3">
        <f t="shared" si="1"/>
        <v>-1.2077992828228035</v>
      </c>
    </row>
    <row r="9" spans="1:11" x14ac:dyDescent="0.25">
      <c r="A9" s="1">
        <v>40847</v>
      </c>
      <c r="B9" s="3">
        <v>235.9358456007142</v>
      </c>
      <c r="C9" s="3">
        <v>707</v>
      </c>
      <c r="D9" s="3">
        <v>140.22999999999999</v>
      </c>
      <c r="E9" s="3">
        <v>808</v>
      </c>
      <c r="F9" s="3">
        <v>292</v>
      </c>
      <c r="G9" s="3">
        <v>146.66634740000001</v>
      </c>
      <c r="H9" s="3">
        <v>4.1836002419999998</v>
      </c>
      <c r="I9" s="3">
        <v>226.754419204258</v>
      </c>
      <c r="J9" s="3">
        <f t="shared" si="0"/>
        <v>10235.935845600714</v>
      </c>
      <c r="K9" s="3">
        <f t="shared" si="1"/>
        <v>0.30908369754200188</v>
      </c>
    </row>
    <row r="10" spans="1:11" x14ac:dyDescent="0.25">
      <c r="A10" s="1">
        <v>40877</v>
      </c>
      <c r="B10" s="3">
        <v>144.07938862063668</v>
      </c>
      <c r="C10" s="3">
        <v>688</v>
      </c>
      <c r="D10" s="3">
        <v>129.06</v>
      </c>
      <c r="E10" s="3">
        <v>843</v>
      </c>
      <c r="F10" s="3">
        <v>320</v>
      </c>
      <c r="G10" s="3">
        <v>142.27168649999999</v>
      </c>
      <c r="H10" s="3">
        <v>4.3757311190000001</v>
      </c>
      <c r="I10" s="3">
        <v>-104.598455159661</v>
      </c>
      <c r="J10" s="3">
        <f t="shared" si="0"/>
        <v>10144.079388620637</v>
      </c>
      <c r="K10" s="3">
        <f t="shared" si="1"/>
        <v>-0.32814170796678288</v>
      </c>
    </row>
    <row r="11" spans="1:11" x14ac:dyDescent="0.25">
      <c r="A11" s="1">
        <v>40907</v>
      </c>
      <c r="B11" s="3">
        <v>58.326880120871195</v>
      </c>
      <c r="C11" s="3">
        <v>623</v>
      </c>
      <c r="D11" s="3">
        <v>70.14</v>
      </c>
      <c r="E11" s="3">
        <v>719</v>
      </c>
      <c r="F11" s="3">
        <v>306</v>
      </c>
      <c r="G11" s="3">
        <v>148.95810969999999</v>
      </c>
      <c r="H11" s="3">
        <v>4.3526923479999997</v>
      </c>
      <c r="I11" s="3">
        <v>-74.901514092526</v>
      </c>
      <c r="J11" s="3">
        <f t="shared" si="0"/>
        <v>10058.326880120871</v>
      </c>
      <c r="K11" s="3">
        <f t="shared" si="1"/>
        <v>-0.27103145850779647</v>
      </c>
    </row>
    <row r="12" spans="1:11" x14ac:dyDescent="0.25">
      <c r="A12" s="1">
        <v>40939</v>
      </c>
      <c r="B12" s="3">
        <v>-302.47514562330213</v>
      </c>
      <c r="C12" s="3">
        <v>611</v>
      </c>
      <c r="D12" s="3">
        <v>39.549999999999997</v>
      </c>
      <c r="E12" s="3">
        <v>561</v>
      </c>
      <c r="F12" s="3">
        <v>289</v>
      </c>
      <c r="G12" s="3">
        <v>150.69835979999999</v>
      </c>
      <c r="H12" s="3">
        <v>4.2681974399999998</v>
      </c>
      <c r="I12" s="3">
        <v>246.709876177311</v>
      </c>
      <c r="J12" s="3">
        <f t="shared" si="0"/>
        <v>9697.5248543766975</v>
      </c>
      <c r="K12" s="3">
        <f t="shared" si="1"/>
        <v>0.34746007857137212</v>
      </c>
    </row>
    <row r="13" spans="1:11" x14ac:dyDescent="0.25">
      <c r="A13" s="1">
        <v>40968</v>
      </c>
      <c r="B13" s="3">
        <v>1155.7043677865356</v>
      </c>
      <c r="C13" s="3">
        <v>465</v>
      </c>
      <c r="D13" s="3">
        <v>93.16</v>
      </c>
      <c r="E13" s="3">
        <v>448</v>
      </c>
      <c r="F13" s="3">
        <v>293</v>
      </c>
      <c r="G13" s="3">
        <v>151.34348560000001</v>
      </c>
      <c r="H13" s="3">
        <v>3.910165858</v>
      </c>
      <c r="I13" s="3">
        <v>818.22205992821205</v>
      </c>
      <c r="J13" s="3">
        <f t="shared" si="0"/>
        <v>11155.704367786535</v>
      </c>
      <c r="K13" s="3">
        <f t="shared" si="1"/>
        <v>1.4465363541068736</v>
      </c>
    </row>
    <row r="14" spans="1:11" x14ac:dyDescent="0.25">
      <c r="A14" s="1">
        <v>40998</v>
      </c>
      <c r="B14" s="3">
        <v>714.00249822738749</v>
      </c>
      <c r="C14" s="3">
        <v>220</v>
      </c>
      <c r="D14" s="3">
        <v>171.06</v>
      </c>
      <c r="E14" s="3">
        <v>470</v>
      </c>
      <c r="F14" s="3">
        <v>309</v>
      </c>
      <c r="G14" s="3">
        <v>147.4467166</v>
      </c>
      <c r="H14" s="3">
        <v>4.3387775680000003</v>
      </c>
      <c r="I14" s="3">
        <v>421.721579391641</v>
      </c>
      <c r="J14" s="3">
        <f t="shared" si="0"/>
        <v>10714.002498227388</v>
      </c>
      <c r="K14" s="3">
        <f t="shared" si="1"/>
        <v>0.68402545095154954</v>
      </c>
    </row>
    <row r="15" spans="1:11" x14ac:dyDescent="0.25">
      <c r="A15" s="1">
        <v>41029</v>
      </c>
      <c r="B15" s="3">
        <v>-200.65317048366833</v>
      </c>
      <c r="C15" s="3">
        <v>105</v>
      </c>
      <c r="D15" s="3">
        <v>103.72</v>
      </c>
      <c r="E15" s="3">
        <v>505</v>
      </c>
      <c r="F15" s="3">
        <v>335</v>
      </c>
      <c r="G15" s="3">
        <v>138.46374259999999</v>
      </c>
      <c r="H15" s="3">
        <v>4.7809667310000004</v>
      </c>
      <c r="I15" s="3">
        <v>-275.32660174183201</v>
      </c>
      <c r="J15" s="3">
        <f t="shared" si="0"/>
        <v>9799.3468295163311</v>
      </c>
      <c r="K15" s="3">
        <f t="shared" si="1"/>
        <v>-0.65646936363124675</v>
      </c>
    </row>
    <row r="16" spans="1:11" x14ac:dyDescent="0.25">
      <c r="A16" s="1">
        <v>41060</v>
      </c>
      <c r="B16" s="3">
        <v>-718.45658545824881</v>
      </c>
      <c r="C16" s="3">
        <v>168</v>
      </c>
      <c r="D16" s="3">
        <v>24.22</v>
      </c>
      <c r="E16" s="3">
        <v>511</v>
      </c>
      <c r="F16" s="3">
        <v>311</v>
      </c>
      <c r="G16" s="3">
        <v>143.50585580000001</v>
      </c>
      <c r="H16" s="3">
        <v>4.5026149550000003</v>
      </c>
      <c r="I16" s="3">
        <v>-27.150429895100999</v>
      </c>
      <c r="J16" s="3">
        <f t="shared" si="0"/>
        <v>9281.5434145417512</v>
      </c>
      <c r="K16" s="3">
        <f t="shared" si="1"/>
        <v>-0.179201248645879</v>
      </c>
    </row>
    <row r="17" spans="1:11" x14ac:dyDescent="0.25">
      <c r="A17" s="1">
        <v>41089</v>
      </c>
      <c r="B17" s="3">
        <v>438.88393396695454</v>
      </c>
      <c r="C17" s="3">
        <v>286</v>
      </c>
      <c r="D17" s="3">
        <v>83.67</v>
      </c>
      <c r="E17" s="3">
        <v>488</v>
      </c>
      <c r="F17" s="3">
        <v>267</v>
      </c>
      <c r="G17" s="3">
        <v>150.81796209999999</v>
      </c>
      <c r="H17" s="3">
        <v>3.9686205879999998</v>
      </c>
      <c r="I17" s="3">
        <v>494.60643063610001</v>
      </c>
      <c r="J17" s="3">
        <f t="shared" si="0"/>
        <v>10438.883933966954</v>
      </c>
      <c r="K17" s="3">
        <f t="shared" si="1"/>
        <v>0.8241904607733419</v>
      </c>
    </row>
    <row r="18" spans="1:11" x14ac:dyDescent="0.25">
      <c r="A18" s="1">
        <v>41121</v>
      </c>
      <c r="B18" s="3">
        <v>620.5884275747228</v>
      </c>
      <c r="C18" s="3">
        <v>294</v>
      </c>
      <c r="D18" s="3">
        <v>143.15</v>
      </c>
      <c r="E18" s="3">
        <v>422</v>
      </c>
      <c r="F18" s="3">
        <v>277</v>
      </c>
      <c r="G18" s="3">
        <v>160.22878399999999</v>
      </c>
      <c r="H18" s="3">
        <v>4.0701737189999996</v>
      </c>
      <c r="I18" s="3">
        <v>84.284414041774696</v>
      </c>
      <c r="J18" s="3">
        <f t="shared" si="0"/>
        <v>10620.588427574723</v>
      </c>
      <c r="K18" s="3">
        <f t="shared" si="1"/>
        <v>3.5099332726159164E-2</v>
      </c>
    </row>
    <row r="19" spans="1:11" x14ac:dyDescent="0.25">
      <c r="A19" s="1">
        <v>41152</v>
      </c>
      <c r="B19" s="3">
        <v>601.25210413104185</v>
      </c>
      <c r="C19" s="3">
        <v>172</v>
      </c>
      <c r="D19" s="3">
        <v>119.71</v>
      </c>
      <c r="E19" s="3">
        <v>524</v>
      </c>
      <c r="F19" s="3">
        <v>258</v>
      </c>
      <c r="G19" s="3">
        <v>169.2932849</v>
      </c>
      <c r="H19" s="3">
        <v>4.001721453</v>
      </c>
      <c r="I19" s="3">
        <v>155.97118275831801</v>
      </c>
      <c r="J19" s="3">
        <f t="shared" si="0"/>
        <v>10601.252104131041</v>
      </c>
      <c r="K19" s="3">
        <f t="shared" si="1"/>
        <v>0.17296030753346853</v>
      </c>
    </row>
    <row r="20" spans="1:11" x14ac:dyDescent="0.25">
      <c r="A20" s="1">
        <v>41180</v>
      </c>
      <c r="B20" s="3">
        <v>-398.37098241825214</v>
      </c>
      <c r="C20" s="3">
        <v>79</v>
      </c>
      <c r="D20" s="3">
        <v>83.84</v>
      </c>
      <c r="E20" s="3">
        <v>563</v>
      </c>
      <c r="F20" s="3">
        <v>269</v>
      </c>
      <c r="G20" s="3">
        <v>160.27837389999999</v>
      </c>
      <c r="H20" s="3">
        <v>4.2638047439999998</v>
      </c>
      <c r="I20" s="3">
        <v>-573.69478550923805</v>
      </c>
      <c r="J20" s="3">
        <f t="shared" si="0"/>
        <v>9601.6290175817485</v>
      </c>
      <c r="K20" s="3">
        <f t="shared" si="1"/>
        <v>-1.2302618416868043</v>
      </c>
    </row>
    <row r="21" spans="1:11" x14ac:dyDescent="0.25">
      <c r="A21" s="1">
        <v>41213</v>
      </c>
      <c r="B21" s="3">
        <v>15.619117433484146</v>
      </c>
      <c r="C21" s="3">
        <v>248</v>
      </c>
      <c r="D21" s="3">
        <v>-20.65</v>
      </c>
      <c r="E21" s="3">
        <v>632</v>
      </c>
      <c r="F21" s="3">
        <v>283</v>
      </c>
      <c r="G21" s="3">
        <v>170.9633048</v>
      </c>
      <c r="H21" s="3">
        <v>3.7799193209999999</v>
      </c>
      <c r="I21" s="3">
        <v>71.155419651641907</v>
      </c>
      <c r="J21" s="3">
        <f t="shared" si="0"/>
        <v>10015.619117433484</v>
      </c>
      <c r="K21" s="3">
        <f t="shared" si="1"/>
        <v>9.8509361633258036E-3</v>
      </c>
    </row>
    <row r="22" spans="1:11" x14ac:dyDescent="0.25">
      <c r="A22" s="1">
        <v>41243</v>
      </c>
      <c r="B22" s="3">
        <v>-372.50678881232227</v>
      </c>
      <c r="C22" s="3">
        <v>310</v>
      </c>
      <c r="D22" s="3">
        <v>62.73</v>
      </c>
      <c r="E22" s="3">
        <v>598</v>
      </c>
      <c r="F22" s="3">
        <v>285</v>
      </c>
      <c r="G22" s="3">
        <v>172.02381310000001</v>
      </c>
      <c r="H22" s="3">
        <v>3.8793027420000001</v>
      </c>
      <c r="I22" s="3">
        <v>-295.91312718537199</v>
      </c>
      <c r="J22" s="3">
        <f t="shared" si="0"/>
        <v>9627.4932111876769</v>
      </c>
      <c r="K22" s="3">
        <f t="shared" si="1"/>
        <v>-0.69605935375569983</v>
      </c>
    </row>
    <row r="23" spans="1:11" x14ac:dyDescent="0.25">
      <c r="A23" s="1">
        <v>41274</v>
      </c>
      <c r="B23" s="3">
        <v>266.19862655127957</v>
      </c>
      <c r="C23" s="3">
        <v>312</v>
      </c>
      <c r="D23" s="3">
        <v>-28.51</v>
      </c>
      <c r="E23" s="3">
        <v>625</v>
      </c>
      <c r="F23" s="3">
        <v>280</v>
      </c>
      <c r="G23" s="3">
        <v>171.6171564</v>
      </c>
      <c r="H23" s="3">
        <v>3.729047145</v>
      </c>
      <c r="I23" s="3">
        <v>113.028308505155</v>
      </c>
      <c r="J23" s="3">
        <f t="shared" si="0"/>
        <v>10266.198626551279</v>
      </c>
      <c r="K23" s="3">
        <f t="shared" si="1"/>
        <v>9.0376776268757536E-2</v>
      </c>
    </row>
    <row r="24" spans="1:11" x14ac:dyDescent="0.25">
      <c r="A24" s="1">
        <v>41305</v>
      </c>
      <c r="B24" s="3">
        <v>289.18724279014378</v>
      </c>
      <c r="C24" s="3">
        <v>328</v>
      </c>
      <c r="D24" s="3">
        <v>7.03</v>
      </c>
      <c r="E24" s="3">
        <v>518</v>
      </c>
      <c r="F24" s="3">
        <v>293</v>
      </c>
      <c r="G24" s="3">
        <v>167.1258243</v>
      </c>
      <c r="H24" s="3">
        <v>3.8653117969999999</v>
      </c>
      <c r="I24" s="3">
        <v>123.77252657041301</v>
      </c>
      <c r="J24" s="3">
        <f t="shared" si="0"/>
        <v>10289.187242790144</v>
      </c>
      <c r="K24" s="3">
        <f t="shared" si="1"/>
        <v>0.11103900449493996</v>
      </c>
    </row>
    <row r="25" spans="1:11" x14ac:dyDescent="0.25">
      <c r="A25" s="1">
        <v>41333</v>
      </c>
      <c r="B25" s="3">
        <v>-18.837838201561087</v>
      </c>
      <c r="C25" s="3">
        <v>428</v>
      </c>
      <c r="D25" s="3">
        <v>-45.34</v>
      </c>
      <c r="E25" s="3">
        <v>493</v>
      </c>
      <c r="F25" s="3">
        <v>317</v>
      </c>
      <c r="G25" s="3">
        <v>153.34643550000001</v>
      </c>
      <c r="H25" s="3">
        <v>4.2080584319999996</v>
      </c>
      <c r="I25" s="3">
        <v>187.13852295415799</v>
      </c>
      <c r="J25" s="3">
        <f t="shared" si="0"/>
        <v>9981.1621617984383</v>
      </c>
      <c r="K25" s="3">
        <f t="shared" si="1"/>
        <v>0.2328982846312975</v>
      </c>
    </row>
    <row r="26" spans="1:11" x14ac:dyDescent="0.25">
      <c r="A26" s="1">
        <v>41361</v>
      </c>
      <c r="B26" s="3">
        <v>440.45395668783868</v>
      </c>
      <c r="C26" s="3">
        <v>448</v>
      </c>
      <c r="D26" s="3">
        <v>-44.96</v>
      </c>
      <c r="E26" s="3">
        <v>391</v>
      </c>
      <c r="F26" s="3">
        <v>309</v>
      </c>
      <c r="G26" s="3">
        <v>137.61312480000001</v>
      </c>
      <c r="H26" s="3">
        <v>4.2054727510000003</v>
      </c>
      <c r="I26" s="3">
        <v>537.31785652310805</v>
      </c>
      <c r="J26" s="3">
        <f t="shared" si="0"/>
        <v>10440.453956687839</v>
      </c>
      <c r="K26" s="3">
        <f t="shared" si="1"/>
        <v>0.90632889320116916</v>
      </c>
    </row>
    <row r="27" spans="1:11" x14ac:dyDescent="0.25">
      <c r="A27" s="1">
        <v>41394</v>
      </c>
      <c r="B27" s="3">
        <v>-908.01513932905823</v>
      </c>
      <c r="C27" s="3">
        <v>343</v>
      </c>
      <c r="D27" s="3">
        <v>37.229999999999997</v>
      </c>
      <c r="E27" s="3">
        <v>397</v>
      </c>
      <c r="F27" s="3">
        <v>311</v>
      </c>
      <c r="G27" s="3">
        <v>130.44791000000001</v>
      </c>
      <c r="H27" s="3">
        <v>4.9745016399999997</v>
      </c>
      <c r="I27" s="3">
        <v>-271.14530925512298</v>
      </c>
      <c r="J27" s="3">
        <f t="shared" si="0"/>
        <v>9091.984860670942</v>
      </c>
      <c r="K27" s="3">
        <f t="shared" si="1"/>
        <v>-0.64842831130747036</v>
      </c>
    </row>
    <row r="28" spans="1:11" x14ac:dyDescent="0.25">
      <c r="A28" s="1">
        <v>41425</v>
      </c>
      <c r="B28" s="3">
        <v>784.37853172549069</v>
      </c>
      <c r="C28" s="3">
        <v>522</v>
      </c>
      <c r="D28" s="3">
        <v>25.36</v>
      </c>
      <c r="E28" s="3">
        <v>348</v>
      </c>
      <c r="F28" s="3">
        <v>287</v>
      </c>
      <c r="G28" s="3">
        <v>141.49869079999999</v>
      </c>
      <c r="H28" s="3">
        <v>4.3627049280000003</v>
      </c>
      <c r="I28" s="3">
        <v>532.76377281822204</v>
      </c>
      <c r="J28" s="3">
        <f t="shared" si="0"/>
        <v>10784.378531725491</v>
      </c>
      <c r="K28" s="3">
        <f t="shared" si="1"/>
        <v>0.89757092530625437</v>
      </c>
    </row>
    <row r="29" spans="1:11" x14ac:dyDescent="0.25">
      <c r="A29" s="1">
        <v>41453</v>
      </c>
      <c r="B29" s="3">
        <v>490.33764862551232</v>
      </c>
      <c r="C29" s="3">
        <v>460</v>
      </c>
      <c r="D29" s="3">
        <v>51.25</v>
      </c>
      <c r="E29" s="3">
        <v>488</v>
      </c>
      <c r="F29" s="3">
        <v>330</v>
      </c>
      <c r="G29" s="3">
        <v>121.45344679999999</v>
      </c>
      <c r="H29" s="3">
        <v>5.199919017</v>
      </c>
      <c r="I29" s="3">
        <v>451.547278900202</v>
      </c>
      <c r="J29" s="3">
        <f t="shared" si="0"/>
        <v>10490.337648625513</v>
      </c>
      <c r="K29" s="3">
        <f t="shared" si="1"/>
        <v>0.74138331603846086</v>
      </c>
    </row>
    <row r="30" spans="1:11" x14ac:dyDescent="0.25">
      <c r="A30" s="1">
        <v>41486</v>
      </c>
      <c r="B30" s="3">
        <v>456.99741276733675</v>
      </c>
      <c r="C30" s="3">
        <v>382</v>
      </c>
      <c r="D30" s="3">
        <v>-35.14</v>
      </c>
      <c r="E30" s="3">
        <v>590</v>
      </c>
      <c r="F30" s="3">
        <v>350</v>
      </c>
      <c r="G30" s="3">
        <v>64.439959819999999</v>
      </c>
      <c r="H30" s="3">
        <v>5.7003557279999999</v>
      </c>
      <c r="I30" s="3">
        <v>359.147805373913</v>
      </c>
      <c r="J30" s="3">
        <f t="shared" si="0"/>
        <v>10456.997412767338</v>
      </c>
      <c r="K30" s="3">
        <f t="shared" si="1"/>
        <v>0.56368969530372215</v>
      </c>
    </row>
    <row r="31" spans="1:11" x14ac:dyDescent="0.25">
      <c r="A31" s="1">
        <v>41516</v>
      </c>
      <c r="B31" s="3">
        <v>247.20201222230634</v>
      </c>
      <c r="C31" s="3">
        <v>333</v>
      </c>
      <c r="D31" s="3">
        <v>-44.55</v>
      </c>
      <c r="E31" s="3">
        <v>743</v>
      </c>
      <c r="F31" s="3">
        <v>364</v>
      </c>
      <c r="G31" s="3">
        <v>35.526591019999998</v>
      </c>
      <c r="H31" s="3">
        <v>6.0487356190000003</v>
      </c>
      <c r="I31" s="3">
        <v>294.07603726651399</v>
      </c>
      <c r="J31" s="3">
        <f t="shared" si="0"/>
        <v>10247.202012222306</v>
      </c>
      <c r="K31" s="3">
        <f t="shared" si="1"/>
        <v>0.43855004199903935</v>
      </c>
    </row>
    <row r="32" spans="1:11" x14ac:dyDescent="0.25">
      <c r="A32" s="1">
        <v>41547</v>
      </c>
      <c r="B32" s="3">
        <v>185.92263834684388</v>
      </c>
      <c r="C32" s="3">
        <v>273</v>
      </c>
      <c r="D32" s="3">
        <v>-24.63</v>
      </c>
      <c r="E32" s="3">
        <v>774</v>
      </c>
      <c r="F32" s="3">
        <v>367</v>
      </c>
      <c r="G32" s="3">
        <v>24.13835255</v>
      </c>
      <c r="H32" s="3">
        <v>6.2700111649999997</v>
      </c>
      <c r="I32" s="3">
        <v>329.46426740040499</v>
      </c>
      <c r="J32" s="3">
        <f t="shared" si="0"/>
        <v>10185.922638346843</v>
      </c>
      <c r="K32" s="3">
        <f t="shared" si="1"/>
        <v>0.50660522136211417</v>
      </c>
    </row>
    <row r="33" spans="1:11" x14ac:dyDescent="0.25">
      <c r="A33" s="1">
        <v>41578</v>
      </c>
      <c r="B33" s="3">
        <v>-64.166832462646553</v>
      </c>
      <c r="C33" s="3">
        <v>225</v>
      </c>
      <c r="D33" s="3">
        <v>24.92</v>
      </c>
      <c r="E33" s="3">
        <v>644</v>
      </c>
      <c r="F33" s="3">
        <v>369</v>
      </c>
      <c r="G33" s="3">
        <v>27.490359210000001</v>
      </c>
      <c r="H33" s="3">
        <v>6.2759816229999998</v>
      </c>
      <c r="I33" s="3">
        <v>167.38324159204299</v>
      </c>
      <c r="J33" s="3">
        <f t="shared" si="0"/>
        <v>9935.8331675373538</v>
      </c>
      <c r="K33" s="3">
        <f t="shared" si="1"/>
        <v>0.19490686173786556</v>
      </c>
    </row>
    <row r="34" spans="1:11" x14ac:dyDescent="0.25">
      <c r="A34" s="1">
        <v>41607</v>
      </c>
      <c r="B34" s="3">
        <v>497.38644252027007</v>
      </c>
      <c r="C34" s="3">
        <v>234</v>
      </c>
      <c r="D34" s="3">
        <v>76.569999999999993</v>
      </c>
      <c r="E34" s="3">
        <v>545</v>
      </c>
      <c r="F34" s="3">
        <v>363</v>
      </c>
      <c r="G34" s="3">
        <v>52.011038190000001</v>
      </c>
      <c r="H34" s="3">
        <v>6.1292602360000004</v>
      </c>
      <c r="I34" s="3">
        <v>499.78568263493401</v>
      </c>
      <c r="J34" s="3">
        <f t="shared" si="0"/>
        <v>10497.38644252027</v>
      </c>
      <c r="K34" s="3">
        <f t="shared" si="1"/>
        <v>0.83415069112150075</v>
      </c>
    </row>
    <row r="35" spans="1:11" x14ac:dyDescent="0.25">
      <c r="A35" s="1">
        <v>41639</v>
      </c>
      <c r="B35" s="3">
        <v>496.63667583236764</v>
      </c>
      <c r="C35" s="3">
        <v>181</v>
      </c>
      <c r="D35" s="3">
        <v>77.709999999999994</v>
      </c>
      <c r="E35" s="3">
        <v>490</v>
      </c>
      <c r="F35" s="3">
        <v>381</v>
      </c>
      <c r="G35" s="3">
        <v>43.255411799999997</v>
      </c>
      <c r="H35" s="3">
        <v>6.5404073</v>
      </c>
      <c r="I35" s="3">
        <v>571.63859328400099</v>
      </c>
      <c r="J35" s="3">
        <f t="shared" si="0"/>
        <v>10496.636675832367</v>
      </c>
      <c r="K35" s="3">
        <f t="shared" si="1"/>
        <v>0.97233117382662948</v>
      </c>
    </row>
    <row r="36" spans="1:11" x14ac:dyDescent="0.25">
      <c r="A36" s="1">
        <v>41670</v>
      </c>
      <c r="B36" s="3">
        <v>-60.461752700553546</v>
      </c>
      <c r="C36" s="3">
        <v>107</v>
      </c>
      <c r="D36" s="3">
        <v>70.540000000000006</v>
      </c>
      <c r="E36" s="3">
        <v>408</v>
      </c>
      <c r="F36" s="3">
        <v>394</v>
      </c>
      <c r="G36" s="3">
        <v>22.549144129999998</v>
      </c>
      <c r="H36" s="3">
        <v>6.8847653370000002</v>
      </c>
      <c r="I36" s="3">
        <v>118.766600181871</v>
      </c>
      <c r="J36" s="3">
        <f t="shared" si="0"/>
        <v>9939.5382472994461</v>
      </c>
      <c r="K36" s="3">
        <f t="shared" si="1"/>
        <v>0.1014120969903369</v>
      </c>
    </row>
    <row r="37" spans="1:11" x14ac:dyDescent="0.25">
      <c r="A37" s="1">
        <v>41698</v>
      </c>
      <c r="B37" s="3">
        <v>240.0831623091218</v>
      </c>
      <c r="C37" s="3">
        <v>95</v>
      </c>
      <c r="D37" s="3">
        <v>64.42</v>
      </c>
      <c r="E37" s="3">
        <v>419</v>
      </c>
      <c r="F37" s="3">
        <v>362</v>
      </c>
      <c r="G37" s="3">
        <v>29.588755429999999</v>
      </c>
      <c r="H37" s="3">
        <v>6.6659853529999999</v>
      </c>
      <c r="I37" s="3">
        <v>280.71433103317997</v>
      </c>
      <c r="J37" s="3">
        <f t="shared" si="0"/>
        <v>10240.083162309122</v>
      </c>
      <c r="K37" s="3">
        <f t="shared" si="1"/>
        <v>0.41285411680397288</v>
      </c>
    </row>
    <row r="38" spans="1:11" x14ac:dyDescent="0.25">
      <c r="A38" s="1">
        <v>41729</v>
      </c>
      <c r="B38" s="3">
        <v>162.95809607463408</v>
      </c>
      <c r="C38" s="3">
        <v>61</v>
      </c>
      <c r="D38" s="3">
        <v>92.57</v>
      </c>
      <c r="E38" s="3">
        <v>379</v>
      </c>
      <c r="F38" s="3">
        <v>359</v>
      </c>
      <c r="G38" s="3">
        <v>37.615742150000003</v>
      </c>
      <c r="H38" s="3">
        <v>6.7696726009999999</v>
      </c>
      <c r="I38" s="3">
        <v>251.66540772812201</v>
      </c>
      <c r="J38" s="3">
        <f t="shared" si="0"/>
        <v>10162.958096074633</v>
      </c>
      <c r="K38" s="3">
        <f t="shared" si="1"/>
        <v>0.3569900716581651</v>
      </c>
    </row>
    <row r="39" spans="1:11" x14ac:dyDescent="0.25">
      <c r="A39" s="1">
        <v>41759</v>
      </c>
      <c r="B39" s="3">
        <v>67.848038432565943</v>
      </c>
      <c r="C39" s="3">
        <v>56</v>
      </c>
      <c r="D39" s="3">
        <v>90.71</v>
      </c>
      <c r="E39" s="3">
        <v>379</v>
      </c>
      <c r="F39" s="3">
        <v>356</v>
      </c>
      <c r="G39" s="3">
        <v>33.68133435</v>
      </c>
      <c r="H39" s="3">
        <v>7.0429305769999999</v>
      </c>
      <c r="I39" s="3">
        <v>-21.189314029929999</v>
      </c>
      <c r="J39" s="3">
        <f t="shared" si="0"/>
        <v>10067.848038432567</v>
      </c>
      <c r="K39" s="3">
        <f t="shared" si="1"/>
        <v>-0.1677374142615829</v>
      </c>
    </row>
    <row r="40" spans="1:11" x14ac:dyDescent="0.25">
      <c r="A40" s="1">
        <v>41789</v>
      </c>
      <c r="B40" s="3">
        <v>-106.96001897399788</v>
      </c>
      <c r="C40" s="3">
        <v>42</v>
      </c>
      <c r="D40" s="3">
        <v>72.66</v>
      </c>
      <c r="E40" s="3">
        <v>328</v>
      </c>
      <c r="F40" s="3">
        <v>346</v>
      </c>
      <c r="G40" s="3">
        <v>36.055225849999999</v>
      </c>
      <c r="H40" s="3">
        <v>6.9604846470000004</v>
      </c>
      <c r="I40" s="3">
        <v>-193.54387086127301</v>
      </c>
      <c r="J40" s="3">
        <f t="shared" si="0"/>
        <v>9893.0399810260024</v>
      </c>
      <c r="K40" s="3">
        <f t="shared" si="1"/>
        <v>-0.49919282287686029</v>
      </c>
    </row>
    <row r="41" spans="1:11" x14ac:dyDescent="0.25">
      <c r="A41" s="1">
        <v>41820</v>
      </c>
      <c r="B41" s="3">
        <v>280.37930402820393</v>
      </c>
      <c r="C41" s="3">
        <v>28</v>
      </c>
      <c r="D41" s="3">
        <v>87.55</v>
      </c>
      <c r="E41" s="3">
        <v>326</v>
      </c>
      <c r="F41" s="3">
        <v>331</v>
      </c>
      <c r="G41" s="3">
        <v>52.712148720000002</v>
      </c>
      <c r="H41" s="3">
        <v>6.7333737869999997</v>
      </c>
      <c r="I41" s="3">
        <v>-24.2281752426642</v>
      </c>
      <c r="J41" s="3">
        <f t="shared" si="0"/>
        <v>10280.379304028203</v>
      </c>
      <c r="K41" s="3">
        <f t="shared" si="1"/>
        <v>-0.17358145461369015</v>
      </c>
    </row>
    <row r="42" spans="1:11" x14ac:dyDescent="0.25">
      <c r="A42" s="1">
        <v>41851</v>
      </c>
      <c r="B42" s="3">
        <v>-23.275452647388217</v>
      </c>
      <c r="C42" s="3">
        <v>-7</v>
      </c>
      <c r="D42" s="3">
        <v>86.11</v>
      </c>
      <c r="E42" s="3">
        <v>316</v>
      </c>
      <c r="F42" s="3">
        <v>334</v>
      </c>
      <c r="G42" s="3">
        <v>54.035505329999999</v>
      </c>
      <c r="H42" s="3">
        <v>6.8773467290000001</v>
      </c>
      <c r="I42" s="3">
        <v>-245.152879084944</v>
      </c>
      <c r="J42" s="3">
        <f t="shared" si="0"/>
        <v>9976.7245473526109</v>
      </c>
      <c r="K42" s="3">
        <f t="shared" si="1"/>
        <v>-0.5984422145001127</v>
      </c>
    </row>
    <row r="43" spans="1:11" x14ac:dyDescent="0.25">
      <c r="A43" s="1">
        <v>41880</v>
      </c>
      <c r="B43" s="3">
        <v>-178.27173821292212</v>
      </c>
      <c r="C43" s="3">
        <v>-9</v>
      </c>
      <c r="D43" s="3">
        <v>58.39</v>
      </c>
      <c r="E43" s="3">
        <v>332</v>
      </c>
      <c r="F43" s="3">
        <v>331</v>
      </c>
      <c r="G43" s="3">
        <v>54.497969560000001</v>
      </c>
      <c r="H43" s="3">
        <v>6.9146271840000004</v>
      </c>
      <c r="I43" s="3">
        <v>-285.80390469839398</v>
      </c>
      <c r="J43" s="3">
        <f t="shared" si="0"/>
        <v>9821.7282617870787</v>
      </c>
      <c r="K43" s="3">
        <f t="shared" si="1"/>
        <v>-0.67661828685380798</v>
      </c>
    </row>
    <row r="44" spans="1:11" x14ac:dyDescent="0.25">
      <c r="A44" s="1">
        <v>41912</v>
      </c>
      <c r="B44" s="3">
        <v>293.47490686823096</v>
      </c>
      <c r="C44" s="3">
        <v>-5</v>
      </c>
      <c r="D44" s="3">
        <v>61.25</v>
      </c>
      <c r="E44" s="3">
        <v>282</v>
      </c>
      <c r="F44" s="3">
        <v>308</v>
      </c>
      <c r="G44" s="3">
        <v>56.939967289999998</v>
      </c>
      <c r="H44" s="3">
        <v>6.5894851799999996</v>
      </c>
      <c r="I44" s="3">
        <v>116.579574057537</v>
      </c>
      <c r="J44" s="3">
        <f t="shared" si="0"/>
        <v>10293.47490686823</v>
      </c>
      <c r="K44" s="3">
        <f t="shared" si="1"/>
        <v>9.7206222477818141E-2</v>
      </c>
    </row>
    <row r="45" spans="1:11" x14ac:dyDescent="0.25">
      <c r="A45" s="1">
        <v>41943</v>
      </c>
      <c r="B45" s="3">
        <v>-89.203972294613635</v>
      </c>
      <c r="C45" s="3">
        <v>-45</v>
      </c>
      <c r="D45" s="3">
        <v>78.7</v>
      </c>
      <c r="E45" s="3">
        <v>286</v>
      </c>
      <c r="F45" s="3">
        <v>321</v>
      </c>
      <c r="G45" s="3">
        <v>51.898962879999999</v>
      </c>
      <c r="H45" s="3">
        <v>6.8409775650000002</v>
      </c>
      <c r="I45" s="3">
        <v>-428.95565725836701</v>
      </c>
      <c r="J45" s="3">
        <f t="shared" si="0"/>
        <v>9910.7960277053862</v>
      </c>
      <c r="K45" s="3">
        <f t="shared" si="1"/>
        <v>-0.95191372151521614</v>
      </c>
    </row>
    <row r="46" spans="1:11" x14ac:dyDescent="0.25">
      <c r="A46" s="1">
        <v>41971</v>
      </c>
      <c r="B46" s="3">
        <v>-29.385887025119992</v>
      </c>
      <c r="C46" s="3">
        <v>-46</v>
      </c>
      <c r="D46" s="3">
        <v>77.53</v>
      </c>
      <c r="E46" s="3">
        <v>363</v>
      </c>
      <c r="F46" s="3">
        <v>306</v>
      </c>
      <c r="G46" s="3">
        <v>67.68330306</v>
      </c>
      <c r="H46" s="3">
        <v>6.5729425619999997</v>
      </c>
      <c r="I46" s="3">
        <v>-185.115076811835</v>
      </c>
      <c r="J46" s="3">
        <f t="shared" si="0"/>
        <v>9970.6141129748794</v>
      </c>
      <c r="K46" s="3">
        <f t="shared" si="1"/>
        <v>-0.4829833914167781</v>
      </c>
    </row>
    <row r="47" spans="1:11" x14ac:dyDescent="0.25">
      <c r="A47" s="1">
        <v>42004</v>
      </c>
      <c r="B47" s="3">
        <v>-158.28849942557014</v>
      </c>
      <c r="C47" s="3">
        <v>-68</v>
      </c>
      <c r="D47" s="3">
        <v>100.05</v>
      </c>
      <c r="E47" s="3">
        <v>361</v>
      </c>
      <c r="F47" s="3">
        <v>291</v>
      </c>
      <c r="G47" s="3">
        <v>68.951384899999994</v>
      </c>
      <c r="H47" s="3">
        <v>6.3494890059999998</v>
      </c>
      <c r="I47" s="3">
        <v>-173.56684110952801</v>
      </c>
      <c r="J47" s="3">
        <f t="shared" si="0"/>
        <v>9841.711500574429</v>
      </c>
      <c r="K47" s="3">
        <f t="shared" si="1"/>
        <v>-0.46077495519168132</v>
      </c>
    </row>
    <row r="48" spans="1:11" x14ac:dyDescent="0.25">
      <c r="A48" s="1">
        <v>42034</v>
      </c>
      <c r="B48" s="3">
        <v>-1182.1020972503634</v>
      </c>
      <c r="C48" s="3">
        <v>-82</v>
      </c>
      <c r="D48" s="3">
        <v>111.49</v>
      </c>
      <c r="E48" s="3">
        <v>380</v>
      </c>
      <c r="F48" s="3">
        <v>275</v>
      </c>
      <c r="G48" s="3">
        <v>79.240279700000002</v>
      </c>
      <c r="H48" s="3">
        <v>6.1630233810000004</v>
      </c>
      <c r="I48" s="3">
        <v>-384.47943032136402</v>
      </c>
      <c r="J48" s="3">
        <f t="shared" si="0"/>
        <v>8817.8979027496371</v>
      </c>
      <c r="K48" s="3">
        <f t="shared" si="1"/>
        <v>-0.86638139649815404</v>
      </c>
    </row>
    <row r="49" spans="1:11" x14ac:dyDescent="0.25">
      <c r="A49" s="1">
        <v>42062</v>
      </c>
      <c r="B49" s="3">
        <v>1115.7648727960534</v>
      </c>
      <c r="C49" s="3">
        <v>65</v>
      </c>
      <c r="D49" s="3">
        <v>110.38</v>
      </c>
      <c r="E49" s="3">
        <v>401</v>
      </c>
      <c r="F49" s="3">
        <v>225</v>
      </c>
      <c r="G49" s="3">
        <v>96.768658669999994</v>
      </c>
      <c r="H49" s="3">
        <v>5.0038123749999999</v>
      </c>
      <c r="I49" s="3">
        <v>767.26408678136397</v>
      </c>
      <c r="J49" s="3">
        <f t="shared" si="0"/>
        <v>11115.764872796053</v>
      </c>
      <c r="K49" s="3">
        <f t="shared" si="1"/>
        <v>1.3485389694010963</v>
      </c>
    </row>
    <row r="50" spans="1:11" x14ac:dyDescent="0.25">
      <c r="B50" s="3"/>
      <c r="C50" s="3"/>
      <c r="D50" s="3"/>
      <c r="E50" s="3"/>
      <c r="F50" s="3"/>
      <c r="G50" s="3"/>
      <c r="H50" s="3"/>
      <c r="I50" s="3"/>
      <c r="J50" s="3"/>
    </row>
    <row r="51" spans="1:11" x14ac:dyDescent="0.25">
      <c r="K51" t="s">
        <v>13</v>
      </c>
    </row>
    <row r="52" spans="1:11" x14ac:dyDescent="0.25">
      <c r="I52" t="s">
        <v>9</v>
      </c>
      <c r="J52" s="2">
        <f>GEOMEAN(J3:J49)-10000</f>
        <v>66.032999885142999</v>
      </c>
      <c r="K52">
        <f>J52*SQRT(12)</f>
        <v>228.74502155451501</v>
      </c>
    </row>
    <row r="53" spans="1:11" x14ac:dyDescent="0.25">
      <c r="I53" t="s">
        <v>11</v>
      </c>
      <c r="J53" s="3">
        <f>STDEV(B3:B49)</f>
        <v>519.99319471475621</v>
      </c>
    </row>
    <row r="54" spans="1:11" x14ac:dyDescent="0.25">
      <c r="I54" t="s">
        <v>14</v>
      </c>
      <c r="K54">
        <f>K52/J53</f>
        <v>0.43990002923017818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IOS Return Input Data 1m lag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2015-03-27T22:35:24Z</dcterms:created>
  <dcterms:modified xsi:type="dcterms:W3CDTF">2015-03-30T18:51:49Z</dcterms:modified>
</cp:coreProperties>
</file>