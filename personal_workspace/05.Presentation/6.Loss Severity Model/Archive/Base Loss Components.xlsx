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32595" windowHeight="18705" activeTab="1"/>
  </bookViews>
  <sheets>
    <sheet name="Pivot-Base" sheetId="4" r:id="rId1"/>
    <sheet name="Base Loss" sheetId="1" r:id="rId2"/>
    <sheet name="Expenses" sheetId="5" r:id="rId3"/>
    <sheet name="Pivot-Expenses" sheetId="6" r:id="rId4"/>
  </sheets>
  <definedNames>
    <definedName name="TempResult" localSheetId="2">Expenses!$A$2:$B$106</definedName>
    <definedName name="TempResult_1" localSheetId="1">'Base Loss'!$G$23:$H$618</definedName>
    <definedName name="TempResult_1" localSheetId="2">Expenses!$J$2:$K$18</definedName>
    <definedName name="TempResult_2" localSheetId="1">'Base Loss'!$L$23:$M$207</definedName>
    <definedName name="TempResult_3" localSheetId="1">'Base Loss'!$B$23:$C$127</definedName>
  </definedNames>
  <calcPr calcId="145621"/>
  <pivotCaches>
    <pivotCache cacheId="304" r:id="rId5"/>
    <pivotCache cacheId="305" r:id="rId6"/>
    <pivotCache cacheId="306" r:id="rId7"/>
    <pivotCache cacheId="307" r:id="rId8"/>
  </pivotCaches>
</workbook>
</file>

<file path=xl/calcChain.xml><?xml version="1.0" encoding="utf-8"?>
<calcChain xmlns="http://schemas.openxmlformats.org/spreadsheetml/2006/main">
  <c r="C100" i="5" l="1"/>
  <c r="C101" i="5"/>
  <c r="C102" i="5"/>
  <c r="C103" i="5"/>
  <c r="C104" i="5"/>
  <c r="C105" i="5" s="1"/>
  <c r="C106" i="5" s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3" i="5"/>
  <c r="I513" i="1"/>
  <c r="I514" i="1"/>
  <c r="I515" i="1"/>
  <c r="I516" i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512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24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7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24" i="1"/>
  <c r="E22" i="1"/>
</calcChain>
</file>

<file path=xl/connections.xml><?xml version="1.0" encoding="utf-8"?>
<connections xmlns="http://schemas.openxmlformats.org/spreadsheetml/2006/main">
  <connection id="1" name="TempResult" type="6" refreshedVersion="4" background="1" saveData="1">
    <textPr codePage="437" sourceFile="C:\Lien Workspace\16.Loss Severity Model\R Code\data\TempResult.csv" space="1" comma="1" consecutive="1">
      <textFields count="2">
        <textField/>
        <textField/>
      </textFields>
    </textPr>
  </connection>
  <connection id="2" name="TempResult1" type="6" refreshedVersion="4" background="1" saveData="1">
    <textPr codePage="437" sourceFile="C:\Lien Workspace\16.Loss Severity Model\R Code\data\TempResult.csv" space="1" comma="1" consecutive="1">
      <textFields count="2">
        <textField/>
        <textField/>
      </textFields>
    </textPr>
  </connection>
  <connection id="3" name="TempResult2" type="6" refreshedVersion="4" background="1" saveData="1">
    <textPr codePage="437" sourceFile="C:\Lien Workspace\16.Loss Severity Model\R Code\data\TempResult.csv" space="1" comma="1" consecutive="1">
      <textFields count="2">
        <textField/>
        <textField/>
      </textFields>
    </textPr>
  </connection>
  <connection id="4" name="TempResult3" type="6" refreshedVersion="4" background="1" saveData="1">
    <textPr codePage="437" sourceFile="C:\Lien Workspace\16.Loss Severity Model\R Code\data\TempResult.csv" space="1" comma="1" consecutive="1">
      <textFields count="2">
        <textField/>
        <textField/>
      </textFields>
    </textPr>
  </connection>
  <connection id="5" name="TempResult4" type="6" refreshedVersion="4" background="1" saveData="1">
    <textPr codePage="437" sourceFile="C:\Lien Workspace\16.Loss Severity Model\R Code\data\TempResult.csv" space="1" comma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<sst xmlns="http://schemas.openxmlformats.org/spreadsheetml/2006/main" count="63" uniqueCount="29">
  <si>
    <t>occupancyStatus</t>
  </si>
  <si>
    <t>2ND</t>
  </si>
  <si>
    <t>INV</t>
  </si>
  <si>
    <t>OWNER</t>
  </si>
  <si>
    <t>Judicial</t>
  </si>
  <si>
    <t>loanpurpose</t>
  </si>
  <si>
    <t>propertyType</t>
  </si>
  <si>
    <t>timeDQ</t>
  </si>
  <si>
    <t>PURCH</t>
  </si>
  <si>
    <t>RE-FI-CO</t>
  </si>
  <si>
    <t>RE-FI-NCO</t>
  </si>
  <si>
    <t>CO-OP</t>
  </si>
  <si>
    <t>CONDO</t>
  </si>
  <si>
    <t>LEASEHOLD</t>
  </si>
  <si>
    <t>MH</t>
  </si>
  <si>
    <t>PUD</t>
  </si>
  <si>
    <t>SFR</t>
  </si>
  <si>
    <t>UNKNOWN</t>
  </si>
  <si>
    <t>Severity</t>
  </si>
  <si>
    <t>OrigBalance</t>
  </si>
  <si>
    <t>LoanAge</t>
  </si>
  <si>
    <t>Group</t>
  </si>
  <si>
    <t>Row Labels</t>
  </si>
  <si>
    <t>Grand Total</t>
  </si>
  <si>
    <t>Average of Severity</t>
  </si>
  <si>
    <t>Non-Judicial</t>
  </si>
  <si>
    <t>HPA2Yr</t>
  </si>
  <si>
    <t>HPI</t>
  </si>
  <si>
    <t>with CLTV [90,100]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</si>
</sst>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Lucida Console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2" fillId="0" borderId="0" xfId="2" applyFont="1" applyAlignment="1">
      <alignment vertical="center"/>
    </xf>
    <xf numFmtId="9" fontId="0" fillId="0" borderId="0" xfId="2" applyFont="1"/>
    <xf numFmtId="164" fontId="0" fillId="0" borderId="0" xfId="1" applyNumberFormat="1" applyFont="1"/>
    <xf numFmtId="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Loss Components.xlsx]Pivot-Base!PivotTable1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TimeDQ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'Pivot-Base'!$B$1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'Pivot-Base'!$A$2:$A$7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'Pivot-Base'!$B$2:$B$7</c:f>
              <c:numCache>
                <c:formatCode>General</c:formatCode>
                <c:ptCount val="5"/>
                <c:pt idx="0">
                  <c:v>0.33033509376866993</c:v>
                </c:pt>
                <c:pt idx="1">
                  <c:v>0.39488372082855788</c:v>
                </c:pt>
                <c:pt idx="2">
                  <c:v>0.4224472174215011</c:v>
                </c:pt>
                <c:pt idx="3">
                  <c:v>0.42793774172305721</c:v>
                </c:pt>
                <c:pt idx="4">
                  <c:v>0.47893173338694478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135936"/>
        <c:axId val="152355968"/>
      </c:barChart>
      <c:catAx>
        <c:axId val="152135936"/>
        <c:scaling>
          <c:orientation val="minMax"/>
        </c:scaling>
        <c:delete val="0"/>
        <c:axPos val="b"/>
        <c:majorTickMark val="out"/>
        <c:minorTickMark val="none"/>
        <c:tickLblPos val="nextTo"/>
        <c:crossAx val="152355968"/>
        <c:crosses val="autoZero"/>
        <c:auto val="1"/>
        <c:lblAlgn val="ctr"/>
        <c:lblOffset val="100"/>
        <c:noMultiLvlLbl val="0"/>
      </c:catAx>
      <c:valAx>
        <c:axId val="152355968"/>
        <c:scaling>
          <c:orientation val="minMax"/>
          <c:min val="0.2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2135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Loss Components.xlsx]Pivot-Base!PivotTable2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Loan Balance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'Pivot-Base'!$K$1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'Pivot-Base'!$J$2:$J$12</c:f>
              <c:strCache>
                <c:ptCount val="10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</c:strCache>
            </c:strRef>
          </c:cat>
          <c:val>
            <c:numRef>
              <c:f>'Pivot-Base'!$K$2:$K$12</c:f>
              <c:numCache>
                <c:formatCode>General</c:formatCode>
                <c:ptCount val="10"/>
                <c:pt idx="0">
                  <c:v>0.62645163875819909</c:v>
                </c:pt>
                <c:pt idx="1">
                  <c:v>0.47639755011061213</c:v>
                </c:pt>
                <c:pt idx="2">
                  <c:v>0.38030581167260097</c:v>
                </c:pt>
                <c:pt idx="3">
                  <c:v>0.36079018773040439</c:v>
                </c:pt>
                <c:pt idx="4">
                  <c:v>0.36182014916171495</c:v>
                </c:pt>
                <c:pt idx="5">
                  <c:v>0.35439443321479713</c:v>
                </c:pt>
                <c:pt idx="6">
                  <c:v>0.34946507592467446</c:v>
                </c:pt>
                <c:pt idx="7">
                  <c:v>0.35334663317998793</c:v>
                </c:pt>
                <c:pt idx="8">
                  <c:v>0.37219581377376282</c:v>
                </c:pt>
                <c:pt idx="9">
                  <c:v>0.34303722799822534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033024"/>
        <c:axId val="156035712"/>
      </c:barChart>
      <c:catAx>
        <c:axId val="156033024"/>
        <c:scaling>
          <c:orientation val="minMax"/>
        </c:scaling>
        <c:delete val="0"/>
        <c:axPos val="b"/>
        <c:majorTickMark val="out"/>
        <c:minorTickMark val="none"/>
        <c:tickLblPos val="nextTo"/>
        <c:crossAx val="156035712"/>
        <c:crosses val="autoZero"/>
        <c:auto val="1"/>
        <c:lblAlgn val="ctr"/>
        <c:lblOffset val="100"/>
        <c:noMultiLvlLbl val="0"/>
      </c:catAx>
      <c:valAx>
        <c:axId val="156035712"/>
        <c:scaling>
          <c:orientation val="minMax"/>
          <c:min val="0.2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033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Loss Components.xlsx]Pivot-Base!PivotTable3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Loan Age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'Pivot-Base'!$S$1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'Pivot-Base'!$R$2:$R$21</c:f>
              <c:strCache>
                <c:ptCount val="1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</c:strCache>
            </c:strRef>
          </c:cat>
          <c:val>
            <c:numRef>
              <c:f>'Pivot-Base'!$S$2:$S$21</c:f>
              <c:numCache>
                <c:formatCode>General</c:formatCode>
                <c:ptCount val="19"/>
                <c:pt idx="0">
                  <c:v>0.1939950333801124</c:v>
                </c:pt>
                <c:pt idx="1">
                  <c:v>0.38748537996385068</c:v>
                </c:pt>
                <c:pt idx="2">
                  <c:v>0.39651779364018291</c:v>
                </c:pt>
                <c:pt idx="3">
                  <c:v>0.39365826511758617</c:v>
                </c:pt>
                <c:pt idx="4">
                  <c:v>0.3990909185290758</c:v>
                </c:pt>
                <c:pt idx="5">
                  <c:v>0.4115011782347911</c:v>
                </c:pt>
                <c:pt idx="6">
                  <c:v>0.41301730771392708</c:v>
                </c:pt>
                <c:pt idx="7">
                  <c:v>0.40690379999189091</c:v>
                </c:pt>
                <c:pt idx="8">
                  <c:v>0.38963112730292071</c:v>
                </c:pt>
                <c:pt idx="9">
                  <c:v>0.37465812593107961</c:v>
                </c:pt>
                <c:pt idx="10">
                  <c:v>0.3659044401515722</c:v>
                </c:pt>
                <c:pt idx="11">
                  <c:v>0.36495687472419791</c:v>
                </c:pt>
                <c:pt idx="12">
                  <c:v>0.36633562052423485</c:v>
                </c:pt>
                <c:pt idx="13">
                  <c:v>0.39199612054400834</c:v>
                </c:pt>
                <c:pt idx="14">
                  <c:v>0.40635742944826203</c:v>
                </c:pt>
                <c:pt idx="15">
                  <c:v>0.41297689111889319</c:v>
                </c:pt>
                <c:pt idx="16">
                  <c:v>0.36817498285671213</c:v>
                </c:pt>
                <c:pt idx="17">
                  <c:v>0.34052054950687938</c:v>
                </c:pt>
                <c:pt idx="18">
                  <c:v>0.35921601967824301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272512"/>
        <c:axId val="158288512"/>
      </c:barChart>
      <c:catAx>
        <c:axId val="158272512"/>
        <c:scaling>
          <c:orientation val="minMax"/>
        </c:scaling>
        <c:delete val="0"/>
        <c:axPos val="b"/>
        <c:majorTickMark val="out"/>
        <c:minorTickMark val="none"/>
        <c:tickLblPos val="nextTo"/>
        <c:crossAx val="158288512"/>
        <c:crosses val="autoZero"/>
        <c:auto val="1"/>
        <c:lblAlgn val="ctr"/>
        <c:lblOffset val="100"/>
        <c:noMultiLvlLbl val="0"/>
      </c:catAx>
      <c:valAx>
        <c:axId val="158288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8272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'Base Loss'!$B$2:$D$2</c:f>
              <c:strCache>
                <c:ptCount val="3"/>
                <c:pt idx="0">
                  <c:v>2ND</c:v>
                </c:pt>
                <c:pt idx="1">
                  <c:v>INV</c:v>
                </c:pt>
                <c:pt idx="2">
                  <c:v>OWNER</c:v>
                </c:pt>
              </c:strCache>
            </c:strRef>
          </c:cat>
          <c:val>
            <c:numRef>
              <c:f>'Base Loss'!$B$3:$D$3</c:f>
              <c:numCache>
                <c:formatCode>0%</c:formatCode>
                <c:ptCount val="3"/>
                <c:pt idx="0">
                  <c:v>0.43543900000000002</c:v>
                </c:pt>
                <c:pt idx="1">
                  <c:v>0.56917139999999999</c:v>
                </c:pt>
                <c:pt idx="2">
                  <c:v>0.37996809999999998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64604288"/>
        <c:axId val="318001920"/>
      </c:barChart>
      <c:catAx>
        <c:axId val="264604288"/>
        <c:scaling>
          <c:orientation val="minMax"/>
        </c:scaling>
        <c:delete val="0"/>
        <c:axPos val="b"/>
        <c:majorTickMark val="out"/>
        <c:minorTickMark val="none"/>
        <c:tickLblPos val="nextTo"/>
        <c:crossAx val="318001920"/>
        <c:crosses val="autoZero"/>
        <c:auto val="1"/>
        <c:lblAlgn val="ctr"/>
        <c:lblOffset val="100"/>
        <c:noMultiLvlLbl val="0"/>
      </c:catAx>
      <c:valAx>
        <c:axId val="3180019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646042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'Base Loss'!$B$6:$C$6</c:f>
              <c:strCache>
                <c:ptCount val="2"/>
                <c:pt idx="0">
                  <c:v>Non-Judicial</c:v>
                </c:pt>
                <c:pt idx="1">
                  <c:v>Judicial</c:v>
                </c:pt>
              </c:strCache>
            </c:strRef>
          </c:cat>
          <c:val>
            <c:numRef>
              <c:f>'Base Loss'!$B$7:$C$7</c:f>
              <c:numCache>
                <c:formatCode>0%</c:formatCode>
                <c:ptCount val="2"/>
                <c:pt idx="0">
                  <c:v>0.38148379999999998</c:v>
                </c:pt>
                <c:pt idx="1">
                  <c:v>0.42011419999999999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0391424"/>
        <c:axId val="320398080"/>
      </c:barChart>
      <c:catAx>
        <c:axId val="320391424"/>
        <c:scaling>
          <c:orientation val="minMax"/>
        </c:scaling>
        <c:delete val="0"/>
        <c:axPos val="b"/>
        <c:majorTickMark val="out"/>
        <c:minorTickMark val="none"/>
        <c:tickLblPos val="nextTo"/>
        <c:crossAx val="320398080"/>
        <c:crosses val="autoZero"/>
        <c:auto val="1"/>
        <c:lblAlgn val="ctr"/>
        <c:lblOffset val="100"/>
        <c:noMultiLvlLbl val="0"/>
      </c:catAx>
      <c:valAx>
        <c:axId val="3203980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203914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'Base Loss'!$B$10:$D$10</c:f>
              <c:strCache>
                <c:ptCount val="3"/>
                <c:pt idx="0">
                  <c:v>PURCH</c:v>
                </c:pt>
                <c:pt idx="1">
                  <c:v>RE-FI-CO</c:v>
                </c:pt>
                <c:pt idx="2">
                  <c:v>RE-FI-NCO</c:v>
                </c:pt>
              </c:strCache>
            </c:strRef>
          </c:cat>
          <c:val>
            <c:numRef>
              <c:f>'Base Loss'!$B$11:$D$11</c:f>
              <c:numCache>
                <c:formatCode>0%</c:formatCode>
                <c:ptCount val="3"/>
                <c:pt idx="0">
                  <c:v>0.38019310000000001</c:v>
                </c:pt>
                <c:pt idx="1">
                  <c:v>0.4226299</c:v>
                </c:pt>
                <c:pt idx="2">
                  <c:v>0.38943440000000001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23159552"/>
        <c:axId val="325087232"/>
      </c:barChart>
      <c:catAx>
        <c:axId val="323159552"/>
        <c:scaling>
          <c:orientation val="minMax"/>
        </c:scaling>
        <c:delete val="0"/>
        <c:axPos val="b"/>
        <c:majorTickMark val="out"/>
        <c:minorTickMark val="none"/>
        <c:tickLblPos val="nextTo"/>
        <c:crossAx val="325087232"/>
        <c:crosses val="autoZero"/>
        <c:auto val="1"/>
        <c:lblAlgn val="ctr"/>
        <c:lblOffset val="100"/>
        <c:noMultiLvlLbl val="0"/>
      </c:catAx>
      <c:valAx>
        <c:axId val="3250872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23159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'Base Loss'!$B$18:$H$18</c:f>
              <c:strCache>
                <c:ptCount val="7"/>
                <c:pt idx="0">
                  <c:v>CO-OP</c:v>
                </c:pt>
                <c:pt idx="1">
                  <c:v>CONDO</c:v>
                </c:pt>
                <c:pt idx="2">
                  <c:v>LEASEHOLD</c:v>
                </c:pt>
                <c:pt idx="3">
                  <c:v>MH</c:v>
                </c:pt>
                <c:pt idx="4">
                  <c:v>PUD</c:v>
                </c:pt>
                <c:pt idx="5">
                  <c:v>SFR</c:v>
                </c:pt>
                <c:pt idx="6">
                  <c:v>UNKNOWN</c:v>
                </c:pt>
              </c:strCache>
            </c:strRef>
          </c:cat>
          <c:val>
            <c:numRef>
              <c:f>'Base Loss'!$B$19:$H$19</c:f>
              <c:numCache>
                <c:formatCode>0%</c:formatCode>
                <c:ptCount val="7"/>
                <c:pt idx="0">
                  <c:v>0.34256589999999998</c:v>
                </c:pt>
                <c:pt idx="1">
                  <c:v>0.44156030000000002</c:v>
                </c:pt>
                <c:pt idx="2">
                  <c:v>0.53198809999999996</c:v>
                </c:pt>
                <c:pt idx="3">
                  <c:v>0.50805500000000003</c:v>
                </c:pt>
                <c:pt idx="4">
                  <c:v>0.31700889999999998</c:v>
                </c:pt>
                <c:pt idx="5">
                  <c:v>0.40297559999999999</c:v>
                </c:pt>
                <c:pt idx="6">
                  <c:v>0.45914189999999999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25624960"/>
        <c:axId val="325626496"/>
      </c:barChart>
      <c:catAx>
        <c:axId val="325624960"/>
        <c:scaling>
          <c:orientation val="minMax"/>
        </c:scaling>
        <c:delete val="0"/>
        <c:axPos val="b"/>
        <c:majorTickMark val="out"/>
        <c:minorTickMark val="none"/>
        <c:tickLblPos val="nextTo"/>
        <c:crossAx val="325626496"/>
        <c:crosses val="autoZero"/>
        <c:auto val="1"/>
        <c:lblAlgn val="ctr"/>
        <c:lblOffset val="100"/>
        <c:noMultiLvlLbl val="0"/>
      </c:catAx>
      <c:valAx>
        <c:axId val="3256264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256249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Loss Components.xlsx]Pivot-Base!PivotTable1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TimeDQ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'Pivot-Base'!$B$1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'Pivot-Base'!$A$2:$A$7</c:f>
              <c:strCach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strCache>
            </c:strRef>
          </c:cat>
          <c:val>
            <c:numRef>
              <c:f>'Pivot-Base'!$B$2:$B$7</c:f>
              <c:numCache>
                <c:formatCode>General</c:formatCode>
                <c:ptCount val="5"/>
                <c:pt idx="0">
                  <c:v>0.33033509376866993</c:v>
                </c:pt>
                <c:pt idx="1">
                  <c:v>0.39488372082855788</c:v>
                </c:pt>
                <c:pt idx="2">
                  <c:v>0.4224472174215011</c:v>
                </c:pt>
                <c:pt idx="3">
                  <c:v>0.42793774172305721</c:v>
                </c:pt>
                <c:pt idx="4">
                  <c:v>0.47893173338694478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027520"/>
        <c:axId val="326054656"/>
      </c:barChart>
      <c:catAx>
        <c:axId val="326027520"/>
        <c:scaling>
          <c:orientation val="minMax"/>
        </c:scaling>
        <c:delete val="0"/>
        <c:axPos val="b"/>
        <c:majorTickMark val="out"/>
        <c:minorTickMark val="none"/>
        <c:tickLblPos val="nextTo"/>
        <c:crossAx val="326054656"/>
        <c:crosses val="autoZero"/>
        <c:auto val="1"/>
        <c:lblAlgn val="ctr"/>
        <c:lblOffset val="100"/>
        <c:noMultiLvlLbl val="0"/>
      </c:catAx>
      <c:valAx>
        <c:axId val="326054656"/>
        <c:scaling>
          <c:orientation val="minMax"/>
          <c:min val="0.2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6027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Loss Components.xlsx]Pivot-Base!PivotTable2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Loan Balance</a:t>
            </a:r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'Pivot-Base'!$K$1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'Pivot-Base'!$J$2:$J$12</c:f>
              <c:strCache>
                <c:ptCount val="10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</c:strCache>
            </c:strRef>
          </c:cat>
          <c:val>
            <c:numRef>
              <c:f>'Pivot-Base'!$K$2:$K$12</c:f>
              <c:numCache>
                <c:formatCode>General</c:formatCode>
                <c:ptCount val="10"/>
                <c:pt idx="0">
                  <c:v>0.62645163875819909</c:v>
                </c:pt>
                <c:pt idx="1">
                  <c:v>0.47639755011061213</c:v>
                </c:pt>
                <c:pt idx="2">
                  <c:v>0.38030581167260097</c:v>
                </c:pt>
                <c:pt idx="3">
                  <c:v>0.36079018773040439</c:v>
                </c:pt>
                <c:pt idx="4">
                  <c:v>0.36182014916171495</c:v>
                </c:pt>
                <c:pt idx="5">
                  <c:v>0.35439443321479713</c:v>
                </c:pt>
                <c:pt idx="6">
                  <c:v>0.34946507592467446</c:v>
                </c:pt>
                <c:pt idx="7">
                  <c:v>0.35334663317998793</c:v>
                </c:pt>
                <c:pt idx="8">
                  <c:v>0.37219581377376282</c:v>
                </c:pt>
                <c:pt idx="9">
                  <c:v>0.34303722799822534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6510080"/>
        <c:axId val="326518656"/>
      </c:barChart>
      <c:catAx>
        <c:axId val="326510080"/>
        <c:scaling>
          <c:orientation val="minMax"/>
        </c:scaling>
        <c:delete val="0"/>
        <c:axPos val="b"/>
        <c:majorTickMark val="out"/>
        <c:minorTickMark val="none"/>
        <c:tickLblPos val="nextTo"/>
        <c:crossAx val="326518656"/>
        <c:crosses val="autoZero"/>
        <c:auto val="1"/>
        <c:lblAlgn val="ctr"/>
        <c:lblOffset val="100"/>
        <c:noMultiLvlLbl val="0"/>
      </c:catAx>
      <c:valAx>
        <c:axId val="326518656"/>
        <c:scaling>
          <c:orientation val="minMax"/>
          <c:min val="0.2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65100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Loss'!$R$52</c:f>
              <c:strCache>
                <c:ptCount val="1"/>
                <c:pt idx="0">
                  <c:v>Severity</c:v>
                </c:pt>
              </c:strCache>
            </c:strRef>
          </c:tx>
          <c:invertIfNegative val="0"/>
          <c:cat>
            <c:numRef>
              <c:f>'Base Loss'!$Q$53:$Q$63</c:f>
              <c:numCache>
                <c:formatCode>General</c:formatCode>
                <c:ptCount val="11"/>
                <c:pt idx="0">
                  <c:v>0.7</c:v>
                </c:pt>
                <c:pt idx="1">
                  <c:v>0.8</c:v>
                </c:pt>
                <c:pt idx="2">
                  <c:v>0.9</c:v>
                </c:pt>
                <c:pt idx="3">
                  <c:v>1</c:v>
                </c:pt>
                <c:pt idx="4">
                  <c:v>1.1000000000000001</c:v>
                </c:pt>
                <c:pt idx="5">
                  <c:v>1.2</c:v>
                </c:pt>
                <c:pt idx="6">
                  <c:v>1.3</c:v>
                </c:pt>
                <c:pt idx="7">
                  <c:v>1.4</c:v>
                </c:pt>
              </c:numCache>
            </c:numRef>
          </c:cat>
          <c:val>
            <c:numRef>
              <c:f>'Base Loss'!$R$53:$R$63</c:f>
              <c:numCache>
                <c:formatCode>0%</c:formatCode>
                <c:ptCount val="11"/>
                <c:pt idx="0">
                  <c:v>0.34781640000000003</c:v>
                </c:pt>
                <c:pt idx="1">
                  <c:v>0.37542880000000001</c:v>
                </c:pt>
                <c:pt idx="2">
                  <c:v>0.45258389999999998</c:v>
                </c:pt>
                <c:pt idx="3">
                  <c:v>0.41614679999999998</c:v>
                </c:pt>
                <c:pt idx="4">
                  <c:v>0.35243649999999999</c:v>
                </c:pt>
                <c:pt idx="5">
                  <c:v>0.2868291</c:v>
                </c:pt>
                <c:pt idx="6">
                  <c:v>0.24407499999999999</c:v>
                </c:pt>
                <c:pt idx="7">
                  <c:v>0.1760526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974336"/>
        <c:axId val="330975872"/>
      </c:barChart>
      <c:catAx>
        <c:axId val="330974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0975872"/>
        <c:crosses val="autoZero"/>
        <c:auto val="1"/>
        <c:lblAlgn val="ctr"/>
        <c:lblOffset val="100"/>
        <c:noMultiLvlLbl val="0"/>
      </c:catAx>
      <c:valAx>
        <c:axId val="33097587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09743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Loss Components.xlsx]Pivot-Expenses!PivotTable4</c:name>
    <c:fmtId val="2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'Pivot-Expenses'!$B$1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'Pivot-Expenses'!$A$2:$A$12</c:f>
              <c:strCach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strCache>
            </c:strRef>
          </c:cat>
          <c:val>
            <c:numRef>
              <c:f>'Pivot-Expenses'!$B$2:$B$12</c:f>
              <c:numCache>
                <c:formatCode>0%</c:formatCode>
                <c:ptCount val="10"/>
                <c:pt idx="0">
                  <c:v>1.7763133380258447E-2</c:v>
                </c:pt>
                <c:pt idx="1">
                  <c:v>9.100301308763159E-2</c:v>
                </c:pt>
                <c:pt idx="2">
                  <c:v>0.15102504197410821</c:v>
                </c:pt>
                <c:pt idx="3">
                  <c:v>0.18773454200812073</c:v>
                </c:pt>
                <c:pt idx="4">
                  <c:v>0.22347136911615212</c:v>
                </c:pt>
                <c:pt idx="5">
                  <c:v>0.24805781231189178</c:v>
                </c:pt>
                <c:pt idx="6">
                  <c:v>0.262070002096085</c:v>
                </c:pt>
                <c:pt idx="7">
                  <c:v>0.32027040414505009</c:v>
                </c:pt>
                <c:pt idx="8">
                  <c:v>0.39759753227354327</c:v>
                </c:pt>
                <c:pt idx="9">
                  <c:v>0.40926749166758331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2704000"/>
        <c:axId val="332757248"/>
      </c:barChart>
      <c:catAx>
        <c:axId val="332704000"/>
        <c:scaling>
          <c:orientation val="minMax"/>
        </c:scaling>
        <c:delete val="0"/>
        <c:axPos val="b"/>
        <c:majorTickMark val="out"/>
        <c:minorTickMark val="none"/>
        <c:tickLblPos val="nextTo"/>
        <c:crossAx val="332757248"/>
        <c:crosses val="autoZero"/>
        <c:auto val="1"/>
        <c:lblAlgn val="ctr"/>
        <c:lblOffset val="100"/>
        <c:noMultiLvlLbl val="0"/>
      </c:catAx>
      <c:valAx>
        <c:axId val="3327572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2704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Expenses!$F$2:$G$2</c:f>
              <c:strCache>
                <c:ptCount val="2"/>
                <c:pt idx="0">
                  <c:v>Non-Judicial</c:v>
                </c:pt>
                <c:pt idx="1">
                  <c:v>Judicial</c:v>
                </c:pt>
              </c:strCache>
            </c:strRef>
          </c:cat>
          <c:val>
            <c:numRef>
              <c:f>Expenses!$F$3:$G$3</c:f>
              <c:numCache>
                <c:formatCode>0%</c:formatCode>
                <c:ptCount val="2"/>
                <c:pt idx="0">
                  <c:v>9.2227900000000002E-2</c:v>
                </c:pt>
                <c:pt idx="1">
                  <c:v>0.14381260000000001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626240"/>
        <c:axId val="338285696"/>
      </c:barChart>
      <c:catAx>
        <c:axId val="33762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338285696"/>
        <c:crosses val="autoZero"/>
        <c:auto val="1"/>
        <c:lblAlgn val="ctr"/>
        <c:lblOffset val="100"/>
        <c:noMultiLvlLbl val="0"/>
      </c:catAx>
      <c:valAx>
        <c:axId val="3382856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7626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Expenses!$K$2</c:f>
              <c:strCache>
                <c:ptCount val="1"/>
                <c:pt idx="0">
                  <c:v>Severity</c:v>
                </c:pt>
              </c:strCache>
            </c:strRef>
          </c:tx>
          <c:invertIfNegative val="0"/>
          <c:cat>
            <c:numRef>
              <c:f>Expenses!$J$3:$J$18</c:f>
              <c:numCache>
                <c:formatCode>_(* #,##0_);_(* \(#,##0\);_(* "-"??_);_(@_)</c:formatCode>
                <c:ptCount val="16"/>
                <c:pt idx="0">
                  <c:v>50000</c:v>
                </c:pt>
                <c:pt idx="1">
                  <c:v>100000</c:v>
                </c:pt>
                <c:pt idx="2">
                  <c:v>150000</c:v>
                </c:pt>
                <c:pt idx="3">
                  <c:v>200000</c:v>
                </c:pt>
                <c:pt idx="4">
                  <c:v>250000</c:v>
                </c:pt>
                <c:pt idx="5">
                  <c:v>300000</c:v>
                </c:pt>
                <c:pt idx="6">
                  <c:v>350000</c:v>
                </c:pt>
                <c:pt idx="7">
                  <c:v>400000</c:v>
                </c:pt>
                <c:pt idx="8">
                  <c:v>450000</c:v>
                </c:pt>
                <c:pt idx="9">
                  <c:v>500000</c:v>
                </c:pt>
                <c:pt idx="10">
                  <c:v>550000</c:v>
                </c:pt>
                <c:pt idx="11">
                  <c:v>600000</c:v>
                </c:pt>
                <c:pt idx="12">
                  <c:v>650000</c:v>
                </c:pt>
                <c:pt idx="13">
                  <c:v>700000</c:v>
                </c:pt>
                <c:pt idx="14">
                  <c:v>750000</c:v>
                </c:pt>
                <c:pt idx="15">
                  <c:v>800000</c:v>
                </c:pt>
              </c:numCache>
            </c:numRef>
          </c:cat>
          <c:val>
            <c:numRef>
              <c:f>Expenses!$K$3:$K$18</c:f>
              <c:numCache>
                <c:formatCode>0%</c:formatCode>
                <c:ptCount val="16"/>
                <c:pt idx="0">
                  <c:v>0.245212233918435</c:v>
                </c:pt>
                <c:pt idx="1">
                  <c:v>0.153807368575161</c:v>
                </c:pt>
                <c:pt idx="2">
                  <c:v>0.117278249028986</c:v>
                </c:pt>
                <c:pt idx="3">
                  <c:v>9.1377451252131994E-2</c:v>
                </c:pt>
                <c:pt idx="4">
                  <c:v>7.5150397968344704E-2</c:v>
                </c:pt>
                <c:pt idx="5">
                  <c:v>6.4660400647560706E-2</c:v>
                </c:pt>
                <c:pt idx="6">
                  <c:v>5.5701212094515597E-2</c:v>
                </c:pt>
                <c:pt idx="7">
                  <c:v>4.9166053847773797E-2</c:v>
                </c:pt>
                <c:pt idx="8">
                  <c:v>5.4181616832379403E-2</c:v>
                </c:pt>
                <c:pt idx="9">
                  <c:v>5.0559088699076798E-2</c:v>
                </c:pt>
                <c:pt idx="10">
                  <c:v>4.34386913435292E-2</c:v>
                </c:pt>
                <c:pt idx="11">
                  <c:v>4.6199076769447102E-2</c:v>
                </c:pt>
                <c:pt idx="12">
                  <c:v>4.8199184234963999E-2</c:v>
                </c:pt>
                <c:pt idx="13">
                  <c:v>2.5692744456876301E-2</c:v>
                </c:pt>
                <c:pt idx="14">
                  <c:v>1.8174604374236999E-2</c:v>
                </c:pt>
                <c:pt idx="15">
                  <c:v>7.14246405636131E-3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615296"/>
        <c:axId val="338938496"/>
      </c:barChart>
      <c:catAx>
        <c:axId val="338615296"/>
        <c:scaling>
          <c:orientation val="minMax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nextTo"/>
        <c:crossAx val="338938496"/>
        <c:crosses val="autoZero"/>
        <c:auto val="1"/>
        <c:lblAlgn val="ctr"/>
        <c:lblOffset val="100"/>
        <c:noMultiLvlLbl val="0"/>
      </c:catAx>
      <c:valAx>
        <c:axId val="33893849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8615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Loss Components.xlsx]Pivot-Expenses!PivotTable4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'Pivot-Expenses'!$B$1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'Pivot-Expenses'!$A$2:$A$12</c:f>
              <c:strCach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strCache>
            </c:strRef>
          </c:cat>
          <c:val>
            <c:numRef>
              <c:f>'Pivot-Expenses'!$B$2:$B$12</c:f>
              <c:numCache>
                <c:formatCode>0%</c:formatCode>
                <c:ptCount val="10"/>
                <c:pt idx="0">
                  <c:v>1.7763133380258447E-2</c:v>
                </c:pt>
                <c:pt idx="1">
                  <c:v>9.100301308763159E-2</c:v>
                </c:pt>
                <c:pt idx="2">
                  <c:v>0.15102504197410821</c:v>
                </c:pt>
                <c:pt idx="3">
                  <c:v>0.18773454200812073</c:v>
                </c:pt>
                <c:pt idx="4">
                  <c:v>0.22347136911615212</c:v>
                </c:pt>
                <c:pt idx="5">
                  <c:v>0.24805781231189178</c:v>
                </c:pt>
                <c:pt idx="6">
                  <c:v>0.262070002096085</c:v>
                </c:pt>
                <c:pt idx="7">
                  <c:v>0.32027040414505009</c:v>
                </c:pt>
                <c:pt idx="8">
                  <c:v>0.39759753227354327</c:v>
                </c:pt>
                <c:pt idx="9">
                  <c:v>0.40926749166758331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387904"/>
        <c:axId val="339976576"/>
      </c:barChart>
      <c:catAx>
        <c:axId val="339387904"/>
        <c:scaling>
          <c:orientation val="minMax"/>
        </c:scaling>
        <c:delete val="0"/>
        <c:axPos val="b"/>
        <c:majorTickMark val="out"/>
        <c:minorTickMark val="none"/>
        <c:tickLblPos val="nextTo"/>
        <c:crossAx val="339976576"/>
        <c:crosses val="autoZero"/>
        <c:auto val="1"/>
        <c:lblAlgn val="ctr"/>
        <c:lblOffset val="100"/>
        <c:noMultiLvlLbl val="0"/>
      </c:catAx>
      <c:valAx>
        <c:axId val="33997657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339387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12</xdr:row>
      <xdr:rowOff>95250</xdr:rowOff>
    </xdr:from>
    <xdr:to>
      <xdr:col>6</xdr:col>
      <xdr:colOff>295275</xdr:colOff>
      <xdr:row>26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176212</xdr:colOff>
      <xdr:row>24</xdr:row>
      <xdr:rowOff>23812</xdr:rowOff>
    </xdr:from>
    <xdr:to>
      <xdr:col>15</xdr:col>
      <xdr:colOff>190500</xdr:colOff>
      <xdr:row>38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204787</xdr:colOff>
      <xdr:row>24</xdr:row>
      <xdr:rowOff>4762</xdr:rowOff>
    </xdr:from>
    <xdr:to>
      <xdr:col>23</xdr:col>
      <xdr:colOff>461962</xdr:colOff>
      <xdr:row>38</xdr:row>
      <xdr:rowOff>80962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538162</xdr:colOff>
      <xdr:row>1</xdr:row>
      <xdr:rowOff>71437</xdr:rowOff>
    </xdr:from>
    <xdr:to>
      <xdr:col>22</xdr:col>
      <xdr:colOff>233362</xdr:colOff>
      <xdr:row>15</xdr:row>
      <xdr:rowOff>147637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290512</xdr:colOff>
      <xdr:row>1</xdr:row>
      <xdr:rowOff>176212</xdr:rowOff>
    </xdr:from>
    <xdr:to>
      <xdr:col>30</xdr:col>
      <xdr:colOff>595312</xdr:colOff>
      <xdr:row>16</xdr:row>
      <xdr:rowOff>61912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595312</xdr:colOff>
      <xdr:row>18</xdr:row>
      <xdr:rowOff>61912</xdr:rowOff>
    </xdr:from>
    <xdr:to>
      <xdr:col>22</xdr:col>
      <xdr:colOff>290512</xdr:colOff>
      <xdr:row>32</xdr:row>
      <xdr:rowOff>138112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395287</xdr:colOff>
      <xdr:row>18</xdr:row>
      <xdr:rowOff>52387</xdr:rowOff>
    </xdr:from>
    <xdr:to>
      <xdr:col>31</xdr:col>
      <xdr:colOff>90487</xdr:colOff>
      <xdr:row>32</xdr:row>
      <xdr:rowOff>128587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36</xdr:row>
      <xdr:rowOff>0</xdr:rowOff>
    </xdr:from>
    <xdr:to>
      <xdr:col>22</xdr:col>
      <xdr:colOff>304800</xdr:colOff>
      <xdr:row>50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404812</xdr:colOff>
      <xdr:row>36</xdr:row>
      <xdr:rowOff>4762</xdr:rowOff>
    </xdr:from>
    <xdr:to>
      <xdr:col>31</xdr:col>
      <xdr:colOff>266700</xdr:colOff>
      <xdr:row>50</xdr:row>
      <xdr:rowOff>80962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261937</xdr:colOff>
      <xdr:row>54</xdr:row>
      <xdr:rowOff>61912</xdr:rowOff>
    </xdr:from>
    <xdr:to>
      <xdr:col>26</xdr:col>
      <xdr:colOff>566737</xdr:colOff>
      <xdr:row>68</xdr:row>
      <xdr:rowOff>138112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71437</xdr:colOff>
      <xdr:row>18</xdr:row>
      <xdr:rowOff>176212</xdr:rowOff>
    </xdr:from>
    <xdr:to>
      <xdr:col>24</xdr:col>
      <xdr:colOff>376237</xdr:colOff>
      <xdr:row>33</xdr:row>
      <xdr:rowOff>61912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604837</xdr:colOff>
      <xdr:row>35</xdr:row>
      <xdr:rowOff>80962</xdr:rowOff>
    </xdr:from>
    <xdr:to>
      <xdr:col>24</xdr:col>
      <xdr:colOff>300037</xdr:colOff>
      <xdr:row>49</xdr:row>
      <xdr:rowOff>157162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300037</xdr:colOff>
      <xdr:row>2</xdr:row>
      <xdr:rowOff>61912</xdr:rowOff>
    </xdr:from>
    <xdr:to>
      <xdr:col>10</xdr:col>
      <xdr:colOff>604837</xdr:colOff>
      <xdr:row>16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283.759720601854" createdVersion="4" refreshedVersion="4" minRefreshableVersion="3" recordCount="104">
  <cacheSource type="worksheet">
    <worksheetSource ref="B23:D127" sheet="Base Loss"/>
  </cacheSource>
  <cacheFields count="3">
    <cacheField name="timeDQ" numFmtId="0">
      <sharedItems containsSemiMixedTypes="0" containsString="0" containsNumber="1" containsInteger="1" minValue="2" maxValue="131"/>
    </cacheField>
    <cacheField name="Severity" numFmtId="0">
      <sharedItems containsSemiMixedTypes="0" containsString="0" containsNumber="1" minValue="0" maxValue="1"/>
    </cacheField>
    <cacheField name="Group" numFmtId="0">
      <sharedItems containsSemiMixedTypes="0" containsString="0" containsNumber="1" containsInteger="1" minValue="10" maxValue="140" count="12">
        <n v="10"/>
        <n v="20"/>
        <n v="30"/>
        <n v="40"/>
        <n v="50"/>
        <n v="100" u="1"/>
        <n v="70" u="1"/>
        <n v="90" u="1"/>
        <n v="60" u="1"/>
        <n v="110" u="1"/>
        <n v="80" u="1"/>
        <n v="14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283.764060532405" createdVersion="4" refreshedVersion="4" minRefreshableVersion="3" recordCount="184">
  <cacheSource type="worksheet">
    <worksheetSource ref="L23:N207" sheet="Base Loss"/>
  </cacheSource>
  <cacheFields count="3">
    <cacheField name="LoanAge" numFmtId="0">
      <sharedItems containsSemiMixedTypes="0" containsString="0" containsNumber="1" containsInteger="1" minValue="3" maxValue="186"/>
    </cacheField>
    <cacheField name="Severity" numFmtId="0">
      <sharedItems containsSemiMixedTypes="0" containsString="0" containsNumber="1" minValue="1.5267535145278901E-2" maxValue="0.49564532497829"/>
    </cacheField>
    <cacheField name="Group" numFmtId="0">
      <sharedItems containsSemiMixedTypes="0" containsString="0" containsNumber="1" containsInteger="1" minValue="10" maxValue="190" count="19">
        <n v="10"/>
        <n v="20"/>
        <n v="30"/>
        <n v="40"/>
        <n v="50"/>
        <n v="60"/>
        <n v="70"/>
        <n v="80"/>
        <n v="90"/>
        <n v="100"/>
        <n v="110"/>
        <n v="120"/>
        <n v="130"/>
        <n v="140"/>
        <n v="150"/>
        <n v="160"/>
        <n v="170"/>
        <n v="180"/>
        <n v="19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283.771668634261" createdVersion="4" refreshedVersion="4" minRefreshableVersion="3" recordCount="595">
  <cacheSource type="worksheet">
    <worksheetSource ref="G23:I618" sheet="Base Loss"/>
  </cacheSource>
  <cacheFields count="3">
    <cacheField name="OrigBalance" numFmtId="0">
      <sharedItems containsSemiMixedTypes="0" containsString="0" containsNumber="1" containsInteger="1" minValue="6000" maxValue="802000"/>
    </cacheField>
    <cacheField name="Severity" numFmtId="9">
      <sharedItems containsSemiMixedTypes="0" containsString="0" containsNumber="1" minValue="0" maxValue="1"/>
    </cacheField>
    <cacheField name="Group" numFmtId="0">
      <sharedItems containsSemiMixedTypes="0" containsString="0" containsNumber="1" containsInteger="1" minValue="50000" maxValue="850000" count="17">
        <n v="50000"/>
        <n v="100000"/>
        <n v="150000"/>
        <n v="200000"/>
        <n v="250000"/>
        <n v="300000"/>
        <n v="350000"/>
        <n v="400000"/>
        <n v="450000"/>
        <n v="500000"/>
        <n v="700000" u="1"/>
        <n v="600000" u="1"/>
        <n v="850000" u="1"/>
        <n v="750000" u="1"/>
        <n v="650000" u="1"/>
        <n v="550000" u="1"/>
        <n v="8000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2284.452384490738" createdVersion="4" refreshedVersion="4" minRefreshableVersion="3" recordCount="104">
  <cacheSource type="worksheet">
    <worksheetSource ref="A2:C106" sheet="Expenses"/>
  </cacheSource>
  <cacheFields count="3">
    <cacheField name="timeDQ" numFmtId="0">
      <sharedItems containsSemiMixedTypes="0" containsString="0" containsNumber="1" containsInteger="1" minValue="2" maxValue="131"/>
    </cacheField>
    <cacheField name="Severity" numFmtId="9">
      <sharedItems containsSemiMixedTypes="0" containsString="0" containsNumber="1" minValue="5.1708017900724901E-3" maxValue="0.68768661008771903"/>
    </cacheField>
    <cacheField name="Group" numFmtId="0">
      <sharedItems containsSemiMixedTypes="0" containsString="0" containsNumber="1" containsInteger="1" minValue="10" maxValue="140" count="12">
        <n v="10"/>
        <n v="20"/>
        <n v="30"/>
        <n v="40"/>
        <n v="50"/>
        <n v="60"/>
        <n v="70"/>
        <n v="80"/>
        <n v="90"/>
        <n v="100"/>
        <n v="110" u="1"/>
        <n v="14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4">
  <r>
    <n v="2"/>
    <n v="0.33297217237976601"/>
    <x v="0"/>
  </r>
  <r>
    <n v="3"/>
    <n v="0.336130145898837"/>
    <x v="0"/>
  </r>
  <r>
    <n v="4"/>
    <n v="0.33426964496959499"/>
    <x v="0"/>
  </r>
  <r>
    <n v="5"/>
    <n v="0.32126579818113998"/>
    <x v="0"/>
  </r>
  <r>
    <n v="6"/>
    <n v="0.31131446750799502"/>
    <x v="0"/>
  </r>
  <r>
    <n v="7"/>
    <n v="0.33249355198235803"/>
    <x v="0"/>
  </r>
  <r>
    <n v="8"/>
    <n v="0.33089839270899002"/>
    <x v="0"/>
  </r>
  <r>
    <n v="9"/>
    <n v="0.34333657652067801"/>
    <x v="0"/>
  </r>
  <r>
    <n v="10"/>
    <n v="0.36093694346612099"/>
    <x v="1"/>
  </r>
  <r>
    <n v="11"/>
    <n v="0.37087943906333798"/>
    <x v="1"/>
  </r>
  <r>
    <n v="12"/>
    <n v="0.37786927930562098"/>
    <x v="1"/>
  </r>
  <r>
    <n v="13"/>
    <n v="0.38968886887496701"/>
    <x v="1"/>
  </r>
  <r>
    <n v="14"/>
    <n v="0.40246925123975702"/>
    <x v="1"/>
  </r>
  <r>
    <n v="15"/>
    <n v="0.40576576082719801"/>
    <x v="1"/>
  </r>
  <r>
    <n v="16"/>
    <n v="0.40859335906510902"/>
    <x v="1"/>
  </r>
  <r>
    <n v="17"/>
    <n v="0.40742106483864499"/>
    <x v="1"/>
  </r>
  <r>
    <n v="18"/>
    <n v="0.414489648657483"/>
    <x v="1"/>
  </r>
  <r>
    <n v="19"/>
    <n v="0.41072359294734001"/>
    <x v="1"/>
  </r>
  <r>
    <n v="20"/>
    <n v="0.413950145208903"/>
    <x v="2"/>
  </r>
  <r>
    <n v="21"/>
    <n v="0.41630815494548701"/>
    <x v="2"/>
  </r>
  <r>
    <n v="22"/>
    <n v="0.42535307177266202"/>
    <x v="2"/>
  </r>
  <r>
    <n v="23"/>
    <n v="0.42116089290600101"/>
    <x v="2"/>
  </r>
  <r>
    <n v="24"/>
    <n v="0.42506072482138901"/>
    <x v="2"/>
  </r>
  <r>
    <n v="25"/>
    <n v="0.42084641232126502"/>
    <x v="2"/>
  </r>
  <r>
    <n v="26"/>
    <n v="0.42553226163186503"/>
    <x v="2"/>
  </r>
  <r>
    <n v="27"/>
    <n v="0.42259062491274102"/>
    <x v="2"/>
  </r>
  <r>
    <n v="28"/>
    <n v="0.42902130254986098"/>
    <x v="2"/>
  </r>
  <r>
    <n v="29"/>
    <n v="0.424648583144837"/>
    <x v="2"/>
  </r>
  <r>
    <n v="30"/>
    <n v="0.424710559174796"/>
    <x v="3"/>
  </r>
  <r>
    <n v="31"/>
    <n v="0.42777271255340799"/>
    <x v="3"/>
  </r>
  <r>
    <n v="32"/>
    <n v="0.43110080388670202"/>
    <x v="3"/>
  </r>
  <r>
    <n v="33"/>
    <n v="0.427596561558865"/>
    <x v="3"/>
  </r>
  <r>
    <n v="34"/>
    <n v="0.42729713066722003"/>
    <x v="3"/>
  </r>
  <r>
    <n v="35"/>
    <n v="0.42617539047584702"/>
    <x v="3"/>
  </r>
  <r>
    <n v="36"/>
    <n v="0.43625622426377297"/>
    <x v="3"/>
  </r>
  <r>
    <n v="37"/>
    <n v="0.43013150968924702"/>
    <x v="3"/>
  </r>
  <r>
    <n v="38"/>
    <n v="0.42663773033407199"/>
    <x v="3"/>
  </r>
  <r>
    <n v="39"/>
    <n v="0.421698794626642"/>
    <x v="3"/>
  </r>
  <r>
    <n v="40"/>
    <n v="0.42917329387547798"/>
    <x v="4"/>
  </r>
  <r>
    <n v="41"/>
    <n v="0.43207186508857598"/>
    <x v="4"/>
  </r>
  <r>
    <n v="42"/>
    <n v="0.428852942049474"/>
    <x v="4"/>
  </r>
  <r>
    <n v="43"/>
    <n v="0.42075899203926598"/>
    <x v="4"/>
  </r>
  <r>
    <n v="44"/>
    <n v="0.42214540668200001"/>
    <x v="4"/>
  </r>
  <r>
    <n v="45"/>
    <n v="0.42562336668985501"/>
    <x v="4"/>
  </r>
  <r>
    <n v="46"/>
    <n v="0.415688107844296"/>
    <x v="4"/>
  </r>
  <r>
    <n v="47"/>
    <n v="0.41949156623052702"/>
    <x v="4"/>
  </r>
  <r>
    <n v="48"/>
    <n v="0.42057388837013698"/>
    <x v="4"/>
  </r>
  <r>
    <n v="49"/>
    <n v="0.421586160274671"/>
    <x v="4"/>
  </r>
  <r>
    <n v="50"/>
    <n v="0.412344630582827"/>
    <x v="4"/>
  </r>
  <r>
    <n v="51"/>
    <n v="0.40084114945846799"/>
    <x v="4"/>
  </r>
  <r>
    <n v="52"/>
    <n v="0.41542608659253299"/>
    <x v="4"/>
  </r>
  <r>
    <n v="53"/>
    <n v="0.429708893224447"/>
    <x v="4"/>
  </r>
  <r>
    <n v="54"/>
    <n v="0.42843349838489198"/>
    <x v="4"/>
  </r>
  <r>
    <n v="55"/>
    <n v="0.40708096781997599"/>
    <x v="4"/>
  </r>
  <r>
    <n v="56"/>
    <n v="0.41213078672852299"/>
    <x v="4"/>
  </r>
  <r>
    <n v="57"/>
    <n v="0.42542164445529201"/>
    <x v="4"/>
  </r>
  <r>
    <n v="58"/>
    <n v="0.40589862338857202"/>
    <x v="4"/>
  </r>
  <r>
    <n v="59"/>
    <n v="0.41273621920477999"/>
    <x v="4"/>
  </r>
  <r>
    <n v="60"/>
    <n v="0.43377189298549101"/>
    <x v="4"/>
  </r>
  <r>
    <n v="61"/>
    <n v="0.413511211004572"/>
    <x v="4"/>
  </r>
  <r>
    <n v="62"/>
    <n v="0.42207024743117999"/>
    <x v="4"/>
  </r>
  <r>
    <n v="63"/>
    <n v="0.44071632947185102"/>
    <x v="4"/>
  </r>
  <r>
    <n v="64"/>
    <n v="0.41127580466419"/>
    <x v="4"/>
  </r>
  <r>
    <n v="65"/>
    <n v="0.43209224453845102"/>
    <x v="4"/>
  </r>
  <r>
    <n v="66"/>
    <n v="0.41435765310711797"/>
    <x v="4"/>
  </r>
  <r>
    <n v="67"/>
    <n v="0.429639627497229"/>
    <x v="4"/>
  </r>
  <r>
    <n v="68"/>
    <n v="0.45044487234005698"/>
    <x v="4"/>
  </r>
  <r>
    <n v="69"/>
    <n v="0.46457888744503201"/>
    <x v="4"/>
  </r>
  <r>
    <n v="70"/>
    <n v="0.45548218004979901"/>
    <x v="4"/>
  </r>
  <r>
    <n v="71"/>
    <n v="0.405436900919111"/>
    <x v="4"/>
  </r>
  <r>
    <n v="72"/>
    <n v="0.48096364961471799"/>
    <x v="4"/>
  </r>
  <r>
    <n v="73"/>
    <n v="0.50300304030804099"/>
    <x v="4"/>
  </r>
  <r>
    <n v="74"/>
    <n v="0.37745194108237901"/>
    <x v="4"/>
  </r>
  <r>
    <n v="75"/>
    <n v="0.34776044446750698"/>
    <x v="4"/>
  </r>
  <r>
    <n v="76"/>
    <n v="0.44518353324098497"/>
    <x v="4"/>
  </r>
  <r>
    <n v="77"/>
    <n v="0.54256586749144697"/>
    <x v="4"/>
  </r>
  <r>
    <n v="78"/>
    <n v="0.60440285241720804"/>
    <x v="4"/>
  </r>
  <r>
    <n v="79"/>
    <n v="0.376274175648384"/>
    <x v="4"/>
  </r>
  <r>
    <n v="80"/>
    <n v="0.39450105524987999"/>
    <x v="4"/>
  </r>
  <r>
    <n v="81"/>
    <n v="0.428497803088976"/>
    <x v="4"/>
  </r>
  <r>
    <n v="82"/>
    <n v="0.42335966833799299"/>
    <x v="4"/>
  </r>
  <r>
    <n v="83"/>
    <n v="0.369252435524277"/>
    <x v="4"/>
  </r>
  <r>
    <n v="84"/>
    <n v="0.43088310003269598"/>
    <x v="4"/>
  </r>
  <r>
    <n v="85"/>
    <n v="0.29217271633921399"/>
    <x v="4"/>
  </r>
  <r>
    <n v="86"/>
    <n v="0.77550783420881497"/>
    <x v="4"/>
  </r>
  <r>
    <n v="87"/>
    <n v="0.48447361992383398"/>
    <x v="4"/>
  </r>
  <r>
    <n v="88"/>
    <n v="0.14678182359731401"/>
    <x v="4"/>
  </r>
  <r>
    <n v="89"/>
    <n v="0.52278377854708402"/>
    <x v="4"/>
  </r>
  <r>
    <n v="90"/>
    <n v="0.5541517026035"/>
    <x v="4"/>
  </r>
  <r>
    <n v="91"/>
    <n v="0.424398286992973"/>
    <x v="4"/>
  </r>
  <r>
    <n v="92"/>
    <n v="0.59161174584393805"/>
    <x v="4"/>
  </r>
  <r>
    <n v="93"/>
    <n v="0"/>
    <x v="4"/>
  </r>
  <r>
    <n v="94"/>
    <n v="0.87592071097680801"/>
    <x v="4"/>
  </r>
  <r>
    <n v="95"/>
    <n v="0.76124182125148598"/>
    <x v="4"/>
  </r>
  <r>
    <n v="96"/>
    <n v="0.76865108120533399"/>
    <x v="4"/>
  </r>
  <r>
    <n v="98"/>
    <n v="0.42430291653964097"/>
    <x v="4"/>
  </r>
  <r>
    <n v="99"/>
    <n v="0.48565327859092899"/>
    <x v="4"/>
  </r>
  <r>
    <n v="101"/>
    <n v="1"/>
    <x v="4"/>
  </r>
  <r>
    <n v="103"/>
    <n v="0.89526656376463498"/>
    <x v="4"/>
  </r>
  <r>
    <n v="105"/>
    <n v="0.30859570178812701"/>
    <x v="4"/>
  </r>
  <r>
    <n v="106"/>
    <n v="1"/>
    <x v="4"/>
  </r>
  <r>
    <n v="107"/>
    <n v="0.80748146718105196"/>
    <x v="4"/>
  </r>
  <r>
    <n v="109"/>
    <n v="0.98966966084168395"/>
    <x v="4"/>
  </r>
  <r>
    <n v="131"/>
    <n v="0.21736418639882801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4">
  <r>
    <n v="3"/>
    <n v="0.18570351192519"/>
    <x v="0"/>
  </r>
  <r>
    <n v="4"/>
    <n v="9.1640128459900799E-2"/>
    <x v="0"/>
  </r>
  <r>
    <n v="5"/>
    <n v="0.143513943608918"/>
    <x v="0"/>
  </r>
  <r>
    <n v="6"/>
    <n v="0.13306687640460399"/>
    <x v="0"/>
  </r>
  <r>
    <n v="7"/>
    <n v="0.193223818968324"/>
    <x v="0"/>
  </r>
  <r>
    <n v="8"/>
    <n v="0.28243268537324101"/>
    <x v="0"/>
  </r>
  <r>
    <n v="9"/>
    <n v="0.32838426892060901"/>
    <x v="0"/>
  </r>
  <r>
    <n v="10"/>
    <n v="0.31001617128301501"/>
    <x v="1"/>
  </r>
  <r>
    <n v="11"/>
    <n v="0.31934201710975302"/>
    <x v="1"/>
  </r>
  <r>
    <n v="12"/>
    <n v="0.375958620226857"/>
    <x v="1"/>
  </r>
  <r>
    <n v="13"/>
    <n v="0.38874868294586101"/>
    <x v="1"/>
  </r>
  <r>
    <n v="14"/>
    <n v="0.401547015447977"/>
    <x v="1"/>
  </r>
  <r>
    <n v="15"/>
    <n v="0.42080193023708001"/>
    <x v="1"/>
  </r>
  <r>
    <n v="16"/>
    <n v="0.41242780603471302"/>
    <x v="1"/>
  </r>
  <r>
    <n v="17"/>
    <n v="0.42496497827205199"/>
    <x v="1"/>
  </r>
  <r>
    <n v="18"/>
    <n v="0.41264678995507398"/>
    <x v="1"/>
  </r>
  <r>
    <n v="19"/>
    <n v="0.40839978812612499"/>
    <x v="1"/>
  </r>
  <r>
    <n v="20"/>
    <n v="0.40154134960693"/>
    <x v="2"/>
  </r>
  <r>
    <n v="21"/>
    <n v="0.39733932776402597"/>
    <x v="2"/>
  </r>
  <r>
    <n v="22"/>
    <n v="0.39736019449791699"/>
    <x v="2"/>
  </r>
  <r>
    <n v="23"/>
    <n v="0.39704123032230298"/>
    <x v="2"/>
  </r>
  <r>
    <n v="24"/>
    <n v="0.39710032138351298"/>
    <x v="2"/>
  </r>
  <r>
    <n v="25"/>
    <n v="0.39267226726555599"/>
    <x v="2"/>
  </r>
  <r>
    <n v="26"/>
    <n v="0.39803059373295202"/>
    <x v="2"/>
  </r>
  <r>
    <n v="27"/>
    <n v="0.40125488460206998"/>
    <x v="2"/>
  </r>
  <r>
    <n v="28"/>
    <n v="0.401917814233266"/>
    <x v="2"/>
  </r>
  <r>
    <n v="29"/>
    <n v="0.38091995299329601"/>
    <x v="2"/>
  </r>
  <r>
    <n v="30"/>
    <n v="0.39721524046368401"/>
    <x v="3"/>
  </r>
  <r>
    <n v="31"/>
    <n v="0.39490003132707002"/>
    <x v="3"/>
  </r>
  <r>
    <n v="32"/>
    <n v="0.39107562397351697"/>
    <x v="3"/>
  </r>
  <r>
    <n v="33"/>
    <n v="0.38535791959749599"/>
    <x v="3"/>
  </r>
  <r>
    <n v="34"/>
    <n v="0.398090743815248"/>
    <x v="3"/>
  </r>
  <r>
    <n v="35"/>
    <n v="0.39296565209434098"/>
    <x v="3"/>
  </r>
  <r>
    <n v="36"/>
    <n v="0.38663670114592902"/>
    <x v="3"/>
  </r>
  <r>
    <n v="37"/>
    <n v="0.40007900700827598"/>
    <x v="3"/>
  </r>
  <r>
    <n v="38"/>
    <n v="0.39714415367870098"/>
    <x v="3"/>
  </r>
  <r>
    <n v="39"/>
    <n v="0.39311757807160003"/>
    <x v="3"/>
  </r>
  <r>
    <n v="40"/>
    <n v="0.39411183556004897"/>
    <x v="4"/>
  </r>
  <r>
    <n v="41"/>
    <n v="0.39405510039594099"/>
    <x v="4"/>
  </r>
  <r>
    <n v="42"/>
    <n v="0.398950801713716"/>
    <x v="4"/>
  </r>
  <r>
    <n v="43"/>
    <n v="0.39454182637252699"/>
    <x v="4"/>
  </r>
  <r>
    <n v="44"/>
    <n v="0.39991077265339903"/>
    <x v="4"/>
  </r>
  <r>
    <n v="45"/>
    <n v="0.39889969523927699"/>
    <x v="4"/>
  </r>
  <r>
    <n v="46"/>
    <n v="0.39960693946693299"/>
    <x v="4"/>
  </r>
  <r>
    <n v="47"/>
    <n v="0.397946591503824"/>
    <x v="4"/>
  </r>
  <r>
    <n v="48"/>
    <n v="0.40801588565295399"/>
    <x v="4"/>
  </r>
  <r>
    <n v="49"/>
    <n v="0.404869736732138"/>
    <x v="4"/>
  </r>
  <r>
    <n v="50"/>
    <n v="0.40802007748200297"/>
    <x v="5"/>
  </r>
  <r>
    <n v="51"/>
    <n v="0.40987060896014499"/>
    <x v="5"/>
  </r>
  <r>
    <n v="52"/>
    <n v="0.41077977762830098"/>
    <x v="5"/>
  </r>
  <r>
    <n v="53"/>
    <n v="0.409960763336637"/>
    <x v="5"/>
  </r>
  <r>
    <n v="54"/>
    <n v="0.41211221452221097"/>
    <x v="5"/>
  </r>
  <r>
    <n v="55"/>
    <n v="0.41602818243466699"/>
    <x v="5"/>
  </r>
  <r>
    <n v="56"/>
    <n v="0.41427148113129603"/>
    <x v="5"/>
  </r>
  <r>
    <n v="57"/>
    <n v="0.409928604546061"/>
    <x v="5"/>
  </r>
  <r>
    <n v="58"/>
    <n v="0.41125747519435701"/>
    <x v="5"/>
  </r>
  <r>
    <n v="59"/>
    <n v="0.41278259711223297"/>
    <x v="5"/>
  </r>
  <r>
    <n v="60"/>
    <n v="0.41650131923744199"/>
    <x v="6"/>
  </r>
  <r>
    <n v="61"/>
    <n v="0.416389387700493"/>
    <x v="6"/>
  </r>
  <r>
    <n v="62"/>
    <n v="0.41512166781085302"/>
    <x v="6"/>
  </r>
  <r>
    <n v="63"/>
    <n v="0.40526960107475302"/>
    <x v="6"/>
  </r>
  <r>
    <n v="64"/>
    <n v="0.41396813938422999"/>
    <x v="6"/>
  </r>
  <r>
    <n v="65"/>
    <n v="0.42021273274404197"/>
    <x v="6"/>
  </r>
  <r>
    <n v="66"/>
    <n v="0.41415075889244402"/>
    <x v="6"/>
  </r>
  <r>
    <n v="67"/>
    <n v="0.41048095049195099"/>
    <x v="6"/>
  </r>
  <r>
    <n v="68"/>
    <n v="0.40846833927570297"/>
    <x v="6"/>
  </r>
  <r>
    <n v="69"/>
    <n v="0.40961018052735998"/>
    <x v="6"/>
  </r>
  <r>
    <n v="70"/>
    <n v="0.40557176035165798"/>
    <x v="7"/>
  </r>
  <r>
    <n v="71"/>
    <n v="0.41160517061007801"/>
    <x v="7"/>
  </r>
  <r>
    <n v="72"/>
    <n v="0.40966032932729601"/>
    <x v="7"/>
  </r>
  <r>
    <n v="73"/>
    <n v="0.402950675711571"/>
    <x v="7"/>
  </r>
  <r>
    <n v="74"/>
    <n v="0.409949205114788"/>
    <x v="7"/>
  </r>
  <r>
    <n v="75"/>
    <n v="0.40708090128296798"/>
    <x v="7"/>
  </r>
  <r>
    <n v="76"/>
    <n v="0.41015021548287001"/>
    <x v="7"/>
  </r>
  <r>
    <n v="77"/>
    <n v="0.40538751152695801"/>
    <x v="7"/>
  </r>
  <r>
    <n v="78"/>
    <n v="0.40028257324335098"/>
    <x v="7"/>
  </r>
  <r>
    <n v="79"/>
    <n v="0.40639965726737198"/>
    <x v="7"/>
  </r>
  <r>
    <n v="80"/>
    <n v="0.39842451115093802"/>
    <x v="8"/>
  </r>
  <r>
    <n v="81"/>
    <n v="0.39617396260309601"/>
    <x v="8"/>
  </r>
  <r>
    <n v="82"/>
    <n v="0.38460939527288202"/>
    <x v="8"/>
  </r>
  <r>
    <n v="83"/>
    <n v="0.39783874209910902"/>
    <x v="8"/>
  </r>
  <r>
    <n v="84"/>
    <n v="0.38789361736043099"/>
    <x v="8"/>
  </r>
  <r>
    <n v="85"/>
    <n v="0.38333465344047302"/>
    <x v="8"/>
  </r>
  <r>
    <n v="86"/>
    <n v="0.38668945867147703"/>
    <x v="8"/>
  </r>
  <r>
    <n v="87"/>
    <n v="0.384808919840126"/>
    <x v="8"/>
  </r>
  <r>
    <n v="88"/>
    <n v="0.39391020203744098"/>
    <x v="8"/>
  </r>
  <r>
    <n v="89"/>
    <n v="0.38262781055323403"/>
    <x v="8"/>
  </r>
  <r>
    <n v="90"/>
    <n v="0.37906735280753301"/>
    <x v="9"/>
  </r>
  <r>
    <n v="91"/>
    <n v="0.386867515659159"/>
    <x v="9"/>
  </r>
  <r>
    <n v="92"/>
    <n v="0.37685021319947398"/>
    <x v="9"/>
  </r>
  <r>
    <n v="93"/>
    <n v="0.37849033886087902"/>
    <x v="9"/>
  </r>
  <r>
    <n v="94"/>
    <n v="0.37370611627920802"/>
    <x v="9"/>
  </r>
  <r>
    <n v="95"/>
    <n v="0.37699534046023198"/>
    <x v="9"/>
  </r>
  <r>
    <n v="96"/>
    <n v="0.37639418360718802"/>
    <x v="9"/>
  </r>
  <r>
    <n v="97"/>
    <n v="0.366413070760645"/>
    <x v="9"/>
  </r>
  <r>
    <n v="98"/>
    <n v="0.36998662627747902"/>
    <x v="9"/>
  </r>
  <r>
    <n v="99"/>
    <n v="0.36181050139899901"/>
    <x v="9"/>
  </r>
  <r>
    <n v="100"/>
    <n v="0.36769756998055703"/>
    <x v="10"/>
  </r>
  <r>
    <n v="101"/>
    <n v="0.37389636297557499"/>
    <x v="10"/>
  </r>
  <r>
    <n v="102"/>
    <n v="0.37347768119253899"/>
    <x v="10"/>
  </r>
  <r>
    <n v="103"/>
    <n v="0.35896127065225902"/>
    <x v="10"/>
  </r>
  <r>
    <n v="104"/>
    <n v="0.36123178684646501"/>
    <x v="10"/>
  </r>
  <r>
    <n v="105"/>
    <n v="0.36977031787707698"/>
    <x v="10"/>
  </r>
  <r>
    <n v="106"/>
    <n v="0.35826866220575698"/>
    <x v="10"/>
  </r>
  <r>
    <n v="107"/>
    <n v="0.37568967909547002"/>
    <x v="10"/>
  </r>
  <r>
    <n v="108"/>
    <n v="0.35430243345259699"/>
    <x v="10"/>
  </r>
  <r>
    <n v="109"/>
    <n v="0.36574863723742601"/>
    <x v="10"/>
  </r>
  <r>
    <n v="110"/>
    <n v="0.36829303775719702"/>
    <x v="11"/>
  </r>
  <r>
    <n v="111"/>
    <n v="0.37473037134242998"/>
    <x v="11"/>
  </r>
  <r>
    <n v="112"/>
    <n v="0.37111204189753499"/>
    <x v="11"/>
  </r>
  <r>
    <n v="113"/>
    <n v="0.370079199872551"/>
    <x v="11"/>
  </r>
  <r>
    <n v="114"/>
    <n v="0.36395162760576399"/>
    <x v="11"/>
  </r>
  <r>
    <n v="115"/>
    <n v="0.37566104195823102"/>
    <x v="11"/>
  </r>
  <r>
    <n v="116"/>
    <n v="0.35514297242494203"/>
    <x v="11"/>
  </r>
  <r>
    <n v="117"/>
    <n v="0.34918406297293503"/>
    <x v="11"/>
  </r>
  <r>
    <n v="118"/>
    <n v="0.360532156488935"/>
    <x v="11"/>
  </r>
  <r>
    <n v="119"/>
    <n v="0.36088223492145899"/>
    <x v="11"/>
  </r>
  <r>
    <n v="120"/>
    <n v="0.363122814164062"/>
    <x v="12"/>
  </r>
  <r>
    <n v="121"/>
    <n v="0.37854624787241098"/>
    <x v="12"/>
  </r>
  <r>
    <n v="122"/>
    <n v="0.36502261214624099"/>
    <x v="12"/>
  </r>
  <r>
    <n v="123"/>
    <n v="0.35506220403254202"/>
    <x v="12"/>
  </r>
  <r>
    <n v="124"/>
    <n v="0.37143662320851001"/>
    <x v="12"/>
  </r>
  <r>
    <n v="125"/>
    <n v="0.38593806722005097"/>
    <x v="12"/>
  </r>
  <r>
    <n v="126"/>
    <n v="0.39098750045794201"/>
    <x v="12"/>
  </r>
  <r>
    <n v="127"/>
    <n v="0.34836282716044997"/>
    <x v="12"/>
  </r>
  <r>
    <n v="128"/>
    <n v="0.34016175129987403"/>
    <x v="12"/>
  </r>
  <r>
    <n v="129"/>
    <n v="0.36471555768026598"/>
    <x v="12"/>
  </r>
  <r>
    <n v="130"/>
    <n v="0.36942730126331702"/>
    <x v="13"/>
  </r>
  <r>
    <n v="131"/>
    <n v="0.38114527074614502"/>
    <x v="13"/>
  </r>
  <r>
    <n v="132"/>
    <n v="0.37416289865018298"/>
    <x v="13"/>
  </r>
  <r>
    <n v="133"/>
    <n v="0.399193477116424"/>
    <x v="13"/>
  </r>
  <r>
    <n v="134"/>
    <n v="0.38835076744008601"/>
    <x v="13"/>
  </r>
  <r>
    <n v="135"/>
    <n v="0.38872188268590602"/>
    <x v="13"/>
  </r>
  <r>
    <n v="136"/>
    <n v="0.40079059706244002"/>
    <x v="13"/>
  </r>
  <r>
    <n v="137"/>
    <n v="0.408906969993514"/>
    <x v="13"/>
  </r>
  <r>
    <n v="138"/>
    <n v="0.40083915951648602"/>
    <x v="13"/>
  </r>
  <r>
    <n v="139"/>
    <n v="0.40842288096558199"/>
    <x v="13"/>
  </r>
  <r>
    <n v="140"/>
    <n v="0.38626095124877802"/>
    <x v="14"/>
  </r>
  <r>
    <n v="141"/>
    <n v="0.426458717474968"/>
    <x v="14"/>
  </r>
  <r>
    <n v="142"/>
    <n v="0.415943431756997"/>
    <x v="14"/>
  </r>
  <r>
    <n v="143"/>
    <n v="0.401533267758095"/>
    <x v="14"/>
  </r>
  <r>
    <n v="144"/>
    <n v="0.41203151230245899"/>
    <x v="14"/>
  </r>
  <r>
    <n v="145"/>
    <n v="0.413470096627027"/>
    <x v="14"/>
  </r>
  <r>
    <n v="146"/>
    <n v="0.413583159039698"/>
    <x v="14"/>
  </r>
  <r>
    <n v="147"/>
    <n v="0.42331010657798601"/>
    <x v="14"/>
  </r>
  <r>
    <n v="148"/>
    <n v="0.37455688658348502"/>
    <x v="14"/>
  </r>
  <r>
    <n v="149"/>
    <n v="0.396426165113128"/>
    <x v="14"/>
  </r>
  <r>
    <n v="150"/>
    <n v="0.43022287000933701"/>
    <x v="15"/>
  </r>
  <r>
    <n v="151"/>
    <n v="0.36401649755932902"/>
    <x v="15"/>
  </r>
  <r>
    <n v="152"/>
    <n v="0.458752349948987"/>
    <x v="15"/>
  </r>
  <r>
    <n v="153"/>
    <n v="0.46506515185896102"/>
    <x v="15"/>
  </r>
  <r>
    <n v="154"/>
    <n v="0.395173428191613"/>
    <x v="15"/>
  </r>
  <r>
    <n v="155"/>
    <n v="0.41630609909006999"/>
    <x v="15"/>
  </r>
  <r>
    <n v="156"/>
    <n v="0.44894813785531801"/>
    <x v="15"/>
  </r>
  <r>
    <n v="157"/>
    <n v="0.40598476988471"/>
    <x v="15"/>
  </r>
  <r>
    <n v="158"/>
    <n v="0.36883700598017299"/>
    <x v="15"/>
  </r>
  <r>
    <n v="159"/>
    <n v="0.37646260081043398"/>
    <x v="15"/>
  </r>
  <r>
    <n v="160"/>
    <n v="0.36683322778861599"/>
    <x v="16"/>
  </r>
  <r>
    <n v="161"/>
    <n v="0.33547452753647899"/>
    <x v="16"/>
  </r>
  <r>
    <n v="162"/>
    <n v="0.35800842211438999"/>
    <x v="16"/>
  </r>
  <r>
    <n v="163"/>
    <n v="0.378850547619761"/>
    <x v="16"/>
  </r>
  <r>
    <n v="164"/>
    <n v="0.34627024082215402"/>
    <x v="16"/>
  </r>
  <r>
    <n v="165"/>
    <n v="0.33372496830991799"/>
    <x v="16"/>
  </r>
  <r>
    <n v="166"/>
    <n v="0.43500658170748302"/>
    <x v="16"/>
  </r>
  <r>
    <n v="167"/>
    <n v="0.40543121072712202"/>
    <x v="16"/>
  </r>
  <r>
    <n v="168"/>
    <n v="0.398522460270685"/>
    <x v="16"/>
  </r>
  <r>
    <n v="169"/>
    <n v="0.323627641670513"/>
    <x v="16"/>
  </r>
  <r>
    <n v="170"/>
    <n v="0.31291996407966399"/>
    <x v="17"/>
  </r>
  <r>
    <n v="171"/>
    <n v="0.287160367981936"/>
    <x v="17"/>
  </r>
  <r>
    <n v="172"/>
    <n v="0.36861186815856201"/>
    <x v="17"/>
  </r>
  <r>
    <n v="173"/>
    <n v="0.27414292116537797"/>
    <x v="17"/>
  </r>
  <r>
    <n v="174"/>
    <n v="0.281451034894041"/>
    <x v="17"/>
  </r>
  <r>
    <n v="175"/>
    <n v="0.37238299369540501"/>
    <x v="17"/>
  </r>
  <r>
    <n v="176"/>
    <n v="0.41741178861968398"/>
    <x v="17"/>
  </r>
  <r>
    <n v="177"/>
    <n v="0.33240867447479"/>
    <x v="17"/>
  </r>
  <r>
    <n v="178"/>
    <n v="0.35391645002771899"/>
    <x v="17"/>
  </r>
  <r>
    <n v="179"/>
    <n v="0.404799431971615"/>
    <x v="17"/>
  </r>
  <r>
    <n v="180"/>
    <n v="0.43984306265404899"/>
    <x v="18"/>
  </r>
  <r>
    <n v="181"/>
    <n v="0.339733731976811"/>
    <x v="18"/>
  </r>
  <r>
    <n v="182"/>
    <n v="0.35397247995305497"/>
    <x v="18"/>
  </r>
  <r>
    <n v="183"/>
    <n v="0.45186614122773"/>
    <x v="18"/>
  </r>
  <r>
    <n v="184"/>
    <n v="0.41818386181248701"/>
    <x v="18"/>
  </r>
  <r>
    <n v="185"/>
    <n v="0.49564532497829"/>
    <x v="18"/>
  </r>
  <r>
    <n v="186"/>
    <n v="1.5267535145278901E-2"/>
    <x v="1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95">
  <r>
    <n v="6000"/>
    <n v="1"/>
    <x v="0"/>
  </r>
  <r>
    <n v="8000"/>
    <n v="1"/>
    <x v="0"/>
  </r>
  <r>
    <n v="9000"/>
    <n v="0.49950058863082902"/>
    <x v="0"/>
  </r>
  <r>
    <n v="10000"/>
    <n v="0.43682257638838001"/>
    <x v="0"/>
  </r>
  <r>
    <n v="11000"/>
    <n v="0.61368781339576095"/>
    <x v="0"/>
  </r>
  <r>
    <n v="12000"/>
    <n v="0.72241784090337902"/>
    <x v="0"/>
  </r>
  <r>
    <n v="13000"/>
    <n v="0.58503039834665405"/>
    <x v="0"/>
  </r>
  <r>
    <n v="14000"/>
    <n v="0.66111589699248197"/>
    <x v="0"/>
  </r>
  <r>
    <n v="15000"/>
    <n v="0.56468515181747403"/>
    <x v="0"/>
  </r>
  <r>
    <n v="16000"/>
    <n v="0.63929131520941795"/>
    <x v="0"/>
  </r>
  <r>
    <n v="17000"/>
    <n v="0.71411156337228299"/>
    <x v="0"/>
  </r>
  <r>
    <n v="18000"/>
    <n v="0.83160758070628904"/>
    <x v="0"/>
  </r>
  <r>
    <n v="19000"/>
    <n v="0.73736839936783605"/>
    <x v="0"/>
  </r>
  <r>
    <n v="20000"/>
    <n v="0.60705365680985002"/>
    <x v="0"/>
  </r>
  <r>
    <n v="21000"/>
    <n v="0.63180543001462797"/>
    <x v="0"/>
  </r>
  <r>
    <n v="22000"/>
    <n v="0.68572533993765905"/>
    <x v="0"/>
  </r>
  <r>
    <n v="23000"/>
    <n v="0.62483629543735597"/>
    <x v="0"/>
  </r>
  <r>
    <n v="24000"/>
    <n v="0.64384214626472602"/>
    <x v="0"/>
  </r>
  <r>
    <n v="25000"/>
    <n v="0.58352874754068895"/>
    <x v="0"/>
  </r>
  <r>
    <n v="26000"/>
    <n v="0.62778682982592804"/>
    <x v="0"/>
  </r>
  <r>
    <n v="27000"/>
    <n v="0.65463561557121197"/>
    <x v="0"/>
  </r>
  <r>
    <n v="28000"/>
    <n v="0.65166169039950295"/>
    <x v="0"/>
  </r>
  <r>
    <n v="29000"/>
    <n v="0.58842739001976996"/>
    <x v="0"/>
  </r>
  <r>
    <n v="30000"/>
    <n v="0.57967640283581801"/>
    <x v="0"/>
  </r>
  <r>
    <n v="31000"/>
    <n v="0.57853969209763501"/>
    <x v="0"/>
  </r>
  <r>
    <n v="32000"/>
    <n v="0.62992643734353804"/>
    <x v="0"/>
  </r>
  <r>
    <n v="33000"/>
    <n v="0.57170819452833499"/>
    <x v="0"/>
  </r>
  <r>
    <n v="34000"/>
    <n v="0.59485704949850204"/>
    <x v="0"/>
  </r>
  <r>
    <n v="35000"/>
    <n v="0.57797820692737201"/>
    <x v="0"/>
  </r>
  <r>
    <n v="36000"/>
    <n v="0.59611798993837495"/>
    <x v="0"/>
  </r>
  <r>
    <n v="37000"/>
    <n v="0.60318388007465895"/>
    <x v="0"/>
  </r>
  <r>
    <n v="38000"/>
    <n v="0.596652228174824"/>
    <x v="0"/>
  </r>
  <r>
    <n v="39000"/>
    <n v="0.582577194844211"/>
    <x v="0"/>
  </r>
  <r>
    <n v="40000"/>
    <n v="0.57969814824208898"/>
    <x v="0"/>
  </r>
  <r>
    <n v="41000"/>
    <n v="0.59933819250764697"/>
    <x v="0"/>
  </r>
  <r>
    <n v="42000"/>
    <n v="0.58499543830704903"/>
    <x v="0"/>
  </r>
  <r>
    <n v="43000"/>
    <n v="0.55653849809729095"/>
    <x v="0"/>
  </r>
  <r>
    <n v="44000"/>
    <n v="0.58150449619389399"/>
    <x v="0"/>
  </r>
  <r>
    <n v="45000"/>
    <n v="0.56156546068322"/>
    <x v="0"/>
  </r>
  <r>
    <n v="46000"/>
    <n v="0.57653927593060605"/>
    <x v="0"/>
  </r>
  <r>
    <n v="47000"/>
    <n v="0.55512724633250798"/>
    <x v="0"/>
  </r>
  <r>
    <n v="48000"/>
    <n v="0.57166065611190797"/>
    <x v="0"/>
  </r>
  <r>
    <n v="49000"/>
    <n v="0.55429351098097301"/>
    <x v="0"/>
  </r>
  <r>
    <n v="50000"/>
    <n v="0.53438721028625202"/>
    <x v="1"/>
  </r>
  <r>
    <n v="51000"/>
    <n v="0.53963602419488899"/>
    <x v="1"/>
  </r>
  <r>
    <n v="52000"/>
    <n v="0.55799609404016803"/>
    <x v="1"/>
  </r>
  <r>
    <n v="53000"/>
    <n v="0.535471293439996"/>
    <x v="1"/>
  </r>
  <r>
    <n v="54000"/>
    <n v="0.54839746368364195"/>
    <x v="1"/>
  </r>
  <r>
    <n v="55000"/>
    <n v="0.52548817458498798"/>
    <x v="1"/>
  </r>
  <r>
    <n v="56000"/>
    <n v="0.55903615840082599"/>
    <x v="1"/>
  </r>
  <r>
    <n v="57000"/>
    <n v="0.53486310571871498"/>
    <x v="1"/>
  </r>
  <r>
    <n v="58000"/>
    <n v="0.52275767074857604"/>
    <x v="1"/>
  </r>
  <r>
    <n v="59000"/>
    <n v="0.54151456608425197"/>
    <x v="1"/>
  </r>
  <r>
    <n v="60000"/>
    <n v="0.51309752790715402"/>
    <x v="1"/>
  </r>
  <r>
    <n v="61000"/>
    <n v="0.51748229415471103"/>
    <x v="1"/>
  </r>
  <r>
    <n v="62000"/>
    <n v="0.51634017808738097"/>
    <x v="1"/>
  </r>
  <r>
    <n v="63000"/>
    <n v="0.50837147225634904"/>
    <x v="1"/>
  </r>
  <r>
    <n v="64000"/>
    <n v="0.50798115265599697"/>
    <x v="1"/>
  </r>
  <r>
    <n v="65000"/>
    <n v="0.48044150010146802"/>
    <x v="1"/>
  </r>
  <r>
    <n v="66000"/>
    <n v="0.49313819699795602"/>
    <x v="1"/>
  </r>
  <r>
    <n v="67000"/>
    <n v="0.48685468420827999"/>
    <x v="1"/>
  </r>
  <r>
    <n v="68000"/>
    <n v="0.49693077098976801"/>
    <x v="1"/>
  </r>
  <r>
    <n v="69000"/>
    <n v="0.49014461645596002"/>
    <x v="1"/>
  </r>
  <r>
    <n v="70000"/>
    <n v="0.465019698582255"/>
    <x v="1"/>
  </r>
  <r>
    <n v="71000"/>
    <n v="0.48057712143981801"/>
    <x v="1"/>
  </r>
  <r>
    <n v="72000"/>
    <n v="0.49082578756260797"/>
    <x v="1"/>
  </r>
  <r>
    <n v="73000"/>
    <n v="0.44932784541078602"/>
    <x v="1"/>
  </r>
  <r>
    <n v="74000"/>
    <n v="0.46962110026596798"/>
    <x v="1"/>
  </r>
  <r>
    <n v="75000"/>
    <n v="0.44483565448155499"/>
    <x v="1"/>
  </r>
  <r>
    <n v="76000"/>
    <n v="0.46611528499319499"/>
    <x v="1"/>
  </r>
  <r>
    <n v="77000"/>
    <n v="0.47511641096017498"/>
    <x v="1"/>
  </r>
  <r>
    <n v="78000"/>
    <n v="0.45307454340711301"/>
    <x v="1"/>
  </r>
  <r>
    <n v="79000"/>
    <n v="0.45484282223675598"/>
    <x v="1"/>
  </r>
  <r>
    <n v="80000"/>
    <n v="0.45210533379267698"/>
    <x v="1"/>
  </r>
  <r>
    <n v="81000"/>
    <n v="0.46945219749646999"/>
    <x v="1"/>
  </r>
  <r>
    <n v="82000"/>
    <n v="0.449442165978859"/>
    <x v="1"/>
  </r>
  <r>
    <n v="83000"/>
    <n v="0.44342931430861399"/>
    <x v="1"/>
  </r>
  <r>
    <n v="84000"/>
    <n v="0.45223366213709199"/>
    <x v="1"/>
  </r>
  <r>
    <n v="85000"/>
    <n v="0.43649086723151198"/>
    <x v="1"/>
  </r>
  <r>
    <n v="86000"/>
    <n v="0.44195566304540201"/>
    <x v="1"/>
  </r>
  <r>
    <n v="87000"/>
    <n v="0.43448646128229201"/>
    <x v="1"/>
  </r>
  <r>
    <n v="88000"/>
    <n v="0.44922045691583001"/>
    <x v="1"/>
  </r>
  <r>
    <n v="89000"/>
    <n v="0.43589691867972102"/>
    <x v="1"/>
  </r>
  <r>
    <n v="90000"/>
    <n v="0.43467413380013398"/>
    <x v="1"/>
  </r>
  <r>
    <n v="91000"/>
    <n v="0.42878616889660498"/>
    <x v="1"/>
  </r>
  <r>
    <n v="92000"/>
    <n v="0.44134938486128"/>
    <x v="1"/>
  </r>
  <r>
    <n v="93000"/>
    <n v="0.42776953616679197"/>
    <x v="1"/>
  </r>
  <r>
    <n v="94000"/>
    <n v="0.42951866337123401"/>
    <x v="1"/>
  </r>
  <r>
    <n v="95000"/>
    <n v="0.43316421312483799"/>
    <x v="1"/>
  </r>
  <r>
    <n v="96000"/>
    <n v="0.43562363364677997"/>
    <x v="1"/>
  </r>
  <r>
    <n v="97000"/>
    <n v="0.415841435830483"/>
    <x v="1"/>
  </r>
  <r>
    <n v="98000"/>
    <n v="0.42012852245705001"/>
    <x v="1"/>
  </r>
  <r>
    <n v="99000"/>
    <n v="0.42862234816939299"/>
    <x v="1"/>
  </r>
  <r>
    <n v="100000"/>
    <n v="0.39467640259157299"/>
    <x v="2"/>
  </r>
  <r>
    <n v="101000"/>
    <n v="0.40690634553084698"/>
    <x v="2"/>
  </r>
  <r>
    <n v="102000"/>
    <n v="0.40307284048971898"/>
    <x v="2"/>
  </r>
  <r>
    <n v="103000"/>
    <n v="0.39545526597883901"/>
    <x v="2"/>
  </r>
  <r>
    <n v="104000"/>
    <n v="0.42216014374007699"/>
    <x v="2"/>
  </r>
  <r>
    <n v="105000"/>
    <n v="0.41550910349498699"/>
    <x v="2"/>
  </r>
  <r>
    <n v="106000"/>
    <n v="0.407250651715659"/>
    <x v="2"/>
  </r>
  <r>
    <n v="107000"/>
    <n v="0.40387142593356101"/>
    <x v="2"/>
  </r>
  <r>
    <n v="108000"/>
    <n v="0.40888798184996"/>
    <x v="2"/>
  </r>
  <r>
    <n v="109000"/>
    <n v="0.40510023675024098"/>
    <x v="2"/>
  </r>
  <r>
    <n v="110000"/>
    <n v="0.38900181315684002"/>
    <x v="2"/>
  </r>
  <r>
    <n v="111000"/>
    <n v="0.39160687518443499"/>
    <x v="2"/>
  </r>
  <r>
    <n v="112000"/>
    <n v="0.40048423186105098"/>
    <x v="2"/>
  </r>
  <r>
    <n v="113000"/>
    <n v="0.392852887073386"/>
    <x v="2"/>
  </r>
  <r>
    <n v="114000"/>
    <n v="0.38584376705254902"/>
    <x v="2"/>
  </r>
  <r>
    <n v="115000"/>
    <n v="0.37832208497492198"/>
    <x v="2"/>
  </r>
  <r>
    <n v="116000"/>
    <n v="0.38559555979343901"/>
    <x v="2"/>
  </r>
  <r>
    <n v="117000"/>
    <n v="0.38080415072336798"/>
    <x v="2"/>
  </r>
  <r>
    <n v="118000"/>
    <n v="0.36802888799649702"/>
    <x v="2"/>
  </r>
  <r>
    <n v="119000"/>
    <n v="0.39263553560782399"/>
    <x v="2"/>
  </r>
  <r>
    <n v="120000"/>
    <n v="0.38431039823994101"/>
    <x v="2"/>
  </r>
  <r>
    <n v="121000"/>
    <n v="0.36722570630957402"/>
    <x v="2"/>
  </r>
  <r>
    <n v="122000"/>
    <n v="0.37171251742204597"/>
    <x v="2"/>
  </r>
  <r>
    <n v="123000"/>
    <n v="0.37161153852656398"/>
    <x v="2"/>
  </r>
  <r>
    <n v="124000"/>
    <n v="0.40281049433704302"/>
    <x v="2"/>
  </r>
  <r>
    <n v="125000"/>
    <n v="0.35888705622373102"/>
    <x v="2"/>
  </r>
  <r>
    <n v="126000"/>
    <n v="0.37296177501440703"/>
    <x v="2"/>
  </r>
  <r>
    <n v="127000"/>
    <n v="0.34942680313695601"/>
    <x v="2"/>
  </r>
  <r>
    <n v="128000"/>
    <n v="0.39328290302128099"/>
    <x v="2"/>
  </r>
  <r>
    <n v="129000"/>
    <n v="0.36650066342543502"/>
    <x v="2"/>
  </r>
  <r>
    <n v="130000"/>
    <n v="0.36958128713202498"/>
    <x v="2"/>
  </r>
  <r>
    <n v="131000"/>
    <n v="0.37075425240547399"/>
    <x v="2"/>
  </r>
  <r>
    <n v="132000"/>
    <n v="0.37891388627554401"/>
    <x v="2"/>
  </r>
  <r>
    <n v="133000"/>
    <n v="0.37913701344265099"/>
    <x v="2"/>
  </r>
  <r>
    <n v="134000"/>
    <n v="0.360994739323867"/>
    <x v="2"/>
  </r>
  <r>
    <n v="135000"/>
    <n v="0.37710006848049499"/>
    <x v="2"/>
  </r>
  <r>
    <n v="136000"/>
    <n v="0.37136936875863102"/>
    <x v="2"/>
  </r>
  <r>
    <n v="137000"/>
    <n v="0.352979154518892"/>
    <x v="2"/>
  </r>
  <r>
    <n v="138000"/>
    <n v="0.36472612543452798"/>
    <x v="2"/>
  </r>
  <r>
    <n v="139000"/>
    <n v="0.34845500266969698"/>
    <x v="2"/>
  </r>
  <r>
    <n v="140000"/>
    <n v="0.37658329708476201"/>
    <x v="2"/>
  </r>
  <r>
    <n v="141000"/>
    <n v="0.351027814086598"/>
    <x v="2"/>
  </r>
  <r>
    <n v="142000"/>
    <n v="0.36133179220476802"/>
    <x v="2"/>
  </r>
  <r>
    <n v="143000"/>
    <n v="0.37916562848563001"/>
    <x v="2"/>
  </r>
  <r>
    <n v="144000"/>
    <n v="0.37937065006349802"/>
    <x v="2"/>
  </r>
  <r>
    <n v="145000"/>
    <n v="0.36250099317816997"/>
    <x v="2"/>
  </r>
  <r>
    <n v="146000"/>
    <n v="0.35390144908891902"/>
    <x v="2"/>
  </r>
  <r>
    <n v="147000"/>
    <n v="0.37181461935663201"/>
    <x v="2"/>
  </r>
  <r>
    <n v="148000"/>
    <n v="0.36729822213630298"/>
    <x v="2"/>
  </r>
  <r>
    <n v="149000"/>
    <n v="0.37148917234621298"/>
    <x v="2"/>
  </r>
  <r>
    <n v="150000"/>
    <n v="0.36186236691733598"/>
    <x v="3"/>
  </r>
  <r>
    <n v="151000"/>
    <n v="0.34614828957146199"/>
    <x v="3"/>
  </r>
  <r>
    <n v="152000"/>
    <n v="0.36467961697874302"/>
    <x v="3"/>
  </r>
  <r>
    <n v="153000"/>
    <n v="0.36834913712133799"/>
    <x v="3"/>
  </r>
  <r>
    <n v="154000"/>
    <n v="0.34676701069056198"/>
    <x v="3"/>
  </r>
  <r>
    <n v="155000"/>
    <n v="0.36165808134875499"/>
    <x v="3"/>
  </r>
  <r>
    <n v="156000"/>
    <n v="0.36523761313530301"/>
    <x v="3"/>
  </r>
  <r>
    <n v="157000"/>
    <n v="0.36130831421327197"/>
    <x v="3"/>
  </r>
  <r>
    <n v="158000"/>
    <n v="0.36992092615050298"/>
    <x v="3"/>
  </r>
  <r>
    <n v="159000"/>
    <n v="0.33090671070034999"/>
    <x v="3"/>
  </r>
  <r>
    <n v="160000"/>
    <n v="0.36534021677527601"/>
    <x v="3"/>
  </r>
  <r>
    <n v="161000"/>
    <n v="0.35827500419423097"/>
    <x v="3"/>
  </r>
  <r>
    <n v="162000"/>
    <n v="0.35452170561811802"/>
    <x v="3"/>
  </r>
  <r>
    <n v="163000"/>
    <n v="0.34795008057816001"/>
    <x v="3"/>
  </r>
  <r>
    <n v="164000"/>
    <n v="0.358496953562081"/>
    <x v="3"/>
  </r>
  <r>
    <n v="165000"/>
    <n v="0.36263519330696498"/>
    <x v="3"/>
  </r>
  <r>
    <n v="166000"/>
    <n v="0.36442239379116398"/>
    <x v="3"/>
  </r>
  <r>
    <n v="167000"/>
    <n v="0.35844460593189897"/>
    <x v="3"/>
  </r>
  <r>
    <n v="168000"/>
    <n v="0.37199623378401397"/>
    <x v="3"/>
  </r>
  <r>
    <n v="169000"/>
    <n v="0.35775982241932602"/>
    <x v="3"/>
  </r>
  <r>
    <n v="170000"/>
    <n v="0.36627880710035599"/>
    <x v="3"/>
  </r>
  <r>
    <n v="171000"/>
    <n v="0.35964592985205002"/>
    <x v="3"/>
  </r>
  <r>
    <n v="172000"/>
    <n v="0.36263136155196002"/>
    <x v="3"/>
  </r>
  <r>
    <n v="173000"/>
    <n v="0.35713409617729303"/>
    <x v="3"/>
  </r>
  <r>
    <n v="174000"/>
    <n v="0.36220667789434602"/>
    <x v="3"/>
  </r>
  <r>
    <n v="175000"/>
    <n v="0.36192429628374201"/>
    <x v="3"/>
  </r>
  <r>
    <n v="176000"/>
    <n v="0.38534582626341002"/>
    <x v="3"/>
  </r>
  <r>
    <n v="177000"/>
    <n v="0.33613770563689399"/>
    <x v="3"/>
  </r>
  <r>
    <n v="178000"/>
    <n v="0.35131281202895998"/>
    <x v="3"/>
  </r>
  <r>
    <n v="179000"/>
    <n v="0.35564819482452598"/>
    <x v="3"/>
  </r>
  <r>
    <n v="180000"/>
    <n v="0.37287852425093498"/>
    <x v="3"/>
  </r>
  <r>
    <n v="181000"/>
    <n v="0.34711121482158203"/>
    <x v="3"/>
  </r>
  <r>
    <n v="182000"/>
    <n v="0.35504493087702998"/>
    <x v="3"/>
  </r>
  <r>
    <n v="183000"/>
    <n v="0.37118157445160399"/>
    <x v="3"/>
  </r>
  <r>
    <n v="184000"/>
    <n v="0.36030270794417202"/>
    <x v="3"/>
  </r>
  <r>
    <n v="185000"/>
    <n v="0.383520649035755"/>
    <x v="3"/>
  </r>
  <r>
    <n v="186000"/>
    <n v="0.35905251532706101"/>
    <x v="3"/>
  </r>
  <r>
    <n v="187000"/>
    <n v="0.360103621101239"/>
    <x v="3"/>
  </r>
  <r>
    <n v="188000"/>
    <n v="0.36946149188013699"/>
    <x v="3"/>
  </r>
  <r>
    <n v="189000"/>
    <n v="0.37517319887975198"/>
    <x v="3"/>
  </r>
  <r>
    <n v="190000"/>
    <n v="0.36172084854946501"/>
    <x v="3"/>
  </r>
  <r>
    <n v="191000"/>
    <n v="0.36108178723100398"/>
    <x v="3"/>
  </r>
  <r>
    <n v="192000"/>
    <n v="0.36233681936936202"/>
    <x v="3"/>
  </r>
  <r>
    <n v="193000"/>
    <n v="0.35668288968761303"/>
    <x v="3"/>
  </r>
  <r>
    <n v="194000"/>
    <n v="0.36550073362355501"/>
    <x v="3"/>
  </r>
  <r>
    <n v="195000"/>
    <n v="0.36115473734951098"/>
    <x v="3"/>
  </r>
  <r>
    <n v="196000"/>
    <n v="0.36839447726017399"/>
    <x v="3"/>
  </r>
  <r>
    <n v="197000"/>
    <n v="0.35306474237271601"/>
    <x v="3"/>
  </r>
  <r>
    <n v="198000"/>
    <n v="0.36583514381251397"/>
    <x v="3"/>
  </r>
  <r>
    <n v="199000"/>
    <n v="0.35496079429263699"/>
    <x v="3"/>
  </r>
  <r>
    <n v="200000"/>
    <n v="0.37141463365009297"/>
    <x v="4"/>
  </r>
  <r>
    <n v="201000"/>
    <n v="0.35539677984562701"/>
    <x v="4"/>
  </r>
  <r>
    <n v="202000"/>
    <n v="0.358158256774468"/>
    <x v="4"/>
  </r>
  <r>
    <n v="203000"/>
    <n v="0.36419403128156702"/>
    <x v="4"/>
  </r>
  <r>
    <n v="204000"/>
    <n v="0.37318745046693103"/>
    <x v="4"/>
  </r>
  <r>
    <n v="205000"/>
    <n v="0.355343973596917"/>
    <x v="4"/>
  </r>
  <r>
    <n v="206000"/>
    <n v="0.35823317554245099"/>
    <x v="4"/>
  </r>
  <r>
    <n v="207000"/>
    <n v="0.38916779203364499"/>
    <x v="4"/>
  </r>
  <r>
    <n v="208000"/>
    <n v="0.365911403234711"/>
    <x v="4"/>
  </r>
  <r>
    <n v="209000"/>
    <n v="0.35873434154078998"/>
    <x v="4"/>
  </r>
  <r>
    <n v="210000"/>
    <n v="0.36634912535740899"/>
    <x v="4"/>
  </r>
  <r>
    <n v="211000"/>
    <n v="0.35386839850053098"/>
    <x v="4"/>
  </r>
  <r>
    <n v="212000"/>
    <n v="0.369845480651321"/>
    <x v="4"/>
  </r>
  <r>
    <n v="213000"/>
    <n v="0.35016997871358402"/>
    <x v="4"/>
  </r>
  <r>
    <n v="214000"/>
    <n v="0.36524355831342098"/>
    <x v="4"/>
  </r>
  <r>
    <n v="215000"/>
    <n v="0.35406255690761601"/>
    <x v="4"/>
  </r>
  <r>
    <n v="216000"/>
    <n v="0.37616138549316203"/>
    <x v="4"/>
  </r>
  <r>
    <n v="217000"/>
    <n v="0.344072911855893"/>
    <x v="4"/>
  </r>
  <r>
    <n v="218000"/>
    <n v="0.35693639799777999"/>
    <x v="4"/>
  </r>
  <r>
    <n v="219000"/>
    <n v="0.37577388173460402"/>
    <x v="4"/>
  </r>
  <r>
    <n v="220000"/>
    <n v="0.35818673951603103"/>
    <x v="4"/>
  </r>
  <r>
    <n v="221000"/>
    <n v="0.37142415369291198"/>
    <x v="4"/>
  </r>
  <r>
    <n v="222000"/>
    <n v="0.35804309362718001"/>
    <x v="4"/>
  </r>
  <r>
    <n v="223000"/>
    <n v="0.356627650587724"/>
    <x v="4"/>
  </r>
  <r>
    <n v="224000"/>
    <n v="0.36249327664039499"/>
    <x v="4"/>
  </r>
  <r>
    <n v="225000"/>
    <n v="0.36927609287790197"/>
    <x v="4"/>
  </r>
  <r>
    <n v="226000"/>
    <n v="0.35220023227605302"/>
    <x v="4"/>
  </r>
  <r>
    <n v="227000"/>
    <n v="0.35625130108555397"/>
    <x v="4"/>
  </r>
  <r>
    <n v="228000"/>
    <n v="0.357593928656739"/>
    <x v="4"/>
  </r>
  <r>
    <n v="229000"/>
    <n v="0.36611054657627001"/>
    <x v="4"/>
  </r>
  <r>
    <n v="230000"/>
    <n v="0.35371905660292302"/>
    <x v="4"/>
  </r>
  <r>
    <n v="231000"/>
    <n v="0.34695606134811102"/>
    <x v="4"/>
  </r>
  <r>
    <n v="232000"/>
    <n v="0.355219647182971"/>
    <x v="4"/>
  </r>
  <r>
    <n v="233000"/>
    <n v="0.37270353884566199"/>
    <x v="4"/>
  </r>
  <r>
    <n v="234000"/>
    <n v="0.36565390170498102"/>
    <x v="4"/>
  </r>
  <r>
    <n v="235000"/>
    <n v="0.35766046624948"/>
    <x v="4"/>
  </r>
  <r>
    <n v="236000"/>
    <n v="0.36486550916838101"/>
    <x v="4"/>
  </r>
  <r>
    <n v="237000"/>
    <n v="0.35455952313320599"/>
    <x v="4"/>
  </r>
  <r>
    <n v="238000"/>
    <n v="0.37921871725605799"/>
    <x v="4"/>
  </r>
  <r>
    <n v="239000"/>
    <n v="0.36643568889786299"/>
    <x v="4"/>
  </r>
  <r>
    <n v="240000"/>
    <n v="0.35489588908530501"/>
    <x v="4"/>
  </r>
  <r>
    <n v="241000"/>
    <n v="0.35990981281144402"/>
    <x v="4"/>
  </r>
  <r>
    <n v="242000"/>
    <n v="0.37356189484177099"/>
    <x v="4"/>
  </r>
  <r>
    <n v="243000"/>
    <n v="0.369918169183787"/>
    <x v="4"/>
  </r>
  <r>
    <n v="244000"/>
    <n v="0.34780206765686"/>
    <x v="4"/>
  </r>
  <r>
    <n v="245000"/>
    <n v="0.355933176523065"/>
    <x v="4"/>
  </r>
  <r>
    <n v="246000"/>
    <n v="0.35444116537523801"/>
    <x v="4"/>
  </r>
  <r>
    <n v="247000"/>
    <n v="0.358774161051233"/>
    <x v="4"/>
  </r>
  <r>
    <n v="248000"/>
    <n v="0.37584961325622002"/>
    <x v="4"/>
  </r>
  <r>
    <n v="249000"/>
    <n v="0.35249686888190401"/>
    <x v="4"/>
  </r>
  <r>
    <n v="250000"/>
    <n v="0.33697305010090101"/>
    <x v="5"/>
  </r>
  <r>
    <n v="251000"/>
    <n v="0.35298212623271003"/>
    <x v="5"/>
  </r>
  <r>
    <n v="252000"/>
    <n v="0.36171098386351003"/>
    <x v="5"/>
  </r>
  <r>
    <n v="253000"/>
    <n v="0.321917370843947"/>
    <x v="5"/>
  </r>
  <r>
    <n v="254000"/>
    <n v="0.33550854773980598"/>
    <x v="5"/>
  </r>
  <r>
    <n v="255000"/>
    <n v="0.358972466734232"/>
    <x v="5"/>
  </r>
  <r>
    <n v="256000"/>
    <n v="0.36777888046365897"/>
    <x v="5"/>
  </r>
  <r>
    <n v="257000"/>
    <n v="0.371823392928186"/>
    <x v="5"/>
  </r>
  <r>
    <n v="258000"/>
    <n v="0.35277414341147101"/>
    <x v="5"/>
  </r>
  <r>
    <n v="259000"/>
    <n v="0.34567799285498602"/>
    <x v="5"/>
  </r>
  <r>
    <n v="260000"/>
    <n v="0.35441583481248001"/>
    <x v="5"/>
  </r>
  <r>
    <n v="261000"/>
    <n v="0.37286449777910102"/>
    <x v="5"/>
  </r>
  <r>
    <n v="262000"/>
    <n v="0.35834736349485402"/>
    <x v="5"/>
  </r>
  <r>
    <n v="263000"/>
    <n v="0.36656678199378401"/>
    <x v="5"/>
  </r>
  <r>
    <n v="264000"/>
    <n v="0.35556226329850199"/>
    <x v="5"/>
  </r>
  <r>
    <n v="265000"/>
    <n v="0.355628506227612"/>
    <x v="5"/>
  </r>
  <r>
    <n v="266000"/>
    <n v="0.37291366082160399"/>
    <x v="5"/>
  </r>
  <r>
    <n v="267000"/>
    <n v="0.34561731541024798"/>
    <x v="5"/>
  </r>
  <r>
    <n v="268000"/>
    <n v="0.34915431167964001"/>
    <x v="5"/>
  </r>
  <r>
    <n v="269000"/>
    <n v="0.340644421451052"/>
    <x v="5"/>
  </r>
  <r>
    <n v="270000"/>
    <n v="0.35607129127315001"/>
    <x v="5"/>
  </r>
  <r>
    <n v="271000"/>
    <n v="0.35256829564555098"/>
    <x v="5"/>
  </r>
  <r>
    <n v="272000"/>
    <n v="0.35295101202291601"/>
    <x v="5"/>
  </r>
  <r>
    <n v="273000"/>
    <n v="0.34018130813791903"/>
    <x v="5"/>
  </r>
  <r>
    <n v="274000"/>
    <n v="0.349397535195832"/>
    <x v="5"/>
  </r>
  <r>
    <n v="275000"/>
    <n v="0.31985987250765802"/>
    <x v="5"/>
  </r>
  <r>
    <n v="276000"/>
    <n v="0.36168469727116997"/>
    <x v="5"/>
  </r>
  <r>
    <n v="277000"/>
    <n v="0.34604957566681199"/>
    <x v="5"/>
  </r>
  <r>
    <n v="278000"/>
    <n v="0.36355836436359801"/>
    <x v="5"/>
  </r>
  <r>
    <n v="279000"/>
    <n v="0.36870394998843697"/>
    <x v="5"/>
  </r>
  <r>
    <n v="280000"/>
    <n v="0.35840953857478702"/>
    <x v="5"/>
  </r>
  <r>
    <n v="281000"/>
    <n v="0.34685661203013102"/>
    <x v="5"/>
  </r>
  <r>
    <n v="282000"/>
    <n v="0.32891497660675101"/>
    <x v="5"/>
  </r>
  <r>
    <n v="283000"/>
    <n v="0.36237092384767"/>
    <x v="5"/>
  </r>
  <r>
    <n v="284000"/>
    <n v="0.35888559813577597"/>
    <x v="5"/>
  </r>
  <r>
    <n v="285000"/>
    <n v="0.358852086548894"/>
    <x v="5"/>
  </r>
  <r>
    <n v="286000"/>
    <n v="0.35082174191122201"/>
    <x v="5"/>
  </r>
  <r>
    <n v="287000"/>
    <n v="0.358781394717957"/>
    <x v="5"/>
  </r>
  <r>
    <n v="288000"/>
    <n v="0.37700068042752399"/>
    <x v="5"/>
  </r>
  <r>
    <n v="289000"/>
    <n v="0.35428340920090001"/>
    <x v="5"/>
  </r>
  <r>
    <n v="290000"/>
    <n v="0.35778952300681099"/>
    <x v="5"/>
  </r>
  <r>
    <n v="291000"/>
    <n v="0.376328462018228"/>
    <x v="5"/>
  </r>
  <r>
    <n v="292000"/>
    <n v="0.36392110420231399"/>
    <x v="5"/>
  </r>
  <r>
    <n v="293000"/>
    <n v="0.36824292946831999"/>
    <x v="5"/>
  </r>
  <r>
    <n v="294000"/>
    <n v="0.34824210919280701"/>
    <x v="5"/>
  </r>
  <r>
    <n v="295000"/>
    <n v="0.34503152540850701"/>
    <x v="5"/>
  </r>
  <r>
    <n v="296000"/>
    <n v="0.35437736270507603"/>
    <x v="5"/>
  </r>
  <r>
    <n v="297000"/>
    <n v="0.37033876567663099"/>
    <x v="5"/>
  </r>
  <r>
    <n v="298000"/>
    <n v="0.32756636138604101"/>
    <x v="5"/>
  </r>
  <r>
    <n v="299000"/>
    <n v="0.36384674145818702"/>
    <x v="5"/>
  </r>
  <r>
    <n v="300000"/>
    <n v="0.33065480432732303"/>
    <x v="6"/>
  </r>
  <r>
    <n v="301000"/>
    <n v="0.30114305736123598"/>
    <x v="6"/>
  </r>
  <r>
    <n v="302000"/>
    <n v="0.37293014018939702"/>
    <x v="6"/>
  </r>
  <r>
    <n v="303000"/>
    <n v="0.34666651303978202"/>
    <x v="6"/>
  </r>
  <r>
    <n v="304000"/>
    <n v="0.36060781530313202"/>
    <x v="6"/>
  </r>
  <r>
    <n v="305000"/>
    <n v="0.33726696326948302"/>
    <x v="6"/>
  </r>
  <r>
    <n v="306000"/>
    <n v="0.35725105664567303"/>
    <x v="6"/>
  </r>
  <r>
    <n v="307000"/>
    <n v="0.32780624648420098"/>
    <x v="6"/>
  </r>
  <r>
    <n v="308000"/>
    <n v="0.35551888738974902"/>
    <x v="6"/>
  </r>
  <r>
    <n v="309000"/>
    <n v="0.36641254264815198"/>
    <x v="6"/>
  </r>
  <r>
    <n v="310000"/>
    <n v="0.34156326777372398"/>
    <x v="6"/>
  </r>
  <r>
    <n v="311000"/>
    <n v="0.365313062096569"/>
    <x v="6"/>
  </r>
  <r>
    <n v="312000"/>
    <n v="0.34180743787069601"/>
    <x v="6"/>
  </r>
  <r>
    <n v="313000"/>
    <n v="0.342562488926202"/>
    <x v="6"/>
  </r>
  <r>
    <n v="314000"/>
    <n v="0.374817906510932"/>
    <x v="6"/>
  </r>
  <r>
    <n v="315000"/>
    <n v="0.36809726119518899"/>
    <x v="6"/>
  </r>
  <r>
    <n v="316000"/>
    <n v="0.35146558719607202"/>
    <x v="6"/>
  </r>
  <r>
    <n v="317000"/>
    <n v="0.33438366133015401"/>
    <x v="6"/>
  </r>
  <r>
    <n v="318000"/>
    <n v="0.34762000696503997"/>
    <x v="6"/>
  </r>
  <r>
    <n v="319000"/>
    <n v="0.36548544959784701"/>
    <x v="6"/>
  </r>
  <r>
    <n v="320000"/>
    <n v="0.35396899451133201"/>
    <x v="6"/>
  </r>
  <r>
    <n v="321000"/>
    <n v="0.34146446827910998"/>
    <x v="6"/>
  </r>
  <r>
    <n v="322000"/>
    <n v="0.31900393748056199"/>
    <x v="6"/>
  </r>
  <r>
    <n v="323000"/>
    <n v="0.27068280111965798"/>
    <x v="6"/>
  </r>
  <r>
    <n v="324000"/>
    <n v="0.36110696444214002"/>
    <x v="6"/>
  </r>
  <r>
    <n v="325000"/>
    <n v="0.322584372160934"/>
    <x v="6"/>
  </r>
  <r>
    <n v="326000"/>
    <n v="0.344345612816091"/>
    <x v="6"/>
  </r>
  <r>
    <n v="327000"/>
    <n v="0.34125085226727497"/>
    <x v="6"/>
  </r>
  <r>
    <n v="328000"/>
    <n v="0.35608989243538502"/>
    <x v="6"/>
  </r>
  <r>
    <n v="329000"/>
    <n v="0.38222859341877102"/>
    <x v="6"/>
  </r>
  <r>
    <n v="330000"/>
    <n v="0.34907127088991502"/>
    <x v="6"/>
  </r>
  <r>
    <n v="331000"/>
    <n v="0.35580850327920199"/>
    <x v="6"/>
  </r>
  <r>
    <n v="332000"/>
    <n v="0.357955384405307"/>
    <x v="6"/>
  </r>
  <r>
    <n v="333000"/>
    <n v="0.36713886824727798"/>
    <x v="6"/>
  </r>
  <r>
    <n v="334000"/>
    <n v="0.24058157987757001"/>
    <x v="6"/>
  </r>
  <r>
    <n v="335000"/>
    <n v="0.36901386935778802"/>
    <x v="6"/>
  </r>
  <r>
    <n v="336000"/>
    <n v="0.35653243912906302"/>
    <x v="6"/>
  </r>
  <r>
    <n v="337000"/>
    <n v="0.37638916130091299"/>
    <x v="6"/>
  </r>
  <r>
    <n v="338000"/>
    <n v="0.38044943845437001"/>
    <x v="6"/>
  </r>
  <r>
    <n v="339000"/>
    <n v="0.36556927574804199"/>
    <x v="6"/>
  </r>
  <r>
    <n v="340000"/>
    <n v="0.36981226640387199"/>
    <x v="6"/>
  </r>
  <r>
    <n v="341000"/>
    <n v="0.35181069535478698"/>
    <x v="6"/>
  </r>
  <r>
    <n v="342000"/>
    <n v="0.38071833620923501"/>
    <x v="6"/>
  </r>
  <r>
    <n v="343000"/>
    <n v="0.33948035964142498"/>
    <x v="6"/>
  </r>
  <r>
    <n v="344000"/>
    <n v="0.34717738474828802"/>
    <x v="6"/>
  </r>
  <r>
    <n v="345000"/>
    <n v="0.33111862128813202"/>
    <x v="6"/>
  </r>
  <r>
    <n v="346000"/>
    <n v="0.359232033401645"/>
    <x v="6"/>
  </r>
  <r>
    <n v="347000"/>
    <n v="0.36460201645990897"/>
    <x v="6"/>
  </r>
  <r>
    <n v="348000"/>
    <n v="0.363700171664539"/>
    <x v="6"/>
  </r>
  <r>
    <n v="349000"/>
    <n v="0.36499147532062798"/>
    <x v="6"/>
  </r>
  <r>
    <n v="350000"/>
    <n v="0.33456678121658201"/>
    <x v="7"/>
  </r>
  <r>
    <n v="351000"/>
    <n v="0.347447265610064"/>
    <x v="7"/>
  </r>
  <r>
    <n v="352000"/>
    <n v="0.363674084661949"/>
    <x v="7"/>
  </r>
  <r>
    <n v="353000"/>
    <n v="0.36552432703460103"/>
    <x v="7"/>
  </r>
  <r>
    <n v="354000"/>
    <n v="0.32862801848003598"/>
    <x v="7"/>
  </r>
  <r>
    <n v="355000"/>
    <n v="0.34846851536358198"/>
    <x v="7"/>
  </r>
  <r>
    <n v="356000"/>
    <n v="0.368557210688225"/>
    <x v="7"/>
  </r>
  <r>
    <n v="357000"/>
    <n v="0.33506775416885398"/>
    <x v="7"/>
  </r>
  <r>
    <n v="358000"/>
    <n v="0.38458798197595401"/>
    <x v="7"/>
  </r>
  <r>
    <n v="359000"/>
    <n v="0.31418198266248798"/>
    <x v="7"/>
  </r>
  <r>
    <n v="360000"/>
    <n v="0.31810246267598402"/>
    <x v="7"/>
  </r>
  <r>
    <n v="361000"/>
    <n v="0.37336315996089797"/>
    <x v="7"/>
  </r>
  <r>
    <n v="362000"/>
    <n v="0.33212953883346202"/>
    <x v="7"/>
  </r>
  <r>
    <n v="363000"/>
    <n v="0.35049563787589599"/>
    <x v="7"/>
  </r>
  <r>
    <n v="364000"/>
    <n v="0.37054823146764698"/>
    <x v="7"/>
  </r>
  <r>
    <n v="365000"/>
    <n v="0.35734043506922403"/>
    <x v="7"/>
  </r>
  <r>
    <n v="366000"/>
    <n v="0.345818867457586"/>
    <x v="7"/>
  </r>
  <r>
    <n v="367000"/>
    <n v="0.34078221932082398"/>
    <x v="7"/>
  </r>
  <r>
    <n v="368000"/>
    <n v="0.36325577381689"/>
    <x v="7"/>
  </r>
  <r>
    <n v="369000"/>
    <n v="0.39733286464165302"/>
    <x v="7"/>
  </r>
  <r>
    <n v="370000"/>
    <n v="0.36572772384520402"/>
    <x v="7"/>
  </r>
  <r>
    <n v="371000"/>
    <n v="0.34184146585443798"/>
    <x v="7"/>
  </r>
  <r>
    <n v="372000"/>
    <n v="0.33979487788089902"/>
    <x v="7"/>
  </r>
  <r>
    <n v="373000"/>
    <n v="0.34596287482459598"/>
    <x v="7"/>
  </r>
  <r>
    <n v="374000"/>
    <n v="0.358078361664179"/>
    <x v="7"/>
  </r>
  <r>
    <n v="375000"/>
    <n v="0.34242579789671601"/>
    <x v="7"/>
  </r>
  <r>
    <n v="376000"/>
    <n v="0.37589628763176403"/>
    <x v="7"/>
  </r>
  <r>
    <n v="377000"/>
    <n v="0.35415319430481701"/>
    <x v="7"/>
  </r>
  <r>
    <n v="378000"/>
    <n v="0.35157900230046502"/>
    <x v="7"/>
  </r>
  <r>
    <n v="379000"/>
    <n v="0.33275055183430402"/>
    <x v="7"/>
  </r>
  <r>
    <n v="380000"/>
    <n v="0.36719639754982197"/>
    <x v="7"/>
  </r>
  <r>
    <n v="381000"/>
    <n v="0.35732456525279799"/>
    <x v="7"/>
  </r>
  <r>
    <n v="382000"/>
    <n v="0.32737301828943099"/>
    <x v="7"/>
  </r>
  <r>
    <n v="383000"/>
    <n v="0.36364104949181802"/>
    <x v="7"/>
  </r>
  <r>
    <n v="384000"/>
    <n v="0.35434146578347098"/>
    <x v="7"/>
  </r>
  <r>
    <n v="385000"/>
    <n v="0.36257879233559298"/>
    <x v="7"/>
  </r>
  <r>
    <n v="386000"/>
    <n v="0.34514295483315299"/>
    <x v="7"/>
  </r>
  <r>
    <n v="387000"/>
    <n v="0.36755543916743399"/>
    <x v="7"/>
  </r>
  <r>
    <n v="388000"/>
    <n v="0.35451404952837801"/>
    <x v="7"/>
  </r>
  <r>
    <n v="389000"/>
    <n v="0.37388213293160799"/>
    <x v="7"/>
  </r>
  <r>
    <n v="390000"/>
    <n v="0.356215143937053"/>
    <x v="7"/>
  </r>
  <r>
    <n v="391000"/>
    <n v="0.36190790034036302"/>
    <x v="7"/>
  </r>
  <r>
    <n v="392000"/>
    <n v="0.37429109472115601"/>
    <x v="7"/>
  </r>
  <r>
    <n v="393000"/>
    <n v="0.33663930954158999"/>
    <x v="7"/>
  </r>
  <r>
    <n v="394000"/>
    <n v="0.322651738529938"/>
    <x v="7"/>
  </r>
  <r>
    <n v="395000"/>
    <n v="0.34274278349577703"/>
    <x v="7"/>
  </r>
  <r>
    <n v="396000"/>
    <n v="0.38479362871404998"/>
    <x v="7"/>
  </r>
  <r>
    <n v="397000"/>
    <n v="0.36164284144813003"/>
    <x v="7"/>
  </r>
  <r>
    <n v="398000"/>
    <n v="0.33874216432864901"/>
    <x v="7"/>
  </r>
  <r>
    <n v="399000"/>
    <n v="0.366071937759404"/>
    <x v="7"/>
  </r>
  <r>
    <n v="400000"/>
    <n v="0.33142068764064597"/>
    <x v="8"/>
  </r>
  <r>
    <n v="401000"/>
    <n v="0.38708839325365901"/>
    <x v="8"/>
  </r>
  <r>
    <n v="402000"/>
    <n v="0.34244290814601402"/>
    <x v="8"/>
  </r>
  <r>
    <n v="403000"/>
    <n v="0.33805000301600502"/>
    <x v="8"/>
  </r>
  <r>
    <n v="404000"/>
    <n v="0.35962789925969402"/>
    <x v="8"/>
  </r>
  <r>
    <n v="405000"/>
    <n v="0.36066753957394898"/>
    <x v="8"/>
  </r>
  <r>
    <n v="406000"/>
    <n v="0.35466203716467698"/>
    <x v="8"/>
  </r>
  <r>
    <n v="407000"/>
    <n v="0.33437486521516202"/>
    <x v="8"/>
  </r>
  <r>
    <n v="408000"/>
    <n v="0.34408072860535299"/>
    <x v="8"/>
  </r>
  <r>
    <n v="409000"/>
    <n v="0.34343562736729299"/>
    <x v="8"/>
  </r>
  <r>
    <n v="410000"/>
    <n v="0.353464789714934"/>
    <x v="8"/>
  </r>
  <r>
    <n v="411000"/>
    <n v="0.341770372513655"/>
    <x v="8"/>
  </r>
  <r>
    <n v="412000"/>
    <n v="0.33649945659102898"/>
    <x v="8"/>
  </r>
  <r>
    <n v="413000"/>
    <n v="0.325324680211515"/>
    <x v="8"/>
  </r>
  <r>
    <n v="414000"/>
    <n v="0.35413579657730399"/>
    <x v="8"/>
  </r>
  <r>
    <n v="415000"/>
    <n v="0.35321851216928202"/>
    <x v="8"/>
  </r>
  <r>
    <n v="416000"/>
    <n v="0.34925759989488597"/>
    <x v="8"/>
  </r>
  <r>
    <n v="417000"/>
    <n v="0.298309151888976"/>
    <x v="8"/>
  </r>
  <r>
    <n v="418000"/>
    <n v="0.51291261012232003"/>
    <x v="8"/>
  </r>
  <r>
    <n v="419000"/>
    <n v="0.13017634456860799"/>
    <x v="8"/>
  </r>
  <r>
    <n v="420000"/>
    <n v="0.46636588878184099"/>
    <x v="8"/>
  </r>
  <r>
    <n v="421000"/>
    <n v="0.293929170803855"/>
    <x v="8"/>
  </r>
  <r>
    <n v="423000"/>
    <n v="0.38773270468603699"/>
    <x v="8"/>
  </r>
  <r>
    <n v="424000"/>
    <n v="0.49093327443672402"/>
    <x v="8"/>
  </r>
  <r>
    <n v="425000"/>
    <n v="0.59149675355079101"/>
    <x v="8"/>
  </r>
  <r>
    <n v="426000"/>
    <n v="0.603324975112839"/>
    <x v="8"/>
  </r>
  <r>
    <n v="427000"/>
    <n v="0.218089060324717"/>
    <x v="8"/>
  </r>
  <r>
    <n v="428000"/>
    <n v="0.36127611033315998"/>
    <x v="8"/>
  </r>
  <r>
    <n v="429000"/>
    <n v="0.124841498128813"/>
    <x v="8"/>
  </r>
  <r>
    <n v="430000"/>
    <n v="0.361169406688582"/>
    <x v="8"/>
  </r>
  <r>
    <n v="431000"/>
    <n v="0.31900611685228902"/>
    <x v="8"/>
  </r>
  <r>
    <n v="432000"/>
    <n v="0.31623952275650102"/>
    <x v="8"/>
  </r>
  <r>
    <n v="433000"/>
    <n v="0.27285229181649701"/>
    <x v="8"/>
  </r>
  <r>
    <n v="434000"/>
    <n v="0.26483034421121299"/>
    <x v="8"/>
  </r>
  <r>
    <n v="435000"/>
    <n v="0.57208860033652997"/>
    <x v="8"/>
  </r>
  <r>
    <n v="436000"/>
    <n v="0.33545100580689702"/>
    <x v="8"/>
  </r>
  <r>
    <n v="437000"/>
    <n v="0.30605723594425899"/>
    <x v="8"/>
  </r>
  <r>
    <n v="438000"/>
    <n v="0.51298722968178601"/>
    <x v="8"/>
  </r>
  <r>
    <n v="439000"/>
    <n v="0.47935503561993298"/>
    <x v="8"/>
  </r>
  <r>
    <n v="440000"/>
    <n v="0.33782150688106"/>
    <x v="8"/>
  </r>
  <r>
    <n v="441000"/>
    <n v="0.41291393932964399"/>
    <x v="8"/>
  </r>
  <r>
    <n v="442000"/>
    <n v="0.37830748614224402"/>
    <x v="8"/>
  </r>
  <r>
    <n v="443000"/>
    <n v="0.499191445525065"/>
    <x v="8"/>
  </r>
  <r>
    <n v="444000"/>
    <n v="0.199121871787169"/>
    <x v="8"/>
  </r>
  <r>
    <n v="445000"/>
    <n v="0.44070430943837202"/>
    <x v="8"/>
  </r>
  <r>
    <n v="446000"/>
    <n v="0.31357907621241199"/>
    <x v="8"/>
  </r>
  <r>
    <n v="447000"/>
    <n v="0.51442070054114597"/>
    <x v="8"/>
  </r>
  <r>
    <n v="448000"/>
    <n v="0.47324495023837299"/>
    <x v="8"/>
  </r>
  <r>
    <n v="449000"/>
    <n v="0.53934335945067002"/>
    <x v="8"/>
  </r>
  <r>
    <n v="450000"/>
    <n v="0.28841976089360399"/>
    <x v="9"/>
  </r>
  <r>
    <n v="451000"/>
    <n v="0.78597414731823101"/>
    <x v="9"/>
  </r>
  <r>
    <n v="453000"/>
    <n v="0.31905774766453399"/>
    <x v="9"/>
  </r>
  <r>
    <n v="454000"/>
    <n v="0.368965279807071"/>
    <x v="9"/>
  </r>
  <r>
    <n v="455000"/>
    <n v="0.42943634643136702"/>
    <x v="9"/>
  </r>
  <r>
    <n v="456000"/>
    <n v="0.46798735432366201"/>
    <x v="9"/>
  </r>
  <r>
    <n v="458000"/>
    <n v="0.47393323964367901"/>
    <x v="9"/>
  </r>
  <r>
    <n v="459000"/>
    <n v="0.51664610843911396"/>
    <x v="9"/>
  </r>
  <r>
    <n v="460000"/>
    <n v="0.32136155597719601"/>
    <x v="9"/>
  </r>
  <r>
    <n v="461000"/>
    <n v="0.44062409594697999"/>
    <x v="9"/>
  </r>
  <r>
    <n v="462000"/>
    <n v="0.47433354988883702"/>
    <x v="9"/>
  </r>
  <r>
    <n v="463000"/>
    <n v="0.41607539229106499"/>
    <x v="9"/>
  </r>
  <r>
    <n v="464000"/>
    <n v="0.46246069157341502"/>
    <x v="9"/>
  </r>
  <r>
    <n v="465000"/>
    <n v="0.39869331459347601"/>
    <x v="9"/>
  </r>
  <r>
    <n v="466000"/>
    <n v="0.196317960696819"/>
    <x v="9"/>
  </r>
  <r>
    <n v="467000"/>
    <n v="0.23037205684327999"/>
    <x v="9"/>
  </r>
  <r>
    <n v="468000"/>
    <n v="0.492552112233063"/>
    <x v="9"/>
  </r>
  <r>
    <n v="469000"/>
    <n v="0.36185104994357398"/>
    <x v="9"/>
  </r>
  <r>
    <n v="470000"/>
    <n v="0.28926689671356698"/>
    <x v="9"/>
  </r>
  <r>
    <n v="471000"/>
    <n v="0.56168113137096498"/>
    <x v="9"/>
  </r>
  <r>
    <n v="472000"/>
    <n v="0.28162249697264802"/>
    <x v="9"/>
  </r>
  <r>
    <n v="473000"/>
    <n v="0.39389267529878502"/>
    <x v="9"/>
  </r>
  <r>
    <n v="474000"/>
    <n v="0.39819832602528399"/>
    <x v="9"/>
  </r>
  <r>
    <n v="475000"/>
    <n v="0.405008946850755"/>
    <x v="9"/>
  </r>
  <r>
    <n v="476000"/>
    <n v="0.40505438907444202"/>
    <x v="9"/>
  </r>
  <r>
    <n v="477000"/>
    <n v="0.51413550883896098"/>
    <x v="9"/>
  </r>
  <r>
    <n v="478000"/>
    <n v="0.55552501302202795"/>
    <x v="9"/>
  </r>
  <r>
    <n v="480000"/>
    <n v="0.359828540533219"/>
    <x v="9"/>
  </r>
  <r>
    <n v="481000"/>
    <n v="0.31886331491617398"/>
    <x v="9"/>
  </r>
  <r>
    <n v="482000"/>
    <n v="0.16196947724871799"/>
    <x v="9"/>
  </r>
  <r>
    <n v="483000"/>
    <n v="0.60995945366153903"/>
    <x v="9"/>
  </r>
  <r>
    <n v="484000"/>
    <n v="0.40156099692228397"/>
    <x v="9"/>
  </r>
  <r>
    <n v="485000"/>
    <n v="0.35466168783810798"/>
    <x v="9"/>
  </r>
  <r>
    <n v="486000"/>
    <n v="0.50747262217033795"/>
    <x v="9"/>
  </r>
  <r>
    <n v="487000"/>
    <n v="0.52372313773955004"/>
    <x v="9"/>
  </r>
  <r>
    <n v="488000"/>
    <n v="0.255101107288152"/>
    <x v="9"/>
  </r>
  <r>
    <n v="489000"/>
    <n v="0.25401354340089899"/>
    <x v="9"/>
  </r>
  <r>
    <n v="490000"/>
    <n v="0.38677953126262599"/>
    <x v="9"/>
  </r>
  <r>
    <n v="491000"/>
    <n v="0.53440446100177097"/>
    <x v="9"/>
  </r>
  <r>
    <n v="492000"/>
    <n v="0.35062836682461201"/>
    <x v="9"/>
  </r>
  <r>
    <n v="493000"/>
    <n v="0.50386304769601198"/>
    <x v="9"/>
  </r>
  <r>
    <n v="494000"/>
    <n v="0.38937393000770099"/>
    <x v="9"/>
  </r>
  <r>
    <n v="495000"/>
    <n v="0.30005806200873503"/>
    <x v="9"/>
  </r>
  <r>
    <n v="496000"/>
    <n v="0.40820544220570798"/>
    <x v="9"/>
  </r>
  <r>
    <n v="497000"/>
    <n v="0.428789678767311"/>
    <x v="9"/>
  </r>
  <r>
    <n v="499000"/>
    <n v="0.34995032054126002"/>
    <x v="9"/>
  </r>
  <r>
    <n v="500000"/>
    <n v="0.413624976433975"/>
    <x v="9"/>
  </r>
  <r>
    <n v="502000"/>
    <n v="8.1454623680004806E-2"/>
    <x v="9"/>
  </r>
  <r>
    <n v="503000"/>
    <n v="0.41241544639864097"/>
    <x v="9"/>
  </r>
  <r>
    <n v="504000"/>
    <n v="0.39790660471962802"/>
    <x v="9"/>
  </r>
  <r>
    <n v="505000"/>
    <n v="0.28401210580353498"/>
    <x v="9"/>
  </r>
  <r>
    <n v="506000"/>
    <n v="5.7568701171136397E-2"/>
    <x v="9"/>
  </r>
  <r>
    <n v="507000"/>
    <n v="0.608989520504441"/>
    <x v="9"/>
  </r>
  <r>
    <n v="508000"/>
    <n v="0.32948181218300698"/>
    <x v="9"/>
  </r>
  <r>
    <n v="510000"/>
    <n v="0.30795803445298597"/>
    <x v="9"/>
  </r>
  <r>
    <n v="512000"/>
    <n v="0.42235619829844501"/>
    <x v="9"/>
  </r>
  <r>
    <n v="513000"/>
    <n v="0.56996606159389096"/>
    <x v="9"/>
  </r>
  <r>
    <n v="514000"/>
    <n v="0.20708888943505999"/>
    <x v="9"/>
  </r>
  <r>
    <n v="515000"/>
    <n v="0.32469684146731598"/>
    <x v="9"/>
  </r>
  <r>
    <n v="516000"/>
    <n v="0.39281257411856202"/>
    <x v="9"/>
  </r>
  <r>
    <n v="517000"/>
    <n v="0.55919407850746805"/>
    <x v="9"/>
  </r>
  <r>
    <n v="518000"/>
    <n v="0.57542757401784494"/>
    <x v="9"/>
  </r>
  <r>
    <n v="519000"/>
    <n v="0.33086494749663098"/>
    <x v="9"/>
  </r>
  <r>
    <n v="520000"/>
    <n v="0.43780013954506802"/>
    <x v="9"/>
  </r>
  <r>
    <n v="521000"/>
    <n v="0.54315098471719903"/>
    <x v="9"/>
  </r>
  <r>
    <n v="522000"/>
    <n v="0.60499127595103297"/>
    <x v="9"/>
  </r>
  <r>
    <n v="523000"/>
    <n v="0.86132768321007003"/>
    <x v="9"/>
  </r>
  <r>
    <n v="524000"/>
    <n v="0.37221769166413599"/>
    <x v="9"/>
  </r>
  <r>
    <n v="525000"/>
    <n v="0.330996997838782"/>
    <x v="9"/>
  </r>
  <r>
    <n v="526000"/>
    <n v="0.46005242168837301"/>
    <x v="9"/>
  </r>
  <r>
    <n v="527000"/>
    <n v="0.41882846771827598"/>
    <x v="9"/>
  </r>
  <r>
    <n v="528000"/>
    <n v="0.28245592623516103"/>
    <x v="9"/>
  </r>
  <r>
    <n v="529000"/>
    <n v="5.4237653657476001E-2"/>
    <x v="9"/>
  </r>
  <r>
    <n v="530000"/>
    <n v="0.55266882134266604"/>
    <x v="9"/>
  </r>
  <r>
    <n v="531000"/>
    <n v="0.472708825273155"/>
    <x v="9"/>
  </r>
  <r>
    <n v="532000"/>
    <n v="0.13792888353073501"/>
    <x v="9"/>
  </r>
  <r>
    <n v="533000"/>
    <n v="0.33431121345755699"/>
    <x v="9"/>
  </r>
  <r>
    <n v="534000"/>
    <n v="0.44319424657131101"/>
    <x v="9"/>
  </r>
  <r>
    <n v="535000"/>
    <n v="0.26303475628887302"/>
    <x v="9"/>
  </r>
  <r>
    <n v="536000"/>
    <n v="0.30294882718480998"/>
    <x v="9"/>
  </r>
  <r>
    <n v="538000"/>
    <n v="0.341237644174674"/>
    <x v="9"/>
  </r>
  <r>
    <n v="539000"/>
    <n v="0.221305596574708"/>
    <x v="9"/>
  </r>
  <r>
    <n v="540000"/>
    <n v="0.175282447854224"/>
    <x v="9"/>
  </r>
  <r>
    <n v="541000"/>
    <n v="0.355352014098476"/>
    <x v="9"/>
  </r>
  <r>
    <n v="542000"/>
    <n v="0.37621459791275003"/>
    <x v="9"/>
  </r>
  <r>
    <n v="543000"/>
    <n v="0.50254190234809604"/>
    <x v="9"/>
  </r>
  <r>
    <n v="544000"/>
    <n v="0.27810545444578999"/>
    <x v="9"/>
  </r>
  <r>
    <n v="546000"/>
    <n v="0.65591708546833805"/>
    <x v="9"/>
  </r>
  <r>
    <n v="547000"/>
    <n v="0.36271607786867599"/>
    <x v="9"/>
  </r>
  <r>
    <n v="548000"/>
    <n v="0.50427384225255301"/>
    <x v="9"/>
  </r>
  <r>
    <n v="549000"/>
    <n v="0.18056616410847801"/>
    <x v="9"/>
  </r>
  <r>
    <n v="550000"/>
    <n v="0.231891552900403"/>
    <x v="9"/>
  </r>
  <r>
    <n v="552000"/>
    <n v="0.19819108049973799"/>
    <x v="9"/>
  </r>
  <r>
    <n v="555000"/>
    <n v="0.48804076549876602"/>
    <x v="9"/>
  </r>
  <r>
    <n v="556000"/>
    <n v="0.249808850516366"/>
    <x v="9"/>
  </r>
  <r>
    <n v="557000"/>
    <n v="0"/>
    <x v="9"/>
  </r>
  <r>
    <n v="558000"/>
    <n v="0.329647533882447"/>
    <x v="9"/>
  </r>
  <r>
    <n v="559000"/>
    <n v="0.14413495260840001"/>
    <x v="9"/>
  </r>
  <r>
    <n v="560000"/>
    <n v="0.34563728140334499"/>
    <x v="9"/>
  </r>
  <r>
    <n v="561000"/>
    <n v="3.50543287961824E-2"/>
    <x v="9"/>
  </r>
  <r>
    <n v="563000"/>
    <n v="0.43191766043018198"/>
    <x v="9"/>
  </r>
  <r>
    <n v="567000"/>
    <n v="3.5536853111783201E-2"/>
    <x v="9"/>
  </r>
  <r>
    <n v="568000"/>
    <n v="0.230187531907801"/>
    <x v="9"/>
  </r>
  <r>
    <n v="570000"/>
    <n v="0.29915566764933399"/>
    <x v="9"/>
  </r>
  <r>
    <n v="571000"/>
    <n v="0.34765755993295999"/>
    <x v="9"/>
  </r>
  <r>
    <n v="572000"/>
    <n v="2.1899240509999199E-2"/>
    <x v="9"/>
  </r>
  <r>
    <n v="575000"/>
    <n v="0.222273336639432"/>
    <x v="9"/>
  </r>
  <r>
    <n v="576000"/>
    <n v="0.56188328280404898"/>
    <x v="9"/>
  </r>
  <r>
    <n v="580000"/>
    <n v="0.238575431058241"/>
    <x v="9"/>
  </r>
  <r>
    <n v="581000"/>
    <n v="0.23996795328062501"/>
    <x v="9"/>
  </r>
  <r>
    <n v="582000"/>
    <n v="0.27650077812038798"/>
    <x v="9"/>
  </r>
  <r>
    <n v="583000"/>
    <n v="0.15903814367766"/>
    <x v="9"/>
  </r>
  <r>
    <n v="584000"/>
    <n v="0.39673942110931398"/>
    <x v="9"/>
  </r>
  <r>
    <n v="585000"/>
    <n v="0.23400955923142899"/>
    <x v="9"/>
  </r>
  <r>
    <n v="588000"/>
    <n v="0.47333686016012999"/>
    <x v="9"/>
  </r>
  <r>
    <n v="592000"/>
    <n v="0.631670620378051"/>
    <x v="9"/>
  </r>
  <r>
    <n v="594000"/>
    <n v="0.32423365253389103"/>
    <x v="9"/>
  </r>
  <r>
    <n v="595000"/>
    <n v="0.31891826798178102"/>
    <x v="9"/>
  </r>
  <r>
    <n v="600000"/>
    <n v="0.182655705676526"/>
    <x v="9"/>
  </r>
  <r>
    <n v="602000"/>
    <n v="7.0599767154683093E-2"/>
    <x v="9"/>
  </r>
  <r>
    <n v="604000"/>
    <n v="0.458942707278996"/>
    <x v="9"/>
  </r>
  <r>
    <n v="607000"/>
    <n v="0.385938306647437"/>
    <x v="9"/>
  </r>
  <r>
    <n v="615000"/>
    <n v="0.230129801892967"/>
    <x v="9"/>
  </r>
  <r>
    <n v="616000"/>
    <n v="0.165567753653518"/>
    <x v="9"/>
  </r>
  <r>
    <n v="617000"/>
    <n v="0.10195281597644699"/>
    <x v="9"/>
  </r>
  <r>
    <n v="620000"/>
    <n v="0.22149137750450501"/>
    <x v="9"/>
  </r>
  <r>
    <n v="621000"/>
    <n v="3.7775808001717301E-2"/>
    <x v="9"/>
  </r>
  <r>
    <n v="625000"/>
    <n v="0.21644670544615199"/>
    <x v="9"/>
  </r>
  <r>
    <n v="626000"/>
    <n v="0.16354021623852699"/>
    <x v="9"/>
  </r>
  <r>
    <n v="630000"/>
    <n v="0.61134875365073604"/>
    <x v="9"/>
  </r>
  <r>
    <n v="632000"/>
    <n v="0.29492502962724998"/>
    <x v="9"/>
  </r>
  <r>
    <n v="638000"/>
    <n v="0.451134508492393"/>
    <x v="9"/>
  </r>
  <r>
    <n v="640000"/>
    <n v="0.663895148780977"/>
    <x v="9"/>
  </r>
  <r>
    <n v="641000"/>
    <n v="0"/>
    <x v="9"/>
  </r>
  <r>
    <n v="644000"/>
    <n v="0.27590912488823999"/>
    <x v="9"/>
  </r>
  <r>
    <n v="645000"/>
    <n v="0.30725612444325201"/>
    <x v="9"/>
  </r>
  <r>
    <n v="650000"/>
    <n v="5.3294587395207198E-2"/>
    <x v="9"/>
  </r>
  <r>
    <n v="651000"/>
    <n v="0.23812222628873"/>
    <x v="9"/>
  </r>
  <r>
    <n v="653000"/>
    <n v="3.0057492848202801E-2"/>
    <x v="9"/>
  </r>
  <r>
    <n v="654000"/>
    <n v="0.36214258451367998"/>
    <x v="9"/>
  </r>
  <r>
    <n v="656000"/>
    <n v="0.215287774828017"/>
    <x v="9"/>
  </r>
  <r>
    <n v="661000"/>
    <n v="0"/>
    <x v="9"/>
  </r>
  <r>
    <n v="678000"/>
    <n v="0.46157814711378797"/>
    <x v="9"/>
  </r>
  <r>
    <n v="689000"/>
    <n v="0.27032791409144002"/>
    <x v="9"/>
  </r>
  <r>
    <n v="692000"/>
    <n v="0.10015775698119"/>
    <x v="9"/>
  </r>
  <r>
    <n v="700000"/>
    <n v="0.24730359152919801"/>
    <x v="9"/>
  </r>
  <r>
    <n v="716000"/>
    <n v="0.248321218208608"/>
    <x v="9"/>
  </r>
  <r>
    <n v="724000"/>
    <n v="0.179018819165286"/>
    <x v="9"/>
  </r>
  <r>
    <n v="728000"/>
    <n v="0.53090365127564898"/>
    <x v="9"/>
  </r>
  <r>
    <n v="730000"/>
    <n v="9.96092499708085E-2"/>
    <x v="9"/>
  </r>
  <r>
    <n v="763000"/>
    <n v="0.249181215169335"/>
    <x v="9"/>
  </r>
  <r>
    <n v="800000"/>
    <n v="0.63116508829686802"/>
    <x v="9"/>
  </r>
  <r>
    <n v="802000"/>
    <n v="0.51196624010029501"/>
    <x v="9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4">
  <r>
    <n v="2"/>
    <n v="5.1973357476962998E-3"/>
    <x v="0"/>
  </r>
  <r>
    <n v="3"/>
    <n v="5.1708017900724901E-3"/>
    <x v="0"/>
  </r>
  <r>
    <n v="4"/>
    <n v="7.40198635522849E-3"/>
    <x v="0"/>
  </r>
  <r>
    <n v="5"/>
    <n v="1.1244163780524501E-2"/>
    <x v="0"/>
  </r>
  <r>
    <n v="6"/>
    <n v="1.5938502677277099E-2"/>
    <x v="0"/>
  </r>
  <r>
    <n v="7"/>
    <n v="2.2941736150620801E-2"/>
    <x v="0"/>
  </r>
  <r>
    <n v="8"/>
    <n v="3.1308020339815099E-2"/>
    <x v="0"/>
  </r>
  <r>
    <n v="9"/>
    <n v="4.2902520200832801E-2"/>
    <x v="0"/>
  </r>
  <r>
    <n v="10"/>
    <n v="5.3401281200314697E-2"/>
    <x v="1"/>
  </r>
  <r>
    <n v="11"/>
    <n v="6.4473653158078903E-2"/>
    <x v="1"/>
  </r>
  <r>
    <n v="12"/>
    <n v="7.2068681850021299E-2"/>
    <x v="1"/>
  </r>
  <r>
    <n v="13"/>
    <n v="8.0076022678029504E-2"/>
    <x v="1"/>
  </r>
  <r>
    <n v="14"/>
    <n v="8.8865586223342397E-2"/>
    <x v="1"/>
  </r>
  <r>
    <n v="15"/>
    <n v="9.6055013561542196E-2"/>
    <x v="1"/>
  </r>
  <r>
    <n v="16"/>
    <n v="0.10281780571754"/>
    <x v="1"/>
  </r>
  <r>
    <n v="17"/>
    <n v="0.110310996005933"/>
    <x v="1"/>
  </r>
  <r>
    <n v="18"/>
    <n v="0.117591917572362"/>
    <x v="1"/>
  </r>
  <r>
    <n v="19"/>
    <n v="0.124369172909152"/>
    <x v="1"/>
  </r>
  <r>
    <n v="20"/>
    <n v="0.13065151887054899"/>
    <x v="2"/>
  </r>
  <r>
    <n v="21"/>
    <n v="0.13543671271817101"/>
    <x v="2"/>
  </r>
  <r>
    <n v="22"/>
    <n v="0.14035312546317999"/>
    <x v="2"/>
  </r>
  <r>
    <n v="23"/>
    <n v="0.14398911370251299"/>
    <x v="2"/>
  </r>
  <r>
    <n v="24"/>
    <n v="0.15086772208896601"/>
    <x v="2"/>
  </r>
  <r>
    <n v="25"/>
    <n v="0.152995364238076"/>
    <x v="2"/>
  </r>
  <r>
    <n v="26"/>
    <n v="0.157489435938024"/>
    <x v="2"/>
  </r>
  <r>
    <n v="27"/>
    <n v="0.16262668129976199"/>
    <x v="2"/>
  </r>
  <r>
    <n v="28"/>
    <n v="0.165742569080228"/>
    <x v="2"/>
  </r>
  <r>
    <n v="29"/>
    <n v="0.17009817634161301"/>
    <x v="2"/>
  </r>
  <r>
    <n v="30"/>
    <n v="0.17270513663362499"/>
    <x v="3"/>
  </r>
  <r>
    <n v="31"/>
    <n v="0.176555410030829"/>
    <x v="3"/>
  </r>
  <r>
    <n v="32"/>
    <n v="0.181775784292948"/>
    <x v="3"/>
  </r>
  <r>
    <n v="33"/>
    <n v="0.18277417198401399"/>
    <x v="3"/>
  </r>
  <r>
    <n v="34"/>
    <n v="0.18723627203752499"/>
    <x v="3"/>
  </r>
  <r>
    <n v="35"/>
    <n v="0.18900928309669901"/>
    <x v="3"/>
  </r>
  <r>
    <n v="36"/>
    <n v="0.192086659158413"/>
    <x v="3"/>
  </r>
  <r>
    <n v="37"/>
    <n v="0.19633805207361099"/>
    <x v="3"/>
  </r>
  <r>
    <n v="38"/>
    <n v="0.19583003692214701"/>
    <x v="3"/>
  </r>
  <r>
    <n v="39"/>
    <n v="0.20303461385139601"/>
    <x v="3"/>
  </r>
  <r>
    <n v="40"/>
    <n v="0.210184794827139"/>
    <x v="4"/>
  </r>
  <r>
    <n v="41"/>
    <n v="0.21214317090832299"/>
    <x v="4"/>
  </r>
  <r>
    <n v="42"/>
    <n v="0.21761529787870201"/>
    <x v="4"/>
  </r>
  <r>
    <n v="43"/>
    <n v="0.21617500548499799"/>
    <x v="4"/>
  </r>
  <r>
    <n v="44"/>
    <n v="0.22412032832395201"/>
    <x v="4"/>
  </r>
  <r>
    <n v="45"/>
    <n v="0.22735011313134401"/>
    <x v="4"/>
  </r>
  <r>
    <n v="46"/>
    <n v="0.22852696654746199"/>
    <x v="4"/>
  </r>
  <r>
    <n v="47"/>
    <n v="0.23020412696114501"/>
    <x v="4"/>
  </r>
  <r>
    <n v="48"/>
    <n v="0.230339273224208"/>
    <x v="4"/>
  </r>
  <r>
    <n v="49"/>
    <n v="0.23805461387424801"/>
    <x v="4"/>
  </r>
  <r>
    <n v="50"/>
    <n v="0.23654447351094299"/>
    <x v="5"/>
  </r>
  <r>
    <n v="51"/>
    <n v="0.238063345191451"/>
    <x v="5"/>
  </r>
  <r>
    <n v="52"/>
    <n v="0.245455860989994"/>
    <x v="5"/>
  </r>
  <r>
    <n v="53"/>
    <n v="0.24637791233156101"/>
    <x v="5"/>
  </r>
  <r>
    <n v="54"/>
    <n v="0.243450800448445"/>
    <x v="5"/>
  </r>
  <r>
    <n v="55"/>
    <n v="0.248824943768647"/>
    <x v="5"/>
  </r>
  <r>
    <n v="56"/>
    <n v="0.24716966930175199"/>
    <x v="5"/>
  </r>
  <r>
    <n v="57"/>
    <n v="0.256050199006223"/>
    <x v="5"/>
  </r>
  <r>
    <n v="58"/>
    <n v="0.26275587228124397"/>
    <x v="5"/>
  </r>
  <r>
    <n v="59"/>
    <n v="0.25588504628865799"/>
    <x v="5"/>
  </r>
  <r>
    <n v="60"/>
    <n v="0.272412124568505"/>
    <x v="6"/>
  </r>
  <r>
    <n v="61"/>
    <n v="0.26200366495516902"/>
    <x v="6"/>
  </r>
  <r>
    <n v="62"/>
    <n v="0.27247165502186099"/>
    <x v="6"/>
  </r>
  <r>
    <n v="63"/>
    <n v="0.246229832258099"/>
    <x v="6"/>
  </r>
  <r>
    <n v="64"/>
    <n v="0.24822575573161501"/>
    <x v="6"/>
  </r>
  <r>
    <n v="65"/>
    <n v="0.28749270521074799"/>
    <x v="6"/>
  </r>
  <r>
    <n v="66"/>
    <n v="0.27736668487796101"/>
    <x v="6"/>
  </r>
  <r>
    <n v="67"/>
    <n v="0.24817447711055199"/>
    <x v="6"/>
  </r>
  <r>
    <n v="68"/>
    <n v="0.25310442858832399"/>
    <x v="6"/>
  </r>
  <r>
    <n v="69"/>
    <n v="0.253218692638016"/>
    <x v="6"/>
  </r>
  <r>
    <n v="70"/>
    <n v="0.28329870374602401"/>
    <x v="7"/>
  </r>
  <r>
    <n v="71"/>
    <n v="0.277991316505449"/>
    <x v="7"/>
  </r>
  <r>
    <n v="72"/>
    <n v="0.25767348188122402"/>
    <x v="7"/>
  </r>
  <r>
    <n v="73"/>
    <n v="0.29789054505372098"/>
    <x v="7"/>
  </r>
  <r>
    <n v="74"/>
    <n v="0.29221730193191198"/>
    <x v="7"/>
  </r>
  <r>
    <n v="75"/>
    <n v="0.45003840365021802"/>
    <x v="7"/>
  </r>
  <r>
    <n v="76"/>
    <n v="0.26716294860886503"/>
    <x v="7"/>
  </r>
  <r>
    <n v="77"/>
    <n v="0.26897430670301797"/>
    <x v="7"/>
  </r>
  <r>
    <n v="78"/>
    <n v="0.32375671016983498"/>
    <x v="7"/>
  </r>
  <r>
    <n v="79"/>
    <n v="0.48370032320023498"/>
    <x v="7"/>
  </r>
  <r>
    <n v="80"/>
    <n v="0.283439777172111"/>
    <x v="8"/>
  </r>
  <r>
    <n v="81"/>
    <n v="0.44039480974477802"/>
    <x v="8"/>
  </r>
  <r>
    <n v="82"/>
    <n v="0.31027949870746602"/>
    <x v="8"/>
  </r>
  <r>
    <n v="83"/>
    <n v="0.35656078327350199"/>
    <x v="8"/>
  </r>
  <r>
    <n v="84"/>
    <n v="0.50035636850026199"/>
    <x v="8"/>
  </r>
  <r>
    <n v="85"/>
    <n v="0.52579147451465602"/>
    <x v="8"/>
  </r>
  <r>
    <n v="86"/>
    <n v="0.39685880932619899"/>
    <x v="8"/>
  </r>
  <r>
    <n v="87"/>
    <n v="0.457781329017726"/>
    <x v="8"/>
  </r>
  <r>
    <n v="88"/>
    <n v="0.48425292104661299"/>
    <x v="8"/>
  </r>
  <r>
    <n v="89"/>
    <n v="0.22025955143212"/>
    <x v="8"/>
  </r>
  <r>
    <n v="90"/>
    <n v="0.36489609544290802"/>
    <x v="9"/>
  </r>
  <r>
    <n v="91"/>
    <n v="0.53362905381624304"/>
    <x v="9"/>
  </r>
  <r>
    <n v="92"/>
    <n v="0.410725658156675"/>
    <x v="9"/>
  </r>
  <r>
    <n v="93"/>
    <n v="0.58972150212589602"/>
    <x v="9"/>
  </r>
  <r>
    <n v="94"/>
    <n v="0.43568086520098898"/>
    <x v="9"/>
  </r>
  <r>
    <n v="95"/>
    <n v="0.18570960529195699"/>
    <x v="9"/>
  </r>
  <r>
    <n v="96"/>
    <n v="0.34827332021771401"/>
    <x v="9"/>
  </r>
  <r>
    <n v="98"/>
    <n v="0.41128705233325802"/>
    <x v="9"/>
  </r>
  <r>
    <n v="99"/>
    <n v="0.68308654636636801"/>
    <x v="9"/>
  </r>
  <r>
    <n v="101"/>
    <n v="0.30079190371081599"/>
    <x v="9"/>
  </r>
  <r>
    <n v="103"/>
    <n v="0.68768661008771903"/>
    <x v="9"/>
  </r>
  <r>
    <n v="105"/>
    <n v="0.49919394032104297"/>
    <x v="9"/>
  </r>
  <r>
    <n v="106"/>
    <n v="0.309903051289312"/>
    <x v="9"/>
  </r>
  <r>
    <n v="107"/>
    <n v="0.35025550230903002"/>
    <x v="9"/>
  </r>
  <r>
    <n v="109"/>
    <n v="0.33241555648725402"/>
    <x v="9"/>
  </r>
  <r>
    <n v="131"/>
    <n v="0.1050236035241509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3" cacheId="30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R1:S21" firstHeaderRow="1" firstDataRow="1" firstDataCol="1"/>
  <pivotFields count="3">
    <pivotField showAll="0"/>
    <pivotField dataField="1"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Severity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30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J1:K12" firstHeaderRow="1" firstDataRow="1" firstDataCol="1"/>
  <pivotFields count="3">
    <pivotField showAll="0"/>
    <pivotField dataField="1" showAll="0"/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m="1" x="15"/>
        <item m="1" x="11"/>
        <item m="1" x="14"/>
        <item m="1" x="10"/>
        <item m="1" x="13"/>
        <item m="1" x="16"/>
        <item m="1" x="12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everity" fld="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30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:B7" firstHeaderRow="1" firstDataRow="1" firstDataCol="1"/>
  <pivotFields count="3">
    <pivotField showAll="0"/>
    <pivotField dataField="1" showAll="0"/>
    <pivotField axis="axisRow" showAll="0">
      <items count="13">
        <item x="0"/>
        <item x="1"/>
        <item x="2"/>
        <item x="3"/>
        <item x="4"/>
        <item m="1" x="8"/>
        <item m="1" x="6"/>
        <item m="1" x="10"/>
        <item m="1" x="7"/>
        <item m="1" x="5"/>
        <item m="1" x="9"/>
        <item m="1" x="11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everity" fld="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30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1:B12" firstHeaderRow="1" firstDataRow="1" firstDataCol="1"/>
  <pivotFields count="3">
    <pivotField showAll="0"/>
    <pivotField dataField="1" numFmtId="9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m="1" x="10"/>
        <item m="1" x="11"/>
        <item t="default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everity" fld="1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empResult_2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Result_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Result_3" connectionId="1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TempResult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TempResult_1" connectionId="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Views>
    <sheetView workbookViewId="0">
      <selection activeCell="A2" sqref="A2:B6"/>
      <pivotSelection pane="bottomRight" showHeader="1" extendable="1" axis="axisRow" max="6" activeRow="1" previousRow="5" click="1" r:id="rId3">
        <pivotArea dataOnly="0" axis="axisRow" fieldPosition="0">
          <references count="1">
            <reference field="2" count="5">
              <x v="0"/>
              <x v="1"/>
              <x v="2"/>
              <x v="3"/>
              <x v="4"/>
            </reference>
          </references>
        </pivotArea>
      </pivotSelection>
    </sheetView>
  </sheetViews>
  <sheetFormatPr defaultRowHeight="15" x14ac:dyDescent="0.25"/>
  <cols>
    <col min="1" max="1" width="13.140625" bestFit="1" customWidth="1"/>
    <col min="2" max="2" width="18.5703125" bestFit="1" customWidth="1"/>
    <col min="10" max="10" width="13.140625" bestFit="1" customWidth="1"/>
    <col min="11" max="11" width="18.5703125" bestFit="1" customWidth="1"/>
    <col min="18" max="18" width="13.140625" bestFit="1" customWidth="1"/>
    <col min="19" max="19" width="18.5703125" bestFit="1" customWidth="1"/>
  </cols>
  <sheetData>
    <row r="1" spans="1:19" x14ac:dyDescent="0.25">
      <c r="A1" s="4" t="s">
        <v>22</v>
      </c>
      <c r="B1" t="s">
        <v>24</v>
      </c>
      <c r="J1" s="4" t="s">
        <v>22</v>
      </c>
      <c r="K1" t="s">
        <v>24</v>
      </c>
      <c r="R1" s="4" t="s">
        <v>22</v>
      </c>
      <c r="S1" t="s">
        <v>24</v>
      </c>
    </row>
    <row r="2" spans="1:19" x14ac:dyDescent="0.25">
      <c r="A2" s="5">
        <v>10</v>
      </c>
      <c r="B2" s="6">
        <v>0.33033509376866993</v>
      </c>
      <c r="J2" s="5">
        <v>50000</v>
      </c>
      <c r="K2" s="6">
        <v>0.62645163875819909</v>
      </c>
      <c r="R2" s="5">
        <v>10</v>
      </c>
      <c r="S2" s="6">
        <v>0.1939950333801124</v>
      </c>
    </row>
    <row r="3" spans="1:19" x14ac:dyDescent="0.25">
      <c r="A3" s="5">
        <v>20</v>
      </c>
      <c r="B3" s="6">
        <v>0.39488372082855788</v>
      </c>
      <c r="J3" s="5">
        <v>100000</v>
      </c>
      <c r="K3" s="6">
        <v>0.47639755011061213</v>
      </c>
      <c r="R3" s="5">
        <v>20</v>
      </c>
      <c r="S3" s="6">
        <v>0.38748537996385068</v>
      </c>
    </row>
    <row r="4" spans="1:19" x14ac:dyDescent="0.25">
      <c r="A4" s="5">
        <v>30</v>
      </c>
      <c r="B4" s="6">
        <v>0.4224472174215011</v>
      </c>
      <c r="J4" s="5">
        <v>150000</v>
      </c>
      <c r="K4" s="6">
        <v>0.38030581167260097</v>
      </c>
      <c r="R4" s="5">
        <v>30</v>
      </c>
      <c r="S4" s="6">
        <v>0.39651779364018291</v>
      </c>
    </row>
    <row r="5" spans="1:19" x14ac:dyDescent="0.25">
      <c r="A5" s="5">
        <v>40</v>
      </c>
      <c r="B5" s="6">
        <v>0.42793774172305721</v>
      </c>
      <c r="J5" s="5">
        <v>200000</v>
      </c>
      <c r="K5" s="6">
        <v>0.36079018773040439</v>
      </c>
      <c r="R5" s="5">
        <v>40</v>
      </c>
      <c r="S5" s="6">
        <v>0.39365826511758617</v>
      </c>
    </row>
    <row r="6" spans="1:19" x14ac:dyDescent="0.25">
      <c r="A6" s="5">
        <v>50</v>
      </c>
      <c r="B6" s="6">
        <v>0.47893173338694478</v>
      </c>
      <c r="J6" s="5">
        <v>250000</v>
      </c>
      <c r="K6" s="6">
        <v>0.36182014916171495</v>
      </c>
      <c r="R6" s="5">
        <v>50</v>
      </c>
      <c r="S6" s="6">
        <v>0.3990909185290758</v>
      </c>
    </row>
    <row r="7" spans="1:19" x14ac:dyDescent="0.25">
      <c r="A7" s="5" t="s">
        <v>23</v>
      </c>
      <c r="B7" s="6">
        <v>0.44908521109056615</v>
      </c>
      <c r="J7" s="5">
        <v>300000</v>
      </c>
      <c r="K7" s="6">
        <v>0.35439443321479713</v>
      </c>
      <c r="R7" s="5">
        <v>60</v>
      </c>
      <c r="S7" s="6">
        <v>0.4115011782347911</v>
      </c>
    </row>
    <row r="8" spans="1:19" x14ac:dyDescent="0.25">
      <c r="J8" s="5">
        <v>350000</v>
      </c>
      <c r="K8" s="6">
        <v>0.34946507592467446</v>
      </c>
      <c r="R8" s="5">
        <v>70</v>
      </c>
      <c r="S8" s="6">
        <v>0.41301730771392708</v>
      </c>
    </row>
    <row r="9" spans="1:19" x14ac:dyDescent="0.25">
      <c r="J9" s="5">
        <v>400000</v>
      </c>
      <c r="K9" s="6">
        <v>0.35334663317998793</v>
      </c>
      <c r="R9" s="5">
        <v>80</v>
      </c>
      <c r="S9" s="6">
        <v>0.40690379999189091</v>
      </c>
    </row>
    <row r="10" spans="1:19" x14ac:dyDescent="0.25">
      <c r="J10" s="5">
        <v>450000</v>
      </c>
      <c r="K10" s="6">
        <v>0.37219581377376282</v>
      </c>
      <c r="R10" s="5">
        <v>90</v>
      </c>
      <c r="S10" s="6">
        <v>0.38963112730292071</v>
      </c>
    </row>
    <row r="11" spans="1:19" x14ac:dyDescent="0.25">
      <c r="J11" s="5">
        <v>500000</v>
      </c>
      <c r="K11" s="6">
        <v>0.34303722799822534</v>
      </c>
      <c r="R11" s="5">
        <v>100</v>
      </c>
      <c r="S11" s="6">
        <v>0.37465812593107961</v>
      </c>
    </row>
    <row r="12" spans="1:19" x14ac:dyDescent="0.25">
      <c r="J12" s="5" t="s">
        <v>23</v>
      </c>
      <c r="K12" s="6">
        <v>0.38569025760501691</v>
      </c>
      <c r="R12" s="5">
        <v>110</v>
      </c>
      <c r="S12" s="6">
        <v>0.3659044401515722</v>
      </c>
    </row>
    <row r="13" spans="1:19" x14ac:dyDescent="0.25">
      <c r="R13" s="5">
        <v>120</v>
      </c>
      <c r="S13" s="6">
        <v>0.36495687472419791</v>
      </c>
    </row>
    <row r="14" spans="1:19" x14ac:dyDescent="0.25">
      <c r="R14" s="5">
        <v>130</v>
      </c>
      <c r="S14" s="6">
        <v>0.36633562052423485</v>
      </c>
    </row>
    <row r="15" spans="1:19" x14ac:dyDescent="0.25">
      <c r="R15" s="5">
        <v>140</v>
      </c>
      <c r="S15" s="6">
        <v>0.39199612054400834</v>
      </c>
    </row>
    <row r="16" spans="1:19" x14ac:dyDescent="0.25">
      <c r="R16" s="5">
        <v>150</v>
      </c>
      <c r="S16" s="6">
        <v>0.40635742944826203</v>
      </c>
    </row>
    <row r="17" spans="18:19" x14ac:dyDescent="0.25">
      <c r="R17" s="5">
        <v>160</v>
      </c>
      <c r="S17" s="6">
        <v>0.41297689111889319</v>
      </c>
    </row>
    <row r="18" spans="18:19" x14ac:dyDescent="0.25">
      <c r="R18" s="5">
        <v>170</v>
      </c>
      <c r="S18" s="6">
        <v>0.36817498285671213</v>
      </c>
    </row>
    <row r="19" spans="18:19" x14ac:dyDescent="0.25">
      <c r="R19" s="5">
        <v>180</v>
      </c>
      <c r="S19" s="6">
        <v>0.34052054950687938</v>
      </c>
    </row>
    <row r="20" spans="18:19" x14ac:dyDescent="0.25">
      <c r="R20" s="5">
        <v>190</v>
      </c>
      <c r="S20" s="6">
        <v>0.35921601967824301</v>
      </c>
    </row>
    <row r="21" spans="18:19" x14ac:dyDescent="0.25">
      <c r="R21" s="5" t="s">
        <v>23</v>
      </c>
      <c r="S21" s="6">
        <v>0.37918122513265862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8"/>
  <sheetViews>
    <sheetView tabSelected="1" topLeftCell="A37" workbookViewId="0">
      <selection activeCell="Q86" sqref="Q86:R88"/>
    </sheetView>
  </sheetViews>
  <sheetFormatPr defaultRowHeight="15" x14ac:dyDescent="0.25"/>
  <cols>
    <col min="2" max="2" width="9.28515625" customWidth="1"/>
    <col min="3" max="3" width="12" style="8" bestFit="1" customWidth="1"/>
    <col min="7" max="7" width="9.28515625" bestFit="1" customWidth="1"/>
    <col min="8" max="8" width="12" style="8" bestFit="1" customWidth="1"/>
    <col min="12" max="12" width="9.28515625" bestFit="1" customWidth="1"/>
    <col min="13" max="13" width="12" style="8" bestFit="1" customWidth="1"/>
    <col min="17" max="17" width="9.140625" style="6"/>
    <col min="18" max="18" width="9.140625" style="8"/>
  </cols>
  <sheetData>
    <row r="1" spans="1:20" x14ac:dyDescent="0.25">
      <c r="A1" s="1" t="s">
        <v>0</v>
      </c>
      <c r="J1" t="s">
        <v>27</v>
      </c>
    </row>
    <row r="2" spans="1:20" x14ac:dyDescent="0.25">
      <c r="B2" t="s">
        <v>1</v>
      </c>
      <c r="C2" s="8" t="s">
        <v>2</v>
      </c>
      <c r="D2" t="s">
        <v>3</v>
      </c>
      <c r="J2">
        <v>0.7</v>
      </c>
      <c r="K2">
        <v>0.8</v>
      </c>
      <c r="L2" s="8">
        <v>0.9</v>
      </c>
      <c r="M2">
        <v>1</v>
      </c>
      <c r="N2">
        <v>1.1000000000000001</v>
      </c>
      <c r="O2">
        <v>1.2</v>
      </c>
      <c r="P2">
        <v>1.3</v>
      </c>
      <c r="Q2" s="6">
        <v>1.4</v>
      </c>
      <c r="R2" s="8">
        <v>1.5</v>
      </c>
      <c r="S2">
        <v>1.6</v>
      </c>
      <c r="T2">
        <v>1.7</v>
      </c>
    </row>
    <row r="3" spans="1:20" x14ac:dyDescent="0.25">
      <c r="B3" s="7">
        <v>0.43543900000000002</v>
      </c>
      <c r="C3" s="8">
        <v>0.56917139999999999</v>
      </c>
      <c r="D3" s="8">
        <v>0.37996809999999998</v>
      </c>
      <c r="J3" s="1">
        <v>0.42987737999999998</v>
      </c>
      <c r="K3">
        <v>0.45997518999999998</v>
      </c>
      <c r="L3">
        <v>0.44338594999999997</v>
      </c>
      <c r="M3" s="8">
        <v>0.38364736999999999</v>
      </c>
      <c r="N3">
        <v>0.29163193999999998</v>
      </c>
      <c r="O3">
        <v>0.23178127000000001</v>
      </c>
      <c r="P3">
        <v>0.17671956999999999</v>
      </c>
      <c r="Q3" s="6">
        <v>0.12265392999999999</v>
      </c>
      <c r="R3" s="8">
        <v>6.3497979999999996E-2</v>
      </c>
      <c r="S3">
        <v>6.5574270000000004E-2</v>
      </c>
      <c r="T3">
        <v>3.591693E-2</v>
      </c>
    </row>
    <row r="5" spans="1:20" x14ac:dyDescent="0.25">
      <c r="A5" s="1" t="s">
        <v>4</v>
      </c>
      <c r="J5">
        <v>0.7</v>
      </c>
      <c r="K5">
        <v>0.8</v>
      </c>
      <c r="L5" s="8">
        <v>0.9</v>
      </c>
      <c r="M5">
        <v>1</v>
      </c>
      <c r="N5">
        <v>1.1000000000000001</v>
      </c>
      <c r="O5">
        <v>1.2</v>
      </c>
      <c r="P5" s="6">
        <v>1.3</v>
      </c>
      <c r="Q5" s="8">
        <v>1.4</v>
      </c>
    </row>
    <row r="6" spans="1:20" x14ac:dyDescent="0.25">
      <c r="A6" s="1"/>
      <c r="B6" s="1" t="s">
        <v>25</v>
      </c>
      <c r="C6" s="7" t="s">
        <v>4</v>
      </c>
      <c r="J6" s="1">
        <v>0.34781640000000003</v>
      </c>
      <c r="K6">
        <v>0.37542880000000001</v>
      </c>
      <c r="L6">
        <v>0.45258389999999998</v>
      </c>
      <c r="M6" s="8">
        <v>0.41614679999999998</v>
      </c>
      <c r="N6">
        <v>0.35243649999999999</v>
      </c>
      <c r="O6">
        <v>0.2868291</v>
      </c>
      <c r="P6">
        <v>0.24407499999999999</v>
      </c>
      <c r="Q6" s="6">
        <v>0.1760526</v>
      </c>
    </row>
    <row r="7" spans="1:20" x14ac:dyDescent="0.25">
      <c r="B7" s="7">
        <v>0.38148379999999998</v>
      </c>
      <c r="C7" s="8">
        <v>0.42011419999999999</v>
      </c>
    </row>
    <row r="8" spans="1:20" x14ac:dyDescent="0.25">
      <c r="A8" s="2"/>
    </row>
    <row r="9" spans="1:20" x14ac:dyDescent="0.25">
      <c r="A9" s="1" t="s">
        <v>5</v>
      </c>
    </row>
    <row r="10" spans="1:20" x14ac:dyDescent="0.25">
      <c r="A10" s="1"/>
      <c r="B10" t="s">
        <v>8</v>
      </c>
      <c r="C10" s="8" t="s">
        <v>9</v>
      </c>
      <c r="D10" t="s">
        <v>10</v>
      </c>
    </row>
    <row r="11" spans="1:20" x14ac:dyDescent="0.25">
      <c r="A11" s="1"/>
      <c r="B11" s="8">
        <v>0.38019310000000001</v>
      </c>
      <c r="C11" s="8">
        <v>0.4226299</v>
      </c>
      <c r="D11" s="8">
        <v>0.38943440000000001</v>
      </c>
    </row>
    <row r="12" spans="1:20" x14ac:dyDescent="0.25">
      <c r="A12" s="2"/>
    </row>
    <row r="13" spans="1:20" x14ac:dyDescent="0.25">
      <c r="A13" s="1" t="s">
        <v>0</v>
      </c>
    </row>
    <row r="14" spans="1:20" x14ac:dyDescent="0.25">
      <c r="A14" s="1"/>
      <c r="B14" t="s">
        <v>1</v>
      </c>
      <c r="C14" s="8" t="s">
        <v>2</v>
      </c>
      <c r="D14" t="s">
        <v>3</v>
      </c>
    </row>
    <row r="15" spans="1:20" x14ac:dyDescent="0.25">
      <c r="B15" s="7">
        <v>0.43543900000000002</v>
      </c>
      <c r="C15" s="8">
        <v>0.56917139999999999</v>
      </c>
      <c r="D15" s="8">
        <v>0.37996809999999998</v>
      </c>
    </row>
    <row r="16" spans="1:20" x14ac:dyDescent="0.25">
      <c r="A16" s="2"/>
    </row>
    <row r="17" spans="1:14" x14ac:dyDescent="0.25">
      <c r="A17" s="1" t="s">
        <v>6</v>
      </c>
    </row>
    <row r="18" spans="1:14" x14ac:dyDescent="0.25">
      <c r="A18" s="1"/>
      <c r="B18" t="s">
        <v>11</v>
      </c>
      <c r="C18" s="8" t="s">
        <v>12</v>
      </c>
      <c r="D18" t="s">
        <v>13</v>
      </c>
      <c r="E18" t="s">
        <v>14</v>
      </c>
      <c r="F18" t="s">
        <v>15</v>
      </c>
      <c r="G18" t="s">
        <v>16</v>
      </c>
      <c r="H18" s="8" t="s">
        <v>17</v>
      </c>
    </row>
    <row r="19" spans="1:14" x14ac:dyDescent="0.25">
      <c r="A19" s="1"/>
      <c r="B19" s="8">
        <v>0.34256589999999998</v>
      </c>
      <c r="C19" s="8">
        <v>0.44156030000000002</v>
      </c>
      <c r="D19" s="8">
        <v>0.53198809999999996</v>
      </c>
      <c r="E19" s="8">
        <v>0.50805500000000003</v>
      </c>
      <c r="F19" s="8">
        <v>0.31700889999999998</v>
      </c>
      <c r="G19" s="8">
        <v>0.40297559999999999</v>
      </c>
      <c r="H19" s="8">
        <v>0.45914189999999999</v>
      </c>
    </row>
    <row r="20" spans="1:14" x14ac:dyDescent="0.25">
      <c r="A20" s="2"/>
    </row>
    <row r="21" spans="1:14" x14ac:dyDescent="0.25">
      <c r="A21" s="2"/>
    </row>
    <row r="22" spans="1:14" x14ac:dyDescent="0.25">
      <c r="A22" s="1" t="s">
        <v>7</v>
      </c>
      <c r="E22">
        <f>INT(812/100)</f>
        <v>8</v>
      </c>
      <c r="G22" t="s">
        <v>19</v>
      </c>
      <c r="L22" t="s">
        <v>20</v>
      </c>
    </row>
    <row r="23" spans="1:14" x14ac:dyDescent="0.25">
      <c r="B23" s="1" t="s">
        <v>7</v>
      </c>
      <c r="C23" s="8" t="s">
        <v>18</v>
      </c>
      <c r="D23" t="s">
        <v>21</v>
      </c>
      <c r="G23" t="s">
        <v>19</v>
      </c>
      <c r="H23" s="8" t="s">
        <v>18</v>
      </c>
      <c r="I23" t="s">
        <v>21</v>
      </c>
      <c r="L23" t="s">
        <v>20</v>
      </c>
      <c r="M23" s="8" t="s">
        <v>18</v>
      </c>
      <c r="N23" t="s">
        <v>21</v>
      </c>
    </row>
    <row r="24" spans="1:14" x14ac:dyDescent="0.25">
      <c r="B24">
        <v>2</v>
      </c>
      <c r="C24" s="8">
        <v>0.33297217237976601</v>
      </c>
      <c r="D24">
        <f>INT(B24/10)*10+10</f>
        <v>10</v>
      </c>
      <c r="G24">
        <v>6000</v>
      </c>
      <c r="H24" s="8">
        <v>1</v>
      </c>
      <c r="I24">
        <f>INT(G24/50000)*50000+50000</f>
        <v>50000</v>
      </c>
      <c r="L24">
        <v>3</v>
      </c>
      <c r="M24" s="8">
        <v>0.18570351192519</v>
      </c>
      <c r="N24">
        <f>INT(L24/10)*10+10</f>
        <v>10</v>
      </c>
    </row>
    <row r="25" spans="1:14" x14ac:dyDescent="0.25">
      <c r="B25">
        <v>3</v>
      </c>
      <c r="C25" s="8">
        <v>0.336130145898837</v>
      </c>
      <c r="D25">
        <f t="shared" ref="D25:D71" si="0">INT(B25/10)*10+10</f>
        <v>10</v>
      </c>
      <c r="G25">
        <v>8000</v>
      </c>
      <c r="H25" s="8">
        <v>1</v>
      </c>
      <c r="I25">
        <f t="shared" ref="I25:I88" si="1">INT(G25/50000)*50000+50000</f>
        <v>50000</v>
      </c>
      <c r="L25">
        <v>4</v>
      </c>
      <c r="M25" s="8">
        <v>9.1640128459900799E-2</v>
      </c>
      <c r="N25">
        <f t="shared" ref="N25:N88" si="2">INT(L25/10)*10+10</f>
        <v>10</v>
      </c>
    </row>
    <row r="26" spans="1:14" x14ac:dyDescent="0.25">
      <c r="B26">
        <v>4</v>
      </c>
      <c r="C26" s="8">
        <v>0.33426964496959499</v>
      </c>
      <c r="D26">
        <f t="shared" si="0"/>
        <v>10</v>
      </c>
      <c r="G26">
        <v>9000</v>
      </c>
      <c r="H26" s="8">
        <v>0.49950058863082902</v>
      </c>
      <c r="I26">
        <f t="shared" si="1"/>
        <v>50000</v>
      </c>
      <c r="L26">
        <v>5</v>
      </c>
      <c r="M26" s="8">
        <v>0.143513943608918</v>
      </c>
      <c r="N26">
        <f t="shared" si="2"/>
        <v>10</v>
      </c>
    </row>
    <row r="27" spans="1:14" x14ac:dyDescent="0.25">
      <c r="B27">
        <v>5</v>
      </c>
      <c r="C27" s="8">
        <v>0.32126579818113998</v>
      </c>
      <c r="D27">
        <f t="shared" si="0"/>
        <v>10</v>
      </c>
      <c r="G27">
        <v>10000</v>
      </c>
      <c r="H27" s="8">
        <v>0.43682257638838001</v>
      </c>
      <c r="I27">
        <f t="shared" si="1"/>
        <v>50000</v>
      </c>
      <c r="L27">
        <v>6</v>
      </c>
      <c r="M27" s="8">
        <v>0.13306687640460399</v>
      </c>
      <c r="N27">
        <f t="shared" si="2"/>
        <v>10</v>
      </c>
    </row>
    <row r="28" spans="1:14" x14ac:dyDescent="0.25">
      <c r="B28">
        <v>6</v>
      </c>
      <c r="C28" s="8">
        <v>0.31131446750799502</v>
      </c>
      <c r="D28">
        <f t="shared" si="0"/>
        <v>10</v>
      </c>
      <c r="G28">
        <v>11000</v>
      </c>
      <c r="H28" s="8">
        <v>0.61368781339576095</v>
      </c>
      <c r="I28">
        <f t="shared" si="1"/>
        <v>50000</v>
      </c>
      <c r="L28">
        <v>7</v>
      </c>
      <c r="M28" s="8">
        <v>0.193223818968324</v>
      </c>
      <c r="N28">
        <f t="shared" si="2"/>
        <v>10</v>
      </c>
    </row>
    <row r="29" spans="1:14" x14ac:dyDescent="0.25">
      <c r="B29">
        <v>7</v>
      </c>
      <c r="C29" s="8">
        <v>0.33249355198235803</v>
      </c>
      <c r="D29">
        <f t="shared" si="0"/>
        <v>10</v>
      </c>
      <c r="G29">
        <v>12000</v>
      </c>
      <c r="H29" s="8">
        <v>0.72241784090337902</v>
      </c>
      <c r="I29">
        <f t="shared" si="1"/>
        <v>50000</v>
      </c>
      <c r="L29">
        <v>8</v>
      </c>
      <c r="M29" s="8">
        <v>0.28243268537324101</v>
      </c>
      <c r="N29">
        <f t="shared" si="2"/>
        <v>10</v>
      </c>
    </row>
    <row r="30" spans="1:14" x14ac:dyDescent="0.25">
      <c r="B30">
        <v>8</v>
      </c>
      <c r="C30" s="8">
        <v>0.33089839270899002</v>
      </c>
      <c r="D30">
        <f t="shared" si="0"/>
        <v>10</v>
      </c>
      <c r="G30">
        <v>13000</v>
      </c>
      <c r="H30" s="8">
        <v>0.58503039834665405</v>
      </c>
      <c r="I30">
        <f t="shared" si="1"/>
        <v>50000</v>
      </c>
      <c r="L30">
        <v>9</v>
      </c>
      <c r="M30" s="8">
        <v>0.32838426892060901</v>
      </c>
      <c r="N30">
        <f t="shared" si="2"/>
        <v>10</v>
      </c>
    </row>
    <row r="31" spans="1:14" x14ac:dyDescent="0.25">
      <c r="B31">
        <v>9</v>
      </c>
      <c r="C31" s="8">
        <v>0.34333657652067801</v>
      </c>
      <c r="D31">
        <f t="shared" si="0"/>
        <v>10</v>
      </c>
      <c r="G31">
        <v>14000</v>
      </c>
      <c r="H31" s="8">
        <v>0.66111589699248197</v>
      </c>
      <c r="I31">
        <f t="shared" si="1"/>
        <v>50000</v>
      </c>
      <c r="L31">
        <v>10</v>
      </c>
      <c r="M31" s="8">
        <v>0.31001617128301501</v>
      </c>
      <c r="N31">
        <f t="shared" si="2"/>
        <v>20</v>
      </c>
    </row>
    <row r="32" spans="1:14" x14ac:dyDescent="0.25">
      <c r="B32">
        <v>10</v>
      </c>
      <c r="C32" s="8">
        <v>0.36093694346612099</v>
      </c>
      <c r="D32">
        <f t="shared" si="0"/>
        <v>20</v>
      </c>
      <c r="G32">
        <v>15000</v>
      </c>
      <c r="H32" s="8">
        <v>0.56468515181747403</v>
      </c>
      <c r="I32">
        <f t="shared" si="1"/>
        <v>50000</v>
      </c>
      <c r="L32">
        <v>11</v>
      </c>
      <c r="M32" s="8">
        <v>0.31934201710975302</v>
      </c>
      <c r="N32">
        <f t="shared" si="2"/>
        <v>20</v>
      </c>
    </row>
    <row r="33" spans="2:14" x14ac:dyDescent="0.25">
      <c r="B33">
        <v>11</v>
      </c>
      <c r="C33" s="8">
        <v>0.37087943906333798</v>
      </c>
      <c r="D33">
        <f t="shared" si="0"/>
        <v>20</v>
      </c>
      <c r="G33">
        <v>16000</v>
      </c>
      <c r="H33" s="8">
        <v>0.63929131520941795</v>
      </c>
      <c r="I33">
        <f t="shared" si="1"/>
        <v>50000</v>
      </c>
      <c r="L33">
        <v>12</v>
      </c>
      <c r="M33" s="8">
        <v>0.375958620226857</v>
      </c>
      <c r="N33">
        <f t="shared" si="2"/>
        <v>20</v>
      </c>
    </row>
    <row r="34" spans="2:14" x14ac:dyDescent="0.25">
      <c r="B34">
        <v>12</v>
      </c>
      <c r="C34" s="8">
        <v>0.37786927930562098</v>
      </c>
      <c r="D34">
        <f t="shared" si="0"/>
        <v>20</v>
      </c>
      <c r="G34">
        <v>17000</v>
      </c>
      <c r="H34" s="8">
        <v>0.71411156337228299</v>
      </c>
      <c r="I34">
        <f t="shared" si="1"/>
        <v>50000</v>
      </c>
      <c r="L34">
        <v>13</v>
      </c>
      <c r="M34" s="8">
        <v>0.38874868294586101</v>
      </c>
      <c r="N34">
        <f t="shared" si="2"/>
        <v>20</v>
      </c>
    </row>
    <row r="35" spans="2:14" x14ac:dyDescent="0.25">
      <c r="B35">
        <v>13</v>
      </c>
      <c r="C35" s="8">
        <v>0.38968886887496701</v>
      </c>
      <c r="D35">
        <f t="shared" si="0"/>
        <v>20</v>
      </c>
      <c r="G35">
        <v>18000</v>
      </c>
      <c r="H35" s="8">
        <v>0.83160758070628904</v>
      </c>
      <c r="I35">
        <f t="shared" si="1"/>
        <v>50000</v>
      </c>
      <c r="L35">
        <v>14</v>
      </c>
      <c r="M35" s="8">
        <v>0.401547015447977</v>
      </c>
      <c r="N35">
        <f t="shared" si="2"/>
        <v>20</v>
      </c>
    </row>
    <row r="36" spans="2:14" x14ac:dyDescent="0.25">
      <c r="B36">
        <v>14</v>
      </c>
      <c r="C36" s="8">
        <v>0.40246925123975702</v>
      </c>
      <c r="D36">
        <f t="shared" si="0"/>
        <v>20</v>
      </c>
      <c r="G36">
        <v>19000</v>
      </c>
      <c r="H36" s="8">
        <v>0.73736839936783605</v>
      </c>
      <c r="I36">
        <f t="shared" si="1"/>
        <v>50000</v>
      </c>
      <c r="L36">
        <v>15</v>
      </c>
      <c r="M36" s="8">
        <v>0.42080193023708001</v>
      </c>
      <c r="N36">
        <f t="shared" si="2"/>
        <v>20</v>
      </c>
    </row>
    <row r="37" spans="2:14" x14ac:dyDescent="0.25">
      <c r="B37">
        <v>15</v>
      </c>
      <c r="C37" s="8">
        <v>0.40576576082719801</v>
      </c>
      <c r="D37">
        <f t="shared" si="0"/>
        <v>20</v>
      </c>
      <c r="G37">
        <v>20000</v>
      </c>
      <c r="H37" s="8">
        <v>0.60705365680985002</v>
      </c>
      <c r="I37">
        <f t="shared" si="1"/>
        <v>50000</v>
      </c>
      <c r="L37">
        <v>16</v>
      </c>
      <c r="M37" s="8">
        <v>0.41242780603471302</v>
      </c>
      <c r="N37">
        <f t="shared" si="2"/>
        <v>20</v>
      </c>
    </row>
    <row r="38" spans="2:14" x14ac:dyDescent="0.25">
      <c r="B38">
        <v>16</v>
      </c>
      <c r="C38" s="8">
        <v>0.40859335906510902</v>
      </c>
      <c r="D38">
        <f t="shared" si="0"/>
        <v>20</v>
      </c>
      <c r="G38">
        <v>21000</v>
      </c>
      <c r="H38" s="8">
        <v>0.63180543001462797</v>
      </c>
      <c r="I38">
        <f t="shared" si="1"/>
        <v>50000</v>
      </c>
      <c r="L38">
        <v>17</v>
      </c>
      <c r="M38" s="8">
        <v>0.42496497827205199</v>
      </c>
      <c r="N38">
        <f t="shared" si="2"/>
        <v>20</v>
      </c>
    </row>
    <row r="39" spans="2:14" x14ac:dyDescent="0.25">
      <c r="B39">
        <v>17</v>
      </c>
      <c r="C39" s="8">
        <v>0.40742106483864499</v>
      </c>
      <c r="D39">
        <f t="shared" si="0"/>
        <v>20</v>
      </c>
      <c r="G39">
        <v>22000</v>
      </c>
      <c r="H39" s="8">
        <v>0.68572533993765905</v>
      </c>
      <c r="I39">
        <f t="shared" si="1"/>
        <v>50000</v>
      </c>
      <c r="L39">
        <v>18</v>
      </c>
      <c r="M39" s="8">
        <v>0.41264678995507398</v>
      </c>
      <c r="N39">
        <f t="shared" si="2"/>
        <v>20</v>
      </c>
    </row>
    <row r="40" spans="2:14" x14ac:dyDescent="0.25">
      <c r="B40">
        <v>18</v>
      </c>
      <c r="C40" s="8">
        <v>0.414489648657483</v>
      </c>
      <c r="D40">
        <f t="shared" si="0"/>
        <v>20</v>
      </c>
      <c r="G40">
        <v>23000</v>
      </c>
      <c r="H40" s="8">
        <v>0.62483629543735597</v>
      </c>
      <c r="I40">
        <f t="shared" si="1"/>
        <v>50000</v>
      </c>
      <c r="L40">
        <v>19</v>
      </c>
      <c r="M40" s="8">
        <v>0.40839978812612499</v>
      </c>
      <c r="N40">
        <f t="shared" si="2"/>
        <v>20</v>
      </c>
    </row>
    <row r="41" spans="2:14" x14ac:dyDescent="0.25">
      <c r="B41">
        <v>19</v>
      </c>
      <c r="C41" s="8">
        <v>0.41072359294734001</v>
      </c>
      <c r="D41">
        <f t="shared" si="0"/>
        <v>20</v>
      </c>
      <c r="G41">
        <v>24000</v>
      </c>
      <c r="H41" s="8">
        <v>0.64384214626472602</v>
      </c>
      <c r="I41">
        <f t="shared" si="1"/>
        <v>50000</v>
      </c>
      <c r="L41">
        <v>20</v>
      </c>
      <c r="M41" s="8">
        <v>0.40154134960693</v>
      </c>
      <c r="N41">
        <f t="shared" si="2"/>
        <v>30</v>
      </c>
    </row>
    <row r="42" spans="2:14" x14ac:dyDescent="0.25">
      <c r="B42">
        <v>20</v>
      </c>
      <c r="C42" s="8">
        <v>0.413950145208903</v>
      </c>
      <c r="D42">
        <f t="shared" si="0"/>
        <v>30</v>
      </c>
      <c r="G42">
        <v>25000</v>
      </c>
      <c r="H42" s="8">
        <v>0.58352874754068895</v>
      </c>
      <c r="I42">
        <f t="shared" si="1"/>
        <v>50000</v>
      </c>
      <c r="L42">
        <v>21</v>
      </c>
      <c r="M42" s="8">
        <v>0.39733932776402597</v>
      </c>
      <c r="N42">
        <f t="shared" si="2"/>
        <v>30</v>
      </c>
    </row>
    <row r="43" spans="2:14" x14ac:dyDescent="0.25">
      <c r="B43">
        <v>21</v>
      </c>
      <c r="C43" s="8">
        <v>0.41630815494548701</v>
      </c>
      <c r="D43">
        <f t="shared" si="0"/>
        <v>30</v>
      </c>
      <c r="G43">
        <v>26000</v>
      </c>
      <c r="H43" s="8">
        <v>0.62778682982592804</v>
      </c>
      <c r="I43">
        <f t="shared" si="1"/>
        <v>50000</v>
      </c>
      <c r="L43">
        <v>22</v>
      </c>
      <c r="M43" s="8">
        <v>0.39736019449791699</v>
      </c>
      <c r="N43">
        <f t="shared" si="2"/>
        <v>30</v>
      </c>
    </row>
    <row r="44" spans="2:14" x14ac:dyDescent="0.25">
      <c r="B44">
        <v>22</v>
      </c>
      <c r="C44" s="8">
        <v>0.42535307177266202</v>
      </c>
      <c r="D44">
        <f t="shared" si="0"/>
        <v>30</v>
      </c>
      <c r="G44">
        <v>27000</v>
      </c>
      <c r="H44" s="8">
        <v>0.65463561557121197</v>
      </c>
      <c r="I44">
        <f t="shared" si="1"/>
        <v>50000</v>
      </c>
      <c r="L44">
        <v>23</v>
      </c>
      <c r="M44" s="8">
        <v>0.39704123032230298</v>
      </c>
      <c r="N44">
        <f t="shared" si="2"/>
        <v>30</v>
      </c>
    </row>
    <row r="45" spans="2:14" x14ac:dyDescent="0.25">
      <c r="B45">
        <v>23</v>
      </c>
      <c r="C45" s="8">
        <v>0.42116089290600101</v>
      </c>
      <c r="D45">
        <f t="shared" si="0"/>
        <v>30</v>
      </c>
      <c r="G45">
        <v>28000</v>
      </c>
      <c r="H45" s="8">
        <v>0.65166169039950295</v>
      </c>
      <c r="I45">
        <f t="shared" si="1"/>
        <v>50000</v>
      </c>
      <c r="L45">
        <v>24</v>
      </c>
      <c r="M45" s="8">
        <v>0.39710032138351298</v>
      </c>
      <c r="N45">
        <f t="shared" si="2"/>
        <v>30</v>
      </c>
    </row>
    <row r="46" spans="2:14" x14ac:dyDescent="0.25">
      <c r="B46">
        <v>24</v>
      </c>
      <c r="C46" s="8">
        <v>0.42506072482138901</v>
      </c>
      <c r="D46">
        <f t="shared" si="0"/>
        <v>30</v>
      </c>
      <c r="G46">
        <v>29000</v>
      </c>
      <c r="H46" s="8">
        <v>0.58842739001976996</v>
      </c>
      <c r="I46">
        <f t="shared" si="1"/>
        <v>50000</v>
      </c>
      <c r="L46">
        <v>25</v>
      </c>
      <c r="M46" s="8">
        <v>0.39267226726555599</v>
      </c>
      <c r="N46">
        <f t="shared" si="2"/>
        <v>30</v>
      </c>
    </row>
    <row r="47" spans="2:14" x14ac:dyDescent="0.25">
      <c r="B47">
        <v>25</v>
      </c>
      <c r="C47" s="8">
        <v>0.42084641232126502</v>
      </c>
      <c r="D47">
        <f t="shared" si="0"/>
        <v>30</v>
      </c>
      <c r="G47">
        <v>30000</v>
      </c>
      <c r="H47" s="8">
        <v>0.57967640283581801</v>
      </c>
      <c r="I47">
        <f t="shared" si="1"/>
        <v>50000</v>
      </c>
      <c r="L47">
        <v>26</v>
      </c>
      <c r="M47" s="8">
        <v>0.39803059373295202</v>
      </c>
      <c r="N47">
        <f t="shared" si="2"/>
        <v>30</v>
      </c>
    </row>
    <row r="48" spans="2:14" x14ac:dyDescent="0.25">
      <c r="B48">
        <v>26</v>
      </c>
      <c r="C48" s="8">
        <v>0.42553226163186503</v>
      </c>
      <c r="D48">
        <f t="shared" si="0"/>
        <v>30</v>
      </c>
      <c r="G48">
        <v>31000</v>
      </c>
      <c r="H48" s="8">
        <v>0.57853969209763501</v>
      </c>
      <c r="I48">
        <f t="shared" si="1"/>
        <v>50000</v>
      </c>
      <c r="L48">
        <v>27</v>
      </c>
      <c r="M48" s="8">
        <v>0.40125488460206998</v>
      </c>
      <c r="N48">
        <f t="shared" si="2"/>
        <v>30</v>
      </c>
    </row>
    <row r="49" spans="2:19" x14ac:dyDescent="0.25">
      <c r="B49">
        <v>27</v>
      </c>
      <c r="C49" s="8">
        <v>0.42259062491274102</v>
      </c>
      <c r="D49">
        <f t="shared" si="0"/>
        <v>30</v>
      </c>
      <c r="G49">
        <v>32000</v>
      </c>
      <c r="H49" s="8">
        <v>0.62992643734353804</v>
      </c>
      <c r="I49">
        <f t="shared" si="1"/>
        <v>50000</v>
      </c>
      <c r="L49">
        <v>28</v>
      </c>
      <c r="M49" s="8">
        <v>0.401917814233266</v>
      </c>
      <c r="N49">
        <f t="shared" si="2"/>
        <v>30</v>
      </c>
    </row>
    <row r="50" spans="2:19" x14ac:dyDescent="0.25">
      <c r="B50">
        <v>28</v>
      </c>
      <c r="C50" s="8">
        <v>0.42902130254986098</v>
      </c>
      <c r="D50">
        <f t="shared" si="0"/>
        <v>30</v>
      </c>
      <c r="G50">
        <v>33000</v>
      </c>
      <c r="H50" s="8">
        <v>0.57170819452833499</v>
      </c>
      <c r="I50">
        <f t="shared" si="1"/>
        <v>50000</v>
      </c>
      <c r="L50">
        <v>29</v>
      </c>
      <c r="M50" s="8">
        <v>0.38091995299329601</v>
      </c>
      <c r="N50">
        <f t="shared" si="2"/>
        <v>30</v>
      </c>
    </row>
    <row r="51" spans="2:19" x14ac:dyDescent="0.25">
      <c r="B51">
        <v>29</v>
      </c>
      <c r="C51" s="8">
        <v>0.424648583144837</v>
      </c>
      <c r="D51">
        <f t="shared" si="0"/>
        <v>30</v>
      </c>
      <c r="G51">
        <v>34000</v>
      </c>
      <c r="H51" s="8">
        <v>0.59485704949850204</v>
      </c>
      <c r="I51">
        <f t="shared" si="1"/>
        <v>50000</v>
      </c>
      <c r="L51">
        <v>30</v>
      </c>
      <c r="M51" s="8">
        <v>0.39721524046368401</v>
      </c>
      <c r="N51">
        <f t="shared" si="2"/>
        <v>40</v>
      </c>
    </row>
    <row r="52" spans="2:19" x14ac:dyDescent="0.25">
      <c r="B52">
        <v>30</v>
      </c>
      <c r="C52" s="8">
        <v>0.424710559174796</v>
      </c>
      <c r="D52">
        <f t="shared" si="0"/>
        <v>40</v>
      </c>
      <c r="G52">
        <v>35000</v>
      </c>
      <c r="H52" s="8">
        <v>0.57797820692737201</v>
      </c>
      <c r="I52">
        <f t="shared" si="1"/>
        <v>50000</v>
      </c>
      <c r="L52">
        <v>31</v>
      </c>
      <c r="M52" s="8">
        <v>0.39490003132707002</v>
      </c>
      <c r="N52">
        <f t="shared" si="2"/>
        <v>40</v>
      </c>
      <c r="P52" s="6" t="s">
        <v>26</v>
      </c>
      <c r="R52" s="8" t="s">
        <v>18</v>
      </c>
    </row>
    <row r="53" spans="2:19" x14ac:dyDescent="0.25">
      <c r="B53">
        <v>31</v>
      </c>
      <c r="C53" s="8">
        <v>0.42777271255340799</v>
      </c>
      <c r="D53">
        <f t="shared" si="0"/>
        <v>40</v>
      </c>
      <c r="G53">
        <v>36000</v>
      </c>
      <c r="H53" s="8">
        <v>0.59611798993837495</v>
      </c>
      <c r="I53">
        <f t="shared" si="1"/>
        <v>50000</v>
      </c>
      <c r="L53">
        <v>32</v>
      </c>
      <c r="M53" s="8">
        <v>0.39107562397351697</v>
      </c>
      <c r="N53">
        <f t="shared" si="2"/>
        <v>40</v>
      </c>
      <c r="Q53" s="6">
        <v>0.7</v>
      </c>
      <c r="R53" s="7">
        <v>0.34781640000000003</v>
      </c>
    </row>
    <row r="54" spans="2:19" x14ac:dyDescent="0.25">
      <c r="B54">
        <v>32</v>
      </c>
      <c r="C54" s="8">
        <v>0.43110080388670202</v>
      </c>
      <c r="D54">
        <f t="shared" si="0"/>
        <v>40</v>
      </c>
      <c r="G54">
        <v>37000</v>
      </c>
      <c r="H54" s="8">
        <v>0.60318388007465895</v>
      </c>
      <c r="I54">
        <f t="shared" si="1"/>
        <v>50000</v>
      </c>
      <c r="L54">
        <v>33</v>
      </c>
      <c r="M54" s="8">
        <v>0.38535791959749599</v>
      </c>
      <c r="N54">
        <f t="shared" si="2"/>
        <v>40</v>
      </c>
      <c r="Q54" s="6">
        <v>0.8</v>
      </c>
      <c r="R54" s="8">
        <v>0.37542880000000001</v>
      </c>
    </row>
    <row r="55" spans="2:19" x14ac:dyDescent="0.25">
      <c r="B55">
        <v>33</v>
      </c>
      <c r="C55" s="8">
        <v>0.427596561558865</v>
      </c>
      <c r="D55">
        <f t="shared" si="0"/>
        <v>40</v>
      </c>
      <c r="G55">
        <v>38000</v>
      </c>
      <c r="H55" s="8">
        <v>0.596652228174824</v>
      </c>
      <c r="I55">
        <f t="shared" si="1"/>
        <v>50000</v>
      </c>
      <c r="L55">
        <v>34</v>
      </c>
      <c r="M55" s="8">
        <v>0.398090743815248</v>
      </c>
      <c r="N55">
        <f t="shared" si="2"/>
        <v>40</v>
      </c>
      <c r="Q55" s="10">
        <v>0.9</v>
      </c>
      <c r="R55" s="8">
        <v>0.45258389999999998</v>
      </c>
    </row>
    <row r="56" spans="2:19" x14ac:dyDescent="0.25">
      <c r="B56">
        <v>34</v>
      </c>
      <c r="C56" s="8">
        <v>0.42729713066722003</v>
      </c>
      <c r="D56">
        <f t="shared" si="0"/>
        <v>40</v>
      </c>
      <c r="G56">
        <v>39000</v>
      </c>
      <c r="H56" s="8">
        <v>0.582577194844211</v>
      </c>
      <c r="I56">
        <f t="shared" si="1"/>
        <v>50000</v>
      </c>
      <c r="L56">
        <v>35</v>
      </c>
      <c r="M56" s="8">
        <v>0.39296565209434098</v>
      </c>
      <c r="N56">
        <f t="shared" si="2"/>
        <v>40</v>
      </c>
      <c r="Q56" s="6">
        <v>1</v>
      </c>
      <c r="R56" s="8">
        <v>0.41614679999999998</v>
      </c>
      <c r="S56" s="8"/>
    </row>
    <row r="57" spans="2:19" x14ac:dyDescent="0.25">
      <c r="B57">
        <v>35</v>
      </c>
      <c r="C57" s="8">
        <v>0.42617539047584702</v>
      </c>
      <c r="D57">
        <f t="shared" si="0"/>
        <v>40</v>
      </c>
      <c r="G57">
        <v>40000</v>
      </c>
      <c r="H57" s="8">
        <v>0.57969814824208898</v>
      </c>
      <c r="I57">
        <f t="shared" si="1"/>
        <v>50000</v>
      </c>
      <c r="L57">
        <v>36</v>
      </c>
      <c r="M57" s="8">
        <v>0.38663670114592902</v>
      </c>
      <c r="N57">
        <f t="shared" si="2"/>
        <v>40</v>
      </c>
      <c r="Q57" s="6">
        <v>1.1000000000000001</v>
      </c>
      <c r="R57" s="8">
        <v>0.35243649999999999</v>
      </c>
    </row>
    <row r="58" spans="2:19" x14ac:dyDescent="0.25">
      <c r="B58">
        <v>36</v>
      </c>
      <c r="C58" s="8">
        <v>0.43625622426377297</v>
      </c>
      <c r="D58">
        <f t="shared" si="0"/>
        <v>40</v>
      </c>
      <c r="G58">
        <v>41000</v>
      </c>
      <c r="H58" s="8">
        <v>0.59933819250764697</v>
      </c>
      <c r="I58">
        <f t="shared" si="1"/>
        <v>50000</v>
      </c>
      <c r="L58">
        <v>37</v>
      </c>
      <c r="M58" s="8">
        <v>0.40007900700827598</v>
      </c>
      <c r="N58">
        <f t="shared" si="2"/>
        <v>40</v>
      </c>
      <c r="Q58" s="6">
        <v>1.2</v>
      </c>
      <c r="R58" s="8">
        <v>0.2868291</v>
      </c>
    </row>
    <row r="59" spans="2:19" x14ac:dyDescent="0.25">
      <c r="B59">
        <v>37</v>
      </c>
      <c r="C59" s="8">
        <v>0.43013150968924702</v>
      </c>
      <c r="D59">
        <f t="shared" si="0"/>
        <v>40</v>
      </c>
      <c r="G59">
        <v>42000</v>
      </c>
      <c r="H59" s="8">
        <v>0.58499543830704903</v>
      </c>
      <c r="I59">
        <f t="shared" si="1"/>
        <v>50000</v>
      </c>
      <c r="L59">
        <v>38</v>
      </c>
      <c r="M59" s="8">
        <v>0.39714415367870098</v>
      </c>
      <c r="N59">
        <f t="shared" si="2"/>
        <v>40</v>
      </c>
      <c r="Q59" s="6">
        <v>1.3</v>
      </c>
      <c r="R59" s="8">
        <v>0.24407499999999999</v>
      </c>
    </row>
    <row r="60" spans="2:19" x14ac:dyDescent="0.25">
      <c r="B60">
        <v>38</v>
      </c>
      <c r="C60" s="8">
        <v>0.42663773033407199</v>
      </c>
      <c r="D60">
        <f t="shared" si="0"/>
        <v>40</v>
      </c>
      <c r="G60">
        <v>43000</v>
      </c>
      <c r="H60" s="8">
        <v>0.55653849809729095</v>
      </c>
      <c r="I60">
        <f t="shared" si="1"/>
        <v>50000</v>
      </c>
      <c r="L60">
        <v>39</v>
      </c>
      <c r="M60" s="8">
        <v>0.39311757807160003</v>
      </c>
      <c r="N60">
        <f t="shared" si="2"/>
        <v>40</v>
      </c>
      <c r="Q60" s="6">
        <v>1.4</v>
      </c>
      <c r="R60" s="8">
        <v>0.1760526</v>
      </c>
    </row>
    <row r="61" spans="2:19" x14ac:dyDescent="0.25">
      <c r="B61">
        <v>39</v>
      </c>
      <c r="C61" s="8">
        <v>0.421698794626642</v>
      </c>
      <c r="D61">
        <f t="shared" si="0"/>
        <v>40</v>
      </c>
      <c r="G61">
        <v>44000</v>
      </c>
      <c r="H61" s="8">
        <v>0.58150449619389399</v>
      </c>
      <c r="I61">
        <f t="shared" si="1"/>
        <v>50000</v>
      </c>
      <c r="L61">
        <v>40</v>
      </c>
      <c r="M61" s="8">
        <v>0.39411183556004897</v>
      </c>
      <c r="N61">
        <f t="shared" si="2"/>
        <v>50</v>
      </c>
    </row>
    <row r="62" spans="2:19" x14ac:dyDescent="0.25">
      <c r="B62">
        <v>40</v>
      </c>
      <c r="C62" s="8">
        <v>0.42917329387547798</v>
      </c>
      <c r="D62">
        <f t="shared" si="0"/>
        <v>50</v>
      </c>
      <c r="G62">
        <v>45000</v>
      </c>
      <c r="H62" s="8">
        <v>0.56156546068322</v>
      </c>
      <c r="I62">
        <f t="shared" si="1"/>
        <v>50000</v>
      </c>
      <c r="L62">
        <v>41</v>
      </c>
      <c r="M62" s="8">
        <v>0.39405510039594099</v>
      </c>
      <c r="N62">
        <f t="shared" si="2"/>
        <v>50</v>
      </c>
    </row>
    <row r="63" spans="2:19" x14ac:dyDescent="0.25">
      <c r="B63">
        <v>41</v>
      </c>
      <c r="C63" s="8">
        <v>0.43207186508857598</v>
      </c>
      <c r="D63">
        <f t="shared" si="0"/>
        <v>50</v>
      </c>
      <c r="G63">
        <v>46000</v>
      </c>
      <c r="H63" s="8">
        <v>0.57653927593060605</v>
      </c>
      <c r="I63">
        <f t="shared" si="1"/>
        <v>50000</v>
      </c>
      <c r="L63">
        <v>42</v>
      </c>
      <c r="M63" s="8">
        <v>0.398950801713716</v>
      </c>
      <c r="N63">
        <f t="shared" si="2"/>
        <v>50</v>
      </c>
    </row>
    <row r="64" spans="2:19" x14ac:dyDescent="0.25">
      <c r="B64">
        <v>42</v>
      </c>
      <c r="C64" s="8">
        <v>0.428852942049474</v>
      </c>
      <c r="D64">
        <f t="shared" si="0"/>
        <v>50</v>
      </c>
      <c r="G64">
        <v>47000</v>
      </c>
      <c r="H64" s="8">
        <v>0.55512724633250798</v>
      </c>
      <c r="I64">
        <f t="shared" si="1"/>
        <v>50000</v>
      </c>
      <c r="L64">
        <v>43</v>
      </c>
      <c r="M64" s="8">
        <v>0.39454182637252699</v>
      </c>
      <c r="N64">
        <f t="shared" si="2"/>
        <v>50</v>
      </c>
    </row>
    <row r="65" spans="2:18" x14ac:dyDescent="0.25">
      <c r="B65">
        <v>43</v>
      </c>
      <c r="C65" s="8">
        <v>0.42075899203926598</v>
      </c>
      <c r="D65">
        <f t="shared" si="0"/>
        <v>50</v>
      </c>
      <c r="G65">
        <v>48000</v>
      </c>
      <c r="H65" s="8">
        <v>0.57166065611190797</v>
      </c>
      <c r="I65">
        <f t="shared" si="1"/>
        <v>50000</v>
      </c>
      <c r="L65">
        <v>44</v>
      </c>
      <c r="M65" s="8">
        <v>0.39991077265339903</v>
      </c>
      <c r="N65">
        <f t="shared" si="2"/>
        <v>50</v>
      </c>
    </row>
    <row r="66" spans="2:18" x14ac:dyDescent="0.25">
      <c r="B66">
        <v>44</v>
      </c>
      <c r="C66" s="8">
        <v>0.42214540668200001</v>
      </c>
      <c r="D66">
        <f t="shared" si="0"/>
        <v>50</v>
      </c>
      <c r="G66">
        <v>49000</v>
      </c>
      <c r="H66" s="8">
        <v>0.55429351098097301</v>
      </c>
      <c r="I66">
        <f t="shared" si="1"/>
        <v>50000</v>
      </c>
      <c r="L66">
        <v>45</v>
      </c>
      <c r="M66" s="8">
        <v>0.39889969523927699</v>
      </c>
      <c r="N66">
        <f t="shared" si="2"/>
        <v>50</v>
      </c>
      <c r="P66" t="s">
        <v>26</v>
      </c>
      <c r="Q66" s="6" t="s">
        <v>28</v>
      </c>
    </row>
    <row r="67" spans="2:18" x14ac:dyDescent="0.25">
      <c r="B67">
        <v>45</v>
      </c>
      <c r="C67" s="8">
        <v>0.42562336668985501</v>
      </c>
      <c r="D67">
        <f t="shared" si="0"/>
        <v>50</v>
      </c>
      <c r="G67">
        <v>50000</v>
      </c>
      <c r="H67" s="8">
        <v>0.53438721028625202</v>
      </c>
      <c r="I67">
        <f t="shared" si="1"/>
        <v>100000</v>
      </c>
      <c r="L67">
        <v>46</v>
      </c>
      <c r="M67" s="8">
        <v>0.39960693946693299</v>
      </c>
      <c r="N67">
        <f t="shared" si="2"/>
        <v>50</v>
      </c>
      <c r="Q67" s="6">
        <v>0.7</v>
      </c>
      <c r="R67" s="7">
        <v>0.34781640000000003</v>
      </c>
    </row>
    <row r="68" spans="2:18" x14ac:dyDescent="0.25">
      <c r="B68">
        <v>46</v>
      </c>
      <c r="C68" s="8">
        <v>0.415688107844296</v>
      </c>
      <c r="D68">
        <f t="shared" si="0"/>
        <v>50</v>
      </c>
      <c r="G68">
        <v>51000</v>
      </c>
      <c r="H68" s="8">
        <v>0.53963602419488899</v>
      </c>
      <c r="I68">
        <f t="shared" si="1"/>
        <v>100000</v>
      </c>
      <c r="L68">
        <v>47</v>
      </c>
      <c r="M68" s="8">
        <v>0.397946591503824</v>
      </c>
      <c r="N68">
        <f t="shared" si="2"/>
        <v>50</v>
      </c>
      <c r="Q68" s="6">
        <v>0.8</v>
      </c>
      <c r="R68" s="8">
        <v>0.37542880000000001</v>
      </c>
    </row>
    <row r="69" spans="2:18" x14ac:dyDescent="0.25">
      <c r="B69">
        <v>47</v>
      </c>
      <c r="C69" s="8">
        <v>0.41949156623052702</v>
      </c>
      <c r="D69">
        <f t="shared" si="0"/>
        <v>50</v>
      </c>
      <c r="G69">
        <v>52000</v>
      </c>
      <c r="H69" s="8">
        <v>0.55799609404016803</v>
      </c>
      <c r="I69">
        <f t="shared" si="1"/>
        <v>100000</v>
      </c>
      <c r="L69">
        <v>48</v>
      </c>
      <c r="M69" s="8">
        <v>0.40801588565295399</v>
      </c>
      <c r="N69">
        <f t="shared" si="2"/>
        <v>50</v>
      </c>
      <c r="Q69" s="10">
        <v>0.9</v>
      </c>
      <c r="R69" s="8">
        <v>0.45258389999999998</v>
      </c>
    </row>
    <row r="70" spans="2:18" x14ac:dyDescent="0.25">
      <c r="B70">
        <v>48</v>
      </c>
      <c r="C70" s="8">
        <v>0.42057388837013698</v>
      </c>
      <c r="D70">
        <f t="shared" si="0"/>
        <v>50</v>
      </c>
      <c r="G70">
        <v>53000</v>
      </c>
      <c r="H70" s="8">
        <v>0.535471293439996</v>
      </c>
      <c r="I70">
        <f t="shared" si="1"/>
        <v>100000</v>
      </c>
      <c r="L70">
        <v>49</v>
      </c>
      <c r="M70" s="8">
        <v>0.404869736732138</v>
      </c>
      <c r="N70">
        <f t="shared" si="2"/>
        <v>50</v>
      </c>
      <c r="Q70" s="6">
        <v>1</v>
      </c>
      <c r="R70" s="8">
        <v>0.41614679999999998</v>
      </c>
    </row>
    <row r="71" spans="2:18" x14ac:dyDescent="0.25">
      <c r="B71">
        <v>49</v>
      </c>
      <c r="C71" s="8">
        <v>0.421586160274671</v>
      </c>
      <c r="D71">
        <f t="shared" si="0"/>
        <v>50</v>
      </c>
      <c r="G71">
        <v>54000</v>
      </c>
      <c r="H71" s="8">
        <v>0.54839746368364195</v>
      </c>
      <c r="I71">
        <f t="shared" si="1"/>
        <v>100000</v>
      </c>
      <c r="L71">
        <v>50</v>
      </c>
      <c r="M71" s="8">
        <v>0.40802007748200297</v>
      </c>
      <c r="N71">
        <f t="shared" si="2"/>
        <v>60</v>
      </c>
      <c r="Q71" s="6">
        <v>1.1000000000000001</v>
      </c>
      <c r="R71" s="8">
        <v>0.35243649999999999</v>
      </c>
    </row>
    <row r="72" spans="2:18" x14ac:dyDescent="0.25">
      <c r="B72">
        <v>50</v>
      </c>
      <c r="C72" s="8">
        <v>0.412344630582827</v>
      </c>
      <c r="D72">
        <f>50</f>
        <v>50</v>
      </c>
      <c r="G72">
        <v>55000</v>
      </c>
      <c r="H72" s="8">
        <v>0.52548817458498798</v>
      </c>
      <c r="I72">
        <f t="shared" si="1"/>
        <v>100000</v>
      </c>
      <c r="L72">
        <v>51</v>
      </c>
      <c r="M72" s="8">
        <v>0.40987060896014499</v>
      </c>
      <c r="N72">
        <f t="shared" si="2"/>
        <v>60</v>
      </c>
      <c r="Q72" s="6">
        <v>1.2</v>
      </c>
      <c r="R72" s="8">
        <v>0.2868291</v>
      </c>
    </row>
    <row r="73" spans="2:18" x14ac:dyDescent="0.25">
      <c r="B73">
        <v>51</v>
      </c>
      <c r="C73" s="8">
        <v>0.40084114945846799</v>
      </c>
      <c r="D73">
        <f>50</f>
        <v>50</v>
      </c>
      <c r="G73">
        <v>56000</v>
      </c>
      <c r="H73" s="8">
        <v>0.55903615840082599</v>
      </c>
      <c r="I73">
        <f t="shared" si="1"/>
        <v>100000</v>
      </c>
      <c r="L73">
        <v>52</v>
      </c>
      <c r="M73" s="8">
        <v>0.41077977762830098</v>
      </c>
      <c r="N73">
        <f t="shared" si="2"/>
        <v>60</v>
      </c>
      <c r="Q73" s="6">
        <v>1.3</v>
      </c>
      <c r="R73" s="8">
        <v>0.24407499999999999</v>
      </c>
    </row>
    <row r="74" spans="2:18" x14ac:dyDescent="0.25">
      <c r="B74">
        <v>52</v>
      </c>
      <c r="C74" s="8">
        <v>0.41542608659253299</v>
      </c>
      <c r="D74">
        <f>50</f>
        <v>50</v>
      </c>
      <c r="G74">
        <v>57000</v>
      </c>
      <c r="H74" s="8">
        <v>0.53486310571871498</v>
      </c>
      <c r="I74">
        <f t="shared" si="1"/>
        <v>100000</v>
      </c>
      <c r="L74">
        <v>53</v>
      </c>
      <c r="M74" s="8">
        <v>0.409960763336637</v>
      </c>
      <c r="N74">
        <f t="shared" si="2"/>
        <v>60</v>
      </c>
      <c r="Q74" s="6">
        <v>1.4</v>
      </c>
      <c r="R74" s="8">
        <v>0.1760526</v>
      </c>
    </row>
    <row r="75" spans="2:18" x14ac:dyDescent="0.25">
      <c r="B75">
        <v>53</v>
      </c>
      <c r="C75" s="8">
        <v>0.429708893224447</v>
      </c>
      <c r="D75">
        <f>50</f>
        <v>50</v>
      </c>
      <c r="G75">
        <v>58000</v>
      </c>
      <c r="H75" s="8">
        <v>0.52275767074857604</v>
      </c>
      <c r="I75">
        <f t="shared" si="1"/>
        <v>100000</v>
      </c>
      <c r="L75">
        <v>54</v>
      </c>
      <c r="M75" s="8">
        <v>0.41211221452221097</v>
      </c>
      <c r="N75">
        <f t="shared" si="2"/>
        <v>60</v>
      </c>
    </row>
    <row r="76" spans="2:18" x14ac:dyDescent="0.25">
      <c r="B76">
        <v>54</v>
      </c>
      <c r="C76" s="8">
        <v>0.42843349838489198</v>
      </c>
      <c r="D76">
        <f>50</f>
        <v>50</v>
      </c>
      <c r="G76">
        <v>59000</v>
      </c>
      <c r="H76" s="8">
        <v>0.54151456608425197</v>
      </c>
      <c r="I76">
        <f t="shared" si="1"/>
        <v>100000</v>
      </c>
      <c r="L76">
        <v>55</v>
      </c>
      <c r="M76" s="8">
        <v>0.41602818243466699</v>
      </c>
      <c r="N76">
        <f t="shared" si="2"/>
        <v>60</v>
      </c>
    </row>
    <row r="77" spans="2:18" x14ac:dyDescent="0.25">
      <c r="B77">
        <v>55</v>
      </c>
      <c r="C77" s="8">
        <v>0.40708096781997599</v>
      </c>
      <c r="D77">
        <f>50</f>
        <v>50</v>
      </c>
      <c r="G77">
        <v>60000</v>
      </c>
      <c r="H77" s="8">
        <v>0.51309752790715402</v>
      </c>
      <c r="I77">
        <f t="shared" si="1"/>
        <v>100000</v>
      </c>
      <c r="L77">
        <v>56</v>
      </c>
      <c r="M77" s="8">
        <v>0.41427148113129603</v>
      </c>
      <c r="N77">
        <f t="shared" si="2"/>
        <v>60</v>
      </c>
      <c r="P77" t="s">
        <v>26</v>
      </c>
      <c r="R77" s="8" t="s">
        <v>18</v>
      </c>
    </row>
    <row r="78" spans="2:18" x14ac:dyDescent="0.25">
      <c r="B78">
        <v>56</v>
      </c>
      <c r="C78" s="8">
        <v>0.41213078672852299</v>
      </c>
      <c r="D78">
        <f>50</f>
        <v>50</v>
      </c>
      <c r="G78">
        <v>61000</v>
      </c>
      <c r="H78" s="8">
        <v>0.51748229415471103</v>
      </c>
      <c r="I78">
        <f t="shared" si="1"/>
        <v>100000</v>
      </c>
      <c r="L78">
        <v>57</v>
      </c>
      <c r="M78" s="8">
        <v>0.409928604546061</v>
      </c>
      <c r="N78">
        <f t="shared" si="2"/>
        <v>60</v>
      </c>
      <c r="Q78" s="6">
        <v>0.7</v>
      </c>
      <c r="R78" s="8">
        <v>0.42987737999999998</v>
      </c>
    </row>
    <row r="79" spans="2:18" x14ac:dyDescent="0.25">
      <c r="B79">
        <v>57</v>
      </c>
      <c r="C79" s="8">
        <v>0.42542164445529201</v>
      </c>
      <c r="D79">
        <f>50</f>
        <v>50</v>
      </c>
      <c r="G79">
        <v>62000</v>
      </c>
      <c r="H79" s="8">
        <v>0.51634017808738097</v>
      </c>
      <c r="I79">
        <f t="shared" si="1"/>
        <v>100000</v>
      </c>
      <c r="L79">
        <v>58</v>
      </c>
      <c r="M79" s="8">
        <v>0.41125747519435701</v>
      </c>
      <c r="N79">
        <f t="shared" si="2"/>
        <v>60</v>
      </c>
      <c r="Q79" s="6">
        <v>0.8</v>
      </c>
      <c r="R79" s="8">
        <v>0.45997518999999998</v>
      </c>
    </row>
    <row r="80" spans="2:18" x14ac:dyDescent="0.25">
      <c r="B80">
        <v>58</v>
      </c>
      <c r="C80" s="8">
        <v>0.40589862338857202</v>
      </c>
      <c r="D80">
        <f>50</f>
        <v>50</v>
      </c>
      <c r="G80">
        <v>63000</v>
      </c>
      <c r="H80" s="8">
        <v>0.50837147225634904</v>
      </c>
      <c r="I80">
        <f t="shared" si="1"/>
        <v>100000</v>
      </c>
      <c r="L80">
        <v>59</v>
      </c>
      <c r="M80" s="8">
        <v>0.41278259711223297</v>
      </c>
      <c r="N80">
        <f t="shared" si="2"/>
        <v>60</v>
      </c>
      <c r="Q80" s="6">
        <v>0.9</v>
      </c>
      <c r="R80" s="8">
        <v>0.44338594999999997</v>
      </c>
    </row>
    <row r="81" spans="2:18" x14ac:dyDescent="0.25">
      <c r="B81">
        <v>59</v>
      </c>
      <c r="C81" s="8">
        <v>0.41273621920477999</v>
      </c>
      <c r="D81">
        <f>50</f>
        <v>50</v>
      </c>
      <c r="G81">
        <v>64000</v>
      </c>
      <c r="H81" s="8">
        <v>0.50798115265599697</v>
      </c>
      <c r="I81">
        <f t="shared" si="1"/>
        <v>100000</v>
      </c>
      <c r="L81">
        <v>60</v>
      </c>
      <c r="M81" s="8">
        <v>0.41650131923744199</v>
      </c>
      <c r="N81">
        <f t="shared" si="2"/>
        <v>70</v>
      </c>
      <c r="Q81" s="6">
        <v>1</v>
      </c>
      <c r="R81" s="8">
        <v>0.38364736999999999</v>
      </c>
    </row>
    <row r="82" spans="2:18" x14ac:dyDescent="0.25">
      <c r="B82">
        <v>60</v>
      </c>
      <c r="C82" s="8">
        <v>0.43377189298549101</v>
      </c>
      <c r="D82">
        <f>50</f>
        <v>50</v>
      </c>
      <c r="G82">
        <v>65000</v>
      </c>
      <c r="H82" s="8">
        <v>0.48044150010146802</v>
      </c>
      <c r="I82">
        <f t="shared" si="1"/>
        <v>100000</v>
      </c>
      <c r="L82">
        <v>61</v>
      </c>
      <c r="M82" s="8">
        <v>0.416389387700493</v>
      </c>
      <c r="N82">
        <f t="shared" si="2"/>
        <v>70</v>
      </c>
      <c r="Q82" s="6">
        <v>1.1000000000000001</v>
      </c>
      <c r="R82" s="8">
        <v>0.29163193999999998</v>
      </c>
    </row>
    <row r="83" spans="2:18" x14ac:dyDescent="0.25">
      <c r="B83">
        <v>61</v>
      </c>
      <c r="C83" s="8">
        <v>0.413511211004572</v>
      </c>
      <c r="D83">
        <f>50</f>
        <v>50</v>
      </c>
      <c r="G83">
        <v>66000</v>
      </c>
      <c r="H83" s="8">
        <v>0.49313819699795602</v>
      </c>
      <c r="I83">
        <f t="shared" si="1"/>
        <v>100000</v>
      </c>
      <c r="L83">
        <v>62</v>
      </c>
      <c r="M83" s="8">
        <v>0.41512166781085302</v>
      </c>
      <c r="N83">
        <f t="shared" si="2"/>
        <v>70</v>
      </c>
      <c r="Q83" s="6">
        <v>1.2</v>
      </c>
      <c r="R83" s="8">
        <v>0.23178127000000001</v>
      </c>
    </row>
    <row r="84" spans="2:18" x14ac:dyDescent="0.25">
      <c r="B84">
        <v>62</v>
      </c>
      <c r="C84" s="8">
        <v>0.42207024743117999</v>
      </c>
      <c r="D84">
        <f>50</f>
        <v>50</v>
      </c>
      <c r="G84">
        <v>67000</v>
      </c>
      <c r="H84" s="8">
        <v>0.48685468420827999</v>
      </c>
      <c r="I84">
        <f t="shared" si="1"/>
        <v>100000</v>
      </c>
      <c r="L84">
        <v>63</v>
      </c>
      <c r="M84" s="8">
        <v>0.40526960107475302</v>
      </c>
      <c r="N84">
        <f t="shared" si="2"/>
        <v>70</v>
      </c>
      <c r="Q84" s="6">
        <v>1.3</v>
      </c>
      <c r="R84" s="8">
        <v>0.17671956999999999</v>
      </c>
    </row>
    <row r="85" spans="2:18" x14ac:dyDescent="0.25">
      <c r="B85">
        <v>63</v>
      </c>
      <c r="C85" s="8">
        <v>0.44071632947185102</v>
      </c>
      <c r="D85">
        <f>50</f>
        <v>50</v>
      </c>
      <c r="G85">
        <v>68000</v>
      </c>
      <c r="H85" s="8">
        <v>0.49693077098976801</v>
      </c>
      <c r="I85">
        <f t="shared" si="1"/>
        <v>100000</v>
      </c>
      <c r="L85">
        <v>64</v>
      </c>
      <c r="M85" s="8">
        <v>0.41396813938422999</v>
      </c>
      <c r="N85">
        <f t="shared" si="2"/>
        <v>70</v>
      </c>
      <c r="Q85" s="6">
        <v>1.4</v>
      </c>
      <c r="R85" s="8">
        <v>0.12265392999999999</v>
      </c>
    </row>
    <row r="86" spans="2:18" x14ac:dyDescent="0.25">
      <c r="B86">
        <v>64</v>
      </c>
      <c r="C86" s="8">
        <v>0.41127580466419</v>
      </c>
      <c r="D86">
        <f>50</f>
        <v>50</v>
      </c>
      <c r="G86">
        <v>69000</v>
      </c>
      <c r="H86" s="8">
        <v>0.49014461645596002</v>
      </c>
      <c r="I86">
        <f t="shared" si="1"/>
        <v>100000</v>
      </c>
      <c r="L86">
        <v>65</v>
      </c>
      <c r="M86" s="8">
        <v>0.42021273274404197</v>
      </c>
      <c r="N86">
        <f t="shared" si="2"/>
        <v>70</v>
      </c>
      <c r="Q86" s="6">
        <v>1.5</v>
      </c>
      <c r="R86" s="8">
        <v>6.3497979999999996E-2</v>
      </c>
    </row>
    <row r="87" spans="2:18" x14ac:dyDescent="0.25">
      <c r="B87">
        <v>65</v>
      </c>
      <c r="C87" s="8">
        <v>0.43209224453845102</v>
      </c>
      <c r="D87">
        <f>50</f>
        <v>50</v>
      </c>
      <c r="G87">
        <v>70000</v>
      </c>
      <c r="H87" s="8">
        <v>0.465019698582255</v>
      </c>
      <c r="I87">
        <f t="shared" si="1"/>
        <v>100000</v>
      </c>
      <c r="L87">
        <v>66</v>
      </c>
      <c r="M87" s="8">
        <v>0.41415075889244402</v>
      </c>
      <c r="N87">
        <f t="shared" si="2"/>
        <v>70</v>
      </c>
      <c r="Q87" s="6">
        <v>1.6</v>
      </c>
      <c r="R87" s="8">
        <v>6.5574270000000004E-2</v>
      </c>
    </row>
    <row r="88" spans="2:18" x14ac:dyDescent="0.25">
      <c r="B88">
        <v>66</v>
      </c>
      <c r="C88" s="8">
        <v>0.41435765310711797</v>
      </c>
      <c r="D88">
        <f>50</f>
        <v>50</v>
      </c>
      <c r="G88">
        <v>71000</v>
      </c>
      <c r="H88" s="8">
        <v>0.48057712143981801</v>
      </c>
      <c r="I88">
        <f t="shared" si="1"/>
        <v>100000</v>
      </c>
      <c r="L88">
        <v>67</v>
      </c>
      <c r="M88" s="8">
        <v>0.41048095049195099</v>
      </c>
      <c r="N88">
        <f t="shared" si="2"/>
        <v>70</v>
      </c>
      <c r="Q88" s="6">
        <v>1.7</v>
      </c>
      <c r="R88" s="8">
        <v>3.591693E-2</v>
      </c>
    </row>
    <row r="89" spans="2:18" x14ac:dyDescent="0.25">
      <c r="B89">
        <v>67</v>
      </c>
      <c r="C89" s="8">
        <v>0.429639627497229</v>
      </c>
      <c r="D89">
        <f>50</f>
        <v>50</v>
      </c>
      <c r="G89">
        <v>72000</v>
      </c>
      <c r="H89" s="8">
        <v>0.49082578756260797</v>
      </c>
      <c r="I89">
        <f t="shared" ref="I89:I152" si="3">INT(G89/50000)*50000+50000</f>
        <v>100000</v>
      </c>
      <c r="L89">
        <v>68</v>
      </c>
      <c r="M89" s="8">
        <v>0.40846833927570297</v>
      </c>
      <c r="N89">
        <f t="shared" ref="N89:N152" si="4">INT(L89/10)*10+10</f>
        <v>70</v>
      </c>
    </row>
    <row r="90" spans="2:18" x14ac:dyDescent="0.25">
      <c r="B90">
        <v>68</v>
      </c>
      <c r="C90" s="8">
        <v>0.45044487234005698</v>
      </c>
      <c r="D90">
        <f>50</f>
        <v>50</v>
      </c>
      <c r="G90">
        <v>73000</v>
      </c>
      <c r="H90" s="8">
        <v>0.44932784541078602</v>
      </c>
      <c r="I90">
        <f t="shared" si="3"/>
        <v>100000</v>
      </c>
      <c r="L90">
        <v>69</v>
      </c>
      <c r="M90" s="8">
        <v>0.40961018052735998</v>
      </c>
      <c r="N90">
        <f t="shared" si="4"/>
        <v>70</v>
      </c>
    </row>
    <row r="91" spans="2:18" x14ac:dyDescent="0.25">
      <c r="B91">
        <v>69</v>
      </c>
      <c r="C91" s="8">
        <v>0.46457888744503201</v>
      </c>
      <c r="D91">
        <f>50</f>
        <v>50</v>
      </c>
      <c r="G91">
        <v>74000</v>
      </c>
      <c r="H91" s="8">
        <v>0.46962110026596798</v>
      </c>
      <c r="I91">
        <f t="shared" si="3"/>
        <v>100000</v>
      </c>
      <c r="L91">
        <v>70</v>
      </c>
      <c r="M91" s="8">
        <v>0.40557176035165798</v>
      </c>
      <c r="N91">
        <f t="shared" si="4"/>
        <v>80</v>
      </c>
    </row>
    <row r="92" spans="2:18" x14ac:dyDescent="0.25">
      <c r="B92">
        <v>70</v>
      </c>
      <c r="C92" s="8">
        <v>0.45548218004979901</v>
      </c>
      <c r="D92">
        <f>50</f>
        <v>50</v>
      </c>
      <c r="G92">
        <v>75000</v>
      </c>
      <c r="H92" s="8">
        <v>0.44483565448155499</v>
      </c>
      <c r="I92">
        <f t="shared" si="3"/>
        <v>100000</v>
      </c>
      <c r="L92">
        <v>71</v>
      </c>
      <c r="M92" s="8">
        <v>0.41160517061007801</v>
      </c>
      <c r="N92">
        <f t="shared" si="4"/>
        <v>80</v>
      </c>
    </row>
    <row r="93" spans="2:18" x14ac:dyDescent="0.25">
      <c r="B93">
        <v>71</v>
      </c>
      <c r="C93" s="8">
        <v>0.405436900919111</v>
      </c>
      <c r="D93">
        <f>50</f>
        <v>50</v>
      </c>
      <c r="G93">
        <v>76000</v>
      </c>
      <c r="H93" s="8">
        <v>0.46611528499319499</v>
      </c>
      <c r="I93">
        <f t="shared" si="3"/>
        <v>100000</v>
      </c>
      <c r="L93">
        <v>72</v>
      </c>
      <c r="M93" s="8">
        <v>0.40966032932729601</v>
      </c>
      <c r="N93">
        <f t="shared" si="4"/>
        <v>80</v>
      </c>
    </row>
    <row r="94" spans="2:18" x14ac:dyDescent="0.25">
      <c r="B94">
        <v>72</v>
      </c>
      <c r="C94" s="8">
        <v>0.48096364961471799</v>
      </c>
      <c r="D94">
        <f>50</f>
        <v>50</v>
      </c>
      <c r="G94">
        <v>77000</v>
      </c>
      <c r="H94" s="8">
        <v>0.47511641096017498</v>
      </c>
      <c r="I94">
        <f t="shared" si="3"/>
        <v>100000</v>
      </c>
      <c r="L94">
        <v>73</v>
      </c>
      <c r="M94" s="8">
        <v>0.402950675711571</v>
      </c>
      <c r="N94">
        <f t="shared" si="4"/>
        <v>80</v>
      </c>
    </row>
    <row r="95" spans="2:18" x14ac:dyDescent="0.25">
      <c r="B95">
        <v>73</v>
      </c>
      <c r="C95" s="8">
        <v>0.50300304030804099</v>
      </c>
      <c r="D95">
        <f>50</f>
        <v>50</v>
      </c>
      <c r="G95">
        <v>78000</v>
      </c>
      <c r="H95" s="8">
        <v>0.45307454340711301</v>
      </c>
      <c r="I95">
        <f t="shared" si="3"/>
        <v>100000</v>
      </c>
      <c r="L95">
        <v>74</v>
      </c>
      <c r="M95" s="8">
        <v>0.409949205114788</v>
      </c>
      <c r="N95">
        <f t="shared" si="4"/>
        <v>80</v>
      </c>
    </row>
    <row r="96" spans="2:18" x14ac:dyDescent="0.25">
      <c r="B96">
        <v>74</v>
      </c>
      <c r="C96" s="8">
        <v>0.37745194108237901</v>
      </c>
      <c r="D96">
        <f>50</f>
        <v>50</v>
      </c>
      <c r="G96">
        <v>79000</v>
      </c>
      <c r="H96" s="8">
        <v>0.45484282223675598</v>
      </c>
      <c r="I96">
        <f t="shared" si="3"/>
        <v>100000</v>
      </c>
      <c r="L96">
        <v>75</v>
      </c>
      <c r="M96" s="8">
        <v>0.40708090128296798</v>
      </c>
      <c r="N96">
        <f t="shared" si="4"/>
        <v>80</v>
      </c>
    </row>
    <row r="97" spans="2:14" x14ac:dyDescent="0.25">
      <c r="B97">
        <v>75</v>
      </c>
      <c r="C97" s="8">
        <v>0.34776044446750698</v>
      </c>
      <c r="D97">
        <f>50</f>
        <v>50</v>
      </c>
      <c r="G97">
        <v>80000</v>
      </c>
      <c r="H97" s="8">
        <v>0.45210533379267698</v>
      </c>
      <c r="I97">
        <f t="shared" si="3"/>
        <v>100000</v>
      </c>
      <c r="L97">
        <v>76</v>
      </c>
      <c r="M97" s="8">
        <v>0.41015021548287001</v>
      </c>
      <c r="N97">
        <f t="shared" si="4"/>
        <v>80</v>
      </c>
    </row>
    <row r="98" spans="2:14" x14ac:dyDescent="0.25">
      <c r="B98">
        <v>76</v>
      </c>
      <c r="C98" s="8">
        <v>0.44518353324098497</v>
      </c>
      <c r="D98">
        <f>50</f>
        <v>50</v>
      </c>
      <c r="G98">
        <v>81000</v>
      </c>
      <c r="H98" s="8">
        <v>0.46945219749646999</v>
      </c>
      <c r="I98">
        <f t="shared" si="3"/>
        <v>100000</v>
      </c>
      <c r="L98">
        <v>77</v>
      </c>
      <c r="M98" s="8">
        <v>0.40538751152695801</v>
      </c>
      <c r="N98">
        <f t="shared" si="4"/>
        <v>80</v>
      </c>
    </row>
    <row r="99" spans="2:14" x14ac:dyDescent="0.25">
      <c r="B99">
        <v>77</v>
      </c>
      <c r="C99" s="8">
        <v>0.54256586749144697</v>
      </c>
      <c r="D99">
        <f>50</f>
        <v>50</v>
      </c>
      <c r="G99">
        <v>82000</v>
      </c>
      <c r="H99" s="8">
        <v>0.449442165978859</v>
      </c>
      <c r="I99">
        <f t="shared" si="3"/>
        <v>100000</v>
      </c>
      <c r="L99">
        <v>78</v>
      </c>
      <c r="M99" s="8">
        <v>0.40028257324335098</v>
      </c>
      <c r="N99">
        <f t="shared" si="4"/>
        <v>80</v>
      </c>
    </row>
    <row r="100" spans="2:14" x14ac:dyDescent="0.25">
      <c r="B100">
        <v>78</v>
      </c>
      <c r="C100" s="8">
        <v>0.60440285241720804</v>
      </c>
      <c r="D100">
        <f>50</f>
        <v>50</v>
      </c>
      <c r="G100">
        <v>83000</v>
      </c>
      <c r="H100" s="8">
        <v>0.44342931430861399</v>
      </c>
      <c r="I100">
        <f t="shared" si="3"/>
        <v>100000</v>
      </c>
      <c r="L100">
        <v>79</v>
      </c>
      <c r="M100" s="8">
        <v>0.40639965726737198</v>
      </c>
      <c r="N100">
        <f t="shared" si="4"/>
        <v>80</v>
      </c>
    </row>
    <row r="101" spans="2:14" x14ac:dyDescent="0.25">
      <c r="B101">
        <v>79</v>
      </c>
      <c r="C101" s="8">
        <v>0.376274175648384</v>
      </c>
      <c r="D101">
        <f>50</f>
        <v>50</v>
      </c>
      <c r="G101">
        <v>84000</v>
      </c>
      <c r="H101" s="8">
        <v>0.45223366213709199</v>
      </c>
      <c r="I101">
        <f t="shared" si="3"/>
        <v>100000</v>
      </c>
      <c r="L101">
        <v>80</v>
      </c>
      <c r="M101" s="8">
        <v>0.39842451115093802</v>
      </c>
      <c r="N101">
        <f t="shared" si="4"/>
        <v>90</v>
      </c>
    </row>
    <row r="102" spans="2:14" x14ac:dyDescent="0.25">
      <c r="B102">
        <v>80</v>
      </c>
      <c r="C102" s="8">
        <v>0.39450105524987999</v>
      </c>
      <c r="D102">
        <f>50</f>
        <v>50</v>
      </c>
      <c r="G102">
        <v>85000</v>
      </c>
      <c r="H102" s="8">
        <v>0.43649086723151198</v>
      </c>
      <c r="I102">
        <f t="shared" si="3"/>
        <v>100000</v>
      </c>
      <c r="L102">
        <v>81</v>
      </c>
      <c r="M102" s="8">
        <v>0.39617396260309601</v>
      </c>
      <c r="N102">
        <f t="shared" si="4"/>
        <v>90</v>
      </c>
    </row>
    <row r="103" spans="2:14" x14ac:dyDescent="0.25">
      <c r="B103">
        <v>81</v>
      </c>
      <c r="C103" s="8">
        <v>0.428497803088976</v>
      </c>
      <c r="D103">
        <f>50</f>
        <v>50</v>
      </c>
      <c r="G103">
        <v>86000</v>
      </c>
      <c r="H103" s="8">
        <v>0.44195566304540201</v>
      </c>
      <c r="I103">
        <f t="shared" si="3"/>
        <v>100000</v>
      </c>
      <c r="L103">
        <v>82</v>
      </c>
      <c r="M103" s="8">
        <v>0.38460939527288202</v>
      </c>
      <c r="N103">
        <f t="shared" si="4"/>
        <v>90</v>
      </c>
    </row>
    <row r="104" spans="2:14" x14ac:dyDescent="0.25">
      <c r="B104">
        <v>82</v>
      </c>
      <c r="C104" s="8">
        <v>0.42335966833799299</v>
      </c>
      <c r="D104">
        <f>50</f>
        <v>50</v>
      </c>
      <c r="G104">
        <v>87000</v>
      </c>
      <c r="H104" s="8">
        <v>0.43448646128229201</v>
      </c>
      <c r="I104">
        <f t="shared" si="3"/>
        <v>100000</v>
      </c>
      <c r="L104">
        <v>83</v>
      </c>
      <c r="M104" s="8">
        <v>0.39783874209910902</v>
      </c>
      <c r="N104">
        <f t="shared" si="4"/>
        <v>90</v>
      </c>
    </row>
    <row r="105" spans="2:14" x14ac:dyDescent="0.25">
      <c r="B105">
        <v>83</v>
      </c>
      <c r="C105" s="8">
        <v>0.369252435524277</v>
      </c>
      <c r="D105">
        <f>50</f>
        <v>50</v>
      </c>
      <c r="G105">
        <v>88000</v>
      </c>
      <c r="H105" s="8">
        <v>0.44922045691583001</v>
      </c>
      <c r="I105">
        <f t="shared" si="3"/>
        <v>100000</v>
      </c>
      <c r="L105">
        <v>84</v>
      </c>
      <c r="M105" s="8">
        <v>0.38789361736043099</v>
      </c>
      <c r="N105">
        <f t="shared" si="4"/>
        <v>90</v>
      </c>
    </row>
    <row r="106" spans="2:14" x14ac:dyDescent="0.25">
      <c r="B106">
        <v>84</v>
      </c>
      <c r="C106" s="8">
        <v>0.43088310003269598</v>
      </c>
      <c r="D106">
        <f>50</f>
        <v>50</v>
      </c>
      <c r="G106">
        <v>89000</v>
      </c>
      <c r="H106" s="8">
        <v>0.43589691867972102</v>
      </c>
      <c r="I106">
        <f t="shared" si="3"/>
        <v>100000</v>
      </c>
      <c r="L106">
        <v>85</v>
      </c>
      <c r="M106" s="8">
        <v>0.38333465344047302</v>
      </c>
      <c r="N106">
        <f t="shared" si="4"/>
        <v>90</v>
      </c>
    </row>
    <row r="107" spans="2:14" x14ac:dyDescent="0.25">
      <c r="B107">
        <v>85</v>
      </c>
      <c r="C107" s="8">
        <v>0.29217271633921399</v>
      </c>
      <c r="D107">
        <f>50</f>
        <v>50</v>
      </c>
      <c r="G107">
        <v>90000</v>
      </c>
      <c r="H107" s="8">
        <v>0.43467413380013398</v>
      </c>
      <c r="I107">
        <f t="shared" si="3"/>
        <v>100000</v>
      </c>
      <c r="L107">
        <v>86</v>
      </c>
      <c r="M107" s="8">
        <v>0.38668945867147703</v>
      </c>
      <c r="N107">
        <f t="shared" si="4"/>
        <v>90</v>
      </c>
    </row>
    <row r="108" spans="2:14" x14ac:dyDescent="0.25">
      <c r="B108">
        <v>86</v>
      </c>
      <c r="C108" s="8">
        <v>0.77550783420881497</v>
      </c>
      <c r="D108">
        <f>50</f>
        <v>50</v>
      </c>
      <c r="G108">
        <v>91000</v>
      </c>
      <c r="H108" s="8">
        <v>0.42878616889660498</v>
      </c>
      <c r="I108">
        <f t="shared" si="3"/>
        <v>100000</v>
      </c>
      <c r="L108">
        <v>87</v>
      </c>
      <c r="M108" s="8">
        <v>0.384808919840126</v>
      </c>
      <c r="N108">
        <f t="shared" si="4"/>
        <v>90</v>
      </c>
    </row>
    <row r="109" spans="2:14" x14ac:dyDescent="0.25">
      <c r="B109">
        <v>87</v>
      </c>
      <c r="C109" s="8">
        <v>0.48447361992383398</v>
      </c>
      <c r="D109">
        <f>50</f>
        <v>50</v>
      </c>
      <c r="G109">
        <v>92000</v>
      </c>
      <c r="H109" s="8">
        <v>0.44134938486128</v>
      </c>
      <c r="I109">
        <f t="shared" si="3"/>
        <v>100000</v>
      </c>
      <c r="L109">
        <v>88</v>
      </c>
      <c r="M109" s="8">
        <v>0.39391020203744098</v>
      </c>
      <c r="N109">
        <f t="shared" si="4"/>
        <v>90</v>
      </c>
    </row>
    <row r="110" spans="2:14" x14ac:dyDescent="0.25">
      <c r="B110">
        <v>88</v>
      </c>
      <c r="C110" s="8">
        <v>0.14678182359731401</v>
      </c>
      <c r="D110">
        <f>50</f>
        <v>50</v>
      </c>
      <c r="G110">
        <v>93000</v>
      </c>
      <c r="H110" s="8">
        <v>0.42776953616679197</v>
      </c>
      <c r="I110">
        <f t="shared" si="3"/>
        <v>100000</v>
      </c>
      <c r="L110">
        <v>89</v>
      </c>
      <c r="M110" s="8">
        <v>0.38262781055323403</v>
      </c>
      <c r="N110">
        <f t="shared" si="4"/>
        <v>90</v>
      </c>
    </row>
    <row r="111" spans="2:14" x14ac:dyDescent="0.25">
      <c r="B111">
        <v>89</v>
      </c>
      <c r="C111" s="8">
        <v>0.52278377854708402</v>
      </c>
      <c r="D111">
        <f>50</f>
        <v>50</v>
      </c>
      <c r="G111">
        <v>94000</v>
      </c>
      <c r="H111" s="8">
        <v>0.42951866337123401</v>
      </c>
      <c r="I111">
        <f t="shared" si="3"/>
        <v>100000</v>
      </c>
      <c r="L111">
        <v>90</v>
      </c>
      <c r="M111" s="8">
        <v>0.37906735280753301</v>
      </c>
      <c r="N111">
        <f t="shared" si="4"/>
        <v>100</v>
      </c>
    </row>
    <row r="112" spans="2:14" x14ac:dyDescent="0.25">
      <c r="B112">
        <v>90</v>
      </c>
      <c r="C112" s="8">
        <v>0.5541517026035</v>
      </c>
      <c r="D112">
        <f>50</f>
        <v>50</v>
      </c>
      <c r="G112">
        <v>95000</v>
      </c>
      <c r="H112" s="8">
        <v>0.43316421312483799</v>
      </c>
      <c r="I112">
        <f t="shared" si="3"/>
        <v>100000</v>
      </c>
      <c r="L112">
        <v>91</v>
      </c>
      <c r="M112" s="8">
        <v>0.386867515659159</v>
      </c>
      <c r="N112">
        <f t="shared" si="4"/>
        <v>100</v>
      </c>
    </row>
    <row r="113" spans="2:14" x14ac:dyDescent="0.25">
      <c r="B113">
        <v>91</v>
      </c>
      <c r="C113" s="8">
        <v>0.424398286992973</v>
      </c>
      <c r="D113">
        <f>50</f>
        <v>50</v>
      </c>
      <c r="G113">
        <v>96000</v>
      </c>
      <c r="H113" s="8">
        <v>0.43562363364677997</v>
      </c>
      <c r="I113">
        <f t="shared" si="3"/>
        <v>100000</v>
      </c>
      <c r="L113">
        <v>92</v>
      </c>
      <c r="M113" s="8">
        <v>0.37685021319947398</v>
      </c>
      <c r="N113">
        <f t="shared" si="4"/>
        <v>100</v>
      </c>
    </row>
    <row r="114" spans="2:14" x14ac:dyDescent="0.25">
      <c r="B114">
        <v>92</v>
      </c>
      <c r="C114" s="8">
        <v>0.59161174584393805</v>
      </c>
      <c r="D114">
        <f>50</f>
        <v>50</v>
      </c>
      <c r="G114">
        <v>97000</v>
      </c>
      <c r="H114" s="8">
        <v>0.415841435830483</v>
      </c>
      <c r="I114">
        <f t="shared" si="3"/>
        <v>100000</v>
      </c>
      <c r="L114">
        <v>93</v>
      </c>
      <c r="M114" s="8">
        <v>0.37849033886087902</v>
      </c>
      <c r="N114">
        <f t="shared" si="4"/>
        <v>100</v>
      </c>
    </row>
    <row r="115" spans="2:14" x14ac:dyDescent="0.25">
      <c r="B115">
        <v>93</v>
      </c>
      <c r="C115" s="8">
        <v>0</v>
      </c>
      <c r="D115">
        <f>50</f>
        <v>50</v>
      </c>
      <c r="G115">
        <v>98000</v>
      </c>
      <c r="H115" s="8">
        <v>0.42012852245705001</v>
      </c>
      <c r="I115">
        <f t="shared" si="3"/>
        <v>100000</v>
      </c>
      <c r="L115">
        <v>94</v>
      </c>
      <c r="M115" s="8">
        <v>0.37370611627920802</v>
      </c>
      <c r="N115">
        <f t="shared" si="4"/>
        <v>100</v>
      </c>
    </row>
    <row r="116" spans="2:14" x14ac:dyDescent="0.25">
      <c r="B116">
        <v>94</v>
      </c>
      <c r="C116" s="8">
        <v>0.87592071097680801</v>
      </c>
      <c r="D116">
        <f>50</f>
        <v>50</v>
      </c>
      <c r="G116">
        <v>99000</v>
      </c>
      <c r="H116" s="8">
        <v>0.42862234816939299</v>
      </c>
      <c r="I116">
        <f t="shared" si="3"/>
        <v>100000</v>
      </c>
      <c r="L116">
        <v>95</v>
      </c>
      <c r="M116" s="8">
        <v>0.37699534046023198</v>
      </c>
      <c r="N116">
        <f t="shared" si="4"/>
        <v>100</v>
      </c>
    </row>
    <row r="117" spans="2:14" x14ac:dyDescent="0.25">
      <c r="B117">
        <v>95</v>
      </c>
      <c r="C117" s="8">
        <v>0.76124182125148598</v>
      </c>
      <c r="D117">
        <f>50</f>
        <v>50</v>
      </c>
      <c r="G117" s="3">
        <v>100000</v>
      </c>
      <c r="H117" s="8">
        <v>0.39467640259157299</v>
      </c>
      <c r="I117">
        <f t="shared" si="3"/>
        <v>150000</v>
      </c>
      <c r="L117">
        <v>96</v>
      </c>
      <c r="M117" s="8">
        <v>0.37639418360718802</v>
      </c>
      <c r="N117">
        <f t="shared" si="4"/>
        <v>100</v>
      </c>
    </row>
    <row r="118" spans="2:14" x14ac:dyDescent="0.25">
      <c r="B118">
        <v>96</v>
      </c>
      <c r="C118" s="8">
        <v>0.76865108120533399</v>
      </c>
      <c r="D118">
        <f>50</f>
        <v>50</v>
      </c>
      <c r="G118">
        <v>101000</v>
      </c>
      <c r="H118" s="8">
        <v>0.40690634553084698</v>
      </c>
      <c r="I118">
        <f t="shared" si="3"/>
        <v>150000</v>
      </c>
      <c r="L118">
        <v>97</v>
      </c>
      <c r="M118" s="8">
        <v>0.366413070760645</v>
      </c>
      <c r="N118">
        <f t="shared" si="4"/>
        <v>100</v>
      </c>
    </row>
    <row r="119" spans="2:14" x14ac:dyDescent="0.25">
      <c r="B119">
        <v>98</v>
      </c>
      <c r="C119" s="8">
        <v>0.42430291653964097</v>
      </c>
      <c r="D119">
        <f>50</f>
        <v>50</v>
      </c>
      <c r="G119">
        <v>102000</v>
      </c>
      <c r="H119" s="8">
        <v>0.40307284048971898</v>
      </c>
      <c r="I119">
        <f t="shared" si="3"/>
        <v>150000</v>
      </c>
      <c r="L119">
        <v>98</v>
      </c>
      <c r="M119" s="8">
        <v>0.36998662627747902</v>
      </c>
      <c r="N119">
        <f t="shared" si="4"/>
        <v>100</v>
      </c>
    </row>
    <row r="120" spans="2:14" x14ac:dyDescent="0.25">
      <c r="B120">
        <v>99</v>
      </c>
      <c r="C120" s="8">
        <v>0.48565327859092899</v>
      </c>
      <c r="D120">
        <f>50</f>
        <v>50</v>
      </c>
      <c r="G120">
        <v>103000</v>
      </c>
      <c r="H120" s="8">
        <v>0.39545526597883901</v>
      </c>
      <c r="I120">
        <f t="shared" si="3"/>
        <v>150000</v>
      </c>
      <c r="L120">
        <v>99</v>
      </c>
      <c r="M120" s="8">
        <v>0.36181050139899901</v>
      </c>
      <c r="N120">
        <f t="shared" si="4"/>
        <v>100</v>
      </c>
    </row>
    <row r="121" spans="2:14" x14ac:dyDescent="0.25">
      <c r="B121">
        <v>101</v>
      </c>
      <c r="C121" s="8">
        <v>1</v>
      </c>
      <c r="D121">
        <f>50</f>
        <v>50</v>
      </c>
      <c r="G121">
        <v>104000</v>
      </c>
      <c r="H121" s="8">
        <v>0.42216014374007699</v>
      </c>
      <c r="I121">
        <f t="shared" si="3"/>
        <v>150000</v>
      </c>
      <c r="L121">
        <v>100</v>
      </c>
      <c r="M121" s="8">
        <v>0.36769756998055703</v>
      </c>
      <c r="N121">
        <f t="shared" si="4"/>
        <v>110</v>
      </c>
    </row>
    <row r="122" spans="2:14" x14ac:dyDescent="0.25">
      <c r="B122">
        <v>103</v>
      </c>
      <c r="C122" s="8">
        <v>0.89526656376463498</v>
      </c>
      <c r="D122">
        <f>50</f>
        <v>50</v>
      </c>
      <c r="G122">
        <v>105000</v>
      </c>
      <c r="H122" s="8">
        <v>0.41550910349498699</v>
      </c>
      <c r="I122">
        <f t="shared" si="3"/>
        <v>150000</v>
      </c>
      <c r="L122">
        <v>101</v>
      </c>
      <c r="M122" s="8">
        <v>0.37389636297557499</v>
      </c>
      <c r="N122">
        <f t="shared" si="4"/>
        <v>110</v>
      </c>
    </row>
    <row r="123" spans="2:14" x14ac:dyDescent="0.25">
      <c r="B123">
        <v>105</v>
      </c>
      <c r="C123" s="8">
        <v>0.30859570178812701</v>
      </c>
      <c r="D123">
        <f>50</f>
        <v>50</v>
      </c>
      <c r="G123">
        <v>106000</v>
      </c>
      <c r="H123" s="8">
        <v>0.407250651715659</v>
      </c>
      <c r="I123">
        <f t="shared" si="3"/>
        <v>150000</v>
      </c>
      <c r="L123">
        <v>102</v>
      </c>
      <c r="M123" s="8">
        <v>0.37347768119253899</v>
      </c>
      <c r="N123">
        <f t="shared" si="4"/>
        <v>110</v>
      </c>
    </row>
    <row r="124" spans="2:14" x14ac:dyDescent="0.25">
      <c r="B124">
        <v>106</v>
      </c>
      <c r="C124" s="8">
        <v>1</v>
      </c>
      <c r="D124">
        <f>50</f>
        <v>50</v>
      </c>
      <c r="G124">
        <v>107000</v>
      </c>
      <c r="H124" s="8">
        <v>0.40387142593356101</v>
      </c>
      <c r="I124">
        <f t="shared" si="3"/>
        <v>150000</v>
      </c>
      <c r="L124">
        <v>103</v>
      </c>
      <c r="M124" s="8">
        <v>0.35896127065225902</v>
      </c>
      <c r="N124">
        <f t="shared" si="4"/>
        <v>110</v>
      </c>
    </row>
    <row r="125" spans="2:14" x14ac:dyDescent="0.25">
      <c r="B125">
        <v>107</v>
      </c>
      <c r="C125" s="8">
        <v>0.80748146718105196</v>
      </c>
      <c r="D125">
        <f>50</f>
        <v>50</v>
      </c>
      <c r="G125">
        <v>108000</v>
      </c>
      <c r="H125" s="8">
        <v>0.40888798184996</v>
      </c>
      <c r="I125">
        <f t="shared" si="3"/>
        <v>150000</v>
      </c>
      <c r="L125">
        <v>104</v>
      </c>
      <c r="M125" s="8">
        <v>0.36123178684646501</v>
      </c>
      <c r="N125">
        <f t="shared" si="4"/>
        <v>110</v>
      </c>
    </row>
    <row r="126" spans="2:14" x14ac:dyDescent="0.25">
      <c r="B126">
        <v>109</v>
      </c>
      <c r="C126" s="8">
        <v>0.98966966084168395</v>
      </c>
      <c r="D126">
        <f>50</f>
        <v>50</v>
      </c>
      <c r="G126">
        <v>109000</v>
      </c>
      <c r="H126" s="8">
        <v>0.40510023675024098</v>
      </c>
      <c r="I126">
        <f t="shared" si="3"/>
        <v>150000</v>
      </c>
      <c r="L126">
        <v>105</v>
      </c>
      <c r="M126" s="8">
        <v>0.36977031787707698</v>
      </c>
      <c r="N126">
        <f t="shared" si="4"/>
        <v>110</v>
      </c>
    </row>
    <row r="127" spans="2:14" x14ac:dyDescent="0.25">
      <c r="B127">
        <v>131</v>
      </c>
      <c r="C127" s="8">
        <v>0.21736418639882801</v>
      </c>
      <c r="D127">
        <f>50</f>
        <v>50</v>
      </c>
      <c r="G127">
        <v>110000</v>
      </c>
      <c r="H127" s="8">
        <v>0.38900181315684002</v>
      </c>
      <c r="I127">
        <f t="shared" si="3"/>
        <v>150000</v>
      </c>
      <c r="L127">
        <v>106</v>
      </c>
      <c r="M127" s="8">
        <v>0.35826866220575698</v>
      </c>
      <c r="N127">
        <f t="shared" si="4"/>
        <v>110</v>
      </c>
    </row>
    <row r="128" spans="2:14" x14ac:dyDescent="0.25">
      <c r="G128">
        <v>111000</v>
      </c>
      <c r="H128" s="8">
        <v>0.39160687518443499</v>
      </c>
      <c r="I128">
        <f t="shared" si="3"/>
        <v>150000</v>
      </c>
      <c r="L128">
        <v>107</v>
      </c>
      <c r="M128" s="8">
        <v>0.37568967909547002</v>
      </c>
      <c r="N128">
        <f t="shared" si="4"/>
        <v>110</v>
      </c>
    </row>
    <row r="129" spans="7:14" x14ac:dyDescent="0.25">
      <c r="G129">
        <v>112000</v>
      </c>
      <c r="H129" s="8">
        <v>0.40048423186105098</v>
      </c>
      <c r="I129">
        <f t="shared" si="3"/>
        <v>150000</v>
      </c>
      <c r="L129">
        <v>108</v>
      </c>
      <c r="M129" s="8">
        <v>0.35430243345259699</v>
      </c>
      <c r="N129">
        <f t="shared" si="4"/>
        <v>110</v>
      </c>
    </row>
    <row r="130" spans="7:14" x14ac:dyDescent="0.25">
      <c r="G130">
        <v>113000</v>
      </c>
      <c r="H130" s="8">
        <v>0.392852887073386</v>
      </c>
      <c r="I130">
        <f t="shared" si="3"/>
        <v>150000</v>
      </c>
      <c r="L130">
        <v>109</v>
      </c>
      <c r="M130" s="8">
        <v>0.36574863723742601</v>
      </c>
      <c r="N130">
        <f t="shared" si="4"/>
        <v>110</v>
      </c>
    </row>
    <row r="131" spans="7:14" x14ac:dyDescent="0.25">
      <c r="G131">
        <v>114000</v>
      </c>
      <c r="H131" s="8">
        <v>0.38584376705254902</v>
      </c>
      <c r="I131">
        <f t="shared" si="3"/>
        <v>150000</v>
      </c>
      <c r="L131">
        <v>110</v>
      </c>
      <c r="M131" s="8">
        <v>0.36829303775719702</v>
      </c>
      <c r="N131">
        <f t="shared" si="4"/>
        <v>120</v>
      </c>
    </row>
    <row r="132" spans="7:14" x14ac:dyDescent="0.25">
      <c r="G132">
        <v>115000</v>
      </c>
      <c r="H132" s="8">
        <v>0.37832208497492198</v>
      </c>
      <c r="I132">
        <f t="shared" si="3"/>
        <v>150000</v>
      </c>
      <c r="L132">
        <v>111</v>
      </c>
      <c r="M132" s="8">
        <v>0.37473037134242998</v>
      </c>
      <c r="N132">
        <f t="shared" si="4"/>
        <v>120</v>
      </c>
    </row>
    <row r="133" spans="7:14" x14ac:dyDescent="0.25">
      <c r="G133">
        <v>116000</v>
      </c>
      <c r="H133" s="8">
        <v>0.38559555979343901</v>
      </c>
      <c r="I133">
        <f t="shared" si="3"/>
        <v>150000</v>
      </c>
      <c r="L133">
        <v>112</v>
      </c>
      <c r="M133" s="8">
        <v>0.37111204189753499</v>
      </c>
      <c r="N133">
        <f t="shared" si="4"/>
        <v>120</v>
      </c>
    </row>
    <row r="134" spans="7:14" x14ac:dyDescent="0.25">
      <c r="G134">
        <v>117000</v>
      </c>
      <c r="H134" s="8">
        <v>0.38080415072336798</v>
      </c>
      <c r="I134">
        <f t="shared" si="3"/>
        <v>150000</v>
      </c>
      <c r="L134">
        <v>113</v>
      </c>
      <c r="M134" s="8">
        <v>0.370079199872551</v>
      </c>
      <c r="N134">
        <f t="shared" si="4"/>
        <v>120</v>
      </c>
    </row>
    <row r="135" spans="7:14" x14ac:dyDescent="0.25">
      <c r="G135">
        <v>118000</v>
      </c>
      <c r="H135" s="8">
        <v>0.36802888799649702</v>
      </c>
      <c r="I135">
        <f t="shared" si="3"/>
        <v>150000</v>
      </c>
      <c r="L135">
        <v>114</v>
      </c>
      <c r="M135" s="8">
        <v>0.36395162760576399</v>
      </c>
      <c r="N135">
        <f t="shared" si="4"/>
        <v>120</v>
      </c>
    </row>
    <row r="136" spans="7:14" x14ac:dyDescent="0.25">
      <c r="G136">
        <v>119000</v>
      </c>
      <c r="H136" s="8">
        <v>0.39263553560782399</v>
      </c>
      <c r="I136">
        <f t="shared" si="3"/>
        <v>150000</v>
      </c>
      <c r="L136">
        <v>115</v>
      </c>
      <c r="M136" s="8">
        <v>0.37566104195823102</v>
      </c>
      <c r="N136">
        <f t="shared" si="4"/>
        <v>120</v>
      </c>
    </row>
    <row r="137" spans="7:14" x14ac:dyDescent="0.25">
      <c r="G137">
        <v>120000</v>
      </c>
      <c r="H137" s="8">
        <v>0.38431039823994101</v>
      </c>
      <c r="I137">
        <f t="shared" si="3"/>
        <v>150000</v>
      </c>
      <c r="L137">
        <v>116</v>
      </c>
      <c r="M137" s="8">
        <v>0.35514297242494203</v>
      </c>
      <c r="N137">
        <f t="shared" si="4"/>
        <v>120</v>
      </c>
    </row>
    <row r="138" spans="7:14" x14ac:dyDescent="0.25">
      <c r="G138">
        <v>121000</v>
      </c>
      <c r="H138" s="8">
        <v>0.36722570630957402</v>
      </c>
      <c r="I138">
        <f t="shared" si="3"/>
        <v>150000</v>
      </c>
      <c r="L138">
        <v>117</v>
      </c>
      <c r="M138" s="8">
        <v>0.34918406297293503</v>
      </c>
      <c r="N138">
        <f t="shared" si="4"/>
        <v>120</v>
      </c>
    </row>
    <row r="139" spans="7:14" x14ac:dyDescent="0.25">
      <c r="G139">
        <v>122000</v>
      </c>
      <c r="H139" s="8">
        <v>0.37171251742204597</v>
      </c>
      <c r="I139">
        <f t="shared" si="3"/>
        <v>150000</v>
      </c>
      <c r="L139">
        <v>118</v>
      </c>
      <c r="M139" s="8">
        <v>0.360532156488935</v>
      </c>
      <c r="N139">
        <f t="shared" si="4"/>
        <v>120</v>
      </c>
    </row>
    <row r="140" spans="7:14" x14ac:dyDescent="0.25">
      <c r="G140">
        <v>123000</v>
      </c>
      <c r="H140" s="8">
        <v>0.37161153852656398</v>
      </c>
      <c r="I140">
        <f t="shared" si="3"/>
        <v>150000</v>
      </c>
      <c r="L140">
        <v>119</v>
      </c>
      <c r="M140" s="8">
        <v>0.36088223492145899</v>
      </c>
      <c r="N140">
        <f t="shared" si="4"/>
        <v>120</v>
      </c>
    </row>
    <row r="141" spans="7:14" x14ac:dyDescent="0.25">
      <c r="G141">
        <v>124000</v>
      </c>
      <c r="H141" s="8">
        <v>0.40281049433704302</v>
      </c>
      <c r="I141">
        <f t="shared" si="3"/>
        <v>150000</v>
      </c>
      <c r="L141">
        <v>120</v>
      </c>
      <c r="M141" s="8">
        <v>0.363122814164062</v>
      </c>
      <c r="N141">
        <f t="shared" si="4"/>
        <v>130</v>
      </c>
    </row>
    <row r="142" spans="7:14" x14ac:dyDescent="0.25">
      <c r="G142">
        <v>125000</v>
      </c>
      <c r="H142" s="8">
        <v>0.35888705622373102</v>
      </c>
      <c r="I142">
        <f t="shared" si="3"/>
        <v>150000</v>
      </c>
      <c r="L142">
        <v>121</v>
      </c>
      <c r="M142" s="8">
        <v>0.37854624787241098</v>
      </c>
      <c r="N142">
        <f t="shared" si="4"/>
        <v>130</v>
      </c>
    </row>
    <row r="143" spans="7:14" x14ac:dyDescent="0.25">
      <c r="G143">
        <v>126000</v>
      </c>
      <c r="H143" s="8">
        <v>0.37296177501440703</v>
      </c>
      <c r="I143">
        <f t="shared" si="3"/>
        <v>150000</v>
      </c>
      <c r="L143">
        <v>122</v>
      </c>
      <c r="M143" s="8">
        <v>0.36502261214624099</v>
      </c>
      <c r="N143">
        <f t="shared" si="4"/>
        <v>130</v>
      </c>
    </row>
    <row r="144" spans="7:14" x14ac:dyDescent="0.25">
      <c r="G144">
        <v>127000</v>
      </c>
      <c r="H144" s="8">
        <v>0.34942680313695601</v>
      </c>
      <c r="I144">
        <f t="shared" si="3"/>
        <v>150000</v>
      </c>
      <c r="L144">
        <v>123</v>
      </c>
      <c r="M144" s="8">
        <v>0.35506220403254202</v>
      </c>
      <c r="N144">
        <f t="shared" si="4"/>
        <v>130</v>
      </c>
    </row>
    <row r="145" spans="7:14" x14ac:dyDescent="0.25">
      <c r="G145">
        <v>128000</v>
      </c>
      <c r="H145" s="8">
        <v>0.39328290302128099</v>
      </c>
      <c r="I145">
        <f t="shared" si="3"/>
        <v>150000</v>
      </c>
      <c r="L145">
        <v>124</v>
      </c>
      <c r="M145" s="8">
        <v>0.37143662320851001</v>
      </c>
      <c r="N145">
        <f t="shared" si="4"/>
        <v>130</v>
      </c>
    </row>
    <row r="146" spans="7:14" x14ac:dyDescent="0.25">
      <c r="G146">
        <v>129000</v>
      </c>
      <c r="H146" s="8">
        <v>0.36650066342543502</v>
      </c>
      <c r="I146">
        <f t="shared" si="3"/>
        <v>150000</v>
      </c>
      <c r="L146">
        <v>125</v>
      </c>
      <c r="M146" s="8">
        <v>0.38593806722005097</v>
      </c>
      <c r="N146">
        <f t="shared" si="4"/>
        <v>130</v>
      </c>
    </row>
    <row r="147" spans="7:14" x14ac:dyDescent="0.25">
      <c r="G147">
        <v>130000</v>
      </c>
      <c r="H147" s="8">
        <v>0.36958128713202498</v>
      </c>
      <c r="I147">
        <f t="shared" si="3"/>
        <v>150000</v>
      </c>
      <c r="L147">
        <v>126</v>
      </c>
      <c r="M147" s="8">
        <v>0.39098750045794201</v>
      </c>
      <c r="N147">
        <f t="shared" si="4"/>
        <v>130</v>
      </c>
    </row>
    <row r="148" spans="7:14" x14ac:dyDescent="0.25">
      <c r="G148">
        <v>131000</v>
      </c>
      <c r="H148" s="8">
        <v>0.37075425240547399</v>
      </c>
      <c r="I148">
        <f t="shared" si="3"/>
        <v>150000</v>
      </c>
      <c r="L148">
        <v>127</v>
      </c>
      <c r="M148" s="8">
        <v>0.34836282716044997</v>
      </c>
      <c r="N148">
        <f t="shared" si="4"/>
        <v>130</v>
      </c>
    </row>
    <row r="149" spans="7:14" x14ac:dyDescent="0.25">
      <c r="G149">
        <v>132000</v>
      </c>
      <c r="H149" s="8">
        <v>0.37891388627554401</v>
      </c>
      <c r="I149">
        <f t="shared" si="3"/>
        <v>150000</v>
      </c>
      <c r="L149">
        <v>128</v>
      </c>
      <c r="M149" s="8">
        <v>0.34016175129987403</v>
      </c>
      <c r="N149">
        <f t="shared" si="4"/>
        <v>130</v>
      </c>
    </row>
    <row r="150" spans="7:14" x14ac:dyDescent="0.25">
      <c r="G150">
        <v>133000</v>
      </c>
      <c r="H150" s="8">
        <v>0.37913701344265099</v>
      </c>
      <c r="I150">
        <f t="shared" si="3"/>
        <v>150000</v>
      </c>
      <c r="L150">
        <v>129</v>
      </c>
      <c r="M150" s="8">
        <v>0.36471555768026598</v>
      </c>
      <c r="N150">
        <f t="shared" si="4"/>
        <v>130</v>
      </c>
    </row>
    <row r="151" spans="7:14" x14ac:dyDescent="0.25">
      <c r="G151">
        <v>134000</v>
      </c>
      <c r="H151" s="8">
        <v>0.360994739323867</v>
      </c>
      <c r="I151">
        <f t="shared" si="3"/>
        <v>150000</v>
      </c>
      <c r="L151">
        <v>130</v>
      </c>
      <c r="M151" s="8">
        <v>0.36942730126331702</v>
      </c>
      <c r="N151">
        <f t="shared" si="4"/>
        <v>140</v>
      </c>
    </row>
    <row r="152" spans="7:14" x14ac:dyDescent="0.25">
      <c r="G152">
        <v>135000</v>
      </c>
      <c r="H152" s="8">
        <v>0.37710006848049499</v>
      </c>
      <c r="I152">
        <f t="shared" si="3"/>
        <v>150000</v>
      </c>
      <c r="L152">
        <v>131</v>
      </c>
      <c r="M152" s="8">
        <v>0.38114527074614502</v>
      </c>
      <c r="N152">
        <f t="shared" si="4"/>
        <v>140</v>
      </c>
    </row>
    <row r="153" spans="7:14" x14ac:dyDescent="0.25">
      <c r="G153">
        <v>136000</v>
      </c>
      <c r="H153" s="8">
        <v>0.37136936875863102</v>
      </c>
      <c r="I153">
        <f t="shared" ref="I153:I216" si="5">INT(G153/50000)*50000+50000</f>
        <v>150000</v>
      </c>
      <c r="L153">
        <v>132</v>
      </c>
      <c r="M153" s="8">
        <v>0.37416289865018298</v>
      </c>
      <c r="N153">
        <f t="shared" ref="N153:N207" si="6">INT(L153/10)*10+10</f>
        <v>140</v>
      </c>
    </row>
    <row r="154" spans="7:14" x14ac:dyDescent="0.25">
      <c r="G154">
        <v>137000</v>
      </c>
      <c r="H154" s="8">
        <v>0.352979154518892</v>
      </c>
      <c r="I154">
        <f t="shared" si="5"/>
        <v>150000</v>
      </c>
      <c r="L154">
        <v>133</v>
      </c>
      <c r="M154" s="8">
        <v>0.399193477116424</v>
      </c>
      <c r="N154">
        <f t="shared" si="6"/>
        <v>140</v>
      </c>
    </row>
    <row r="155" spans="7:14" x14ac:dyDescent="0.25">
      <c r="G155">
        <v>138000</v>
      </c>
      <c r="H155" s="8">
        <v>0.36472612543452798</v>
      </c>
      <c r="I155">
        <f t="shared" si="5"/>
        <v>150000</v>
      </c>
      <c r="L155">
        <v>134</v>
      </c>
      <c r="M155" s="8">
        <v>0.38835076744008601</v>
      </c>
      <c r="N155">
        <f t="shared" si="6"/>
        <v>140</v>
      </c>
    </row>
    <row r="156" spans="7:14" x14ac:dyDescent="0.25">
      <c r="G156">
        <v>139000</v>
      </c>
      <c r="H156" s="8">
        <v>0.34845500266969698</v>
      </c>
      <c r="I156">
        <f t="shared" si="5"/>
        <v>150000</v>
      </c>
      <c r="L156">
        <v>135</v>
      </c>
      <c r="M156" s="8">
        <v>0.38872188268590602</v>
      </c>
      <c r="N156">
        <f t="shared" si="6"/>
        <v>140</v>
      </c>
    </row>
    <row r="157" spans="7:14" x14ac:dyDescent="0.25">
      <c r="G157">
        <v>140000</v>
      </c>
      <c r="H157" s="8">
        <v>0.37658329708476201</v>
      </c>
      <c r="I157">
        <f t="shared" si="5"/>
        <v>150000</v>
      </c>
      <c r="L157">
        <v>136</v>
      </c>
      <c r="M157" s="8">
        <v>0.40079059706244002</v>
      </c>
      <c r="N157">
        <f t="shared" si="6"/>
        <v>140</v>
      </c>
    </row>
    <row r="158" spans="7:14" x14ac:dyDescent="0.25">
      <c r="G158">
        <v>141000</v>
      </c>
      <c r="H158" s="8">
        <v>0.351027814086598</v>
      </c>
      <c r="I158">
        <f t="shared" si="5"/>
        <v>150000</v>
      </c>
      <c r="L158">
        <v>137</v>
      </c>
      <c r="M158" s="8">
        <v>0.408906969993514</v>
      </c>
      <c r="N158">
        <f t="shared" si="6"/>
        <v>140</v>
      </c>
    </row>
    <row r="159" spans="7:14" x14ac:dyDescent="0.25">
      <c r="G159">
        <v>142000</v>
      </c>
      <c r="H159" s="8">
        <v>0.36133179220476802</v>
      </c>
      <c r="I159">
        <f t="shared" si="5"/>
        <v>150000</v>
      </c>
      <c r="L159">
        <v>138</v>
      </c>
      <c r="M159" s="8">
        <v>0.40083915951648602</v>
      </c>
      <c r="N159">
        <f t="shared" si="6"/>
        <v>140</v>
      </c>
    </row>
    <row r="160" spans="7:14" x14ac:dyDescent="0.25">
      <c r="G160">
        <v>143000</v>
      </c>
      <c r="H160" s="8">
        <v>0.37916562848563001</v>
      </c>
      <c r="I160">
        <f t="shared" si="5"/>
        <v>150000</v>
      </c>
      <c r="L160">
        <v>139</v>
      </c>
      <c r="M160" s="8">
        <v>0.40842288096558199</v>
      </c>
      <c r="N160">
        <f t="shared" si="6"/>
        <v>140</v>
      </c>
    </row>
    <row r="161" spans="7:14" x14ac:dyDescent="0.25">
      <c r="G161">
        <v>144000</v>
      </c>
      <c r="H161" s="8">
        <v>0.37937065006349802</v>
      </c>
      <c r="I161">
        <f t="shared" si="5"/>
        <v>150000</v>
      </c>
      <c r="L161">
        <v>140</v>
      </c>
      <c r="M161" s="8">
        <v>0.38626095124877802</v>
      </c>
      <c r="N161">
        <f t="shared" si="6"/>
        <v>150</v>
      </c>
    </row>
    <row r="162" spans="7:14" x14ac:dyDescent="0.25">
      <c r="G162">
        <v>145000</v>
      </c>
      <c r="H162" s="8">
        <v>0.36250099317816997</v>
      </c>
      <c r="I162">
        <f t="shared" si="5"/>
        <v>150000</v>
      </c>
      <c r="L162">
        <v>141</v>
      </c>
      <c r="M162" s="8">
        <v>0.426458717474968</v>
      </c>
      <c r="N162">
        <f t="shared" si="6"/>
        <v>150</v>
      </c>
    </row>
    <row r="163" spans="7:14" x14ac:dyDescent="0.25">
      <c r="G163">
        <v>146000</v>
      </c>
      <c r="H163" s="8">
        <v>0.35390144908891902</v>
      </c>
      <c r="I163">
        <f t="shared" si="5"/>
        <v>150000</v>
      </c>
      <c r="L163">
        <v>142</v>
      </c>
      <c r="M163" s="8">
        <v>0.415943431756997</v>
      </c>
      <c r="N163">
        <f t="shared" si="6"/>
        <v>150</v>
      </c>
    </row>
    <row r="164" spans="7:14" x14ac:dyDescent="0.25">
      <c r="G164">
        <v>147000</v>
      </c>
      <c r="H164" s="8">
        <v>0.37181461935663201</v>
      </c>
      <c r="I164">
        <f t="shared" si="5"/>
        <v>150000</v>
      </c>
      <c r="L164">
        <v>143</v>
      </c>
      <c r="M164" s="8">
        <v>0.401533267758095</v>
      </c>
      <c r="N164">
        <f t="shared" si="6"/>
        <v>150</v>
      </c>
    </row>
    <row r="165" spans="7:14" x14ac:dyDescent="0.25">
      <c r="G165">
        <v>148000</v>
      </c>
      <c r="H165" s="8">
        <v>0.36729822213630298</v>
      </c>
      <c r="I165">
        <f t="shared" si="5"/>
        <v>150000</v>
      </c>
      <c r="L165">
        <v>144</v>
      </c>
      <c r="M165" s="8">
        <v>0.41203151230245899</v>
      </c>
      <c r="N165">
        <f t="shared" si="6"/>
        <v>150</v>
      </c>
    </row>
    <row r="166" spans="7:14" x14ac:dyDescent="0.25">
      <c r="G166">
        <v>149000</v>
      </c>
      <c r="H166" s="8">
        <v>0.37148917234621298</v>
      </c>
      <c r="I166">
        <f t="shared" si="5"/>
        <v>150000</v>
      </c>
      <c r="L166">
        <v>145</v>
      </c>
      <c r="M166" s="8">
        <v>0.413470096627027</v>
      </c>
      <c r="N166">
        <f t="shared" si="6"/>
        <v>150</v>
      </c>
    </row>
    <row r="167" spans="7:14" x14ac:dyDescent="0.25">
      <c r="G167">
        <v>150000</v>
      </c>
      <c r="H167" s="8">
        <v>0.36186236691733598</v>
      </c>
      <c r="I167">
        <f t="shared" si="5"/>
        <v>200000</v>
      </c>
      <c r="L167">
        <v>146</v>
      </c>
      <c r="M167" s="8">
        <v>0.413583159039698</v>
      </c>
      <c r="N167">
        <f t="shared" si="6"/>
        <v>150</v>
      </c>
    </row>
    <row r="168" spans="7:14" x14ac:dyDescent="0.25">
      <c r="G168">
        <v>151000</v>
      </c>
      <c r="H168" s="8">
        <v>0.34614828957146199</v>
      </c>
      <c r="I168">
        <f t="shared" si="5"/>
        <v>200000</v>
      </c>
      <c r="L168">
        <v>147</v>
      </c>
      <c r="M168" s="8">
        <v>0.42331010657798601</v>
      </c>
      <c r="N168">
        <f t="shared" si="6"/>
        <v>150</v>
      </c>
    </row>
    <row r="169" spans="7:14" x14ac:dyDescent="0.25">
      <c r="G169">
        <v>152000</v>
      </c>
      <c r="H169" s="8">
        <v>0.36467961697874302</v>
      </c>
      <c r="I169">
        <f t="shared" si="5"/>
        <v>200000</v>
      </c>
      <c r="L169">
        <v>148</v>
      </c>
      <c r="M169" s="8">
        <v>0.37455688658348502</v>
      </c>
      <c r="N169">
        <f t="shared" si="6"/>
        <v>150</v>
      </c>
    </row>
    <row r="170" spans="7:14" x14ac:dyDescent="0.25">
      <c r="G170">
        <v>153000</v>
      </c>
      <c r="H170" s="8">
        <v>0.36834913712133799</v>
      </c>
      <c r="I170">
        <f t="shared" si="5"/>
        <v>200000</v>
      </c>
      <c r="L170">
        <v>149</v>
      </c>
      <c r="M170" s="8">
        <v>0.396426165113128</v>
      </c>
      <c r="N170">
        <f t="shared" si="6"/>
        <v>150</v>
      </c>
    </row>
    <row r="171" spans="7:14" x14ac:dyDescent="0.25">
      <c r="G171">
        <v>154000</v>
      </c>
      <c r="H171" s="8">
        <v>0.34676701069056198</v>
      </c>
      <c r="I171">
        <f t="shared" si="5"/>
        <v>200000</v>
      </c>
      <c r="L171">
        <v>150</v>
      </c>
      <c r="M171" s="8">
        <v>0.43022287000933701</v>
      </c>
      <c r="N171">
        <f t="shared" si="6"/>
        <v>160</v>
      </c>
    </row>
    <row r="172" spans="7:14" x14ac:dyDescent="0.25">
      <c r="G172">
        <v>155000</v>
      </c>
      <c r="H172" s="8">
        <v>0.36165808134875499</v>
      </c>
      <c r="I172">
        <f t="shared" si="5"/>
        <v>200000</v>
      </c>
      <c r="L172">
        <v>151</v>
      </c>
      <c r="M172" s="8">
        <v>0.36401649755932902</v>
      </c>
      <c r="N172">
        <f t="shared" si="6"/>
        <v>160</v>
      </c>
    </row>
    <row r="173" spans="7:14" x14ac:dyDescent="0.25">
      <c r="G173">
        <v>156000</v>
      </c>
      <c r="H173" s="8">
        <v>0.36523761313530301</v>
      </c>
      <c r="I173">
        <f t="shared" si="5"/>
        <v>200000</v>
      </c>
      <c r="L173">
        <v>152</v>
      </c>
      <c r="M173" s="8">
        <v>0.458752349948987</v>
      </c>
      <c r="N173">
        <f t="shared" si="6"/>
        <v>160</v>
      </c>
    </row>
    <row r="174" spans="7:14" x14ac:dyDescent="0.25">
      <c r="G174">
        <v>157000</v>
      </c>
      <c r="H174" s="8">
        <v>0.36130831421327197</v>
      </c>
      <c r="I174">
        <f t="shared" si="5"/>
        <v>200000</v>
      </c>
      <c r="L174">
        <v>153</v>
      </c>
      <c r="M174" s="8">
        <v>0.46506515185896102</v>
      </c>
      <c r="N174">
        <f t="shared" si="6"/>
        <v>160</v>
      </c>
    </row>
    <row r="175" spans="7:14" x14ac:dyDescent="0.25">
      <c r="G175">
        <v>158000</v>
      </c>
      <c r="H175" s="8">
        <v>0.36992092615050298</v>
      </c>
      <c r="I175">
        <f t="shared" si="5"/>
        <v>200000</v>
      </c>
      <c r="L175">
        <v>154</v>
      </c>
      <c r="M175" s="8">
        <v>0.395173428191613</v>
      </c>
      <c r="N175">
        <f t="shared" si="6"/>
        <v>160</v>
      </c>
    </row>
    <row r="176" spans="7:14" x14ac:dyDescent="0.25">
      <c r="G176">
        <v>159000</v>
      </c>
      <c r="H176" s="8">
        <v>0.33090671070034999</v>
      </c>
      <c r="I176">
        <f t="shared" si="5"/>
        <v>200000</v>
      </c>
      <c r="L176">
        <v>155</v>
      </c>
      <c r="M176" s="8">
        <v>0.41630609909006999</v>
      </c>
      <c r="N176">
        <f t="shared" si="6"/>
        <v>160</v>
      </c>
    </row>
    <row r="177" spans="7:14" x14ac:dyDescent="0.25">
      <c r="G177">
        <v>160000</v>
      </c>
      <c r="H177" s="8">
        <v>0.36534021677527601</v>
      </c>
      <c r="I177">
        <f t="shared" si="5"/>
        <v>200000</v>
      </c>
      <c r="L177">
        <v>156</v>
      </c>
      <c r="M177" s="8">
        <v>0.44894813785531801</v>
      </c>
      <c r="N177">
        <f t="shared" si="6"/>
        <v>160</v>
      </c>
    </row>
    <row r="178" spans="7:14" x14ac:dyDescent="0.25">
      <c r="G178">
        <v>161000</v>
      </c>
      <c r="H178" s="8">
        <v>0.35827500419423097</v>
      </c>
      <c r="I178">
        <f t="shared" si="5"/>
        <v>200000</v>
      </c>
      <c r="L178">
        <v>157</v>
      </c>
      <c r="M178" s="8">
        <v>0.40598476988471</v>
      </c>
      <c r="N178">
        <f t="shared" si="6"/>
        <v>160</v>
      </c>
    </row>
    <row r="179" spans="7:14" x14ac:dyDescent="0.25">
      <c r="G179">
        <v>162000</v>
      </c>
      <c r="H179" s="8">
        <v>0.35452170561811802</v>
      </c>
      <c r="I179">
        <f t="shared" si="5"/>
        <v>200000</v>
      </c>
      <c r="L179">
        <v>158</v>
      </c>
      <c r="M179" s="8">
        <v>0.36883700598017299</v>
      </c>
      <c r="N179">
        <f t="shared" si="6"/>
        <v>160</v>
      </c>
    </row>
    <row r="180" spans="7:14" x14ac:dyDescent="0.25">
      <c r="G180">
        <v>163000</v>
      </c>
      <c r="H180" s="8">
        <v>0.34795008057816001</v>
      </c>
      <c r="I180">
        <f t="shared" si="5"/>
        <v>200000</v>
      </c>
      <c r="L180">
        <v>159</v>
      </c>
      <c r="M180" s="8">
        <v>0.37646260081043398</v>
      </c>
      <c r="N180">
        <f t="shared" si="6"/>
        <v>160</v>
      </c>
    </row>
    <row r="181" spans="7:14" x14ac:dyDescent="0.25">
      <c r="G181">
        <v>164000</v>
      </c>
      <c r="H181" s="8">
        <v>0.358496953562081</v>
      </c>
      <c r="I181">
        <f t="shared" si="5"/>
        <v>200000</v>
      </c>
      <c r="L181">
        <v>160</v>
      </c>
      <c r="M181" s="8">
        <v>0.36683322778861599</v>
      </c>
      <c r="N181">
        <f t="shared" si="6"/>
        <v>170</v>
      </c>
    </row>
    <row r="182" spans="7:14" x14ac:dyDescent="0.25">
      <c r="G182">
        <v>165000</v>
      </c>
      <c r="H182" s="8">
        <v>0.36263519330696498</v>
      </c>
      <c r="I182">
        <f t="shared" si="5"/>
        <v>200000</v>
      </c>
      <c r="L182">
        <v>161</v>
      </c>
      <c r="M182" s="8">
        <v>0.33547452753647899</v>
      </c>
      <c r="N182">
        <f t="shared" si="6"/>
        <v>170</v>
      </c>
    </row>
    <row r="183" spans="7:14" x14ac:dyDescent="0.25">
      <c r="G183">
        <v>166000</v>
      </c>
      <c r="H183" s="8">
        <v>0.36442239379116398</v>
      </c>
      <c r="I183">
        <f t="shared" si="5"/>
        <v>200000</v>
      </c>
      <c r="L183">
        <v>162</v>
      </c>
      <c r="M183" s="8">
        <v>0.35800842211438999</v>
      </c>
      <c r="N183">
        <f t="shared" si="6"/>
        <v>170</v>
      </c>
    </row>
    <row r="184" spans="7:14" x14ac:dyDescent="0.25">
      <c r="G184">
        <v>167000</v>
      </c>
      <c r="H184" s="8">
        <v>0.35844460593189897</v>
      </c>
      <c r="I184">
        <f t="shared" si="5"/>
        <v>200000</v>
      </c>
      <c r="L184">
        <v>163</v>
      </c>
      <c r="M184" s="8">
        <v>0.378850547619761</v>
      </c>
      <c r="N184">
        <f t="shared" si="6"/>
        <v>170</v>
      </c>
    </row>
    <row r="185" spans="7:14" x14ac:dyDescent="0.25">
      <c r="G185">
        <v>168000</v>
      </c>
      <c r="H185" s="8">
        <v>0.37199623378401397</v>
      </c>
      <c r="I185">
        <f t="shared" si="5"/>
        <v>200000</v>
      </c>
      <c r="L185">
        <v>164</v>
      </c>
      <c r="M185" s="8">
        <v>0.34627024082215402</v>
      </c>
      <c r="N185">
        <f t="shared" si="6"/>
        <v>170</v>
      </c>
    </row>
    <row r="186" spans="7:14" x14ac:dyDescent="0.25">
      <c r="G186">
        <v>169000</v>
      </c>
      <c r="H186" s="8">
        <v>0.35775982241932602</v>
      </c>
      <c r="I186">
        <f t="shared" si="5"/>
        <v>200000</v>
      </c>
      <c r="L186">
        <v>165</v>
      </c>
      <c r="M186" s="8">
        <v>0.33372496830991799</v>
      </c>
      <c r="N186">
        <f t="shared" si="6"/>
        <v>170</v>
      </c>
    </row>
    <row r="187" spans="7:14" x14ac:dyDescent="0.25">
      <c r="G187">
        <v>170000</v>
      </c>
      <c r="H187" s="8">
        <v>0.36627880710035599</v>
      </c>
      <c r="I187">
        <f t="shared" si="5"/>
        <v>200000</v>
      </c>
      <c r="L187">
        <v>166</v>
      </c>
      <c r="M187" s="8">
        <v>0.43500658170748302</v>
      </c>
      <c r="N187">
        <f t="shared" si="6"/>
        <v>170</v>
      </c>
    </row>
    <row r="188" spans="7:14" x14ac:dyDescent="0.25">
      <c r="G188">
        <v>171000</v>
      </c>
      <c r="H188" s="8">
        <v>0.35964592985205002</v>
      </c>
      <c r="I188">
        <f t="shared" si="5"/>
        <v>200000</v>
      </c>
      <c r="L188">
        <v>167</v>
      </c>
      <c r="M188" s="8">
        <v>0.40543121072712202</v>
      </c>
      <c r="N188">
        <f t="shared" si="6"/>
        <v>170</v>
      </c>
    </row>
    <row r="189" spans="7:14" x14ac:dyDescent="0.25">
      <c r="G189">
        <v>172000</v>
      </c>
      <c r="H189" s="8">
        <v>0.36263136155196002</v>
      </c>
      <c r="I189">
        <f t="shared" si="5"/>
        <v>200000</v>
      </c>
      <c r="L189">
        <v>168</v>
      </c>
      <c r="M189" s="8">
        <v>0.398522460270685</v>
      </c>
      <c r="N189">
        <f t="shared" si="6"/>
        <v>170</v>
      </c>
    </row>
    <row r="190" spans="7:14" x14ac:dyDescent="0.25">
      <c r="G190">
        <v>173000</v>
      </c>
      <c r="H190" s="8">
        <v>0.35713409617729303</v>
      </c>
      <c r="I190">
        <f t="shared" si="5"/>
        <v>200000</v>
      </c>
      <c r="L190">
        <v>169</v>
      </c>
      <c r="M190" s="8">
        <v>0.323627641670513</v>
      </c>
      <c r="N190">
        <f t="shared" si="6"/>
        <v>170</v>
      </c>
    </row>
    <row r="191" spans="7:14" x14ac:dyDescent="0.25">
      <c r="G191">
        <v>174000</v>
      </c>
      <c r="H191" s="8">
        <v>0.36220667789434602</v>
      </c>
      <c r="I191">
        <f t="shared" si="5"/>
        <v>200000</v>
      </c>
      <c r="L191">
        <v>170</v>
      </c>
      <c r="M191" s="8">
        <v>0.31291996407966399</v>
      </c>
      <c r="N191">
        <f t="shared" si="6"/>
        <v>180</v>
      </c>
    </row>
    <row r="192" spans="7:14" x14ac:dyDescent="0.25">
      <c r="G192">
        <v>175000</v>
      </c>
      <c r="H192" s="8">
        <v>0.36192429628374201</v>
      </c>
      <c r="I192">
        <f t="shared" si="5"/>
        <v>200000</v>
      </c>
      <c r="L192">
        <v>171</v>
      </c>
      <c r="M192" s="8">
        <v>0.287160367981936</v>
      </c>
      <c r="N192">
        <f t="shared" si="6"/>
        <v>180</v>
      </c>
    </row>
    <row r="193" spans="7:14" x14ac:dyDescent="0.25">
      <c r="G193">
        <v>176000</v>
      </c>
      <c r="H193" s="8">
        <v>0.38534582626341002</v>
      </c>
      <c r="I193">
        <f t="shared" si="5"/>
        <v>200000</v>
      </c>
      <c r="L193">
        <v>172</v>
      </c>
      <c r="M193" s="8">
        <v>0.36861186815856201</v>
      </c>
      <c r="N193">
        <f t="shared" si="6"/>
        <v>180</v>
      </c>
    </row>
    <row r="194" spans="7:14" x14ac:dyDescent="0.25">
      <c r="G194">
        <v>177000</v>
      </c>
      <c r="H194" s="8">
        <v>0.33613770563689399</v>
      </c>
      <c r="I194">
        <f t="shared" si="5"/>
        <v>200000</v>
      </c>
      <c r="L194">
        <v>173</v>
      </c>
      <c r="M194" s="8">
        <v>0.27414292116537797</v>
      </c>
      <c r="N194">
        <f t="shared" si="6"/>
        <v>180</v>
      </c>
    </row>
    <row r="195" spans="7:14" x14ac:dyDescent="0.25">
      <c r="G195">
        <v>178000</v>
      </c>
      <c r="H195" s="8">
        <v>0.35131281202895998</v>
      </c>
      <c r="I195">
        <f t="shared" si="5"/>
        <v>200000</v>
      </c>
      <c r="L195">
        <v>174</v>
      </c>
      <c r="M195" s="8">
        <v>0.281451034894041</v>
      </c>
      <c r="N195">
        <f t="shared" si="6"/>
        <v>180</v>
      </c>
    </row>
    <row r="196" spans="7:14" x14ac:dyDescent="0.25">
      <c r="G196">
        <v>179000</v>
      </c>
      <c r="H196" s="8">
        <v>0.35564819482452598</v>
      </c>
      <c r="I196">
        <f t="shared" si="5"/>
        <v>200000</v>
      </c>
      <c r="L196">
        <v>175</v>
      </c>
      <c r="M196" s="8">
        <v>0.37238299369540501</v>
      </c>
      <c r="N196">
        <f t="shared" si="6"/>
        <v>180</v>
      </c>
    </row>
    <row r="197" spans="7:14" x14ac:dyDescent="0.25">
      <c r="G197">
        <v>180000</v>
      </c>
      <c r="H197" s="8">
        <v>0.37287852425093498</v>
      </c>
      <c r="I197">
        <f t="shared" si="5"/>
        <v>200000</v>
      </c>
      <c r="L197">
        <v>176</v>
      </c>
      <c r="M197" s="8">
        <v>0.41741178861968398</v>
      </c>
      <c r="N197">
        <f t="shared" si="6"/>
        <v>180</v>
      </c>
    </row>
    <row r="198" spans="7:14" x14ac:dyDescent="0.25">
      <c r="G198">
        <v>181000</v>
      </c>
      <c r="H198" s="8">
        <v>0.34711121482158203</v>
      </c>
      <c r="I198">
        <f t="shared" si="5"/>
        <v>200000</v>
      </c>
      <c r="L198">
        <v>177</v>
      </c>
      <c r="M198" s="8">
        <v>0.33240867447479</v>
      </c>
      <c r="N198">
        <f t="shared" si="6"/>
        <v>180</v>
      </c>
    </row>
    <row r="199" spans="7:14" x14ac:dyDescent="0.25">
      <c r="G199">
        <v>182000</v>
      </c>
      <c r="H199" s="8">
        <v>0.35504493087702998</v>
      </c>
      <c r="I199">
        <f t="shared" si="5"/>
        <v>200000</v>
      </c>
      <c r="L199">
        <v>178</v>
      </c>
      <c r="M199" s="8">
        <v>0.35391645002771899</v>
      </c>
      <c r="N199">
        <f t="shared" si="6"/>
        <v>180</v>
      </c>
    </row>
    <row r="200" spans="7:14" x14ac:dyDescent="0.25">
      <c r="G200">
        <v>183000</v>
      </c>
      <c r="H200" s="8">
        <v>0.37118157445160399</v>
      </c>
      <c r="I200">
        <f t="shared" si="5"/>
        <v>200000</v>
      </c>
      <c r="L200">
        <v>179</v>
      </c>
      <c r="M200" s="8">
        <v>0.404799431971615</v>
      </c>
      <c r="N200">
        <f t="shared" si="6"/>
        <v>180</v>
      </c>
    </row>
    <row r="201" spans="7:14" x14ac:dyDescent="0.25">
      <c r="G201">
        <v>184000</v>
      </c>
      <c r="H201" s="8">
        <v>0.36030270794417202</v>
      </c>
      <c r="I201">
        <f t="shared" si="5"/>
        <v>200000</v>
      </c>
      <c r="L201">
        <v>180</v>
      </c>
      <c r="M201" s="8">
        <v>0.43984306265404899</v>
      </c>
      <c r="N201">
        <f t="shared" si="6"/>
        <v>190</v>
      </c>
    </row>
    <row r="202" spans="7:14" x14ac:dyDescent="0.25">
      <c r="G202">
        <v>185000</v>
      </c>
      <c r="H202" s="8">
        <v>0.383520649035755</v>
      </c>
      <c r="I202">
        <f t="shared" si="5"/>
        <v>200000</v>
      </c>
      <c r="L202">
        <v>181</v>
      </c>
      <c r="M202" s="8">
        <v>0.339733731976811</v>
      </c>
      <c r="N202">
        <f t="shared" si="6"/>
        <v>190</v>
      </c>
    </row>
    <row r="203" spans="7:14" x14ac:dyDescent="0.25">
      <c r="G203">
        <v>186000</v>
      </c>
      <c r="H203" s="8">
        <v>0.35905251532706101</v>
      </c>
      <c r="I203">
        <f t="shared" si="5"/>
        <v>200000</v>
      </c>
      <c r="L203">
        <v>182</v>
      </c>
      <c r="M203" s="8">
        <v>0.35397247995305497</v>
      </c>
      <c r="N203">
        <f t="shared" si="6"/>
        <v>190</v>
      </c>
    </row>
    <row r="204" spans="7:14" x14ac:dyDescent="0.25">
      <c r="G204">
        <v>187000</v>
      </c>
      <c r="H204" s="8">
        <v>0.360103621101239</v>
      </c>
      <c r="I204">
        <f t="shared" si="5"/>
        <v>200000</v>
      </c>
      <c r="L204">
        <v>183</v>
      </c>
      <c r="M204" s="8">
        <v>0.45186614122773</v>
      </c>
      <c r="N204">
        <f t="shared" si="6"/>
        <v>190</v>
      </c>
    </row>
    <row r="205" spans="7:14" x14ac:dyDescent="0.25">
      <c r="G205">
        <v>188000</v>
      </c>
      <c r="H205" s="8">
        <v>0.36946149188013699</v>
      </c>
      <c r="I205">
        <f t="shared" si="5"/>
        <v>200000</v>
      </c>
      <c r="L205">
        <v>184</v>
      </c>
      <c r="M205" s="8">
        <v>0.41818386181248701</v>
      </c>
      <c r="N205">
        <f t="shared" si="6"/>
        <v>190</v>
      </c>
    </row>
    <row r="206" spans="7:14" x14ac:dyDescent="0.25">
      <c r="G206">
        <v>189000</v>
      </c>
      <c r="H206" s="8">
        <v>0.37517319887975198</v>
      </c>
      <c r="I206">
        <f t="shared" si="5"/>
        <v>200000</v>
      </c>
      <c r="L206">
        <v>185</v>
      </c>
      <c r="M206" s="8">
        <v>0.49564532497829</v>
      </c>
      <c r="N206">
        <f t="shared" si="6"/>
        <v>190</v>
      </c>
    </row>
    <row r="207" spans="7:14" x14ac:dyDescent="0.25">
      <c r="G207">
        <v>190000</v>
      </c>
      <c r="H207" s="8">
        <v>0.36172084854946501</v>
      </c>
      <c r="I207">
        <f t="shared" si="5"/>
        <v>200000</v>
      </c>
      <c r="L207">
        <v>186</v>
      </c>
      <c r="M207" s="8">
        <v>1.5267535145278901E-2</v>
      </c>
      <c r="N207">
        <f t="shared" si="6"/>
        <v>190</v>
      </c>
    </row>
    <row r="208" spans="7:14" x14ac:dyDescent="0.25">
      <c r="G208">
        <v>191000</v>
      </c>
      <c r="H208" s="8">
        <v>0.36108178723100398</v>
      </c>
      <c r="I208">
        <f t="shared" si="5"/>
        <v>200000</v>
      </c>
    </row>
    <row r="209" spans="7:9" x14ac:dyDescent="0.25">
      <c r="G209">
        <v>192000</v>
      </c>
      <c r="H209" s="8">
        <v>0.36233681936936202</v>
      </c>
      <c r="I209">
        <f t="shared" si="5"/>
        <v>200000</v>
      </c>
    </row>
    <row r="210" spans="7:9" x14ac:dyDescent="0.25">
      <c r="G210">
        <v>193000</v>
      </c>
      <c r="H210" s="8">
        <v>0.35668288968761303</v>
      </c>
      <c r="I210">
        <f t="shared" si="5"/>
        <v>200000</v>
      </c>
    </row>
    <row r="211" spans="7:9" x14ac:dyDescent="0.25">
      <c r="G211">
        <v>194000</v>
      </c>
      <c r="H211" s="8">
        <v>0.36550073362355501</v>
      </c>
      <c r="I211">
        <f t="shared" si="5"/>
        <v>200000</v>
      </c>
    </row>
    <row r="212" spans="7:9" x14ac:dyDescent="0.25">
      <c r="G212">
        <v>195000</v>
      </c>
      <c r="H212" s="8">
        <v>0.36115473734951098</v>
      </c>
      <c r="I212">
        <f t="shared" si="5"/>
        <v>200000</v>
      </c>
    </row>
    <row r="213" spans="7:9" x14ac:dyDescent="0.25">
      <c r="G213">
        <v>196000</v>
      </c>
      <c r="H213" s="8">
        <v>0.36839447726017399</v>
      </c>
      <c r="I213">
        <f t="shared" si="5"/>
        <v>200000</v>
      </c>
    </row>
    <row r="214" spans="7:9" x14ac:dyDescent="0.25">
      <c r="G214">
        <v>197000</v>
      </c>
      <c r="H214" s="8">
        <v>0.35306474237271601</v>
      </c>
      <c r="I214">
        <f t="shared" si="5"/>
        <v>200000</v>
      </c>
    </row>
    <row r="215" spans="7:9" x14ac:dyDescent="0.25">
      <c r="G215">
        <v>198000</v>
      </c>
      <c r="H215" s="8">
        <v>0.36583514381251397</v>
      </c>
      <c r="I215">
        <f t="shared" si="5"/>
        <v>200000</v>
      </c>
    </row>
    <row r="216" spans="7:9" x14ac:dyDescent="0.25">
      <c r="G216">
        <v>199000</v>
      </c>
      <c r="H216" s="8">
        <v>0.35496079429263699</v>
      </c>
      <c r="I216">
        <f t="shared" si="5"/>
        <v>200000</v>
      </c>
    </row>
    <row r="217" spans="7:9" x14ac:dyDescent="0.25">
      <c r="G217" s="3">
        <v>200000</v>
      </c>
      <c r="H217" s="8">
        <v>0.37141463365009297</v>
      </c>
      <c r="I217">
        <f t="shared" ref="I217:I280" si="7">INT(G217/50000)*50000+50000</f>
        <v>250000</v>
      </c>
    </row>
    <row r="218" spans="7:9" x14ac:dyDescent="0.25">
      <c r="G218">
        <v>201000</v>
      </c>
      <c r="H218" s="8">
        <v>0.35539677984562701</v>
      </c>
      <c r="I218">
        <f t="shared" si="7"/>
        <v>250000</v>
      </c>
    </row>
    <row r="219" spans="7:9" x14ac:dyDescent="0.25">
      <c r="G219">
        <v>202000</v>
      </c>
      <c r="H219" s="8">
        <v>0.358158256774468</v>
      </c>
      <c r="I219">
        <f t="shared" si="7"/>
        <v>250000</v>
      </c>
    </row>
    <row r="220" spans="7:9" x14ac:dyDescent="0.25">
      <c r="G220">
        <v>203000</v>
      </c>
      <c r="H220" s="8">
        <v>0.36419403128156702</v>
      </c>
      <c r="I220">
        <f t="shared" si="7"/>
        <v>250000</v>
      </c>
    </row>
    <row r="221" spans="7:9" x14ac:dyDescent="0.25">
      <c r="G221">
        <v>204000</v>
      </c>
      <c r="H221" s="8">
        <v>0.37318745046693103</v>
      </c>
      <c r="I221">
        <f t="shared" si="7"/>
        <v>250000</v>
      </c>
    </row>
    <row r="222" spans="7:9" x14ac:dyDescent="0.25">
      <c r="G222">
        <v>205000</v>
      </c>
      <c r="H222" s="8">
        <v>0.355343973596917</v>
      </c>
      <c r="I222">
        <f t="shared" si="7"/>
        <v>250000</v>
      </c>
    </row>
    <row r="223" spans="7:9" x14ac:dyDescent="0.25">
      <c r="G223">
        <v>206000</v>
      </c>
      <c r="H223" s="8">
        <v>0.35823317554245099</v>
      </c>
      <c r="I223">
        <f t="shared" si="7"/>
        <v>250000</v>
      </c>
    </row>
    <row r="224" spans="7:9" x14ac:dyDescent="0.25">
      <c r="G224">
        <v>207000</v>
      </c>
      <c r="H224" s="8">
        <v>0.38916779203364499</v>
      </c>
      <c r="I224">
        <f t="shared" si="7"/>
        <v>250000</v>
      </c>
    </row>
    <row r="225" spans="7:9" x14ac:dyDescent="0.25">
      <c r="G225">
        <v>208000</v>
      </c>
      <c r="H225" s="8">
        <v>0.365911403234711</v>
      </c>
      <c r="I225">
        <f t="shared" si="7"/>
        <v>250000</v>
      </c>
    </row>
    <row r="226" spans="7:9" x14ac:dyDescent="0.25">
      <c r="G226">
        <v>209000</v>
      </c>
      <c r="H226" s="8">
        <v>0.35873434154078998</v>
      </c>
      <c r="I226">
        <f t="shared" si="7"/>
        <v>250000</v>
      </c>
    </row>
    <row r="227" spans="7:9" x14ac:dyDescent="0.25">
      <c r="G227">
        <v>210000</v>
      </c>
      <c r="H227" s="8">
        <v>0.36634912535740899</v>
      </c>
      <c r="I227">
        <f t="shared" si="7"/>
        <v>250000</v>
      </c>
    </row>
    <row r="228" spans="7:9" x14ac:dyDescent="0.25">
      <c r="G228">
        <v>211000</v>
      </c>
      <c r="H228" s="8">
        <v>0.35386839850053098</v>
      </c>
      <c r="I228">
        <f t="shared" si="7"/>
        <v>250000</v>
      </c>
    </row>
    <row r="229" spans="7:9" x14ac:dyDescent="0.25">
      <c r="G229">
        <v>212000</v>
      </c>
      <c r="H229" s="8">
        <v>0.369845480651321</v>
      </c>
      <c r="I229">
        <f t="shared" si="7"/>
        <v>250000</v>
      </c>
    </row>
    <row r="230" spans="7:9" x14ac:dyDescent="0.25">
      <c r="G230">
        <v>213000</v>
      </c>
      <c r="H230" s="8">
        <v>0.35016997871358402</v>
      </c>
      <c r="I230">
        <f t="shared" si="7"/>
        <v>250000</v>
      </c>
    </row>
    <row r="231" spans="7:9" x14ac:dyDescent="0.25">
      <c r="G231">
        <v>214000</v>
      </c>
      <c r="H231" s="8">
        <v>0.36524355831342098</v>
      </c>
      <c r="I231">
        <f t="shared" si="7"/>
        <v>250000</v>
      </c>
    </row>
    <row r="232" spans="7:9" x14ac:dyDescent="0.25">
      <c r="G232">
        <v>215000</v>
      </c>
      <c r="H232" s="8">
        <v>0.35406255690761601</v>
      </c>
      <c r="I232">
        <f t="shared" si="7"/>
        <v>250000</v>
      </c>
    </row>
    <row r="233" spans="7:9" x14ac:dyDescent="0.25">
      <c r="G233">
        <v>216000</v>
      </c>
      <c r="H233" s="8">
        <v>0.37616138549316203</v>
      </c>
      <c r="I233">
        <f t="shared" si="7"/>
        <v>250000</v>
      </c>
    </row>
    <row r="234" spans="7:9" x14ac:dyDescent="0.25">
      <c r="G234">
        <v>217000</v>
      </c>
      <c r="H234" s="8">
        <v>0.344072911855893</v>
      </c>
      <c r="I234">
        <f t="shared" si="7"/>
        <v>250000</v>
      </c>
    </row>
    <row r="235" spans="7:9" x14ac:dyDescent="0.25">
      <c r="G235">
        <v>218000</v>
      </c>
      <c r="H235" s="8">
        <v>0.35693639799777999</v>
      </c>
      <c r="I235">
        <f t="shared" si="7"/>
        <v>250000</v>
      </c>
    </row>
    <row r="236" spans="7:9" x14ac:dyDescent="0.25">
      <c r="G236">
        <v>219000</v>
      </c>
      <c r="H236" s="8">
        <v>0.37577388173460402</v>
      </c>
      <c r="I236">
        <f t="shared" si="7"/>
        <v>250000</v>
      </c>
    </row>
    <row r="237" spans="7:9" x14ac:dyDescent="0.25">
      <c r="G237">
        <v>220000</v>
      </c>
      <c r="H237" s="8">
        <v>0.35818673951603103</v>
      </c>
      <c r="I237">
        <f t="shared" si="7"/>
        <v>250000</v>
      </c>
    </row>
    <row r="238" spans="7:9" x14ac:dyDescent="0.25">
      <c r="G238">
        <v>221000</v>
      </c>
      <c r="H238" s="8">
        <v>0.37142415369291198</v>
      </c>
      <c r="I238">
        <f t="shared" si="7"/>
        <v>250000</v>
      </c>
    </row>
    <row r="239" spans="7:9" x14ac:dyDescent="0.25">
      <c r="G239">
        <v>222000</v>
      </c>
      <c r="H239" s="8">
        <v>0.35804309362718001</v>
      </c>
      <c r="I239">
        <f t="shared" si="7"/>
        <v>250000</v>
      </c>
    </row>
    <row r="240" spans="7:9" x14ac:dyDescent="0.25">
      <c r="G240">
        <v>223000</v>
      </c>
      <c r="H240" s="8">
        <v>0.356627650587724</v>
      </c>
      <c r="I240">
        <f t="shared" si="7"/>
        <v>250000</v>
      </c>
    </row>
    <row r="241" spans="7:9" x14ac:dyDescent="0.25">
      <c r="G241">
        <v>224000</v>
      </c>
      <c r="H241" s="8">
        <v>0.36249327664039499</v>
      </c>
      <c r="I241">
        <f t="shared" si="7"/>
        <v>250000</v>
      </c>
    </row>
    <row r="242" spans="7:9" x14ac:dyDescent="0.25">
      <c r="G242">
        <v>225000</v>
      </c>
      <c r="H242" s="8">
        <v>0.36927609287790197</v>
      </c>
      <c r="I242">
        <f t="shared" si="7"/>
        <v>250000</v>
      </c>
    </row>
    <row r="243" spans="7:9" x14ac:dyDescent="0.25">
      <c r="G243">
        <v>226000</v>
      </c>
      <c r="H243" s="8">
        <v>0.35220023227605302</v>
      </c>
      <c r="I243">
        <f t="shared" si="7"/>
        <v>250000</v>
      </c>
    </row>
    <row r="244" spans="7:9" x14ac:dyDescent="0.25">
      <c r="G244">
        <v>227000</v>
      </c>
      <c r="H244" s="8">
        <v>0.35625130108555397</v>
      </c>
      <c r="I244">
        <f t="shared" si="7"/>
        <v>250000</v>
      </c>
    </row>
    <row r="245" spans="7:9" x14ac:dyDescent="0.25">
      <c r="G245">
        <v>228000</v>
      </c>
      <c r="H245" s="8">
        <v>0.357593928656739</v>
      </c>
      <c r="I245">
        <f t="shared" si="7"/>
        <v>250000</v>
      </c>
    </row>
    <row r="246" spans="7:9" x14ac:dyDescent="0.25">
      <c r="G246">
        <v>229000</v>
      </c>
      <c r="H246" s="8">
        <v>0.36611054657627001</v>
      </c>
      <c r="I246">
        <f t="shared" si="7"/>
        <v>250000</v>
      </c>
    </row>
    <row r="247" spans="7:9" x14ac:dyDescent="0.25">
      <c r="G247">
        <v>230000</v>
      </c>
      <c r="H247" s="8">
        <v>0.35371905660292302</v>
      </c>
      <c r="I247">
        <f t="shared" si="7"/>
        <v>250000</v>
      </c>
    </row>
    <row r="248" spans="7:9" x14ac:dyDescent="0.25">
      <c r="G248">
        <v>231000</v>
      </c>
      <c r="H248" s="8">
        <v>0.34695606134811102</v>
      </c>
      <c r="I248">
        <f t="shared" si="7"/>
        <v>250000</v>
      </c>
    </row>
    <row r="249" spans="7:9" x14ac:dyDescent="0.25">
      <c r="G249">
        <v>232000</v>
      </c>
      <c r="H249" s="8">
        <v>0.355219647182971</v>
      </c>
      <c r="I249">
        <f t="shared" si="7"/>
        <v>250000</v>
      </c>
    </row>
    <row r="250" spans="7:9" x14ac:dyDescent="0.25">
      <c r="G250">
        <v>233000</v>
      </c>
      <c r="H250" s="8">
        <v>0.37270353884566199</v>
      </c>
      <c r="I250">
        <f t="shared" si="7"/>
        <v>250000</v>
      </c>
    </row>
    <row r="251" spans="7:9" x14ac:dyDescent="0.25">
      <c r="G251">
        <v>234000</v>
      </c>
      <c r="H251" s="8">
        <v>0.36565390170498102</v>
      </c>
      <c r="I251">
        <f t="shared" si="7"/>
        <v>250000</v>
      </c>
    </row>
    <row r="252" spans="7:9" x14ac:dyDescent="0.25">
      <c r="G252">
        <v>235000</v>
      </c>
      <c r="H252" s="8">
        <v>0.35766046624948</v>
      </c>
      <c r="I252">
        <f t="shared" si="7"/>
        <v>250000</v>
      </c>
    </row>
    <row r="253" spans="7:9" x14ac:dyDescent="0.25">
      <c r="G253">
        <v>236000</v>
      </c>
      <c r="H253" s="8">
        <v>0.36486550916838101</v>
      </c>
      <c r="I253">
        <f t="shared" si="7"/>
        <v>250000</v>
      </c>
    </row>
    <row r="254" spans="7:9" x14ac:dyDescent="0.25">
      <c r="G254">
        <v>237000</v>
      </c>
      <c r="H254" s="8">
        <v>0.35455952313320599</v>
      </c>
      <c r="I254">
        <f t="shared" si="7"/>
        <v>250000</v>
      </c>
    </row>
    <row r="255" spans="7:9" x14ac:dyDescent="0.25">
      <c r="G255">
        <v>238000</v>
      </c>
      <c r="H255" s="8">
        <v>0.37921871725605799</v>
      </c>
      <c r="I255">
        <f t="shared" si="7"/>
        <v>250000</v>
      </c>
    </row>
    <row r="256" spans="7:9" x14ac:dyDescent="0.25">
      <c r="G256">
        <v>239000</v>
      </c>
      <c r="H256" s="8">
        <v>0.36643568889786299</v>
      </c>
      <c r="I256">
        <f t="shared" si="7"/>
        <v>250000</v>
      </c>
    </row>
    <row r="257" spans="7:9" x14ac:dyDescent="0.25">
      <c r="G257">
        <v>240000</v>
      </c>
      <c r="H257" s="8">
        <v>0.35489588908530501</v>
      </c>
      <c r="I257">
        <f t="shared" si="7"/>
        <v>250000</v>
      </c>
    </row>
    <row r="258" spans="7:9" x14ac:dyDescent="0.25">
      <c r="G258">
        <v>241000</v>
      </c>
      <c r="H258" s="8">
        <v>0.35990981281144402</v>
      </c>
      <c r="I258">
        <f t="shared" si="7"/>
        <v>250000</v>
      </c>
    </row>
    <row r="259" spans="7:9" x14ac:dyDescent="0.25">
      <c r="G259">
        <v>242000</v>
      </c>
      <c r="H259" s="8">
        <v>0.37356189484177099</v>
      </c>
      <c r="I259">
        <f t="shared" si="7"/>
        <v>250000</v>
      </c>
    </row>
    <row r="260" spans="7:9" x14ac:dyDescent="0.25">
      <c r="G260">
        <v>243000</v>
      </c>
      <c r="H260" s="8">
        <v>0.369918169183787</v>
      </c>
      <c r="I260">
        <f t="shared" si="7"/>
        <v>250000</v>
      </c>
    </row>
    <row r="261" spans="7:9" x14ac:dyDescent="0.25">
      <c r="G261">
        <v>244000</v>
      </c>
      <c r="H261" s="8">
        <v>0.34780206765686</v>
      </c>
      <c r="I261">
        <f t="shared" si="7"/>
        <v>250000</v>
      </c>
    </row>
    <row r="262" spans="7:9" x14ac:dyDescent="0.25">
      <c r="G262">
        <v>245000</v>
      </c>
      <c r="H262" s="8">
        <v>0.355933176523065</v>
      </c>
      <c r="I262">
        <f t="shared" si="7"/>
        <v>250000</v>
      </c>
    </row>
    <row r="263" spans="7:9" x14ac:dyDescent="0.25">
      <c r="G263">
        <v>246000</v>
      </c>
      <c r="H263" s="8">
        <v>0.35444116537523801</v>
      </c>
      <c r="I263">
        <f t="shared" si="7"/>
        <v>250000</v>
      </c>
    </row>
    <row r="264" spans="7:9" x14ac:dyDescent="0.25">
      <c r="G264">
        <v>247000</v>
      </c>
      <c r="H264" s="8">
        <v>0.358774161051233</v>
      </c>
      <c r="I264">
        <f t="shared" si="7"/>
        <v>250000</v>
      </c>
    </row>
    <row r="265" spans="7:9" x14ac:dyDescent="0.25">
      <c r="G265">
        <v>248000</v>
      </c>
      <c r="H265" s="8">
        <v>0.37584961325622002</v>
      </c>
      <c r="I265">
        <f t="shared" si="7"/>
        <v>250000</v>
      </c>
    </row>
    <row r="266" spans="7:9" x14ac:dyDescent="0.25">
      <c r="G266">
        <v>249000</v>
      </c>
      <c r="H266" s="8">
        <v>0.35249686888190401</v>
      </c>
      <c r="I266">
        <f t="shared" si="7"/>
        <v>250000</v>
      </c>
    </row>
    <row r="267" spans="7:9" x14ac:dyDescent="0.25">
      <c r="G267">
        <v>250000</v>
      </c>
      <c r="H267" s="8">
        <v>0.33697305010090101</v>
      </c>
      <c r="I267">
        <f t="shared" si="7"/>
        <v>300000</v>
      </c>
    </row>
    <row r="268" spans="7:9" x14ac:dyDescent="0.25">
      <c r="G268">
        <v>251000</v>
      </c>
      <c r="H268" s="8">
        <v>0.35298212623271003</v>
      </c>
      <c r="I268">
        <f t="shared" si="7"/>
        <v>300000</v>
      </c>
    </row>
    <row r="269" spans="7:9" x14ac:dyDescent="0.25">
      <c r="G269">
        <v>252000</v>
      </c>
      <c r="H269" s="8">
        <v>0.36171098386351003</v>
      </c>
      <c r="I269">
        <f t="shared" si="7"/>
        <v>300000</v>
      </c>
    </row>
    <row r="270" spans="7:9" x14ac:dyDescent="0.25">
      <c r="G270">
        <v>253000</v>
      </c>
      <c r="H270" s="8">
        <v>0.321917370843947</v>
      </c>
      <c r="I270">
        <f t="shared" si="7"/>
        <v>300000</v>
      </c>
    </row>
    <row r="271" spans="7:9" x14ac:dyDescent="0.25">
      <c r="G271">
        <v>254000</v>
      </c>
      <c r="H271" s="8">
        <v>0.33550854773980598</v>
      </c>
      <c r="I271">
        <f t="shared" si="7"/>
        <v>300000</v>
      </c>
    </row>
    <row r="272" spans="7:9" x14ac:dyDescent="0.25">
      <c r="G272">
        <v>255000</v>
      </c>
      <c r="H272" s="8">
        <v>0.358972466734232</v>
      </c>
      <c r="I272">
        <f t="shared" si="7"/>
        <v>300000</v>
      </c>
    </row>
    <row r="273" spans="7:9" x14ac:dyDescent="0.25">
      <c r="G273">
        <v>256000</v>
      </c>
      <c r="H273" s="8">
        <v>0.36777888046365897</v>
      </c>
      <c r="I273">
        <f t="shared" si="7"/>
        <v>300000</v>
      </c>
    </row>
    <row r="274" spans="7:9" x14ac:dyDescent="0.25">
      <c r="G274">
        <v>257000</v>
      </c>
      <c r="H274" s="8">
        <v>0.371823392928186</v>
      </c>
      <c r="I274">
        <f t="shared" si="7"/>
        <v>300000</v>
      </c>
    </row>
    <row r="275" spans="7:9" x14ac:dyDescent="0.25">
      <c r="G275">
        <v>258000</v>
      </c>
      <c r="H275" s="8">
        <v>0.35277414341147101</v>
      </c>
      <c r="I275">
        <f t="shared" si="7"/>
        <v>300000</v>
      </c>
    </row>
    <row r="276" spans="7:9" x14ac:dyDescent="0.25">
      <c r="G276">
        <v>259000</v>
      </c>
      <c r="H276" s="8">
        <v>0.34567799285498602</v>
      </c>
      <c r="I276">
        <f t="shared" si="7"/>
        <v>300000</v>
      </c>
    </row>
    <row r="277" spans="7:9" x14ac:dyDescent="0.25">
      <c r="G277">
        <v>260000</v>
      </c>
      <c r="H277" s="8">
        <v>0.35441583481248001</v>
      </c>
      <c r="I277">
        <f t="shared" si="7"/>
        <v>300000</v>
      </c>
    </row>
    <row r="278" spans="7:9" x14ac:dyDescent="0.25">
      <c r="G278">
        <v>261000</v>
      </c>
      <c r="H278" s="8">
        <v>0.37286449777910102</v>
      </c>
      <c r="I278">
        <f t="shared" si="7"/>
        <v>300000</v>
      </c>
    </row>
    <row r="279" spans="7:9" x14ac:dyDescent="0.25">
      <c r="G279">
        <v>262000</v>
      </c>
      <c r="H279" s="8">
        <v>0.35834736349485402</v>
      </c>
      <c r="I279">
        <f t="shared" si="7"/>
        <v>300000</v>
      </c>
    </row>
    <row r="280" spans="7:9" x14ac:dyDescent="0.25">
      <c r="G280">
        <v>263000</v>
      </c>
      <c r="H280" s="8">
        <v>0.36656678199378401</v>
      </c>
      <c r="I280">
        <f t="shared" si="7"/>
        <v>300000</v>
      </c>
    </row>
    <row r="281" spans="7:9" x14ac:dyDescent="0.25">
      <c r="G281">
        <v>264000</v>
      </c>
      <c r="H281" s="8">
        <v>0.35556226329850199</v>
      </c>
      <c r="I281">
        <f t="shared" ref="I281:I344" si="8">INT(G281/50000)*50000+50000</f>
        <v>300000</v>
      </c>
    </row>
    <row r="282" spans="7:9" x14ac:dyDescent="0.25">
      <c r="G282">
        <v>265000</v>
      </c>
      <c r="H282" s="8">
        <v>0.355628506227612</v>
      </c>
      <c r="I282">
        <f t="shared" si="8"/>
        <v>300000</v>
      </c>
    </row>
    <row r="283" spans="7:9" x14ac:dyDescent="0.25">
      <c r="G283">
        <v>266000</v>
      </c>
      <c r="H283" s="8">
        <v>0.37291366082160399</v>
      </c>
      <c r="I283">
        <f t="shared" si="8"/>
        <v>300000</v>
      </c>
    </row>
    <row r="284" spans="7:9" x14ac:dyDescent="0.25">
      <c r="G284">
        <v>267000</v>
      </c>
      <c r="H284" s="8">
        <v>0.34561731541024798</v>
      </c>
      <c r="I284">
        <f t="shared" si="8"/>
        <v>300000</v>
      </c>
    </row>
    <row r="285" spans="7:9" x14ac:dyDescent="0.25">
      <c r="G285">
        <v>268000</v>
      </c>
      <c r="H285" s="8">
        <v>0.34915431167964001</v>
      </c>
      <c r="I285">
        <f t="shared" si="8"/>
        <v>300000</v>
      </c>
    </row>
    <row r="286" spans="7:9" x14ac:dyDescent="0.25">
      <c r="G286">
        <v>269000</v>
      </c>
      <c r="H286" s="8">
        <v>0.340644421451052</v>
      </c>
      <c r="I286">
        <f t="shared" si="8"/>
        <v>300000</v>
      </c>
    </row>
    <row r="287" spans="7:9" x14ac:dyDescent="0.25">
      <c r="G287">
        <v>270000</v>
      </c>
      <c r="H287" s="8">
        <v>0.35607129127315001</v>
      </c>
      <c r="I287">
        <f t="shared" si="8"/>
        <v>300000</v>
      </c>
    </row>
    <row r="288" spans="7:9" x14ac:dyDescent="0.25">
      <c r="G288">
        <v>271000</v>
      </c>
      <c r="H288" s="8">
        <v>0.35256829564555098</v>
      </c>
      <c r="I288">
        <f t="shared" si="8"/>
        <v>300000</v>
      </c>
    </row>
    <row r="289" spans="7:9" x14ac:dyDescent="0.25">
      <c r="G289">
        <v>272000</v>
      </c>
      <c r="H289" s="8">
        <v>0.35295101202291601</v>
      </c>
      <c r="I289">
        <f t="shared" si="8"/>
        <v>300000</v>
      </c>
    </row>
    <row r="290" spans="7:9" x14ac:dyDescent="0.25">
      <c r="G290">
        <v>273000</v>
      </c>
      <c r="H290" s="8">
        <v>0.34018130813791903</v>
      </c>
      <c r="I290">
        <f t="shared" si="8"/>
        <v>300000</v>
      </c>
    </row>
    <row r="291" spans="7:9" x14ac:dyDescent="0.25">
      <c r="G291">
        <v>274000</v>
      </c>
      <c r="H291" s="8">
        <v>0.349397535195832</v>
      </c>
      <c r="I291">
        <f t="shared" si="8"/>
        <v>300000</v>
      </c>
    </row>
    <row r="292" spans="7:9" x14ac:dyDescent="0.25">
      <c r="G292">
        <v>275000</v>
      </c>
      <c r="H292" s="8">
        <v>0.31985987250765802</v>
      </c>
      <c r="I292">
        <f t="shared" si="8"/>
        <v>300000</v>
      </c>
    </row>
    <row r="293" spans="7:9" x14ac:dyDescent="0.25">
      <c r="G293">
        <v>276000</v>
      </c>
      <c r="H293" s="8">
        <v>0.36168469727116997</v>
      </c>
      <c r="I293">
        <f t="shared" si="8"/>
        <v>300000</v>
      </c>
    </row>
    <row r="294" spans="7:9" x14ac:dyDescent="0.25">
      <c r="G294">
        <v>277000</v>
      </c>
      <c r="H294" s="8">
        <v>0.34604957566681199</v>
      </c>
      <c r="I294">
        <f t="shared" si="8"/>
        <v>300000</v>
      </c>
    </row>
    <row r="295" spans="7:9" x14ac:dyDescent="0.25">
      <c r="G295">
        <v>278000</v>
      </c>
      <c r="H295" s="8">
        <v>0.36355836436359801</v>
      </c>
      <c r="I295">
        <f t="shared" si="8"/>
        <v>300000</v>
      </c>
    </row>
    <row r="296" spans="7:9" x14ac:dyDescent="0.25">
      <c r="G296">
        <v>279000</v>
      </c>
      <c r="H296" s="8">
        <v>0.36870394998843697</v>
      </c>
      <c r="I296">
        <f t="shared" si="8"/>
        <v>300000</v>
      </c>
    </row>
    <row r="297" spans="7:9" x14ac:dyDescent="0.25">
      <c r="G297">
        <v>280000</v>
      </c>
      <c r="H297" s="8">
        <v>0.35840953857478702</v>
      </c>
      <c r="I297">
        <f t="shared" si="8"/>
        <v>300000</v>
      </c>
    </row>
    <row r="298" spans="7:9" x14ac:dyDescent="0.25">
      <c r="G298">
        <v>281000</v>
      </c>
      <c r="H298" s="8">
        <v>0.34685661203013102</v>
      </c>
      <c r="I298">
        <f t="shared" si="8"/>
        <v>300000</v>
      </c>
    </row>
    <row r="299" spans="7:9" x14ac:dyDescent="0.25">
      <c r="G299">
        <v>282000</v>
      </c>
      <c r="H299" s="8">
        <v>0.32891497660675101</v>
      </c>
      <c r="I299">
        <f t="shared" si="8"/>
        <v>300000</v>
      </c>
    </row>
    <row r="300" spans="7:9" x14ac:dyDescent="0.25">
      <c r="G300">
        <v>283000</v>
      </c>
      <c r="H300" s="8">
        <v>0.36237092384767</v>
      </c>
      <c r="I300">
        <f t="shared" si="8"/>
        <v>300000</v>
      </c>
    </row>
    <row r="301" spans="7:9" x14ac:dyDescent="0.25">
      <c r="G301">
        <v>284000</v>
      </c>
      <c r="H301" s="8">
        <v>0.35888559813577597</v>
      </c>
      <c r="I301">
        <f t="shared" si="8"/>
        <v>300000</v>
      </c>
    </row>
    <row r="302" spans="7:9" x14ac:dyDescent="0.25">
      <c r="G302">
        <v>285000</v>
      </c>
      <c r="H302" s="8">
        <v>0.358852086548894</v>
      </c>
      <c r="I302">
        <f t="shared" si="8"/>
        <v>300000</v>
      </c>
    </row>
    <row r="303" spans="7:9" x14ac:dyDescent="0.25">
      <c r="G303">
        <v>286000</v>
      </c>
      <c r="H303" s="8">
        <v>0.35082174191122201</v>
      </c>
      <c r="I303">
        <f t="shared" si="8"/>
        <v>300000</v>
      </c>
    </row>
    <row r="304" spans="7:9" x14ac:dyDescent="0.25">
      <c r="G304">
        <v>287000</v>
      </c>
      <c r="H304" s="8">
        <v>0.358781394717957</v>
      </c>
      <c r="I304">
        <f t="shared" si="8"/>
        <v>300000</v>
      </c>
    </row>
    <row r="305" spans="7:9" x14ac:dyDescent="0.25">
      <c r="G305">
        <v>288000</v>
      </c>
      <c r="H305" s="8">
        <v>0.37700068042752399</v>
      </c>
      <c r="I305">
        <f t="shared" si="8"/>
        <v>300000</v>
      </c>
    </row>
    <row r="306" spans="7:9" x14ac:dyDescent="0.25">
      <c r="G306">
        <v>289000</v>
      </c>
      <c r="H306" s="8">
        <v>0.35428340920090001</v>
      </c>
      <c r="I306">
        <f t="shared" si="8"/>
        <v>300000</v>
      </c>
    </row>
    <row r="307" spans="7:9" x14ac:dyDescent="0.25">
      <c r="G307">
        <v>290000</v>
      </c>
      <c r="H307" s="8">
        <v>0.35778952300681099</v>
      </c>
      <c r="I307">
        <f t="shared" si="8"/>
        <v>300000</v>
      </c>
    </row>
    <row r="308" spans="7:9" x14ac:dyDescent="0.25">
      <c r="G308">
        <v>291000</v>
      </c>
      <c r="H308" s="8">
        <v>0.376328462018228</v>
      </c>
      <c r="I308">
        <f t="shared" si="8"/>
        <v>300000</v>
      </c>
    </row>
    <row r="309" spans="7:9" x14ac:dyDescent="0.25">
      <c r="G309">
        <v>292000</v>
      </c>
      <c r="H309" s="8">
        <v>0.36392110420231399</v>
      </c>
      <c r="I309">
        <f t="shared" si="8"/>
        <v>300000</v>
      </c>
    </row>
    <row r="310" spans="7:9" x14ac:dyDescent="0.25">
      <c r="G310">
        <v>293000</v>
      </c>
      <c r="H310" s="8">
        <v>0.36824292946831999</v>
      </c>
      <c r="I310">
        <f t="shared" si="8"/>
        <v>300000</v>
      </c>
    </row>
    <row r="311" spans="7:9" x14ac:dyDescent="0.25">
      <c r="G311">
        <v>294000</v>
      </c>
      <c r="H311" s="8">
        <v>0.34824210919280701</v>
      </c>
      <c r="I311">
        <f t="shared" si="8"/>
        <v>300000</v>
      </c>
    </row>
    <row r="312" spans="7:9" x14ac:dyDescent="0.25">
      <c r="G312">
        <v>295000</v>
      </c>
      <c r="H312" s="8">
        <v>0.34503152540850701</v>
      </c>
      <c r="I312">
        <f t="shared" si="8"/>
        <v>300000</v>
      </c>
    </row>
    <row r="313" spans="7:9" x14ac:dyDescent="0.25">
      <c r="G313">
        <v>296000</v>
      </c>
      <c r="H313" s="8">
        <v>0.35437736270507603</v>
      </c>
      <c r="I313">
        <f t="shared" si="8"/>
        <v>300000</v>
      </c>
    </row>
    <row r="314" spans="7:9" x14ac:dyDescent="0.25">
      <c r="G314">
        <v>297000</v>
      </c>
      <c r="H314" s="8">
        <v>0.37033876567663099</v>
      </c>
      <c r="I314">
        <f t="shared" si="8"/>
        <v>300000</v>
      </c>
    </row>
    <row r="315" spans="7:9" x14ac:dyDescent="0.25">
      <c r="G315">
        <v>298000</v>
      </c>
      <c r="H315" s="8">
        <v>0.32756636138604101</v>
      </c>
      <c r="I315">
        <f t="shared" si="8"/>
        <v>300000</v>
      </c>
    </row>
    <row r="316" spans="7:9" x14ac:dyDescent="0.25">
      <c r="G316">
        <v>299000</v>
      </c>
      <c r="H316" s="8">
        <v>0.36384674145818702</v>
      </c>
      <c r="I316">
        <f t="shared" si="8"/>
        <v>300000</v>
      </c>
    </row>
    <row r="317" spans="7:9" x14ac:dyDescent="0.25">
      <c r="G317" s="3">
        <v>300000</v>
      </c>
      <c r="H317" s="8">
        <v>0.33065480432732303</v>
      </c>
      <c r="I317">
        <f t="shared" si="8"/>
        <v>350000</v>
      </c>
    </row>
    <row r="318" spans="7:9" x14ac:dyDescent="0.25">
      <c r="G318">
        <v>301000</v>
      </c>
      <c r="H318" s="8">
        <v>0.30114305736123598</v>
      </c>
      <c r="I318">
        <f t="shared" si="8"/>
        <v>350000</v>
      </c>
    </row>
    <row r="319" spans="7:9" x14ac:dyDescent="0.25">
      <c r="G319">
        <v>302000</v>
      </c>
      <c r="H319" s="8">
        <v>0.37293014018939702</v>
      </c>
      <c r="I319">
        <f t="shared" si="8"/>
        <v>350000</v>
      </c>
    </row>
    <row r="320" spans="7:9" x14ac:dyDescent="0.25">
      <c r="G320">
        <v>303000</v>
      </c>
      <c r="H320" s="8">
        <v>0.34666651303978202</v>
      </c>
      <c r="I320">
        <f t="shared" si="8"/>
        <v>350000</v>
      </c>
    </row>
    <row r="321" spans="7:9" x14ac:dyDescent="0.25">
      <c r="G321">
        <v>304000</v>
      </c>
      <c r="H321" s="8">
        <v>0.36060781530313202</v>
      </c>
      <c r="I321">
        <f t="shared" si="8"/>
        <v>350000</v>
      </c>
    </row>
    <row r="322" spans="7:9" x14ac:dyDescent="0.25">
      <c r="G322">
        <v>305000</v>
      </c>
      <c r="H322" s="8">
        <v>0.33726696326948302</v>
      </c>
      <c r="I322">
        <f t="shared" si="8"/>
        <v>350000</v>
      </c>
    </row>
    <row r="323" spans="7:9" x14ac:dyDescent="0.25">
      <c r="G323">
        <v>306000</v>
      </c>
      <c r="H323" s="8">
        <v>0.35725105664567303</v>
      </c>
      <c r="I323">
        <f t="shared" si="8"/>
        <v>350000</v>
      </c>
    </row>
    <row r="324" spans="7:9" x14ac:dyDescent="0.25">
      <c r="G324">
        <v>307000</v>
      </c>
      <c r="H324" s="8">
        <v>0.32780624648420098</v>
      </c>
      <c r="I324">
        <f t="shared" si="8"/>
        <v>350000</v>
      </c>
    </row>
    <row r="325" spans="7:9" x14ac:dyDescent="0.25">
      <c r="G325">
        <v>308000</v>
      </c>
      <c r="H325" s="8">
        <v>0.35551888738974902</v>
      </c>
      <c r="I325">
        <f t="shared" si="8"/>
        <v>350000</v>
      </c>
    </row>
    <row r="326" spans="7:9" x14ac:dyDescent="0.25">
      <c r="G326">
        <v>309000</v>
      </c>
      <c r="H326" s="8">
        <v>0.36641254264815198</v>
      </c>
      <c r="I326">
        <f t="shared" si="8"/>
        <v>350000</v>
      </c>
    </row>
    <row r="327" spans="7:9" x14ac:dyDescent="0.25">
      <c r="G327">
        <v>310000</v>
      </c>
      <c r="H327" s="8">
        <v>0.34156326777372398</v>
      </c>
      <c r="I327">
        <f t="shared" si="8"/>
        <v>350000</v>
      </c>
    </row>
    <row r="328" spans="7:9" x14ac:dyDescent="0.25">
      <c r="G328">
        <v>311000</v>
      </c>
      <c r="H328" s="8">
        <v>0.365313062096569</v>
      </c>
      <c r="I328">
        <f t="shared" si="8"/>
        <v>350000</v>
      </c>
    </row>
    <row r="329" spans="7:9" x14ac:dyDescent="0.25">
      <c r="G329">
        <v>312000</v>
      </c>
      <c r="H329" s="8">
        <v>0.34180743787069601</v>
      </c>
      <c r="I329">
        <f t="shared" si="8"/>
        <v>350000</v>
      </c>
    </row>
    <row r="330" spans="7:9" x14ac:dyDescent="0.25">
      <c r="G330">
        <v>313000</v>
      </c>
      <c r="H330" s="8">
        <v>0.342562488926202</v>
      </c>
      <c r="I330">
        <f t="shared" si="8"/>
        <v>350000</v>
      </c>
    </row>
    <row r="331" spans="7:9" x14ac:dyDescent="0.25">
      <c r="G331">
        <v>314000</v>
      </c>
      <c r="H331" s="8">
        <v>0.374817906510932</v>
      </c>
      <c r="I331">
        <f t="shared" si="8"/>
        <v>350000</v>
      </c>
    </row>
    <row r="332" spans="7:9" x14ac:dyDescent="0.25">
      <c r="G332">
        <v>315000</v>
      </c>
      <c r="H332" s="8">
        <v>0.36809726119518899</v>
      </c>
      <c r="I332">
        <f t="shared" si="8"/>
        <v>350000</v>
      </c>
    </row>
    <row r="333" spans="7:9" x14ac:dyDescent="0.25">
      <c r="G333">
        <v>316000</v>
      </c>
      <c r="H333" s="8">
        <v>0.35146558719607202</v>
      </c>
      <c r="I333">
        <f t="shared" si="8"/>
        <v>350000</v>
      </c>
    </row>
    <row r="334" spans="7:9" x14ac:dyDescent="0.25">
      <c r="G334">
        <v>317000</v>
      </c>
      <c r="H334" s="8">
        <v>0.33438366133015401</v>
      </c>
      <c r="I334">
        <f t="shared" si="8"/>
        <v>350000</v>
      </c>
    </row>
    <row r="335" spans="7:9" x14ac:dyDescent="0.25">
      <c r="G335">
        <v>318000</v>
      </c>
      <c r="H335" s="8">
        <v>0.34762000696503997</v>
      </c>
      <c r="I335">
        <f t="shared" si="8"/>
        <v>350000</v>
      </c>
    </row>
    <row r="336" spans="7:9" x14ac:dyDescent="0.25">
      <c r="G336">
        <v>319000</v>
      </c>
      <c r="H336" s="8">
        <v>0.36548544959784701</v>
      </c>
      <c r="I336">
        <f t="shared" si="8"/>
        <v>350000</v>
      </c>
    </row>
    <row r="337" spans="7:9" x14ac:dyDescent="0.25">
      <c r="G337">
        <v>320000</v>
      </c>
      <c r="H337" s="8">
        <v>0.35396899451133201</v>
      </c>
      <c r="I337">
        <f t="shared" si="8"/>
        <v>350000</v>
      </c>
    </row>
    <row r="338" spans="7:9" x14ac:dyDescent="0.25">
      <c r="G338">
        <v>321000</v>
      </c>
      <c r="H338" s="8">
        <v>0.34146446827910998</v>
      </c>
      <c r="I338">
        <f t="shared" si="8"/>
        <v>350000</v>
      </c>
    </row>
    <row r="339" spans="7:9" x14ac:dyDescent="0.25">
      <c r="G339">
        <v>322000</v>
      </c>
      <c r="H339" s="8">
        <v>0.31900393748056199</v>
      </c>
      <c r="I339">
        <f t="shared" si="8"/>
        <v>350000</v>
      </c>
    </row>
    <row r="340" spans="7:9" x14ac:dyDescent="0.25">
      <c r="G340">
        <v>323000</v>
      </c>
      <c r="H340" s="8">
        <v>0.27068280111965798</v>
      </c>
      <c r="I340">
        <f t="shared" si="8"/>
        <v>350000</v>
      </c>
    </row>
    <row r="341" spans="7:9" x14ac:dyDescent="0.25">
      <c r="G341">
        <v>324000</v>
      </c>
      <c r="H341" s="8">
        <v>0.36110696444214002</v>
      </c>
      <c r="I341">
        <f t="shared" si="8"/>
        <v>350000</v>
      </c>
    </row>
    <row r="342" spans="7:9" x14ac:dyDescent="0.25">
      <c r="G342">
        <v>325000</v>
      </c>
      <c r="H342" s="8">
        <v>0.322584372160934</v>
      </c>
      <c r="I342">
        <f t="shared" si="8"/>
        <v>350000</v>
      </c>
    </row>
    <row r="343" spans="7:9" x14ac:dyDescent="0.25">
      <c r="G343">
        <v>326000</v>
      </c>
      <c r="H343" s="8">
        <v>0.344345612816091</v>
      </c>
      <c r="I343">
        <f t="shared" si="8"/>
        <v>350000</v>
      </c>
    </row>
    <row r="344" spans="7:9" x14ac:dyDescent="0.25">
      <c r="G344">
        <v>327000</v>
      </c>
      <c r="H344" s="8">
        <v>0.34125085226727497</v>
      </c>
      <c r="I344">
        <f t="shared" si="8"/>
        <v>350000</v>
      </c>
    </row>
    <row r="345" spans="7:9" x14ac:dyDescent="0.25">
      <c r="G345">
        <v>328000</v>
      </c>
      <c r="H345" s="8">
        <v>0.35608989243538502</v>
      </c>
      <c r="I345">
        <f t="shared" ref="I345:I408" si="9">INT(G345/50000)*50000+50000</f>
        <v>350000</v>
      </c>
    </row>
    <row r="346" spans="7:9" x14ac:dyDescent="0.25">
      <c r="G346">
        <v>329000</v>
      </c>
      <c r="H346" s="8">
        <v>0.38222859341877102</v>
      </c>
      <c r="I346">
        <f t="shared" si="9"/>
        <v>350000</v>
      </c>
    </row>
    <row r="347" spans="7:9" x14ac:dyDescent="0.25">
      <c r="G347">
        <v>330000</v>
      </c>
      <c r="H347" s="8">
        <v>0.34907127088991502</v>
      </c>
      <c r="I347">
        <f t="shared" si="9"/>
        <v>350000</v>
      </c>
    </row>
    <row r="348" spans="7:9" x14ac:dyDescent="0.25">
      <c r="G348">
        <v>331000</v>
      </c>
      <c r="H348" s="8">
        <v>0.35580850327920199</v>
      </c>
      <c r="I348">
        <f t="shared" si="9"/>
        <v>350000</v>
      </c>
    </row>
    <row r="349" spans="7:9" x14ac:dyDescent="0.25">
      <c r="G349">
        <v>332000</v>
      </c>
      <c r="H349" s="8">
        <v>0.357955384405307</v>
      </c>
      <c r="I349">
        <f t="shared" si="9"/>
        <v>350000</v>
      </c>
    </row>
    <row r="350" spans="7:9" x14ac:dyDescent="0.25">
      <c r="G350">
        <v>333000</v>
      </c>
      <c r="H350" s="8">
        <v>0.36713886824727798</v>
      </c>
      <c r="I350">
        <f t="shared" si="9"/>
        <v>350000</v>
      </c>
    </row>
    <row r="351" spans="7:9" x14ac:dyDescent="0.25">
      <c r="G351">
        <v>334000</v>
      </c>
      <c r="H351" s="8">
        <v>0.24058157987757001</v>
      </c>
      <c r="I351">
        <f t="shared" si="9"/>
        <v>350000</v>
      </c>
    </row>
    <row r="352" spans="7:9" x14ac:dyDescent="0.25">
      <c r="G352">
        <v>335000</v>
      </c>
      <c r="H352" s="8">
        <v>0.36901386935778802</v>
      </c>
      <c r="I352">
        <f t="shared" si="9"/>
        <v>350000</v>
      </c>
    </row>
    <row r="353" spans="7:9" x14ac:dyDescent="0.25">
      <c r="G353">
        <v>336000</v>
      </c>
      <c r="H353" s="8">
        <v>0.35653243912906302</v>
      </c>
      <c r="I353">
        <f t="shared" si="9"/>
        <v>350000</v>
      </c>
    </row>
    <row r="354" spans="7:9" x14ac:dyDescent="0.25">
      <c r="G354">
        <v>337000</v>
      </c>
      <c r="H354" s="8">
        <v>0.37638916130091299</v>
      </c>
      <c r="I354">
        <f t="shared" si="9"/>
        <v>350000</v>
      </c>
    </row>
    <row r="355" spans="7:9" x14ac:dyDescent="0.25">
      <c r="G355">
        <v>338000</v>
      </c>
      <c r="H355" s="8">
        <v>0.38044943845437001</v>
      </c>
      <c r="I355">
        <f t="shared" si="9"/>
        <v>350000</v>
      </c>
    </row>
    <row r="356" spans="7:9" x14ac:dyDescent="0.25">
      <c r="G356">
        <v>339000</v>
      </c>
      <c r="H356" s="8">
        <v>0.36556927574804199</v>
      </c>
      <c r="I356">
        <f t="shared" si="9"/>
        <v>350000</v>
      </c>
    </row>
    <row r="357" spans="7:9" x14ac:dyDescent="0.25">
      <c r="G357">
        <v>340000</v>
      </c>
      <c r="H357" s="8">
        <v>0.36981226640387199</v>
      </c>
      <c r="I357">
        <f t="shared" si="9"/>
        <v>350000</v>
      </c>
    </row>
    <row r="358" spans="7:9" x14ac:dyDescent="0.25">
      <c r="G358">
        <v>341000</v>
      </c>
      <c r="H358" s="8">
        <v>0.35181069535478698</v>
      </c>
      <c r="I358">
        <f t="shared" si="9"/>
        <v>350000</v>
      </c>
    </row>
    <row r="359" spans="7:9" x14ac:dyDescent="0.25">
      <c r="G359">
        <v>342000</v>
      </c>
      <c r="H359" s="8">
        <v>0.38071833620923501</v>
      </c>
      <c r="I359">
        <f t="shared" si="9"/>
        <v>350000</v>
      </c>
    </row>
    <row r="360" spans="7:9" x14ac:dyDescent="0.25">
      <c r="G360">
        <v>343000</v>
      </c>
      <c r="H360" s="8">
        <v>0.33948035964142498</v>
      </c>
      <c r="I360">
        <f t="shared" si="9"/>
        <v>350000</v>
      </c>
    </row>
    <row r="361" spans="7:9" x14ac:dyDescent="0.25">
      <c r="G361">
        <v>344000</v>
      </c>
      <c r="H361" s="8">
        <v>0.34717738474828802</v>
      </c>
      <c r="I361">
        <f t="shared" si="9"/>
        <v>350000</v>
      </c>
    </row>
    <row r="362" spans="7:9" x14ac:dyDescent="0.25">
      <c r="G362">
        <v>345000</v>
      </c>
      <c r="H362" s="8">
        <v>0.33111862128813202</v>
      </c>
      <c r="I362">
        <f t="shared" si="9"/>
        <v>350000</v>
      </c>
    </row>
    <row r="363" spans="7:9" x14ac:dyDescent="0.25">
      <c r="G363">
        <v>346000</v>
      </c>
      <c r="H363" s="8">
        <v>0.359232033401645</v>
      </c>
      <c r="I363">
        <f t="shared" si="9"/>
        <v>350000</v>
      </c>
    </row>
    <row r="364" spans="7:9" x14ac:dyDescent="0.25">
      <c r="G364">
        <v>347000</v>
      </c>
      <c r="H364" s="8">
        <v>0.36460201645990897</v>
      </c>
      <c r="I364">
        <f t="shared" si="9"/>
        <v>350000</v>
      </c>
    </row>
    <row r="365" spans="7:9" x14ac:dyDescent="0.25">
      <c r="G365">
        <v>348000</v>
      </c>
      <c r="H365" s="8">
        <v>0.363700171664539</v>
      </c>
      <c r="I365">
        <f t="shared" si="9"/>
        <v>350000</v>
      </c>
    </row>
    <row r="366" spans="7:9" x14ac:dyDescent="0.25">
      <c r="G366">
        <v>349000</v>
      </c>
      <c r="H366" s="8">
        <v>0.36499147532062798</v>
      </c>
      <c r="I366">
        <f t="shared" si="9"/>
        <v>350000</v>
      </c>
    </row>
    <row r="367" spans="7:9" x14ac:dyDescent="0.25">
      <c r="G367">
        <v>350000</v>
      </c>
      <c r="H367" s="8">
        <v>0.33456678121658201</v>
      </c>
      <c r="I367">
        <f t="shared" si="9"/>
        <v>400000</v>
      </c>
    </row>
    <row r="368" spans="7:9" x14ac:dyDescent="0.25">
      <c r="G368">
        <v>351000</v>
      </c>
      <c r="H368" s="8">
        <v>0.347447265610064</v>
      </c>
      <c r="I368">
        <f t="shared" si="9"/>
        <v>400000</v>
      </c>
    </row>
    <row r="369" spans="7:9" x14ac:dyDescent="0.25">
      <c r="G369">
        <v>352000</v>
      </c>
      <c r="H369" s="8">
        <v>0.363674084661949</v>
      </c>
      <c r="I369">
        <f t="shared" si="9"/>
        <v>400000</v>
      </c>
    </row>
    <row r="370" spans="7:9" x14ac:dyDescent="0.25">
      <c r="G370">
        <v>353000</v>
      </c>
      <c r="H370" s="8">
        <v>0.36552432703460103</v>
      </c>
      <c r="I370">
        <f t="shared" si="9"/>
        <v>400000</v>
      </c>
    </row>
    <row r="371" spans="7:9" x14ac:dyDescent="0.25">
      <c r="G371">
        <v>354000</v>
      </c>
      <c r="H371" s="8">
        <v>0.32862801848003598</v>
      </c>
      <c r="I371">
        <f t="shared" si="9"/>
        <v>400000</v>
      </c>
    </row>
    <row r="372" spans="7:9" x14ac:dyDescent="0.25">
      <c r="G372">
        <v>355000</v>
      </c>
      <c r="H372" s="8">
        <v>0.34846851536358198</v>
      </c>
      <c r="I372">
        <f t="shared" si="9"/>
        <v>400000</v>
      </c>
    </row>
    <row r="373" spans="7:9" x14ac:dyDescent="0.25">
      <c r="G373">
        <v>356000</v>
      </c>
      <c r="H373" s="8">
        <v>0.368557210688225</v>
      </c>
      <c r="I373">
        <f t="shared" si="9"/>
        <v>400000</v>
      </c>
    </row>
    <row r="374" spans="7:9" x14ac:dyDescent="0.25">
      <c r="G374">
        <v>357000</v>
      </c>
      <c r="H374" s="8">
        <v>0.33506775416885398</v>
      </c>
      <c r="I374">
        <f t="shared" si="9"/>
        <v>400000</v>
      </c>
    </row>
    <row r="375" spans="7:9" x14ac:dyDescent="0.25">
      <c r="G375">
        <v>358000</v>
      </c>
      <c r="H375" s="8">
        <v>0.38458798197595401</v>
      </c>
      <c r="I375">
        <f t="shared" si="9"/>
        <v>400000</v>
      </c>
    </row>
    <row r="376" spans="7:9" x14ac:dyDescent="0.25">
      <c r="G376">
        <v>359000</v>
      </c>
      <c r="H376" s="8">
        <v>0.31418198266248798</v>
      </c>
      <c r="I376">
        <f t="shared" si="9"/>
        <v>400000</v>
      </c>
    </row>
    <row r="377" spans="7:9" x14ac:dyDescent="0.25">
      <c r="G377">
        <v>360000</v>
      </c>
      <c r="H377" s="8">
        <v>0.31810246267598402</v>
      </c>
      <c r="I377">
        <f t="shared" si="9"/>
        <v>400000</v>
      </c>
    </row>
    <row r="378" spans="7:9" x14ac:dyDescent="0.25">
      <c r="G378">
        <v>361000</v>
      </c>
      <c r="H378" s="8">
        <v>0.37336315996089797</v>
      </c>
      <c r="I378">
        <f t="shared" si="9"/>
        <v>400000</v>
      </c>
    </row>
    <row r="379" spans="7:9" x14ac:dyDescent="0.25">
      <c r="G379">
        <v>362000</v>
      </c>
      <c r="H379" s="8">
        <v>0.33212953883346202</v>
      </c>
      <c r="I379">
        <f t="shared" si="9"/>
        <v>400000</v>
      </c>
    </row>
    <row r="380" spans="7:9" x14ac:dyDescent="0.25">
      <c r="G380">
        <v>363000</v>
      </c>
      <c r="H380" s="8">
        <v>0.35049563787589599</v>
      </c>
      <c r="I380">
        <f t="shared" si="9"/>
        <v>400000</v>
      </c>
    </row>
    <row r="381" spans="7:9" x14ac:dyDescent="0.25">
      <c r="G381">
        <v>364000</v>
      </c>
      <c r="H381" s="8">
        <v>0.37054823146764698</v>
      </c>
      <c r="I381">
        <f t="shared" si="9"/>
        <v>400000</v>
      </c>
    </row>
    <row r="382" spans="7:9" x14ac:dyDescent="0.25">
      <c r="G382">
        <v>365000</v>
      </c>
      <c r="H382" s="8">
        <v>0.35734043506922403</v>
      </c>
      <c r="I382">
        <f t="shared" si="9"/>
        <v>400000</v>
      </c>
    </row>
    <row r="383" spans="7:9" x14ac:dyDescent="0.25">
      <c r="G383">
        <v>366000</v>
      </c>
      <c r="H383" s="8">
        <v>0.345818867457586</v>
      </c>
      <c r="I383">
        <f t="shared" si="9"/>
        <v>400000</v>
      </c>
    </row>
    <row r="384" spans="7:9" x14ac:dyDescent="0.25">
      <c r="G384">
        <v>367000</v>
      </c>
      <c r="H384" s="8">
        <v>0.34078221932082398</v>
      </c>
      <c r="I384">
        <f t="shared" si="9"/>
        <v>400000</v>
      </c>
    </row>
    <row r="385" spans="7:9" x14ac:dyDescent="0.25">
      <c r="G385">
        <v>368000</v>
      </c>
      <c r="H385" s="8">
        <v>0.36325577381689</v>
      </c>
      <c r="I385">
        <f t="shared" si="9"/>
        <v>400000</v>
      </c>
    </row>
    <row r="386" spans="7:9" x14ac:dyDescent="0.25">
      <c r="G386">
        <v>369000</v>
      </c>
      <c r="H386" s="8">
        <v>0.39733286464165302</v>
      </c>
      <c r="I386">
        <f t="shared" si="9"/>
        <v>400000</v>
      </c>
    </row>
    <row r="387" spans="7:9" x14ac:dyDescent="0.25">
      <c r="G387">
        <v>370000</v>
      </c>
      <c r="H387" s="8">
        <v>0.36572772384520402</v>
      </c>
      <c r="I387">
        <f t="shared" si="9"/>
        <v>400000</v>
      </c>
    </row>
    <row r="388" spans="7:9" x14ac:dyDescent="0.25">
      <c r="G388">
        <v>371000</v>
      </c>
      <c r="H388" s="8">
        <v>0.34184146585443798</v>
      </c>
      <c r="I388">
        <f t="shared" si="9"/>
        <v>400000</v>
      </c>
    </row>
    <row r="389" spans="7:9" x14ac:dyDescent="0.25">
      <c r="G389">
        <v>372000</v>
      </c>
      <c r="H389" s="8">
        <v>0.33979487788089902</v>
      </c>
      <c r="I389">
        <f t="shared" si="9"/>
        <v>400000</v>
      </c>
    </row>
    <row r="390" spans="7:9" x14ac:dyDescent="0.25">
      <c r="G390">
        <v>373000</v>
      </c>
      <c r="H390" s="8">
        <v>0.34596287482459598</v>
      </c>
      <c r="I390">
        <f t="shared" si="9"/>
        <v>400000</v>
      </c>
    </row>
    <row r="391" spans="7:9" x14ac:dyDescent="0.25">
      <c r="G391">
        <v>374000</v>
      </c>
      <c r="H391" s="8">
        <v>0.358078361664179</v>
      </c>
      <c r="I391">
        <f t="shared" si="9"/>
        <v>400000</v>
      </c>
    </row>
    <row r="392" spans="7:9" x14ac:dyDescent="0.25">
      <c r="G392">
        <v>375000</v>
      </c>
      <c r="H392" s="8">
        <v>0.34242579789671601</v>
      </c>
      <c r="I392">
        <f t="shared" si="9"/>
        <v>400000</v>
      </c>
    </row>
    <row r="393" spans="7:9" x14ac:dyDescent="0.25">
      <c r="G393">
        <v>376000</v>
      </c>
      <c r="H393" s="8">
        <v>0.37589628763176403</v>
      </c>
      <c r="I393">
        <f t="shared" si="9"/>
        <v>400000</v>
      </c>
    </row>
    <row r="394" spans="7:9" x14ac:dyDescent="0.25">
      <c r="G394">
        <v>377000</v>
      </c>
      <c r="H394" s="8">
        <v>0.35415319430481701</v>
      </c>
      <c r="I394">
        <f t="shared" si="9"/>
        <v>400000</v>
      </c>
    </row>
    <row r="395" spans="7:9" x14ac:dyDescent="0.25">
      <c r="G395">
        <v>378000</v>
      </c>
      <c r="H395" s="8">
        <v>0.35157900230046502</v>
      </c>
      <c r="I395">
        <f t="shared" si="9"/>
        <v>400000</v>
      </c>
    </row>
    <row r="396" spans="7:9" x14ac:dyDescent="0.25">
      <c r="G396">
        <v>379000</v>
      </c>
      <c r="H396" s="8">
        <v>0.33275055183430402</v>
      </c>
      <c r="I396">
        <f t="shared" si="9"/>
        <v>400000</v>
      </c>
    </row>
    <row r="397" spans="7:9" x14ac:dyDescent="0.25">
      <c r="G397">
        <v>380000</v>
      </c>
      <c r="H397" s="8">
        <v>0.36719639754982197</v>
      </c>
      <c r="I397">
        <f t="shared" si="9"/>
        <v>400000</v>
      </c>
    </row>
    <row r="398" spans="7:9" x14ac:dyDescent="0.25">
      <c r="G398">
        <v>381000</v>
      </c>
      <c r="H398" s="8">
        <v>0.35732456525279799</v>
      </c>
      <c r="I398">
        <f t="shared" si="9"/>
        <v>400000</v>
      </c>
    </row>
    <row r="399" spans="7:9" x14ac:dyDescent="0.25">
      <c r="G399">
        <v>382000</v>
      </c>
      <c r="H399" s="8">
        <v>0.32737301828943099</v>
      </c>
      <c r="I399">
        <f t="shared" si="9"/>
        <v>400000</v>
      </c>
    </row>
    <row r="400" spans="7:9" x14ac:dyDescent="0.25">
      <c r="G400">
        <v>383000</v>
      </c>
      <c r="H400" s="8">
        <v>0.36364104949181802</v>
      </c>
      <c r="I400">
        <f t="shared" si="9"/>
        <v>400000</v>
      </c>
    </row>
    <row r="401" spans="7:9" x14ac:dyDescent="0.25">
      <c r="G401">
        <v>384000</v>
      </c>
      <c r="H401" s="8">
        <v>0.35434146578347098</v>
      </c>
      <c r="I401">
        <f t="shared" si="9"/>
        <v>400000</v>
      </c>
    </row>
    <row r="402" spans="7:9" x14ac:dyDescent="0.25">
      <c r="G402">
        <v>385000</v>
      </c>
      <c r="H402" s="8">
        <v>0.36257879233559298</v>
      </c>
      <c r="I402">
        <f t="shared" si="9"/>
        <v>400000</v>
      </c>
    </row>
    <row r="403" spans="7:9" x14ac:dyDescent="0.25">
      <c r="G403">
        <v>386000</v>
      </c>
      <c r="H403" s="8">
        <v>0.34514295483315299</v>
      </c>
      <c r="I403">
        <f t="shared" si="9"/>
        <v>400000</v>
      </c>
    </row>
    <row r="404" spans="7:9" x14ac:dyDescent="0.25">
      <c r="G404">
        <v>387000</v>
      </c>
      <c r="H404" s="8">
        <v>0.36755543916743399</v>
      </c>
      <c r="I404">
        <f t="shared" si="9"/>
        <v>400000</v>
      </c>
    </row>
    <row r="405" spans="7:9" x14ac:dyDescent="0.25">
      <c r="G405">
        <v>388000</v>
      </c>
      <c r="H405" s="8">
        <v>0.35451404952837801</v>
      </c>
      <c r="I405">
        <f t="shared" si="9"/>
        <v>400000</v>
      </c>
    </row>
    <row r="406" spans="7:9" x14ac:dyDescent="0.25">
      <c r="G406">
        <v>389000</v>
      </c>
      <c r="H406" s="8">
        <v>0.37388213293160799</v>
      </c>
      <c r="I406">
        <f t="shared" si="9"/>
        <v>400000</v>
      </c>
    </row>
    <row r="407" spans="7:9" x14ac:dyDescent="0.25">
      <c r="G407">
        <v>390000</v>
      </c>
      <c r="H407" s="8">
        <v>0.356215143937053</v>
      </c>
      <c r="I407">
        <f t="shared" si="9"/>
        <v>400000</v>
      </c>
    </row>
    <row r="408" spans="7:9" x14ac:dyDescent="0.25">
      <c r="G408">
        <v>391000</v>
      </c>
      <c r="H408" s="8">
        <v>0.36190790034036302</v>
      </c>
      <c r="I408">
        <f t="shared" si="9"/>
        <v>400000</v>
      </c>
    </row>
    <row r="409" spans="7:9" x14ac:dyDescent="0.25">
      <c r="G409">
        <v>392000</v>
      </c>
      <c r="H409" s="8">
        <v>0.37429109472115601</v>
      </c>
      <c r="I409">
        <f t="shared" ref="I409:I472" si="10">INT(G409/50000)*50000+50000</f>
        <v>400000</v>
      </c>
    </row>
    <row r="410" spans="7:9" x14ac:dyDescent="0.25">
      <c r="G410">
        <v>393000</v>
      </c>
      <c r="H410" s="8">
        <v>0.33663930954158999</v>
      </c>
      <c r="I410">
        <f t="shared" si="10"/>
        <v>400000</v>
      </c>
    </row>
    <row r="411" spans="7:9" x14ac:dyDescent="0.25">
      <c r="G411">
        <v>394000</v>
      </c>
      <c r="H411" s="8">
        <v>0.322651738529938</v>
      </c>
      <c r="I411">
        <f t="shared" si="10"/>
        <v>400000</v>
      </c>
    </row>
    <row r="412" spans="7:9" x14ac:dyDescent="0.25">
      <c r="G412">
        <v>395000</v>
      </c>
      <c r="H412" s="8">
        <v>0.34274278349577703</v>
      </c>
      <c r="I412">
        <f t="shared" si="10"/>
        <v>400000</v>
      </c>
    </row>
    <row r="413" spans="7:9" x14ac:dyDescent="0.25">
      <c r="G413">
        <v>396000</v>
      </c>
      <c r="H413" s="8">
        <v>0.38479362871404998</v>
      </c>
      <c r="I413">
        <f t="shared" si="10"/>
        <v>400000</v>
      </c>
    </row>
    <row r="414" spans="7:9" x14ac:dyDescent="0.25">
      <c r="G414">
        <v>397000</v>
      </c>
      <c r="H414" s="8">
        <v>0.36164284144813003</v>
      </c>
      <c r="I414">
        <f t="shared" si="10"/>
        <v>400000</v>
      </c>
    </row>
    <row r="415" spans="7:9" x14ac:dyDescent="0.25">
      <c r="G415">
        <v>398000</v>
      </c>
      <c r="H415" s="8">
        <v>0.33874216432864901</v>
      </c>
      <c r="I415">
        <f t="shared" si="10"/>
        <v>400000</v>
      </c>
    </row>
    <row r="416" spans="7:9" x14ac:dyDescent="0.25">
      <c r="G416">
        <v>399000</v>
      </c>
      <c r="H416" s="8">
        <v>0.366071937759404</v>
      </c>
      <c r="I416">
        <f t="shared" si="10"/>
        <v>400000</v>
      </c>
    </row>
    <row r="417" spans="7:9" x14ac:dyDescent="0.25">
      <c r="G417" s="3">
        <v>400000</v>
      </c>
      <c r="H417" s="8">
        <v>0.33142068764064597</v>
      </c>
      <c r="I417">
        <f t="shared" si="10"/>
        <v>450000</v>
      </c>
    </row>
    <row r="418" spans="7:9" x14ac:dyDescent="0.25">
      <c r="G418">
        <v>401000</v>
      </c>
      <c r="H418" s="8">
        <v>0.38708839325365901</v>
      </c>
      <c r="I418">
        <f t="shared" si="10"/>
        <v>450000</v>
      </c>
    </row>
    <row r="419" spans="7:9" x14ac:dyDescent="0.25">
      <c r="G419">
        <v>402000</v>
      </c>
      <c r="H419" s="8">
        <v>0.34244290814601402</v>
      </c>
      <c r="I419">
        <f t="shared" si="10"/>
        <v>450000</v>
      </c>
    </row>
    <row r="420" spans="7:9" x14ac:dyDescent="0.25">
      <c r="G420">
        <v>403000</v>
      </c>
      <c r="H420" s="8">
        <v>0.33805000301600502</v>
      </c>
      <c r="I420">
        <f t="shared" si="10"/>
        <v>450000</v>
      </c>
    </row>
    <row r="421" spans="7:9" x14ac:dyDescent="0.25">
      <c r="G421">
        <v>404000</v>
      </c>
      <c r="H421" s="8">
        <v>0.35962789925969402</v>
      </c>
      <c r="I421">
        <f t="shared" si="10"/>
        <v>450000</v>
      </c>
    </row>
    <row r="422" spans="7:9" x14ac:dyDescent="0.25">
      <c r="G422">
        <v>405000</v>
      </c>
      <c r="H422" s="8">
        <v>0.36066753957394898</v>
      </c>
      <c r="I422">
        <f t="shared" si="10"/>
        <v>450000</v>
      </c>
    </row>
    <row r="423" spans="7:9" x14ac:dyDescent="0.25">
      <c r="G423">
        <v>406000</v>
      </c>
      <c r="H423" s="8">
        <v>0.35466203716467698</v>
      </c>
      <c r="I423">
        <f t="shared" si="10"/>
        <v>450000</v>
      </c>
    </row>
    <row r="424" spans="7:9" x14ac:dyDescent="0.25">
      <c r="G424">
        <v>407000</v>
      </c>
      <c r="H424" s="8">
        <v>0.33437486521516202</v>
      </c>
      <c r="I424">
        <f t="shared" si="10"/>
        <v>450000</v>
      </c>
    </row>
    <row r="425" spans="7:9" x14ac:dyDescent="0.25">
      <c r="G425">
        <v>408000</v>
      </c>
      <c r="H425" s="8">
        <v>0.34408072860535299</v>
      </c>
      <c r="I425">
        <f t="shared" si="10"/>
        <v>450000</v>
      </c>
    </row>
    <row r="426" spans="7:9" x14ac:dyDescent="0.25">
      <c r="G426">
        <v>409000</v>
      </c>
      <c r="H426" s="8">
        <v>0.34343562736729299</v>
      </c>
      <c r="I426">
        <f t="shared" si="10"/>
        <v>450000</v>
      </c>
    </row>
    <row r="427" spans="7:9" x14ac:dyDescent="0.25">
      <c r="G427">
        <v>410000</v>
      </c>
      <c r="H427" s="8">
        <v>0.353464789714934</v>
      </c>
      <c r="I427">
        <f t="shared" si="10"/>
        <v>450000</v>
      </c>
    </row>
    <row r="428" spans="7:9" x14ac:dyDescent="0.25">
      <c r="G428">
        <v>411000</v>
      </c>
      <c r="H428" s="8">
        <v>0.341770372513655</v>
      </c>
      <c r="I428">
        <f t="shared" si="10"/>
        <v>450000</v>
      </c>
    </row>
    <row r="429" spans="7:9" x14ac:dyDescent="0.25">
      <c r="G429">
        <v>412000</v>
      </c>
      <c r="H429" s="8">
        <v>0.33649945659102898</v>
      </c>
      <c r="I429">
        <f t="shared" si="10"/>
        <v>450000</v>
      </c>
    </row>
    <row r="430" spans="7:9" x14ac:dyDescent="0.25">
      <c r="G430">
        <v>413000</v>
      </c>
      <c r="H430" s="8">
        <v>0.325324680211515</v>
      </c>
      <c r="I430">
        <f t="shared" si="10"/>
        <v>450000</v>
      </c>
    </row>
    <row r="431" spans="7:9" x14ac:dyDescent="0.25">
      <c r="G431">
        <v>414000</v>
      </c>
      <c r="H431" s="8">
        <v>0.35413579657730399</v>
      </c>
      <c r="I431">
        <f t="shared" si="10"/>
        <v>450000</v>
      </c>
    </row>
    <row r="432" spans="7:9" x14ac:dyDescent="0.25">
      <c r="G432">
        <v>415000</v>
      </c>
      <c r="H432" s="8">
        <v>0.35321851216928202</v>
      </c>
      <c r="I432">
        <f t="shared" si="10"/>
        <v>450000</v>
      </c>
    </row>
    <row r="433" spans="7:9" x14ac:dyDescent="0.25">
      <c r="G433">
        <v>416000</v>
      </c>
      <c r="H433" s="8">
        <v>0.34925759989488597</v>
      </c>
      <c r="I433">
        <f t="shared" si="10"/>
        <v>450000</v>
      </c>
    </row>
    <row r="434" spans="7:9" x14ac:dyDescent="0.25">
      <c r="G434">
        <v>417000</v>
      </c>
      <c r="H434" s="8">
        <v>0.298309151888976</v>
      </c>
      <c r="I434">
        <f t="shared" si="10"/>
        <v>450000</v>
      </c>
    </row>
    <row r="435" spans="7:9" x14ac:dyDescent="0.25">
      <c r="G435">
        <v>418000</v>
      </c>
      <c r="H435" s="8">
        <v>0.51291261012232003</v>
      </c>
      <c r="I435">
        <f t="shared" si="10"/>
        <v>450000</v>
      </c>
    </row>
    <row r="436" spans="7:9" x14ac:dyDescent="0.25">
      <c r="G436">
        <v>419000</v>
      </c>
      <c r="H436" s="8">
        <v>0.13017634456860799</v>
      </c>
      <c r="I436">
        <f t="shared" si="10"/>
        <v>450000</v>
      </c>
    </row>
    <row r="437" spans="7:9" x14ac:dyDescent="0.25">
      <c r="G437">
        <v>420000</v>
      </c>
      <c r="H437" s="8">
        <v>0.46636588878184099</v>
      </c>
      <c r="I437">
        <f t="shared" si="10"/>
        <v>450000</v>
      </c>
    </row>
    <row r="438" spans="7:9" x14ac:dyDescent="0.25">
      <c r="G438">
        <v>421000</v>
      </c>
      <c r="H438" s="8">
        <v>0.293929170803855</v>
      </c>
      <c r="I438">
        <f t="shared" si="10"/>
        <v>450000</v>
      </c>
    </row>
    <row r="439" spans="7:9" x14ac:dyDescent="0.25">
      <c r="G439">
        <v>423000</v>
      </c>
      <c r="H439" s="8">
        <v>0.38773270468603699</v>
      </c>
      <c r="I439">
        <f t="shared" si="10"/>
        <v>450000</v>
      </c>
    </row>
    <row r="440" spans="7:9" x14ac:dyDescent="0.25">
      <c r="G440">
        <v>424000</v>
      </c>
      <c r="H440" s="8">
        <v>0.49093327443672402</v>
      </c>
      <c r="I440">
        <f t="shared" si="10"/>
        <v>450000</v>
      </c>
    </row>
    <row r="441" spans="7:9" x14ac:dyDescent="0.25">
      <c r="G441">
        <v>425000</v>
      </c>
      <c r="H441" s="8">
        <v>0.59149675355079101</v>
      </c>
      <c r="I441">
        <f t="shared" si="10"/>
        <v>450000</v>
      </c>
    </row>
    <row r="442" spans="7:9" x14ac:dyDescent="0.25">
      <c r="G442">
        <v>426000</v>
      </c>
      <c r="H442" s="8">
        <v>0.603324975112839</v>
      </c>
      <c r="I442">
        <f t="shared" si="10"/>
        <v>450000</v>
      </c>
    </row>
    <row r="443" spans="7:9" x14ac:dyDescent="0.25">
      <c r="G443">
        <v>427000</v>
      </c>
      <c r="H443" s="8">
        <v>0.218089060324717</v>
      </c>
      <c r="I443">
        <f t="shared" si="10"/>
        <v>450000</v>
      </c>
    </row>
    <row r="444" spans="7:9" x14ac:dyDescent="0.25">
      <c r="G444">
        <v>428000</v>
      </c>
      <c r="H444" s="8">
        <v>0.36127611033315998</v>
      </c>
      <c r="I444">
        <f t="shared" si="10"/>
        <v>450000</v>
      </c>
    </row>
    <row r="445" spans="7:9" x14ac:dyDescent="0.25">
      <c r="G445">
        <v>429000</v>
      </c>
      <c r="H445" s="8">
        <v>0.124841498128813</v>
      </c>
      <c r="I445">
        <f t="shared" si="10"/>
        <v>450000</v>
      </c>
    </row>
    <row r="446" spans="7:9" x14ac:dyDescent="0.25">
      <c r="G446">
        <v>430000</v>
      </c>
      <c r="H446" s="8">
        <v>0.361169406688582</v>
      </c>
      <c r="I446">
        <f t="shared" si="10"/>
        <v>450000</v>
      </c>
    </row>
    <row r="447" spans="7:9" x14ac:dyDescent="0.25">
      <c r="G447">
        <v>431000</v>
      </c>
      <c r="H447" s="8">
        <v>0.31900611685228902</v>
      </c>
      <c r="I447">
        <f t="shared" si="10"/>
        <v>450000</v>
      </c>
    </row>
    <row r="448" spans="7:9" x14ac:dyDescent="0.25">
      <c r="G448">
        <v>432000</v>
      </c>
      <c r="H448" s="8">
        <v>0.31623952275650102</v>
      </c>
      <c r="I448">
        <f t="shared" si="10"/>
        <v>450000</v>
      </c>
    </row>
    <row r="449" spans="7:9" x14ac:dyDescent="0.25">
      <c r="G449">
        <v>433000</v>
      </c>
      <c r="H449" s="8">
        <v>0.27285229181649701</v>
      </c>
      <c r="I449">
        <f t="shared" si="10"/>
        <v>450000</v>
      </c>
    </row>
    <row r="450" spans="7:9" x14ac:dyDescent="0.25">
      <c r="G450">
        <v>434000</v>
      </c>
      <c r="H450" s="8">
        <v>0.26483034421121299</v>
      </c>
      <c r="I450">
        <f t="shared" si="10"/>
        <v>450000</v>
      </c>
    </row>
    <row r="451" spans="7:9" x14ac:dyDescent="0.25">
      <c r="G451">
        <v>435000</v>
      </c>
      <c r="H451" s="8">
        <v>0.57208860033652997</v>
      </c>
      <c r="I451">
        <f t="shared" si="10"/>
        <v>450000</v>
      </c>
    </row>
    <row r="452" spans="7:9" x14ac:dyDescent="0.25">
      <c r="G452">
        <v>436000</v>
      </c>
      <c r="H452" s="8">
        <v>0.33545100580689702</v>
      </c>
      <c r="I452">
        <f t="shared" si="10"/>
        <v>450000</v>
      </c>
    </row>
    <row r="453" spans="7:9" x14ac:dyDescent="0.25">
      <c r="G453">
        <v>437000</v>
      </c>
      <c r="H453" s="8">
        <v>0.30605723594425899</v>
      </c>
      <c r="I453">
        <f t="shared" si="10"/>
        <v>450000</v>
      </c>
    </row>
    <row r="454" spans="7:9" x14ac:dyDescent="0.25">
      <c r="G454">
        <v>438000</v>
      </c>
      <c r="H454" s="8">
        <v>0.51298722968178601</v>
      </c>
      <c r="I454">
        <f t="shared" si="10"/>
        <v>450000</v>
      </c>
    </row>
    <row r="455" spans="7:9" x14ac:dyDescent="0.25">
      <c r="G455">
        <v>439000</v>
      </c>
      <c r="H455" s="8">
        <v>0.47935503561993298</v>
      </c>
      <c r="I455">
        <f t="shared" si="10"/>
        <v>450000</v>
      </c>
    </row>
    <row r="456" spans="7:9" x14ac:dyDescent="0.25">
      <c r="G456">
        <v>440000</v>
      </c>
      <c r="H456" s="8">
        <v>0.33782150688106</v>
      </c>
      <c r="I456">
        <f t="shared" si="10"/>
        <v>450000</v>
      </c>
    </row>
    <row r="457" spans="7:9" x14ac:dyDescent="0.25">
      <c r="G457">
        <v>441000</v>
      </c>
      <c r="H457" s="8">
        <v>0.41291393932964399</v>
      </c>
      <c r="I457">
        <f t="shared" si="10"/>
        <v>450000</v>
      </c>
    </row>
    <row r="458" spans="7:9" x14ac:dyDescent="0.25">
      <c r="G458">
        <v>442000</v>
      </c>
      <c r="H458" s="8">
        <v>0.37830748614224402</v>
      </c>
      <c r="I458">
        <f t="shared" si="10"/>
        <v>450000</v>
      </c>
    </row>
    <row r="459" spans="7:9" x14ac:dyDescent="0.25">
      <c r="G459">
        <v>443000</v>
      </c>
      <c r="H459" s="8">
        <v>0.499191445525065</v>
      </c>
      <c r="I459">
        <f t="shared" si="10"/>
        <v>450000</v>
      </c>
    </row>
    <row r="460" spans="7:9" x14ac:dyDescent="0.25">
      <c r="G460">
        <v>444000</v>
      </c>
      <c r="H460" s="8">
        <v>0.199121871787169</v>
      </c>
      <c r="I460">
        <f t="shared" si="10"/>
        <v>450000</v>
      </c>
    </row>
    <row r="461" spans="7:9" x14ac:dyDescent="0.25">
      <c r="G461">
        <v>445000</v>
      </c>
      <c r="H461" s="8">
        <v>0.44070430943837202</v>
      </c>
      <c r="I461">
        <f t="shared" si="10"/>
        <v>450000</v>
      </c>
    </row>
    <row r="462" spans="7:9" x14ac:dyDescent="0.25">
      <c r="G462">
        <v>446000</v>
      </c>
      <c r="H462" s="8">
        <v>0.31357907621241199</v>
      </c>
      <c r="I462">
        <f t="shared" si="10"/>
        <v>450000</v>
      </c>
    </row>
    <row r="463" spans="7:9" x14ac:dyDescent="0.25">
      <c r="G463">
        <v>447000</v>
      </c>
      <c r="H463" s="8">
        <v>0.51442070054114597</v>
      </c>
      <c r="I463">
        <f t="shared" si="10"/>
        <v>450000</v>
      </c>
    </row>
    <row r="464" spans="7:9" x14ac:dyDescent="0.25">
      <c r="G464">
        <v>448000</v>
      </c>
      <c r="H464" s="8">
        <v>0.47324495023837299</v>
      </c>
      <c r="I464">
        <f t="shared" si="10"/>
        <v>450000</v>
      </c>
    </row>
    <row r="465" spans="7:9" x14ac:dyDescent="0.25">
      <c r="G465">
        <v>449000</v>
      </c>
      <c r="H465" s="8">
        <v>0.53934335945067002</v>
      </c>
      <c r="I465">
        <f t="shared" si="10"/>
        <v>450000</v>
      </c>
    </row>
    <row r="466" spans="7:9" x14ac:dyDescent="0.25">
      <c r="G466">
        <v>450000</v>
      </c>
      <c r="H466" s="8">
        <v>0.28841976089360399</v>
      </c>
      <c r="I466">
        <f t="shared" si="10"/>
        <v>500000</v>
      </c>
    </row>
    <row r="467" spans="7:9" x14ac:dyDescent="0.25">
      <c r="G467">
        <v>451000</v>
      </c>
      <c r="H467" s="8">
        <v>0.78597414731823101</v>
      </c>
      <c r="I467">
        <f t="shared" si="10"/>
        <v>500000</v>
      </c>
    </row>
    <row r="468" spans="7:9" x14ac:dyDescent="0.25">
      <c r="G468">
        <v>453000</v>
      </c>
      <c r="H468" s="8">
        <v>0.31905774766453399</v>
      </c>
      <c r="I468">
        <f t="shared" si="10"/>
        <v>500000</v>
      </c>
    </row>
    <row r="469" spans="7:9" x14ac:dyDescent="0.25">
      <c r="G469">
        <v>454000</v>
      </c>
      <c r="H469" s="8">
        <v>0.368965279807071</v>
      </c>
      <c r="I469">
        <f t="shared" si="10"/>
        <v>500000</v>
      </c>
    </row>
    <row r="470" spans="7:9" x14ac:dyDescent="0.25">
      <c r="G470">
        <v>455000</v>
      </c>
      <c r="H470" s="8">
        <v>0.42943634643136702</v>
      </c>
      <c r="I470">
        <f t="shared" si="10"/>
        <v>500000</v>
      </c>
    </row>
    <row r="471" spans="7:9" x14ac:dyDescent="0.25">
      <c r="G471">
        <v>456000</v>
      </c>
      <c r="H471" s="8">
        <v>0.46798735432366201</v>
      </c>
      <c r="I471">
        <f t="shared" si="10"/>
        <v>500000</v>
      </c>
    </row>
    <row r="472" spans="7:9" x14ac:dyDescent="0.25">
      <c r="G472">
        <v>458000</v>
      </c>
      <c r="H472" s="8">
        <v>0.47393323964367901</v>
      </c>
      <c r="I472">
        <f t="shared" si="10"/>
        <v>500000</v>
      </c>
    </row>
    <row r="473" spans="7:9" x14ac:dyDescent="0.25">
      <c r="G473">
        <v>459000</v>
      </c>
      <c r="H473" s="8">
        <v>0.51664610843911396</v>
      </c>
      <c r="I473">
        <f t="shared" ref="I473:I511" si="11">INT(G473/50000)*50000+50000</f>
        <v>500000</v>
      </c>
    </row>
    <row r="474" spans="7:9" x14ac:dyDescent="0.25">
      <c r="G474">
        <v>460000</v>
      </c>
      <c r="H474" s="8">
        <v>0.32136155597719601</v>
      </c>
      <c r="I474">
        <f t="shared" si="11"/>
        <v>500000</v>
      </c>
    </row>
    <row r="475" spans="7:9" x14ac:dyDescent="0.25">
      <c r="G475">
        <v>461000</v>
      </c>
      <c r="H475" s="8">
        <v>0.44062409594697999</v>
      </c>
      <c r="I475">
        <f t="shared" si="11"/>
        <v>500000</v>
      </c>
    </row>
    <row r="476" spans="7:9" x14ac:dyDescent="0.25">
      <c r="G476">
        <v>462000</v>
      </c>
      <c r="H476" s="8">
        <v>0.47433354988883702</v>
      </c>
      <c r="I476">
        <f t="shared" si="11"/>
        <v>500000</v>
      </c>
    </row>
    <row r="477" spans="7:9" x14ac:dyDescent="0.25">
      <c r="G477">
        <v>463000</v>
      </c>
      <c r="H477" s="8">
        <v>0.41607539229106499</v>
      </c>
      <c r="I477">
        <f t="shared" si="11"/>
        <v>500000</v>
      </c>
    </row>
    <row r="478" spans="7:9" x14ac:dyDescent="0.25">
      <c r="G478">
        <v>464000</v>
      </c>
      <c r="H478" s="8">
        <v>0.46246069157341502</v>
      </c>
      <c r="I478">
        <f t="shared" si="11"/>
        <v>500000</v>
      </c>
    </row>
    <row r="479" spans="7:9" x14ac:dyDescent="0.25">
      <c r="G479">
        <v>465000</v>
      </c>
      <c r="H479" s="8">
        <v>0.39869331459347601</v>
      </c>
      <c r="I479">
        <f t="shared" si="11"/>
        <v>500000</v>
      </c>
    </row>
    <row r="480" spans="7:9" x14ac:dyDescent="0.25">
      <c r="G480">
        <v>466000</v>
      </c>
      <c r="H480" s="8">
        <v>0.196317960696819</v>
      </c>
      <c r="I480">
        <f t="shared" si="11"/>
        <v>500000</v>
      </c>
    </row>
    <row r="481" spans="7:9" x14ac:dyDescent="0.25">
      <c r="G481">
        <v>467000</v>
      </c>
      <c r="H481" s="8">
        <v>0.23037205684327999</v>
      </c>
      <c r="I481">
        <f t="shared" si="11"/>
        <v>500000</v>
      </c>
    </row>
    <row r="482" spans="7:9" x14ac:dyDescent="0.25">
      <c r="G482">
        <v>468000</v>
      </c>
      <c r="H482" s="8">
        <v>0.492552112233063</v>
      </c>
      <c r="I482">
        <f t="shared" si="11"/>
        <v>500000</v>
      </c>
    </row>
    <row r="483" spans="7:9" x14ac:dyDescent="0.25">
      <c r="G483">
        <v>469000</v>
      </c>
      <c r="H483" s="8">
        <v>0.36185104994357398</v>
      </c>
      <c r="I483">
        <f t="shared" si="11"/>
        <v>500000</v>
      </c>
    </row>
    <row r="484" spans="7:9" x14ac:dyDescent="0.25">
      <c r="G484">
        <v>470000</v>
      </c>
      <c r="H484" s="8">
        <v>0.28926689671356698</v>
      </c>
      <c r="I484">
        <f t="shared" si="11"/>
        <v>500000</v>
      </c>
    </row>
    <row r="485" spans="7:9" x14ac:dyDescent="0.25">
      <c r="G485">
        <v>471000</v>
      </c>
      <c r="H485" s="8">
        <v>0.56168113137096498</v>
      </c>
      <c r="I485">
        <f t="shared" si="11"/>
        <v>500000</v>
      </c>
    </row>
    <row r="486" spans="7:9" x14ac:dyDescent="0.25">
      <c r="G486">
        <v>472000</v>
      </c>
      <c r="H486" s="8">
        <v>0.28162249697264802</v>
      </c>
      <c r="I486">
        <f t="shared" si="11"/>
        <v>500000</v>
      </c>
    </row>
    <row r="487" spans="7:9" x14ac:dyDescent="0.25">
      <c r="G487">
        <v>473000</v>
      </c>
      <c r="H487" s="8">
        <v>0.39389267529878502</v>
      </c>
      <c r="I487">
        <f t="shared" si="11"/>
        <v>500000</v>
      </c>
    </row>
    <row r="488" spans="7:9" x14ac:dyDescent="0.25">
      <c r="G488">
        <v>474000</v>
      </c>
      <c r="H488" s="8">
        <v>0.39819832602528399</v>
      </c>
      <c r="I488">
        <f t="shared" si="11"/>
        <v>500000</v>
      </c>
    </row>
    <row r="489" spans="7:9" x14ac:dyDescent="0.25">
      <c r="G489">
        <v>475000</v>
      </c>
      <c r="H489" s="8">
        <v>0.405008946850755</v>
      </c>
      <c r="I489">
        <f t="shared" si="11"/>
        <v>500000</v>
      </c>
    </row>
    <row r="490" spans="7:9" x14ac:dyDescent="0.25">
      <c r="G490">
        <v>476000</v>
      </c>
      <c r="H490" s="8">
        <v>0.40505438907444202</v>
      </c>
      <c r="I490">
        <f t="shared" si="11"/>
        <v>500000</v>
      </c>
    </row>
    <row r="491" spans="7:9" x14ac:dyDescent="0.25">
      <c r="G491">
        <v>477000</v>
      </c>
      <c r="H491" s="8">
        <v>0.51413550883896098</v>
      </c>
      <c r="I491">
        <f t="shared" si="11"/>
        <v>500000</v>
      </c>
    </row>
    <row r="492" spans="7:9" x14ac:dyDescent="0.25">
      <c r="G492">
        <v>478000</v>
      </c>
      <c r="H492" s="8">
        <v>0.55552501302202795</v>
      </c>
      <c r="I492">
        <f t="shared" si="11"/>
        <v>500000</v>
      </c>
    </row>
    <row r="493" spans="7:9" x14ac:dyDescent="0.25">
      <c r="G493">
        <v>480000</v>
      </c>
      <c r="H493" s="8">
        <v>0.359828540533219</v>
      </c>
      <c r="I493">
        <f t="shared" si="11"/>
        <v>500000</v>
      </c>
    </row>
    <row r="494" spans="7:9" x14ac:dyDescent="0.25">
      <c r="G494">
        <v>481000</v>
      </c>
      <c r="H494" s="8">
        <v>0.31886331491617398</v>
      </c>
      <c r="I494">
        <f t="shared" si="11"/>
        <v>500000</v>
      </c>
    </row>
    <row r="495" spans="7:9" x14ac:dyDescent="0.25">
      <c r="G495">
        <v>482000</v>
      </c>
      <c r="H495" s="8">
        <v>0.16196947724871799</v>
      </c>
      <c r="I495">
        <f t="shared" si="11"/>
        <v>500000</v>
      </c>
    </row>
    <row r="496" spans="7:9" x14ac:dyDescent="0.25">
      <c r="G496">
        <v>483000</v>
      </c>
      <c r="H496" s="8">
        <v>0.60995945366153903</v>
      </c>
      <c r="I496">
        <f t="shared" si="11"/>
        <v>500000</v>
      </c>
    </row>
    <row r="497" spans="7:9" x14ac:dyDescent="0.25">
      <c r="G497">
        <v>484000</v>
      </c>
      <c r="H497" s="8">
        <v>0.40156099692228397</v>
      </c>
      <c r="I497">
        <f t="shared" si="11"/>
        <v>500000</v>
      </c>
    </row>
    <row r="498" spans="7:9" x14ac:dyDescent="0.25">
      <c r="G498">
        <v>485000</v>
      </c>
      <c r="H498" s="8">
        <v>0.35466168783810798</v>
      </c>
      <c r="I498">
        <f t="shared" si="11"/>
        <v>500000</v>
      </c>
    </row>
    <row r="499" spans="7:9" x14ac:dyDescent="0.25">
      <c r="G499">
        <v>486000</v>
      </c>
      <c r="H499" s="8">
        <v>0.50747262217033795</v>
      </c>
      <c r="I499">
        <f t="shared" si="11"/>
        <v>500000</v>
      </c>
    </row>
    <row r="500" spans="7:9" x14ac:dyDescent="0.25">
      <c r="G500">
        <v>487000</v>
      </c>
      <c r="H500" s="8">
        <v>0.52372313773955004</v>
      </c>
      <c r="I500">
        <f t="shared" si="11"/>
        <v>500000</v>
      </c>
    </row>
    <row r="501" spans="7:9" x14ac:dyDescent="0.25">
      <c r="G501">
        <v>488000</v>
      </c>
      <c r="H501" s="8">
        <v>0.255101107288152</v>
      </c>
      <c r="I501">
        <f t="shared" si="11"/>
        <v>500000</v>
      </c>
    </row>
    <row r="502" spans="7:9" x14ac:dyDescent="0.25">
      <c r="G502">
        <v>489000</v>
      </c>
      <c r="H502" s="8">
        <v>0.25401354340089899</v>
      </c>
      <c r="I502">
        <f t="shared" si="11"/>
        <v>500000</v>
      </c>
    </row>
    <row r="503" spans="7:9" x14ac:dyDescent="0.25">
      <c r="G503">
        <v>490000</v>
      </c>
      <c r="H503" s="8">
        <v>0.38677953126262599</v>
      </c>
      <c r="I503">
        <f t="shared" si="11"/>
        <v>500000</v>
      </c>
    </row>
    <row r="504" spans="7:9" x14ac:dyDescent="0.25">
      <c r="G504">
        <v>491000</v>
      </c>
      <c r="H504" s="8">
        <v>0.53440446100177097</v>
      </c>
      <c r="I504">
        <f t="shared" si="11"/>
        <v>500000</v>
      </c>
    </row>
    <row r="505" spans="7:9" x14ac:dyDescent="0.25">
      <c r="G505">
        <v>492000</v>
      </c>
      <c r="H505" s="8">
        <v>0.35062836682461201</v>
      </c>
      <c r="I505">
        <f t="shared" si="11"/>
        <v>500000</v>
      </c>
    </row>
    <row r="506" spans="7:9" x14ac:dyDescent="0.25">
      <c r="G506">
        <v>493000</v>
      </c>
      <c r="H506" s="8">
        <v>0.50386304769601198</v>
      </c>
      <c r="I506">
        <f t="shared" si="11"/>
        <v>500000</v>
      </c>
    </row>
    <row r="507" spans="7:9" x14ac:dyDescent="0.25">
      <c r="G507">
        <v>494000</v>
      </c>
      <c r="H507" s="8">
        <v>0.38937393000770099</v>
      </c>
      <c r="I507">
        <f t="shared" si="11"/>
        <v>500000</v>
      </c>
    </row>
    <row r="508" spans="7:9" x14ac:dyDescent="0.25">
      <c r="G508">
        <v>495000</v>
      </c>
      <c r="H508" s="8">
        <v>0.30005806200873503</v>
      </c>
      <c r="I508">
        <f t="shared" si="11"/>
        <v>500000</v>
      </c>
    </row>
    <row r="509" spans="7:9" x14ac:dyDescent="0.25">
      <c r="G509">
        <v>496000</v>
      </c>
      <c r="H509" s="8">
        <v>0.40820544220570798</v>
      </c>
      <c r="I509">
        <f t="shared" si="11"/>
        <v>500000</v>
      </c>
    </row>
    <row r="510" spans="7:9" x14ac:dyDescent="0.25">
      <c r="G510">
        <v>497000</v>
      </c>
      <c r="H510" s="8">
        <v>0.428789678767311</v>
      </c>
      <c r="I510">
        <f t="shared" si="11"/>
        <v>500000</v>
      </c>
    </row>
    <row r="511" spans="7:9" x14ac:dyDescent="0.25">
      <c r="G511">
        <v>499000</v>
      </c>
      <c r="H511" s="8">
        <v>0.34995032054126002</v>
      </c>
      <c r="I511">
        <f t="shared" si="11"/>
        <v>500000</v>
      </c>
    </row>
    <row r="512" spans="7:9" x14ac:dyDescent="0.25">
      <c r="G512" s="3">
        <v>500000</v>
      </c>
      <c r="H512" s="8">
        <v>0.413624976433975</v>
      </c>
      <c r="I512">
        <f>I511</f>
        <v>500000</v>
      </c>
    </row>
    <row r="513" spans="7:9" x14ac:dyDescent="0.25">
      <c r="G513">
        <v>502000</v>
      </c>
      <c r="H513" s="8">
        <v>8.1454623680004806E-2</v>
      </c>
      <c r="I513">
        <f t="shared" ref="I513:I576" si="12">I512</f>
        <v>500000</v>
      </c>
    </row>
    <row r="514" spans="7:9" x14ac:dyDescent="0.25">
      <c r="G514">
        <v>503000</v>
      </c>
      <c r="H514" s="8">
        <v>0.41241544639864097</v>
      </c>
      <c r="I514">
        <f t="shared" si="12"/>
        <v>500000</v>
      </c>
    </row>
    <row r="515" spans="7:9" x14ac:dyDescent="0.25">
      <c r="G515">
        <v>504000</v>
      </c>
      <c r="H515" s="8">
        <v>0.39790660471962802</v>
      </c>
      <c r="I515">
        <f t="shared" si="12"/>
        <v>500000</v>
      </c>
    </row>
    <row r="516" spans="7:9" x14ac:dyDescent="0.25">
      <c r="G516">
        <v>505000</v>
      </c>
      <c r="H516" s="8">
        <v>0.28401210580353498</v>
      </c>
      <c r="I516">
        <f t="shared" si="12"/>
        <v>500000</v>
      </c>
    </row>
    <row r="517" spans="7:9" x14ac:dyDescent="0.25">
      <c r="G517">
        <v>506000</v>
      </c>
      <c r="H517" s="8">
        <v>5.7568701171136397E-2</v>
      </c>
      <c r="I517">
        <f t="shared" si="12"/>
        <v>500000</v>
      </c>
    </row>
    <row r="518" spans="7:9" x14ac:dyDescent="0.25">
      <c r="G518">
        <v>507000</v>
      </c>
      <c r="H518" s="8">
        <v>0.608989520504441</v>
      </c>
      <c r="I518">
        <f t="shared" si="12"/>
        <v>500000</v>
      </c>
    </row>
    <row r="519" spans="7:9" x14ac:dyDescent="0.25">
      <c r="G519">
        <v>508000</v>
      </c>
      <c r="H519" s="8">
        <v>0.32948181218300698</v>
      </c>
      <c r="I519">
        <f t="shared" si="12"/>
        <v>500000</v>
      </c>
    </row>
    <row r="520" spans="7:9" x14ac:dyDescent="0.25">
      <c r="G520">
        <v>510000</v>
      </c>
      <c r="H520" s="8">
        <v>0.30795803445298597</v>
      </c>
      <c r="I520">
        <f t="shared" si="12"/>
        <v>500000</v>
      </c>
    </row>
    <row r="521" spans="7:9" x14ac:dyDescent="0.25">
      <c r="G521">
        <v>512000</v>
      </c>
      <c r="H521" s="8">
        <v>0.42235619829844501</v>
      </c>
      <c r="I521">
        <f t="shared" si="12"/>
        <v>500000</v>
      </c>
    </row>
    <row r="522" spans="7:9" x14ac:dyDescent="0.25">
      <c r="G522">
        <v>513000</v>
      </c>
      <c r="H522" s="8">
        <v>0.56996606159389096</v>
      </c>
      <c r="I522">
        <f t="shared" si="12"/>
        <v>500000</v>
      </c>
    </row>
    <row r="523" spans="7:9" x14ac:dyDescent="0.25">
      <c r="G523">
        <v>514000</v>
      </c>
      <c r="H523" s="8">
        <v>0.20708888943505999</v>
      </c>
      <c r="I523">
        <f t="shared" si="12"/>
        <v>500000</v>
      </c>
    </row>
    <row r="524" spans="7:9" x14ac:dyDescent="0.25">
      <c r="G524">
        <v>515000</v>
      </c>
      <c r="H524" s="8">
        <v>0.32469684146731598</v>
      </c>
      <c r="I524">
        <f t="shared" si="12"/>
        <v>500000</v>
      </c>
    </row>
    <row r="525" spans="7:9" x14ac:dyDescent="0.25">
      <c r="G525">
        <v>516000</v>
      </c>
      <c r="H525" s="8">
        <v>0.39281257411856202</v>
      </c>
      <c r="I525">
        <f t="shared" si="12"/>
        <v>500000</v>
      </c>
    </row>
    <row r="526" spans="7:9" x14ac:dyDescent="0.25">
      <c r="G526">
        <v>517000</v>
      </c>
      <c r="H526" s="8">
        <v>0.55919407850746805</v>
      </c>
      <c r="I526">
        <f t="shared" si="12"/>
        <v>500000</v>
      </c>
    </row>
    <row r="527" spans="7:9" x14ac:dyDescent="0.25">
      <c r="G527">
        <v>518000</v>
      </c>
      <c r="H527" s="8">
        <v>0.57542757401784494</v>
      </c>
      <c r="I527">
        <f t="shared" si="12"/>
        <v>500000</v>
      </c>
    </row>
    <row r="528" spans="7:9" x14ac:dyDescent="0.25">
      <c r="G528">
        <v>519000</v>
      </c>
      <c r="H528" s="8">
        <v>0.33086494749663098</v>
      </c>
      <c r="I528">
        <f t="shared" si="12"/>
        <v>500000</v>
      </c>
    </row>
    <row r="529" spans="7:9" x14ac:dyDescent="0.25">
      <c r="G529">
        <v>520000</v>
      </c>
      <c r="H529" s="8">
        <v>0.43780013954506802</v>
      </c>
      <c r="I529">
        <f t="shared" si="12"/>
        <v>500000</v>
      </c>
    </row>
    <row r="530" spans="7:9" x14ac:dyDescent="0.25">
      <c r="G530">
        <v>521000</v>
      </c>
      <c r="H530" s="8">
        <v>0.54315098471719903</v>
      </c>
      <c r="I530">
        <f t="shared" si="12"/>
        <v>500000</v>
      </c>
    </row>
    <row r="531" spans="7:9" x14ac:dyDescent="0.25">
      <c r="G531">
        <v>522000</v>
      </c>
      <c r="H531" s="8">
        <v>0.60499127595103297</v>
      </c>
      <c r="I531">
        <f t="shared" si="12"/>
        <v>500000</v>
      </c>
    </row>
    <row r="532" spans="7:9" x14ac:dyDescent="0.25">
      <c r="G532">
        <v>523000</v>
      </c>
      <c r="H532" s="8">
        <v>0.86132768321007003</v>
      </c>
      <c r="I532">
        <f t="shared" si="12"/>
        <v>500000</v>
      </c>
    </row>
    <row r="533" spans="7:9" x14ac:dyDescent="0.25">
      <c r="G533">
        <v>524000</v>
      </c>
      <c r="H533" s="8">
        <v>0.37221769166413599</v>
      </c>
      <c r="I533">
        <f t="shared" si="12"/>
        <v>500000</v>
      </c>
    </row>
    <row r="534" spans="7:9" x14ac:dyDescent="0.25">
      <c r="G534">
        <v>525000</v>
      </c>
      <c r="H534" s="8">
        <v>0.330996997838782</v>
      </c>
      <c r="I534">
        <f t="shared" si="12"/>
        <v>500000</v>
      </c>
    </row>
    <row r="535" spans="7:9" x14ac:dyDescent="0.25">
      <c r="G535">
        <v>526000</v>
      </c>
      <c r="H535" s="8">
        <v>0.46005242168837301</v>
      </c>
      <c r="I535">
        <f t="shared" si="12"/>
        <v>500000</v>
      </c>
    </row>
    <row r="536" spans="7:9" x14ac:dyDescent="0.25">
      <c r="G536">
        <v>527000</v>
      </c>
      <c r="H536" s="8">
        <v>0.41882846771827598</v>
      </c>
      <c r="I536">
        <f t="shared" si="12"/>
        <v>500000</v>
      </c>
    </row>
    <row r="537" spans="7:9" x14ac:dyDescent="0.25">
      <c r="G537">
        <v>528000</v>
      </c>
      <c r="H537" s="8">
        <v>0.28245592623516103</v>
      </c>
      <c r="I537">
        <f t="shared" si="12"/>
        <v>500000</v>
      </c>
    </row>
    <row r="538" spans="7:9" x14ac:dyDescent="0.25">
      <c r="G538">
        <v>529000</v>
      </c>
      <c r="H538" s="8">
        <v>5.4237653657476001E-2</v>
      </c>
      <c r="I538">
        <f t="shared" si="12"/>
        <v>500000</v>
      </c>
    </row>
    <row r="539" spans="7:9" x14ac:dyDescent="0.25">
      <c r="G539">
        <v>530000</v>
      </c>
      <c r="H539" s="8">
        <v>0.55266882134266604</v>
      </c>
      <c r="I539">
        <f t="shared" si="12"/>
        <v>500000</v>
      </c>
    </row>
    <row r="540" spans="7:9" x14ac:dyDescent="0.25">
      <c r="G540">
        <v>531000</v>
      </c>
      <c r="H540" s="8">
        <v>0.472708825273155</v>
      </c>
      <c r="I540">
        <f t="shared" si="12"/>
        <v>500000</v>
      </c>
    </row>
    <row r="541" spans="7:9" x14ac:dyDescent="0.25">
      <c r="G541">
        <v>532000</v>
      </c>
      <c r="H541" s="8">
        <v>0.13792888353073501</v>
      </c>
      <c r="I541">
        <f t="shared" si="12"/>
        <v>500000</v>
      </c>
    </row>
    <row r="542" spans="7:9" x14ac:dyDescent="0.25">
      <c r="G542">
        <v>533000</v>
      </c>
      <c r="H542" s="8">
        <v>0.33431121345755699</v>
      </c>
      <c r="I542">
        <f t="shared" si="12"/>
        <v>500000</v>
      </c>
    </row>
    <row r="543" spans="7:9" x14ac:dyDescent="0.25">
      <c r="G543">
        <v>534000</v>
      </c>
      <c r="H543" s="8">
        <v>0.44319424657131101</v>
      </c>
      <c r="I543">
        <f t="shared" si="12"/>
        <v>500000</v>
      </c>
    </row>
    <row r="544" spans="7:9" x14ac:dyDescent="0.25">
      <c r="G544">
        <v>535000</v>
      </c>
      <c r="H544" s="8">
        <v>0.26303475628887302</v>
      </c>
      <c r="I544">
        <f t="shared" si="12"/>
        <v>500000</v>
      </c>
    </row>
    <row r="545" spans="7:9" x14ac:dyDescent="0.25">
      <c r="G545">
        <v>536000</v>
      </c>
      <c r="H545" s="8">
        <v>0.30294882718480998</v>
      </c>
      <c r="I545">
        <f t="shared" si="12"/>
        <v>500000</v>
      </c>
    </row>
    <row r="546" spans="7:9" x14ac:dyDescent="0.25">
      <c r="G546">
        <v>538000</v>
      </c>
      <c r="H546" s="8">
        <v>0.341237644174674</v>
      </c>
      <c r="I546">
        <f t="shared" si="12"/>
        <v>500000</v>
      </c>
    </row>
    <row r="547" spans="7:9" x14ac:dyDescent="0.25">
      <c r="G547">
        <v>539000</v>
      </c>
      <c r="H547" s="8">
        <v>0.221305596574708</v>
      </c>
      <c r="I547">
        <f t="shared" si="12"/>
        <v>500000</v>
      </c>
    </row>
    <row r="548" spans="7:9" x14ac:dyDescent="0.25">
      <c r="G548">
        <v>540000</v>
      </c>
      <c r="H548" s="8">
        <v>0.175282447854224</v>
      </c>
      <c r="I548">
        <f t="shared" si="12"/>
        <v>500000</v>
      </c>
    </row>
    <row r="549" spans="7:9" x14ac:dyDescent="0.25">
      <c r="G549">
        <v>541000</v>
      </c>
      <c r="H549" s="8">
        <v>0.355352014098476</v>
      </c>
      <c r="I549">
        <f t="shared" si="12"/>
        <v>500000</v>
      </c>
    </row>
    <row r="550" spans="7:9" x14ac:dyDescent="0.25">
      <c r="G550">
        <v>542000</v>
      </c>
      <c r="H550" s="8">
        <v>0.37621459791275003</v>
      </c>
      <c r="I550">
        <f t="shared" si="12"/>
        <v>500000</v>
      </c>
    </row>
    <row r="551" spans="7:9" x14ac:dyDescent="0.25">
      <c r="G551">
        <v>543000</v>
      </c>
      <c r="H551" s="8">
        <v>0.50254190234809604</v>
      </c>
      <c r="I551">
        <f t="shared" si="12"/>
        <v>500000</v>
      </c>
    </row>
    <row r="552" spans="7:9" x14ac:dyDescent="0.25">
      <c r="G552">
        <v>544000</v>
      </c>
      <c r="H552" s="8">
        <v>0.27810545444578999</v>
      </c>
      <c r="I552">
        <f t="shared" si="12"/>
        <v>500000</v>
      </c>
    </row>
    <row r="553" spans="7:9" x14ac:dyDescent="0.25">
      <c r="G553">
        <v>546000</v>
      </c>
      <c r="H553" s="8">
        <v>0.65591708546833805</v>
      </c>
      <c r="I553">
        <f t="shared" si="12"/>
        <v>500000</v>
      </c>
    </row>
    <row r="554" spans="7:9" x14ac:dyDescent="0.25">
      <c r="G554">
        <v>547000</v>
      </c>
      <c r="H554" s="8">
        <v>0.36271607786867599</v>
      </c>
      <c r="I554">
        <f t="shared" si="12"/>
        <v>500000</v>
      </c>
    </row>
    <row r="555" spans="7:9" x14ac:dyDescent="0.25">
      <c r="G555">
        <v>548000</v>
      </c>
      <c r="H555" s="8">
        <v>0.50427384225255301</v>
      </c>
      <c r="I555">
        <f t="shared" si="12"/>
        <v>500000</v>
      </c>
    </row>
    <row r="556" spans="7:9" x14ac:dyDescent="0.25">
      <c r="G556">
        <v>549000</v>
      </c>
      <c r="H556" s="8">
        <v>0.18056616410847801</v>
      </c>
      <c r="I556">
        <f t="shared" si="12"/>
        <v>500000</v>
      </c>
    </row>
    <row r="557" spans="7:9" x14ac:dyDescent="0.25">
      <c r="G557">
        <v>550000</v>
      </c>
      <c r="H557" s="8">
        <v>0.231891552900403</v>
      </c>
      <c r="I557">
        <f t="shared" si="12"/>
        <v>500000</v>
      </c>
    </row>
    <row r="558" spans="7:9" x14ac:dyDescent="0.25">
      <c r="G558">
        <v>552000</v>
      </c>
      <c r="H558" s="8">
        <v>0.19819108049973799</v>
      </c>
      <c r="I558">
        <f t="shared" si="12"/>
        <v>500000</v>
      </c>
    </row>
    <row r="559" spans="7:9" x14ac:dyDescent="0.25">
      <c r="G559">
        <v>555000</v>
      </c>
      <c r="H559" s="8">
        <v>0.48804076549876602</v>
      </c>
      <c r="I559">
        <f t="shared" si="12"/>
        <v>500000</v>
      </c>
    </row>
    <row r="560" spans="7:9" x14ac:dyDescent="0.25">
      <c r="G560">
        <v>556000</v>
      </c>
      <c r="H560" s="8">
        <v>0.249808850516366</v>
      </c>
      <c r="I560">
        <f t="shared" si="12"/>
        <v>500000</v>
      </c>
    </row>
    <row r="561" spans="7:9" x14ac:dyDescent="0.25">
      <c r="G561">
        <v>557000</v>
      </c>
      <c r="H561" s="8">
        <v>0</v>
      </c>
      <c r="I561">
        <f t="shared" si="12"/>
        <v>500000</v>
      </c>
    </row>
    <row r="562" spans="7:9" x14ac:dyDescent="0.25">
      <c r="G562">
        <v>558000</v>
      </c>
      <c r="H562" s="8">
        <v>0.329647533882447</v>
      </c>
      <c r="I562">
        <f t="shared" si="12"/>
        <v>500000</v>
      </c>
    </row>
    <row r="563" spans="7:9" x14ac:dyDescent="0.25">
      <c r="G563">
        <v>559000</v>
      </c>
      <c r="H563" s="8">
        <v>0.14413495260840001</v>
      </c>
      <c r="I563">
        <f t="shared" si="12"/>
        <v>500000</v>
      </c>
    </row>
    <row r="564" spans="7:9" x14ac:dyDescent="0.25">
      <c r="G564">
        <v>560000</v>
      </c>
      <c r="H564" s="8">
        <v>0.34563728140334499</v>
      </c>
      <c r="I564">
        <f t="shared" si="12"/>
        <v>500000</v>
      </c>
    </row>
    <row r="565" spans="7:9" x14ac:dyDescent="0.25">
      <c r="G565">
        <v>561000</v>
      </c>
      <c r="H565" s="8">
        <v>3.50543287961824E-2</v>
      </c>
      <c r="I565">
        <f t="shared" si="12"/>
        <v>500000</v>
      </c>
    </row>
    <row r="566" spans="7:9" x14ac:dyDescent="0.25">
      <c r="G566">
        <v>563000</v>
      </c>
      <c r="H566" s="8">
        <v>0.43191766043018198</v>
      </c>
      <c r="I566">
        <f t="shared" si="12"/>
        <v>500000</v>
      </c>
    </row>
    <row r="567" spans="7:9" x14ac:dyDescent="0.25">
      <c r="G567">
        <v>567000</v>
      </c>
      <c r="H567" s="8">
        <v>3.5536853111783201E-2</v>
      </c>
      <c r="I567">
        <f t="shared" si="12"/>
        <v>500000</v>
      </c>
    </row>
    <row r="568" spans="7:9" x14ac:dyDescent="0.25">
      <c r="G568">
        <v>568000</v>
      </c>
      <c r="H568" s="8">
        <v>0.230187531907801</v>
      </c>
      <c r="I568">
        <f t="shared" si="12"/>
        <v>500000</v>
      </c>
    </row>
    <row r="569" spans="7:9" x14ac:dyDescent="0.25">
      <c r="G569">
        <v>570000</v>
      </c>
      <c r="H569" s="8">
        <v>0.29915566764933399</v>
      </c>
      <c r="I569">
        <f t="shared" si="12"/>
        <v>500000</v>
      </c>
    </row>
    <row r="570" spans="7:9" x14ac:dyDescent="0.25">
      <c r="G570">
        <v>571000</v>
      </c>
      <c r="H570" s="8">
        <v>0.34765755993295999</v>
      </c>
      <c r="I570">
        <f t="shared" si="12"/>
        <v>500000</v>
      </c>
    </row>
    <row r="571" spans="7:9" x14ac:dyDescent="0.25">
      <c r="G571">
        <v>572000</v>
      </c>
      <c r="H571" s="8">
        <v>2.1899240509999199E-2</v>
      </c>
      <c r="I571">
        <f t="shared" si="12"/>
        <v>500000</v>
      </c>
    </row>
    <row r="572" spans="7:9" x14ac:dyDescent="0.25">
      <c r="G572">
        <v>575000</v>
      </c>
      <c r="H572" s="8">
        <v>0.222273336639432</v>
      </c>
      <c r="I572">
        <f t="shared" si="12"/>
        <v>500000</v>
      </c>
    </row>
    <row r="573" spans="7:9" x14ac:dyDescent="0.25">
      <c r="G573">
        <v>576000</v>
      </c>
      <c r="H573" s="8">
        <v>0.56188328280404898</v>
      </c>
      <c r="I573">
        <f t="shared" si="12"/>
        <v>500000</v>
      </c>
    </row>
    <row r="574" spans="7:9" x14ac:dyDescent="0.25">
      <c r="G574">
        <v>580000</v>
      </c>
      <c r="H574" s="8">
        <v>0.238575431058241</v>
      </c>
      <c r="I574">
        <f t="shared" si="12"/>
        <v>500000</v>
      </c>
    </row>
    <row r="575" spans="7:9" x14ac:dyDescent="0.25">
      <c r="G575">
        <v>581000</v>
      </c>
      <c r="H575" s="8">
        <v>0.23996795328062501</v>
      </c>
      <c r="I575">
        <f t="shared" si="12"/>
        <v>500000</v>
      </c>
    </row>
    <row r="576" spans="7:9" x14ac:dyDescent="0.25">
      <c r="G576">
        <v>582000</v>
      </c>
      <c r="H576" s="8">
        <v>0.27650077812038798</v>
      </c>
      <c r="I576">
        <f t="shared" si="12"/>
        <v>500000</v>
      </c>
    </row>
    <row r="577" spans="7:9" x14ac:dyDescent="0.25">
      <c r="G577">
        <v>583000</v>
      </c>
      <c r="H577" s="8">
        <v>0.15903814367766</v>
      </c>
      <c r="I577">
        <f t="shared" ref="I577:I618" si="13">I576</f>
        <v>500000</v>
      </c>
    </row>
    <row r="578" spans="7:9" x14ac:dyDescent="0.25">
      <c r="G578">
        <v>584000</v>
      </c>
      <c r="H578" s="8">
        <v>0.39673942110931398</v>
      </c>
      <c r="I578">
        <f t="shared" si="13"/>
        <v>500000</v>
      </c>
    </row>
    <row r="579" spans="7:9" x14ac:dyDescent="0.25">
      <c r="G579">
        <v>585000</v>
      </c>
      <c r="H579" s="8">
        <v>0.23400955923142899</v>
      </c>
      <c r="I579">
        <f t="shared" si="13"/>
        <v>500000</v>
      </c>
    </row>
    <row r="580" spans="7:9" x14ac:dyDescent="0.25">
      <c r="G580">
        <v>588000</v>
      </c>
      <c r="H580" s="8">
        <v>0.47333686016012999</v>
      </c>
      <c r="I580">
        <f t="shared" si="13"/>
        <v>500000</v>
      </c>
    </row>
    <row r="581" spans="7:9" x14ac:dyDescent="0.25">
      <c r="G581">
        <v>592000</v>
      </c>
      <c r="H581" s="8">
        <v>0.631670620378051</v>
      </c>
      <c r="I581">
        <f t="shared" si="13"/>
        <v>500000</v>
      </c>
    </row>
    <row r="582" spans="7:9" x14ac:dyDescent="0.25">
      <c r="G582">
        <v>594000</v>
      </c>
      <c r="H582" s="8">
        <v>0.32423365253389103</v>
      </c>
      <c r="I582">
        <f t="shared" si="13"/>
        <v>500000</v>
      </c>
    </row>
    <row r="583" spans="7:9" x14ac:dyDescent="0.25">
      <c r="G583">
        <v>595000</v>
      </c>
      <c r="H583" s="8">
        <v>0.31891826798178102</v>
      </c>
      <c r="I583">
        <f t="shared" si="13"/>
        <v>500000</v>
      </c>
    </row>
    <row r="584" spans="7:9" x14ac:dyDescent="0.25">
      <c r="G584" s="3">
        <v>600000</v>
      </c>
      <c r="H584" s="8">
        <v>0.182655705676526</v>
      </c>
      <c r="I584">
        <f t="shared" si="13"/>
        <v>500000</v>
      </c>
    </row>
    <row r="585" spans="7:9" x14ac:dyDescent="0.25">
      <c r="G585">
        <v>602000</v>
      </c>
      <c r="H585" s="8">
        <v>7.0599767154683093E-2</v>
      </c>
      <c r="I585">
        <f t="shared" si="13"/>
        <v>500000</v>
      </c>
    </row>
    <row r="586" spans="7:9" x14ac:dyDescent="0.25">
      <c r="G586">
        <v>604000</v>
      </c>
      <c r="H586" s="8">
        <v>0.458942707278996</v>
      </c>
      <c r="I586">
        <f t="shared" si="13"/>
        <v>500000</v>
      </c>
    </row>
    <row r="587" spans="7:9" x14ac:dyDescent="0.25">
      <c r="G587">
        <v>607000</v>
      </c>
      <c r="H587" s="8">
        <v>0.385938306647437</v>
      </c>
      <c r="I587">
        <f t="shared" si="13"/>
        <v>500000</v>
      </c>
    </row>
    <row r="588" spans="7:9" x14ac:dyDescent="0.25">
      <c r="G588">
        <v>615000</v>
      </c>
      <c r="H588" s="8">
        <v>0.230129801892967</v>
      </c>
      <c r="I588">
        <f t="shared" si="13"/>
        <v>500000</v>
      </c>
    </row>
    <row r="589" spans="7:9" x14ac:dyDescent="0.25">
      <c r="G589">
        <v>616000</v>
      </c>
      <c r="H589" s="8">
        <v>0.165567753653518</v>
      </c>
      <c r="I589">
        <f t="shared" si="13"/>
        <v>500000</v>
      </c>
    </row>
    <row r="590" spans="7:9" x14ac:dyDescent="0.25">
      <c r="G590">
        <v>617000</v>
      </c>
      <c r="H590" s="8">
        <v>0.10195281597644699</v>
      </c>
      <c r="I590">
        <f t="shared" si="13"/>
        <v>500000</v>
      </c>
    </row>
    <row r="591" spans="7:9" x14ac:dyDescent="0.25">
      <c r="G591">
        <v>620000</v>
      </c>
      <c r="H591" s="8">
        <v>0.22149137750450501</v>
      </c>
      <c r="I591">
        <f t="shared" si="13"/>
        <v>500000</v>
      </c>
    </row>
    <row r="592" spans="7:9" x14ac:dyDescent="0.25">
      <c r="G592">
        <v>621000</v>
      </c>
      <c r="H592" s="8">
        <v>3.7775808001717301E-2</v>
      </c>
      <c r="I592">
        <f t="shared" si="13"/>
        <v>500000</v>
      </c>
    </row>
    <row r="593" spans="7:9" x14ac:dyDescent="0.25">
      <c r="G593">
        <v>625000</v>
      </c>
      <c r="H593" s="8">
        <v>0.21644670544615199</v>
      </c>
      <c r="I593">
        <f t="shared" si="13"/>
        <v>500000</v>
      </c>
    </row>
    <row r="594" spans="7:9" x14ac:dyDescent="0.25">
      <c r="G594">
        <v>626000</v>
      </c>
      <c r="H594" s="8">
        <v>0.16354021623852699</v>
      </c>
      <c r="I594">
        <f t="shared" si="13"/>
        <v>500000</v>
      </c>
    </row>
    <row r="595" spans="7:9" x14ac:dyDescent="0.25">
      <c r="G595">
        <v>630000</v>
      </c>
      <c r="H595" s="8">
        <v>0.61134875365073604</v>
      </c>
      <c r="I595">
        <f t="shared" si="13"/>
        <v>500000</v>
      </c>
    </row>
    <row r="596" spans="7:9" x14ac:dyDescent="0.25">
      <c r="G596">
        <v>632000</v>
      </c>
      <c r="H596" s="8">
        <v>0.29492502962724998</v>
      </c>
      <c r="I596">
        <f t="shared" si="13"/>
        <v>500000</v>
      </c>
    </row>
    <row r="597" spans="7:9" x14ac:dyDescent="0.25">
      <c r="G597">
        <v>638000</v>
      </c>
      <c r="H597" s="8">
        <v>0.451134508492393</v>
      </c>
      <c r="I597">
        <f t="shared" si="13"/>
        <v>500000</v>
      </c>
    </row>
    <row r="598" spans="7:9" x14ac:dyDescent="0.25">
      <c r="G598">
        <v>640000</v>
      </c>
      <c r="H598" s="8">
        <v>0.663895148780977</v>
      </c>
      <c r="I598">
        <f t="shared" si="13"/>
        <v>500000</v>
      </c>
    </row>
    <row r="599" spans="7:9" x14ac:dyDescent="0.25">
      <c r="G599">
        <v>641000</v>
      </c>
      <c r="H599" s="8">
        <v>0</v>
      </c>
      <c r="I599">
        <f t="shared" si="13"/>
        <v>500000</v>
      </c>
    </row>
    <row r="600" spans="7:9" x14ac:dyDescent="0.25">
      <c r="G600">
        <v>644000</v>
      </c>
      <c r="H600" s="8">
        <v>0.27590912488823999</v>
      </c>
      <c r="I600">
        <f t="shared" si="13"/>
        <v>500000</v>
      </c>
    </row>
    <row r="601" spans="7:9" x14ac:dyDescent="0.25">
      <c r="G601">
        <v>645000</v>
      </c>
      <c r="H601" s="8">
        <v>0.30725612444325201</v>
      </c>
      <c r="I601">
        <f t="shared" si="13"/>
        <v>500000</v>
      </c>
    </row>
    <row r="602" spans="7:9" x14ac:dyDescent="0.25">
      <c r="G602">
        <v>650000</v>
      </c>
      <c r="H602" s="8">
        <v>5.3294587395207198E-2</v>
      </c>
      <c r="I602">
        <f t="shared" si="13"/>
        <v>500000</v>
      </c>
    </row>
    <row r="603" spans="7:9" x14ac:dyDescent="0.25">
      <c r="G603">
        <v>651000</v>
      </c>
      <c r="H603" s="8">
        <v>0.23812222628873</v>
      </c>
      <c r="I603">
        <f t="shared" si="13"/>
        <v>500000</v>
      </c>
    </row>
    <row r="604" spans="7:9" x14ac:dyDescent="0.25">
      <c r="G604">
        <v>653000</v>
      </c>
      <c r="H604" s="8">
        <v>3.0057492848202801E-2</v>
      </c>
      <c r="I604">
        <f t="shared" si="13"/>
        <v>500000</v>
      </c>
    </row>
    <row r="605" spans="7:9" x14ac:dyDescent="0.25">
      <c r="G605">
        <v>654000</v>
      </c>
      <c r="H605" s="8">
        <v>0.36214258451367998</v>
      </c>
      <c r="I605">
        <f t="shared" si="13"/>
        <v>500000</v>
      </c>
    </row>
    <row r="606" spans="7:9" x14ac:dyDescent="0.25">
      <c r="G606">
        <v>656000</v>
      </c>
      <c r="H606" s="8">
        <v>0.215287774828017</v>
      </c>
      <c r="I606">
        <f t="shared" si="13"/>
        <v>500000</v>
      </c>
    </row>
    <row r="607" spans="7:9" x14ac:dyDescent="0.25">
      <c r="G607">
        <v>661000</v>
      </c>
      <c r="H607" s="8">
        <v>0</v>
      </c>
      <c r="I607">
        <f t="shared" si="13"/>
        <v>500000</v>
      </c>
    </row>
    <row r="608" spans="7:9" x14ac:dyDescent="0.25">
      <c r="G608">
        <v>678000</v>
      </c>
      <c r="H608" s="8">
        <v>0.46157814711378797</v>
      </c>
      <c r="I608">
        <f t="shared" si="13"/>
        <v>500000</v>
      </c>
    </row>
    <row r="609" spans="7:9" x14ac:dyDescent="0.25">
      <c r="G609">
        <v>689000</v>
      </c>
      <c r="H609" s="8">
        <v>0.27032791409144002</v>
      </c>
      <c r="I609">
        <f t="shared" si="13"/>
        <v>500000</v>
      </c>
    </row>
    <row r="610" spans="7:9" x14ac:dyDescent="0.25">
      <c r="G610">
        <v>692000</v>
      </c>
      <c r="H610" s="8">
        <v>0.10015775698119</v>
      </c>
      <c r="I610">
        <f t="shared" si="13"/>
        <v>500000</v>
      </c>
    </row>
    <row r="611" spans="7:9" x14ac:dyDescent="0.25">
      <c r="G611" s="3">
        <v>700000</v>
      </c>
      <c r="H611" s="8">
        <v>0.24730359152919801</v>
      </c>
      <c r="I611">
        <f t="shared" si="13"/>
        <v>500000</v>
      </c>
    </row>
    <row r="612" spans="7:9" x14ac:dyDescent="0.25">
      <c r="G612">
        <v>716000</v>
      </c>
      <c r="H612" s="8">
        <v>0.248321218208608</v>
      </c>
      <c r="I612">
        <f t="shared" si="13"/>
        <v>500000</v>
      </c>
    </row>
    <row r="613" spans="7:9" x14ac:dyDescent="0.25">
      <c r="G613">
        <v>724000</v>
      </c>
      <c r="H613" s="8">
        <v>0.179018819165286</v>
      </c>
      <c r="I613">
        <f t="shared" si="13"/>
        <v>500000</v>
      </c>
    </row>
    <row r="614" spans="7:9" x14ac:dyDescent="0.25">
      <c r="G614">
        <v>728000</v>
      </c>
      <c r="H614" s="8">
        <v>0.53090365127564898</v>
      </c>
      <c r="I614">
        <f t="shared" si="13"/>
        <v>500000</v>
      </c>
    </row>
    <row r="615" spans="7:9" x14ac:dyDescent="0.25">
      <c r="G615">
        <v>730000</v>
      </c>
      <c r="H615" s="8">
        <v>9.96092499708085E-2</v>
      </c>
      <c r="I615">
        <f t="shared" si="13"/>
        <v>500000</v>
      </c>
    </row>
    <row r="616" spans="7:9" x14ac:dyDescent="0.25">
      <c r="G616">
        <v>763000</v>
      </c>
      <c r="H616" s="8">
        <v>0.249181215169335</v>
      </c>
      <c r="I616">
        <f t="shared" si="13"/>
        <v>500000</v>
      </c>
    </row>
    <row r="617" spans="7:9" x14ac:dyDescent="0.25">
      <c r="G617" s="3">
        <v>800000</v>
      </c>
      <c r="H617" s="8">
        <v>0.63116508829686802</v>
      </c>
      <c r="I617">
        <f t="shared" si="13"/>
        <v>500000</v>
      </c>
    </row>
    <row r="618" spans="7:9" x14ac:dyDescent="0.25">
      <c r="G618">
        <v>802000</v>
      </c>
      <c r="H618" s="8">
        <v>0.51196624010029501</v>
      </c>
      <c r="I618">
        <f t="shared" si="13"/>
        <v>500000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workbookViewId="0">
      <selection activeCell="A3" sqref="A3:B3"/>
    </sheetView>
  </sheetViews>
  <sheetFormatPr defaultRowHeight="15" x14ac:dyDescent="0.25"/>
  <cols>
    <col min="1" max="1" width="9.28515625" bestFit="1" customWidth="1"/>
    <col min="2" max="2" width="12" style="8" bestFit="1" customWidth="1"/>
    <col min="6" max="7" width="9.140625" style="8"/>
    <col min="10" max="10" width="12.5703125" bestFit="1" customWidth="1"/>
    <col min="11" max="11" width="12" style="8" bestFit="1" customWidth="1"/>
  </cols>
  <sheetData>
    <row r="1" spans="1:11" x14ac:dyDescent="0.25">
      <c r="A1" s="1" t="s">
        <v>7</v>
      </c>
      <c r="C1" s="8"/>
      <c r="E1" s="1" t="s">
        <v>4</v>
      </c>
      <c r="J1" t="s">
        <v>19</v>
      </c>
    </row>
    <row r="2" spans="1:11" x14ac:dyDescent="0.25">
      <c r="A2" s="1" t="s">
        <v>7</v>
      </c>
      <c r="B2" s="8" t="s">
        <v>18</v>
      </c>
      <c r="C2" t="s">
        <v>21</v>
      </c>
      <c r="E2" s="1"/>
      <c r="F2" s="7" t="s">
        <v>25</v>
      </c>
      <c r="G2" s="7" t="s">
        <v>4</v>
      </c>
      <c r="K2" s="8" t="s">
        <v>18</v>
      </c>
    </row>
    <row r="3" spans="1:11" x14ac:dyDescent="0.25">
      <c r="A3">
        <v>2</v>
      </c>
      <c r="B3" s="8">
        <v>5.1973357476962998E-3</v>
      </c>
      <c r="C3">
        <f>INT(A3/10)*10+10</f>
        <v>10</v>
      </c>
      <c r="F3" s="7">
        <v>9.2227900000000002E-2</v>
      </c>
      <c r="G3" s="8">
        <v>0.14381260000000001</v>
      </c>
      <c r="J3" s="9">
        <v>50000</v>
      </c>
      <c r="K3" s="8">
        <v>0.245212233918435</v>
      </c>
    </row>
    <row r="4" spans="1:11" x14ac:dyDescent="0.25">
      <c r="A4">
        <v>3</v>
      </c>
      <c r="B4" s="8">
        <v>5.1708017900724901E-3</v>
      </c>
      <c r="C4">
        <f t="shared" ref="C4:C67" si="0">INT(A4/10)*10+10</f>
        <v>10</v>
      </c>
      <c r="J4" s="9">
        <v>100000</v>
      </c>
      <c r="K4" s="8">
        <v>0.153807368575161</v>
      </c>
    </row>
    <row r="5" spans="1:11" x14ac:dyDescent="0.25">
      <c r="A5">
        <v>4</v>
      </c>
      <c r="B5" s="8">
        <v>7.40198635522849E-3</v>
      </c>
      <c r="C5">
        <f t="shared" si="0"/>
        <v>10</v>
      </c>
      <c r="J5" s="9">
        <v>150000</v>
      </c>
      <c r="K5" s="8">
        <v>0.117278249028986</v>
      </c>
    </row>
    <row r="6" spans="1:11" x14ac:dyDescent="0.25">
      <c r="A6">
        <v>5</v>
      </c>
      <c r="B6" s="8">
        <v>1.1244163780524501E-2</v>
      </c>
      <c r="C6">
        <f t="shared" si="0"/>
        <v>10</v>
      </c>
      <c r="J6" s="9">
        <v>200000</v>
      </c>
      <c r="K6" s="8">
        <v>9.1377451252131994E-2</v>
      </c>
    </row>
    <row r="7" spans="1:11" x14ac:dyDescent="0.25">
      <c r="A7">
        <v>6</v>
      </c>
      <c r="B7" s="8">
        <v>1.5938502677277099E-2</v>
      </c>
      <c r="C7">
        <f t="shared" si="0"/>
        <v>10</v>
      </c>
      <c r="J7" s="9">
        <v>250000</v>
      </c>
      <c r="K7" s="8">
        <v>7.5150397968344704E-2</v>
      </c>
    </row>
    <row r="8" spans="1:11" x14ac:dyDescent="0.25">
      <c r="A8">
        <v>7</v>
      </c>
      <c r="B8" s="8">
        <v>2.2941736150620801E-2</v>
      </c>
      <c r="C8">
        <f t="shared" si="0"/>
        <v>10</v>
      </c>
      <c r="J8" s="9">
        <v>300000</v>
      </c>
      <c r="K8" s="8">
        <v>6.4660400647560706E-2</v>
      </c>
    </row>
    <row r="9" spans="1:11" x14ac:dyDescent="0.25">
      <c r="A9">
        <v>8</v>
      </c>
      <c r="B9" s="8">
        <v>3.1308020339815099E-2</v>
      </c>
      <c r="C9">
        <f t="shared" si="0"/>
        <v>10</v>
      </c>
      <c r="J9" s="9">
        <v>350000</v>
      </c>
      <c r="K9" s="8">
        <v>5.5701212094515597E-2</v>
      </c>
    </row>
    <row r="10" spans="1:11" x14ac:dyDescent="0.25">
      <c r="A10">
        <v>9</v>
      </c>
      <c r="B10" s="8">
        <v>4.2902520200832801E-2</v>
      </c>
      <c r="C10">
        <f t="shared" si="0"/>
        <v>10</v>
      </c>
      <c r="J10" s="9">
        <v>400000</v>
      </c>
      <c r="K10" s="8">
        <v>4.9166053847773797E-2</v>
      </c>
    </row>
    <row r="11" spans="1:11" x14ac:dyDescent="0.25">
      <c r="A11">
        <v>10</v>
      </c>
      <c r="B11" s="8">
        <v>5.3401281200314697E-2</v>
      </c>
      <c r="C11">
        <f t="shared" si="0"/>
        <v>20</v>
      </c>
      <c r="J11" s="9">
        <v>450000</v>
      </c>
      <c r="K11" s="8">
        <v>5.4181616832379403E-2</v>
      </c>
    </row>
    <row r="12" spans="1:11" x14ac:dyDescent="0.25">
      <c r="A12">
        <v>11</v>
      </c>
      <c r="B12" s="8">
        <v>6.4473653158078903E-2</v>
      </c>
      <c r="C12">
        <f t="shared" si="0"/>
        <v>20</v>
      </c>
      <c r="J12" s="9">
        <v>500000</v>
      </c>
      <c r="K12" s="8">
        <v>5.0559088699076798E-2</v>
      </c>
    </row>
    <row r="13" spans="1:11" x14ac:dyDescent="0.25">
      <c r="A13">
        <v>12</v>
      </c>
      <c r="B13" s="8">
        <v>7.2068681850021299E-2</v>
      </c>
      <c r="C13">
        <f t="shared" si="0"/>
        <v>20</v>
      </c>
      <c r="J13" s="9">
        <v>550000</v>
      </c>
      <c r="K13" s="8">
        <v>4.34386913435292E-2</v>
      </c>
    </row>
    <row r="14" spans="1:11" x14ac:dyDescent="0.25">
      <c r="A14">
        <v>13</v>
      </c>
      <c r="B14" s="8">
        <v>8.0076022678029504E-2</v>
      </c>
      <c r="C14">
        <f t="shared" si="0"/>
        <v>20</v>
      </c>
      <c r="J14" s="9">
        <v>600000</v>
      </c>
      <c r="K14" s="8">
        <v>4.6199076769447102E-2</v>
      </c>
    </row>
    <row r="15" spans="1:11" x14ac:dyDescent="0.25">
      <c r="A15">
        <v>14</v>
      </c>
      <c r="B15" s="8">
        <v>8.8865586223342397E-2</v>
      </c>
      <c r="C15">
        <f t="shared" si="0"/>
        <v>20</v>
      </c>
      <c r="J15" s="9">
        <v>650000</v>
      </c>
      <c r="K15" s="8">
        <v>4.8199184234963999E-2</v>
      </c>
    </row>
    <row r="16" spans="1:11" x14ac:dyDescent="0.25">
      <c r="A16">
        <v>15</v>
      </c>
      <c r="B16" s="8">
        <v>9.6055013561542196E-2</v>
      </c>
      <c r="C16">
        <f t="shared" si="0"/>
        <v>20</v>
      </c>
      <c r="J16" s="9">
        <v>700000</v>
      </c>
      <c r="K16" s="8">
        <v>2.5692744456876301E-2</v>
      </c>
    </row>
    <row r="17" spans="1:11" x14ac:dyDescent="0.25">
      <c r="A17">
        <v>16</v>
      </c>
      <c r="B17" s="8">
        <v>0.10281780571754</v>
      </c>
      <c r="C17">
        <f t="shared" si="0"/>
        <v>20</v>
      </c>
      <c r="J17" s="9">
        <v>750000</v>
      </c>
      <c r="K17" s="8">
        <v>1.8174604374236999E-2</v>
      </c>
    </row>
    <row r="18" spans="1:11" x14ac:dyDescent="0.25">
      <c r="A18">
        <v>17</v>
      </c>
      <c r="B18" s="8">
        <v>0.110310996005933</v>
      </c>
      <c r="C18">
        <f t="shared" si="0"/>
        <v>20</v>
      </c>
      <c r="J18" s="9">
        <v>800000</v>
      </c>
      <c r="K18" s="8">
        <v>7.14246405636131E-3</v>
      </c>
    </row>
    <row r="19" spans="1:11" x14ac:dyDescent="0.25">
      <c r="A19">
        <v>18</v>
      </c>
      <c r="B19" s="8">
        <v>0.117591917572362</v>
      </c>
      <c r="C19">
        <f t="shared" si="0"/>
        <v>20</v>
      </c>
    </row>
    <row r="20" spans="1:11" x14ac:dyDescent="0.25">
      <c r="A20">
        <v>19</v>
      </c>
      <c r="B20" s="8">
        <v>0.124369172909152</v>
      </c>
      <c r="C20">
        <f t="shared" si="0"/>
        <v>20</v>
      </c>
    </row>
    <row r="21" spans="1:11" x14ac:dyDescent="0.25">
      <c r="A21">
        <v>20</v>
      </c>
      <c r="B21" s="8">
        <v>0.13065151887054899</v>
      </c>
      <c r="C21">
        <f t="shared" si="0"/>
        <v>30</v>
      </c>
    </row>
    <row r="22" spans="1:11" x14ac:dyDescent="0.25">
      <c r="A22">
        <v>21</v>
      </c>
      <c r="B22" s="8">
        <v>0.13543671271817101</v>
      </c>
      <c r="C22">
        <f t="shared" si="0"/>
        <v>30</v>
      </c>
    </row>
    <row r="23" spans="1:11" x14ac:dyDescent="0.25">
      <c r="A23">
        <v>22</v>
      </c>
      <c r="B23" s="8">
        <v>0.14035312546317999</v>
      </c>
      <c r="C23">
        <f t="shared" si="0"/>
        <v>30</v>
      </c>
    </row>
    <row r="24" spans="1:11" x14ac:dyDescent="0.25">
      <c r="A24">
        <v>23</v>
      </c>
      <c r="B24" s="8">
        <v>0.14398911370251299</v>
      </c>
      <c r="C24">
        <f t="shared" si="0"/>
        <v>30</v>
      </c>
    </row>
    <row r="25" spans="1:11" x14ac:dyDescent="0.25">
      <c r="A25">
        <v>24</v>
      </c>
      <c r="B25" s="8">
        <v>0.15086772208896601</v>
      </c>
      <c r="C25">
        <f t="shared" si="0"/>
        <v>30</v>
      </c>
    </row>
    <row r="26" spans="1:11" x14ac:dyDescent="0.25">
      <c r="A26">
        <v>25</v>
      </c>
      <c r="B26" s="8">
        <v>0.152995364238076</v>
      </c>
      <c r="C26">
        <f t="shared" si="0"/>
        <v>30</v>
      </c>
    </row>
    <row r="27" spans="1:11" x14ac:dyDescent="0.25">
      <c r="A27">
        <v>26</v>
      </c>
      <c r="B27" s="8">
        <v>0.157489435938024</v>
      </c>
      <c r="C27">
        <f t="shared" si="0"/>
        <v>30</v>
      </c>
    </row>
    <row r="28" spans="1:11" x14ac:dyDescent="0.25">
      <c r="A28">
        <v>27</v>
      </c>
      <c r="B28" s="8">
        <v>0.16262668129976199</v>
      </c>
      <c r="C28">
        <f t="shared" si="0"/>
        <v>30</v>
      </c>
    </row>
    <row r="29" spans="1:11" x14ac:dyDescent="0.25">
      <c r="A29">
        <v>28</v>
      </c>
      <c r="B29" s="8">
        <v>0.165742569080228</v>
      </c>
      <c r="C29">
        <f t="shared" si="0"/>
        <v>30</v>
      </c>
    </row>
    <row r="30" spans="1:11" x14ac:dyDescent="0.25">
      <c r="A30">
        <v>29</v>
      </c>
      <c r="B30" s="8">
        <v>0.17009817634161301</v>
      </c>
      <c r="C30">
        <f t="shared" si="0"/>
        <v>30</v>
      </c>
    </row>
    <row r="31" spans="1:11" x14ac:dyDescent="0.25">
      <c r="A31">
        <v>30</v>
      </c>
      <c r="B31" s="8">
        <v>0.17270513663362499</v>
      </c>
      <c r="C31">
        <f t="shared" si="0"/>
        <v>40</v>
      </c>
    </row>
    <row r="32" spans="1:11" x14ac:dyDescent="0.25">
      <c r="A32">
        <v>31</v>
      </c>
      <c r="B32" s="8">
        <v>0.176555410030829</v>
      </c>
      <c r="C32">
        <f t="shared" si="0"/>
        <v>40</v>
      </c>
    </row>
    <row r="33" spans="1:3" x14ac:dyDescent="0.25">
      <c r="A33">
        <v>32</v>
      </c>
      <c r="B33" s="8">
        <v>0.181775784292948</v>
      </c>
      <c r="C33">
        <f t="shared" si="0"/>
        <v>40</v>
      </c>
    </row>
    <row r="34" spans="1:3" x14ac:dyDescent="0.25">
      <c r="A34">
        <v>33</v>
      </c>
      <c r="B34" s="8">
        <v>0.18277417198401399</v>
      </c>
      <c r="C34">
        <f t="shared" si="0"/>
        <v>40</v>
      </c>
    </row>
    <row r="35" spans="1:3" x14ac:dyDescent="0.25">
      <c r="A35">
        <v>34</v>
      </c>
      <c r="B35" s="8">
        <v>0.18723627203752499</v>
      </c>
      <c r="C35">
        <f t="shared" si="0"/>
        <v>40</v>
      </c>
    </row>
    <row r="36" spans="1:3" x14ac:dyDescent="0.25">
      <c r="A36">
        <v>35</v>
      </c>
      <c r="B36" s="8">
        <v>0.18900928309669901</v>
      </c>
      <c r="C36">
        <f t="shared" si="0"/>
        <v>40</v>
      </c>
    </row>
    <row r="37" spans="1:3" x14ac:dyDescent="0.25">
      <c r="A37">
        <v>36</v>
      </c>
      <c r="B37" s="8">
        <v>0.192086659158413</v>
      </c>
      <c r="C37">
        <f t="shared" si="0"/>
        <v>40</v>
      </c>
    </row>
    <row r="38" spans="1:3" x14ac:dyDescent="0.25">
      <c r="A38">
        <v>37</v>
      </c>
      <c r="B38" s="8">
        <v>0.19633805207361099</v>
      </c>
      <c r="C38">
        <f t="shared" si="0"/>
        <v>40</v>
      </c>
    </row>
    <row r="39" spans="1:3" x14ac:dyDescent="0.25">
      <c r="A39">
        <v>38</v>
      </c>
      <c r="B39" s="8">
        <v>0.19583003692214701</v>
      </c>
      <c r="C39">
        <f t="shared" si="0"/>
        <v>40</v>
      </c>
    </row>
    <row r="40" spans="1:3" x14ac:dyDescent="0.25">
      <c r="A40">
        <v>39</v>
      </c>
      <c r="B40" s="8">
        <v>0.20303461385139601</v>
      </c>
      <c r="C40">
        <f t="shared" si="0"/>
        <v>40</v>
      </c>
    </row>
    <row r="41" spans="1:3" x14ac:dyDescent="0.25">
      <c r="A41">
        <v>40</v>
      </c>
      <c r="B41" s="8">
        <v>0.210184794827139</v>
      </c>
      <c r="C41">
        <f t="shared" si="0"/>
        <v>50</v>
      </c>
    </row>
    <row r="42" spans="1:3" x14ac:dyDescent="0.25">
      <c r="A42">
        <v>41</v>
      </c>
      <c r="B42" s="8">
        <v>0.21214317090832299</v>
      </c>
      <c r="C42">
        <f t="shared" si="0"/>
        <v>50</v>
      </c>
    </row>
    <row r="43" spans="1:3" x14ac:dyDescent="0.25">
      <c r="A43">
        <v>42</v>
      </c>
      <c r="B43" s="8">
        <v>0.21761529787870201</v>
      </c>
      <c r="C43">
        <f t="shared" si="0"/>
        <v>50</v>
      </c>
    </row>
    <row r="44" spans="1:3" x14ac:dyDescent="0.25">
      <c r="A44">
        <v>43</v>
      </c>
      <c r="B44" s="8">
        <v>0.21617500548499799</v>
      </c>
      <c r="C44">
        <f t="shared" si="0"/>
        <v>50</v>
      </c>
    </row>
    <row r="45" spans="1:3" x14ac:dyDescent="0.25">
      <c r="A45">
        <v>44</v>
      </c>
      <c r="B45" s="8">
        <v>0.22412032832395201</v>
      </c>
      <c r="C45">
        <f t="shared" si="0"/>
        <v>50</v>
      </c>
    </row>
    <row r="46" spans="1:3" x14ac:dyDescent="0.25">
      <c r="A46">
        <v>45</v>
      </c>
      <c r="B46" s="8">
        <v>0.22735011313134401</v>
      </c>
      <c r="C46">
        <f t="shared" si="0"/>
        <v>50</v>
      </c>
    </row>
    <row r="47" spans="1:3" x14ac:dyDescent="0.25">
      <c r="A47">
        <v>46</v>
      </c>
      <c r="B47" s="8">
        <v>0.22852696654746199</v>
      </c>
      <c r="C47">
        <f t="shared" si="0"/>
        <v>50</v>
      </c>
    </row>
    <row r="48" spans="1:3" x14ac:dyDescent="0.25">
      <c r="A48">
        <v>47</v>
      </c>
      <c r="B48" s="8">
        <v>0.23020412696114501</v>
      </c>
      <c r="C48">
        <f t="shared" si="0"/>
        <v>50</v>
      </c>
    </row>
    <row r="49" spans="1:3" x14ac:dyDescent="0.25">
      <c r="A49">
        <v>48</v>
      </c>
      <c r="B49" s="8">
        <v>0.230339273224208</v>
      </c>
      <c r="C49">
        <f t="shared" si="0"/>
        <v>50</v>
      </c>
    </row>
    <row r="50" spans="1:3" x14ac:dyDescent="0.25">
      <c r="A50">
        <v>49</v>
      </c>
      <c r="B50" s="8">
        <v>0.23805461387424801</v>
      </c>
      <c r="C50">
        <f t="shared" si="0"/>
        <v>50</v>
      </c>
    </row>
    <row r="51" spans="1:3" x14ac:dyDescent="0.25">
      <c r="A51">
        <v>50</v>
      </c>
      <c r="B51" s="8">
        <v>0.23654447351094299</v>
      </c>
      <c r="C51">
        <f t="shared" si="0"/>
        <v>60</v>
      </c>
    </row>
    <row r="52" spans="1:3" x14ac:dyDescent="0.25">
      <c r="A52">
        <v>51</v>
      </c>
      <c r="B52" s="8">
        <v>0.238063345191451</v>
      </c>
      <c r="C52">
        <f t="shared" si="0"/>
        <v>60</v>
      </c>
    </row>
    <row r="53" spans="1:3" x14ac:dyDescent="0.25">
      <c r="A53">
        <v>52</v>
      </c>
      <c r="B53" s="8">
        <v>0.245455860989994</v>
      </c>
      <c r="C53">
        <f t="shared" si="0"/>
        <v>60</v>
      </c>
    </row>
    <row r="54" spans="1:3" x14ac:dyDescent="0.25">
      <c r="A54">
        <v>53</v>
      </c>
      <c r="B54" s="8">
        <v>0.24637791233156101</v>
      </c>
      <c r="C54">
        <f t="shared" si="0"/>
        <v>60</v>
      </c>
    </row>
    <row r="55" spans="1:3" x14ac:dyDescent="0.25">
      <c r="A55">
        <v>54</v>
      </c>
      <c r="B55" s="8">
        <v>0.243450800448445</v>
      </c>
      <c r="C55">
        <f t="shared" si="0"/>
        <v>60</v>
      </c>
    </row>
    <row r="56" spans="1:3" x14ac:dyDescent="0.25">
      <c r="A56">
        <v>55</v>
      </c>
      <c r="B56" s="8">
        <v>0.248824943768647</v>
      </c>
      <c r="C56">
        <f t="shared" si="0"/>
        <v>60</v>
      </c>
    </row>
    <row r="57" spans="1:3" x14ac:dyDescent="0.25">
      <c r="A57">
        <v>56</v>
      </c>
      <c r="B57" s="8">
        <v>0.24716966930175199</v>
      </c>
      <c r="C57">
        <f t="shared" si="0"/>
        <v>60</v>
      </c>
    </row>
    <row r="58" spans="1:3" x14ac:dyDescent="0.25">
      <c r="A58">
        <v>57</v>
      </c>
      <c r="B58" s="8">
        <v>0.256050199006223</v>
      </c>
      <c r="C58">
        <f t="shared" si="0"/>
        <v>60</v>
      </c>
    </row>
    <row r="59" spans="1:3" x14ac:dyDescent="0.25">
      <c r="A59">
        <v>58</v>
      </c>
      <c r="B59" s="8">
        <v>0.26275587228124397</v>
      </c>
      <c r="C59">
        <f t="shared" si="0"/>
        <v>60</v>
      </c>
    </row>
    <row r="60" spans="1:3" x14ac:dyDescent="0.25">
      <c r="A60">
        <v>59</v>
      </c>
      <c r="B60" s="8">
        <v>0.25588504628865799</v>
      </c>
      <c r="C60">
        <f t="shared" si="0"/>
        <v>60</v>
      </c>
    </row>
    <row r="61" spans="1:3" x14ac:dyDescent="0.25">
      <c r="A61">
        <v>60</v>
      </c>
      <c r="B61" s="8">
        <v>0.272412124568505</v>
      </c>
      <c r="C61">
        <f t="shared" si="0"/>
        <v>70</v>
      </c>
    </row>
    <row r="62" spans="1:3" x14ac:dyDescent="0.25">
      <c r="A62">
        <v>61</v>
      </c>
      <c r="B62" s="8">
        <v>0.26200366495516902</v>
      </c>
      <c r="C62">
        <f t="shared" si="0"/>
        <v>70</v>
      </c>
    </row>
    <row r="63" spans="1:3" x14ac:dyDescent="0.25">
      <c r="A63">
        <v>62</v>
      </c>
      <c r="B63" s="8">
        <v>0.27247165502186099</v>
      </c>
      <c r="C63">
        <f t="shared" si="0"/>
        <v>70</v>
      </c>
    </row>
    <row r="64" spans="1:3" x14ac:dyDescent="0.25">
      <c r="A64">
        <v>63</v>
      </c>
      <c r="B64" s="8">
        <v>0.246229832258099</v>
      </c>
      <c r="C64">
        <f t="shared" si="0"/>
        <v>70</v>
      </c>
    </row>
    <row r="65" spans="1:3" x14ac:dyDescent="0.25">
      <c r="A65">
        <v>64</v>
      </c>
      <c r="B65" s="8">
        <v>0.24822575573161501</v>
      </c>
      <c r="C65">
        <f t="shared" si="0"/>
        <v>70</v>
      </c>
    </row>
    <row r="66" spans="1:3" x14ac:dyDescent="0.25">
      <c r="A66">
        <v>65</v>
      </c>
      <c r="B66" s="8">
        <v>0.28749270521074799</v>
      </c>
      <c r="C66">
        <f t="shared" si="0"/>
        <v>70</v>
      </c>
    </row>
    <row r="67" spans="1:3" x14ac:dyDescent="0.25">
      <c r="A67">
        <v>66</v>
      </c>
      <c r="B67" s="8">
        <v>0.27736668487796101</v>
      </c>
      <c r="C67">
        <f t="shared" si="0"/>
        <v>70</v>
      </c>
    </row>
    <row r="68" spans="1:3" x14ac:dyDescent="0.25">
      <c r="A68">
        <v>67</v>
      </c>
      <c r="B68" s="8">
        <v>0.24817447711055199</v>
      </c>
      <c r="C68">
        <f t="shared" ref="C68:C99" si="1">INT(A68/10)*10+10</f>
        <v>70</v>
      </c>
    </row>
    <row r="69" spans="1:3" x14ac:dyDescent="0.25">
      <c r="A69">
        <v>68</v>
      </c>
      <c r="B69" s="8">
        <v>0.25310442858832399</v>
      </c>
      <c r="C69">
        <f t="shared" si="1"/>
        <v>70</v>
      </c>
    </row>
    <row r="70" spans="1:3" x14ac:dyDescent="0.25">
      <c r="A70">
        <v>69</v>
      </c>
      <c r="B70" s="8">
        <v>0.253218692638016</v>
      </c>
      <c r="C70">
        <f t="shared" si="1"/>
        <v>70</v>
      </c>
    </row>
    <row r="71" spans="1:3" x14ac:dyDescent="0.25">
      <c r="A71">
        <v>70</v>
      </c>
      <c r="B71" s="8">
        <v>0.28329870374602401</v>
      </c>
      <c r="C71">
        <f t="shared" si="1"/>
        <v>80</v>
      </c>
    </row>
    <row r="72" spans="1:3" x14ac:dyDescent="0.25">
      <c r="A72">
        <v>71</v>
      </c>
      <c r="B72" s="8">
        <v>0.277991316505449</v>
      </c>
      <c r="C72">
        <f t="shared" si="1"/>
        <v>80</v>
      </c>
    </row>
    <row r="73" spans="1:3" x14ac:dyDescent="0.25">
      <c r="A73">
        <v>72</v>
      </c>
      <c r="B73" s="8">
        <v>0.25767348188122402</v>
      </c>
      <c r="C73">
        <f t="shared" si="1"/>
        <v>80</v>
      </c>
    </row>
    <row r="74" spans="1:3" x14ac:dyDescent="0.25">
      <c r="A74">
        <v>73</v>
      </c>
      <c r="B74" s="8">
        <v>0.29789054505372098</v>
      </c>
      <c r="C74">
        <f t="shared" si="1"/>
        <v>80</v>
      </c>
    </row>
    <row r="75" spans="1:3" x14ac:dyDescent="0.25">
      <c r="A75">
        <v>74</v>
      </c>
      <c r="B75" s="8">
        <v>0.29221730193191198</v>
      </c>
      <c r="C75">
        <f t="shared" si="1"/>
        <v>80</v>
      </c>
    </row>
    <row r="76" spans="1:3" x14ac:dyDescent="0.25">
      <c r="A76">
        <v>75</v>
      </c>
      <c r="B76" s="8">
        <v>0.45003840365021802</v>
      </c>
      <c r="C76">
        <f t="shared" si="1"/>
        <v>80</v>
      </c>
    </row>
    <row r="77" spans="1:3" x14ac:dyDescent="0.25">
      <c r="A77">
        <v>76</v>
      </c>
      <c r="B77" s="8">
        <v>0.26716294860886503</v>
      </c>
      <c r="C77">
        <f t="shared" si="1"/>
        <v>80</v>
      </c>
    </row>
    <row r="78" spans="1:3" x14ac:dyDescent="0.25">
      <c r="A78">
        <v>77</v>
      </c>
      <c r="B78" s="8">
        <v>0.26897430670301797</v>
      </c>
      <c r="C78">
        <f t="shared" si="1"/>
        <v>80</v>
      </c>
    </row>
    <row r="79" spans="1:3" x14ac:dyDescent="0.25">
      <c r="A79">
        <v>78</v>
      </c>
      <c r="B79" s="8">
        <v>0.32375671016983498</v>
      </c>
      <c r="C79">
        <f t="shared" si="1"/>
        <v>80</v>
      </c>
    </row>
    <row r="80" spans="1:3" x14ac:dyDescent="0.25">
      <c r="A80">
        <v>79</v>
      </c>
      <c r="B80" s="8">
        <v>0.48370032320023498</v>
      </c>
      <c r="C80">
        <f t="shared" si="1"/>
        <v>80</v>
      </c>
    </row>
    <row r="81" spans="1:3" x14ac:dyDescent="0.25">
      <c r="A81">
        <v>80</v>
      </c>
      <c r="B81" s="8">
        <v>0.283439777172111</v>
      </c>
      <c r="C81">
        <f t="shared" si="1"/>
        <v>90</v>
      </c>
    </row>
    <row r="82" spans="1:3" x14ac:dyDescent="0.25">
      <c r="A82">
        <v>81</v>
      </c>
      <c r="B82" s="8">
        <v>0.44039480974477802</v>
      </c>
      <c r="C82">
        <f t="shared" si="1"/>
        <v>90</v>
      </c>
    </row>
    <row r="83" spans="1:3" x14ac:dyDescent="0.25">
      <c r="A83">
        <v>82</v>
      </c>
      <c r="B83" s="8">
        <v>0.31027949870746602</v>
      </c>
      <c r="C83">
        <f t="shared" si="1"/>
        <v>90</v>
      </c>
    </row>
    <row r="84" spans="1:3" x14ac:dyDescent="0.25">
      <c r="A84">
        <v>83</v>
      </c>
      <c r="B84" s="8">
        <v>0.35656078327350199</v>
      </c>
      <c r="C84">
        <f t="shared" si="1"/>
        <v>90</v>
      </c>
    </row>
    <row r="85" spans="1:3" x14ac:dyDescent="0.25">
      <c r="A85">
        <v>84</v>
      </c>
      <c r="B85" s="8">
        <v>0.50035636850026199</v>
      </c>
      <c r="C85">
        <f t="shared" si="1"/>
        <v>90</v>
      </c>
    </row>
    <row r="86" spans="1:3" x14ac:dyDescent="0.25">
      <c r="A86">
        <v>85</v>
      </c>
      <c r="B86" s="8">
        <v>0.52579147451465602</v>
      </c>
      <c r="C86">
        <f t="shared" si="1"/>
        <v>90</v>
      </c>
    </row>
    <row r="87" spans="1:3" x14ac:dyDescent="0.25">
      <c r="A87">
        <v>86</v>
      </c>
      <c r="B87" s="8">
        <v>0.39685880932619899</v>
      </c>
      <c r="C87">
        <f t="shared" si="1"/>
        <v>90</v>
      </c>
    </row>
    <row r="88" spans="1:3" x14ac:dyDescent="0.25">
      <c r="A88">
        <v>87</v>
      </c>
      <c r="B88" s="8">
        <v>0.457781329017726</v>
      </c>
      <c r="C88">
        <f t="shared" si="1"/>
        <v>90</v>
      </c>
    </row>
    <row r="89" spans="1:3" x14ac:dyDescent="0.25">
      <c r="A89">
        <v>88</v>
      </c>
      <c r="B89" s="8">
        <v>0.48425292104661299</v>
      </c>
      <c r="C89">
        <f t="shared" si="1"/>
        <v>90</v>
      </c>
    </row>
    <row r="90" spans="1:3" x14ac:dyDescent="0.25">
      <c r="A90">
        <v>89</v>
      </c>
      <c r="B90" s="8">
        <v>0.22025955143212</v>
      </c>
      <c r="C90">
        <f t="shared" si="1"/>
        <v>90</v>
      </c>
    </row>
    <row r="91" spans="1:3" x14ac:dyDescent="0.25">
      <c r="A91">
        <v>90</v>
      </c>
      <c r="B91" s="8">
        <v>0.36489609544290802</v>
      </c>
      <c r="C91">
        <f t="shared" si="1"/>
        <v>100</v>
      </c>
    </row>
    <row r="92" spans="1:3" x14ac:dyDescent="0.25">
      <c r="A92">
        <v>91</v>
      </c>
      <c r="B92" s="8">
        <v>0.53362905381624304</v>
      </c>
      <c r="C92">
        <f t="shared" si="1"/>
        <v>100</v>
      </c>
    </row>
    <row r="93" spans="1:3" x14ac:dyDescent="0.25">
      <c r="A93">
        <v>92</v>
      </c>
      <c r="B93" s="8">
        <v>0.410725658156675</v>
      </c>
      <c r="C93">
        <f t="shared" si="1"/>
        <v>100</v>
      </c>
    </row>
    <row r="94" spans="1:3" x14ac:dyDescent="0.25">
      <c r="A94">
        <v>93</v>
      </c>
      <c r="B94" s="8">
        <v>0.58972150212589602</v>
      </c>
      <c r="C94">
        <f t="shared" si="1"/>
        <v>100</v>
      </c>
    </row>
    <row r="95" spans="1:3" x14ac:dyDescent="0.25">
      <c r="A95">
        <v>94</v>
      </c>
      <c r="B95" s="8">
        <v>0.43568086520098898</v>
      </c>
      <c r="C95">
        <f t="shared" si="1"/>
        <v>100</v>
      </c>
    </row>
    <row r="96" spans="1:3" x14ac:dyDescent="0.25">
      <c r="A96">
        <v>95</v>
      </c>
      <c r="B96" s="8">
        <v>0.18570960529195699</v>
      </c>
      <c r="C96">
        <f t="shared" si="1"/>
        <v>100</v>
      </c>
    </row>
    <row r="97" spans="1:3" x14ac:dyDescent="0.25">
      <c r="A97">
        <v>96</v>
      </c>
      <c r="B97" s="8">
        <v>0.34827332021771401</v>
      </c>
      <c r="C97">
        <f t="shared" si="1"/>
        <v>100</v>
      </c>
    </row>
    <row r="98" spans="1:3" x14ac:dyDescent="0.25">
      <c r="A98">
        <v>98</v>
      </c>
      <c r="B98" s="8">
        <v>0.41128705233325802</v>
      </c>
      <c r="C98">
        <f t="shared" si="1"/>
        <v>100</v>
      </c>
    </row>
    <row r="99" spans="1:3" x14ac:dyDescent="0.25">
      <c r="A99">
        <v>99</v>
      </c>
      <c r="B99" s="8">
        <v>0.68308654636636801</v>
      </c>
      <c r="C99">
        <f t="shared" si="1"/>
        <v>100</v>
      </c>
    </row>
    <row r="100" spans="1:3" x14ac:dyDescent="0.25">
      <c r="A100">
        <v>101</v>
      </c>
      <c r="B100" s="8">
        <v>0.30079190371081599</v>
      </c>
      <c r="C100">
        <f t="shared" ref="C100:C105" si="2">C99</f>
        <v>100</v>
      </c>
    </row>
    <row r="101" spans="1:3" x14ac:dyDescent="0.25">
      <c r="A101">
        <v>103</v>
      </c>
      <c r="B101" s="8">
        <v>0.68768661008771903</v>
      </c>
      <c r="C101">
        <f t="shared" si="2"/>
        <v>100</v>
      </c>
    </row>
    <row r="102" spans="1:3" x14ac:dyDescent="0.25">
      <c r="A102">
        <v>105</v>
      </c>
      <c r="B102" s="8">
        <v>0.49919394032104297</v>
      </c>
      <c r="C102">
        <f t="shared" si="2"/>
        <v>100</v>
      </c>
    </row>
    <row r="103" spans="1:3" x14ac:dyDescent="0.25">
      <c r="A103">
        <v>106</v>
      </c>
      <c r="B103" s="8">
        <v>0.309903051289312</v>
      </c>
      <c r="C103">
        <f t="shared" si="2"/>
        <v>100</v>
      </c>
    </row>
    <row r="104" spans="1:3" x14ac:dyDescent="0.25">
      <c r="A104">
        <v>107</v>
      </c>
      <c r="B104" s="8">
        <v>0.35025550230903002</v>
      </c>
      <c r="C104">
        <f t="shared" si="2"/>
        <v>100</v>
      </c>
    </row>
    <row r="105" spans="1:3" x14ac:dyDescent="0.25">
      <c r="A105">
        <v>109</v>
      </c>
      <c r="B105" s="8">
        <v>0.33241555648725402</v>
      </c>
      <c r="C105">
        <f t="shared" si="2"/>
        <v>100</v>
      </c>
    </row>
    <row r="106" spans="1:3" x14ac:dyDescent="0.25">
      <c r="A106">
        <v>131</v>
      </c>
      <c r="B106" s="8">
        <v>0.10502360352415099</v>
      </c>
      <c r="C106">
        <f>C105</f>
        <v>100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AB8" sqref="AB8"/>
    </sheetView>
  </sheetViews>
  <sheetFormatPr defaultRowHeight="15" x14ac:dyDescent="0.25"/>
  <cols>
    <col min="1" max="1" width="13.140625" bestFit="1" customWidth="1"/>
    <col min="2" max="2" width="18.5703125" style="8" bestFit="1" customWidth="1"/>
  </cols>
  <sheetData>
    <row r="1" spans="1:2" x14ac:dyDescent="0.25">
      <c r="A1" s="4" t="s">
        <v>22</v>
      </c>
      <c r="B1" s="8" t="s">
        <v>24</v>
      </c>
    </row>
    <row r="2" spans="1:2" x14ac:dyDescent="0.25">
      <c r="A2" s="5">
        <v>10</v>
      </c>
      <c r="B2" s="8">
        <v>1.7763133380258447E-2</v>
      </c>
    </row>
    <row r="3" spans="1:2" x14ac:dyDescent="0.25">
      <c r="A3" s="5">
        <v>20</v>
      </c>
      <c r="B3" s="8">
        <v>9.100301308763159E-2</v>
      </c>
    </row>
    <row r="4" spans="1:2" x14ac:dyDescent="0.25">
      <c r="A4" s="5">
        <v>30</v>
      </c>
      <c r="B4" s="8">
        <v>0.15102504197410821</v>
      </c>
    </row>
    <row r="5" spans="1:2" x14ac:dyDescent="0.25">
      <c r="A5" s="5">
        <v>40</v>
      </c>
      <c r="B5" s="8">
        <v>0.18773454200812073</v>
      </c>
    </row>
    <row r="6" spans="1:2" x14ac:dyDescent="0.25">
      <c r="A6" s="5">
        <v>50</v>
      </c>
      <c r="B6" s="8">
        <v>0.22347136911615212</v>
      </c>
    </row>
    <row r="7" spans="1:2" x14ac:dyDescent="0.25">
      <c r="A7" s="5">
        <v>60</v>
      </c>
      <c r="B7" s="8">
        <v>0.24805781231189178</v>
      </c>
    </row>
    <row r="8" spans="1:2" x14ac:dyDescent="0.25">
      <c r="A8" s="5">
        <v>70</v>
      </c>
      <c r="B8" s="8">
        <v>0.262070002096085</v>
      </c>
    </row>
    <row r="9" spans="1:2" x14ac:dyDescent="0.25">
      <c r="A9" s="5">
        <v>80</v>
      </c>
      <c r="B9" s="8">
        <v>0.32027040414505009</v>
      </c>
    </row>
    <row r="10" spans="1:2" x14ac:dyDescent="0.25">
      <c r="A10" s="5">
        <v>90</v>
      </c>
      <c r="B10" s="8">
        <v>0.39759753227354327</v>
      </c>
    </row>
    <row r="11" spans="1:2" x14ac:dyDescent="0.25">
      <c r="A11" s="5">
        <v>100</v>
      </c>
      <c r="B11" s="8">
        <v>0.40926749166758331</v>
      </c>
    </row>
    <row r="12" spans="1:2" x14ac:dyDescent="0.25">
      <c r="A12" s="5" t="s">
        <v>23</v>
      </c>
      <c r="B12" s="8">
        <v>0.24521809715239654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Pivot-Base</vt:lpstr>
      <vt:lpstr>Base Loss</vt:lpstr>
      <vt:lpstr>Expenses</vt:lpstr>
      <vt:lpstr>Pivot-Expenses</vt:lpstr>
      <vt:lpstr>Expenses!TempResult</vt:lpstr>
      <vt:lpstr>'Base Loss'!TempResult_1</vt:lpstr>
      <vt:lpstr>Expenses!TempResult_1</vt:lpstr>
      <vt:lpstr>'Base Loss'!TempResult_2</vt:lpstr>
      <vt:lpstr>'Base Loss'!TempResult_3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2015-10-06T20:09:54Z</dcterms:created>
  <dcterms:modified xsi:type="dcterms:W3CDTF">2015-10-15T19:53:02Z</dcterms:modified>
</cp:coreProperties>
</file>