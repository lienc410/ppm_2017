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drawings/drawing2.xml" ContentType="application/vnd.openxmlformats-officedocument.drawing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drawings/drawing3.xml" ContentType="application/vnd.openxmlformats-officedocument.drawing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charts/chart13.xml" ContentType="application/vnd.openxmlformats-officedocument.drawingml.chart+xml"/>
  <Override PartName="/xl/charts/chart14.xml" ContentType="application/vnd.openxmlformats-officedocument.drawingml.chart+xml"/>
  <Override PartName="/xl/charts/chart15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1080" yWindow="900" windowWidth="31875" windowHeight="18615" activeTab="3"/>
  </bookViews>
  <sheets>
    <sheet name="Sheet1" sheetId="1" r:id="rId1"/>
    <sheet name="Statistical" sheetId="2" r:id="rId2"/>
    <sheet name="Total" sheetId="3" r:id="rId3"/>
    <sheet name="Combined" sheetId="4" r:id="rId4"/>
    <sheet name="FC" sheetId="5" r:id="rId5"/>
    <sheet name="REO" sheetId="6" r:id="rId6"/>
  </sheets>
  <calcPr calcId="145621"/>
</workbook>
</file>

<file path=xl/calcChain.xml><?xml version="1.0" encoding="utf-8"?>
<calcChain xmlns="http://schemas.openxmlformats.org/spreadsheetml/2006/main">
  <c r="AE4" i="4" l="1"/>
  <c r="AF4" i="4"/>
  <c r="AE5" i="4"/>
  <c r="AF5" i="4"/>
  <c r="AE6" i="4"/>
  <c r="AF6" i="4"/>
  <c r="AE7" i="4"/>
  <c r="AF7" i="4"/>
  <c r="AE8" i="4"/>
  <c r="AF8" i="4"/>
  <c r="AE9" i="4"/>
  <c r="AF9" i="4"/>
  <c r="AE10" i="4"/>
  <c r="AF10" i="4"/>
  <c r="AE11" i="4"/>
  <c r="AF11" i="4"/>
  <c r="AE12" i="4"/>
  <c r="AF12" i="4"/>
  <c r="AE13" i="4"/>
  <c r="AF13" i="4"/>
  <c r="AE14" i="4"/>
  <c r="AF14" i="4"/>
  <c r="AE15" i="4"/>
  <c r="AF15" i="4"/>
  <c r="AE16" i="4"/>
  <c r="AF16" i="4"/>
  <c r="AE17" i="4"/>
  <c r="AF17" i="4"/>
  <c r="AE18" i="4"/>
  <c r="AF18" i="4"/>
  <c r="AE19" i="4"/>
  <c r="AF19" i="4"/>
  <c r="AE20" i="4"/>
  <c r="AF20" i="4"/>
  <c r="AE21" i="4"/>
  <c r="AF21" i="4"/>
  <c r="AE22" i="4"/>
  <c r="AF22" i="4"/>
  <c r="AE23" i="4"/>
  <c r="AF23" i="4"/>
  <c r="AE24" i="4"/>
  <c r="AF24" i="4"/>
  <c r="AE25" i="4"/>
  <c r="AF25" i="4"/>
  <c r="AE26" i="4"/>
  <c r="AF26" i="4"/>
  <c r="AE27" i="4"/>
  <c r="AF27" i="4"/>
  <c r="AE28" i="4"/>
  <c r="AF28" i="4"/>
  <c r="AE29" i="4"/>
  <c r="AF29" i="4"/>
  <c r="AE30" i="4"/>
  <c r="AF30" i="4"/>
  <c r="AE31" i="4"/>
  <c r="AF31" i="4"/>
  <c r="AE32" i="4"/>
  <c r="AF32" i="4"/>
  <c r="AE33" i="4"/>
  <c r="AF33" i="4"/>
  <c r="AE34" i="4"/>
  <c r="AF34" i="4"/>
  <c r="AE35" i="4"/>
  <c r="AF35" i="4"/>
  <c r="AE36" i="4"/>
  <c r="AF36" i="4"/>
  <c r="AE37" i="4"/>
  <c r="AF37" i="4"/>
  <c r="AE38" i="4"/>
  <c r="AF38" i="4"/>
  <c r="AE39" i="4"/>
  <c r="AF39" i="4"/>
  <c r="AE40" i="4"/>
  <c r="AF40" i="4"/>
  <c r="AE41" i="4"/>
  <c r="AF41" i="4"/>
  <c r="AE42" i="4"/>
  <c r="AF42" i="4"/>
  <c r="AE43" i="4"/>
  <c r="AF43" i="4"/>
  <c r="AE44" i="4"/>
  <c r="AF44" i="4"/>
  <c r="AE45" i="4"/>
  <c r="AF45" i="4"/>
  <c r="AE46" i="4"/>
  <c r="AF46" i="4"/>
  <c r="AE47" i="4"/>
  <c r="AF47" i="4"/>
  <c r="AE48" i="4"/>
  <c r="AF48" i="4"/>
  <c r="AE49" i="4"/>
  <c r="AF49" i="4"/>
  <c r="AE50" i="4"/>
  <c r="AF50" i="4"/>
  <c r="AE51" i="4"/>
  <c r="AF51" i="4"/>
  <c r="AE52" i="4"/>
  <c r="AF52" i="4"/>
  <c r="AE53" i="4"/>
  <c r="AF53" i="4"/>
  <c r="AE54" i="4"/>
  <c r="AF54" i="4"/>
  <c r="AE55" i="4"/>
  <c r="AF55" i="4"/>
  <c r="AE56" i="4"/>
  <c r="AF56" i="4"/>
  <c r="AE57" i="4"/>
  <c r="AF57" i="4"/>
  <c r="AE58" i="4"/>
  <c r="AF58" i="4"/>
  <c r="AE59" i="4"/>
  <c r="AF59" i="4"/>
  <c r="AE60" i="4"/>
  <c r="AF60" i="4"/>
  <c r="AE61" i="4"/>
  <c r="AF61" i="4"/>
  <c r="AE62" i="4"/>
  <c r="AF62" i="4"/>
  <c r="AE63" i="4"/>
  <c r="AF63" i="4"/>
  <c r="AE64" i="4"/>
  <c r="AF64" i="4"/>
  <c r="AE65" i="4"/>
  <c r="AF65" i="4"/>
  <c r="AE66" i="4"/>
  <c r="AF66" i="4"/>
  <c r="AE67" i="4"/>
  <c r="AF67" i="4"/>
  <c r="AE68" i="4"/>
  <c r="AF68" i="4"/>
  <c r="AE69" i="4"/>
  <c r="AF69" i="4"/>
  <c r="AE70" i="4"/>
  <c r="AF70" i="4"/>
  <c r="AE71" i="4"/>
  <c r="AF71" i="4"/>
  <c r="AE72" i="4"/>
  <c r="AF72" i="4"/>
  <c r="AE73" i="4"/>
  <c r="AF73" i="4"/>
  <c r="AE74" i="4"/>
  <c r="AF74" i="4"/>
  <c r="AE75" i="4"/>
  <c r="AF75" i="4"/>
  <c r="AE76" i="4"/>
  <c r="AF76" i="4"/>
  <c r="AE77" i="4"/>
  <c r="AF77" i="4"/>
  <c r="AE78" i="4"/>
  <c r="AF78" i="4"/>
  <c r="AE79" i="4"/>
  <c r="AF79" i="4"/>
  <c r="AE80" i="4"/>
  <c r="AF80" i="4"/>
  <c r="AE81" i="4"/>
  <c r="AF81" i="4"/>
  <c r="AE82" i="4"/>
  <c r="AF82" i="4"/>
  <c r="AE83" i="4"/>
  <c r="AF83" i="4"/>
  <c r="AE84" i="4"/>
  <c r="AF84" i="4"/>
  <c r="AE85" i="4"/>
  <c r="AF85" i="4"/>
  <c r="AE86" i="4"/>
  <c r="AF86" i="4"/>
  <c r="AE87" i="4"/>
  <c r="AF87" i="4"/>
  <c r="AE88" i="4"/>
  <c r="AF88" i="4"/>
  <c r="AE89" i="4"/>
  <c r="AF89" i="4"/>
  <c r="AE90" i="4"/>
  <c r="AF90" i="4"/>
  <c r="AE91" i="4"/>
  <c r="AF91" i="4"/>
  <c r="AE92" i="4"/>
  <c r="AF92" i="4"/>
  <c r="AE93" i="4"/>
  <c r="AF93" i="4"/>
  <c r="AE94" i="4"/>
  <c r="AF94" i="4"/>
  <c r="AE95" i="4"/>
  <c r="AF95" i="4"/>
  <c r="AE96" i="4"/>
  <c r="AF96" i="4"/>
  <c r="AE97" i="4"/>
  <c r="AF97" i="4"/>
  <c r="AE98" i="4"/>
  <c r="AF98" i="4"/>
  <c r="AE99" i="4"/>
  <c r="AF99" i="4"/>
  <c r="AE100" i="4"/>
  <c r="AF100" i="4"/>
  <c r="AE101" i="4"/>
  <c r="AF101" i="4"/>
  <c r="AE102" i="4"/>
  <c r="AF102" i="4"/>
  <c r="AE103" i="4"/>
  <c r="AF103" i="4"/>
  <c r="AE104" i="4"/>
  <c r="AF104" i="4"/>
  <c r="AE105" i="4"/>
  <c r="AF105" i="4"/>
  <c r="AE106" i="4"/>
  <c r="AF106" i="4"/>
  <c r="AE107" i="4"/>
  <c r="AF107" i="4"/>
  <c r="AE108" i="4"/>
  <c r="AF108" i="4"/>
  <c r="AE109" i="4"/>
  <c r="AF109" i="4"/>
  <c r="AE110" i="4"/>
  <c r="AF110" i="4"/>
  <c r="AE111" i="4"/>
  <c r="AF111" i="4"/>
  <c r="AE112" i="4"/>
  <c r="AF112" i="4"/>
  <c r="AE113" i="4"/>
  <c r="AF113" i="4"/>
  <c r="AE114" i="4"/>
  <c r="AF114" i="4"/>
  <c r="AE115" i="4"/>
  <c r="AF115" i="4"/>
  <c r="AE116" i="4"/>
  <c r="AF116" i="4"/>
  <c r="AE117" i="4"/>
  <c r="AF117" i="4"/>
  <c r="AE118" i="4"/>
  <c r="AF118" i="4"/>
  <c r="AE119" i="4"/>
  <c r="AF119" i="4"/>
  <c r="AE120" i="4"/>
  <c r="AF120" i="4"/>
  <c r="AE121" i="4"/>
  <c r="AF121" i="4"/>
  <c r="AE122" i="4"/>
  <c r="AF122" i="4"/>
  <c r="AE123" i="4"/>
  <c r="AF123" i="4"/>
  <c r="AE124" i="4"/>
  <c r="AF124" i="4"/>
  <c r="AE125" i="4"/>
  <c r="AF125" i="4"/>
  <c r="AE126" i="4"/>
  <c r="AF126" i="4"/>
  <c r="AE127" i="4"/>
  <c r="AF127" i="4"/>
  <c r="AE128" i="4"/>
  <c r="AF128" i="4"/>
  <c r="AE129" i="4"/>
  <c r="AF129" i="4"/>
  <c r="AE130" i="4"/>
  <c r="AF130" i="4"/>
  <c r="AE131" i="4"/>
  <c r="AF131" i="4"/>
  <c r="AE132" i="4"/>
  <c r="AF132" i="4"/>
  <c r="AE133" i="4"/>
  <c r="AF133" i="4"/>
  <c r="AE134" i="4"/>
  <c r="AF134" i="4"/>
  <c r="AE135" i="4"/>
  <c r="AF135" i="4"/>
  <c r="AE136" i="4"/>
  <c r="AF136" i="4"/>
  <c r="AE137" i="4"/>
  <c r="AF137" i="4"/>
  <c r="AE138" i="4"/>
  <c r="AF138" i="4"/>
  <c r="AE139" i="4"/>
  <c r="AF139" i="4"/>
  <c r="AE140" i="4"/>
  <c r="AF140" i="4"/>
  <c r="AE141" i="4"/>
  <c r="AF141" i="4"/>
  <c r="AE142" i="4"/>
  <c r="AF142" i="4"/>
  <c r="AE143" i="4"/>
  <c r="AF143" i="4"/>
  <c r="AE144" i="4"/>
  <c r="AF144" i="4"/>
  <c r="AE145" i="4"/>
  <c r="AF145" i="4"/>
  <c r="AE146" i="4"/>
  <c r="AF146" i="4"/>
  <c r="AE147" i="4"/>
  <c r="AF147" i="4"/>
  <c r="AE148" i="4"/>
  <c r="AF148" i="4"/>
  <c r="AE149" i="4"/>
  <c r="AF149" i="4"/>
  <c r="AE150" i="4"/>
  <c r="AF150" i="4"/>
  <c r="AE151" i="4"/>
  <c r="AF151" i="4"/>
  <c r="AE152" i="4"/>
  <c r="AF152" i="4"/>
  <c r="AE153" i="4"/>
  <c r="AF153" i="4"/>
  <c r="AE154" i="4"/>
  <c r="AF154" i="4"/>
  <c r="AE155" i="4"/>
  <c r="AF155" i="4"/>
  <c r="AE156" i="4"/>
  <c r="AF156" i="4"/>
  <c r="AE157" i="4"/>
  <c r="AF157" i="4"/>
  <c r="AE158" i="4"/>
  <c r="AF158" i="4"/>
  <c r="AE159" i="4"/>
  <c r="AF159" i="4"/>
  <c r="AE160" i="4"/>
  <c r="AF160" i="4"/>
  <c r="AE161" i="4"/>
  <c r="AF161" i="4"/>
  <c r="AE162" i="4"/>
  <c r="AF162" i="4"/>
  <c r="AE163" i="4"/>
  <c r="AF163" i="4"/>
  <c r="AE164" i="4"/>
  <c r="AF164" i="4"/>
  <c r="AF3" i="4"/>
  <c r="AE3" i="4"/>
  <c r="AD164" i="4"/>
  <c r="AD163" i="4"/>
  <c r="AD162" i="4"/>
  <c r="AD161" i="4"/>
  <c r="AD160" i="4"/>
  <c r="AD159" i="4"/>
  <c r="AD158" i="4"/>
  <c r="AD157" i="4"/>
  <c r="AD156" i="4"/>
  <c r="AD155" i="4"/>
  <c r="AD154" i="4"/>
  <c r="AD153" i="4"/>
  <c r="AD152" i="4"/>
  <c r="AD151" i="4"/>
  <c r="AD150" i="4"/>
  <c r="AD149" i="4"/>
  <c r="AD148" i="4"/>
  <c r="AD147" i="4"/>
  <c r="AD146" i="4"/>
  <c r="AD145" i="4"/>
  <c r="AD144" i="4"/>
  <c r="AD143" i="4"/>
  <c r="AD142" i="4"/>
  <c r="AD141" i="4"/>
  <c r="AD140" i="4"/>
  <c r="AD139" i="4"/>
  <c r="AD138" i="4"/>
  <c r="AD137" i="4"/>
  <c r="AD136" i="4"/>
  <c r="AD135" i="4"/>
  <c r="AD134" i="4"/>
  <c r="AD133" i="4"/>
  <c r="AD132" i="4"/>
  <c r="AD131" i="4"/>
  <c r="AD130" i="4"/>
  <c r="AD129" i="4"/>
  <c r="AD128" i="4"/>
  <c r="AD127" i="4"/>
  <c r="AD126" i="4"/>
  <c r="AD125" i="4"/>
  <c r="AD124" i="4"/>
  <c r="AD123" i="4"/>
  <c r="AD122" i="4"/>
  <c r="AD121" i="4"/>
  <c r="AD120" i="4"/>
  <c r="AD119" i="4"/>
  <c r="AD118" i="4"/>
  <c r="AD117" i="4"/>
  <c r="AD116" i="4"/>
  <c r="AD115" i="4"/>
  <c r="AD114" i="4"/>
  <c r="AD113" i="4"/>
  <c r="AD112" i="4"/>
  <c r="AD111" i="4"/>
  <c r="AD110" i="4"/>
  <c r="AD109" i="4"/>
  <c r="AD108" i="4"/>
  <c r="AD107" i="4"/>
  <c r="AD106" i="4"/>
  <c r="AD105" i="4"/>
  <c r="AD104" i="4"/>
  <c r="AD103" i="4"/>
  <c r="AD102" i="4"/>
  <c r="AD101" i="4"/>
  <c r="AD100" i="4"/>
  <c r="AD99" i="4"/>
  <c r="AD98" i="4"/>
  <c r="AD97" i="4"/>
  <c r="AD96" i="4"/>
  <c r="AD95" i="4"/>
  <c r="AD94" i="4"/>
  <c r="AD93" i="4"/>
  <c r="AD92" i="4"/>
  <c r="AD91" i="4"/>
  <c r="AD90" i="4"/>
  <c r="AD89" i="4"/>
  <c r="AD88" i="4"/>
  <c r="AD87" i="4"/>
  <c r="AD86" i="4"/>
  <c r="AD85" i="4"/>
  <c r="AD84" i="4"/>
  <c r="AD83" i="4"/>
  <c r="AD82" i="4"/>
  <c r="AD81" i="4"/>
  <c r="AD80" i="4"/>
  <c r="AD79" i="4"/>
  <c r="AD78" i="4"/>
  <c r="AD77" i="4"/>
  <c r="AD76" i="4"/>
  <c r="AD75" i="4"/>
  <c r="AD74" i="4"/>
  <c r="AD73" i="4"/>
  <c r="AD72" i="4"/>
  <c r="AD71" i="4"/>
  <c r="AD70" i="4"/>
  <c r="AD69" i="4"/>
  <c r="AD68" i="4"/>
  <c r="AD67" i="4"/>
  <c r="AD66" i="4"/>
  <c r="AD65" i="4"/>
  <c r="AD64" i="4"/>
  <c r="AD63" i="4"/>
  <c r="AD62" i="4"/>
  <c r="AD61" i="4"/>
  <c r="AD60" i="4"/>
  <c r="AD59" i="4"/>
  <c r="AD58" i="4"/>
  <c r="AD57" i="4"/>
  <c r="AD56" i="4"/>
  <c r="AD55" i="4"/>
  <c r="AD54" i="4"/>
  <c r="AD53" i="4"/>
  <c r="AD52" i="4"/>
  <c r="AD51" i="4"/>
  <c r="AD50" i="4"/>
  <c r="AD49" i="4"/>
  <c r="AD48" i="4"/>
  <c r="AD47" i="4"/>
  <c r="AD46" i="4"/>
  <c r="AD45" i="4"/>
  <c r="AD44" i="4"/>
  <c r="AD43" i="4"/>
  <c r="AD42" i="4"/>
  <c r="AD41" i="4"/>
  <c r="AD40" i="4"/>
  <c r="AD39" i="4"/>
  <c r="AD38" i="4"/>
  <c r="AD37" i="4"/>
  <c r="AD36" i="4"/>
  <c r="AD35" i="4"/>
  <c r="AD34" i="4"/>
  <c r="AD33" i="4"/>
  <c r="AD32" i="4"/>
  <c r="AD31" i="4"/>
  <c r="AD30" i="4"/>
  <c r="AD29" i="4"/>
  <c r="AD28" i="4"/>
  <c r="AD27" i="4"/>
  <c r="AD26" i="4"/>
  <c r="AD25" i="4"/>
  <c r="AD24" i="4"/>
  <c r="AD23" i="4"/>
  <c r="AD22" i="4"/>
  <c r="AD21" i="4"/>
  <c r="AD20" i="4"/>
  <c r="AD19" i="4"/>
  <c r="AD18" i="4"/>
  <c r="AD17" i="4"/>
  <c r="AD16" i="4"/>
  <c r="AD15" i="4"/>
  <c r="AD14" i="4"/>
  <c r="AD13" i="4"/>
  <c r="AD12" i="4"/>
  <c r="AD11" i="4"/>
  <c r="AD10" i="4"/>
  <c r="AD9" i="4"/>
  <c r="AD8" i="4"/>
  <c r="AD7" i="4"/>
  <c r="AD6" i="4"/>
  <c r="AD5" i="4"/>
  <c r="AD4" i="4"/>
  <c r="AD3" i="4"/>
  <c r="K3" i="4"/>
  <c r="L3" i="4"/>
  <c r="N3" i="4"/>
  <c r="R3" i="4" s="1"/>
  <c r="V3" i="4" s="1"/>
  <c r="Z3" i="4" s="1"/>
  <c r="O3" i="4"/>
  <c r="P3" i="4"/>
  <c r="S3" i="4"/>
  <c r="T3" i="4"/>
  <c r="W3" i="4"/>
  <c r="X3" i="4"/>
  <c r="AA3" i="4"/>
  <c r="AB3" i="4"/>
  <c r="X7" i="2"/>
  <c r="W7" i="2"/>
  <c r="V7" i="2"/>
  <c r="X5" i="2"/>
  <c r="X6" i="2"/>
  <c r="X4" i="2"/>
  <c r="C20" i="2"/>
  <c r="D20" i="2"/>
  <c r="E20" i="2"/>
  <c r="F20" i="2"/>
  <c r="G20" i="2"/>
  <c r="H20" i="2"/>
  <c r="I20" i="2"/>
  <c r="J20" i="2"/>
  <c r="K20" i="2"/>
  <c r="L20" i="2"/>
  <c r="M20" i="2"/>
  <c r="N20" i="2"/>
  <c r="O20" i="2"/>
  <c r="P20" i="2"/>
  <c r="B20" i="2"/>
  <c r="Q7" i="2"/>
  <c r="Q8" i="2"/>
  <c r="Q9" i="2"/>
  <c r="Q10" i="2"/>
  <c r="C11" i="2"/>
  <c r="D11" i="2"/>
  <c r="E11" i="2"/>
  <c r="F11" i="2"/>
  <c r="G11" i="2"/>
  <c r="H11" i="2"/>
  <c r="I11" i="2"/>
  <c r="J11" i="2"/>
  <c r="K11" i="2"/>
  <c r="L11" i="2"/>
  <c r="M11" i="2"/>
  <c r="N11" i="2"/>
  <c r="O11" i="2"/>
  <c r="P11" i="2"/>
  <c r="B11" i="2"/>
  <c r="AQ178" i="5"/>
  <c r="AP178" i="5"/>
  <c r="AM178" i="5"/>
  <c r="AL178" i="5"/>
  <c r="AI178" i="5"/>
  <c r="AH178" i="5"/>
  <c r="AE178" i="5"/>
  <c r="AD178" i="5"/>
  <c r="AA178" i="5"/>
  <c r="Z178" i="5"/>
  <c r="AQ177" i="5"/>
  <c r="AP177" i="5"/>
  <c r="AM177" i="5"/>
  <c r="AL177" i="5"/>
  <c r="AI177" i="5"/>
  <c r="AH177" i="5"/>
  <c r="AE177" i="5"/>
  <c r="AD177" i="5"/>
  <c r="AA177" i="5"/>
  <c r="Z177" i="5"/>
  <c r="AQ176" i="5"/>
  <c r="AP176" i="5"/>
  <c r="AM176" i="5"/>
  <c r="AL176" i="5"/>
  <c r="AI176" i="5"/>
  <c r="AH176" i="5"/>
  <c r="AE176" i="5"/>
  <c r="AD176" i="5"/>
  <c r="AA176" i="5"/>
  <c r="Z176" i="5"/>
  <c r="AQ175" i="5"/>
  <c r="AP175" i="5"/>
  <c r="AM175" i="5"/>
  <c r="AL175" i="5"/>
  <c r="AI175" i="5"/>
  <c r="AH175" i="5"/>
  <c r="AE175" i="5"/>
  <c r="AD175" i="5"/>
  <c r="AA175" i="5"/>
  <c r="Z175" i="5"/>
  <c r="AQ174" i="5"/>
  <c r="AP174" i="5"/>
  <c r="AM174" i="5"/>
  <c r="AL174" i="5"/>
  <c r="AI174" i="5"/>
  <c r="AH174" i="5"/>
  <c r="AE174" i="5"/>
  <c r="AD174" i="5"/>
  <c r="AA174" i="5"/>
  <c r="Z174" i="5"/>
  <c r="AQ173" i="5"/>
  <c r="AP173" i="5"/>
  <c r="AM173" i="5"/>
  <c r="AL173" i="5"/>
  <c r="AI173" i="5"/>
  <c r="AH173" i="5"/>
  <c r="AE173" i="5"/>
  <c r="AD173" i="5"/>
  <c r="AA173" i="5"/>
  <c r="Z173" i="5"/>
  <c r="AQ172" i="5"/>
  <c r="AP172" i="5"/>
  <c r="AM172" i="5"/>
  <c r="AL172" i="5"/>
  <c r="AI172" i="5"/>
  <c r="AH172" i="5"/>
  <c r="AE172" i="5"/>
  <c r="AD172" i="5"/>
  <c r="AA172" i="5"/>
  <c r="Z172" i="5"/>
  <c r="AQ171" i="5"/>
  <c r="AP171" i="5"/>
  <c r="AM171" i="5"/>
  <c r="AL171" i="5"/>
  <c r="AI171" i="5"/>
  <c r="AH171" i="5"/>
  <c r="AE171" i="5"/>
  <c r="AD171" i="5"/>
  <c r="AA171" i="5"/>
  <c r="Z171" i="5"/>
  <c r="AQ170" i="5"/>
  <c r="AP170" i="5"/>
  <c r="AM170" i="5"/>
  <c r="AL170" i="5"/>
  <c r="AI170" i="5"/>
  <c r="AH170" i="5"/>
  <c r="AE170" i="5"/>
  <c r="AD170" i="5"/>
  <c r="AA170" i="5"/>
  <c r="Z170" i="5"/>
  <c r="AQ169" i="5"/>
  <c r="AP169" i="5"/>
  <c r="AM169" i="5"/>
  <c r="AL169" i="5"/>
  <c r="AI169" i="5"/>
  <c r="AH169" i="5"/>
  <c r="AE169" i="5"/>
  <c r="AD169" i="5"/>
  <c r="AA169" i="5"/>
  <c r="Z169" i="5"/>
  <c r="AQ168" i="5"/>
  <c r="AP168" i="5"/>
  <c r="AM168" i="5"/>
  <c r="AL168" i="5"/>
  <c r="AI168" i="5"/>
  <c r="AH168" i="5"/>
  <c r="AE168" i="5"/>
  <c r="AD168" i="5"/>
  <c r="AA168" i="5"/>
  <c r="Z168" i="5"/>
  <c r="AQ167" i="5"/>
  <c r="AP167" i="5"/>
  <c r="AM167" i="5"/>
  <c r="AL167" i="5"/>
  <c r="AI167" i="5"/>
  <c r="AH167" i="5"/>
  <c r="AE167" i="5"/>
  <c r="AD167" i="5"/>
  <c r="AA167" i="5"/>
  <c r="Z167" i="5"/>
  <c r="AQ166" i="5"/>
  <c r="AP166" i="5"/>
  <c r="AM166" i="5"/>
  <c r="AL166" i="5"/>
  <c r="AI166" i="5"/>
  <c r="AH166" i="5"/>
  <c r="AE166" i="5"/>
  <c r="AD166" i="5"/>
  <c r="AA166" i="5"/>
  <c r="Z166" i="5"/>
  <c r="AQ165" i="5"/>
  <c r="AP165" i="5"/>
  <c r="AM165" i="5"/>
  <c r="AL165" i="5"/>
  <c r="AI165" i="5"/>
  <c r="AH165" i="5"/>
  <c r="AE165" i="5"/>
  <c r="AD165" i="5"/>
  <c r="AA165" i="5"/>
  <c r="Z165" i="5"/>
  <c r="AQ164" i="5"/>
  <c r="AP164" i="5"/>
  <c r="AM164" i="5"/>
  <c r="AL164" i="5"/>
  <c r="AI164" i="5"/>
  <c r="AH164" i="5"/>
  <c r="AE164" i="5"/>
  <c r="AD164" i="5"/>
  <c r="AA164" i="5"/>
  <c r="Z164" i="5"/>
  <c r="AQ163" i="5"/>
  <c r="AP163" i="5"/>
  <c r="AM163" i="5"/>
  <c r="AL163" i="5"/>
  <c r="AI163" i="5"/>
  <c r="AH163" i="5"/>
  <c r="AE163" i="5"/>
  <c r="AD163" i="5"/>
  <c r="AA163" i="5"/>
  <c r="Z163" i="5"/>
  <c r="AQ162" i="5"/>
  <c r="AP162" i="5"/>
  <c r="AM162" i="5"/>
  <c r="AL162" i="5"/>
  <c r="AI162" i="5"/>
  <c r="AH162" i="5"/>
  <c r="AE162" i="5"/>
  <c r="AD162" i="5"/>
  <c r="AA162" i="5"/>
  <c r="Z162" i="5"/>
  <c r="AQ161" i="5"/>
  <c r="AP161" i="5"/>
  <c r="AM161" i="5"/>
  <c r="AL161" i="5"/>
  <c r="AI161" i="5"/>
  <c r="AH161" i="5"/>
  <c r="AE161" i="5"/>
  <c r="AD161" i="5"/>
  <c r="AA161" i="5"/>
  <c r="Z161" i="5"/>
  <c r="AQ160" i="5"/>
  <c r="AP160" i="5"/>
  <c r="AM160" i="5"/>
  <c r="AL160" i="5"/>
  <c r="AI160" i="5"/>
  <c r="AH160" i="5"/>
  <c r="AE160" i="5"/>
  <c r="AD160" i="5"/>
  <c r="AA160" i="5"/>
  <c r="Z160" i="5"/>
  <c r="AQ159" i="5"/>
  <c r="AP159" i="5"/>
  <c r="AM159" i="5"/>
  <c r="AL159" i="5"/>
  <c r="AI159" i="5"/>
  <c r="AH159" i="5"/>
  <c r="AE159" i="5"/>
  <c r="AD159" i="5"/>
  <c r="AA159" i="5"/>
  <c r="Z159" i="5"/>
  <c r="AQ158" i="5"/>
  <c r="AP158" i="5"/>
  <c r="AM158" i="5"/>
  <c r="AL158" i="5"/>
  <c r="AI158" i="5"/>
  <c r="AH158" i="5"/>
  <c r="AE158" i="5"/>
  <c r="AD158" i="5"/>
  <c r="AA158" i="5"/>
  <c r="Z158" i="5"/>
  <c r="AQ157" i="5"/>
  <c r="AP157" i="5"/>
  <c r="AM157" i="5"/>
  <c r="AL157" i="5"/>
  <c r="AI157" i="5"/>
  <c r="AH157" i="5"/>
  <c r="AE157" i="5"/>
  <c r="AD157" i="5"/>
  <c r="AA157" i="5"/>
  <c r="Z157" i="5"/>
  <c r="AQ156" i="5"/>
  <c r="AP156" i="5"/>
  <c r="AM156" i="5"/>
  <c r="AL156" i="5"/>
  <c r="AI156" i="5"/>
  <c r="AH156" i="5"/>
  <c r="AE156" i="5"/>
  <c r="AD156" i="5"/>
  <c r="AA156" i="5"/>
  <c r="Z156" i="5"/>
  <c r="AQ155" i="5"/>
  <c r="AP155" i="5"/>
  <c r="AM155" i="5"/>
  <c r="AL155" i="5"/>
  <c r="AI155" i="5"/>
  <c r="AH155" i="5"/>
  <c r="AE155" i="5"/>
  <c r="AD155" i="5"/>
  <c r="AA155" i="5"/>
  <c r="Z155" i="5"/>
  <c r="AQ154" i="5"/>
  <c r="AP154" i="5"/>
  <c r="AM154" i="5"/>
  <c r="AL154" i="5"/>
  <c r="AI154" i="5"/>
  <c r="AH154" i="5"/>
  <c r="AE154" i="5"/>
  <c r="AD154" i="5"/>
  <c r="AA154" i="5"/>
  <c r="Z154" i="5"/>
  <c r="AQ153" i="5"/>
  <c r="AP153" i="5"/>
  <c r="AM153" i="5"/>
  <c r="AL153" i="5"/>
  <c r="AI153" i="5"/>
  <c r="AH153" i="5"/>
  <c r="AE153" i="5"/>
  <c r="AD153" i="5"/>
  <c r="AA153" i="5"/>
  <c r="Z153" i="5"/>
  <c r="AQ152" i="5"/>
  <c r="AP152" i="5"/>
  <c r="AM152" i="5"/>
  <c r="AL152" i="5"/>
  <c r="AI152" i="5"/>
  <c r="AH152" i="5"/>
  <c r="AE152" i="5"/>
  <c r="AD152" i="5"/>
  <c r="AA152" i="5"/>
  <c r="Z152" i="5"/>
  <c r="AQ151" i="5"/>
  <c r="AP151" i="5"/>
  <c r="AM151" i="5"/>
  <c r="AL151" i="5"/>
  <c r="AI151" i="5"/>
  <c r="AH151" i="5"/>
  <c r="AE151" i="5"/>
  <c r="AD151" i="5"/>
  <c r="AA151" i="5"/>
  <c r="Z151" i="5"/>
  <c r="AQ150" i="5"/>
  <c r="AP150" i="5"/>
  <c r="AM150" i="5"/>
  <c r="AL150" i="5"/>
  <c r="AI150" i="5"/>
  <c r="AH150" i="5"/>
  <c r="AE150" i="5"/>
  <c r="AD150" i="5"/>
  <c r="AA150" i="5"/>
  <c r="Z150" i="5"/>
  <c r="AQ149" i="5"/>
  <c r="AP149" i="5"/>
  <c r="AM149" i="5"/>
  <c r="AL149" i="5"/>
  <c r="AI149" i="5"/>
  <c r="AH149" i="5"/>
  <c r="AE149" i="5"/>
  <c r="AD149" i="5"/>
  <c r="AA149" i="5"/>
  <c r="Z149" i="5"/>
  <c r="AQ148" i="5"/>
  <c r="AP148" i="5"/>
  <c r="AM148" i="5"/>
  <c r="AL148" i="5"/>
  <c r="AI148" i="5"/>
  <c r="AH148" i="5"/>
  <c r="AE148" i="5"/>
  <c r="AD148" i="5"/>
  <c r="AA148" i="5"/>
  <c r="Z148" i="5"/>
  <c r="AQ147" i="5"/>
  <c r="AP147" i="5"/>
  <c r="AM147" i="5"/>
  <c r="AL147" i="5"/>
  <c r="AI147" i="5"/>
  <c r="AH147" i="5"/>
  <c r="AE147" i="5"/>
  <c r="AD147" i="5"/>
  <c r="AA147" i="5"/>
  <c r="Z147" i="5"/>
  <c r="AQ146" i="5"/>
  <c r="AP146" i="5"/>
  <c r="AM146" i="5"/>
  <c r="AL146" i="5"/>
  <c r="AI146" i="5"/>
  <c r="AH146" i="5"/>
  <c r="AE146" i="5"/>
  <c r="AD146" i="5"/>
  <c r="AA146" i="5"/>
  <c r="Z146" i="5"/>
  <c r="AQ145" i="5"/>
  <c r="AP145" i="5"/>
  <c r="AM145" i="5"/>
  <c r="AL145" i="5"/>
  <c r="AI145" i="5"/>
  <c r="AH145" i="5"/>
  <c r="AE145" i="5"/>
  <c r="AD145" i="5"/>
  <c r="AA145" i="5"/>
  <c r="Z145" i="5"/>
  <c r="AQ144" i="5"/>
  <c r="AP144" i="5"/>
  <c r="AM144" i="5"/>
  <c r="AL144" i="5"/>
  <c r="AI144" i="5"/>
  <c r="AH144" i="5"/>
  <c r="AE144" i="5"/>
  <c r="AD144" i="5"/>
  <c r="AA144" i="5"/>
  <c r="Z144" i="5"/>
  <c r="AQ143" i="5"/>
  <c r="AP143" i="5"/>
  <c r="AM143" i="5"/>
  <c r="AL143" i="5"/>
  <c r="AI143" i="5"/>
  <c r="AH143" i="5"/>
  <c r="AE143" i="5"/>
  <c r="AD143" i="5"/>
  <c r="AA143" i="5"/>
  <c r="Z143" i="5"/>
  <c r="AQ142" i="5"/>
  <c r="AP142" i="5"/>
  <c r="AM142" i="5"/>
  <c r="AL142" i="5"/>
  <c r="AI142" i="5"/>
  <c r="AH142" i="5"/>
  <c r="AE142" i="5"/>
  <c r="AD142" i="5"/>
  <c r="AA142" i="5"/>
  <c r="Z142" i="5"/>
  <c r="AQ141" i="5"/>
  <c r="AP141" i="5"/>
  <c r="AM141" i="5"/>
  <c r="AL141" i="5"/>
  <c r="AI141" i="5"/>
  <c r="AH141" i="5"/>
  <c r="AE141" i="5"/>
  <c r="AD141" i="5"/>
  <c r="AA141" i="5"/>
  <c r="Z141" i="5"/>
  <c r="AQ140" i="5"/>
  <c r="AP140" i="5"/>
  <c r="AM140" i="5"/>
  <c r="AL140" i="5"/>
  <c r="AI140" i="5"/>
  <c r="AH140" i="5"/>
  <c r="AE140" i="5"/>
  <c r="AD140" i="5"/>
  <c r="AA140" i="5"/>
  <c r="Z140" i="5"/>
  <c r="AQ139" i="5"/>
  <c r="AP139" i="5"/>
  <c r="AM139" i="5"/>
  <c r="AL139" i="5"/>
  <c r="AI139" i="5"/>
  <c r="AH139" i="5"/>
  <c r="AE139" i="5"/>
  <c r="AD139" i="5"/>
  <c r="AA139" i="5"/>
  <c r="Z139" i="5"/>
  <c r="AQ138" i="5"/>
  <c r="AP138" i="5"/>
  <c r="AM138" i="5"/>
  <c r="AL138" i="5"/>
  <c r="AI138" i="5"/>
  <c r="AH138" i="5"/>
  <c r="AE138" i="5"/>
  <c r="AD138" i="5"/>
  <c r="AA138" i="5"/>
  <c r="Z138" i="5"/>
  <c r="AQ137" i="5"/>
  <c r="AP137" i="5"/>
  <c r="AM137" i="5"/>
  <c r="AL137" i="5"/>
  <c r="AI137" i="5"/>
  <c r="AH137" i="5"/>
  <c r="AE137" i="5"/>
  <c r="AD137" i="5"/>
  <c r="AA137" i="5"/>
  <c r="Z137" i="5"/>
  <c r="AQ136" i="5"/>
  <c r="AP136" i="5"/>
  <c r="AM136" i="5"/>
  <c r="AL136" i="5"/>
  <c r="AI136" i="5"/>
  <c r="AH136" i="5"/>
  <c r="AE136" i="5"/>
  <c r="AD136" i="5"/>
  <c r="AA136" i="5"/>
  <c r="Z136" i="5"/>
  <c r="AQ135" i="5"/>
  <c r="AP135" i="5"/>
  <c r="AM135" i="5"/>
  <c r="AL135" i="5"/>
  <c r="AI135" i="5"/>
  <c r="AH135" i="5"/>
  <c r="AE135" i="5"/>
  <c r="AD135" i="5"/>
  <c r="AA135" i="5"/>
  <c r="Z135" i="5"/>
  <c r="AQ134" i="5"/>
  <c r="AP134" i="5"/>
  <c r="AM134" i="5"/>
  <c r="AL134" i="5"/>
  <c r="AI134" i="5"/>
  <c r="AH134" i="5"/>
  <c r="AE134" i="5"/>
  <c r="AD134" i="5"/>
  <c r="AA134" i="5"/>
  <c r="Z134" i="5"/>
  <c r="AQ133" i="5"/>
  <c r="AP133" i="5"/>
  <c r="AM133" i="5"/>
  <c r="AL133" i="5"/>
  <c r="AI133" i="5"/>
  <c r="AH133" i="5"/>
  <c r="AE133" i="5"/>
  <c r="AD133" i="5"/>
  <c r="AA133" i="5"/>
  <c r="Z133" i="5"/>
  <c r="AQ132" i="5"/>
  <c r="AP132" i="5"/>
  <c r="AM132" i="5"/>
  <c r="AL132" i="5"/>
  <c r="AI132" i="5"/>
  <c r="AH132" i="5"/>
  <c r="AE132" i="5"/>
  <c r="AD132" i="5"/>
  <c r="AA132" i="5"/>
  <c r="Z132" i="5"/>
  <c r="AQ131" i="5"/>
  <c r="AP131" i="5"/>
  <c r="AM131" i="5"/>
  <c r="AL131" i="5"/>
  <c r="AI131" i="5"/>
  <c r="AH131" i="5"/>
  <c r="AE131" i="5"/>
  <c r="AD131" i="5"/>
  <c r="AA131" i="5"/>
  <c r="Z131" i="5"/>
  <c r="AQ130" i="5"/>
  <c r="AP130" i="5"/>
  <c r="AM130" i="5"/>
  <c r="AL130" i="5"/>
  <c r="AI130" i="5"/>
  <c r="AH130" i="5"/>
  <c r="AE130" i="5"/>
  <c r="AD130" i="5"/>
  <c r="AA130" i="5"/>
  <c r="Z130" i="5"/>
  <c r="AQ129" i="5"/>
  <c r="AP129" i="5"/>
  <c r="AM129" i="5"/>
  <c r="AL129" i="5"/>
  <c r="AI129" i="5"/>
  <c r="AH129" i="5"/>
  <c r="AE129" i="5"/>
  <c r="AD129" i="5"/>
  <c r="AA129" i="5"/>
  <c r="Z129" i="5"/>
  <c r="AQ128" i="5"/>
  <c r="AP128" i="5"/>
  <c r="AM128" i="5"/>
  <c r="AL128" i="5"/>
  <c r="AI128" i="5"/>
  <c r="AH128" i="5"/>
  <c r="AE128" i="5"/>
  <c r="AD128" i="5"/>
  <c r="AA128" i="5"/>
  <c r="Z128" i="5"/>
  <c r="AQ127" i="5"/>
  <c r="AP127" i="5"/>
  <c r="AM127" i="5"/>
  <c r="AL127" i="5"/>
  <c r="AI127" i="5"/>
  <c r="AH127" i="5"/>
  <c r="AE127" i="5"/>
  <c r="AD127" i="5"/>
  <c r="AA127" i="5"/>
  <c r="Z127" i="5"/>
  <c r="AQ126" i="5"/>
  <c r="AP126" i="5"/>
  <c r="AM126" i="5"/>
  <c r="AL126" i="5"/>
  <c r="AI126" i="5"/>
  <c r="AH126" i="5"/>
  <c r="AE126" i="5"/>
  <c r="AD126" i="5"/>
  <c r="AA126" i="5"/>
  <c r="Z126" i="5"/>
  <c r="AQ125" i="5"/>
  <c r="AP125" i="5"/>
  <c r="AM125" i="5"/>
  <c r="AL125" i="5"/>
  <c r="AI125" i="5"/>
  <c r="AH125" i="5"/>
  <c r="AE125" i="5"/>
  <c r="AD125" i="5"/>
  <c r="AA125" i="5"/>
  <c r="Z125" i="5"/>
  <c r="AQ124" i="5"/>
  <c r="AP124" i="5"/>
  <c r="AM124" i="5"/>
  <c r="AL124" i="5"/>
  <c r="AI124" i="5"/>
  <c r="AH124" i="5"/>
  <c r="AE124" i="5"/>
  <c r="AD124" i="5"/>
  <c r="AA124" i="5"/>
  <c r="Z124" i="5"/>
  <c r="AQ123" i="5"/>
  <c r="AP123" i="5"/>
  <c r="AM123" i="5"/>
  <c r="AL123" i="5"/>
  <c r="AI123" i="5"/>
  <c r="AH123" i="5"/>
  <c r="AE123" i="5"/>
  <c r="AD123" i="5"/>
  <c r="AA123" i="5"/>
  <c r="Z123" i="5"/>
  <c r="AQ122" i="5"/>
  <c r="AP122" i="5"/>
  <c r="AM122" i="5"/>
  <c r="AL122" i="5"/>
  <c r="AI122" i="5"/>
  <c r="AH122" i="5"/>
  <c r="AE122" i="5"/>
  <c r="AD122" i="5"/>
  <c r="AA122" i="5"/>
  <c r="Z122" i="5"/>
  <c r="AQ121" i="5"/>
  <c r="AP121" i="5"/>
  <c r="AM121" i="5"/>
  <c r="AL121" i="5"/>
  <c r="AI121" i="5"/>
  <c r="AH121" i="5"/>
  <c r="AE121" i="5"/>
  <c r="AD121" i="5"/>
  <c r="AA121" i="5"/>
  <c r="Z121" i="5"/>
  <c r="AQ120" i="5"/>
  <c r="AP120" i="5"/>
  <c r="AM120" i="5"/>
  <c r="AL120" i="5"/>
  <c r="AI120" i="5"/>
  <c r="AH120" i="5"/>
  <c r="AE120" i="5"/>
  <c r="AD120" i="5"/>
  <c r="AA120" i="5"/>
  <c r="Z120" i="5"/>
  <c r="AQ119" i="5"/>
  <c r="AP119" i="5"/>
  <c r="AM119" i="5"/>
  <c r="AL119" i="5"/>
  <c r="AI119" i="5"/>
  <c r="AH119" i="5"/>
  <c r="AE119" i="5"/>
  <c r="AD119" i="5"/>
  <c r="AA119" i="5"/>
  <c r="Z119" i="5"/>
  <c r="AQ118" i="5"/>
  <c r="AP118" i="5"/>
  <c r="AM118" i="5"/>
  <c r="AL118" i="5"/>
  <c r="AI118" i="5"/>
  <c r="AH118" i="5"/>
  <c r="AE118" i="5"/>
  <c r="AD118" i="5"/>
  <c r="AA118" i="5"/>
  <c r="Z118" i="5"/>
  <c r="AQ117" i="5"/>
  <c r="AP117" i="5"/>
  <c r="AM117" i="5"/>
  <c r="AL117" i="5"/>
  <c r="AI117" i="5"/>
  <c r="AH117" i="5"/>
  <c r="AE117" i="5"/>
  <c r="AD117" i="5"/>
  <c r="AA117" i="5"/>
  <c r="Z117" i="5"/>
  <c r="AQ116" i="5"/>
  <c r="AP116" i="5"/>
  <c r="AM116" i="5"/>
  <c r="AL116" i="5"/>
  <c r="AI116" i="5"/>
  <c r="AH116" i="5"/>
  <c r="AE116" i="5"/>
  <c r="AD116" i="5"/>
  <c r="AA116" i="5"/>
  <c r="Z116" i="5"/>
  <c r="AQ115" i="5"/>
  <c r="AP115" i="5"/>
  <c r="AM115" i="5"/>
  <c r="AL115" i="5"/>
  <c r="AI115" i="5"/>
  <c r="AH115" i="5"/>
  <c r="AE115" i="5"/>
  <c r="AD115" i="5"/>
  <c r="AA115" i="5"/>
  <c r="Z115" i="5"/>
  <c r="AQ114" i="5"/>
  <c r="AP114" i="5"/>
  <c r="AM114" i="5"/>
  <c r="AL114" i="5"/>
  <c r="AI114" i="5"/>
  <c r="AH114" i="5"/>
  <c r="AE114" i="5"/>
  <c r="AD114" i="5"/>
  <c r="AA114" i="5"/>
  <c r="Z114" i="5"/>
  <c r="AQ113" i="5"/>
  <c r="AP113" i="5"/>
  <c r="AM113" i="5"/>
  <c r="AL113" i="5"/>
  <c r="AI113" i="5"/>
  <c r="AH113" i="5"/>
  <c r="AE113" i="5"/>
  <c r="AD113" i="5"/>
  <c r="AA113" i="5"/>
  <c r="Z113" i="5"/>
  <c r="AQ112" i="5"/>
  <c r="AP112" i="5"/>
  <c r="AM112" i="5"/>
  <c r="AL112" i="5"/>
  <c r="AI112" i="5"/>
  <c r="AH112" i="5"/>
  <c r="AE112" i="5"/>
  <c r="AD112" i="5"/>
  <c r="AA112" i="5"/>
  <c r="Z112" i="5"/>
  <c r="AQ111" i="5"/>
  <c r="AP111" i="5"/>
  <c r="AM111" i="5"/>
  <c r="AL111" i="5"/>
  <c r="AI111" i="5"/>
  <c r="AH111" i="5"/>
  <c r="AE111" i="5"/>
  <c r="AD111" i="5"/>
  <c r="AA111" i="5"/>
  <c r="Z111" i="5"/>
  <c r="AQ110" i="5"/>
  <c r="AP110" i="5"/>
  <c r="AM110" i="5"/>
  <c r="AL110" i="5"/>
  <c r="AI110" i="5"/>
  <c r="AH110" i="5"/>
  <c r="AE110" i="5"/>
  <c r="AD110" i="5"/>
  <c r="AA110" i="5"/>
  <c r="Z110" i="5"/>
  <c r="AQ109" i="5"/>
  <c r="AP109" i="5"/>
  <c r="AM109" i="5"/>
  <c r="AL109" i="5"/>
  <c r="AI109" i="5"/>
  <c r="AH109" i="5"/>
  <c r="AE109" i="5"/>
  <c r="AD109" i="5"/>
  <c r="AA109" i="5"/>
  <c r="Z109" i="5"/>
  <c r="AQ108" i="5"/>
  <c r="AP108" i="5"/>
  <c r="AM108" i="5"/>
  <c r="AL108" i="5"/>
  <c r="AI108" i="5"/>
  <c r="AH108" i="5"/>
  <c r="AE108" i="5"/>
  <c r="AD108" i="5"/>
  <c r="AA108" i="5"/>
  <c r="Z108" i="5"/>
  <c r="AQ107" i="5"/>
  <c r="AP107" i="5"/>
  <c r="AM107" i="5"/>
  <c r="AL107" i="5"/>
  <c r="AI107" i="5"/>
  <c r="AH107" i="5"/>
  <c r="AE107" i="5"/>
  <c r="AD107" i="5"/>
  <c r="AA107" i="5"/>
  <c r="Z107" i="5"/>
  <c r="AQ106" i="5"/>
  <c r="AP106" i="5"/>
  <c r="AM106" i="5"/>
  <c r="AL106" i="5"/>
  <c r="AI106" i="5"/>
  <c r="AH106" i="5"/>
  <c r="AE106" i="5"/>
  <c r="AD106" i="5"/>
  <c r="AA106" i="5"/>
  <c r="Z106" i="5"/>
  <c r="AQ105" i="5"/>
  <c r="AP105" i="5"/>
  <c r="AM105" i="5"/>
  <c r="AL105" i="5"/>
  <c r="AI105" i="5"/>
  <c r="AH105" i="5"/>
  <c r="AE105" i="5"/>
  <c r="AD105" i="5"/>
  <c r="AA105" i="5"/>
  <c r="Z105" i="5"/>
  <c r="AQ104" i="5"/>
  <c r="AP104" i="5"/>
  <c r="AM104" i="5"/>
  <c r="AL104" i="5"/>
  <c r="AI104" i="5"/>
  <c r="AH104" i="5"/>
  <c r="AE104" i="5"/>
  <c r="AD104" i="5"/>
  <c r="AA104" i="5"/>
  <c r="Z104" i="5"/>
  <c r="AQ103" i="5"/>
  <c r="AP103" i="5"/>
  <c r="AM103" i="5"/>
  <c r="AL103" i="5"/>
  <c r="AI103" i="5"/>
  <c r="AH103" i="5"/>
  <c r="AE103" i="5"/>
  <c r="AD103" i="5"/>
  <c r="AA103" i="5"/>
  <c r="Z103" i="5"/>
  <c r="AQ102" i="5"/>
  <c r="AP102" i="5"/>
  <c r="AM102" i="5"/>
  <c r="AL102" i="5"/>
  <c r="AI102" i="5"/>
  <c r="AH102" i="5"/>
  <c r="AE102" i="5"/>
  <c r="AD102" i="5"/>
  <c r="AA102" i="5"/>
  <c r="Z102" i="5"/>
  <c r="AQ101" i="5"/>
  <c r="AP101" i="5"/>
  <c r="AM101" i="5"/>
  <c r="AL101" i="5"/>
  <c r="AI101" i="5"/>
  <c r="AH101" i="5"/>
  <c r="AE101" i="5"/>
  <c r="AD101" i="5"/>
  <c r="AA101" i="5"/>
  <c r="Z101" i="5"/>
  <c r="AQ100" i="5"/>
  <c r="AP100" i="5"/>
  <c r="AM100" i="5"/>
  <c r="AL100" i="5"/>
  <c r="AI100" i="5"/>
  <c r="AH100" i="5"/>
  <c r="AE100" i="5"/>
  <c r="AD100" i="5"/>
  <c r="AA100" i="5"/>
  <c r="Z100" i="5"/>
  <c r="AQ99" i="5"/>
  <c r="AP99" i="5"/>
  <c r="AM99" i="5"/>
  <c r="AL99" i="5"/>
  <c r="AI99" i="5"/>
  <c r="AH99" i="5"/>
  <c r="AE99" i="5"/>
  <c r="AD99" i="5"/>
  <c r="AA99" i="5"/>
  <c r="Z99" i="5"/>
  <c r="AQ98" i="5"/>
  <c r="AP98" i="5"/>
  <c r="AM98" i="5"/>
  <c r="AL98" i="5"/>
  <c r="AI98" i="5"/>
  <c r="AH98" i="5"/>
  <c r="AE98" i="5"/>
  <c r="AD98" i="5"/>
  <c r="AA98" i="5"/>
  <c r="Z98" i="5"/>
  <c r="AQ97" i="5"/>
  <c r="AP97" i="5"/>
  <c r="AM97" i="5"/>
  <c r="AL97" i="5"/>
  <c r="AI97" i="5"/>
  <c r="AH97" i="5"/>
  <c r="AE97" i="5"/>
  <c r="AD97" i="5"/>
  <c r="AA97" i="5"/>
  <c r="Z97" i="5"/>
  <c r="AQ96" i="5"/>
  <c r="AP96" i="5"/>
  <c r="AM96" i="5"/>
  <c r="AL96" i="5"/>
  <c r="AI96" i="5"/>
  <c r="AH96" i="5"/>
  <c r="AE96" i="5"/>
  <c r="AD96" i="5"/>
  <c r="AA96" i="5"/>
  <c r="Z96" i="5"/>
  <c r="AQ95" i="5"/>
  <c r="AP95" i="5"/>
  <c r="AM95" i="5"/>
  <c r="AL95" i="5"/>
  <c r="AI95" i="5"/>
  <c r="AH95" i="5"/>
  <c r="AE95" i="5"/>
  <c r="AD95" i="5"/>
  <c r="AA95" i="5"/>
  <c r="Z95" i="5"/>
  <c r="AQ94" i="5"/>
  <c r="AP94" i="5"/>
  <c r="AM94" i="5"/>
  <c r="AL94" i="5"/>
  <c r="AI94" i="5"/>
  <c r="AH94" i="5"/>
  <c r="AE94" i="5"/>
  <c r="AD94" i="5"/>
  <c r="AA94" i="5"/>
  <c r="Z94" i="5"/>
  <c r="AQ93" i="5"/>
  <c r="AP93" i="5"/>
  <c r="AM93" i="5"/>
  <c r="AL93" i="5"/>
  <c r="AI93" i="5"/>
  <c r="AH93" i="5"/>
  <c r="AE93" i="5"/>
  <c r="AD93" i="5"/>
  <c r="AA93" i="5"/>
  <c r="Z93" i="5"/>
  <c r="AQ92" i="5"/>
  <c r="AP92" i="5"/>
  <c r="AM92" i="5"/>
  <c r="AL92" i="5"/>
  <c r="AI92" i="5"/>
  <c r="AH92" i="5"/>
  <c r="AE92" i="5"/>
  <c r="AD92" i="5"/>
  <c r="AA92" i="5"/>
  <c r="Z92" i="5"/>
  <c r="AQ91" i="5"/>
  <c r="AP91" i="5"/>
  <c r="AM91" i="5"/>
  <c r="AL91" i="5"/>
  <c r="AI91" i="5"/>
  <c r="AH91" i="5"/>
  <c r="AE91" i="5"/>
  <c r="AD91" i="5"/>
  <c r="AA91" i="5"/>
  <c r="Z91" i="5"/>
  <c r="AQ90" i="5"/>
  <c r="AP90" i="5"/>
  <c r="AM90" i="5"/>
  <c r="AL90" i="5"/>
  <c r="AI90" i="5"/>
  <c r="AH90" i="5"/>
  <c r="AE90" i="5"/>
  <c r="AD90" i="5"/>
  <c r="AA90" i="5"/>
  <c r="Z90" i="5"/>
  <c r="AQ89" i="5"/>
  <c r="AP89" i="5"/>
  <c r="AM89" i="5"/>
  <c r="AL89" i="5"/>
  <c r="AI89" i="5"/>
  <c r="AH89" i="5"/>
  <c r="AE89" i="5"/>
  <c r="AD89" i="5"/>
  <c r="AA89" i="5"/>
  <c r="Z89" i="5"/>
  <c r="AQ88" i="5"/>
  <c r="AP88" i="5"/>
  <c r="AM88" i="5"/>
  <c r="AL88" i="5"/>
  <c r="AI88" i="5"/>
  <c r="AH88" i="5"/>
  <c r="AE88" i="5"/>
  <c r="AD88" i="5"/>
  <c r="AA88" i="5"/>
  <c r="Z88" i="5"/>
  <c r="AQ87" i="5"/>
  <c r="AP87" i="5"/>
  <c r="AM87" i="5"/>
  <c r="AL87" i="5"/>
  <c r="AI87" i="5"/>
  <c r="AH87" i="5"/>
  <c r="AE87" i="5"/>
  <c r="AD87" i="5"/>
  <c r="AA87" i="5"/>
  <c r="Z87" i="5"/>
  <c r="AQ86" i="5"/>
  <c r="AP86" i="5"/>
  <c r="AM86" i="5"/>
  <c r="AL86" i="5"/>
  <c r="AI86" i="5"/>
  <c r="AH86" i="5"/>
  <c r="AE86" i="5"/>
  <c r="AD86" i="5"/>
  <c r="AA86" i="5"/>
  <c r="Z86" i="5"/>
  <c r="AQ85" i="5"/>
  <c r="AP85" i="5"/>
  <c r="AM85" i="5"/>
  <c r="AL85" i="5"/>
  <c r="AI85" i="5"/>
  <c r="AH85" i="5"/>
  <c r="AE85" i="5"/>
  <c r="AD85" i="5"/>
  <c r="AA85" i="5"/>
  <c r="Z85" i="5"/>
  <c r="AQ84" i="5"/>
  <c r="AP84" i="5"/>
  <c r="AM84" i="5"/>
  <c r="AL84" i="5"/>
  <c r="AI84" i="5"/>
  <c r="AH84" i="5"/>
  <c r="AE84" i="5"/>
  <c r="AD84" i="5"/>
  <c r="AA84" i="5"/>
  <c r="Z84" i="5"/>
  <c r="AQ83" i="5"/>
  <c r="AP83" i="5"/>
  <c r="AM83" i="5"/>
  <c r="AL83" i="5"/>
  <c r="AI83" i="5"/>
  <c r="AH83" i="5"/>
  <c r="AE83" i="5"/>
  <c r="AD83" i="5"/>
  <c r="AA83" i="5"/>
  <c r="Z83" i="5"/>
  <c r="AQ82" i="5"/>
  <c r="AP82" i="5"/>
  <c r="AM82" i="5"/>
  <c r="AL82" i="5"/>
  <c r="AI82" i="5"/>
  <c r="AH82" i="5"/>
  <c r="AE82" i="5"/>
  <c r="AD82" i="5"/>
  <c r="AA82" i="5"/>
  <c r="Z82" i="5"/>
  <c r="AQ81" i="5"/>
  <c r="AP81" i="5"/>
  <c r="AM81" i="5"/>
  <c r="AL81" i="5"/>
  <c r="AI81" i="5"/>
  <c r="AH81" i="5"/>
  <c r="AE81" i="5"/>
  <c r="AD81" i="5"/>
  <c r="AA81" i="5"/>
  <c r="Z81" i="5"/>
  <c r="AQ80" i="5"/>
  <c r="AP80" i="5"/>
  <c r="AM80" i="5"/>
  <c r="AL80" i="5"/>
  <c r="AI80" i="5"/>
  <c r="AH80" i="5"/>
  <c r="AE80" i="5"/>
  <c r="AD80" i="5"/>
  <c r="AA80" i="5"/>
  <c r="Z80" i="5"/>
  <c r="AQ79" i="5"/>
  <c r="AP79" i="5"/>
  <c r="AM79" i="5"/>
  <c r="AL79" i="5"/>
  <c r="AI79" i="5"/>
  <c r="AH79" i="5"/>
  <c r="AE79" i="5"/>
  <c r="AD79" i="5"/>
  <c r="AA79" i="5"/>
  <c r="Z79" i="5"/>
  <c r="AQ78" i="5"/>
  <c r="AP78" i="5"/>
  <c r="AM78" i="5"/>
  <c r="AL78" i="5"/>
  <c r="AI78" i="5"/>
  <c r="AH78" i="5"/>
  <c r="AE78" i="5"/>
  <c r="AD78" i="5"/>
  <c r="AA78" i="5"/>
  <c r="Z78" i="5"/>
  <c r="AQ77" i="5"/>
  <c r="AP77" i="5"/>
  <c r="AM77" i="5"/>
  <c r="AL77" i="5"/>
  <c r="AI77" i="5"/>
  <c r="AH77" i="5"/>
  <c r="AE77" i="5"/>
  <c r="AD77" i="5"/>
  <c r="AA77" i="5"/>
  <c r="Z77" i="5"/>
  <c r="AQ76" i="5"/>
  <c r="AP76" i="5"/>
  <c r="AM76" i="5"/>
  <c r="AL76" i="5"/>
  <c r="AI76" i="5"/>
  <c r="AH76" i="5"/>
  <c r="AE76" i="5"/>
  <c r="AD76" i="5"/>
  <c r="AA76" i="5"/>
  <c r="Z76" i="5"/>
  <c r="AQ75" i="5"/>
  <c r="AP75" i="5"/>
  <c r="AM75" i="5"/>
  <c r="AL75" i="5"/>
  <c r="AI75" i="5"/>
  <c r="AH75" i="5"/>
  <c r="AE75" i="5"/>
  <c r="AD75" i="5"/>
  <c r="AA75" i="5"/>
  <c r="Z75" i="5"/>
  <c r="AQ74" i="5"/>
  <c r="AP74" i="5"/>
  <c r="AM74" i="5"/>
  <c r="AL74" i="5"/>
  <c r="AI74" i="5"/>
  <c r="AH74" i="5"/>
  <c r="AE74" i="5"/>
  <c r="AD74" i="5"/>
  <c r="AA74" i="5"/>
  <c r="Z74" i="5"/>
  <c r="AQ73" i="5"/>
  <c r="AP73" i="5"/>
  <c r="AM73" i="5"/>
  <c r="AL73" i="5"/>
  <c r="AI73" i="5"/>
  <c r="AH73" i="5"/>
  <c r="AE73" i="5"/>
  <c r="AD73" i="5"/>
  <c r="AA73" i="5"/>
  <c r="Z73" i="5"/>
  <c r="AQ72" i="5"/>
  <c r="AP72" i="5"/>
  <c r="AM72" i="5"/>
  <c r="AL72" i="5"/>
  <c r="AI72" i="5"/>
  <c r="AH72" i="5"/>
  <c r="AE72" i="5"/>
  <c r="AD72" i="5"/>
  <c r="AA72" i="5"/>
  <c r="Z72" i="5"/>
  <c r="AQ71" i="5"/>
  <c r="AP71" i="5"/>
  <c r="AM71" i="5"/>
  <c r="AL71" i="5"/>
  <c r="AI71" i="5"/>
  <c r="AH71" i="5"/>
  <c r="AE71" i="5"/>
  <c r="AD71" i="5"/>
  <c r="AA71" i="5"/>
  <c r="Z71" i="5"/>
  <c r="AQ70" i="5"/>
  <c r="AP70" i="5"/>
  <c r="AM70" i="5"/>
  <c r="AL70" i="5"/>
  <c r="AI70" i="5"/>
  <c r="AH70" i="5"/>
  <c r="AE70" i="5"/>
  <c r="AD70" i="5"/>
  <c r="AA70" i="5"/>
  <c r="Z70" i="5"/>
  <c r="AQ69" i="5"/>
  <c r="AP69" i="5"/>
  <c r="AM69" i="5"/>
  <c r="AL69" i="5"/>
  <c r="AI69" i="5"/>
  <c r="AH69" i="5"/>
  <c r="AE69" i="5"/>
  <c r="AD69" i="5"/>
  <c r="AA69" i="5"/>
  <c r="Z69" i="5"/>
  <c r="AQ68" i="5"/>
  <c r="AP68" i="5"/>
  <c r="AM68" i="5"/>
  <c r="AL68" i="5"/>
  <c r="AI68" i="5"/>
  <c r="AH68" i="5"/>
  <c r="AE68" i="5"/>
  <c r="AD68" i="5"/>
  <c r="AA68" i="5"/>
  <c r="Z68" i="5"/>
  <c r="AQ67" i="5"/>
  <c r="AP67" i="5"/>
  <c r="AM67" i="5"/>
  <c r="AL67" i="5"/>
  <c r="AI67" i="5"/>
  <c r="AH67" i="5"/>
  <c r="AE67" i="5"/>
  <c r="AD67" i="5"/>
  <c r="AA67" i="5"/>
  <c r="Z67" i="5"/>
  <c r="AQ66" i="5"/>
  <c r="AP66" i="5"/>
  <c r="AM66" i="5"/>
  <c r="AL66" i="5"/>
  <c r="AI66" i="5"/>
  <c r="AH66" i="5"/>
  <c r="AE66" i="5"/>
  <c r="AD66" i="5"/>
  <c r="AA66" i="5"/>
  <c r="Z66" i="5"/>
  <c r="AQ65" i="5"/>
  <c r="AP65" i="5"/>
  <c r="AM65" i="5"/>
  <c r="AL65" i="5"/>
  <c r="AI65" i="5"/>
  <c r="AH65" i="5"/>
  <c r="AE65" i="5"/>
  <c r="AD65" i="5"/>
  <c r="AA65" i="5"/>
  <c r="Z65" i="5"/>
  <c r="AQ64" i="5"/>
  <c r="AP64" i="5"/>
  <c r="AM64" i="5"/>
  <c r="AL64" i="5"/>
  <c r="AI64" i="5"/>
  <c r="AH64" i="5"/>
  <c r="AE64" i="5"/>
  <c r="AD64" i="5"/>
  <c r="AA64" i="5"/>
  <c r="Z64" i="5"/>
  <c r="AQ63" i="5"/>
  <c r="AP63" i="5"/>
  <c r="AM63" i="5"/>
  <c r="AL63" i="5"/>
  <c r="AI63" i="5"/>
  <c r="AH63" i="5"/>
  <c r="AE63" i="5"/>
  <c r="AD63" i="5"/>
  <c r="AA63" i="5"/>
  <c r="Z63" i="5"/>
  <c r="AQ62" i="5"/>
  <c r="AP62" i="5"/>
  <c r="AM62" i="5"/>
  <c r="AL62" i="5"/>
  <c r="AI62" i="5"/>
  <c r="AH62" i="5"/>
  <c r="AE62" i="5"/>
  <c r="AD62" i="5"/>
  <c r="AA62" i="5"/>
  <c r="Z62" i="5"/>
  <c r="AQ61" i="5"/>
  <c r="AP61" i="5"/>
  <c r="AM61" i="5"/>
  <c r="AL61" i="5"/>
  <c r="AI61" i="5"/>
  <c r="AH61" i="5"/>
  <c r="AE61" i="5"/>
  <c r="AD61" i="5"/>
  <c r="AA61" i="5"/>
  <c r="Z61" i="5"/>
  <c r="AQ60" i="5"/>
  <c r="AP60" i="5"/>
  <c r="AM60" i="5"/>
  <c r="AL60" i="5"/>
  <c r="AI60" i="5"/>
  <c r="AH60" i="5"/>
  <c r="AE60" i="5"/>
  <c r="AD60" i="5"/>
  <c r="AA60" i="5"/>
  <c r="Z60" i="5"/>
  <c r="AQ59" i="5"/>
  <c r="AP59" i="5"/>
  <c r="AM59" i="5"/>
  <c r="AL59" i="5"/>
  <c r="AI59" i="5"/>
  <c r="AH59" i="5"/>
  <c r="AE59" i="5"/>
  <c r="AD59" i="5"/>
  <c r="AA59" i="5"/>
  <c r="Z59" i="5"/>
  <c r="AQ58" i="5"/>
  <c r="AP58" i="5"/>
  <c r="AM58" i="5"/>
  <c r="AL58" i="5"/>
  <c r="AI58" i="5"/>
  <c r="AH58" i="5"/>
  <c r="AE58" i="5"/>
  <c r="AD58" i="5"/>
  <c r="AA58" i="5"/>
  <c r="Z58" i="5"/>
  <c r="AQ57" i="5"/>
  <c r="AP57" i="5"/>
  <c r="AM57" i="5"/>
  <c r="AL57" i="5"/>
  <c r="AI57" i="5"/>
  <c r="AH57" i="5"/>
  <c r="AE57" i="5"/>
  <c r="AD57" i="5"/>
  <c r="AA57" i="5"/>
  <c r="Z57" i="5"/>
  <c r="AQ56" i="5"/>
  <c r="AP56" i="5"/>
  <c r="AM56" i="5"/>
  <c r="AL56" i="5"/>
  <c r="AI56" i="5"/>
  <c r="AH56" i="5"/>
  <c r="AE56" i="5"/>
  <c r="AD56" i="5"/>
  <c r="AA56" i="5"/>
  <c r="Z56" i="5"/>
  <c r="AQ55" i="5"/>
  <c r="AP55" i="5"/>
  <c r="AM55" i="5"/>
  <c r="AL55" i="5"/>
  <c r="AI55" i="5"/>
  <c r="AH55" i="5"/>
  <c r="AE55" i="5"/>
  <c r="AD55" i="5"/>
  <c r="AA55" i="5"/>
  <c r="Z55" i="5"/>
  <c r="AQ54" i="5"/>
  <c r="AP54" i="5"/>
  <c r="AM54" i="5"/>
  <c r="AL54" i="5"/>
  <c r="AI54" i="5"/>
  <c r="AH54" i="5"/>
  <c r="AE54" i="5"/>
  <c r="AD54" i="5"/>
  <c r="AA54" i="5"/>
  <c r="Z54" i="5"/>
  <c r="AQ53" i="5"/>
  <c r="AP53" i="5"/>
  <c r="AM53" i="5"/>
  <c r="AL53" i="5"/>
  <c r="AI53" i="5"/>
  <c r="AH53" i="5"/>
  <c r="AE53" i="5"/>
  <c r="AD53" i="5"/>
  <c r="AA53" i="5"/>
  <c r="Z53" i="5"/>
  <c r="AQ52" i="5"/>
  <c r="AP52" i="5"/>
  <c r="AM52" i="5"/>
  <c r="AL52" i="5"/>
  <c r="AI52" i="5"/>
  <c r="AH52" i="5"/>
  <c r="AE52" i="5"/>
  <c r="AD52" i="5"/>
  <c r="AA52" i="5"/>
  <c r="Z52" i="5"/>
  <c r="AQ51" i="5"/>
  <c r="AP51" i="5"/>
  <c r="AM51" i="5"/>
  <c r="AL51" i="5"/>
  <c r="AI51" i="5"/>
  <c r="AH51" i="5"/>
  <c r="AE51" i="5"/>
  <c r="AD51" i="5"/>
  <c r="AA51" i="5"/>
  <c r="Z51" i="5"/>
  <c r="AQ50" i="5"/>
  <c r="AP50" i="5"/>
  <c r="AM50" i="5"/>
  <c r="AL50" i="5"/>
  <c r="AI50" i="5"/>
  <c r="AH50" i="5"/>
  <c r="AE50" i="5"/>
  <c r="AD50" i="5"/>
  <c r="AA50" i="5"/>
  <c r="Z50" i="5"/>
  <c r="AQ49" i="5"/>
  <c r="AP49" i="5"/>
  <c r="AM49" i="5"/>
  <c r="AL49" i="5"/>
  <c r="AI49" i="5"/>
  <c r="AH49" i="5"/>
  <c r="AE49" i="5"/>
  <c r="AD49" i="5"/>
  <c r="AA49" i="5"/>
  <c r="Z49" i="5"/>
  <c r="AQ48" i="5"/>
  <c r="AP48" i="5"/>
  <c r="AM48" i="5"/>
  <c r="AL48" i="5"/>
  <c r="AI48" i="5"/>
  <c r="AH48" i="5"/>
  <c r="AE48" i="5"/>
  <c r="AD48" i="5"/>
  <c r="AA48" i="5"/>
  <c r="Z48" i="5"/>
  <c r="AQ47" i="5"/>
  <c r="AP47" i="5"/>
  <c r="AM47" i="5"/>
  <c r="AL47" i="5"/>
  <c r="AI47" i="5"/>
  <c r="AH47" i="5"/>
  <c r="AE47" i="5"/>
  <c r="AD47" i="5"/>
  <c r="AA47" i="5"/>
  <c r="Z47" i="5"/>
  <c r="AQ46" i="5"/>
  <c r="AP46" i="5"/>
  <c r="AM46" i="5"/>
  <c r="AL46" i="5"/>
  <c r="AI46" i="5"/>
  <c r="AH46" i="5"/>
  <c r="AE46" i="5"/>
  <c r="AD46" i="5"/>
  <c r="AA46" i="5"/>
  <c r="Z46" i="5"/>
  <c r="AQ45" i="5"/>
  <c r="AP45" i="5"/>
  <c r="AM45" i="5"/>
  <c r="AL45" i="5"/>
  <c r="AI45" i="5"/>
  <c r="AH45" i="5"/>
  <c r="AE45" i="5"/>
  <c r="AD45" i="5"/>
  <c r="AA45" i="5"/>
  <c r="Z45" i="5"/>
  <c r="AQ44" i="5"/>
  <c r="AP44" i="5"/>
  <c r="AM44" i="5"/>
  <c r="AL44" i="5"/>
  <c r="AI44" i="5"/>
  <c r="AH44" i="5"/>
  <c r="AE44" i="5"/>
  <c r="AD44" i="5"/>
  <c r="AA44" i="5"/>
  <c r="Z44" i="5"/>
  <c r="AQ43" i="5"/>
  <c r="AP43" i="5"/>
  <c r="AM43" i="5"/>
  <c r="AL43" i="5"/>
  <c r="AI43" i="5"/>
  <c r="AH43" i="5"/>
  <c r="AE43" i="5"/>
  <c r="AD43" i="5"/>
  <c r="AA43" i="5"/>
  <c r="Z43" i="5"/>
  <c r="AQ42" i="5"/>
  <c r="AP42" i="5"/>
  <c r="AM42" i="5"/>
  <c r="AL42" i="5"/>
  <c r="AI42" i="5"/>
  <c r="AH42" i="5"/>
  <c r="AE42" i="5"/>
  <c r="AD42" i="5"/>
  <c r="AA42" i="5"/>
  <c r="Z42" i="5"/>
  <c r="AQ41" i="5"/>
  <c r="AP41" i="5"/>
  <c r="AM41" i="5"/>
  <c r="AL41" i="5"/>
  <c r="AI41" i="5"/>
  <c r="AH41" i="5"/>
  <c r="AE41" i="5"/>
  <c r="AD41" i="5"/>
  <c r="AA41" i="5"/>
  <c r="Z41" i="5"/>
  <c r="AQ40" i="5"/>
  <c r="AP40" i="5"/>
  <c r="AM40" i="5"/>
  <c r="AL40" i="5"/>
  <c r="AI40" i="5"/>
  <c r="AH40" i="5"/>
  <c r="AE40" i="5"/>
  <c r="AD40" i="5"/>
  <c r="AA40" i="5"/>
  <c r="Z40" i="5"/>
  <c r="AQ39" i="5"/>
  <c r="AP39" i="5"/>
  <c r="AM39" i="5"/>
  <c r="AL39" i="5"/>
  <c r="AI39" i="5"/>
  <c r="AH39" i="5"/>
  <c r="AE39" i="5"/>
  <c r="AD39" i="5"/>
  <c r="AA39" i="5"/>
  <c r="Z39" i="5"/>
  <c r="AQ38" i="5"/>
  <c r="AP38" i="5"/>
  <c r="AM38" i="5"/>
  <c r="AL38" i="5"/>
  <c r="AI38" i="5"/>
  <c r="AH38" i="5"/>
  <c r="AE38" i="5"/>
  <c r="AD38" i="5"/>
  <c r="AA38" i="5"/>
  <c r="Z38" i="5"/>
  <c r="AQ37" i="5"/>
  <c r="AP37" i="5"/>
  <c r="AM37" i="5"/>
  <c r="AL37" i="5"/>
  <c r="AI37" i="5"/>
  <c r="AH37" i="5"/>
  <c r="AE37" i="5"/>
  <c r="AD37" i="5"/>
  <c r="AA37" i="5"/>
  <c r="Z37" i="5"/>
  <c r="AQ36" i="5"/>
  <c r="AP36" i="5"/>
  <c r="AM36" i="5"/>
  <c r="AL36" i="5"/>
  <c r="AI36" i="5"/>
  <c r="AH36" i="5"/>
  <c r="AE36" i="5"/>
  <c r="AD36" i="5"/>
  <c r="AA36" i="5"/>
  <c r="Z36" i="5"/>
  <c r="AQ35" i="5"/>
  <c r="AP35" i="5"/>
  <c r="AM35" i="5"/>
  <c r="AL35" i="5"/>
  <c r="AI35" i="5"/>
  <c r="AH35" i="5"/>
  <c r="AE35" i="5"/>
  <c r="AD35" i="5"/>
  <c r="AA35" i="5"/>
  <c r="Z35" i="5"/>
  <c r="AQ34" i="5"/>
  <c r="AP34" i="5"/>
  <c r="AM34" i="5"/>
  <c r="AL34" i="5"/>
  <c r="AI34" i="5"/>
  <c r="AH34" i="5"/>
  <c r="AE34" i="5"/>
  <c r="AD34" i="5"/>
  <c r="AA34" i="5"/>
  <c r="Z34" i="5"/>
  <c r="AQ33" i="5"/>
  <c r="AP33" i="5"/>
  <c r="AM33" i="5"/>
  <c r="AL33" i="5"/>
  <c r="AI33" i="5"/>
  <c r="AH33" i="5"/>
  <c r="AE33" i="5"/>
  <c r="AD33" i="5"/>
  <c r="AA33" i="5"/>
  <c r="Z33" i="5"/>
  <c r="AQ32" i="5"/>
  <c r="AP32" i="5"/>
  <c r="AM32" i="5"/>
  <c r="AL32" i="5"/>
  <c r="AI32" i="5"/>
  <c r="AH32" i="5"/>
  <c r="AE32" i="5"/>
  <c r="AD32" i="5"/>
  <c r="AA32" i="5"/>
  <c r="Z32" i="5"/>
  <c r="AQ31" i="5"/>
  <c r="AP31" i="5"/>
  <c r="AM31" i="5"/>
  <c r="AL31" i="5"/>
  <c r="AI31" i="5"/>
  <c r="AH31" i="5"/>
  <c r="AE31" i="5"/>
  <c r="AD31" i="5"/>
  <c r="AA31" i="5"/>
  <c r="Z31" i="5"/>
  <c r="AQ30" i="5"/>
  <c r="AP30" i="5"/>
  <c r="AM30" i="5"/>
  <c r="AL30" i="5"/>
  <c r="AI30" i="5"/>
  <c r="AH30" i="5"/>
  <c r="AE30" i="5"/>
  <c r="AD30" i="5"/>
  <c r="AA30" i="5"/>
  <c r="Z30" i="5"/>
  <c r="AQ29" i="5"/>
  <c r="AP29" i="5"/>
  <c r="AM29" i="5"/>
  <c r="AL29" i="5"/>
  <c r="AI29" i="5"/>
  <c r="AH29" i="5"/>
  <c r="AE29" i="5"/>
  <c r="AD29" i="5"/>
  <c r="AA29" i="5"/>
  <c r="Z29" i="5"/>
  <c r="AQ28" i="5"/>
  <c r="AP28" i="5"/>
  <c r="AM28" i="5"/>
  <c r="AL28" i="5"/>
  <c r="AI28" i="5"/>
  <c r="AH28" i="5"/>
  <c r="AE28" i="5"/>
  <c r="AD28" i="5"/>
  <c r="AA28" i="5"/>
  <c r="Z28" i="5"/>
  <c r="AQ27" i="5"/>
  <c r="AP27" i="5"/>
  <c r="AM27" i="5"/>
  <c r="AL27" i="5"/>
  <c r="AI27" i="5"/>
  <c r="AH27" i="5"/>
  <c r="AE27" i="5"/>
  <c r="AD27" i="5"/>
  <c r="AA27" i="5"/>
  <c r="Z27" i="5"/>
  <c r="AQ26" i="5"/>
  <c r="AP26" i="5"/>
  <c r="AM26" i="5"/>
  <c r="AL26" i="5"/>
  <c r="AI26" i="5"/>
  <c r="AH26" i="5"/>
  <c r="AE26" i="5"/>
  <c r="AD26" i="5"/>
  <c r="AA26" i="5"/>
  <c r="Z26" i="5"/>
  <c r="AQ25" i="5"/>
  <c r="AP25" i="5"/>
  <c r="AM25" i="5"/>
  <c r="AL25" i="5"/>
  <c r="AI25" i="5"/>
  <c r="AH25" i="5"/>
  <c r="AE25" i="5"/>
  <c r="AD25" i="5"/>
  <c r="AA25" i="5"/>
  <c r="Z25" i="5"/>
  <c r="AQ24" i="5"/>
  <c r="AP24" i="5"/>
  <c r="AM24" i="5"/>
  <c r="AL24" i="5"/>
  <c r="AI24" i="5"/>
  <c r="AH24" i="5"/>
  <c r="AE24" i="5"/>
  <c r="AD24" i="5"/>
  <c r="AA24" i="5"/>
  <c r="Z24" i="5"/>
  <c r="AQ23" i="5"/>
  <c r="AP23" i="5"/>
  <c r="AM23" i="5"/>
  <c r="AL23" i="5"/>
  <c r="AI23" i="5"/>
  <c r="AH23" i="5"/>
  <c r="AE23" i="5"/>
  <c r="AD23" i="5"/>
  <c r="AA23" i="5"/>
  <c r="Z23" i="5"/>
  <c r="AQ22" i="5"/>
  <c r="AP22" i="5"/>
  <c r="AM22" i="5"/>
  <c r="AL22" i="5"/>
  <c r="AI22" i="5"/>
  <c r="AH22" i="5"/>
  <c r="AE22" i="5"/>
  <c r="AD22" i="5"/>
  <c r="AA22" i="5"/>
  <c r="Z22" i="5"/>
  <c r="AQ21" i="5"/>
  <c r="AP21" i="5"/>
  <c r="AM21" i="5"/>
  <c r="AL21" i="5"/>
  <c r="AI21" i="5"/>
  <c r="AH21" i="5"/>
  <c r="AE21" i="5"/>
  <c r="AD21" i="5"/>
  <c r="AA21" i="5"/>
  <c r="Z21" i="5"/>
  <c r="AQ20" i="5"/>
  <c r="AP20" i="5"/>
  <c r="AM20" i="5"/>
  <c r="AL20" i="5"/>
  <c r="AI20" i="5"/>
  <c r="AH20" i="5"/>
  <c r="AE20" i="5"/>
  <c r="AD20" i="5"/>
  <c r="AA20" i="5"/>
  <c r="Z20" i="5"/>
  <c r="AQ19" i="5"/>
  <c r="AP19" i="5"/>
  <c r="AM19" i="5"/>
  <c r="AL19" i="5"/>
  <c r="AI19" i="5"/>
  <c r="AH19" i="5"/>
  <c r="AE19" i="5"/>
  <c r="AD19" i="5"/>
  <c r="AA19" i="5"/>
  <c r="Z19" i="5"/>
  <c r="AQ18" i="5"/>
  <c r="AP18" i="5"/>
  <c r="AM18" i="5"/>
  <c r="AL18" i="5"/>
  <c r="AI18" i="5"/>
  <c r="AH18" i="5"/>
  <c r="AE18" i="5"/>
  <c r="AD18" i="5"/>
  <c r="AA18" i="5"/>
  <c r="Z18" i="5"/>
  <c r="AQ17" i="5"/>
  <c r="AP17" i="5"/>
  <c r="AM17" i="5"/>
  <c r="AL17" i="5"/>
  <c r="AI17" i="5"/>
  <c r="AH17" i="5"/>
  <c r="AE17" i="5"/>
  <c r="AD17" i="5"/>
  <c r="AA17" i="5"/>
  <c r="Z17" i="5"/>
  <c r="AQ16" i="5"/>
  <c r="AP16" i="5"/>
  <c r="AM16" i="5"/>
  <c r="AL16" i="5"/>
  <c r="AI16" i="5"/>
  <c r="AH16" i="5"/>
  <c r="AE16" i="5"/>
  <c r="AD16" i="5"/>
  <c r="AA16" i="5"/>
  <c r="Z16" i="5"/>
  <c r="AQ15" i="5"/>
  <c r="AP15" i="5"/>
  <c r="AM15" i="5"/>
  <c r="AL15" i="5"/>
  <c r="AI15" i="5"/>
  <c r="AH15" i="5"/>
  <c r="AE15" i="5"/>
  <c r="AD15" i="5"/>
  <c r="AA15" i="5"/>
  <c r="Z15" i="5"/>
  <c r="AQ14" i="5"/>
  <c r="AP14" i="5"/>
  <c r="AM14" i="5"/>
  <c r="AL14" i="5"/>
  <c r="AI14" i="5"/>
  <c r="AH14" i="5"/>
  <c r="AE14" i="5"/>
  <c r="AD14" i="5"/>
  <c r="AA14" i="5"/>
  <c r="Z14" i="5"/>
  <c r="AQ13" i="5"/>
  <c r="AP13" i="5"/>
  <c r="AM13" i="5"/>
  <c r="AL13" i="5"/>
  <c r="AI13" i="5"/>
  <c r="AH13" i="5"/>
  <c r="AE13" i="5"/>
  <c r="AD13" i="5"/>
  <c r="AA13" i="5"/>
  <c r="Z13" i="5"/>
  <c r="AQ12" i="5"/>
  <c r="AP12" i="5"/>
  <c r="AM12" i="5"/>
  <c r="AL12" i="5"/>
  <c r="AI12" i="5"/>
  <c r="AH12" i="5"/>
  <c r="AE12" i="5"/>
  <c r="AD12" i="5"/>
  <c r="AA12" i="5"/>
  <c r="Z12" i="5"/>
  <c r="AQ11" i="5"/>
  <c r="AP11" i="5"/>
  <c r="AM11" i="5"/>
  <c r="AL11" i="5"/>
  <c r="AI11" i="5"/>
  <c r="AH11" i="5"/>
  <c r="AE11" i="5"/>
  <c r="AD11" i="5"/>
  <c r="AA11" i="5"/>
  <c r="Z11" i="5"/>
  <c r="AQ10" i="5"/>
  <c r="AP10" i="5"/>
  <c r="AM10" i="5"/>
  <c r="AL10" i="5"/>
  <c r="AI10" i="5"/>
  <c r="AH10" i="5"/>
  <c r="AE10" i="5"/>
  <c r="AD10" i="5"/>
  <c r="AA10" i="5"/>
  <c r="Z10" i="5"/>
  <c r="AQ9" i="5"/>
  <c r="AP9" i="5"/>
  <c r="AM9" i="5"/>
  <c r="AL9" i="5"/>
  <c r="AI9" i="5"/>
  <c r="AH9" i="5"/>
  <c r="AE9" i="5"/>
  <c r="AD9" i="5"/>
  <c r="AA9" i="5"/>
  <c r="Z9" i="5"/>
  <c r="AQ8" i="5"/>
  <c r="AP8" i="5"/>
  <c r="AM8" i="5"/>
  <c r="AL8" i="5"/>
  <c r="AI8" i="5"/>
  <c r="AH8" i="5"/>
  <c r="AE8" i="5"/>
  <c r="AD8" i="5"/>
  <c r="AA8" i="5"/>
  <c r="Z8" i="5"/>
  <c r="AQ7" i="5"/>
  <c r="AP7" i="5"/>
  <c r="AM7" i="5"/>
  <c r="AL7" i="5"/>
  <c r="AI7" i="5"/>
  <c r="AH7" i="5"/>
  <c r="AE7" i="5"/>
  <c r="AD7" i="5"/>
  <c r="AA7" i="5"/>
  <c r="Z7" i="5"/>
  <c r="AQ6" i="5"/>
  <c r="AP6" i="5"/>
  <c r="AM6" i="5"/>
  <c r="AL6" i="5"/>
  <c r="AI6" i="5"/>
  <c r="AH6" i="5"/>
  <c r="AE6" i="5"/>
  <c r="AD6" i="5"/>
  <c r="AA6" i="5"/>
  <c r="Z6" i="5"/>
  <c r="AQ5" i="5"/>
  <c r="AP5" i="5"/>
  <c r="AM5" i="5"/>
  <c r="AL5" i="5"/>
  <c r="AI5" i="5"/>
  <c r="AH5" i="5"/>
  <c r="AE5" i="5"/>
  <c r="AD5" i="5"/>
  <c r="AA5" i="5"/>
  <c r="Z5" i="5"/>
  <c r="AQ4" i="5"/>
  <c r="AP4" i="5"/>
  <c r="AM4" i="5"/>
  <c r="AL4" i="5"/>
  <c r="AI4" i="5"/>
  <c r="AH4" i="5"/>
  <c r="AE4" i="5"/>
  <c r="AD4" i="5"/>
  <c r="AA4" i="5"/>
  <c r="Z4" i="5"/>
  <c r="AQ3" i="5"/>
  <c r="AP3" i="5"/>
  <c r="AM3" i="5"/>
  <c r="AL3" i="5"/>
  <c r="AI3" i="5"/>
  <c r="AH3" i="5"/>
  <c r="AE3" i="5"/>
  <c r="AD3" i="5"/>
  <c r="AA3" i="5"/>
  <c r="Z3" i="5"/>
  <c r="N2" i="5"/>
  <c r="N170" i="5"/>
  <c r="N169" i="5"/>
  <c r="N168" i="5"/>
  <c r="N167" i="5"/>
  <c r="N166" i="5"/>
  <c r="N165" i="5"/>
  <c r="N164" i="5"/>
  <c r="N163" i="5"/>
  <c r="N162" i="5"/>
  <c r="N161" i="5"/>
  <c r="N160" i="5"/>
  <c r="N159" i="5"/>
  <c r="N158" i="5"/>
  <c r="N157" i="5"/>
  <c r="N156" i="5"/>
  <c r="N155" i="5"/>
  <c r="N154" i="5"/>
  <c r="N153" i="5"/>
  <c r="N152" i="5"/>
  <c r="N151" i="5"/>
  <c r="N150" i="5"/>
  <c r="N149" i="5"/>
  <c r="N148" i="5"/>
  <c r="N147" i="5"/>
  <c r="N146" i="5"/>
  <c r="N145" i="5"/>
  <c r="N144" i="5"/>
  <c r="N143" i="5"/>
  <c r="N142" i="5"/>
  <c r="N141" i="5"/>
  <c r="N140" i="5"/>
  <c r="N139" i="5"/>
  <c r="N138" i="5"/>
  <c r="N137" i="5"/>
  <c r="N136" i="5"/>
  <c r="N135" i="5"/>
  <c r="N134" i="5"/>
  <c r="N133" i="5"/>
  <c r="N132" i="5"/>
  <c r="N131" i="5"/>
  <c r="N130" i="5"/>
  <c r="N129" i="5"/>
  <c r="N128" i="5"/>
  <c r="N127" i="5"/>
  <c r="N126" i="5"/>
  <c r="N125" i="5"/>
  <c r="N124" i="5"/>
  <c r="N123" i="5"/>
  <c r="N122" i="5"/>
  <c r="N121" i="5"/>
  <c r="N120" i="5"/>
  <c r="N119" i="5"/>
  <c r="N118" i="5"/>
  <c r="N117" i="5"/>
  <c r="N116" i="5"/>
  <c r="N115" i="5"/>
  <c r="N114" i="5"/>
  <c r="N113" i="5"/>
  <c r="N112" i="5"/>
  <c r="N111" i="5"/>
  <c r="N110" i="5"/>
  <c r="N109" i="5"/>
  <c r="N108" i="5"/>
  <c r="N107" i="5"/>
  <c r="N106" i="5"/>
  <c r="N105" i="5"/>
  <c r="N104" i="5"/>
  <c r="N103" i="5"/>
  <c r="N102" i="5"/>
  <c r="N101" i="5"/>
  <c r="N100" i="5"/>
  <c r="N99" i="5"/>
  <c r="N98" i="5"/>
  <c r="N97" i="5"/>
  <c r="N96" i="5"/>
  <c r="N95" i="5"/>
  <c r="N94" i="5"/>
  <c r="N93" i="5"/>
  <c r="N92" i="5"/>
  <c r="N91" i="5"/>
  <c r="N90" i="5"/>
  <c r="N89" i="5"/>
  <c r="N88" i="5"/>
  <c r="N87" i="5"/>
  <c r="N86" i="5"/>
  <c r="N85" i="5"/>
  <c r="N84" i="5"/>
  <c r="N83" i="5"/>
  <c r="N82" i="5"/>
  <c r="N81" i="5"/>
  <c r="N80" i="5"/>
  <c r="N79" i="5"/>
  <c r="N78" i="5"/>
  <c r="N77" i="5"/>
  <c r="N76" i="5"/>
  <c r="N75" i="5"/>
  <c r="N74" i="5"/>
  <c r="N73" i="5"/>
  <c r="N72" i="5"/>
  <c r="N71" i="5"/>
  <c r="N70" i="5"/>
  <c r="N69" i="5"/>
  <c r="N68" i="5"/>
  <c r="N67" i="5"/>
  <c r="N66" i="5"/>
  <c r="N65" i="5"/>
  <c r="N64" i="5"/>
  <c r="N63" i="5"/>
  <c r="N62" i="5"/>
  <c r="N61" i="5"/>
  <c r="N60" i="5"/>
  <c r="N59" i="5"/>
  <c r="N58" i="5"/>
  <c r="N57" i="5"/>
  <c r="N56" i="5"/>
  <c r="N55" i="5"/>
  <c r="N54" i="5"/>
  <c r="N53" i="5"/>
  <c r="N52" i="5"/>
  <c r="N51" i="5"/>
  <c r="N50" i="5"/>
  <c r="N49" i="5"/>
  <c r="N48" i="5"/>
  <c r="N47" i="5"/>
  <c r="N46" i="5"/>
  <c r="N45" i="5"/>
  <c r="N44" i="5"/>
  <c r="N43" i="5"/>
  <c r="N42" i="5"/>
  <c r="N41" i="5"/>
  <c r="N40" i="5"/>
  <c r="N39" i="5"/>
  <c r="N38" i="5"/>
  <c r="N37" i="5"/>
  <c r="N36" i="5"/>
  <c r="N35" i="5"/>
  <c r="N34" i="5"/>
  <c r="N33" i="5"/>
  <c r="N32" i="5"/>
  <c r="N31" i="5"/>
  <c r="N30" i="5"/>
  <c r="N29" i="5"/>
  <c r="N28" i="5"/>
  <c r="N27" i="5"/>
  <c r="N26" i="5"/>
  <c r="N25" i="5"/>
  <c r="N24" i="5"/>
  <c r="N23" i="5"/>
  <c r="N22" i="5"/>
  <c r="N21" i="5"/>
  <c r="N20" i="5"/>
  <c r="N19" i="5"/>
  <c r="N18" i="5"/>
  <c r="N17" i="5"/>
  <c r="N16" i="5"/>
  <c r="N15" i="5"/>
  <c r="N14" i="5"/>
  <c r="N13" i="5"/>
  <c r="N12" i="5"/>
  <c r="N11" i="5"/>
  <c r="N10" i="5"/>
  <c r="N9" i="5"/>
  <c r="N8" i="5"/>
  <c r="N7" i="5"/>
  <c r="N6" i="5"/>
  <c r="N5" i="5"/>
  <c r="N4" i="5"/>
  <c r="N3" i="5"/>
  <c r="AP4" i="6"/>
  <c r="AQ4" i="6"/>
  <c r="AP5" i="6"/>
  <c r="AQ5" i="6"/>
  <c r="AP6" i="6"/>
  <c r="AQ6" i="6"/>
  <c r="AP7" i="6"/>
  <c r="AQ7" i="6"/>
  <c r="AP8" i="6"/>
  <c r="AQ8" i="6"/>
  <c r="AP9" i="6"/>
  <c r="AQ9" i="6"/>
  <c r="AP10" i="6"/>
  <c r="AQ10" i="6"/>
  <c r="AP11" i="6"/>
  <c r="AQ11" i="6"/>
  <c r="AP12" i="6"/>
  <c r="AQ12" i="6"/>
  <c r="AP13" i="6"/>
  <c r="AQ13" i="6"/>
  <c r="AP14" i="6"/>
  <c r="AQ14" i="6"/>
  <c r="AP15" i="6"/>
  <c r="AQ15" i="6"/>
  <c r="AP16" i="6"/>
  <c r="AQ16" i="6"/>
  <c r="AP17" i="6"/>
  <c r="AQ17" i="6"/>
  <c r="AP18" i="6"/>
  <c r="AQ18" i="6"/>
  <c r="AP19" i="6"/>
  <c r="AQ19" i="6"/>
  <c r="AP20" i="6"/>
  <c r="AQ20" i="6"/>
  <c r="AP21" i="6"/>
  <c r="AQ21" i="6"/>
  <c r="AP22" i="6"/>
  <c r="AQ22" i="6"/>
  <c r="AP23" i="6"/>
  <c r="AQ23" i="6"/>
  <c r="AP24" i="6"/>
  <c r="AQ24" i="6"/>
  <c r="AP25" i="6"/>
  <c r="AQ25" i="6"/>
  <c r="AP26" i="6"/>
  <c r="AQ26" i="6"/>
  <c r="AP27" i="6"/>
  <c r="AQ27" i="6"/>
  <c r="AP28" i="6"/>
  <c r="AQ28" i="6"/>
  <c r="AP29" i="6"/>
  <c r="AQ29" i="6"/>
  <c r="AP30" i="6"/>
  <c r="AQ30" i="6"/>
  <c r="AP31" i="6"/>
  <c r="AQ31" i="6"/>
  <c r="AP32" i="6"/>
  <c r="AQ32" i="6"/>
  <c r="AP33" i="6"/>
  <c r="AQ33" i="6"/>
  <c r="AP34" i="6"/>
  <c r="AQ34" i="6"/>
  <c r="AP35" i="6"/>
  <c r="AQ35" i="6"/>
  <c r="AP36" i="6"/>
  <c r="AQ36" i="6"/>
  <c r="AP37" i="6"/>
  <c r="AQ37" i="6"/>
  <c r="AP38" i="6"/>
  <c r="AQ38" i="6"/>
  <c r="AP39" i="6"/>
  <c r="AQ39" i="6"/>
  <c r="AP40" i="6"/>
  <c r="AQ40" i="6"/>
  <c r="AP41" i="6"/>
  <c r="AQ41" i="6"/>
  <c r="AP42" i="6"/>
  <c r="AQ42" i="6"/>
  <c r="AP43" i="6"/>
  <c r="AQ43" i="6"/>
  <c r="AP44" i="6"/>
  <c r="AQ44" i="6"/>
  <c r="AP45" i="6"/>
  <c r="AQ45" i="6"/>
  <c r="AP46" i="6"/>
  <c r="AQ46" i="6"/>
  <c r="AP47" i="6"/>
  <c r="AQ47" i="6"/>
  <c r="AP48" i="6"/>
  <c r="AQ48" i="6"/>
  <c r="AP49" i="6"/>
  <c r="AQ49" i="6"/>
  <c r="AP50" i="6"/>
  <c r="AQ50" i="6"/>
  <c r="AP51" i="6"/>
  <c r="AQ51" i="6"/>
  <c r="AP52" i="6"/>
  <c r="AQ52" i="6"/>
  <c r="AP53" i="6"/>
  <c r="AQ53" i="6"/>
  <c r="AP54" i="6"/>
  <c r="AQ54" i="6"/>
  <c r="AP55" i="6"/>
  <c r="AQ55" i="6"/>
  <c r="AP56" i="6"/>
  <c r="AQ56" i="6"/>
  <c r="AP57" i="6"/>
  <c r="AQ57" i="6"/>
  <c r="AP58" i="6"/>
  <c r="AQ58" i="6"/>
  <c r="AP59" i="6"/>
  <c r="AQ59" i="6"/>
  <c r="AP60" i="6"/>
  <c r="AQ60" i="6"/>
  <c r="AP61" i="6"/>
  <c r="AQ61" i="6"/>
  <c r="AP62" i="6"/>
  <c r="AQ62" i="6"/>
  <c r="AP63" i="6"/>
  <c r="AQ63" i="6"/>
  <c r="AP64" i="6"/>
  <c r="AQ64" i="6"/>
  <c r="AP65" i="6"/>
  <c r="AQ65" i="6"/>
  <c r="AP66" i="6"/>
  <c r="AQ66" i="6"/>
  <c r="AP67" i="6"/>
  <c r="AQ67" i="6"/>
  <c r="AP68" i="6"/>
  <c r="AQ68" i="6"/>
  <c r="AP69" i="6"/>
  <c r="AQ69" i="6"/>
  <c r="AP70" i="6"/>
  <c r="AQ70" i="6"/>
  <c r="AP71" i="6"/>
  <c r="AQ71" i="6"/>
  <c r="AP72" i="6"/>
  <c r="AQ72" i="6"/>
  <c r="AP73" i="6"/>
  <c r="AQ73" i="6"/>
  <c r="AP74" i="6"/>
  <c r="AQ74" i="6"/>
  <c r="AP75" i="6"/>
  <c r="AQ75" i="6"/>
  <c r="AP76" i="6"/>
  <c r="AQ76" i="6"/>
  <c r="AP77" i="6"/>
  <c r="AQ77" i="6"/>
  <c r="AP78" i="6"/>
  <c r="AQ78" i="6"/>
  <c r="AP79" i="6"/>
  <c r="AQ79" i="6"/>
  <c r="AP80" i="6"/>
  <c r="AQ80" i="6"/>
  <c r="AP81" i="6"/>
  <c r="AQ81" i="6"/>
  <c r="AP82" i="6"/>
  <c r="AQ82" i="6"/>
  <c r="AP83" i="6"/>
  <c r="AQ83" i="6"/>
  <c r="AP84" i="6"/>
  <c r="AQ84" i="6"/>
  <c r="AP85" i="6"/>
  <c r="AQ85" i="6"/>
  <c r="AP86" i="6"/>
  <c r="AQ86" i="6"/>
  <c r="AP87" i="6"/>
  <c r="AQ87" i="6"/>
  <c r="AP88" i="6"/>
  <c r="AQ88" i="6"/>
  <c r="AP89" i="6"/>
  <c r="AQ89" i="6"/>
  <c r="AP90" i="6"/>
  <c r="AQ90" i="6"/>
  <c r="AP91" i="6"/>
  <c r="AQ91" i="6"/>
  <c r="AP92" i="6"/>
  <c r="AQ92" i="6"/>
  <c r="AP93" i="6"/>
  <c r="AQ93" i="6"/>
  <c r="AP94" i="6"/>
  <c r="AQ94" i="6"/>
  <c r="AP95" i="6"/>
  <c r="AQ95" i="6"/>
  <c r="AP96" i="6"/>
  <c r="AQ96" i="6"/>
  <c r="AP97" i="6"/>
  <c r="AQ97" i="6"/>
  <c r="AP98" i="6"/>
  <c r="AQ98" i="6"/>
  <c r="AP99" i="6"/>
  <c r="AQ99" i="6"/>
  <c r="AP100" i="6"/>
  <c r="AQ100" i="6"/>
  <c r="AP101" i="6"/>
  <c r="AQ101" i="6"/>
  <c r="AP102" i="6"/>
  <c r="AQ102" i="6"/>
  <c r="AP103" i="6"/>
  <c r="AQ103" i="6"/>
  <c r="AP104" i="6"/>
  <c r="AQ104" i="6"/>
  <c r="AP105" i="6"/>
  <c r="AQ105" i="6"/>
  <c r="AP106" i="6"/>
  <c r="AQ106" i="6"/>
  <c r="AP107" i="6"/>
  <c r="AQ107" i="6"/>
  <c r="AP108" i="6"/>
  <c r="AQ108" i="6"/>
  <c r="AP109" i="6"/>
  <c r="AQ109" i="6"/>
  <c r="AP110" i="6"/>
  <c r="AQ110" i="6"/>
  <c r="AP111" i="6"/>
  <c r="AQ111" i="6"/>
  <c r="AP112" i="6"/>
  <c r="AQ112" i="6"/>
  <c r="AP113" i="6"/>
  <c r="AQ113" i="6"/>
  <c r="AP114" i="6"/>
  <c r="AQ114" i="6"/>
  <c r="AP115" i="6"/>
  <c r="AQ115" i="6"/>
  <c r="AP116" i="6"/>
  <c r="AQ116" i="6"/>
  <c r="AP117" i="6"/>
  <c r="AQ117" i="6"/>
  <c r="AP118" i="6"/>
  <c r="AQ118" i="6"/>
  <c r="AP119" i="6"/>
  <c r="AQ119" i="6"/>
  <c r="AP120" i="6"/>
  <c r="AQ120" i="6"/>
  <c r="AP121" i="6"/>
  <c r="AQ121" i="6"/>
  <c r="AP122" i="6"/>
  <c r="AQ122" i="6"/>
  <c r="AP123" i="6"/>
  <c r="AQ123" i="6"/>
  <c r="AP124" i="6"/>
  <c r="AQ124" i="6"/>
  <c r="AP125" i="6"/>
  <c r="AQ125" i="6"/>
  <c r="AP126" i="6"/>
  <c r="AQ126" i="6"/>
  <c r="AP127" i="6"/>
  <c r="AQ127" i="6"/>
  <c r="AP128" i="6"/>
  <c r="AQ128" i="6"/>
  <c r="AP129" i="6"/>
  <c r="AQ129" i="6"/>
  <c r="AP130" i="6"/>
  <c r="AQ130" i="6"/>
  <c r="AP131" i="6"/>
  <c r="AQ131" i="6"/>
  <c r="AP132" i="6"/>
  <c r="AQ132" i="6"/>
  <c r="AP133" i="6"/>
  <c r="AQ133" i="6"/>
  <c r="AP134" i="6"/>
  <c r="AQ134" i="6"/>
  <c r="AP135" i="6"/>
  <c r="AQ135" i="6"/>
  <c r="AP136" i="6"/>
  <c r="AQ136" i="6"/>
  <c r="AP137" i="6"/>
  <c r="AQ137" i="6"/>
  <c r="AP138" i="6"/>
  <c r="AQ138" i="6"/>
  <c r="AP139" i="6"/>
  <c r="AQ139" i="6"/>
  <c r="AP140" i="6"/>
  <c r="AQ140" i="6"/>
  <c r="AP141" i="6"/>
  <c r="AQ141" i="6"/>
  <c r="AP142" i="6"/>
  <c r="AQ142" i="6"/>
  <c r="AP143" i="6"/>
  <c r="AQ143" i="6"/>
  <c r="AP144" i="6"/>
  <c r="AQ144" i="6"/>
  <c r="AP145" i="6"/>
  <c r="AQ145" i="6"/>
  <c r="AP146" i="6"/>
  <c r="AQ146" i="6"/>
  <c r="AP147" i="6"/>
  <c r="AQ147" i="6"/>
  <c r="AP148" i="6"/>
  <c r="AQ148" i="6"/>
  <c r="AP149" i="6"/>
  <c r="AQ149" i="6"/>
  <c r="AP150" i="6"/>
  <c r="AQ150" i="6"/>
  <c r="AP151" i="6"/>
  <c r="AQ151" i="6"/>
  <c r="AP152" i="6"/>
  <c r="AQ152" i="6"/>
  <c r="AP153" i="6"/>
  <c r="AQ153" i="6"/>
  <c r="AP154" i="6"/>
  <c r="AQ154" i="6"/>
  <c r="AP155" i="6"/>
  <c r="AQ155" i="6"/>
  <c r="AP156" i="6"/>
  <c r="AQ156" i="6"/>
  <c r="AP157" i="6"/>
  <c r="AQ157" i="6"/>
  <c r="AP158" i="6"/>
  <c r="AQ158" i="6"/>
  <c r="AP159" i="6"/>
  <c r="AQ159" i="6"/>
  <c r="AP160" i="6"/>
  <c r="AQ160" i="6"/>
  <c r="AP161" i="6"/>
  <c r="AQ161" i="6"/>
  <c r="AP162" i="6"/>
  <c r="AQ162" i="6"/>
  <c r="AP163" i="6"/>
  <c r="AQ163" i="6"/>
  <c r="AP164" i="6"/>
  <c r="AQ164" i="6"/>
  <c r="AP165" i="6"/>
  <c r="AQ165" i="6"/>
  <c r="AP166" i="6"/>
  <c r="AQ166" i="6"/>
  <c r="AP167" i="6"/>
  <c r="AQ167" i="6"/>
  <c r="AP168" i="6"/>
  <c r="AQ168" i="6"/>
  <c r="AP169" i="6"/>
  <c r="AQ169" i="6"/>
  <c r="AP170" i="6"/>
  <c r="AQ170" i="6"/>
  <c r="AP171" i="6"/>
  <c r="AQ171" i="6"/>
  <c r="AP172" i="6"/>
  <c r="AQ172" i="6"/>
  <c r="AP173" i="6"/>
  <c r="AQ173" i="6"/>
  <c r="AP174" i="6"/>
  <c r="AQ174" i="6"/>
  <c r="AP175" i="6"/>
  <c r="AQ175" i="6"/>
  <c r="AP176" i="6"/>
  <c r="AQ176" i="6"/>
  <c r="AP177" i="6"/>
  <c r="AQ177" i="6"/>
  <c r="AP178" i="6"/>
  <c r="AQ178" i="6"/>
  <c r="AQ3" i="6"/>
  <c r="AP3" i="6"/>
  <c r="AL4" i="6"/>
  <c r="AM4" i="6"/>
  <c r="AL5" i="6"/>
  <c r="AM5" i="6"/>
  <c r="AL6" i="6"/>
  <c r="AM6" i="6"/>
  <c r="AL7" i="6"/>
  <c r="AM7" i="6"/>
  <c r="AL8" i="6"/>
  <c r="AM8" i="6"/>
  <c r="AL9" i="6"/>
  <c r="AM9" i="6"/>
  <c r="AL10" i="6"/>
  <c r="AM10" i="6"/>
  <c r="AL11" i="6"/>
  <c r="AM11" i="6"/>
  <c r="AL12" i="6"/>
  <c r="AM12" i="6"/>
  <c r="AL13" i="6"/>
  <c r="AM13" i="6"/>
  <c r="AL14" i="6"/>
  <c r="AM14" i="6"/>
  <c r="AL15" i="6"/>
  <c r="AM15" i="6"/>
  <c r="AL16" i="6"/>
  <c r="AM16" i="6"/>
  <c r="AL17" i="6"/>
  <c r="AM17" i="6"/>
  <c r="AL18" i="6"/>
  <c r="AM18" i="6"/>
  <c r="AL19" i="6"/>
  <c r="AM19" i="6"/>
  <c r="AL20" i="6"/>
  <c r="AM20" i="6"/>
  <c r="AL21" i="6"/>
  <c r="AM21" i="6"/>
  <c r="AL22" i="6"/>
  <c r="AM22" i="6"/>
  <c r="AL23" i="6"/>
  <c r="AM23" i="6"/>
  <c r="AL24" i="6"/>
  <c r="AM24" i="6"/>
  <c r="AL25" i="6"/>
  <c r="AM25" i="6"/>
  <c r="AL26" i="6"/>
  <c r="AM26" i="6"/>
  <c r="AL27" i="6"/>
  <c r="AM27" i="6"/>
  <c r="AL28" i="6"/>
  <c r="AM28" i="6"/>
  <c r="AL29" i="6"/>
  <c r="AM29" i="6"/>
  <c r="AL30" i="6"/>
  <c r="AM30" i="6"/>
  <c r="AL31" i="6"/>
  <c r="AM31" i="6"/>
  <c r="AL32" i="6"/>
  <c r="AM32" i="6"/>
  <c r="AL33" i="6"/>
  <c r="AM33" i="6"/>
  <c r="AL34" i="6"/>
  <c r="AM34" i="6"/>
  <c r="AL35" i="6"/>
  <c r="AM35" i="6"/>
  <c r="AL36" i="6"/>
  <c r="AM36" i="6"/>
  <c r="AL37" i="6"/>
  <c r="AM37" i="6"/>
  <c r="AL38" i="6"/>
  <c r="AM38" i="6"/>
  <c r="AL39" i="6"/>
  <c r="AM39" i="6"/>
  <c r="AL40" i="6"/>
  <c r="AM40" i="6"/>
  <c r="AL41" i="6"/>
  <c r="AM41" i="6"/>
  <c r="AL42" i="6"/>
  <c r="AM42" i="6"/>
  <c r="AL43" i="6"/>
  <c r="AM43" i="6"/>
  <c r="AL44" i="6"/>
  <c r="AM44" i="6"/>
  <c r="AL45" i="6"/>
  <c r="AM45" i="6"/>
  <c r="AL46" i="6"/>
  <c r="AM46" i="6"/>
  <c r="AL47" i="6"/>
  <c r="AM47" i="6"/>
  <c r="AL48" i="6"/>
  <c r="AM48" i="6"/>
  <c r="AL49" i="6"/>
  <c r="AM49" i="6"/>
  <c r="AL50" i="6"/>
  <c r="AM50" i="6"/>
  <c r="AL51" i="6"/>
  <c r="AM51" i="6"/>
  <c r="AL52" i="6"/>
  <c r="AM52" i="6"/>
  <c r="AL53" i="6"/>
  <c r="AM53" i="6"/>
  <c r="AL54" i="6"/>
  <c r="AM54" i="6"/>
  <c r="AL55" i="6"/>
  <c r="AM55" i="6"/>
  <c r="AL56" i="6"/>
  <c r="AM56" i="6"/>
  <c r="AL57" i="6"/>
  <c r="AM57" i="6"/>
  <c r="AL58" i="6"/>
  <c r="AM58" i="6"/>
  <c r="AL59" i="6"/>
  <c r="AM59" i="6"/>
  <c r="AL60" i="6"/>
  <c r="AM60" i="6"/>
  <c r="AL61" i="6"/>
  <c r="AM61" i="6"/>
  <c r="AL62" i="6"/>
  <c r="AM62" i="6"/>
  <c r="AL63" i="6"/>
  <c r="AM63" i="6"/>
  <c r="AL64" i="6"/>
  <c r="AM64" i="6"/>
  <c r="AL65" i="6"/>
  <c r="AM65" i="6"/>
  <c r="AL66" i="6"/>
  <c r="AM66" i="6"/>
  <c r="AL67" i="6"/>
  <c r="AM67" i="6"/>
  <c r="AL68" i="6"/>
  <c r="AM68" i="6"/>
  <c r="AL69" i="6"/>
  <c r="AM69" i="6"/>
  <c r="AL70" i="6"/>
  <c r="AM70" i="6"/>
  <c r="AL71" i="6"/>
  <c r="AM71" i="6"/>
  <c r="AL72" i="6"/>
  <c r="AM72" i="6"/>
  <c r="AL73" i="6"/>
  <c r="AM73" i="6"/>
  <c r="AL74" i="6"/>
  <c r="AM74" i="6"/>
  <c r="AL75" i="6"/>
  <c r="AM75" i="6"/>
  <c r="AL76" i="6"/>
  <c r="AM76" i="6"/>
  <c r="AL77" i="6"/>
  <c r="AM77" i="6"/>
  <c r="AL78" i="6"/>
  <c r="AM78" i="6"/>
  <c r="AL79" i="6"/>
  <c r="AM79" i="6"/>
  <c r="AL80" i="6"/>
  <c r="AM80" i="6"/>
  <c r="AL81" i="6"/>
  <c r="AM81" i="6"/>
  <c r="AL82" i="6"/>
  <c r="AM82" i="6"/>
  <c r="AL83" i="6"/>
  <c r="AM83" i="6"/>
  <c r="AL84" i="6"/>
  <c r="AM84" i="6"/>
  <c r="AL85" i="6"/>
  <c r="AM85" i="6"/>
  <c r="AL86" i="6"/>
  <c r="AM86" i="6"/>
  <c r="AL87" i="6"/>
  <c r="AM87" i="6"/>
  <c r="AL88" i="6"/>
  <c r="AM88" i="6"/>
  <c r="AL89" i="6"/>
  <c r="AM89" i="6"/>
  <c r="AL90" i="6"/>
  <c r="AM90" i="6"/>
  <c r="AL91" i="6"/>
  <c r="AM91" i="6"/>
  <c r="AL92" i="6"/>
  <c r="AM92" i="6"/>
  <c r="AL93" i="6"/>
  <c r="AM93" i="6"/>
  <c r="AL94" i="6"/>
  <c r="AM94" i="6"/>
  <c r="AL95" i="6"/>
  <c r="AM95" i="6"/>
  <c r="AL96" i="6"/>
  <c r="AM96" i="6"/>
  <c r="AL97" i="6"/>
  <c r="AM97" i="6"/>
  <c r="AL98" i="6"/>
  <c r="AM98" i="6"/>
  <c r="AL99" i="6"/>
  <c r="AM99" i="6"/>
  <c r="AL100" i="6"/>
  <c r="AM100" i="6"/>
  <c r="AL101" i="6"/>
  <c r="AM101" i="6"/>
  <c r="AL102" i="6"/>
  <c r="AM102" i="6"/>
  <c r="AL103" i="6"/>
  <c r="AM103" i="6"/>
  <c r="AL104" i="6"/>
  <c r="AM104" i="6"/>
  <c r="AL105" i="6"/>
  <c r="AM105" i="6"/>
  <c r="AL106" i="6"/>
  <c r="AM106" i="6"/>
  <c r="AL107" i="6"/>
  <c r="AM107" i="6"/>
  <c r="AL108" i="6"/>
  <c r="AM108" i="6"/>
  <c r="AL109" i="6"/>
  <c r="AM109" i="6"/>
  <c r="AL110" i="6"/>
  <c r="AM110" i="6"/>
  <c r="AL111" i="6"/>
  <c r="AM111" i="6"/>
  <c r="AL112" i="6"/>
  <c r="AM112" i="6"/>
  <c r="AL113" i="6"/>
  <c r="AM113" i="6"/>
  <c r="AL114" i="6"/>
  <c r="AM114" i="6"/>
  <c r="AL115" i="6"/>
  <c r="AM115" i="6"/>
  <c r="AL116" i="6"/>
  <c r="AM116" i="6"/>
  <c r="AL117" i="6"/>
  <c r="AM117" i="6"/>
  <c r="AL118" i="6"/>
  <c r="AM118" i="6"/>
  <c r="AL119" i="6"/>
  <c r="AM119" i="6"/>
  <c r="AL120" i="6"/>
  <c r="AM120" i="6"/>
  <c r="AL121" i="6"/>
  <c r="AM121" i="6"/>
  <c r="AL122" i="6"/>
  <c r="AM122" i="6"/>
  <c r="AL123" i="6"/>
  <c r="AM123" i="6"/>
  <c r="AL124" i="6"/>
  <c r="AM124" i="6"/>
  <c r="AL125" i="6"/>
  <c r="AM125" i="6"/>
  <c r="AL126" i="6"/>
  <c r="AM126" i="6"/>
  <c r="AL127" i="6"/>
  <c r="AM127" i="6"/>
  <c r="AL128" i="6"/>
  <c r="AM128" i="6"/>
  <c r="AL129" i="6"/>
  <c r="AM129" i="6"/>
  <c r="AL130" i="6"/>
  <c r="AM130" i="6"/>
  <c r="AL131" i="6"/>
  <c r="AM131" i="6"/>
  <c r="AL132" i="6"/>
  <c r="AM132" i="6"/>
  <c r="AL133" i="6"/>
  <c r="AM133" i="6"/>
  <c r="AL134" i="6"/>
  <c r="AM134" i="6"/>
  <c r="AL135" i="6"/>
  <c r="AM135" i="6"/>
  <c r="AL136" i="6"/>
  <c r="AM136" i="6"/>
  <c r="AL137" i="6"/>
  <c r="AM137" i="6"/>
  <c r="AL138" i="6"/>
  <c r="AM138" i="6"/>
  <c r="AL139" i="6"/>
  <c r="AM139" i="6"/>
  <c r="AL140" i="6"/>
  <c r="AM140" i="6"/>
  <c r="AL141" i="6"/>
  <c r="AM141" i="6"/>
  <c r="AL142" i="6"/>
  <c r="AM142" i="6"/>
  <c r="AL143" i="6"/>
  <c r="AM143" i="6"/>
  <c r="AL144" i="6"/>
  <c r="AM144" i="6"/>
  <c r="AL145" i="6"/>
  <c r="AM145" i="6"/>
  <c r="AL146" i="6"/>
  <c r="AM146" i="6"/>
  <c r="AL147" i="6"/>
  <c r="AM147" i="6"/>
  <c r="AL148" i="6"/>
  <c r="AM148" i="6"/>
  <c r="AL149" i="6"/>
  <c r="AM149" i="6"/>
  <c r="AL150" i="6"/>
  <c r="AM150" i="6"/>
  <c r="AL151" i="6"/>
  <c r="AM151" i="6"/>
  <c r="AL152" i="6"/>
  <c r="AM152" i="6"/>
  <c r="AL153" i="6"/>
  <c r="AM153" i="6"/>
  <c r="AL154" i="6"/>
  <c r="AM154" i="6"/>
  <c r="AL155" i="6"/>
  <c r="AM155" i="6"/>
  <c r="AL156" i="6"/>
  <c r="AM156" i="6"/>
  <c r="AL157" i="6"/>
  <c r="AM157" i="6"/>
  <c r="AL158" i="6"/>
  <c r="AM158" i="6"/>
  <c r="AL159" i="6"/>
  <c r="AM159" i="6"/>
  <c r="AL160" i="6"/>
  <c r="AM160" i="6"/>
  <c r="AL161" i="6"/>
  <c r="AM161" i="6"/>
  <c r="AL162" i="6"/>
  <c r="AM162" i="6"/>
  <c r="AL163" i="6"/>
  <c r="AM163" i="6"/>
  <c r="AL164" i="6"/>
  <c r="AM164" i="6"/>
  <c r="AL165" i="6"/>
  <c r="AM165" i="6"/>
  <c r="AL166" i="6"/>
  <c r="AM166" i="6"/>
  <c r="AL167" i="6"/>
  <c r="AM167" i="6"/>
  <c r="AL168" i="6"/>
  <c r="AM168" i="6"/>
  <c r="AL169" i="6"/>
  <c r="AM169" i="6"/>
  <c r="AL170" i="6"/>
  <c r="AM170" i="6"/>
  <c r="AL171" i="6"/>
  <c r="AM171" i="6"/>
  <c r="AL172" i="6"/>
  <c r="AM172" i="6"/>
  <c r="AL173" i="6"/>
  <c r="AM173" i="6"/>
  <c r="AL174" i="6"/>
  <c r="AM174" i="6"/>
  <c r="AL175" i="6"/>
  <c r="AM175" i="6"/>
  <c r="AL176" i="6"/>
  <c r="AM176" i="6"/>
  <c r="AL177" i="6"/>
  <c r="AM177" i="6"/>
  <c r="AL178" i="6"/>
  <c r="AM178" i="6"/>
  <c r="AM3" i="6"/>
  <c r="AL3" i="6"/>
  <c r="AH4" i="6"/>
  <c r="AH5" i="6"/>
  <c r="AH6" i="6"/>
  <c r="AH7" i="6"/>
  <c r="AH8" i="6"/>
  <c r="AH9" i="6"/>
  <c r="AH10" i="6"/>
  <c r="AH11" i="6"/>
  <c r="AH12" i="6"/>
  <c r="AH13" i="6"/>
  <c r="AH14" i="6"/>
  <c r="AH15" i="6"/>
  <c r="AH16" i="6"/>
  <c r="AH17" i="6"/>
  <c r="AH18" i="6"/>
  <c r="AH19" i="6"/>
  <c r="AH20" i="6"/>
  <c r="AH21" i="6"/>
  <c r="AH22" i="6"/>
  <c r="AH23" i="6"/>
  <c r="AH24" i="6"/>
  <c r="AH25" i="6"/>
  <c r="AH26" i="6"/>
  <c r="AH27" i="6"/>
  <c r="AH28" i="6"/>
  <c r="AH29" i="6"/>
  <c r="AH30" i="6"/>
  <c r="AH31" i="6"/>
  <c r="AH32" i="6"/>
  <c r="AH33" i="6"/>
  <c r="AH34" i="6"/>
  <c r="AH35" i="6"/>
  <c r="AH36" i="6"/>
  <c r="AH37" i="6"/>
  <c r="AH38" i="6"/>
  <c r="AH39" i="6"/>
  <c r="AH40" i="6"/>
  <c r="AH41" i="6"/>
  <c r="AH42" i="6"/>
  <c r="AH43" i="6"/>
  <c r="AH44" i="6"/>
  <c r="AH45" i="6"/>
  <c r="AH46" i="6"/>
  <c r="AH47" i="6"/>
  <c r="AH48" i="6"/>
  <c r="AH49" i="6"/>
  <c r="AH50" i="6"/>
  <c r="AH51" i="6"/>
  <c r="AH52" i="6"/>
  <c r="AH53" i="6"/>
  <c r="AH54" i="6"/>
  <c r="AH55" i="6"/>
  <c r="AH56" i="6"/>
  <c r="AH57" i="6"/>
  <c r="AH58" i="6"/>
  <c r="AH59" i="6"/>
  <c r="AH60" i="6"/>
  <c r="AH61" i="6"/>
  <c r="AH62" i="6"/>
  <c r="AH63" i="6"/>
  <c r="AH64" i="6"/>
  <c r="AH65" i="6"/>
  <c r="AH66" i="6"/>
  <c r="AH67" i="6"/>
  <c r="AH68" i="6"/>
  <c r="AH69" i="6"/>
  <c r="AH70" i="6"/>
  <c r="AH71" i="6"/>
  <c r="AH72" i="6"/>
  <c r="AH73" i="6"/>
  <c r="AH74" i="6"/>
  <c r="AH75" i="6"/>
  <c r="AH76" i="6"/>
  <c r="AH77" i="6"/>
  <c r="AH78" i="6"/>
  <c r="AH79" i="6"/>
  <c r="AH80" i="6"/>
  <c r="AH81" i="6"/>
  <c r="AH82" i="6"/>
  <c r="AH83" i="6"/>
  <c r="AH84" i="6"/>
  <c r="AH85" i="6"/>
  <c r="AH86" i="6"/>
  <c r="AH87" i="6"/>
  <c r="AH88" i="6"/>
  <c r="AH89" i="6"/>
  <c r="AH90" i="6"/>
  <c r="AH91" i="6"/>
  <c r="AH92" i="6"/>
  <c r="AH93" i="6"/>
  <c r="AH94" i="6"/>
  <c r="AH95" i="6"/>
  <c r="AH96" i="6"/>
  <c r="AH97" i="6"/>
  <c r="AH98" i="6"/>
  <c r="AH99" i="6"/>
  <c r="AH100" i="6"/>
  <c r="AH101" i="6"/>
  <c r="AH102" i="6"/>
  <c r="AH103" i="6"/>
  <c r="AH104" i="6"/>
  <c r="AH105" i="6"/>
  <c r="AH106" i="6"/>
  <c r="AH107" i="6"/>
  <c r="AH108" i="6"/>
  <c r="AH109" i="6"/>
  <c r="AH110" i="6"/>
  <c r="AH111" i="6"/>
  <c r="AH112" i="6"/>
  <c r="AH113" i="6"/>
  <c r="AH114" i="6"/>
  <c r="AH115" i="6"/>
  <c r="AH116" i="6"/>
  <c r="AH117" i="6"/>
  <c r="AH118" i="6"/>
  <c r="AH119" i="6"/>
  <c r="AH120" i="6"/>
  <c r="AH121" i="6"/>
  <c r="AH122" i="6"/>
  <c r="AH123" i="6"/>
  <c r="AH124" i="6"/>
  <c r="AH125" i="6"/>
  <c r="AH126" i="6"/>
  <c r="AH127" i="6"/>
  <c r="AH128" i="6"/>
  <c r="AH129" i="6"/>
  <c r="AH130" i="6"/>
  <c r="AH131" i="6"/>
  <c r="AH132" i="6"/>
  <c r="AH133" i="6"/>
  <c r="AH134" i="6"/>
  <c r="AH135" i="6"/>
  <c r="AH136" i="6"/>
  <c r="AH137" i="6"/>
  <c r="AH138" i="6"/>
  <c r="AH139" i="6"/>
  <c r="AH140" i="6"/>
  <c r="AH141" i="6"/>
  <c r="AH142" i="6"/>
  <c r="AH143" i="6"/>
  <c r="AH144" i="6"/>
  <c r="AH145" i="6"/>
  <c r="AH146" i="6"/>
  <c r="AH147" i="6"/>
  <c r="AH148" i="6"/>
  <c r="AH149" i="6"/>
  <c r="AH150" i="6"/>
  <c r="AH151" i="6"/>
  <c r="AH152" i="6"/>
  <c r="AH153" i="6"/>
  <c r="AH154" i="6"/>
  <c r="AH155" i="6"/>
  <c r="AH156" i="6"/>
  <c r="AH157" i="6"/>
  <c r="AH158" i="6"/>
  <c r="AH159" i="6"/>
  <c r="AH160" i="6"/>
  <c r="AH161" i="6"/>
  <c r="AH162" i="6"/>
  <c r="AH163" i="6"/>
  <c r="AH164" i="6"/>
  <c r="AH165" i="6"/>
  <c r="AH166" i="6"/>
  <c r="AH167" i="6"/>
  <c r="AH168" i="6"/>
  <c r="AH169" i="6"/>
  <c r="AH170" i="6"/>
  <c r="AH171" i="6"/>
  <c r="AH172" i="6"/>
  <c r="AH173" i="6"/>
  <c r="AH174" i="6"/>
  <c r="AH175" i="6"/>
  <c r="AH176" i="6"/>
  <c r="AH177" i="6"/>
  <c r="AH178" i="6"/>
  <c r="AH3" i="6"/>
  <c r="AI4" i="6"/>
  <c r="AI5" i="6"/>
  <c r="AI6" i="6"/>
  <c r="AI7" i="6"/>
  <c r="AI8" i="6"/>
  <c r="AI9" i="6"/>
  <c r="AI10" i="6"/>
  <c r="AI11" i="6"/>
  <c r="AI12" i="6"/>
  <c r="AI13" i="6"/>
  <c r="AI14" i="6"/>
  <c r="AI15" i="6"/>
  <c r="AI16" i="6"/>
  <c r="AI17" i="6"/>
  <c r="AI18" i="6"/>
  <c r="AI19" i="6"/>
  <c r="AI20" i="6"/>
  <c r="AI21" i="6"/>
  <c r="AI22" i="6"/>
  <c r="AI23" i="6"/>
  <c r="AI24" i="6"/>
  <c r="AI25" i="6"/>
  <c r="AI26" i="6"/>
  <c r="AI27" i="6"/>
  <c r="AI28" i="6"/>
  <c r="AI29" i="6"/>
  <c r="AI30" i="6"/>
  <c r="AI31" i="6"/>
  <c r="AI32" i="6"/>
  <c r="AI33" i="6"/>
  <c r="AI34" i="6"/>
  <c r="AI35" i="6"/>
  <c r="AI36" i="6"/>
  <c r="AI37" i="6"/>
  <c r="AI38" i="6"/>
  <c r="AI39" i="6"/>
  <c r="AI40" i="6"/>
  <c r="AI41" i="6"/>
  <c r="AI42" i="6"/>
  <c r="AI43" i="6"/>
  <c r="AI44" i="6"/>
  <c r="AI45" i="6"/>
  <c r="AI46" i="6"/>
  <c r="AI47" i="6"/>
  <c r="AI48" i="6"/>
  <c r="AI49" i="6"/>
  <c r="AI50" i="6"/>
  <c r="AI51" i="6"/>
  <c r="AI52" i="6"/>
  <c r="AI53" i="6"/>
  <c r="AI54" i="6"/>
  <c r="AI55" i="6"/>
  <c r="AI56" i="6"/>
  <c r="AI57" i="6"/>
  <c r="AI58" i="6"/>
  <c r="AI59" i="6"/>
  <c r="AI60" i="6"/>
  <c r="AI61" i="6"/>
  <c r="AI62" i="6"/>
  <c r="AI63" i="6"/>
  <c r="AI64" i="6"/>
  <c r="AI65" i="6"/>
  <c r="AI66" i="6"/>
  <c r="AI67" i="6"/>
  <c r="AI68" i="6"/>
  <c r="AI69" i="6"/>
  <c r="AI70" i="6"/>
  <c r="AI71" i="6"/>
  <c r="AI72" i="6"/>
  <c r="AI73" i="6"/>
  <c r="AI74" i="6"/>
  <c r="AI75" i="6"/>
  <c r="AI76" i="6"/>
  <c r="AI77" i="6"/>
  <c r="AI78" i="6"/>
  <c r="AI79" i="6"/>
  <c r="AI80" i="6"/>
  <c r="AI81" i="6"/>
  <c r="AI82" i="6"/>
  <c r="AI83" i="6"/>
  <c r="AI84" i="6"/>
  <c r="AI85" i="6"/>
  <c r="AI86" i="6"/>
  <c r="AI87" i="6"/>
  <c r="AI88" i="6"/>
  <c r="AI89" i="6"/>
  <c r="AI90" i="6"/>
  <c r="AI91" i="6"/>
  <c r="AI92" i="6"/>
  <c r="AI93" i="6"/>
  <c r="AI94" i="6"/>
  <c r="AI95" i="6"/>
  <c r="AI96" i="6"/>
  <c r="AI97" i="6"/>
  <c r="AI98" i="6"/>
  <c r="AI99" i="6"/>
  <c r="AI100" i="6"/>
  <c r="AI101" i="6"/>
  <c r="AI102" i="6"/>
  <c r="AI103" i="6"/>
  <c r="AI104" i="6"/>
  <c r="AI105" i="6"/>
  <c r="AI106" i="6"/>
  <c r="AI107" i="6"/>
  <c r="AI108" i="6"/>
  <c r="AI109" i="6"/>
  <c r="AI110" i="6"/>
  <c r="AI111" i="6"/>
  <c r="AI112" i="6"/>
  <c r="AI113" i="6"/>
  <c r="AI114" i="6"/>
  <c r="AI115" i="6"/>
  <c r="AI116" i="6"/>
  <c r="AI117" i="6"/>
  <c r="AI118" i="6"/>
  <c r="AI119" i="6"/>
  <c r="AI120" i="6"/>
  <c r="AI121" i="6"/>
  <c r="AI122" i="6"/>
  <c r="AI123" i="6"/>
  <c r="AI124" i="6"/>
  <c r="AI125" i="6"/>
  <c r="AI126" i="6"/>
  <c r="AI127" i="6"/>
  <c r="AI128" i="6"/>
  <c r="AI129" i="6"/>
  <c r="AI130" i="6"/>
  <c r="AI131" i="6"/>
  <c r="AI132" i="6"/>
  <c r="AI133" i="6"/>
  <c r="AI134" i="6"/>
  <c r="AI135" i="6"/>
  <c r="AI136" i="6"/>
  <c r="AI137" i="6"/>
  <c r="AI138" i="6"/>
  <c r="AI139" i="6"/>
  <c r="AI140" i="6"/>
  <c r="AI141" i="6"/>
  <c r="AI142" i="6"/>
  <c r="AI143" i="6"/>
  <c r="AI144" i="6"/>
  <c r="AI145" i="6"/>
  <c r="AI146" i="6"/>
  <c r="AI147" i="6"/>
  <c r="AI148" i="6"/>
  <c r="AI149" i="6"/>
  <c r="AI150" i="6"/>
  <c r="AI151" i="6"/>
  <c r="AI152" i="6"/>
  <c r="AI153" i="6"/>
  <c r="AI154" i="6"/>
  <c r="AI155" i="6"/>
  <c r="AI156" i="6"/>
  <c r="AI157" i="6"/>
  <c r="AI158" i="6"/>
  <c r="AI159" i="6"/>
  <c r="AI160" i="6"/>
  <c r="AI161" i="6"/>
  <c r="AI162" i="6"/>
  <c r="AI163" i="6"/>
  <c r="AI164" i="6"/>
  <c r="AI165" i="6"/>
  <c r="AI166" i="6"/>
  <c r="AI167" i="6"/>
  <c r="AI168" i="6"/>
  <c r="AI169" i="6"/>
  <c r="AI170" i="6"/>
  <c r="AI171" i="6"/>
  <c r="AI172" i="6"/>
  <c r="AI173" i="6"/>
  <c r="AI174" i="6"/>
  <c r="AI175" i="6"/>
  <c r="AI176" i="6"/>
  <c r="AI177" i="6"/>
  <c r="AI178" i="6"/>
  <c r="AI3" i="6"/>
  <c r="AD4" i="6"/>
  <c r="AE4" i="6"/>
  <c r="AD5" i="6"/>
  <c r="AE5" i="6"/>
  <c r="AD6" i="6"/>
  <c r="AE6" i="6"/>
  <c r="AD7" i="6"/>
  <c r="AE7" i="6"/>
  <c r="AD8" i="6"/>
  <c r="AE8" i="6"/>
  <c r="AD9" i="6"/>
  <c r="AE9" i="6"/>
  <c r="AD10" i="6"/>
  <c r="AE10" i="6"/>
  <c r="AD11" i="6"/>
  <c r="AE11" i="6"/>
  <c r="AD12" i="6"/>
  <c r="AE12" i="6"/>
  <c r="AD13" i="6"/>
  <c r="AE13" i="6"/>
  <c r="AD14" i="6"/>
  <c r="AE14" i="6"/>
  <c r="AD15" i="6"/>
  <c r="AE15" i="6"/>
  <c r="AD16" i="6"/>
  <c r="AE16" i="6"/>
  <c r="AD17" i="6"/>
  <c r="AE17" i="6"/>
  <c r="AD18" i="6"/>
  <c r="AE18" i="6"/>
  <c r="AD19" i="6"/>
  <c r="AE19" i="6"/>
  <c r="AD20" i="6"/>
  <c r="AE20" i="6"/>
  <c r="AD21" i="6"/>
  <c r="AE21" i="6"/>
  <c r="AD22" i="6"/>
  <c r="AE22" i="6"/>
  <c r="AD23" i="6"/>
  <c r="AE23" i="6"/>
  <c r="AD24" i="6"/>
  <c r="AE24" i="6"/>
  <c r="AD25" i="6"/>
  <c r="AE25" i="6"/>
  <c r="AD26" i="6"/>
  <c r="AE26" i="6"/>
  <c r="AD27" i="6"/>
  <c r="AE27" i="6"/>
  <c r="AD28" i="6"/>
  <c r="AE28" i="6"/>
  <c r="AD29" i="6"/>
  <c r="AE29" i="6"/>
  <c r="AD30" i="6"/>
  <c r="AE30" i="6"/>
  <c r="AD31" i="6"/>
  <c r="AE31" i="6"/>
  <c r="AD32" i="6"/>
  <c r="AE32" i="6"/>
  <c r="AD33" i="6"/>
  <c r="AE33" i="6"/>
  <c r="AD34" i="6"/>
  <c r="AE34" i="6"/>
  <c r="AD35" i="6"/>
  <c r="AE35" i="6"/>
  <c r="AD36" i="6"/>
  <c r="AE36" i="6"/>
  <c r="AD37" i="6"/>
  <c r="AE37" i="6"/>
  <c r="AD38" i="6"/>
  <c r="AE38" i="6"/>
  <c r="AD39" i="6"/>
  <c r="AE39" i="6"/>
  <c r="AD40" i="6"/>
  <c r="AE40" i="6"/>
  <c r="AD41" i="6"/>
  <c r="AE41" i="6"/>
  <c r="AD42" i="6"/>
  <c r="AE42" i="6"/>
  <c r="AD43" i="6"/>
  <c r="AE43" i="6"/>
  <c r="AD44" i="6"/>
  <c r="AE44" i="6"/>
  <c r="AD45" i="6"/>
  <c r="AE45" i="6"/>
  <c r="AD46" i="6"/>
  <c r="AE46" i="6"/>
  <c r="AD47" i="6"/>
  <c r="AE47" i="6"/>
  <c r="AD48" i="6"/>
  <c r="AE48" i="6"/>
  <c r="AD49" i="6"/>
  <c r="AE49" i="6"/>
  <c r="AD50" i="6"/>
  <c r="AE50" i="6"/>
  <c r="AD51" i="6"/>
  <c r="AE51" i="6"/>
  <c r="AD52" i="6"/>
  <c r="AE52" i="6"/>
  <c r="AD53" i="6"/>
  <c r="AE53" i="6"/>
  <c r="AD54" i="6"/>
  <c r="AE54" i="6"/>
  <c r="AD55" i="6"/>
  <c r="AE55" i="6"/>
  <c r="AD56" i="6"/>
  <c r="AE56" i="6"/>
  <c r="AD57" i="6"/>
  <c r="AE57" i="6"/>
  <c r="AD58" i="6"/>
  <c r="AE58" i="6"/>
  <c r="AD59" i="6"/>
  <c r="AE59" i="6"/>
  <c r="AD60" i="6"/>
  <c r="AE60" i="6"/>
  <c r="AD61" i="6"/>
  <c r="AE61" i="6"/>
  <c r="AD62" i="6"/>
  <c r="AE62" i="6"/>
  <c r="AD63" i="6"/>
  <c r="AE63" i="6"/>
  <c r="AD64" i="6"/>
  <c r="AE64" i="6"/>
  <c r="AD65" i="6"/>
  <c r="AE65" i="6"/>
  <c r="AD66" i="6"/>
  <c r="AE66" i="6"/>
  <c r="AD67" i="6"/>
  <c r="AE67" i="6"/>
  <c r="AD68" i="6"/>
  <c r="AE68" i="6"/>
  <c r="AD69" i="6"/>
  <c r="AE69" i="6"/>
  <c r="AD70" i="6"/>
  <c r="AE70" i="6"/>
  <c r="AD71" i="6"/>
  <c r="AE71" i="6"/>
  <c r="AD72" i="6"/>
  <c r="AE72" i="6"/>
  <c r="AD73" i="6"/>
  <c r="AE73" i="6"/>
  <c r="AD74" i="6"/>
  <c r="AE74" i="6"/>
  <c r="AD75" i="6"/>
  <c r="AE75" i="6"/>
  <c r="AD76" i="6"/>
  <c r="AE76" i="6"/>
  <c r="AD77" i="6"/>
  <c r="AE77" i="6"/>
  <c r="AD78" i="6"/>
  <c r="AE78" i="6"/>
  <c r="AD79" i="6"/>
  <c r="AE79" i="6"/>
  <c r="AD80" i="6"/>
  <c r="AE80" i="6"/>
  <c r="AD81" i="6"/>
  <c r="AE81" i="6"/>
  <c r="AD82" i="6"/>
  <c r="AE82" i="6"/>
  <c r="AD83" i="6"/>
  <c r="AE83" i="6"/>
  <c r="AD84" i="6"/>
  <c r="AE84" i="6"/>
  <c r="AD85" i="6"/>
  <c r="AE85" i="6"/>
  <c r="AD86" i="6"/>
  <c r="AE86" i="6"/>
  <c r="AD87" i="6"/>
  <c r="AE87" i="6"/>
  <c r="AD88" i="6"/>
  <c r="AE88" i="6"/>
  <c r="AD89" i="6"/>
  <c r="AE89" i="6"/>
  <c r="AD90" i="6"/>
  <c r="AE90" i="6"/>
  <c r="AD91" i="6"/>
  <c r="AE91" i="6"/>
  <c r="AD92" i="6"/>
  <c r="AE92" i="6"/>
  <c r="AD93" i="6"/>
  <c r="AE93" i="6"/>
  <c r="AD94" i="6"/>
  <c r="AE94" i="6"/>
  <c r="AD95" i="6"/>
  <c r="AE95" i="6"/>
  <c r="AD96" i="6"/>
  <c r="AE96" i="6"/>
  <c r="AD97" i="6"/>
  <c r="AE97" i="6"/>
  <c r="AD98" i="6"/>
  <c r="AE98" i="6"/>
  <c r="AD99" i="6"/>
  <c r="AE99" i="6"/>
  <c r="AD100" i="6"/>
  <c r="AE100" i="6"/>
  <c r="AD101" i="6"/>
  <c r="AE101" i="6"/>
  <c r="AD102" i="6"/>
  <c r="AE102" i="6"/>
  <c r="AD103" i="6"/>
  <c r="AE103" i="6"/>
  <c r="AD104" i="6"/>
  <c r="AE104" i="6"/>
  <c r="AD105" i="6"/>
  <c r="AE105" i="6"/>
  <c r="AD106" i="6"/>
  <c r="AE106" i="6"/>
  <c r="AD107" i="6"/>
  <c r="AE107" i="6"/>
  <c r="AD108" i="6"/>
  <c r="AE108" i="6"/>
  <c r="AD109" i="6"/>
  <c r="AE109" i="6"/>
  <c r="AD110" i="6"/>
  <c r="AE110" i="6"/>
  <c r="AD111" i="6"/>
  <c r="AE111" i="6"/>
  <c r="AD112" i="6"/>
  <c r="AE112" i="6"/>
  <c r="AD113" i="6"/>
  <c r="AE113" i="6"/>
  <c r="AD114" i="6"/>
  <c r="AE114" i="6"/>
  <c r="AD115" i="6"/>
  <c r="AE115" i="6"/>
  <c r="AD116" i="6"/>
  <c r="AE116" i="6"/>
  <c r="AD117" i="6"/>
  <c r="AE117" i="6"/>
  <c r="AD118" i="6"/>
  <c r="AE118" i="6"/>
  <c r="AD119" i="6"/>
  <c r="AE119" i="6"/>
  <c r="AD120" i="6"/>
  <c r="AE120" i="6"/>
  <c r="AD121" i="6"/>
  <c r="AE121" i="6"/>
  <c r="AD122" i="6"/>
  <c r="AE122" i="6"/>
  <c r="AD123" i="6"/>
  <c r="AE123" i="6"/>
  <c r="AD124" i="6"/>
  <c r="AE124" i="6"/>
  <c r="AD125" i="6"/>
  <c r="AE125" i="6"/>
  <c r="AD126" i="6"/>
  <c r="AE126" i="6"/>
  <c r="AD127" i="6"/>
  <c r="AE127" i="6"/>
  <c r="AD128" i="6"/>
  <c r="AE128" i="6"/>
  <c r="AD129" i="6"/>
  <c r="AE129" i="6"/>
  <c r="AD130" i="6"/>
  <c r="AE130" i="6"/>
  <c r="AD131" i="6"/>
  <c r="AE131" i="6"/>
  <c r="AD132" i="6"/>
  <c r="AE132" i="6"/>
  <c r="AD133" i="6"/>
  <c r="AE133" i="6"/>
  <c r="AD134" i="6"/>
  <c r="AE134" i="6"/>
  <c r="AD135" i="6"/>
  <c r="AE135" i="6"/>
  <c r="AD136" i="6"/>
  <c r="AE136" i="6"/>
  <c r="AD137" i="6"/>
  <c r="AE137" i="6"/>
  <c r="AD138" i="6"/>
  <c r="AE138" i="6"/>
  <c r="AD139" i="6"/>
  <c r="AE139" i="6"/>
  <c r="AD140" i="6"/>
  <c r="AE140" i="6"/>
  <c r="AD141" i="6"/>
  <c r="AE141" i="6"/>
  <c r="AD142" i="6"/>
  <c r="AE142" i="6"/>
  <c r="AD143" i="6"/>
  <c r="AE143" i="6"/>
  <c r="AD144" i="6"/>
  <c r="AE144" i="6"/>
  <c r="AD145" i="6"/>
  <c r="AE145" i="6"/>
  <c r="AD146" i="6"/>
  <c r="AE146" i="6"/>
  <c r="AD147" i="6"/>
  <c r="AE147" i="6"/>
  <c r="AD148" i="6"/>
  <c r="AE148" i="6"/>
  <c r="AD149" i="6"/>
  <c r="AE149" i="6"/>
  <c r="AD150" i="6"/>
  <c r="AE150" i="6"/>
  <c r="AD151" i="6"/>
  <c r="AE151" i="6"/>
  <c r="AD152" i="6"/>
  <c r="AE152" i="6"/>
  <c r="AD153" i="6"/>
  <c r="AE153" i="6"/>
  <c r="AD154" i="6"/>
  <c r="AE154" i="6"/>
  <c r="AD155" i="6"/>
  <c r="AE155" i="6"/>
  <c r="AD156" i="6"/>
  <c r="AE156" i="6"/>
  <c r="AD157" i="6"/>
  <c r="AE157" i="6"/>
  <c r="AD158" i="6"/>
  <c r="AE158" i="6"/>
  <c r="AD159" i="6"/>
  <c r="AE159" i="6"/>
  <c r="AD160" i="6"/>
  <c r="AE160" i="6"/>
  <c r="AD161" i="6"/>
  <c r="AE161" i="6"/>
  <c r="AD162" i="6"/>
  <c r="AE162" i="6"/>
  <c r="AD163" i="6"/>
  <c r="AE163" i="6"/>
  <c r="AD164" i="6"/>
  <c r="AE164" i="6"/>
  <c r="AD165" i="6"/>
  <c r="AE165" i="6"/>
  <c r="AD166" i="6"/>
  <c r="AE166" i="6"/>
  <c r="AD167" i="6"/>
  <c r="AE167" i="6"/>
  <c r="AD168" i="6"/>
  <c r="AE168" i="6"/>
  <c r="AD169" i="6"/>
  <c r="AE169" i="6"/>
  <c r="AD170" i="6"/>
  <c r="AE170" i="6"/>
  <c r="AD171" i="6"/>
  <c r="AE171" i="6"/>
  <c r="AD172" i="6"/>
  <c r="AE172" i="6"/>
  <c r="AD173" i="6"/>
  <c r="AE173" i="6"/>
  <c r="AD174" i="6"/>
  <c r="AE174" i="6"/>
  <c r="AD175" i="6"/>
  <c r="AE175" i="6"/>
  <c r="AD176" i="6"/>
  <c r="AE176" i="6"/>
  <c r="AD177" i="6"/>
  <c r="AE177" i="6"/>
  <c r="AD178" i="6"/>
  <c r="AE178" i="6"/>
  <c r="AE3" i="6"/>
  <c r="AD3" i="6"/>
  <c r="Z4" i="6"/>
  <c r="AA4" i="6"/>
  <c r="Z5" i="6"/>
  <c r="AA5" i="6"/>
  <c r="Z6" i="6"/>
  <c r="AA6" i="6"/>
  <c r="Z7" i="6"/>
  <c r="AA7" i="6"/>
  <c r="Z8" i="6"/>
  <c r="AA8" i="6"/>
  <c r="Z9" i="6"/>
  <c r="AA9" i="6"/>
  <c r="Z10" i="6"/>
  <c r="AA10" i="6"/>
  <c r="Z11" i="6"/>
  <c r="AA11" i="6"/>
  <c r="Z12" i="6"/>
  <c r="AA12" i="6"/>
  <c r="Z13" i="6"/>
  <c r="AA13" i="6"/>
  <c r="Z14" i="6"/>
  <c r="AA14" i="6"/>
  <c r="Z15" i="6"/>
  <c r="AA15" i="6"/>
  <c r="Z16" i="6"/>
  <c r="AA16" i="6"/>
  <c r="Z17" i="6"/>
  <c r="AA17" i="6"/>
  <c r="Z18" i="6"/>
  <c r="AA18" i="6"/>
  <c r="Z19" i="6"/>
  <c r="AA19" i="6"/>
  <c r="Z20" i="6"/>
  <c r="AA20" i="6"/>
  <c r="Z21" i="6"/>
  <c r="AA21" i="6"/>
  <c r="Z22" i="6"/>
  <c r="AA22" i="6"/>
  <c r="Z23" i="6"/>
  <c r="AA23" i="6"/>
  <c r="Z24" i="6"/>
  <c r="AA24" i="6"/>
  <c r="Z25" i="6"/>
  <c r="AA25" i="6"/>
  <c r="Z26" i="6"/>
  <c r="AA26" i="6"/>
  <c r="Z27" i="6"/>
  <c r="AA27" i="6"/>
  <c r="Z28" i="6"/>
  <c r="AA28" i="6"/>
  <c r="Z29" i="6"/>
  <c r="AA29" i="6"/>
  <c r="Z30" i="6"/>
  <c r="AA30" i="6"/>
  <c r="Z31" i="6"/>
  <c r="AA31" i="6"/>
  <c r="Z32" i="6"/>
  <c r="AA32" i="6"/>
  <c r="Z33" i="6"/>
  <c r="AA33" i="6"/>
  <c r="Z34" i="6"/>
  <c r="AA34" i="6"/>
  <c r="Z35" i="6"/>
  <c r="AA35" i="6"/>
  <c r="Z36" i="6"/>
  <c r="AA36" i="6"/>
  <c r="Z37" i="6"/>
  <c r="AA37" i="6"/>
  <c r="Z38" i="6"/>
  <c r="AA38" i="6"/>
  <c r="Z39" i="6"/>
  <c r="AA39" i="6"/>
  <c r="Z40" i="6"/>
  <c r="AA40" i="6"/>
  <c r="Z41" i="6"/>
  <c r="AA41" i="6"/>
  <c r="Z42" i="6"/>
  <c r="AA42" i="6"/>
  <c r="Z43" i="6"/>
  <c r="AA43" i="6"/>
  <c r="Z44" i="6"/>
  <c r="AA44" i="6"/>
  <c r="Z45" i="6"/>
  <c r="AA45" i="6"/>
  <c r="Z46" i="6"/>
  <c r="AA46" i="6"/>
  <c r="Z47" i="6"/>
  <c r="AA47" i="6"/>
  <c r="Z48" i="6"/>
  <c r="AA48" i="6"/>
  <c r="Z49" i="6"/>
  <c r="AA49" i="6"/>
  <c r="Z50" i="6"/>
  <c r="AA50" i="6"/>
  <c r="Z51" i="6"/>
  <c r="AA51" i="6"/>
  <c r="Z52" i="6"/>
  <c r="AA52" i="6"/>
  <c r="Z53" i="6"/>
  <c r="AA53" i="6"/>
  <c r="Z54" i="6"/>
  <c r="AA54" i="6"/>
  <c r="Z55" i="6"/>
  <c r="AA55" i="6"/>
  <c r="Z56" i="6"/>
  <c r="AA56" i="6"/>
  <c r="Z57" i="6"/>
  <c r="AA57" i="6"/>
  <c r="Z58" i="6"/>
  <c r="AA58" i="6"/>
  <c r="Z59" i="6"/>
  <c r="AA59" i="6"/>
  <c r="Z60" i="6"/>
  <c r="AA60" i="6"/>
  <c r="Z61" i="6"/>
  <c r="AA61" i="6"/>
  <c r="Z62" i="6"/>
  <c r="AA62" i="6"/>
  <c r="Z63" i="6"/>
  <c r="AA63" i="6"/>
  <c r="Z64" i="6"/>
  <c r="AA64" i="6"/>
  <c r="Z65" i="6"/>
  <c r="AA65" i="6"/>
  <c r="Z66" i="6"/>
  <c r="AA66" i="6"/>
  <c r="Z67" i="6"/>
  <c r="AA67" i="6"/>
  <c r="Z68" i="6"/>
  <c r="AA68" i="6"/>
  <c r="Z69" i="6"/>
  <c r="AA69" i="6"/>
  <c r="Z70" i="6"/>
  <c r="AA70" i="6"/>
  <c r="Z71" i="6"/>
  <c r="AA71" i="6"/>
  <c r="Z72" i="6"/>
  <c r="AA72" i="6"/>
  <c r="Z73" i="6"/>
  <c r="AA73" i="6"/>
  <c r="Z74" i="6"/>
  <c r="AA74" i="6"/>
  <c r="Z75" i="6"/>
  <c r="AA75" i="6"/>
  <c r="Z76" i="6"/>
  <c r="AA76" i="6"/>
  <c r="Z77" i="6"/>
  <c r="AA77" i="6"/>
  <c r="Z78" i="6"/>
  <c r="AA78" i="6"/>
  <c r="Z79" i="6"/>
  <c r="AA79" i="6"/>
  <c r="Z80" i="6"/>
  <c r="AA80" i="6"/>
  <c r="Z81" i="6"/>
  <c r="AA81" i="6"/>
  <c r="Z82" i="6"/>
  <c r="AA82" i="6"/>
  <c r="Z83" i="6"/>
  <c r="AA83" i="6"/>
  <c r="Z84" i="6"/>
  <c r="AA84" i="6"/>
  <c r="Z85" i="6"/>
  <c r="AA85" i="6"/>
  <c r="Z86" i="6"/>
  <c r="AA86" i="6"/>
  <c r="Z87" i="6"/>
  <c r="AA87" i="6"/>
  <c r="Z88" i="6"/>
  <c r="AA88" i="6"/>
  <c r="Z89" i="6"/>
  <c r="AA89" i="6"/>
  <c r="Z90" i="6"/>
  <c r="AA90" i="6"/>
  <c r="Z91" i="6"/>
  <c r="AA91" i="6"/>
  <c r="Z92" i="6"/>
  <c r="AA92" i="6"/>
  <c r="Z93" i="6"/>
  <c r="AA93" i="6"/>
  <c r="Z94" i="6"/>
  <c r="AA94" i="6"/>
  <c r="Z95" i="6"/>
  <c r="AA95" i="6"/>
  <c r="Z96" i="6"/>
  <c r="AA96" i="6"/>
  <c r="Z97" i="6"/>
  <c r="AA97" i="6"/>
  <c r="Z98" i="6"/>
  <c r="AA98" i="6"/>
  <c r="Z99" i="6"/>
  <c r="AA99" i="6"/>
  <c r="Z100" i="6"/>
  <c r="AA100" i="6"/>
  <c r="Z101" i="6"/>
  <c r="AA101" i="6"/>
  <c r="Z102" i="6"/>
  <c r="AA102" i="6"/>
  <c r="Z103" i="6"/>
  <c r="AA103" i="6"/>
  <c r="Z104" i="6"/>
  <c r="AA104" i="6"/>
  <c r="Z105" i="6"/>
  <c r="AA105" i="6"/>
  <c r="Z106" i="6"/>
  <c r="AA106" i="6"/>
  <c r="Z107" i="6"/>
  <c r="AA107" i="6"/>
  <c r="Z108" i="6"/>
  <c r="AA108" i="6"/>
  <c r="Z109" i="6"/>
  <c r="AA109" i="6"/>
  <c r="Z110" i="6"/>
  <c r="AA110" i="6"/>
  <c r="Z111" i="6"/>
  <c r="AA111" i="6"/>
  <c r="Z112" i="6"/>
  <c r="AA112" i="6"/>
  <c r="Z113" i="6"/>
  <c r="AA113" i="6"/>
  <c r="Z114" i="6"/>
  <c r="AA114" i="6"/>
  <c r="Z115" i="6"/>
  <c r="AA115" i="6"/>
  <c r="Z116" i="6"/>
  <c r="AA116" i="6"/>
  <c r="Z117" i="6"/>
  <c r="AA117" i="6"/>
  <c r="Z118" i="6"/>
  <c r="AA118" i="6"/>
  <c r="Z119" i="6"/>
  <c r="AA119" i="6"/>
  <c r="Z120" i="6"/>
  <c r="AA120" i="6"/>
  <c r="Z121" i="6"/>
  <c r="AA121" i="6"/>
  <c r="Z122" i="6"/>
  <c r="AA122" i="6"/>
  <c r="Z123" i="6"/>
  <c r="AA123" i="6"/>
  <c r="Z124" i="6"/>
  <c r="AA124" i="6"/>
  <c r="Z125" i="6"/>
  <c r="AA125" i="6"/>
  <c r="Z126" i="6"/>
  <c r="AA126" i="6"/>
  <c r="Z127" i="6"/>
  <c r="AA127" i="6"/>
  <c r="Z128" i="6"/>
  <c r="AA128" i="6"/>
  <c r="Z129" i="6"/>
  <c r="AA129" i="6"/>
  <c r="Z130" i="6"/>
  <c r="AA130" i="6"/>
  <c r="Z131" i="6"/>
  <c r="AA131" i="6"/>
  <c r="Z132" i="6"/>
  <c r="AA132" i="6"/>
  <c r="Z133" i="6"/>
  <c r="AA133" i="6"/>
  <c r="Z134" i="6"/>
  <c r="AA134" i="6"/>
  <c r="Z135" i="6"/>
  <c r="AA135" i="6"/>
  <c r="Z136" i="6"/>
  <c r="AA136" i="6"/>
  <c r="Z137" i="6"/>
  <c r="AA137" i="6"/>
  <c r="Z138" i="6"/>
  <c r="AA138" i="6"/>
  <c r="Z139" i="6"/>
  <c r="AA139" i="6"/>
  <c r="Z140" i="6"/>
  <c r="AA140" i="6"/>
  <c r="Z141" i="6"/>
  <c r="AA141" i="6"/>
  <c r="Z142" i="6"/>
  <c r="AA142" i="6"/>
  <c r="Z143" i="6"/>
  <c r="AA143" i="6"/>
  <c r="Z144" i="6"/>
  <c r="AA144" i="6"/>
  <c r="Z145" i="6"/>
  <c r="AA145" i="6"/>
  <c r="Z146" i="6"/>
  <c r="AA146" i="6"/>
  <c r="Z147" i="6"/>
  <c r="AA147" i="6"/>
  <c r="Z148" i="6"/>
  <c r="AA148" i="6"/>
  <c r="Z149" i="6"/>
  <c r="AA149" i="6"/>
  <c r="Z150" i="6"/>
  <c r="AA150" i="6"/>
  <c r="Z151" i="6"/>
  <c r="AA151" i="6"/>
  <c r="Z152" i="6"/>
  <c r="AA152" i="6"/>
  <c r="Z153" i="6"/>
  <c r="AA153" i="6"/>
  <c r="Z154" i="6"/>
  <c r="AA154" i="6"/>
  <c r="Z155" i="6"/>
  <c r="AA155" i="6"/>
  <c r="Z156" i="6"/>
  <c r="AA156" i="6"/>
  <c r="Z157" i="6"/>
  <c r="AA157" i="6"/>
  <c r="Z158" i="6"/>
  <c r="AA158" i="6"/>
  <c r="Z159" i="6"/>
  <c r="AA159" i="6"/>
  <c r="Z160" i="6"/>
  <c r="AA160" i="6"/>
  <c r="Z161" i="6"/>
  <c r="AA161" i="6"/>
  <c r="Z162" i="6"/>
  <c r="AA162" i="6"/>
  <c r="Z163" i="6"/>
  <c r="AA163" i="6"/>
  <c r="Z164" i="6"/>
  <c r="AA164" i="6"/>
  <c r="Z165" i="6"/>
  <c r="AA165" i="6"/>
  <c r="Z166" i="6"/>
  <c r="AA166" i="6"/>
  <c r="Z167" i="6"/>
  <c r="AA167" i="6"/>
  <c r="Z168" i="6"/>
  <c r="AA168" i="6"/>
  <c r="Z169" i="6"/>
  <c r="AA169" i="6"/>
  <c r="Z170" i="6"/>
  <c r="AA170" i="6"/>
  <c r="Z171" i="6"/>
  <c r="AA171" i="6"/>
  <c r="Z172" i="6"/>
  <c r="AA172" i="6"/>
  <c r="Z173" i="6"/>
  <c r="AA173" i="6"/>
  <c r="Z174" i="6"/>
  <c r="AA174" i="6"/>
  <c r="Z175" i="6"/>
  <c r="AA175" i="6"/>
  <c r="Z176" i="6"/>
  <c r="AA176" i="6"/>
  <c r="Z177" i="6"/>
  <c r="AA177" i="6"/>
  <c r="Z178" i="6"/>
  <c r="AA178" i="6"/>
  <c r="AA3" i="6"/>
  <c r="Z3" i="6"/>
  <c r="N3" i="6"/>
  <c r="N4" i="6"/>
  <c r="N5" i="6"/>
  <c r="N6" i="6"/>
  <c r="N7" i="6"/>
  <c r="N8" i="6"/>
  <c r="N9" i="6"/>
  <c r="N10" i="6"/>
  <c r="N11" i="6"/>
  <c r="N12" i="6"/>
  <c r="N13" i="6"/>
  <c r="N14" i="6"/>
  <c r="N15" i="6"/>
  <c r="N16" i="6"/>
  <c r="N17" i="6"/>
  <c r="N18" i="6"/>
  <c r="N19" i="6"/>
  <c r="N20" i="6"/>
  <c r="N21" i="6"/>
  <c r="N22" i="6"/>
  <c r="N23" i="6"/>
  <c r="N24" i="6"/>
  <c r="N25" i="6"/>
  <c r="N26" i="6"/>
  <c r="N27" i="6"/>
  <c r="N28" i="6"/>
  <c r="N29" i="6"/>
  <c r="N30" i="6"/>
  <c r="N31" i="6"/>
  <c r="N32" i="6"/>
  <c r="N33" i="6"/>
  <c r="N34" i="6"/>
  <c r="N35" i="6"/>
  <c r="N36" i="6"/>
  <c r="N37" i="6"/>
  <c r="N38" i="6"/>
  <c r="N39" i="6"/>
  <c r="N40" i="6"/>
  <c r="N41" i="6"/>
  <c r="N42" i="6"/>
  <c r="N43" i="6"/>
  <c r="N44" i="6"/>
  <c r="N45" i="6"/>
  <c r="N46" i="6"/>
  <c r="N47" i="6"/>
  <c r="N48" i="6"/>
  <c r="N49" i="6"/>
  <c r="N50" i="6"/>
  <c r="N51" i="6"/>
  <c r="N52" i="6"/>
  <c r="N53" i="6"/>
  <c r="N54" i="6"/>
  <c r="N55" i="6"/>
  <c r="N56" i="6"/>
  <c r="N57" i="6"/>
  <c r="N58" i="6"/>
  <c r="N59" i="6"/>
  <c r="N60" i="6"/>
  <c r="N61" i="6"/>
  <c r="N62" i="6"/>
  <c r="N63" i="6"/>
  <c r="N64" i="6"/>
  <c r="N65" i="6"/>
  <c r="N66" i="6"/>
  <c r="N67" i="6"/>
  <c r="N68" i="6"/>
  <c r="N69" i="6"/>
  <c r="N70" i="6"/>
  <c r="N71" i="6"/>
  <c r="N72" i="6"/>
  <c r="N73" i="6"/>
  <c r="N74" i="6"/>
  <c r="N75" i="6"/>
  <c r="N76" i="6"/>
  <c r="N77" i="6"/>
  <c r="N78" i="6"/>
  <c r="N79" i="6"/>
  <c r="N80" i="6"/>
  <c r="N81" i="6"/>
  <c r="N82" i="6"/>
  <c r="N83" i="6"/>
  <c r="N84" i="6"/>
  <c r="N85" i="6"/>
  <c r="N86" i="6"/>
  <c r="N87" i="6"/>
  <c r="N88" i="6"/>
  <c r="N89" i="6"/>
  <c r="N90" i="6"/>
  <c r="N91" i="6"/>
  <c r="N92" i="6"/>
  <c r="N93" i="6"/>
  <c r="N94" i="6"/>
  <c r="N95" i="6"/>
  <c r="N96" i="6"/>
  <c r="N97" i="6"/>
  <c r="N98" i="6"/>
  <c r="N99" i="6"/>
  <c r="N100" i="6"/>
  <c r="N101" i="6"/>
  <c r="N102" i="6"/>
  <c r="N103" i="6"/>
  <c r="N104" i="6"/>
  <c r="N105" i="6"/>
  <c r="N106" i="6"/>
  <c r="N107" i="6"/>
  <c r="N108" i="6"/>
  <c r="N109" i="6"/>
  <c r="N110" i="6"/>
  <c r="N111" i="6"/>
  <c r="N112" i="6"/>
  <c r="N113" i="6"/>
  <c r="N114" i="6"/>
  <c r="N115" i="6"/>
  <c r="N116" i="6"/>
  <c r="N117" i="6"/>
  <c r="N118" i="6"/>
  <c r="N119" i="6"/>
  <c r="N120" i="6"/>
  <c r="N121" i="6"/>
  <c r="N122" i="6"/>
  <c r="N123" i="6"/>
  <c r="N124" i="6"/>
  <c r="N125" i="6"/>
  <c r="N126" i="6"/>
  <c r="N127" i="6"/>
  <c r="N128" i="6"/>
  <c r="N129" i="6"/>
  <c r="N130" i="6"/>
  <c r="N131" i="6"/>
  <c r="N132" i="6"/>
  <c r="N133" i="6"/>
  <c r="N134" i="6"/>
  <c r="N135" i="6"/>
  <c r="N136" i="6"/>
  <c r="N137" i="6"/>
  <c r="N138" i="6"/>
  <c r="N139" i="6"/>
  <c r="N140" i="6"/>
  <c r="N141" i="6"/>
  <c r="N142" i="6"/>
  <c r="N143" i="6"/>
  <c r="N144" i="6"/>
  <c r="N145" i="6"/>
  <c r="N146" i="6"/>
  <c r="N147" i="6"/>
  <c r="N148" i="6"/>
  <c r="N149" i="6"/>
  <c r="N150" i="6"/>
  <c r="N151" i="6"/>
  <c r="N152" i="6"/>
  <c r="N153" i="6"/>
  <c r="N154" i="6"/>
  <c r="N155" i="6"/>
  <c r="N156" i="6"/>
  <c r="N157" i="6"/>
  <c r="N158" i="6"/>
  <c r="N159" i="6"/>
  <c r="N160" i="6"/>
  <c r="N161" i="6"/>
  <c r="N162" i="6"/>
  <c r="N163" i="6"/>
  <c r="N164" i="6"/>
  <c r="N165" i="6"/>
  <c r="N166" i="6"/>
  <c r="N167" i="6"/>
  <c r="N168" i="6"/>
  <c r="N169" i="6"/>
  <c r="N170" i="6"/>
  <c r="N2" i="6"/>
  <c r="AB4" i="4"/>
  <c r="AB5" i="4"/>
  <c r="AB6" i="4"/>
  <c r="AB7" i="4"/>
  <c r="AB8" i="4"/>
  <c r="AB9" i="4"/>
  <c r="AB10" i="4"/>
  <c r="AB11" i="4"/>
  <c r="AB12" i="4"/>
  <c r="AB13" i="4"/>
  <c r="AB14" i="4"/>
  <c r="AB15" i="4"/>
  <c r="AB16" i="4"/>
  <c r="AB17" i="4"/>
  <c r="AB18" i="4"/>
  <c r="AB19" i="4"/>
  <c r="AB20" i="4"/>
  <c r="AB21" i="4"/>
  <c r="AB22" i="4"/>
  <c r="AB23" i="4"/>
  <c r="AB24" i="4"/>
  <c r="AB25" i="4"/>
  <c r="AB26" i="4"/>
  <c r="AB27" i="4"/>
  <c r="AB28" i="4"/>
  <c r="AB29" i="4"/>
  <c r="AB30" i="4"/>
  <c r="AB31" i="4"/>
  <c r="AB32" i="4"/>
  <c r="AB33" i="4"/>
  <c r="AB34" i="4"/>
  <c r="AB35" i="4"/>
  <c r="AB36" i="4"/>
  <c r="AB37" i="4"/>
  <c r="AB38" i="4"/>
  <c r="AB39" i="4"/>
  <c r="AB40" i="4"/>
  <c r="AB41" i="4"/>
  <c r="AB42" i="4"/>
  <c r="AB43" i="4"/>
  <c r="AB44" i="4"/>
  <c r="AB45" i="4"/>
  <c r="AB46" i="4"/>
  <c r="AB47" i="4"/>
  <c r="AB48" i="4"/>
  <c r="AB49" i="4"/>
  <c r="AB50" i="4"/>
  <c r="AB51" i="4"/>
  <c r="AB52" i="4"/>
  <c r="AB53" i="4"/>
  <c r="AB54" i="4"/>
  <c r="AB55" i="4"/>
  <c r="AB56" i="4"/>
  <c r="AB57" i="4"/>
  <c r="AB58" i="4"/>
  <c r="AB59" i="4"/>
  <c r="AB60" i="4"/>
  <c r="AB61" i="4"/>
  <c r="AB62" i="4"/>
  <c r="AB63" i="4"/>
  <c r="AB64" i="4"/>
  <c r="AB65" i="4"/>
  <c r="AB66" i="4"/>
  <c r="AB67" i="4"/>
  <c r="AB68" i="4"/>
  <c r="AB69" i="4"/>
  <c r="AB70" i="4"/>
  <c r="AB71" i="4"/>
  <c r="AB72" i="4"/>
  <c r="AB73" i="4"/>
  <c r="AB74" i="4"/>
  <c r="AB75" i="4"/>
  <c r="AB76" i="4"/>
  <c r="AB77" i="4"/>
  <c r="AB78" i="4"/>
  <c r="AB79" i="4"/>
  <c r="AB80" i="4"/>
  <c r="AB81" i="4"/>
  <c r="AB82" i="4"/>
  <c r="AB83" i="4"/>
  <c r="AB84" i="4"/>
  <c r="AB85" i="4"/>
  <c r="AB86" i="4"/>
  <c r="AB87" i="4"/>
  <c r="AB88" i="4"/>
  <c r="AB89" i="4"/>
  <c r="AB90" i="4"/>
  <c r="AB91" i="4"/>
  <c r="AB92" i="4"/>
  <c r="AB93" i="4"/>
  <c r="AB94" i="4"/>
  <c r="AB95" i="4"/>
  <c r="AB96" i="4"/>
  <c r="AB97" i="4"/>
  <c r="AB98" i="4"/>
  <c r="AB99" i="4"/>
  <c r="AB100" i="4"/>
  <c r="AB101" i="4"/>
  <c r="AB102" i="4"/>
  <c r="AB103" i="4"/>
  <c r="AB104" i="4"/>
  <c r="AB105" i="4"/>
  <c r="AB106" i="4"/>
  <c r="AB107" i="4"/>
  <c r="AB108" i="4"/>
  <c r="AB109" i="4"/>
  <c r="AB110" i="4"/>
  <c r="AB111" i="4"/>
  <c r="AB112" i="4"/>
  <c r="AB113" i="4"/>
  <c r="AB114" i="4"/>
  <c r="AB115" i="4"/>
  <c r="AB116" i="4"/>
  <c r="AB117" i="4"/>
  <c r="AB118" i="4"/>
  <c r="AB119" i="4"/>
  <c r="AB120" i="4"/>
  <c r="AB121" i="4"/>
  <c r="AB122" i="4"/>
  <c r="AB123" i="4"/>
  <c r="AB124" i="4"/>
  <c r="AB125" i="4"/>
  <c r="AB126" i="4"/>
  <c r="AB127" i="4"/>
  <c r="AB128" i="4"/>
  <c r="AB129" i="4"/>
  <c r="AB130" i="4"/>
  <c r="AB131" i="4"/>
  <c r="AB132" i="4"/>
  <c r="AB133" i="4"/>
  <c r="AB134" i="4"/>
  <c r="AB135" i="4"/>
  <c r="AB136" i="4"/>
  <c r="AB137" i="4"/>
  <c r="AB138" i="4"/>
  <c r="AB139" i="4"/>
  <c r="AB140" i="4"/>
  <c r="AB141" i="4"/>
  <c r="AB142" i="4"/>
  <c r="AB143" i="4"/>
  <c r="AB144" i="4"/>
  <c r="AB145" i="4"/>
  <c r="AB146" i="4"/>
  <c r="AB147" i="4"/>
  <c r="AB148" i="4"/>
  <c r="AB149" i="4"/>
  <c r="AB150" i="4"/>
  <c r="AB151" i="4"/>
  <c r="AB152" i="4"/>
  <c r="AB153" i="4"/>
  <c r="AB154" i="4"/>
  <c r="AB155" i="4"/>
  <c r="AB156" i="4"/>
  <c r="AB157" i="4"/>
  <c r="AB158" i="4"/>
  <c r="AB159" i="4"/>
  <c r="AB160" i="4"/>
  <c r="AB161" i="4"/>
  <c r="AB162" i="4"/>
  <c r="AB163" i="4"/>
  <c r="AB164" i="4"/>
  <c r="AA4" i="4"/>
  <c r="AA5" i="4"/>
  <c r="AA6" i="4"/>
  <c r="AA7" i="4"/>
  <c r="AA8" i="4"/>
  <c r="AA9" i="4"/>
  <c r="AA10" i="4"/>
  <c r="AA11" i="4"/>
  <c r="AA12" i="4"/>
  <c r="AA13" i="4"/>
  <c r="AA14" i="4"/>
  <c r="AA15" i="4"/>
  <c r="AA16" i="4"/>
  <c r="AA17" i="4"/>
  <c r="AA18" i="4"/>
  <c r="AA19" i="4"/>
  <c r="AA20" i="4"/>
  <c r="AA21" i="4"/>
  <c r="AA22" i="4"/>
  <c r="AA23" i="4"/>
  <c r="AA24" i="4"/>
  <c r="AA25" i="4"/>
  <c r="AA26" i="4"/>
  <c r="AA27" i="4"/>
  <c r="AA28" i="4"/>
  <c r="AA29" i="4"/>
  <c r="AA30" i="4"/>
  <c r="AA31" i="4"/>
  <c r="AA32" i="4"/>
  <c r="AA33" i="4"/>
  <c r="AA34" i="4"/>
  <c r="AA35" i="4"/>
  <c r="AA36" i="4"/>
  <c r="AA37" i="4"/>
  <c r="AA38" i="4"/>
  <c r="AA39" i="4"/>
  <c r="AA40" i="4"/>
  <c r="AA41" i="4"/>
  <c r="AA42" i="4"/>
  <c r="AA43" i="4"/>
  <c r="AA44" i="4"/>
  <c r="AA45" i="4"/>
  <c r="AA46" i="4"/>
  <c r="AA47" i="4"/>
  <c r="AA48" i="4"/>
  <c r="AA49" i="4"/>
  <c r="AA50" i="4"/>
  <c r="AA51" i="4"/>
  <c r="AA52" i="4"/>
  <c r="AA53" i="4"/>
  <c r="AA54" i="4"/>
  <c r="AA55" i="4"/>
  <c r="AA56" i="4"/>
  <c r="AA57" i="4"/>
  <c r="AA58" i="4"/>
  <c r="AA59" i="4"/>
  <c r="AA60" i="4"/>
  <c r="AA61" i="4"/>
  <c r="AA62" i="4"/>
  <c r="AA63" i="4"/>
  <c r="AA64" i="4"/>
  <c r="AA65" i="4"/>
  <c r="AA66" i="4"/>
  <c r="AA67" i="4"/>
  <c r="AA68" i="4"/>
  <c r="AA69" i="4"/>
  <c r="AA70" i="4"/>
  <c r="AA71" i="4"/>
  <c r="AA72" i="4"/>
  <c r="AA73" i="4"/>
  <c r="AA74" i="4"/>
  <c r="AA75" i="4"/>
  <c r="AA76" i="4"/>
  <c r="AA77" i="4"/>
  <c r="AA78" i="4"/>
  <c r="AA79" i="4"/>
  <c r="AA80" i="4"/>
  <c r="AA81" i="4"/>
  <c r="AA82" i="4"/>
  <c r="AA83" i="4"/>
  <c r="AA84" i="4"/>
  <c r="AA85" i="4"/>
  <c r="AA86" i="4"/>
  <c r="AA87" i="4"/>
  <c r="AA88" i="4"/>
  <c r="AA89" i="4"/>
  <c r="AA90" i="4"/>
  <c r="AA91" i="4"/>
  <c r="AA92" i="4"/>
  <c r="AA93" i="4"/>
  <c r="AA94" i="4"/>
  <c r="AA95" i="4"/>
  <c r="AA96" i="4"/>
  <c r="AA97" i="4"/>
  <c r="AA98" i="4"/>
  <c r="AA99" i="4"/>
  <c r="AA100" i="4"/>
  <c r="AA101" i="4"/>
  <c r="AA102" i="4"/>
  <c r="AA103" i="4"/>
  <c r="AA104" i="4"/>
  <c r="AA105" i="4"/>
  <c r="AA106" i="4"/>
  <c r="AA107" i="4"/>
  <c r="AA108" i="4"/>
  <c r="AA109" i="4"/>
  <c r="AA110" i="4"/>
  <c r="AA111" i="4"/>
  <c r="AA112" i="4"/>
  <c r="AA113" i="4"/>
  <c r="AA114" i="4"/>
  <c r="AA115" i="4"/>
  <c r="AA116" i="4"/>
  <c r="AA117" i="4"/>
  <c r="AA118" i="4"/>
  <c r="AA119" i="4"/>
  <c r="AA120" i="4"/>
  <c r="AA121" i="4"/>
  <c r="AA122" i="4"/>
  <c r="AA123" i="4"/>
  <c r="AA124" i="4"/>
  <c r="AA125" i="4"/>
  <c r="AA126" i="4"/>
  <c r="AA127" i="4"/>
  <c r="AA128" i="4"/>
  <c r="AA129" i="4"/>
  <c r="AA130" i="4"/>
  <c r="AA131" i="4"/>
  <c r="AA132" i="4"/>
  <c r="AA133" i="4"/>
  <c r="AA134" i="4"/>
  <c r="AA135" i="4"/>
  <c r="AA136" i="4"/>
  <c r="AA137" i="4"/>
  <c r="AA138" i="4"/>
  <c r="AA139" i="4"/>
  <c r="AA140" i="4"/>
  <c r="AA141" i="4"/>
  <c r="AA142" i="4"/>
  <c r="AA143" i="4"/>
  <c r="AA144" i="4"/>
  <c r="AA145" i="4"/>
  <c r="AA146" i="4"/>
  <c r="AA147" i="4"/>
  <c r="AA148" i="4"/>
  <c r="AA149" i="4"/>
  <c r="AA150" i="4"/>
  <c r="AA151" i="4"/>
  <c r="AA152" i="4"/>
  <c r="AA153" i="4"/>
  <c r="AA154" i="4"/>
  <c r="AA155" i="4"/>
  <c r="AA156" i="4"/>
  <c r="AA157" i="4"/>
  <c r="AA158" i="4"/>
  <c r="AA159" i="4"/>
  <c r="AA160" i="4"/>
  <c r="AA161" i="4"/>
  <c r="AA162" i="4"/>
  <c r="AA163" i="4"/>
  <c r="AA164" i="4"/>
  <c r="X4" i="4"/>
  <c r="X5" i="4"/>
  <c r="X6" i="4"/>
  <c r="X7" i="4"/>
  <c r="X8" i="4"/>
  <c r="X9" i="4"/>
  <c r="X10" i="4"/>
  <c r="X11" i="4"/>
  <c r="X12" i="4"/>
  <c r="X13" i="4"/>
  <c r="X14" i="4"/>
  <c r="X15" i="4"/>
  <c r="X16" i="4"/>
  <c r="X17" i="4"/>
  <c r="X18" i="4"/>
  <c r="X19" i="4"/>
  <c r="X20" i="4"/>
  <c r="X21" i="4"/>
  <c r="X22" i="4"/>
  <c r="X23" i="4"/>
  <c r="X24" i="4"/>
  <c r="X25" i="4"/>
  <c r="X26" i="4"/>
  <c r="X27" i="4"/>
  <c r="X28" i="4"/>
  <c r="X29" i="4"/>
  <c r="X30" i="4"/>
  <c r="X31" i="4"/>
  <c r="X32" i="4"/>
  <c r="X33" i="4"/>
  <c r="X34" i="4"/>
  <c r="X35" i="4"/>
  <c r="X36" i="4"/>
  <c r="X37" i="4"/>
  <c r="X38" i="4"/>
  <c r="X39" i="4"/>
  <c r="X40" i="4"/>
  <c r="X41" i="4"/>
  <c r="X42" i="4"/>
  <c r="X43" i="4"/>
  <c r="X44" i="4"/>
  <c r="X45" i="4"/>
  <c r="X46" i="4"/>
  <c r="X47" i="4"/>
  <c r="X48" i="4"/>
  <c r="X49" i="4"/>
  <c r="X50" i="4"/>
  <c r="X51" i="4"/>
  <c r="X52" i="4"/>
  <c r="X53" i="4"/>
  <c r="X54" i="4"/>
  <c r="X55" i="4"/>
  <c r="X56" i="4"/>
  <c r="X57" i="4"/>
  <c r="X58" i="4"/>
  <c r="X59" i="4"/>
  <c r="X60" i="4"/>
  <c r="X61" i="4"/>
  <c r="X62" i="4"/>
  <c r="X63" i="4"/>
  <c r="X64" i="4"/>
  <c r="X65" i="4"/>
  <c r="X66" i="4"/>
  <c r="X67" i="4"/>
  <c r="X68" i="4"/>
  <c r="X69" i="4"/>
  <c r="X70" i="4"/>
  <c r="X71" i="4"/>
  <c r="X72" i="4"/>
  <c r="X73" i="4"/>
  <c r="X74" i="4"/>
  <c r="X75" i="4"/>
  <c r="X76" i="4"/>
  <c r="X77" i="4"/>
  <c r="X78" i="4"/>
  <c r="X79" i="4"/>
  <c r="X80" i="4"/>
  <c r="X81" i="4"/>
  <c r="X82" i="4"/>
  <c r="X83" i="4"/>
  <c r="X84" i="4"/>
  <c r="X85" i="4"/>
  <c r="X86" i="4"/>
  <c r="X87" i="4"/>
  <c r="X88" i="4"/>
  <c r="X89" i="4"/>
  <c r="X90" i="4"/>
  <c r="X91" i="4"/>
  <c r="X92" i="4"/>
  <c r="X93" i="4"/>
  <c r="X94" i="4"/>
  <c r="X95" i="4"/>
  <c r="X96" i="4"/>
  <c r="X97" i="4"/>
  <c r="X98" i="4"/>
  <c r="X99" i="4"/>
  <c r="X100" i="4"/>
  <c r="X101" i="4"/>
  <c r="X102" i="4"/>
  <c r="X103" i="4"/>
  <c r="X104" i="4"/>
  <c r="X105" i="4"/>
  <c r="X106" i="4"/>
  <c r="X107" i="4"/>
  <c r="X108" i="4"/>
  <c r="X109" i="4"/>
  <c r="X110" i="4"/>
  <c r="X111" i="4"/>
  <c r="X112" i="4"/>
  <c r="X113" i="4"/>
  <c r="X114" i="4"/>
  <c r="X115" i="4"/>
  <c r="X116" i="4"/>
  <c r="X117" i="4"/>
  <c r="X118" i="4"/>
  <c r="X119" i="4"/>
  <c r="X120" i="4"/>
  <c r="X121" i="4"/>
  <c r="X122" i="4"/>
  <c r="X123" i="4"/>
  <c r="X124" i="4"/>
  <c r="X125" i="4"/>
  <c r="X126" i="4"/>
  <c r="X127" i="4"/>
  <c r="X128" i="4"/>
  <c r="X129" i="4"/>
  <c r="X130" i="4"/>
  <c r="X131" i="4"/>
  <c r="X132" i="4"/>
  <c r="X133" i="4"/>
  <c r="X134" i="4"/>
  <c r="X135" i="4"/>
  <c r="X136" i="4"/>
  <c r="X137" i="4"/>
  <c r="X138" i="4"/>
  <c r="X139" i="4"/>
  <c r="X140" i="4"/>
  <c r="X141" i="4"/>
  <c r="X142" i="4"/>
  <c r="X143" i="4"/>
  <c r="X144" i="4"/>
  <c r="X145" i="4"/>
  <c r="X146" i="4"/>
  <c r="X147" i="4"/>
  <c r="X148" i="4"/>
  <c r="X149" i="4"/>
  <c r="X150" i="4"/>
  <c r="X151" i="4"/>
  <c r="X152" i="4"/>
  <c r="X153" i="4"/>
  <c r="X154" i="4"/>
  <c r="X155" i="4"/>
  <c r="X156" i="4"/>
  <c r="X157" i="4"/>
  <c r="X158" i="4"/>
  <c r="X159" i="4"/>
  <c r="X160" i="4"/>
  <c r="X161" i="4"/>
  <c r="X162" i="4"/>
  <c r="X163" i="4"/>
  <c r="X164" i="4"/>
  <c r="W4" i="4"/>
  <c r="W5" i="4"/>
  <c r="W6" i="4"/>
  <c r="W7" i="4"/>
  <c r="W8" i="4"/>
  <c r="W9" i="4"/>
  <c r="W10" i="4"/>
  <c r="W11" i="4"/>
  <c r="W12" i="4"/>
  <c r="W13" i="4"/>
  <c r="W14" i="4"/>
  <c r="W15" i="4"/>
  <c r="W16" i="4"/>
  <c r="W17" i="4"/>
  <c r="W18" i="4"/>
  <c r="W19" i="4"/>
  <c r="W20" i="4"/>
  <c r="W21" i="4"/>
  <c r="W22" i="4"/>
  <c r="W23" i="4"/>
  <c r="W24" i="4"/>
  <c r="W25" i="4"/>
  <c r="W26" i="4"/>
  <c r="W27" i="4"/>
  <c r="W28" i="4"/>
  <c r="W29" i="4"/>
  <c r="W30" i="4"/>
  <c r="W31" i="4"/>
  <c r="W32" i="4"/>
  <c r="W33" i="4"/>
  <c r="W34" i="4"/>
  <c r="W35" i="4"/>
  <c r="W36" i="4"/>
  <c r="W37" i="4"/>
  <c r="W38" i="4"/>
  <c r="W39" i="4"/>
  <c r="W40" i="4"/>
  <c r="W41" i="4"/>
  <c r="W42" i="4"/>
  <c r="W43" i="4"/>
  <c r="W44" i="4"/>
  <c r="W45" i="4"/>
  <c r="W46" i="4"/>
  <c r="W47" i="4"/>
  <c r="W48" i="4"/>
  <c r="W49" i="4"/>
  <c r="W50" i="4"/>
  <c r="W51" i="4"/>
  <c r="W52" i="4"/>
  <c r="W53" i="4"/>
  <c r="W54" i="4"/>
  <c r="W55" i="4"/>
  <c r="W56" i="4"/>
  <c r="W57" i="4"/>
  <c r="W58" i="4"/>
  <c r="W59" i="4"/>
  <c r="W60" i="4"/>
  <c r="W61" i="4"/>
  <c r="W62" i="4"/>
  <c r="W63" i="4"/>
  <c r="W64" i="4"/>
  <c r="W65" i="4"/>
  <c r="W66" i="4"/>
  <c r="W67" i="4"/>
  <c r="W68" i="4"/>
  <c r="W69" i="4"/>
  <c r="W70" i="4"/>
  <c r="W71" i="4"/>
  <c r="W72" i="4"/>
  <c r="W73" i="4"/>
  <c r="W74" i="4"/>
  <c r="W75" i="4"/>
  <c r="W76" i="4"/>
  <c r="W77" i="4"/>
  <c r="W78" i="4"/>
  <c r="W79" i="4"/>
  <c r="W80" i="4"/>
  <c r="W81" i="4"/>
  <c r="W82" i="4"/>
  <c r="W83" i="4"/>
  <c r="W84" i="4"/>
  <c r="W85" i="4"/>
  <c r="W86" i="4"/>
  <c r="W87" i="4"/>
  <c r="W88" i="4"/>
  <c r="W89" i="4"/>
  <c r="W90" i="4"/>
  <c r="W91" i="4"/>
  <c r="W92" i="4"/>
  <c r="W93" i="4"/>
  <c r="W94" i="4"/>
  <c r="W95" i="4"/>
  <c r="W96" i="4"/>
  <c r="W97" i="4"/>
  <c r="W98" i="4"/>
  <c r="W99" i="4"/>
  <c r="W100" i="4"/>
  <c r="W101" i="4"/>
  <c r="W102" i="4"/>
  <c r="W103" i="4"/>
  <c r="W104" i="4"/>
  <c r="W105" i="4"/>
  <c r="W106" i="4"/>
  <c r="W107" i="4"/>
  <c r="W108" i="4"/>
  <c r="W109" i="4"/>
  <c r="W110" i="4"/>
  <c r="W111" i="4"/>
  <c r="W112" i="4"/>
  <c r="W113" i="4"/>
  <c r="W114" i="4"/>
  <c r="W115" i="4"/>
  <c r="W116" i="4"/>
  <c r="W117" i="4"/>
  <c r="W118" i="4"/>
  <c r="W119" i="4"/>
  <c r="W120" i="4"/>
  <c r="W121" i="4"/>
  <c r="W122" i="4"/>
  <c r="W123" i="4"/>
  <c r="W124" i="4"/>
  <c r="W125" i="4"/>
  <c r="W126" i="4"/>
  <c r="W127" i="4"/>
  <c r="W128" i="4"/>
  <c r="W129" i="4"/>
  <c r="W130" i="4"/>
  <c r="W131" i="4"/>
  <c r="W132" i="4"/>
  <c r="W133" i="4"/>
  <c r="W134" i="4"/>
  <c r="W135" i="4"/>
  <c r="W136" i="4"/>
  <c r="W137" i="4"/>
  <c r="W138" i="4"/>
  <c r="W139" i="4"/>
  <c r="W140" i="4"/>
  <c r="W141" i="4"/>
  <c r="W142" i="4"/>
  <c r="W143" i="4"/>
  <c r="W144" i="4"/>
  <c r="W145" i="4"/>
  <c r="W146" i="4"/>
  <c r="W147" i="4"/>
  <c r="W148" i="4"/>
  <c r="W149" i="4"/>
  <c r="W150" i="4"/>
  <c r="W151" i="4"/>
  <c r="W152" i="4"/>
  <c r="W153" i="4"/>
  <c r="W154" i="4"/>
  <c r="W155" i="4"/>
  <c r="W156" i="4"/>
  <c r="W157" i="4"/>
  <c r="W158" i="4"/>
  <c r="W159" i="4"/>
  <c r="W160" i="4"/>
  <c r="W161" i="4"/>
  <c r="W162" i="4"/>
  <c r="W163" i="4"/>
  <c r="W164" i="4"/>
  <c r="T4" i="4"/>
  <c r="T5" i="4"/>
  <c r="T6" i="4"/>
  <c r="T7" i="4"/>
  <c r="T8" i="4"/>
  <c r="T9" i="4"/>
  <c r="T10" i="4"/>
  <c r="T11" i="4"/>
  <c r="T12" i="4"/>
  <c r="T13" i="4"/>
  <c r="T14" i="4"/>
  <c r="T15" i="4"/>
  <c r="T16" i="4"/>
  <c r="T17" i="4"/>
  <c r="T18" i="4"/>
  <c r="T19" i="4"/>
  <c r="T20" i="4"/>
  <c r="T21" i="4"/>
  <c r="T22" i="4"/>
  <c r="T23" i="4"/>
  <c r="T24" i="4"/>
  <c r="T25" i="4"/>
  <c r="T26" i="4"/>
  <c r="T27" i="4"/>
  <c r="T28" i="4"/>
  <c r="T29" i="4"/>
  <c r="T30" i="4"/>
  <c r="T31" i="4"/>
  <c r="T32" i="4"/>
  <c r="T33" i="4"/>
  <c r="T34" i="4"/>
  <c r="T35" i="4"/>
  <c r="T36" i="4"/>
  <c r="T37" i="4"/>
  <c r="T38" i="4"/>
  <c r="T39" i="4"/>
  <c r="T40" i="4"/>
  <c r="T41" i="4"/>
  <c r="T42" i="4"/>
  <c r="T43" i="4"/>
  <c r="T44" i="4"/>
  <c r="T45" i="4"/>
  <c r="T46" i="4"/>
  <c r="T47" i="4"/>
  <c r="T48" i="4"/>
  <c r="T49" i="4"/>
  <c r="T50" i="4"/>
  <c r="T51" i="4"/>
  <c r="T52" i="4"/>
  <c r="T53" i="4"/>
  <c r="T54" i="4"/>
  <c r="T55" i="4"/>
  <c r="T56" i="4"/>
  <c r="T57" i="4"/>
  <c r="T58" i="4"/>
  <c r="T59" i="4"/>
  <c r="T60" i="4"/>
  <c r="T61" i="4"/>
  <c r="T62" i="4"/>
  <c r="T63" i="4"/>
  <c r="T64" i="4"/>
  <c r="T65" i="4"/>
  <c r="T66" i="4"/>
  <c r="T67" i="4"/>
  <c r="T68" i="4"/>
  <c r="T69" i="4"/>
  <c r="T70" i="4"/>
  <c r="T71" i="4"/>
  <c r="T72" i="4"/>
  <c r="T73" i="4"/>
  <c r="T74" i="4"/>
  <c r="T75" i="4"/>
  <c r="T76" i="4"/>
  <c r="T77" i="4"/>
  <c r="T78" i="4"/>
  <c r="T79" i="4"/>
  <c r="T80" i="4"/>
  <c r="T81" i="4"/>
  <c r="T82" i="4"/>
  <c r="T83" i="4"/>
  <c r="T84" i="4"/>
  <c r="T85" i="4"/>
  <c r="T86" i="4"/>
  <c r="T87" i="4"/>
  <c r="T88" i="4"/>
  <c r="T89" i="4"/>
  <c r="T90" i="4"/>
  <c r="T91" i="4"/>
  <c r="T92" i="4"/>
  <c r="T93" i="4"/>
  <c r="T94" i="4"/>
  <c r="T95" i="4"/>
  <c r="T96" i="4"/>
  <c r="T97" i="4"/>
  <c r="T98" i="4"/>
  <c r="T99" i="4"/>
  <c r="T100" i="4"/>
  <c r="T101" i="4"/>
  <c r="T102" i="4"/>
  <c r="T103" i="4"/>
  <c r="T104" i="4"/>
  <c r="T105" i="4"/>
  <c r="T106" i="4"/>
  <c r="T107" i="4"/>
  <c r="T108" i="4"/>
  <c r="T109" i="4"/>
  <c r="T110" i="4"/>
  <c r="T111" i="4"/>
  <c r="T112" i="4"/>
  <c r="T113" i="4"/>
  <c r="T114" i="4"/>
  <c r="T115" i="4"/>
  <c r="T116" i="4"/>
  <c r="T117" i="4"/>
  <c r="T118" i="4"/>
  <c r="T119" i="4"/>
  <c r="T120" i="4"/>
  <c r="T121" i="4"/>
  <c r="T122" i="4"/>
  <c r="T123" i="4"/>
  <c r="T124" i="4"/>
  <c r="T125" i="4"/>
  <c r="T126" i="4"/>
  <c r="T127" i="4"/>
  <c r="T128" i="4"/>
  <c r="T129" i="4"/>
  <c r="T130" i="4"/>
  <c r="T131" i="4"/>
  <c r="T132" i="4"/>
  <c r="T133" i="4"/>
  <c r="T134" i="4"/>
  <c r="T135" i="4"/>
  <c r="T136" i="4"/>
  <c r="T137" i="4"/>
  <c r="T138" i="4"/>
  <c r="T139" i="4"/>
  <c r="T140" i="4"/>
  <c r="T141" i="4"/>
  <c r="T142" i="4"/>
  <c r="T143" i="4"/>
  <c r="T144" i="4"/>
  <c r="T145" i="4"/>
  <c r="T146" i="4"/>
  <c r="T147" i="4"/>
  <c r="T148" i="4"/>
  <c r="T149" i="4"/>
  <c r="T150" i="4"/>
  <c r="T151" i="4"/>
  <c r="T152" i="4"/>
  <c r="T153" i="4"/>
  <c r="T154" i="4"/>
  <c r="T155" i="4"/>
  <c r="T156" i="4"/>
  <c r="T157" i="4"/>
  <c r="T158" i="4"/>
  <c r="T159" i="4"/>
  <c r="T160" i="4"/>
  <c r="T161" i="4"/>
  <c r="T162" i="4"/>
  <c r="T163" i="4"/>
  <c r="T164" i="4"/>
  <c r="S4" i="4"/>
  <c r="S5" i="4"/>
  <c r="S6" i="4"/>
  <c r="S7" i="4"/>
  <c r="S8" i="4"/>
  <c r="S9" i="4"/>
  <c r="S10" i="4"/>
  <c r="S11" i="4"/>
  <c r="S12" i="4"/>
  <c r="S13" i="4"/>
  <c r="S14" i="4"/>
  <c r="S15" i="4"/>
  <c r="S16" i="4"/>
  <c r="S17" i="4"/>
  <c r="S18" i="4"/>
  <c r="S19" i="4"/>
  <c r="S20" i="4"/>
  <c r="S21" i="4"/>
  <c r="S22" i="4"/>
  <c r="S23" i="4"/>
  <c r="S24" i="4"/>
  <c r="S25" i="4"/>
  <c r="S26" i="4"/>
  <c r="S27" i="4"/>
  <c r="S28" i="4"/>
  <c r="S29" i="4"/>
  <c r="S30" i="4"/>
  <c r="S31" i="4"/>
  <c r="S32" i="4"/>
  <c r="S33" i="4"/>
  <c r="S34" i="4"/>
  <c r="S35" i="4"/>
  <c r="S36" i="4"/>
  <c r="S37" i="4"/>
  <c r="S38" i="4"/>
  <c r="S39" i="4"/>
  <c r="S40" i="4"/>
  <c r="S41" i="4"/>
  <c r="S42" i="4"/>
  <c r="S43" i="4"/>
  <c r="S44" i="4"/>
  <c r="S45" i="4"/>
  <c r="S46" i="4"/>
  <c r="S47" i="4"/>
  <c r="S48" i="4"/>
  <c r="S49" i="4"/>
  <c r="S50" i="4"/>
  <c r="S51" i="4"/>
  <c r="S52" i="4"/>
  <c r="S53" i="4"/>
  <c r="S54" i="4"/>
  <c r="S55" i="4"/>
  <c r="S56" i="4"/>
  <c r="S57" i="4"/>
  <c r="S58" i="4"/>
  <c r="S59" i="4"/>
  <c r="S60" i="4"/>
  <c r="S61" i="4"/>
  <c r="S62" i="4"/>
  <c r="S63" i="4"/>
  <c r="S64" i="4"/>
  <c r="S65" i="4"/>
  <c r="S66" i="4"/>
  <c r="S67" i="4"/>
  <c r="S68" i="4"/>
  <c r="S69" i="4"/>
  <c r="S70" i="4"/>
  <c r="S71" i="4"/>
  <c r="S72" i="4"/>
  <c r="S73" i="4"/>
  <c r="S74" i="4"/>
  <c r="S75" i="4"/>
  <c r="S76" i="4"/>
  <c r="S77" i="4"/>
  <c r="S78" i="4"/>
  <c r="S79" i="4"/>
  <c r="S80" i="4"/>
  <c r="S81" i="4"/>
  <c r="S82" i="4"/>
  <c r="S83" i="4"/>
  <c r="S84" i="4"/>
  <c r="S85" i="4"/>
  <c r="S86" i="4"/>
  <c r="S87" i="4"/>
  <c r="S88" i="4"/>
  <c r="S89" i="4"/>
  <c r="S90" i="4"/>
  <c r="S91" i="4"/>
  <c r="S92" i="4"/>
  <c r="S93" i="4"/>
  <c r="S94" i="4"/>
  <c r="S95" i="4"/>
  <c r="S96" i="4"/>
  <c r="S97" i="4"/>
  <c r="S98" i="4"/>
  <c r="S99" i="4"/>
  <c r="S100" i="4"/>
  <c r="S101" i="4"/>
  <c r="S102" i="4"/>
  <c r="S103" i="4"/>
  <c r="S104" i="4"/>
  <c r="S105" i="4"/>
  <c r="S106" i="4"/>
  <c r="S107" i="4"/>
  <c r="S108" i="4"/>
  <c r="S109" i="4"/>
  <c r="S110" i="4"/>
  <c r="S111" i="4"/>
  <c r="S112" i="4"/>
  <c r="S113" i="4"/>
  <c r="S114" i="4"/>
  <c r="S115" i="4"/>
  <c r="S116" i="4"/>
  <c r="S117" i="4"/>
  <c r="S118" i="4"/>
  <c r="S119" i="4"/>
  <c r="S120" i="4"/>
  <c r="S121" i="4"/>
  <c r="S122" i="4"/>
  <c r="S123" i="4"/>
  <c r="S124" i="4"/>
  <c r="S125" i="4"/>
  <c r="S126" i="4"/>
  <c r="S127" i="4"/>
  <c r="S128" i="4"/>
  <c r="S129" i="4"/>
  <c r="S130" i="4"/>
  <c r="S131" i="4"/>
  <c r="S132" i="4"/>
  <c r="S133" i="4"/>
  <c r="S134" i="4"/>
  <c r="S135" i="4"/>
  <c r="S136" i="4"/>
  <c r="S137" i="4"/>
  <c r="S138" i="4"/>
  <c r="S139" i="4"/>
  <c r="S140" i="4"/>
  <c r="S141" i="4"/>
  <c r="S142" i="4"/>
  <c r="S143" i="4"/>
  <c r="S144" i="4"/>
  <c r="S145" i="4"/>
  <c r="S146" i="4"/>
  <c r="S147" i="4"/>
  <c r="S148" i="4"/>
  <c r="S149" i="4"/>
  <c r="S150" i="4"/>
  <c r="S151" i="4"/>
  <c r="S152" i="4"/>
  <c r="S153" i="4"/>
  <c r="S154" i="4"/>
  <c r="S155" i="4"/>
  <c r="S156" i="4"/>
  <c r="S157" i="4"/>
  <c r="S158" i="4"/>
  <c r="S159" i="4"/>
  <c r="S160" i="4"/>
  <c r="S161" i="4"/>
  <c r="S162" i="4"/>
  <c r="S163" i="4"/>
  <c r="S164" i="4"/>
  <c r="N4" i="4"/>
  <c r="R4" i="4" s="1"/>
  <c r="V4" i="4" s="1"/>
  <c r="Z4" i="4" s="1"/>
  <c r="N5" i="4"/>
  <c r="R5" i="4" s="1"/>
  <c r="V5" i="4" s="1"/>
  <c r="Z5" i="4" s="1"/>
  <c r="N6" i="4"/>
  <c r="R6" i="4" s="1"/>
  <c r="V6" i="4" s="1"/>
  <c r="Z6" i="4" s="1"/>
  <c r="N7" i="4"/>
  <c r="R7" i="4" s="1"/>
  <c r="V7" i="4" s="1"/>
  <c r="Z7" i="4" s="1"/>
  <c r="N8" i="4"/>
  <c r="R8" i="4" s="1"/>
  <c r="V8" i="4" s="1"/>
  <c r="Z8" i="4" s="1"/>
  <c r="N9" i="4"/>
  <c r="R9" i="4" s="1"/>
  <c r="V9" i="4" s="1"/>
  <c r="Z9" i="4" s="1"/>
  <c r="N10" i="4"/>
  <c r="R10" i="4" s="1"/>
  <c r="V10" i="4" s="1"/>
  <c r="Z10" i="4" s="1"/>
  <c r="N11" i="4"/>
  <c r="R11" i="4" s="1"/>
  <c r="V11" i="4" s="1"/>
  <c r="Z11" i="4" s="1"/>
  <c r="N12" i="4"/>
  <c r="R12" i="4" s="1"/>
  <c r="V12" i="4" s="1"/>
  <c r="Z12" i="4" s="1"/>
  <c r="N13" i="4"/>
  <c r="R13" i="4" s="1"/>
  <c r="V13" i="4" s="1"/>
  <c r="Z13" i="4" s="1"/>
  <c r="N14" i="4"/>
  <c r="R14" i="4" s="1"/>
  <c r="V14" i="4" s="1"/>
  <c r="Z14" i="4" s="1"/>
  <c r="N15" i="4"/>
  <c r="R15" i="4" s="1"/>
  <c r="V15" i="4" s="1"/>
  <c r="Z15" i="4" s="1"/>
  <c r="N16" i="4"/>
  <c r="R16" i="4" s="1"/>
  <c r="V16" i="4" s="1"/>
  <c r="Z16" i="4" s="1"/>
  <c r="N17" i="4"/>
  <c r="R17" i="4" s="1"/>
  <c r="V17" i="4" s="1"/>
  <c r="Z17" i="4" s="1"/>
  <c r="N18" i="4"/>
  <c r="R18" i="4" s="1"/>
  <c r="V18" i="4" s="1"/>
  <c r="Z18" i="4" s="1"/>
  <c r="N19" i="4"/>
  <c r="R19" i="4" s="1"/>
  <c r="V19" i="4" s="1"/>
  <c r="Z19" i="4" s="1"/>
  <c r="N20" i="4"/>
  <c r="R20" i="4" s="1"/>
  <c r="V20" i="4" s="1"/>
  <c r="Z20" i="4" s="1"/>
  <c r="N21" i="4"/>
  <c r="R21" i="4" s="1"/>
  <c r="V21" i="4" s="1"/>
  <c r="Z21" i="4" s="1"/>
  <c r="N22" i="4"/>
  <c r="R22" i="4" s="1"/>
  <c r="V22" i="4" s="1"/>
  <c r="Z22" i="4" s="1"/>
  <c r="N23" i="4"/>
  <c r="R23" i="4" s="1"/>
  <c r="V23" i="4" s="1"/>
  <c r="Z23" i="4" s="1"/>
  <c r="N24" i="4"/>
  <c r="R24" i="4" s="1"/>
  <c r="V24" i="4" s="1"/>
  <c r="Z24" i="4" s="1"/>
  <c r="N25" i="4"/>
  <c r="R25" i="4" s="1"/>
  <c r="V25" i="4" s="1"/>
  <c r="Z25" i="4" s="1"/>
  <c r="N26" i="4"/>
  <c r="R26" i="4" s="1"/>
  <c r="V26" i="4" s="1"/>
  <c r="Z26" i="4" s="1"/>
  <c r="N27" i="4"/>
  <c r="R27" i="4" s="1"/>
  <c r="V27" i="4" s="1"/>
  <c r="Z27" i="4" s="1"/>
  <c r="N28" i="4"/>
  <c r="R28" i="4" s="1"/>
  <c r="V28" i="4" s="1"/>
  <c r="Z28" i="4" s="1"/>
  <c r="N29" i="4"/>
  <c r="R29" i="4" s="1"/>
  <c r="V29" i="4" s="1"/>
  <c r="Z29" i="4" s="1"/>
  <c r="N30" i="4"/>
  <c r="R30" i="4" s="1"/>
  <c r="V30" i="4" s="1"/>
  <c r="Z30" i="4" s="1"/>
  <c r="N31" i="4"/>
  <c r="R31" i="4" s="1"/>
  <c r="V31" i="4" s="1"/>
  <c r="Z31" i="4" s="1"/>
  <c r="N32" i="4"/>
  <c r="R32" i="4" s="1"/>
  <c r="V32" i="4" s="1"/>
  <c r="Z32" i="4" s="1"/>
  <c r="N33" i="4"/>
  <c r="R33" i="4" s="1"/>
  <c r="V33" i="4" s="1"/>
  <c r="Z33" i="4" s="1"/>
  <c r="N34" i="4"/>
  <c r="R34" i="4" s="1"/>
  <c r="V34" i="4" s="1"/>
  <c r="Z34" i="4" s="1"/>
  <c r="N35" i="4"/>
  <c r="R35" i="4" s="1"/>
  <c r="V35" i="4" s="1"/>
  <c r="Z35" i="4" s="1"/>
  <c r="N36" i="4"/>
  <c r="R36" i="4" s="1"/>
  <c r="V36" i="4" s="1"/>
  <c r="Z36" i="4" s="1"/>
  <c r="N37" i="4"/>
  <c r="R37" i="4" s="1"/>
  <c r="V37" i="4" s="1"/>
  <c r="Z37" i="4" s="1"/>
  <c r="N38" i="4"/>
  <c r="R38" i="4" s="1"/>
  <c r="V38" i="4" s="1"/>
  <c r="Z38" i="4" s="1"/>
  <c r="N39" i="4"/>
  <c r="R39" i="4" s="1"/>
  <c r="V39" i="4" s="1"/>
  <c r="Z39" i="4" s="1"/>
  <c r="N40" i="4"/>
  <c r="R40" i="4" s="1"/>
  <c r="V40" i="4" s="1"/>
  <c r="Z40" i="4" s="1"/>
  <c r="N41" i="4"/>
  <c r="R41" i="4" s="1"/>
  <c r="V41" i="4" s="1"/>
  <c r="Z41" i="4" s="1"/>
  <c r="N42" i="4"/>
  <c r="R42" i="4" s="1"/>
  <c r="V42" i="4" s="1"/>
  <c r="Z42" i="4" s="1"/>
  <c r="N43" i="4"/>
  <c r="R43" i="4" s="1"/>
  <c r="V43" i="4" s="1"/>
  <c r="Z43" i="4" s="1"/>
  <c r="N44" i="4"/>
  <c r="R44" i="4" s="1"/>
  <c r="V44" i="4" s="1"/>
  <c r="Z44" i="4" s="1"/>
  <c r="N45" i="4"/>
  <c r="R45" i="4" s="1"/>
  <c r="V45" i="4" s="1"/>
  <c r="Z45" i="4" s="1"/>
  <c r="N46" i="4"/>
  <c r="R46" i="4" s="1"/>
  <c r="V46" i="4" s="1"/>
  <c r="Z46" i="4" s="1"/>
  <c r="N47" i="4"/>
  <c r="R47" i="4" s="1"/>
  <c r="V47" i="4" s="1"/>
  <c r="Z47" i="4" s="1"/>
  <c r="N48" i="4"/>
  <c r="R48" i="4" s="1"/>
  <c r="V48" i="4" s="1"/>
  <c r="Z48" i="4" s="1"/>
  <c r="N49" i="4"/>
  <c r="R49" i="4" s="1"/>
  <c r="V49" i="4" s="1"/>
  <c r="Z49" i="4" s="1"/>
  <c r="N50" i="4"/>
  <c r="R50" i="4" s="1"/>
  <c r="V50" i="4" s="1"/>
  <c r="Z50" i="4" s="1"/>
  <c r="N51" i="4"/>
  <c r="R51" i="4" s="1"/>
  <c r="V51" i="4" s="1"/>
  <c r="Z51" i="4" s="1"/>
  <c r="N52" i="4"/>
  <c r="R52" i="4" s="1"/>
  <c r="V52" i="4" s="1"/>
  <c r="Z52" i="4" s="1"/>
  <c r="N53" i="4"/>
  <c r="R53" i="4" s="1"/>
  <c r="V53" i="4" s="1"/>
  <c r="Z53" i="4" s="1"/>
  <c r="N54" i="4"/>
  <c r="R54" i="4" s="1"/>
  <c r="V54" i="4" s="1"/>
  <c r="Z54" i="4" s="1"/>
  <c r="N55" i="4"/>
  <c r="R55" i="4" s="1"/>
  <c r="V55" i="4" s="1"/>
  <c r="Z55" i="4" s="1"/>
  <c r="N56" i="4"/>
  <c r="R56" i="4" s="1"/>
  <c r="V56" i="4" s="1"/>
  <c r="Z56" i="4" s="1"/>
  <c r="N57" i="4"/>
  <c r="R57" i="4" s="1"/>
  <c r="V57" i="4" s="1"/>
  <c r="Z57" i="4" s="1"/>
  <c r="N58" i="4"/>
  <c r="R58" i="4" s="1"/>
  <c r="V58" i="4" s="1"/>
  <c r="Z58" i="4" s="1"/>
  <c r="N59" i="4"/>
  <c r="R59" i="4" s="1"/>
  <c r="V59" i="4" s="1"/>
  <c r="Z59" i="4" s="1"/>
  <c r="N60" i="4"/>
  <c r="R60" i="4" s="1"/>
  <c r="V60" i="4" s="1"/>
  <c r="Z60" i="4" s="1"/>
  <c r="N61" i="4"/>
  <c r="R61" i="4" s="1"/>
  <c r="V61" i="4" s="1"/>
  <c r="Z61" i="4" s="1"/>
  <c r="N62" i="4"/>
  <c r="R62" i="4" s="1"/>
  <c r="V62" i="4" s="1"/>
  <c r="Z62" i="4" s="1"/>
  <c r="N63" i="4"/>
  <c r="R63" i="4" s="1"/>
  <c r="V63" i="4" s="1"/>
  <c r="Z63" i="4" s="1"/>
  <c r="N64" i="4"/>
  <c r="R64" i="4" s="1"/>
  <c r="V64" i="4" s="1"/>
  <c r="Z64" i="4" s="1"/>
  <c r="N65" i="4"/>
  <c r="R65" i="4" s="1"/>
  <c r="V65" i="4" s="1"/>
  <c r="Z65" i="4" s="1"/>
  <c r="N66" i="4"/>
  <c r="R66" i="4" s="1"/>
  <c r="V66" i="4" s="1"/>
  <c r="Z66" i="4" s="1"/>
  <c r="N67" i="4"/>
  <c r="R67" i="4" s="1"/>
  <c r="V67" i="4" s="1"/>
  <c r="Z67" i="4" s="1"/>
  <c r="N68" i="4"/>
  <c r="R68" i="4" s="1"/>
  <c r="V68" i="4" s="1"/>
  <c r="Z68" i="4" s="1"/>
  <c r="N69" i="4"/>
  <c r="R69" i="4" s="1"/>
  <c r="V69" i="4" s="1"/>
  <c r="Z69" i="4" s="1"/>
  <c r="N70" i="4"/>
  <c r="R70" i="4" s="1"/>
  <c r="V70" i="4" s="1"/>
  <c r="Z70" i="4" s="1"/>
  <c r="N71" i="4"/>
  <c r="R71" i="4" s="1"/>
  <c r="V71" i="4" s="1"/>
  <c r="Z71" i="4" s="1"/>
  <c r="N72" i="4"/>
  <c r="R72" i="4" s="1"/>
  <c r="V72" i="4" s="1"/>
  <c r="Z72" i="4" s="1"/>
  <c r="N73" i="4"/>
  <c r="R73" i="4" s="1"/>
  <c r="V73" i="4" s="1"/>
  <c r="Z73" i="4" s="1"/>
  <c r="N74" i="4"/>
  <c r="R74" i="4" s="1"/>
  <c r="V74" i="4" s="1"/>
  <c r="Z74" i="4" s="1"/>
  <c r="N75" i="4"/>
  <c r="R75" i="4" s="1"/>
  <c r="V75" i="4" s="1"/>
  <c r="Z75" i="4" s="1"/>
  <c r="N76" i="4"/>
  <c r="R76" i="4" s="1"/>
  <c r="V76" i="4" s="1"/>
  <c r="Z76" i="4" s="1"/>
  <c r="N77" i="4"/>
  <c r="R77" i="4" s="1"/>
  <c r="V77" i="4" s="1"/>
  <c r="Z77" i="4" s="1"/>
  <c r="N78" i="4"/>
  <c r="R78" i="4" s="1"/>
  <c r="V78" i="4" s="1"/>
  <c r="Z78" i="4" s="1"/>
  <c r="N79" i="4"/>
  <c r="R79" i="4" s="1"/>
  <c r="V79" i="4" s="1"/>
  <c r="Z79" i="4" s="1"/>
  <c r="N80" i="4"/>
  <c r="R80" i="4" s="1"/>
  <c r="V80" i="4" s="1"/>
  <c r="Z80" i="4" s="1"/>
  <c r="N81" i="4"/>
  <c r="R81" i="4" s="1"/>
  <c r="V81" i="4" s="1"/>
  <c r="Z81" i="4" s="1"/>
  <c r="N82" i="4"/>
  <c r="R82" i="4" s="1"/>
  <c r="V82" i="4" s="1"/>
  <c r="Z82" i="4" s="1"/>
  <c r="N83" i="4"/>
  <c r="R83" i="4" s="1"/>
  <c r="V83" i="4" s="1"/>
  <c r="Z83" i="4" s="1"/>
  <c r="N84" i="4"/>
  <c r="R84" i="4" s="1"/>
  <c r="V84" i="4" s="1"/>
  <c r="Z84" i="4" s="1"/>
  <c r="N85" i="4"/>
  <c r="R85" i="4" s="1"/>
  <c r="V85" i="4" s="1"/>
  <c r="Z85" i="4" s="1"/>
  <c r="N86" i="4"/>
  <c r="R86" i="4" s="1"/>
  <c r="V86" i="4" s="1"/>
  <c r="Z86" i="4" s="1"/>
  <c r="N87" i="4"/>
  <c r="R87" i="4" s="1"/>
  <c r="V87" i="4" s="1"/>
  <c r="Z87" i="4" s="1"/>
  <c r="N88" i="4"/>
  <c r="R88" i="4" s="1"/>
  <c r="V88" i="4" s="1"/>
  <c r="Z88" i="4" s="1"/>
  <c r="N89" i="4"/>
  <c r="R89" i="4" s="1"/>
  <c r="V89" i="4" s="1"/>
  <c r="Z89" i="4" s="1"/>
  <c r="N90" i="4"/>
  <c r="R90" i="4" s="1"/>
  <c r="V90" i="4" s="1"/>
  <c r="Z90" i="4" s="1"/>
  <c r="N91" i="4"/>
  <c r="R91" i="4" s="1"/>
  <c r="V91" i="4" s="1"/>
  <c r="Z91" i="4" s="1"/>
  <c r="N92" i="4"/>
  <c r="R92" i="4" s="1"/>
  <c r="V92" i="4" s="1"/>
  <c r="Z92" i="4" s="1"/>
  <c r="N93" i="4"/>
  <c r="R93" i="4" s="1"/>
  <c r="V93" i="4" s="1"/>
  <c r="Z93" i="4" s="1"/>
  <c r="N94" i="4"/>
  <c r="R94" i="4" s="1"/>
  <c r="V94" i="4" s="1"/>
  <c r="Z94" i="4" s="1"/>
  <c r="N95" i="4"/>
  <c r="R95" i="4" s="1"/>
  <c r="V95" i="4" s="1"/>
  <c r="Z95" i="4" s="1"/>
  <c r="N96" i="4"/>
  <c r="R96" i="4" s="1"/>
  <c r="V96" i="4" s="1"/>
  <c r="Z96" i="4" s="1"/>
  <c r="N97" i="4"/>
  <c r="R97" i="4" s="1"/>
  <c r="V97" i="4" s="1"/>
  <c r="Z97" i="4" s="1"/>
  <c r="N98" i="4"/>
  <c r="R98" i="4" s="1"/>
  <c r="V98" i="4" s="1"/>
  <c r="Z98" i="4" s="1"/>
  <c r="N99" i="4"/>
  <c r="R99" i="4" s="1"/>
  <c r="V99" i="4" s="1"/>
  <c r="Z99" i="4" s="1"/>
  <c r="N100" i="4"/>
  <c r="R100" i="4" s="1"/>
  <c r="V100" i="4" s="1"/>
  <c r="Z100" i="4" s="1"/>
  <c r="N101" i="4"/>
  <c r="R101" i="4" s="1"/>
  <c r="V101" i="4" s="1"/>
  <c r="Z101" i="4" s="1"/>
  <c r="N102" i="4"/>
  <c r="R102" i="4" s="1"/>
  <c r="V102" i="4" s="1"/>
  <c r="Z102" i="4" s="1"/>
  <c r="N103" i="4"/>
  <c r="R103" i="4" s="1"/>
  <c r="V103" i="4" s="1"/>
  <c r="Z103" i="4" s="1"/>
  <c r="N104" i="4"/>
  <c r="R104" i="4" s="1"/>
  <c r="V104" i="4" s="1"/>
  <c r="Z104" i="4" s="1"/>
  <c r="N105" i="4"/>
  <c r="R105" i="4" s="1"/>
  <c r="V105" i="4" s="1"/>
  <c r="Z105" i="4" s="1"/>
  <c r="N106" i="4"/>
  <c r="R106" i="4" s="1"/>
  <c r="V106" i="4" s="1"/>
  <c r="Z106" i="4" s="1"/>
  <c r="N107" i="4"/>
  <c r="R107" i="4" s="1"/>
  <c r="V107" i="4" s="1"/>
  <c r="Z107" i="4" s="1"/>
  <c r="N108" i="4"/>
  <c r="R108" i="4" s="1"/>
  <c r="V108" i="4" s="1"/>
  <c r="Z108" i="4" s="1"/>
  <c r="N109" i="4"/>
  <c r="R109" i="4" s="1"/>
  <c r="V109" i="4" s="1"/>
  <c r="Z109" i="4" s="1"/>
  <c r="N110" i="4"/>
  <c r="R110" i="4" s="1"/>
  <c r="V110" i="4" s="1"/>
  <c r="Z110" i="4" s="1"/>
  <c r="N111" i="4"/>
  <c r="R111" i="4" s="1"/>
  <c r="V111" i="4" s="1"/>
  <c r="Z111" i="4" s="1"/>
  <c r="N112" i="4"/>
  <c r="R112" i="4" s="1"/>
  <c r="V112" i="4" s="1"/>
  <c r="Z112" i="4" s="1"/>
  <c r="N113" i="4"/>
  <c r="R113" i="4" s="1"/>
  <c r="V113" i="4" s="1"/>
  <c r="Z113" i="4" s="1"/>
  <c r="N114" i="4"/>
  <c r="R114" i="4" s="1"/>
  <c r="V114" i="4" s="1"/>
  <c r="Z114" i="4" s="1"/>
  <c r="N115" i="4"/>
  <c r="R115" i="4" s="1"/>
  <c r="V115" i="4" s="1"/>
  <c r="Z115" i="4" s="1"/>
  <c r="N116" i="4"/>
  <c r="R116" i="4" s="1"/>
  <c r="V116" i="4" s="1"/>
  <c r="Z116" i="4" s="1"/>
  <c r="N117" i="4"/>
  <c r="R117" i="4" s="1"/>
  <c r="V117" i="4" s="1"/>
  <c r="Z117" i="4" s="1"/>
  <c r="N118" i="4"/>
  <c r="R118" i="4" s="1"/>
  <c r="V118" i="4" s="1"/>
  <c r="Z118" i="4" s="1"/>
  <c r="N119" i="4"/>
  <c r="R119" i="4" s="1"/>
  <c r="V119" i="4" s="1"/>
  <c r="Z119" i="4" s="1"/>
  <c r="N120" i="4"/>
  <c r="R120" i="4" s="1"/>
  <c r="V120" i="4" s="1"/>
  <c r="Z120" i="4" s="1"/>
  <c r="N121" i="4"/>
  <c r="R121" i="4" s="1"/>
  <c r="V121" i="4" s="1"/>
  <c r="Z121" i="4" s="1"/>
  <c r="N122" i="4"/>
  <c r="R122" i="4" s="1"/>
  <c r="V122" i="4" s="1"/>
  <c r="Z122" i="4" s="1"/>
  <c r="N123" i="4"/>
  <c r="R123" i="4" s="1"/>
  <c r="V123" i="4" s="1"/>
  <c r="Z123" i="4" s="1"/>
  <c r="N124" i="4"/>
  <c r="R124" i="4" s="1"/>
  <c r="V124" i="4" s="1"/>
  <c r="Z124" i="4" s="1"/>
  <c r="N125" i="4"/>
  <c r="R125" i="4" s="1"/>
  <c r="V125" i="4" s="1"/>
  <c r="Z125" i="4" s="1"/>
  <c r="N126" i="4"/>
  <c r="R126" i="4" s="1"/>
  <c r="V126" i="4" s="1"/>
  <c r="Z126" i="4" s="1"/>
  <c r="N127" i="4"/>
  <c r="R127" i="4" s="1"/>
  <c r="V127" i="4" s="1"/>
  <c r="Z127" i="4" s="1"/>
  <c r="N128" i="4"/>
  <c r="R128" i="4" s="1"/>
  <c r="V128" i="4" s="1"/>
  <c r="Z128" i="4" s="1"/>
  <c r="N129" i="4"/>
  <c r="R129" i="4" s="1"/>
  <c r="V129" i="4" s="1"/>
  <c r="Z129" i="4" s="1"/>
  <c r="N130" i="4"/>
  <c r="R130" i="4" s="1"/>
  <c r="V130" i="4" s="1"/>
  <c r="Z130" i="4" s="1"/>
  <c r="N131" i="4"/>
  <c r="R131" i="4" s="1"/>
  <c r="V131" i="4" s="1"/>
  <c r="Z131" i="4" s="1"/>
  <c r="N132" i="4"/>
  <c r="R132" i="4" s="1"/>
  <c r="V132" i="4" s="1"/>
  <c r="Z132" i="4" s="1"/>
  <c r="N133" i="4"/>
  <c r="R133" i="4" s="1"/>
  <c r="V133" i="4" s="1"/>
  <c r="Z133" i="4" s="1"/>
  <c r="N134" i="4"/>
  <c r="R134" i="4" s="1"/>
  <c r="V134" i="4" s="1"/>
  <c r="Z134" i="4" s="1"/>
  <c r="N135" i="4"/>
  <c r="R135" i="4" s="1"/>
  <c r="V135" i="4" s="1"/>
  <c r="Z135" i="4" s="1"/>
  <c r="N136" i="4"/>
  <c r="R136" i="4" s="1"/>
  <c r="V136" i="4" s="1"/>
  <c r="Z136" i="4" s="1"/>
  <c r="N137" i="4"/>
  <c r="R137" i="4" s="1"/>
  <c r="V137" i="4" s="1"/>
  <c r="Z137" i="4" s="1"/>
  <c r="N138" i="4"/>
  <c r="R138" i="4" s="1"/>
  <c r="V138" i="4" s="1"/>
  <c r="Z138" i="4" s="1"/>
  <c r="N139" i="4"/>
  <c r="R139" i="4" s="1"/>
  <c r="V139" i="4" s="1"/>
  <c r="Z139" i="4" s="1"/>
  <c r="N140" i="4"/>
  <c r="R140" i="4" s="1"/>
  <c r="V140" i="4" s="1"/>
  <c r="Z140" i="4" s="1"/>
  <c r="N141" i="4"/>
  <c r="R141" i="4" s="1"/>
  <c r="V141" i="4" s="1"/>
  <c r="Z141" i="4" s="1"/>
  <c r="N142" i="4"/>
  <c r="R142" i="4" s="1"/>
  <c r="V142" i="4" s="1"/>
  <c r="Z142" i="4" s="1"/>
  <c r="N143" i="4"/>
  <c r="R143" i="4" s="1"/>
  <c r="V143" i="4" s="1"/>
  <c r="Z143" i="4" s="1"/>
  <c r="N144" i="4"/>
  <c r="R144" i="4" s="1"/>
  <c r="V144" i="4" s="1"/>
  <c r="Z144" i="4" s="1"/>
  <c r="N145" i="4"/>
  <c r="R145" i="4" s="1"/>
  <c r="V145" i="4" s="1"/>
  <c r="Z145" i="4" s="1"/>
  <c r="N146" i="4"/>
  <c r="R146" i="4" s="1"/>
  <c r="V146" i="4" s="1"/>
  <c r="Z146" i="4" s="1"/>
  <c r="N147" i="4"/>
  <c r="R147" i="4" s="1"/>
  <c r="V147" i="4" s="1"/>
  <c r="Z147" i="4" s="1"/>
  <c r="N148" i="4"/>
  <c r="R148" i="4" s="1"/>
  <c r="V148" i="4" s="1"/>
  <c r="Z148" i="4" s="1"/>
  <c r="N149" i="4"/>
  <c r="R149" i="4" s="1"/>
  <c r="V149" i="4" s="1"/>
  <c r="Z149" i="4" s="1"/>
  <c r="N150" i="4"/>
  <c r="R150" i="4" s="1"/>
  <c r="V150" i="4" s="1"/>
  <c r="Z150" i="4" s="1"/>
  <c r="N151" i="4"/>
  <c r="R151" i="4" s="1"/>
  <c r="V151" i="4" s="1"/>
  <c r="Z151" i="4" s="1"/>
  <c r="N152" i="4"/>
  <c r="R152" i="4" s="1"/>
  <c r="V152" i="4" s="1"/>
  <c r="Z152" i="4" s="1"/>
  <c r="N153" i="4"/>
  <c r="R153" i="4" s="1"/>
  <c r="V153" i="4" s="1"/>
  <c r="Z153" i="4" s="1"/>
  <c r="N154" i="4"/>
  <c r="R154" i="4" s="1"/>
  <c r="V154" i="4" s="1"/>
  <c r="Z154" i="4" s="1"/>
  <c r="N155" i="4"/>
  <c r="R155" i="4" s="1"/>
  <c r="V155" i="4" s="1"/>
  <c r="Z155" i="4" s="1"/>
  <c r="N156" i="4"/>
  <c r="R156" i="4" s="1"/>
  <c r="V156" i="4" s="1"/>
  <c r="Z156" i="4" s="1"/>
  <c r="N157" i="4"/>
  <c r="R157" i="4" s="1"/>
  <c r="V157" i="4" s="1"/>
  <c r="Z157" i="4" s="1"/>
  <c r="N158" i="4"/>
  <c r="R158" i="4" s="1"/>
  <c r="V158" i="4" s="1"/>
  <c r="Z158" i="4" s="1"/>
  <c r="N159" i="4"/>
  <c r="R159" i="4" s="1"/>
  <c r="V159" i="4" s="1"/>
  <c r="Z159" i="4" s="1"/>
  <c r="N160" i="4"/>
  <c r="R160" i="4" s="1"/>
  <c r="V160" i="4" s="1"/>
  <c r="Z160" i="4" s="1"/>
  <c r="N161" i="4"/>
  <c r="R161" i="4" s="1"/>
  <c r="V161" i="4" s="1"/>
  <c r="Z161" i="4" s="1"/>
  <c r="N162" i="4"/>
  <c r="R162" i="4" s="1"/>
  <c r="V162" i="4" s="1"/>
  <c r="Z162" i="4" s="1"/>
  <c r="N163" i="4"/>
  <c r="R163" i="4" s="1"/>
  <c r="V163" i="4" s="1"/>
  <c r="Z163" i="4" s="1"/>
  <c r="N164" i="4"/>
  <c r="R164" i="4" s="1"/>
  <c r="V164" i="4" s="1"/>
  <c r="Z164" i="4" s="1"/>
  <c r="O4" i="4"/>
  <c r="P4" i="4"/>
  <c r="O5" i="4"/>
  <c r="P5" i="4"/>
  <c r="O6" i="4"/>
  <c r="P6" i="4"/>
  <c r="O7" i="4"/>
  <c r="P7" i="4"/>
  <c r="O8" i="4"/>
  <c r="P8" i="4"/>
  <c r="O9" i="4"/>
  <c r="P9" i="4"/>
  <c r="O10" i="4"/>
  <c r="P10" i="4"/>
  <c r="O11" i="4"/>
  <c r="P11" i="4"/>
  <c r="O12" i="4"/>
  <c r="P12" i="4"/>
  <c r="O13" i="4"/>
  <c r="P13" i="4"/>
  <c r="O14" i="4"/>
  <c r="P14" i="4"/>
  <c r="O15" i="4"/>
  <c r="P15" i="4"/>
  <c r="O16" i="4"/>
  <c r="P16" i="4"/>
  <c r="O17" i="4"/>
  <c r="P17" i="4"/>
  <c r="O18" i="4"/>
  <c r="P18" i="4"/>
  <c r="O19" i="4"/>
  <c r="P19" i="4"/>
  <c r="O20" i="4"/>
  <c r="P20" i="4"/>
  <c r="O21" i="4"/>
  <c r="P21" i="4"/>
  <c r="O22" i="4"/>
  <c r="P22" i="4"/>
  <c r="O23" i="4"/>
  <c r="P23" i="4"/>
  <c r="O24" i="4"/>
  <c r="P24" i="4"/>
  <c r="O25" i="4"/>
  <c r="P25" i="4"/>
  <c r="O26" i="4"/>
  <c r="P26" i="4"/>
  <c r="O27" i="4"/>
  <c r="P27" i="4"/>
  <c r="O28" i="4"/>
  <c r="P28" i="4"/>
  <c r="O29" i="4"/>
  <c r="P29" i="4"/>
  <c r="O30" i="4"/>
  <c r="P30" i="4"/>
  <c r="O31" i="4"/>
  <c r="P31" i="4"/>
  <c r="O32" i="4"/>
  <c r="P32" i="4"/>
  <c r="O33" i="4"/>
  <c r="P33" i="4"/>
  <c r="O34" i="4"/>
  <c r="P34" i="4"/>
  <c r="O35" i="4"/>
  <c r="P35" i="4"/>
  <c r="O36" i="4"/>
  <c r="P36" i="4"/>
  <c r="O37" i="4"/>
  <c r="P37" i="4"/>
  <c r="O38" i="4"/>
  <c r="P38" i="4"/>
  <c r="O39" i="4"/>
  <c r="P39" i="4"/>
  <c r="O40" i="4"/>
  <c r="P40" i="4"/>
  <c r="O41" i="4"/>
  <c r="P41" i="4"/>
  <c r="O42" i="4"/>
  <c r="P42" i="4"/>
  <c r="O43" i="4"/>
  <c r="P43" i="4"/>
  <c r="O44" i="4"/>
  <c r="P44" i="4"/>
  <c r="O45" i="4"/>
  <c r="P45" i="4"/>
  <c r="O46" i="4"/>
  <c r="P46" i="4"/>
  <c r="O47" i="4"/>
  <c r="P47" i="4"/>
  <c r="O48" i="4"/>
  <c r="P48" i="4"/>
  <c r="O49" i="4"/>
  <c r="P49" i="4"/>
  <c r="O50" i="4"/>
  <c r="P50" i="4"/>
  <c r="O51" i="4"/>
  <c r="P51" i="4"/>
  <c r="O52" i="4"/>
  <c r="P52" i="4"/>
  <c r="O53" i="4"/>
  <c r="P53" i="4"/>
  <c r="O54" i="4"/>
  <c r="P54" i="4"/>
  <c r="O55" i="4"/>
  <c r="P55" i="4"/>
  <c r="O56" i="4"/>
  <c r="P56" i="4"/>
  <c r="O57" i="4"/>
  <c r="P57" i="4"/>
  <c r="O58" i="4"/>
  <c r="P58" i="4"/>
  <c r="O59" i="4"/>
  <c r="P59" i="4"/>
  <c r="O60" i="4"/>
  <c r="P60" i="4"/>
  <c r="O61" i="4"/>
  <c r="P61" i="4"/>
  <c r="O62" i="4"/>
  <c r="P62" i="4"/>
  <c r="O63" i="4"/>
  <c r="P63" i="4"/>
  <c r="O64" i="4"/>
  <c r="P64" i="4"/>
  <c r="O65" i="4"/>
  <c r="P65" i="4"/>
  <c r="O66" i="4"/>
  <c r="P66" i="4"/>
  <c r="O67" i="4"/>
  <c r="P67" i="4"/>
  <c r="O68" i="4"/>
  <c r="P68" i="4"/>
  <c r="O69" i="4"/>
  <c r="P69" i="4"/>
  <c r="O70" i="4"/>
  <c r="P70" i="4"/>
  <c r="O71" i="4"/>
  <c r="P71" i="4"/>
  <c r="O72" i="4"/>
  <c r="P72" i="4"/>
  <c r="O73" i="4"/>
  <c r="P73" i="4"/>
  <c r="O74" i="4"/>
  <c r="P74" i="4"/>
  <c r="O75" i="4"/>
  <c r="P75" i="4"/>
  <c r="O76" i="4"/>
  <c r="P76" i="4"/>
  <c r="O77" i="4"/>
  <c r="P77" i="4"/>
  <c r="O78" i="4"/>
  <c r="P78" i="4"/>
  <c r="O79" i="4"/>
  <c r="P79" i="4"/>
  <c r="O80" i="4"/>
  <c r="P80" i="4"/>
  <c r="O81" i="4"/>
  <c r="P81" i="4"/>
  <c r="O82" i="4"/>
  <c r="P82" i="4"/>
  <c r="O83" i="4"/>
  <c r="P83" i="4"/>
  <c r="O84" i="4"/>
  <c r="P84" i="4"/>
  <c r="O85" i="4"/>
  <c r="P85" i="4"/>
  <c r="O86" i="4"/>
  <c r="P86" i="4"/>
  <c r="O87" i="4"/>
  <c r="P87" i="4"/>
  <c r="O88" i="4"/>
  <c r="P88" i="4"/>
  <c r="O89" i="4"/>
  <c r="P89" i="4"/>
  <c r="O90" i="4"/>
  <c r="P90" i="4"/>
  <c r="O91" i="4"/>
  <c r="P91" i="4"/>
  <c r="O92" i="4"/>
  <c r="P92" i="4"/>
  <c r="O93" i="4"/>
  <c r="P93" i="4"/>
  <c r="O94" i="4"/>
  <c r="P94" i="4"/>
  <c r="O95" i="4"/>
  <c r="P95" i="4"/>
  <c r="O96" i="4"/>
  <c r="P96" i="4"/>
  <c r="O97" i="4"/>
  <c r="P97" i="4"/>
  <c r="O98" i="4"/>
  <c r="P98" i="4"/>
  <c r="O99" i="4"/>
  <c r="P99" i="4"/>
  <c r="O100" i="4"/>
  <c r="P100" i="4"/>
  <c r="O101" i="4"/>
  <c r="P101" i="4"/>
  <c r="O102" i="4"/>
  <c r="P102" i="4"/>
  <c r="O103" i="4"/>
  <c r="P103" i="4"/>
  <c r="O104" i="4"/>
  <c r="P104" i="4"/>
  <c r="O105" i="4"/>
  <c r="P105" i="4"/>
  <c r="O106" i="4"/>
  <c r="P106" i="4"/>
  <c r="O107" i="4"/>
  <c r="P107" i="4"/>
  <c r="O108" i="4"/>
  <c r="P108" i="4"/>
  <c r="O109" i="4"/>
  <c r="P109" i="4"/>
  <c r="O110" i="4"/>
  <c r="P110" i="4"/>
  <c r="O111" i="4"/>
  <c r="P111" i="4"/>
  <c r="O112" i="4"/>
  <c r="P112" i="4"/>
  <c r="O113" i="4"/>
  <c r="P113" i="4"/>
  <c r="O114" i="4"/>
  <c r="P114" i="4"/>
  <c r="O115" i="4"/>
  <c r="P115" i="4"/>
  <c r="O116" i="4"/>
  <c r="P116" i="4"/>
  <c r="O117" i="4"/>
  <c r="P117" i="4"/>
  <c r="O118" i="4"/>
  <c r="P118" i="4"/>
  <c r="O119" i="4"/>
  <c r="P119" i="4"/>
  <c r="O120" i="4"/>
  <c r="P120" i="4"/>
  <c r="O121" i="4"/>
  <c r="P121" i="4"/>
  <c r="O122" i="4"/>
  <c r="P122" i="4"/>
  <c r="O123" i="4"/>
  <c r="P123" i="4"/>
  <c r="O124" i="4"/>
  <c r="P124" i="4"/>
  <c r="O125" i="4"/>
  <c r="P125" i="4"/>
  <c r="O126" i="4"/>
  <c r="P126" i="4"/>
  <c r="O127" i="4"/>
  <c r="P127" i="4"/>
  <c r="O128" i="4"/>
  <c r="P128" i="4"/>
  <c r="O129" i="4"/>
  <c r="P129" i="4"/>
  <c r="O130" i="4"/>
  <c r="P130" i="4"/>
  <c r="O131" i="4"/>
  <c r="P131" i="4"/>
  <c r="O132" i="4"/>
  <c r="P132" i="4"/>
  <c r="O133" i="4"/>
  <c r="P133" i="4"/>
  <c r="O134" i="4"/>
  <c r="P134" i="4"/>
  <c r="O135" i="4"/>
  <c r="P135" i="4"/>
  <c r="O136" i="4"/>
  <c r="P136" i="4"/>
  <c r="O137" i="4"/>
  <c r="P137" i="4"/>
  <c r="O138" i="4"/>
  <c r="P138" i="4"/>
  <c r="O139" i="4"/>
  <c r="P139" i="4"/>
  <c r="O140" i="4"/>
  <c r="P140" i="4"/>
  <c r="O141" i="4"/>
  <c r="P141" i="4"/>
  <c r="O142" i="4"/>
  <c r="P142" i="4"/>
  <c r="O143" i="4"/>
  <c r="P143" i="4"/>
  <c r="O144" i="4"/>
  <c r="P144" i="4"/>
  <c r="O145" i="4"/>
  <c r="P145" i="4"/>
  <c r="O146" i="4"/>
  <c r="P146" i="4"/>
  <c r="O147" i="4"/>
  <c r="P147" i="4"/>
  <c r="O148" i="4"/>
  <c r="P148" i="4"/>
  <c r="O149" i="4"/>
  <c r="P149" i="4"/>
  <c r="O150" i="4"/>
  <c r="P150" i="4"/>
  <c r="O151" i="4"/>
  <c r="P151" i="4"/>
  <c r="O152" i="4"/>
  <c r="P152" i="4"/>
  <c r="O153" i="4"/>
  <c r="P153" i="4"/>
  <c r="O154" i="4"/>
  <c r="P154" i="4"/>
  <c r="O155" i="4"/>
  <c r="P155" i="4"/>
  <c r="O156" i="4"/>
  <c r="P156" i="4"/>
  <c r="O157" i="4"/>
  <c r="P157" i="4"/>
  <c r="O158" i="4"/>
  <c r="P158" i="4"/>
  <c r="O159" i="4"/>
  <c r="P159" i="4"/>
  <c r="O160" i="4"/>
  <c r="P160" i="4"/>
  <c r="O161" i="4"/>
  <c r="P161" i="4"/>
  <c r="O162" i="4"/>
  <c r="P162" i="4"/>
  <c r="O163" i="4"/>
  <c r="P163" i="4"/>
  <c r="O164" i="4"/>
  <c r="P164" i="4"/>
  <c r="L4" i="4"/>
  <c r="L5" i="4"/>
  <c r="L6" i="4"/>
  <c r="L7" i="4"/>
  <c r="L8" i="4"/>
  <c r="L9" i="4"/>
  <c r="L10" i="4"/>
  <c r="L11" i="4"/>
  <c r="L12" i="4"/>
  <c r="L13" i="4"/>
  <c r="L14" i="4"/>
  <c r="L15" i="4"/>
  <c r="L16" i="4"/>
  <c r="L17" i="4"/>
  <c r="L18" i="4"/>
  <c r="L19" i="4"/>
  <c r="L20" i="4"/>
  <c r="L21" i="4"/>
  <c r="L22" i="4"/>
  <c r="L23" i="4"/>
  <c r="L24" i="4"/>
  <c r="L25" i="4"/>
  <c r="L26" i="4"/>
  <c r="L27" i="4"/>
  <c r="L28" i="4"/>
  <c r="L29" i="4"/>
  <c r="L30" i="4"/>
  <c r="L31" i="4"/>
  <c r="L32" i="4"/>
  <c r="L33" i="4"/>
  <c r="L34" i="4"/>
  <c r="L35" i="4"/>
  <c r="L36" i="4"/>
  <c r="L37" i="4"/>
  <c r="L38" i="4"/>
  <c r="L39" i="4"/>
  <c r="L40" i="4"/>
  <c r="L41" i="4"/>
  <c r="L42" i="4"/>
  <c r="L43" i="4"/>
  <c r="L44" i="4"/>
  <c r="L45" i="4"/>
  <c r="L46" i="4"/>
  <c r="L47" i="4"/>
  <c r="L48" i="4"/>
  <c r="L49" i="4"/>
  <c r="L50" i="4"/>
  <c r="L51" i="4"/>
  <c r="L52" i="4"/>
  <c r="L53" i="4"/>
  <c r="L54" i="4"/>
  <c r="L55" i="4"/>
  <c r="L56" i="4"/>
  <c r="L57" i="4"/>
  <c r="L58" i="4"/>
  <c r="L59" i="4"/>
  <c r="L60" i="4"/>
  <c r="L61" i="4"/>
  <c r="L62" i="4"/>
  <c r="L63" i="4"/>
  <c r="L64" i="4"/>
  <c r="L65" i="4"/>
  <c r="L66" i="4"/>
  <c r="L67" i="4"/>
  <c r="L68" i="4"/>
  <c r="L69" i="4"/>
  <c r="L70" i="4"/>
  <c r="L71" i="4"/>
  <c r="L72" i="4"/>
  <c r="L73" i="4"/>
  <c r="L74" i="4"/>
  <c r="L75" i="4"/>
  <c r="L76" i="4"/>
  <c r="L77" i="4"/>
  <c r="L78" i="4"/>
  <c r="L79" i="4"/>
  <c r="L80" i="4"/>
  <c r="L81" i="4"/>
  <c r="L82" i="4"/>
  <c r="L83" i="4"/>
  <c r="L84" i="4"/>
  <c r="L85" i="4"/>
  <c r="L86" i="4"/>
  <c r="L87" i="4"/>
  <c r="L88" i="4"/>
  <c r="L89" i="4"/>
  <c r="L90" i="4"/>
  <c r="L91" i="4"/>
  <c r="L92" i="4"/>
  <c r="L93" i="4"/>
  <c r="L94" i="4"/>
  <c r="L95" i="4"/>
  <c r="L96" i="4"/>
  <c r="L97" i="4"/>
  <c r="L98" i="4"/>
  <c r="L99" i="4"/>
  <c r="L100" i="4"/>
  <c r="L101" i="4"/>
  <c r="L102" i="4"/>
  <c r="L103" i="4"/>
  <c r="L104" i="4"/>
  <c r="L105" i="4"/>
  <c r="L106" i="4"/>
  <c r="L107" i="4"/>
  <c r="L108" i="4"/>
  <c r="L109" i="4"/>
  <c r="L110" i="4"/>
  <c r="L111" i="4"/>
  <c r="L112" i="4"/>
  <c r="L113" i="4"/>
  <c r="L114" i="4"/>
  <c r="L115" i="4"/>
  <c r="L116" i="4"/>
  <c r="L117" i="4"/>
  <c r="L118" i="4"/>
  <c r="L119" i="4"/>
  <c r="L120" i="4"/>
  <c r="L121" i="4"/>
  <c r="L122" i="4"/>
  <c r="L123" i="4"/>
  <c r="L124" i="4"/>
  <c r="L125" i="4"/>
  <c r="L126" i="4"/>
  <c r="L127" i="4"/>
  <c r="L128" i="4"/>
  <c r="L129" i="4"/>
  <c r="L130" i="4"/>
  <c r="L131" i="4"/>
  <c r="L132" i="4"/>
  <c r="L133" i="4"/>
  <c r="L134" i="4"/>
  <c r="L135" i="4"/>
  <c r="L136" i="4"/>
  <c r="L137" i="4"/>
  <c r="L138" i="4"/>
  <c r="L139" i="4"/>
  <c r="L140" i="4"/>
  <c r="L141" i="4"/>
  <c r="L142" i="4"/>
  <c r="L143" i="4"/>
  <c r="L144" i="4"/>
  <c r="L145" i="4"/>
  <c r="L146" i="4"/>
  <c r="L147" i="4"/>
  <c r="L148" i="4"/>
  <c r="L149" i="4"/>
  <c r="L150" i="4"/>
  <c r="L151" i="4"/>
  <c r="L152" i="4"/>
  <c r="L153" i="4"/>
  <c r="L154" i="4"/>
  <c r="L155" i="4"/>
  <c r="L156" i="4"/>
  <c r="L157" i="4"/>
  <c r="L158" i="4"/>
  <c r="L159" i="4"/>
  <c r="L160" i="4"/>
  <c r="L161" i="4"/>
  <c r="L162" i="4"/>
  <c r="L163" i="4"/>
  <c r="L164" i="4"/>
  <c r="K4" i="4"/>
  <c r="K5" i="4"/>
  <c r="K6" i="4"/>
  <c r="K7" i="4"/>
  <c r="K8" i="4"/>
  <c r="K9" i="4"/>
  <c r="K10" i="4"/>
  <c r="K11" i="4"/>
  <c r="K12" i="4"/>
  <c r="K13" i="4"/>
  <c r="K14" i="4"/>
  <c r="K15" i="4"/>
  <c r="K16" i="4"/>
  <c r="K17" i="4"/>
  <c r="K18" i="4"/>
  <c r="K19" i="4"/>
  <c r="K20" i="4"/>
  <c r="K21" i="4"/>
  <c r="K22" i="4"/>
  <c r="K23" i="4"/>
  <c r="K24" i="4"/>
  <c r="K25" i="4"/>
  <c r="K26" i="4"/>
  <c r="K27" i="4"/>
  <c r="K28" i="4"/>
  <c r="K29" i="4"/>
  <c r="K30" i="4"/>
  <c r="K31" i="4"/>
  <c r="K32" i="4"/>
  <c r="K33" i="4"/>
  <c r="K34" i="4"/>
  <c r="K35" i="4"/>
  <c r="K36" i="4"/>
  <c r="K37" i="4"/>
  <c r="K38" i="4"/>
  <c r="K39" i="4"/>
  <c r="K40" i="4"/>
  <c r="K41" i="4"/>
  <c r="K42" i="4"/>
  <c r="K43" i="4"/>
  <c r="K44" i="4"/>
  <c r="K45" i="4"/>
  <c r="K46" i="4"/>
  <c r="K47" i="4"/>
  <c r="K48" i="4"/>
  <c r="K49" i="4"/>
  <c r="K50" i="4"/>
  <c r="K51" i="4"/>
  <c r="K52" i="4"/>
  <c r="K53" i="4"/>
  <c r="K54" i="4"/>
  <c r="K55" i="4"/>
  <c r="K56" i="4"/>
  <c r="K57" i="4"/>
  <c r="K58" i="4"/>
  <c r="K59" i="4"/>
  <c r="K60" i="4"/>
  <c r="K61" i="4"/>
  <c r="K62" i="4"/>
  <c r="K63" i="4"/>
  <c r="K64" i="4"/>
  <c r="K65" i="4"/>
  <c r="K66" i="4"/>
  <c r="K67" i="4"/>
  <c r="K68" i="4"/>
  <c r="K69" i="4"/>
  <c r="K70" i="4"/>
  <c r="K71" i="4"/>
  <c r="K72" i="4"/>
  <c r="K73" i="4"/>
  <c r="K74" i="4"/>
  <c r="K75" i="4"/>
  <c r="K76" i="4"/>
  <c r="K77" i="4"/>
  <c r="K78" i="4"/>
  <c r="K79" i="4"/>
  <c r="K80" i="4"/>
  <c r="K81" i="4"/>
  <c r="K82" i="4"/>
  <c r="K83" i="4"/>
  <c r="K84" i="4"/>
  <c r="K85" i="4"/>
  <c r="K86" i="4"/>
  <c r="K87" i="4"/>
  <c r="K88" i="4"/>
  <c r="K89" i="4"/>
  <c r="K90" i="4"/>
  <c r="K91" i="4"/>
  <c r="K92" i="4"/>
  <c r="K93" i="4"/>
  <c r="K94" i="4"/>
  <c r="K95" i="4"/>
  <c r="K96" i="4"/>
  <c r="K97" i="4"/>
  <c r="K98" i="4"/>
  <c r="K99" i="4"/>
  <c r="K100" i="4"/>
  <c r="K101" i="4"/>
  <c r="K102" i="4"/>
  <c r="K103" i="4"/>
  <c r="K104" i="4"/>
  <c r="K105" i="4"/>
  <c r="K106" i="4"/>
  <c r="K107" i="4"/>
  <c r="K108" i="4"/>
  <c r="K109" i="4"/>
  <c r="K110" i="4"/>
  <c r="K111" i="4"/>
  <c r="K112" i="4"/>
  <c r="K113" i="4"/>
  <c r="K114" i="4"/>
  <c r="K115" i="4"/>
  <c r="K116" i="4"/>
  <c r="K117" i="4"/>
  <c r="K118" i="4"/>
  <c r="K119" i="4"/>
  <c r="K120" i="4"/>
  <c r="K121" i="4"/>
  <c r="K122" i="4"/>
  <c r="K123" i="4"/>
  <c r="K124" i="4"/>
  <c r="K125" i="4"/>
  <c r="K126" i="4"/>
  <c r="K127" i="4"/>
  <c r="K128" i="4"/>
  <c r="K129" i="4"/>
  <c r="K130" i="4"/>
  <c r="K131" i="4"/>
  <c r="K132" i="4"/>
  <c r="K133" i="4"/>
  <c r="K134" i="4"/>
  <c r="K135" i="4"/>
  <c r="K136" i="4"/>
  <c r="K137" i="4"/>
  <c r="K138" i="4"/>
  <c r="K139" i="4"/>
  <c r="K140" i="4"/>
  <c r="K141" i="4"/>
  <c r="K142" i="4"/>
  <c r="K143" i="4"/>
  <c r="K144" i="4"/>
  <c r="K145" i="4"/>
  <c r="K146" i="4"/>
  <c r="K147" i="4"/>
  <c r="K148" i="4"/>
  <c r="K149" i="4"/>
  <c r="K150" i="4"/>
  <c r="K151" i="4"/>
  <c r="K152" i="4"/>
  <c r="K153" i="4"/>
  <c r="K154" i="4"/>
  <c r="K155" i="4"/>
  <c r="K156" i="4"/>
  <c r="K157" i="4"/>
  <c r="K158" i="4"/>
  <c r="K159" i="4"/>
  <c r="K160" i="4"/>
  <c r="K161" i="4"/>
  <c r="K162" i="4"/>
  <c r="K163" i="4"/>
  <c r="K164" i="4"/>
  <c r="V4" i="3"/>
  <c r="V5" i="3"/>
  <c r="V6" i="3"/>
  <c r="V7" i="3"/>
  <c r="V8" i="3"/>
  <c r="V9" i="3"/>
  <c r="V10" i="3"/>
  <c r="V11" i="3"/>
  <c r="V12" i="3"/>
  <c r="V13" i="3"/>
  <c r="V14" i="3"/>
  <c r="V15" i="3"/>
  <c r="V16" i="3"/>
  <c r="V17" i="3"/>
  <c r="V18" i="3"/>
  <c r="V19" i="3"/>
  <c r="V20" i="3"/>
  <c r="V21" i="3"/>
  <c r="V22" i="3"/>
  <c r="V23" i="3"/>
  <c r="V24" i="3"/>
  <c r="V25" i="3"/>
  <c r="V26" i="3"/>
  <c r="V27" i="3"/>
  <c r="V28" i="3"/>
  <c r="V29" i="3"/>
  <c r="V30" i="3"/>
  <c r="V31" i="3"/>
  <c r="V32" i="3"/>
  <c r="V33" i="3"/>
  <c r="V34" i="3"/>
  <c r="V35" i="3"/>
  <c r="V36" i="3"/>
  <c r="V37" i="3"/>
  <c r="V38" i="3"/>
  <c r="V39" i="3"/>
  <c r="V40" i="3"/>
  <c r="V41" i="3"/>
  <c r="V42" i="3"/>
  <c r="V43" i="3"/>
  <c r="V44" i="3"/>
  <c r="V45" i="3"/>
  <c r="V46" i="3"/>
  <c r="V47" i="3"/>
  <c r="V48" i="3"/>
  <c r="V49" i="3"/>
  <c r="V50" i="3"/>
  <c r="V51" i="3"/>
  <c r="V52" i="3"/>
  <c r="V53" i="3"/>
  <c r="V54" i="3"/>
  <c r="V55" i="3"/>
  <c r="V56" i="3"/>
  <c r="V57" i="3"/>
  <c r="V58" i="3"/>
  <c r="V59" i="3"/>
  <c r="V60" i="3"/>
  <c r="V61" i="3"/>
  <c r="V62" i="3"/>
  <c r="V63" i="3"/>
  <c r="V64" i="3"/>
  <c r="V65" i="3"/>
  <c r="V66" i="3"/>
  <c r="V67" i="3"/>
  <c r="V68" i="3"/>
  <c r="V69" i="3"/>
  <c r="V70" i="3"/>
  <c r="V71" i="3"/>
  <c r="V72" i="3"/>
  <c r="V73" i="3"/>
  <c r="V74" i="3"/>
  <c r="V75" i="3"/>
  <c r="V76" i="3"/>
  <c r="V77" i="3"/>
  <c r="V78" i="3"/>
  <c r="V79" i="3"/>
  <c r="V80" i="3"/>
  <c r="V81" i="3"/>
  <c r="V82" i="3"/>
  <c r="V83" i="3"/>
  <c r="V84" i="3"/>
  <c r="V85" i="3"/>
  <c r="V86" i="3"/>
  <c r="V87" i="3"/>
  <c r="V88" i="3"/>
  <c r="V89" i="3"/>
  <c r="V90" i="3"/>
  <c r="V91" i="3"/>
  <c r="V92" i="3"/>
  <c r="V93" i="3"/>
  <c r="V94" i="3"/>
  <c r="V95" i="3"/>
  <c r="V96" i="3"/>
  <c r="V97" i="3"/>
  <c r="V98" i="3"/>
  <c r="V99" i="3"/>
  <c r="V100" i="3"/>
  <c r="V101" i="3"/>
  <c r="V102" i="3"/>
  <c r="V103" i="3"/>
  <c r="V104" i="3"/>
  <c r="V105" i="3"/>
  <c r="V106" i="3"/>
  <c r="V107" i="3"/>
  <c r="V108" i="3"/>
  <c r="V109" i="3"/>
  <c r="V110" i="3"/>
  <c r="V111" i="3"/>
  <c r="V112" i="3"/>
  <c r="V113" i="3"/>
  <c r="V114" i="3"/>
  <c r="V115" i="3"/>
  <c r="V116" i="3"/>
  <c r="V117" i="3"/>
  <c r="V118" i="3"/>
  <c r="V119" i="3"/>
  <c r="V120" i="3"/>
  <c r="V121" i="3"/>
  <c r="V122" i="3"/>
  <c r="V123" i="3"/>
  <c r="V124" i="3"/>
  <c r="V125" i="3"/>
  <c r="V126" i="3"/>
  <c r="V127" i="3"/>
  <c r="V128" i="3"/>
  <c r="V129" i="3"/>
  <c r="V130" i="3"/>
  <c r="V131" i="3"/>
  <c r="V132" i="3"/>
  <c r="V133" i="3"/>
  <c r="V134" i="3"/>
  <c r="V135" i="3"/>
  <c r="V136" i="3"/>
  <c r="V137" i="3"/>
  <c r="V138" i="3"/>
  <c r="V139" i="3"/>
  <c r="V140" i="3"/>
  <c r="V141" i="3"/>
  <c r="V142" i="3"/>
  <c r="V143" i="3"/>
  <c r="V144" i="3"/>
  <c r="V145" i="3"/>
  <c r="V146" i="3"/>
  <c r="V147" i="3"/>
  <c r="V148" i="3"/>
  <c r="V149" i="3"/>
  <c r="V150" i="3"/>
  <c r="V151" i="3"/>
  <c r="V152" i="3"/>
  <c r="V153" i="3"/>
  <c r="V154" i="3"/>
  <c r="V155" i="3"/>
  <c r="V156" i="3"/>
  <c r="V157" i="3"/>
  <c r="V158" i="3"/>
  <c r="V159" i="3"/>
  <c r="V160" i="3"/>
  <c r="V161" i="3"/>
  <c r="V162" i="3"/>
  <c r="V163" i="3"/>
  <c r="V164" i="3"/>
  <c r="V165" i="3"/>
  <c r="V166" i="3"/>
  <c r="V167" i="3"/>
  <c r="V168" i="3"/>
  <c r="V169" i="3"/>
  <c r="V170" i="3"/>
  <c r="V171" i="3"/>
  <c r="V172" i="3"/>
  <c r="V173" i="3"/>
  <c r="V174" i="3"/>
  <c r="V175" i="3"/>
  <c r="V176" i="3"/>
  <c r="V177" i="3"/>
  <c r="V178" i="3"/>
  <c r="V179" i="3"/>
  <c r="V3" i="3"/>
  <c r="P3" i="3"/>
  <c r="P4" i="3"/>
  <c r="P5" i="3"/>
  <c r="P6" i="3"/>
  <c r="P7" i="3"/>
  <c r="P8" i="3"/>
  <c r="P9" i="3"/>
  <c r="P10" i="3"/>
  <c r="P11" i="3"/>
  <c r="P12" i="3"/>
  <c r="P13" i="3"/>
  <c r="P14" i="3"/>
  <c r="P15" i="3"/>
  <c r="P16" i="3"/>
  <c r="P17" i="3"/>
  <c r="P18" i="3"/>
  <c r="P19" i="3"/>
  <c r="P20" i="3"/>
  <c r="P21" i="3"/>
  <c r="P22" i="3"/>
  <c r="P23" i="3"/>
  <c r="P24" i="3"/>
  <c r="P25" i="3"/>
  <c r="P26" i="3"/>
  <c r="P27" i="3"/>
  <c r="P28" i="3"/>
  <c r="P29" i="3"/>
  <c r="P30" i="3"/>
  <c r="P31" i="3"/>
  <c r="P32" i="3"/>
  <c r="P33" i="3"/>
  <c r="P34" i="3"/>
  <c r="P35" i="3"/>
  <c r="P36" i="3"/>
  <c r="P37" i="3"/>
  <c r="P38" i="3"/>
  <c r="P39" i="3"/>
  <c r="P40" i="3"/>
  <c r="P41" i="3"/>
  <c r="P42" i="3"/>
  <c r="P43" i="3"/>
  <c r="P44" i="3"/>
  <c r="P45" i="3"/>
  <c r="P46" i="3"/>
  <c r="P47" i="3"/>
  <c r="P48" i="3"/>
  <c r="P49" i="3"/>
  <c r="P50" i="3"/>
  <c r="P51" i="3"/>
  <c r="P52" i="3"/>
  <c r="P53" i="3"/>
  <c r="P54" i="3"/>
  <c r="P55" i="3"/>
  <c r="P56" i="3"/>
  <c r="P57" i="3"/>
  <c r="P58" i="3"/>
  <c r="P59" i="3"/>
  <c r="P60" i="3"/>
  <c r="P61" i="3"/>
  <c r="P62" i="3"/>
  <c r="P63" i="3"/>
  <c r="P64" i="3"/>
  <c r="P65" i="3"/>
  <c r="P66" i="3"/>
  <c r="P67" i="3"/>
  <c r="P68" i="3"/>
  <c r="P69" i="3"/>
  <c r="P70" i="3"/>
  <c r="P71" i="3"/>
  <c r="P72" i="3"/>
  <c r="P73" i="3"/>
  <c r="P74" i="3"/>
  <c r="P75" i="3"/>
  <c r="P76" i="3"/>
  <c r="P77" i="3"/>
  <c r="P78" i="3"/>
  <c r="P79" i="3"/>
  <c r="P80" i="3"/>
  <c r="P81" i="3"/>
  <c r="P82" i="3"/>
  <c r="P83" i="3"/>
  <c r="P84" i="3"/>
  <c r="P85" i="3"/>
  <c r="P86" i="3"/>
  <c r="P87" i="3"/>
  <c r="P88" i="3"/>
  <c r="P89" i="3"/>
  <c r="P90" i="3"/>
  <c r="P91" i="3"/>
  <c r="P92" i="3"/>
  <c r="P93" i="3"/>
  <c r="P94" i="3"/>
  <c r="P95" i="3"/>
  <c r="P96" i="3"/>
  <c r="P97" i="3"/>
  <c r="P98" i="3"/>
  <c r="P99" i="3"/>
  <c r="P100" i="3"/>
  <c r="P101" i="3"/>
  <c r="P102" i="3"/>
  <c r="P103" i="3"/>
  <c r="P104" i="3"/>
  <c r="P105" i="3"/>
  <c r="P106" i="3"/>
  <c r="P107" i="3"/>
  <c r="P108" i="3"/>
  <c r="P109" i="3"/>
  <c r="P110" i="3"/>
  <c r="P111" i="3"/>
  <c r="P112" i="3"/>
  <c r="P113" i="3"/>
  <c r="P114" i="3"/>
  <c r="P115" i="3"/>
  <c r="P116" i="3"/>
  <c r="P117" i="3"/>
  <c r="P118" i="3"/>
  <c r="P119" i="3"/>
  <c r="P120" i="3"/>
  <c r="P121" i="3"/>
  <c r="P122" i="3"/>
  <c r="P123" i="3"/>
  <c r="P124" i="3"/>
  <c r="P125" i="3"/>
  <c r="P126" i="3"/>
  <c r="P127" i="3"/>
  <c r="P128" i="3"/>
  <c r="P129" i="3"/>
  <c r="P130" i="3"/>
  <c r="P131" i="3"/>
  <c r="P132" i="3"/>
  <c r="P133" i="3"/>
  <c r="P134" i="3"/>
  <c r="P135" i="3"/>
  <c r="P136" i="3"/>
  <c r="P137" i="3"/>
  <c r="P138" i="3"/>
  <c r="P139" i="3"/>
  <c r="P140" i="3"/>
  <c r="P141" i="3"/>
  <c r="P142" i="3"/>
  <c r="P143" i="3"/>
  <c r="P144" i="3"/>
  <c r="P145" i="3"/>
  <c r="P146" i="3"/>
  <c r="P147" i="3"/>
  <c r="P148" i="3"/>
  <c r="P149" i="3"/>
  <c r="P150" i="3"/>
  <c r="P151" i="3"/>
  <c r="P152" i="3"/>
  <c r="P153" i="3"/>
  <c r="P154" i="3"/>
  <c r="P155" i="3"/>
  <c r="P156" i="3"/>
  <c r="P157" i="3"/>
  <c r="P158" i="3"/>
  <c r="P159" i="3"/>
  <c r="P160" i="3"/>
  <c r="P161" i="3"/>
  <c r="P162" i="3"/>
  <c r="P163" i="3"/>
  <c r="P164" i="3"/>
  <c r="P165" i="3"/>
  <c r="P166" i="3"/>
  <c r="P167" i="3"/>
  <c r="P168" i="3"/>
  <c r="P169" i="3"/>
  <c r="P170" i="3"/>
  <c r="P171" i="3"/>
  <c r="P172" i="3"/>
  <c r="P173" i="3"/>
  <c r="P174" i="3"/>
  <c r="P175" i="3"/>
  <c r="P176" i="3"/>
  <c r="P177" i="3"/>
  <c r="P2" i="3"/>
  <c r="I3" i="3"/>
  <c r="I4" i="3"/>
  <c r="I5" i="3"/>
  <c r="I6" i="3"/>
  <c r="I7" i="3"/>
  <c r="I8" i="3"/>
  <c r="I9" i="3"/>
  <c r="I10" i="3"/>
  <c r="I11" i="3"/>
  <c r="I12" i="3"/>
  <c r="I13" i="3"/>
  <c r="I14" i="3"/>
  <c r="I15" i="3"/>
  <c r="I16" i="3"/>
  <c r="I17" i="3"/>
  <c r="I18" i="3"/>
  <c r="I19" i="3"/>
  <c r="I20" i="3"/>
  <c r="I21" i="3"/>
  <c r="I22" i="3"/>
  <c r="I23" i="3"/>
  <c r="I24" i="3"/>
  <c r="I25" i="3"/>
  <c r="I26" i="3"/>
  <c r="I27" i="3"/>
  <c r="I28" i="3"/>
  <c r="I29" i="3"/>
  <c r="I30" i="3"/>
  <c r="I31" i="3"/>
  <c r="I32" i="3"/>
  <c r="I33" i="3"/>
  <c r="I34" i="3"/>
  <c r="I35" i="3"/>
  <c r="I36" i="3"/>
  <c r="I37" i="3"/>
  <c r="I38" i="3"/>
  <c r="I39" i="3"/>
  <c r="I40" i="3"/>
  <c r="I41" i="3"/>
  <c r="I42" i="3"/>
  <c r="I43" i="3"/>
  <c r="I44" i="3"/>
  <c r="I45" i="3"/>
  <c r="I46" i="3"/>
  <c r="I47" i="3"/>
  <c r="I48" i="3"/>
  <c r="I49" i="3"/>
  <c r="I50" i="3"/>
  <c r="I51" i="3"/>
  <c r="I52" i="3"/>
  <c r="I53" i="3"/>
  <c r="I54" i="3"/>
  <c r="I55" i="3"/>
  <c r="I56" i="3"/>
  <c r="I57" i="3"/>
  <c r="I58" i="3"/>
  <c r="I59" i="3"/>
  <c r="I60" i="3"/>
  <c r="I61" i="3"/>
  <c r="I62" i="3"/>
  <c r="I63" i="3"/>
  <c r="I64" i="3"/>
  <c r="I65" i="3"/>
  <c r="I66" i="3"/>
  <c r="I67" i="3"/>
  <c r="I68" i="3"/>
  <c r="I69" i="3"/>
  <c r="I70" i="3"/>
  <c r="I71" i="3"/>
  <c r="I72" i="3"/>
  <c r="I73" i="3"/>
  <c r="I74" i="3"/>
  <c r="I75" i="3"/>
  <c r="I76" i="3"/>
  <c r="I77" i="3"/>
  <c r="I78" i="3"/>
  <c r="I79" i="3"/>
  <c r="I80" i="3"/>
  <c r="I81" i="3"/>
  <c r="I82" i="3"/>
  <c r="I83" i="3"/>
  <c r="I84" i="3"/>
  <c r="I85" i="3"/>
  <c r="I86" i="3"/>
  <c r="I87" i="3"/>
  <c r="I88" i="3"/>
  <c r="I89" i="3"/>
  <c r="I90" i="3"/>
  <c r="I91" i="3"/>
  <c r="I92" i="3"/>
  <c r="I93" i="3"/>
  <c r="I94" i="3"/>
  <c r="I95" i="3"/>
  <c r="I96" i="3"/>
  <c r="I97" i="3"/>
  <c r="I98" i="3"/>
  <c r="I99" i="3"/>
  <c r="I100" i="3"/>
  <c r="I101" i="3"/>
  <c r="I102" i="3"/>
  <c r="I103" i="3"/>
  <c r="I104" i="3"/>
  <c r="I105" i="3"/>
  <c r="I106" i="3"/>
  <c r="I107" i="3"/>
  <c r="I108" i="3"/>
  <c r="I109" i="3"/>
  <c r="I110" i="3"/>
  <c r="I111" i="3"/>
  <c r="I112" i="3"/>
  <c r="I113" i="3"/>
  <c r="I114" i="3"/>
  <c r="I115" i="3"/>
  <c r="I116" i="3"/>
  <c r="I117" i="3"/>
  <c r="I118" i="3"/>
  <c r="I119" i="3"/>
  <c r="I120" i="3"/>
  <c r="I121" i="3"/>
  <c r="I122" i="3"/>
  <c r="I123" i="3"/>
  <c r="I124" i="3"/>
  <c r="I125" i="3"/>
  <c r="I126" i="3"/>
  <c r="I127" i="3"/>
  <c r="I128" i="3"/>
  <c r="I129" i="3"/>
  <c r="I130" i="3"/>
  <c r="I131" i="3"/>
  <c r="I132" i="3"/>
  <c r="I133" i="3"/>
  <c r="I134" i="3"/>
  <c r="I135" i="3"/>
  <c r="I136" i="3"/>
  <c r="I137" i="3"/>
  <c r="I138" i="3"/>
  <c r="I139" i="3"/>
  <c r="I140" i="3"/>
  <c r="I141" i="3"/>
  <c r="I142" i="3"/>
  <c r="I143" i="3"/>
  <c r="I144" i="3"/>
  <c r="I145" i="3"/>
  <c r="I146" i="3"/>
  <c r="I147" i="3"/>
  <c r="I148" i="3"/>
  <c r="I149" i="3"/>
  <c r="I150" i="3"/>
  <c r="I151" i="3"/>
  <c r="I152" i="3"/>
  <c r="I153" i="3"/>
  <c r="I154" i="3"/>
  <c r="I155" i="3"/>
  <c r="I156" i="3"/>
  <c r="I157" i="3"/>
  <c r="I158" i="3"/>
  <c r="I159" i="3"/>
  <c r="I160" i="3"/>
  <c r="I161" i="3"/>
  <c r="I162" i="3"/>
  <c r="I163" i="3"/>
  <c r="I164" i="3"/>
  <c r="I165" i="3"/>
  <c r="I166" i="3"/>
  <c r="I167" i="3"/>
  <c r="I168" i="3"/>
  <c r="I169" i="3"/>
  <c r="I170" i="3"/>
  <c r="I171" i="3"/>
  <c r="I172" i="3"/>
  <c r="I173" i="3"/>
  <c r="I174" i="3"/>
  <c r="I175" i="3"/>
  <c r="I176" i="3"/>
  <c r="I177" i="3"/>
  <c r="I2" i="3"/>
  <c r="C19" i="2"/>
  <c r="D19" i="2"/>
  <c r="G19" i="2"/>
  <c r="H19" i="2"/>
  <c r="I19" i="2"/>
  <c r="K19" i="2"/>
  <c r="L19" i="2"/>
  <c r="O19" i="2"/>
  <c r="P19" i="2"/>
  <c r="B19" i="2"/>
  <c r="E19" i="2"/>
  <c r="F19" i="2"/>
  <c r="J19" i="2"/>
  <c r="M19" i="2"/>
  <c r="N19" i="2"/>
  <c r="J173" i="3"/>
  <c r="J174" i="3"/>
  <c r="J175" i="3"/>
  <c r="J176" i="3"/>
  <c r="J177" i="3"/>
</calcChain>
</file>

<file path=xl/sharedStrings.xml><?xml version="1.0" encoding="utf-8"?>
<sst xmlns="http://schemas.openxmlformats.org/spreadsheetml/2006/main" count="261" uniqueCount="98">
  <si>
    <t>LoanId</t>
  </si>
  <si>
    <t>asOf</t>
  </si>
  <si>
    <t>servicer</t>
  </si>
  <si>
    <t>CurrentCoupon</t>
  </si>
  <si>
    <t>currentRPB</t>
  </si>
  <si>
    <t>loanAge</t>
  </si>
  <si>
    <t>remTerm</t>
  </si>
  <si>
    <t>adjRemTerm</t>
  </si>
  <si>
    <t>matDt</t>
  </si>
  <si>
    <t>msa</t>
  </si>
  <si>
    <t>delinqStatus</t>
  </si>
  <si>
    <t>loanModFlag</t>
  </si>
  <si>
    <t>zeroBalanceCode</t>
  </si>
  <si>
    <t>asOfZeroBalance</t>
  </si>
  <si>
    <t>LastPaidInstallmentDate</t>
  </si>
  <si>
    <t>ForeclosureDate</t>
  </si>
  <si>
    <t>DispositionDate</t>
  </si>
  <si>
    <t>ForeclosureCosts</t>
  </si>
  <si>
    <t>PropertyPreserveAndRepairCost</t>
  </si>
  <si>
    <t>AssetRecoveryCost</t>
  </si>
  <si>
    <t>MiscHoldingExpenseAndCredits</t>
  </si>
  <si>
    <t>AssociatedTaxforHoldingProperty</t>
  </si>
  <si>
    <t>NetSaleProceeds</t>
  </si>
  <si>
    <t>CreditEnhancementProceeds</t>
  </si>
  <si>
    <t>RepurchaseMakeWholeProceeds</t>
  </si>
  <si>
    <t>OtherForecloseProceeds</t>
  </si>
  <si>
    <t>X</t>
  </si>
  <si>
    <t>Y</t>
  </si>
  <si>
    <t>Last Paid Installment Date</t>
  </si>
  <si>
    <t>Current Coupon</t>
  </si>
  <si>
    <t>current RPB</t>
  </si>
  <si>
    <t>loan Age</t>
  </si>
  <si>
    <t>rem Term</t>
  </si>
  <si>
    <t>adj Rem Term</t>
  </si>
  <si>
    <t>mat Dt</t>
  </si>
  <si>
    <t>loan Mod Flag</t>
  </si>
  <si>
    <t>Foreclosure Date</t>
  </si>
  <si>
    <t>Disposition Date</t>
  </si>
  <si>
    <t>Foreclosure Costs</t>
  </si>
  <si>
    <t>Property Preserve And Repair Cost</t>
  </si>
  <si>
    <t>Asset Recovery Cost</t>
  </si>
  <si>
    <t>Misc Holding Expense And Credits</t>
  </si>
  <si>
    <t>Associated Tax for Holding Property</t>
  </si>
  <si>
    <t>Expenses</t>
  </si>
  <si>
    <t>NonMI Recoveries</t>
  </si>
  <si>
    <t>Expense</t>
  </si>
  <si>
    <t>MI Recoveries</t>
  </si>
  <si>
    <t>Year</t>
  </si>
  <si>
    <t>ForeclosureCostsPct</t>
  </si>
  <si>
    <t>PropertyPreserveAndRepairCostPct</t>
  </si>
  <si>
    <t>AssetRecoveryCostPct</t>
  </si>
  <si>
    <t>MiscHoldingExpenseAndCreditsPct</t>
  </si>
  <si>
    <t>AssociatedTaxforHoldingPropertyPct</t>
  </si>
  <si>
    <t>NetSaleProceedsPct</t>
  </si>
  <si>
    <t>CreditEnhancementProceedsPct</t>
  </si>
  <si>
    <t>RepurchaseMakeWholeProceedsPct</t>
  </si>
  <si>
    <t>OtherForecloseProceedsPct</t>
  </si>
  <si>
    <t>Proceeds</t>
  </si>
  <si>
    <t>sum(LoanLevelHistMonthlyPerformData.currentRPB)</t>
  </si>
  <si>
    <t>Interest</t>
  </si>
  <si>
    <t>Severity</t>
  </si>
  <si>
    <t>Total</t>
  </si>
  <si>
    <t>Actural</t>
  </si>
  <si>
    <t>Estim</t>
  </si>
  <si>
    <t>FNMA</t>
  </si>
  <si>
    <t>FHL</t>
  </si>
  <si>
    <t>Actual</t>
  </si>
  <si>
    <t>dispositiondate</t>
  </si>
  <si>
    <t>lossDate</t>
  </si>
  <si>
    <t>miRecoveries</t>
  </si>
  <si>
    <t>nonMIRecoveries</t>
  </si>
  <si>
    <t>expenses</t>
  </si>
  <si>
    <t>netSaleProceeds</t>
  </si>
  <si>
    <t>ActuralSeverity</t>
  </si>
  <si>
    <t>interest</t>
  </si>
  <si>
    <t>MI</t>
  </si>
  <si>
    <t>Non-MI</t>
  </si>
  <si>
    <t>Total Cost</t>
  </si>
  <si>
    <t>Total Proceeds</t>
  </si>
  <si>
    <t>EXPENSES</t>
  </si>
  <si>
    <t>PROCEEDS</t>
  </si>
  <si>
    <t>Delinquent Interest</t>
  </si>
  <si>
    <t>Total Liquidition Expenses</t>
  </si>
  <si>
    <t>Foreclosure</t>
  </si>
  <si>
    <t>Property Preserve And Repair</t>
  </si>
  <si>
    <t>Asset Recovery</t>
  </si>
  <si>
    <t>Associated Tax</t>
  </si>
  <si>
    <t>Misc Holding Expenses</t>
  </si>
  <si>
    <t>Net Sale Proceeds</t>
  </si>
  <si>
    <t>Credit Enhancement</t>
  </si>
  <si>
    <t>Repurchase Make Whole</t>
  </si>
  <si>
    <t>Other</t>
  </si>
  <si>
    <t>FNM</t>
  </si>
  <si>
    <t>Performance</t>
  </si>
  <si>
    <t>FC</t>
  </si>
  <si>
    <t>REO</t>
  </si>
  <si>
    <t>Loan Count</t>
  </si>
  <si>
    <t>Base Loss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</si>
</sst>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43" formatCode="_(* #,##0.00_);_(* \(#,##0.00\);_(* &quot;-&quot;??_);_(@_)"/>
    <numFmt numFmtId="164" formatCode="_(* #,##0_);_(* \(#,##0\);_(* &quot;-&quot;??_);_(@_)"/>
    <numFmt numFmtId="165" formatCode="0.0%"/>
  </numFmts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name val="Lucida Console"/>
      <family val="3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17">
    <xf numFmtId="0" fontId="0" fillId="0" borderId="0" xfId="0"/>
    <xf numFmtId="14" fontId="0" fillId="0" borderId="0" xfId="0" applyNumberFormat="1"/>
    <xf numFmtId="0" fontId="0" fillId="0" borderId="0" xfId="0" applyAlignment="1">
      <alignment wrapText="1"/>
    </xf>
    <xf numFmtId="11" fontId="0" fillId="0" borderId="0" xfId="0" applyNumberFormat="1"/>
    <xf numFmtId="9" fontId="0" fillId="0" borderId="0" xfId="2" applyFont="1"/>
    <xf numFmtId="165" fontId="0" fillId="0" borderId="0" xfId="2" applyNumberFormat="1" applyFont="1"/>
    <xf numFmtId="165" fontId="0" fillId="0" borderId="0" xfId="0" applyNumberFormat="1"/>
    <xf numFmtId="0" fontId="2" fillId="0" borderId="0" xfId="0" applyFont="1"/>
    <xf numFmtId="164" fontId="2" fillId="0" borderId="0" xfId="1" applyNumberFormat="1" applyFont="1"/>
    <xf numFmtId="0" fontId="0" fillId="0" borderId="0" xfId="0" applyAlignment="1">
      <alignment horizontal="left" indent="1"/>
    </xf>
    <xf numFmtId="9" fontId="0" fillId="0" borderId="0" xfId="0" applyNumberFormat="1"/>
    <xf numFmtId="0" fontId="3" fillId="0" borderId="0" xfId="0" applyFont="1" applyAlignment="1">
      <alignment vertical="center"/>
    </xf>
    <xf numFmtId="14" fontId="3" fillId="0" borderId="0" xfId="0" applyNumberFormat="1" applyFont="1" applyAlignment="1">
      <alignment vertical="center"/>
    </xf>
    <xf numFmtId="11" fontId="0" fillId="0" borderId="0" xfId="2" applyNumberFormat="1" applyFont="1"/>
    <xf numFmtId="0" fontId="0" fillId="0" borderId="0" xfId="0" applyAlignment="1">
      <alignment horizontal="left"/>
    </xf>
    <xf numFmtId="0" fontId="0" fillId="0" borderId="0" xfId="0" applyAlignment="1">
      <alignment horizontal="left" indent="3"/>
    </xf>
    <xf numFmtId="43" fontId="0" fillId="0" borderId="0" xfId="2" applyNumberFormat="1" applyFont="1"/>
  </cellXfs>
  <cellStyles count="3">
    <cellStyle name="Comma" xfId="1" builtinId="3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Combined!$K$1:$K$2</c:f>
              <c:strCache>
                <c:ptCount val="1"/>
                <c:pt idx="0">
                  <c:v>Interest FHL</c:v>
                </c:pt>
              </c:strCache>
            </c:strRef>
          </c:tx>
          <c:marker>
            <c:symbol val="none"/>
          </c:marker>
          <c:cat>
            <c:numRef>
              <c:f>Combined!$J$3:$J$167</c:f>
              <c:numCache>
                <c:formatCode>m/d/yyyy</c:formatCode>
                <c:ptCount val="165"/>
                <c:pt idx="0">
                  <c:v>36892</c:v>
                </c:pt>
                <c:pt idx="1">
                  <c:v>36923</c:v>
                </c:pt>
                <c:pt idx="2">
                  <c:v>36951</c:v>
                </c:pt>
                <c:pt idx="3">
                  <c:v>36982</c:v>
                </c:pt>
                <c:pt idx="4">
                  <c:v>37012</c:v>
                </c:pt>
                <c:pt idx="5">
                  <c:v>37043</c:v>
                </c:pt>
                <c:pt idx="6">
                  <c:v>37073</c:v>
                </c:pt>
                <c:pt idx="7">
                  <c:v>37104</c:v>
                </c:pt>
                <c:pt idx="8">
                  <c:v>37135</c:v>
                </c:pt>
                <c:pt idx="9">
                  <c:v>37165</c:v>
                </c:pt>
                <c:pt idx="10">
                  <c:v>37196</c:v>
                </c:pt>
                <c:pt idx="11">
                  <c:v>37226</c:v>
                </c:pt>
                <c:pt idx="12">
                  <c:v>37257</c:v>
                </c:pt>
                <c:pt idx="13">
                  <c:v>37288</c:v>
                </c:pt>
                <c:pt idx="14">
                  <c:v>37316</c:v>
                </c:pt>
                <c:pt idx="15">
                  <c:v>37347</c:v>
                </c:pt>
                <c:pt idx="16">
                  <c:v>37377</c:v>
                </c:pt>
                <c:pt idx="17">
                  <c:v>37408</c:v>
                </c:pt>
                <c:pt idx="18">
                  <c:v>37438</c:v>
                </c:pt>
                <c:pt idx="19">
                  <c:v>37469</c:v>
                </c:pt>
                <c:pt idx="20">
                  <c:v>37500</c:v>
                </c:pt>
                <c:pt idx="21">
                  <c:v>37530</c:v>
                </c:pt>
                <c:pt idx="22">
                  <c:v>37561</c:v>
                </c:pt>
                <c:pt idx="23">
                  <c:v>37591</c:v>
                </c:pt>
                <c:pt idx="24">
                  <c:v>37622</c:v>
                </c:pt>
                <c:pt idx="25">
                  <c:v>37653</c:v>
                </c:pt>
                <c:pt idx="26">
                  <c:v>37681</c:v>
                </c:pt>
                <c:pt idx="27">
                  <c:v>37712</c:v>
                </c:pt>
                <c:pt idx="28">
                  <c:v>37742</c:v>
                </c:pt>
                <c:pt idx="29">
                  <c:v>37773</c:v>
                </c:pt>
                <c:pt idx="30">
                  <c:v>37803</c:v>
                </c:pt>
                <c:pt idx="31">
                  <c:v>37834</c:v>
                </c:pt>
                <c:pt idx="32">
                  <c:v>37865</c:v>
                </c:pt>
                <c:pt idx="33">
                  <c:v>37895</c:v>
                </c:pt>
                <c:pt idx="34">
                  <c:v>37926</c:v>
                </c:pt>
                <c:pt idx="35">
                  <c:v>37956</c:v>
                </c:pt>
                <c:pt idx="36">
                  <c:v>37987</c:v>
                </c:pt>
                <c:pt idx="37">
                  <c:v>38018</c:v>
                </c:pt>
                <c:pt idx="38">
                  <c:v>38047</c:v>
                </c:pt>
                <c:pt idx="39">
                  <c:v>38078</c:v>
                </c:pt>
                <c:pt idx="40">
                  <c:v>38108</c:v>
                </c:pt>
                <c:pt idx="41">
                  <c:v>38139</c:v>
                </c:pt>
                <c:pt idx="42">
                  <c:v>38169</c:v>
                </c:pt>
                <c:pt idx="43">
                  <c:v>38200</c:v>
                </c:pt>
                <c:pt idx="44">
                  <c:v>38231</c:v>
                </c:pt>
                <c:pt idx="45">
                  <c:v>38261</c:v>
                </c:pt>
                <c:pt idx="46">
                  <c:v>38292</c:v>
                </c:pt>
                <c:pt idx="47">
                  <c:v>38322</c:v>
                </c:pt>
                <c:pt idx="48">
                  <c:v>38353</c:v>
                </c:pt>
                <c:pt idx="49">
                  <c:v>38384</c:v>
                </c:pt>
                <c:pt idx="50">
                  <c:v>38412</c:v>
                </c:pt>
                <c:pt idx="51">
                  <c:v>38443</c:v>
                </c:pt>
                <c:pt idx="52">
                  <c:v>38473</c:v>
                </c:pt>
                <c:pt idx="53">
                  <c:v>38504</c:v>
                </c:pt>
                <c:pt idx="54">
                  <c:v>38534</c:v>
                </c:pt>
                <c:pt idx="55">
                  <c:v>38565</c:v>
                </c:pt>
                <c:pt idx="56">
                  <c:v>38596</c:v>
                </c:pt>
                <c:pt idx="57">
                  <c:v>38626</c:v>
                </c:pt>
                <c:pt idx="58">
                  <c:v>38657</c:v>
                </c:pt>
                <c:pt idx="59">
                  <c:v>38687</c:v>
                </c:pt>
                <c:pt idx="60">
                  <c:v>38718</c:v>
                </c:pt>
                <c:pt idx="61">
                  <c:v>38749</c:v>
                </c:pt>
                <c:pt idx="62">
                  <c:v>38777</c:v>
                </c:pt>
                <c:pt idx="63">
                  <c:v>38808</c:v>
                </c:pt>
                <c:pt idx="64">
                  <c:v>38838</c:v>
                </c:pt>
                <c:pt idx="65">
                  <c:v>38869</c:v>
                </c:pt>
                <c:pt idx="66">
                  <c:v>38899</c:v>
                </c:pt>
                <c:pt idx="67">
                  <c:v>38930</c:v>
                </c:pt>
                <c:pt idx="68">
                  <c:v>38961</c:v>
                </c:pt>
                <c:pt idx="69">
                  <c:v>38991</c:v>
                </c:pt>
                <c:pt idx="70">
                  <c:v>39022</c:v>
                </c:pt>
                <c:pt idx="71">
                  <c:v>39052</c:v>
                </c:pt>
                <c:pt idx="72">
                  <c:v>39083</c:v>
                </c:pt>
                <c:pt idx="73">
                  <c:v>39114</c:v>
                </c:pt>
                <c:pt idx="74">
                  <c:v>39142</c:v>
                </c:pt>
                <c:pt idx="75">
                  <c:v>39173</c:v>
                </c:pt>
                <c:pt idx="76">
                  <c:v>39203</c:v>
                </c:pt>
                <c:pt idx="77">
                  <c:v>39234</c:v>
                </c:pt>
                <c:pt idx="78">
                  <c:v>39264</c:v>
                </c:pt>
                <c:pt idx="79">
                  <c:v>39295</c:v>
                </c:pt>
                <c:pt idx="80">
                  <c:v>39326</c:v>
                </c:pt>
                <c:pt idx="81">
                  <c:v>39356</c:v>
                </c:pt>
                <c:pt idx="82">
                  <c:v>39387</c:v>
                </c:pt>
                <c:pt idx="83">
                  <c:v>39417</c:v>
                </c:pt>
                <c:pt idx="84">
                  <c:v>39448</c:v>
                </c:pt>
                <c:pt idx="85">
                  <c:v>39479</c:v>
                </c:pt>
                <c:pt idx="86">
                  <c:v>39508</c:v>
                </c:pt>
                <c:pt idx="87">
                  <c:v>39539</c:v>
                </c:pt>
                <c:pt idx="88">
                  <c:v>39569</c:v>
                </c:pt>
                <c:pt idx="89">
                  <c:v>39600</c:v>
                </c:pt>
                <c:pt idx="90">
                  <c:v>39630</c:v>
                </c:pt>
                <c:pt idx="91">
                  <c:v>39661</c:v>
                </c:pt>
                <c:pt idx="92">
                  <c:v>39692</c:v>
                </c:pt>
                <c:pt idx="93">
                  <c:v>39722</c:v>
                </c:pt>
                <c:pt idx="94">
                  <c:v>39753</c:v>
                </c:pt>
                <c:pt idx="95">
                  <c:v>39783</c:v>
                </c:pt>
                <c:pt idx="96">
                  <c:v>39814</c:v>
                </c:pt>
                <c:pt idx="97">
                  <c:v>39845</c:v>
                </c:pt>
                <c:pt idx="98">
                  <c:v>39873</c:v>
                </c:pt>
                <c:pt idx="99">
                  <c:v>39904</c:v>
                </c:pt>
                <c:pt idx="100">
                  <c:v>39934</c:v>
                </c:pt>
                <c:pt idx="101">
                  <c:v>39965</c:v>
                </c:pt>
                <c:pt idx="102">
                  <c:v>39995</c:v>
                </c:pt>
                <c:pt idx="103">
                  <c:v>40026</c:v>
                </c:pt>
                <c:pt idx="104">
                  <c:v>40057</c:v>
                </c:pt>
                <c:pt idx="105">
                  <c:v>40087</c:v>
                </c:pt>
                <c:pt idx="106">
                  <c:v>40118</c:v>
                </c:pt>
                <c:pt idx="107">
                  <c:v>40148</c:v>
                </c:pt>
                <c:pt idx="108">
                  <c:v>40179</c:v>
                </c:pt>
                <c:pt idx="109">
                  <c:v>40210</c:v>
                </c:pt>
                <c:pt idx="110">
                  <c:v>40238</c:v>
                </c:pt>
                <c:pt idx="111">
                  <c:v>40269</c:v>
                </c:pt>
                <c:pt idx="112">
                  <c:v>40299</c:v>
                </c:pt>
                <c:pt idx="113">
                  <c:v>40330</c:v>
                </c:pt>
                <c:pt idx="114">
                  <c:v>40360</c:v>
                </c:pt>
                <c:pt idx="115">
                  <c:v>40391</c:v>
                </c:pt>
                <c:pt idx="116">
                  <c:v>40422</c:v>
                </c:pt>
                <c:pt idx="117">
                  <c:v>40452</c:v>
                </c:pt>
                <c:pt idx="118">
                  <c:v>40483</c:v>
                </c:pt>
                <c:pt idx="119">
                  <c:v>40513</c:v>
                </c:pt>
                <c:pt idx="120">
                  <c:v>40544</c:v>
                </c:pt>
                <c:pt idx="121">
                  <c:v>40575</c:v>
                </c:pt>
                <c:pt idx="122">
                  <c:v>40603</c:v>
                </c:pt>
                <c:pt idx="123">
                  <c:v>40634</c:v>
                </c:pt>
                <c:pt idx="124">
                  <c:v>40664</c:v>
                </c:pt>
                <c:pt idx="125">
                  <c:v>40695</c:v>
                </c:pt>
                <c:pt idx="126">
                  <c:v>40725</c:v>
                </c:pt>
                <c:pt idx="127">
                  <c:v>40756</c:v>
                </c:pt>
                <c:pt idx="128">
                  <c:v>40787</c:v>
                </c:pt>
                <c:pt idx="129">
                  <c:v>40817</c:v>
                </c:pt>
                <c:pt idx="130">
                  <c:v>40848</c:v>
                </c:pt>
                <c:pt idx="131">
                  <c:v>40878</c:v>
                </c:pt>
                <c:pt idx="132">
                  <c:v>40909</c:v>
                </c:pt>
                <c:pt idx="133">
                  <c:v>40940</c:v>
                </c:pt>
                <c:pt idx="134">
                  <c:v>40969</c:v>
                </c:pt>
                <c:pt idx="135">
                  <c:v>41000</c:v>
                </c:pt>
                <c:pt idx="136">
                  <c:v>41030</c:v>
                </c:pt>
                <c:pt idx="137">
                  <c:v>41061</c:v>
                </c:pt>
                <c:pt idx="138">
                  <c:v>41091</c:v>
                </c:pt>
                <c:pt idx="139">
                  <c:v>41122</c:v>
                </c:pt>
                <c:pt idx="140">
                  <c:v>41153</c:v>
                </c:pt>
                <c:pt idx="141">
                  <c:v>41183</c:v>
                </c:pt>
                <c:pt idx="142">
                  <c:v>41214</c:v>
                </c:pt>
                <c:pt idx="143">
                  <c:v>41244</c:v>
                </c:pt>
                <c:pt idx="144">
                  <c:v>41275</c:v>
                </c:pt>
                <c:pt idx="145">
                  <c:v>41306</c:v>
                </c:pt>
                <c:pt idx="146">
                  <c:v>41334</c:v>
                </c:pt>
                <c:pt idx="147">
                  <c:v>41365</c:v>
                </c:pt>
                <c:pt idx="148">
                  <c:v>41395</c:v>
                </c:pt>
                <c:pt idx="149">
                  <c:v>41426</c:v>
                </c:pt>
                <c:pt idx="150">
                  <c:v>41456</c:v>
                </c:pt>
                <c:pt idx="151">
                  <c:v>41487</c:v>
                </c:pt>
                <c:pt idx="152">
                  <c:v>41518</c:v>
                </c:pt>
                <c:pt idx="153">
                  <c:v>41548</c:v>
                </c:pt>
                <c:pt idx="154">
                  <c:v>41579</c:v>
                </c:pt>
                <c:pt idx="155">
                  <c:v>41609</c:v>
                </c:pt>
                <c:pt idx="156">
                  <c:v>41640</c:v>
                </c:pt>
                <c:pt idx="157">
                  <c:v>41671</c:v>
                </c:pt>
                <c:pt idx="158">
                  <c:v>41699</c:v>
                </c:pt>
                <c:pt idx="159">
                  <c:v>41730</c:v>
                </c:pt>
                <c:pt idx="160">
                  <c:v>41760</c:v>
                </c:pt>
                <c:pt idx="161">
                  <c:v>41791</c:v>
                </c:pt>
              </c:numCache>
            </c:numRef>
          </c:cat>
          <c:val>
            <c:numRef>
              <c:f>Combined!$K$3:$K$167</c:f>
              <c:numCache>
                <c:formatCode>0%</c:formatCode>
                <c:ptCount val="165"/>
                <c:pt idx="0">
                  <c:v>6.7081483180755602E-2</c:v>
                </c:pt>
                <c:pt idx="1">
                  <c:v>6.8468820324213503E-2</c:v>
                </c:pt>
                <c:pt idx="2">
                  <c:v>7.2709305314335296E-2</c:v>
                </c:pt>
                <c:pt idx="3">
                  <c:v>7.6695836037831394E-2</c:v>
                </c:pt>
                <c:pt idx="4">
                  <c:v>7.3919830034256007E-2</c:v>
                </c:pt>
                <c:pt idx="5">
                  <c:v>7.3619747583270195E-2</c:v>
                </c:pt>
                <c:pt idx="6">
                  <c:v>7.3445000352882803E-2</c:v>
                </c:pt>
                <c:pt idx="7">
                  <c:v>7.7184686219406606E-2</c:v>
                </c:pt>
                <c:pt idx="8">
                  <c:v>8.0731526210056304E-2</c:v>
                </c:pt>
                <c:pt idx="9">
                  <c:v>7.9637129911231105E-2</c:v>
                </c:pt>
                <c:pt idx="10">
                  <c:v>8.4809797833393305E-2</c:v>
                </c:pt>
                <c:pt idx="11">
                  <c:v>8.4472033767165194E-2</c:v>
                </c:pt>
                <c:pt idx="12">
                  <c:v>7.7748797166420899E-2</c:v>
                </c:pt>
                <c:pt idx="13">
                  <c:v>7.9845920663198094E-2</c:v>
                </c:pt>
                <c:pt idx="14">
                  <c:v>8.0036927062429999E-2</c:v>
                </c:pt>
                <c:pt idx="15">
                  <c:v>8.1298021814066201E-2</c:v>
                </c:pt>
                <c:pt idx="16">
                  <c:v>8.2450983989635407E-2</c:v>
                </c:pt>
                <c:pt idx="17">
                  <c:v>8.2499162032790396E-2</c:v>
                </c:pt>
                <c:pt idx="18">
                  <c:v>8.7685065712248295E-2</c:v>
                </c:pt>
                <c:pt idx="19">
                  <c:v>8.7914238445349194E-2</c:v>
                </c:pt>
                <c:pt idx="20">
                  <c:v>8.7924287412398994E-2</c:v>
                </c:pt>
                <c:pt idx="21">
                  <c:v>8.6858761558677694E-2</c:v>
                </c:pt>
                <c:pt idx="22">
                  <c:v>8.7410540204885395E-2</c:v>
                </c:pt>
                <c:pt idx="23">
                  <c:v>8.7623867104085804E-2</c:v>
                </c:pt>
                <c:pt idx="24">
                  <c:v>8.7384288949877806E-2</c:v>
                </c:pt>
                <c:pt idx="25">
                  <c:v>8.8620746491372901E-2</c:v>
                </c:pt>
                <c:pt idx="26">
                  <c:v>8.9228726618628795E-2</c:v>
                </c:pt>
                <c:pt idx="27">
                  <c:v>8.8770040067370298E-2</c:v>
                </c:pt>
                <c:pt idx="28">
                  <c:v>8.5763399262746898E-2</c:v>
                </c:pt>
                <c:pt idx="29">
                  <c:v>8.7687362926509305E-2</c:v>
                </c:pt>
                <c:pt idx="30">
                  <c:v>8.5968865795660196E-2</c:v>
                </c:pt>
                <c:pt idx="31">
                  <c:v>8.6379970793136002E-2</c:v>
                </c:pt>
                <c:pt idx="32">
                  <c:v>8.7868288122384397E-2</c:v>
                </c:pt>
                <c:pt idx="33">
                  <c:v>8.8726217403564095E-2</c:v>
                </c:pt>
                <c:pt idx="34">
                  <c:v>9.0423627278118604E-2</c:v>
                </c:pt>
                <c:pt idx="35">
                  <c:v>8.7757124983331797E-2</c:v>
                </c:pt>
                <c:pt idx="36">
                  <c:v>9.0019953595711397E-2</c:v>
                </c:pt>
                <c:pt idx="37">
                  <c:v>8.8321416255549498E-2</c:v>
                </c:pt>
                <c:pt idx="38">
                  <c:v>8.8812241742765405E-2</c:v>
                </c:pt>
                <c:pt idx="39">
                  <c:v>8.9065438704836297E-2</c:v>
                </c:pt>
                <c:pt idx="40">
                  <c:v>9.0233695260244703E-2</c:v>
                </c:pt>
                <c:pt idx="41">
                  <c:v>9.0645352571982002E-2</c:v>
                </c:pt>
                <c:pt idx="42">
                  <c:v>8.5457893781954203E-2</c:v>
                </c:pt>
                <c:pt idx="43">
                  <c:v>9.1238330692891098E-2</c:v>
                </c:pt>
                <c:pt idx="44">
                  <c:v>8.7752970543801198E-2</c:v>
                </c:pt>
                <c:pt idx="45">
                  <c:v>8.8020712996673398E-2</c:v>
                </c:pt>
                <c:pt idx="46">
                  <c:v>8.5891745885226495E-2</c:v>
                </c:pt>
                <c:pt idx="47">
                  <c:v>9.4270539020334193E-2</c:v>
                </c:pt>
                <c:pt idx="48">
                  <c:v>8.9862982001748498E-2</c:v>
                </c:pt>
                <c:pt idx="49">
                  <c:v>9.20732465776989E-2</c:v>
                </c:pt>
                <c:pt idx="50">
                  <c:v>9.2276760506832201E-2</c:v>
                </c:pt>
                <c:pt idx="51">
                  <c:v>9.05857594786975E-2</c:v>
                </c:pt>
                <c:pt idx="52">
                  <c:v>8.9676789114044406E-2</c:v>
                </c:pt>
                <c:pt idx="53">
                  <c:v>9.0885005071767402E-2</c:v>
                </c:pt>
                <c:pt idx="54">
                  <c:v>8.8697063236260407E-2</c:v>
                </c:pt>
                <c:pt idx="55">
                  <c:v>9.0073991069571105E-2</c:v>
                </c:pt>
                <c:pt idx="56">
                  <c:v>9.0756754729030706E-2</c:v>
                </c:pt>
                <c:pt idx="57">
                  <c:v>9.0265536194633206E-2</c:v>
                </c:pt>
                <c:pt idx="58">
                  <c:v>8.6185833204277196E-2</c:v>
                </c:pt>
                <c:pt idx="59">
                  <c:v>8.7072161291370506E-2</c:v>
                </c:pt>
                <c:pt idx="60">
                  <c:v>8.6098485107399703E-2</c:v>
                </c:pt>
                <c:pt idx="61">
                  <c:v>9.1813861884956396E-2</c:v>
                </c:pt>
                <c:pt idx="62">
                  <c:v>8.9366191077645596E-2</c:v>
                </c:pt>
                <c:pt idx="63">
                  <c:v>8.9640605649553895E-2</c:v>
                </c:pt>
                <c:pt idx="64">
                  <c:v>8.9093104090694694E-2</c:v>
                </c:pt>
                <c:pt idx="65">
                  <c:v>8.6557512675460593E-2</c:v>
                </c:pt>
                <c:pt idx="66">
                  <c:v>8.9905783201335701E-2</c:v>
                </c:pt>
                <c:pt idx="67">
                  <c:v>8.7486989656653705E-2</c:v>
                </c:pt>
                <c:pt idx="68">
                  <c:v>8.7784487261852895E-2</c:v>
                </c:pt>
                <c:pt idx="69">
                  <c:v>8.8717759691411893E-2</c:v>
                </c:pt>
                <c:pt idx="70">
                  <c:v>8.6757529924947799E-2</c:v>
                </c:pt>
                <c:pt idx="71">
                  <c:v>8.6158488571861203E-2</c:v>
                </c:pt>
                <c:pt idx="72">
                  <c:v>8.0561279601906205E-2</c:v>
                </c:pt>
                <c:pt idx="73">
                  <c:v>8.0433321297836494E-2</c:v>
                </c:pt>
                <c:pt idx="74">
                  <c:v>8.3524643602359297E-2</c:v>
                </c:pt>
                <c:pt idx="75">
                  <c:v>8.3439574459062499E-2</c:v>
                </c:pt>
                <c:pt idx="76">
                  <c:v>7.7738592601725706E-2</c:v>
                </c:pt>
                <c:pt idx="77">
                  <c:v>8.0500293951274005E-2</c:v>
                </c:pt>
                <c:pt idx="78">
                  <c:v>7.6892813307821703E-2</c:v>
                </c:pt>
                <c:pt idx="79">
                  <c:v>7.7037487405873406E-2</c:v>
                </c:pt>
                <c:pt idx="80">
                  <c:v>8.0625121946369796E-2</c:v>
                </c:pt>
                <c:pt idx="81">
                  <c:v>7.8533046959484001E-2</c:v>
                </c:pt>
                <c:pt idx="82">
                  <c:v>7.6770466628580503E-2</c:v>
                </c:pt>
                <c:pt idx="83">
                  <c:v>7.6725403014676105E-2</c:v>
                </c:pt>
                <c:pt idx="84">
                  <c:v>7.3572456828262203E-2</c:v>
                </c:pt>
                <c:pt idx="85">
                  <c:v>7.3524917700542203E-2</c:v>
                </c:pt>
                <c:pt idx="86">
                  <c:v>7.53574629330475E-2</c:v>
                </c:pt>
                <c:pt idx="87">
                  <c:v>7.1209504174158403E-2</c:v>
                </c:pt>
                <c:pt idx="88">
                  <c:v>6.9584042510803495E-2</c:v>
                </c:pt>
                <c:pt idx="89">
                  <c:v>7.1400198242191404E-2</c:v>
                </c:pt>
                <c:pt idx="90">
                  <c:v>6.8356463950650495E-2</c:v>
                </c:pt>
                <c:pt idx="91">
                  <c:v>6.7908938764225102E-2</c:v>
                </c:pt>
                <c:pt idx="92">
                  <c:v>6.8183295565228993E-2</c:v>
                </c:pt>
                <c:pt idx="93">
                  <c:v>6.8136653615373202E-2</c:v>
                </c:pt>
                <c:pt idx="94">
                  <c:v>6.6117355829872299E-2</c:v>
                </c:pt>
                <c:pt idx="95">
                  <c:v>6.9118510160068702E-2</c:v>
                </c:pt>
                <c:pt idx="96">
                  <c:v>7.0154452419585497E-2</c:v>
                </c:pt>
                <c:pt idx="97">
                  <c:v>7.1368320262322704E-2</c:v>
                </c:pt>
                <c:pt idx="98">
                  <c:v>7.2291417028799695E-2</c:v>
                </c:pt>
                <c:pt idx="99">
                  <c:v>6.9938346198933798E-2</c:v>
                </c:pt>
                <c:pt idx="100">
                  <c:v>6.9864828634934401E-2</c:v>
                </c:pt>
                <c:pt idx="101">
                  <c:v>7.0095843672133507E-2</c:v>
                </c:pt>
                <c:pt idx="102">
                  <c:v>6.8132350658932694E-2</c:v>
                </c:pt>
                <c:pt idx="103">
                  <c:v>6.8695064508851197E-2</c:v>
                </c:pt>
                <c:pt idx="104">
                  <c:v>6.9283078724280106E-2</c:v>
                </c:pt>
                <c:pt idx="105">
                  <c:v>7.0403204757036E-2</c:v>
                </c:pt>
                <c:pt idx="106">
                  <c:v>7.1696988871491299E-2</c:v>
                </c:pt>
                <c:pt idx="107">
                  <c:v>7.3482747219273004E-2</c:v>
                </c:pt>
                <c:pt idx="108">
                  <c:v>7.280518880247E-2</c:v>
                </c:pt>
                <c:pt idx="109">
                  <c:v>7.5736054417871707E-2</c:v>
                </c:pt>
                <c:pt idx="110">
                  <c:v>7.71747861553988E-2</c:v>
                </c:pt>
                <c:pt idx="111">
                  <c:v>7.6923807156543705E-2</c:v>
                </c:pt>
                <c:pt idx="112">
                  <c:v>7.8594153061863195E-2</c:v>
                </c:pt>
                <c:pt idx="113">
                  <c:v>7.6509270889366404E-2</c:v>
                </c:pt>
                <c:pt idx="114">
                  <c:v>8.0068244140198697E-2</c:v>
                </c:pt>
                <c:pt idx="115">
                  <c:v>8.0716745504960594E-2</c:v>
                </c:pt>
                <c:pt idx="116">
                  <c:v>8.1484548406933893E-2</c:v>
                </c:pt>
                <c:pt idx="117">
                  <c:v>8.0253276736642704E-2</c:v>
                </c:pt>
                <c:pt idx="118">
                  <c:v>8.0663104849414399E-2</c:v>
                </c:pt>
                <c:pt idx="119">
                  <c:v>8.5315602201451998E-2</c:v>
                </c:pt>
                <c:pt idx="120">
                  <c:v>8.8353963964978605E-2</c:v>
                </c:pt>
                <c:pt idx="121">
                  <c:v>8.9533600995255702E-2</c:v>
                </c:pt>
                <c:pt idx="122">
                  <c:v>9.1850406383032601E-2</c:v>
                </c:pt>
                <c:pt idx="123">
                  <c:v>8.9815717712332502E-2</c:v>
                </c:pt>
                <c:pt idx="124">
                  <c:v>8.8760278401557396E-2</c:v>
                </c:pt>
                <c:pt idx="125">
                  <c:v>8.88271852963778E-2</c:v>
                </c:pt>
                <c:pt idx="126">
                  <c:v>8.9852593371859399E-2</c:v>
                </c:pt>
                <c:pt idx="127">
                  <c:v>8.9133530567191699E-2</c:v>
                </c:pt>
                <c:pt idx="128">
                  <c:v>9.0401608552669793E-2</c:v>
                </c:pt>
                <c:pt idx="129">
                  <c:v>9.2178612696754897E-2</c:v>
                </c:pt>
                <c:pt idx="130">
                  <c:v>9.3262529042125106E-2</c:v>
                </c:pt>
                <c:pt idx="131">
                  <c:v>9.2556251874425802E-2</c:v>
                </c:pt>
                <c:pt idx="132">
                  <c:v>9.6668175182684293E-2</c:v>
                </c:pt>
                <c:pt idx="133">
                  <c:v>9.6637754674662693E-2</c:v>
                </c:pt>
                <c:pt idx="134">
                  <c:v>9.7274704722994598E-2</c:v>
                </c:pt>
                <c:pt idx="135">
                  <c:v>9.7626427568625093E-2</c:v>
                </c:pt>
                <c:pt idx="136">
                  <c:v>9.8374326049321198E-2</c:v>
                </c:pt>
                <c:pt idx="137">
                  <c:v>0.100004107050572</c:v>
                </c:pt>
                <c:pt idx="138">
                  <c:v>0.100140949536848</c:v>
                </c:pt>
                <c:pt idx="139">
                  <c:v>9.9319918869132606E-2</c:v>
                </c:pt>
                <c:pt idx="140">
                  <c:v>0.100872812871397</c:v>
                </c:pt>
                <c:pt idx="141">
                  <c:v>0.102046683841318</c:v>
                </c:pt>
                <c:pt idx="142">
                  <c:v>0.100469094975094</c:v>
                </c:pt>
                <c:pt idx="143">
                  <c:v>0.101265471510535</c:v>
                </c:pt>
                <c:pt idx="144">
                  <c:v>0.10918341265592101</c:v>
                </c:pt>
                <c:pt idx="145">
                  <c:v>0.10715956971349599</c:v>
                </c:pt>
                <c:pt idx="146">
                  <c:v>0.112080289239569</c:v>
                </c:pt>
                <c:pt idx="147">
                  <c:v>0.115253012982483</c:v>
                </c:pt>
                <c:pt idx="148">
                  <c:v>0.118107236427831</c:v>
                </c:pt>
                <c:pt idx="149">
                  <c:v>0.11893243150812</c:v>
                </c:pt>
                <c:pt idx="150">
                  <c:v>0.12234075333292101</c:v>
                </c:pt>
                <c:pt idx="151">
                  <c:v>0.126811464750373</c:v>
                </c:pt>
                <c:pt idx="152">
                  <c:v>0.128582664856324</c:v>
                </c:pt>
                <c:pt idx="153">
                  <c:v>0.13578879470008501</c:v>
                </c:pt>
                <c:pt idx="154">
                  <c:v>0.13385992929961399</c:v>
                </c:pt>
                <c:pt idx="155">
                  <c:v>0.139518391413473</c:v>
                </c:pt>
                <c:pt idx="156">
                  <c:v>0.14892517625217</c:v>
                </c:pt>
                <c:pt idx="157">
                  <c:v>0.14789261918182101</c:v>
                </c:pt>
                <c:pt idx="158">
                  <c:v>0.14824399135970801</c:v>
                </c:pt>
                <c:pt idx="159">
                  <c:v>0.152463364071349</c:v>
                </c:pt>
                <c:pt idx="160">
                  <c:v>0.153830881552661</c:v>
                </c:pt>
                <c:pt idx="161">
                  <c:v>0.15713850746335201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Combined!$L$1:$L$2</c:f>
              <c:strCache>
                <c:ptCount val="1"/>
                <c:pt idx="0">
                  <c:v>Interest FNMA</c:v>
                </c:pt>
              </c:strCache>
            </c:strRef>
          </c:tx>
          <c:marker>
            <c:symbol val="none"/>
          </c:marker>
          <c:cat>
            <c:numRef>
              <c:f>Combined!$J$3:$J$167</c:f>
              <c:numCache>
                <c:formatCode>m/d/yyyy</c:formatCode>
                <c:ptCount val="165"/>
                <c:pt idx="0">
                  <c:v>36892</c:v>
                </c:pt>
                <c:pt idx="1">
                  <c:v>36923</c:v>
                </c:pt>
                <c:pt idx="2">
                  <c:v>36951</c:v>
                </c:pt>
                <c:pt idx="3">
                  <c:v>36982</c:v>
                </c:pt>
                <c:pt idx="4">
                  <c:v>37012</c:v>
                </c:pt>
                <c:pt idx="5">
                  <c:v>37043</c:v>
                </c:pt>
                <c:pt idx="6">
                  <c:v>37073</c:v>
                </c:pt>
                <c:pt idx="7">
                  <c:v>37104</c:v>
                </c:pt>
                <c:pt idx="8">
                  <c:v>37135</c:v>
                </c:pt>
                <c:pt idx="9">
                  <c:v>37165</c:v>
                </c:pt>
                <c:pt idx="10">
                  <c:v>37196</c:v>
                </c:pt>
                <c:pt idx="11">
                  <c:v>37226</c:v>
                </c:pt>
                <c:pt idx="12">
                  <c:v>37257</c:v>
                </c:pt>
                <c:pt idx="13">
                  <c:v>37288</c:v>
                </c:pt>
                <c:pt idx="14">
                  <c:v>37316</c:v>
                </c:pt>
                <c:pt idx="15">
                  <c:v>37347</c:v>
                </c:pt>
                <c:pt idx="16">
                  <c:v>37377</c:v>
                </c:pt>
                <c:pt idx="17">
                  <c:v>37408</c:v>
                </c:pt>
                <c:pt idx="18">
                  <c:v>37438</c:v>
                </c:pt>
                <c:pt idx="19">
                  <c:v>37469</c:v>
                </c:pt>
                <c:pt idx="20">
                  <c:v>37500</c:v>
                </c:pt>
                <c:pt idx="21">
                  <c:v>37530</c:v>
                </c:pt>
                <c:pt idx="22">
                  <c:v>37561</c:v>
                </c:pt>
                <c:pt idx="23">
                  <c:v>37591</c:v>
                </c:pt>
                <c:pt idx="24">
                  <c:v>37622</c:v>
                </c:pt>
                <c:pt idx="25">
                  <c:v>37653</c:v>
                </c:pt>
                <c:pt idx="26">
                  <c:v>37681</c:v>
                </c:pt>
                <c:pt idx="27">
                  <c:v>37712</c:v>
                </c:pt>
                <c:pt idx="28">
                  <c:v>37742</c:v>
                </c:pt>
                <c:pt idx="29">
                  <c:v>37773</c:v>
                </c:pt>
                <c:pt idx="30">
                  <c:v>37803</c:v>
                </c:pt>
                <c:pt idx="31">
                  <c:v>37834</c:v>
                </c:pt>
                <c:pt idx="32">
                  <c:v>37865</c:v>
                </c:pt>
                <c:pt idx="33">
                  <c:v>37895</c:v>
                </c:pt>
                <c:pt idx="34">
                  <c:v>37926</c:v>
                </c:pt>
                <c:pt idx="35">
                  <c:v>37956</c:v>
                </c:pt>
                <c:pt idx="36">
                  <c:v>37987</c:v>
                </c:pt>
                <c:pt idx="37">
                  <c:v>38018</c:v>
                </c:pt>
                <c:pt idx="38">
                  <c:v>38047</c:v>
                </c:pt>
                <c:pt idx="39">
                  <c:v>38078</c:v>
                </c:pt>
                <c:pt idx="40">
                  <c:v>38108</c:v>
                </c:pt>
                <c:pt idx="41">
                  <c:v>38139</c:v>
                </c:pt>
                <c:pt idx="42">
                  <c:v>38169</c:v>
                </c:pt>
                <c:pt idx="43">
                  <c:v>38200</c:v>
                </c:pt>
                <c:pt idx="44">
                  <c:v>38231</c:v>
                </c:pt>
                <c:pt idx="45">
                  <c:v>38261</c:v>
                </c:pt>
                <c:pt idx="46">
                  <c:v>38292</c:v>
                </c:pt>
                <c:pt idx="47">
                  <c:v>38322</c:v>
                </c:pt>
                <c:pt idx="48">
                  <c:v>38353</c:v>
                </c:pt>
                <c:pt idx="49">
                  <c:v>38384</c:v>
                </c:pt>
                <c:pt idx="50">
                  <c:v>38412</c:v>
                </c:pt>
                <c:pt idx="51">
                  <c:v>38443</c:v>
                </c:pt>
                <c:pt idx="52">
                  <c:v>38473</c:v>
                </c:pt>
                <c:pt idx="53">
                  <c:v>38504</c:v>
                </c:pt>
                <c:pt idx="54">
                  <c:v>38534</c:v>
                </c:pt>
                <c:pt idx="55">
                  <c:v>38565</c:v>
                </c:pt>
                <c:pt idx="56">
                  <c:v>38596</c:v>
                </c:pt>
                <c:pt idx="57">
                  <c:v>38626</c:v>
                </c:pt>
                <c:pt idx="58">
                  <c:v>38657</c:v>
                </c:pt>
                <c:pt idx="59">
                  <c:v>38687</c:v>
                </c:pt>
                <c:pt idx="60">
                  <c:v>38718</c:v>
                </c:pt>
                <c:pt idx="61">
                  <c:v>38749</c:v>
                </c:pt>
                <c:pt idx="62">
                  <c:v>38777</c:v>
                </c:pt>
                <c:pt idx="63">
                  <c:v>38808</c:v>
                </c:pt>
                <c:pt idx="64">
                  <c:v>38838</c:v>
                </c:pt>
                <c:pt idx="65">
                  <c:v>38869</c:v>
                </c:pt>
                <c:pt idx="66">
                  <c:v>38899</c:v>
                </c:pt>
                <c:pt idx="67">
                  <c:v>38930</c:v>
                </c:pt>
                <c:pt idx="68">
                  <c:v>38961</c:v>
                </c:pt>
                <c:pt idx="69">
                  <c:v>38991</c:v>
                </c:pt>
                <c:pt idx="70">
                  <c:v>39022</c:v>
                </c:pt>
                <c:pt idx="71">
                  <c:v>39052</c:v>
                </c:pt>
                <c:pt idx="72">
                  <c:v>39083</c:v>
                </c:pt>
                <c:pt idx="73">
                  <c:v>39114</c:v>
                </c:pt>
                <c:pt idx="74">
                  <c:v>39142</c:v>
                </c:pt>
                <c:pt idx="75">
                  <c:v>39173</c:v>
                </c:pt>
                <c:pt idx="76">
                  <c:v>39203</c:v>
                </c:pt>
                <c:pt idx="77">
                  <c:v>39234</c:v>
                </c:pt>
                <c:pt idx="78">
                  <c:v>39264</c:v>
                </c:pt>
                <c:pt idx="79">
                  <c:v>39295</c:v>
                </c:pt>
                <c:pt idx="80">
                  <c:v>39326</c:v>
                </c:pt>
                <c:pt idx="81">
                  <c:v>39356</c:v>
                </c:pt>
                <c:pt idx="82">
                  <c:v>39387</c:v>
                </c:pt>
                <c:pt idx="83">
                  <c:v>39417</c:v>
                </c:pt>
                <c:pt idx="84">
                  <c:v>39448</c:v>
                </c:pt>
                <c:pt idx="85">
                  <c:v>39479</c:v>
                </c:pt>
                <c:pt idx="86">
                  <c:v>39508</c:v>
                </c:pt>
                <c:pt idx="87">
                  <c:v>39539</c:v>
                </c:pt>
                <c:pt idx="88">
                  <c:v>39569</c:v>
                </c:pt>
                <c:pt idx="89">
                  <c:v>39600</c:v>
                </c:pt>
                <c:pt idx="90">
                  <c:v>39630</c:v>
                </c:pt>
                <c:pt idx="91">
                  <c:v>39661</c:v>
                </c:pt>
                <c:pt idx="92">
                  <c:v>39692</c:v>
                </c:pt>
                <c:pt idx="93">
                  <c:v>39722</c:v>
                </c:pt>
                <c:pt idx="94">
                  <c:v>39753</c:v>
                </c:pt>
                <c:pt idx="95">
                  <c:v>39783</c:v>
                </c:pt>
                <c:pt idx="96">
                  <c:v>39814</c:v>
                </c:pt>
                <c:pt idx="97">
                  <c:v>39845</c:v>
                </c:pt>
                <c:pt idx="98">
                  <c:v>39873</c:v>
                </c:pt>
                <c:pt idx="99">
                  <c:v>39904</c:v>
                </c:pt>
                <c:pt idx="100">
                  <c:v>39934</c:v>
                </c:pt>
                <c:pt idx="101">
                  <c:v>39965</c:v>
                </c:pt>
                <c:pt idx="102">
                  <c:v>39995</c:v>
                </c:pt>
                <c:pt idx="103">
                  <c:v>40026</c:v>
                </c:pt>
                <c:pt idx="104">
                  <c:v>40057</c:v>
                </c:pt>
                <c:pt idx="105">
                  <c:v>40087</c:v>
                </c:pt>
                <c:pt idx="106">
                  <c:v>40118</c:v>
                </c:pt>
                <c:pt idx="107">
                  <c:v>40148</c:v>
                </c:pt>
                <c:pt idx="108">
                  <c:v>40179</c:v>
                </c:pt>
                <c:pt idx="109">
                  <c:v>40210</c:v>
                </c:pt>
                <c:pt idx="110">
                  <c:v>40238</c:v>
                </c:pt>
                <c:pt idx="111">
                  <c:v>40269</c:v>
                </c:pt>
                <c:pt idx="112">
                  <c:v>40299</c:v>
                </c:pt>
                <c:pt idx="113">
                  <c:v>40330</c:v>
                </c:pt>
                <c:pt idx="114">
                  <c:v>40360</c:v>
                </c:pt>
                <c:pt idx="115">
                  <c:v>40391</c:v>
                </c:pt>
                <c:pt idx="116">
                  <c:v>40422</c:v>
                </c:pt>
                <c:pt idx="117">
                  <c:v>40452</c:v>
                </c:pt>
                <c:pt idx="118">
                  <c:v>40483</c:v>
                </c:pt>
                <c:pt idx="119">
                  <c:v>40513</c:v>
                </c:pt>
                <c:pt idx="120">
                  <c:v>40544</c:v>
                </c:pt>
                <c:pt idx="121">
                  <c:v>40575</c:v>
                </c:pt>
                <c:pt idx="122">
                  <c:v>40603</c:v>
                </c:pt>
                <c:pt idx="123">
                  <c:v>40634</c:v>
                </c:pt>
                <c:pt idx="124">
                  <c:v>40664</c:v>
                </c:pt>
                <c:pt idx="125">
                  <c:v>40695</c:v>
                </c:pt>
                <c:pt idx="126">
                  <c:v>40725</c:v>
                </c:pt>
                <c:pt idx="127">
                  <c:v>40756</c:v>
                </c:pt>
                <c:pt idx="128">
                  <c:v>40787</c:v>
                </c:pt>
                <c:pt idx="129">
                  <c:v>40817</c:v>
                </c:pt>
                <c:pt idx="130">
                  <c:v>40848</c:v>
                </c:pt>
                <c:pt idx="131">
                  <c:v>40878</c:v>
                </c:pt>
                <c:pt idx="132">
                  <c:v>40909</c:v>
                </c:pt>
                <c:pt idx="133">
                  <c:v>40940</c:v>
                </c:pt>
                <c:pt idx="134">
                  <c:v>40969</c:v>
                </c:pt>
                <c:pt idx="135">
                  <c:v>41000</c:v>
                </c:pt>
                <c:pt idx="136">
                  <c:v>41030</c:v>
                </c:pt>
                <c:pt idx="137">
                  <c:v>41061</c:v>
                </c:pt>
                <c:pt idx="138">
                  <c:v>41091</c:v>
                </c:pt>
                <c:pt idx="139">
                  <c:v>41122</c:v>
                </c:pt>
                <c:pt idx="140">
                  <c:v>41153</c:v>
                </c:pt>
                <c:pt idx="141">
                  <c:v>41183</c:v>
                </c:pt>
                <c:pt idx="142">
                  <c:v>41214</c:v>
                </c:pt>
                <c:pt idx="143">
                  <c:v>41244</c:v>
                </c:pt>
                <c:pt idx="144">
                  <c:v>41275</c:v>
                </c:pt>
                <c:pt idx="145">
                  <c:v>41306</c:v>
                </c:pt>
                <c:pt idx="146">
                  <c:v>41334</c:v>
                </c:pt>
                <c:pt idx="147">
                  <c:v>41365</c:v>
                </c:pt>
                <c:pt idx="148">
                  <c:v>41395</c:v>
                </c:pt>
                <c:pt idx="149">
                  <c:v>41426</c:v>
                </c:pt>
                <c:pt idx="150">
                  <c:v>41456</c:v>
                </c:pt>
                <c:pt idx="151">
                  <c:v>41487</c:v>
                </c:pt>
                <c:pt idx="152">
                  <c:v>41518</c:v>
                </c:pt>
                <c:pt idx="153">
                  <c:v>41548</c:v>
                </c:pt>
                <c:pt idx="154">
                  <c:v>41579</c:v>
                </c:pt>
                <c:pt idx="155">
                  <c:v>41609</c:v>
                </c:pt>
                <c:pt idx="156">
                  <c:v>41640</c:v>
                </c:pt>
                <c:pt idx="157">
                  <c:v>41671</c:v>
                </c:pt>
                <c:pt idx="158">
                  <c:v>41699</c:v>
                </c:pt>
                <c:pt idx="159">
                  <c:v>41730</c:v>
                </c:pt>
                <c:pt idx="160">
                  <c:v>41760</c:v>
                </c:pt>
                <c:pt idx="161">
                  <c:v>41791</c:v>
                </c:pt>
              </c:numCache>
            </c:numRef>
          </c:cat>
          <c:val>
            <c:numRef>
              <c:f>Combined!$L$3:$L$167</c:f>
              <c:numCache>
                <c:formatCode>0%</c:formatCode>
                <c:ptCount val="165"/>
                <c:pt idx="0">
                  <c:v>6.3505735909539202E-2</c:v>
                </c:pt>
                <c:pt idx="1">
                  <c:v>6.1097626247593503E-2</c:v>
                </c:pt>
                <c:pt idx="2">
                  <c:v>7.3558562363446406E-2</c:v>
                </c:pt>
                <c:pt idx="3">
                  <c:v>6.5513945182537794E-2</c:v>
                </c:pt>
                <c:pt idx="4">
                  <c:v>7.02166139900436E-2</c:v>
                </c:pt>
                <c:pt idx="5">
                  <c:v>7.3447771153668698E-2</c:v>
                </c:pt>
                <c:pt idx="6">
                  <c:v>7.4491023212480703E-2</c:v>
                </c:pt>
                <c:pt idx="7">
                  <c:v>6.9184434888920704E-2</c:v>
                </c:pt>
                <c:pt idx="8">
                  <c:v>8.3641215265785399E-2</c:v>
                </c:pt>
                <c:pt idx="9">
                  <c:v>8.23212129447283E-2</c:v>
                </c:pt>
                <c:pt idx="10">
                  <c:v>8.1691858375027696E-2</c:v>
                </c:pt>
                <c:pt idx="11">
                  <c:v>8.1993014245109797E-2</c:v>
                </c:pt>
                <c:pt idx="12">
                  <c:v>8.7576834912327206E-2</c:v>
                </c:pt>
                <c:pt idx="13">
                  <c:v>9.0089853131241404E-2</c:v>
                </c:pt>
                <c:pt idx="14">
                  <c:v>8.4294449611061306E-2</c:v>
                </c:pt>
                <c:pt idx="15">
                  <c:v>8.7325605995166297E-2</c:v>
                </c:pt>
                <c:pt idx="16">
                  <c:v>8.2148354786449301E-2</c:v>
                </c:pt>
                <c:pt idx="17">
                  <c:v>8.7564805022126699E-2</c:v>
                </c:pt>
                <c:pt idx="18">
                  <c:v>8.4413349411530794E-2</c:v>
                </c:pt>
                <c:pt idx="19">
                  <c:v>8.7852492149950501E-2</c:v>
                </c:pt>
                <c:pt idx="20">
                  <c:v>8.5135660231266203E-2</c:v>
                </c:pt>
                <c:pt idx="21">
                  <c:v>8.9694041846569594E-2</c:v>
                </c:pt>
                <c:pt idx="22">
                  <c:v>8.6514017074393906E-2</c:v>
                </c:pt>
                <c:pt idx="23">
                  <c:v>8.66245609737296E-2</c:v>
                </c:pt>
                <c:pt idx="24">
                  <c:v>8.8667005937121804E-2</c:v>
                </c:pt>
                <c:pt idx="25">
                  <c:v>8.4020011958461593E-2</c:v>
                </c:pt>
                <c:pt idx="26">
                  <c:v>8.8530137228132896E-2</c:v>
                </c:pt>
                <c:pt idx="27">
                  <c:v>8.9821804528490604E-2</c:v>
                </c:pt>
                <c:pt idx="28">
                  <c:v>8.8888016342953402E-2</c:v>
                </c:pt>
                <c:pt idx="29">
                  <c:v>8.6886099361692601E-2</c:v>
                </c:pt>
                <c:pt idx="30">
                  <c:v>8.9278091647453497E-2</c:v>
                </c:pt>
                <c:pt idx="31">
                  <c:v>8.7898950202223394E-2</c:v>
                </c:pt>
                <c:pt idx="32">
                  <c:v>8.6182644915306805E-2</c:v>
                </c:pt>
                <c:pt idx="33">
                  <c:v>8.94282147552308E-2</c:v>
                </c:pt>
                <c:pt idx="34">
                  <c:v>8.7281355458396506E-2</c:v>
                </c:pt>
                <c:pt idx="35">
                  <c:v>9.0162471419852494E-2</c:v>
                </c:pt>
                <c:pt idx="36">
                  <c:v>8.6899541215900405E-2</c:v>
                </c:pt>
                <c:pt idx="37">
                  <c:v>8.9969620698563402E-2</c:v>
                </c:pt>
                <c:pt idx="38">
                  <c:v>8.9471667543770797E-2</c:v>
                </c:pt>
                <c:pt idx="39">
                  <c:v>8.6854600693354198E-2</c:v>
                </c:pt>
                <c:pt idx="40">
                  <c:v>8.8791304415957104E-2</c:v>
                </c:pt>
                <c:pt idx="41">
                  <c:v>8.7070608876102698E-2</c:v>
                </c:pt>
                <c:pt idx="42">
                  <c:v>8.7441520597238004E-2</c:v>
                </c:pt>
                <c:pt idx="43">
                  <c:v>8.74697149415231E-2</c:v>
                </c:pt>
                <c:pt idx="44">
                  <c:v>9.0837395443419303E-2</c:v>
                </c:pt>
                <c:pt idx="45">
                  <c:v>8.9777393763381702E-2</c:v>
                </c:pt>
                <c:pt idx="46">
                  <c:v>9.0841886522269696E-2</c:v>
                </c:pt>
                <c:pt idx="47">
                  <c:v>9.0689796352851404E-2</c:v>
                </c:pt>
                <c:pt idx="48">
                  <c:v>8.9631211818076803E-2</c:v>
                </c:pt>
                <c:pt idx="49">
                  <c:v>9.5521049829385807E-2</c:v>
                </c:pt>
                <c:pt idx="50">
                  <c:v>9.0666231845062395E-2</c:v>
                </c:pt>
                <c:pt idx="51">
                  <c:v>9.1162203403057598E-2</c:v>
                </c:pt>
                <c:pt idx="52">
                  <c:v>9.0731887649068504E-2</c:v>
                </c:pt>
                <c:pt idx="53">
                  <c:v>8.9164745156703598E-2</c:v>
                </c:pt>
                <c:pt idx="54">
                  <c:v>9.2654620046805206E-2</c:v>
                </c:pt>
                <c:pt idx="55">
                  <c:v>9.3457355231104294E-2</c:v>
                </c:pt>
                <c:pt idx="56">
                  <c:v>9.3681634592915702E-2</c:v>
                </c:pt>
                <c:pt idx="57">
                  <c:v>9.25574881650197E-2</c:v>
                </c:pt>
                <c:pt idx="58">
                  <c:v>9.5903516545019704E-2</c:v>
                </c:pt>
                <c:pt idx="59">
                  <c:v>9.4850436391437906E-2</c:v>
                </c:pt>
                <c:pt idx="60">
                  <c:v>9.6094282755908894E-2</c:v>
                </c:pt>
                <c:pt idx="61">
                  <c:v>9.7786257797294093E-2</c:v>
                </c:pt>
                <c:pt idx="62">
                  <c:v>9.4294816298418196E-2</c:v>
                </c:pt>
                <c:pt idx="63">
                  <c:v>9.5080152792324693E-2</c:v>
                </c:pt>
                <c:pt idx="64">
                  <c:v>9.6855707248384507E-2</c:v>
                </c:pt>
                <c:pt idx="65">
                  <c:v>9.7332281743985893E-2</c:v>
                </c:pt>
                <c:pt idx="66">
                  <c:v>9.6880907776892206E-2</c:v>
                </c:pt>
                <c:pt idx="67">
                  <c:v>9.6400278623967703E-2</c:v>
                </c:pt>
                <c:pt idx="68">
                  <c:v>9.3255235494146702E-2</c:v>
                </c:pt>
                <c:pt idx="69">
                  <c:v>9.9001932133850196E-2</c:v>
                </c:pt>
                <c:pt idx="70">
                  <c:v>9.8005687549031897E-2</c:v>
                </c:pt>
                <c:pt idx="71">
                  <c:v>9.9334209925940498E-2</c:v>
                </c:pt>
                <c:pt idx="72">
                  <c:v>9.6133305391941606E-2</c:v>
                </c:pt>
                <c:pt idx="73">
                  <c:v>9.4805582395195695E-2</c:v>
                </c:pt>
                <c:pt idx="74">
                  <c:v>9.1596637456451399E-2</c:v>
                </c:pt>
                <c:pt idx="75">
                  <c:v>9.1976420713830095E-2</c:v>
                </c:pt>
                <c:pt idx="76">
                  <c:v>9.3547053018569304E-2</c:v>
                </c:pt>
                <c:pt idx="77">
                  <c:v>9.0363378892866303E-2</c:v>
                </c:pt>
                <c:pt idx="78">
                  <c:v>9.1830123248260995E-2</c:v>
                </c:pt>
                <c:pt idx="79">
                  <c:v>8.5664441951018799E-2</c:v>
                </c:pt>
                <c:pt idx="80">
                  <c:v>8.49702066827865E-2</c:v>
                </c:pt>
                <c:pt idx="81">
                  <c:v>8.6058863425858598E-2</c:v>
                </c:pt>
                <c:pt idx="82">
                  <c:v>8.4790434076548196E-2</c:v>
                </c:pt>
                <c:pt idx="83">
                  <c:v>8.5750720525237703E-2</c:v>
                </c:pt>
                <c:pt idx="84">
                  <c:v>8.7878585258331504E-2</c:v>
                </c:pt>
                <c:pt idx="85">
                  <c:v>8.3515400437132806E-2</c:v>
                </c:pt>
                <c:pt idx="86">
                  <c:v>8.6275181559898495E-2</c:v>
                </c:pt>
                <c:pt idx="87">
                  <c:v>8.2651987750342701E-2</c:v>
                </c:pt>
                <c:pt idx="88">
                  <c:v>8.12134801657481E-2</c:v>
                </c:pt>
                <c:pt idx="89">
                  <c:v>8.1877862936668197E-2</c:v>
                </c:pt>
                <c:pt idx="90">
                  <c:v>7.9365972915804897E-2</c:v>
                </c:pt>
                <c:pt idx="91">
                  <c:v>7.95020283597139E-2</c:v>
                </c:pt>
                <c:pt idx="92">
                  <c:v>7.8146576432254103E-2</c:v>
                </c:pt>
                <c:pt idx="93">
                  <c:v>8.1102393437688394E-2</c:v>
                </c:pt>
                <c:pt idx="94">
                  <c:v>7.8771718489176301E-2</c:v>
                </c:pt>
                <c:pt idx="95">
                  <c:v>7.9535886220867894E-2</c:v>
                </c:pt>
                <c:pt idx="96">
                  <c:v>7.6329575965091601E-2</c:v>
                </c:pt>
                <c:pt idx="97">
                  <c:v>7.8959216832169193E-2</c:v>
                </c:pt>
                <c:pt idx="98">
                  <c:v>7.8338134061547701E-2</c:v>
                </c:pt>
                <c:pt idx="99">
                  <c:v>7.7757655433162307E-2</c:v>
                </c:pt>
                <c:pt idx="100">
                  <c:v>7.6879396475263206E-2</c:v>
                </c:pt>
                <c:pt idx="101">
                  <c:v>7.5660927497080296E-2</c:v>
                </c:pt>
                <c:pt idx="102">
                  <c:v>7.2273607473948204E-2</c:v>
                </c:pt>
                <c:pt idx="103">
                  <c:v>7.1563796602764698E-2</c:v>
                </c:pt>
                <c:pt idx="104">
                  <c:v>7.28488297159154E-2</c:v>
                </c:pt>
                <c:pt idx="105">
                  <c:v>7.3810894629770196E-2</c:v>
                </c:pt>
                <c:pt idx="106">
                  <c:v>7.5543290730333904E-2</c:v>
                </c:pt>
                <c:pt idx="107">
                  <c:v>7.5504028119218997E-2</c:v>
                </c:pt>
                <c:pt idx="108">
                  <c:v>7.4686493682850699E-2</c:v>
                </c:pt>
                <c:pt idx="109">
                  <c:v>7.7857594791134493E-2</c:v>
                </c:pt>
                <c:pt idx="110">
                  <c:v>7.9219782270327097E-2</c:v>
                </c:pt>
                <c:pt idx="111">
                  <c:v>8.1415187658143207E-2</c:v>
                </c:pt>
                <c:pt idx="112">
                  <c:v>7.8819026981857401E-2</c:v>
                </c:pt>
                <c:pt idx="113">
                  <c:v>8.1347130389888403E-2</c:v>
                </c:pt>
                <c:pt idx="114">
                  <c:v>7.81943201685735E-2</c:v>
                </c:pt>
                <c:pt idx="115">
                  <c:v>8.3316822581034095E-2</c:v>
                </c:pt>
                <c:pt idx="116">
                  <c:v>8.5137491087157902E-2</c:v>
                </c:pt>
                <c:pt idx="117">
                  <c:v>8.4673542480079897E-2</c:v>
                </c:pt>
                <c:pt idx="118">
                  <c:v>8.6015912709796999E-2</c:v>
                </c:pt>
                <c:pt idx="119">
                  <c:v>8.9776224789666001E-2</c:v>
                </c:pt>
                <c:pt idx="120">
                  <c:v>9.0789161254669001E-2</c:v>
                </c:pt>
                <c:pt idx="121">
                  <c:v>9.3171493428124502E-2</c:v>
                </c:pt>
                <c:pt idx="122">
                  <c:v>9.4434875029389395E-2</c:v>
                </c:pt>
                <c:pt idx="123">
                  <c:v>9.3259887930705193E-2</c:v>
                </c:pt>
                <c:pt idx="124">
                  <c:v>9.3269013550087099E-2</c:v>
                </c:pt>
                <c:pt idx="125">
                  <c:v>9.3577879789542004E-2</c:v>
                </c:pt>
                <c:pt idx="126">
                  <c:v>9.2953380120775697E-2</c:v>
                </c:pt>
                <c:pt idx="127">
                  <c:v>9.4934032158162998E-2</c:v>
                </c:pt>
                <c:pt idx="128">
                  <c:v>9.2227060612086298E-2</c:v>
                </c:pt>
                <c:pt idx="129">
                  <c:v>9.4168153524081602E-2</c:v>
                </c:pt>
                <c:pt idx="130">
                  <c:v>9.1480888945878802E-2</c:v>
                </c:pt>
                <c:pt idx="131">
                  <c:v>9.3259003936553703E-2</c:v>
                </c:pt>
                <c:pt idx="132">
                  <c:v>9.4475514181607795E-2</c:v>
                </c:pt>
                <c:pt idx="133">
                  <c:v>9.5030579887846203E-2</c:v>
                </c:pt>
                <c:pt idx="134">
                  <c:v>9.5023825847662696E-2</c:v>
                </c:pt>
                <c:pt idx="135">
                  <c:v>9.6209364209945095E-2</c:v>
                </c:pt>
                <c:pt idx="136">
                  <c:v>9.6072528241441801E-2</c:v>
                </c:pt>
                <c:pt idx="137">
                  <c:v>9.4156560257383101E-2</c:v>
                </c:pt>
                <c:pt idx="138">
                  <c:v>9.6000284607337699E-2</c:v>
                </c:pt>
                <c:pt idx="139">
                  <c:v>9.4756706781837896E-2</c:v>
                </c:pt>
                <c:pt idx="140">
                  <c:v>9.95185761158493E-2</c:v>
                </c:pt>
                <c:pt idx="141">
                  <c:v>0.10076309712635199</c:v>
                </c:pt>
                <c:pt idx="142">
                  <c:v>0.108692836405176</c:v>
                </c:pt>
                <c:pt idx="143">
                  <c:v>0.106055422548189</c:v>
                </c:pt>
                <c:pt idx="144">
                  <c:v>0.10953808096062199</c:v>
                </c:pt>
                <c:pt idx="145">
                  <c:v>0.114437534884958</c:v>
                </c:pt>
                <c:pt idx="146">
                  <c:v>0.114001803628499</c:v>
                </c:pt>
                <c:pt idx="147">
                  <c:v>0.113447359872881</c:v>
                </c:pt>
                <c:pt idx="148">
                  <c:v>0.114638147422631</c:v>
                </c:pt>
                <c:pt idx="149">
                  <c:v>0.11687219533788901</c:v>
                </c:pt>
                <c:pt idx="150">
                  <c:v>0.121802179636566</c:v>
                </c:pt>
                <c:pt idx="151">
                  <c:v>0.12399506250589901</c:v>
                </c:pt>
                <c:pt idx="152">
                  <c:v>0.12895707499978601</c:v>
                </c:pt>
                <c:pt idx="153">
                  <c:v>0.132312917431993</c:v>
                </c:pt>
                <c:pt idx="154">
                  <c:v>0.137281505345836</c:v>
                </c:pt>
                <c:pt idx="155">
                  <c:v>0.13451278140235001</c:v>
                </c:pt>
                <c:pt idx="156">
                  <c:v>0.13813557922735401</c:v>
                </c:pt>
                <c:pt idx="157">
                  <c:v>0.142423265407741</c:v>
                </c:pt>
                <c:pt idx="158">
                  <c:v>0.14424719278343101</c:v>
                </c:pt>
                <c:pt idx="159">
                  <c:v>0.14536975293624199</c:v>
                </c:pt>
                <c:pt idx="160">
                  <c:v>0.14699467799893701</c:v>
                </c:pt>
                <c:pt idx="161">
                  <c:v>0.15109386236476399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26025984"/>
        <c:axId val="332787712"/>
      </c:lineChart>
      <c:dateAx>
        <c:axId val="326025984"/>
        <c:scaling>
          <c:orientation val="minMax"/>
        </c:scaling>
        <c:delete val="0"/>
        <c:axPos val="b"/>
        <c:numFmt formatCode="m/d/yyyy" sourceLinked="1"/>
        <c:majorTickMark val="out"/>
        <c:minorTickMark val="none"/>
        <c:tickLblPos val="nextTo"/>
        <c:crossAx val="332787712"/>
        <c:crosses val="autoZero"/>
        <c:auto val="1"/>
        <c:lblOffset val="100"/>
        <c:baseTimeUnit val="months"/>
      </c:dateAx>
      <c:valAx>
        <c:axId val="332787712"/>
        <c:scaling>
          <c:orientation val="minMax"/>
        </c:scaling>
        <c:delete val="0"/>
        <c:axPos val="l"/>
        <c:majorGridlines/>
        <c:numFmt formatCode="0%" sourceLinked="1"/>
        <c:majorTickMark val="out"/>
        <c:minorTickMark val="none"/>
        <c:tickLblPos val="nextTo"/>
        <c:crossAx val="326025984"/>
        <c:crosses val="autoZero"/>
        <c:crossBetween val="between"/>
      </c:valAx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Combined!$O$1:$O$2</c:f>
              <c:strCache>
                <c:ptCount val="1"/>
                <c:pt idx="0">
                  <c:v>MI FHL</c:v>
                </c:pt>
              </c:strCache>
            </c:strRef>
          </c:tx>
          <c:marker>
            <c:symbol val="none"/>
          </c:marker>
          <c:cat>
            <c:numRef>
              <c:f>Combined!$N$3:$N$167</c:f>
              <c:numCache>
                <c:formatCode>m/d/yyyy</c:formatCode>
                <c:ptCount val="165"/>
                <c:pt idx="0">
                  <c:v>36892</c:v>
                </c:pt>
                <c:pt idx="1">
                  <c:v>36923</c:v>
                </c:pt>
                <c:pt idx="2">
                  <c:v>36951</c:v>
                </c:pt>
                <c:pt idx="3">
                  <c:v>36982</c:v>
                </c:pt>
                <c:pt idx="4">
                  <c:v>37012</c:v>
                </c:pt>
                <c:pt idx="5">
                  <c:v>37043</c:v>
                </c:pt>
                <c:pt idx="6">
                  <c:v>37073</c:v>
                </c:pt>
                <c:pt idx="7">
                  <c:v>37104</c:v>
                </c:pt>
                <c:pt idx="8">
                  <c:v>37135</c:v>
                </c:pt>
                <c:pt idx="9">
                  <c:v>37165</c:v>
                </c:pt>
                <c:pt idx="10">
                  <c:v>37196</c:v>
                </c:pt>
                <c:pt idx="11">
                  <c:v>37226</c:v>
                </c:pt>
                <c:pt idx="12">
                  <c:v>37257</c:v>
                </c:pt>
                <c:pt idx="13">
                  <c:v>37288</c:v>
                </c:pt>
                <c:pt idx="14">
                  <c:v>37316</c:v>
                </c:pt>
                <c:pt idx="15">
                  <c:v>37347</c:v>
                </c:pt>
                <c:pt idx="16">
                  <c:v>37377</c:v>
                </c:pt>
                <c:pt idx="17">
                  <c:v>37408</c:v>
                </c:pt>
                <c:pt idx="18">
                  <c:v>37438</c:v>
                </c:pt>
                <c:pt idx="19">
                  <c:v>37469</c:v>
                </c:pt>
                <c:pt idx="20">
                  <c:v>37500</c:v>
                </c:pt>
                <c:pt idx="21">
                  <c:v>37530</c:v>
                </c:pt>
                <c:pt idx="22">
                  <c:v>37561</c:v>
                </c:pt>
                <c:pt idx="23">
                  <c:v>37591</c:v>
                </c:pt>
                <c:pt idx="24">
                  <c:v>37622</c:v>
                </c:pt>
                <c:pt idx="25">
                  <c:v>37653</c:v>
                </c:pt>
                <c:pt idx="26">
                  <c:v>37681</c:v>
                </c:pt>
                <c:pt idx="27">
                  <c:v>37712</c:v>
                </c:pt>
                <c:pt idx="28">
                  <c:v>37742</c:v>
                </c:pt>
                <c:pt idx="29">
                  <c:v>37773</c:v>
                </c:pt>
                <c:pt idx="30">
                  <c:v>37803</c:v>
                </c:pt>
                <c:pt idx="31">
                  <c:v>37834</c:v>
                </c:pt>
                <c:pt idx="32">
                  <c:v>37865</c:v>
                </c:pt>
                <c:pt idx="33">
                  <c:v>37895</c:v>
                </c:pt>
                <c:pt idx="34">
                  <c:v>37926</c:v>
                </c:pt>
                <c:pt idx="35">
                  <c:v>37956</c:v>
                </c:pt>
                <c:pt idx="36">
                  <c:v>37987</c:v>
                </c:pt>
                <c:pt idx="37">
                  <c:v>38018</c:v>
                </c:pt>
                <c:pt idx="38">
                  <c:v>38047</c:v>
                </c:pt>
                <c:pt idx="39">
                  <c:v>38078</c:v>
                </c:pt>
                <c:pt idx="40">
                  <c:v>38108</c:v>
                </c:pt>
                <c:pt idx="41">
                  <c:v>38139</c:v>
                </c:pt>
                <c:pt idx="42">
                  <c:v>38169</c:v>
                </c:pt>
                <c:pt idx="43">
                  <c:v>38200</c:v>
                </c:pt>
                <c:pt idx="44">
                  <c:v>38231</c:v>
                </c:pt>
                <c:pt idx="45">
                  <c:v>38261</c:v>
                </c:pt>
                <c:pt idx="46">
                  <c:v>38292</c:v>
                </c:pt>
                <c:pt idx="47">
                  <c:v>38322</c:v>
                </c:pt>
                <c:pt idx="48">
                  <c:v>38353</c:v>
                </c:pt>
                <c:pt idx="49">
                  <c:v>38384</c:v>
                </c:pt>
                <c:pt idx="50">
                  <c:v>38412</c:v>
                </c:pt>
                <c:pt idx="51">
                  <c:v>38443</c:v>
                </c:pt>
                <c:pt idx="52">
                  <c:v>38473</c:v>
                </c:pt>
                <c:pt idx="53">
                  <c:v>38504</c:v>
                </c:pt>
                <c:pt idx="54">
                  <c:v>38534</c:v>
                </c:pt>
                <c:pt idx="55">
                  <c:v>38565</c:v>
                </c:pt>
                <c:pt idx="56">
                  <c:v>38596</c:v>
                </c:pt>
                <c:pt idx="57">
                  <c:v>38626</c:v>
                </c:pt>
                <c:pt idx="58">
                  <c:v>38657</c:v>
                </c:pt>
                <c:pt idx="59">
                  <c:v>38687</c:v>
                </c:pt>
                <c:pt idx="60">
                  <c:v>38718</c:v>
                </c:pt>
                <c:pt idx="61">
                  <c:v>38749</c:v>
                </c:pt>
                <c:pt idx="62">
                  <c:v>38777</c:v>
                </c:pt>
                <c:pt idx="63">
                  <c:v>38808</c:v>
                </c:pt>
                <c:pt idx="64">
                  <c:v>38838</c:v>
                </c:pt>
                <c:pt idx="65">
                  <c:v>38869</c:v>
                </c:pt>
                <c:pt idx="66">
                  <c:v>38899</c:v>
                </c:pt>
                <c:pt idx="67">
                  <c:v>38930</c:v>
                </c:pt>
                <c:pt idx="68">
                  <c:v>38961</c:v>
                </c:pt>
                <c:pt idx="69">
                  <c:v>38991</c:v>
                </c:pt>
                <c:pt idx="70">
                  <c:v>39022</c:v>
                </c:pt>
                <c:pt idx="71">
                  <c:v>39052</c:v>
                </c:pt>
                <c:pt idx="72">
                  <c:v>39083</c:v>
                </c:pt>
                <c:pt idx="73">
                  <c:v>39114</c:v>
                </c:pt>
                <c:pt idx="74">
                  <c:v>39142</c:v>
                </c:pt>
                <c:pt idx="75">
                  <c:v>39173</c:v>
                </c:pt>
                <c:pt idx="76">
                  <c:v>39203</c:v>
                </c:pt>
                <c:pt idx="77">
                  <c:v>39234</c:v>
                </c:pt>
                <c:pt idx="78">
                  <c:v>39264</c:v>
                </c:pt>
                <c:pt idx="79">
                  <c:v>39295</c:v>
                </c:pt>
                <c:pt idx="80">
                  <c:v>39326</c:v>
                </c:pt>
                <c:pt idx="81">
                  <c:v>39356</c:v>
                </c:pt>
                <c:pt idx="82">
                  <c:v>39387</c:v>
                </c:pt>
                <c:pt idx="83">
                  <c:v>39417</c:v>
                </c:pt>
                <c:pt idx="84">
                  <c:v>39448</c:v>
                </c:pt>
                <c:pt idx="85">
                  <c:v>39479</c:v>
                </c:pt>
                <c:pt idx="86">
                  <c:v>39508</c:v>
                </c:pt>
                <c:pt idx="87">
                  <c:v>39539</c:v>
                </c:pt>
                <c:pt idx="88">
                  <c:v>39569</c:v>
                </c:pt>
                <c:pt idx="89">
                  <c:v>39600</c:v>
                </c:pt>
                <c:pt idx="90">
                  <c:v>39630</c:v>
                </c:pt>
                <c:pt idx="91">
                  <c:v>39661</c:v>
                </c:pt>
                <c:pt idx="92">
                  <c:v>39692</c:v>
                </c:pt>
                <c:pt idx="93">
                  <c:v>39722</c:v>
                </c:pt>
                <c:pt idx="94">
                  <c:v>39753</c:v>
                </c:pt>
                <c:pt idx="95">
                  <c:v>39783</c:v>
                </c:pt>
                <c:pt idx="96">
                  <c:v>39814</c:v>
                </c:pt>
                <c:pt idx="97">
                  <c:v>39845</c:v>
                </c:pt>
                <c:pt idx="98">
                  <c:v>39873</c:v>
                </c:pt>
                <c:pt idx="99">
                  <c:v>39904</c:v>
                </c:pt>
                <c:pt idx="100">
                  <c:v>39934</c:v>
                </c:pt>
                <c:pt idx="101">
                  <c:v>39965</c:v>
                </c:pt>
                <c:pt idx="102">
                  <c:v>39995</c:v>
                </c:pt>
                <c:pt idx="103">
                  <c:v>40026</c:v>
                </c:pt>
                <c:pt idx="104">
                  <c:v>40057</c:v>
                </c:pt>
                <c:pt idx="105">
                  <c:v>40087</c:v>
                </c:pt>
                <c:pt idx="106">
                  <c:v>40118</c:v>
                </c:pt>
                <c:pt idx="107">
                  <c:v>40148</c:v>
                </c:pt>
                <c:pt idx="108">
                  <c:v>40179</c:v>
                </c:pt>
                <c:pt idx="109">
                  <c:v>40210</c:v>
                </c:pt>
                <c:pt idx="110">
                  <c:v>40238</c:v>
                </c:pt>
                <c:pt idx="111">
                  <c:v>40269</c:v>
                </c:pt>
                <c:pt idx="112">
                  <c:v>40299</c:v>
                </c:pt>
                <c:pt idx="113">
                  <c:v>40330</c:v>
                </c:pt>
                <c:pt idx="114">
                  <c:v>40360</c:v>
                </c:pt>
                <c:pt idx="115">
                  <c:v>40391</c:v>
                </c:pt>
                <c:pt idx="116">
                  <c:v>40422</c:v>
                </c:pt>
                <c:pt idx="117">
                  <c:v>40452</c:v>
                </c:pt>
                <c:pt idx="118">
                  <c:v>40483</c:v>
                </c:pt>
                <c:pt idx="119">
                  <c:v>40513</c:v>
                </c:pt>
                <c:pt idx="120">
                  <c:v>40544</c:v>
                </c:pt>
                <c:pt idx="121">
                  <c:v>40575</c:v>
                </c:pt>
                <c:pt idx="122">
                  <c:v>40603</c:v>
                </c:pt>
                <c:pt idx="123">
                  <c:v>40634</c:v>
                </c:pt>
                <c:pt idx="124">
                  <c:v>40664</c:v>
                </c:pt>
                <c:pt idx="125">
                  <c:v>40695</c:v>
                </c:pt>
                <c:pt idx="126">
                  <c:v>40725</c:v>
                </c:pt>
                <c:pt idx="127">
                  <c:v>40756</c:v>
                </c:pt>
                <c:pt idx="128">
                  <c:v>40787</c:v>
                </c:pt>
                <c:pt idx="129">
                  <c:v>40817</c:v>
                </c:pt>
                <c:pt idx="130">
                  <c:v>40848</c:v>
                </c:pt>
                <c:pt idx="131">
                  <c:v>40878</c:v>
                </c:pt>
                <c:pt idx="132">
                  <c:v>40909</c:v>
                </c:pt>
                <c:pt idx="133">
                  <c:v>40940</c:v>
                </c:pt>
                <c:pt idx="134">
                  <c:v>40969</c:v>
                </c:pt>
                <c:pt idx="135">
                  <c:v>41000</c:v>
                </c:pt>
                <c:pt idx="136">
                  <c:v>41030</c:v>
                </c:pt>
                <c:pt idx="137">
                  <c:v>41061</c:v>
                </c:pt>
                <c:pt idx="138">
                  <c:v>41091</c:v>
                </c:pt>
                <c:pt idx="139">
                  <c:v>41122</c:v>
                </c:pt>
                <c:pt idx="140">
                  <c:v>41153</c:v>
                </c:pt>
                <c:pt idx="141">
                  <c:v>41183</c:v>
                </c:pt>
                <c:pt idx="142">
                  <c:v>41214</c:v>
                </c:pt>
                <c:pt idx="143">
                  <c:v>41244</c:v>
                </c:pt>
                <c:pt idx="144">
                  <c:v>41275</c:v>
                </c:pt>
                <c:pt idx="145">
                  <c:v>41306</c:v>
                </c:pt>
                <c:pt idx="146">
                  <c:v>41334</c:v>
                </c:pt>
                <c:pt idx="147">
                  <c:v>41365</c:v>
                </c:pt>
                <c:pt idx="148">
                  <c:v>41395</c:v>
                </c:pt>
                <c:pt idx="149">
                  <c:v>41426</c:v>
                </c:pt>
                <c:pt idx="150">
                  <c:v>41456</c:v>
                </c:pt>
                <c:pt idx="151">
                  <c:v>41487</c:v>
                </c:pt>
                <c:pt idx="152">
                  <c:v>41518</c:v>
                </c:pt>
                <c:pt idx="153">
                  <c:v>41548</c:v>
                </c:pt>
                <c:pt idx="154">
                  <c:v>41579</c:v>
                </c:pt>
                <c:pt idx="155">
                  <c:v>41609</c:v>
                </c:pt>
                <c:pt idx="156">
                  <c:v>41640</c:v>
                </c:pt>
                <c:pt idx="157">
                  <c:v>41671</c:v>
                </c:pt>
                <c:pt idx="158">
                  <c:v>41699</c:v>
                </c:pt>
                <c:pt idx="159">
                  <c:v>41730</c:v>
                </c:pt>
                <c:pt idx="160">
                  <c:v>41760</c:v>
                </c:pt>
                <c:pt idx="161">
                  <c:v>41791</c:v>
                </c:pt>
              </c:numCache>
            </c:numRef>
          </c:cat>
          <c:val>
            <c:numRef>
              <c:f>Combined!$O$3:$O$167</c:f>
              <c:numCache>
                <c:formatCode>0%</c:formatCode>
                <c:ptCount val="165"/>
                <c:pt idx="0">
                  <c:v>0.18105061015839199</c:v>
                </c:pt>
                <c:pt idx="1">
                  <c:v>0.156253823761139</c:v>
                </c:pt>
                <c:pt idx="2">
                  <c:v>0.20269618018697699</c:v>
                </c:pt>
                <c:pt idx="3">
                  <c:v>0.17730268012869299</c:v>
                </c:pt>
                <c:pt idx="4">
                  <c:v>0.19891039476379299</c:v>
                </c:pt>
                <c:pt idx="5">
                  <c:v>0.15205840735072901</c:v>
                </c:pt>
                <c:pt idx="6">
                  <c:v>0.13824310054242001</c:v>
                </c:pt>
                <c:pt idx="7">
                  <c:v>0.14921990945137001</c:v>
                </c:pt>
                <c:pt idx="8">
                  <c:v>0.12618147425012499</c:v>
                </c:pt>
                <c:pt idx="9">
                  <c:v>0.132749112500714</c:v>
                </c:pt>
                <c:pt idx="10">
                  <c:v>0.117184862247236</c:v>
                </c:pt>
                <c:pt idx="11">
                  <c:v>0.133886135719537</c:v>
                </c:pt>
                <c:pt idx="12">
                  <c:v>0.108548001790962</c:v>
                </c:pt>
                <c:pt idx="13">
                  <c:v>0.13274077248638799</c:v>
                </c:pt>
                <c:pt idx="14">
                  <c:v>0.16750764570791299</c:v>
                </c:pt>
                <c:pt idx="15">
                  <c:v>0.144391027151968</c:v>
                </c:pt>
                <c:pt idx="16">
                  <c:v>0.18468803933148101</c:v>
                </c:pt>
                <c:pt idx="17">
                  <c:v>0.124526372725562</c:v>
                </c:pt>
                <c:pt idx="18">
                  <c:v>0.14827760576903801</c:v>
                </c:pt>
                <c:pt idx="19">
                  <c:v>0.15973573534482499</c:v>
                </c:pt>
                <c:pt idx="20">
                  <c:v>0.17025672631328201</c:v>
                </c:pt>
                <c:pt idx="21">
                  <c:v>0.14072912442504701</c:v>
                </c:pt>
                <c:pt idx="22">
                  <c:v>0.162690054828553</c:v>
                </c:pt>
                <c:pt idx="23">
                  <c:v>0.16294384769713299</c:v>
                </c:pt>
                <c:pt idx="24">
                  <c:v>0.13634413169555901</c:v>
                </c:pt>
                <c:pt idx="25">
                  <c:v>0.16286796315966801</c:v>
                </c:pt>
                <c:pt idx="26">
                  <c:v>0.14243390202506701</c:v>
                </c:pt>
                <c:pt idx="27">
                  <c:v>0.13630108118959799</c:v>
                </c:pt>
                <c:pt idx="28">
                  <c:v>0.152239953045815</c:v>
                </c:pt>
                <c:pt idx="29">
                  <c:v>0.12717015855236899</c:v>
                </c:pt>
                <c:pt idx="30">
                  <c:v>0.14489913483401101</c:v>
                </c:pt>
                <c:pt idx="31">
                  <c:v>0.12937871906929199</c:v>
                </c:pt>
                <c:pt idx="32">
                  <c:v>0.15230435318017699</c:v>
                </c:pt>
                <c:pt idx="33">
                  <c:v>0.13949026787885899</c:v>
                </c:pt>
                <c:pt idx="34">
                  <c:v>0.15011950703889801</c:v>
                </c:pt>
                <c:pt idx="35">
                  <c:v>0.14372469135199301</c:v>
                </c:pt>
                <c:pt idx="36">
                  <c:v>0.137297055448584</c:v>
                </c:pt>
                <c:pt idx="37">
                  <c:v>0.154650183200507</c:v>
                </c:pt>
                <c:pt idx="38">
                  <c:v>0.135705613477941</c:v>
                </c:pt>
                <c:pt idx="39">
                  <c:v>0.140602284336416</c:v>
                </c:pt>
                <c:pt idx="40">
                  <c:v>0.157558511977618</c:v>
                </c:pt>
                <c:pt idx="41">
                  <c:v>0.15595010781354199</c:v>
                </c:pt>
                <c:pt idx="42">
                  <c:v>0.128363516425653</c:v>
                </c:pt>
                <c:pt idx="43">
                  <c:v>0.147401919325652</c:v>
                </c:pt>
                <c:pt idx="44">
                  <c:v>0.15879026105529301</c:v>
                </c:pt>
                <c:pt idx="45">
                  <c:v>0.146165760653582</c:v>
                </c:pt>
                <c:pt idx="46">
                  <c:v>0.158052583692216</c:v>
                </c:pt>
                <c:pt idx="47">
                  <c:v>0.160530570900872</c:v>
                </c:pt>
                <c:pt idx="48">
                  <c:v>0.11806756051485701</c:v>
                </c:pt>
                <c:pt idx="49">
                  <c:v>0.13528261974432099</c:v>
                </c:pt>
                <c:pt idx="50">
                  <c:v>0.13019338378989201</c:v>
                </c:pt>
                <c:pt idx="51">
                  <c:v>0.13020581691185401</c:v>
                </c:pt>
                <c:pt idx="52">
                  <c:v>0.13337951545464699</c:v>
                </c:pt>
                <c:pt idx="53">
                  <c:v>0.11856048347419799</c:v>
                </c:pt>
                <c:pt idx="54">
                  <c:v>0.12954810171282499</c:v>
                </c:pt>
                <c:pt idx="55">
                  <c:v>0.12713926516895899</c:v>
                </c:pt>
                <c:pt idx="56">
                  <c:v>0.13080508895621501</c:v>
                </c:pt>
                <c:pt idx="57">
                  <c:v>0.125298029970385</c:v>
                </c:pt>
                <c:pt idx="58">
                  <c:v>0.130220782717689</c:v>
                </c:pt>
                <c:pt idx="59">
                  <c:v>0.12042697585246701</c:v>
                </c:pt>
                <c:pt idx="60">
                  <c:v>0.12368979144482301</c:v>
                </c:pt>
                <c:pt idx="61">
                  <c:v>0.128541969613161</c:v>
                </c:pt>
                <c:pt idx="62">
                  <c:v>0.13451878267992101</c:v>
                </c:pt>
                <c:pt idx="63">
                  <c:v>0.11988881587219</c:v>
                </c:pt>
                <c:pt idx="64">
                  <c:v>0.12745178652011699</c:v>
                </c:pt>
                <c:pt idx="65">
                  <c:v>0.122748949282419</c:v>
                </c:pt>
                <c:pt idx="66">
                  <c:v>0.115856003896987</c:v>
                </c:pt>
                <c:pt idx="67">
                  <c:v>0.122006770696217</c:v>
                </c:pt>
                <c:pt idx="68">
                  <c:v>0.120964755385589</c:v>
                </c:pt>
                <c:pt idx="69">
                  <c:v>0.136218652004784</c:v>
                </c:pt>
                <c:pt idx="70">
                  <c:v>0.125364059206549</c:v>
                </c:pt>
                <c:pt idx="71">
                  <c:v>0.121284907615879</c:v>
                </c:pt>
                <c:pt idx="72">
                  <c:v>0.102387546290818</c:v>
                </c:pt>
                <c:pt idx="73">
                  <c:v>0.10838563095327899</c:v>
                </c:pt>
                <c:pt idx="74">
                  <c:v>0.11428582567755</c:v>
                </c:pt>
                <c:pt idx="75">
                  <c:v>0.11517549234487399</c:v>
                </c:pt>
                <c:pt idx="76">
                  <c:v>9.8205764720559405E-2</c:v>
                </c:pt>
                <c:pt idx="77">
                  <c:v>0.113490014884034</c:v>
                </c:pt>
                <c:pt idx="78">
                  <c:v>0.112798338143262</c:v>
                </c:pt>
                <c:pt idx="79">
                  <c:v>0.10660797188398501</c:v>
                </c:pt>
                <c:pt idx="80">
                  <c:v>0.11844846973777701</c:v>
                </c:pt>
                <c:pt idx="81">
                  <c:v>0.11223692560454</c:v>
                </c:pt>
                <c:pt idx="82">
                  <c:v>0.107231011373465</c:v>
                </c:pt>
                <c:pt idx="83">
                  <c:v>0.105431540588013</c:v>
                </c:pt>
                <c:pt idx="84">
                  <c:v>0.10529018698003501</c:v>
                </c:pt>
                <c:pt idx="85">
                  <c:v>0.11930473567753</c:v>
                </c:pt>
                <c:pt idx="86">
                  <c:v>0.11320144765204899</c:v>
                </c:pt>
                <c:pt idx="87">
                  <c:v>0.10658598987622001</c:v>
                </c:pt>
                <c:pt idx="88">
                  <c:v>0.103220628297425</c:v>
                </c:pt>
                <c:pt idx="89">
                  <c:v>0.102551179542688</c:v>
                </c:pt>
                <c:pt idx="90">
                  <c:v>9.9948906318235206E-2</c:v>
                </c:pt>
                <c:pt idx="91">
                  <c:v>0.10050999032062601</c:v>
                </c:pt>
                <c:pt idx="92">
                  <c:v>8.8271505099589601E-2</c:v>
                </c:pt>
                <c:pt idx="93">
                  <c:v>8.5318861076734198E-2</c:v>
                </c:pt>
                <c:pt idx="94">
                  <c:v>9.1589678500674898E-2</c:v>
                </c:pt>
                <c:pt idx="95">
                  <c:v>9.1945107572026105E-2</c:v>
                </c:pt>
                <c:pt idx="96">
                  <c:v>9.0871135533922204E-2</c:v>
                </c:pt>
                <c:pt idx="97">
                  <c:v>8.44242965976362E-2</c:v>
                </c:pt>
                <c:pt idx="98">
                  <c:v>8.1878923969725098E-2</c:v>
                </c:pt>
                <c:pt idx="99">
                  <c:v>7.5191439014367006E-2</c:v>
                </c:pt>
                <c:pt idx="100">
                  <c:v>7.8326361192114405E-2</c:v>
                </c:pt>
                <c:pt idx="101">
                  <c:v>7.6225323310633503E-2</c:v>
                </c:pt>
                <c:pt idx="102">
                  <c:v>6.9948895782131995E-2</c:v>
                </c:pt>
                <c:pt idx="103">
                  <c:v>7.3908580048177006E-2</c:v>
                </c:pt>
                <c:pt idx="104">
                  <c:v>7.23923503773094E-2</c:v>
                </c:pt>
                <c:pt idx="105">
                  <c:v>7.0659689902343101E-2</c:v>
                </c:pt>
                <c:pt idx="106">
                  <c:v>7.5385742604492198E-2</c:v>
                </c:pt>
                <c:pt idx="107">
                  <c:v>7.2570349646047805E-2</c:v>
                </c:pt>
                <c:pt idx="108">
                  <c:v>6.7863225896033594E-2</c:v>
                </c:pt>
                <c:pt idx="109">
                  <c:v>7.2766534512695602E-2</c:v>
                </c:pt>
                <c:pt idx="110">
                  <c:v>6.9745167535022204E-2</c:v>
                </c:pt>
                <c:pt idx="111">
                  <c:v>6.9333270925460405E-2</c:v>
                </c:pt>
                <c:pt idx="112">
                  <c:v>6.8577857021106498E-2</c:v>
                </c:pt>
                <c:pt idx="113">
                  <c:v>6.6635954494242103E-2</c:v>
                </c:pt>
                <c:pt idx="114">
                  <c:v>6.3482503767367096E-2</c:v>
                </c:pt>
                <c:pt idx="115">
                  <c:v>6.4311007786683499E-2</c:v>
                </c:pt>
                <c:pt idx="116">
                  <c:v>6.2732791200289198E-2</c:v>
                </c:pt>
                <c:pt idx="117">
                  <c:v>6.5082529325473898E-2</c:v>
                </c:pt>
                <c:pt idx="118">
                  <c:v>6.4722706569040694E-2</c:v>
                </c:pt>
                <c:pt idx="119">
                  <c:v>7.1459557915764499E-2</c:v>
                </c:pt>
                <c:pt idx="120">
                  <c:v>6.9037730859874899E-2</c:v>
                </c:pt>
                <c:pt idx="121">
                  <c:v>7.1317274153281193E-2</c:v>
                </c:pt>
                <c:pt idx="122">
                  <c:v>6.97435990989861E-2</c:v>
                </c:pt>
                <c:pt idx="123">
                  <c:v>6.46613697145524E-2</c:v>
                </c:pt>
                <c:pt idx="124">
                  <c:v>6.29529348987765E-2</c:v>
                </c:pt>
                <c:pt idx="125">
                  <c:v>6.4912649651408805E-2</c:v>
                </c:pt>
                <c:pt idx="126">
                  <c:v>6.1795933066237603E-2</c:v>
                </c:pt>
                <c:pt idx="127">
                  <c:v>6.1148395949829903E-2</c:v>
                </c:pt>
                <c:pt idx="128">
                  <c:v>6.3822800171625907E-2</c:v>
                </c:pt>
                <c:pt idx="129">
                  <c:v>6.2968380929164597E-2</c:v>
                </c:pt>
                <c:pt idx="130">
                  <c:v>6.1530122867415701E-2</c:v>
                </c:pt>
                <c:pt idx="131">
                  <c:v>6.2550886822289098E-2</c:v>
                </c:pt>
                <c:pt idx="132">
                  <c:v>6.0684308474296303E-2</c:v>
                </c:pt>
                <c:pt idx="133">
                  <c:v>6.5833018725354797E-2</c:v>
                </c:pt>
                <c:pt idx="134">
                  <c:v>6.3236758043512004E-2</c:v>
                </c:pt>
                <c:pt idx="135">
                  <c:v>6.6030266855361203E-2</c:v>
                </c:pt>
                <c:pt idx="136">
                  <c:v>6.0345014764379999E-2</c:v>
                </c:pt>
                <c:pt idx="137">
                  <c:v>6.0003016462742802E-2</c:v>
                </c:pt>
                <c:pt idx="138">
                  <c:v>6.09150495783655E-2</c:v>
                </c:pt>
                <c:pt idx="139">
                  <c:v>6.3456377429837202E-2</c:v>
                </c:pt>
                <c:pt idx="140">
                  <c:v>6.29168514549001E-2</c:v>
                </c:pt>
                <c:pt idx="141">
                  <c:v>6.2456374083545603E-2</c:v>
                </c:pt>
                <c:pt idx="142">
                  <c:v>6.4074137701498807E-2</c:v>
                </c:pt>
                <c:pt idx="143">
                  <c:v>6.7378490834465996E-2</c:v>
                </c:pt>
                <c:pt idx="144">
                  <c:v>6.6687972836812104E-2</c:v>
                </c:pt>
                <c:pt idx="145">
                  <c:v>6.7012126487559498E-2</c:v>
                </c:pt>
                <c:pt idx="146">
                  <c:v>6.7687094740987205E-2</c:v>
                </c:pt>
                <c:pt idx="147">
                  <c:v>6.9939104304650904E-2</c:v>
                </c:pt>
                <c:pt idx="148">
                  <c:v>6.8331965670175895E-2</c:v>
                </c:pt>
                <c:pt idx="149">
                  <c:v>6.4847715852302201E-2</c:v>
                </c:pt>
                <c:pt idx="150">
                  <c:v>6.4785010233080101E-2</c:v>
                </c:pt>
                <c:pt idx="151">
                  <c:v>6.6010944140916697E-2</c:v>
                </c:pt>
                <c:pt idx="152">
                  <c:v>7.0084149496895704E-2</c:v>
                </c:pt>
                <c:pt idx="153">
                  <c:v>6.8809834656109903E-2</c:v>
                </c:pt>
                <c:pt idx="154">
                  <c:v>7.19940823050573E-2</c:v>
                </c:pt>
                <c:pt idx="155">
                  <c:v>6.7282967522308001E-2</c:v>
                </c:pt>
                <c:pt idx="156">
                  <c:v>6.1168693815864497E-2</c:v>
                </c:pt>
                <c:pt idx="157">
                  <c:v>6.5074829674916401E-2</c:v>
                </c:pt>
                <c:pt idx="158">
                  <c:v>6.2240422270341503E-2</c:v>
                </c:pt>
                <c:pt idx="159">
                  <c:v>6.1977651454892799E-2</c:v>
                </c:pt>
                <c:pt idx="160">
                  <c:v>5.5059630360709301E-2</c:v>
                </c:pt>
                <c:pt idx="161">
                  <c:v>5.6635312189078503E-2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Combined!$P$1:$P$2</c:f>
              <c:strCache>
                <c:ptCount val="1"/>
                <c:pt idx="0">
                  <c:v>MI FNMA</c:v>
                </c:pt>
              </c:strCache>
            </c:strRef>
          </c:tx>
          <c:marker>
            <c:symbol val="none"/>
          </c:marker>
          <c:cat>
            <c:numRef>
              <c:f>Combined!$N$3:$N$167</c:f>
              <c:numCache>
                <c:formatCode>m/d/yyyy</c:formatCode>
                <c:ptCount val="165"/>
                <c:pt idx="0">
                  <c:v>36892</c:v>
                </c:pt>
                <c:pt idx="1">
                  <c:v>36923</c:v>
                </c:pt>
                <c:pt idx="2">
                  <c:v>36951</c:v>
                </c:pt>
                <c:pt idx="3">
                  <c:v>36982</c:v>
                </c:pt>
                <c:pt idx="4">
                  <c:v>37012</c:v>
                </c:pt>
                <c:pt idx="5">
                  <c:v>37043</c:v>
                </c:pt>
                <c:pt idx="6">
                  <c:v>37073</c:v>
                </c:pt>
                <c:pt idx="7">
                  <c:v>37104</c:v>
                </c:pt>
                <c:pt idx="8">
                  <c:v>37135</c:v>
                </c:pt>
                <c:pt idx="9">
                  <c:v>37165</c:v>
                </c:pt>
                <c:pt idx="10">
                  <c:v>37196</c:v>
                </c:pt>
                <c:pt idx="11">
                  <c:v>37226</c:v>
                </c:pt>
                <c:pt idx="12">
                  <c:v>37257</c:v>
                </c:pt>
                <c:pt idx="13">
                  <c:v>37288</c:v>
                </c:pt>
                <c:pt idx="14">
                  <c:v>37316</c:v>
                </c:pt>
                <c:pt idx="15">
                  <c:v>37347</c:v>
                </c:pt>
                <c:pt idx="16">
                  <c:v>37377</c:v>
                </c:pt>
                <c:pt idx="17">
                  <c:v>37408</c:v>
                </c:pt>
                <c:pt idx="18">
                  <c:v>37438</c:v>
                </c:pt>
                <c:pt idx="19">
                  <c:v>37469</c:v>
                </c:pt>
                <c:pt idx="20">
                  <c:v>37500</c:v>
                </c:pt>
                <c:pt idx="21">
                  <c:v>37530</c:v>
                </c:pt>
                <c:pt idx="22">
                  <c:v>37561</c:v>
                </c:pt>
                <c:pt idx="23">
                  <c:v>37591</c:v>
                </c:pt>
                <c:pt idx="24">
                  <c:v>37622</c:v>
                </c:pt>
                <c:pt idx="25">
                  <c:v>37653</c:v>
                </c:pt>
                <c:pt idx="26">
                  <c:v>37681</c:v>
                </c:pt>
                <c:pt idx="27">
                  <c:v>37712</c:v>
                </c:pt>
                <c:pt idx="28">
                  <c:v>37742</c:v>
                </c:pt>
                <c:pt idx="29">
                  <c:v>37773</c:v>
                </c:pt>
                <c:pt idx="30">
                  <c:v>37803</c:v>
                </c:pt>
                <c:pt idx="31">
                  <c:v>37834</c:v>
                </c:pt>
                <c:pt idx="32">
                  <c:v>37865</c:v>
                </c:pt>
                <c:pt idx="33">
                  <c:v>37895</c:v>
                </c:pt>
                <c:pt idx="34">
                  <c:v>37926</c:v>
                </c:pt>
                <c:pt idx="35">
                  <c:v>37956</c:v>
                </c:pt>
                <c:pt idx="36">
                  <c:v>37987</c:v>
                </c:pt>
                <c:pt idx="37">
                  <c:v>38018</c:v>
                </c:pt>
                <c:pt idx="38">
                  <c:v>38047</c:v>
                </c:pt>
                <c:pt idx="39">
                  <c:v>38078</c:v>
                </c:pt>
                <c:pt idx="40">
                  <c:v>38108</c:v>
                </c:pt>
                <c:pt idx="41">
                  <c:v>38139</c:v>
                </c:pt>
                <c:pt idx="42">
                  <c:v>38169</c:v>
                </c:pt>
                <c:pt idx="43">
                  <c:v>38200</c:v>
                </c:pt>
                <c:pt idx="44">
                  <c:v>38231</c:v>
                </c:pt>
                <c:pt idx="45">
                  <c:v>38261</c:v>
                </c:pt>
                <c:pt idx="46">
                  <c:v>38292</c:v>
                </c:pt>
                <c:pt idx="47">
                  <c:v>38322</c:v>
                </c:pt>
                <c:pt idx="48">
                  <c:v>38353</c:v>
                </c:pt>
                <c:pt idx="49">
                  <c:v>38384</c:v>
                </c:pt>
                <c:pt idx="50">
                  <c:v>38412</c:v>
                </c:pt>
                <c:pt idx="51">
                  <c:v>38443</c:v>
                </c:pt>
                <c:pt idx="52">
                  <c:v>38473</c:v>
                </c:pt>
                <c:pt idx="53">
                  <c:v>38504</c:v>
                </c:pt>
                <c:pt idx="54">
                  <c:v>38534</c:v>
                </c:pt>
                <c:pt idx="55">
                  <c:v>38565</c:v>
                </c:pt>
                <c:pt idx="56">
                  <c:v>38596</c:v>
                </c:pt>
                <c:pt idx="57">
                  <c:v>38626</c:v>
                </c:pt>
                <c:pt idx="58">
                  <c:v>38657</c:v>
                </c:pt>
                <c:pt idx="59">
                  <c:v>38687</c:v>
                </c:pt>
                <c:pt idx="60">
                  <c:v>38718</c:v>
                </c:pt>
                <c:pt idx="61">
                  <c:v>38749</c:v>
                </c:pt>
                <c:pt idx="62">
                  <c:v>38777</c:v>
                </c:pt>
                <c:pt idx="63">
                  <c:v>38808</c:v>
                </c:pt>
                <c:pt idx="64">
                  <c:v>38838</c:v>
                </c:pt>
                <c:pt idx="65">
                  <c:v>38869</c:v>
                </c:pt>
                <c:pt idx="66">
                  <c:v>38899</c:v>
                </c:pt>
                <c:pt idx="67">
                  <c:v>38930</c:v>
                </c:pt>
                <c:pt idx="68">
                  <c:v>38961</c:v>
                </c:pt>
                <c:pt idx="69">
                  <c:v>38991</c:v>
                </c:pt>
                <c:pt idx="70">
                  <c:v>39022</c:v>
                </c:pt>
                <c:pt idx="71">
                  <c:v>39052</c:v>
                </c:pt>
                <c:pt idx="72">
                  <c:v>39083</c:v>
                </c:pt>
                <c:pt idx="73">
                  <c:v>39114</c:v>
                </c:pt>
                <c:pt idx="74">
                  <c:v>39142</c:v>
                </c:pt>
                <c:pt idx="75">
                  <c:v>39173</c:v>
                </c:pt>
                <c:pt idx="76">
                  <c:v>39203</c:v>
                </c:pt>
                <c:pt idx="77">
                  <c:v>39234</c:v>
                </c:pt>
                <c:pt idx="78">
                  <c:v>39264</c:v>
                </c:pt>
                <c:pt idx="79">
                  <c:v>39295</c:v>
                </c:pt>
                <c:pt idx="80">
                  <c:v>39326</c:v>
                </c:pt>
                <c:pt idx="81">
                  <c:v>39356</c:v>
                </c:pt>
                <c:pt idx="82">
                  <c:v>39387</c:v>
                </c:pt>
                <c:pt idx="83">
                  <c:v>39417</c:v>
                </c:pt>
                <c:pt idx="84">
                  <c:v>39448</c:v>
                </c:pt>
                <c:pt idx="85">
                  <c:v>39479</c:v>
                </c:pt>
                <c:pt idx="86">
                  <c:v>39508</c:v>
                </c:pt>
                <c:pt idx="87">
                  <c:v>39539</c:v>
                </c:pt>
                <c:pt idx="88">
                  <c:v>39569</c:v>
                </c:pt>
                <c:pt idx="89">
                  <c:v>39600</c:v>
                </c:pt>
                <c:pt idx="90">
                  <c:v>39630</c:v>
                </c:pt>
                <c:pt idx="91">
                  <c:v>39661</c:v>
                </c:pt>
                <c:pt idx="92">
                  <c:v>39692</c:v>
                </c:pt>
                <c:pt idx="93">
                  <c:v>39722</c:v>
                </c:pt>
                <c:pt idx="94">
                  <c:v>39753</c:v>
                </c:pt>
                <c:pt idx="95">
                  <c:v>39783</c:v>
                </c:pt>
                <c:pt idx="96">
                  <c:v>39814</c:v>
                </c:pt>
                <c:pt idx="97">
                  <c:v>39845</c:v>
                </c:pt>
                <c:pt idx="98">
                  <c:v>39873</c:v>
                </c:pt>
                <c:pt idx="99">
                  <c:v>39904</c:v>
                </c:pt>
                <c:pt idx="100">
                  <c:v>39934</c:v>
                </c:pt>
                <c:pt idx="101">
                  <c:v>39965</c:v>
                </c:pt>
                <c:pt idx="102">
                  <c:v>39995</c:v>
                </c:pt>
                <c:pt idx="103">
                  <c:v>40026</c:v>
                </c:pt>
                <c:pt idx="104">
                  <c:v>40057</c:v>
                </c:pt>
                <c:pt idx="105">
                  <c:v>40087</c:v>
                </c:pt>
                <c:pt idx="106">
                  <c:v>40118</c:v>
                </c:pt>
                <c:pt idx="107">
                  <c:v>40148</c:v>
                </c:pt>
                <c:pt idx="108">
                  <c:v>40179</c:v>
                </c:pt>
                <c:pt idx="109">
                  <c:v>40210</c:v>
                </c:pt>
                <c:pt idx="110">
                  <c:v>40238</c:v>
                </c:pt>
                <c:pt idx="111">
                  <c:v>40269</c:v>
                </c:pt>
                <c:pt idx="112">
                  <c:v>40299</c:v>
                </c:pt>
                <c:pt idx="113">
                  <c:v>40330</c:v>
                </c:pt>
                <c:pt idx="114">
                  <c:v>40360</c:v>
                </c:pt>
                <c:pt idx="115">
                  <c:v>40391</c:v>
                </c:pt>
                <c:pt idx="116">
                  <c:v>40422</c:v>
                </c:pt>
                <c:pt idx="117">
                  <c:v>40452</c:v>
                </c:pt>
                <c:pt idx="118">
                  <c:v>40483</c:v>
                </c:pt>
                <c:pt idx="119">
                  <c:v>40513</c:v>
                </c:pt>
                <c:pt idx="120">
                  <c:v>40544</c:v>
                </c:pt>
                <c:pt idx="121">
                  <c:v>40575</c:v>
                </c:pt>
                <c:pt idx="122">
                  <c:v>40603</c:v>
                </c:pt>
                <c:pt idx="123">
                  <c:v>40634</c:v>
                </c:pt>
                <c:pt idx="124">
                  <c:v>40664</c:v>
                </c:pt>
                <c:pt idx="125">
                  <c:v>40695</c:v>
                </c:pt>
                <c:pt idx="126">
                  <c:v>40725</c:v>
                </c:pt>
                <c:pt idx="127">
                  <c:v>40756</c:v>
                </c:pt>
                <c:pt idx="128">
                  <c:v>40787</c:v>
                </c:pt>
                <c:pt idx="129">
                  <c:v>40817</c:v>
                </c:pt>
                <c:pt idx="130">
                  <c:v>40848</c:v>
                </c:pt>
                <c:pt idx="131">
                  <c:v>40878</c:v>
                </c:pt>
                <c:pt idx="132">
                  <c:v>40909</c:v>
                </c:pt>
                <c:pt idx="133">
                  <c:v>40940</c:v>
                </c:pt>
                <c:pt idx="134">
                  <c:v>40969</c:v>
                </c:pt>
                <c:pt idx="135">
                  <c:v>41000</c:v>
                </c:pt>
                <c:pt idx="136">
                  <c:v>41030</c:v>
                </c:pt>
                <c:pt idx="137">
                  <c:v>41061</c:v>
                </c:pt>
                <c:pt idx="138">
                  <c:v>41091</c:v>
                </c:pt>
                <c:pt idx="139">
                  <c:v>41122</c:v>
                </c:pt>
                <c:pt idx="140">
                  <c:v>41153</c:v>
                </c:pt>
                <c:pt idx="141">
                  <c:v>41183</c:v>
                </c:pt>
                <c:pt idx="142">
                  <c:v>41214</c:v>
                </c:pt>
                <c:pt idx="143">
                  <c:v>41244</c:v>
                </c:pt>
                <c:pt idx="144">
                  <c:v>41275</c:v>
                </c:pt>
                <c:pt idx="145">
                  <c:v>41306</c:v>
                </c:pt>
                <c:pt idx="146">
                  <c:v>41334</c:v>
                </c:pt>
                <c:pt idx="147">
                  <c:v>41365</c:v>
                </c:pt>
                <c:pt idx="148">
                  <c:v>41395</c:v>
                </c:pt>
                <c:pt idx="149">
                  <c:v>41426</c:v>
                </c:pt>
                <c:pt idx="150">
                  <c:v>41456</c:v>
                </c:pt>
                <c:pt idx="151">
                  <c:v>41487</c:v>
                </c:pt>
                <c:pt idx="152">
                  <c:v>41518</c:v>
                </c:pt>
                <c:pt idx="153">
                  <c:v>41548</c:v>
                </c:pt>
                <c:pt idx="154">
                  <c:v>41579</c:v>
                </c:pt>
                <c:pt idx="155">
                  <c:v>41609</c:v>
                </c:pt>
                <c:pt idx="156">
                  <c:v>41640</c:v>
                </c:pt>
                <c:pt idx="157">
                  <c:v>41671</c:v>
                </c:pt>
                <c:pt idx="158">
                  <c:v>41699</c:v>
                </c:pt>
                <c:pt idx="159">
                  <c:v>41730</c:v>
                </c:pt>
                <c:pt idx="160">
                  <c:v>41760</c:v>
                </c:pt>
                <c:pt idx="161">
                  <c:v>41791</c:v>
                </c:pt>
              </c:numCache>
            </c:numRef>
          </c:cat>
          <c:val>
            <c:numRef>
              <c:f>Combined!$P$3:$P$167</c:f>
              <c:numCache>
                <c:formatCode>0%</c:formatCode>
                <c:ptCount val="165"/>
                <c:pt idx="0">
                  <c:v>0.167194109689495</c:v>
                </c:pt>
                <c:pt idx="1">
                  <c:v>6.0312599568958403E-2</c:v>
                </c:pt>
                <c:pt idx="2">
                  <c:v>0.15395177560522999</c:v>
                </c:pt>
                <c:pt idx="3">
                  <c:v>0.22139575212493301</c:v>
                </c:pt>
                <c:pt idx="4">
                  <c:v>0.140648491242887</c:v>
                </c:pt>
                <c:pt idx="5">
                  <c:v>0.13567768301421501</c:v>
                </c:pt>
                <c:pt idx="6">
                  <c:v>0.20097791858486599</c:v>
                </c:pt>
                <c:pt idx="7">
                  <c:v>0.1584054679636</c:v>
                </c:pt>
                <c:pt idx="8">
                  <c:v>0.14439401519475001</c:v>
                </c:pt>
                <c:pt idx="9">
                  <c:v>0.15112229107289399</c:v>
                </c:pt>
                <c:pt idx="10">
                  <c:v>0.16696236742484499</c:v>
                </c:pt>
                <c:pt idx="11">
                  <c:v>0.161608329402323</c:v>
                </c:pt>
                <c:pt idx="12">
                  <c:v>0.17944407635182699</c:v>
                </c:pt>
                <c:pt idx="13">
                  <c:v>0.20537499514264601</c:v>
                </c:pt>
                <c:pt idx="14">
                  <c:v>0.144535608242021</c:v>
                </c:pt>
                <c:pt idx="15">
                  <c:v>0.16473669703013</c:v>
                </c:pt>
                <c:pt idx="16">
                  <c:v>0.159448961978714</c:v>
                </c:pt>
                <c:pt idx="17">
                  <c:v>0.156428614364404</c:v>
                </c:pt>
                <c:pt idx="18">
                  <c:v>0.15865847243828299</c:v>
                </c:pt>
                <c:pt idx="19">
                  <c:v>0.17146336827393699</c:v>
                </c:pt>
                <c:pt idx="20">
                  <c:v>0.1454841562916</c:v>
                </c:pt>
                <c:pt idx="21">
                  <c:v>0.16746507397906901</c:v>
                </c:pt>
                <c:pt idx="22">
                  <c:v>0.16982398823518299</c:v>
                </c:pt>
                <c:pt idx="23">
                  <c:v>0.16276849290892201</c:v>
                </c:pt>
                <c:pt idx="24">
                  <c:v>0.16775654153570499</c:v>
                </c:pt>
                <c:pt idx="25">
                  <c:v>0.18075138999439999</c:v>
                </c:pt>
                <c:pt idx="26">
                  <c:v>0.16035070692605499</c:v>
                </c:pt>
                <c:pt idx="27">
                  <c:v>0.17559151571839901</c:v>
                </c:pt>
                <c:pt idx="28">
                  <c:v>0.16358467779274199</c:v>
                </c:pt>
                <c:pt idx="29">
                  <c:v>0.14231665535446</c:v>
                </c:pt>
                <c:pt idx="30">
                  <c:v>0.159882246615553</c:v>
                </c:pt>
                <c:pt idx="31">
                  <c:v>0.14688137359584499</c:v>
                </c:pt>
                <c:pt idx="32">
                  <c:v>0.16284232673965801</c:v>
                </c:pt>
                <c:pt idx="33">
                  <c:v>0.148546101805795</c:v>
                </c:pt>
                <c:pt idx="34">
                  <c:v>0.14959090665074701</c:v>
                </c:pt>
                <c:pt idx="35">
                  <c:v>0.15671454187633499</c:v>
                </c:pt>
                <c:pt idx="36">
                  <c:v>0.137808189946728</c:v>
                </c:pt>
                <c:pt idx="37">
                  <c:v>0.16960729935911201</c:v>
                </c:pt>
                <c:pt idx="38">
                  <c:v>0.15180675739884</c:v>
                </c:pt>
                <c:pt idx="39">
                  <c:v>0.15471126050058301</c:v>
                </c:pt>
                <c:pt idx="40">
                  <c:v>0.141497236124978</c:v>
                </c:pt>
                <c:pt idx="41">
                  <c:v>0.14501537710290999</c:v>
                </c:pt>
                <c:pt idx="42">
                  <c:v>0.16887105418517101</c:v>
                </c:pt>
                <c:pt idx="43">
                  <c:v>0.16018615188177601</c:v>
                </c:pt>
                <c:pt idx="44">
                  <c:v>0.14284927932894501</c:v>
                </c:pt>
                <c:pt idx="45">
                  <c:v>0.157532688610621</c:v>
                </c:pt>
                <c:pt idx="46">
                  <c:v>0.14900813209247801</c:v>
                </c:pt>
                <c:pt idx="47">
                  <c:v>0.15239406104112299</c:v>
                </c:pt>
                <c:pt idx="48">
                  <c:v>0.169737150029107</c:v>
                </c:pt>
                <c:pt idx="49">
                  <c:v>0.17422479188242301</c:v>
                </c:pt>
                <c:pt idx="50">
                  <c:v>0.141470479961356</c:v>
                </c:pt>
                <c:pt idx="51">
                  <c:v>0.141941037502269</c:v>
                </c:pt>
                <c:pt idx="52">
                  <c:v>0.158937503229854</c:v>
                </c:pt>
                <c:pt idx="53">
                  <c:v>0.14723833577173501</c:v>
                </c:pt>
                <c:pt idx="54">
                  <c:v>0.148538738373304</c:v>
                </c:pt>
                <c:pt idx="55">
                  <c:v>0.15690723760292299</c:v>
                </c:pt>
                <c:pt idx="56">
                  <c:v>0.14531816865743499</c:v>
                </c:pt>
                <c:pt idx="57">
                  <c:v>0.13950681533510001</c:v>
                </c:pt>
                <c:pt idx="58">
                  <c:v>0.158090442517901</c:v>
                </c:pt>
                <c:pt idx="59">
                  <c:v>0.14648422503922601</c:v>
                </c:pt>
                <c:pt idx="60">
                  <c:v>0.161739236116024</c:v>
                </c:pt>
                <c:pt idx="61">
                  <c:v>0.14713359775881299</c:v>
                </c:pt>
                <c:pt idx="62">
                  <c:v>0.153903509916826</c:v>
                </c:pt>
                <c:pt idx="63">
                  <c:v>0.16927235667726001</c:v>
                </c:pt>
                <c:pt idx="64">
                  <c:v>0.15615516296239901</c:v>
                </c:pt>
                <c:pt idx="65">
                  <c:v>0.16107816687947701</c:v>
                </c:pt>
                <c:pt idx="66">
                  <c:v>0.16320290962662601</c:v>
                </c:pt>
                <c:pt idx="67">
                  <c:v>0.14841142261023399</c:v>
                </c:pt>
                <c:pt idx="68">
                  <c:v>0.15891250943520999</c:v>
                </c:pt>
                <c:pt idx="69">
                  <c:v>0.16949384723149999</c:v>
                </c:pt>
                <c:pt idx="70">
                  <c:v>0.17482560608297501</c:v>
                </c:pt>
                <c:pt idx="71">
                  <c:v>0.16882030079881599</c:v>
                </c:pt>
                <c:pt idx="72">
                  <c:v>0.16922421194831799</c:v>
                </c:pt>
                <c:pt idx="73">
                  <c:v>0.16086273470763601</c:v>
                </c:pt>
                <c:pt idx="74">
                  <c:v>0.148861336311021</c:v>
                </c:pt>
                <c:pt idx="75">
                  <c:v>0.14432989049421899</c:v>
                </c:pt>
                <c:pt idx="76">
                  <c:v>0.14380369201895701</c:v>
                </c:pt>
                <c:pt idx="77">
                  <c:v>0.131248229333881</c:v>
                </c:pt>
                <c:pt idx="78">
                  <c:v>0.146410641449878</c:v>
                </c:pt>
                <c:pt idx="79">
                  <c:v>0.13844698985944701</c:v>
                </c:pt>
                <c:pt idx="80">
                  <c:v>0.115143854713146</c:v>
                </c:pt>
                <c:pt idx="81">
                  <c:v>0.14116016302267101</c:v>
                </c:pt>
                <c:pt idx="82">
                  <c:v>0.12668544959628</c:v>
                </c:pt>
                <c:pt idx="83">
                  <c:v>0.14348263542531001</c:v>
                </c:pt>
                <c:pt idx="84">
                  <c:v>0.13383910696123499</c:v>
                </c:pt>
                <c:pt idx="85">
                  <c:v>0.12956239127890301</c:v>
                </c:pt>
                <c:pt idx="86">
                  <c:v>0.131263859875386</c:v>
                </c:pt>
                <c:pt idx="87">
                  <c:v>0.10630523668122301</c:v>
                </c:pt>
                <c:pt idx="88">
                  <c:v>0.108000823849544</c:v>
                </c:pt>
                <c:pt idx="89">
                  <c:v>0.108813481978368</c:v>
                </c:pt>
                <c:pt idx="90">
                  <c:v>0.10451130237732301</c:v>
                </c:pt>
                <c:pt idx="91">
                  <c:v>0.109094023575764</c:v>
                </c:pt>
                <c:pt idx="92">
                  <c:v>0.100646133269711</c:v>
                </c:pt>
                <c:pt idx="93">
                  <c:v>0.102771143173453</c:v>
                </c:pt>
                <c:pt idx="94">
                  <c:v>0.11043382912913099</c:v>
                </c:pt>
                <c:pt idx="95">
                  <c:v>0.11336066713460299</c:v>
                </c:pt>
                <c:pt idx="96">
                  <c:v>0.106600834813091</c:v>
                </c:pt>
                <c:pt idx="97">
                  <c:v>0.106802236977947</c:v>
                </c:pt>
                <c:pt idx="98">
                  <c:v>0.107396756538814</c:v>
                </c:pt>
                <c:pt idx="99">
                  <c:v>0.107768313184571</c:v>
                </c:pt>
                <c:pt idx="100">
                  <c:v>0.10360356933975599</c:v>
                </c:pt>
                <c:pt idx="101">
                  <c:v>0.101141642833508</c:v>
                </c:pt>
                <c:pt idx="102">
                  <c:v>9.5396648633925496E-2</c:v>
                </c:pt>
                <c:pt idx="103">
                  <c:v>9.4321661320534295E-2</c:v>
                </c:pt>
                <c:pt idx="104">
                  <c:v>8.0594081651761296E-2</c:v>
                </c:pt>
                <c:pt idx="105">
                  <c:v>8.5979428811575803E-2</c:v>
                </c:pt>
                <c:pt idx="106">
                  <c:v>8.7144914595016304E-2</c:v>
                </c:pt>
                <c:pt idx="107">
                  <c:v>7.973594890796E-2</c:v>
                </c:pt>
                <c:pt idx="108">
                  <c:v>7.4491136389630397E-2</c:v>
                </c:pt>
                <c:pt idx="109">
                  <c:v>7.9563128951605694E-2</c:v>
                </c:pt>
                <c:pt idx="110">
                  <c:v>8.50694897515165E-2</c:v>
                </c:pt>
                <c:pt idx="111">
                  <c:v>8.3356405802850697E-2</c:v>
                </c:pt>
                <c:pt idx="112">
                  <c:v>8.0875360140406305E-2</c:v>
                </c:pt>
                <c:pt idx="113">
                  <c:v>7.8426092588853302E-2</c:v>
                </c:pt>
                <c:pt idx="114">
                  <c:v>7.2983533288583494E-2</c:v>
                </c:pt>
                <c:pt idx="115">
                  <c:v>7.6661936808071499E-2</c:v>
                </c:pt>
                <c:pt idx="116">
                  <c:v>7.8806089952748598E-2</c:v>
                </c:pt>
                <c:pt idx="117">
                  <c:v>7.7801892279923096E-2</c:v>
                </c:pt>
                <c:pt idx="118">
                  <c:v>8.0566801066414895E-2</c:v>
                </c:pt>
                <c:pt idx="119">
                  <c:v>7.9834196873487903E-2</c:v>
                </c:pt>
                <c:pt idx="120">
                  <c:v>7.56654984132243E-2</c:v>
                </c:pt>
                <c:pt idx="121">
                  <c:v>7.8637594191881502E-2</c:v>
                </c:pt>
                <c:pt idx="122">
                  <c:v>6.7829256927320197E-2</c:v>
                </c:pt>
                <c:pt idx="123">
                  <c:v>7.1358905610673096E-2</c:v>
                </c:pt>
                <c:pt idx="124">
                  <c:v>7.1027151065055902E-2</c:v>
                </c:pt>
                <c:pt idx="125">
                  <c:v>7.2026086112465401E-2</c:v>
                </c:pt>
                <c:pt idx="126">
                  <c:v>6.9916897252187998E-2</c:v>
                </c:pt>
                <c:pt idx="127">
                  <c:v>7.2455532802235198E-2</c:v>
                </c:pt>
                <c:pt idx="128">
                  <c:v>6.7054949420299603E-2</c:v>
                </c:pt>
                <c:pt idx="129">
                  <c:v>6.9080811953630097E-2</c:v>
                </c:pt>
                <c:pt idx="130">
                  <c:v>6.3715342521815599E-2</c:v>
                </c:pt>
                <c:pt idx="131">
                  <c:v>6.8641969646864295E-2</c:v>
                </c:pt>
                <c:pt idx="132">
                  <c:v>7.0058617738965906E-2</c:v>
                </c:pt>
                <c:pt idx="133">
                  <c:v>7.3281639211731503E-2</c:v>
                </c:pt>
                <c:pt idx="134">
                  <c:v>7.2239558406990895E-2</c:v>
                </c:pt>
                <c:pt idx="135">
                  <c:v>7.0682450211461106E-2</c:v>
                </c:pt>
                <c:pt idx="136">
                  <c:v>7.1264556468385407E-2</c:v>
                </c:pt>
                <c:pt idx="137">
                  <c:v>6.6942566610322496E-2</c:v>
                </c:pt>
                <c:pt idx="138">
                  <c:v>6.8904004610346903E-2</c:v>
                </c:pt>
                <c:pt idx="139">
                  <c:v>7.1021885796296202E-2</c:v>
                </c:pt>
                <c:pt idx="140">
                  <c:v>6.9528429367593195E-2</c:v>
                </c:pt>
                <c:pt idx="141">
                  <c:v>6.9786466662354898E-2</c:v>
                </c:pt>
                <c:pt idx="142">
                  <c:v>6.8042360414227093E-2</c:v>
                </c:pt>
                <c:pt idx="143">
                  <c:v>7.02055252942234E-2</c:v>
                </c:pt>
                <c:pt idx="144">
                  <c:v>6.6699008610280996E-2</c:v>
                </c:pt>
                <c:pt idx="145">
                  <c:v>7.0105543611052701E-2</c:v>
                </c:pt>
                <c:pt idx="146">
                  <c:v>6.6743435481239496E-2</c:v>
                </c:pt>
                <c:pt idx="147">
                  <c:v>6.95972801417718E-2</c:v>
                </c:pt>
                <c:pt idx="148">
                  <c:v>6.9484902537301996E-2</c:v>
                </c:pt>
                <c:pt idx="149">
                  <c:v>6.95236811977194E-2</c:v>
                </c:pt>
                <c:pt idx="150">
                  <c:v>6.8049508266251196E-2</c:v>
                </c:pt>
                <c:pt idx="151">
                  <c:v>6.6101011948867999E-2</c:v>
                </c:pt>
                <c:pt idx="152">
                  <c:v>7.0454579977387494E-2</c:v>
                </c:pt>
                <c:pt idx="153">
                  <c:v>6.7118329174310501E-2</c:v>
                </c:pt>
                <c:pt idx="154">
                  <c:v>6.7650381096313494E-2</c:v>
                </c:pt>
                <c:pt idx="155">
                  <c:v>7.0414169278535499E-2</c:v>
                </c:pt>
                <c:pt idx="156">
                  <c:v>6.6679902589791201E-2</c:v>
                </c:pt>
                <c:pt idx="157">
                  <c:v>7.0505548413392793E-2</c:v>
                </c:pt>
                <c:pt idx="158">
                  <c:v>6.6753608119479294E-2</c:v>
                </c:pt>
                <c:pt idx="159">
                  <c:v>6.7891748845771593E-2</c:v>
                </c:pt>
                <c:pt idx="160">
                  <c:v>6.4482994088018497E-2</c:v>
                </c:pt>
                <c:pt idx="161">
                  <c:v>6.8409344373506001E-2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39386752"/>
        <c:axId val="346182400"/>
      </c:lineChart>
      <c:dateAx>
        <c:axId val="339386752"/>
        <c:scaling>
          <c:orientation val="minMax"/>
        </c:scaling>
        <c:delete val="0"/>
        <c:axPos val="b"/>
        <c:numFmt formatCode="m/d/yyyy" sourceLinked="1"/>
        <c:majorTickMark val="out"/>
        <c:minorTickMark val="none"/>
        <c:tickLblPos val="nextTo"/>
        <c:crossAx val="346182400"/>
        <c:crosses val="autoZero"/>
        <c:auto val="1"/>
        <c:lblOffset val="100"/>
        <c:baseTimeUnit val="months"/>
      </c:dateAx>
      <c:valAx>
        <c:axId val="346182400"/>
        <c:scaling>
          <c:orientation val="minMax"/>
        </c:scaling>
        <c:delete val="0"/>
        <c:axPos val="l"/>
        <c:majorGridlines/>
        <c:numFmt formatCode="0%" sourceLinked="1"/>
        <c:majorTickMark val="out"/>
        <c:minorTickMark val="none"/>
        <c:tickLblPos val="nextTo"/>
        <c:crossAx val="339386752"/>
        <c:crosses val="autoZero"/>
        <c:crossBetween val="between"/>
      </c:valAx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Combined!$S$1:$S$2</c:f>
              <c:strCache>
                <c:ptCount val="1"/>
                <c:pt idx="0">
                  <c:v>expenses FHL</c:v>
                </c:pt>
              </c:strCache>
            </c:strRef>
          </c:tx>
          <c:marker>
            <c:symbol val="none"/>
          </c:marker>
          <c:cat>
            <c:numRef>
              <c:f>Combined!$R$3:$R$167</c:f>
              <c:numCache>
                <c:formatCode>m/d/yyyy</c:formatCode>
                <c:ptCount val="165"/>
                <c:pt idx="0">
                  <c:v>36892</c:v>
                </c:pt>
                <c:pt idx="1">
                  <c:v>36923</c:v>
                </c:pt>
                <c:pt idx="2">
                  <c:v>36951</c:v>
                </c:pt>
                <c:pt idx="3">
                  <c:v>36982</c:v>
                </c:pt>
                <c:pt idx="4">
                  <c:v>37012</c:v>
                </c:pt>
                <c:pt idx="5">
                  <c:v>37043</c:v>
                </c:pt>
                <c:pt idx="6">
                  <c:v>37073</c:v>
                </c:pt>
                <c:pt idx="7">
                  <c:v>37104</c:v>
                </c:pt>
                <c:pt idx="8">
                  <c:v>37135</c:v>
                </c:pt>
                <c:pt idx="9">
                  <c:v>37165</c:v>
                </c:pt>
                <c:pt idx="10">
                  <c:v>37196</c:v>
                </c:pt>
                <c:pt idx="11">
                  <c:v>37226</c:v>
                </c:pt>
                <c:pt idx="12">
                  <c:v>37257</c:v>
                </c:pt>
                <c:pt idx="13">
                  <c:v>37288</c:v>
                </c:pt>
                <c:pt idx="14">
                  <c:v>37316</c:v>
                </c:pt>
                <c:pt idx="15">
                  <c:v>37347</c:v>
                </c:pt>
                <c:pt idx="16">
                  <c:v>37377</c:v>
                </c:pt>
                <c:pt idx="17">
                  <c:v>37408</c:v>
                </c:pt>
                <c:pt idx="18">
                  <c:v>37438</c:v>
                </c:pt>
                <c:pt idx="19">
                  <c:v>37469</c:v>
                </c:pt>
                <c:pt idx="20">
                  <c:v>37500</c:v>
                </c:pt>
                <c:pt idx="21">
                  <c:v>37530</c:v>
                </c:pt>
                <c:pt idx="22">
                  <c:v>37561</c:v>
                </c:pt>
                <c:pt idx="23">
                  <c:v>37591</c:v>
                </c:pt>
                <c:pt idx="24">
                  <c:v>37622</c:v>
                </c:pt>
                <c:pt idx="25">
                  <c:v>37653</c:v>
                </c:pt>
                <c:pt idx="26">
                  <c:v>37681</c:v>
                </c:pt>
                <c:pt idx="27">
                  <c:v>37712</c:v>
                </c:pt>
                <c:pt idx="28">
                  <c:v>37742</c:v>
                </c:pt>
                <c:pt idx="29">
                  <c:v>37773</c:v>
                </c:pt>
                <c:pt idx="30">
                  <c:v>37803</c:v>
                </c:pt>
                <c:pt idx="31">
                  <c:v>37834</c:v>
                </c:pt>
                <c:pt idx="32">
                  <c:v>37865</c:v>
                </c:pt>
                <c:pt idx="33">
                  <c:v>37895</c:v>
                </c:pt>
                <c:pt idx="34">
                  <c:v>37926</c:v>
                </c:pt>
                <c:pt idx="35">
                  <c:v>37956</c:v>
                </c:pt>
                <c:pt idx="36">
                  <c:v>37987</c:v>
                </c:pt>
                <c:pt idx="37">
                  <c:v>38018</c:v>
                </c:pt>
                <c:pt idx="38">
                  <c:v>38047</c:v>
                </c:pt>
                <c:pt idx="39">
                  <c:v>38078</c:v>
                </c:pt>
                <c:pt idx="40">
                  <c:v>38108</c:v>
                </c:pt>
                <c:pt idx="41">
                  <c:v>38139</c:v>
                </c:pt>
                <c:pt idx="42">
                  <c:v>38169</c:v>
                </c:pt>
                <c:pt idx="43">
                  <c:v>38200</c:v>
                </c:pt>
                <c:pt idx="44">
                  <c:v>38231</c:v>
                </c:pt>
                <c:pt idx="45">
                  <c:v>38261</c:v>
                </c:pt>
                <c:pt idx="46">
                  <c:v>38292</c:v>
                </c:pt>
                <c:pt idx="47">
                  <c:v>38322</c:v>
                </c:pt>
                <c:pt idx="48">
                  <c:v>38353</c:v>
                </c:pt>
                <c:pt idx="49">
                  <c:v>38384</c:v>
                </c:pt>
                <c:pt idx="50">
                  <c:v>38412</c:v>
                </c:pt>
                <c:pt idx="51">
                  <c:v>38443</c:v>
                </c:pt>
                <c:pt idx="52">
                  <c:v>38473</c:v>
                </c:pt>
                <c:pt idx="53">
                  <c:v>38504</c:v>
                </c:pt>
                <c:pt idx="54">
                  <c:v>38534</c:v>
                </c:pt>
                <c:pt idx="55">
                  <c:v>38565</c:v>
                </c:pt>
                <c:pt idx="56">
                  <c:v>38596</c:v>
                </c:pt>
                <c:pt idx="57">
                  <c:v>38626</c:v>
                </c:pt>
                <c:pt idx="58">
                  <c:v>38657</c:v>
                </c:pt>
                <c:pt idx="59">
                  <c:v>38687</c:v>
                </c:pt>
                <c:pt idx="60">
                  <c:v>38718</c:v>
                </c:pt>
                <c:pt idx="61">
                  <c:v>38749</c:v>
                </c:pt>
                <c:pt idx="62">
                  <c:v>38777</c:v>
                </c:pt>
                <c:pt idx="63">
                  <c:v>38808</c:v>
                </c:pt>
                <c:pt idx="64">
                  <c:v>38838</c:v>
                </c:pt>
                <c:pt idx="65">
                  <c:v>38869</c:v>
                </c:pt>
                <c:pt idx="66">
                  <c:v>38899</c:v>
                </c:pt>
                <c:pt idx="67">
                  <c:v>38930</c:v>
                </c:pt>
                <c:pt idx="68">
                  <c:v>38961</c:v>
                </c:pt>
                <c:pt idx="69">
                  <c:v>38991</c:v>
                </c:pt>
                <c:pt idx="70">
                  <c:v>39022</c:v>
                </c:pt>
                <c:pt idx="71">
                  <c:v>39052</c:v>
                </c:pt>
                <c:pt idx="72">
                  <c:v>39083</c:v>
                </c:pt>
                <c:pt idx="73">
                  <c:v>39114</c:v>
                </c:pt>
                <c:pt idx="74">
                  <c:v>39142</c:v>
                </c:pt>
                <c:pt idx="75">
                  <c:v>39173</c:v>
                </c:pt>
                <c:pt idx="76">
                  <c:v>39203</c:v>
                </c:pt>
                <c:pt idx="77">
                  <c:v>39234</c:v>
                </c:pt>
                <c:pt idx="78">
                  <c:v>39264</c:v>
                </c:pt>
                <c:pt idx="79">
                  <c:v>39295</c:v>
                </c:pt>
                <c:pt idx="80">
                  <c:v>39326</c:v>
                </c:pt>
                <c:pt idx="81">
                  <c:v>39356</c:v>
                </c:pt>
                <c:pt idx="82">
                  <c:v>39387</c:v>
                </c:pt>
                <c:pt idx="83">
                  <c:v>39417</c:v>
                </c:pt>
                <c:pt idx="84">
                  <c:v>39448</c:v>
                </c:pt>
                <c:pt idx="85">
                  <c:v>39479</c:v>
                </c:pt>
                <c:pt idx="86">
                  <c:v>39508</c:v>
                </c:pt>
                <c:pt idx="87">
                  <c:v>39539</c:v>
                </c:pt>
                <c:pt idx="88">
                  <c:v>39569</c:v>
                </c:pt>
                <c:pt idx="89">
                  <c:v>39600</c:v>
                </c:pt>
                <c:pt idx="90">
                  <c:v>39630</c:v>
                </c:pt>
                <c:pt idx="91">
                  <c:v>39661</c:v>
                </c:pt>
                <c:pt idx="92">
                  <c:v>39692</c:v>
                </c:pt>
                <c:pt idx="93">
                  <c:v>39722</c:v>
                </c:pt>
                <c:pt idx="94">
                  <c:v>39753</c:v>
                </c:pt>
                <c:pt idx="95">
                  <c:v>39783</c:v>
                </c:pt>
                <c:pt idx="96">
                  <c:v>39814</c:v>
                </c:pt>
                <c:pt idx="97">
                  <c:v>39845</c:v>
                </c:pt>
                <c:pt idx="98">
                  <c:v>39873</c:v>
                </c:pt>
                <c:pt idx="99">
                  <c:v>39904</c:v>
                </c:pt>
                <c:pt idx="100">
                  <c:v>39934</c:v>
                </c:pt>
                <c:pt idx="101">
                  <c:v>39965</c:v>
                </c:pt>
                <c:pt idx="102">
                  <c:v>39995</c:v>
                </c:pt>
                <c:pt idx="103">
                  <c:v>40026</c:v>
                </c:pt>
                <c:pt idx="104">
                  <c:v>40057</c:v>
                </c:pt>
                <c:pt idx="105">
                  <c:v>40087</c:v>
                </c:pt>
                <c:pt idx="106">
                  <c:v>40118</c:v>
                </c:pt>
                <c:pt idx="107">
                  <c:v>40148</c:v>
                </c:pt>
                <c:pt idx="108">
                  <c:v>40179</c:v>
                </c:pt>
                <c:pt idx="109">
                  <c:v>40210</c:v>
                </c:pt>
                <c:pt idx="110">
                  <c:v>40238</c:v>
                </c:pt>
                <c:pt idx="111">
                  <c:v>40269</c:v>
                </c:pt>
                <c:pt idx="112">
                  <c:v>40299</c:v>
                </c:pt>
                <c:pt idx="113">
                  <c:v>40330</c:v>
                </c:pt>
                <c:pt idx="114">
                  <c:v>40360</c:v>
                </c:pt>
                <c:pt idx="115">
                  <c:v>40391</c:v>
                </c:pt>
                <c:pt idx="116">
                  <c:v>40422</c:v>
                </c:pt>
                <c:pt idx="117">
                  <c:v>40452</c:v>
                </c:pt>
                <c:pt idx="118">
                  <c:v>40483</c:v>
                </c:pt>
                <c:pt idx="119">
                  <c:v>40513</c:v>
                </c:pt>
                <c:pt idx="120">
                  <c:v>40544</c:v>
                </c:pt>
                <c:pt idx="121">
                  <c:v>40575</c:v>
                </c:pt>
                <c:pt idx="122">
                  <c:v>40603</c:v>
                </c:pt>
                <c:pt idx="123">
                  <c:v>40634</c:v>
                </c:pt>
                <c:pt idx="124">
                  <c:v>40664</c:v>
                </c:pt>
                <c:pt idx="125">
                  <c:v>40695</c:v>
                </c:pt>
                <c:pt idx="126">
                  <c:v>40725</c:v>
                </c:pt>
                <c:pt idx="127">
                  <c:v>40756</c:v>
                </c:pt>
                <c:pt idx="128">
                  <c:v>40787</c:v>
                </c:pt>
                <c:pt idx="129">
                  <c:v>40817</c:v>
                </c:pt>
                <c:pt idx="130">
                  <c:v>40848</c:v>
                </c:pt>
                <c:pt idx="131">
                  <c:v>40878</c:v>
                </c:pt>
                <c:pt idx="132">
                  <c:v>40909</c:v>
                </c:pt>
                <c:pt idx="133">
                  <c:v>40940</c:v>
                </c:pt>
                <c:pt idx="134">
                  <c:v>40969</c:v>
                </c:pt>
                <c:pt idx="135">
                  <c:v>41000</c:v>
                </c:pt>
                <c:pt idx="136">
                  <c:v>41030</c:v>
                </c:pt>
                <c:pt idx="137">
                  <c:v>41061</c:v>
                </c:pt>
                <c:pt idx="138">
                  <c:v>41091</c:v>
                </c:pt>
                <c:pt idx="139">
                  <c:v>41122</c:v>
                </c:pt>
                <c:pt idx="140">
                  <c:v>41153</c:v>
                </c:pt>
                <c:pt idx="141">
                  <c:v>41183</c:v>
                </c:pt>
                <c:pt idx="142">
                  <c:v>41214</c:v>
                </c:pt>
                <c:pt idx="143">
                  <c:v>41244</c:v>
                </c:pt>
                <c:pt idx="144">
                  <c:v>41275</c:v>
                </c:pt>
                <c:pt idx="145">
                  <c:v>41306</c:v>
                </c:pt>
                <c:pt idx="146">
                  <c:v>41334</c:v>
                </c:pt>
                <c:pt idx="147">
                  <c:v>41365</c:v>
                </c:pt>
                <c:pt idx="148">
                  <c:v>41395</c:v>
                </c:pt>
                <c:pt idx="149">
                  <c:v>41426</c:v>
                </c:pt>
                <c:pt idx="150">
                  <c:v>41456</c:v>
                </c:pt>
                <c:pt idx="151">
                  <c:v>41487</c:v>
                </c:pt>
                <c:pt idx="152">
                  <c:v>41518</c:v>
                </c:pt>
                <c:pt idx="153">
                  <c:v>41548</c:v>
                </c:pt>
                <c:pt idx="154">
                  <c:v>41579</c:v>
                </c:pt>
                <c:pt idx="155">
                  <c:v>41609</c:v>
                </c:pt>
                <c:pt idx="156">
                  <c:v>41640</c:v>
                </c:pt>
                <c:pt idx="157">
                  <c:v>41671</c:v>
                </c:pt>
                <c:pt idx="158">
                  <c:v>41699</c:v>
                </c:pt>
                <c:pt idx="159">
                  <c:v>41730</c:v>
                </c:pt>
                <c:pt idx="160">
                  <c:v>41760</c:v>
                </c:pt>
                <c:pt idx="161">
                  <c:v>41791</c:v>
                </c:pt>
              </c:numCache>
            </c:numRef>
          </c:cat>
          <c:val>
            <c:numRef>
              <c:f>Combined!$S$3:$S$167</c:f>
              <c:numCache>
                <c:formatCode>0%</c:formatCode>
                <c:ptCount val="165"/>
                <c:pt idx="0">
                  <c:v>5.0292646341945101E-2</c:v>
                </c:pt>
                <c:pt idx="1">
                  <c:v>5.3613517183156802E-2</c:v>
                </c:pt>
                <c:pt idx="2">
                  <c:v>4.6337984240149399E-2</c:v>
                </c:pt>
                <c:pt idx="3">
                  <c:v>5.7232240699292898E-2</c:v>
                </c:pt>
                <c:pt idx="4">
                  <c:v>4.8647285463548698E-2</c:v>
                </c:pt>
                <c:pt idx="5">
                  <c:v>5.13852408761147E-2</c:v>
                </c:pt>
                <c:pt idx="6">
                  <c:v>5.6009229257843803E-2</c:v>
                </c:pt>
                <c:pt idx="7">
                  <c:v>5.5780746800368999E-2</c:v>
                </c:pt>
                <c:pt idx="8">
                  <c:v>5.7501692020250003E-2</c:v>
                </c:pt>
                <c:pt idx="9">
                  <c:v>5.39924029446519E-2</c:v>
                </c:pt>
                <c:pt idx="10">
                  <c:v>6.2849904846346102E-2</c:v>
                </c:pt>
                <c:pt idx="11">
                  <c:v>6.359264634266E-2</c:v>
                </c:pt>
                <c:pt idx="12">
                  <c:v>5.7615114227848201E-2</c:v>
                </c:pt>
                <c:pt idx="13">
                  <c:v>5.7877795629502897E-2</c:v>
                </c:pt>
                <c:pt idx="14">
                  <c:v>5.9242624090797898E-2</c:v>
                </c:pt>
                <c:pt idx="15">
                  <c:v>6.0552751159708401E-2</c:v>
                </c:pt>
                <c:pt idx="16">
                  <c:v>6.6909637121992896E-2</c:v>
                </c:pt>
                <c:pt idx="17">
                  <c:v>6.4214324302892395E-2</c:v>
                </c:pt>
                <c:pt idx="18">
                  <c:v>6.1280232674208401E-2</c:v>
                </c:pt>
                <c:pt idx="19">
                  <c:v>6.4766783966035094E-2</c:v>
                </c:pt>
                <c:pt idx="20">
                  <c:v>7.4617540639325797E-2</c:v>
                </c:pt>
                <c:pt idx="21">
                  <c:v>6.67522610049823E-2</c:v>
                </c:pt>
                <c:pt idx="22">
                  <c:v>6.9784412105886498E-2</c:v>
                </c:pt>
                <c:pt idx="23">
                  <c:v>6.82433600447762E-2</c:v>
                </c:pt>
                <c:pt idx="24">
                  <c:v>6.6515196813954403E-2</c:v>
                </c:pt>
                <c:pt idx="25">
                  <c:v>6.7327881317084795E-2</c:v>
                </c:pt>
                <c:pt idx="26">
                  <c:v>6.9293165880438296E-2</c:v>
                </c:pt>
                <c:pt idx="27">
                  <c:v>6.5955471639046401E-2</c:v>
                </c:pt>
                <c:pt idx="28">
                  <c:v>6.3743091421152795E-2</c:v>
                </c:pt>
                <c:pt idx="29">
                  <c:v>6.7448145264804304E-2</c:v>
                </c:pt>
                <c:pt idx="30">
                  <c:v>6.5314368612472404E-2</c:v>
                </c:pt>
                <c:pt idx="31">
                  <c:v>6.9331459148933197E-2</c:v>
                </c:pt>
                <c:pt idx="32">
                  <c:v>6.9105729090864695E-2</c:v>
                </c:pt>
                <c:pt idx="33">
                  <c:v>7.5871471161266898E-2</c:v>
                </c:pt>
                <c:pt idx="34">
                  <c:v>7.5831397885690002E-2</c:v>
                </c:pt>
                <c:pt idx="35">
                  <c:v>7.5151910013974393E-2</c:v>
                </c:pt>
                <c:pt idx="36">
                  <c:v>6.8800975602797604E-2</c:v>
                </c:pt>
                <c:pt idx="37">
                  <c:v>7.1449253533868398E-2</c:v>
                </c:pt>
                <c:pt idx="38">
                  <c:v>7.0261719237324397E-2</c:v>
                </c:pt>
                <c:pt idx="39">
                  <c:v>7.7240691694485095E-2</c:v>
                </c:pt>
                <c:pt idx="40">
                  <c:v>7.7462395836395706E-2</c:v>
                </c:pt>
                <c:pt idx="41">
                  <c:v>7.6800636701862102E-2</c:v>
                </c:pt>
                <c:pt idx="42">
                  <c:v>7.6938935300006395E-2</c:v>
                </c:pt>
                <c:pt idx="43">
                  <c:v>7.7380772063722306E-2</c:v>
                </c:pt>
                <c:pt idx="44">
                  <c:v>8.1175100856483301E-2</c:v>
                </c:pt>
                <c:pt idx="45">
                  <c:v>8.0090982708782704E-2</c:v>
                </c:pt>
                <c:pt idx="46">
                  <c:v>8.2057101235695901E-2</c:v>
                </c:pt>
                <c:pt idx="47">
                  <c:v>8.83945212836761E-2</c:v>
                </c:pt>
                <c:pt idx="48">
                  <c:v>8.5543242843435494E-2</c:v>
                </c:pt>
                <c:pt idx="49">
                  <c:v>9.0438851346145405E-2</c:v>
                </c:pt>
                <c:pt idx="50">
                  <c:v>8.94277778714542E-2</c:v>
                </c:pt>
                <c:pt idx="51">
                  <c:v>9.3576861781285603E-2</c:v>
                </c:pt>
                <c:pt idx="52">
                  <c:v>9.4107658918168094E-2</c:v>
                </c:pt>
                <c:pt idx="53">
                  <c:v>9.7240416141367594E-2</c:v>
                </c:pt>
                <c:pt idx="54">
                  <c:v>9.5561729803041104E-2</c:v>
                </c:pt>
                <c:pt idx="55">
                  <c:v>9.7877639537478703E-2</c:v>
                </c:pt>
                <c:pt idx="56">
                  <c:v>9.8793413034423794E-2</c:v>
                </c:pt>
                <c:pt idx="57">
                  <c:v>0.10187860898708299</c:v>
                </c:pt>
                <c:pt idx="58">
                  <c:v>0.100257048116629</c:v>
                </c:pt>
                <c:pt idx="59">
                  <c:v>9.9707333917942106E-2</c:v>
                </c:pt>
                <c:pt idx="60">
                  <c:v>9.60755264703263E-2</c:v>
                </c:pt>
                <c:pt idx="61">
                  <c:v>0.10268963535492499</c:v>
                </c:pt>
                <c:pt idx="62">
                  <c:v>0.10223943490611501</c:v>
                </c:pt>
                <c:pt idx="63">
                  <c:v>9.9154458830349998E-2</c:v>
                </c:pt>
                <c:pt idx="64">
                  <c:v>0.100311352724878</c:v>
                </c:pt>
                <c:pt idx="65">
                  <c:v>0.10031134507216</c:v>
                </c:pt>
                <c:pt idx="66">
                  <c:v>0.10302133808851099</c:v>
                </c:pt>
                <c:pt idx="67">
                  <c:v>0.10341396996116101</c:v>
                </c:pt>
                <c:pt idx="68">
                  <c:v>0.102268308234263</c:v>
                </c:pt>
                <c:pt idx="69">
                  <c:v>0.103380667843414</c:v>
                </c:pt>
                <c:pt idx="70">
                  <c:v>0.101112568716101</c:v>
                </c:pt>
                <c:pt idx="71">
                  <c:v>0.10292947478105501</c:v>
                </c:pt>
                <c:pt idx="72">
                  <c:v>8.5911491728031406E-2</c:v>
                </c:pt>
                <c:pt idx="73">
                  <c:v>9.6030505813755204E-2</c:v>
                </c:pt>
                <c:pt idx="74">
                  <c:v>9.7197599446893906E-2</c:v>
                </c:pt>
                <c:pt idx="75">
                  <c:v>9.2859172093641501E-2</c:v>
                </c:pt>
                <c:pt idx="76">
                  <c:v>8.9216457910686206E-2</c:v>
                </c:pt>
                <c:pt idx="77">
                  <c:v>8.9501566896744406E-2</c:v>
                </c:pt>
                <c:pt idx="78">
                  <c:v>9.1327904334346302E-2</c:v>
                </c:pt>
                <c:pt idx="79">
                  <c:v>8.3983023380881497E-2</c:v>
                </c:pt>
                <c:pt idx="80">
                  <c:v>9.8782654084627303E-2</c:v>
                </c:pt>
                <c:pt idx="81">
                  <c:v>8.6719844056918197E-2</c:v>
                </c:pt>
                <c:pt idx="82">
                  <c:v>8.5623719283184005E-2</c:v>
                </c:pt>
                <c:pt idx="83">
                  <c:v>8.3841862474908296E-2</c:v>
                </c:pt>
                <c:pt idx="84">
                  <c:v>7.9798842063263001E-2</c:v>
                </c:pt>
                <c:pt idx="85">
                  <c:v>7.6700365995208505E-2</c:v>
                </c:pt>
                <c:pt idx="86">
                  <c:v>7.7983420683892898E-2</c:v>
                </c:pt>
                <c:pt idx="87">
                  <c:v>7.5007834206809398E-2</c:v>
                </c:pt>
                <c:pt idx="88">
                  <c:v>7.11309459456273E-2</c:v>
                </c:pt>
                <c:pt idx="89">
                  <c:v>7.0150528683315699E-2</c:v>
                </c:pt>
                <c:pt idx="90">
                  <c:v>6.9509230791938506E-2</c:v>
                </c:pt>
                <c:pt idx="91">
                  <c:v>6.9329412860428402E-2</c:v>
                </c:pt>
                <c:pt idx="92">
                  <c:v>6.4985269682751201E-2</c:v>
                </c:pt>
                <c:pt idx="93">
                  <c:v>6.3384376734161904E-2</c:v>
                </c:pt>
                <c:pt idx="94">
                  <c:v>6.4707419911733094E-2</c:v>
                </c:pt>
                <c:pt idx="95">
                  <c:v>6.8639643332675707E-2</c:v>
                </c:pt>
                <c:pt idx="96">
                  <c:v>6.78571533755713E-2</c:v>
                </c:pt>
                <c:pt idx="97">
                  <c:v>6.6040360765635006E-2</c:v>
                </c:pt>
                <c:pt idx="98">
                  <c:v>6.6501773354195701E-2</c:v>
                </c:pt>
                <c:pt idx="99">
                  <c:v>6.2148140614784603E-2</c:v>
                </c:pt>
                <c:pt idx="100">
                  <c:v>6.0220880302871302E-2</c:v>
                </c:pt>
                <c:pt idx="101">
                  <c:v>6.0164096223304202E-2</c:v>
                </c:pt>
                <c:pt idx="102">
                  <c:v>5.6223664551506E-2</c:v>
                </c:pt>
                <c:pt idx="103">
                  <c:v>5.9239267021323497E-2</c:v>
                </c:pt>
                <c:pt idx="104">
                  <c:v>5.9896271713288797E-2</c:v>
                </c:pt>
                <c:pt idx="105">
                  <c:v>6.1919552791901297E-2</c:v>
                </c:pt>
                <c:pt idx="106">
                  <c:v>6.1485577623545798E-2</c:v>
                </c:pt>
                <c:pt idx="107">
                  <c:v>6.3772075328761002E-2</c:v>
                </c:pt>
                <c:pt idx="108">
                  <c:v>6.05093709155115E-2</c:v>
                </c:pt>
                <c:pt idx="109">
                  <c:v>6.3420562940325304E-2</c:v>
                </c:pt>
                <c:pt idx="110">
                  <c:v>6.4193449731103899E-2</c:v>
                </c:pt>
                <c:pt idx="111">
                  <c:v>6.2845694829349805E-2</c:v>
                </c:pt>
                <c:pt idx="112">
                  <c:v>6.3284062207846103E-2</c:v>
                </c:pt>
                <c:pt idx="113">
                  <c:v>5.80935557737789E-2</c:v>
                </c:pt>
                <c:pt idx="114">
                  <c:v>6.3116974643755805E-2</c:v>
                </c:pt>
                <c:pt idx="115">
                  <c:v>6.3979378076414004E-2</c:v>
                </c:pt>
                <c:pt idx="116">
                  <c:v>6.5493184875948005E-2</c:v>
                </c:pt>
                <c:pt idx="117">
                  <c:v>6.4800986632008895E-2</c:v>
                </c:pt>
                <c:pt idx="118">
                  <c:v>6.4709296036825695E-2</c:v>
                </c:pt>
                <c:pt idx="119">
                  <c:v>7.2442109704647095E-2</c:v>
                </c:pt>
                <c:pt idx="120">
                  <c:v>7.4592432111174695E-2</c:v>
                </c:pt>
                <c:pt idx="121">
                  <c:v>7.7734266036483701E-2</c:v>
                </c:pt>
                <c:pt idx="122">
                  <c:v>7.8717070508136894E-2</c:v>
                </c:pt>
                <c:pt idx="123">
                  <c:v>7.4197696990774803E-2</c:v>
                </c:pt>
                <c:pt idx="124">
                  <c:v>7.4958235523294295E-2</c:v>
                </c:pt>
                <c:pt idx="125">
                  <c:v>7.4919235363805403E-2</c:v>
                </c:pt>
                <c:pt idx="126">
                  <c:v>7.4880836527860498E-2</c:v>
                </c:pt>
                <c:pt idx="127">
                  <c:v>7.5943918871103605E-2</c:v>
                </c:pt>
                <c:pt idx="128">
                  <c:v>7.7214527040559797E-2</c:v>
                </c:pt>
                <c:pt idx="129">
                  <c:v>7.9104926093739703E-2</c:v>
                </c:pt>
                <c:pt idx="130">
                  <c:v>8.1056824070220496E-2</c:v>
                </c:pt>
                <c:pt idx="131">
                  <c:v>8.1471949928639195E-2</c:v>
                </c:pt>
                <c:pt idx="132">
                  <c:v>8.4465117641510407E-2</c:v>
                </c:pt>
                <c:pt idx="133">
                  <c:v>8.6473913465087801E-2</c:v>
                </c:pt>
                <c:pt idx="134">
                  <c:v>8.8997784386306802E-2</c:v>
                </c:pt>
                <c:pt idx="135">
                  <c:v>8.7829855513272007E-2</c:v>
                </c:pt>
                <c:pt idx="136">
                  <c:v>8.8615548965548602E-2</c:v>
                </c:pt>
                <c:pt idx="137">
                  <c:v>8.8531336187911605E-2</c:v>
                </c:pt>
                <c:pt idx="138">
                  <c:v>8.7858638912528E-2</c:v>
                </c:pt>
                <c:pt idx="139">
                  <c:v>8.8989079622300404E-2</c:v>
                </c:pt>
                <c:pt idx="140">
                  <c:v>9.0701561123328195E-2</c:v>
                </c:pt>
                <c:pt idx="141">
                  <c:v>9.2099231919233193E-2</c:v>
                </c:pt>
                <c:pt idx="142">
                  <c:v>9.51025313641298E-2</c:v>
                </c:pt>
                <c:pt idx="143">
                  <c:v>9.4608510341414903E-2</c:v>
                </c:pt>
                <c:pt idx="144">
                  <c:v>0.104527525119694</c:v>
                </c:pt>
                <c:pt idx="145">
                  <c:v>0.103153938541076</c:v>
                </c:pt>
                <c:pt idx="146">
                  <c:v>0.10951235727261199</c:v>
                </c:pt>
                <c:pt idx="147">
                  <c:v>0.114789148326073</c:v>
                </c:pt>
                <c:pt idx="148">
                  <c:v>0.121133963137915</c:v>
                </c:pt>
                <c:pt idx="149">
                  <c:v>0.123494082639382</c:v>
                </c:pt>
                <c:pt idx="150">
                  <c:v>0.12578922649149901</c:v>
                </c:pt>
                <c:pt idx="151">
                  <c:v>0.13508187623932999</c:v>
                </c:pt>
                <c:pt idx="152">
                  <c:v>0.14289629105232099</c:v>
                </c:pt>
                <c:pt idx="153">
                  <c:v>0.155730831782766</c:v>
                </c:pt>
                <c:pt idx="154">
                  <c:v>0.15573892343284301</c:v>
                </c:pt>
                <c:pt idx="155">
                  <c:v>0.163703857250109</c:v>
                </c:pt>
                <c:pt idx="156">
                  <c:v>0.17508486768633</c:v>
                </c:pt>
                <c:pt idx="157">
                  <c:v>0.17584930913081201</c:v>
                </c:pt>
                <c:pt idx="158">
                  <c:v>0.18322433513810599</c:v>
                </c:pt>
                <c:pt idx="159">
                  <c:v>0.17901934305073899</c:v>
                </c:pt>
                <c:pt idx="160">
                  <c:v>0.16822194130276</c:v>
                </c:pt>
                <c:pt idx="161">
                  <c:v>0.158322205275468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Combined!$T$1:$T$2</c:f>
              <c:strCache>
                <c:ptCount val="1"/>
                <c:pt idx="0">
                  <c:v>expenses FNMA</c:v>
                </c:pt>
              </c:strCache>
            </c:strRef>
          </c:tx>
          <c:marker>
            <c:symbol val="none"/>
          </c:marker>
          <c:cat>
            <c:numRef>
              <c:f>Combined!$R$3:$R$167</c:f>
              <c:numCache>
                <c:formatCode>m/d/yyyy</c:formatCode>
                <c:ptCount val="165"/>
                <c:pt idx="0">
                  <c:v>36892</c:v>
                </c:pt>
                <c:pt idx="1">
                  <c:v>36923</c:v>
                </c:pt>
                <c:pt idx="2">
                  <c:v>36951</c:v>
                </c:pt>
                <c:pt idx="3">
                  <c:v>36982</c:v>
                </c:pt>
                <c:pt idx="4">
                  <c:v>37012</c:v>
                </c:pt>
                <c:pt idx="5">
                  <c:v>37043</c:v>
                </c:pt>
                <c:pt idx="6">
                  <c:v>37073</c:v>
                </c:pt>
                <c:pt idx="7">
                  <c:v>37104</c:v>
                </c:pt>
                <c:pt idx="8">
                  <c:v>37135</c:v>
                </c:pt>
                <c:pt idx="9">
                  <c:v>37165</c:v>
                </c:pt>
                <c:pt idx="10">
                  <c:v>37196</c:v>
                </c:pt>
                <c:pt idx="11">
                  <c:v>37226</c:v>
                </c:pt>
                <c:pt idx="12">
                  <c:v>37257</c:v>
                </c:pt>
                <c:pt idx="13">
                  <c:v>37288</c:v>
                </c:pt>
                <c:pt idx="14">
                  <c:v>37316</c:v>
                </c:pt>
                <c:pt idx="15">
                  <c:v>37347</c:v>
                </c:pt>
                <c:pt idx="16">
                  <c:v>37377</c:v>
                </c:pt>
                <c:pt idx="17">
                  <c:v>37408</c:v>
                </c:pt>
                <c:pt idx="18">
                  <c:v>37438</c:v>
                </c:pt>
                <c:pt idx="19">
                  <c:v>37469</c:v>
                </c:pt>
                <c:pt idx="20">
                  <c:v>37500</c:v>
                </c:pt>
                <c:pt idx="21">
                  <c:v>37530</c:v>
                </c:pt>
                <c:pt idx="22">
                  <c:v>37561</c:v>
                </c:pt>
                <c:pt idx="23">
                  <c:v>37591</c:v>
                </c:pt>
                <c:pt idx="24">
                  <c:v>37622</c:v>
                </c:pt>
                <c:pt idx="25">
                  <c:v>37653</c:v>
                </c:pt>
                <c:pt idx="26">
                  <c:v>37681</c:v>
                </c:pt>
                <c:pt idx="27">
                  <c:v>37712</c:v>
                </c:pt>
                <c:pt idx="28">
                  <c:v>37742</c:v>
                </c:pt>
                <c:pt idx="29">
                  <c:v>37773</c:v>
                </c:pt>
                <c:pt idx="30">
                  <c:v>37803</c:v>
                </c:pt>
                <c:pt idx="31">
                  <c:v>37834</c:v>
                </c:pt>
                <c:pt idx="32">
                  <c:v>37865</c:v>
                </c:pt>
                <c:pt idx="33">
                  <c:v>37895</c:v>
                </c:pt>
                <c:pt idx="34">
                  <c:v>37926</c:v>
                </c:pt>
                <c:pt idx="35">
                  <c:v>37956</c:v>
                </c:pt>
                <c:pt idx="36">
                  <c:v>37987</c:v>
                </c:pt>
                <c:pt idx="37">
                  <c:v>38018</c:v>
                </c:pt>
                <c:pt idx="38">
                  <c:v>38047</c:v>
                </c:pt>
                <c:pt idx="39">
                  <c:v>38078</c:v>
                </c:pt>
                <c:pt idx="40">
                  <c:v>38108</c:v>
                </c:pt>
                <c:pt idx="41">
                  <c:v>38139</c:v>
                </c:pt>
                <c:pt idx="42">
                  <c:v>38169</c:v>
                </c:pt>
                <c:pt idx="43">
                  <c:v>38200</c:v>
                </c:pt>
                <c:pt idx="44">
                  <c:v>38231</c:v>
                </c:pt>
                <c:pt idx="45">
                  <c:v>38261</c:v>
                </c:pt>
                <c:pt idx="46">
                  <c:v>38292</c:v>
                </c:pt>
                <c:pt idx="47">
                  <c:v>38322</c:v>
                </c:pt>
                <c:pt idx="48">
                  <c:v>38353</c:v>
                </c:pt>
                <c:pt idx="49">
                  <c:v>38384</c:v>
                </c:pt>
                <c:pt idx="50">
                  <c:v>38412</c:v>
                </c:pt>
                <c:pt idx="51">
                  <c:v>38443</c:v>
                </c:pt>
                <c:pt idx="52">
                  <c:v>38473</c:v>
                </c:pt>
                <c:pt idx="53">
                  <c:v>38504</c:v>
                </c:pt>
                <c:pt idx="54">
                  <c:v>38534</c:v>
                </c:pt>
                <c:pt idx="55">
                  <c:v>38565</c:v>
                </c:pt>
                <c:pt idx="56">
                  <c:v>38596</c:v>
                </c:pt>
                <c:pt idx="57">
                  <c:v>38626</c:v>
                </c:pt>
                <c:pt idx="58">
                  <c:v>38657</c:v>
                </c:pt>
                <c:pt idx="59">
                  <c:v>38687</c:v>
                </c:pt>
                <c:pt idx="60">
                  <c:v>38718</c:v>
                </c:pt>
                <c:pt idx="61">
                  <c:v>38749</c:v>
                </c:pt>
                <c:pt idx="62">
                  <c:v>38777</c:v>
                </c:pt>
                <c:pt idx="63">
                  <c:v>38808</c:v>
                </c:pt>
                <c:pt idx="64">
                  <c:v>38838</c:v>
                </c:pt>
                <c:pt idx="65">
                  <c:v>38869</c:v>
                </c:pt>
                <c:pt idx="66">
                  <c:v>38899</c:v>
                </c:pt>
                <c:pt idx="67">
                  <c:v>38930</c:v>
                </c:pt>
                <c:pt idx="68">
                  <c:v>38961</c:v>
                </c:pt>
                <c:pt idx="69">
                  <c:v>38991</c:v>
                </c:pt>
                <c:pt idx="70">
                  <c:v>39022</c:v>
                </c:pt>
                <c:pt idx="71">
                  <c:v>39052</c:v>
                </c:pt>
                <c:pt idx="72">
                  <c:v>39083</c:v>
                </c:pt>
                <c:pt idx="73">
                  <c:v>39114</c:v>
                </c:pt>
                <c:pt idx="74">
                  <c:v>39142</c:v>
                </c:pt>
                <c:pt idx="75">
                  <c:v>39173</c:v>
                </c:pt>
                <c:pt idx="76">
                  <c:v>39203</c:v>
                </c:pt>
                <c:pt idx="77">
                  <c:v>39234</c:v>
                </c:pt>
                <c:pt idx="78">
                  <c:v>39264</c:v>
                </c:pt>
                <c:pt idx="79">
                  <c:v>39295</c:v>
                </c:pt>
                <c:pt idx="80">
                  <c:v>39326</c:v>
                </c:pt>
                <c:pt idx="81">
                  <c:v>39356</c:v>
                </c:pt>
                <c:pt idx="82">
                  <c:v>39387</c:v>
                </c:pt>
                <c:pt idx="83">
                  <c:v>39417</c:v>
                </c:pt>
                <c:pt idx="84">
                  <c:v>39448</c:v>
                </c:pt>
                <c:pt idx="85">
                  <c:v>39479</c:v>
                </c:pt>
                <c:pt idx="86">
                  <c:v>39508</c:v>
                </c:pt>
                <c:pt idx="87">
                  <c:v>39539</c:v>
                </c:pt>
                <c:pt idx="88">
                  <c:v>39569</c:v>
                </c:pt>
                <c:pt idx="89">
                  <c:v>39600</c:v>
                </c:pt>
                <c:pt idx="90">
                  <c:v>39630</c:v>
                </c:pt>
                <c:pt idx="91">
                  <c:v>39661</c:v>
                </c:pt>
                <c:pt idx="92">
                  <c:v>39692</c:v>
                </c:pt>
                <c:pt idx="93">
                  <c:v>39722</c:v>
                </c:pt>
                <c:pt idx="94">
                  <c:v>39753</c:v>
                </c:pt>
                <c:pt idx="95">
                  <c:v>39783</c:v>
                </c:pt>
                <c:pt idx="96">
                  <c:v>39814</c:v>
                </c:pt>
                <c:pt idx="97">
                  <c:v>39845</c:v>
                </c:pt>
                <c:pt idx="98">
                  <c:v>39873</c:v>
                </c:pt>
                <c:pt idx="99">
                  <c:v>39904</c:v>
                </c:pt>
                <c:pt idx="100">
                  <c:v>39934</c:v>
                </c:pt>
                <c:pt idx="101">
                  <c:v>39965</c:v>
                </c:pt>
                <c:pt idx="102">
                  <c:v>39995</c:v>
                </c:pt>
                <c:pt idx="103">
                  <c:v>40026</c:v>
                </c:pt>
                <c:pt idx="104">
                  <c:v>40057</c:v>
                </c:pt>
                <c:pt idx="105">
                  <c:v>40087</c:v>
                </c:pt>
                <c:pt idx="106">
                  <c:v>40118</c:v>
                </c:pt>
                <c:pt idx="107">
                  <c:v>40148</c:v>
                </c:pt>
                <c:pt idx="108">
                  <c:v>40179</c:v>
                </c:pt>
                <c:pt idx="109">
                  <c:v>40210</c:v>
                </c:pt>
                <c:pt idx="110">
                  <c:v>40238</c:v>
                </c:pt>
                <c:pt idx="111">
                  <c:v>40269</c:v>
                </c:pt>
                <c:pt idx="112">
                  <c:v>40299</c:v>
                </c:pt>
                <c:pt idx="113">
                  <c:v>40330</c:v>
                </c:pt>
                <c:pt idx="114">
                  <c:v>40360</c:v>
                </c:pt>
                <c:pt idx="115">
                  <c:v>40391</c:v>
                </c:pt>
                <c:pt idx="116">
                  <c:v>40422</c:v>
                </c:pt>
                <c:pt idx="117">
                  <c:v>40452</c:v>
                </c:pt>
                <c:pt idx="118">
                  <c:v>40483</c:v>
                </c:pt>
                <c:pt idx="119">
                  <c:v>40513</c:v>
                </c:pt>
                <c:pt idx="120">
                  <c:v>40544</c:v>
                </c:pt>
                <c:pt idx="121">
                  <c:v>40575</c:v>
                </c:pt>
                <c:pt idx="122">
                  <c:v>40603</c:v>
                </c:pt>
                <c:pt idx="123">
                  <c:v>40634</c:v>
                </c:pt>
                <c:pt idx="124">
                  <c:v>40664</c:v>
                </c:pt>
                <c:pt idx="125">
                  <c:v>40695</c:v>
                </c:pt>
                <c:pt idx="126">
                  <c:v>40725</c:v>
                </c:pt>
                <c:pt idx="127">
                  <c:v>40756</c:v>
                </c:pt>
                <c:pt idx="128">
                  <c:v>40787</c:v>
                </c:pt>
                <c:pt idx="129">
                  <c:v>40817</c:v>
                </c:pt>
                <c:pt idx="130">
                  <c:v>40848</c:v>
                </c:pt>
                <c:pt idx="131">
                  <c:v>40878</c:v>
                </c:pt>
                <c:pt idx="132">
                  <c:v>40909</c:v>
                </c:pt>
                <c:pt idx="133">
                  <c:v>40940</c:v>
                </c:pt>
                <c:pt idx="134">
                  <c:v>40969</c:v>
                </c:pt>
                <c:pt idx="135">
                  <c:v>41000</c:v>
                </c:pt>
                <c:pt idx="136">
                  <c:v>41030</c:v>
                </c:pt>
                <c:pt idx="137">
                  <c:v>41061</c:v>
                </c:pt>
                <c:pt idx="138">
                  <c:v>41091</c:v>
                </c:pt>
                <c:pt idx="139">
                  <c:v>41122</c:v>
                </c:pt>
                <c:pt idx="140">
                  <c:v>41153</c:v>
                </c:pt>
                <c:pt idx="141">
                  <c:v>41183</c:v>
                </c:pt>
                <c:pt idx="142">
                  <c:v>41214</c:v>
                </c:pt>
                <c:pt idx="143">
                  <c:v>41244</c:v>
                </c:pt>
                <c:pt idx="144">
                  <c:v>41275</c:v>
                </c:pt>
                <c:pt idx="145">
                  <c:v>41306</c:v>
                </c:pt>
                <c:pt idx="146">
                  <c:v>41334</c:v>
                </c:pt>
                <c:pt idx="147">
                  <c:v>41365</c:v>
                </c:pt>
                <c:pt idx="148">
                  <c:v>41395</c:v>
                </c:pt>
                <c:pt idx="149">
                  <c:v>41426</c:v>
                </c:pt>
                <c:pt idx="150">
                  <c:v>41456</c:v>
                </c:pt>
                <c:pt idx="151">
                  <c:v>41487</c:v>
                </c:pt>
                <c:pt idx="152">
                  <c:v>41518</c:v>
                </c:pt>
                <c:pt idx="153">
                  <c:v>41548</c:v>
                </c:pt>
                <c:pt idx="154">
                  <c:v>41579</c:v>
                </c:pt>
                <c:pt idx="155">
                  <c:v>41609</c:v>
                </c:pt>
                <c:pt idx="156">
                  <c:v>41640</c:v>
                </c:pt>
                <c:pt idx="157">
                  <c:v>41671</c:v>
                </c:pt>
                <c:pt idx="158">
                  <c:v>41699</c:v>
                </c:pt>
                <c:pt idx="159">
                  <c:v>41730</c:v>
                </c:pt>
                <c:pt idx="160">
                  <c:v>41760</c:v>
                </c:pt>
                <c:pt idx="161">
                  <c:v>41791</c:v>
                </c:pt>
              </c:numCache>
            </c:numRef>
          </c:cat>
          <c:val>
            <c:numRef>
              <c:f>Combined!$T$3:$T$167</c:f>
              <c:numCache>
                <c:formatCode>0%</c:formatCode>
                <c:ptCount val="165"/>
                <c:pt idx="0">
                  <c:v>3.4884499082259803E-2</c:v>
                </c:pt>
                <c:pt idx="1">
                  <c:v>3.23981648602664E-2</c:v>
                </c:pt>
                <c:pt idx="2">
                  <c:v>4.7106107185749799E-2</c:v>
                </c:pt>
                <c:pt idx="3">
                  <c:v>3.9264822420138797E-2</c:v>
                </c:pt>
                <c:pt idx="4">
                  <c:v>5.7568316365233699E-2</c:v>
                </c:pt>
                <c:pt idx="5">
                  <c:v>4.4529080070382497E-2</c:v>
                </c:pt>
                <c:pt idx="6">
                  <c:v>4.5993243049113897E-2</c:v>
                </c:pt>
                <c:pt idx="7">
                  <c:v>5.1841791972325697E-2</c:v>
                </c:pt>
                <c:pt idx="8">
                  <c:v>5.1103740611779601E-2</c:v>
                </c:pt>
                <c:pt idx="9">
                  <c:v>5.6266239413843101E-2</c:v>
                </c:pt>
                <c:pt idx="10">
                  <c:v>5.2022680096906901E-2</c:v>
                </c:pt>
                <c:pt idx="11">
                  <c:v>8.3101634771929306E-2</c:v>
                </c:pt>
                <c:pt idx="12">
                  <c:v>7.1137225714406199E-2</c:v>
                </c:pt>
                <c:pt idx="13">
                  <c:v>8.3842593200691706E-2</c:v>
                </c:pt>
                <c:pt idx="14">
                  <c:v>5.3000566208816498E-2</c:v>
                </c:pt>
                <c:pt idx="15">
                  <c:v>6.6213386716050607E-2</c:v>
                </c:pt>
                <c:pt idx="16">
                  <c:v>5.5435696326279899E-2</c:v>
                </c:pt>
                <c:pt idx="17">
                  <c:v>6.2907976404449895E-2</c:v>
                </c:pt>
                <c:pt idx="18">
                  <c:v>5.8463960279275397E-2</c:v>
                </c:pt>
                <c:pt idx="19">
                  <c:v>6.2850149135533107E-2</c:v>
                </c:pt>
                <c:pt idx="20">
                  <c:v>5.9150325000872597E-2</c:v>
                </c:pt>
                <c:pt idx="21">
                  <c:v>6.5629841338164699E-2</c:v>
                </c:pt>
                <c:pt idx="22">
                  <c:v>6.3456328249358498E-2</c:v>
                </c:pt>
                <c:pt idx="23">
                  <c:v>6.3578425041994902E-2</c:v>
                </c:pt>
                <c:pt idx="24">
                  <c:v>7.0010694269991E-2</c:v>
                </c:pt>
                <c:pt idx="25">
                  <c:v>6.9194360183417805E-2</c:v>
                </c:pt>
                <c:pt idx="26">
                  <c:v>6.5234935091267807E-2</c:v>
                </c:pt>
                <c:pt idx="27">
                  <c:v>6.9014853951963898E-2</c:v>
                </c:pt>
                <c:pt idx="28">
                  <c:v>7.0023290275159605E-2</c:v>
                </c:pt>
                <c:pt idx="29">
                  <c:v>5.8756086782816998E-2</c:v>
                </c:pt>
                <c:pt idx="30">
                  <c:v>6.6308069654030605E-2</c:v>
                </c:pt>
                <c:pt idx="31">
                  <c:v>6.5533982925748399E-2</c:v>
                </c:pt>
                <c:pt idx="32">
                  <c:v>6.4692377135818005E-2</c:v>
                </c:pt>
                <c:pt idx="33">
                  <c:v>6.3413360899283899E-2</c:v>
                </c:pt>
                <c:pt idx="34">
                  <c:v>6.5686461023683196E-2</c:v>
                </c:pt>
                <c:pt idx="35">
                  <c:v>7.5293663606636696E-2</c:v>
                </c:pt>
                <c:pt idx="36">
                  <c:v>6.4205060733048394E-2</c:v>
                </c:pt>
                <c:pt idx="37">
                  <c:v>6.8126547153193204E-2</c:v>
                </c:pt>
                <c:pt idx="38">
                  <c:v>6.8208159074120395E-2</c:v>
                </c:pt>
                <c:pt idx="39">
                  <c:v>6.6884862550330507E-2</c:v>
                </c:pt>
                <c:pt idx="40">
                  <c:v>6.8711333024829804E-2</c:v>
                </c:pt>
                <c:pt idx="41">
                  <c:v>6.5361632763900404E-2</c:v>
                </c:pt>
                <c:pt idx="42">
                  <c:v>7.1414218371480195E-2</c:v>
                </c:pt>
                <c:pt idx="43">
                  <c:v>6.5515033383477694E-2</c:v>
                </c:pt>
                <c:pt idx="44">
                  <c:v>6.5195866272704905E-2</c:v>
                </c:pt>
                <c:pt idx="45">
                  <c:v>7.1639978428248E-2</c:v>
                </c:pt>
                <c:pt idx="46">
                  <c:v>7.0530054560908301E-2</c:v>
                </c:pt>
                <c:pt idx="47">
                  <c:v>7.6394876500684897E-2</c:v>
                </c:pt>
                <c:pt idx="48">
                  <c:v>8.0628669828816696E-2</c:v>
                </c:pt>
                <c:pt idx="49">
                  <c:v>8.5772815067969299E-2</c:v>
                </c:pt>
                <c:pt idx="50">
                  <c:v>7.8729403593240599E-2</c:v>
                </c:pt>
                <c:pt idx="51">
                  <c:v>7.8136807387280405E-2</c:v>
                </c:pt>
                <c:pt idx="52">
                  <c:v>8.0893327408792695E-2</c:v>
                </c:pt>
                <c:pt idx="53">
                  <c:v>8.3730846284820096E-2</c:v>
                </c:pt>
                <c:pt idx="54">
                  <c:v>8.7464964246877303E-2</c:v>
                </c:pt>
                <c:pt idx="55">
                  <c:v>8.7743008439580106E-2</c:v>
                </c:pt>
                <c:pt idx="56">
                  <c:v>9.3510313786953597E-2</c:v>
                </c:pt>
                <c:pt idx="57">
                  <c:v>8.4119891266667704E-2</c:v>
                </c:pt>
                <c:pt idx="58">
                  <c:v>9.2067460125968503E-2</c:v>
                </c:pt>
                <c:pt idx="59">
                  <c:v>9.9513289599563001E-2</c:v>
                </c:pt>
                <c:pt idx="60">
                  <c:v>9.0353727581744495E-2</c:v>
                </c:pt>
                <c:pt idx="61">
                  <c:v>9.9337321075039606E-2</c:v>
                </c:pt>
                <c:pt idx="62">
                  <c:v>0.100144652214519</c:v>
                </c:pt>
                <c:pt idx="63">
                  <c:v>0.100319001386367</c:v>
                </c:pt>
                <c:pt idx="64">
                  <c:v>9.8483464531833806E-2</c:v>
                </c:pt>
                <c:pt idx="65">
                  <c:v>9.2566650140280093E-2</c:v>
                </c:pt>
                <c:pt idx="66">
                  <c:v>9.5510377115872999E-2</c:v>
                </c:pt>
                <c:pt idx="67">
                  <c:v>9.4461503313464507E-2</c:v>
                </c:pt>
                <c:pt idx="68">
                  <c:v>9.2349983083089199E-2</c:v>
                </c:pt>
                <c:pt idx="69">
                  <c:v>0.101787862203801</c:v>
                </c:pt>
                <c:pt idx="70">
                  <c:v>0.104111710328506</c:v>
                </c:pt>
                <c:pt idx="71">
                  <c:v>0.10519646805442601</c:v>
                </c:pt>
                <c:pt idx="72">
                  <c:v>9.8519540097502495E-2</c:v>
                </c:pt>
                <c:pt idx="73">
                  <c:v>9.9593900731092297E-2</c:v>
                </c:pt>
                <c:pt idx="74">
                  <c:v>9.3436437669822903E-2</c:v>
                </c:pt>
                <c:pt idx="75">
                  <c:v>9.42499673238342E-2</c:v>
                </c:pt>
                <c:pt idx="76">
                  <c:v>9.1163555684109401E-2</c:v>
                </c:pt>
                <c:pt idx="77">
                  <c:v>9.3271657073772204E-2</c:v>
                </c:pt>
                <c:pt idx="78">
                  <c:v>9.2412026858113297E-2</c:v>
                </c:pt>
                <c:pt idx="79">
                  <c:v>8.7627600553990798E-2</c:v>
                </c:pt>
                <c:pt idx="80">
                  <c:v>8.1896142746156295E-2</c:v>
                </c:pt>
                <c:pt idx="81">
                  <c:v>8.7464734997212606E-2</c:v>
                </c:pt>
                <c:pt idx="82">
                  <c:v>8.4552593029778203E-2</c:v>
                </c:pt>
                <c:pt idx="83">
                  <c:v>9.2183047246630803E-2</c:v>
                </c:pt>
                <c:pt idx="84">
                  <c:v>8.7133980885376702E-2</c:v>
                </c:pt>
                <c:pt idx="85">
                  <c:v>7.9845704209823606E-2</c:v>
                </c:pt>
                <c:pt idx="86">
                  <c:v>8.0437198890460193E-2</c:v>
                </c:pt>
                <c:pt idx="87">
                  <c:v>7.2651304441863102E-2</c:v>
                </c:pt>
                <c:pt idx="88">
                  <c:v>7.4913257873350902E-2</c:v>
                </c:pt>
                <c:pt idx="89">
                  <c:v>7.04060771360734E-2</c:v>
                </c:pt>
                <c:pt idx="90">
                  <c:v>6.8996995242270195E-2</c:v>
                </c:pt>
                <c:pt idx="91">
                  <c:v>7.0795149218091893E-2</c:v>
                </c:pt>
                <c:pt idx="92">
                  <c:v>6.5438716868989999E-2</c:v>
                </c:pt>
                <c:pt idx="93">
                  <c:v>7.2298130056746596E-2</c:v>
                </c:pt>
                <c:pt idx="94">
                  <c:v>6.7489000293078596E-2</c:v>
                </c:pt>
                <c:pt idx="95">
                  <c:v>6.8147885991279605E-2</c:v>
                </c:pt>
                <c:pt idx="96">
                  <c:v>6.3912250488294797E-2</c:v>
                </c:pt>
                <c:pt idx="97">
                  <c:v>6.39672240852837E-2</c:v>
                </c:pt>
                <c:pt idx="98">
                  <c:v>6.3066859560025501E-2</c:v>
                </c:pt>
                <c:pt idx="99">
                  <c:v>6.1173733610207198E-2</c:v>
                </c:pt>
                <c:pt idx="100">
                  <c:v>5.8840601659027401E-2</c:v>
                </c:pt>
                <c:pt idx="101">
                  <c:v>5.54667202169873E-2</c:v>
                </c:pt>
                <c:pt idx="102">
                  <c:v>5.1315776001290399E-2</c:v>
                </c:pt>
                <c:pt idx="103">
                  <c:v>5.0338091150568101E-2</c:v>
                </c:pt>
                <c:pt idx="104">
                  <c:v>5.1104142161912003E-2</c:v>
                </c:pt>
                <c:pt idx="105">
                  <c:v>5.4276946918286197E-2</c:v>
                </c:pt>
                <c:pt idx="106">
                  <c:v>5.3059569048688499E-2</c:v>
                </c:pt>
                <c:pt idx="107">
                  <c:v>5.4394220148195498E-2</c:v>
                </c:pt>
                <c:pt idx="108">
                  <c:v>5.2835387339615597E-2</c:v>
                </c:pt>
                <c:pt idx="109">
                  <c:v>5.8048966930050301E-2</c:v>
                </c:pt>
                <c:pt idx="110">
                  <c:v>5.9329707340979497E-2</c:v>
                </c:pt>
                <c:pt idx="111">
                  <c:v>6.3361595296564099E-2</c:v>
                </c:pt>
                <c:pt idx="112">
                  <c:v>5.9199448677776503E-2</c:v>
                </c:pt>
                <c:pt idx="113">
                  <c:v>6.0634710668969402E-2</c:v>
                </c:pt>
                <c:pt idx="114">
                  <c:v>5.6348629332510301E-2</c:v>
                </c:pt>
                <c:pt idx="115">
                  <c:v>5.9468571539875101E-2</c:v>
                </c:pt>
                <c:pt idx="116">
                  <c:v>6.10470978705683E-2</c:v>
                </c:pt>
                <c:pt idx="117">
                  <c:v>5.9320090846006403E-2</c:v>
                </c:pt>
                <c:pt idx="118">
                  <c:v>6.2248253928323803E-2</c:v>
                </c:pt>
                <c:pt idx="119">
                  <c:v>6.5704440064567202E-2</c:v>
                </c:pt>
                <c:pt idx="120">
                  <c:v>6.9215879679335401E-2</c:v>
                </c:pt>
                <c:pt idx="121">
                  <c:v>6.9401390519182704E-2</c:v>
                </c:pt>
                <c:pt idx="122">
                  <c:v>6.8143387518059706E-2</c:v>
                </c:pt>
                <c:pt idx="123">
                  <c:v>6.8394483069055795E-2</c:v>
                </c:pt>
                <c:pt idx="124">
                  <c:v>6.8087995386561698E-2</c:v>
                </c:pt>
                <c:pt idx="125">
                  <c:v>6.8900775329069006E-2</c:v>
                </c:pt>
                <c:pt idx="126">
                  <c:v>7.1068054324139193E-2</c:v>
                </c:pt>
                <c:pt idx="127">
                  <c:v>7.5103411468478307E-2</c:v>
                </c:pt>
                <c:pt idx="128">
                  <c:v>6.9640338075592598E-2</c:v>
                </c:pt>
                <c:pt idx="129">
                  <c:v>7.24776732292257E-2</c:v>
                </c:pt>
                <c:pt idx="130">
                  <c:v>6.9972629158176203E-2</c:v>
                </c:pt>
                <c:pt idx="131">
                  <c:v>7.5068735425064106E-2</c:v>
                </c:pt>
                <c:pt idx="132">
                  <c:v>7.7288777367444897E-2</c:v>
                </c:pt>
                <c:pt idx="133">
                  <c:v>8.0146652829186704E-2</c:v>
                </c:pt>
                <c:pt idx="134">
                  <c:v>8.1567708034891204E-2</c:v>
                </c:pt>
                <c:pt idx="135">
                  <c:v>7.9922234644124193E-2</c:v>
                </c:pt>
                <c:pt idx="136">
                  <c:v>8.0157199574043297E-2</c:v>
                </c:pt>
                <c:pt idx="137">
                  <c:v>7.8161857710368696E-2</c:v>
                </c:pt>
                <c:pt idx="138">
                  <c:v>8.0889281298204593E-2</c:v>
                </c:pt>
                <c:pt idx="139">
                  <c:v>7.9611442102333604E-2</c:v>
                </c:pt>
                <c:pt idx="140">
                  <c:v>8.4795986908623402E-2</c:v>
                </c:pt>
                <c:pt idx="141">
                  <c:v>8.7700558168940498E-2</c:v>
                </c:pt>
                <c:pt idx="142">
                  <c:v>9.5765219948801397E-2</c:v>
                </c:pt>
                <c:pt idx="143">
                  <c:v>9.5874789119489004E-2</c:v>
                </c:pt>
                <c:pt idx="144">
                  <c:v>0.101260623433377</c:v>
                </c:pt>
                <c:pt idx="145">
                  <c:v>0.104427321017154</c:v>
                </c:pt>
                <c:pt idx="146">
                  <c:v>0.10523776077868099</c:v>
                </c:pt>
                <c:pt idx="147">
                  <c:v>0.10258082451803099</c:v>
                </c:pt>
                <c:pt idx="148">
                  <c:v>0.103020803353256</c:v>
                </c:pt>
                <c:pt idx="149">
                  <c:v>0.103698059024551</c:v>
                </c:pt>
                <c:pt idx="150">
                  <c:v>0.10591740639135799</c:v>
                </c:pt>
                <c:pt idx="151">
                  <c:v>0.109367986551192</c:v>
                </c:pt>
                <c:pt idx="152">
                  <c:v>0.116516933062714</c:v>
                </c:pt>
                <c:pt idx="153">
                  <c:v>0.111845136480935</c:v>
                </c:pt>
                <c:pt idx="154">
                  <c:v>0.11776483602871</c:v>
                </c:pt>
                <c:pt idx="155">
                  <c:v>0.122465023514606</c:v>
                </c:pt>
                <c:pt idx="156">
                  <c:v>0.122303300361975</c:v>
                </c:pt>
                <c:pt idx="157">
                  <c:v>0.124272642918851</c:v>
                </c:pt>
                <c:pt idx="158">
                  <c:v>0.12919920813570701</c:v>
                </c:pt>
                <c:pt idx="159">
                  <c:v>0.131817306757708</c:v>
                </c:pt>
                <c:pt idx="160">
                  <c:v>0.13394022512901599</c:v>
                </c:pt>
                <c:pt idx="161">
                  <c:v>0.140882895684974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46732032"/>
        <c:axId val="346833664"/>
      </c:lineChart>
      <c:dateAx>
        <c:axId val="346732032"/>
        <c:scaling>
          <c:orientation val="minMax"/>
        </c:scaling>
        <c:delete val="0"/>
        <c:axPos val="b"/>
        <c:numFmt formatCode="m/d/yyyy" sourceLinked="1"/>
        <c:majorTickMark val="out"/>
        <c:minorTickMark val="none"/>
        <c:tickLblPos val="nextTo"/>
        <c:crossAx val="346833664"/>
        <c:crosses val="autoZero"/>
        <c:auto val="1"/>
        <c:lblOffset val="100"/>
        <c:baseTimeUnit val="months"/>
      </c:dateAx>
      <c:valAx>
        <c:axId val="346833664"/>
        <c:scaling>
          <c:orientation val="minMax"/>
        </c:scaling>
        <c:delete val="0"/>
        <c:axPos val="l"/>
        <c:majorGridlines/>
        <c:numFmt formatCode="0%" sourceLinked="1"/>
        <c:majorTickMark val="out"/>
        <c:minorTickMark val="none"/>
        <c:tickLblPos val="nextTo"/>
        <c:crossAx val="346732032"/>
        <c:crosses val="autoZero"/>
        <c:crossBetween val="between"/>
      </c:valAx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Combined!$W$1:$W$2</c:f>
              <c:strCache>
                <c:ptCount val="1"/>
                <c:pt idx="0">
                  <c:v>Non-MI FHL</c:v>
                </c:pt>
              </c:strCache>
            </c:strRef>
          </c:tx>
          <c:marker>
            <c:symbol val="none"/>
          </c:marker>
          <c:cat>
            <c:numRef>
              <c:f>Combined!$V$3:$V$167</c:f>
              <c:numCache>
                <c:formatCode>m/d/yyyy</c:formatCode>
                <c:ptCount val="165"/>
                <c:pt idx="0">
                  <c:v>36892</c:v>
                </c:pt>
                <c:pt idx="1">
                  <c:v>36923</c:v>
                </c:pt>
                <c:pt idx="2">
                  <c:v>36951</c:v>
                </c:pt>
                <c:pt idx="3">
                  <c:v>36982</c:v>
                </c:pt>
                <c:pt idx="4">
                  <c:v>37012</c:v>
                </c:pt>
                <c:pt idx="5">
                  <c:v>37043</c:v>
                </c:pt>
                <c:pt idx="6">
                  <c:v>37073</c:v>
                </c:pt>
                <c:pt idx="7">
                  <c:v>37104</c:v>
                </c:pt>
                <c:pt idx="8">
                  <c:v>37135</c:v>
                </c:pt>
                <c:pt idx="9">
                  <c:v>37165</c:v>
                </c:pt>
                <c:pt idx="10">
                  <c:v>37196</c:v>
                </c:pt>
                <c:pt idx="11">
                  <c:v>37226</c:v>
                </c:pt>
                <c:pt idx="12">
                  <c:v>37257</c:v>
                </c:pt>
                <c:pt idx="13">
                  <c:v>37288</c:v>
                </c:pt>
                <c:pt idx="14">
                  <c:v>37316</c:v>
                </c:pt>
                <c:pt idx="15">
                  <c:v>37347</c:v>
                </c:pt>
                <c:pt idx="16">
                  <c:v>37377</c:v>
                </c:pt>
                <c:pt idx="17">
                  <c:v>37408</c:v>
                </c:pt>
                <c:pt idx="18">
                  <c:v>37438</c:v>
                </c:pt>
                <c:pt idx="19">
                  <c:v>37469</c:v>
                </c:pt>
                <c:pt idx="20">
                  <c:v>37500</c:v>
                </c:pt>
                <c:pt idx="21">
                  <c:v>37530</c:v>
                </c:pt>
                <c:pt idx="22">
                  <c:v>37561</c:v>
                </c:pt>
                <c:pt idx="23">
                  <c:v>37591</c:v>
                </c:pt>
                <c:pt idx="24">
                  <c:v>37622</c:v>
                </c:pt>
                <c:pt idx="25">
                  <c:v>37653</c:v>
                </c:pt>
                <c:pt idx="26">
                  <c:v>37681</c:v>
                </c:pt>
                <c:pt idx="27">
                  <c:v>37712</c:v>
                </c:pt>
                <c:pt idx="28">
                  <c:v>37742</c:v>
                </c:pt>
                <c:pt idx="29">
                  <c:v>37773</c:v>
                </c:pt>
                <c:pt idx="30">
                  <c:v>37803</c:v>
                </c:pt>
                <c:pt idx="31">
                  <c:v>37834</c:v>
                </c:pt>
                <c:pt idx="32">
                  <c:v>37865</c:v>
                </c:pt>
                <c:pt idx="33">
                  <c:v>37895</c:v>
                </c:pt>
                <c:pt idx="34">
                  <c:v>37926</c:v>
                </c:pt>
                <c:pt idx="35">
                  <c:v>37956</c:v>
                </c:pt>
                <c:pt idx="36">
                  <c:v>37987</c:v>
                </c:pt>
                <c:pt idx="37">
                  <c:v>38018</c:v>
                </c:pt>
                <c:pt idx="38">
                  <c:v>38047</c:v>
                </c:pt>
                <c:pt idx="39">
                  <c:v>38078</c:v>
                </c:pt>
                <c:pt idx="40">
                  <c:v>38108</c:v>
                </c:pt>
                <c:pt idx="41">
                  <c:v>38139</c:v>
                </c:pt>
                <c:pt idx="42">
                  <c:v>38169</c:v>
                </c:pt>
                <c:pt idx="43">
                  <c:v>38200</c:v>
                </c:pt>
                <c:pt idx="44">
                  <c:v>38231</c:v>
                </c:pt>
                <c:pt idx="45">
                  <c:v>38261</c:v>
                </c:pt>
                <c:pt idx="46">
                  <c:v>38292</c:v>
                </c:pt>
                <c:pt idx="47">
                  <c:v>38322</c:v>
                </c:pt>
                <c:pt idx="48">
                  <c:v>38353</c:v>
                </c:pt>
                <c:pt idx="49">
                  <c:v>38384</c:v>
                </c:pt>
                <c:pt idx="50">
                  <c:v>38412</c:v>
                </c:pt>
                <c:pt idx="51">
                  <c:v>38443</c:v>
                </c:pt>
                <c:pt idx="52">
                  <c:v>38473</c:v>
                </c:pt>
                <c:pt idx="53">
                  <c:v>38504</c:v>
                </c:pt>
                <c:pt idx="54">
                  <c:v>38534</c:v>
                </c:pt>
                <c:pt idx="55">
                  <c:v>38565</c:v>
                </c:pt>
                <c:pt idx="56">
                  <c:v>38596</c:v>
                </c:pt>
                <c:pt idx="57">
                  <c:v>38626</c:v>
                </c:pt>
                <c:pt idx="58">
                  <c:v>38657</c:v>
                </c:pt>
                <c:pt idx="59">
                  <c:v>38687</c:v>
                </c:pt>
                <c:pt idx="60">
                  <c:v>38718</c:v>
                </c:pt>
                <c:pt idx="61">
                  <c:v>38749</c:v>
                </c:pt>
                <c:pt idx="62">
                  <c:v>38777</c:v>
                </c:pt>
                <c:pt idx="63">
                  <c:v>38808</c:v>
                </c:pt>
                <c:pt idx="64">
                  <c:v>38838</c:v>
                </c:pt>
                <c:pt idx="65">
                  <c:v>38869</c:v>
                </c:pt>
                <c:pt idx="66">
                  <c:v>38899</c:v>
                </c:pt>
                <c:pt idx="67">
                  <c:v>38930</c:v>
                </c:pt>
                <c:pt idx="68">
                  <c:v>38961</c:v>
                </c:pt>
                <c:pt idx="69">
                  <c:v>38991</c:v>
                </c:pt>
                <c:pt idx="70">
                  <c:v>39022</c:v>
                </c:pt>
                <c:pt idx="71">
                  <c:v>39052</c:v>
                </c:pt>
                <c:pt idx="72">
                  <c:v>39083</c:v>
                </c:pt>
                <c:pt idx="73">
                  <c:v>39114</c:v>
                </c:pt>
                <c:pt idx="74">
                  <c:v>39142</c:v>
                </c:pt>
                <c:pt idx="75">
                  <c:v>39173</c:v>
                </c:pt>
                <c:pt idx="76">
                  <c:v>39203</c:v>
                </c:pt>
                <c:pt idx="77">
                  <c:v>39234</c:v>
                </c:pt>
                <c:pt idx="78">
                  <c:v>39264</c:v>
                </c:pt>
                <c:pt idx="79">
                  <c:v>39295</c:v>
                </c:pt>
                <c:pt idx="80">
                  <c:v>39326</c:v>
                </c:pt>
                <c:pt idx="81">
                  <c:v>39356</c:v>
                </c:pt>
                <c:pt idx="82">
                  <c:v>39387</c:v>
                </c:pt>
                <c:pt idx="83">
                  <c:v>39417</c:v>
                </c:pt>
                <c:pt idx="84">
                  <c:v>39448</c:v>
                </c:pt>
                <c:pt idx="85">
                  <c:v>39479</c:v>
                </c:pt>
                <c:pt idx="86">
                  <c:v>39508</c:v>
                </c:pt>
                <c:pt idx="87">
                  <c:v>39539</c:v>
                </c:pt>
                <c:pt idx="88">
                  <c:v>39569</c:v>
                </c:pt>
                <c:pt idx="89">
                  <c:v>39600</c:v>
                </c:pt>
                <c:pt idx="90">
                  <c:v>39630</c:v>
                </c:pt>
                <c:pt idx="91">
                  <c:v>39661</c:v>
                </c:pt>
                <c:pt idx="92">
                  <c:v>39692</c:v>
                </c:pt>
                <c:pt idx="93">
                  <c:v>39722</c:v>
                </c:pt>
                <c:pt idx="94">
                  <c:v>39753</c:v>
                </c:pt>
                <c:pt idx="95">
                  <c:v>39783</c:v>
                </c:pt>
                <c:pt idx="96">
                  <c:v>39814</c:v>
                </c:pt>
                <c:pt idx="97">
                  <c:v>39845</c:v>
                </c:pt>
                <c:pt idx="98">
                  <c:v>39873</c:v>
                </c:pt>
                <c:pt idx="99">
                  <c:v>39904</c:v>
                </c:pt>
                <c:pt idx="100">
                  <c:v>39934</c:v>
                </c:pt>
                <c:pt idx="101">
                  <c:v>39965</c:v>
                </c:pt>
                <c:pt idx="102">
                  <c:v>39995</c:v>
                </c:pt>
                <c:pt idx="103">
                  <c:v>40026</c:v>
                </c:pt>
                <c:pt idx="104">
                  <c:v>40057</c:v>
                </c:pt>
                <c:pt idx="105">
                  <c:v>40087</c:v>
                </c:pt>
                <c:pt idx="106">
                  <c:v>40118</c:v>
                </c:pt>
                <c:pt idx="107">
                  <c:v>40148</c:v>
                </c:pt>
                <c:pt idx="108">
                  <c:v>40179</c:v>
                </c:pt>
                <c:pt idx="109">
                  <c:v>40210</c:v>
                </c:pt>
                <c:pt idx="110">
                  <c:v>40238</c:v>
                </c:pt>
                <c:pt idx="111">
                  <c:v>40269</c:v>
                </c:pt>
                <c:pt idx="112">
                  <c:v>40299</c:v>
                </c:pt>
                <c:pt idx="113">
                  <c:v>40330</c:v>
                </c:pt>
                <c:pt idx="114">
                  <c:v>40360</c:v>
                </c:pt>
                <c:pt idx="115">
                  <c:v>40391</c:v>
                </c:pt>
                <c:pt idx="116">
                  <c:v>40422</c:v>
                </c:pt>
                <c:pt idx="117">
                  <c:v>40452</c:v>
                </c:pt>
                <c:pt idx="118">
                  <c:v>40483</c:v>
                </c:pt>
                <c:pt idx="119">
                  <c:v>40513</c:v>
                </c:pt>
                <c:pt idx="120">
                  <c:v>40544</c:v>
                </c:pt>
                <c:pt idx="121">
                  <c:v>40575</c:v>
                </c:pt>
                <c:pt idx="122">
                  <c:v>40603</c:v>
                </c:pt>
                <c:pt idx="123">
                  <c:v>40634</c:v>
                </c:pt>
                <c:pt idx="124">
                  <c:v>40664</c:v>
                </c:pt>
                <c:pt idx="125">
                  <c:v>40695</c:v>
                </c:pt>
                <c:pt idx="126">
                  <c:v>40725</c:v>
                </c:pt>
                <c:pt idx="127">
                  <c:v>40756</c:v>
                </c:pt>
                <c:pt idx="128">
                  <c:v>40787</c:v>
                </c:pt>
                <c:pt idx="129">
                  <c:v>40817</c:v>
                </c:pt>
                <c:pt idx="130">
                  <c:v>40848</c:v>
                </c:pt>
                <c:pt idx="131">
                  <c:v>40878</c:v>
                </c:pt>
                <c:pt idx="132">
                  <c:v>40909</c:v>
                </c:pt>
                <c:pt idx="133">
                  <c:v>40940</c:v>
                </c:pt>
                <c:pt idx="134">
                  <c:v>40969</c:v>
                </c:pt>
                <c:pt idx="135">
                  <c:v>41000</c:v>
                </c:pt>
                <c:pt idx="136">
                  <c:v>41030</c:v>
                </c:pt>
                <c:pt idx="137">
                  <c:v>41061</c:v>
                </c:pt>
                <c:pt idx="138">
                  <c:v>41091</c:v>
                </c:pt>
                <c:pt idx="139">
                  <c:v>41122</c:v>
                </c:pt>
                <c:pt idx="140">
                  <c:v>41153</c:v>
                </c:pt>
                <c:pt idx="141">
                  <c:v>41183</c:v>
                </c:pt>
                <c:pt idx="142">
                  <c:v>41214</c:v>
                </c:pt>
                <c:pt idx="143">
                  <c:v>41244</c:v>
                </c:pt>
                <c:pt idx="144">
                  <c:v>41275</c:v>
                </c:pt>
                <c:pt idx="145">
                  <c:v>41306</c:v>
                </c:pt>
                <c:pt idx="146">
                  <c:v>41334</c:v>
                </c:pt>
                <c:pt idx="147">
                  <c:v>41365</c:v>
                </c:pt>
                <c:pt idx="148">
                  <c:v>41395</c:v>
                </c:pt>
                <c:pt idx="149">
                  <c:v>41426</c:v>
                </c:pt>
                <c:pt idx="150">
                  <c:v>41456</c:v>
                </c:pt>
                <c:pt idx="151">
                  <c:v>41487</c:v>
                </c:pt>
                <c:pt idx="152">
                  <c:v>41518</c:v>
                </c:pt>
                <c:pt idx="153">
                  <c:v>41548</c:v>
                </c:pt>
                <c:pt idx="154">
                  <c:v>41579</c:v>
                </c:pt>
                <c:pt idx="155">
                  <c:v>41609</c:v>
                </c:pt>
                <c:pt idx="156">
                  <c:v>41640</c:v>
                </c:pt>
                <c:pt idx="157">
                  <c:v>41671</c:v>
                </c:pt>
                <c:pt idx="158">
                  <c:v>41699</c:v>
                </c:pt>
                <c:pt idx="159">
                  <c:v>41730</c:v>
                </c:pt>
                <c:pt idx="160">
                  <c:v>41760</c:v>
                </c:pt>
                <c:pt idx="161">
                  <c:v>41791</c:v>
                </c:pt>
              </c:numCache>
            </c:numRef>
          </c:cat>
          <c:val>
            <c:numRef>
              <c:f>Combined!$W$3:$W$167</c:f>
              <c:numCache>
                <c:formatCode>0%</c:formatCode>
                <c:ptCount val="165"/>
                <c:pt idx="0">
                  <c:v>0.18105061015839199</c:v>
                </c:pt>
                <c:pt idx="1">
                  <c:v>0.156253823761139</c:v>
                </c:pt>
                <c:pt idx="2">
                  <c:v>0.20269618018697699</c:v>
                </c:pt>
                <c:pt idx="3">
                  <c:v>0.17730268012869299</c:v>
                </c:pt>
                <c:pt idx="4">
                  <c:v>0.19891039476379299</c:v>
                </c:pt>
                <c:pt idx="5">
                  <c:v>0.15205840735072901</c:v>
                </c:pt>
                <c:pt idx="6">
                  <c:v>0.13824310054242001</c:v>
                </c:pt>
                <c:pt idx="7">
                  <c:v>0.14921990945137001</c:v>
                </c:pt>
                <c:pt idx="8">
                  <c:v>0.12618147425012499</c:v>
                </c:pt>
                <c:pt idx="9">
                  <c:v>0.132749112500714</c:v>
                </c:pt>
                <c:pt idx="10">
                  <c:v>0.117184862247236</c:v>
                </c:pt>
                <c:pt idx="11">
                  <c:v>0.133886135719537</c:v>
                </c:pt>
                <c:pt idx="12">
                  <c:v>0.108548001790962</c:v>
                </c:pt>
                <c:pt idx="13">
                  <c:v>0.13274077248638799</c:v>
                </c:pt>
                <c:pt idx="14">
                  <c:v>0.16750764570791299</c:v>
                </c:pt>
                <c:pt idx="15">
                  <c:v>0.144391027151968</c:v>
                </c:pt>
                <c:pt idx="16">
                  <c:v>0.18468803933148101</c:v>
                </c:pt>
                <c:pt idx="17">
                  <c:v>0.124526372725562</c:v>
                </c:pt>
                <c:pt idx="18">
                  <c:v>0.14827760576903801</c:v>
                </c:pt>
                <c:pt idx="19">
                  <c:v>0.15973573534482499</c:v>
                </c:pt>
                <c:pt idx="20">
                  <c:v>0.17025672631328201</c:v>
                </c:pt>
                <c:pt idx="21">
                  <c:v>0.14072912442504701</c:v>
                </c:pt>
                <c:pt idx="22">
                  <c:v>0.162690054828553</c:v>
                </c:pt>
                <c:pt idx="23">
                  <c:v>0.16294384769713299</c:v>
                </c:pt>
                <c:pt idx="24">
                  <c:v>0.13634413169555901</c:v>
                </c:pt>
                <c:pt idx="25">
                  <c:v>0.16286796315966801</c:v>
                </c:pt>
                <c:pt idx="26">
                  <c:v>0.14243390202506701</c:v>
                </c:pt>
                <c:pt idx="27">
                  <c:v>0.13630108118959799</c:v>
                </c:pt>
                <c:pt idx="28">
                  <c:v>0.152239953045815</c:v>
                </c:pt>
                <c:pt idx="29">
                  <c:v>0.12717015855236899</c:v>
                </c:pt>
                <c:pt idx="30">
                  <c:v>0.14489913483401101</c:v>
                </c:pt>
                <c:pt idx="31">
                  <c:v>0.12937871906929199</c:v>
                </c:pt>
                <c:pt idx="32">
                  <c:v>0.15230435318017699</c:v>
                </c:pt>
                <c:pt idx="33">
                  <c:v>0.13949026787885899</c:v>
                </c:pt>
                <c:pt idx="34">
                  <c:v>0.15011950703889801</c:v>
                </c:pt>
                <c:pt idx="35">
                  <c:v>0.14372469135199301</c:v>
                </c:pt>
                <c:pt idx="36">
                  <c:v>0.137297055448584</c:v>
                </c:pt>
                <c:pt idx="37">
                  <c:v>0.154650183200507</c:v>
                </c:pt>
                <c:pt idx="38">
                  <c:v>0.135705613477941</c:v>
                </c:pt>
                <c:pt idx="39">
                  <c:v>0.140602284336416</c:v>
                </c:pt>
                <c:pt idx="40">
                  <c:v>0.157558511977618</c:v>
                </c:pt>
                <c:pt idx="41">
                  <c:v>0.15595010781354199</c:v>
                </c:pt>
                <c:pt idx="42">
                  <c:v>0.128363516425653</c:v>
                </c:pt>
                <c:pt idx="43">
                  <c:v>0.147401919325652</c:v>
                </c:pt>
                <c:pt idx="44">
                  <c:v>0.15879026105529301</c:v>
                </c:pt>
                <c:pt idx="45">
                  <c:v>0.146165760653582</c:v>
                </c:pt>
                <c:pt idx="46">
                  <c:v>0.158052583692216</c:v>
                </c:pt>
                <c:pt idx="47">
                  <c:v>0.160530570900872</c:v>
                </c:pt>
                <c:pt idx="48">
                  <c:v>0.11806756051485701</c:v>
                </c:pt>
                <c:pt idx="49">
                  <c:v>0.13528261974432099</c:v>
                </c:pt>
                <c:pt idx="50">
                  <c:v>0.13019338378989201</c:v>
                </c:pt>
                <c:pt idx="51">
                  <c:v>0.13020581691185401</c:v>
                </c:pt>
                <c:pt idx="52">
                  <c:v>0.13337951545464699</c:v>
                </c:pt>
                <c:pt idx="53">
                  <c:v>0.11856048347419799</c:v>
                </c:pt>
                <c:pt idx="54">
                  <c:v>0.12954810171282499</c:v>
                </c:pt>
                <c:pt idx="55">
                  <c:v>0.12713926516895899</c:v>
                </c:pt>
                <c:pt idx="56">
                  <c:v>0.13080508895621501</c:v>
                </c:pt>
                <c:pt idx="57">
                  <c:v>0.125298029970385</c:v>
                </c:pt>
                <c:pt idx="58">
                  <c:v>0.130220782717689</c:v>
                </c:pt>
                <c:pt idx="59">
                  <c:v>0.12042697585246701</c:v>
                </c:pt>
                <c:pt idx="60">
                  <c:v>0.12368979144482301</c:v>
                </c:pt>
                <c:pt idx="61">
                  <c:v>0.128541969613161</c:v>
                </c:pt>
                <c:pt idx="62">
                  <c:v>0.13451878267992101</c:v>
                </c:pt>
                <c:pt idx="63">
                  <c:v>0.11988881587219</c:v>
                </c:pt>
                <c:pt idx="64">
                  <c:v>0.12745178652011699</c:v>
                </c:pt>
                <c:pt idx="65">
                  <c:v>0.122748949282419</c:v>
                </c:pt>
                <c:pt idx="66">
                  <c:v>0.115856003896987</c:v>
                </c:pt>
                <c:pt idx="67">
                  <c:v>0.122006770696217</c:v>
                </c:pt>
                <c:pt idx="68">
                  <c:v>0.120964755385589</c:v>
                </c:pt>
                <c:pt idx="69">
                  <c:v>0.136218652004784</c:v>
                </c:pt>
                <c:pt idx="70">
                  <c:v>0.125364059206549</c:v>
                </c:pt>
                <c:pt idx="71">
                  <c:v>0.121284907615879</c:v>
                </c:pt>
                <c:pt idx="72">
                  <c:v>0.102387546290818</c:v>
                </c:pt>
                <c:pt idx="73">
                  <c:v>0.10838563095327899</c:v>
                </c:pt>
                <c:pt idx="74">
                  <c:v>0.11428582567755</c:v>
                </c:pt>
                <c:pt idx="75">
                  <c:v>0.11517549234487399</c:v>
                </c:pt>
                <c:pt idx="76">
                  <c:v>9.8205764720559405E-2</c:v>
                </c:pt>
                <c:pt idx="77">
                  <c:v>0.113490014884034</c:v>
                </c:pt>
                <c:pt idx="78">
                  <c:v>0.112798338143262</c:v>
                </c:pt>
                <c:pt idx="79">
                  <c:v>0.10660797188398501</c:v>
                </c:pt>
                <c:pt idx="80">
                  <c:v>0.11844846973777701</c:v>
                </c:pt>
                <c:pt idx="81">
                  <c:v>0.11223692560454</c:v>
                </c:pt>
                <c:pt idx="82">
                  <c:v>0.107231011373465</c:v>
                </c:pt>
                <c:pt idx="83">
                  <c:v>0.105431540588013</c:v>
                </c:pt>
                <c:pt idx="84">
                  <c:v>0.10529018698003501</c:v>
                </c:pt>
                <c:pt idx="85">
                  <c:v>0.11930473567753</c:v>
                </c:pt>
                <c:pt idx="86">
                  <c:v>0.11320144765204899</c:v>
                </c:pt>
                <c:pt idx="87">
                  <c:v>0.10658598987622001</c:v>
                </c:pt>
                <c:pt idx="88">
                  <c:v>0.103220628297425</c:v>
                </c:pt>
                <c:pt idx="89">
                  <c:v>0.102551179542688</c:v>
                </c:pt>
                <c:pt idx="90">
                  <c:v>9.9948906318235206E-2</c:v>
                </c:pt>
                <c:pt idx="91">
                  <c:v>0.10050999032062601</c:v>
                </c:pt>
                <c:pt idx="92">
                  <c:v>8.8271505099589601E-2</c:v>
                </c:pt>
                <c:pt idx="93">
                  <c:v>8.5318861076734198E-2</c:v>
                </c:pt>
                <c:pt idx="94">
                  <c:v>9.1589678500674898E-2</c:v>
                </c:pt>
                <c:pt idx="95">
                  <c:v>9.1945107572026105E-2</c:v>
                </c:pt>
                <c:pt idx="96">
                  <c:v>9.0871135533922204E-2</c:v>
                </c:pt>
                <c:pt idx="97">
                  <c:v>8.44242965976362E-2</c:v>
                </c:pt>
                <c:pt idx="98">
                  <c:v>8.1878923969725098E-2</c:v>
                </c:pt>
                <c:pt idx="99">
                  <c:v>7.5191439014367006E-2</c:v>
                </c:pt>
                <c:pt idx="100">
                  <c:v>7.8326361192114405E-2</c:v>
                </c:pt>
                <c:pt idx="101">
                  <c:v>7.6225323310633503E-2</c:v>
                </c:pt>
                <c:pt idx="102">
                  <c:v>6.9948895782131995E-2</c:v>
                </c:pt>
                <c:pt idx="103">
                  <c:v>7.3908580048177006E-2</c:v>
                </c:pt>
                <c:pt idx="104">
                  <c:v>7.23923503773094E-2</c:v>
                </c:pt>
                <c:pt idx="105">
                  <c:v>7.0659689902343101E-2</c:v>
                </c:pt>
                <c:pt idx="106">
                  <c:v>7.5385742604492198E-2</c:v>
                </c:pt>
                <c:pt idx="107">
                  <c:v>7.2570349646047805E-2</c:v>
                </c:pt>
                <c:pt idx="108">
                  <c:v>6.7863225896033594E-2</c:v>
                </c:pt>
                <c:pt idx="109">
                  <c:v>7.2766534512695602E-2</c:v>
                </c:pt>
                <c:pt idx="110">
                  <c:v>6.9745167535022204E-2</c:v>
                </c:pt>
                <c:pt idx="111">
                  <c:v>6.9333270925460405E-2</c:v>
                </c:pt>
                <c:pt idx="112">
                  <c:v>6.8577857021106498E-2</c:v>
                </c:pt>
                <c:pt idx="113">
                  <c:v>6.6635954494242103E-2</c:v>
                </c:pt>
                <c:pt idx="114">
                  <c:v>6.3482503767367096E-2</c:v>
                </c:pt>
                <c:pt idx="115">
                  <c:v>6.4311007786683499E-2</c:v>
                </c:pt>
                <c:pt idx="116">
                  <c:v>6.2732791200289198E-2</c:v>
                </c:pt>
                <c:pt idx="117">
                  <c:v>6.5082529325473898E-2</c:v>
                </c:pt>
                <c:pt idx="118">
                  <c:v>6.4722706569040694E-2</c:v>
                </c:pt>
                <c:pt idx="119">
                  <c:v>7.1459557915764499E-2</c:v>
                </c:pt>
                <c:pt idx="120">
                  <c:v>6.9037730859874899E-2</c:v>
                </c:pt>
                <c:pt idx="121">
                  <c:v>7.1317274153281193E-2</c:v>
                </c:pt>
                <c:pt idx="122">
                  <c:v>6.97435990989861E-2</c:v>
                </c:pt>
                <c:pt idx="123">
                  <c:v>6.46613697145524E-2</c:v>
                </c:pt>
                <c:pt idx="124">
                  <c:v>6.29529348987765E-2</c:v>
                </c:pt>
                <c:pt idx="125">
                  <c:v>6.4912649651408805E-2</c:v>
                </c:pt>
                <c:pt idx="126">
                  <c:v>6.1795933066237603E-2</c:v>
                </c:pt>
                <c:pt idx="127">
                  <c:v>6.1148395949829903E-2</c:v>
                </c:pt>
                <c:pt idx="128">
                  <c:v>6.3822800171625907E-2</c:v>
                </c:pt>
                <c:pt idx="129">
                  <c:v>6.2968380929164597E-2</c:v>
                </c:pt>
                <c:pt idx="130">
                  <c:v>6.1530122867415701E-2</c:v>
                </c:pt>
                <c:pt idx="131">
                  <c:v>6.2550886822289098E-2</c:v>
                </c:pt>
                <c:pt idx="132">
                  <c:v>6.0684308474296303E-2</c:v>
                </c:pt>
                <c:pt idx="133">
                  <c:v>6.5833018725354797E-2</c:v>
                </c:pt>
                <c:pt idx="134">
                  <c:v>6.3236758043512004E-2</c:v>
                </c:pt>
                <c:pt idx="135">
                  <c:v>6.6030266855361203E-2</c:v>
                </c:pt>
                <c:pt idx="136">
                  <c:v>6.0345014764379999E-2</c:v>
                </c:pt>
                <c:pt idx="137">
                  <c:v>6.0003016462742802E-2</c:v>
                </c:pt>
                <c:pt idx="138">
                  <c:v>6.09150495783655E-2</c:v>
                </c:pt>
                <c:pt idx="139">
                  <c:v>6.3456377429837202E-2</c:v>
                </c:pt>
                <c:pt idx="140">
                  <c:v>6.29168514549001E-2</c:v>
                </c:pt>
                <c:pt idx="141">
                  <c:v>6.2456374083545603E-2</c:v>
                </c:pt>
                <c:pt idx="142">
                  <c:v>6.4074137701498807E-2</c:v>
                </c:pt>
                <c:pt idx="143">
                  <c:v>6.7378490834465996E-2</c:v>
                </c:pt>
                <c:pt idx="144">
                  <c:v>6.6687972836812104E-2</c:v>
                </c:pt>
                <c:pt idx="145">
                  <c:v>6.7012126487559498E-2</c:v>
                </c:pt>
                <c:pt idx="146">
                  <c:v>6.7687094740987205E-2</c:v>
                </c:pt>
                <c:pt idx="147">
                  <c:v>6.9939104304650904E-2</c:v>
                </c:pt>
                <c:pt idx="148">
                  <c:v>6.8331965670175895E-2</c:v>
                </c:pt>
                <c:pt idx="149">
                  <c:v>6.4847715852302201E-2</c:v>
                </c:pt>
                <c:pt idx="150">
                  <c:v>6.4785010233080101E-2</c:v>
                </c:pt>
                <c:pt idx="151">
                  <c:v>6.6010944140916697E-2</c:v>
                </c:pt>
                <c:pt idx="152">
                  <c:v>7.0084149496895704E-2</c:v>
                </c:pt>
                <c:pt idx="153">
                  <c:v>6.8809834656109903E-2</c:v>
                </c:pt>
                <c:pt idx="154">
                  <c:v>7.19940823050573E-2</c:v>
                </c:pt>
                <c:pt idx="155">
                  <c:v>6.7282967522308001E-2</c:v>
                </c:pt>
                <c:pt idx="156">
                  <c:v>6.1168693815864497E-2</c:v>
                </c:pt>
                <c:pt idx="157">
                  <c:v>6.5074829674916401E-2</c:v>
                </c:pt>
                <c:pt idx="158">
                  <c:v>6.2240422270341503E-2</c:v>
                </c:pt>
                <c:pt idx="159">
                  <c:v>6.1977651454892799E-2</c:v>
                </c:pt>
                <c:pt idx="160">
                  <c:v>5.5059630360709301E-2</c:v>
                </c:pt>
                <c:pt idx="161">
                  <c:v>5.6635312189078503E-2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Combined!$X$1:$X$2</c:f>
              <c:strCache>
                <c:ptCount val="1"/>
                <c:pt idx="0">
                  <c:v>Non-MI FNMA</c:v>
                </c:pt>
              </c:strCache>
            </c:strRef>
          </c:tx>
          <c:marker>
            <c:symbol val="none"/>
          </c:marker>
          <c:cat>
            <c:numRef>
              <c:f>Combined!$V$3:$V$167</c:f>
              <c:numCache>
                <c:formatCode>m/d/yyyy</c:formatCode>
                <c:ptCount val="165"/>
                <c:pt idx="0">
                  <c:v>36892</c:v>
                </c:pt>
                <c:pt idx="1">
                  <c:v>36923</c:v>
                </c:pt>
                <c:pt idx="2">
                  <c:v>36951</c:v>
                </c:pt>
                <c:pt idx="3">
                  <c:v>36982</c:v>
                </c:pt>
                <c:pt idx="4">
                  <c:v>37012</c:v>
                </c:pt>
                <c:pt idx="5">
                  <c:v>37043</c:v>
                </c:pt>
                <c:pt idx="6">
                  <c:v>37073</c:v>
                </c:pt>
                <c:pt idx="7">
                  <c:v>37104</c:v>
                </c:pt>
                <c:pt idx="8">
                  <c:v>37135</c:v>
                </c:pt>
                <c:pt idx="9">
                  <c:v>37165</c:v>
                </c:pt>
                <c:pt idx="10">
                  <c:v>37196</c:v>
                </c:pt>
                <c:pt idx="11">
                  <c:v>37226</c:v>
                </c:pt>
                <c:pt idx="12">
                  <c:v>37257</c:v>
                </c:pt>
                <c:pt idx="13">
                  <c:v>37288</c:v>
                </c:pt>
                <c:pt idx="14">
                  <c:v>37316</c:v>
                </c:pt>
                <c:pt idx="15">
                  <c:v>37347</c:v>
                </c:pt>
                <c:pt idx="16">
                  <c:v>37377</c:v>
                </c:pt>
                <c:pt idx="17">
                  <c:v>37408</c:v>
                </c:pt>
                <c:pt idx="18">
                  <c:v>37438</c:v>
                </c:pt>
                <c:pt idx="19">
                  <c:v>37469</c:v>
                </c:pt>
                <c:pt idx="20">
                  <c:v>37500</c:v>
                </c:pt>
                <c:pt idx="21">
                  <c:v>37530</c:v>
                </c:pt>
                <c:pt idx="22">
                  <c:v>37561</c:v>
                </c:pt>
                <c:pt idx="23">
                  <c:v>37591</c:v>
                </c:pt>
                <c:pt idx="24">
                  <c:v>37622</c:v>
                </c:pt>
                <c:pt idx="25">
                  <c:v>37653</c:v>
                </c:pt>
                <c:pt idx="26">
                  <c:v>37681</c:v>
                </c:pt>
                <c:pt idx="27">
                  <c:v>37712</c:v>
                </c:pt>
                <c:pt idx="28">
                  <c:v>37742</c:v>
                </c:pt>
                <c:pt idx="29">
                  <c:v>37773</c:v>
                </c:pt>
                <c:pt idx="30">
                  <c:v>37803</c:v>
                </c:pt>
                <c:pt idx="31">
                  <c:v>37834</c:v>
                </c:pt>
                <c:pt idx="32">
                  <c:v>37865</c:v>
                </c:pt>
                <c:pt idx="33">
                  <c:v>37895</c:v>
                </c:pt>
                <c:pt idx="34">
                  <c:v>37926</c:v>
                </c:pt>
                <c:pt idx="35">
                  <c:v>37956</c:v>
                </c:pt>
                <c:pt idx="36">
                  <c:v>37987</c:v>
                </c:pt>
                <c:pt idx="37">
                  <c:v>38018</c:v>
                </c:pt>
                <c:pt idx="38">
                  <c:v>38047</c:v>
                </c:pt>
                <c:pt idx="39">
                  <c:v>38078</c:v>
                </c:pt>
                <c:pt idx="40">
                  <c:v>38108</c:v>
                </c:pt>
                <c:pt idx="41">
                  <c:v>38139</c:v>
                </c:pt>
                <c:pt idx="42">
                  <c:v>38169</c:v>
                </c:pt>
                <c:pt idx="43">
                  <c:v>38200</c:v>
                </c:pt>
                <c:pt idx="44">
                  <c:v>38231</c:v>
                </c:pt>
                <c:pt idx="45">
                  <c:v>38261</c:v>
                </c:pt>
                <c:pt idx="46">
                  <c:v>38292</c:v>
                </c:pt>
                <c:pt idx="47">
                  <c:v>38322</c:v>
                </c:pt>
                <c:pt idx="48">
                  <c:v>38353</c:v>
                </c:pt>
                <c:pt idx="49">
                  <c:v>38384</c:v>
                </c:pt>
                <c:pt idx="50">
                  <c:v>38412</c:v>
                </c:pt>
                <c:pt idx="51">
                  <c:v>38443</c:v>
                </c:pt>
                <c:pt idx="52">
                  <c:v>38473</c:v>
                </c:pt>
                <c:pt idx="53">
                  <c:v>38504</c:v>
                </c:pt>
                <c:pt idx="54">
                  <c:v>38534</c:v>
                </c:pt>
                <c:pt idx="55">
                  <c:v>38565</c:v>
                </c:pt>
                <c:pt idx="56">
                  <c:v>38596</c:v>
                </c:pt>
                <c:pt idx="57">
                  <c:v>38626</c:v>
                </c:pt>
                <c:pt idx="58">
                  <c:v>38657</c:v>
                </c:pt>
                <c:pt idx="59">
                  <c:v>38687</c:v>
                </c:pt>
                <c:pt idx="60">
                  <c:v>38718</c:v>
                </c:pt>
                <c:pt idx="61">
                  <c:v>38749</c:v>
                </c:pt>
                <c:pt idx="62">
                  <c:v>38777</c:v>
                </c:pt>
                <c:pt idx="63">
                  <c:v>38808</c:v>
                </c:pt>
                <c:pt idx="64">
                  <c:v>38838</c:v>
                </c:pt>
                <c:pt idx="65">
                  <c:v>38869</c:v>
                </c:pt>
                <c:pt idx="66">
                  <c:v>38899</c:v>
                </c:pt>
                <c:pt idx="67">
                  <c:v>38930</c:v>
                </c:pt>
                <c:pt idx="68">
                  <c:v>38961</c:v>
                </c:pt>
                <c:pt idx="69">
                  <c:v>38991</c:v>
                </c:pt>
                <c:pt idx="70">
                  <c:v>39022</c:v>
                </c:pt>
                <c:pt idx="71">
                  <c:v>39052</c:v>
                </c:pt>
                <c:pt idx="72">
                  <c:v>39083</c:v>
                </c:pt>
                <c:pt idx="73">
                  <c:v>39114</c:v>
                </c:pt>
                <c:pt idx="74">
                  <c:v>39142</c:v>
                </c:pt>
                <c:pt idx="75">
                  <c:v>39173</c:v>
                </c:pt>
                <c:pt idx="76">
                  <c:v>39203</c:v>
                </c:pt>
                <c:pt idx="77">
                  <c:v>39234</c:v>
                </c:pt>
                <c:pt idx="78">
                  <c:v>39264</c:v>
                </c:pt>
                <c:pt idx="79">
                  <c:v>39295</c:v>
                </c:pt>
                <c:pt idx="80">
                  <c:v>39326</c:v>
                </c:pt>
                <c:pt idx="81">
                  <c:v>39356</c:v>
                </c:pt>
                <c:pt idx="82">
                  <c:v>39387</c:v>
                </c:pt>
                <c:pt idx="83">
                  <c:v>39417</c:v>
                </c:pt>
                <c:pt idx="84">
                  <c:v>39448</c:v>
                </c:pt>
                <c:pt idx="85">
                  <c:v>39479</c:v>
                </c:pt>
                <c:pt idx="86">
                  <c:v>39508</c:v>
                </c:pt>
                <c:pt idx="87">
                  <c:v>39539</c:v>
                </c:pt>
                <c:pt idx="88">
                  <c:v>39569</c:v>
                </c:pt>
                <c:pt idx="89">
                  <c:v>39600</c:v>
                </c:pt>
                <c:pt idx="90">
                  <c:v>39630</c:v>
                </c:pt>
                <c:pt idx="91">
                  <c:v>39661</c:v>
                </c:pt>
                <c:pt idx="92">
                  <c:v>39692</c:v>
                </c:pt>
                <c:pt idx="93">
                  <c:v>39722</c:v>
                </c:pt>
                <c:pt idx="94">
                  <c:v>39753</c:v>
                </c:pt>
                <c:pt idx="95">
                  <c:v>39783</c:v>
                </c:pt>
                <c:pt idx="96">
                  <c:v>39814</c:v>
                </c:pt>
                <c:pt idx="97">
                  <c:v>39845</c:v>
                </c:pt>
                <c:pt idx="98">
                  <c:v>39873</c:v>
                </c:pt>
                <c:pt idx="99">
                  <c:v>39904</c:v>
                </c:pt>
                <c:pt idx="100">
                  <c:v>39934</c:v>
                </c:pt>
                <c:pt idx="101">
                  <c:v>39965</c:v>
                </c:pt>
                <c:pt idx="102">
                  <c:v>39995</c:v>
                </c:pt>
                <c:pt idx="103">
                  <c:v>40026</c:v>
                </c:pt>
                <c:pt idx="104">
                  <c:v>40057</c:v>
                </c:pt>
                <c:pt idx="105">
                  <c:v>40087</c:v>
                </c:pt>
                <c:pt idx="106">
                  <c:v>40118</c:v>
                </c:pt>
                <c:pt idx="107">
                  <c:v>40148</c:v>
                </c:pt>
                <c:pt idx="108">
                  <c:v>40179</c:v>
                </c:pt>
                <c:pt idx="109">
                  <c:v>40210</c:v>
                </c:pt>
                <c:pt idx="110">
                  <c:v>40238</c:v>
                </c:pt>
                <c:pt idx="111">
                  <c:v>40269</c:v>
                </c:pt>
                <c:pt idx="112">
                  <c:v>40299</c:v>
                </c:pt>
                <c:pt idx="113">
                  <c:v>40330</c:v>
                </c:pt>
                <c:pt idx="114">
                  <c:v>40360</c:v>
                </c:pt>
                <c:pt idx="115">
                  <c:v>40391</c:v>
                </c:pt>
                <c:pt idx="116">
                  <c:v>40422</c:v>
                </c:pt>
                <c:pt idx="117">
                  <c:v>40452</c:v>
                </c:pt>
                <c:pt idx="118">
                  <c:v>40483</c:v>
                </c:pt>
                <c:pt idx="119">
                  <c:v>40513</c:v>
                </c:pt>
                <c:pt idx="120">
                  <c:v>40544</c:v>
                </c:pt>
                <c:pt idx="121">
                  <c:v>40575</c:v>
                </c:pt>
                <c:pt idx="122">
                  <c:v>40603</c:v>
                </c:pt>
                <c:pt idx="123">
                  <c:v>40634</c:v>
                </c:pt>
                <c:pt idx="124">
                  <c:v>40664</c:v>
                </c:pt>
                <c:pt idx="125">
                  <c:v>40695</c:v>
                </c:pt>
                <c:pt idx="126">
                  <c:v>40725</c:v>
                </c:pt>
                <c:pt idx="127">
                  <c:v>40756</c:v>
                </c:pt>
                <c:pt idx="128">
                  <c:v>40787</c:v>
                </c:pt>
                <c:pt idx="129">
                  <c:v>40817</c:v>
                </c:pt>
                <c:pt idx="130">
                  <c:v>40848</c:v>
                </c:pt>
                <c:pt idx="131">
                  <c:v>40878</c:v>
                </c:pt>
                <c:pt idx="132">
                  <c:v>40909</c:v>
                </c:pt>
                <c:pt idx="133">
                  <c:v>40940</c:v>
                </c:pt>
                <c:pt idx="134">
                  <c:v>40969</c:v>
                </c:pt>
                <c:pt idx="135">
                  <c:v>41000</c:v>
                </c:pt>
                <c:pt idx="136">
                  <c:v>41030</c:v>
                </c:pt>
                <c:pt idx="137">
                  <c:v>41061</c:v>
                </c:pt>
                <c:pt idx="138">
                  <c:v>41091</c:v>
                </c:pt>
                <c:pt idx="139">
                  <c:v>41122</c:v>
                </c:pt>
                <c:pt idx="140">
                  <c:v>41153</c:v>
                </c:pt>
                <c:pt idx="141">
                  <c:v>41183</c:v>
                </c:pt>
                <c:pt idx="142">
                  <c:v>41214</c:v>
                </c:pt>
                <c:pt idx="143">
                  <c:v>41244</c:v>
                </c:pt>
                <c:pt idx="144">
                  <c:v>41275</c:v>
                </c:pt>
                <c:pt idx="145">
                  <c:v>41306</c:v>
                </c:pt>
                <c:pt idx="146">
                  <c:v>41334</c:v>
                </c:pt>
                <c:pt idx="147">
                  <c:v>41365</c:v>
                </c:pt>
                <c:pt idx="148">
                  <c:v>41395</c:v>
                </c:pt>
                <c:pt idx="149">
                  <c:v>41426</c:v>
                </c:pt>
                <c:pt idx="150">
                  <c:v>41456</c:v>
                </c:pt>
                <c:pt idx="151">
                  <c:v>41487</c:v>
                </c:pt>
                <c:pt idx="152">
                  <c:v>41518</c:v>
                </c:pt>
                <c:pt idx="153">
                  <c:v>41548</c:v>
                </c:pt>
                <c:pt idx="154">
                  <c:v>41579</c:v>
                </c:pt>
                <c:pt idx="155">
                  <c:v>41609</c:v>
                </c:pt>
                <c:pt idx="156">
                  <c:v>41640</c:v>
                </c:pt>
                <c:pt idx="157">
                  <c:v>41671</c:v>
                </c:pt>
                <c:pt idx="158">
                  <c:v>41699</c:v>
                </c:pt>
                <c:pt idx="159">
                  <c:v>41730</c:v>
                </c:pt>
                <c:pt idx="160">
                  <c:v>41760</c:v>
                </c:pt>
                <c:pt idx="161">
                  <c:v>41791</c:v>
                </c:pt>
              </c:numCache>
            </c:numRef>
          </c:cat>
          <c:val>
            <c:numRef>
              <c:f>Combined!$X$3:$X$167</c:f>
              <c:numCache>
                <c:formatCode>0%</c:formatCode>
                <c:ptCount val="165"/>
                <c:pt idx="0">
                  <c:v>4.3284480459977917E-2</c:v>
                </c:pt>
                <c:pt idx="1">
                  <c:v>0.25324572445377341</c:v>
                </c:pt>
                <c:pt idx="2">
                  <c:v>0.14780919095523701</c:v>
                </c:pt>
                <c:pt idx="3">
                  <c:v>0.18743851531439021</c:v>
                </c:pt>
                <c:pt idx="4">
                  <c:v>0.12409572184845939</c:v>
                </c:pt>
                <c:pt idx="5">
                  <c:v>0.19081964457888881</c:v>
                </c:pt>
                <c:pt idx="6">
                  <c:v>0.13998998949815056</c:v>
                </c:pt>
                <c:pt idx="7">
                  <c:v>0.1801844664564482</c:v>
                </c:pt>
                <c:pt idx="8">
                  <c:v>0.1943527139173736</c:v>
                </c:pt>
                <c:pt idx="9">
                  <c:v>0.250064657135464</c:v>
                </c:pt>
                <c:pt idx="10">
                  <c:v>0.19480290724930349</c:v>
                </c:pt>
                <c:pt idx="11">
                  <c:v>0.2005020582199854</c:v>
                </c:pt>
                <c:pt idx="12">
                  <c:v>0.24407286023533381</c:v>
                </c:pt>
                <c:pt idx="13">
                  <c:v>0.13858039116261481</c:v>
                </c:pt>
                <c:pt idx="14">
                  <c:v>0.16779340100990062</c:v>
                </c:pt>
                <c:pt idx="15">
                  <c:v>0.19259802540143919</c:v>
                </c:pt>
                <c:pt idx="16">
                  <c:v>0.13110915284489488</c:v>
                </c:pt>
                <c:pt idx="17">
                  <c:v>0.1683083947652517</c:v>
                </c:pt>
                <c:pt idx="18">
                  <c:v>0.1527661920983133</c:v>
                </c:pt>
                <c:pt idx="19">
                  <c:v>0.14253967390847821</c:v>
                </c:pt>
                <c:pt idx="20">
                  <c:v>0.1287776295076625</c:v>
                </c:pt>
                <c:pt idx="21">
                  <c:v>0.15665230496277308</c:v>
                </c:pt>
                <c:pt idx="22">
                  <c:v>0.18014238774043329</c:v>
                </c:pt>
                <c:pt idx="23">
                  <c:v>0.13869549521191601</c:v>
                </c:pt>
                <c:pt idx="24">
                  <c:v>0.1836817418318813</c:v>
                </c:pt>
                <c:pt idx="25">
                  <c:v>0.1270722809069707</c:v>
                </c:pt>
                <c:pt idx="26">
                  <c:v>0.1516371826140985</c:v>
                </c:pt>
                <c:pt idx="27">
                  <c:v>0.15663274944229039</c:v>
                </c:pt>
                <c:pt idx="28">
                  <c:v>0.14650593232161349</c:v>
                </c:pt>
                <c:pt idx="29">
                  <c:v>0.16918843576930331</c:v>
                </c:pt>
                <c:pt idx="30">
                  <c:v>0.14968111724693539</c:v>
                </c:pt>
                <c:pt idx="31">
                  <c:v>0.19017051502001839</c:v>
                </c:pt>
                <c:pt idx="32">
                  <c:v>0.1870309530811852</c:v>
                </c:pt>
                <c:pt idx="33">
                  <c:v>0.1904473677617628</c:v>
                </c:pt>
                <c:pt idx="34">
                  <c:v>0.1858561331194083</c:v>
                </c:pt>
                <c:pt idx="35">
                  <c:v>0.19364597337538531</c:v>
                </c:pt>
                <c:pt idx="36">
                  <c:v>0.18580335924976141</c:v>
                </c:pt>
                <c:pt idx="37">
                  <c:v>0.16573803723925509</c:v>
                </c:pt>
                <c:pt idx="38">
                  <c:v>0.1733985368936925</c:v>
                </c:pt>
                <c:pt idx="39">
                  <c:v>0.1501458194789245</c:v>
                </c:pt>
                <c:pt idx="40">
                  <c:v>0.14958184081982029</c:v>
                </c:pt>
                <c:pt idx="41">
                  <c:v>0.16269748808426221</c:v>
                </c:pt>
                <c:pt idx="42">
                  <c:v>0.12730289135578871</c:v>
                </c:pt>
                <c:pt idx="43">
                  <c:v>0.14072519427057681</c:v>
                </c:pt>
                <c:pt idx="44">
                  <c:v>0.1615364109580377</c:v>
                </c:pt>
                <c:pt idx="45">
                  <c:v>0.1508017525036181</c:v>
                </c:pt>
                <c:pt idx="46">
                  <c:v>0.1411645442833418</c:v>
                </c:pt>
                <c:pt idx="47">
                  <c:v>0.1383798592082422</c:v>
                </c:pt>
                <c:pt idx="48">
                  <c:v>0.135737291149223</c:v>
                </c:pt>
                <c:pt idx="49">
                  <c:v>0.14869607094363418</c:v>
                </c:pt>
                <c:pt idx="50">
                  <c:v>0.1179815909712545</c:v>
                </c:pt>
                <c:pt idx="51">
                  <c:v>0.12132104703647639</c:v>
                </c:pt>
                <c:pt idx="52">
                  <c:v>0.13184867818365259</c:v>
                </c:pt>
                <c:pt idx="53">
                  <c:v>0.1298600375964368</c:v>
                </c:pt>
                <c:pt idx="54">
                  <c:v>0.1156837002501909</c:v>
                </c:pt>
                <c:pt idx="55">
                  <c:v>0.13179283666904179</c:v>
                </c:pt>
                <c:pt idx="56">
                  <c:v>0.133215749412149</c:v>
                </c:pt>
                <c:pt idx="57">
                  <c:v>0.13627926115122801</c:v>
                </c:pt>
                <c:pt idx="58">
                  <c:v>0.1228063186529387</c:v>
                </c:pt>
                <c:pt idx="59">
                  <c:v>0.1338439005167775</c:v>
                </c:pt>
                <c:pt idx="60">
                  <c:v>0.1726415972744488</c:v>
                </c:pt>
                <c:pt idx="61">
                  <c:v>0.1203164762893764</c:v>
                </c:pt>
                <c:pt idx="62">
                  <c:v>0.1262510290138569</c:v>
                </c:pt>
                <c:pt idx="63">
                  <c:v>8.3321737236440596E-2</c:v>
                </c:pt>
                <c:pt idx="64">
                  <c:v>9.8298742507478692E-2</c:v>
                </c:pt>
                <c:pt idx="65">
                  <c:v>9.6616713815321109E-2</c:v>
                </c:pt>
                <c:pt idx="66">
                  <c:v>0.1069924264934588</c:v>
                </c:pt>
                <c:pt idx="67">
                  <c:v>8.6798050898467205E-2</c:v>
                </c:pt>
                <c:pt idx="68">
                  <c:v>9.3237749147170895E-2</c:v>
                </c:pt>
                <c:pt idx="69">
                  <c:v>9.8543744544206613E-2</c:v>
                </c:pt>
                <c:pt idx="70">
                  <c:v>7.38519594985457E-2</c:v>
                </c:pt>
                <c:pt idx="71">
                  <c:v>9.0748461522976595E-2</c:v>
                </c:pt>
                <c:pt idx="72">
                  <c:v>5.5691989799297598E-2</c:v>
                </c:pt>
                <c:pt idx="73">
                  <c:v>7.24010108477256E-2</c:v>
                </c:pt>
                <c:pt idx="74">
                  <c:v>7.2135973589496999E-2</c:v>
                </c:pt>
                <c:pt idx="75">
                  <c:v>8.949112285657429E-2</c:v>
                </c:pt>
                <c:pt idx="76">
                  <c:v>0.10069055840492999</c:v>
                </c:pt>
                <c:pt idx="77">
                  <c:v>7.4766070104591603E-2</c:v>
                </c:pt>
                <c:pt idx="78">
                  <c:v>7.9397547833990001E-2</c:v>
                </c:pt>
                <c:pt idx="79">
                  <c:v>7.5419105903561601E-2</c:v>
                </c:pt>
                <c:pt idx="80">
                  <c:v>0.1044801999113803</c:v>
                </c:pt>
                <c:pt idx="81">
                  <c:v>7.262777950436039E-2</c:v>
                </c:pt>
                <c:pt idx="82">
                  <c:v>6.9474802502845795E-2</c:v>
                </c:pt>
                <c:pt idx="83">
                  <c:v>8.53227491125743E-2</c:v>
                </c:pt>
                <c:pt idx="84">
                  <c:v>7.1556686236240508E-2</c:v>
                </c:pt>
                <c:pt idx="85">
                  <c:v>5.9627236923885399E-2</c:v>
                </c:pt>
                <c:pt idx="86">
                  <c:v>5.3406055944725001E-2</c:v>
                </c:pt>
                <c:pt idx="87">
                  <c:v>5.4216508078040598E-2</c:v>
                </c:pt>
                <c:pt idx="88">
                  <c:v>6.3689761144262599E-2</c:v>
                </c:pt>
                <c:pt idx="89">
                  <c:v>7.2617651166743499E-2</c:v>
                </c:pt>
                <c:pt idx="90">
                  <c:v>5.8708388766491301E-2</c:v>
                </c:pt>
                <c:pt idx="91">
                  <c:v>6.1371563110047399E-2</c:v>
                </c:pt>
                <c:pt idx="92">
                  <c:v>6.0017503318662499E-2</c:v>
                </c:pt>
                <c:pt idx="93">
                  <c:v>5.4648405163097401E-2</c:v>
                </c:pt>
                <c:pt idx="94">
                  <c:v>7.0187094800045494E-2</c:v>
                </c:pt>
                <c:pt idx="95">
                  <c:v>6.1575955866028098E-2</c:v>
                </c:pt>
                <c:pt idx="96">
                  <c:v>7.6857520698535908E-2</c:v>
                </c:pt>
                <c:pt idx="97">
                  <c:v>7.3116102748937081E-2</c:v>
                </c:pt>
                <c:pt idx="98">
                  <c:v>7.4901517692922706E-2</c:v>
                </c:pt>
                <c:pt idx="99">
                  <c:v>7.1736249015163081E-2</c:v>
                </c:pt>
                <c:pt idx="100">
                  <c:v>8.7008948167182007E-2</c:v>
                </c:pt>
                <c:pt idx="101">
                  <c:v>8.2049261365133408E-2</c:v>
                </c:pt>
                <c:pt idx="102">
                  <c:v>8.3489862961365763E-2</c:v>
                </c:pt>
                <c:pt idx="103">
                  <c:v>7.7558778719649626E-2</c:v>
                </c:pt>
                <c:pt idx="104">
                  <c:v>8.6629372832637747E-2</c:v>
                </c:pt>
                <c:pt idx="105">
                  <c:v>9.2028572639838199E-2</c:v>
                </c:pt>
                <c:pt idx="106">
                  <c:v>0.10315612955048535</c:v>
                </c:pt>
                <c:pt idx="107">
                  <c:v>9.9798053318545105E-2</c:v>
                </c:pt>
                <c:pt idx="108">
                  <c:v>8.953064051996569E-2</c:v>
                </c:pt>
                <c:pt idx="109">
                  <c:v>9.6982032633371129E-2</c:v>
                </c:pt>
                <c:pt idx="110">
                  <c:v>9.5627049688062515E-2</c:v>
                </c:pt>
                <c:pt idx="111">
                  <c:v>9.7419154889180529E-2</c:v>
                </c:pt>
                <c:pt idx="112">
                  <c:v>9.5070569607852692E-2</c:v>
                </c:pt>
                <c:pt idx="113">
                  <c:v>9.7938695324932296E-2</c:v>
                </c:pt>
                <c:pt idx="114">
                  <c:v>8.3435132254927699E-2</c:v>
                </c:pt>
                <c:pt idx="115">
                  <c:v>9.3701124503084904E-2</c:v>
                </c:pt>
                <c:pt idx="116">
                  <c:v>9.4457667527171343E-2</c:v>
                </c:pt>
                <c:pt idx="117">
                  <c:v>9.7903658893524592E-2</c:v>
                </c:pt>
                <c:pt idx="118">
                  <c:v>0.10041264749305985</c:v>
                </c:pt>
                <c:pt idx="119">
                  <c:v>9.5821092223937171E-2</c:v>
                </c:pt>
                <c:pt idx="120">
                  <c:v>9.9772992763072804E-2</c:v>
                </c:pt>
                <c:pt idx="121">
                  <c:v>9.3441766068328491E-2</c:v>
                </c:pt>
                <c:pt idx="122">
                  <c:v>9.2725261983665208E-2</c:v>
                </c:pt>
                <c:pt idx="123">
                  <c:v>8.5935081212331899E-2</c:v>
                </c:pt>
                <c:pt idx="124">
                  <c:v>8.9500237943544197E-2</c:v>
                </c:pt>
                <c:pt idx="125">
                  <c:v>9.2104027326439006E-2</c:v>
                </c:pt>
                <c:pt idx="126">
                  <c:v>9.2774402766905295E-2</c:v>
                </c:pt>
                <c:pt idx="127">
                  <c:v>9.8641707836204101E-2</c:v>
                </c:pt>
                <c:pt idx="128">
                  <c:v>9.8256751521456201E-2</c:v>
                </c:pt>
                <c:pt idx="129">
                  <c:v>9.0271120893179208E-2</c:v>
                </c:pt>
                <c:pt idx="130">
                  <c:v>8.8502060122883808E-2</c:v>
                </c:pt>
                <c:pt idx="131">
                  <c:v>7.9473986364640703E-2</c:v>
                </c:pt>
                <c:pt idx="132">
                  <c:v>7.9419524487419901E-2</c:v>
                </c:pt>
                <c:pt idx="133">
                  <c:v>6.7136233388570193E-2</c:v>
                </c:pt>
                <c:pt idx="134">
                  <c:v>7.0520882492919296E-2</c:v>
                </c:pt>
                <c:pt idx="135">
                  <c:v>6.8152887258315198E-2</c:v>
                </c:pt>
                <c:pt idx="136">
                  <c:v>6.3245132927812697E-2</c:v>
                </c:pt>
                <c:pt idx="137">
                  <c:v>6.2869868280808802E-2</c:v>
                </c:pt>
                <c:pt idx="138">
                  <c:v>5.4432244576372302E-2</c:v>
                </c:pt>
                <c:pt idx="139">
                  <c:v>5.60800120823284E-2</c:v>
                </c:pt>
                <c:pt idx="140">
                  <c:v>5.8529706744342498E-2</c:v>
                </c:pt>
                <c:pt idx="141">
                  <c:v>5.8201616424430898E-2</c:v>
                </c:pt>
                <c:pt idx="142">
                  <c:v>5.3696093783924502E-2</c:v>
                </c:pt>
                <c:pt idx="143">
                  <c:v>4.9460644489169495E-2</c:v>
                </c:pt>
                <c:pt idx="144">
                  <c:v>5.6089548474853201E-2</c:v>
                </c:pt>
                <c:pt idx="145">
                  <c:v>5.0486199052717097E-2</c:v>
                </c:pt>
                <c:pt idx="146">
                  <c:v>4.9028688204280101E-2</c:v>
                </c:pt>
                <c:pt idx="147">
                  <c:v>4.9015468004274296E-2</c:v>
                </c:pt>
                <c:pt idx="148">
                  <c:v>3.7873256678069997E-2</c:v>
                </c:pt>
                <c:pt idx="149">
                  <c:v>4.17237865557561E-2</c:v>
                </c:pt>
                <c:pt idx="150">
                  <c:v>3.8022784805917802E-2</c:v>
                </c:pt>
                <c:pt idx="151">
                  <c:v>3.8526897762865706E-2</c:v>
                </c:pt>
                <c:pt idx="152">
                  <c:v>3.9272223472097099E-2</c:v>
                </c:pt>
                <c:pt idx="153">
                  <c:v>3.2217999342095405E-2</c:v>
                </c:pt>
                <c:pt idx="154">
                  <c:v>3.4650423509343803E-2</c:v>
                </c:pt>
                <c:pt idx="155">
                  <c:v>2.4046542747953328E-2</c:v>
                </c:pt>
                <c:pt idx="156">
                  <c:v>2.8716445039263003E-2</c:v>
                </c:pt>
                <c:pt idx="157">
                  <c:v>2.7453470294823798E-2</c:v>
                </c:pt>
                <c:pt idx="158">
                  <c:v>3.0580175339676101E-2</c:v>
                </c:pt>
                <c:pt idx="159">
                  <c:v>2.9003120949188901E-2</c:v>
                </c:pt>
                <c:pt idx="160">
                  <c:v>2.380551321914413E-2</c:v>
                </c:pt>
                <c:pt idx="161">
                  <c:v>2.38118003502986E-2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46965504"/>
        <c:axId val="346967040"/>
      </c:lineChart>
      <c:dateAx>
        <c:axId val="346965504"/>
        <c:scaling>
          <c:orientation val="minMax"/>
        </c:scaling>
        <c:delete val="0"/>
        <c:axPos val="b"/>
        <c:numFmt formatCode="m/d/yyyy" sourceLinked="1"/>
        <c:majorTickMark val="out"/>
        <c:minorTickMark val="none"/>
        <c:tickLblPos val="nextTo"/>
        <c:crossAx val="346967040"/>
        <c:crosses val="autoZero"/>
        <c:auto val="1"/>
        <c:lblOffset val="100"/>
        <c:baseTimeUnit val="months"/>
      </c:dateAx>
      <c:valAx>
        <c:axId val="346967040"/>
        <c:scaling>
          <c:orientation val="minMax"/>
        </c:scaling>
        <c:delete val="0"/>
        <c:axPos val="l"/>
        <c:majorGridlines/>
        <c:numFmt formatCode="0%" sourceLinked="1"/>
        <c:majorTickMark val="out"/>
        <c:minorTickMark val="none"/>
        <c:tickLblPos val="nextTo"/>
        <c:crossAx val="346965504"/>
        <c:crosses val="autoZero"/>
        <c:crossBetween val="between"/>
      </c:valAx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Combined!$AA$1:$AA$2</c:f>
              <c:strCache>
                <c:ptCount val="1"/>
                <c:pt idx="0">
                  <c:v>Total FHL</c:v>
                </c:pt>
              </c:strCache>
            </c:strRef>
          </c:tx>
          <c:marker>
            <c:symbol val="none"/>
          </c:marker>
          <c:cat>
            <c:numRef>
              <c:f>Combined!$Z$3:$Z$167</c:f>
              <c:numCache>
                <c:formatCode>m/d/yyyy</c:formatCode>
                <c:ptCount val="165"/>
                <c:pt idx="0">
                  <c:v>36892</c:v>
                </c:pt>
                <c:pt idx="1">
                  <c:v>36923</c:v>
                </c:pt>
                <c:pt idx="2">
                  <c:v>36951</c:v>
                </c:pt>
                <c:pt idx="3">
                  <c:v>36982</c:v>
                </c:pt>
                <c:pt idx="4">
                  <c:v>37012</c:v>
                </c:pt>
                <c:pt idx="5">
                  <c:v>37043</c:v>
                </c:pt>
                <c:pt idx="6">
                  <c:v>37073</c:v>
                </c:pt>
                <c:pt idx="7">
                  <c:v>37104</c:v>
                </c:pt>
                <c:pt idx="8">
                  <c:v>37135</c:v>
                </c:pt>
                <c:pt idx="9">
                  <c:v>37165</c:v>
                </c:pt>
                <c:pt idx="10">
                  <c:v>37196</c:v>
                </c:pt>
                <c:pt idx="11">
                  <c:v>37226</c:v>
                </c:pt>
                <c:pt idx="12">
                  <c:v>37257</c:v>
                </c:pt>
                <c:pt idx="13">
                  <c:v>37288</c:v>
                </c:pt>
                <c:pt idx="14">
                  <c:v>37316</c:v>
                </c:pt>
                <c:pt idx="15">
                  <c:v>37347</c:v>
                </c:pt>
                <c:pt idx="16">
                  <c:v>37377</c:v>
                </c:pt>
                <c:pt idx="17">
                  <c:v>37408</c:v>
                </c:pt>
                <c:pt idx="18">
                  <c:v>37438</c:v>
                </c:pt>
                <c:pt idx="19">
                  <c:v>37469</c:v>
                </c:pt>
                <c:pt idx="20">
                  <c:v>37500</c:v>
                </c:pt>
                <c:pt idx="21">
                  <c:v>37530</c:v>
                </c:pt>
                <c:pt idx="22">
                  <c:v>37561</c:v>
                </c:pt>
                <c:pt idx="23">
                  <c:v>37591</c:v>
                </c:pt>
                <c:pt idx="24">
                  <c:v>37622</c:v>
                </c:pt>
                <c:pt idx="25">
                  <c:v>37653</c:v>
                </c:pt>
                <c:pt idx="26">
                  <c:v>37681</c:v>
                </c:pt>
                <c:pt idx="27">
                  <c:v>37712</c:v>
                </c:pt>
                <c:pt idx="28">
                  <c:v>37742</c:v>
                </c:pt>
                <c:pt idx="29">
                  <c:v>37773</c:v>
                </c:pt>
                <c:pt idx="30">
                  <c:v>37803</c:v>
                </c:pt>
                <c:pt idx="31">
                  <c:v>37834</c:v>
                </c:pt>
                <c:pt idx="32">
                  <c:v>37865</c:v>
                </c:pt>
                <c:pt idx="33">
                  <c:v>37895</c:v>
                </c:pt>
                <c:pt idx="34">
                  <c:v>37926</c:v>
                </c:pt>
                <c:pt idx="35">
                  <c:v>37956</c:v>
                </c:pt>
                <c:pt idx="36">
                  <c:v>37987</c:v>
                </c:pt>
                <c:pt idx="37">
                  <c:v>38018</c:v>
                </c:pt>
                <c:pt idx="38">
                  <c:v>38047</c:v>
                </c:pt>
                <c:pt idx="39">
                  <c:v>38078</c:v>
                </c:pt>
                <c:pt idx="40">
                  <c:v>38108</c:v>
                </c:pt>
                <c:pt idx="41">
                  <c:v>38139</c:v>
                </c:pt>
                <c:pt idx="42">
                  <c:v>38169</c:v>
                </c:pt>
                <c:pt idx="43">
                  <c:v>38200</c:v>
                </c:pt>
                <c:pt idx="44">
                  <c:v>38231</c:v>
                </c:pt>
                <c:pt idx="45">
                  <c:v>38261</c:v>
                </c:pt>
                <c:pt idx="46">
                  <c:v>38292</c:v>
                </c:pt>
                <c:pt idx="47">
                  <c:v>38322</c:v>
                </c:pt>
                <c:pt idx="48">
                  <c:v>38353</c:v>
                </c:pt>
                <c:pt idx="49">
                  <c:v>38384</c:v>
                </c:pt>
                <c:pt idx="50">
                  <c:v>38412</c:v>
                </c:pt>
                <c:pt idx="51">
                  <c:v>38443</c:v>
                </c:pt>
                <c:pt idx="52">
                  <c:v>38473</c:v>
                </c:pt>
                <c:pt idx="53">
                  <c:v>38504</c:v>
                </c:pt>
                <c:pt idx="54">
                  <c:v>38534</c:v>
                </c:pt>
                <c:pt idx="55">
                  <c:v>38565</c:v>
                </c:pt>
                <c:pt idx="56">
                  <c:v>38596</c:v>
                </c:pt>
                <c:pt idx="57">
                  <c:v>38626</c:v>
                </c:pt>
                <c:pt idx="58">
                  <c:v>38657</c:v>
                </c:pt>
                <c:pt idx="59">
                  <c:v>38687</c:v>
                </c:pt>
                <c:pt idx="60">
                  <c:v>38718</c:v>
                </c:pt>
                <c:pt idx="61">
                  <c:v>38749</c:v>
                </c:pt>
                <c:pt idx="62">
                  <c:v>38777</c:v>
                </c:pt>
                <c:pt idx="63">
                  <c:v>38808</c:v>
                </c:pt>
                <c:pt idx="64">
                  <c:v>38838</c:v>
                </c:pt>
                <c:pt idx="65">
                  <c:v>38869</c:v>
                </c:pt>
                <c:pt idx="66">
                  <c:v>38899</c:v>
                </c:pt>
                <c:pt idx="67">
                  <c:v>38930</c:v>
                </c:pt>
                <c:pt idx="68">
                  <c:v>38961</c:v>
                </c:pt>
                <c:pt idx="69">
                  <c:v>38991</c:v>
                </c:pt>
                <c:pt idx="70">
                  <c:v>39022</c:v>
                </c:pt>
                <c:pt idx="71">
                  <c:v>39052</c:v>
                </c:pt>
                <c:pt idx="72">
                  <c:v>39083</c:v>
                </c:pt>
                <c:pt idx="73">
                  <c:v>39114</c:v>
                </c:pt>
                <c:pt idx="74">
                  <c:v>39142</c:v>
                </c:pt>
                <c:pt idx="75">
                  <c:v>39173</c:v>
                </c:pt>
                <c:pt idx="76">
                  <c:v>39203</c:v>
                </c:pt>
                <c:pt idx="77">
                  <c:v>39234</c:v>
                </c:pt>
                <c:pt idx="78">
                  <c:v>39264</c:v>
                </c:pt>
                <c:pt idx="79">
                  <c:v>39295</c:v>
                </c:pt>
                <c:pt idx="80">
                  <c:v>39326</c:v>
                </c:pt>
                <c:pt idx="81">
                  <c:v>39356</c:v>
                </c:pt>
                <c:pt idx="82">
                  <c:v>39387</c:v>
                </c:pt>
                <c:pt idx="83">
                  <c:v>39417</c:v>
                </c:pt>
                <c:pt idx="84">
                  <c:v>39448</c:v>
                </c:pt>
                <c:pt idx="85">
                  <c:v>39479</c:v>
                </c:pt>
                <c:pt idx="86">
                  <c:v>39508</c:v>
                </c:pt>
                <c:pt idx="87">
                  <c:v>39539</c:v>
                </c:pt>
                <c:pt idx="88">
                  <c:v>39569</c:v>
                </c:pt>
                <c:pt idx="89">
                  <c:v>39600</c:v>
                </c:pt>
                <c:pt idx="90">
                  <c:v>39630</c:v>
                </c:pt>
                <c:pt idx="91">
                  <c:v>39661</c:v>
                </c:pt>
                <c:pt idx="92">
                  <c:v>39692</c:v>
                </c:pt>
                <c:pt idx="93">
                  <c:v>39722</c:v>
                </c:pt>
                <c:pt idx="94">
                  <c:v>39753</c:v>
                </c:pt>
                <c:pt idx="95">
                  <c:v>39783</c:v>
                </c:pt>
                <c:pt idx="96">
                  <c:v>39814</c:v>
                </c:pt>
                <c:pt idx="97">
                  <c:v>39845</c:v>
                </c:pt>
                <c:pt idx="98">
                  <c:v>39873</c:v>
                </c:pt>
                <c:pt idx="99">
                  <c:v>39904</c:v>
                </c:pt>
                <c:pt idx="100">
                  <c:v>39934</c:v>
                </c:pt>
                <c:pt idx="101">
                  <c:v>39965</c:v>
                </c:pt>
                <c:pt idx="102">
                  <c:v>39995</c:v>
                </c:pt>
                <c:pt idx="103">
                  <c:v>40026</c:v>
                </c:pt>
                <c:pt idx="104">
                  <c:v>40057</c:v>
                </c:pt>
                <c:pt idx="105">
                  <c:v>40087</c:v>
                </c:pt>
                <c:pt idx="106">
                  <c:v>40118</c:v>
                </c:pt>
                <c:pt idx="107">
                  <c:v>40148</c:v>
                </c:pt>
                <c:pt idx="108">
                  <c:v>40179</c:v>
                </c:pt>
                <c:pt idx="109">
                  <c:v>40210</c:v>
                </c:pt>
                <c:pt idx="110">
                  <c:v>40238</c:v>
                </c:pt>
                <c:pt idx="111">
                  <c:v>40269</c:v>
                </c:pt>
                <c:pt idx="112">
                  <c:v>40299</c:v>
                </c:pt>
                <c:pt idx="113">
                  <c:v>40330</c:v>
                </c:pt>
                <c:pt idx="114">
                  <c:v>40360</c:v>
                </c:pt>
                <c:pt idx="115">
                  <c:v>40391</c:v>
                </c:pt>
                <c:pt idx="116">
                  <c:v>40422</c:v>
                </c:pt>
                <c:pt idx="117">
                  <c:v>40452</c:v>
                </c:pt>
                <c:pt idx="118">
                  <c:v>40483</c:v>
                </c:pt>
                <c:pt idx="119">
                  <c:v>40513</c:v>
                </c:pt>
                <c:pt idx="120">
                  <c:v>40544</c:v>
                </c:pt>
                <c:pt idx="121">
                  <c:v>40575</c:v>
                </c:pt>
                <c:pt idx="122">
                  <c:v>40603</c:v>
                </c:pt>
                <c:pt idx="123">
                  <c:v>40634</c:v>
                </c:pt>
                <c:pt idx="124">
                  <c:v>40664</c:v>
                </c:pt>
                <c:pt idx="125">
                  <c:v>40695</c:v>
                </c:pt>
                <c:pt idx="126">
                  <c:v>40725</c:v>
                </c:pt>
                <c:pt idx="127">
                  <c:v>40756</c:v>
                </c:pt>
                <c:pt idx="128">
                  <c:v>40787</c:v>
                </c:pt>
                <c:pt idx="129">
                  <c:v>40817</c:v>
                </c:pt>
                <c:pt idx="130">
                  <c:v>40848</c:v>
                </c:pt>
                <c:pt idx="131">
                  <c:v>40878</c:v>
                </c:pt>
                <c:pt idx="132">
                  <c:v>40909</c:v>
                </c:pt>
                <c:pt idx="133">
                  <c:v>40940</c:v>
                </c:pt>
                <c:pt idx="134">
                  <c:v>40969</c:v>
                </c:pt>
                <c:pt idx="135">
                  <c:v>41000</c:v>
                </c:pt>
                <c:pt idx="136">
                  <c:v>41030</c:v>
                </c:pt>
                <c:pt idx="137">
                  <c:v>41061</c:v>
                </c:pt>
                <c:pt idx="138">
                  <c:v>41091</c:v>
                </c:pt>
                <c:pt idx="139">
                  <c:v>41122</c:v>
                </c:pt>
                <c:pt idx="140">
                  <c:v>41153</c:v>
                </c:pt>
                <c:pt idx="141">
                  <c:v>41183</c:v>
                </c:pt>
                <c:pt idx="142">
                  <c:v>41214</c:v>
                </c:pt>
                <c:pt idx="143">
                  <c:v>41244</c:v>
                </c:pt>
                <c:pt idx="144">
                  <c:v>41275</c:v>
                </c:pt>
                <c:pt idx="145">
                  <c:v>41306</c:v>
                </c:pt>
                <c:pt idx="146">
                  <c:v>41334</c:v>
                </c:pt>
                <c:pt idx="147">
                  <c:v>41365</c:v>
                </c:pt>
                <c:pt idx="148">
                  <c:v>41395</c:v>
                </c:pt>
                <c:pt idx="149">
                  <c:v>41426</c:v>
                </c:pt>
                <c:pt idx="150">
                  <c:v>41456</c:v>
                </c:pt>
                <c:pt idx="151">
                  <c:v>41487</c:v>
                </c:pt>
                <c:pt idx="152">
                  <c:v>41518</c:v>
                </c:pt>
                <c:pt idx="153">
                  <c:v>41548</c:v>
                </c:pt>
                <c:pt idx="154">
                  <c:v>41579</c:v>
                </c:pt>
                <c:pt idx="155">
                  <c:v>41609</c:v>
                </c:pt>
                <c:pt idx="156">
                  <c:v>41640</c:v>
                </c:pt>
                <c:pt idx="157">
                  <c:v>41671</c:v>
                </c:pt>
                <c:pt idx="158">
                  <c:v>41699</c:v>
                </c:pt>
                <c:pt idx="159">
                  <c:v>41730</c:v>
                </c:pt>
                <c:pt idx="160">
                  <c:v>41760</c:v>
                </c:pt>
                <c:pt idx="161">
                  <c:v>41791</c:v>
                </c:pt>
              </c:numCache>
            </c:numRef>
          </c:cat>
          <c:val>
            <c:numRef>
              <c:f>Combined!$AA$3:$AA$167</c:f>
              <c:numCache>
                <c:formatCode>0%</c:formatCode>
                <c:ptCount val="165"/>
                <c:pt idx="0">
                  <c:v>3.6380462945255598E-2</c:v>
                </c:pt>
                <c:pt idx="1">
                  <c:v>3.34029122610714E-2</c:v>
                </c:pt>
                <c:pt idx="2">
                  <c:v>4.26619836268647E-2</c:v>
                </c:pt>
                <c:pt idx="3">
                  <c:v>2.2597554884542501E-2</c:v>
                </c:pt>
                <c:pt idx="4">
                  <c:v>1.19238873015247E-2</c:v>
                </c:pt>
                <c:pt idx="5">
                  <c:v>2.1925472924689202E-2</c:v>
                </c:pt>
                <c:pt idx="6">
                  <c:v>6.7293689851821506E-2</c:v>
                </c:pt>
                <c:pt idx="7">
                  <c:v>6.1930282270194502E-2</c:v>
                </c:pt>
                <c:pt idx="8">
                  <c:v>5.4134332503399399E-2</c:v>
                </c:pt>
                <c:pt idx="9">
                  <c:v>6.3367515620354406E-2</c:v>
                </c:pt>
                <c:pt idx="10">
                  <c:v>9.0237870764117004E-2</c:v>
                </c:pt>
                <c:pt idx="11">
                  <c:v>7.3543568946068394E-2</c:v>
                </c:pt>
                <c:pt idx="12">
                  <c:v>7.1226648566513298E-2</c:v>
                </c:pt>
                <c:pt idx="13">
                  <c:v>6.3859885513273595E-2</c:v>
                </c:pt>
                <c:pt idx="14">
                  <c:v>6.2534381308589307E-2</c:v>
                </c:pt>
                <c:pt idx="15">
                  <c:v>6.3005403673622104E-2</c:v>
                </c:pt>
                <c:pt idx="16">
                  <c:v>8.0618539325873095E-2</c:v>
                </c:pt>
                <c:pt idx="17">
                  <c:v>5.7851494985326601E-2</c:v>
                </c:pt>
                <c:pt idx="18">
                  <c:v>7.5196223926076E-2</c:v>
                </c:pt>
                <c:pt idx="19">
                  <c:v>8.3452543301422794E-2</c:v>
                </c:pt>
                <c:pt idx="20">
                  <c:v>7.4983754664951205E-2</c:v>
                </c:pt>
                <c:pt idx="21">
                  <c:v>9.6411121167592095E-2</c:v>
                </c:pt>
                <c:pt idx="22">
                  <c:v>8.4777921856008603E-2</c:v>
                </c:pt>
                <c:pt idx="23">
                  <c:v>8.8327093489043898E-2</c:v>
                </c:pt>
                <c:pt idx="24">
                  <c:v>0.10205334144254299</c:v>
                </c:pt>
                <c:pt idx="25">
                  <c:v>7.6544021105789006E-2</c:v>
                </c:pt>
                <c:pt idx="26">
                  <c:v>8.1043877046003202E-2</c:v>
                </c:pt>
                <c:pt idx="27">
                  <c:v>7.9694273285452297E-2</c:v>
                </c:pt>
                <c:pt idx="28">
                  <c:v>7.2973305763976204E-2</c:v>
                </c:pt>
                <c:pt idx="29">
                  <c:v>7.1852749244112904E-2</c:v>
                </c:pt>
                <c:pt idx="30">
                  <c:v>7.8783280598977698E-2</c:v>
                </c:pt>
                <c:pt idx="31">
                  <c:v>8.9446524020438498E-2</c:v>
                </c:pt>
                <c:pt idx="32">
                  <c:v>9.6701435317356393E-2</c:v>
                </c:pt>
                <c:pt idx="33">
                  <c:v>0.104204483196514</c:v>
                </c:pt>
                <c:pt idx="34">
                  <c:v>0.11346640332565</c:v>
                </c:pt>
                <c:pt idx="35">
                  <c:v>0.100986207028109</c:v>
                </c:pt>
                <c:pt idx="36">
                  <c:v>0.11534897911467901</c:v>
                </c:pt>
                <c:pt idx="37">
                  <c:v>0.108211708685444</c:v>
                </c:pt>
                <c:pt idx="38">
                  <c:v>9.8655298723853105E-2</c:v>
                </c:pt>
                <c:pt idx="39">
                  <c:v>0.1212731160656</c:v>
                </c:pt>
                <c:pt idx="40">
                  <c:v>0.115960326126979</c:v>
                </c:pt>
                <c:pt idx="41">
                  <c:v>0.118355808205522</c:v>
                </c:pt>
                <c:pt idx="42">
                  <c:v>0.118140332822079</c:v>
                </c:pt>
                <c:pt idx="43">
                  <c:v>0.119729588533524</c:v>
                </c:pt>
                <c:pt idx="44">
                  <c:v>0.12761566896701099</c:v>
                </c:pt>
                <c:pt idx="45">
                  <c:v>0.113475993815848</c:v>
                </c:pt>
                <c:pt idx="46">
                  <c:v>0.102529610435</c:v>
                </c:pt>
                <c:pt idx="47">
                  <c:v>0.124184868071389</c:v>
                </c:pt>
                <c:pt idx="48">
                  <c:v>0.13711982119148999</c:v>
                </c:pt>
                <c:pt idx="49">
                  <c:v>0.14265768410028801</c:v>
                </c:pt>
                <c:pt idx="50">
                  <c:v>0.15834876532164799</c:v>
                </c:pt>
                <c:pt idx="51">
                  <c:v>0.14962090431887001</c:v>
                </c:pt>
                <c:pt idx="52">
                  <c:v>0.14450737908221301</c:v>
                </c:pt>
                <c:pt idx="53">
                  <c:v>0.15284686723885499</c:v>
                </c:pt>
                <c:pt idx="54">
                  <c:v>0.16159383514133599</c:v>
                </c:pt>
                <c:pt idx="55">
                  <c:v>0.153396994367337</c:v>
                </c:pt>
                <c:pt idx="56">
                  <c:v>0.17182987729452701</c:v>
                </c:pt>
                <c:pt idx="57">
                  <c:v>0.171693259818998</c:v>
                </c:pt>
                <c:pt idx="58">
                  <c:v>0.17063559329712299</c:v>
                </c:pt>
                <c:pt idx="59">
                  <c:v>0.176342462176651</c:v>
                </c:pt>
                <c:pt idx="60">
                  <c:v>0.17412232819013199</c:v>
                </c:pt>
                <c:pt idx="61">
                  <c:v>0.19161199902188</c:v>
                </c:pt>
                <c:pt idx="62">
                  <c:v>0.17936510382555099</c:v>
                </c:pt>
                <c:pt idx="63">
                  <c:v>0.16225788593125001</c:v>
                </c:pt>
                <c:pt idx="64">
                  <c:v>0.18840934173101101</c:v>
                </c:pt>
                <c:pt idx="65">
                  <c:v>0.15670948010290101</c:v>
                </c:pt>
                <c:pt idx="66">
                  <c:v>0.19576276807359</c:v>
                </c:pt>
                <c:pt idx="67">
                  <c:v>0.180199943136955</c:v>
                </c:pt>
                <c:pt idx="68">
                  <c:v>0.20581101383825201</c:v>
                </c:pt>
                <c:pt idx="69">
                  <c:v>0.19531502680593199</c:v>
                </c:pt>
                <c:pt idx="70">
                  <c:v>0.21193079702902501</c:v>
                </c:pt>
                <c:pt idx="71">
                  <c:v>0.16963282564703899</c:v>
                </c:pt>
                <c:pt idx="72">
                  <c:v>0.16635428445355799</c:v>
                </c:pt>
                <c:pt idx="73">
                  <c:v>0.189853579303814</c:v>
                </c:pt>
                <c:pt idx="74">
                  <c:v>0.19519771772748001</c:v>
                </c:pt>
                <c:pt idx="75">
                  <c:v>0.20156229686126501</c:v>
                </c:pt>
                <c:pt idx="76">
                  <c:v>0.16607278666948899</c:v>
                </c:pt>
                <c:pt idx="77">
                  <c:v>0.18087568462998699</c:v>
                </c:pt>
                <c:pt idx="78">
                  <c:v>0.18270231399016301</c:v>
                </c:pt>
                <c:pt idx="79">
                  <c:v>0.19862004042443901</c:v>
                </c:pt>
                <c:pt idx="80">
                  <c:v>0.23109791153122</c:v>
                </c:pt>
                <c:pt idx="81">
                  <c:v>0.210867035591875</c:v>
                </c:pt>
                <c:pt idx="82">
                  <c:v>0.23143418683580799</c:v>
                </c:pt>
                <c:pt idx="83">
                  <c:v>0.226828633565786</c:v>
                </c:pt>
                <c:pt idx="84">
                  <c:v>0.22201092389946001</c:v>
                </c:pt>
                <c:pt idx="85">
                  <c:v>0.21308090396566101</c:v>
                </c:pt>
                <c:pt idx="86">
                  <c:v>0.22602179155449001</c:v>
                </c:pt>
                <c:pt idx="87">
                  <c:v>0.24761041545259699</c:v>
                </c:pt>
                <c:pt idx="88">
                  <c:v>0.24365932772718699</c:v>
                </c:pt>
                <c:pt idx="89">
                  <c:v>0.25059349400914899</c:v>
                </c:pt>
                <c:pt idx="90">
                  <c:v>0.24132792104103601</c:v>
                </c:pt>
                <c:pt idx="91">
                  <c:v>0.252827612928815</c:v>
                </c:pt>
                <c:pt idx="92">
                  <c:v>0.25218912982534403</c:v>
                </c:pt>
                <c:pt idx="93">
                  <c:v>0.26204568471977602</c:v>
                </c:pt>
                <c:pt idx="94">
                  <c:v>0.27737033255159399</c:v>
                </c:pt>
                <c:pt idx="95">
                  <c:v>0.30567044564816598</c:v>
                </c:pt>
                <c:pt idx="96">
                  <c:v>0.30828548076795798</c:v>
                </c:pt>
                <c:pt idx="97">
                  <c:v>0.32303203103545403</c:v>
                </c:pt>
                <c:pt idx="98">
                  <c:v>0.33843423649273502</c:v>
                </c:pt>
                <c:pt idx="99">
                  <c:v>0.33728791439053302</c:v>
                </c:pt>
                <c:pt idx="100">
                  <c:v>0.33994544918901298</c:v>
                </c:pt>
                <c:pt idx="101">
                  <c:v>0.35569922453914399</c:v>
                </c:pt>
                <c:pt idx="102">
                  <c:v>0.335423880411924</c:v>
                </c:pt>
                <c:pt idx="103">
                  <c:v>0.347001916359373</c:v>
                </c:pt>
                <c:pt idx="104">
                  <c:v>0.36756495512579201</c:v>
                </c:pt>
                <c:pt idx="105">
                  <c:v>0.36794843344073502</c:v>
                </c:pt>
                <c:pt idx="106">
                  <c:v>0.34693260420951</c:v>
                </c:pt>
                <c:pt idx="107">
                  <c:v>0.36532536018498901</c:v>
                </c:pt>
                <c:pt idx="108">
                  <c:v>0.37966962187328002</c:v>
                </c:pt>
                <c:pt idx="109">
                  <c:v>0.382598401378415</c:v>
                </c:pt>
                <c:pt idx="110">
                  <c:v>0.39029739439168698</c:v>
                </c:pt>
                <c:pt idx="111">
                  <c:v>0.396590801734305</c:v>
                </c:pt>
                <c:pt idx="112">
                  <c:v>0.38845049711444801</c:v>
                </c:pt>
                <c:pt idx="113">
                  <c:v>0.399156610856508</c:v>
                </c:pt>
                <c:pt idx="114">
                  <c:v>0.42147411222743297</c:v>
                </c:pt>
                <c:pt idx="115">
                  <c:v>0.42234806292080801</c:v>
                </c:pt>
                <c:pt idx="116">
                  <c:v>0.43602040107240198</c:v>
                </c:pt>
                <c:pt idx="117">
                  <c:v>0.42339472979671899</c:v>
                </c:pt>
                <c:pt idx="118">
                  <c:v>0.43325679224739999</c:v>
                </c:pt>
                <c:pt idx="119">
                  <c:v>0.44452730799893703</c:v>
                </c:pt>
                <c:pt idx="120">
                  <c:v>0.46306147384580798</c:v>
                </c:pt>
                <c:pt idx="121">
                  <c:v>0.46860040214888399</c:v>
                </c:pt>
                <c:pt idx="122">
                  <c:v>0.47511675009799997</c:v>
                </c:pt>
                <c:pt idx="123">
                  <c:v>0.46535339197076803</c:v>
                </c:pt>
                <c:pt idx="124">
                  <c:v>0.46811843937081898</c:v>
                </c:pt>
                <c:pt idx="125">
                  <c:v>0.46749424452865301</c:v>
                </c:pt>
                <c:pt idx="126">
                  <c:v>0.47649703530200799</c:v>
                </c:pt>
                <c:pt idx="127">
                  <c:v>0.47846384086626098</c:v>
                </c:pt>
                <c:pt idx="128">
                  <c:v>0.47619814495488599</c:v>
                </c:pt>
                <c:pt idx="129">
                  <c:v>0.47897892754515198</c:v>
                </c:pt>
                <c:pt idx="130">
                  <c:v>0.48503913417529598</c:v>
                </c:pt>
                <c:pt idx="131">
                  <c:v>0.47584101664762801</c:v>
                </c:pt>
                <c:pt idx="132">
                  <c:v>0.49644920746958898</c:v>
                </c:pt>
                <c:pt idx="133">
                  <c:v>0.48596985776559998</c:v>
                </c:pt>
                <c:pt idx="134">
                  <c:v>0.48072014735215901</c:v>
                </c:pt>
                <c:pt idx="135">
                  <c:v>0.46778128993937901</c:v>
                </c:pt>
                <c:pt idx="136">
                  <c:v>0.46175415215648402</c:v>
                </c:pt>
                <c:pt idx="137">
                  <c:v>0.46728803828988003</c:v>
                </c:pt>
                <c:pt idx="138">
                  <c:v>0.46196610051605602</c:v>
                </c:pt>
                <c:pt idx="139">
                  <c:v>0.456333113838788</c:v>
                </c:pt>
                <c:pt idx="140">
                  <c:v>0.45406034427370401</c:v>
                </c:pt>
                <c:pt idx="141">
                  <c:v>0.46090012654950002</c:v>
                </c:pt>
                <c:pt idx="142">
                  <c:v>0.44812781787611899</c:v>
                </c:pt>
                <c:pt idx="143">
                  <c:v>0.445303801018189</c:v>
                </c:pt>
                <c:pt idx="144">
                  <c:v>0.46657080135757301</c:v>
                </c:pt>
                <c:pt idx="145">
                  <c:v>0.45664467742201498</c:v>
                </c:pt>
                <c:pt idx="146">
                  <c:v>0.45530763990856199</c:v>
                </c:pt>
                <c:pt idx="147">
                  <c:v>0.45771173519590402</c:v>
                </c:pt>
                <c:pt idx="148">
                  <c:v>0.45856559145152898</c:v>
                </c:pt>
                <c:pt idx="149">
                  <c:v>0.45206413699043901</c:v>
                </c:pt>
                <c:pt idx="150">
                  <c:v>0.45222303007822301</c:v>
                </c:pt>
                <c:pt idx="151">
                  <c:v>0.46082789042621503</c:v>
                </c:pt>
                <c:pt idx="152">
                  <c:v>0.47113094272475098</c:v>
                </c:pt>
                <c:pt idx="153">
                  <c:v>0.49656148203537098</c:v>
                </c:pt>
                <c:pt idx="154">
                  <c:v>0.48949267907654997</c:v>
                </c:pt>
                <c:pt idx="155">
                  <c:v>0.50404425657948904</c:v>
                </c:pt>
                <c:pt idx="156">
                  <c:v>0.52747635785932301</c:v>
                </c:pt>
                <c:pt idx="157">
                  <c:v>0.53553656133998695</c:v>
                </c:pt>
                <c:pt idx="158">
                  <c:v>0.52405095464905604</c:v>
                </c:pt>
                <c:pt idx="159">
                  <c:v>0.52912773488002995</c:v>
                </c:pt>
                <c:pt idx="160">
                  <c:v>0.53332721084174395</c:v>
                </c:pt>
                <c:pt idx="161">
                  <c:v>0.55945875963153402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Combined!$AB$1:$AB$2</c:f>
              <c:strCache>
                <c:ptCount val="1"/>
                <c:pt idx="0">
                  <c:v>Total FNMA</c:v>
                </c:pt>
              </c:strCache>
            </c:strRef>
          </c:tx>
          <c:marker>
            <c:symbol val="none"/>
          </c:marker>
          <c:cat>
            <c:numRef>
              <c:f>Combined!$Z$3:$Z$167</c:f>
              <c:numCache>
                <c:formatCode>m/d/yyyy</c:formatCode>
                <c:ptCount val="165"/>
                <c:pt idx="0">
                  <c:v>36892</c:v>
                </c:pt>
                <c:pt idx="1">
                  <c:v>36923</c:v>
                </c:pt>
                <c:pt idx="2">
                  <c:v>36951</c:v>
                </c:pt>
                <c:pt idx="3">
                  <c:v>36982</c:v>
                </c:pt>
                <c:pt idx="4">
                  <c:v>37012</c:v>
                </c:pt>
                <c:pt idx="5">
                  <c:v>37043</c:v>
                </c:pt>
                <c:pt idx="6">
                  <c:v>37073</c:v>
                </c:pt>
                <c:pt idx="7">
                  <c:v>37104</c:v>
                </c:pt>
                <c:pt idx="8">
                  <c:v>37135</c:v>
                </c:pt>
                <c:pt idx="9">
                  <c:v>37165</c:v>
                </c:pt>
                <c:pt idx="10">
                  <c:v>37196</c:v>
                </c:pt>
                <c:pt idx="11">
                  <c:v>37226</c:v>
                </c:pt>
                <c:pt idx="12">
                  <c:v>37257</c:v>
                </c:pt>
                <c:pt idx="13">
                  <c:v>37288</c:v>
                </c:pt>
                <c:pt idx="14">
                  <c:v>37316</c:v>
                </c:pt>
                <c:pt idx="15">
                  <c:v>37347</c:v>
                </c:pt>
                <c:pt idx="16">
                  <c:v>37377</c:v>
                </c:pt>
                <c:pt idx="17">
                  <c:v>37408</c:v>
                </c:pt>
                <c:pt idx="18">
                  <c:v>37438</c:v>
                </c:pt>
                <c:pt idx="19">
                  <c:v>37469</c:v>
                </c:pt>
                <c:pt idx="20">
                  <c:v>37500</c:v>
                </c:pt>
                <c:pt idx="21">
                  <c:v>37530</c:v>
                </c:pt>
                <c:pt idx="22">
                  <c:v>37561</c:v>
                </c:pt>
                <c:pt idx="23">
                  <c:v>37591</c:v>
                </c:pt>
                <c:pt idx="24">
                  <c:v>37622</c:v>
                </c:pt>
                <c:pt idx="25">
                  <c:v>37653</c:v>
                </c:pt>
                <c:pt idx="26">
                  <c:v>37681</c:v>
                </c:pt>
                <c:pt idx="27">
                  <c:v>37712</c:v>
                </c:pt>
                <c:pt idx="28">
                  <c:v>37742</c:v>
                </c:pt>
                <c:pt idx="29">
                  <c:v>37773</c:v>
                </c:pt>
                <c:pt idx="30">
                  <c:v>37803</c:v>
                </c:pt>
                <c:pt idx="31">
                  <c:v>37834</c:v>
                </c:pt>
                <c:pt idx="32">
                  <c:v>37865</c:v>
                </c:pt>
                <c:pt idx="33">
                  <c:v>37895</c:v>
                </c:pt>
                <c:pt idx="34">
                  <c:v>37926</c:v>
                </c:pt>
                <c:pt idx="35">
                  <c:v>37956</c:v>
                </c:pt>
                <c:pt idx="36">
                  <c:v>37987</c:v>
                </c:pt>
                <c:pt idx="37">
                  <c:v>38018</c:v>
                </c:pt>
                <c:pt idx="38">
                  <c:v>38047</c:v>
                </c:pt>
                <c:pt idx="39">
                  <c:v>38078</c:v>
                </c:pt>
                <c:pt idx="40">
                  <c:v>38108</c:v>
                </c:pt>
                <c:pt idx="41">
                  <c:v>38139</c:v>
                </c:pt>
                <c:pt idx="42">
                  <c:v>38169</c:v>
                </c:pt>
                <c:pt idx="43">
                  <c:v>38200</c:v>
                </c:pt>
                <c:pt idx="44">
                  <c:v>38231</c:v>
                </c:pt>
                <c:pt idx="45">
                  <c:v>38261</c:v>
                </c:pt>
                <c:pt idx="46">
                  <c:v>38292</c:v>
                </c:pt>
                <c:pt idx="47">
                  <c:v>38322</c:v>
                </c:pt>
                <c:pt idx="48">
                  <c:v>38353</c:v>
                </c:pt>
                <c:pt idx="49">
                  <c:v>38384</c:v>
                </c:pt>
                <c:pt idx="50">
                  <c:v>38412</c:v>
                </c:pt>
                <c:pt idx="51">
                  <c:v>38443</c:v>
                </c:pt>
                <c:pt idx="52">
                  <c:v>38473</c:v>
                </c:pt>
                <c:pt idx="53">
                  <c:v>38504</c:v>
                </c:pt>
                <c:pt idx="54">
                  <c:v>38534</c:v>
                </c:pt>
                <c:pt idx="55">
                  <c:v>38565</c:v>
                </c:pt>
                <c:pt idx="56">
                  <c:v>38596</c:v>
                </c:pt>
                <c:pt idx="57">
                  <c:v>38626</c:v>
                </c:pt>
                <c:pt idx="58">
                  <c:v>38657</c:v>
                </c:pt>
                <c:pt idx="59">
                  <c:v>38687</c:v>
                </c:pt>
                <c:pt idx="60">
                  <c:v>38718</c:v>
                </c:pt>
                <c:pt idx="61">
                  <c:v>38749</c:v>
                </c:pt>
                <c:pt idx="62">
                  <c:v>38777</c:v>
                </c:pt>
                <c:pt idx="63">
                  <c:v>38808</c:v>
                </c:pt>
                <c:pt idx="64">
                  <c:v>38838</c:v>
                </c:pt>
                <c:pt idx="65">
                  <c:v>38869</c:v>
                </c:pt>
                <c:pt idx="66">
                  <c:v>38899</c:v>
                </c:pt>
                <c:pt idx="67">
                  <c:v>38930</c:v>
                </c:pt>
                <c:pt idx="68">
                  <c:v>38961</c:v>
                </c:pt>
                <c:pt idx="69">
                  <c:v>38991</c:v>
                </c:pt>
                <c:pt idx="70">
                  <c:v>39022</c:v>
                </c:pt>
                <c:pt idx="71">
                  <c:v>39052</c:v>
                </c:pt>
                <c:pt idx="72">
                  <c:v>39083</c:v>
                </c:pt>
                <c:pt idx="73">
                  <c:v>39114</c:v>
                </c:pt>
                <c:pt idx="74">
                  <c:v>39142</c:v>
                </c:pt>
                <c:pt idx="75">
                  <c:v>39173</c:v>
                </c:pt>
                <c:pt idx="76">
                  <c:v>39203</c:v>
                </c:pt>
                <c:pt idx="77">
                  <c:v>39234</c:v>
                </c:pt>
                <c:pt idx="78">
                  <c:v>39264</c:v>
                </c:pt>
                <c:pt idx="79">
                  <c:v>39295</c:v>
                </c:pt>
                <c:pt idx="80">
                  <c:v>39326</c:v>
                </c:pt>
                <c:pt idx="81">
                  <c:v>39356</c:v>
                </c:pt>
                <c:pt idx="82">
                  <c:v>39387</c:v>
                </c:pt>
                <c:pt idx="83">
                  <c:v>39417</c:v>
                </c:pt>
                <c:pt idx="84">
                  <c:v>39448</c:v>
                </c:pt>
                <c:pt idx="85">
                  <c:v>39479</c:v>
                </c:pt>
                <c:pt idx="86">
                  <c:v>39508</c:v>
                </c:pt>
                <c:pt idx="87">
                  <c:v>39539</c:v>
                </c:pt>
                <c:pt idx="88">
                  <c:v>39569</c:v>
                </c:pt>
                <c:pt idx="89">
                  <c:v>39600</c:v>
                </c:pt>
                <c:pt idx="90">
                  <c:v>39630</c:v>
                </c:pt>
                <c:pt idx="91">
                  <c:v>39661</c:v>
                </c:pt>
                <c:pt idx="92">
                  <c:v>39692</c:v>
                </c:pt>
                <c:pt idx="93">
                  <c:v>39722</c:v>
                </c:pt>
                <c:pt idx="94">
                  <c:v>39753</c:v>
                </c:pt>
                <c:pt idx="95">
                  <c:v>39783</c:v>
                </c:pt>
                <c:pt idx="96">
                  <c:v>39814</c:v>
                </c:pt>
                <c:pt idx="97">
                  <c:v>39845</c:v>
                </c:pt>
                <c:pt idx="98">
                  <c:v>39873</c:v>
                </c:pt>
                <c:pt idx="99">
                  <c:v>39904</c:v>
                </c:pt>
                <c:pt idx="100">
                  <c:v>39934</c:v>
                </c:pt>
                <c:pt idx="101">
                  <c:v>39965</c:v>
                </c:pt>
                <c:pt idx="102">
                  <c:v>39995</c:v>
                </c:pt>
                <c:pt idx="103">
                  <c:v>40026</c:v>
                </c:pt>
                <c:pt idx="104">
                  <c:v>40057</c:v>
                </c:pt>
                <c:pt idx="105">
                  <c:v>40087</c:v>
                </c:pt>
                <c:pt idx="106">
                  <c:v>40118</c:v>
                </c:pt>
                <c:pt idx="107">
                  <c:v>40148</c:v>
                </c:pt>
                <c:pt idx="108">
                  <c:v>40179</c:v>
                </c:pt>
                <c:pt idx="109">
                  <c:v>40210</c:v>
                </c:pt>
                <c:pt idx="110">
                  <c:v>40238</c:v>
                </c:pt>
                <c:pt idx="111">
                  <c:v>40269</c:v>
                </c:pt>
                <c:pt idx="112">
                  <c:v>40299</c:v>
                </c:pt>
                <c:pt idx="113">
                  <c:v>40330</c:v>
                </c:pt>
                <c:pt idx="114">
                  <c:v>40360</c:v>
                </c:pt>
                <c:pt idx="115">
                  <c:v>40391</c:v>
                </c:pt>
                <c:pt idx="116">
                  <c:v>40422</c:v>
                </c:pt>
                <c:pt idx="117">
                  <c:v>40452</c:v>
                </c:pt>
                <c:pt idx="118">
                  <c:v>40483</c:v>
                </c:pt>
                <c:pt idx="119">
                  <c:v>40513</c:v>
                </c:pt>
                <c:pt idx="120">
                  <c:v>40544</c:v>
                </c:pt>
                <c:pt idx="121">
                  <c:v>40575</c:v>
                </c:pt>
                <c:pt idx="122">
                  <c:v>40603</c:v>
                </c:pt>
                <c:pt idx="123">
                  <c:v>40634</c:v>
                </c:pt>
                <c:pt idx="124">
                  <c:v>40664</c:v>
                </c:pt>
                <c:pt idx="125">
                  <c:v>40695</c:v>
                </c:pt>
                <c:pt idx="126">
                  <c:v>40725</c:v>
                </c:pt>
                <c:pt idx="127">
                  <c:v>40756</c:v>
                </c:pt>
                <c:pt idx="128">
                  <c:v>40787</c:v>
                </c:pt>
                <c:pt idx="129">
                  <c:v>40817</c:v>
                </c:pt>
                <c:pt idx="130">
                  <c:v>40848</c:v>
                </c:pt>
                <c:pt idx="131">
                  <c:v>40878</c:v>
                </c:pt>
                <c:pt idx="132">
                  <c:v>40909</c:v>
                </c:pt>
                <c:pt idx="133">
                  <c:v>40940</c:v>
                </c:pt>
                <c:pt idx="134">
                  <c:v>40969</c:v>
                </c:pt>
                <c:pt idx="135">
                  <c:v>41000</c:v>
                </c:pt>
                <c:pt idx="136">
                  <c:v>41030</c:v>
                </c:pt>
                <c:pt idx="137">
                  <c:v>41061</c:v>
                </c:pt>
                <c:pt idx="138">
                  <c:v>41091</c:v>
                </c:pt>
                <c:pt idx="139">
                  <c:v>41122</c:v>
                </c:pt>
                <c:pt idx="140">
                  <c:v>41153</c:v>
                </c:pt>
                <c:pt idx="141">
                  <c:v>41183</c:v>
                </c:pt>
                <c:pt idx="142">
                  <c:v>41214</c:v>
                </c:pt>
                <c:pt idx="143">
                  <c:v>41244</c:v>
                </c:pt>
                <c:pt idx="144">
                  <c:v>41275</c:v>
                </c:pt>
                <c:pt idx="145">
                  <c:v>41306</c:v>
                </c:pt>
                <c:pt idx="146">
                  <c:v>41334</c:v>
                </c:pt>
                <c:pt idx="147">
                  <c:v>41365</c:v>
                </c:pt>
                <c:pt idx="148">
                  <c:v>41395</c:v>
                </c:pt>
                <c:pt idx="149">
                  <c:v>41426</c:v>
                </c:pt>
                <c:pt idx="150">
                  <c:v>41456</c:v>
                </c:pt>
                <c:pt idx="151">
                  <c:v>41487</c:v>
                </c:pt>
                <c:pt idx="152">
                  <c:v>41518</c:v>
                </c:pt>
                <c:pt idx="153">
                  <c:v>41548</c:v>
                </c:pt>
                <c:pt idx="154">
                  <c:v>41579</c:v>
                </c:pt>
                <c:pt idx="155">
                  <c:v>41609</c:v>
                </c:pt>
                <c:pt idx="156">
                  <c:v>41640</c:v>
                </c:pt>
                <c:pt idx="157">
                  <c:v>41671</c:v>
                </c:pt>
                <c:pt idx="158">
                  <c:v>41699</c:v>
                </c:pt>
                <c:pt idx="159">
                  <c:v>41730</c:v>
                </c:pt>
                <c:pt idx="160">
                  <c:v>41760</c:v>
                </c:pt>
                <c:pt idx="161">
                  <c:v>41791</c:v>
                </c:pt>
              </c:numCache>
            </c:numRef>
          </c:cat>
          <c:val>
            <c:numRef>
              <c:f>Combined!$AB$3:$AB$167</c:f>
              <c:numCache>
                <c:formatCode>0%</c:formatCode>
                <c:ptCount val="165"/>
                <c:pt idx="0">
                  <c:v>-2.3576944924120991E-2</c:v>
                </c:pt>
                <c:pt idx="1">
                  <c:v>-5.2127162451560016E-2</c:v>
                </c:pt>
                <c:pt idx="2">
                  <c:v>-3.9531037850833783E-2</c:v>
                </c:pt>
                <c:pt idx="3">
                  <c:v>-3.5846426858633373E-2</c:v>
                </c:pt>
                <c:pt idx="4">
                  <c:v>4.0167458363387309E-2</c:v>
                </c:pt>
                <c:pt idx="5">
                  <c:v>3.1706849869110876E-3</c:v>
                </c:pt>
                <c:pt idx="6">
                  <c:v>8.364034327874581E-3</c:v>
                </c:pt>
                <c:pt idx="7">
                  <c:v>-2.0748190803093758E-2</c:v>
                </c:pt>
                <c:pt idx="8">
                  <c:v>-9.6492159644911979E-5</c:v>
                </c:pt>
                <c:pt idx="9">
                  <c:v>2.8326589206941311E-2</c:v>
                </c:pt>
                <c:pt idx="10">
                  <c:v>-1.9875817772325499E-2</c:v>
                </c:pt>
                <c:pt idx="11">
                  <c:v>3.5839587108689175E-2</c:v>
                </c:pt>
                <c:pt idx="12">
                  <c:v>4.7426674428183491E-2</c:v>
                </c:pt>
                <c:pt idx="13">
                  <c:v>5.2908802413303091E-2</c:v>
                </c:pt>
                <c:pt idx="14">
                  <c:v>4.9342956039177821E-3</c:v>
                </c:pt>
                <c:pt idx="15">
                  <c:v>1.7885785777987051E-2</c:v>
                </c:pt>
                <c:pt idx="16">
                  <c:v>2.8002867495969141E-2</c:v>
                </c:pt>
                <c:pt idx="17">
                  <c:v>1.9565472696266406E-2</c:v>
                </c:pt>
                <c:pt idx="18">
                  <c:v>3.0052514116986284E-2</c:v>
                </c:pt>
                <c:pt idx="19">
                  <c:v>3.9145086839343701E-2</c:v>
                </c:pt>
                <c:pt idx="20">
                  <c:v>3.7133879675778747E-2</c:v>
                </c:pt>
                <c:pt idx="21">
                  <c:v>3.5744479207114432E-2</c:v>
                </c:pt>
                <c:pt idx="22">
                  <c:v>5.1618273924292524E-2</c:v>
                </c:pt>
                <c:pt idx="23">
                  <c:v>3.7482021473084659E-2</c:v>
                </c:pt>
                <c:pt idx="24">
                  <c:v>5.3979631154242647E-2</c:v>
                </c:pt>
                <c:pt idx="25">
                  <c:v>4.9018446196279264E-2</c:v>
                </c:pt>
                <c:pt idx="26">
                  <c:v>4.6200685474430569E-2</c:v>
                </c:pt>
                <c:pt idx="27">
                  <c:v>6.2914487663834562E-2</c:v>
                </c:pt>
                <c:pt idx="28">
                  <c:v>6.6951580557632839E-2</c:v>
                </c:pt>
                <c:pt idx="29">
                  <c:v>6.3319899305979588E-2</c:v>
                </c:pt>
                <c:pt idx="30">
                  <c:v>7.1685593290724103E-2</c:v>
                </c:pt>
                <c:pt idx="31">
                  <c:v>6.8020021113101903E-2</c:v>
                </c:pt>
                <c:pt idx="32">
                  <c:v>6.4849369662374867E-2</c:v>
                </c:pt>
                <c:pt idx="33">
                  <c:v>7.0809143955734788E-2</c:v>
                </c:pt>
                <c:pt idx="34">
                  <c:v>7.4315517457249625E-2</c:v>
                </c:pt>
                <c:pt idx="35">
                  <c:v>7.8714369362599124E-2</c:v>
                </c:pt>
                <c:pt idx="36">
                  <c:v>6.8608016809258876E-2</c:v>
                </c:pt>
                <c:pt idx="37">
                  <c:v>6.1965097482676423E-2</c:v>
                </c:pt>
                <c:pt idx="38">
                  <c:v>6.0293667976521137E-2</c:v>
                </c:pt>
                <c:pt idx="39">
                  <c:v>7.7233679861284488E-2</c:v>
                </c:pt>
                <c:pt idx="40">
                  <c:v>7.8428010018596783E-2</c:v>
                </c:pt>
                <c:pt idx="41">
                  <c:v>7.9413640120363116E-2</c:v>
                </c:pt>
                <c:pt idx="42">
                  <c:v>8.7241837077778106E-2</c:v>
                </c:pt>
                <c:pt idx="43">
                  <c:v>8.0920835991820761E-2</c:v>
                </c:pt>
                <c:pt idx="44">
                  <c:v>7.0586302739144235E-2</c:v>
                </c:pt>
                <c:pt idx="45">
                  <c:v>8.5221352400789652E-2</c:v>
                </c:pt>
                <c:pt idx="46">
                  <c:v>8.2831000820708045E-2</c:v>
                </c:pt>
                <c:pt idx="47">
                  <c:v>9.8812811973876258E-2</c:v>
                </c:pt>
                <c:pt idx="48">
                  <c:v>9.9175489417113516E-2</c:v>
                </c:pt>
                <c:pt idx="49">
                  <c:v>0.11729421732565526</c:v>
                </c:pt>
                <c:pt idx="50">
                  <c:v>0.10593283331782311</c:v>
                </c:pt>
                <c:pt idx="51">
                  <c:v>0.10640200639182806</c:v>
                </c:pt>
                <c:pt idx="52">
                  <c:v>0.1197229365547412</c:v>
                </c:pt>
                <c:pt idx="53">
                  <c:v>0.11322477836263367</c:v>
                </c:pt>
                <c:pt idx="54">
                  <c:v>0.11822227189540246</c:v>
                </c:pt>
                <c:pt idx="55">
                  <c:v>0.13231412401664455</c:v>
                </c:pt>
                <c:pt idx="56">
                  <c:v>0.14227951271815908</c:v>
                </c:pt>
                <c:pt idx="57">
                  <c:v>0.13046150612588736</c:v>
                </c:pt>
                <c:pt idx="58">
                  <c:v>0.13493888889124839</c:v>
                </c:pt>
                <c:pt idx="59">
                  <c:v>0.15225396316589102</c:v>
                </c:pt>
                <c:pt idx="60">
                  <c:v>0.14064616498169324</c:v>
                </c:pt>
                <c:pt idx="61">
                  <c:v>0.16508464938924372</c:v>
                </c:pt>
                <c:pt idx="62">
                  <c:v>0.17004358498600713</c:v>
                </c:pt>
                <c:pt idx="63">
                  <c:v>0.1645283484577218</c:v>
                </c:pt>
                <c:pt idx="64">
                  <c:v>0.17042558082607817</c:v>
                </c:pt>
                <c:pt idx="65">
                  <c:v>0.18560191418507599</c:v>
                </c:pt>
                <c:pt idx="66">
                  <c:v>0.19672847929598913</c:v>
                </c:pt>
                <c:pt idx="67">
                  <c:v>0.18765131299231208</c:v>
                </c:pt>
                <c:pt idx="68">
                  <c:v>0.17491084705476578</c:v>
                </c:pt>
                <c:pt idx="69">
                  <c:v>0.20706523470162108</c:v>
                </c:pt>
                <c:pt idx="70">
                  <c:v>0.18382549096473788</c:v>
                </c:pt>
                <c:pt idx="71">
                  <c:v>0.20710505535630663</c:v>
                </c:pt>
                <c:pt idx="72">
                  <c:v>0.21371797687212801</c:v>
                </c:pt>
                <c:pt idx="73">
                  <c:v>0.1996754683392461</c:v>
                </c:pt>
                <c:pt idx="74">
                  <c:v>0.22129288139015435</c:v>
                </c:pt>
                <c:pt idx="75">
                  <c:v>0.21951091024487623</c:v>
                </c:pt>
                <c:pt idx="76">
                  <c:v>0.23330140483948358</c:v>
                </c:pt>
                <c:pt idx="77">
                  <c:v>0.2505815985836225</c:v>
                </c:pt>
                <c:pt idx="78">
                  <c:v>0.24814720251995326</c:v>
                </c:pt>
                <c:pt idx="79">
                  <c:v>0.25176955414803448</c:v>
                </c:pt>
                <c:pt idx="80">
                  <c:v>0.24866509566807582</c:v>
                </c:pt>
                <c:pt idx="81">
                  <c:v>0.25271259449157324</c:v>
                </c:pt>
                <c:pt idx="82">
                  <c:v>0.25427613726952736</c:v>
                </c:pt>
                <c:pt idx="83">
                  <c:v>0.30604716573915647</c:v>
                </c:pt>
                <c:pt idx="84">
                  <c:v>0.28499509643757204</c:v>
                </c:pt>
                <c:pt idx="85">
                  <c:v>0.25590628913769953</c:v>
                </c:pt>
                <c:pt idx="86">
                  <c:v>0.29376563020249369</c:v>
                </c:pt>
                <c:pt idx="87">
                  <c:v>0.27212398520023673</c:v>
                </c:pt>
                <c:pt idx="88">
                  <c:v>0.30589263242996489</c:v>
                </c:pt>
                <c:pt idx="89">
                  <c:v>0.29570901479817058</c:v>
                </c:pt>
                <c:pt idx="90">
                  <c:v>0.3151252634624041</c:v>
                </c:pt>
                <c:pt idx="91">
                  <c:v>0.32662593053546496</c:v>
                </c:pt>
                <c:pt idx="92">
                  <c:v>0.313571019882385</c:v>
                </c:pt>
                <c:pt idx="93">
                  <c:v>0.32862786804981692</c:v>
                </c:pt>
                <c:pt idx="94">
                  <c:v>0.33713442993734388</c:v>
                </c:pt>
                <c:pt idx="95">
                  <c:v>0.3260458258278266</c:v>
                </c:pt>
                <c:pt idx="96">
                  <c:v>0.31006826958488343</c:v>
                </c:pt>
                <c:pt idx="97">
                  <c:v>0.30284162439135986</c:v>
                </c:pt>
                <c:pt idx="98">
                  <c:v>0.29822036794381912</c:v>
                </c:pt>
                <c:pt idx="99">
                  <c:v>0.31750099479594041</c:v>
                </c:pt>
                <c:pt idx="100">
                  <c:v>0.28046279845679367</c:v>
                </c:pt>
                <c:pt idx="101">
                  <c:v>0.29349742782924348</c:v>
                </c:pt>
                <c:pt idx="102">
                  <c:v>0.30486800004992265</c:v>
                </c:pt>
                <c:pt idx="103">
                  <c:v>0.31493742327309993</c:v>
                </c:pt>
                <c:pt idx="104">
                  <c:v>0.30249771148659443</c:v>
                </c:pt>
                <c:pt idx="105">
                  <c:v>0.30643354334552841</c:v>
                </c:pt>
                <c:pt idx="106">
                  <c:v>0.32014397077969847</c:v>
                </c:pt>
                <c:pt idx="107">
                  <c:v>0.33610035326090848</c:v>
                </c:pt>
                <c:pt idx="108">
                  <c:v>0.31417105314243732</c:v>
                </c:pt>
                <c:pt idx="109">
                  <c:v>0.34458346940744178</c:v>
                </c:pt>
                <c:pt idx="110">
                  <c:v>0.33049287869182165</c:v>
                </c:pt>
                <c:pt idx="111">
                  <c:v>0.3473899964292273</c:v>
                </c:pt>
                <c:pt idx="112">
                  <c:v>0.35489687034210993</c:v>
                </c:pt>
                <c:pt idx="113">
                  <c:v>0.35380912736044678</c:v>
                </c:pt>
                <c:pt idx="114">
                  <c:v>0.34416714855492969</c:v>
                </c:pt>
                <c:pt idx="115">
                  <c:v>0.35896914264979018</c:v>
                </c:pt>
                <c:pt idx="116">
                  <c:v>0.36566196102849624</c:v>
                </c:pt>
                <c:pt idx="117">
                  <c:v>0.36756144364814325</c:v>
                </c:pt>
                <c:pt idx="118">
                  <c:v>0.36629791838696579</c:v>
                </c:pt>
                <c:pt idx="119">
                  <c:v>0.37608750937319324</c:v>
                </c:pt>
                <c:pt idx="120">
                  <c:v>0.38555356602069035</c:v>
                </c:pt>
                <c:pt idx="121">
                  <c:v>0.40451481581468629</c:v>
                </c:pt>
                <c:pt idx="122">
                  <c:v>0.41159596678698696</c:v>
                </c:pt>
                <c:pt idx="123">
                  <c:v>0.40920215540348215</c:v>
                </c:pt>
                <c:pt idx="124">
                  <c:v>0.43115708133498476</c:v>
                </c:pt>
                <c:pt idx="125">
                  <c:v>0.42121593878168107</c:v>
                </c:pt>
                <c:pt idx="126">
                  <c:v>0.41416961342243086</c:v>
                </c:pt>
                <c:pt idx="127">
                  <c:v>0.41167502548148338</c:v>
                </c:pt>
                <c:pt idx="128">
                  <c:v>0.41527342400166989</c:v>
                </c:pt>
                <c:pt idx="129">
                  <c:v>0.40242622840358433</c:v>
                </c:pt>
                <c:pt idx="130">
                  <c:v>0.39721202340130901</c:v>
                </c:pt>
                <c:pt idx="131">
                  <c:v>0.40422393439047988</c:v>
                </c:pt>
                <c:pt idx="132">
                  <c:v>0.40572565179474773</c:v>
                </c:pt>
                <c:pt idx="133">
                  <c:v>0.42404849433996794</c:v>
                </c:pt>
                <c:pt idx="134">
                  <c:v>0.40327536118676888</c:v>
                </c:pt>
                <c:pt idx="135">
                  <c:v>0.40332977928635727</c:v>
                </c:pt>
                <c:pt idx="136">
                  <c:v>0.3982655259938952</c:v>
                </c:pt>
                <c:pt idx="137">
                  <c:v>0.3974426452623937</c:v>
                </c:pt>
                <c:pt idx="138">
                  <c:v>0.40152378731281724</c:v>
                </c:pt>
                <c:pt idx="139">
                  <c:v>0.3953535024117415</c:v>
                </c:pt>
                <c:pt idx="140">
                  <c:v>0.4001359784587647</c:v>
                </c:pt>
                <c:pt idx="141">
                  <c:v>0.39768555296226549</c:v>
                </c:pt>
                <c:pt idx="142">
                  <c:v>0.40331524363136029</c:v>
                </c:pt>
                <c:pt idx="143">
                  <c:v>0.40276380994651895</c:v>
                </c:pt>
                <c:pt idx="144">
                  <c:v>0.39697676591808695</c:v>
                </c:pt>
                <c:pt idx="145">
                  <c:v>0.40978241432245699</c:v>
                </c:pt>
                <c:pt idx="146">
                  <c:v>0.40142136236969805</c:v>
                </c:pt>
                <c:pt idx="147">
                  <c:v>0.39257987665452698</c:v>
                </c:pt>
                <c:pt idx="148">
                  <c:v>0.39661743101590707</c:v>
                </c:pt>
                <c:pt idx="149">
                  <c:v>0.40197049679757091</c:v>
                </c:pt>
                <c:pt idx="150">
                  <c:v>0.42360744719699495</c:v>
                </c:pt>
                <c:pt idx="151">
                  <c:v>0.41626548130900509</c:v>
                </c:pt>
                <c:pt idx="152">
                  <c:v>0.426656236325055</c:v>
                </c:pt>
                <c:pt idx="153">
                  <c:v>0.42070922804492195</c:v>
                </c:pt>
                <c:pt idx="154">
                  <c:v>0.42573725335665702</c:v>
                </c:pt>
                <c:pt idx="155">
                  <c:v>0.43079800502950194</c:v>
                </c:pt>
                <c:pt idx="156">
                  <c:v>0.4246689965423891</c:v>
                </c:pt>
                <c:pt idx="157">
                  <c:v>0.41918064473449812</c:v>
                </c:pt>
                <c:pt idx="158">
                  <c:v>0.43061916385107502</c:v>
                </c:pt>
                <c:pt idx="159">
                  <c:v>0.42343611583551188</c:v>
                </c:pt>
                <c:pt idx="160">
                  <c:v>0.43617623256514615</c:v>
                </c:pt>
                <c:pt idx="161">
                  <c:v>0.44850284746749114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48109056"/>
        <c:axId val="348125056"/>
      </c:lineChart>
      <c:dateAx>
        <c:axId val="348109056"/>
        <c:scaling>
          <c:orientation val="minMax"/>
        </c:scaling>
        <c:delete val="0"/>
        <c:axPos val="b"/>
        <c:numFmt formatCode="m/d/yyyy" sourceLinked="1"/>
        <c:majorTickMark val="out"/>
        <c:minorTickMark val="none"/>
        <c:tickLblPos val="low"/>
        <c:crossAx val="348125056"/>
        <c:crosses val="autoZero"/>
        <c:auto val="1"/>
        <c:lblOffset val="100"/>
        <c:baseTimeUnit val="months"/>
      </c:dateAx>
      <c:valAx>
        <c:axId val="348125056"/>
        <c:scaling>
          <c:orientation val="minMax"/>
        </c:scaling>
        <c:delete val="0"/>
        <c:axPos val="l"/>
        <c:majorGridlines/>
        <c:numFmt formatCode="0%" sourceLinked="1"/>
        <c:majorTickMark val="out"/>
        <c:minorTickMark val="none"/>
        <c:tickLblPos val="nextTo"/>
        <c:crossAx val="348109056"/>
        <c:crosses val="autoZero"/>
        <c:crossBetween val="between"/>
      </c:valAx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FC!$Z$1:$Z$2</c:f>
              <c:strCache>
                <c:ptCount val="1"/>
                <c:pt idx="0">
                  <c:v>Interest FHL</c:v>
                </c:pt>
              </c:strCache>
            </c:strRef>
          </c:tx>
          <c:marker>
            <c:symbol val="none"/>
          </c:marker>
          <c:cat>
            <c:numRef>
              <c:f>FC!$Y$14:$Y$181</c:f>
              <c:numCache>
                <c:formatCode>m/d/yyyy</c:formatCode>
                <c:ptCount val="168"/>
                <c:pt idx="0">
                  <c:v>36892</c:v>
                </c:pt>
                <c:pt idx="1">
                  <c:v>36923</c:v>
                </c:pt>
                <c:pt idx="2">
                  <c:v>36951</c:v>
                </c:pt>
                <c:pt idx="3">
                  <c:v>36982</c:v>
                </c:pt>
                <c:pt idx="4">
                  <c:v>37012</c:v>
                </c:pt>
                <c:pt idx="5">
                  <c:v>37043</c:v>
                </c:pt>
                <c:pt idx="6">
                  <c:v>37073</c:v>
                </c:pt>
                <c:pt idx="7">
                  <c:v>37104</c:v>
                </c:pt>
                <c:pt idx="8">
                  <c:v>37135</c:v>
                </c:pt>
                <c:pt idx="9">
                  <c:v>37165</c:v>
                </c:pt>
                <c:pt idx="10">
                  <c:v>37196</c:v>
                </c:pt>
                <c:pt idx="11">
                  <c:v>37226</c:v>
                </c:pt>
                <c:pt idx="12">
                  <c:v>37257</c:v>
                </c:pt>
                <c:pt idx="13">
                  <c:v>37288</c:v>
                </c:pt>
                <c:pt idx="14">
                  <c:v>37316</c:v>
                </c:pt>
                <c:pt idx="15">
                  <c:v>37347</c:v>
                </c:pt>
                <c:pt idx="16">
                  <c:v>37377</c:v>
                </c:pt>
                <c:pt idx="17">
                  <c:v>37408</c:v>
                </c:pt>
                <c:pt idx="18">
                  <c:v>37438</c:v>
                </c:pt>
                <c:pt idx="19">
                  <c:v>37469</c:v>
                </c:pt>
                <c:pt idx="20">
                  <c:v>37500</c:v>
                </c:pt>
                <c:pt idx="21">
                  <c:v>37530</c:v>
                </c:pt>
                <c:pt idx="22">
                  <c:v>37561</c:v>
                </c:pt>
                <c:pt idx="23">
                  <c:v>37591</c:v>
                </c:pt>
                <c:pt idx="24">
                  <c:v>37622</c:v>
                </c:pt>
                <c:pt idx="25">
                  <c:v>37653</c:v>
                </c:pt>
                <c:pt idx="26">
                  <c:v>37681</c:v>
                </c:pt>
                <c:pt idx="27">
                  <c:v>37712</c:v>
                </c:pt>
                <c:pt idx="28">
                  <c:v>37742</c:v>
                </c:pt>
                <c:pt idx="29">
                  <c:v>37773</c:v>
                </c:pt>
                <c:pt idx="30">
                  <c:v>37803</c:v>
                </c:pt>
                <c:pt idx="31">
                  <c:v>37834</c:v>
                </c:pt>
                <c:pt idx="32">
                  <c:v>37865</c:v>
                </c:pt>
                <c:pt idx="33">
                  <c:v>37895</c:v>
                </c:pt>
                <c:pt idx="34">
                  <c:v>37926</c:v>
                </c:pt>
                <c:pt idx="35">
                  <c:v>37956</c:v>
                </c:pt>
                <c:pt idx="36">
                  <c:v>37987</c:v>
                </c:pt>
                <c:pt idx="37">
                  <c:v>38018</c:v>
                </c:pt>
                <c:pt idx="38">
                  <c:v>38047</c:v>
                </c:pt>
                <c:pt idx="39">
                  <c:v>38078</c:v>
                </c:pt>
                <c:pt idx="40">
                  <c:v>38108</c:v>
                </c:pt>
                <c:pt idx="41">
                  <c:v>38139</c:v>
                </c:pt>
                <c:pt idx="42">
                  <c:v>38169</c:v>
                </c:pt>
                <c:pt idx="43">
                  <c:v>38200</c:v>
                </c:pt>
                <c:pt idx="44">
                  <c:v>38231</c:v>
                </c:pt>
                <c:pt idx="45">
                  <c:v>38261</c:v>
                </c:pt>
                <c:pt idx="46">
                  <c:v>38292</c:v>
                </c:pt>
                <c:pt idx="47">
                  <c:v>38322</c:v>
                </c:pt>
                <c:pt idx="48">
                  <c:v>38353</c:v>
                </c:pt>
                <c:pt idx="49">
                  <c:v>38384</c:v>
                </c:pt>
                <c:pt idx="50">
                  <c:v>38412</c:v>
                </c:pt>
                <c:pt idx="51">
                  <c:v>38443</c:v>
                </c:pt>
                <c:pt idx="52">
                  <c:v>38473</c:v>
                </c:pt>
                <c:pt idx="53">
                  <c:v>38504</c:v>
                </c:pt>
                <c:pt idx="54">
                  <c:v>38534</c:v>
                </c:pt>
                <c:pt idx="55">
                  <c:v>38565</c:v>
                </c:pt>
                <c:pt idx="56">
                  <c:v>38596</c:v>
                </c:pt>
                <c:pt idx="57">
                  <c:v>38626</c:v>
                </c:pt>
                <c:pt idx="58">
                  <c:v>38657</c:v>
                </c:pt>
                <c:pt idx="59">
                  <c:v>38687</c:v>
                </c:pt>
                <c:pt idx="60">
                  <c:v>38718</c:v>
                </c:pt>
                <c:pt idx="61">
                  <c:v>38749</c:v>
                </c:pt>
                <c:pt idx="62">
                  <c:v>38777</c:v>
                </c:pt>
                <c:pt idx="63">
                  <c:v>38808</c:v>
                </c:pt>
                <c:pt idx="64">
                  <c:v>38838</c:v>
                </c:pt>
                <c:pt idx="65">
                  <c:v>38869</c:v>
                </c:pt>
                <c:pt idx="66">
                  <c:v>38899</c:v>
                </c:pt>
                <c:pt idx="67">
                  <c:v>38930</c:v>
                </c:pt>
                <c:pt idx="68">
                  <c:v>38961</c:v>
                </c:pt>
                <c:pt idx="69">
                  <c:v>38991</c:v>
                </c:pt>
                <c:pt idx="70">
                  <c:v>39022</c:v>
                </c:pt>
                <c:pt idx="71">
                  <c:v>39052</c:v>
                </c:pt>
                <c:pt idx="72">
                  <c:v>39083</c:v>
                </c:pt>
                <c:pt idx="73">
                  <c:v>39114</c:v>
                </c:pt>
                <c:pt idx="74">
                  <c:v>39142</c:v>
                </c:pt>
                <c:pt idx="75">
                  <c:v>39173</c:v>
                </c:pt>
                <c:pt idx="76">
                  <c:v>39203</c:v>
                </c:pt>
                <c:pt idx="77">
                  <c:v>39234</c:v>
                </c:pt>
                <c:pt idx="78">
                  <c:v>39264</c:v>
                </c:pt>
                <c:pt idx="79">
                  <c:v>39295</c:v>
                </c:pt>
                <c:pt idx="80">
                  <c:v>39326</c:v>
                </c:pt>
                <c:pt idx="81">
                  <c:v>39356</c:v>
                </c:pt>
                <c:pt idx="82">
                  <c:v>39387</c:v>
                </c:pt>
                <c:pt idx="83">
                  <c:v>39417</c:v>
                </c:pt>
                <c:pt idx="84">
                  <c:v>39448</c:v>
                </c:pt>
                <c:pt idx="85">
                  <c:v>39479</c:v>
                </c:pt>
                <c:pt idx="86">
                  <c:v>39508</c:v>
                </c:pt>
                <c:pt idx="87">
                  <c:v>39539</c:v>
                </c:pt>
                <c:pt idx="88">
                  <c:v>39569</c:v>
                </c:pt>
                <c:pt idx="89">
                  <c:v>39600</c:v>
                </c:pt>
                <c:pt idx="90">
                  <c:v>39630</c:v>
                </c:pt>
                <c:pt idx="91">
                  <c:v>39661</c:v>
                </c:pt>
                <c:pt idx="92">
                  <c:v>39692</c:v>
                </c:pt>
                <c:pt idx="93">
                  <c:v>39722</c:v>
                </c:pt>
                <c:pt idx="94">
                  <c:v>39753</c:v>
                </c:pt>
                <c:pt idx="95">
                  <c:v>39783</c:v>
                </c:pt>
                <c:pt idx="96">
                  <c:v>39814</c:v>
                </c:pt>
                <c:pt idx="97">
                  <c:v>39845</c:v>
                </c:pt>
                <c:pt idx="98">
                  <c:v>39873</c:v>
                </c:pt>
                <c:pt idx="99">
                  <c:v>39904</c:v>
                </c:pt>
                <c:pt idx="100">
                  <c:v>39934</c:v>
                </c:pt>
                <c:pt idx="101">
                  <c:v>39965</c:v>
                </c:pt>
                <c:pt idx="102">
                  <c:v>39995</c:v>
                </c:pt>
                <c:pt idx="103">
                  <c:v>40026</c:v>
                </c:pt>
                <c:pt idx="104">
                  <c:v>40057</c:v>
                </c:pt>
                <c:pt idx="105">
                  <c:v>40087</c:v>
                </c:pt>
                <c:pt idx="106">
                  <c:v>40118</c:v>
                </c:pt>
                <c:pt idx="107">
                  <c:v>40148</c:v>
                </c:pt>
                <c:pt idx="108">
                  <c:v>40179</c:v>
                </c:pt>
                <c:pt idx="109">
                  <c:v>40210</c:v>
                </c:pt>
                <c:pt idx="110">
                  <c:v>40238</c:v>
                </c:pt>
                <c:pt idx="111">
                  <c:v>40269</c:v>
                </c:pt>
                <c:pt idx="112">
                  <c:v>40299</c:v>
                </c:pt>
                <c:pt idx="113">
                  <c:v>40330</c:v>
                </c:pt>
                <c:pt idx="114">
                  <c:v>40360</c:v>
                </c:pt>
                <c:pt idx="115">
                  <c:v>40391</c:v>
                </c:pt>
                <c:pt idx="116">
                  <c:v>40422</c:v>
                </c:pt>
                <c:pt idx="117">
                  <c:v>40452</c:v>
                </c:pt>
                <c:pt idx="118">
                  <c:v>40483</c:v>
                </c:pt>
                <c:pt idx="119">
                  <c:v>40513</c:v>
                </c:pt>
                <c:pt idx="120">
                  <c:v>40544</c:v>
                </c:pt>
                <c:pt idx="121">
                  <c:v>40575</c:v>
                </c:pt>
                <c:pt idx="122">
                  <c:v>40603</c:v>
                </c:pt>
                <c:pt idx="123">
                  <c:v>40634</c:v>
                </c:pt>
                <c:pt idx="124">
                  <c:v>40664</c:v>
                </c:pt>
                <c:pt idx="125">
                  <c:v>40695</c:v>
                </c:pt>
                <c:pt idx="126">
                  <c:v>40725</c:v>
                </c:pt>
                <c:pt idx="127">
                  <c:v>40756</c:v>
                </c:pt>
                <c:pt idx="128">
                  <c:v>40787</c:v>
                </c:pt>
                <c:pt idx="129">
                  <c:v>40817</c:v>
                </c:pt>
                <c:pt idx="130">
                  <c:v>40848</c:v>
                </c:pt>
                <c:pt idx="131">
                  <c:v>40878</c:v>
                </c:pt>
                <c:pt idx="132">
                  <c:v>40909</c:v>
                </c:pt>
                <c:pt idx="133">
                  <c:v>40940</c:v>
                </c:pt>
                <c:pt idx="134">
                  <c:v>40969</c:v>
                </c:pt>
                <c:pt idx="135">
                  <c:v>41000</c:v>
                </c:pt>
                <c:pt idx="136">
                  <c:v>41030</c:v>
                </c:pt>
                <c:pt idx="137">
                  <c:v>41061</c:v>
                </c:pt>
                <c:pt idx="138">
                  <c:v>41091</c:v>
                </c:pt>
                <c:pt idx="139">
                  <c:v>41122</c:v>
                </c:pt>
                <c:pt idx="140">
                  <c:v>41153</c:v>
                </c:pt>
                <c:pt idx="141">
                  <c:v>41183</c:v>
                </c:pt>
                <c:pt idx="142">
                  <c:v>41214</c:v>
                </c:pt>
                <c:pt idx="143">
                  <c:v>41244</c:v>
                </c:pt>
                <c:pt idx="144">
                  <c:v>41275</c:v>
                </c:pt>
                <c:pt idx="145">
                  <c:v>41306</c:v>
                </c:pt>
                <c:pt idx="146">
                  <c:v>41334</c:v>
                </c:pt>
                <c:pt idx="147">
                  <c:v>41365</c:v>
                </c:pt>
                <c:pt idx="148">
                  <c:v>41395</c:v>
                </c:pt>
                <c:pt idx="149">
                  <c:v>41426</c:v>
                </c:pt>
                <c:pt idx="150">
                  <c:v>41456</c:v>
                </c:pt>
                <c:pt idx="151">
                  <c:v>41487</c:v>
                </c:pt>
                <c:pt idx="152">
                  <c:v>41518</c:v>
                </c:pt>
                <c:pt idx="153">
                  <c:v>41548</c:v>
                </c:pt>
                <c:pt idx="154">
                  <c:v>41579</c:v>
                </c:pt>
                <c:pt idx="155">
                  <c:v>41609</c:v>
                </c:pt>
                <c:pt idx="156">
                  <c:v>41640</c:v>
                </c:pt>
                <c:pt idx="157">
                  <c:v>41671</c:v>
                </c:pt>
                <c:pt idx="158">
                  <c:v>41699</c:v>
                </c:pt>
                <c:pt idx="159">
                  <c:v>41730</c:v>
                </c:pt>
                <c:pt idx="160">
                  <c:v>41760</c:v>
                </c:pt>
                <c:pt idx="161">
                  <c:v>41791</c:v>
                </c:pt>
                <c:pt idx="162">
                  <c:v>41821</c:v>
                </c:pt>
                <c:pt idx="163">
                  <c:v>41852</c:v>
                </c:pt>
                <c:pt idx="164">
                  <c:v>41883</c:v>
                </c:pt>
              </c:numCache>
            </c:numRef>
          </c:cat>
          <c:val>
            <c:numRef>
              <c:f>FC!$Z$14:$Z$181</c:f>
              <c:numCache>
                <c:formatCode>0%</c:formatCode>
                <c:ptCount val="168"/>
                <c:pt idx="0">
                  <c:v>3.6827344684935502E-2</c:v>
                </c:pt>
                <c:pt idx="1">
                  <c:v>4.2129877966118098E-2</c:v>
                </c:pt>
                <c:pt idx="2">
                  <c:v>5.26780595043599E-2</c:v>
                </c:pt>
                <c:pt idx="3">
                  <c:v>5.1320028073231098E-2</c:v>
                </c:pt>
                <c:pt idx="4">
                  <c:v>5.2119089229904998E-2</c:v>
                </c:pt>
                <c:pt idx="5">
                  <c:v>5.2504915702536202E-2</c:v>
                </c:pt>
                <c:pt idx="6">
                  <c:v>4.5508380484793699E-2</c:v>
                </c:pt>
                <c:pt idx="7">
                  <c:v>4.8509411109113103E-2</c:v>
                </c:pt>
                <c:pt idx="8">
                  <c:v>5.19227273300987E-2</c:v>
                </c:pt>
                <c:pt idx="9">
                  <c:v>5.4609554874228E-2</c:v>
                </c:pt>
                <c:pt idx="10">
                  <c:v>5.72853680516556E-2</c:v>
                </c:pt>
                <c:pt idx="11">
                  <c:v>5.4141627528368E-2</c:v>
                </c:pt>
                <c:pt idx="12">
                  <c:v>5.0423982317029097E-2</c:v>
                </c:pt>
                <c:pt idx="13">
                  <c:v>5.8634221941789903E-2</c:v>
                </c:pt>
                <c:pt idx="14">
                  <c:v>5.14181557330625E-2</c:v>
                </c:pt>
                <c:pt idx="15">
                  <c:v>5.0753804547830197E-2</c:v>
                </c:pt>
                <c:pt idx="16">
                  <c:v>5.1384537206682103E-2</c:v>
                </c:pt>
                <c:pt idx="17">
                  <c:v>5.5774215375284597E-2</c:v>
                </c:pt>
                <c:pt idx="18">
                  <c:v>6.4228838041816005E-2</c:v>
                </c:pt>
                <c:pt idx="19">
                  <c:v>5.9208263440461303E-2</c:v>
                </c:pt>
                <c:pt idx="20">
                  <c:v>5.2083543628963301E-2</c:v>
                </c:pt>
                <c:pt idx="21">
                  <c:v>5.1062548932903802E-2</c:v>
                </c:pt>
                <c:pt idx="22">
                  <c:v>5.6778499001901003E-2</c:v>
                </c:pt>
                <c:pt idx="23">
                  <c:v>5.2193501077200097E-2</c:v>
                </c:pt>
                <c:pt idx="24">
                  <c:v>5.2693852818339201E-2</c:v>
                </c:pt>
                <c:pt idx="25">
                  <c:v>5.8334266147765802E-2</c:v>
                </c:pt>
                <c:pt idx="26">
                  <c:v>5.6849174817973198E-2</c:v>
                </c:pt>
                <c:pt idx="27">
                  <c:v>5.1332781587071601E-2</c:v>
                </c:pt>
                <c:pt idx="28">
                  <c:v>5.3851236788216301E-2</c:v>
                </c:pt>
                <c:pt idx="29">
                  <c:v>5.77285056941979E-2</c:v>
                </c:pt>
                <c:pt idx="30">
                  <c:v>5.50202748889249E-2</c:v>
                </c:pt>
                <c:pt idx="31">
                  <c:v>5.3273235157927798E-2</c:v>
                </c:pt>
                <c:pt idx="32">
                  <c:v>6.0545408975682898E-2</c:v>
                </c:pt>
                <c:pt idx="33">
                  <c:v>5.80767246398129E-2</c:v>
                </c:pt>
                <c:pt idx="34">
                  <c:v>5.4575119763973001E-2</c:v>
                </c:pt>
                <c:pt idx="35">
                  <c:v>5.1061601003201999E-2</c:v>
                </c:pt>
                <c:pt idx="36">
                  <c:v>5.3689114745955398E-2</c:v>
                </c:pt>
                <c:pt idx="37">
                  <c:v>5.2344952457467397E-2</c:v>
                </c:pt>
                <c:pt idx="38">
                  <c:v>5.2693409402839703E-2</c:v>
                </c:pt>
                <c:pt idx="39">
                  <c:v>5.6897482572921397E-2</c:v>
                </c:pt>
                <c:pt idx="40">
                  <c:v>5.1162919843344E-2</c:v>
                </c:pt>
                <c:pt idx="41">
                  <c:v>6.0073293609057499E-2</c:v>
                </c:pt>
                <c:pt idx="42">
                  <c:v>5.3009427773376597E-2</c:v>
                </c:pt>
                <c:pt idx="43">
                  <c:v>5.7176118668286598E-2</c:v>
                </c:pt>
                <c:pt idx="44">
                  <c:v>5.2655782614272499E-2</c:v>
                </c:pt>
                <c:pt idx="45">
                  <c:v>5.4035577462926199E-2</c:v>
                </c:pt>
                <c:pt idx="46">
                  <c:v>5.3231479102560403E-2</c:v>
                </c:pt>
                <c:pt idx="47">
                  <c:v>5.8119966014319097E-2</c:v>
                </c:pt>
                <c:pt idx="48">
                  <c:v>5.9474262119405798E-2</c:v>
                </c:pt>
                <c:pt idx="49">
                  <c:v>5.6959810900005597E-2</c:v>
                </c:pt>
                <c:pt idx="50">
                  <c:v>5.5585980893956902E-2</c:v>
                </c:pt>
                <c:pt idx="51">
                  <c:v>5.9300547201844897E-2</c:v>
                </c:pt>
                <c:pt idx="52">
                  <c:v>5.6857401844315501E-2</c:v>
                </c:pt>
                <c:pt idx="53">
                  <c:v>5.7184541728142399E-2</c:v>
                </c:pt>
                <c:pt idx="54">
                  <c:v>5.4102889517888497E-2</c:v>
                </c:pt>
                <c:pt idx="55">
                  <c:v>6.1308827152285E-2</c:v>
                </c:pt>
                <c:pt idx="56">
                  <c:v>6.07946711849792E-2</c:v>
                </c:pt>
                <c:pt idx="57">
                  <c:v>6.0561715274340198E-2</c:v>
                </c:pt>
                <c:pt idx="58">
                  <c:v>5.1182189431007101E-2</c:v>
                </c:pt>
                <c:pt idx="59">
                  <c:v>5.50503698424189E-2</c:v>
                </c:pt>
                <c:pt idx="60">
                  <c:v>5.2842273120356498E-2</c:v>
                </c:pt>
                <c:pt idx="61">
                  <c:v>5.5114137656760501E-2</c:v>
                </c:pt>
                <c:pt idx="62">
                  <c:v>4.96391294119456E-2</c:v>
                </c:pt>
                <c:pt idx="63">
                  <c:v>5.77996623997339E-2</c:v>
                </c:pt>
                <c:pt idx="64">
                  <c:v>5.7159309061450503E-2</c:v>
                </c:pt>
                <c:pt idx="65">
                  <c:v>5.6101980087793803E-2</c:v>
                </c:pt>
                <c:pt idx="66">
                  <c:v>5.3967869442208903E-2</c:v>
                </c:pt>
                <c:pt idx="67">
                  <c:v>6.3493498855793695E-2</c:v>
                </c:pt>
                <c:pt idx="68">
                  <c:v>4.9087787008090099E-2</c:v>
                </c:pt>
                <c:pt idx="69">
                  <c:v>5.7144830979379398E-2</c:v>
                </c:pt>
                <c:pt idx="70">
                  <c:v>5.0008597985349297E-2</c:v>
                </c:pt>
                <c:pt idx="71">
                  <c:v>4.8392527161068399E-2</c:v>
                </c:pt>
                <c:pt idx="72">
                  <c:v>4.9095917422311897E-2</c:v>
                </c:pt>
                <c:pt idx="73">
                  <c:v>4.4855816432841297E-2</c:v>
                </c:pt>
                <c:pt idx="74">
                  <c:v>4.8085285905496301E-2</c:v>
                </c:pt>
                <c:pt idx="75">
                  <c:v>4.8422557755164297E-2</c:v>
                </c:pt>
                <c:pt idx="76">
                  <c:v>5.0699609516537E-2</c:v>
                </c:pt>
                <c:pt idx="77">
                  <c:v>4.9509780124420498E-2</c:v>
                </c:pt>
                <c:pt idx="78">
                  <c:v>4.7095722983708899E-2</c:v>
                </c:pt>
                <c:pt idx="79">
                  <c:v>4.9501682485314703E-2</c:v>
                </c:pt>
                <c:pt idx="80">
                  <c:v>4.8596018023404498E-2</c:v>
                </c:pt>
                <c:pt idx="81">
                  <c:v>4.70488349464976E-2</c:v>
                </c:pt>
                <c:pt idx="82">
                  <c:v>4.4985736296871498E-2</c:v>
                </c:pt>
                <c:pt idx="83">
                  <c:v>4.1499271497985199E-2</c:v>
                </c:pt>
                <c:pt idx="84">
                  <c:v>4.1530848913462599E-2</c:v>
                </c:pt>
                <c:pt idx="85">
                  <c:v>4.4688774741196501E-2</c:v>
                </c:pt>
                <c:pt idx="86">
                  <c:v>4.2215591254059201E-2</c:v>
                </c:pt>
                <c:pt idx="87">
                  <c:v>4.1634799648207099E-2</c:v>
                </c:pt>
                <c:pt idx="88">
                  <c:v>4.1255112519478901E-2</c:v>
                </c:pt>
                <c:pt idx="89">
                  <c:v>4.1209917928582897E-2</c:v>
                </c:pt>
                <c:pt idx="90">
                  <c:v>4.2496553667163497E-2</c:v>
                </c:pt>
                <c:pt idx="91">
                  <c:v>4.0143179600334998E-2</c:v>
                </c:pt>
                <c:pt idx="92">
                  <c:v>4.2169661427077301E-2</c:v>
                </c:pt>
                <c:pt idx="93">
                  <c:v>4.4142208630079498E-2</c:v>
                </c:pt>
                <c:pt idx="94">
                  <c:v>4.0090808538034102E-2</c:v>
                </c:pt>
                <c:pt idx="95">
                  <c:v>3.9501419141191402E-2</c:v>
                </c:pt>
                <c:pt idx="96">
                  <c:v>3.8140372247214401E-2</c:v>
                </c:pt>
                <c:pt idx="97">
                  <c:v>4.5920045975939801E-2</c:v>
                </c:pt>
                <c:pt idx="98">
                  <c:v>4.2095402049358098E-2</c:v>
                </c:pt>
                <c:pt idx="99">
                  <c:v>4.46856094833036E-2</c:v>
                </c:pt>
                <c:pt idx="100">
                  <c:v>4.5598581086464002E-2</c:v>
                </c:pt>
                <c:pt idx="101">
                  <c:v>4.6594172668589798E-2</c:v>
                </c:pt>
                <c:pt idx="102">
                  <c:v>4.62339446976354E-2</c:v>
                </c:pt>
                <c:pt idx="103">
                  <c:v>4.6177506892223601E-2</c:v>
                </c:pt>
                <c:pt idx="104">
                  <c:v>4.7734292455243597E-2</c:v>
                </c:pt>
                <c:pt idx="105">
                  <c:v>5.0033906547869399E-2</c:v>
                </c:pt>
                <c:pt idx="106">
                  <c:v>5.1765082441887399E-2</c:v>
                </c:pt>
                <c:pt idx="107">
                  <c:v>5.1265588036654403E-2</c:v>
                </c:pt>
                <c:pt idx="108">
                  <c:v>5.2830328026614297E-2</c:v>
                </c:pt>
                <c:pt idx="109">
                  <c:v>5.5121022151252398E-2</c:v>
                </c:pt>
                <c:pt idx="110">
                  <c:v>5.6984415236776498E-2</c:v>
                </c:pt>
                <c:pt idx="111">
                  <c:v>5.8002966179190797E-2</c:v>
                </c:pt>
                <c:pt idx="112">
                  <c:v>5.8621564863786502E-2</c:v>
                </c:pt>
                <c:pt idx="113">
                  <c:v>5.8569511303588402E-2</c:v>
                </c:pt>
                <c:pt idx="114">
                  <c:v>6.16668724440411E-2</c:v>
                </c:pt>
                <c:pt idx="115">
                  <c:v>6.1463943825821203E-2</c:v>
                </c:pt>
                <c:pt idx="116">
                  <c:v>6.1717311974114099E-2</c:v>
                </c:pt>
                <c:pt idx="117">
                  <c:v>5.91357388111175E-2</c:v>
                </c:pt>
                <c:pt idx="118">
                  <c:v>5.8977434853278297E-2</c:v>
                </c:pt>
                <c:pt idx="119">
                  <c:v>6.09398924483667E-2</c:v>
                </c:pt>
                <c:pt idx="120">
                  <c:v>6.4012327641363997E-2</c:v>
                </c:pt>
                <c:pt idx="121">
                  <c:v>6.0799537302899997E-2</c:v>
                </c:pt>
                <c:pt idx="122">
                  <c:v>6.5614900143929206E-2</c:v>
                </c:pt>
                <c:pt idx="123">
                  <c:v>6.6619379563566894E-2</c:v>
                </c:pt>
                <c:pt idx="124">
                  <c:v>6.4302527777889695E-2</c:v>
                </c:pt>
                <c:pt idx="125">
                  <c:v>6.6054241529827806E-2</c:v>
                </c:pt>
                <c:pt idx="126">
                  <c:v>6.6274932302757397E-2</c:v>
                </c:pt>
                <c:pt idx="127">
                  <c:v>6.5387647906506793E-2</c:v>
                </c:pt>
                <c:pt idx="128">
                  <c:v>6.50007779582292E-2</c:v>
                </c:pt>
                <c:pt idx="129">
                  <c:v>6.9039092511404998E-2</c:v>
                </c:pt>
                <c:pt idx="130">
                  <c:v>6.9765244048934305E-2</c:v>
                </c:pt>
                <c:pt idx="131">
                  <c:v>6.9091486823178894E-2</c:v>
                </c:pt>
                <c:pt idx="132">
                  <c:v>7.3786390562507506E-2</c:v>
                </c:pt>
                <c:pt idx="133">
                  <c:v>7.2456715907244895E-2</c:v>
                </c:pt>
                <c:pt idx="134">
                  <c:v>7.4069545390393399E-2</c:v>
                </c:pt>
                <c:pt idx="135">
                  <c:v>7.4130539117739994E-2</c:v>
                </c:pt>
                <c:pt idx="136">
                  <c:v>7.5042657178631594E-2</c:v>
                </c:pt>
                <c:pt idx="137">
                  <c:v>7.6611440479390294E-2</c:v>
                </c:pt>
                <c:pt idx="138">
                  <c:v>7.7444861077898802E-2</c:v>
                </c:pt>
                <c:pt idx="139">
                  <c:v>7.5242604901924998E-2</c:v>
                </c:pt>
                <c:pt idx="140">
                  <c:v>7.6916549555711505E-2</c:v>
                </c:pt>
                <c:pt idx="141">
                  <c:v>7.8487971685423694E-2</c:v>
                </c:pt>
                <c:pt idx="142">
                  <c:v>7.6110358642590401E-2</c:v>
                </c:pt>
                <c:pt idx="143">
                  <c:v>7.5200746560360507E-2</c:v>
                </c:pt>
                <c:pt idx="144">
                  <c:v>8.6643770770508305E-2</c:v>
                </c:pt>
                <c:pt idx="145">
                  <c:v>8.38302089440017E-2</c:v>
                </c:pt>
                <c:pt idx="146">
                  <c:v>8.6822217059312798E-2</c:v>
                </c:pt>
                <c:pt idx="147">
                  <c:v>9.3252287377803098E-2</c:v>
                </c:pt>
                <c:pt idx="148">
                  <c:v>9.4062001069131901E-2</c:v>
                </c:pt>
                <c:pt idx="149">
                  <c:v>9.4211372052085601E-2</c:v>
                </c:pt>
                <c:pt idx="150">
                  <c:v>9.4522042517451499E-2</c:v>
                </c:pt>
                <c:pt idx="151">
                  <c:v>0.100029896531128</c:v>
                </c:pt>
                <c:pt idx="152">
                  <c:v>9.77607272437125E-2</c:v>
                </c:pt>
                <c:pt idx="153">
                  <c:v>0.102145458753505</c:v>
                </c:pt>
                <c:pt idx="154">
                  <c:v>9.9495114592577205E-2</c:v>
                </c:pt>
                <c:pt idx="155">
                  <c:v>0.105014609376821</c:v>
                </c:pt>
                <c:pt idx="156">
                  <c:v>0.12078379423586801</c:v>
                </c:pt>
                <c:pt idx="157">
                  <c:v>0.116581088597731</c:v>
                </c:pt>
                <c:pt idx="158">
                  <c:v>0.11483861135885801</c:v>
                </c:pt>
                <c:pt idx="159">
                  <c:v>0.122293851488305</c:v>
                </c:pt>
                <c:pt idx="160">
                  <c:v>0.12464585152198</c:v>
                </c:pt>
                <c:pt idx="161">
                  <c:v>0.13125442780722399</c:v>
                </c:pt>
                <c:pt idx="162">
                  <c:v>0.13640862260932701</c:v>
                </c:pt>
                <c:pt idx="163">
                  <c:v>0.176287038448353</c:v>
                </c:pt>
                <c:pt idx="164">
                  <c:v>0.13317227938099199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FC!$AA$1:$AA$2</c:f>
              <c:strCache>
                <c:ptCount val="1"/>
                <c:pt idx="0">
                  <c:v>Interest FNMA</c:v>
                </c:pt>
              </c:strCache>
            </c:strRef>
          </c:tx>
          <c:marker>
            <c:symbol val="none"/>
          </c:marker>
          <c:cat>
            <c:numRef>
              <c:f>FC!$Y$14:$Y$181</c:f>
              <c:numCache>
                <c:formatCode>m/d/yyyy</c:formatCode>
                <c:ptCount val="168"/>
                <c:pt idx="0">
                  <c:v>36892</c:v>
                </c:pt>
                <c:pt idx="1">
                  <c:v>36923</c:v>
                </c:pt>
                <c:pt idx="2">
                  <c:v>36951</c:v>
                </c:pt>
                <c:pt idx="3">
                  <c:v>36982</c:v>
                </c:pt>
                <c:pt idx="4">
                  <c:v>37012</c:v>
                </c:pt>
                <c:pt idx="5">
                  <c:v>37043</c:v>
                </c:pt>
                <c:pt idx="6">
                  <c:v>37073</c:v>
                </c:pt>
                <c:pt idx="7">
                  <c:v>37104</c:v>
                </c:pt>
                <c:pt idx="8">
                  <c:v>37135</c:v>
                </c:pt>
                <c:pt idx="9">
                  <c:v>37165</c:v>
                </c:pt>
                <c:pt idx="10">
                  <c:v>37196</c:v>
                </c:pt>
                <c:pt idx="11">
                  <c:v>37226</c:v>
                </c:pt>
                <c:pt idx="12">
                  <c:v>37257</c:v>
                </c:pt>
                <c:pt idx="13">
                  <c:v>37288</c:v>
                </c:pt>
                <c:pt idx="14">
                  <c:v>37316</c:v>
                </c:pt>
                <c:pt idx="15">
                  <c:v>37347</c:v>
                </c:pt>
                <c:pt idx="16">
                  <c:v>37377</c:v>
                </c:pt>
                <c:pt idx="17">
                  <c:v>37408</c:v>
                </c:pt>
                <c:pt idx="18">
                  <c:v>37438</c:v>
                </c:pt>
                <c:pt idx="19">
                  <c:v>37469</c:v>
                </c:pt>
                <c:pt idx="20">
                  <c:v>37500</c:v>
                </c:pt>
                <c:pt idx="21">
                  <c:v>37530</c:v>
                </c:pt>
                <c:pt idx="22">
                  <c:v>37561</c:v>
                </c:pt>
                <c:pt idx="23">
                  <c:v>37591</c:v>
                </c:pt>
                <c:pt idx="24">
                  <c:v>37622</c:v>
                </c:pt>
                <c:pt idx="25">
                  <c:v>37653</c:v>
                </c:pt>
                <c:pt idx="26">
                  <c:v>37681</c:v>
                </c:pt>
                <c:pt idx="27">
                  <c:v>37712</c:v>
                </c:pt>
                <c:pt idx="28">
                  <c:v>37742</c:v>
                </c:pt>
                <c:pt idx="29">
                  <c:v>37773</c:v>
                </c:pt>
                <c:pt idx="30">
                  <c:v>37803</c:v>
                </c:pt>
                <c:pt idx="31">
                  <c:v>37834</c:v>
                </c:pt>
                <c:pt idx="32">
                  <c:v>37865</c:v>
                </c:pt>
                <c:pt idx="33">
                  <c:v>37895</c:v>
                </c:pt>
                <c:pt idx="34">
                  <c:v>37926</c:v>
                </c:pt>
                <c:pt idx="35">
                  <c:v>37956</c:v>
                </c:pt>
                <c:pt idx="36">
                  <c:v>37987</c:v>
                </c:pt>
                <c:pt idx="37">
                  <c:v>38018</c:v>
                </c:pt>
                <c:pt idx="38">
                  <c:v>38047</c:v>
                </c:pt>
                <c:pt idx="39">
                  <c:v>38078</c:v>
                </c:pt>
                <c:pt idx="40">
                  <c:v>38108</c:v>
                </c:pt>
                <c:pt idx="41">
                  <c:v>38139</c:v>
                </c:pt>
                <c:pt idx="42">
                  <c:v>38169</c:v>
                </c:pt>
                <c:pt idx="43">
                  <c:v>38200</c:v>
                </c:pt>
                <c:pt idx="44">
                  <c:v>38231</c:v>
                </c:pt>
                <c:pt idx="45">
                  <c:v>38261</c:v>
                </c:pt>
                <c:pt idx="46">
                  <c:v>38292</c:v>
                </c:pt>
                <c:pt idx="47">
                  <c:v>38322</c:v>
                </c:pt>
                <c:pt idx="48">
                  <c:v>38353</c:v>
                </c:pt>
                <c:pt idx="49">
                  <c:v>38384</c:v>
                </c:pt>
                <c:pt idx="50">
                  <c:v>38412</c:v>
                </c:pt>
                <c:pt idx="51">
                  <c:v>38443</c:v>
                </c:pt>
                <c:pt idx="52">
                  <c:v>38473</c:v>
                </c:pt>
                <c:pt idx="53">
                  <c:v>38504</c:v>
                </c:pt>
                <c:pt idx="54">
                  <c:v>38534</c:v>
                </c:pt>
                <c:pt idx="55">
                  <c:v>38565</c:v>
                </c:pt>
                <c:pt idx="56">
                  <c:v>38596</c:v>
                </c:pt>
                <c:pt idx="57">
                  <c:v>38626</c:v>
                </c:pt>
                <c:pt idx="58">
                  <c:v>38657</c:v>
                </c:pt>
                <c:pt idx="59">
                  <c:v>38687</c:v>
                </c:pt>
                <c:pt idx="60">
                  <c:v>38718</c:v>
                </c:pt>
                <c:pt idx="61">
                  <c:v>38749</c:v>
                </c:pt>
                <c:pt idx="62">
                  <c:v>38777</c:v>
                </c:pt>
                <c:pt idx="63">
                  <c:v>38808</c:v>
                </c:pt>
                <c:pt idx="64">
                  <c:v>38838</c:v>
                </c:pt>
                <c:pt idx="65">
                  <c:v>38869</c:v>
                </c:pt>
                <c:pt idx="66">
                  <c:v>38899</c:v>
                </c:pt>
                <c:pt idx="67">
                  <c:v>38930</c:v>
                </c:pt>
                <c:pt idx="68">
                  <c:v>38961</c:v>
                </c:pt>
                <c:pt idx="69">
                  <c:v>38991</c:v>
                </c:pt>
                <c:pt idx="70">
                  <c:v>39022</c:v>
                </c:pt>
                <c:pt idx="71">
                  <c:v>39052</c:v>
                </c:pt>
                <c:pt idx="72">
                  <c:v>39083</c:v>
                </c:pt>
                <c:pt idx="73">
                  <c:v>39114</c:v>
                </c:pt>
                <c:pt idx="74">
                  <c:v>39142</c:v>
                </c:pt>
                <c:pt idx="75">
                  <c:v>39173</c:v>
                </c:pt>
                <c:pt idx="76">
                  <c:v>39203</c:v>
                </c:pt>
                <c:pt idx="77">
                  <c:v>39234</c:v>
                </c:pt>
                <c:pt idx="78">
                  <c:v>39264</c:v>
                </c:pt>
                <c:pt idx="79">
                  <c:v>39295</c:v>
                </c:pt>
                <c:pt idx="80">
                  <c:v>39326</c:v>
                </c:pt>
                <c:pt idx="81">
                  <c:v>39356</c:v>
                </c:pt>
                <c:pt idx="82">
                  <c:v>39387</c:v>
                </c:pt>
                <c:pt idx="83">
                  <c:v>39417</c:v>
                </c:pt>
                <c:pt idx="84">
                  <c:v>39448</c:v>
                </c:pt>
                <c:pt idx="85">
                  <c:v>39479</c:v>
                </c:pt>
                <c:pt idx="86">
                  <c:v>39508</c:v>
                </c:pt>
                <c:pt idx="87">
                  <c:v>39539</c:v>
                </c:pt>
                <c:pt idx="88">
                  <c:v>39569</c:v>
                </c:pt>
                <c:pt idx="89">
                  <c:v>39600</c:v>
                </c:pt>
                <c:pt idx="90">
                  <c:v>39630</c:v>
                </c:pt>
                <c:pt idx="91">
                  <c:v>39661</c:v>
                </c:pt>
                <c:pt idx="92">
                  <c:v>39692</c:v>
                </c:pt>
                <c:pt idx="93">
                  <c:v>39722</c:v>
                </c:pt>
                <c:pt idx="94">
                  <c:v>39753</c:v>
                </c:pt>
                <c:pt idx="95">
                  <c:v>39783</c:v>
                </c:pt>
                <c:pt idx="96">
                  <c:v>39814</c:v>
                </c:pt>
                <c:pt idx="97">
                  <c:v>39845</c:v>
                </c:pt>
                <c:pt idx="98">
                  <c:v>39873</c:v>
                </c:pt>
                <c:pt idx="99">
                  <c:v>39904</c:v>
                </c:pt>
                <c:pt idx="100">
                  <c:v>39934</c:v>
                </c:pt>
                <c:pt idx="101">
                  <c:v>39965</c:v>
                </c:pt>
                <c:pt idx="102">
                  <c:v>39995</c:v>
                </c:pt>
                <c:pt idx="103">
                  <c:v>40026</c:v>
                </c:pt>
                <c:pt idx="104">
                  <c:v>40057</c:v>
                </c:pt>
                <c:pt idx="105">
                  <c:v>40087</c:v>
                </c:pt>
                <c:pt idx="106">
                  <c:v>40118</c:v>
                </c:pt>
                <c:pt idx="107">
                  <c:v>40148</c:v>
                </c:pt>
                <c:pt idx="108">
                  <c:v>40179</c:v>
                </c:pt>
                <c:pt idx="109">
                  <c:v>40210</c:v>
                </c:pt>
                <c:pt idx="110">
                  <c:v>40238</c:v>
                </c:pt>
                <c:pt idx="111">
                  <c:v>40269</c:v>
                </c:pt>
                <c:pt idx="112">
                  <c:v>40299</c:v>
                </c:pt>
                <c:pt idx="113">
                  <c:v>40330</c:v>
                </c:pt>
                <c:pt idx="114">
                  <c:v>40360</c:v>
                </c:pt>
                <c:pt idx="115">
                  <c:v>40391</c:v>
                </c:pt>
                <c:pt idx="116">
                  <c:v>40422</c:v>
                </c:pt>
                <c:pt idx="117">
                  <c:v>40452</c:v>
                </c:pt>
                <c:pt idx="118">
                  <c:v>40483</c:v>
                </c:pt>
                <c:pt idx="119">
                  <c:v>40513</c:v>
                </c:pt>
                <c:pt idx="120">
                  <c:v>40544</c:v>
                </c:pt>
                <c:pt idx="121">
                  <c:v>40575</c:v>
                </c:pt>
                <c:pt idx="122">
                  <c:v>40603</c:v>
                </c:pt>
                <c:pt idx="123">
                  <c:v>40634</c:v>
                </c:pt>
                <c:pt idx="124">
                  <c:v>40664</c:v>
                </c:pt>
                <c:pt idx="125">
                  <c:v>40695</c:v>
                </c:pt>
                <c:pt idx="126">
                  <c:v>40725</c:v>
                </c:pt>
                <c:pt idx="127">
                  <c:v>40756</c:v>
                </c:pt>
                <c:pt idx="128">
                  <c:v>40787</c:v>
                </c:pt>
                <c:pt idx="129">
                  <c:v>40817</c:v>
                </c:pt>
                <c:pt idx="130">
                  <c:v>40848</c:v>
                </c:pt>
                <c:pt idx="131">
                  <c:v>40878</c:v>
                </c:pt>
                <c:pt idx="132">
                  <c:v>40909</c:v>
                </c:pt>
                <c:pt idx="133">
                  <c:v>40940</c:v>
                </c:pt>
                <c:pt idx="134">
                  <c:v>40969</c:v>
                </c:pt>
                <c:pt idx="135">
                  <c:v>41000</c:v>
                </c:pt>
                <c:pt idx="136">
                  <c:v>41030</c:v>
                </c:pt>
                <c:pt idx="137">
                  <c:v>41061</c:v>
                </c:pt>
                <c:pt idx="138">
                  <c:v>41091</c:v>
                </c:pt>
                <c:pt idx="139">
                  <c:v>41122</c:v>
                </c:pt>
                <c:pt idx="140">
                  <c:v>41153</c:v>
                </c:pt>
                <c:pt idx="141">
                  <c:v>41183</c:v>
                </c:pt>
                <c:pt idx="142">
                  <c:v>41214</c:v>
                </c:pt>
                <c:pt idx="143">
                  <c:v>41244</c:v>
                </c:pt>
                <c:pt idx="144">
                  <c:v>41275</c:v>
                </c:pt>
                <c:pt idx="145">
                  <c:v>41306</c:v>
                </c:pt>
                <c:pt idx="146">
                  <c:v>41334</c:v>
                </c:pt>
                <c:pt idx="147">
                  <c:v>41365</c:v>
                </c:pt>
                <c:pt idx="148">
                  <c:v>41395</c:v>
                </c:pt>
                <c:pt idx="149">
                  <c:v>41426</c:v>
                </c:pt>
                <c:pt idx="150">
                  <c:v>41456</c:v>
                </c:pt>
                <c:pt idx="151">
                  <c:v>41487</c:v>
                </c:pt>
                <c:pt idx="152">
                  <c:v>41518</c:v>
                </c:pt>
                <c:pt idx="153">
                  <c:v>41548</c:v>
                </c:pt>
                <c:pt idx="154">
                  <c:v>41579</c:v>
                </c:pt>
                <c:pt idx="155">
                  <c:v>41609</c:v>
                </c:pt>
                <c:pt idx="156">
                  <c:v>41640</c:v>
                </c:pt>
                <c:pt idx="157">
                  <c:v>41671</c:v>
                </c:pt>
                <c:pt idx="158">
                  <c:v>41699</c:v>
                </c:pt>
                <c:pt idx="159">
                  <c:v>41730</c:v>
                </c:pt>
                <c:pt idx="160">
                  <c:v>41760</c:v>
                </c:pt>
                <c:pt idx="161">
                  <c:v>41791</c:v>
                </c:pt>
                <c:pt idx="162">
                  <c:v>41821</c:v>
                </c:pt>
                <c:pt idx="163">
                  <c:v>41852</c:v>
                </c:pt>
                <c:pt idx="164">
                  <c:v>41883</c:v>
                </c:pt>
              </c:numCache>
            </c:numRef>
          </c:cat>
          <c:val>
            <c:numRef>
              <c:f>FC!$AA$14:$AA$181</c:f>
              <c:numCache>
                <c:formatCode>0%</c:formatCode>
                <c:ptCount val="168"/>
                <c:pt idx="0">
                  <c:v>4.7935436170418101E-2</c:v>
                </c:pt>
                <c:pt idx="1">
                  <c:v>5.1101428975710503E-2</c:v>
                </c:pt>
                <c:pt idx="2">
                  <c:v>5.4557556739024501E-2</c:v>
                </c:pt>
                <c:pt idx="3">
                  <c:v>4.0534154564915999E-2</c:v>
                </c:pt>
                <c:pt idx="4">
                  <c:v>5.1094253121851597E-2</c:v>
                </c:pt>
                <c:pt idx="5">
                  <c:v>5.3189327340314001E-2</c:v>
                </c:pt>
                <c:pt idx="6">
                  <c:v>4.9343683866645498E-2</c:v>
                </c:pt>
                <c:pt idx="7">
                  <c:v>5.26848283516596E-2</c:v>
                </c:pt>
                <c:pt idx="8">
                  <c:v>4.3909285261945999E-2</c:v>
                </c:pt>
                <c:pt idx="9">
                  <c:v>5.3365177334519197E-2</c:v>
                </c:pt>
                <c:pt idx="10">
                  <c:v>5.81150634309704E-2</c:v>
                </c:pt>
                <c:pt idx="11">
                  <c:v>4.9023505181772002E-2</c:v>
                </c:pt>
                <c:pt idx="12">
                  <c:v>6.2064382162580901E-2</c:v>
                </c:pt>
                <c:pt idx="13">
                  <c:v>6.1979930375563E-2</c:v>
                </c:pt>
                <c:pt idx="14">
                  <c:v>5.4392775062895901E-2</c:v>
                </c:pt>
                <c:pt idx="15">
                  <c:v>5.5124486834301101E-2</c:v>
                </c:pt>
                <c:pt idx="16">
                  <c:v>5.4335369438313297E-2</c:v>
                </c:pt>
                <c:pt idx="17">
                  <c:v>6.8733293789509001E-2</c:v>
                </c:pt>
                <c:pt idx="18">
                  <c:v>5.2582089756860101E-2</c:v>
                </c:pt>
                <c:pt idx="19">
                  <c:v>5.4235463240326798E-2</c:v>
                </c:pt>
                <c:pt idx="20">
                  <c:v>5.8796769446177399E-2</c:v>
                </c:pt>
                <c:pt idx="21">
                  <c:v>5.2794707368901697E-2</c:v>
                </c:pt>
                <c:pt idx="22">
                  <c:v>5.3493760794290302E-2</c:v>
                </c:pt>
                <c:pt idx="23">
                  <c:v>6.1729303328711502E-2</c:v>
                </c:pt>
                <c:pt idx="24">
                  <c:v>5.8546508269076897E-2</c:v>
                </c:pt>
                <c:pt idx="25">
                  <c:v>5.4348347751179797E-2</c:v>
                </c:pt>
                <c:pt idx="26">
                  <c:v>5.7391250328026798E-2</c:v>
                </c:pt>
                <c:pt idx="27">
                  <c:v>6.0843516632990598E-2</c:v>
                </c:pt>
                <c:pt idx="28">
                  <c:v>6.03122387591562E-2</c:v>
                </c:pt>
                <c:pt idx="29">
                  <c:v>5.7111075898663301E-2</c:v>
                </c:pt>
                <c:pt idx="30">
                  <c:v>5.6170970602855301E-2</c:v>
                </c:pt>
                <c:pt idx="31">
                  <c:v>5.6027394659509101E-2</c:v>
                </c:pt>
                <c:pt idx="32">
                  <c:v>5.6873549619866903E-2</c:v>
                </c:pt>
                <c:pt idx="33">
                  <c:v>6.4546723598257597E-2</c:v>
                </c:pt>
                <c:pt idx="34">
                  <c:v>5.80016125963514E-2</c:v>
                </c:pt>
                <c:pt idx="35">
                  <c:v>6.0825361446789399E-2</c:v>
                </c:pt>
                <c:pt idx="36">
                  <c:v>6.1756026604031497E-2</c:v>
                </c:pt>
                <c:pt idx="37">
                  <c:v>5.7340995626126198E-2</c:v>
                </c:pt>
                <c:pt idx="38">
                  <c:v>6.2570811119258496E-2</c:v>
                </c:pt>
                <c:pt idx="39">
                  <c:v>5.69432430423846E-2</c:v>
                </c:pt>
                <c:pt idx="40">
                  <c:v>5.8789520085235802E-2</c:v>
                </c:pt>
                <c:pt idx="41">
                  <c:v>6.1327157895436801E-2</c:v>
                </c:pt>
                <c:pt idx="42">
                  <c:v>5.9783044112457301E-2</c:v>
                </c:pt>
                <c:pt idx="43">
                  <c:v>5.4983346893377902E-2</c:v>
                </c:pt>
                <c:pt idx="44">
                  <c:v>6.8876238171720797E-2</c:v>
                </c:pt>
                <c:pt idx="45">
                  <c:v>6.10695560508457E-2</c:v>
                </c:pt>
                <c:pt idx="46">
                  <c:v>5.5610249233551699E-2</c:v>
                </c:pt>
                <c:pt idx="47">
                  <c:v>5.9005553898308701E-2</c:v>
                </c:pt>
                <c:pt idx="48">
                  <c:v>5.8892142849707202E-2</c:v>
                </c:pt>
                <c:pt idx="49">
                  <c:v>6.3872370813020607E-2</c:v>
                </c:pt>
                <c:pt idx="50">
                  <c:v>6.2331332664308299E-2</c:v>
                </c:pt>
                <c:pt idx="51">
                  <c:v>6.0606396576953402E-2</c:v>
                </c:pt>
                <c:pt idx="52">
                  <c:v>5.75474009630886E-2</c:v>
                </c:pt>
                <c:pt idx="53">
                  <c:v>6.2831575306661697E-2</c:v>
                </c:pt>
                <c:pt idx="54">
                  <c:v>6.5045835951440298E-2</c:v>
                </c:pt>
                <c:pt idx="55">
                  <c:v>6.7642201782090502E-2</c:v>
                </c:pt>
                <c:pt idx="56">
                  <c:v>5.86497130489027E-2</c:v>
                </c:pt>
                <c:pt idx="57">
                  <c:v>6.4116095649154395E-2</c:v>
                </c:pt>
                <c:pt idx="58">
                  <c:v>5.6662042243050097E-2</c:v>
                </c:pt>
                <c:pt idx="59">
                  <c:v>5.7366756245760299E-2</c:v>
                </c:pt>
                <c:pt idx="60">
                  <c:v>6.1977477676141798E-2</c:v>
                </c:pt>
                <c:pt idx="61">
                  <c:v>5.7634431731107903E-2</c:v>
                </c:pt>
                <c:pt idx="62">
                  <c:v>5.4118353485831598E-2</c:v>
                </c:pt>
                <c:pt idx="63">
                  <c:v>6.7706108973574694E-2</c:v>
                </c:pt>
                <c:pt idx="64">
                  <c:v>7.0618929662425306E-2</c:v>
                </c:pt>
                <c:pt idx="65">
                  <c:v>5.7076964516638899E-2</c:v>
                </c:pt>
                <c:pt idx="66">
                  <c:v>5.4970792765955602E-2</c:v>
                </c:pt>
                <c:pt idx="67">
                  <c:v>5.78275563544835E-2</c:v>
                </c:pt>
                <c:pt idx="68">
                  <c:v>6.3082413595394196E-2</c:v>
                </c:pt>
                <c:pt idx="69">
                  <c:v>5.3860239676467997E-2</c:v>
                </c:pt>
                <c:pt idx="70">
                  <c:v>5.6156229716646397E-2</c:v>
                </c:pt>
                <c:pt idx="71">
                  <c:v>5.4288484360433403E-2</c:v>
                </c:pt>
                <c:pt idx="72">
                  <c:v>5.7736034691442603E-2</c:v>
                </c:pt>
                <c:pt idx="73">
                  <c:v>5.1377823991664101E-2</c:v>
                </c:pt>
                <c:pt idx="74">
                  <c:v>5.1496901254267299E-2</c:v>
                </c:pt>
                <c:pt idx="75">
                  <c:v>4.9562303255866497E-2</c:v>
                </c:pt>
                <c:pt idx="76">
                  <c:v>5.9137663840051299E-2</c:v>
                </c:pt>
                <c:pt idx="77">
                  <c:v>4.8666017395847597E-2</c:v>
                </c:pt>
                <c:pt idx="78">
                  <c:v>5.3718095410880497E-2</c:v>
                </c:pt>
                <c:pt idx="79">
                  <c:v>4.8408471283746E-2</c:v>
                </c:pt>
                <c:pt idx="80">
                  <c:v>4.9110123166600197E-2</c:v>
                </c:pt>
                <c:pt idx="81">
                  <c:v>4.8489871155853702E-2</c:v>
                </c:pt>
                <c:pt idx="82">
                  <c:v>4.6621114721767901E-2</c:v>
                </c:pt>
                <c:pt idx="83">
                  <c:v>4.7381765757137997E-2</c:v>
                </c:pt>
                <c:pt idx="84">
                  <c:v>4.52560423290361E-2</c:v>
                </c:pt>
                <c:pt idx="85">
                  <c:v>4.6065049773506402E-2</c:v>
                </c:pt>
                <c:pt idx="86">
                  <c:v>4.6683047775331603E-2</c:v>
                </c:pt>
                <c:pt idx="87">
                  <c:v>4.8118945579615401E-2</c:v>
                </c:pt>
                <c:pt idx="88">
                  <c:v>4.5451587903440602E-2</c:v>
                </c:pt>
                <c:pt idx="89">
                  <c:v>4.5670919716252902E-2</c:v>
                </c:pt>
                <c:pt idx="90">
                  <c:v>4.2501424560505097E-2</c:v>
                </c:pt>
                <c:pt idx="91">
                  <c:v>4.4065598996808099E-2</c:v>
                </c:pt>
                <c:pt idx="92">
                  <c:v>4.4460192304621497E-2</c:v>
                </c:pt>
                <c:pt idx="93">
                  <c:v>4.45010468925977E-2</c:v>
                </c:pt>
                <c:pt idx="94">
                  <c:v>4.4441358093439701E-2</c:v>
                </c:pt>
                <c:pt idx="95">
                  <c:v>4.3184843818385499E-2</c:v>
                </c:pt>
                <c:pt idx="96">
                  <c:v>4.44162961618393E-2</c:v>
                </c:pt>
                <c:pt idx="97">
                  <c:v>4.52821839017159E-2</c:v>
                </c:pt>
                <c:pt idx="98">
                  <c:v>4.4289456339914698E-2</c:v>
                </c:pt>
                <c:pt idx="99">
                  <c:v>4.5769897297467298E-2</c:v>
                </c:pt>
                <c:pt idx="100">
                  <c:v>4.6023479698685199E-2</c:v>
                </c:pt>
                <c:pt idx="101">
                  <c:v>5.0251263307097102E-2</c:v>
                </c:pt>
                <c:pt idx="102">
                  <c:v>4.8718694085190799E-2</c:v>
                </c:pt>
                <c:pt idx="103">
                  <c:v>4.9291058488356597E-2</c:v>
                </c:pt>
                <c:pt idx="104">
                  <c:v>5.2180833621466E-2</c:v>
                </c:pt>
                <c:pt idx="105">
                  <c:v>5.1174762436180299E-2</c:v>
                </c:pt>
                <c:pt idx="106">
                  <c:v>5.5026808066195497E-2</c:v>
                </c:pt>
                <c:pt idx="107">
                  <c:v>5.48994222536138E-2</c:v>
                </c:pt>
                <c:pt idx="108">
                  <c:v>5.7334786634082903E-2</c:v>
                </c:pt>
                <c:pt idx="109">
                  <c:v>5.7857484705399601E-2</c:v>
                </c:pt>
                <c:pt idx="110">
                  <c:v>5.7758388420909003E-2</c:v>
                </c:pt>
                <c:pt idx="111">
                  <c:v>5.9323793565829598E-2</c:v>
                </c:pt>
                <c:pt idx="112">
                  <c:v>5.89136610386954E-2</c:v>
                </c:pt>
                <c:pt idx="113">
                  <c:v>6.1349623175040897E-2</c:v>
                </c:pt>
                <c:pt idx="114">
                  <c:v>6.07944345863424E-2</c:v>
                </c:pt>
                <c:pt idx="115">
                  <c:v>6.3631343062384202E-2</c:v>
                </c:pt>
                <c:pt idx="116">
                  <c:v>6.1864675257306802E-2</c:v>
                </c:pt>
                <c:pt idx="117">
                  <c:v>6.1233550346855299E-2</c:v>
                </c:pt>
                <c:pt idx="118">
                  <c:v>5.9246474521751302E-2</c:v>
                </c:pt>
                <c:pt idx="119">
                  <c:v>6.0254680527658797E-2</c:v>
                </c:pt>
                <c:pt idx="120">
                  <c:v>6.2098552221481799E-2</c:v>
                </c:pt>
                <c:pt idx="121">
                  <c:v>6.2652974078872894E-2</c:v>
                </c:pt>
                <c:pt idx="122">
                  <c:v>6.7006952894538896E-2</c:v>
                </c:pt>
                <c:pt idx="123">
                  <c:v>6.2814696705435893E-2</c:v>
                </c:pt>
                <c:pt idx="124">
                  <c:v>6.4281880904395503E-2</c:v>
                </c:pt>
                <c:pt idx="125">
                  <c:v>6.2078479190444902E-2</c:v>
                </c:pt>
                <c:pt idx="126">
                  <c:v>6.1432919064001397E-2</c:v>
                </c:pt>
                <c:pt idx="127">
                  <c:v>6.2028124332672199E-2</c:v>
                </c:pt>
                <c:pt idx="128">
                  <c:v>6.1242811646326598E-2</c:v>
                </c:pt>
                <c:pt idx="129">
                  <c:v>6.4170523523436093E-2</c:v>
                </c:pt>
                <c:pt idx="130">
                  <c:v>6.1535119067748799E-2</c:v>
                </c:pt>
                <c:pt idx="131">
                  <c:v>6.1673603551295503E-2</c:v>
                </c:pt>
                <c:pt idx="132">
                  <c:v>6.1553558000167603E-2</c:v>
                </c:pt>
                <c:pt idx="133">
                  <c:v>6.2427506489399598E-2</c:v>
                </c:pt>
                <c:pt idx="134">
                  <c:v>6.0901159716146597E-2</c:v>
                </c:pt>
                <c:pt idx="135">
                  <c:v>6.1775368019021497E-2</c:v>
                </c:pt>
                <c:pt idx="136">
                  <c:v>6.2077159943882597E-2</c:v>
                </c:pt>
                <c:pt idx="137">
                  <c:v>6.15251887904592E-2</c:v>
                </c:pt>
                <c:pt idx="138">
                  <c:v>6.03972710690888E-2</c:v>
                </c:pt>
                <c:pt idx="139">
                  <c:v>6.1017028030291701E-2</c:v>
                </c:pt>
                <c:pt idx="140">
                  <c:v>6.3380032425792904E-2</c:v>
                </c:pt>
                <c:pt idx="141">
                  <c:v>6.4854812140637805E-2</c:v>
                </c:pt>
                <c:pt idx="142">
                  <c:v>6.6830748724964001E-2</c:v>
                </c:pt>
                <c:pt idx="143">
                  <c:v>6.3134221961840098E-2</c:v>
                </c:pt>
                <c:pt idx="144">
                  <c:v>6.5022418972615195E-2</c:v>
                </c:pt>
                <c:pt idx="145">
                  <c:v>7.0948490585060295E-2</c:v>
                </c:pt>
                <c:pt idx="146">
                  <c:v>6.9779334765332296E-2</c:v>
                </c:pt>
                <c:pt idx="147">
                  <c:v>7.1112517033424499E-2</c:v>
                </c:pt>
                <c:pt idx="148">
                  <c:v>7.4472094770708597E-2</c:v>
                </c:pt>
                <c:pt idx="149">
                  <c:v>7.3464980712033404E-2</c:v>
                </c:pt>
                <c:pt idx="150">
                  <c:v>7.8604807192579201E-2</c:v>
                </c:pt>
                <c:pt idx="151">
                  <c:v>8.2281248652468095E-2</c:v>
                </c:pt>
                <c:pt idx="152">
                  <c:v>8.6609097497582305E-2</c:v>
                </c:pt>
                <c:pt idx="153">
                  <c:v>9.3926693713456397E-2</c:v>
                </c:pt>
                <c:pt idx="154">
                  <c:v>9.3732177924402194E-2</c:v>
                </c:pt>
                <c:pt idx="155">
                  <c:v>8.8617894724277502E-2</c:v>
                </c:pt>
                <c:pt idx="156">
                  <c:v>9.0893837505477304E-2</c:v>
                </c:pt>
                <c:pt idx="157">
                  <c:v>0.10153614648525899</c:v>
                </c:pt>
                <c:pt idx="158">
                  <c:v>9.7234264014659996E-2</c:v>
                </c:pt>
                <c:pt idx="159">
                  <c:v>9.5751158614092002E-2</c:v>
                </c:pt>
                <c:pt idx="160">
                  <c:v>8.9671336358849094E-2</c:v>
                </c:pt>
                <c:pt idx="161">
                  <c:v>9.7921127283926102E-2</c:v>
                </c:pt>
                <c:pt idx="162">
                  <c:v>0.104909047910465</c:v>
                </c:pt>
                <c:pt idx="163">
                  <c:v>0.103722234371903</c:v>
                </c:pt>
                <c:pt idx="164">
                  <c:v>0.10462629298912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54271232"/>
        <c:axId val="354406784"/>
      </c:lineChart>
      <c:dateAx>
        <c:axId val="354271232"/>
        <c:scaling>
          <c:orientation val="minMax"/>
        </c:scaling>
        <c:delete val="0"/>
        <c:axPos val="b"/>
        <c:numFmt formatCode="m/d/yyyy" sourceLinked="1"/>
        <c:majorTickMark val="out"/>
        <c:minorTickMark val="none"/>
        <c:tickLblPos val="nextTo"/>
        <c:crossAx val="354406784"/>
        <c:crosses val="autoZero"/>
        <c:auto val="1"/>
        <c:lblOffset val="100"/>
        <c:baseTimeUnit val="months"/>
      </c:dateAx>
      <c:valAx>
        <c:axId val="354406784"/>
        <c:scaling>
          <c:orientation val="minMax"/>
        </c:scaling>
        <c:delete val="0"/>
        <c:axPos val="l"/>
        <c:majorGridlines/>
        <c:numFmt formatCode="0%" sourceLinked="1"/>
        <c:majorTickMark val="out"/>
        <c:minorTickMark val="none"/>
        <c:tickLblPos val="nextTo"/>
        <c:crossAx val="354271232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FC!$AD$1:$AD$2</c:f>
              <c:strCache>
                <c:ptCount val="1"/>
                <c:pt idx="0">
                  <c:v>MI FHL</c:v>
                </c:pt>
              </c:strCache>
            </c:strRef>
          </c:tx>
          <c:marker>
            <c:symbol val="none"/>
          </c:marker>
          <c:cat>
            <c:numRef>
              <c:f>FC!$AC$14:$AC$181</c:f>
              <c:numCache>
                <c:formatCode>m/d/yyyy</c:formatCode>
                <c:ptCount val="168"/>
                <c:pt idx="0">
                  <c:v>36892</c:v>
                </c:pt>
                <c:pt idx="1">
                  <c:v>36923</c:v>
                </c:pt>
                <c:pt idx="2">
                  <c:v>36951</c:v>
                </c:pt>
                <c:pt idx="3">
                  <c:v>36982</c:v>
                </c:pt>
                <c:pt idx="4">
                  <c:v>37012</c:v>
                </c:pt>
                <c:pt idx="5">
                  <c:v>37043</c:v>
                </c:pt>
                <c:pt idx="6">
                  <c:v>37073</c:v>
                </c:pt>
                <c:pt idx="7">
                  <c:v>37104</c:v>
                </c:pt>
                <c:pt idx="8">
                  <c:v>37135</c:v>
                </c:pt>
                <c:pt idx="9">
                  <c:v>37165</c:v>
                </c:pt>
                <c:pt idx="10">
                  <c:v>37196</c:v>
                </c:pt>
                <c:pt idx="11">
                  <c:v>37226</c:v>
                </c:pt>
                <c:pt idx="12">
                  <c:v>37257</c:v>
                </c:pt>
                <c:pt idx="13">
                  <c:v>37288</c:v>
                </c:pt>
                <c:pt idx="14">
                  <c:v>37316</c:v>
                </c:pt>
                <c:pt idx="15">
                  <c:v>37347</c:v>
                </c:pt>
                <c:pt idx="16">
                  <c:v>37377</c:v>
                </c:pt>
                <c:pt idx="17">
                  <c:v>37408</c:v>
                </c:pt>
                <c:pt idx="18">
                  <c:v>37438</c:v>
                </c:pt>
                <c:pt idx="19">
                  <c:v>37469</c:v>
                </c:pt>
                <c:pt idx="20">
                  <c:v>37500</c:v>
                </c:pt>
                <c:pt idx="21">
                  <c:v>37530</c:v>
                </c:pt>
                <c:pt idx="22">
                  <c:v>37561</c:v>
                </c:pt>
                <c:pt idx="23">
                  <c:v>37591</c:v>
                </c:pt>
                <c:pt idx="24">
                  <c:v>37622</c:v>
                </c:pt>
                <c:pt idx="25">
                  <c:v>37653</c:v>
                </c:pt>
                <c:pt idx="26">
                  <c:v>37681</c:v>
                </c:pt>
                <c:pt idx="27">
                  <c:v>37712</c:v>
                </c:pt>
                <c:pt idx="28">
                  <c:v>37742</c:v>
                </c:pt>
                <c:pt idx="29">
                  <c:v>37773</c:v>
                </c:pt>
                <c:pt idx="30">
                  <c:v>37803</c:v>
                </c:pt>
                <c:pt idx="31">
                  <c:v>37834</c:v>
                </c:pt>
                <c:pt idx="32">
                  <c:v>37865</c:v>
                </c:pt>
                <c:pt idx="33">
                  <c:v>37895</c:v>
                </c:pt>
                <c:pt idx="34">
                  <c:v>37926</c:v>
                </c:pt>
                <c:pt idx="35">
                  <c:v>37956</c:v>
                </c:pt>
                <c:pt idx="36">
                  <c:v>37987</c:v>
                </c:pt>
                <c:pt idx="37">
                  <c:v>38018</c:v>
                </c:pt>
                <c:pt idx="38">
                  <c:v>38047</c:v>
                </c:pt>
                <c:pt idx="39">
                  <c:v>38078</c:v>
                </c:pt>
                <c:pt idx="40">
                  <c:v>38108</c:v>
                </c:pt>
                <c:pt idx="41">
                  <c:v>38139</c:v>
                </c:pt>
                <c:pt idx="42">
                  <c:v>38169</c:v>
                </c:pt>
                <c:pt idx="43">
                  <c:v>38200</c:v>
                </c:pt>
                <c:pt idx="44">
                  <c:v>38231</c:v>
                </c:pt>
                <c:pt idx="45">
                  <c:v>38261</c:v>
                </c:pt>
                <c:pt idx="46">
                  <c:v>38292</c:v>
                </c:pt>
                <c:pt idx="47">
                  <c:v>38322</c:v>
                </c:pt>
                <c:pt idx="48">
                  <c:v>38353</c:v>
                </c:pt>
                <c:pt idx="49">
                  <c:v>38384</c:v>
                </c:pt>
                <c:pt idx="50">
                  <c:v>38412</c:v>
                </c:pt>
                <c:pt idx="51">
                  <c:v>38443</c:v>
                </c:pt>
                <c:pt idx="52">
                  <c:v>38473</c:v>
                </c:pt>
                <c:pt idx="53">
                  <c:v>38504</c:v>
                </c:pt>
                <c:pt idx="54">
                  <c:v>38534</c:v>
                </c:pt>
                <c:pt idx="55">
                  <c:v>38565</c:v>
                </c:pt>
                <c:pt idx="56">
                  <c:v>38596</c:v>
                </c:pt>
                <c:pt idx="57">
                  <c:v>38626</c:v>
                </c:pt>
                <c:pt idx="58">
                  <c:v>38657</c:v>
                </c:pt>
                <c:pt idx="59">
                  <c:v>38687</c:v>
                </c:pt>
                <c:pt idx="60">
                  <c:v>38718</c:v>
                </c:pt>
                <c:pt idx="61">
                  <c:v>38749</c:v>
                </c:pt>
                <c:pt idx="62">
                  <c:v>38777</c:v>
                </c:pt>
                <c:pt idx="63">
                  <c:v>38808</c:v>
                </c:pt>
                <c:pt idx="64">
                  <c:v>38838</c:v>
                </c:pt>
                <c:pt idx="65">
                  <c:v>38869</c:v>
                </c:pt>
                <c:pt idx="66">
                  <c:v>38899</c:v>
                </c:pt>
                <c:pt idx="67">
                  <c:v>38930</c:v>
                </c:pt>
                <c:pt idx="68">
                  <c:v>38961</c:v>
                </c:pt>
                <c:pt idx="69">
                  <c:v>38991</c:v>
                </c:pt>
                <c:pt idx="70">
                  <c:v>39022</c:v>
                </c:pt>
                <c:pt idx="71">
                  <c:v>39052</c:v>
                </c:pt>
                <c:pt idx="72">
                  <c:v>39083</c:v>
                </c:pt>
                <c:pt idx="73">
                  <c:v>39114</c:v>
                </c:pt>
                <c:pt idx="74">
                  <c:v>39142</c:v>
                </c:pt>
                <c:pt idx="75">
                  <c:v>39173</c:v>
                </c:pt>
                <c:pt idx="76">
                  <c:v>39203</c:v>
                </c:pt>
                <c:pt idx="77">
                  <c:v>39234</c:v>
                </c:pt>
                <c:pt idx="78">
                  <c:v>39264</c:v>
                </c:pt>
                <c:pt idx="79">
                  <c:v>39295</c:v>
                </c:pt>
                <c:pt idx="80">
                  <c:v>39326</c:v>
                </c:pt>
                <c:pt idx="81">
                  <c:v>39356</c:v>
                </c:pt>
                <c:pt idx="82">
                  <c:v>39387</c:v>
                </c:pt>
                <c:pt idx="83">
                  <c:v>39417</c:v>
                </c:pt>
                <c:pt idx="84">
                  <c:v>39448</c:v>
                </c:pt>
                <c:pt idx="85">
                  <c:v>39479</c:v>
                </c:pt>
                <c:pt idx="86">
                  <c:v>39508</c:v>
                </c:pt>
                <c:pt idx="87">
                  <c:v>39539</c:v>
                </c:pt>
                <c:pt idx="88">
                  <c:v>39569</c:v>
                </c:pt>
                <c:pt idx="89">
                  <c:v>39600</c:v>
                </c:pt>
                <c:pt idx="90">
                  <c:v>39630</c:v>
                </c:pt>
                <c:pt idx="91">
                  <c:v>39661</c:v>
                </c:pt>
                <c:pt idx="92">
                  <c:v>39692</c:v>
                </c:pt>
                <c:pt idx="93">
                  <c:v>39722</c:v>
                </c:pt>
                <c:pt idx="94">
                  <c:v>39753</c:v>
                </c:pt>
                <c:pt idx="95">
                  <c:v>39783</c:v>
                </c:pt>
                <c:pt idx="96">
                  <c:v>39814</c:v>
                </c:pt>
                <c:pt idx="97">
                  <c:v>39845</c:v>
                </c:pt>
                <c:pt idx="98">
                  <c:v>39873</c:v>
                </c:pt>
                <c:pt idx="99">
                  <c:v>39904</c:v>
                </c:pt>
                <c:pt idx="100">
                  <c:v>39934</c:v>
                </c:pt>
                <c:pt idx="101">
                  <c:v>39965</c:v>
                </c:pt>
                <c:pt idx="102">
                  <c:v>39995</c:v>
                </c:pt>
                <c:pt idx="103">
                  <c:v>40026</c:v>
                </c:pt>
                <c:pt idx="104">
                  <c:v>40057</c:v>
                </c:pt>
                <c:pt idx="105">
                  <c:v>40087</c:v>
                </c:pt>
                <c:pt idx="106">
                  <c:v>40118</c:v>
                </c:pt>
                <c:pt idx="107">
                  <c:v>40148</c:v>
                </c:pt>
                <c:pt idx="108">
                  <c:v>40179</c:v>
                </c:pt>
                <c:pt idx="109">
                  <c:v>40210</c:v>
                </c:pt>
                <c:pt idx="110">
                  <c:v>40238</c:v>
                </c:pt>
                <c:pt idx="111">
                  <c:v>40269</c:v>
                </c:pt>
                <c:pt idx="112">
                  <c:v>40299</c:v>
                </c:pt>
                <c:pt idx="113">
                  <c:v>40330</c:v>
                </c:pt>
                <c:pt idx="114">
                  <c:v>40360</c:v>
                </c:pt>
                <c:pt idx="115">
                  <c:v>40391</c:v>
                </c:pt>
                <c:pt idx="116">
                  <c:v>40422</c:v>
                </c:pt>
                <c:pt idx="117">
                  <c:v>40452</c:v>
                </c:pt>
                <c:pt idx="118">
                  <c:v>40483</c:v>
                </c:pt>
                <c:pt idx="119">
                  <c:v>40513</c:v>
                </c:pt>
                <c:pt idx="120">
                  <c:v>40544</c:v>
                </c:pt>
                <c:pt idx="121">
                  <c:v>40575</c:v>
                </c:pt>
                <c:pt idx="122">
                  <c:v>40603</c:v>
                </c:pt>
                <c:pt idx="123">
                  <c:v>40634</c:v>
                </c:pt>
                <c:pt idx="124">
                  <c:v>40664</c:v>
                </c:pt>
                <c:pt idx="125">
                  <c:v>40695</c:v>
                </c:pt>
                <c:pt idx="126">
                  <c:v>40725</c:v>
                </c:pt>
                <c:pt idx="127">
                  <c:v>40756</c:v>
                </c:pt>
                <c:pt idx="128">
                  <c:v>40787</c:v>
                </c:pt>
                <c:pt idx="129">
                  <c:v>40817</c:v>
                </c:pt>
                <c:pt idx="130">
                  <c:v>40848</c:v>
                </c:pt>
                <c:pt idx="131">
                  <c:v>40878</c:v>
                </c:pt>
                <c:pt idx="132">
                  <c:v>40909</c:v>
                </c:pt>
                <c:pt idx="133">
                  <c:v>40940</c:v>
                </c:pt>
                <c:pt idx="134">
                  <c:v>40969</c:v>
                </c:pt>
                <c:pt idx="135">
                  <c:v>41000</c:v>
                </c:pt>
                <c:pt idx="136">
                  <c:v>41030</c:v>
                </c:pt>
                <c:pt idx="137">
                  <c:v>41061</c:v>
                </c:pt>
                <c:pt idx="138">
                  <c:v>41091</c:v>
                </c:pt>
                <c:pt idx="139">
                  <c:v>41122</c:v>
                </c:pt>
                <c:pt idx="140">
                  <c:v>41153</c:v>
                </c:pt>
                <c:pt idx="141">
                  <c:v>41183</c:v>
                </c:pt>
                <c:pt idx="142">
                  <c:v>41214</c:v>
                </c:pt>
                <c:pt idx="143">
                  <c:v>41244</c:v>
                </c:pt>
                <c:pt idx="144">
                  <c:v>41275</c:v>
                </c:pt>
                <c:pt idx="145">
                  <c:v>41306</c:v>
                </c:pt>
                <c:pt idx="146">
                  <c:v>41334</c:v>
                </c:pt>
                <c:pt idx="147">
                  <c:v>41365</c:v>
                </c:pt>
                <c:pt idx="148">
                  <c:v>41395</c:v>
                </c:pt>
                <c:pt idx="149">
                  <c:v>41426</c:v>
                </c:pt>
                <c:pt idx="150">
                  <c:v>41456</c:v>
                </c:pt>
                <c:pt idx="151">
                  <c:v>41487</c:v>
                </c:pt>
                <c:pt idx="152">
                  <c:v>41518</c:v>
                </c:pt>
                <c:pt idx="153">
                  <c:v>41548</c:v>
                </c:pt>
                <c:pt idx="154">
                  <c:v>41579</c:v>
                </c:pt>
                <c:pt idx="155">
                  <c:v>41609</c:v>
                </c:pt>
                <c:pt idx="156">
                  <c:v>41640</c:v>
                </c:pt>
                <c:pt idx="157">
                  <c:v>41671</c:v>
                </c:pt>
                <c:pt idx="158">
                  <c:v>41699</c:v>
                </c:pt>
                <c:pt idx="159">
                  <c:v>41730</c:v>
                </c:pt>
                <c:pt idx="160">
                  <c:v>41760</c:v>
                </c:pt>
                <c:pt idx="161">
                  <c:v>41791</c:v>
                </c:pt>
                <c:pt idx="162">
                  <c:v>41821</c:v>
                </c:pt>
                <c:pt idx="163">
                  <c:v>41852</c:v>
                </c:pt>
                <c:pt idx="164">
                  <c:v>41883</c:v>
                </c:pt>
              </c:numCache>
            </c:numRef>
          </c:cat>
          <c:val>
            <c:numRef>
              <c:f>FC!$AD$14:$AD$181</c:f>
              <c:numCache>
                <c:formatCode>0%</c:formatCode>
                <c:ptCount val="168"/>
                <c:pt idx="0">
                  <c:v>4.2253928266224601E-2</c:v>
                </c:pt>
                <c:pt idx="1">
                  <c:v>5.5779109091734197E-2</c:v>
                </c:pt>
                <c:pt idx="2">
                  <c:v>8.1185882259723299E-2</c:v>
                </c:pt>
                <c:pt idx="3">
                  <c:v>0.10916436437058499</c:v>
                </c:pt>
                <c:pt idx="4">
                  <c:v>6.9216984244051594E-2</c:v>
                </c:pt>
                <c:pt idx="5">
                  <c:v>4.34042955482652E-2</c:v>
                </c:pt>
                <c:pt idx="6">
                  <c:v>4.6695289696493697E-2</c:v>
                </c:pt>
                <c:pt idx="7">
                  <c:v>6.4641640871308401E-2</c:v>
                </c:pt>
                <c:pt idx="8">
                  <c:v>5.84091775576914E-2</c:v>
                </c:pt>
                <c:pt idx="9">
                  <c:v>6.0025934996593699E-2</c:v>
                </c:pt>
                <c:pt idx="10">
                  <c:v>5.94903367814145E-2</c:v>
                </c:pt>
                <c:pt idx="11">
                  <c:v>4.6399703361347598E-2</c:v>
                </c:pt>
                <c:pt idx="12">
                  <c:v>6.4048027993422102E-2</c:v>
                </c:pt>
                <c:pt idx="13">
                  <c:v>6.03128788552387E-2</c:v>
                </c:pt>
                <c:pt idx="14">
                  <c:v>5.9203933813904201E-2</c:v>
                </c:pt>
                <c:pt idx="15">
                  <c:v>5.3559871902193197E-2</c:v>
                </c:pt>
                <c:pt idx="16">
                  <c:v>6.2957393227189698E-2</c:v>
                </c:pt>
                <c:pt idx="17">
                  <c:v>5.8322280925619398E-2</c:v>
                </c:pt>
                <c:pt idx="18">
                  <c:v>6.1502032969304801E-2</c:v>
                </c:pt>
                <c:pt idx="19">
                  <c:v>7.6931177886787799E-2</c:v>
                </c:pt>
                <c:pt idx="20">
                  <c:v>6.0093231982947498E-2</c:v>
                </c:pt>
                <c:pt idx="21">
                  <c:v>5.8583725963730397E-2</c:v>
                </c:pt>
                <c:pt idx="22">
                  <c:v>5.58336899465414E-2</c:v>
                </c:pt>
                <c:pt idx="23">
                  <c:v>7.0087656862426406E-2</c:v>
                </c:pt>
                <c:pt idx="24">
                  <c:v>5.1219088795806597E-2</c:v>
                </c:pt>
                <c:pt idx="25">
                  <c:v>5.5233917163221201E-2</c:v>
                </c:pt>
                <c:pt idx="26">
                  <c:v>4.3892005714373697E-2</c:v>
                </c:pt>
                <c:pt idx="27">
                  <c:v>7.5240238489709899E-2</c:v>
                </c:pt>
                <c:pt idx="28">
                  <c:v>6.2386256739830802E-2</c:v>
                </c:pt>
                <c:pt idx="29">
                  <c:v>6.3750977826210295E-2</c:v>
                </c:pt>
                <c:pt idx="30">
                  <c:v>6.2693112141176704E-2</c:v>
                </c:pt>
                <c:pt idx="31">
                  <c:v>5.04178614887918E-2</c:v>
                </c:pt>
                <c:pt idx="32">
                  <c:v>7.3833668197861899E-2</c:v>
                </c:pt>
                <c:pt idx="33">
                  <c:v>5.4113422952905901E-2</c:v>
                </c:pt>
                <c:pt idx="34">
                  <c:v>7.3100557164836405E-2</c:v>
                </c:pt>
                <c:pt idx="35">
                  <c:v>6.5917091174133302E-2</c:v>
                </c:pt>
                <c:pt idx="36">
                  <c:v>5.8333615784237798E-2</c:v>
                </c:pt>
                <c:pt idx="37">
                  <c:v>6.4330469014455396E-2</c:v>
                </c:pt>
                <c:pt idx="38">
                  <c:v>5.48476648598899E-2</c:v>
                </c:pt>
                <c:pt idx="39">
                  <c:v>7.6304582521183106E-2</c:v>
                </c:pt>
                <c:pt idx="40">
                  <c:v>6.8269089718737297E-2</c:v>
                </c:pt>
                <c:pt idx="41">
                  <c:v>6.3741539679291498E-2</c:v>
                </c:pt>
                <c:pt idx="42">
                  <c:v>5.92819187343551E-2</c:v>
                </c:pt>
                <c:pt idx="43">
                  <c:v>6.6718877046383601E-2</c:v>
                </c:pt>
                <c:pt idx="44">
                  <c:v>5.8813902343480502E-2</c:v>
                </c:pt>
                <c:pt idx="45">
                  <c:v>7.5193256153300997E-2</c:v>
                </c:pt>
                <c:pt idx="46">
                  <c:v>6.8556177506533006E-2</c:v>
                </c:pt>
                <c:pt idx="47">
                  <c:v>6.9455749429040897E-2</c:v>
                </c:pt>
                <c:pt idx="48">
                  <c:v>5.3394910974026398E-2</c:v>
                </c:pt>
                <c:pt idx="49">
                  <c:v>6.1396523467051198E-2</c:v>
                </c:pt>
                <c:pt idx="50">
                  <c:v>5.4777870327351298E-2</c:v>
                </c:pt>
                <c:pt idx="51">
                  <c:v>5.2801441322425903E-2</c:v>
                </c:pt>
                <c:pt idx="52">
                  <c:v>5.8717437582503501E-2</c:v>
                </c:pt>
                <c:pt idx="53">
                  <c:v>6.0034123231694402E-2</c:v>
                </c:pt>
                <c:pt idx="54">
                  <c:v>5.0969950089225502E-2</c:v>
                </c:pt>
                <c:pt idx="55">
                  <c:v>5.4282465482248798E-2</c:v>
                </c:pt>
                <c:pt idx="56">
                  <c:v>7.7378738477218698E-2</c:v>
                </c:pt>
                <c:pt idx="57">
                  <c:v>3.9791598332667599E-2</c:v>
                </c:pt>
                <c:pt idx="58">
                  <c:v>4.6763630832854397E-2</c:v>
                </c:pt>
                <c:pt idx="59">
                  <c:v>5.3306180400937098E-2</c:v>
                </c:pt>
                <c:pt idx="60">
                  <c:v>4.6407972007262203E-2</c:v>
                </c:pt>
                <c:pt idx="61">
                  <c:v>4.04159118880612E-2</c:v>
                </c:pt>
                <c:pt idx="62">
                  <c:v>5.6313455293629001E-2</c:v>
                </c:pt>
                <c:pt idx="63">
                  <c:v>5.2356024922039703E-2</c:v>
                </c:pt>
                <c:pt idx="64">
                  <c:v>5.3277668395465098E-2</c:v>
                </c:pt>
                <c:pt idx="65">
                  <c:v>3.4027234918607402E-2</c:v>
                </c:pt>
                <c:pt idx="66">
                  <c:v>5.2546493366153101E-2</c:v>
                </c:pt>
                <c:pt idx="67">
                  <c:v>4.04019162872893E-2</c:v>
                </c:pt>
                <c:pt idx="68">
                  <c:v>5.1482578591727002E-2</c:v>
                </c:pt>
                <c:pt idx="69">
                  <c:v>4.4453688496216497E-2</c:v>
                </c:pt>
                <c:pt idx="70">
                  <c:v>6.0128854787172399E-2</c:v>
                </c:pt>
                <c:pt idx="71">
                  <c:v>4.0828261832053903E-2</c:v>
                </c:pt>
                <c:pt idx="72">
                  <c:v>3.93916762833149E-2</c:v>
                </c:pt>
                <c:pt idx="73">
                  <c:v>4.4810487578932502E-2</c:v>
                </c:pt>
                <c:pt idx="74">
                  <c:v>4.5162402853109802E-2</c:v>
                </c:pt>
                <c:pt idx="75">
                  <c:v>4.0574068855492397E-2</c:v>
                </c:pt>
                <c:pt idx="76">
                  <c:v>3.7179279560634701E-2</c:v>
                </c:pt>
                <c:pt idx="77">
                  <c:v>3.1117086860138501E-2</c:v>
                </c:pt>
                <c:pt idx="78">
                  <c:v>4.2120790530359997E-2</c:v>
                </c:pt>
                <c:pt idx="79">
                  <c:v>4.2701419936054703E-2</c:v>
                </c:pt>
                <c:pt idx="80">
                  <c:v>3.7374404646278003E-2</c:v>
                </c:pt>
                <c:pt idx="81">
                  <c:v>4.8038752702643003E-2</c:v>
                </c:pt>
                <c:pt idx="82">
                  <c:v>6.6181579531175899E-2</c:v>
                </c:pt>
                <c:pt idx="83">
                  <c:v>5.3168838061067501E-2</c:v>
                </c:pt>
                <c:pt idx="84">
                  <c:v>5.0019943985484101E-2</c:v>
                </c:pt>
                <c:pt idx="85">
                  <c:v>6.8075644787378195E-2</c:v>
                </c:pt>
                <c:pt idx="86">
                  <c:v>5.3632429130615902E-2</c:v>
                </c:pt>
                <c:pt idx="87">
                  <c:v>5.3929021289617497E-2</c:v>
                </c:pt>
                <c:pt idx="88">
                  <c:v>5.3306068957800198E-2</c:v>
                </c:pt>
                <c:pt idx="89">
                  <c:v>5.2171843003739303E-2</c:v>
                </c:pt>
                <c:pt idx="90">
                  <c:v>5.2949515207471799E-2</c:v>
                </c:pt>
                <c:pt idx="91">
                  <c:v>6.1018464212864297E-2</c:v>
                </c:pt>
                <c:pt idx="92">
                  <c:v>5.06938927864014E-2</c:v>
                </c:pt>
                <c:pt idx="93">
                  <c:v>4.9911659400044703E-2</c:v>
                </c:pt>
                <c:pt idx="94">
                  <c:v>5.5494992826149198E-2</c:v>
                </c:pt>
                <c:pt idx="95">
                  <c:v>6.8573012528974894E-2</c:v>
                </c:pt>
                <c:pt idx="96">
                  <c:v>5.9340065667545898E-2</c:v>
                </c:pt>
                <c:pt idx="97">
                  <c:v>5.6181145800333801E-2</c:v>
                </c:pt>
                <c:pt idx="98">
                  <c:v>5.6286658737469401E-2</c:v>
                </c:pt>
                <c:pt idx="99">
                  <c:v>5.0064358617000197E-2</c:v>
                </c:pt>
                <c:pt idx="100">
                  <c:v>5.8268176681348698E-2</c:v>
                </c:pt>
                <c:pt idx="101">
                  <c:v>5.8703379260773902E-2</c:v>
                </c:pt>
                <c:pt idx="102">
                  <c:v>5.0529133490624503E-2</c:v>
                </c:pt>
                <c:pt idx="103">
                  <c:v>5.4398705357081099E-2</c:v>
                </c:pt>
                <c:pt idx="104">
                  <c:v>4.7912380771527603E-2</c:v>
                </c:pt>
                <c:pt idx="105">
                  <c:v>5.3361503944933997E-2</c:v>
                </c:pt>
                <c:pt idx="106">
                  <c:v>5.6265308205376799E-2</c:v>
                </c:pt>
                <c:pt idx="107">
                  <c:v>6.02640027816089E-2</c:v>
                </c:pt>
                <c:pt idx="108">
                  <c:v>5.4088665391673701E-2</c:v>
                </c:pt>
                <c:pt idx="109">
                  <c:v>5.8094224706763703E-2</c:v>
                </c:pt>
                <c:pt idx="110">
                  <c:v>5.1781110786894499E-2</c:v>
                </c:pt>
                <c:pt idx="111">
                  <c:v>4.9767255224618001E-2</c:v>
                </c:pt>
                <c:pt idx="112">
                  <c:v>4.7164393630541999E-2</c:v>
                </c:pt>
                <c:pt idx="113">
                  <c:v>5.1657901603118103E-2</c:v>
                </c:pt>
                <c:pt idx="114">
                  <c:v>4.3483170003642303E-2</c:v>
                </c:pt>
                <c:pt idx="115">
                  <c:v>4.4138327489395897E-2</c:v>
                </c:pt>
                <c:pt idx="116">
                  <c:v>4.4804152742642898E-2</c:v>
                </c:pt>
                <c:pt idx="117">
                  <c:v>4.7360095008865802E-2</c:v>
                </c:pt>
                <c:pt idx="118">
                  <c:v>4.5026110737885101E-2</c:v>
                </c:pt>
                <c:pt idx="119">
                  <c:v>4.7339856103033401E-2</c:v>
                </c:pt>
                <c:pt idx="120">
                  <c:v>4.4812855375487598E-2</c:v>
                </c:pt>
                <c:pt idx="121">
                  <c:v>4.6075977288705203E-2</c:v>
                </c:pt>
                <c:pt idx="122">
                  <c:v>4.1315499437714502E-2</c:v>
                </c:pt>
                <c:pt idx="123">
                  <c:v>4.1161451312565399E-2</c:v>
                </c:pt>
                <c:pt idx="124">
                  <c:v>3.8364884983263799E-2</c:v>
                </c:pt>
                <c:pt idx="125">
                  <c:v>4.3166508617233403E-2</c:v>
                </c:pt>
                <c:pt idx="126">
                  <c:v>3.8554844277549703E-2</c:v>
                </c:pt>
                <c:pt idx="127">
                  <c:v>3.8734725628807899E-2</c:v>
                </c:pt>
                <c:pt idx="128">
                  <c:v>4.3870622835031098E-2</c:v>
                </c:pt>
                <c:pt idx="129">
                  <c:v>4.34590731492841E-2</c:v>
                </c:pt>
                <c:pt idx="130">
                  <c:v>4.4875630525846699E-2</c:v>
                </c:pt>
                <c:pt idx="131">
                  <c:v>4.6228097832228802E-2</c:v>
                </c:pt>
                <c:pt idx="132">
                  <c:v>4.1641488972096297E-2</c:v>
                </c:pt>
                <c:pt idx="133">
                  <c:v>4.8177979062693999E-2</c:v>
                </c:pt>
                <c:pt idx="134">
                  <c:v>4.2851804712961503E-2</c:v>
                </c:pt>
                <c:pt idx="135">
                  <c:v>4.9059848500521197E-2</c:v>
                </c:pt>
                <c:pt idx="136">
                  <c:v>4.6341835072754398E-2</c:v>
                </c:pt>
                <c:pt idx="137">
                  <c:v>4.6388164689219198E-2</c:v>
                </c:pt>
                <c:pt idx="138">
                  <c:v>4.6695457638879397E-2</c:v>
                </c:pt>
                <c:pt idx="139">
                  <c:v>4.8967661285293798E-2</c:v>
                </c:pt>
                <c:pt idx="140">
                  <c:v>4.5033292674570097E-2</c:v>
                </c:pt>
                <c:pt idx="141">
                  <c:v>4.5821403885578198E-2</c:v>
                </c:pt>
                <c:pt idx="142">
                  <c:v>5.0647935663588502E-2</c:v>
                </c:pt>
                <c:pt idx="143">
                  <c:v>5.6703017966395902E-2</c:v>
                </c:pt>
                <c:pt idx="144">
                  <c:v>5.1064878076396703E-2</c:v>
                </c:pt>
                <c:pt idx="145">
                  <c:v>5.1888923808848499E-2</c:v>
                </c:pt>
                <c:pt idx="146">
                  <c:v>5.2687074042412803E-2</c:v>
                </c:pt>
                <c:pt idx="147">
                  <c:v>5.7031076228400097E-2</c:v>
                </c:pt>
                <c:pt idx="148">
                  <c:v>6.1735771770670897E-2</c:v>
                </c:pt>
                <c:pt idx="149">
                  <c:v>5.3900349577421201E-2</c:v>
                </c:pt>
                <c:pt idx="150">
                  <c:v>5.6575613322713797E-2</c:v>
                </c:pt>
                <c:pt idx="151">
                  <c:v>5.5403708775639299E-2</c:v>
                </c:pt>
                <c:pt idx="152">
                  <c:v>5.78632513480523E-2</c:v>
                </c:pt>
                <c:pt idx="153">
                  <c:v>5.3812091381034197E-2</c:v>
                </c:pt>
                <c:pt idx="154">
                  <c:v>5.8232831243128301E-2</c:v>
                </c:pt>
                <c:pt idx="155">
                  <c:v>5.1825807577201899E-2</c:v>
                </c:pt>
                <c:pt idx="156">
                  <c:v>3.4665691849701502E-2</c:v>
                </c:pt>
                <c:pt idx="157">
                  <c:v>4.07504767326652E-2</c:v>
                </c:pt>
                <c:pt idx="158">
                  <c:v>3.4148413684032E-2</c:v>
                </c:pt>
                <c:pt idx="159">
                  <c:v>3.7077895134962402E-2</c:v>
                </c:pt>
                <c:pt idx="160">
                  <c:v>3.2512436084436297E-2</c:v>
                </c:pt>
                <c:pt idx="161">
                  <c:v>2.4337516546101199E-2</c:v>
                </c:pt>
                <c:pt idx="162">
                  <c:v>8.9674926754150005E-3</c:v>
                </c:pt>
                <c:pt idx="163">
                  <c:v>2.3777292459265598E-3</c:v>
                </c:pt>
                <c:pt idx="164">
                  <c:v>3.5302767248016598E-3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FC!$AE$1:$AE$2</c:f>
              <c:strCache>
                <c:ptCount val="1"/>
                <c:pt idx="0">
                  <c:v>MI FNMA</c:v>
                </c:pt>
              </c:strCache>
            </c:strRef>
          </c:tx>
          <c:marker>
            <c:symbol val="none"/>
          </c:marker>
          <c:cat>
            <c:numRef>
              <c:f>FC!$AC$14:$AC$181</c:f>
              <c:numCache>
                <c:formatCode>m/d/yyyy</c:formatCode>
                <c:ptCount val="168"/>
                <c:pt idx="0">
                  <c:v>36892</c:v>
                </c:pt>
                <c:pt idx="1">
                  <c:v>36923</c:v>
                </c:pt>
                <c:pt idx="2">
                  <c:v>36951</c:v>
                </c:pt>
                <c:pt idx="3">
                  <c:v>36982</c:v>
                </c:pt>
                <c:pt idx="4">
                  <c:v>37012</c:v>
                </c:pt>
                <c:pt idx="5">
                  <c:v>37043</c:v>
                </c:pt>
                <c:pt idx="6">
                  <c:v>37073</c:v>
                </c:pt>
                <c:pt idx="7">
                  <c:v>37104</c:v>
                </c:pt>
                <c:pt idx="8">
                  <c:v>37135</c:v>
                </c:pt>
                <c:pt idx="9">
                  <c:v>37165</c:v>
                </c:pt>
                <c:pt idx="10">
                  <c:v>37196</c:v>
                </c:pt>
                <c:pt idx="11">
                  <c:v>37226</c:v>
                </c:pt>
                <c:pt idx="12">
                  <c:v>37257</c:v>
                </c:pt>
                <c:pt idx="13">
                  <c:v>37288</c:v>
                </c:pt>
                <c:pt idx="14">
                  <c:v>37316</c:v>
                </c:pt>
                <c:pt idx="15">
                  <c:v>37347</c:v>
                </c:pt>
                <c:pt idx="16">
                  <c:v>37377</c:v>
                </c:pt>
                <c:pt idx="17">
                  <c:v>37408</c:v>
                </c:pt>
                <c:pt idx="18">
                  <c:v>37438</c:v>
                </c:pt>
                <c:pt idx="19">
                  <c:v>37469</c:v>
                </c:pt>
                <c:pt idx="20">
                  <c:v>37500</c:v>
                </c:pt>
                <c:pt idx="21">
                  <c:v>37530</c:v>
                </c:pt>
                <c:pt idx="22">
                  <c:v>37561</c:v>
                </c:pt>
                <c:pt idx="23">
                  <c:v>37591</c:v>
                </c:pt>
                <c:pt idx="24">
                  <c:v>37622</c:v>
                </c:pt>
                <c:pt idx="25">
                  <c:v>37653</c:v>
                </c:pt>
                <c:pt idx="26">
                  <c:v>37681</c:v>
                </c:pt>
                <c:pt idx="27">
                  <c:v>37712</c:v>
                </c:pt>
                <c:pt idx="28">
                  <c:v>37742</c:v>
                </c:pt>
                <c:pt idx="29">
                  <c:v>37773</c:v>
                </c:pt>
                <c:pt idx="30">
                  <c:v>37803</c:v>
                </c:pt>
                <c:pt idx="31">
                  <c:v>37834</c:v>
                </c:pt>
                <c:pt idx="32">
                  <c:v>37865</c:v>
                </c:pt>
                <c:pt idx="33">
                  <c:v>37895</c:v>
                </c:pt>
                <c:pt idx="34">
                  <c:v>37926</c:v>
                </c:pt>
                <c:pt idx="35">
                  <c:v>37956</c:v>
                </c:pt>
                <c:pt idx="36">
                  <c:v>37987</c:v>
                </c:pt>
                <c:pt idx="37">
                  <c:v>38018</c:v>
                </c:pt>
                <c:pt idx="38">
                  <c:v>38047</c:v>
                </c:pt>
                <c:pt idx="39">
                  <c:v>38078</c:v>
                </c:pt>
                <c:pt idx="40">
                  <c:v>38108</c:v>
                </c:pt>
                <c:pt idx="41">
                  <c:v>38139</c:v>
                </c:pt>
                <c:pt idx="42">
                  <c:v>38169</c:v>
                </c:pt>
                <c:pt idx="43">
                  <c:v>38200</c:v>
                </c:pt>
                <c:pt idx="44">
                  <c:v>38231</c:v>
                </c:pt>
                <c:pt idx="45">
                  <c:v>38261</c:v>
                </c:pt>
                <c:pt idx="46">
                  <c:v>38292</c:v>
                </c:pt>
                <c:pt idx="47">
                  <c:v>38322</c:v>
                </c:pt>
                <c:pt idx="48">
                  <c:v>38353</c:v>
                </c:pt>
                <c:pt idx="49">
                  <c:v>38384</c:v>
                </c:pt>
                <c:pt idx="50">
                  <c:v>38412</c:v>
                </c:pt>
                <c:pt idx="51">
                  <c:v>38443</c:v>
                </c:pt>
                <c:pt idx="52">
                  <c:v>38473</c:v>
                </c:pt>
                <c:pt idx="53">
                  <c:v>38504</c:v>
                </c:pt>
                <c:pt idx="54">
                  <c:v>38534</c:v>
                </c:pt>
                <c:pt idx="55">
                  <c:v>38565</c:v>
                </c:pt>
                <c:pt idx="56">
                  <c:v>38596</c:v>
                </c:pt>
                <c:pt idx="57">
                  <c:v>38626</c:v>
                </c:pt>
                <c:pt idx="58">
                  <c:v>38657</c:v>
                </c:pt>
                <c:pt idx="59">
                  <c:v>38687</c:v>
                </c:pt>
                <c:pt idx="60">
                  <c:v>38718</c:v>
                </c:pt>
                <c:pt idx="61">
                  <c:v>38749</c:v>
                </c:pt>
                <c:pt idx="62">
                  <c:v>38777</c:v>
                </c:pt>
                <c:pt idx="63">
                  <c:v>38808</c:v>
                </c:pt>
                <c:pt idx="64">
                  <c:v>38838</c:v>
                </c:pt>
                <c:pt idx="65">
                  <c:v>38869</c:v>
                </c:pt>
                <c:pt idx="66">
                  <c:v>38899</c:v>
                </c:pt>
                <c:pt idx="67">
                  <c:v>38930</c:v>
                </c:pt>
                <c:pt idx="68">
                  <c:v>38961</c:v>
                </c:pt>
                <c:pt idx="69">
                  <c:v>38991</c:v>
                </c:pt>
                <c:pt idx="70">
                  <c:v>39022</c:v>
                </c:pt>
                <c:pt idx="71">
                  <c:v>39052</c:v>
                </c:pt>
                <c:pt idx="72">
                  <c:v>39083</c:v>
                </c:pt>
                <c:pt idx="73">
                  <c:v>39114</c:v>
                </c:pt>
                <c:pt idx="74">
                  <c:v>39142</c:v>
                </c:pt>
                <c:pt idx="75">
                  <c:v>39173</c:v>
                </c:pt>
                <c:pt idx="76">
                  <c:v>39203</c:v>
                </c:pt>
                <c:pt idx="77">
                  <c:v>39234</c:v>
                </c:pt>
                <c:pt idx="78">
                  <c:v>39264</c:v>
                </c:pt>
                <c:pt idx="79">
                  <c:v>39295</c:v>
                </c:pt>
                <c:pt idx="80">
                  <c:v>39326</c:v>
                </c:pt>
                <c:pt idx="81">
                  <c:v>39356</c:v>
                </c:pt>
                <c:pt idx="82">
                  <c:v>39387</c:v>
                </c:pt>
                <c:pt idx="83">
                  <c:v>39417</c:v>
                </c:pt>
                <c:pt idx="84">
                  <c:v>39448</c:v>
                </c:pt>
                <c:pt idx="85">
                  <c:v>39479</c:v>
                </c:pt>
                <c:pt idx="86">
                  <c:v>39508</c:v>
                </c:pt>
                <c:pt idx="87">
                  <c:v>39539</c:v>
                </c:pt>
                <c:pt idx="88">
                  <c:v>39569</c:v>
                </c:pt>
                <c:pt idx="89">
                  <c:v>39600</c:v>
                </c:pt>
                <c:pt idx="90">
                  <c:v>39630</c:v>
                </c:pt>
                <c:pt idx="91">
                  <c:v>39661</c:v>
                </c:pt>
                <c:pt idx="92">
                  <c:v>39692</c:v>
                </c:pt>
                <c:pt idx="93">
                  <c:v>39722</c:v>
                </c:pt>
                <c:pt idx="94">
                  <c:v>39753</c:v>
                </c:pt>
                <c:pt idx="95">
                  <c:v>39783</c:v>
                </c:pt>
                <c:pt idx="96">
                  <c:v>39814</c:v>
                </c:pt>
                <c:pt idx="97">
                  <c:v>39845</c:v>
                </c:pt>
                <c:pt idx="98">
                  <c:v>39873</c:v>
                </c:pt>
                <c:pt idx="99">
                  <c:v>39904</c:v>
                </c:pt>
                <c:pt idx="100">
                  <c:v>39934</c:v>
                </c:pt>
                <c:pt idx="101">
                  <c:v>39965</c:v>
                </c:pt>
                <c:pt idx="102">
                  <c:v>39995</c:v>
                </c:pt>
                <c:pt idx="103">
                  <c:v>40026</c:v>
                </c:pt>
                <c:pt idx="104">
                  <c:v>40057</c:v>
                </c:pt>
                <c:pt idx="105">
                  <c:v>40087</c:v>
                </c:pt>
                <c:pt idx="106">
                  <c:v>40118</c:v>
                </c:pt>
                <c:pt idx="107">
                  <c:v>40148</c:v>
                </c:pt>
                <c:pt idx="108">
                  <c:v>40179</c:v>
                </c:pt>
                <c:pt idx="109">
                  <c:v>40210</c:v>
                </c:pt>
                <c:pt idx="110">
                  <c:v>40238</c:v>
                </c:pt>
                <c:pt idx="111">
                  <c:v>40269</c:v>
                </c:pt>
                <c:pt idx="112">
                  <c:v>40299</c:v>
                </c:pt>
                <c:pt idx="113">
                  <c:v>40330</c:v>
                </c:pt>
                <c:pt idx="114">
                  <c:v>40360</c:v>
                </c:pt>
                <c:pt idx="115">
                  <c:v>40391</c:v>
                </c:pt>
                <c:pt idx="116">
                  <c:v>40422</c:v>
                </c:pt>
                <c:pt idx="117">
                  <c:v>40452</c:v>
                </c:pt>
                <c:pt idx="118">
                  <c:v>40483</c:v>
                </c:pt>
                <c:pt idx="119">
                  <c:v>40513</c:v>
                </c:pt>
                <c:pt idx="120">
                  <c:v>40544</c:v>
                </c:pt>
                <c:pt idx="121">
                  <c:v>40575</c:v>
                </c:pt>
                <c:pt idx="122">
                  <c:v>40603</c:v>
                </c:pt>
                <c:pt idx="123">
                  <c:v>40634</c:v>
                </c:pt>
                <c:pt idx="124">
                  <c:v>40664</c:v>
                </c:pt>
                <c:pt idx="125">
                  <c:v>40695</c:v>
                </c:pt>
                <c:pt idx="126">
                  <c:v>40725</c:v>
                </c:pt>
                <c:pt idx="127">
                  <c:v>40756</c:v>
                </c:pt>
                <c:pt idx="128">
                  <c:v>40787</c:v>
                </c:pt>
                <c:pt idx="129">
                  <c:v>40817</c:v>
                </c:pt>
                <c:pt idx="130">
                  <c:v>40848</c:v>
                </c:pt>
                <c:pt idx="131">
                  <c:v>40878</c:v>
                </c:pt>
                <c:pt idx="132">
                  <c:v>40909</c:v>
                </c:pt>
                <c:pt idx="133">
                  <c:v>40940</c:v>
                </c:pt>
                <c:pt idx="134">
                  <c:v>40969</c:v>
                </c:pt>
                <c:pt idx="135">
                  <c:v>41000</c:v>
                </c:pt>
                <c:pt idx="136">
                  <c:v>41030</c:v>
                </c:pt>
                <c:pt idx="137">
                  <c:v>41061</c:v>
                </c:pt>
                <c:pt idx="138">
                  <c:v>41091</c:v>
                </c:pt>
                <c:pt idx="139">
                  <c:v>41122</c:v>
                </c:pt>
                <c:pt idx="140">
                  <c:v>41153</c:v>
                </c:pt>
                <c:pt idx="141">
                  <c:v>41183</c:v>
                </c:pt>
                <c:pt idx="142">
                  <c:v>41214</c:v>
                </c:pt>
                <c:pt idx="143">
                  <c:v>41244</c:v>
                </c:pt>
                <c:pt idx="144">
                  <c:v>41275</c:v>
                </c:pt>
                <c:pt idx="145">
                  <c:v>41306</c:v>
                </c:pt>
                <c:pt idx="146">
                  <c:v>41334</c:v>
                </c:pt>
                <c:pt idx="147">
                  <c:v>41365</c:v>
                </c:pt>
                <c:pt idx="148">
                  <c:v>41395</c:v>
                </c:pt>
                <c:pt idx="149">
                  <c:v>41426</c:v>
                </c:pt>
                <c:pt idx="150">
                  <c:v>41456</c:v>
                </c:pt>
                <c:pt idx="151">
                  <c:v>41487</c:v>
                </c:pt>
                <c:pt idx="152">
                  <c:v>41518</c:v>
                </c:pt>
                <c:pt idx="153">
                  <c:v>41548</c:v>
                </c:pt>
                <c:pt idx="154">
                  <c:v>41579</c:v>
                </c:pt>
                <c:pt idx="155">
                  <c:v>41609</c:v>
                </c:pt>
                <c:pt idx="156">
                  <c:v>41640</c:v>
                </c:pt>
                <c:pt idx="157">
                  <c:v>41671</c:v>
                </c:pt>
                <c:pt idx="158">
                  <c:v>41699</c:v>
                </c:pt>
                <c:pt idx="159">
                  <c:v>41730</c:v>
                </c:pt>
                <c:pt idx="160">
                  <c:v>41760</c:v>
                </c:pt>
                <c:pt idx="161">
                  <c:v>41791</c:v>
                </c:pt>
                <c:pt idx="162">
                  <c:v>41821</c:v>
                </c:pt>
                <c:pt idx="163">
                  <c:v>41852</c:v>
                </c:pt>
                <c:pt idx="164">
                  <c:v>41883</c:v>
                </c:pt>
              </c:numCache>
            </c:numRef>
          </c:cat>
          <c:val>
            <c:numRef>
              <c:f>FC!$AE$14:$AE$181</c:f>
              <c:numCache>
                <c:formatCode>0%</c:formatCode>
                <c:ptCount val="168"/>
                <c:pt idx="0">
                  <c:v>0.105282201122482</c:v>
                </c:pt>
                <c:pt idx="1">
                  <c:v>0</c:v>
                </c:pt>
                <c:pt idx="2">
                  <c:v>3.49391783730333E-2</c:v>
                </c:pt>
                <c:pt idx="3">
                  <c:v>0.13268365804533799</c:v>
                </c:pt>
                <c:pt idx="4">
                  <c:v>6.5464261941178506E-2</c:v>
                </c:pt>
                <c:pt idx="5">
                  <c:v>4.20086542549215E-2</c:v>
                </c:pt>
                <c:pt idx="6">
                  <c:v>6.7728511116958795E-2</c:v>
                </c:pt>
                <c:pt idx="7">
                  <c:v>9.0020275092742102E-2</c:v>
                </c:pt>
                <c:pt idx="8">
                  <c:v>8.5172119221348194E-2</c:v>
                </c:pt>
                <c:pt idx="9">
                  <c:v>4.5946577008526703E-2</c:v>
                </c:pt>
                <c:pt idx="10">
                  <c:v>6.6655832104830698E-2</c:v>
                </c:pt>
                <c:pt idx="11">
                  <c:v>9.2434482861259895E-2</c:v>
                </c:pt>
                <c:pt idx="12">
                  <c:v>0.108588011449249</c:v>
                </c:pt>
                <c:pt idx="13">
                  <c:v>4.0720376908617399E-2</c:v>
                </c:pt>
                <c:pt idx="14">
                  <c:v>7.1368348517320296E-2</c:v>
                </c:pt>
                <c:pt idx="15">
                  <c:v>6.4820997314059894E-2</c:v>
                </c:pt>
                <c:pt idx="16">
                  <c:v>7.2508686125338895E-2</c:v>
                </c:pt>
                <c:pt idx="17">
                  <c:v>5.5312858669883003E-2</c:v>
                </c:pt>
                <c:pt idx="18">
                  <c:v>5.3505670761588402E-2</c:v>
                </c:pt>
                <c:pt idx="19">
                  <c:v>7.8988417930399193E-2</c:v>
                </c:pt>
                <c:pt idx="20">
                  <c:v>4.5380458866489497E-2</c:v>
                </c:pt>
                <c:pt idx="21">
                  <c:v>3.9939858566233201E-2</c:v>
                </c:pt>
                <c:pt idx="22">
                  <c:v>5.0064815751527998E-2</c:v>
                </c:pt>
                <c:pt idx="23">
                  <c:v>8.7192597857804505E-2</c:v>
                </c:pt>
                <c:pt idx="24">
                  <c:v>5.6793697430251699E-2</c:v>
                </c:pt>
                <c:pt idx="25">
                  <c:v>7.1143738875673407E-2</c:v>
                </c:pt>
                <c:pt idx="26">
                  <c:v>5.6992714921634602E-2</c:v>
                </c:pt>
                <c:pt idx="27">
                  <c:v>6.4250311747323097E-2</c:v>
                </c:pt>
                <c:pt idx="28">
                  <c:v>5.9840087084134602E-2</c:v>
                </c:pt>
                <c:pt idx="29">
                  <c:v>4.1715037822696401E-2</c:v>
                </c:pt>
                <c:pt idx="30">
                  <c:v>5.0447231251871998E-2</c:v>
                </c:pt>
                <c:pt idx="31">
                  <c:v>4.7716198575525302E-2</c:v>
                </c:pt>
                <c:pt idx="32">
                  <c:v>6.8135507605245005E-2</c:v>
                </c:pt>
                <c:pt idx="33">
                  <c:v>6.6315709545709103E-2</c:v>
                </c:pt>
                <c:pt idx="34">
                  <c:v>4.34169905438389E-2</c:v>
                </c:pt>
                <c:pt idx="35">
                  <c:v>5.6320786604407397E-2</c:v>
                </c:pt>
                <c:pt idx="36">
                  <c:v>5.6336649249891201E-2</c:v>
                </c:pt>
                <c:pt idx="37">
                  <c:v>7.7522796274761496E-2</c:v>
                </c:pt>
                <c:pt idx="38">
                  <c:v>5.85715213628741E-2</c:v>
                </c:pt>
                <c:pt idx="39">
                  <c:v>5.5697520343125702E-2</c:v>
                </c:pt>
                <c:pt idx="40">
                  <c:v>5.5209645594035198E-2</c:v>
                </c:pt>
                <c:pt idx="41">
                  <c:v>4.8460312080551002E-2</c:v>
                </c:pt>
                <c:pt idx="42">
                  <c:v>7.0578640145023505E-2</c:v>
                </c:pt>
                <c:pt idx="43">
                  <c:v>5.4870992494618499E-2</c:v>
                </c:pt>
                <c:pt idx="44">
                  <c:v>5.0553748423974303E-2</c:v>
                </c:pt>
                <c:pt idx="45">
                  <c:v>4.6006126354648298E-2</c:v>
                </c:pt>
                <c:pt idx="46">
                  <c:v>3.7676476772613703E-2</c:v>
                </c:pt>
                <c:pt idx="47">
                  <c:v>5.7922966447596397E-2</c:v>
                </c:pt>
                <c:pt idx="48">
                  <c:v>7.3515629365631094E-2</c:v>
                </c:pt>
                <c:pt idx="49">
                  <c:v>5.7037902177235297E-2</c:v>
                </c:pt>
                <c:pt idx="50">
                  <c:v>4.5883238812240303E-2</c:v>
                </c:pt>
                <c:pt idx="51">
                  <c:v>4.7048088424415699E-2</c:v>
                </c:pt>
                <c:pt idx="52">
                  <c:v>5.3373851611343698E-2</c:v>
                </c:pt>
                <c:pt idx="53">
                  <c:v>4.8665922910084203E-2</c:v>
                </c:pt>
                <c:pt idx="54">
                  <c:v>5.2369980456127202E-2</c:v>
                </c:pt>
                <c:pt idx="55">
                  <c:v>5.0083921409846403E-2</c:v>
                </c:pt>
                <c:pt idx="56">
                  <c:v>4.7134523318097303E-2</c:v>
                </c:pt>
                <c:pt idx="57">
                  <c:v>4.5175080972750102E-2</c:v>
                </c:pt>
                <c:pt idx="58">
                  <c:v>3.4834858632236197E-2</c:v>
                </c:pt>
                <c:pt idx="59">
                  <c:v>2.9476602556938201E-2</c:v>
                </c:pt>
                <c:pt idx="60">
                  <c:v>2.1769221546475599E-2</c:v>
                </c:pt>
                <c:pt idx="61">
                  <c:v>1.9333306514743801E-2</c:v>
                </c:pt>
                <c:pt idx="62">
                  <c:v>3.0400995178520102E-2</c:v>
                </c:pt>
                <c:pt idx="63">
                  <c:v>3.9191432057725503E-2</c:v>
                </c:pt>
                <c:pt idx="64">
                  <c:v>3.3130943420912898E-2</c:v>
                </c:pt>
                <c:pt idx="65">
                  <c:v>3.2627353273975097E-2</c:v>
                </c:pt>
                <c:pt idx="66">
                  <c:v>3.5212737505162003E-2</c:v>
                </c:pt>
                <c:pt idx="67">
                  <c:v>3.7663143073421099E-2</c:v>
                </c:pt>
                <c:pt idx="68">
                  <c:v>2.6819721084093601E-2</c:v>
                </c:pt>
                <c:pt idx="69">
                  <c:v>2.8565976464352501E-2</c:v>
                </c:pt>
                <c:pt idx="70">
                  <c:v>3.4580555839429802E-2</c:v>
                </c:pt>
                <c:pt idx="71">
                  <c:v>3.2962148192959902E-2</c:v>
                </c:pt>
                <c:pt idx="72">
                  <c:v>2.76456424516771E-2</c:v>
                </c:pt>
                <c:pt idx="73">
                  <c:v>3.3902664050662397E-2</c:v>
                </c:pt>
                <c:pt idx="74">
                  <c:v>3.7313650757951199E-2</c:v>
                </c:pt>
                <c:pt idx="75">
                  <c:v>3.7826554625999501E-2</c:v>
                </c:pt>
                <c:pt idx="76">
                  <c:v>3.3732927552674603E-2</c:v>
                </c:pt>
                <c:pt idx="77">
                  <c:v>3.9996078217033597E-2</c:v>
                </c:pt>
                <c:pt idx="78">
                  <c:v>3.6562539194989301E-2</c:v>
                </c:pt>
                <c:pt idx="79">
                  <c:v>4.4086015542135898E-2</c:v>
                </c:pt>
                <c:pt idx="80">
                  <c:v>3.1880271129714102E-2</c:v>
                </c:pt>
                <c:pt idx="81">
                  <c:v>4.5178617392699599E-2</c:v>
                </c:pt>
                <c:pt idx="82">
                  <c:v>3.9894559941386798E-2</c:v>
                </c:pt>
                <c:pt idx="83">
                  <c:v>4.2086627774751702E-2</c:v>
                </c:pt>
                <c:pt idx="84">
                  <c:v>4.81451091936385E-2</c:v>
                </c:pt>
                <c:pt idx="85">
                  <c:v>4.8836944992176702E-2</c:v>
                </c:pt>
                <c:pt idx="86">
                  <c:v>4.4140284770277601E-2</c:v>
                </c:pt>
                <c:pt idx="87">
                  <c:v>5.2511225266025099E-2</c:v>
                </c:pt>
                <c:pt idx="88">
                  <c:v>6.3491308455171397E-2</c:v>
                </c:pt>
                <c:pt idx="89">
                  <c:v>4.4904836699255997E-2</c:v>
                </c:pt>
                <c:pt idx="90">
                  <c:v>5.8702512090483501E-2</c:v>
                </c:pt>
                <c:pt idx="91">
                  <c:v>6.8395091442676498E-2</c:v>
                </c:pt>
                <c:pt idx="92">
                  <c:v>4.6104269787381802E-2</c:v>
                </c:pt>
                <c:pt idx="93">
                  <c:v>8.6221951912018702E-2</c:v>
                </c:pt>
                <c:pt idx="94">
                  <c:v>6.89526144068945E-2</c:v>
                </c:pt>
                <c:pt idx="95">
                  <c:v>8.2121967163654594E-2</c:v>
                </c:pt>
                <c:pt idx="96">
                  <c:v>7.8119049302224297E-2</c:v>
                </c:pt>
                <c:pt idx="97">
                  <c:v>6.2819440978697905E-2</c:v>
                </c:pt>
                <c:pt idx="98">
                  <c:v>8.6205432072433294E-2</c:v>
                </c:pt>
                <c:pt idx="99">
                  <c:v>8.2069780824474803E-2</c:v>
                </c:pt>
                <c:pt idx="100">
                  <c:v>7.5334614730704005E-2</c:v>
                </c:pt>
                <c:pt idx="101">
                  <c:v>6.8111164338119395E-2</c:v>
                </c:pt>
                <c:pt idx="102">
                  <c:v>7.5448982429921901E-2</c:v>
                </c:pt>
                <c:pt idx="103">
                  <c:v>6.50134752737518E-2</c:v>
                </c:pt>
                <c:pt idx="104">
                  <c:v>5.49085998345668E-2</c:v>
                </c:pt>
                <c:pt idx="105">
                  <c:v>6.0629120014717999E-2</c:v>
                </c:pt>
                <c:pt idx="106">
                  <c:v>6.3273671304735102E-2</c:v>
                </c:pt>
                <c:pt idx="107">
                  <c:v>5.7438366685712498E-2</c:v>
                </c:pt>
                <c:pt idx="108">
                  <c:v>5.5750638062599903E-2</c:v>
                </c:pt>
                <c:pt idx="109">
                  <c:v>6.4096332763885697E-2</c:v>
                </c:pt>
                <c:pt idx="110">
                  <c:v>6.4532939044650295E-2</c:v>
                </c:pt>
                <c:pt idx="111">
                  <c:v>6.3434972266418602E-2</c:v>
                </c:pt>
                <c:pt idx="112">
                  <c:v>6.05558702581405E-2</c:v>
                </c:pt>
                <c:pt idx="113">
                  <c:v>6.1004965128879401E-2</c:v>
                </c:pt>
                <c:pt idx="114">
                  <c:v>6.2212999714626301E-2</c:v>
                </c:pt>
                <c:pt idx="115">
                  <c:v>4.9696554488286103E-2</c:v>
                </c:pt>
                <c:pt idx="116">
                  <c:v>6.2796537953360196E-2</c:v>
                </c:pt>
                <c:pt idx="117">
                  <c:v>6.3699342804171694E-2</c:v>
                </c:pt>
                <c:pt idx="118">
                  <c:v>5.87047773848835E-2</c:v>
                </c:pt>
                <c:pt idx="119">
                  <c:v>5.7370799332246203E-2</c:v>
                </c:pt>
                <c:pt idx="120">
                  <c:v>5.3109852277582303E-2</c:v>
                </c:pt>
                <c:pt idx="121">
                  <c:v>5.3273413740976799E-2</c:v>
                </c:pt>
                <c:pt idx="122">
                  <c:v>4.0717467835727598E-2</c:v>
                </c:pt>
                <c:pt idx="123">
                  <c:v>4.4644472363889298E-2</c:v>
                </c:pt>
                <c:pt idx="124">
                  <c:v>4.9461197428765501E-2</c:v>
                </c:pt>
                <c:pt idx="125">
                  <c:v>4.7824546352057802E-2</c:v>
                </c:pt>
                <c:pt idx="126">
                  <c:v>4.7073241792945801E-2</c:v>
                </c:pt>
                <c:pt idx="127">
                  <c:v>4.8735261933981498E-2</c:v>
                </c:pt>
                <c:pt idx="128">
                  <c:v>5.2070328413241697E-2</c:v>
                </c:pt>
                <c:pt idx="129">
                  <c:v>5.6274080772813401E-2</c:v>
                </c:pt>
                <c:pt idx="130">
                  <c:v>4.92164963629729E-2</c:v>
                </c:pt>
                <c:pt idx="131">
                  <c:v>5.6474166778123197E-2</c:v>
                </c:pt>
                <c:pt idx="132">
                  <c:v>6.1512600728375097E-2</c:v>
                </c:pt>
                <c:pt idx="133">
                  <c:v>6.6335008922880703E-2</c:v>
                </c:pt>
                <c:pt idx="134">
                  <c:v>6.7360417603658004E-2</c:v>
                </c:pt>
                <c:pt idx="135">
                  <c:v>6.5306078232101203E-2</c:v>
                </c:pt>
                <c:pt idx="136">
                  <c:v>5.9447984201087503E-2</c:v>
                </c:pt>
                <c:pt idx="137">
                  <c:v>6.0362826185447499E-2</c:v>
                </c:pt>
                <c:pt idx="138">
                  <c:v>5.9638159276675297E-2</c:v>
                </c:pt>
                <c:pt idx="139">
                  <c:v>6.7848133165366697E-2</c:v>
                </c:pt>
                <c:pt idx="140">
                  <c:v>6.0455897800027698E-2</c:v>
                </c:pt>
                <c:pt idx="141">
                  <c:v>6.10579778241176E-2</c:v>
                </c:pt>
                <c:pt idx="142">
                  <c:v>5.2022166629385899E-2</c:v>
                </c:pt>
                <c:pt idx="143">
                  <c:v>6.3091262992029107E-2</c:v>
                </c:pt>
                <c:pt idx="144">
                  <c:v>5.8750940046272397E-2</c:v>
                </c:pt>
                <c:pt idx="145">
                  <c:v>5.9608262466273397E-2</c:v>
                </c:pt>
                <c:pt idx="146">
                  <c:v>5.52877489183718E-2</c:v>
                </c:pt>
                <c:pt idx="147">
                  <c:v>5.8333064859545598E-2</c:v>
                </c:pt>
                <c:pt idx="148">
                  <c:v>6.2891844976797298E-2</c:v>
                </c:pt>
                <c:pt idx="149">
                  <c:v>6.26882780295379E-2</c:v>
                </c:pt>
                <c:pt idx="150">
                  <c:v>6.1024325062051903E-2</c:v>
                </c:pt>
                <c:pt idx="151">
                  <c:v>5.8175963308207901E-2</c:v>
                </c:pt>
                <c:pt idx="152">
                  <c:v>5.6069420908150203E-2</c:v>
                </c:pt>
                <c:pt idx="153">
                  <c:v>5.3030530270597002E-2</c:v>
                </c:pt>
                <c:pt idx="154">
                  <c:v>5.6419080320786998E-2</c:v>
                </c:pt>
                <c:pt idx="155">
                  <c:v>5.4206570763887997E-2</c:v>
                </c:pt>
                <c:pt idx="156">
                  <c:v>5.3468061593307699E-2</c:v>
                </c:pt>
                <c:pt idx="157">
                  <c:v>5.8522048228137398E-2</c:v>
                </c:pt>
                <c:pt idx="158">
                  <c:v>5.2480299185635203E-2</c:v>
                </c:pt>
                <c:pt idx="159">
                  <c:v>5.0936760696596202E-2</c:v>
                </c:pt>
                <c:pt idx="160">
                  <c:v>5.0093887678346903E-2</c:v>
                </c:pt>
                <c:pt idx="161">
                  <c:v>5.7657428116996402E-2</c:v>
                </c:pt>
                <c:pt idx="162">
                  <c:v>5.15357736988937E-2</c:v>
                </c:pt>
                <c:pt idx="163">
                  <c:v>5.8715470720815899E-2</c:v>
                </c:pt>
                <c:pt idx="164">
                  <c:v>5.3078964666657798E-2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74382592"/>
        <c:axId val="374384128"/>
      </c:lineChart>
      <c:dateAx>
        <c:axId val="374382592"/>
        <c:scaling>
          <c:orientation val="minMax"/>
        </c:scaling>
        <c:delete val="0"/>
        <c:axPos val="b"/>
        <c:numFmt formatCode="m/d/yyyy" sourceLinked="1"/>
        <c:majorTickMark val="out"/>
        <c:minorTickMark val="none"/>
        <c:tickLblPos val="nextTo"/>
        <c:crossAx val="374384128"/>
        <c:crosses val="autoZero"/>
        <c:auto val="1"/>
        <c:lblOffset val="100"/>
        <c:baseTimeUnit val="months"/>
      </c:dateAx>
      <c:valAx>
        <c:axId val="374384128"/>
        <c:scaling>
          <c:orientation val="minMax"/>
        </c:scaling>
        <c:delete val="0"/>
        <c:axPos val="l"/>
        <c:majorGridlines/>
        <c:numFmt formatCode="0%" sourceLinked="1"/>
        <c:majorTickMark val="out"/>
        <c:minorTickMark val="none"/>
        <c:tickLblPos val="nextTo"/>
        <c:crossAx val="374382592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FC!$AH$1:$AH$2</c:f>
              <c:strCache>
                <c:ptCount val="1"/>
                <c:pt idx="0">
                  <c:v>expenses FHL</c:v>
                </c:pt>
              </c:strCache>
            </c:strRef>
          </c:tx>
          <c:marker>
            <c:symbol val="none"/>
          </c:marker>
          <c:cat>
            <c:numRef>
              <c:f>FC!$AG$14:$AG$181</c:f>
              <c:numCache>
                <c:formatCode>m/d/yyyy</c:formatCode>
                <c:ptCount val="168"/>
                <c:pt idx="0">
                  <c:v>36892</c:v>
                </c:pt>
                <c:pt idx="1">
                  <c:v>36923</c:v>
                </c:pt>
                <c:pt idx="2">
                  <c:v>36951</c:v>
                </c:pt>
                <c:pt idx="3">
                  <c:v>36982</c:v>
                </c:pt>
                <c:pt idx="4">
                  <c:v>37012</c:v>
                </c:pt>
                <c:pt idx="5">
                  <c:v>37043</c:v>
                </c:pt>
                <c:pt idx="6">
                  <c:v>37073</c:v>
                </c:pt>
                <c:pt idx="7">
                  <c:v>37104</c:v>
                </c:pt>
                <c:pt idx="8">
                  <c:v>37135</c:v>
                </c:pt>
                <c:pt idx="9">
                  <c:v>37165</c:v>
                </c:pt>
                <c:pt idx="10">
                  <c:v>37196</c:v>
                </c:pt>
                <c:pt idx="11">
                  <c:v>37226</c:v>
                </c:pt>
                <c:pt idx="12">
                  <c:v>37257</c:v>
                </c:pt>
                <c:pt idx="13">
                  <c:v>37288</c:v>
                </c:pt>
                <c:pt idx="14">
                  <c:v>37316</c:v>
                </c:pt>
                <c:pt idx="15">
                  <c:v>37347</c:v>
                </c:pt>
                <c:pt idx="16">
                  <c:v>37377</c:v>
                </c:pt>
                <c:pt idx="17">
                  <c:v>37408</c:v>
                </c:pt>
                <c:pt idx="18">
                  <c:v>37438</c:v>
                </c:pt>
                <c:pt idx="19">
                  <c:v>37469</c:v>
                </c:pt>
                <c:pt idx="20">
                  <c:v>37500</c:v>
                </c:pt>
                <c:pt idx="21">
                  <c:v>37530</c:v>
                </c:pt>
                <c:pt idx="22">
                  <c:v>37561</c:v>
                </c:pt>
                <c:pt idx="23">
                  <c:v>37591</c:v>
                </c:pt>
                <c:pt idx="24">
                  <c:v>37622</c:v>
                </c:pt>
                <c:pt idx="25">
                  <c:v>37653</c:v>
                </c:pt>
                <c:pt idx="26">
                  <c:v>37681</c:v>
                </c:pt>
                <c:pt idx="27">
                  <c:v>37712</c:v>
                </c:pt>
                <c:pt idx="28">
                  <c:v>37742</c:v>
                </c:pt>
                <c:pt idx="29">
                  <c:v>37773</c:v>
                </c:pt>
                <c:pt idx="30">
                  <c:v>37803</c:v>
                </c:pt>
                <c:pt idx="31">
                  <c:v>37834</c:v>
                </c:pt>
                <c:pt idx="32">
                  <c:v>37865</c:v>
                </c:pt>
                <c:pt idx="33">
                  <c:v>37895</c:v>
                </c:pt>
                <c:pt idx="34">
                  <c:v>37926</c:v>
                </c:pt>
                <c:pt idx="35">
                  <c:v>37956</c:v>
                </c:pt>
                <c:pt idx="36">
                  <c:v>37987</c:v>
                </c:pt>
                <c:pt idx="37">
                  <c:v>38018</c:v>
                </c:pt>
                <c:pt idx="38">
                  <c:v>38047</c:v>
                </c:pt>
                <c:pt idx="39">
                  <c:v>38078</c:v>
                </c:pt>
                <c:pt idx="40">
                  <c:v>38108</c:v>
                </c:pt>
                <c:pt idx="41">
                  <c:v>38139</c:v>
                </c:pt>
                <c:pt idx="42">
                  <c:v>38169</c:v>
                </c:pt>
                <c:pt idx="43">
                  <c:v>38200</c:v>
                </c:pt>
                <c:pt idx="44">
                  <c:v>38231</c:v>
                </c:pt>
                <c:pt idx="45">
                  <c:v>38261</c:v>
                </c:pt>
                <c:pt idx="46">
                  <c:v>38292</c:v>
                </c:pt>
                <c:pt idx="47">
                  <c:v>38322</c:v>
                </c:pt>
                <c:pt idx="48">
                  <c:v>38353</c:v>
                </c:pt>
                <c:pt idx="49">
                  <c:v>38384</c:v>
                </c:pt>
                <c:pt idx="50">
                  <c:v>38412</c:v>
                </c:pt>
                <c:pt idx="51">
                  <c:v>38443</c:v>
                </c:pt>
                <c:pt idx="52">
                  <c:v>38473</c:v>
                </c:pt>
                <c:pt idx="53">
                  <c:v>38504</c:v>
                </c:pt>
                <c:pt idx="54">
                  <c:v>38534</c:v>
                </c:pt>
                <c:pt idx="55">
                  <c:v>38565</c:v>
                </c:pt>
                <c:pt idx="56">
                  <c:v>38596</c:v>
                </c:pt>
                <c:pt idx="57">
                  <c:v>38626</c:v>
                </c:pt>
                <c:pt idx="58">
                  <c:v>38657</c:v>
                </c:pt>
                <c:pt idx="59">
                  <c:v>38687</c:v>
                </c:pt>
                <c:pt idx="60">
                  <c:v>38718</c:v>
                </c:pt>
                <c:pt idx="61">
                  <c:v>38749</c:v>
                </c:pt>
                <c:pt idx="62">
                  <c:v>38777</c:v>
                </c:pt>
                <c:pt idx="63">
                  <c:v>38808</c:v>
                </c:pt>
                <c:pt idx="64">
                  <c:v>38838</c:v>
                </c:pt>
                <c:pt idx="65">
                  <c:v>38869</c:v>
                </c:pt>
                <c:pt idx="66">
                  <c:v>38899</c:v>
                </c:pt>
                <c:pt idx="67">
                  <c:v>38930</c:v>
                </c:pt>
                <c:pt idx="68">
                  <c:v>38961</c:v>
                </c:pt>
                <c:pt idx="69">
                  <c:v>38991</c:v>
                </c:pt>
                <c:pt idx="70">
                  <c:v>39022</c:v>
                </c:pt>
                <c:pt idx="71">
                  <c:v>39052</c:v>
                </c:pt>
                <c:pt idx="72">
                  <c:v>39083</c:v>
                </c:pt>
                <c:pt idx="73">
                  <c:v>39114</c:v>
                </c:pt>
                <c:pt idx="74">
                  <c:v>39142</c:v>
                </c:pt>
                <c:pt idx="75">
                  <c:v>39173</c:v>
                </c:pt>
                <c:pt idx="76">
                  <c:v>39203</c:v>
                </c:pt>
                <c:pt idx="77">
                  <c:v>39234</c:v>
                </c:pt>
                <c:pt idx="78">
                  <c:v>39264</c:v>
                </c:pt>
                <c:pt idx="79">
                  <c:v>39295</c:v>
                </c:pt>
                <c:pt idx="80">
                  <c:v>39326</c:v>
                </c:pt>
                <c:pt idx="81">
                  <c:v>39356</c:v>
                </c:pt>
                <c:pt idx="82">
                  <c:v>39387</c:v>
                </c:pt>
                <c:pt idx="83">
                  <c:v>39417</c:v>
                </c:pt>
                <c:pt idx="84">
                  <c:v>39448</c:v>
                </c:pt>
                <c:pt idx="85">
                  <c:v>39479</c:v>
                </c:pt>
                <c:pt idx="86">
                  <c:v>39508</c:v>
                </c:pt>
                <c:pt idx="87">
                  <c:v>39539</c:v>
                </c:pt>
                <c:pt idx="88">
                  <c:v>39569</c:v>
                </c:pt>
                <c:pt idx="89">
                  <c:v>39600</c:v>
                </c:pt>
                <c:pt idx="90">
                  <c:v>39630</c:v>
                </c:pt>
                <c:pt idx="91">
                  <c:v>39661</c:v>
                </c:pt>
                <c:pt idx="92">
                  <c:v>39692</c:v>
                </c:pt>
                <c:pt idx="93">
                  <c:v>39722</c:v>
                </c:pt>
                <c:pt idx="94">
                  <c:v>39753</c:v>
                </c:pt>
                <c:pt idx="95">
                  <c:v>39783</c:v>
                </c:pt>
                <c:pt idx="96">
                  <c:v>39814</c:v>
                </c:pt>
                <c:pt idx="97">
                  <c:v>39845</c:v>
                </c:pt>
                <c:pt idx="98">
                  <c:v>39873</c:v>
                </c:pt>
                <c:pt idx="99">
                  <c:v>39904</c:v>
                </c:pt>
                <c:pt idx="100">
                  <c:v>39934</c:v>
                </c:pt>
                <c:pt idx="101">
                  <c:v>39965</c:v>
                </c:pt>
                <c:pt idx="102">
                  <c:v>39995</c:v>
                </c:pt>
                <c:pt idx="103">
                  <c:v>40026</c:v>
                </c:pt>
                <c:pt idx="104">
                  <c:v>40057</c:v>
                </c:pt>
                <c:pt idx="105">
                  <c:v>40087</c:v>
                </c:pt>
                <c:pt idx="106">
                  <c:v>40118</c:v>
                </c:pt>
                <c:pt idx="107">
                  <c:v>40148</c:v>
                </c:pt>
                <c:pt idx="108">
                  <c:v>40179</c:v>
                </c:pt>
                <c:pt idx="109">
                  <c:v>40210</c:v>
                </c:pt>
                <c:pt idx="110">
                  <c:v>40238</c:v>
                </c:pt>
                <c:pt idx="111">
                  <c:v>40269</c:v>
                </c:pt>
                <c:pt idx="112">
                  <c:v>40299</c:v>
                </c:pt>
                <c:pt idx="113">
                  <c:v>40330</c:v>
                </c:pt>
                <c:pt idx="114">
                  <c:v>40360</c:v>
                </c:pt>
                <c:pt idx="115">
                  <c:v>40391</c:v>
                </c:pt>
                <c:pt idx="116">
                  <c:v>40422</c:v>
                </c:pt>
                <c:pt idx="117">
                  <c:v>40452</c:v>
                </c:pt>
                <c:pt idx="118">
                  <c:v>40483</c:v>
                </c:pt>
                <c:pt idx="119">
                  <c:v>40513</c:v>
                </c:pt>
                <c:pt idx="120">
                  <c:v>40544</c:v>
                </c:pt>
                <c:pt idx="121">
                  <c:v>40575</c:v>
                </c:pt>
                <c:pt idx="122">
                  <c:v>40603</c:v>
                </c:pt>
                <c:pt idx="123">
                  <c:v>40634</c:v>
                </c:pt>
                <c:pt idx="124">
                  <c:v>40664</c:v>
                </c:pt>
                <c:pt idx="125">
                  <c:v>40695</c:v>
                </c:pt>
                <c:pt idx="126">
                  <c:v>40725</c:v>
                </c:pt>
                <c:pt idx="127">
                  <c:v>40756</c:v>
                </c:pt>
                <c:pt idx="128">
                  <c:v>40787</c:v>
                </c:pt>
                <c:pt idx="129">
                  <c:v>40817</c:v>
                </c:pt>
                <c:pt idx="130">
                  <c:v>40848</c:v>
                </c:pt>
                <c:pt idx="131">
                  <c:v>40878</c:v>
                </c:pt>
                <c:pt idx="132">
                  <c:v>40909</c:v>
                </c:pt>
                <c:pt idx="133">
                  <c:v>40940</c:v>
                </c:pt>
                <c:pt idx="134">
                  <c:v>40969</c:v>
                </c:pt>
                <c:pt idx="135">
                  <c:v>41000</c:v>
                </c:pt>
                <c:pt idx="136">
                  <c:v>41030</c:v>
                </c:pt>
                <c:pt idx="137">
                  <c:v>41061</c:v>
                </c:pt>
                <c:pt idx="138">
                  <c:v>41091</c:v>
                </c:pt>
                <c:pt idx="139">
                  <c:v>41122</c:v>
                </c:pt>
                <c:pt idx="140">
                  <c:v>41153</c:v>
                </c:pt>
                <c:pt idx="141">
                  <c:v>41183</c:v>
                </c:pt>
                <c:pt idx="142">
                  <c:v>41214</c:v>
                </c:pt>
                <c:pt idx="143">
                  <c:v>41244</c:v>
                </c:pt>
                <c:pt idx="144">
                  <c:v>41275</c:v>
                </c:pt>
                <c:pt idx="145">
                  <c:v>41306</c:v>
                </c:pt>
                <c:pt idx="146">
                  <c:v>41334</c:v>
                </c:pt>
                <c:pt idx="147">
                  <c:v>41365</c:v>
                </c:pt>
                <c:pt idx="148">
                  <c:v>41395</c:v>
                </c:pt>
                <c:pt idx="149">
                  <c:v>41426</c:v>
                </c:pt>
                <c:pt idx="150">
                  <c:v>41456</c:v>
                </c:pt>
                <c:pt idx="151">
                  <c:v>41487</c:v>
                </c:pt>
                <c:pt idx="152">
                  <c:v>41518</c:v>
                </c:pt>
                <c:pt idx="153">
                  <c:v>41548</c:v>
                </c:pt>
                <c:pt idx="154">
                  <c:v>41579</c:v>
                </c:pt>
                <c:pt idx="155">
                  <c:v>41609</c:v>
                </c:pt>
                <c:pt idx="156">
                  <c:v>41640</c:v>
                </c:pt>
                <c:pt idx="157">
                  <c:v>41671</c:v>
                </c:pt>
                <c:pt idx="158">
                  <c:v>41699</c:v>
                </c:pt>
                <c:pt idx="159">
                  <c:v>41730</c:v>
                </c:pt>
                <c:pt idx="160">
                  <c:v>41760</c:v>
                </c:pt>
                <c:pt idx="161">
                  <c:v>41791</c:v>
                </c:pt>
                <c:pt idx="162">
                  <c:v>41821</c:v>
                </c:pt>
                <c:pt idx="163">
                  <c:v>41852</c:v>
                </c:pt>
                <c:pt idx="164">
                  <c:v>41883</c:v>
                </c:pt>
              </c:numCache>
            </c:numRef>
          </c:cat>
          <c:val>
            <c:numRef>
              <c:f>FC!$AH$14:$AH$181</c:f>
              <c:numCache>
                <c:formatCode>0%</c:formatCode>
                <c:ptCount val="168"/>
                <c:pt idx="0">
                  <c:v>1.04611827908038E-2</c:v>
                </c:pt>
                <c:pt idx="1">
                  <c:v>2.3132487389163799E-2</c:v>
                </c:pt>
                <c:pt idx="2">
                  <c:v>1.6607763731887E-2</c:v>
                </c:pt>
                <c:pt idx="3">
                  <c:v>1.97583093588303E-2</c:v>
                </c:pt>
                <c:pt idx="4">
                  <c:v>1.57105176270044E-2</c:v>
                </c:pt>
                <c:pt idx="5">
                  <c:v>1.6513759766172802E-2</c:v>
                </c:pt>
                <c:pt idx="6">
                  <c:v>2.15418581503115E-2</c:v>
                </c:pt>
                <c:pt idx="7">
                  <c:v>2.0739711765257601E-2</c:v>
                </c:pt>
                <c:pt idx="8">
                  <c:v>1.51150850834004E-2</c:v>
                </c:pt>
                <c:pt idx="9">
                  <c:v>1.67656585944135E-2</c:v>
                </c:pt>
                <c:pt idx="10">
                  <c:v>1.45761687054253E-2</c:v>
                </c:pt>
                <c:pt idx="11">
                  <c:v>2.9784264653932802E-2</c:v>
                </c:pt>
                <c:pt idx="12">
                  <c:v>1.7054171378952598E-2</c:v>
                </c:pt>
                <c:pt idx="13">
                  <c:v>2.42563215222007E-2</c:v>
                </c:pt>
                <c:pt idx="14">
                  <c:v>1.5676472687432198E-2</c:v>
                </c:pt>
                <c:pt idx="15">
                  <c:v>1.3986063982856499E-2</c:v>
                </c:pt>
                <c:pt idx="16">
                  <c:v>1.50067652294617E-2</c:v>
                </c:pt>
                <c:pt idx="17">
                  <c:v>1.43611096672719E-2</c:v>
                </c:pt>
                <c:pt idx="18">
                  <c:v>9.3406286769783693E-3</c:v>
                </c:pt>
                <c:pt idx="19">
                  <c:v>1.6259688533843599E-2</c:v>
                </c:pt>
                <c:pt idx="20">
                  <c:v>1.7067800273858999E-2</c:v>
                </c:pt>
                <c:pt idx="21">
                  <c:v>6.9790738831106199E-3</c:v>
                </c:pt>
                <c:pt idx="22">
                  <c:v>1.7723484873748901E-2</c:v>
                </c:pt>
                <c:pt idx="23">
                  <c:v>1.45741439831901E-2</c:v>
                </c:pt>
                <c:pt idx="24">
                  <c:v>1.45142145902535E-2</c:v>
                </c:pt>
                <c:pt idx="25">
                  <c:v>1.6872377819603001E-2</c:v>
                </c:pt>
                <c:pt idx="26">
                  <c:v>1.42004437006791E-2</c:v>
                </c:pt>
                <c:pt idx="27">
                  <c:v>1.71014638360323E-2</c:v>
                </c:pt>
                <c:pt idx="28">
                  <c:v>1.39553271642165E-2</c:v>
                </c:pt>
                <c:pt idx="29">
                  <c:v>2.5431497758928601E-2</c:v>
                </c:pt>
                <c:pt idx="30">
                  <c:v>1.95071745011158E-2</c:v>
                </c:pt>
                <c:pt idx="31">
                  <c:v>1.5999177129806301E-2</c:v>
                </c:pt>
                <c:pt idx="32">
                  <c:v>1.8737120551260599E-2</c:v>
                </c:pt>
                <c:pt idx="33">
                  <c:v>1.7041152594127699E-2</c:v>
                </c:pt>
                <c:pt idx="34">
                  <c:v>1.8809662387892698E-2</c:v>
                </c:pt>
                <c:pt idx="35">
                  <c:v>2.0342387833650898E-2</c:v>
                </c:pt>
                <c:pt idx="36">
                  <c:v>1.7343153391876299E-2</c:v>
                </c:pt>
                <c:pt idx="37">
                  <c:v>1.48169853875367E-2</c:v>
                </c:pt>
                <c:pt idx="38">
                  <c:v>1.75384959877527E-2</c:v>
                </c:pt>
                <c:pt idx="39">
                  <c:v>2.3688109557867799E-2</c:v>
                </c:pt>
                <c:pt idx="40">
                  <c:v>2.00404021710948E-2</c:v>
                </c:pt>
                <c:pt idx="41">
                  <c:v>1.9113451328024E-2</c:v>
                </c:pt>
                <c:pt idx="42">
                  <c:v>2.01397488102797E-2</c:v>
                </c:pt>
                <c:pt idx="43">
                  <c:v>1.8076955654327698E-2</c:v>
                </c:pt>
                <c:pt idx="44">
                  <c:v>1.6928707041508801E-2</c:v>
                </c:pt>
                <c:pt idx="45">
                  <c:v>2.2034686466677202E-2</c:v>
                </c:pt>
                <c:pt idx="46">
                  <c:v>1.93926357085723E-2</c:v>
                </c:pt>
                <c:pt idx="47">
                  <c:v>2.03299889818166E-2</c:v>
                </c:pt>
                <c:pt idx="48">
                  <c:v>1.81678045162404E-2</c:v>
                </c:pt>
                <c:pt idx="49">
                  <c:v>2.36930799652013E-2</c:v>
                </c:pt>
                <c:pt idx="50">
                  <c:v>2.0451876953329302E-2</c:v>
                </c:pt>
                <c:pt idx="51">
                  <c:v>2.4803922777106802E-2</c:v>
                </c:pt>
                <c:pt idx="52">
                  <c:v>2.03280128004098E-2</c:v>
                </c:pt>
                <c:pt idx="53">
                  <c:v>2.1271772649649499E-2</c:v>
                </c:pt>
                <c:pt idx="54">
                  <c:v>1.7511786480441601E-2</c:v>
                </c:pt>
                <c:pt idx="55">
                  <c:v>2.50813703251196E-2</c:v>
                </c:pt>
                <c:pt idx="56">
                  <c:v>2.5481264764934199E-2</c:v>
                </c:pt>
                <c:pt idx="57">
                  <c:v>2.4163036523429299E-2</c:v>
                </c:pt>
                <c:pt idx="58">
                  <c:v>1.54947600588832E-2</c:v>
                </c:pt>
                <c:pt idx="59">
                  <c:v>2.13908038579354E-2</c:v>
                </c:pt>
                <c:pt idx="60">
                  <c:v>2.0299183151648099E-2</c:v>
                </c:pt>
                <c:pt idx="61">
                  <c:v>1.9072074535150699E-2</c:v>
                </c:pt>
                <c:pt idx="62">
                  <c:v>2.44600209217378E-2</c:v>
                </c:pt>
                <c:pt idx="63">
                  <c:v>2.70914377693275E-2</c:v>
                </c:pt>
                <c:pt idx="64">
                  <c:v>2.1099294838615501E-2</c:v>
                </c:pt>
                <c:pt idx="65">
                  <c:v>1.81845943184832E-2</c:v>
                </c:pt>
                <c:pt idx="66">
                  <c:v>1.9892877840235301E-2</c:v>
                </c:pt>
                <c:pt idx="67">
                  <c:v>2.0695600945347899E-2</c:v>
                </c:pt>
                <c:pt idx="68">
                  <c:v>1.87323932533222E-2</c:v>
                </c:pt>
                <c:pt idx="69">
                  <c:v>1.9533343569879201E-2</c:v>
                </c:pt>
                <c:pt idx="70">
                  <c:v>1.6841215027286902E-2</c:v>
                </c:pt>
                <c:pt idx="71">
                  <c:v>1.8176357404261601E-2</c:v>
                </c:pt>
                <c:pt idx="72">
                  <c:v>1.71661142330405E-2</c:v>
                </c:pt>
                <c:pt idx="73">
                  <c:v>1.8709347816327299E-2</c:v>
                </c:pt>
                <c:pt idx="74">
                  <c:v>2.0300123365851099E-2</c:v>
                </c:pt>
                <c:pt idx="75">
                  <c:v>2.2564608614281299E-2</c:v>
                </c:pt>
                <c:pt idx="76">
                  <c:v>1.89167717495996E-2</c:v>
                </c:pt>
                <c:pt idx="77">
                  <c:v>1.6971357447945899E-2</c:v>
                </c:pt>
                <c:pt idx="78">
                  <c:v>2.17181140052067E-2</c:v>
                </c:pt>
                <c:pt idx="79">
                  <c:v>2.1933384370544699E-2</c:v>
                </c:pt>
                <c:pt idx="80">
                  <c:v>1.8938701668139001E-2</c:v>
                </c:pt>
                <c:pt idx="81">
                  <c:v>1.9509320026497402E-2</c:v>
                </c:pt>
                <c:pt idx="82">
                  <c:v>2.04302958737324E-2</c:v>
                </c:pt>
                <c:pt idx="83">
                  <c:v>1.8150961659249999E-2</c:v>
                </c:pt>
                <c:pt idx="84">
                  <c:v>1.8847682411505699E-2</c:v>
                </c:pt>
                <c:pt idx="85">
                  <c:v>2.1024988826008499E-2</c:v>
                </c:pt>
                <c:pt idx="86">
                  <c:v>2.0340348443987102E-2</c:v>
                </c:pt>
                <c:pt idx="87">
                  <c:v>1.9434039323456501E-2</c:v>
                </c:pt>
                <c:pt idx="88">
                  <c:v>1.9154239674836801E-2</c:v>
                </c:pt>
                <c:pt idx="89">
                  <c:v>1.79244404403123E-2</c:v>
                </c:pt>
                <c:pt idx="90">
                  <c:v>1.8757891615152299E-2</c:v>
                </c:pt>
                <c:pt idx="91">
                  <c:v>1.8246885472528802E-2</c:v>
                </c:pt>
                <c:pt idx="92">
                  <c:v>1.78461286755296E-2</c:v>
                </c:pt>
                <c:pt idx="93">
                  <c:v>1.9756934721441299E-2</c:v>
                </c:pt>
                <c:pt idx="94">
                  <c:v>1.8456749626823001E-2</c:v>
                </c:pt>
                <c:pt idx="95">
                  <c:v>2.0540568514092E-2</c:v>
                </c:pt>
                <c:pt idx="96">
                  <c:v>1.9258767619708801E-2</c:v>
                </c:pt>
                <c:pt idx="97">
                  <c:v>2.0999595893867799E-2</c:v>
                </c:pt>
                <c:pt idx="98">
                  <c:v>2.0831192433325998E-2</c:v>
                </c:pt>
                <c:pt idx="99">
                  <c:v>2.05029014863259E-2</c:v>
                </c:pt>
                <c:pt idx="100">
                  <c:v>2.1095577587381099E-2</c:v>
                </c:pt>
                <c:pt idx="101">
                  <c:v>2.1324769609300801E-2</c:v>
                </c:pt>
                <c:pt idx="102">
                  <c:v>1.88474076151042E-2</c:v>
                </c:pt>
                <c:pt idx="103">
                  <c:v>1.9087089486071501E-2</c:v>
                </c:pt>
                <c:pt idx="104">
                  <c:v>2.0218347741214698E-2</c:v>
                </c:pt>
                <c:pt idx="105">
                  <c:v>2.2160189247848999E-2</c:v>
                </c:pt>
                <c:pt idx="106">
                  <c:v>2.2444538014574199E-2</c:v>
                </c:pt>
                <c:pt idx="107">
                  <c:v>2.4348475733268999E-2</c:v>
                </c:pt>
                <c:pt idx="108">
                  <c:v>2.4000377658821102E-2</c:v>
                </c:pt>
                <c:pt idx="109">
                  <c:v>2.5827132296771499E-2</c:v>
                </c:pt>
                <c:pt idx="110">
                  <c:v>2.5147824453796101E-2</c:v>
                </c:pt>
                <c:pt idx="111">
                  <c:v>2.4568267156849202E-2</c:v>
                </c:pt>
                <c:pt idx="112">
                  <c:v>2.2521961075942801E-2</c:v>
                </c:pt>
                <c:pt idx="113">
                  <c:v>2.35098212486302E-2</c:v>
                </c:pt>
                <c:pt idx="114">
                  <c:v>2.5094123402172201E-2</c:v>
                </c:pt>
                <c:pt idx="115">
                  <c:v>2.5255268027544499E-2</c:v>
                </c:pt>
                <c:pt idx="116">
                  <c:v>2.5140959906178598E-2</c:v>
                </c:pt>
                <c:pt idx="117">
                  <c:v>2.3702845415908301E-2</c:v>
                </c:pt>
                <c:pt idx="118">
                  <c:v>2.4384491343820699E-2</c:v>
                </c:pt>
                <c:pt idx="119">
                  <c:v>2.6495638719396399E-2</c:v>
                </c:pt>
                <c:pt idx="120">
                  <c:v>2.6950294850670999E-2</c:v>
                </c:pt>
                <c:pt idx="121">
                  <c:v>2.55967658694152E-2</c:v>
                </c:pt>
                <c:pt idx="122">
                  <c:v>2.7680390973536601E-2</c:v>
                </c:pt>
                <c:pt idx="123">
                  <c:v>2.90377877593972E-2</c:v>
                </c:pt>
                <c:pt idx="124">
                  <c:v>2.8906929499556401E-2</c:v>
                </c:pt>
                <c:pt idx="125">
                  <c:v>2.9333854745632101E-2</c:v>
                </c:pt>
                <c:pt idx="126">
                  <c:v>2.9382115782006599E-2</c:v>
                </c:pt>
                <c:pt idx="127">
                  <c:v>2.9637272030462299E-2</c:v>
                </c:pt>
                <c:pt idx="128">
                  <c:v>2.8665927825960301E-2</c:v>
                </c:pt>
                <c:pt idx="129">
                  <c:v>3.0965204225572099E-2</c:v>
                </c:pt>
                <c:pt idx="130">
                  <c:v>3.3171602457702697E-2</c:v>
                </c:pt>
                <c:pt idx="131">
                  <c:v>3.3890745742614102E-2</c:v>
                </c:pt>
                <c:pt idx="132">
                  <c:v>3.6019499971714303E-2</c:v>
                </c:pt>
                <c:pt idx="133">
                  <c:v>3.4903650071791699E-2</c:v>
                </c:pt>
                <c:pt idx="134">
                  <c:v>3.6409353227804198E-2</c:v>
                </c:pt>
                <c:pt idx="135">
                  <c:v>3.64906925828168E-2</c:v>
                </c:pt>
                <c:pt idx="136">
                  <c:v>3.7329808534254702E-2</c:v>
                </c:pt>
                <c:pt idx="137">
                  <c:v>3.7930319373486003E-2</c:v>
                </c:pt>
                <c:pt idx="138">
                  <c:v>3.89291436889641E-2</c:v>
                </c:pt>
                <c:pt idx="139">
                  <c:v>3.8347017835614297E-2</c:v>
                </c:pt>
                <c:pt idx="140">
                  <c:v>4.0366701455929098E-2</c:v>
                </c:pt>
                <c:pt idx="141">
                  <c:v>4.0431109030831303E-2</c:v>
                </c:pt>
                <c:pt idx="142">
                  <c:v>4.2674710458293297E-2</c:v>
                </c:pt>
                <c:pt idx="143">
                  <c:v>4.1495193059213301E-2</c:v>
                </c:pt>
                <c:pt idx="144">
                  <c:v>4.9682607574798497E-2</c:v>
                </c:pt>
                <c:pt idx="145">
                  <c:v>4.6386376349622102E-2</c:v>
                </c:pt>
                <c:pt idx="146">
                  <c:v>4.6743445631551403E-2</c:v>
                </c:pt>
                <c:pt idx="147">
                  <c:v>5.1001195013812201E-2</c:v>
                </c:pt>
                <c:pt idx="148">
                  <c:v>5.3046651852236101E-2</c:v>
                </c:pt>
                <c:pt idx="149">
                  <c:v>5.2338327757363003E-2</c:v>
                </c:pt>
                <c:pt idx="150">
                  <c:v>4.94854662796727E-2</c:v>
                </c:pt>
                <c:pt idx="151">
                  <c:v>5.4487917777158001E-2</c:v>
                </c:pt>
                <c:pt idx="152">
                  <c:v>5.4477936275759503E-2</c:v>
                </c:pt>
                <c:pt idx="153">
                  <c:v>5.7509739653633797E-2</c:v>
                </c:pt>
                <c:pt idx="154">
                  <c:v>5.5389497672561197E-2</c:v>
                </c:pt>
                <c:pt idx="155">
                  <c:v>6.0758015716592499E-2</c:v>
                </c:pt>
                <c:pt idx="156">
                  <c:v>7.3187065875081503E-2</c:v>
                </c:pt>
                <c:pt idx="157">
                  <c:v>7.0689842415726095E-2</c:v>
                </c:pt>
                <c:pt idx="158">
                  <c:v>7.0824396490645702E-2</c:v>
                </c:pt>
                <c:pt idx="159">
                  <c:v>7.0142064571467905E-2</c:v>
                </c:pt>
                <c:pt idx="160">
                  <c:v>6.6364093606689295E-2</c:v>
                </c:pt>
                <c:pt idx="161">
                  <c:v>5.7733084248658702E-2</c:v>
                </c:pt>
                <c:pt idx="162">
                  <c:v>4.0988347003953103E-2</c:v>
                </c:pt>
                <c:pt idx="163">
                  <c:v>6.49361735050243E-2</c:v>
                </c:pt>
                <c:pt idx="164">
                  <c:v>5.2285781088741799E-3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FC!$AI$1:$AI$2</c:f>
              <c:strCache>
                <c:ptCount val="1"/>
                <c:pt idx="0">
                  <c:v>expenses FNMA</c:v>
                </c:pt>
              </c:strCache>
            </c:strRef>
          </c:tx>
          <c:marker>
            <c:symbol val="none"/>
          </c:marker>
          <c:cat>
            <c:numRef>
              <c:f>FC!$AG$14:$AG$181</c:f>
              <c:numCache>
                <c:formatCode>m/d/yyyy</c:formatCode>
                <c:ptCount val="168"/>
                <c:pt idx="0">
                  <c:v>36892</c:v>
                </c:pt>
                <c:pt idx="1">
                  <c:v>36923</c:v>
                </c:pt>
                <c:pt idx="2">
                  <c:v>36951</c:v>
                </c:pt>
                <c:pt idx="3">
                  <c:v>36982</c:v>
                </c:pt>
                <c:pt idx="4">
                  <c:v>37012</c:v>
                </c:pt>
                <c:pt idx="5">
                  <c:v>37043</c:v>
                </c:pt>
                <c:pt idx="6">
                  <c:v>37073</c:v>
                </c:pt>
                <c:pt idx="7">
                  <c:v>37104</c:v>
                </c:pt>
                <c:pt idx="8">
                  <c:v>37135</c:v>
                </c:pt>
                <c:pt idx="9">
                  <c:v>37165</c:v>
                </c:pt>
                <c:pt idx="10">
                  <c:v>37196</c:v>
                </c:pt>
                <c:pt idx="11">
                  <c:v>37226</c:v>
                </c:pt>
                <c:pt idx="12">
                  <c:v>37257</c:v>
                </c:pt>
                <c:pt idx="13">
                  <c:v>37288</c:v>
                </c:pt>
                <c:pt idx="14">
                  <c:v>37316</c:v>
                </c:pt>
                <c:pt idx="15">
                  <c:v>37347</c:v>
                </c:pt>
                <c:pt idx="16">
                  <c:v>37377</c:v>
                </c:pt>
                <c:pt idx="17">
                  <c:v>37408</c:v>
                </c:pt>
                <c:pt idx="18">
                  <c:v>37438</c:v>
                </c:pt>
                <c:pt idx="19">
                  <c:v>37469</c:v>
                </c:pt>
                <c:pt idx="20">
                  <c:v>37500</c:v>
                </c:pt>
                <c:pt idx="21">
                  <c:v>37530</c:v>
                </c:pt>
                <c:pt idx="22">
                  <c:v>37561</c:v>
                </c:pt>
                <c:pt idx="23">
                  <c:v>37591</c:v>
                </c:pt>
                <c:pt idx="24">
                  <c:v>37622</c:v>
                </c:pt>
                <c:pt idx="25">
                  <c:v>37653</c:v>
                </c:pt>
                <c:pt idx="26">
                  <c:v>37681</c:v>
                </c:pt>
                <c:pt idx="27">
                  <c:v>37712</c:v>
                </c:pt>
                <c:pt idx="28">
                  <c:v>37742</c:v>
                </c:pt>
                <c:pt idx="29">
                  <c:v>37773</c:v>
                </c:pt>
                <c:pt idx="30">
                  <c:v>37803</c:v>
                </c:pt>
                <c:pt idx="31">
                  <c:v>37834</c:v>
                </c:pt>
                <c:pt idx="32">
                  <c:v>37865</c:v>
                </c:pt>
                <c:pt idx="33">
                  <c:v>37895</c:v>
                </c:pt>
                <c:pt idx="34">
                  <c:v>37926</c:v>
                </c:pt>
                <c:pt idx="35">
                  <c:v>37956</c:v>
                </c:pt>
                <c:pt idx="36">
                  <c:v>37987</c:v>
                </c:pt>
                <c:pt idx="37">
                  <c:v>38018</c:v>
                </c:pt>
                <c:pt idx="38">
                  <c:v>38047</c:v>
                </c:pt>
                <c:pt idx="39">
                  <c:v>38078</c:v>
                </c:pt>
                <c:pt idx="40">
                  <c:v>38108</c:v>
                </c:pt>
                <c:pt idx="41">
                  <c:v>38139</c:v>
                </c:pt>
                <c:pt idx="42">
                  <c:v>38169</c:v>
                </c:pt>
                <c:pt idx="43">
                  <c:v>38200</c:v>
                </c:pt>
                <c:pt idx="44">
                  <c:v>38231</c:v>
                </c:pt>
                <c:pt idx="45">
                  <c:v>38261</c:v>
                </c:pt>
                <c:pt idx="46">
                  <c:v>38292</c:v>
                </c:pt>
                <c:pt idx="47">
                  <c:v>38322</c:v>
                </c:pt>
                <c:pt idx="48">
                  <c:v>38353</c:v>
                </c:pt>
                <c:pt idx="49">
                  <c:v>38384</c:v>
                </c:pt>
                <c:pt idx="50">
                  <c:v>38412</c:v>
                </c:pt>
                <c:pt idx="51">
                  <c:v>38443</c:v>
                </c:pt>
                <c:pt idx="52">
                  <c:v>38473</c:v>
                </c:pt>
                <c:pt idx="53">
                  <c:v>38504</c:v>
                </c:pt>
                <c:pt idx="54">
                  <c:v>38534</c:v>
                </c:pt>
                <c:pt idx="55">
                  <c:v>38565</c:v>
                </c:pt>
                <c:pt idx="56">
                  <c:v>38596</c:v>
                </c:pt>
                <c:pt idx="57">
                  <c:v>38626</c:v>
                </c:pt>
                <c:pt idx="58">
                  <c:v>38657</c:v>
                </c:pt>
                <c:pt idx="59">
                  <c:v>38687</c:v>
                </c:pt>
                <c:pt idx="60">
                  <c:v>38718</c:v>
                </c:pt>
                <c:pt idx="61">
                  <c:v>38749</c:v>
                </c:pt>
                <c:pt idx="62">
                  <c:v>38777</c:v>
                </c:pt>
                <c:pt idx="63">
                  <c:v>38808</c:v>
                </c:pt>
                <c:pt idx="64">
                  <c:v>38838</c:v>
                </c:pt>
                <c:pt idx="65">
                  <c:v>38869</c:v>
                </c:pt>
                <c:pt idx="66">
                  <c:v>38899</c:v>
                </c:pt>
                <c:pt idx="67">
                  <c:v>38930</c:v>
                </c:pt>
                <c:pt idx="68">
                  <c:v>38961</c:v>
                </c:pt>
                <c:pt idx="69">
                  <c:v>38991</c:v>
                </c:pt>
                <c:pt idx="70">
                  <c:v>39022</c:v>
                </c:pt>
                <c:pt idx="71">
                  <c:v>39052</c:v>
                </c:pt>
                <c:pt idx="72">
                  <c:v>39083</c:v>
                </c:pt>
                <c:pt idx="73">
                  <c:v>39114</c:v>
                </c:pt>
                <c:pt idx="74">
                  <c:v>39142</c:v>
                </c:pt>
                <c:pt idx="75">
                  <c:v>39173</c:v>
                </c:pt>
                <c:pt idx="76">
                  <c:v>39203</c:v>
                </c:pt>
                <c:pt idx="77">
                  <c:v>39234</c:v>
                </c:pt>
                <c:pt idx="78">
                  <c:v>39264</c:v>
                </c:pt>
                <c:pt idx="79">
                  <c:v>39295</c:v>
                </c:pt>
                <c:pt idx="80">
                  <c:v>39326</c:v>
                </c:pt>
                <c:pt idx="81">
                  <c:v>39356</c:v>
                </c:pt>
                <c:pt idx="82">
                  <c:v>39387</c:v>
                </c:pt>
                <c:pt idx="83">
                  <c:v>39417</c:v>
                </c:pt>
                <c:pt idx="84">
                  <c:v>39448</c:v>
                </c:pt>
                <c:pt idx="85">
                  <c:v>39479</c:v>
                </c:pt>
                <c:pt idx="86">
                  <c:v>39508</c:v>
                </c:pt>
                <c:pt idx="87">
                  <c:v>39539</c:v>
                </c:pt>
                <c:pt idx="88">
                  <c:v>39569</c:v>
                </c:pt>
                <c:pt idx="89">
                  <c:v>39600</c:v>
                </c:pt>
                <c:pt idx="90">
                  <c:v>39630</c:v>
                </c:pt>
                <c:pt idx="91">
                  <c:v>39661</c:v>
                </c:pt>
                <c:pt idx="92">
                  <c:v>39692</c:v>
                </c:pt>
                <c:pt idx="93">
                  <c:v>39722</c:v>
                </c:pt>
                <c:pt idx="94">
                  <c:v>39753</c:v>
                </c:pt>
                <c:pt idx="95">
                  <c:v>39783</c:v>
                </c:pt>
                <c:pt idx="96">
                  <c:v>39814</c:v>
                </c:pt>
                <c:pt idx="97">
                  <c:v>39845</c:v>
                </c:pt>
                <c:pt idx="98">
                  <c:v>39873</c:v>
                </c:pt>
                <c:pt idx="99">
                  <c:v>39904</c:v>
                </c:pt>
                <c:pt idx="100">
                  <c:v>39934</c:v>
                </c:pt>
                <c:pt idx="101">
                  <c:v>39965</c:v>
                </c:pt>
                <c:pt idx="102">
                  <c:v>39995</c:v>
                </c:pt>
                <c:pt idx="103">
                  <c:v>40026</c:v>
                </c:pt>
                <c:pt idx="104">
                  <c:v>40057</c:v>
                </c:pt>
                <c:pt idx="105">
                  <c:v>40087</c:v>
                </c:pt>
                <c:pt idx="106">
                  <c:v>40118</c:v>
                </c:pt>
                <c:pt idx="107">
                  <c:v>40148</c:v>
                </c:pt>
                <c:pt idx="108">
                  <c:v>40179</c:v>
                </c:pt>
                <c:pt idx="109">
                  <c:v>40210</c:v>
                </c:pt>
                <c:pt idx="110">
                  <c:v>40238</c:v>
                </c:pt>
                <c:pt idx="111">
                  <c:v>40269</c:v>
                </c:pt>
                <c:pt idx="112">
                  <c:v>40299</c:v>
                </c:pt>
                <c:pt idx="113">
                  <c:v>40330</c:v>
                </c:pt>
                <c:pt idx="114">
                  <c:v>40360</c:v>
                </c:pt>
                <c:pt idx="115">
                  <c:v>40391</c:v>
                </c:pt>
                <c:pt idx="116">
                  <c:v>40422</c:v>
                </c:pt>
                <c:pt idx="117">
                  <c:v>40452</c:v>
                </c:pt>
                <c:pt idx="118">
                  <c:v>40483</c:v>
                </c:pt>
                <c:pt idx="119">
                  <c:v>40513</c:v>
                </c:pt>
                <c:pt idx="120">
                  <c:v>40544</c:v>
                </c:pt>
                <c:pt idx="121">
                  <c:v>40575</c:v>
                </c:pt>
                <c:pt idx="122">
                  <c:v>40603</c:v>
                </c:pt>
                <c:pt idx="123">
                  <c:v>40634</c:v>
                </c:pt>
                <c:pt idx="124">
                  <c:v>40664</c:v>
                </c:pt>
                <c:pt idx="125">
                  <c:v>40695</c:v>
                </c:pt>
                <c:pt idx="126">
                  <c:v>40725</c:v>
                </c:pt>
                <c:pt idx="127">
                  <c:v>40756</c:v>
                </c:pt>
                <c:pt idx="128">
                  <c:v>40787</c:v>
                </c:pt>
                <c:pt idx="129">
                  <c:v>40817</c:v>
                </c:pt>
                <c:pt idx="130">
                  <c:v>40848</c:v>
                </c:pt>
                <c:pt idx="131">
                  <c:v>40878</c:v>
                </c:pt>
                <c:pt idx="132">
                  <c:v>40909</c:v>
                </c:pt>
                <c:pt idx="133">
                  <c:v>40940</c:v>
                </c:pt>
                <c:pt idx="134">
                  <c:v>40969</c:v>
                </c:pt>
                <c:pt idx="135">
                  <c:v>41000</c:v>
                </c:pt>
                <c:pt idx="136">
                  <c:v>41030</c:v>
                </c:pt>
                <c:pt idx="137">
                  <c:v>41061</c:v>
                </c:pt>
                <c:pt idx="138">
                  <c:v>41091</c:v>
                </c:pt>
                <c:pt idx="139">
                  <c:v>41122</c:v>
                </c:pt>
                <c:pt idx="140">
                  <c:v>41153</c:v>
                </c:pt>
                <c:pt idx="141">
                  <c:v>41183</c:v>
                </c:pt>
                <c:pt idx="142">
                  <c:v>41214</c:v>
                </c:pt>
                <c:pt idx="143">
                  <c:v>41244</c:v>
                </c:pt>
                <c:pt idx="144">
                  <c:v>41275</c:v>
                </c:pt>
                <c:pt idx="145">
                  <c:v>41306</c:v>
                </c:pt>
                <c:pt idx="146">
                  <c:v>41334</c:v>
                </c:pt>
                <c:pt idx="147">
                  <c:v>41365</c:v>
                </c:pt>
                <c:pt idx="148">
                  <c:v>41395</c:v>
                </c:pt>
                <c:pt idx="149">
                  <c:v>41426</c:v>
                </c:pt>
                <c:pt idx="150">
                  <c:v>41456</c:v>
                </c:pt>
                <c:pt idx="151">
                  <c:v>41487</c:v>
                </c:pt>
                <c:pt idx="152">
                  <c:v>41518</c:v>
                </c:pt>
                <c:pt idx="153">
                  <c:v>41548</c:v>
                </c:pt>
                <c:pt idx="154">
                  <c:v>41579</c:v>
                </c:pt>
                <c:pt idx="155">
                  <c:v>41609</c:v>
                </c:pt>
                <c:pt idx="156">
                  <c:v>41640</c:v>
                </c:pt>
                <c:pt idx="157">
                  <c:v>41671</c:v>
                </c:pt>
                <c:pt idx="158">
                  <c:v>41699</c:v>
                </c:pt>
                <c:pt idx="159">
                  <c:v>41730</c:v>
                </c:pt>
                <c:pt idx="160">
                  <c:v>41760</c:v>
                </c:pt>
                <c:pt idx="161">
                  <c:v>41791</c:v>
                </c:pt>
                <c:pt idx="162">
                  <c:v>41821</c:v>
                </c:pt>
                <c:pt idx="163">
                  <c:v>41852</c:v>
                </c:pt>
                <c:pt idx="164">
                  <c:v>41883</c:v>
                </c:pt>
              </c:numCache>
            </c:numRef>
          </c:cat>
          <c:val>
            <c:numRef>
              <c:f>FC!$AI$14:$AI$181</c:f>
              <c:numCache>
                <c:formatCode>0%</c:formatCode>
                <c:ptCount val="168"/>
                <c:pt idx="0">
                  <c:v>1.10358292314836E-2</c:v>
                </c:pt>
                <c:pt idx="1">
                  <c:v>8.1083977931879303E-4</c:v>
                </c:pt>
                <c:pt idx="2">
                  <c:v>1.0042773770004201E-2</c:v>
                </c:pt>
                <c:pt idx="3">
                  <c:v>1.3828231063745601E-2</c:v>
                </c:pt>
                <c:pt idx="4">
                  <c:v>2.41931088517197E-2</c:v>
                </c:pt>
                <c:pt idx="5">
                  <c:v>1.3956868310412599E-2</c:v>
                </c:pt>
                <c:pt idx="6">
                  <c:v>1.6895366103437299E-2</c:v>
                </c:pt>
                <c:pt idx="7">
                  <c:v>2.0013236245157801E-2</c:v>
                </c:pt>
                <c:pt idx="8">
                  <c:v>1.04257108251707E-2</c:v>
                </c:pt>
                <c:pt idx="9">
                  <c:v>1.12322468482077E-2</c:v>
                </c:pt>
                <c:pt idx="10">
                  <c:v>1.4640682397542499E-2</c:v>
                </c:pt>
                <c:pt idx="11">
                  <c:v>1.74390914188002E-2</c:v>
                </c:pt>
                <c:pt idx="12">
                  <c:v>2.6716255692650102E-2</c:v>
                </c:pt>
                <c:pt idx="13">
                  <c:v>1.5424125959293499E-2</c:v>
                </c:pt>
                <c:pt idx="14">
                  <c:v>1.89106744129636E-2</c:v>
                </c:pt>
                <c:pt idx="15">
                  <c:v>6.1992606407918503E-2</c:v>
                </c:pt>
                <c:pt idx="16">
                  <c:v>1.9287843415204099E-2</c:v>
                </c:pt>
                <c:pt idx="17">
                  <c:v>2.5800587904040901E-2</c:v>
                </c:pt>
                <c:pt idx="18">
                  <c:v>1.78575817319481E-2</c:v>
                </c:pt>
                <c:pt idx="19">
                  <c:v>2.6381227645271801E-2</c:v>
                </c:pt>
                <c:pt idx="20">
                  <c:v>2.0915833119817599E-2</c:v>
                </c:pt>
                <c:pt idx="21">
                  <c:v>1.73224323059206E-2</c:v>
                </c:pt>
                <c:pt idx="22">
                  <c:v>1.54708530520303E-2</c:v>
                </c:pt>
                <c:pt idx="23">
                  <c:v>2.69786089415541E-2</c:v>
                </c:pt>
                <c:pt idx="24">
                  <c:v>2.8995691983894401E-2</c:v>
                </c:pt>
                <c:pt idx="25">
                  <c:v>2.64565154149498E-2</c:v>
                </c:pt>
                <c:pt idx="26">
                  <c:v>2.0912698072794798E-2</c:v>
                </c:pt>
                <c:pt idx="27">
                  <c:v>2.5075979522344301E-2</c:v>
                </c:pt>
                <c:pt idx="28">
                  <c:v>2.0181732264885899E-2</c:v>
                </c:pt>
                <c:pt idx="29">
                  <c:v>2.0913197130653999E-2</c:v>
                </c:pt>
                <c:pt idx="30">
                  <c:v>1.9591208761258899E-2</c:v>
                </c:pt>
                <c:pt idx="31">
                  <c:v>2.20788012575465E-2</c:v>
                </c:pt>
                <c:pt idx="32">
                  <c:v>2.0953810811007199E-2</c:v>
                </c:pt>
                <c:pt idx="33">
                  <c:v>2.7696382143500502E-2</c:v>
                </c:pt>
                <c:pt idx="34">
                  <c:v>2.3176386631212801E-2</c:v>
                </c:pt>
                <c:pt idx="35">
                  <c:v>2.3090732978303899E-2</c:v>
                </c:pt>
                <c:pt idx="36">
                  <c:v>2.6693584750232102E-2</c:v>
                </c:pt>
                <c:pt idx="37">
                  <c:v>2.4662669299790801E-2</c:v>
                </c:pt>
                <c:pt idx="38">
                  <c:v>2.5166968028479401E-2</c:v>
                </c:pt>
                <c:pt idx="39">
                  <c:v>2.96311964154258E-2</c:v>
                </c:pt>
                <c:pt idx="40">
                  <c:v>2.69088908825614E-2</c:v>
                </c:pt>
                <c:pt idx="41">
                  <c:v>2.38949803929158E-2</c:v>
                </c:pt>
                <c:pt idx="42">
                  <c:v>3.1809632844119001E-2</c:v>
                </c:pt>
                <c:pt idx="43">
                  <c:v>2.3724518027360999E-2</c:v>
                </c:pt>
                <c:pt idx="44">
                  <c:v>2.5095672759408001E-2</c:v>
                </c:pt>
                <c:pt idx="45">
                  <c:v>2.9666687074653E-2</c:v>
                </c:pt>
                <c:pt idx="46">
                  <c:v>1.93378959032681E-2</c:v>
                </c:pt>
                <c:pt idx="47">
                  <c:v>2.6686240053385098E-2</c:v>
                </c:pt>
                <c:pt idx="48">
                  <c:v>2.4707385885199499E-2</c:v>
                </c:pt>
                <c:pt idx="49">
                  <c:v>2.29867158525149E-2</c:v>
                </c:pt>
                <c:pt idx="50">
                  <c:v>2.6071954563880902E-2</c:v>
                </c:pt>
                <c:pt idx="51">
                  <c:v>2.1624614814522901E-2</c:v>
                </c:pt>
                <c:pt idx="52">
                  <c:v>2.52331812745702E-2</c:v>
                </c:pt>
                <c:pt idx="53">
                  <c:v>2.43865131996087E-2</c:v>
                </c:pt>
                <c:pt idx="54">
                  <c:v>2.67455797187942E-2</c:v>
                </c:pt>
                <c:pt idx="55">
                  <c:v>3.02554238755081E-2</c:v>
                </c:pt>
                <c:pt idx="56">
                  <c:v>3.4860829107527101E-2</c:v>
                </c:pt>
                <c:pt idx="57">
                  <c:v>2.40075013540147E-2</c:v>
                </c:pt>
                <c:pt idx="58">
                  <c:v>1.79445164839412E-2</c:v>
                </c:pt>
                <c:pt idx="59">
                  <c:v>1.8269324156288999E-2</c:v>
                </c:pt>
                <c:pt idx="60">
                  <c:v>1.6605674381306501E-2</c:v>
                </c:pt>
                <c:pt idx="61">
                  <c:v>1.91653577272871E-2</c:v>
                </c:pt>
                <c:pt idx="62">
                  <c:v>2.21023583819373E-2</c:v>
                </c:pt>
                <c:pt idx="63">
                  <c:v>2.3548063648177801E-2</c:v>
                </c:pt>
                <c:pt idx="64">
                  <c:v>2.4139322122667801E-2</c:v>
                </c:pt>
                <c:pt idx="65">
                  <c:v>2.0897231827136799E-2</c:v>
                </c:pt>
                <c:pt idx="66">
                  <c:v>2.36139399990314E-2</c:v>
                </c:pt>
                <c:pt idx="67">
                  <c:v>2.0514053896446401E-2</c:v>
                </c:pt>
                <c:pt idx="68">
                  <c:v>2.22350028564408E-2</c:v>
                </c:pt>
                <c:pt idx="69">
                  <c:v>1.8946093819557301E-2</c:v>
                </c:pt>
                <c:pt idx="70">
                  <c:v>1.7354417555196799E-2</c:v>
                </c:pt>
                <c:pt idx="71">
                  <c:v>1.9660744505064099E-2</c:v>
                </c:pt>
                <c:pt idx="72">
                  <c:v>2.5093938836022098E-2</c:v>
                </c:pt>
                <c:pt idx="73">
                  <c:v>2.2263954417645698E-2</c:v>
                </c:pt>
                <c:pt idx="74">
                  <c:v>2.45029432553323E-2</c:v>
                </c:pt>
                <c:pt idx="75">
                  <c:v>1.7093419709924E-2</c:v>
                </c:pt>
                <c:pt idx="76">
                  <c:v>2.1669311737435502E-2</c:v>
                </c:pt>
                <c:pt idx="77">
                  <c:v>1.8963262446273301E-2</c:v>
                </c:pt>
                <c:pt idx="78">
                  <c:v>1.6251158750466201E-2</c:v>
                </c:pt>
                <c:pt idx="79">
                  <c:v>1.6956667362402499E-2</c:v>
                </c:pt>
                <c:pt idx="80">
                  <c:v>1.4820596378972199E-2</c:v>
                </c:pt>
                <c:pt idx="81">
                  <c:v>2.0671499031544999E-2</c:v>
                </c:pt>
                <c:pt idx="82">
                  <c:v>1.7131348341344499E-2</c:v>
                </c:pt>
                <c:pt idx="83">
                  <c:v>1.7614056792066301E-2</c:v>
                </c:pt>
                <c:pt idx="84">
                  <c:v>1.510330719145E-2</c:v>
                </c:pt>
                <c:pt idx="85">
                  <c:v>1.9020545520422E-2</c:v>
                </c:pt>
                <c:pt idx="86">
                  <c:v>2.1556005581764199E-2</c:v>
                </c:pt>
                <c:pt idx="87">
                  <c:v>1.8093668903649201E-2</c:v>
                </c:pt>
                <c:pt idx="88">
                  <c:v>1.7733899364666902E-2</c:v>
                </c:pt>
                <c:pt idx="89">
                  <c:v>1.3096316438242699E-2</c:v>
                </c:pt>
                <c:pt idx="90">
                  <c:v>1.45186336809132E-2</c:v>
                </c:pt>
                <c:pt idx="91">
                  <c:v>1.6234207631562199E-2</c:v>
                </c:pt>
                <c:pt idx="92">
                  <c:v>1.4685145372715E-2</c:v>
                </c:pt>
                <c:pt idx="93">
                  <c:v>1.9639992741394701E-2</c:v>
                </c:pt>
                <c:pt idx="94">
                  <c:v>1.76717328448922E-2</c:v>
                </c:pt>
                <c:pt idx="95">
                  <c:v>2.0876930522195601E-2</c:v>
                </c:pt>
                <c:pt idx="96">
                  <c:v>2.09635420527499E-2</c:v>
                </c:pt>
                <c:pt idx="97">
                  <c:v>1.82399333681478E-2</c:v>
                </c:pt>
                <c:pt idx="98">
                  <c:v>1.9942866621974E-2</c:v>
                </c:pt>
                <c:pt idx="99">
                  <c:v>1.9042960855465502E-2</c:v>
                </c:pt>
                <c:pt idx="100">
                  <c:v>2.23108748306848E-2</c:v>
                </c:pt>
                <c:pt idx="101">
                  <c:v>2.0469583704622801E-2</c:v>
                </c:pt>
                <c:pt idx="102">
                  <c:v>2.0730900496772901E-2</c:v>
                </c:pt>
                <c:pt idx="103">
                  <c:v>1.8986305418660799E-2</c:v>
                </c:pt>
                <c:pt idx="104">
                  <c:v>2.3006769076119898E-2</c:v>
                </c:pt>
                <c:pt idx="105">
                  <c:v>2.2427786195482802E-2</c:v>
                </c:pt>
                <c:pt idx="106">
                  <c:v>2.1698756199432401E-2</c:v>
                </c:pt>
                <c:pt idx="107">
                  <c:v>2.4829501571485699E-2</c:v>
                </c:pt>
                <c:pt idx="108">
                  <c:v>2.5681422232183299E-2</c:v>
                </c:pt>
                <c:pt idx="109">
                  <c:v>2.70252288316572E-2</c:v>
                </c:pt>
                <c:pt idx="110">
                  <c:v>2.7997057987514201E-2</c:v>
                </c:pt>
                <c:pt idx="111">
                  <c:v>3.3747133850383103E-2</c:v>
                </c:pt>
                <c:pt idx="112">
                  <c:v>3.1416972678975502E-2</c:v>
                </c:pt>
                <c:pt idx="113">
                  <c:v>3.3265419467698697E-2</c:v>
                </c:pt>
                <c:pt idx="114">
                  <c:v>3.3717490511326699E-2</c:v>
                </c:pt>
                <c:pt idx="115">
                  <c:v>2.69453692745425E-2</c:v>
                </c:pt>
                <c:pt idx="116">
                  <c:v>2.6390242791310799E-2</c:v>
                </c:pt>
                <c:pt idx="117">
                  <c:v>2.75128200543844E-2</c:v>
                </c:pt>
                <c:pt idx="118">
                  <c:v>2.6237605935354302E-2</c:v>
                </c:pt>
                <c:pt idx="119">
                  <c:v>2.7888890033477099E-2</c:v>
                </c:pt>
                <c:pt idx="120">
                  <c:v>3.1283301833527101E-2</c:v>
                </c:pt>
                <c:pt idx="121">
                  <c:v>2.8352920649382499E-2</c:v>
                </c:pt>
                <c:pt idx="122">
                  <c:v>2.8248206339465801E-2</c:v>
                </c:pt>
                <c:pt idx="123">
                  <c:v>2.8269022679962601E-2</c:v>
                </c:pt>
                <c:pt idx="124">
                  <c:v>2.88354850047947E-2</c:v>
                </c:pt>
                <c:pt idx="125">
                  <c:v>2.99561099696832E-2</c:v>
                </c:pt>
                <c:pt idx="126">
                  <c:v>3.2272275681547301E-2</c:v>
                </c:pt>
                <c:pt idx="127">
                  <c:v>3.4489635113669197E-2</c:v>
                </c:pt>
                <c:pt idx="128">
                  <c:v>3.3744227449409199E-2</c:v>
                </c:pt>
                <c:pt idx="129">
                  <c:v>3.2657127281333E-2</c:v>
                </c:pt>
                <c:pt idx="130">
                  <c:v>3.3693341571436698E-2</c:v>
                </c:pt>
                <c:pt idx="131">
                  <c:v>3.5858077378741797E-2</c:v>
                </c:pt>
                <c:pt idx="132">
                  <c:v>3.7235546162887899E-2</c:v>
                </c:pt>
                <c:pt idx="133">
                  <c:v>3.7403296627984001E-2</c:v>
                </c:pt>
                <c:pt idx="134">
                  <c:v>3.6501478453892802E-2</c:v>
                </c:pt>
                <c:pt idx="135">
                  <c:v>3.6265026783979297E-2</c:v>
                </c:pt>
                <c:pt idx="136">
                  <c:v>3.6150496956436698E-2</c:v>
                </c:pt>
                <c:pt idx="137">
                  <c:v>3.6178583972390002E-2</c:v>
                </c:pt>
                <c:pt idx="138">
                  <c:v>3.6440145224536799E-2</c:v>
                </c:pt>
                <c:pt idx="139">
                  <c:v>3.5766626101087301E-2</c:v>
                </c:pt>
                <c:pt idx="140">
                  <c:v>3.8088908882172798E-2</c:v>
                </c:pt>
                <c:pt idx="141">
                  <c:v>3.8751523866073598E-2</c:v>
                </c:pt>
                <c:pt idx="142">
                  <c:v>3.9797699073802602E-2</c:v>
                </c:pt>
                <c:pt idx="143">
                  <c:v>4.0799888367484299E-2</c:v>
                </c:pt>
                <c:pt idx="144">
                  <c:v>4.1800672832497499E-2</c:v>
                </c:pt>
                <c:pt idx="145">
                  <c:v>4.3466620897879199E-2</c:v>
                </c:pt>
                <c:pt idx="146">
                  <c:v>4.2942964835599902E-2</c:v>
                </c:pt>
                <c:pt idx="147">
                  <c:v>4.3840556137516501E-2</c:v>
                </c:pt>
                <c:pt idx="148">
                  <c:v>4.3614858698217303E-2</c:v>
                </c:pt>
                <c:pt idx="149">
                  <c:v>4.4176231359818699E-2</c:v>
                </c:pt>
                <c:pt idx="150">
                  <c:v>4.5292986985260499E-2</c:v>
                </c:pt>
                <c:pt idx="151">
                  <c:v>4.9947931465758801E-2</c:v>
                </c:pt>
                <c:pt idx="152">
                  <c:v>5.2113159242767902E-2</c:v>
                </c:pt>
                <c:pt idx="153">
                  <c:v>5.23286033314787E-2</c:v>
                </c:pt>
                <c:pt idx="154">
                  <c:v>5.5573022404341199E-2</c:v>
                </c:pt>
                <c:pt idx="155">
                  <c:v>5.6114924282706799E-2</c:v>
                </c:pt>
                <c:pt idx="156">
                  <c:v>5.7011877522647102E-2</c:v>
                </c:pt>
                <c:pt idx="157">
                  <c:v>5.82954479350698E-2</c:v>
                </c:pt>
                <c:pt idx="158">
                  <c:v>6.23255440514714E-2</c:v>
                </c:pt>
                <c:pt idx="159">
                  <c:v>6.0059103668976502E-2</c:v>
                </c:pt>
                <c:pt idx="160">
                  <c:v>5.9926609017130698E-2</c:v>
                </c:pt>
                <c:pt idx="161">
                  <c:v>6.5786915480048697E-2</c:v>
                </c:pt>
                <c:pt idx="162">
                  <c:v>6.7955390340656396E-2</c:v>
                </c:pt>
                <c:pt idx="163">
                  <c:v>6.6539660141439805E-2</c:v>
                </c:pt>
                <c:pt idx="164">
                  <c:v>7.3753560685163394E-2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42706176"/>
        <c:axId val="442800000"/>
      </c:lineChart>
      <c:dateAx>
        <c:axId val="442706176"/>
        <c:scaling>
          <c:orientation val="minMax"/>
        </c:scaling>
        <c:delete val="0"/>
        <c:axPos val="b"/>
        <c:numFmt formatCode="m/d/yyyy" sourceLinked="1"/>
        <c:majorTickMark val="out"/>
        <c:minorTickMark val="none"/>
        <c:tickLblPos val="nextTo"/>
        <c:crossAx val="442800000"/>
        <c:crosses val="autoZero"/>
        <c:auto val="1"/>
        <c:lblOffset val="100"/>
        <c:baseTimeUnit val="months"/>
      </c:dateAx>
      <c:valAx>
        <c:axId val="442800000"/>
        <c:scaling>
          <c:orientation val="minMax"/>
        </c:scaling>
        <c:delete val="0"/>
        <c:axPos val="l"/>
        <c:majorGridlines/>
        <c:numFmt formatCode="0%" sourceLinked="1"/>
        <c:majorTickMark val="out"/>
        <c:minorTickMark val="none"/>
        <c:tickLblPos val="nextTo"/>
        <c:crossAx val="442706176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FC!$AL$1:$AL$2</c:f>
              <c:strCache>
                <c:ptCount val="1"/>
                <c:pt idx="0">
                  <c:v>Non-MI FHL</c:v>
                </c:pt>
              </c:strCache>
            </c:strRef>
          </c:tx>
          <c:marker>
            <c:symbol val="none"/>
          </c:marker>
          <c:cat>
            <c:numRef>
              <c:f>FC!$AK$16:$AK$181</c:f>
              <c:numCache>
                <c:formatCode>m/d/yyyy</c:formatCode>
                <c:ptCount val="166"/>
                <c:pt idx="0">
                  <c:v>36951</c:v>
                </c:pt>
                <c:pt idx="1">
                  <c:v>36982</c:v>
                </c:pt>
                <c:pt idx="2">
                  <c:v>37012</c:v>
                </c:pt>
                <c:pt idx="3">
                  <c:v>37043</c:v>
                </c:pt>
                <c:pt idx="4">
                  <c:v>37073</c:v>
                </c:pt>
                <c:pt idx="5">
                  <c:v>37104</c:v>
                </c:pt>
                <c:pt idx="6">
                  <c:v>37135</c:v>
                </c:pt>
                <c:pt idx="7">
                  <c:v>37165</c:v>
                </c:pt>
                <c:pt idx="8">
                  <c:v>37196</c:v>
                </c:pt>
                <c:pt idx="9">
                  <c:v>37226</c:v>
                </c:pt>
                <c:pt idx="10">
                  <c:v>37257</c:v>
                </c:pt>
                <c:pt idx="11">
                  <c:v>37288</c:v>
                </c:pt>
                <c:pt idx="12">
                  <c:v>37316</c:v>
                </c:pt>
                <c:pt idx="13">
                  <c:v>37347</c:v>
                </c:pt>
                <c:pt idx="14">
                  <c:v>37377</c:v>
                </c:pt>
                <c:pt idx="15">
                  <c:v>37408</c:v>
                </c:pt>
                <c:pt idx="16">
                  <c:v>37438</c:v>
                </c:pt>
                <c:pt idx="17">
                  <c:v>37469</c:v>
                </c:pt>
                <c:pt idx="18">
                  <c:v>37500</c:v>
                </c:pt>
                <c:pt idx="19">
                  <c:v>37530</c:v>
                </c:pt>
                <c:pt idx="20">
                  <c:v>37561</c:v>
                </c:pt>
                <c:pt idx="21">
                  <c:v>37591</c:v>
                </c:pt>
                <c:pt idx="22">
                  <c:v>37622</c:v>
                </c:pt>
                <c:pt idx="23">
                  <c:v>37653</c:v>
                </c:pt>
                <c:pt idx="24">
                  <c:v>37681</c:v>
                </c:pt>
                <c:pt idx="25">
                  <c:v>37712</c:v>
                </c:pt>
                <c:pt idx="26">
                  <c:v>37742</c:v>
                </c:pt>
                <c:pt idx="27">
                  <c:v>37773</c:v>
                </c:pt>
                <c:pt idx="28">
                  <c:v>37803</c:v>
                </c:pt>
                <c:pt idx="29">
                  <c:v>37834</c:v>
                </c:pt>
                <c:pt idx="30">
                  <c:v>37865</c:v>
                </c:pt>
                <c:pt idx="31">
                  <c:v>37895</c:v>
                </c:pt>
                <c:pt idx="32">
                  <c:v>37926</c:v>
                </c:pt>
                <c:pt idx="33">
                  <c:v>37956</c:v>
                </c:pt>
                <c:pt idx="34">
                  <c:v>37987</c:v>
                </c:pt>
                <c:pt idx="35">
                  <c:v>38018</c:v>
                </c:pt>
                <c:pt idx="36">
                  <c:v>38047</c:v>
                </c:pt>
                <c:pt idx="37">
                  <c:v>38078</c:v>
                </c:pt>
                <c:pt idx="38">
                  <c:v>38108</c:v>
                </c:pt>
                <c:pt idx="39">
                  <c:v>38139</c:v>
                </c:pt>
                <c:pt idx="40">
                  <c:v>38169</c:v>
                </c:pt>
                <c:pt idx="41">
                  <c:v>38200</c:v>
                </c:pt>
                <c:pt idx="42">
                  <c:v>38231</c:v>
                </c:pt>
                <c:pt idx="43">
                  <c:v>38261</c:v>
                </c:pt>
                <c:pt idx="44">
                  <c:v>38292</c:v>
                </c:pt>
                <c:pt idx="45">
                  <c:v>38322</c:v>
                </c:pt>
                <c:pt idx="46">
                  <c:v>38353</c:v>
                </c:pt>
                <c:pt idx="47">
                  <c:v>38384</c:v>
                </c:pt>
                <c:pt idx="48">
                  <c:v>38412</c:v>
                </c:pt>
                <c:pt idx="49">
                  <c:v>38443</c:v>
                </c:pt>
                <c:pt idx="50">
                  <c:v>38473</c:v>
                </c:pt>
                <c:pt idx="51">
                  <c:v>38504</c:v>
                </c:pt>
                <c:pt idx="52">
                  <c:v>38534</c:v>
                </c:pt>
                <c:pt idx="53">
                  <c:v>38565</c:v>
                </c:pt>
                <c:pt idx="54">
                  <c:v>38596</c:v>
                </c:pt>
                <c:pt idx="55">
                  <c:v>38626</c:v>
                </c:pt>
                <c:pt idx="56">
                  <c:v>38657</c:v>
                </c:pt>
                <c:pt idx="57">
                  <c:v>38687</c:v>
                </c:pt>
                <c:pt idx="58">
                  <c:v>38718</c:v>
                </c:pt>
                <c:pt idx="59">
                  <c:v>38749</c:v>
                </c:pt>
                <c:pt idx="60">
                  <c:v>38777</c:v>
                </c:pt>
                <c:pt idx="61">
                  <c:v>38808</c:v>
                </c:pt>
                <c:pt idx="62">
                  <c:v>38838</c:v>
                </c:pt>
                <c:pt idx="63">
                  <c:v>38869</c:v>
                </c:pt>
                <c:pt idx="64">
                  <c:v>38899</c:v>
                </c:pt>
                <c:pt idx="65">
                  <c:v>38930</c:v>
                </c:pt>
                <c:pt idx="66">
                  <c:v>38961</c:v>
                </c:pt>
                <c:pt idx="67">
                  <c:v>38991</c:v>
                </c:pt>
                <c:pt idx="68">
                  <c:v>39022</c:v>
                </c:pt>
                <c:pt idx="69">
                  <c:v>39052</c:v>
                </c:pt>
                <c:pt idx="70">
                  <c:v>39083</c:v>
                </c:pt>
                <c:pt idx="71">
                  <c:v>39114</c:v>
                </c:pt>
                <c:pt idx="72">
                  <c:v>39142</c:v>
                </c:pt>
                <c:pt idx="73">
                  <c:v>39173</c:v>
                </c:pt>
                <c:pt idx="74">
                  <c:v>39203</c:v>
                </c:pt>
                <c:pt idx="75">
                  <c:v>39234</c:v>
                </c:pt>
                <c:pt idx="76">
                  <c:v>39264</c:v>
                </c:pt>
                <c:pt idx="77">
                  <c:v>39295</c:v>
                </c:pt>
                <c:pt idx="78">
                  <c:v>39326</c:v>
                </c:pt>
                <c:pt idx="79">
                  <c:v>39356</c:v>
                </c:pt>
                <c:pt idx="80">
                  <c:v>39387</c:v>
                </c:pt>
                <c:pt idx="81">
                  <c:v>39417</c:v>
                </c:pt>
                <c:pt idx="82">
                  <c:v>39448</c:v>
                </c:pt>
                <c:pt idx="83">
                  <c:v>39479</c:v>
                </c:pt>
                <c:pt idx="84">
                  <c:v>39508</c:v>
                </c:pt>
                <c:pt idx="85">
                  <c:v>39539</c:v>
                </c:pt>
                <c:pt idx="86">
                  <c:v>39569</c:v>
                </c:pt>
                <c:pt idx="87">
                  <c:v>39600</c:v>
                </c:pt>
                <c:pt idx="88">
                  <c:v>39630</c:v>
                </c:pt>
                <c:pt idx="89">
                  <c:v>39661</c:v>
                </c:pt>
                <c:pt idx="90">
                  <c:v>39692</c:v>
                </c:pt>
                <c:pt idx="91">
                  <c:v>39722</c:v>
                </c:pt>
                <c:pt idx="92">
                  <c:v>39753</c:v>
                </c:pt>
                <c:pt idx="93">
                  <c:v>39783</c:v>
                </c:pt>
                <c:pt idx="94">
                  <c:v>39814</c:v>
                </c:pt>
                <c:pt idx="95">
                  <c:v>39845</c:v>
                </c:pt>
                <c:pt idx="96">
                  <c:v>39873</c:v>
                </c:pt>
                <c:pt idx="97">
                  <c:v>39904</c:v>
                </c:pt>
                <c:pt idx="98">
                  <c:v>39934</c:v>
                </c:pt>
                <c:pt idx="99">
                  <c:v>39965</c:v>
                </c:pt>
                <c:pt idx="100">
                  <c:v>39995</c:v>
                </c:pt>
                <c:pt idx="101">
                  <c:v>40026</c:v>
                </c:pt>
                <c:pt idx="102">
                  <c:v>40057</c:v>
                </c:pt>
                <c:pt idx="103">
                  <c:v>40087</c:v>
                </c:pt>
                <c:pt idx="104">
                  <c:v>40118</c:v>
                </c:pt>
                <c:pt idx="105">
                  <c:v>40148</c:v>
                </c:pt>
                <c:pt idx="106">
                  <c:v>40179</c:v>
                </c:pt>
                <c:pt idx="107">
                  <c:v>40210</c:v>
                </c:pt>
                <c:pt idx="108">
                  <c:v>40238</c:v>
                </c:pt>
                <c:pt idx="109">
                  <c:v>40269</c:v>
                </c:pt>
                <c:pt idx="110">
                  <c:v>40299</c:v>
                </c:pt>
                <c:pt idx="111">
                  <c:v>40330</c:v>
                </c:pt>
                <c:pt idx="112">
                  <c:v>40360</c:v>
                </c:pt>
                <c:pt idx="113">
                  <c:v>40391</c:v>
                </c:pt>
                <c:pt idx="114">
                  <c:v>40422</c:v>
                </c:pt>
                <c:pt idx="115">
                  <c:v>40452</c:v>
                </c:pt>
                <c:pt idx="116">
                  <c:v>40483</c:v>
                </c:pt>
                <c:pt idx="117">
                  <c:v>40513</c:v>
                </c:pt>
                <c:pt idx="118">
                  <c:v>40544</c:v>
                </c:pt>
                <c:pt idx="119">
                  <c:v>40575</c:v>
                </c:pt>
                <c:pt idx="120">
                  <c:v>40603</c:v>
                </c:pt>
                <c:pt idx="121">
                  <c:v>40634</c:v>
                </c:pt>
                <c:pt idx="122">
                  <c:v>40664</c:v>
                </c:pt>
                <c:pt idx="123">
                  <c:v>40695</c:v>
                </c:pt>
                <c:pt idx="124">
                  <c:v>40725</c:v>
                </c:pt>
                <c:pt idx="125">
                  <c:v>40756</c:v>
                </c:pt>
                <c:pt idx="126">
                  <c:v>40787</c:v>
                </c:pt>
                <c:pt idx="127">
                  <c:v>40817</c:v>
                </c:pt>
                <c:pt idx="128">
                  <c:v>40848</c:v>
                </c:pt>
                <c:pt idx="129">
                  <c:v>40878</c:v>
                </c:pt>
                <c:pt idx="130">
                  <c:v>40909</c:v>
                </c:pt>
                <c:pt idx="131">
                  <c:v>40940</c:v>
                </c:pt>
                <c:pt idx="132">
                  <c:v>40969</c:v>
                </c:pt>
                <c:pt idx="133">
                  <c:v>41000</c:v>
                </c:pt>
                <c:pt idx="134">
                  <c:v>41030</c:v>
                </c:pt>
                <c:pt idx="135">
                  <c:v>41061</c:v>
                </c:pt>
                <c:pt idx="136">
                  <c:v>41091</c:v>
                </c:pt>
                <c:pt idx="137">
                  <c:v>41122</c:v>
                </c:pt>
                <c:pt idx="138">
                  <c:v>41153</c:v>
                </c:pt>
                <c:pt idx="139">
                  <c:v>41183</c:v>
                </c:pt>
                <c:pt idx="140">
                  <c:v>41214</c:v>
                </c:pt>
                <c:pt idx="141">
                  <c:v>41244</c:v>
                </c:pt>
                <c:pt idx="142">
                  <c:v>41275</c:v>
                </c:pt>
                <c:pt idx="143">
                  <c:v>41306</c:v>
                </c:pt>
                <c:pt idx="144">
                  <c:v>41334</c:v>
                </c:pt>
                <c:pt idx="145">
                  <c:v>41365</c:v>
                </c:pt>
                <c:pt idx="146">
                  <c:v>41395</c:v>
                </c:pt>
                <c:pt idx="147">
                  <c:v>41426</c:v>
                </c:pt>
                <c:pt idx="148">
                  <c:v>41456</c:v>
                </c:pt>
                <c:pt idx="149">
                  <c:v>41487</c:v>
                </c:pt>
                <c:pt idx="150">
                  <c:v>41518</c:v>
                </c:pt>
                <c:pt idx="151">
                  <c:v>41548</c:v>
                </c:pt>
                <c:pt idx="152">
                  <c:v>41579</c:v>
                </c:pt>
                <c:pt idx="153">
                  <c:v>41609</c:v>
                </c:pt>
                <c:pt idx="154">
                  <c:v>41640</c:v>
                </c:pt>
                <c:pt idx="155">
                  <c:v>41671</c:v>
                </c:pt>
                <c:pt idx="156">
                  <c:v>41699</c:v>
                </c:pt>
                <c:pt idx="157">
                  <c:v>41730</c:v>
                </c:pt>
                <c:pt idx="158">
                  <c:v>41760</c:v>
                </c:pt>
                <c:pt idx="159">
                  <c:v>41791</c:v>
                </c:pt>
                <c:pt idx="160">
                  <c:v>41821</c:v>
                </c:pt>
                <c:pt idx="161">
                  <c:v>41852</c:v>
                </c:pt>
                <c:pt idx="162">
                  <c:v>41883</c:v>
                </c:pt>
              </c:numCache>
            </c:numRef>
          </c:cat>
          <c:val>
            <c:numRef>
              <c:f>FC!$AL$16:$AL$181</c:f>
              <c:numCache>
                <c:formatCode>0%</c:formatCode>
                <c:ptCount val="166"/>
                <c:pt idx="0">
                  <c:v>8.1185882259723299E-2</c:v>
                </c:pt>
                <c:pt idx="1">
                  <c:v>0.10916436437058499</c:v>
                </c:pt>
                <c:pt idx="2">
                  <c:v>6.9216984244051594E-2</c:v>
                </c:pt>
                <c:pt idx="3">
                  <c:v>4.34042955482652E-2</c:v>
                </c:pt>
                <c:pt idx="4">
                  <c:v>4.6695289696493697E-2</c:v>
                </c:pt>
                <c:pt idx="5">
                  <c:v>6.4641640871308401E-2</c:v>
                </c:pt>
                <c:pt idx="6">
                  <c:v>5.84091775576914E-2</c:v>
                </c:pt>
                <c:pt idx="7">
                  <c:v>6.0025934996593699E-2</c:v>
                </c:pt>
                <c:pt idx="8">
                  <c:v>5.94903367814145E-2</c:v>
                </c:pt>
                <c:pt idx="9">
                  <c:v>4.6399703361347598E-2</c:v>
                </c:pt>
                <c:pt idx="10">
                  <c:v>6.4048027993422102E-2</c:v>
                </c:pt>
                <c:pt idx="11">
                  <c:v>6.03128788552387E-2</c:v>
                </c:pt>
                <c:pt idx="12">
                  <c:v>5.9203933813904201E-2</c:v>
                </c:pt>
                <c:pt idx="13">
                  <c:v>5.3559871902193197E-2</c:v>
                </c:pt>
                <c:pt idx="14">
                  <c:v>6.2957393227189698E-2</c:v>
                </c:pt>
                <c:pt idx="15">
                  <c:v>5.8322280925619398E-2</c:v>
                </c:pt>
                <c:pt idx="16">
                  <c:v>6.1502032969304801E-2</c:v>
                </c:pt>
                <c:pt idx="17">
                  <c:v>7.6931177886787799E-2</c:v>
                </c:pt>
                <c:pt idx="18">
                  <c:v>6.0093231982947498E-2</c:v>
                </c:pt>
                <c:pt idx="19">
                  <c:v>5.8583725963730397E-2</c:v>
                </c:pt>
                <c:pt idx="20">
                  <c:v>5.58336899465414E-2</c:v>
                </c:pt>
                <c:pt idx="21">
                  <c:v>7.0087656862426406E-2</c:v>
                </c:pt>
                <c:pt idx="22">
                  <c:v>5.1219088795806597E-2</c:v>
                </c:pt>
                <c:pt idx="23">
                  <c:v>5.5233917163221201E-2</c:v>
                </c:pt>
                <c:pt idx="24">
                  <c:v>4.3892005714373697E-2</c:v>
                </c:pt>
                <c:pt idx="25">
                  <c:v>7.5240238489709899E-2</c:v>
                </c:pt>
                <c:pt idx="26">
                  <c:v>6.2386256739830802E-2</c:v>
                </c:pt>
                <c:pt idx="27">
                  <c:v>6.3750977826210295E-2</c:v>
                </c:pt>
                <c:pt idx="28">
                  <c:v>6.2693112141176704E-2</c:v>
                </c:pt>
                <c:pt idx="29">
                  <c:v>5.04178614887918E-2</c:v>
                </c:pt>
                <c:pt idx="30">
                  <c:v>7.3833668197861899E-2</c:v>
                </c:pt>
                <c:pt idx="31">
                  <c:v>5.4113422952905901E-2</c:v>
                </c:pt>
                <c:pt idx="32">
                  <c:v>7.3100557164836405E-2</c:v>
                </c:pt>
                <c:pt idx="33">
                  <c:v>6.5917091174133302E-2</c:v>
                </c:pt>
                <c:pt idx="34">
                  <c:v>5.8333615784237798E-2</c:v>
                </c:pt>
                <c:pt idx="35">
                  <c:v>6.4330469014455396E-2</c:v>
                </c:pt>
                <c:pt idx="36">
                  <c:v>5.48476648598899E-2</c:v>
                </c:pt>
                <c:pt idx="37">
                  <c:v>7.6304582521183106E-2</c:v>
                </c:pt>
                <c:pt idx="38">
                  <c:v>6.8269089718737297E-2</c:v>
                </c:pt>
                <c:pt idx="39">
                  <c:v>6.3741539679291498E-2</c:v>
                </c:pt>
                <c:pt idx="40">
                  <c:v>5.92819187343551E-2</c:v>
                </c:pt>
                <c:pt idx="41">
                  <c:v>6.6718877046383601E-2</c:v>
                </c:pt>
                <c:pt idx="42">
                  <c:v>5.8813902343480502E-2</c:v>
                </c:pt>
                <c:pt idx="43">
                  <c:v>7.5193256153300997E-2</c:v>
                </c:pt>
                <c:pt idx="44">
                  <c:v>6.8556177506533006E-2</c:v>
                </c:pt>
                <c:pt idx="45">
                  <c:v>6.9455749429040897E-2</c:v>
                </c:pt>
                <c:pt idx="46">
                  <c:v>5.3394910974026398E-2</c:v>
                </c:pt>
                <c:pt idx="47">
                  <c:v>6.1396523467051198E-2</c:v>
                </c:pt>
                <c:pt idx="48">
                  <c:v>5.4777870327351298E-2</c:v>
                </c:pt>
                <c:pt idx="49">
                  <c:v>5.2801441322425903E-2</c:v>
                </c:pt>
                <c:pt idx="50">
                  <c:v>5.8717437582503501E-2</c:v>
                </c:pt>
                <c:pt idx="51">
                  <c:v>6.0034123231694402E-2</c:v>
                </c:pt>
                <c:pt idx="52">
                  <c:v>5.0969950089225502E-2</c:v>
                </c:pt>
                <c:pt idx="53">
                  <c:v>5.4282465482248798E-2</c:v>
                </c:pt>
                <c:pt idx="54">
                  <c:v>7.7378738477218698E-2</c:v>
                </c:pt>
                <c:pt idx="55">
                  <c:v>3.9791598332667599E-2</c:v>
                </c:pt>
                <c:pt idx="56">
                  <c:v>4.6763630832854397E-2</c:v>
                </c:pt>
                <c:pt idx="57">
                  <c:v>5.3306180400937098E-2</c:v>
                </c:pt>
                <c:pt idx="58">
                  <c:v>4.6407972007262203E-2</c:v>
                </c:pt>
                <c:pt idx="59">
                  <c:v>4.04159118880612E-2</c:v>
                </c:pt>
                <c:pt idx="60">
                  <c:v>5.6313455293629001E-2</c:v>
                </c:pt>
                <c:pt idx="61">
                  <c:v>5.2356024922039703E-2</c:v>
                </c:pt>
                <c:pt idx="62">
                  <c:v>5.3277668395465098E-2</c:v>
                </c:pt>
                <c:pt idx="63">
                  <c:v>3.4027234918607402E-2</c:v>
                </c:pt>
                <c:pt idx="64">
                  <c:v>5.2546493366153101E-2</c:v>
                </c:pt>
                <c:pt idx="65">
                  <c:v>4.04019162872893E-2</c:v>
                </c:pt>
                <c:pt idx="66">
                  <c:v>5.1482578591727002E-2</c:v>
                </c:pt>
                <c:pt idx="67">
                  <c:v>4.4453688496216497E-2</c:v>
                </c:pt>
                <c:pt idx="68">
                  <c:v>6.0128854787172399E-2</c:v>
                </c:pt>
                <c:pt idx="69">
                  <c:v>4.0828261832053903E-2</c:v>
                </c:pt>
                <c:pt idx="70">
                  <c:v>3.93916762833149E-2</c:v>
                </c:pt>
                <c:pt idx="71">
                  <c:v>4.4810487578932502E-2</c:v>
                </c:pt>
                <c:pt idx="72">
                  <c:v>4.5162402853109802E-2</c:v>
                </c:pt>
                <c:pt idx="73">
                  <c:v>4.0574068855492397E-2</c:v>
                </c:pt>
                <c:pt idx="74">
                  <c:v>3.7179279560634701E-2</c:v>
                </c:pt>
                <c:pt idx="75">
                  <c:v>3.1117086860138501E-2</c:v>
                </c:pt>
                <c:pt idx="76">
                  <c:v>4.2120790530359997E-2</c:v>
                </c:pt>
                <c:pt idx="77">
                  <c:v>4.2701419936054703E-2</c:v>
                </c:pt>
                <c:pt idx="78">
                  <c:v>3.7374404646278003E-2</c:v>
                </c:pt>
                <c:pt idx="79">
                  <c:v>4.8038752702643003E-2</c:v>
                </c:pt>
                <c:pt idx="80">
                  <c:v>6.6181579531175899E-2</c:v>
                </c:pt>
                <c:pt idx="81">
                  <c:v>5.3168838061067501E-2</c:v>
                </c:pt>
                <c:pt idx="82">
                  <c:v>5.0019943985484101E-2</c:v>
                </c:pt>
                <c:pt idx="83">
                  <c:v>6.8075644787378195E-2</c:v>
                </c:pt>
                <c:pt idx="84">
                  <c:v>5.3632429130615902E-2</c:v>
                </c:pt>
                <c:pt idx="85">
                  <c:v>5.3929021289617497E-2</c:v>
                </c:pt>
                <c:pt idx="86">
                  <c:v>5.3306068957800198E-2</c:v>
                </c:pt>
                <c:pt idx="87">
                  <c:v>5.2171843003739303E-2</c:v>
                </c:pt>
                <c:pt idx="88">
                  <c:v>5.2949515207471799E-2</c:v>
                </c:pt>
                <c:pt idx="89">
                  <c:v>6.1018464212864297E-2</c:v>
                </c:pt>
                <c:pt idx="90">
                  <c:v>5.06938927864014E-2</c:v>
                </c:pt>
                <c:pt idx="91">
                  <c:v>4.9911659400044703E-2</c:v>
                </c:pt>
                <c:pt idx="92">
                  <c:v>5.5494992826149198E-2</c:v>
                </c:pt>
                <c:pt idx="93">
                  <c:v>6.8573012528974894E-2</c:v>
                </c:pt>
                <c:pt idx="94">
                  <c:v>5.9340065667545898E-2</c:v>
                </c:pt>
                <c:pt idx="95">
                  <c:v>5.6181145800333801E-2</c:v>
                </c:pt>
                <c:pt idx="96">
                  <c:v>5.6286658737469401E-2</c:v>
                </c:pt>
                <c:pt idx="97">
                  <c:v>5.0064358617000197E-2</c:v>
                </c:pt>
                <c:pt idx="98">
                  <c:v>5.8268176681348698E-2</c:v>
                </c:pt>
                <c:pt idx="99">
                  <c:v>5.8703379260773902E-2</c:v>
                </c:pt>
                <c:pt idx="100">
                  <c:v>5.0529133490624503E-2</c:v>
                </c:pt>
                <c:pt idx="101">
                  <c:v>5.4398705357081099E-2</c:v>
                </c:pt>
                <c:pt idx="102">
                  <c:v>4.7912380771527603E-2</c:v>
                </c:pt>
                <c:pt idx="103">
                  <c:v>5.3361503944933997E-2</c:v>
                </c:pt>
                <c:pt idx="104">
                  <c:v>5.6265308205376799E-2</c:v>
                </c:pt>
                <c:pt idx="105">
                  <c:v>6.02640027816089E-2</c:v>
                </c:pt>
                <c:pt idx="106">
                  <c:v>5.4088665391673701E-2</c:v>
                </c:pt>
                <c:pt idx="107">
                  <c:v>5.8094224706763703E-2</c:v>
                </c:pt>
                <c:pt idx="108">
                  <c:v>5.1781110786894499E-2</c:v>
                </c:pt>
                <c:pt idx="109">
                  <c:v>4.9767255224618001E-2</c:v>
                </c:pt>
                <c:pt idx="110">
                  <c:v>4.7164393630541999E-2</c:v>
                </c:pt>
                <c:pt idx="111">
                  <c:v>5.1657901603118103E-2</c:v>
                </c:pt>
                <c:pt idx="112">
                  <c:v>4.3483170003642303E-2</c:v>
                </c:pt>
                <c:pt idx="113">
                  <c:v>4.4138327489395897E-2</c:v>
                </c:pt>
                <c:pt idx="114">
                  <c:v>4.4804152742642898E-2</c:v>
                </c:pt>
                <c:pt idx="115">
                  <c:v>4.7360095008865802E-2</c:v>
                </c:pt>
                <c:pt idx="116">
                  <c:v>4.5026110737885101E-2</c:v>
                </c:pt>
                <c:pt idx="117">
                  <c:v>4.7339856103033401E-2</c:v>
                </c:pt>
                <c:pt idx="118">
                  <c:v>4.4812855375487598E-2</c:v>
                </c:pt>
                <c:pt idx="119">
                  <c:v>4.6075977288705203E-2</c:v>
                </c:pt>
                <c:pt idx="120">
                  <c:v>4.1315499437714502E-2</c:v>
                </c:pt>
                <c:pt idx="121">
                  <c:v>4.1161451312565399E-2</c:v>
                </c:pt>
                <c:pt idx="122">
                  <c:v>3.8364884983263799E-2</c:v>
                </c:pt>
                <c:pt idx="123">
                  <c:v>4.3166508617233403E-2</c:v>
                </c:pt>
                <c:pt idx="124">
                  <c:v>3.8554844277549703E-2</c:v>
                </c:pt>
                <c:pt idx="125">
                  <c:v>3.8734725628807899E-2</c:v>
                </c:pt>
                <c:pt idx="126">
                  <c:v>4.3870622835031098E-2</c:v>
                </c:pt>
                <c:pt idx="127">
                  <c:v>4.34590731492841E-2</c:v>
                </c:pt>
                <c:pt idx="128">
                  <c:v>4.4875630525846699E-2</c:v>
                </c:pt>
                <c:pt idx="129">
                  <c:v>4.6228097832228802E-2</c:v>
                </c:pt>
                <c:pt idx="130">
                  <c:v>4.1641488972096297E-2</c:v>
                </c:pt>
                <c:pt idx="131">
                  <c:v>4.8177979062693999E-2</c:v>
                </c:pt>
                <c:pt idx="132">
                  <c:v>4.2851804712961503E-2</c:v>
                </c:pt>
                <c:pt idx="133">
                  <c:v>4.9059848500521197E-2</c:v>
                </c:pt>
                <c:pt idx="134">
                  <c:v>4.6341835072754398E-2</c:v>
                </c:pt>
                <c:pt idx="135">
                  <c:v>4.6388164689219198E-2</c:v>
                </c:pt>
                <c:pt idx="136">
                  <c:v>4.6695457638879397E-2</c:v>
                </c:pt>
                <c:pt idx="137">
                  <c:v>4.8967661285293798E-2</c:v>
                </c:pt>
                <c:pt idx="138">
                  <c:v>4.5033292674570097E-2</c:v>
                </c:pt>
                <c:pt idx="139">
                  <c:v>4.5821403885578198E-2</c:v>
                </c:pt>
                <c:pt idx="140">
                  <c:v>5.0647935663588502E-2</c:v>
                </c:pt>
                <c:pt idx="141">
                  <c:v>5.6703017966395902E-2</c:v>
                </c:pt>
                <c:pt idx="142">
                  <c:v>5.1064878076396703E-2</c:v>
                </c:pt>
                <c:pt idx="143">
                  <c:v>5.1888923808848499E-2</c:v>
                </c:pt>
                <c:pt idx="144">
                  <c:v>5.2687074042412803E-2</c:v>
                </c:pt>
                <c:pt idx="145">
                  <c:v>5.7031076228400097E-2</c:v>
                </c:pt>
                <c:pt idx="146">
                  <c:v>6.1735771770670897E-2</c:v>
                </c:pt>
                <c:pt idx="147">
                  <c:v>5.3900349577421201E-2</c:v>
                </c:pt>
                <c:pt idx="148">
                  <c:v>5.6575613322713797E-2</c:v>
                </c:pt>
                <c:pt idx="149">
                  <c:v>5.5403708775639299E-2</c:v>
                </c:pt>
                <c:pt idx="150">
                  <c:v>5.78632513480523E-2</c:v>
                </c:pt>
                <c:pt idx="151">
                  <c:v>5.3812091381034197E-2</c:v>
                </c:pt>
                <c:pt idx="152">
                  <c:v>5.8232831243128301E-2</c:v>
                </c:pt>
                <c:pt idx="153">
                  <c:v>5.1825807577201899E-2</c:v>
                </c:pt>
                <c:pt idx="154">
                  <c:v>3.4665691849701502E-2</c:v>
                </c:pt>
                <c:pt idx="155">
                  <c:v>4.07504767326652E-2</c:v>
                </c:pt>
                <c:pt idx="156">
                  <c:v>3.4148413684032E-2</c:v>
                </c:pt>
                <c:pt idx="157">
                  <c:v>3.7077895134962402E-2</c:v>
                </c:pt>
                <c:pt idx="158">
                  <c:v>3.2512436084436297E-2</c:v>
                </c:pt>
                <c:pt idx="159">
                  <c:v>2.4337516546101199E-2</c:v>
                </c:pt>
                <c:pt idx="160">
                  <c:v>8.9674926754150005E-3</c:v>
                </c:pt>
                <c:pt idx="161">
                  <c:v>2.3777292459265598E-3</c:v>
                </c:pt>
                <c:pt idx="162">
                  <c:v>3.5302767248016598E-3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FC!$AM$1:$AM$2</c:f>
              <c:strCache>
                <c:ptCount val="1"/>
                <c:pt idx="0">
                  <c:v>Non-MI FNMA</c:v>
                </c:pt>
              </c:strCache>
            </c:strRef>
          </c:tx>
          <c:marker>
            <c:symbol val="none"/>
          </c:marker>
          <c:cat>
            <c:numRef>
              <c:f>FC!$AK$16:$AK$181</c:f>
              <c:numCache>
                <c:formatCode>m/d/yyyy</c:formatCode>
                <c:ptCount val="166"/>
                <c:pt idx="0">
                  <c:v>36951</c:v>
                </c:pt>
                <c:pt idx="1">
                  <c:v>36982</c:v>
                </c:pt>
                <c:pt idx="2">
                  <c:v>37012</c:v>
                </c:pt>
                <c:pt idx="3">
                  <c:v>37043</c:v>
                </c:pt>
                <c:pt idx="4">
                  <c:v>37073</c:v>
                </c:pt>
                <c:pt idx="5">
                  <c:v>37104</c:v>
                </c:pt>
                <c:pt idx="6">
                  <c:v>37135</c:v>
                </c:pt>
                <c:pt idx="7">
                  <c:v>37165</c:v>
                </c:pt>
                <c:pt idx="8">
                  <c:v>37196</c:v>
                </c:pt>
                <c:pt idx="9">
                  <c:v>37226</c:v>
                </c:pt>
                <c:pt idx="10">
                  <c:v>37257</c:v>
                </c:pt>
                <c:pt idx="11">
                  <c:v>37288</c:v>
                </c:pt>
                <c:pt idx="12">
                  <c:v>37316</c:v>
                </c:pt>
                <c:pt idx="13">
                  <c:v>37347</c:v>
                </c:pt>
                <c:pt idx="14">
                  <c:v>37377</c:v>
                </c:pt>
                <c:pt idx="15">
                  <c:v>37408</c:v>
                </c:pt>
                <c:pt idx="16">
                  <c:v>37438</c:v>
                </c:pt>
                <c:pt idx="17">
                  <c:v>37469</c:v>
                </c:pt>
                <c:pt idx="18">
                  <c:v>37500</c:v>
                </c:pt>
                <c:pt idx="19">
                  <c:v>37530</c:v>
                </c:pt>
                <c:pt idx="20">
                  <c:v>37561</c:v>
                </c:pt>
                <c:pt idx="21">
                  <c:v>37591</c:v>
                </c:pt>
                <c:pt idx="22">
                  <c:v>37622</c:v>
                </c:pt>
                <c:pt idx="23">
                  <c:v>37653</c:v>
                </c:pt>
                <c:pt idx="24">
                  <c:v>37681</c:v>
                </c:pt>
                <c:pt idx="25">
                  <c:v>37712</c:v>
                </c:pt>
                <c:pt idx="26">
                  <c:v>37742</c:v>
                </c:pt>
                <c:pt idx="27">
                  <c:v>37773</c:v>
                </c:pt>
                <c:pt idx="28">
                  <c:v>37803</c:v>
                </c:pt>
                <c:pt idx="29">
                  <c:v>37834</c:v>
                </c:pt>
                <c:pt idx="30">
                  <c:v>37865</c:v>
                </c:pt>
                <c:pt idx="31">
                  <c:v>37895</c:v>
                </c:pt>
                <c:pt idx="32">
                  <c:v>37926</c:v>
                </c:pt>
                <c:pt idx="33">
                  <c:v>37956</c:v>
                </c:pt>
                <c:pt idx="34">
                  <c:v>37987</c:v>
                </c:pt>
                <c:pt idx="35">
                  <c:v>38018</c:v>
                </c:pt>
                <c:pt idx="36">
                  <c:v>38047</c:v>
                </c:pt>
                <c:pt idx="37">
                  <c:v>38078</c:v>
                </c:pt>
                <c:pt idx="38">
                  <c:v>38108</c:v>
                </c:pt>
                <c:pt idx="39">
                  <c:v>38139</c:v>
                </c:pt>
                <c:pt idx="40">
                  <c:v>38169</c:v>
                </c:pt>
                <c:pt idx="41">
                  <c:v>38200</c:v>
                </c:pt>
                <c:pt idx="42">
                  <c:v>38231</c:v>
                </c:pt>
                <c:pt idx="43">
                  <c:v>38261</c:v>
                </c:pt>
                <c:pt idx="44">
                  <c:v>38292</c:v>
                </c:pt>
                <c:pt idx="45">
                  <c:v>38322</c:v>
                </c:pt>
                <c:pt idx="46">
                  <c:v>38353</c:v>
                </c:pt>
                <c:pt idx="47">
                  <c:v>38384</c:v>
                </c:pt>
                <c:pt idx="48">
                  <c:v>38412</c:v>
                </c:pt>
                <c:pt idx="49">
                  <c:v>38443</c:v>
                </c:pt>
                <c:pt idx="50">
                  <c:v>38473</c:v>
                </c:pt>
                <c:pt idx="51">
                  <c:v>38504</c:v>
                </c:pt>
                <c:pt idx="52">
                  <c:v>38534</c:v>
                </c:pt>
                <c:pt idx="53">
                  <c:v>38565</c:v>
                </c:pt>
                <c:pt idx="54">
                  <c:v>38596</c:v>
                </c:pt>
                <c:pt idx="55">
                  <c:v>38626</c:v>
                </c:pt>
                <c:pt idx="56">
                  <c:v>38657</c:v>
                </c:pt>
                <c:pt idx="57">
                  <c:v>38687</c:v>
                </c:pt>
                <c:pt idx="58">
                  <c:v>38718</c:v>
                </c:pt>
                <c:pt idx="59">
                  <c:v>38749</c:v>
                </c:pt>
                <c:pt idx="60">
                  <c:v>38777</c:v>
                </c:pt>
                <c:pt idx="61">
                  <c:v>38808</c:v>
                </c:pt>
                <c:pt idx="62">
                  <c:v>38838</c:v>
                </c:pt>
                <c:pt idx="63">
                  <c:v>38869</c:v>
                </c:pt>
                <c:pt idx="64">
                  <c:v>38899</c:v>
                </c:pt>
                <c:pt idx="65">
                  <c:v>38930</c:v>
                </c:pt>
                <c:pt idx="66">
                  <c:v>38961</c:v>
                </c:pt>
                <c:pt idx="67">
                  <c:v>38991</c:v>
                </c:pt>
                <c:pt idx="68">
                  <c:v>39022</c:v>
                </c:pt>
                <c:pt idx="69">
                  <c:v>39052</c:v>
                </c:pt>
                <c:pt idx="70">
                  <c:v>39083</c:v>
                </c:pt>
                <c:pt idx="71">
                  <c:v>39114</c:v>
                </c:pt>
                <c:pt idx="72">
                  <c:v>39142</c:v>
                </c:pt>
                <c:pt idx="73">
                  <c:v>39173</c:v>
                </c:pt>
                <c:pt idx="74">
                  <c:v>39203</c:v>
                </c:pt>
                <c:pt idx="75">
                  <c:v>39234</c:v>
                </c:pt>
                <c:pt idx="76">
                  <c:v>39264</c:v>
                </c:pt>
                <c:pt idx="77">
                  <c:v>39295</c:v>
                </c:pt>
                <c:pt idx="78">
                  <c:v>39326</c:v>
                </c:pt>
                <c:pt idx="79">
                  <c:v>39356</c:v>
                </c:pt>
                <c:pt idx="80">
                  <c:v>39387</c:v>
                </c:pt>
                <c:pt idx="81">
                  <c:v>39417</c:v>
                </c:pt>
                <c:pt idx="82">
                  <c:v>39448</c:v>
                </c:pt>
                <c:pt idx="83">
                  <c:v>39479</c:v>
                </c:pt>
                <c:pt idx="84">
                  <c:v>39508</c:v>
                </c:pt>
                <c:pt idx="85">
                  <c:v>39539</c:v>
                </c:pt>
                <c:pt idx="86">
                  <c:v>39569</c:v>
                </c:pt>
                <c:pt idx="87">
                  <c:v>39600</c:v>
                </c:pt>
                <c:pt idx="88">
                  <c:v>39630</c:v>
                </c:pt>
                <c:pt idx="89">
                  <c:v>39661</c:v>
                </c:pt>
                <c:pt idx="90">
                  <c:v>39692</c:v>
                </c:pt>
                <c:pt idx="91">
                  <c:v>39722</c:v>
                </c:pt>
                <c:pt idx="92">
                  <c:v>39753</c:v>
                </c:pt>
                <c:pt idx="93">
                  <c:v>39783</c:v>
                </c:pt>
                <c:pt idx="94">
                  <c:v>39814</c:v>
                </c:pt>
                <c:pt idx="95">
                  <c:v>39845</c:v>
                </c:pt>
                <c:pt idx="96">
                  <c:v>39873</c:v>
                </c:pt>
                <c:pt idx="97">
                  <c:v>39904</c:v>
                </c:pt>
                <c:pt idx="98">
                  <c:v>39934</c:v>
                </c:pt>
                <c:pt idx="99">
                  <c:v>39965</c:v>
                </c:pt>
                <c:pt idx="100">
                  <c:v>39995</c:v>
                </c:pt>
                <c:pt idx="101">
                  <c:v>40026</c:v>
                </c:pt>
                <c:pt idx="102">
                  <c:v>40057</c:v>
                </c:pt>
                <c:pt idx="103">
                  <c:v>40087</c:v>
                </c:pt>
                <c:pt idx="104">
                  <c:v>40118</c:v>
                </c:pt>
                <c:pt idx="105">
                  <c:v>40148</c:v>
                </c:pt>
                <c:pt idx="106">
                  <c:v>40179</c:v>
                </c:pt>
                <c:pt idx="107">
                  <c:v>40210</c:v>
                </c:pt>
                <c:pt idx="108">
                  <c:v>40238</c:v>
                </c:pt>
                <c:pt idx="109">
                  <c:v>40269</c:v>
                </c:pt>
                <c:pt idx="110">
                  <c:v>40299</c:v>
                </c:pt>
                <c:pt idx="111">
                  <c:v>40330</c:v>
                </c:pt>
                <c:pt idx="112">
                  <c:v>40360</c:v>
                </c:pt>
                <c:pt idx="113">
                  <c:v>40391</c:v>
                </c:pt>
                <c:pt idx="114">
                  <c:v>40422</c:v>
                </c:pt>
                <c:pt idx="115">
                  <c:v>40452</c:v>
                </c:pt>
                <c:pt idx="116">
                  <c:v>40483</c:v>
                </c:pt>
                <c:pt idx="117">
                  <c:v>40513</c:v>
                </c:pt>
                <c:pt idx="118">
                  <c:v>40544</c:v>
                </c:pt>
                <c:pt idx="119">
                  <c:v>40575</c:v>
                </c:pt>
                <c:pt idx="120">
                  <c:v>40603</c:v>
                </c:pt>
                <c:pt idx="121">
                  <c:v>40634</c:v>
                </c:pt>
                <c:pt idx="122">
                  <c:v>40664</c:v>
                </c:pt>
                <c:pt idx="123">
                  <c:v>40695</c:v>
                </c:pt>
                <c:pt idx="124">
                  <c:v>40725</c:v>
                </c:pt>
                <c:pt idx="125">
                  <c:v>40756</c:v>
                </c:pt>
                <c:pt idx="126">
                  <c:v>40787</c:v>
                </c:pt>
                <c:pt idx="127">
                  <c:v>40817</c:v>
                </c:pt>
                <c:pt idx="128">
                  <c:v>40848</c:v>
                </c:pt>
                <c:pt idx="129">
                  <c:v>40878</c:v>
                </c:pt>
                <c:pt idx="130">
                  <c:v>40909</c:v>
                </c:pt>
                <c:pt idx="131">
                  <c:v>40940</c:v>
                </c:pt>
                <c:pt idx="132">
                  <c:v>40969</c:v>
                </c:pt>
                <c:pt idx="133">
                  <c:v>41000</c:v>
                </c:pt>
                <c:pt idx="134">
                  <c:v>41030</c:v>
                </c:pt>
                <c:pt idx="135">
                  <c:v>41061</c:v>
                </c:pt>
                <c:pt idx="136">
                  <c:v>41091</c:v>
                </c:pt>
                <c:pt idx="137">
                  <c:v>41122</c:v>
                </c:pt>
                <c:pt idx="138">
                  <c:v>41153</c:v>
                </c:pt>
                <c:pt idx="139">
                  <c:v>41183</c:v>
                </c:pt>
                <c:pt idx="140">
                  <c:v>41214</c:v>
                </c:pt>
                <c:pt idx="141">
                  <c:v>41244</c:v>
                </c:pt>
                <c:pt idx="142">
                  <c:v>41275</c:v>
                </c:pt>
                <c:pt idx="143">
                  <c:v>41306</c:v>
                </c:pt>
                <c:pt idx="144">
                  <c:v>41334</c:v>
                </c:pt>
                <c:pt idx="145">
                  <c:v>41365</c:v>
                </c:pt>
                <c:pt idx="146">
                  <c:v>41395</c:v>
                </c:pt>
                <c:pt idx="147">
                  <c:v>41426</c:v>
                </c:pt>
                <c:pt idx="148">
                  <c:v>41456</c:v>
                </c:pt>
                <c:pt idx="149">
                  <c:v>41487</c:v>
                </c:pt>
                <c:pt idx="150">
                  <c:v>41518</c:v>
                </c:pt>
                <c:pt idx="151">
                  <c:v>41548</c:v>
                </c:pt>
                <c:pt idx="152">
                  <c:v>41579</c:v>
                </c:pt>
                <c:pt idx="153">
                  <c:v>41609</c:v>
                </c:pt>
                <c:pt idx="154">
                  <c:v>41640</c:v>
                </c:pt>
                <c:pt idx="155">
                  <c:v>41671</c:v>
                </c:pt>
                <c:pt idx="156">
                  <c:v>41699</c:v>
                </c:pt>
                <c:pt idx="157">
                  <c:v>41730</c:v>
                </c:pt>
                <c:pt idx="158">
                  <c:v>41760</c:v>
                </c:pt>
                <c:pt idx="159">
                  <c:v>41791</c:v>
                </c:pt>
                <c:pt idx="160">
                  <c:v>41821</c:v>
                </c:pt>
                <c:pt idx="161">
                  <c:v>41852</c:v>
                </c:pt>
                <c:pt idx="162">
                  <c:v>41883</c:v>
                </c:pt>
              </c:numCache>
            </c:numRef>
          </c:cat>
          <c:val>
            <c:numRef>
              <c:f>FC!$AM$16:$AM$181</c:f>
              <c:numCache>
                <c:formatCode>0%</c:formatCode>
                <c:ptCount val="166"/>
                <c:pt idx="0">
                  <c:v>1.8070476386755801E-3</c:v>
                </c:pt>
                <c:pt idx="1">
                  <c:v>1.63110351108961E-4</c:v>
                </c:pt>
                <c:pt idx="2">
                  <c:v>9.7677659912474291E-3</c:v>
                </c:pt>
                <c:pt idx="3">
                  <c:v>0.134188843779979</c:v>
                </c:pt>
                <c:pt idx="4">
                  <c:v>9.3623735647431483E-3</c:v>
                </c:pt>
                <c:pt idx="5">
                  <c:v>1.6845402003028642E-2</c:v>
                </c:pt>
                <c:pt idx="6">
                  <c:v>3.0264252494479902E-3</c:v>
                </c:pt>
                <c:pt idx="7">
                  <c:v>9.7827608343265288E-2</c:v>
                </c:pt>
                <c:pt idx="8">
                  <c:v>1.5886642551019691E-2</c:v>
                </c:pt>
                <c:pt idx="9">
                  <c:v>1.0203377461440901E-2</c:v>
                </c:pt>
                <c:pt idx="10">
                  <c:v>3.6903681528289302E-2</c:v>
                </c:pt>
                <c:pt idx="11">
                  <c:v>8.5663665326283697E-4</c:v>
                </c:pt>
                <c:pt idx="12">
                  <c:v>6.024206677973893E-3</c:v>
                </c:pt>
                <c:pt idx="13">
                  <c:v>0.1064488864329617</c:v>
                </c:pt>
                <c:pt idx="14">
                  <c:v>2.2415534908323299E-3</c:v>
                </c:pt>
                <c:pt idx="15">
                  <c:v>2.8313853626518999E-3</c:v>
                </c:pt>
                <c:pt idx="16">
                  <c:v>2.6870120183767641E-2</c:v>
                </c:pt>
                <c:pt idx="17">
                  <c:v>1.5698797797256591E-2</c:v>
                </c:pt>
                <c:pt idx="18">
                  <c:v>6.1055828653782795E-3</c:v>
                </c:pt>
                <c:pt idx="19">
                  <c:v>1.489374782607928E-2</c:v>
                </c:pt>
                <c:pt idx="20">
                  <c:v>2.9882570794571701E-2</c:v>
                </c:pt>
                <c:pt idx="21">
                  <c:v>1.2160913601553219E-2</c:v>
                </c:pt>
                <c:pt idx="22">
                  <c:v>1.6475156745834749E-2</c:v>
                </c:pt>
                <c:pt idx="23">
                  <c:v>2.9556459239458203E-2</c:v>
                </c:pt>
                <c:pt idx="24">
                  <c:v>2.5121967395817867E-2</c:v>
                </c:pt>
                <c:pt idx="25">
                  <c:v>1.8082840589147411E-2</c:v>
                </c:pt>
                <c:pt idx="26">
                  <c:v>1.8516223303461834E-2</c:v>
                </c:pt>
                <c:pt idx="27">
                  <c:v>2.055966454118718E-2</c:v>
                </c:pt>
                <c:pt idx="28">
                  <c:v>2.4355732956314407E-3</c:v>
                </c:pt>
                <c:pt idx="29">
                  <c:v>0.12263273621885026</c:v>
                </c:pt>
                <c:pt idx="30">
                  <c:v>4.9310921252263759E-2</c:v>
                </c:pt>
                <c:pt idx="31">
                  <c:v>4.4873855011894601E-2</c:v>
                </c:pt>
                <c:pt idx="32">
                  <c:v>0.16033647647948301</c:v>
                </c:pt>
                <c:pt idx="33">
                  <c:v>2.5151413214217558E-2</c:v>
                </c:pt>
                <c:pt idx="34">
                  <c:v>2.1831619234854771E-2</c:v>
                </c:pt>
                <c:pt idx="35">
                  <c:v>2.2132224730880022E-2</c:v>
                </c:pt>
                <c:pt idx="36">
                  <c:v>0.10316663168915514</c:v>
                </c:pt>
                <c:pt idx="37">
                  <c:v>1.7284055883504641E-2</c:v>
                </c:pt>
                <c:pt idx="38">
                  <c:v>6.8729244419576101E-3</c:v>
                </c:pt>
                <c:pt idx="39">
                  <c:v>3.5333031632956799E-2</c:v>
                </c:pt>
                <c:pt idx="40">
                  <c:v>4.3012790675909206E-3</c:v>
                </c:pt>
                <c:pt idx="41">
                  <c:v>2.1697728622099618E-2</c:v>
                </c:pt>
                <c:pt idx="42">
                  <c:v>1.84607457149408E-3</c:v>
                </c:pt>
                <c:pt idx="43">
                  <c:v>2.5663554755890102E-3</c:v>
                </c:pt>
                <c:pt idx="44">
                  <c:v>7.7930558670906494E-3</c:v>
                </c:pt>
                <c:pt idx="45">
                  <c:v>2.4915426818205879E-2</c:v>
                </c:pt>
                <c:pt idx="46">
                  <c:v>6.1828131610391392E-3</c:v>
                </c:pt>
                <c:pt idx="47">
                  <c:v>1.931639722294104E-2</c:v>
                </c:pt>
                <c:pt idx="48">
                  <c:v>1.1639261420439881E-2</c:v>
                </c:pt>
                <c:pt idx="49">
                  <c:v>1.0959383106304331E-2</c:v>
                </c:pt>
                <c:pt idx="50">
                  <c:v>1.97759769303382E-2</c:v>
                </c:pt>
                <c:pt idx="51">
                  <c:v>1.375655560465323E-2</c:v>
                </c:pt>
                <c:pt idx="52">
                  <c:v>9.2173821001184097E-3</c:v>
                </c:pt>
                <c:pt idx="53">
                  <c:v>3.1571185891221709E-2</c:v>
                </c:pt>
                <c:pt idx="54">
                  <c:v>3.5553025455829307E-2</c:v>
                </c:pt>
                <c:pt idx="55">
                  <c:v>1.019520127555173E-2</c:v>
                </c:pt>
                <c:pt idx="56">
                  <c:v>1.0387150122808379E-2</c:v>
                </c:pt>
                <c:pt idx="57">
                  <c:v>3.7510339593741449E-2</c:v>
                </c:pt>
                <c:pt idx="58">
                  <c:v>9.3519465472641453E-3</c:v>
                </c:pt>
                <c:pt idx="59">
                  <c:v>2.522228408473148E-2</c:v>
                </c:pt>
                <c:pt idx="60">
                  <c:v>2.2289037843182501E-2</c:v>
                </c:pt>
                <c:pt idx="61">
                  <c:v>1.165841498848498E-2</c:v>
                </c:pt>
                <c:pt idx="62">
                  <c:v>2.63302276562868E-2</c:v>
                </c:pt>
                <c:pt idx="63">
                  <c:v>8.6417543842793702E-3</c:v>
                </c:pt>
                <c:pt idx="64">
                  <c:v>4.3451183229936699E-2</c:v>
                </c:pt>
                <c:pt idx="65">
                  <c:v>2.6737065034755789E-2</c:v>
                </c:pt>
                <c:pt idx="66">
                  <c:v>2.3950896759056584E-2</c:v>
                </c:pt>
                <c:pt idx="67">
                  <c:v>2.3954713514916008E-2</c:v>
                </c:pt>
                <c:pt idx="68">
                  <c:v>1.0621083303122274E-2</c:v>
                </c:pt>
                <c:pt idx="69">
                  <c:v>3.8974074816409174E-2</c:v>
                </c:pt>
                <c:pt idx="70">
                  <c:v>1.5016024075903779E-2</c:v>
                </c:pt>
                <c:pt idx="71">
                  <c:v>1.170627783278857E-2</c:v>
                </c:pt>
                <c:pt idx="72">
                  <c:v>5.9132231788766631E-3</c:v>
                </c:pt>
                <c:pt idx="73">
                  <c:v>2.0697322479414922E-2</c:v>
                </c:pt>
                <c:pt idx="74">
                  <c:v>3.8873950226080201E-2</c:v>
                </c:pt>
                <c:pt idx="75">
                  <c:v>3.4270939503012798E-2</c:v>
                </c:pt>
                <c:pt idx="76">
                  <c:v>2.034098480104592E-2</c:v>
                </c:pt>
                <c:pt idx="77">
                  <c:v>9.1203773526613297E-3</c:v>
                </c:pt>
                <c:pt idx="78">
                  <c:v>8.9113833530676777E-3</c:v>
                </c:pt>
                <c:pt idx="79">
                  <c:v>1.5014110087225781E-2</c:v>
                </c:pt>
                <c:pt idx="80">
                  <c:v>3.2077149689849149E-2</c:v>
                </c:pt>
                <c:pt idx="81">
                  <c:v>4.2902829335301103E-3</c:v>
                </c:pt>
                <c:pt idx="82">
                  <c:v>4.8178502455569101E-3</c:v>
                </c:pt>
                <c:pt idx="83">
                  <c:v>2.5650341775403499E-3</c:v>
                </c:pt>
                <c:pt idx="84">
                  <c:v>2.8899012504772059E-2</c:v>
                </c:pt>
                <c:pt idx="85">
                  <c:v>1.03287726985487E-2</c:v>
                </c:pt>
                <c:pt idx="86">
                  <c:v>1.492751206654843E-2</c:v>
                </c:pt>
                <c:pt idx="87">
                  <c:v>1.5485083006323661E-2</c:v>
                </c:pt>
                <c:pt idx="88">
                  <c:v>8.5020571801467798E-3</c:v>
                </c:pt>
                <c:pt idx="89">
                  <c:v>2.2659622811035712E-2</c:v>
                </c:pt>
                <c:pt idx="90">
                  <c:v>2.187896999682367E-2</c:v>
                </c:pt>
                <c:pt idx="91">
                  <c:v>2.213290642515708E-2</c:v>
                </c:pt>
                <c:pt idx="92">
                  <c:v>2.1177662150617199E-2</c:v>
                </c:pt>
                <c:pt idx="93">
                  <c:v>2.8212617684587181E-2</c:v>
                </c:pt>
                <c:pt idx="94">
                  <c:v>1.9962088653347143E-2</c:v>
                </c:pt>
                <c:pt idx="95">
                  <c:v>4.3005265513766829E-2</c:v>
                </c:pt>
                <c:pt idx="96">
                  <c:v>4.6239003620160715E-2</c:v>
                </c:pt>
                <c:pt idx="97">
                  <c:v>4.1618295662686149E-2</c:v>
                </c:pt>
                <c:pt idx="98">
                  <c:v>6.1165963541157199E-2</c:v>
                </c:pt>
                <c:pt idx="99">
                  <c:v>4.8062145496897982E-2</c:v>
                </c:pt>
                <c:pt idx="100">
                  <c:v>5.4470119659185273E-2</c:v>
                </c:pt>
                <c:pt idx="101">
                  <c:v>5.4965879376377119E-2</c:v>
                </c:pt>
                <c:pt idx="102">
                  <c:v>5.3504548084446019E-2</c:v>
                </c:pt>
                <c:pt idx="103">
                  <c:v>5.2820744298245091E-2</c:v>
                </c:pt>
                <c:pt idx="104">
                  <c:v>7.1195447595647485E-2</c:v>
                </c:pt>
                <c:pt idx="105">
                  <c:v>5.5478044957546227E-2</c:v>
                </c:pt>
                <c:pt idx="106">
                  <c:v>5.9268688186973818E-2</c:v>
                </c:pt>
                <c:pt idx="107">
                  <c:v>5.8118132270815324E-2</c:v>
                </c:pt>
                <c:pt idx="108">
                  <c:v>6.237203406924223E-2</c:v>
                </c:pt>
                <c:pt idx="109">
                  <c:v>6.9828042022304554E-2</c:v>
                </c:pt>
                <c:pt idx="110">
                  <c:v>5.8981418500815161E-2</c:v>
                </c:pt>
                <c:pt idx="111">
                  <c:v>5.4910671883850869E-2</c:v>
                </c:pt>
                <c:pt idx="112">
                  <c:v>5.9353555148634073E-2</c:v>
                </c:pt>
                <c:pt idx="113">
                  <c:v>5.575259423433556E-2</c:v>
                </c:pt>
                <c:pt idx="114">
                  <c:v>5.272952370606148E-2</c:v>
                </c:pt>
                <c:pt idx="115">
                  <c:v>5.537085999044896E-2</c:v>
                </c:pt>
                <c:pt idx="116">
                  <c:v>5.1395672351221569E-2</c:v>
                </c:pt>
                <c:pt idx="117">
                  <c:v>4.8044909398790282E-2</c:v>
                </c:pt>
                <c:pt idx="118">
                  <c:v>5.0438412826587738E-2</c:v>
                </c:pt>
                <c:pt idx="119">
                  <c:v>4.4942871252044089E-2</c:v>
                </c:pt>
                <c:pt idx="120">
                  <c:v>4.8060956484087619E-2</c:v>
                </c:pt>
                <c:pt idx="121">
                  <c:v>5.291975127467545E-2</c:v>
                </c:pt>
                <c:pt idx="122">
                  <c:v>5.8871570049833712E-2</c:v>
                </c:pt>
                <c:pt idx="123">
                  <c:v>6.2334235563233698E-2</c:v>
                </c:pt>
                <c:pt idx="124">
                  <c:v>5.5966404712393308E-2</c:v>
                </c:pt>
                <c:pt idx="125">
                  <c:v>6.1151138768041409E-2</c:v>
                </c:pt>
                <c:pt idx="126">
                  <c:v>5.7383642095857459E-2</c:v>
                </c:pt>
                <c:pt idx="127">
                  <c:v>4.7382842439622222E-2</c:v>
                </c:pt>
                <c:pt idx="128">
                  <c:v>4.957697306312029E-2</c:v>
                </c:pt>
                <c:pt idx="129">
                  <c:v>4.358922027808617E-2</c:v>
                </c:pt>
                <c:pt idx="130">
                  <c:v>3.9959757545070973E-2</c:v>
                </c:pt>
                <c:pt idx="131">
                  <c:v>3.4436688436762071E-2</c:v>
                </c:pt>
                <c:pt idx="132">
                  <c:v>4.0282110328028316E-2</c:v>
                </c:pt>
                <c:pt idx="133">
                  <c:v>3.4007944383576981E-2</c:v>
                </c:pt>
                <c:pt idx="134">
                  <c:v>2.9300933164624073E-2</c:v>
                </c:pt>
                <c:pt idx="135">
                  <c:v>3.2600080637217151E-2</c:v>
                </c:pt>
                <c:pt idx="136">
                  <c:v>2.6249986921106493E-2</c:v>
                </c:pt>
                <c:pt idx="137">
                  <c:v>2.6955697505405388E-2</c:v>
                </c:pt>
                <c:pt idx="138">
                  <c:v>2.301507079005204E-2</c:v>
                </c:pt>
                <c:pt idx="139">
                  <c:v>2.2790897335233491E-2</c:v>
                </c:pt>
                <c:pt idx="140">
                  <c:v>1.8401624797356061E-2</c:v>
                </c:pt>
                <c:pt idx="141">
                  <c:v>1.5285222437172959E-2</c:v>
                </c:pt>
                <c:pt idx="142">
                  <c:v>2.0720494668808299E-2</c:v>
                </c:pt>
                <c:pt idx="143">
                  <c:v>1.7901170350591019E-2</c:v>
                </c:pt>
                <c:pt idx="144">
                  <c:v>2.00543478910786E-2</c:v>
                </c:pt>
                <c:pt idx="145">
                  <c:v>1.5107609395216021E-2</c:v>
                </c:pt>
                <c:pt idx="146">
                  <c:v>9.1097574445785506E-3</c:v>
                </c:pt>
                <c:pt idx="147">
                  <c:v>1.185144023282381E-2</c:v>
                </c:pt>
                <c:pt idx="148">
                  <c:v>1.163800546010864E-2</c:v>
                </c:pt>
                <c:pt idx="149">
                  <c:v>1.0993275649783909E-2</c:v>
                </c:pt>
                <c:pt idx="150">
                  <c:v>9.6576545511454989E-3</c:v>
                </c:pt>
                <c:pt idx="151">
                  <c:v>8.4012890487300314E-3</c:v>
                </c:pt>
                <c:pt idx="152">
                  <c:v>1.2243390613209879E-2</c:v>
                </c:pt>
                <c:pt idx="153">
                  <c:v>9.7835526245734893E-3</c:v>
                </c:pt>
                <c:pt idx="154">
                  <c:v>1.038359978614794E-2</c:v>
                </c:pt>
                <c:pt idx="155">
                  <c:v>1.103938147285927E-2</c:v>
                </c:pt>
                <c:pt idx="156">
                  <c:v>1.233050767171914E-2</c:v>
                </c:pt>
                <c:pt idx="157">
                  <c:v>9.2588334382900095E-3</c:v>
                </c:pt>
                <c:pt idx="158">
                  <c:v>9.0293261781649193E-3</c:v>
                </c:pt>
                <c:pt idx="159">
                  <c:v>1.3571762262380389E-2</c:v>
                </c:pt>
                <c:pt idx="160">
                  <c:v>1.1851702073129746E-2</c:v>
                </c:pt>
                <c:pt idx="161">
                  <c:v>1.14849430650815E-2</c:v>
                </c:pt>
                <c:pt idx="162">
                  <c:v>1.1111103188485599E-2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43078144"/>
        <c:axId val="443491840"/>
      </c:lineChart>
      <c:dateAx>
        <c:axId val="443078144"/>
        <c:scaling>
          <c:orientation val="minMax"/>
        </c:scaling>
        <c:delete val="0"/>
        <c:axPos val="b"/>
        <c:numFmt formatCode="m/d/yyyy" sourceLinked="1"/>
        <c:majorTickMark val="out"/>
        <c:minorTickMark val="none"/>
        <c:tickLblPos val="nextTo"/>
        <c:crossAx val="443491840"/>
        <c:crosses val="autoZero"/>
        <c:auto val="1"/>
        <c:lblOffset val="100"/>
        <c:baseTimeUnit val="months"/>
      </c:dateAx>
      <c:valAx>
        <c:axId val="443491840"/>
        <c:scaling>
          <c:orientation val="minMax"/>
        </c:scaling>
        <c:delete val="0"/>
        <c:axPos val="l"/>
        <c:majorGridlines/>
        <c:numFmt formatCode="0%" sourceLinked="1"/>
        <c:majorTickMark val="out"/>
        <c:minorTickMark val="none"/>
        <c:tickLblPos val="nextTo"/>
        <c:crossAx val="443078144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FC!$AP$1:$AP$2</c:f>
              <c:strCache>
                <c:ptCount val="1"/>
                <c:pt idx="0">
                  <c:v>Total FHL</c:v>
                </c:pt>
              </c:strCache>
            </c:strRef>
          </c:tx>
          <c:marker>
            <c:symbol val="none"/>
          </c:marker>
          <c:cat>
            <c:numRef>
              <c:f>FC!$AO$14:$AO$181</c:f>
              <c:numCache>
                <c:formatCode>m/d/yyyy</c:formatCode>
                <c:ptCount val="168"/>
                <c:pt idx="0">
                  <c:v>36892</c:v>
                </c:pt>
                <c:pt idx="1">
                  <c:v>36923</c:v>
                </c:pt>
                <c:pt idx="2">
                  <c:v>36951</c:v>
                </c:pt>
                <c:pt idx="3">
                  <c:v>36982</c:v>
                </c:pt>
                <c:pt idx="4">
                  <c:v>37012</c:v>
                </c:pt>
                <c:pt idx="5">
                  <c:v>37043</c:v>
                </c:pt>
                <c:pt idx="6">
                  <c:v>37073</c:v>
                </c:pt>
                <c:pt idx="7">
                  <c:v>37104</c:v>
                </c:pt>
                <c:pt idx="8">
                  <c:v>37135</c:v>
                </c:pt>
                <c:pt idx="9">
                  <c:v>37165</c:v>
                </c:pt>
                <c:pt idx="10">
                  <c:v>37196</c:v>
                </c:pt>
                <c:pt idx="11">
                  <c:v>37226</c:v>
                </c:pt>
                <c:pt idx="12">
                  <c:v>37257</c:v>
                </c:pt>
                <c:pt idx="13">
                  <c:v>37288</c:v>
                </c:pt>
                <c:pt idx="14">
                  <c:v>37316</c:v>
                </c:pt>
                <c:pt idx="15">
                  <c:v>37347</c:v>
                </c:pt>
                <c:pt idx="16">
                  <c:v>37377</c:v>
                </c:pt>
                <c:pt idx="17">
                  <c:v>37408</c:v>
                </c:pt>
                <c:pt idx="18">
                  <c:v>37438</c:v>
                </c:pt>
                <c:pt idx="19">
                  <c:v>37469</c:v>
                </c:pt>
                <c:pt idx="20">
                  <c:v>37500</c:v>
                </c:pt>
                <c:pt idx="21">
                  <c:v>37530</c:v>
                </c:pt>
                <c:pt idx="22">
                  <c:v>37561</c:v>
                </c:pt>
                <c:pt idx="23">
                  <c:v>37591</c:v>
                </c:pt>
                <c:pt idx="24">
                  <c:v>37622</c:v>
                </c:pt>
                <c:pt idx="25">
                  <c:v>37653</c:v>
                </c:pt>
                <c:pt idx="26">
                  <c:v>37681</c:v>
                </c:pt>
                <c:pt idx="27">
                  <c:v>37712</c:v>
                </c:pt>
                <c:pt idx="28">
                  <c:v>37742</c:v>
                </c:pt>
                <c:pt idx="29">
                  <c:v>37773</c:v>
                </c:pt>
                <c:pt idx="30">
                  <c:v>37803</c:v>
                </c:pt>
                <c:pt idx="31">
                  <c:v>37834</c:v>
                </c:pt>
                <c:pt idx="32">
                  <c:v>37865</c:v>
                </c:pt>
                <c:pt idx="33">
                  <c:v>37895</c:v>
                </c:pt>
                <c:pt idx="34">
                  <c:v>37926</c:v>
                </c:pt>
                <c:pt idx="35">
                  <c:v>37956</c:v>
                </c:pt>
                <c:pt idx="36">
                  <c:v>37987</c:v>
                </c:pt>
                <c:pt idx="37">
                  <c:v>38018</c:v>
                </c:pt>
                <c:pt idx="38">
                  <c:v>38047</c:v>
                </c:pt>
                <c:pt idx="39">
                  <c:v>38078</c:v>
                </c:pt>
                <c:pt idx="40">
                  <c:v>38108</c:v>
                </c:pt>
                <c:pt idx="41">
                  <c:v>38139</c:v>
                </c:pt>
                <c:pt idx="42">
                  <c:v>38169</c:v>
                </c:pt>
                <c:pt idx="43">
                  <c:v>38200</c:v>
                </c:pt>
                <c:pt idx="44">
                  <c:v>38231</c:v>
                </c:pt>
                <c:pt idx="45">
                  <c:v>38261</c:v>
                </c:pt>
                <c:pt idx="46">
                  <c:v>38292</c:v>
                </c:pt>
                <c:pt idx="47">
                  <c:v>38322</c:v>
                </c:pt>
                <c:pt idx="48">
                  <c:v>38353</c:v>
                </c:pt>
                <c:pt idx="49">
                  <c:v>38384</c:v>
                </c:pt>
                <c:pt idx="50">
                  <c:v>38412</c:v>
                </c:pt>
                <c:pt idx="51">
                  <c:v>38443</c:v>
                </c:pt>
                <c:pt idx="52">
                  <c:v>38473</c:v>
                </c:pt>
                <c:pt idx="53">
                  <c:v>38504</c:v>
                </c:pt>
                <c:pt idx="54">
                  <c:v>38534</c:v>
                </c:pt>
                <c:pt idx="55">
                  <c:v>38565</c:v>
                </c:pt>
                <c:pt idx="56">
                  <c:v>38596</c:v>
                </c:pt>
                <c:pt idx="57">
                  <c:v>38626</c:v>
                </c:pt>
                <c:pt idx="58">
                  <c:v>38657</c:v>
                </c:pt>
                <c:pt idx="59">
                  <c:v>38687</c:v>
                </c:pt>
                <c:pt idx="60">
                  <c:v>38718</c:v>
                </c:pt>
                <c:pt idx="61">
                  <c:v>38749</c:v>
                </c:pt>
                <c:pt idx="62">
                  <c:v>38777</c:v>
                </c:pt>
                <c:pt idx="63">
                  <c:v>38808</c:v>
                </c:pt>
                <c:pt idx="64">
                  <c:v>38838</c:v>
                </c:pt>
                <c:pt idx="65">
                  <c:v>38869</c:v>
                </c:pt>
                <c:pt idx="66">
                  <c:v>38899</c:v>
                </c:pt>
                <c:pt idx="67">
                  <c:v>38930</c:v>
                </c:pt>
                <c:pt idx="68">
                  <c:v>38961</c:v>
                </c:pt>
                <c:pt idx="69">
                  <c:v>38991</c:v>
                </c:pt>
                <c:pt idx="70">
                  <c:v>39022</c:v>
                </c:pt>
                <c:pt idx="71">
                  <c:v>39052</c:v>
                </c:pt>
                <c:pt idx="72">
                  <c:v>39083</c:v>
                </c:pt>
                <c:pt idx="73">
                  <c:v>39114</c:v>
                </c:pt>
                <c:pt idx="74">
                  <c:v>39142</c:v>
                </c:pt>
                <c:pt idx="75">
                  <c:v>39173</c:v>
                </c:pt>
                <c:pt idx="76">
                  <c:v>39203</c:v>
                </c:pt>
                <c:pt idx="77">
                  <c:v>39234</c:v>
                </c:pt>
                <c:pt idx="78">
                  <c:v>39264</c:v>
                </c:pt>
                <c:pt idx="79">
                  <c:v>39295</c:v>
                </c:pt>
                <c:pt idx="80">
                  <c:v>39326</c:v>
                </c:pt>
                <c:pt idx="81">
                  <c:v>39356</c:v>
                </c:pt>
                <c:pt idx="82">
                  <c:v>39387</c:v>
                </c:pt>
                <c:pt idx="83">
                  <c:v>39417</c:v>
                </c:pt>
                <c:pt idx="84">
                  <c:v>39448</c:v>
                </c:pt>
                <c:pt idx="85">
                  <c:v>39479</c:v>
                </c:pt>
                <c:pt idx="86">
                  <c:v>39508</c:v>
                </c:pt>
                <c:pt idx="87">
                  <c:v>39539</c:v>
                </c:pt>
                <c:pt idx="88">
                  <c:v>39569</c:v>
                </c:pt>
                <c:pt idx="89">
                  <c:v>39600</c:v>
                </c:pt>
                <c:pt idx="90">
                  <c:v>39630</c:v>
                </c:pt>
                <c:pt idx="91">
                  <c:v>39661</c:v>
                </c:pt>
                <c:pt idx="92">
                  <c:v>39692</c:v>
                </c:pt>
                <c:pt idx="93">
                  <c:v>39722</c:v>
                </c:pt>
                <c:pt idx="94">
                  <c:v>39753</c:v>
                </c:pt>
                <c:pt idx="95">
                  <c:v>39783</c:v>
                </c:pt>
                <c:pt idx="96">
                  <c:v>39814</c:v>
                </c:pt>
                <c:pt idx="97">
                  <c:v>39845</c:v>
                </c:pt>
                <c:pt idx="98">
                  <c:v>39873</c:v>
                </c:pt>
                <c:pt idx="99">
                  <c:v>39904</c:v>
                </c:pt>
                <c:pt idx="100">
                  <c:v>39934</c:v>
                </c:pt>
                <c:pt idx="101">
                  <c:v>39965</c:v>
                </c:pt>
                <c:pt idx="102">
                  <c:v>39995</c:v>
                </c:pt>
                <c:pt idx="103">
                  <c:v>40026</c:v>
                </c:pt>
                <c:pt idx="104">
                  <c:v>40057</c:v>
                </c:pt>
                <c:pt idx="105">
                  <c:v>40087</c:v>
                </c:pt>
                <c:pt idx="106">
                  <c:v>40118</c:v>
                </c:pt>
                <c:pt idx="107">
                  <c:v>40148</c:v>
                </c:pt>
                <c:pt idx="108">
                  <c:v>40179</c:v>
                </c:pt>
                <c:pt idx="109">
                  <c:v>40210</c:v>
                </c:pt>
                <c:pt idx="110">
                  <c:v>40238</c:v>
                </c:pt>
                <c:pt idx="111">
                  <c:v>40269</c:v>
                </c:pt>
                <c:pt idx="112">
                  <c:v>40299</c:v>
                </c:pt>
                <c:pt idx="113">
                  <c:v>40330</c:v>
                </c:pt>
                <c:pt idx="114">
                  <c:v>40360</c:v>
                </c:pt>
                <c:pt idx="115">
                  <c:v>40391</c:v>
                </c:pt>
                <c:pt idx="116">
                  <c:v>40422</c:v>
                </c:pt>
                <c:pt idx="117">
                  <c:v>40452</c:v>
                </c:pt>
                <c:pt idx="118">
                  <c:v>40483</c:v>
                </c:pt>
                <c:pt idx="119">
                  <c:v>40513</c:v>
                </c:pt>
                <c:pt idx="120">
                  <c:v>40544</c:v>
                </c:pt>
                <c:pt idx="121">
                  <c:v>40575</c:v>
                </c:pt>
                <c:pt idx="122">
                  <c:v>40603</c:v>
                </c:pt>
                <c:pt idx="123">
                  <c:v>40634</c:v>
                </c:pt>
                <c:pt idx="124">
                  <c:v>40664</c:v>
                </c:pt>
                <c:pt idx="125">
                  <c:v>40695</c:v>
                </c:pt>
                <c:pt idx="126">
                  <c:v>40725</c:v>
                </c:pt>
                <c:pt idx="127">
                  <c:v>40756</c:v>
                </c:pt>
                <c:pt idx="128">
                  <c:v>40787</c:v>
                </c:pt>
                <c:pt idx="129">
                  <c:v>40817</c:v>
                </c:pt>
                <c:pt idx="130">
                  <c:v>40848</c:v>
                </c:pt>
                <c:pt idx="131">
                  <c:v>40878</c:v>
                </c:pt>
                <c:pt idx="132">
                  <c:v>40909</c:v>
                </c:pt>
                <c:pt idx="133">
                  <c:v>40940</c:v>
                </c:pt>
                <c:pt idx="134">
                  <c:v>40969</c:v>
                </c:pt>
                <c:pt idx="135">
                  <c:v>41000</c:v>
                </c:pt>
                <c:pt idx="136">
                  <c:v>41030</c:v>
                </c:pt>
                <c:pt idx="137">
                  <c:v>41061</c:v>
                </c:pt>
                <c:pt idx="138">
                  <c:v>41091</c:v>
                </c:pt>
                <c:pt idx="139">
                  <c:v>41122</c:v>
                </c:pt>
                <c:pt idx="140">
                  <c:v>41153</c:v>
                </c:pt>
                <c:pt idx="141">
                  <c:v>41183</c:v>
                </c:pt>
                <c:pt idx="142">
                  <c:v>41214</c:v>
                </c:pt>
                <c:pt idx="143">
                  <c:v>41244</c:v>
                </c:pt>
                <c:pt idx="144">
                  <c:v>41275</c:v>
                </c:pt>
                <c:pt idx="145">
                  <c:v>41306</c:v>
                </c:pt>
                <c:pt idx="146">
                  <c:v>41334</c:v>
                </c:pt>
                <c:pt idx="147">
                  <c:v>41365</c:v>
                </c:pt>
                <c:pt idx="148">
                  <c:v>41395</c:v>
                </c:pt>
                <c:pt idx="149">
                  <c:v>41426</c:v>
                </c:pt>
                <c:pt idx="150">
                  <c:v>41456</c:v>
                </c:pt>
                <c:pt idx="151">
                  <c:v>41487</c:v>
                </c:pt>
                <c:pt idx="152">
                  <c:v>41518</c:v>
                </c:pt>
                <c:pt idx="153">
                  <c:v>41548</c:v>
                </c:pt>
                <c:pt idx="154">
                  <c:v>41579</c:v>
                </c:pt>
                <c:pt idx="155">
                  <c:v>41609</c:v>
                </c:pt>
                <c:pt idx="156">
                  <c:v>41640</c:v>
                </c:pt>
                <c:pt idx="157">
                  <c:v>41671</c:v>
                </c:pt>
                <c:pt idx="158">
                  <c:v>41699</c:v>
                </c:pt>
                <c:pt idx="159">
                  <c:v>41730</c:v>
                </c:pt>
                <c:pt idx="160">
                  <c:v>41760</c:v>
                </c:pt>
                <c:pt idx="161">
                  <c:v>41791</c:v>
                </c:pt>
                <c:pt idx="162">
                  <c:v>41821</c:v>
                </c:pt>
                <c:pt idx="163">
                  <c:v>41852</c:v>
                </c:pt>
                <c:pt idx="164">
                  <c:v>41883</c:v>
                </c:pt>
              </c:numCache>
            </c:numRef>
          </c:cat>
          <c:val>
            <c:numRef>
              <c:f>FC!$AP$14:$AP$181</c:f>
              <c:numCache>
                <c:formatCode>0%</c:formatCode>
                <c:ptCount val="168"/>
                <c:pt idx="0">
                  <c:v>3.3547024071042902E-2</c:v>
                </c:pt>
                <c:pt idx="1">
                  <c:v>3.62547858736652E-2</c:v>
                </c:pt>
                <c:pt idx="2">
                  <c:v>1.7526539532752201E-2</c:v>
                </c:pt>
                <c:pt idx="3">
                  <c:v>3.85107917461666E-3</c:v>
                </c:pt>
                <c:pt idx="4">
                  <c:v>5.1799936823791401E-3</c:v>
                </c:pt>
                <c:pt idx="5">
                  <c:v>1.51055778658848E-2</c:v>
                </c:pt>
                <c:pt idx="6">
                  <c:v>6.1106573533639401E-2</c:v>
                </c:pt>
                <c:pt idx="7">
                  <c:v>4.6663887745278097E-2</c:v>
                </c:pt>
                <c:pt idx="8">
                  <c:v>2.3054537080351201E-2</c:v>
                </c:pt>
                <c:pt idx="9">
                  <c:v>4.6450668938788499E-2</c:v>
                </c:pt>
                <c:pt idx="10">
                  <c:v>9.2471326175611504E-2</c:v>
                </c:pt>
                <c:pt idx="11">
                  <c:v>3.5783707836406803E-2</c:v>
                </c:pt>
                <c:pt idx="12">
                  <c:v>3.0592203724638702E-2</c:v>
                </c:pt>
                <c:pt idx="13">
                  <c:v>2.7116429199298402E-2</c:v>
                </c:pt>
                <c:pt idx="14">
                  <c:v>3.5551744024408601E-3</c:v>
                </c:pt>
                <c:pt idx="15">
                  <c:v>2.69600118956944E-2</c:v>
                </c:pt>
                <c:pt idx="16">
                  <c:v>2.4979744289042899E-2</c:v>
                </c:pt>
                <c:pt idx="17">
                  <c:v>4.7092549413225597E-2</c:v>
                </c:pt>
                <c:pt idx="18">
                  <c:v>3.4604229868567801E-2</c:v>
                </c:pt>
                <c:pt idx="19">
                  <c:v>3.1921768083534398E-2</c:v>
                </c:pt>
                <c:pt idx="20">
                  <c:v>1.5626210924989201E-2</c:v>
                </c:pt>
                <c:pt idx="21">
                  <c:v>4.8170396481490102E-2</c:v>
                </c:pt>
                <c:pt idx="22">
                  <c:v>4.0475923998581298E-2</c:v>
                </c:pt>
                <c:pt idx="23">
                  <c:v>2.2538262379534699E-2</c:v>
                </c:pt>
                <c:pt idx="24">
                  <c:v>4.33830419130272E-2</c:v>
                </c:pt>
                <c:pt idx="25">
                  <c:v>3.4565036682291099E-2</c:v>
                </c:pt>
                <c:pt idx="26">
                  <c:v>5.3538498491050399E-2</c:v>
                </c:pt>
                <c:pt idx="27">
                  <c:v>2.49021507682845E-2</c:v>
                </c:pt>
                <c:pt idx="28">
                  <c:v>2.6850147656266001E-2</c:v>
                </c:pt>
                <c:pt idx="29">
                  <c:v>4.8517949214779602E-2</c:v>
                </c:pt>
                <c:pt idx="30">
                  <c:v>4.0566189159457797E-2</c:v>
                </c:pt>
                <c:pt idx="31">
                  <c:v>4.7986155841280798E-2</c:v>
                </c:pt>
                <c:pt idx="32">
                  <c:v>2.0324092810373302E-2</c:v>
                </c:pt>
                <c:pt idx="33">
                  <c:v>3.08868693795873E-2</c:v>
                </c:pt>
                <c:pt idx="34">
                  <c:v>2.8806839977350601E-2</c:v>
                </c:pt>
                <c:pt idx="35">
                  <c:v>3.95045378839015E-2</c:v>
                </c:pt>
                <c:pt idx="36">
                  <c:v>3.7789193364258698E-2</c:v>
                </c:pt>
                <c:pt idx="37">
                  <c:v>5.26146618496552E-2</c:v>
                </c:pt>
                <c:pt idx="38">
                  <c:v>6.0316820746804403E-2</c:v>
                </c:pt>
                <c:pt idx="39">
                  <c:v>5.5836749148257397E-2</c:v>
                </c:pt>
                <c:pt idx="40">
                  <c:v>3.9039794085977998E-2</c:v>
                </c:pt>
                <c:pt idx="41">
                  <c:v>4.7111100645702703E-2</c:v>
                </c:pt>
                <c:pt idx="42">
                  <c:v>5.6713490442333099E-2</c:v>
                </c:pt>
                <c:pt idx="43">
                  <c:v>3.2219925631518702E-2</c:v>
                </c:pt>
                <c:pt idx="44">
                  <c:v>5.9655398673549499E-2</c:v>
                </c:pt>
                <c:pt idx="45">
                  <c:v>4.1633784994684397E-2</c:v>
                </c:pt>
                <c:pt idx="46">
                  <c:v>3.8652249818157E-2</c:v>
                </c:pt>
                <c:pt idx="47">
                  <c:v>6.33259171904485E-2</c:v>
                </c:pt>
                <c:pt idx="48">
                  <c:v>5.5914105307034299E-2</c:v>
                </c:pt>
                <c:pt idx="49">
                  <c:v>3.0744252924881699E-2</c:v>
                </c:pt>
                <c:pt idx="50">
                  <c:v>5.9947432982604403E-2</c:v>
                </c:pt>
                <c:pt idx="51">
                  <c:v>5.1924747839132403E-2</c:v>
                </c:pt>
                <c:pt idx="52">
                  <c:v>4.42821772024935E-2</c:v>
                </c:pt>
                <c:pt idx="53">
                  <c:v>4.4837738556487303E-2</c:v>
                </c:pt>
                <c:pt idx="54">
                  <c:v>4.9509323267724899E-2</c:v>
                </c:pt>
                <c:pt idx="55">
                  <c:v>6.2965036303327407E-2</c:v>
                </c:pt>
                <c:pt idx="56">
                  <c:v>7.5494652330399606E-2</c:v>
                </c:pt>
                <c:pt idx="57">
                  <c:v>4.9713101620476603E-2</c:v>
                </c:pt>
                <c:pt idx="58">
                  <c:v>3.4655180373755798E-2</c:v>
                </c:pt>
                <c:pt idx="59">
                  <c:v>6.0682197520474102E-2</c:v>
                </c:pt>
                <c:pt idx="60">
                  <c:v>5.1455066531597898E-2</c:v>
                </c:pt>
                <c:pt idx="61">
                  <c:v>5.46076759162323E-2</c:v>
                </c:pt>
                <c:pt idx="62">
                  <c:v>5.3677124178532001E-2</c:v>
                </c:pt>
                <c:pt idx="63">
                  <c:v>7.2800610550190506E-2</c:v>
                </c:pt>
                <c:pt idx="64">
                  <c:v>5.0892251223020997E-2</c:v>
                </c:pt>
                <c:pt idx="65">
                  <c:v>3.45868953263236E-2</c:v>
                </c:pt>
                <c:pt idx="66">
                  <c:v>6.2088494073520697E-2</c:v>
                </c:pt>
                <c:pt idx="67">
                  <c:v>6.7152429321416296E-2</c:v>
                </c:pt>
                <c:pt idx="68">
                  <c:v>5.8788023993723099E-2</c:v>
                </c:pt>
                <c:pt idx="69">
                  <c:v>3.8901429219188897E-2</c:v>
                </c:pt>
                <c:pt idx="70">
                  <c:v>4.5251718725427902E-2</c:v>
                </c:pt>
                <c:pt idx="71">
                  <c:v>4.02958680670219E-2</c:v>
                </c:pt>
                <c:pt idx="72">
                  <c:v>4.4946316884927603E-2</c:v>
                </c:pt>
                <c:pt idx="73">
                  <c:v>4.0803189314395603E-2</c:v>
                </c:pt>
                <c:pt idx="74">
                  <c:v>6.2596543270446198E-2</c:v>
                </c:pt>
                <c:pt idx="75">
                  <c:v>7.8512387726817304E-2</c:v>
                </c:pt>
                <c:pt idx="76">
                  <c:v>6.8732014370868205E-2</c:v>
                </c:pt>
                <c:pt idx="77">
                  <c:v>8.1611430390836806E-2</c:v>
                </c:pt>
                <c:pt idx="78">
                  <c:v>6.5652891636468397E-2</c:v>
                </c:pt>
                <c:pt idx="79">
                  <c:v>0.111083059330777</c:v>
                </c:pt>
                <c:pt idx="80">
                  <c:v>6.9715894865517797E-2</c:v>
                </c:pt>
                <c:pt idx="81">
                  <c:v>9.2468922012330895E-2</c:v>
                </c:pt>
                <c:pt idx="82">
                  <c:v>0.10324705317374</c:v>
                </c:pt>
                <c:pt idx="83">
                  <c:v>6.9513246900372097E-2</c:v>
                </c:pt>
                <c:pt idx="84">
                  <c:v>8.0759026705233106E-2</c:v>
                </c:pt>
                <c:pt idx="85">
                  <c:v>8.4627503963327799E-2</c:v>
                </c:pt>
                <c:pt idx="86">
                  <c:v>8.8259814956934204E-2</c:v>
                </c:pt>
                <c:pt idx="87">
                  <c:v>0.131074282585666</c:v>
                </c:pt>
                <c:pt idx="88">
                  <c:v>0.12995317790080499</c:v>
                </c:pt>
                <c:pt idx="89">
                  <c:v>0.134568866187772</c:v>
                </c:pt>
                <c:pt idx="90">
                  <c:v>0.145958865686657</c:v>
                </c:pt>
                <c:pt idx="91">
                  <c:v>0.149582049729797</c:v>
                </c:pt>
                <c:pt idx="92">
                  <c:v>0.152300656911321</c:v>
                </c:pt>
                <c:pt idx="93">
                  <c:v>0.192621710138772</c:v>
                </c:pt>
                <c:pt idx="94">
                  <c:v>0.17630849418441899</c:v>
                </c:pt>
                <c:pt idx="95">
                  <c:v>0.20384956365676099</c:v>
                </c:pt>
                <c:pt idx="96">
                  <c:v>0.22587089633398899</c:v>
                </c:pt>
                <c:pt idx="97">
                  <c:v>0.22827590135668099</c:v>
                </c:pt>
                <c:pt idx="98">
                  <c:v>0.23657501591817701</c:v>
                </c:pt>
                <c:pt idx="99">
                  <c:v>0.25972453547930802</c:v>
                </c:pt>
                <c:pt idx="100">
                  <c:v>0.27307715865376803</c:v>
                </c:pt>
                <c:pt idx="101">
                  <c:v>0.27965799811758102</c:v>
                </c:pt>
                <c:pt idx="102">
                  <c:v>0.28551292785028298</c:v>
                </c:pt>
                <c:pt idx="103">
                  <c:v>0.289906432270501</c:v>
                </c:pt>
                <c:pt idx="104">
                  <c:v>0.31408775840820402</c:v>
                </c:pt>
                <c:pt idx="105">
                  <c:v>0.30686721388976301</c:v>
                </c:pt>
                <c:pt idx="106">
                  <c:v>0.29229493563939901</c:v>
                </c:pt>
                <c:pt idx="107">
                  <c:v>0.30355012874596399</c:v>
                </c:pt>
                <c:pt idx="108">
                  <c:v>0.331604304605505</c:v>
                </c:pt>
                <c:pt idx="109">
                  <c:v>0.34721329507061199</c:v>
                </c:pt>
                <c:pt idx="110">
                  <c:v>0.355004961983448</c:v>
                </c:pt>
                <c:pt idx="111">
                  <c:v>0.35182800141558901</c:v>
                </c:pt>
                <c:pt idx="112">
                  <c:v>0.33482564459994901</c:v>
                </c:pt>
                <c:pt idx="113">
                  <c:v>0.35813350864024901</c:v>
                </c:pt>
                <c:pt idx="114">
                  <c:v>0.388334296809978</c:v>
                </c:pt>
                <c:pt idx="115">
                  <c:v>0.37592246877894198</c:v>
                </c:pt>
                <c:pt idx="116">
                  <c:v>0.39107744563784702</c:v>
                </c:pt>
                <c:pt idx="117">
                  <c:v>0.38717988711154699</c:v>
                </c:pt>
                <c:pt idx="118">
                  <c:v>0.38966765988454299</c:v>
                </c:pt>
                <c:pt idx="119">
                  <c:v>0.39371592302130898</c:v>
                </c:pt>
                <c:pt idx="120">
                  <c:v>0.40588451546651999</c:v>
                </c:pt>
                <c:pt idx="121">
                  <c:v>0.39464018485483698</c:v>
                </c:pt>
                <c:pt idx="122">
                  <c:v>0.424423798428471</c:v>
                </c:pt>
                <c:pt idx="123">
                  <c:v>0.41549199964642303</c:v>
                </c:pt>
                <c:pt idx="124">
                  <c:v>0.43044881167301102</c:v>
                </c:pt>
                <c:pt idx="125">
                  <c:v>0.42442421088070997</c:v>
                </c:pt>
                <c:pt idx="126">
                  <c:v>0.43380372693667701</c:v>
                </c:pt>
                <c:pt idx="127">
                  <c:v>0.43297815276351398</c:v>
                </c:pt>
                <c:pt idx="128">
                  <c:v>0.42540655445851899</c:v>
                </c:pt>
                <c:pt idx="129">
                  <c:v>0.43736744650576098</c:v>
                </c:pt>
                <c:pt idx="130">
                  <c:v>0.44069568950673699</c:v>
                </c:pt>
                <c:pt idx="131">
                  <c:v>0.43373881978086698</c:v>
                </c:pt>
                <c:pt idx="132">
                  <c:v>0.45326720068242199</c:v>
                </c:pt>
                <c:pt idx="133">
                  <c:v>0.43473352094697698</c:v>
                </c:pt>
                <c:pt idx="134">
                  <c:v>0.43596452014897802</c:v>
                </c:pt>
                <c:pt idx="135">
                  <c:v>0.41370080325904302</c:v>
                </c:pt>
                <c:pt idx="136">
                  <c:v>0.41334475849652902</c:v>
                </c:pt>
                <c:pt idx="137">
                  <c:v>0.42104079441226899</c:v>
                </c:pt>
                <c:pt idx="138">
                  <c:v>0.41775755492773098</c:v>
                </c:pt>
                <c:pt idx="139">
                  <c:v>0.410251330640719</c:v>
                </c:pt>
                <c:pt idx="140">
                  <c:v>0.401930936322968</c:v>
                </c:pt>
                <c:pt idx="141">
                  <c:v>0.41249021650858603</c:v>
                </c:pt>
                <c:pt idx="142">
                  <c:v>0.39299814730699401</c:v>
                </c:pt>
                <c:pt idx="143">
                  <c:v>0.38925488009903603</c:v>
                </c:pt>
                <c:pt idx="144">
                  <c:v>0.40409607655721203</c:v>
                </c:pt>
                <c:pt idx="145">
                  <c:v>0.38943933312122903</c:v>
                </c:pt>
                <c:pt idx="146">
                  <c:v>0.38630741224956</c:v>
                </c:pt>
                <c:pt idx="147">
                  <c:v>0.38709003182354701</c:v>
                </c:pt>
                <c:pt idx="148">
                  <c:v>0.38635670243409997</c:v>
                </c:pt>
                <c:pt idx="149">
                  <c:v>0.38859887077194399</c:v>
                </c:pt>
                <c:pt idx="150">
                  <c:v>0.37094896122328502</c:v>
                </c:pt>
                <c:pt idx="151">
                  <c:v>0.37730312643430203</c:v>
                </c:pt>
                <c:pt idx="152">
                  <c:v>0.37143204983649603</c:v>
                </c:pt>
                <c:pt idx="153">
                  <c:v>0.38517327684701202</c:v>
                </c:pt>
                <c:pt idx="154">
                  <c:v>0.369477119114965</c:v>
                </c:pt>
                <c:pt idx="155">
                  <c:v>0.38833396451042301</c:v>
                </c:pt>
                <c:pt idx="156">
                  <c:v>0.418490854553693</c:v>
                </c:pt>
                <c:pt idx="157">
                  <c:v>0.41837057234213498</c:v>
                </c:pt>
                <c:pt idx="158">
                  <c:v>0.40934538423910299</c:v>
                </c:pt>
                <c:pt idx="159">
                  <c:v>0.44820743833253901</c:v>
                </c:pt>
                <c:pt idx="160">
                  <c:v>0.47595752637365801</c:v>
                </c:pt>
                <c:pt idx="161">
                  <c:v>0.55013773478321604</c:v>
                </c:pt>
                <c:pt idx="162">
                  <c:v>0.64508191797084702</c:v>
                </c:pt>
                <c:pt idx="163">
                  <c:v>0.61238160281795795</c:v>
                </c:pt>
                <c:pt idx="164">
                  <c:v>0.90807762411415505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FC!$AQ$1:$AQ$2</c:f>
              <c:strCache>
                <c:ptCount val="1"/>
                <c:pt idx="0">
                  <c:v>Total FNMA</c:v>
                </c:pt>
              </c:strCache>
            </c:strRef>
          </c:tx>
          <c:marker>
            <c:symbol val="none"/>
          </c:marker>
          <c:cat>
            <c:numRef>
              <c:f>FC!$AO$14:$AO$181</c:f>
              <c:numCache>
                <c:formatCode>m/d/yyyy</c:formatCode>
                <c:ptCount val="168"/>
                <c:pt idx="0">
                  <c:v>36892</c:v>
                </c:pt>
                <c:pt idx="1">
                  <c:v>36923</c:v>
                </c:pt>
                <c:pt idx="2">
                  <c:v>36951</c:v>
                </c:pt>
                <c:pt idx="3">
                  <c:v>36982</c:v>
                </c:pt>
                <c:pt idx="4">
                  <c:v>37012</c:v>
                </c:pt>
                <c:pt idx="5">
                  <c:v>37043</c:v>
                </c:pt>
                <c:pt idx="6">
                  <c:v>37073</c:v>
                </c:pt>
                <c:pt idx="7">
                  <c:v>37104</c:v>
                </c:pt>
                <c:pt idx="8">
                  <c:v>37135</c:v>
                </c:pt>
                <c:pt idx="9">
                  <c:v>37165</c:v>
                </c:pt>
                <c:pt idx="10">
                  <c:v>37196</c:v>
                </c:pt>
                <c:pt idx="11">
                  <c:v>37226</c:v>
                </c:pt>
                <c:pt idx="12">
                  <c:v>37257</c:v>
                </c:pt>
                <c:pt idx="13">
                  <c:v>37288</c:v>
                </c:pt>
                <c:pt idx="14">
                  <c:v>37316</c:v>
                </c:pt>
                <c:pt idx="15">
                  <c:v>37347</c:v>
                </c:pt>
                <c:pt idx="16">
                  <c:v>37377</c:v>
                </c:pt>
                <c:pt idx="17">
                  <c:v>37408</c:v>
                </c:pt>
                <c:pt idx="18">
                  <c:v>37438</c:v>
                </c:pt>
                <c:pt idx="19">
                  <c:v>37469</c:v>
                </c:pt>
                <c:pt idx="20">
                  <c:v>37500</c:v>
                </c:pt>
                <c:pt idx="21">
                  <c:v>37530</c:v>
                </c:pt>
                <c:pt idx="22">
                  <c:v>37561</c:v>
                </c:pt>
                <c:pt idx="23">
                  <c:v>37591</c:v>
                </c:pt>
                <c:pt idx="24">
                  <c:v>37622</c:v>
                </c:pt>
                <c:pt idx="25">
                  <c:v>37653</c:v>
                </c:pt>
                <c:pt idx="26">
                  <c:v>37681</c:v>
                </c:pt>
                <c:pt idx="27">
                  <c:v>37712</c:v>
                </c:pt>
                <c:pt idx="28">
                  <c:v>37742</c:v>
                </c:pt>
                <c:pt idx="29">
                  <c:v>37773</c:v>
                </c:pt>
                <c:pt idx="30">
                  <c:v>37803</c:v>
                </c:pt>
                <c:pt idx="31">
                  <c:v>37834</c:v>
                </c:pt>
                <c:pt idx="32">
                  <c:v>37865</c:v>
                </c:pt>
                <c:pt idx="33">
                  <c:v>37895</c:v>
                </c:pt>
                <c:pt idx="34">
                  <c:v>37926</c:v>
                </c:pt>
                <c:pt idx="35">
                  <c:v>37956</c:v>
                </c:pt>
                <c:pt idx="36">
                  <c:v>37987</c:v>
                </c:pt>
                <c:pt idx="37">
                  <c:v>38018</c:v>
                </c:pt>
                <c:pt idx="38">
                  <c:v>38047</c:v>
                </c:pt>
                <c:pt idx="39">
                  <c:v>38078</c:v>
                </c:pt>
                <c:pt idx="40">
                  <c:v>38108</c:v>
                </c:pt>
                <c:pt idx="41">
                  <c:v>38139</c:v>
                </c:pt>
                <c:pt idx="42">
                  <c:v>38169</c:v>
                </c:pt>
                <c:pt idx="43">
                  <c:v>38200</c:v>
                </c:pt>
                <c:pt idx="44">
                  <c:v>38231</c:v>
                </c:pt>
                <c:pt idx="45">
                  <c:v>38261</c:v>
                </c:pt>
                <c:pt idx="46">
                  <c:v>38292</c:v>
                </c:pt>
                <c:pt idx="47">
                  <c:v>38322</c:v>
                </c:pt>
                <c:pt idx="48">
                  <c:v>38353</c:v>
                </c:pt>
                <c:pt idx="49">
                  <c:v>38384</c:v>
                </c:pt>
                <c:pt idx="50">
                  <c:v>38412</c:v>
                </c:pt>
                <c:pt idx="51">
                  <c:v>38443</c:v>
                </c:pt>
                <c:pt idx="52">
                  <c:v>38473</c:v>
                </c:pt>
                <c:pt idx="53">
                  <c:v>38504</c:v>
                </c:pt>
                <c:pt idx="54">
                  <c:v>38534</c:v>
                </c:pt>
                <c:pt idx="55">
                  <c:v>38565</c:v>
                </c:pt>
                <c:pt idx="56">
                  <c:v>38596</c:v>
                </c:pt>
                <c:pt idx="57">
                  <c:v>38626</c:v>
                </c:pt>
                <c:pt idx="58">
                  <c:v>38657</c:v>
                </c:pt>
                <c:pt idx="59">
                  <c:v>38687</c:v>
                </c:pt>
                <c:pt idx="60">
                  <c:v>38718</c:v>
                </c:pt>
                <c:pt idx="61">
                  <c:v>38749</c:v>
                </c:pt>
                <c:pt idx="62">
                  <c:v>38777</c:v>
                </c:pt>
                <c:pt idx="63">
                  <c:v>38808</c:v>
                </c:pt>
                <c:pt idx="64">
                  <c:v>38838</c:v>
                </c:pt>
                <c:pt idx="65">
                  <c:v>38869</c:v>
                </c:pt>
                <c:pt idx="66">
                  <c:v>38899</c:v>
                </c:pt>
                <c:pt idx="67">
                  <c:v>38930</c:v>
                </c:pt>
                <c:pt idx="68">
                  <c:v>38961</c:v>
                </c:pt>
                <c:pt idx="69">
                  <c:v>38991</c:v>
                </c:pt>
                <c:pt idx="70">
                  <c:v>39022</c:v>
                </c:pt>
                <c:pt idx="71">
                  <c:v>39052</c:v>
                </c:pt>
                <c:pt idx="72">
                  <c:v>39083</c:v>
                </c:pt>
                <c:pt idx="73">
                  <c:v>39114</c:v>
                </c:pt>
                <c:pt idx="74">
                  <c:v>39142</c:v>
                </c:pt>
                <c:pt idx="75">
                  <c:v>39173</c:v>
                </c:pt>
                <c:pt idx="76">
                  <c:v>39203</c:v>
                </c:pt>
                <c:pt idx="77">
                  <c:v>39234</c:v>
                </c:pt>
                <c:pt idx="78">
                  <c:v>39264</c:v>
                </c:pt>
                <c:pt idx="79">
                  <c:v>39295</c:v>
                </c:pt>
                <c:pt idx="80">
                  <c:v>39326</c:v>
                </c:pt>
                <c:pt idx="81">
                  <c:v>39356</c:v>
                </c:pt>
                <c:pt idx="82">
                  <c:v>39387</c:v>
                </c:pt>
                <c:pt idx="83">
                  <c:v>39417</c:v>
                </c:pt>
                <c:pt idx="84">
                  <c:v>39448</c:v>
                </c:pt>
                <c:pt idx="85">
                  <c:v>39479</c:v>
                </c:pt>
                <c:pt idx="86">
                  <c:v>39508</c:v>
                </c:pt>
                <c:pt idx="87">
                  <c:v>39539</c:v>
                </c:pt>
                <c:pt idx="88">
                  <c:v>39569</c:v>
                </c:pt>
                <c:pt idx="89">
                  <c:v>39600</c:v>
                </c:pt>
                <c:pt idx="90">
                  <c:v>39630</c:v>
                </c:pt>
                <c:pt idx="91">
                  <c:v>39661</c:v>
                </c:pt>
                <c:pt idx="92">
                  <c:v>39692</c:v>
                </c:pt>
                <c:pt idx="93">
                  <c:v>39722</c:v>
                </c:pt>
                <c:pt idx="94">
                  <c:v>39753</c:v>
                </c:pt>
                <c:pt idx="95">
                  <c:v>39783</c:v>
                </c:pt>
                <c:pt idx="96">
                  <c:v>39814</c:v>
                </c:pt>
                <c:pt idx="97">
                  <c:v>39845</c:v>
                </c:pt>
                <c:pt idx="98">
                  <c:v>39873</c:v>
                </c:pt>
                <c:pt idx="99">
                  <c:v>39904</c:v>
                </c:pt>
                <c:pt idx="100">
                  <c:v>39934</c:v>
                </c:pt>
                <c:pt idx="101">
                  <c:v>39965</c:v>
                </c:pt>
                <c:pt idx="102">
                  <c:v>39995</c:v>
                </c:pt>
                <c:pt idx="103">
                  <c:v>40026</c:v>
                </c:pt>
                <c:pt idx="104">
                  <c:v>40057</c:v>
                </c:pt>
                <c:pt idx="105">
                  <c:v>40087</c:v>
                </c:pt>
                <c:pt idx="106">
                  <c:v>40118</c:v>
                </c:pt>
                <c:pt idx="107">
                  <c:v>40148</c:v>
                </c:pt>
                <c:pt idx="108">
                  <c:v>40179</c:v>
                </c:pt>
                <c:pt idx="109">
                  <c:v>40210</c:v>
                </c:pt>
                <c:pt idx="110">
                  <c:v>40238</c:v>
                </c:pt>
                <c:pt idx="111">
                  <c:v>40269</c:v>
                </c:pt>
                <c:pt idx="112">
                  <c:v>40299</c:v>
                </c:pt>
                <c:pt idx="113">
                  <c:v>40330</c:v>
                </c:pt>
                <c:pt idx="114">
                  <c:v>40360</c:v>
                </c:pt>
                <c:pt idx="115">
                  <c:v>40391</c:v>
                </c:pt>
                <c:pt idx="116">
                  <c:v>40422</c:v>
                </c:pt>
                <c:pt idx="117">
                  <c:v>40452</c:v>
                </c:pt>
                <c:pt idx="118">
                  <c:v>40483</c:v>
                </c:pt>
                <c:pt idx="119">
                  <c:v>40513</c:v>
                </c:pt>
                <c:pt idx="120">
                  <c:v>40544</c:v>
                </c:pt>
                <c:pt idx="121">
                  <c:v>40575</c:v>
                </c:pt>
                <c:pt idx="122">
                  <c:v>40603</c:v>
                </c:pt>
                <c:pt idx="123">
                  <c:v>40634</c:v>
                </c:pt>
                <c:pt idx="124">
                  <c:v>40664</c:v>
                </c:pt>
                <c:pt idx="125">
                  <c:v>40695</c:v>
                </c:pt>
                <c:pt idx="126">
                  <c:v>40725</c:v>
                </c:pt>
                <c:pt idx="127">
                  <c:v>40756</c:v>
                </c:pt>
                <c:pt idx="128">
                  <c:v>40787</c:v>
                </c:pt>
                <c:pt idx="129">
                  <c:v>40817</c:v>
                </c:pt>
                <c:pt idx="130">
                  <c:v>40848</c:v>
                </c:pt>
                <c:pt idx="131">
                  <c:v>40878</c:v>
                </c:pt>
                <c:pt idx="132">
                  <c:v>40909</c:v>
                </c:pt>
                <c:pt idx="133">
                  <c:v>40940</c:v>
                </c:pt>
                <c:pt idx="134">
                  <c:v>40969</c:v>
                </c:pt>
                <c:pt idx="135">
                  <c:v>41000</c:v>
                </c:pt>
                <c:pt idx="136">
                  <c:v>41030</c:v>
                </c:pt>
                <c:pt idx="137">
                  <c:v>41061</c:v>
                </c:pt>
                <c:pt idx="138">
                  <c:v>41091</c:v>
                </c:pt>
                <c:pt idx="139">
                  <c:v>41122</c:v>
                </c:pt>
                <c:pt idx="140">
                  <c:v>41153</c:v>
                </c:pt>
                <c:pt idx="141">
                  <c:v>41183</c:v>
                </c:pt>
                <c:pt idx="142">
                  <c:v>41214</c:v>
                </c:pt>
                <c:pt idx="143">
                  <c:v>41244</c:v>
                </c:pt>
                <c:pt idx="144">
                  <c:v>41275</c:v>
                </c:pt>
                <c:pt idx="145">
                  <c:v>41306</c:v>
                </c:pt>
                <c:pt idx="146">
                  <c:v>41334</c:v>
                </c:pt>
                <c:pt idx="147">
                  <c:v>41365</c:v>
                </c:pt>
                <c:pt idx="148">
                  <c:v>41395</c:v>
                </c:pt>
                <c:pt idx="149">
                  <c:v>41426</c:v>
                </c:pt>
                <c:pt idx="150">
                  <c:v>41456</c:v>
                </c:pt>
                <c:pt idx="151">
                  <c:v>41487</c:v>
                </c:pt>
                <c:pt idx="152">
                  <c:v>41518</c:v>
                </c:pt>
                <c:pt idx="153">
                  <c:v>41548</c:v>
                </c:pt>
                <c:pt idx="154">
                  <c:v>41579</c:v>
                </c:pt>
                <c:pt idx="155">
                  <c:v>41609</c:v>
                </c:pt>
                <c:pt idx="156">
                  <c:v>41640</c:v>
                </c:pt>
                <c:pt idx="157">
                  <c:v>41671</c:v>
                </c:pt>
                <c:pt idx="158">
                  <c:v>41699</c:v>
                </c:pt>
                <c:pt idx="159">
                  <c:v>41730</c:v>
                </c:pt>
                <c:pt idx="160">
                  <c:v>41760</c:v>
                </c:pt>
                <c:pt idx="161">
                  <c:v>41791</c:v>
                </c:pt>
                <c:pt idx="162">
                  <c:v>41821</c:v>
                </c:pt>
                <c:pt idx="163">
                  <c:v>41852</c:v>
                </c:pt>
                <c:pt idx="164">
                  <c:v>41883</c:v>
                </c:pt>
              </c:numCache>
            </c:numRef>
          </c:cat>
          <c:val>
            <c:numRef>
              <c:f>FC!$AQ$14:$AQ$181</c:f>
              <c:numCache>
                <c:formatCode>0%</c:formatCode>
                <c:ptCount val="168"/>
                <c:pt idx="0">
                  <c:v>-8.0309083135883252E-3</c:v>
                </c:pt>
                <c:pt idx="1">
                  <c:v>-1.4163010376806451E-3</c:v>
                </c:pt>
                <c:pt idx="2">
                  <c:v>-1.9227243511591219E-2</c:v>
                </c:pt>
                <c:pt idx="3">
                  <c:v>5.3071415017116319E-3</c:v>
                </c:pt>
                <c:pt idx="4">
                  <c:v>4.4012617918911534E-3</c:v>
                </c:pt>
                <c:pt idx="5">
                  <c:v>1.6962189381866111E-3</c:v>
                </c:pt>
                <c:pt idx="6">
                  <c:v>1.1219767405793002E-2</c:v>
                </c:pt>
                <c:pt idx="7">
                  <c:v>2.830106794780729E-2</c:v>
                </c:pt>
                <c:pt idx="8">
                  <c:v>2.4890011283426716E-2</c:v>
                </c:pt>
                <c:pt idx="9">
                  <c:v>-6.4113713873314992E-4</c:v>
                </c:pt>
                <c:pt idx="10">
                  <c:v>4.2389396578328409E-3</c:v>
                </c:pt>
                <c:pt idx="11">
                  <c:v>1.7922677675092258E-2</c:v>
                </c:pt>
                <c:pt idx="12">
                  <c:v>1.2838402041208674E-3</c:v>
                </c:pt>
                <c:pt idx="13">
                  <c:v>7.0301420571765583E-3</c:v>
                </c:pt>
                <c:pt idx="14">
                  <c:v>1.3285702220249496E-2</c:v>
                </c:pt>
                <c:pt idx="15">
                  <c:v>-6.3516785178103774E-3</c:v>
                </c:pt>
                <c:pt idx="16">
                  <c:v>4.3949175917474825E-3</c:v>
                </c:pt>
                <c:pt idx="17">
                  <c:v>2.7852892811059959E-2</c:v>
                </c:pt>
                <c:pt idx="18">
                  <c:v>5.2774186232582565E-3</c:v>
                </c:pt>
                <c:pt idx="19">
                  <c:v>2.1477073547908621E-2</c:v>
                </c:pt>
                <c:pt idx="20">
                  <c:v>1.7394958152735063E-2</c:v>
                </c:pt>
                <c:pt idx="21">
                  <c:v>1.6157077071422332E-2</c:v>
                </c:pt>
                <c:pt idx="22">
                  <c:v>2.2208170020440621E-2</c:v>
                </c:pt>
                <c:pt idx="23">
                  <c:v>-3.7809557718437858E-4</c:v>
                </c:pt>
                <c:pt idx="24">
                  <c:v>2.1570149993961341E-2</c:v>
                </c:pt>
                <c:pt idx="25">
                  <c:v>1.7790067950139488E-2</c:v>
                </c:pt>
                <c:pt idx="26">
                  <c:v>1.2791793011241559E-2</c:v>
                </c:pt>
                <c:pt idx="27">
                  <c:v>-2.7417165682150912E-3</c:v>
                </c:pt>
                <c:pt idx="28">
                  <c:v>1.2520157140042176E-2</c:v>
                </c:pt>
                <c:pt idx="29">
                  <c:v>9.6816281686071815E-3</c:v>
                </c:pt>
                <c:pt idx="30">
                  <c:v>2.8926423311924188E-2</c:v>
                </c:pt>
                <c:pt idx="31">
                  <c:v>2.5038580908645747E-2</c:v>
                </c:pt>
                <c:pt idx="32">
                  <c:v>1.959950114974407E-2</c:v>
                </c:pt>
                <c:pt idx="33">
                  <c:v>1.0024630299568127E-2</c:v>
                </c:pt>
                <c:pt idx="34">
                  <c:v>3.3560219887154297E-2</c:v>
                </c:pt>
                <c:pt idx="35">
                  <c:v>1.9307349882663472E-2</c:v>
                </c:pt>
                <c:pt idx="36">
                  <c:v>2.3854010265023762E-2</c:v>
                </c:pt>
                <c:pt idx="37">
                  <c:v>1.5720630736486996E-2</c:v>
                </c:pt>
                <c:pt idx="38">
                  <c:v>3.5851611251017879E-2</c:v>
                </c:pt>
                <c:pt idx="39">
                  <c:v>1.4112602669270391E-2</c:v>
                </c:pt>
                <c:pt idx="40">
                  <c:v>1.3106805888447148E-2</c:v>
                </c:pt>
                <c:pt idx="41">
                  <c:v>4.0898222073292745E-2</c:v>
                </c:pt>
                <c:pt idx="42">
                  <c:v>2.3830681270416321E-2</c:v>
                </c:pt>
                <c:pt idx="43">
                  <c:v>2.0427365661668917E-2</c:v>
                </c:pt>
                <c:pt idx="44">
                  <c:v>3.035982431619888E-2</c:v>
                </c:pt>
                <c:pt idx="45">
                  <c:v>9.0554140670988659E-3</c:v>
                </c:pt>
                <c:pt idx="46">
                  <c:v>2.0900515030909839E-2</c:v>
                </c:pt>
                <c:pt idx="47">
                  <c:v>2.2708022897263813E-2</c:v>
                </c:pt>
                <c:pt idx="48">
                  <c:v>1.7938340928846719E-2</c:v>
                </c:pt>
                <c:pt idx="49">
                  <c:v>2.1478921597055445E-2</c:v>
                </c:pt>
                <c:pt idx="50">
                  <c:v>1.3301649680159233E-2</c:v>
                </c:pt>
                <c:pt idx="51">
                  <c:v>2.4475093241436374E-2</c:v>
                </c:pt>
                <c:pt idx="52">
                  <c:v>2.280343787176875E-2</c:v>
                </c:pt>
                <c:pt idx="53">
                  <c:v>2.4859216808710283E-2</c:v>
                </c:pt>
                <c:pt idx="54">
                  <c:v>3.6941669612794437E-2</c:v>
                </c:pt>
                <c:pt idx="55">
                  <c:v>2.7297840318368571E-2</c:v>
                </c:pt>
                <c:pt idx="56">
                  <c:v>1.5323798034049707E-2</c:v>
                </c:pt>
                <c:pt idx="57">
                  <c:v>2.5159732144299118E-2</c:v>
                </c:pt>
                <c:pt idx="58">
                  <c:v>1.6124765033361355E-2</c:v>
                </c:pt>
                <c:pt idx="59">
                  <c:v>1.9601399713439216E-2</c:v>
                </c:pt>
                <c:pt idx="60">
                  <c:v>2.1327786862208153E-2</c:v>
                </c:pt>
                <c:pt idx="61">
                  <c:v>1.4779908303064859E-2</c:v>
                </c:pt>
                <c:pt idx="62">
                  <c:v>3.0249159451248842E-2</c:v>
                </c:pt>
                <c:pt idx="63">
                  <c:v>3.2031579482712402E-2</c:v>
                </c:pt>
                <c:pt idx="64">
                  <c:v>1.335408280027317E-2</c:v>
                </c:pt>
                <c:pt idx="65">
                  <c:v>2.3192976039555724E-2</c:v>
                </c:pt>
                <c:pt idx="66">
                  <c:v>2.607380542670712E-2</c:v>
                </c:pt>
                <c:pt idx="67">
                  <c:v>2.0012275471089858E-2</c:v>
                </c:pt>
                <c:pt idx="68">
                  <c:v>1.6878243789705039E-2</c:v>
                </c:pt>
                <c:pt idx="69">
                  <c:v>1.1209611253585328E-2</c:v>
                </c:pt>
                <c:pt idx="70">
                  <c:v>5.3015724087233096E-3</c:v>
                </c:pt>
                <c:pt idx="71">
                  <c:v>1.7766661202117451E-2</c:v>
                </c:pt>
                <c:pt idx="72">
                  <c:v>4.9528449752846981E-3</c:v>
                </c:pt>
                <c:pt idx="73">
                  <c:v>1.1078863991109689E-2</c:v>
                </c:pt>
                <c:pt idx="74">
                  <c:v>1.5608209326979594E-2</c:v>
                </c:pt>
                <c:pt idx="75">
                  <c:v>2.6046566328360443E-2</c:v>
                </c:pt>
                <c:pt idx="76">
                  <c:v>1.4744194878466788E-2</c:v>
                </c:pt>
                <c:pt idx="77">
                  <c:v>1.1320100963851054E-2</c:v>
                </c:pt>
                <c:pt idx="78">
                  <c:v>2.1070467401766546E-2</c:v>
                </c:pt>
                <c:pt idx="79">
                  <c:v>2.048818934019847E-2</c:v>
                </c:pt>
                <c:pt idx="80">
                  <c:v>2.6333113173882428E-2</c:v>
                </c:pt>
                <c:pt idx="81">
                  <c:v>2.4499934129878831E-2</c:v>
                </c:pt>
                <c:pt idx="82">
                  <c:v>3.6988110265502305E-2</c:v>
                </c:pt>
                <c:pt idx="83">
                  <c:v>3.8549042486324181E-2</c:v>
                </c:pt>
                <c:pt idx="84">
                  <c:v>4.6666678793776173E-2</c:v>
                </c:pt>
                <c:pt idx="85">
                  <c:v>4.6779683756078327E-2</c:v>
                </c:pt>
                <c:pt idx="86">
                  <c:v>5.1910382141135747E-2</c:v>
                </c:pt>
                <c:pt idx="87">
                  <c:v>6.148151408392466E-2</c:v>
                </c:pt>
                <c:pt idx="88">
                  <c:v>8.3125791313556463E-2</c:v>
                </c:pt>
                <c:pt idx="89">
                  <c:v>9.4792996672832475E-2</c:v>
                </c:pt>
                <c:pt idx="90">
                  <c:v>0.11530738875598723</c:v>
                </c:pt>
                <c:pt idx="91">
                  <c:v>0.1058825533197072</c:v>
                </c:pt>
                <c:pt idx="92">
                  <c:v>0.14388630891969756</c:v>
                </c:pt>
                <c:pt idx="93">
                  <c:v>0.14005256449449832</c:v>
                </c:pt>
                <c:pt idx="94">
                  <c:v>0.15117966705561381</c:v>
                </c:pt>
                <c:pt idx="95">
                  <c:v>0.17324268230248419</c:v>
                </c:pt>
                <c:pt idx="96">
                  <c:v>0.21399232752559816</c:v>
                </c:pt>
                <c:pt idx="97">
                  <c:v>0.16348437515885172</c:v>
                </c:pt>
                <c:pt idx="98">
                  <c:v>0.19911309923826059</c:v>
                </c:pt>
                <c:pt idx="99">
                  <c:v>0.2033556631191088</c:v>
                </c:pt>
                <c:pt idx="100">
                  <c:v>0.20692593271303794</c:v>
                </c:pt>
                <c:pt idx="101">
                  <c:v>0.22856909466898701</c:v>
                </c:pt>
                <c:pt idx="102">
                  <c:v>0.21803476190511673</c:v>
                </c:pt>
                <c:pt idx="103">
                  <c:v>0.25466288720949237</c:v>
                </c:pt>
                <c:pt idx="104">
                  <c:v>0.27039796840861796</c:v>
                </c:pt>
                <c:pt idx="105">
                  <c:v>0.25675261629812518</c:v>
                </c:pt>
                <c:pt idx="106">
                  <c:v>0.25328163488239097</c:v>
                </c:pt>
                <c:pt idx="107">
                  <c:v>0.28062913141097456</c:v>
                </c:pt>
                <c:pt idx="108">
                  <c:v>0.2757491107241643</c:v>
                </c:pt>
                <c:pt idx="109">
                  <c:v>0.28307784999273189</c:v>
                </c:pt>
                <c:pt idx="110">
                  <c:v>0.27240825546265912</c:v>
                </c:pt>
                <c:pt idx="111">
                  <c:v>0.28782536686149074</c:v>
                </c:pt>
                <c:pt idx="112">
                  <c:v>0.29134329188764185</c:v>
                </c:pt>
                <c:pt idx="113">
                  <c:v>0.29541340882855172</c:v>
                </c:pt>
                <c:pt idx="114">
                  <c:v>0.30674612396382017</c:v>
                </c:pt>
                <c:pt idx="115">
                  <c:v>0.3218436450693748</c:v>
                </c:pt>
                <c:pt idx="116">
                  <c:v>0.30878262782696164</c:v>
                </c:pt>
                <c:pt idx="117">
                  <c:v>0.30572033867715964</c:v>
                </c:pt>
                <c:pt idx="118">
                  <c:v>0.30946039786790058</c:v>
                </c:pt>
                <c:pt idx="119">
                  <c:v>0.32673656643851101</c:v>
                </c:pt>
                <c:pt idx="120">
                  <c:v>0.32894134107252693</c:v>
                </c:pt>
                <c:pt idx="121">
                  <c:v>0.34310834796651846</c:v>
                </c:pt>
                <c:pt idx="122">
                  <c:v>0.38511471153837273</c:v>
                </c:pt>
                <c:pt idx="123">
                  <c:v>0.37254157409524058</c:v>
                </c:pt>
                <c:pt idx="124">
                  <c:v>0.35952300771511214</c:v>
                </c:pt>
                <c:pt idx="125">
                  <c:v>0.3481133374130122</c:v>
                </c:pt>
                <c:pt idx="126">
                  <c:v>0.36765905376160768</c:v>
                </c:pt>
                <c:pt idx="127">
                  <c:v>0.36509204953972629</c:v>
                </c:pt>
                <c:pt idx="128">
                  <c:v>0.35952287604621769</c:v>
                </c:pt>
                <c:pt idx="129">
                  <c:v>0.3714165233945822</c:v>
                </c:pt>
                <c:pt idx="130">
                  <c:v>0.37003545109841851</c:v>
                </c:pt>
                <c:pt idx="131">
                  <c:v>0.37257927580881933</c:v>
                </c:pt>
                <c:pt idx="132">
                  <c:v>0.37151514993207357</c:v>
                </c:pt>
                <c:pt idx="133">
                  <c:v>0.36595392836147855</c:v>
                </c:pt>
                <c:pt idx="134">
                  <c:v>0.35056983582572743</c:v>
                </c:pt>
                <c:pt idx="135">
                  <c:v>0.35086552283238281</c:v>
                </c:pt>
                <c:pt idx="136">
                  <c:v>0.36399194272952329</c:v>
                </c:pt>
                <c:pt idx="137">
                  <c:v>0.35053850677001519</c:v>
                </c:pt>
                <c:pt idx="138">
                  <c:v>0.35208862910390459</c:v>
                </c:pt>
                <c:pt idx="139">
                  <c:v>0.33799805813032391</c:v>
                </c:pt>
                <c:pt idx="140">
                  <c:v>0.34374341908546169</c:v>
                </c:pt>
                <c:pt idx="141">
                  <c:v>0.33983424704465348</c:v>
                </c:pt>
                <c:pt idx="142">
                  <c:v>0.34039652865472969</c:v>
                </c:pt>
                <c:pt idx="143">
                  <c:v>0.32992098910939527</c:v>
                </c:pt>
                <c:pt idx="144">
                  <c:v>0.31748600718013376</c:v>
                </c:pt>
                <c:pt idx="145">
                  <c:v>0.32610113385864048</c:v>
                </c:pt>
                <c:pt idx="146">
                  <c:v>0.31670457830472232</c:v>
                </c:pt>
                <c:pt idx="147">
                  <c:v>0.31360678939117592</c:v>
                </c:pt>
                <c:pt idx="148">
                  <c:v>0.31782625420022892</c:v>
                </c:pt>
                <c:pt idx="149">
                  <c:v>0.31214963129124418</c:v>
                </c:pt>
                <c:pt idx="150">
                  <c:v>0.3098343014651096</c:v>
                </c:pt>
                <c:pt idx="151">
                  <c:v>0.32273703789583097</c:v>
                </c:pt>
                <c:pt idx="152">
                  <c:v>0.30188087560971433</c:v>
                </c:pt>
                <c:pt idx="153">
                  <c:v>0.32278040253986306</c:v>
                </c:pt>
                <c:pt idx="154">
                  <c:v>0.31163389208825742</c:v>
                </c:pt>
                <c:pt idx="155">
                  <c:v>0.28988952011932334</c:v>
                </c:pt>
                <c:pt idx="156">
                  <c:v>0.28234050667075339</c:v>
                </c:pt>
                <c:pt idx="157">
                  <c:v>0.29311196112597682</c:v>
                </c:pt>
                <c:pt idx="158">
                  <c:v>0.2899853903021874</c:v>
                </c:pt>
                <c:pt idx="159">
                  <c:v>0.2962218654379094</c:v>
                </c:pt>
                <c:pt idx="160">
                  <c:v>0.27166726389124374</c:v>
                </c:pt>
                <c:pt idx="161">
                  <c:v>0.26595520346018175</c:v>
                </c:pt>
                <c:pt idx="162">
                  <c:v>0.2820261636461443</c:v>
                </c:pt>
                <c:pt idx="163">
                  <c:v>0.27873382968919769</c:v>
                </c:pt>
                <c:pt idx="164">
                  <c:v>0.2893655423549073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71895424"/>
        <c:axId val="483366016"/>
      </c:lineChart>
      <c:dateAx>
        <c:axId val="471895424"/>
        <c:scaling>
          <c:orientation val="minMax"/>
        </c:scaling>
        <c:delete val="0"/>
        <c:axPos val="b"/>
        <c:numFmt formatCode="m/d/yyyy" sourceLinked="1"/>
        <c:majorTickMark val="out"/>
        <c:minorTickMark val="none"/>
        <c:tickLblPos val="nextTo"/>
        <c:crossAx val="483366016"/>
        <c:crosses val="autoZero"/>
        <c:auto val="1"/>
        <c:lblOffset val="100"/>
        <c:baseTimeUnit val="months"/>
      </c:dateAx>
      <c:valAx>
        <c:axId val="483366016"/>
        <c:scaling>
          <c:orientation val="minMax"/>
        </c:scaling>
        <c:delete val="0"/>
        <c:axPos val="l"/>
        <c:majorGridlines/>
        <c:numFmt formatCode="0%" sourceLinked="1"/>
        <c:majorTickMark val="out"/>
        <c:minorTickMark val="none"/>
        <c:tickLblPos val="nextTo"/>
        <c:crossAx val="471895424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6.9730696547552623E-2"/>
          <c:y val="5.1400554097404488E-2"/>
          <c:w val="0.72253325093051557"/>
          <c:h val="0.68907808398950132"/>
        </c:manualLayout>
      </c:layout>
      <c:lineChart>
        <c:grouping val="standard"/>
        <c:varyColors val="0"/>
        <c:ser>
          <c:idx val="0"/>
          <c:order val="0"/>
          <c:tx>
            <c:strRef>
              <c:f>REO!$Z$1:$Z$2</c:f>
              <c:strCache>
                <c:ptCount val="1"/>
                <c:pt idx="0">
                  <c:v>Interest FHL</c:v>
                </c:pt>
              </c:strCache>
            </c:strRef>
          </c:tx>
          <c:marker>
            <c:symbol val="none"/>
          </c:marker>
          <c:cat>
            <c:numRef>
              <c:f>REO!$Y$14:$Y$181</c:f>
              <c:numCache>
                <c:formatCode>m/d/yyyy</c:formatCode>
                <c:ptCount val="168"/>
                <c:pt idx="0">
                  <c:v>36892</c:v>
                </c:pt>
                <c:pt idx="1">
                  <c:v>36923</c:v>
                </c:pt>
                <c:pt idx="2">
                  <c:v>36951</c:v>
                </c:pt>
                <c:pt idx="3">
                  <c:v>36982</c:v>
                </c:pt>
                <c:pt idx="4">
                  <c:v>37012</c:v>
                </c:pt>
                <c:pt idx="5">
                  <c:v>37043</c:v>
                </c:pt>
                <c:pt idx="6">
                  <c:v>37073</c:v>
                </c:pt>
                <c:pt idx="7">
                  <c:v>37104</c:v>
                </c:pt>
                <c:pt idx="8">
                  <c:v>37135</c:v>
                </c:pt>
                <c:pt idx="9">
                  <c:v>37165</c:v>
                </c:pt>
                <c:pt idx="10">
                  <c:v>37196</c:v>
                </c:pt>
                <c:pt idx="11">
                  <c:v>37226</c:v>
                </c:pt>
                <c:pt idx="12">
                  <c:v>37257</c:v>
                </c:pt>
                <c:pt idx="13">
                  <c:v>37288</c:v>
                </c:pt>
                <c:pt idx="14">
                  <c:v>37316</c:v>
                </c:pt>
                <c:pt idx="15">
                  <c:v>37347</c:v>
                </c:pt>
                <c:pt idx="16">
                  <c:v>37377</c:v>
                </c:pt>
                <c:pt idx="17">
                  <c:v>37408</c:v>
                </c:pt>
                <c:pt idx="18">
                  <c:v>37438</c:v>
                </c:pt>
                <c:pt idx="19">
                  <c:v>37469</c:v>
                </c:pt>
                <c:pt idx="20">
                  <c:v>37500</c:v>
                </c:pt>
                <c:pt idx="21">
                  <c:v>37530</c:v>
                </c:pt>
                <c:pt idx="22">
                  <c:v>37561</c:v>
                </c:pt>
                <c:pt idx="23">
                  <c:v>37591</c:v>
                </c:pt>
                <c:pt idx="24">
                  <c:v>37622</c:v>
                </c:pt>
                <c:pt idx="25">
                  <c:v>37653</c:v>
                </c:pt>
                <c:pt idx="26">
                  <c:v>37681</c:v>
                </c:pt>
                <c:pt idx="27">
                  <c:v>37712</c:v>
                </c:pt>
                <c:pt idx="28">
                  <c:v>37742</c:v>
                </c:pt>
                <c:pt idx="29">
                  <c:v>37773</c:v>
                </c:pt>
                <c:pt idx="30">
                  <c:v>37803</c:v>
                </c:pt>
                <c:pt idx="31">
                  <c:v>37834</c:v>
                </c:pt>
                <c:pt idx="32">
                  <c:v>37865</c:v>
                </c:pt>
                <c:pt idx="33">
                  <c:v>37895</c:v>
                </c:pt>
                <c:pt idx="34">
                  <c:v>37926</c:v>
                </c:pt>
                <c:pt idx="35">
                  <c:v>37956</c:v>
                </c:pt>
                <c:pt idx="36">
                  <c:v>37987</c:v>
                </c:pt>
                <c:pt idx="37">
                  <c:v>38018</c:v>
                </c:pt>
                <c:pt idx="38">
                  <c:v>38047</c:v>
                </c:pt>
                <c:pt idx="39">
                  <c:v>38078</c:v>
                </c:pt>
                <c:pt idx="40">
                  <c:v>38108</c:v>
                </c:pt>
                <c:pt idx="41">
                  <c:v>38139</c:v>
                </c:pt>
                <c:pt idx="42">
                  <c:v>38169</c:v>
                </c:pt>
                <c:pt idx="43">
                  <c:v>38200</c:v>
                </c:pt>
                <c:pt idx="44">
                  <c:v>38231</c:v>
                </c:pt>
                <c:pt idx="45">
                  <c:v>38261</c:v>
                </c:pt>
                <c:pt idx="46">
                  <c:v>38292</c:v>
                </c:pt>
                <c:pt idx="47">
                  <c:v>38322</c:v>
                </c:pt>
                <c:pt idx="48">
                  <c:v>38353</c:v>
                </c:pt>
                <c:pt idx="49">
                  <c:v>38384</c:v>
                </c:pt>
                <c:pt idx="50">
                  <c:v>38412</c:v>
                </c:pt>
                <c:pt idx="51">
                  <c:v>38443</c:v>
                </c:pt>
                <c:pt idx="52">
                  <c:v>38473</c:v>
                </c:pt>
                <c:pt idx="53">
                  <c:v>38504</c:v>
                </c:pt>
                <c:pt idx="54">
                  <c:v>38534</c:v>
                </c:pt>
                <c:pt idx="55">
                  <c:v>38565</c:v>
                </c:pt>
                <c:pt idx="56">
                  <c:v>38596</c:v>
                </c:pt>
                <c:pt idx="57">
                  <c:v>38626</c:v>
                </c:pt>
                <c:pt idx="58">
                  <c:v>38657</c:v>
                </c:pt>
                <c:pt idx="59">
                  <c:v>38687</c:v>
                </c:pt>
                <c:pt idx="60">
                  <c:v>38718</c:v>
                </c:pt>
                <c:pt idx="61">
                  <c:v>38749</c:v>
                </c:pt>
                <c:pt idx="62">
                  <c:v>38777</c:v>
                </c:pt>
                <c:pt idx="63">
                  <c:v>38808</c:v>
                </c:pt>
                <c:pt idx="64">
                  <c:v>38838</c:v>
                </c:pt>
                <c:pt idx="65">
                  <c:v>38869</c:v>
                </c:pt>
                <c:pt idx="66">
                  <c:v>38899</c:v>
                </c:pt>
                <c:pt idx="67">
                  <c:v>38930</c:v>
                </c:pt>
                <c:pt idx="68">
                  <c:v>38961</c:v>
                </c:pt>
                <c:pt idx="69">
                  <c:v>38991</c:v>
                </c:pt>
                <c:pt idx="70">
                  <c:v>39022</c:v>
                </c:pt>
                <c:pt idx="71">
                  <c:v>39052</c:v>
                </c:pt>
                <c:pt idx="72">
                  <c:v>39083</c:v>
                </c:pt>
                <c:pt idx="73">
                  <c:v>39114</c:v>
                </c:pt>
                <c:pt idx="74">
                  <c:v>39142</c:v>
                </c:pt>
                <c:pt idx="75">
                  <c:v>39173</c:v>
                </c:pt>
                <c:pt idx="76">
                  <c:v>39203</c:v>
                </c:pt>
                <c:pt idx="77">
                  <c:v>39234</c:v>
                </c:pt>
                <c:pt idx="78">
                  <c:v>39264</c:v>
                </c:pt>
                <c:pt idx="79">
                  <c:v>39295</c:v>
                </c:pt>
                <c:pt idx="80">
                  <c:v>39326</c:v>
                </c:pt>
                <c:pt idx="81">
                  <c:v>39356</c:v>
                </c:pt>
                <c:pt idx="82">
                  <c:v>39387</c:v>
                </c:pt>
                <c:pt idx="83">
                  <c:v>39417</c:v>
                </c:pt>
                <c:pt idx="84">
                  <c:v>39448</c:v>
                </c:pt>
                <c:pt idx="85">
                  <c:v>39479</c:v>
                </c:pt>
                <c:pt idx="86">
                  <c:v>39508</c:v>
                </c:pt>
                <c:pt idx="87">
                  <c:v>39539</c:v>
                </c:pt>
                <c:pt idx="88">
                  <c:v>39569</c:v>
                </c:pt>
                <c:pt idx="89">
                  <c:v>39600</c:v>
                </c:pt>
                <c:pt idx="90">
                  <c:v>39630</c:v>
                </c:pt>
                <c:pt idx="91">
                  <c:v>39661</c:v>
                </c:pt>
                <c:pt idx="92">
                  <c:v>39692</c:v>
                </c:pt>
                <c:pt idx="93">
                  <c:v>39722</c:v>
                </c:pt>
                <c:pt idx="94">
                  <c:v>39753</c:v>
                </c:pt>
                <c:pt idx="95">
                  <c:v>39783</c:v>
                </c:pt>
                <c:pt idx="96">
                  <c:v>39814</c:v>
                </c:pt>
                <c:pt idx="97">
                  <c:v>39845</c:v>
                </c:pt>
                <c:pt idx="98">
                  <c:v>39873</c:v>
                </c:pt>
                <c:pt idx="99">
                  <c:v>39904</c:v>
                </c:pt>
                <c:pt idx="100">
                  <c:v>39934</c:v>
                </c:pt>
                <c:pt idx="101">
                  <c:v>39965</c:v>
                </c:pt>
                <c:pt idx="102">
                  <c:v>39995</c:v>
                </c:pt>
                <c:pt idx="103">
                  <c:v>40026</c:v>
                </c:pt>
                <c:pt idx="104">
                  <c:v>40057</c:v>
                </c:pt>
                <c:pt idx="105">
                  <c:v>40087</c:v>
                </c:pt>
                <c:pt idx="106">
                  <c:v>40118</c:v>
                </c:pt>
                <c:pt idx="107">
                  <c:v>40148</c:v>
                </c:pt>
                <c:pt idx="108">
                  <c:v>40179</c:v>
                </c:pt>
                <c:pt idx="109">
                  <c:v>40210</c:v>
                </c:pt>
                <c:pt idx="110">
                  <c:v>40238</c:v>
                </c:pt>
                <c:pt idx="111">
                  <c:v>40269</c:v>
                </c:pt>
                <c:pt idx="112">
                  <c:v>40299</c:v>
                </c:pt>
                <c:pt idx="113">
                  <c:v>40330</c:v>
                </c:pt>
                <c:pt idx="114">
                  <c:v>40360</c:v>
                </c:pt>
                <c:pt idx="115">
                  <c:v>40391</c:v>
                </c:pt>
                <c:pt idx="116">
                  <c:v>40422</c:v>
                </c:pt>
                <c:pt idx="117">
                  <c:v>40452</c:v>
                </c:pt>
                <c:pt idx="118">
                  <c:v>40483</c:v>
                </c:pt>
                <c:pt idx="119">
                  <c:v>40513</c:v>
                </c:pt>
                <c:pt idx="120">
                  <c:v>40544</c:v>
                </c:pt>
                <c:pt idx="121">
                  <c:v>40575</c:v>
                </c:pt>
                <c:pt idx="122">
                  <c:v>40603</c:v>
                </c:pt>
                <c:pt idx="123">
                  <c:v>40634</c:v>
                </c:pt>
                <c:pt idx="124">
                  <c:v>40664</c:v>
                </c:pt>
                <c:pt idx="125">
                  <c:v>40695</c:v>
                </c:pt>
                <c:pt idx="126">
                  <c:v>40725</c:v>
                </c:pt>
                <c:pt idx="127">
                  <c:v>40756</c:v>
                </c:pt>
                <c:pt idx="128">
                  <c:v>40787</c:v>
                </c:pt>
                <c:pt idx="129">
                  <c:v>40817</c:v>
                </c:pt>
                <c:pt idx="130">
                  <c:v>40848</c:v>
                </c:pt>
                <c:pt idx="131">
                  <c:v>40878</c:v>
                </c:pt>
                <c:pt idx="132">
                  <c:v>40909</c:v>
                </c:pt>
                <c:pt idx="133">
                  <c:v>40940</c:v>
                </c:pt>
                <c:pt idx="134">
                  <c:v>40969</c:v>
                </c:pt>
                <c:pt idx="135">
                  <c:v>41000</c:v>
                </c:pt>
                <c:pt idx="136">
                  <c:v>41030</c:v>
                </c:pt>
                <c:pt idx="137">
                  <c:v>41061</c:v>
                </c:pt>
                <c:pt idx="138">
                  <c:v>41091</c:v>
                </c:pt>
                <c:pt idx="139">
                  <c:v>41122</c:v>
                </c:pt>
                <c:pt idx="140">
                  <c:v>41153</c:v>
                </c:pt>
                <c:pt idx="141">
                  <c:v>41183</c:v>
                </c:pt>
                <c:pt idx="142">
                  <c:v>41214</c:v>
                </c:pt>
                <c:pt idx="143">
                  <c:v>41244</c:v>
                </c:pt>
                <c:pt idx="144">
                  <c:v>41275</c:v>
                </c:pt>
                <c:pt idx="145">
                  <c:v>41306</c:v>
                </c:pt>
                <c:pt idx="146">
                  <c:v>41334</c:v>
                </c:pt>
                <c:pt idx="147">
                  <c:v>41365</c:v>
                </c:pt>
                <c:pt idx="148">
                  <c:v>41395</c:v>
                </c:pt>
                <c:pt idx="149">
                  <c:v>41426</c:v>
                </c:pt>
                <c:pt idx="150">
                  <c:v>41456</c:v>
                </c:pt>
                <c:pt idx="151">
                  <c:v>41487</c:v>
                </c:pt>
                <c:pt idx="152">
                  <c:v>41518</c:v>
                </c:pt>
                <c:pt idx="153">
                  <c:v>41548</c:v>
                </c:pt>
                <c:pt idx="154">
                  <c:v>41579</c:v>
                </c:pt>
                <c:pt idx="155">
                  <c:v>41609</c:v>
                </c:pt>
                <c:pt idx="156">
                  <c:v>41640</c:v>
                </c:pt>
                <c:pt idx="157">
                  <c:v>41671</c:v>
                </c:pt>
                <c:pt idx="158">
                  <c:v>41699</c:v>
                </c:pt>
                <c:pt idx="159">
                  <c:v>41730</c:v>
                </c:pt>
                <c:pt idx="160">
                  <c:v>41760</c:v>
                </c:pt>
                <c:pt idx="161">
                  <c:v>41791</c:v>
                </c:pt>
                <c:pt idx="162">
                  <c:v>41821</c:v>
                </c:pt>
                <c:pt idx="163">
                  <c:v>41852</c:v>
                </c:pt>
                <c:pt idx="164">
                  <c:v>41883</c:v>
                </c:pt>
              </c:numCache>
            </c:numRef>
          </c:cat>
          <c:val>
            <c:numRef>
              <c:f>REO!$Z$14:$Z$181</c:f>
              <c:numCache>
                <c:formatCode>0%</c:formatCode>
                <c:ptCount val="168"/>
                <c:pt idx="0">
                  <c:v>7.5700017511479104E-2</c:v>
                </c:pt>
                <c:pt idx="1">
                  <c:v>8.6374846427859905E-2</c:v>
                </c:pt>
                <c:pt idx="2">
                  <c:v>8.1985100886095494E-2</c:v>
                </c:pt>
                <c:pt idx="3">
                  <c:v>8.7250728435210007E-2</c:v>
                </c:pt>
                <c:pt idx="4">
                  <c:v>8.23832173811061E-2</c:v>
                </c:pt>
                <c:pt idx="5">
                  <c:v>8.14673973711382E-2</c:v>
                </c:pt>
                <c:pt idx="6">
                  <c:v>8.7820517967433703E-2</c:v>
                </c:pt>
                <c:pt idx="7">
                  <c:v>8.8578591792627101E-2</c:v>
                </c:pt>
                <c:pt idx="8">
                  <c:v>8.8688619545653699E-2</c:v>
                </c:pt>
                <c:pt idx="9">
                  <c:v>9.0651096701887202E-2</c:v>
                </c:pt>
                <c:pt idx="10">
                  <c:v>9.7345432879190605E-2</c:v>
                </c:pt>
                <c:pt idx="11">
                  <c:v>9.4388605889181604E-2</c:v>
                </c:pt>
                <c:pt idx="12">
                  <c:v>9.2143357526124098E-2</c:v>
                </c:pt>
                <c:pt idx="13">
                  <c:v>9.18756117926742E-2</c:v>
                </c:pt>
                <c:pt idx="14">
                  <c:v>9.4031959477401297E-2</c:v>
                </c:pt>
                <c:pt idx="15">
                  <c:v>9.6647519931679901E-2</c:v>
                </c:pt>
                <c:pt idx="16">
                  <c:v>9.5342702779090002E-2</c:v>
                </c:pt>
                <c:pt idx="17">
                  <c:v>9.3979781476172503E-2</c:v>
                </c:pt>
                <c:pt idx="18">
                  <c:v>9.7684253034284296E-2</c:v>
                </c:pt>
                <c:pt idx="19">
                  <c:v>9.9353926338060505E-2</c:v>
                </c:pt>
                <c:pt idx="20">
                  <c:v>9.8950252859810003E-2</c:v>
                </c:pt>
                <c:pt idx="21">
                  <c:v>9.8997578297052996E-2</c:v>
                </c:pt>
                <c:pt idx="22">
                  <c:v>9.7595287119505103E-2</c:v>
                </c:pt>
                <c:pt idx="23">
                  <c:v>9.8142375763494993E-2</c:v>
                </c:pt>
                <c:pt idx="24">
                  <c:v>0.100100382458135</c:v>
                </c:pt>
                <c:pt idx="25">
                  <c:v>9.8364066523214194E-2</c:v>
                </c:pt>
                <c:pt idx="26">
                  <c:v>9.9827343641933394E-2</c:v>
                </c:pt>
                <c:pt idx="27">
                  <c:v>0.100642391449035</c:v>
                </c:pt>
                <c:pt idx="28">
                  <c:v>9.78646848516566E-2</c:v>
                </c:pt>
                <c:pt idx="29">
                  <c:v>9.6155197260453795E-2</c:v>
                </c:pt>
                <c:pt idx="30">
                  <c:v>9.6283177647796703E-2</c:v>
                </c:pt>
                <c:pt idx="31">
                  <c:v>9.6528255301381802E-2</c:v>
                </c:pt>
                <c:pt idx="32">
                  <c:v>9.6381179856145097E-2</c:v>
                </c:pt>
                <c:pt idx="33">
                  <c:v>9.7694518496988098E-2</c:v>
                </c:pt>
                <c:pt idx="34">
                  <c:v>9.9638285406874097E-2</c:v>
                </c:pt>
                <c:pt idx="35">
                  <c:v>9.6972969853862195E-2</c:v>
                </c:pt>
                <c:pt idx="36">
                  <c:v>9.94455737800434E-2</c:v>
                </c:pt>
                <c:pt idx="37">
                  <c:v>9.9099974881294406E-2</c:v>
                </c:pt>
                <c:pt idx="38">
                  <c:v>9.7643374009448503E-2</c:v>
                </c:pt>
                <c:pt idx="39">
                  <c:v>9.78389216732755E-2</c:v>
                </c:pt>
                <c:pt idx="40">
                  <c:v>9.9934612847631901E-2</c:v>
                </c:pt>
                <c:pt idx="41">
                  <c:v>9.8709021643497596E-2</c:v>
                </c:pt>
                <c:pt idx="42">
                  <c:v>9.3860838657326306E-2</c:v>
                </c:pt>
                <c:pt idx="43">
                  <c:v>0.100067155523113</c:v>
                </c:pt>
                <c:pt idx="44">
                  <c:v>9.6812926875504302E-2</c:v>
                </c:pt>
                <c:pt idx="45">
                  <c:v>9.6881128017634002E-2</c:v>
                </c:pt>
                <c:pt idx="46">
                  <c:v>9.3759805285781594E-2</c:v>
                </c:pt>
                <c:pt idx="47">
                  <c:v>0.10046273596212101</c:v>
                </c:pt>
                <c:pt idx="48">
                  <c:v>9.8037070424389194E-2</c:v>
                </c:pt>
                <c:pt idx="49">
                  <c:v>0.100266698698994</c:v>
                </c:pt>
                <c:pt idx="50">
                  <c:v>9.9555447075165698E-2</c:v>
                </c:pt>
                <c:pt idx="51">
                  <c:v>9.7831472716673099E-2</c:v>
                </c:pt>
                <c:pt idx="52">
                  <c:v>9.6918968728734997E-2</c:v>
                </c:pt>
                <c:pt idx="53">
                  <c:v>9.8148846298179104E-2</c:v>
                </c:pt>
                <c:pt idx="54">
                  <c:v>9.7096481445724095E-2</c:v>
                </c:pt>
                <c:pt idx="55">
                  <c:v>9.7185093983783402E-2</c:v>
                </c:pt>
                <c:pt idx="56">
                  <c:v>9.7031520864617596E-2</c:v>
                </c:pt>
                <c:pt idx="57">
                  <c:v>9.65836220156953E-2</c:v>
                </c:pt>
                <c:pt idx="58">
                  <c:v>9.3356631902209997E-2</c:v>
                </c:pt>
                <c:pt idx="59">
                  <c:v>9.6227184955481396E-2</c:v>
                </c:pt>
                <c:pt idx="60">
                  <c:v>9.5880931242496498E-2</c:v>
                </c:pt>
                <c:pt idx="61">
                  <c:v>0.10018214193970899</c:v>
                </c:pt>
                <c:pt idx="62">
                  <c:v>9.8423367371630405E-2</c:v>
                </c:pt>
                <c:pt idx="63">
                  <c:v>9.7923011109540506E-2</c:v>
                </c:pt>
                <c:pt idx="64">
                  <c:v>9.5834604710294494E-2</c:v>
                </c:pt>
                <c:pt idx="65">
                  <c:v>9.3843548647878305E-2</c:v>
                </c:pt>
                <c:pt idx="66">
                  <c:v>0.10012666346438701</c:v>
                </c:pt>
                <c:pt idx="67">
                  <c:v>9.2644453099378896E-2</c:v>
                </c:pt>
                <c:pt idx="68">
                  <c:v>9.7319911747742696E-2</c:v>
                </c:pt>
                <c:pt idx="69">
                  <c:v>9.6160026195756795E-2</c:v>
                </c:pt>
                <c:pt idx="70">
                  <c:v>9.6271397317960097E-2</c:v>
                </c:pt>
                <c:pt idx="71">
                  <c:v>9.4514168079291194E-2</c:v>
                </c:pt>
                <c:pt idx="72">
                  <c:v>9.3795417677357107E-2</c:v>
                </c:pt>
                <c:pt idx="73">
                  <c:v>9.1416468608112603E-2</c:v>
                </c:pt>
                <c:pt idx="74">
                  <c:v>9.3842257642494098E-2</c:v>
                </c:pt>
                <c:pt idx="75">
                  <c:v>9.27127088006513E-2</c:v>
                </c:pt>
                <c:pt idx="76">
                  <c:v>8.7413165599974502E-2</c:v>
                </c:pt>
                <c:pt idx="77">
                  <c:v>8.9702686451428898E-2</c:v>
                </c:pt>
                <c:pt idx="78">
                  <c:v>8.5729789013118701E-2</c:v>
                </c:pt>
                <c:pt idx="79">
                  <c:v>8.5693621366200998E-2</c:v>
                </c:pt>
                <c:pt idx="80">
                  <c:v>8.8230985432445896E-2</c:v>
                </c:pt>
                <c:pt idx="81">
                  <c:v>8.7441987361647294E-2</c:v>
                </c:pt>
                <c:pt idx="82">
                  <c:v>8.6619039762730304E-2</c:v>
                </c:pt>
                <c:pt idx="83">
                  <c:v>8.50229863714735E-2</c:v>
                </c:pt>
                <c:pt idx="84">
                  <c:v>8.3406168218983598E-2</c:v>
                </c:pt>
                <c:pt idx="85">
                  <c:v>8.1811172557411799E-2</c:v>
                </c:pt>
                <c:pt idx="86">
                  <c:v>8.4842762524916598E-2</c:v>
                </c:pt>
                <c:pt idx="87">
                  <c:v>8.1095203921321496E-2</c:v>
                </c:pt>
                <c:pt idx="88">
                  <c:v>7.8229503396076802E-2</c:v>
                </c:pt>
                <c:pt idx="89">
                  <c:v>7.91701188048093E-2</c:v>
                </c:pt>
                <c:pt idx="90">
                  <c:v>7.7310182903525898E-2</c:v>
                </c:pt>
                <c:pt idx="91">
                  <c:v>7.8460081845182703E-2</c:v>
                </c:pt>
                <c:pt idx="92">
                  <c:v>8.0211305165266603E-2</c:v>
                </c:pt>
                <c:pt idx="93">
                  <c:v>7.9239198038002306E-2</c:v>
                </c:pt>
                <c:pt idx="94">
                  <c:v>7.7945848668359893E-2</c:v>
                </c:pt>
                <c:pt idx="95">
                  <c:v>7.9051845477373595E-2</c:v>
                </c:pt>
                <c:pt idx="96">
                  <c:v>8.0047522199269402E-2</c:v>
                </c:pt>
                <c:pt idx="97">
                  <c:v>8.21323724371881E-2</c:v>
                </c:pt>
                <c:pt idx="98">
                  <c:v>8.3854938290140499E-2</c:v>
                </c:pt>
                <c:pt idx="99">
                  <c:v>8.2996169750501295E-2</c:v>
                </c:pt>
                <c:pt idx="100">
                  <c:v>8.3295319289522093E-2</c:v>
                </c:pt>
                <c:pt idx="101">
                  <c:v>8.40753384734374E-2</c:v>
                </c:pt>
                <c:pt idx="102">
                  <c:v>8.2840195412398607E-2</c:v>
                </c:pt>
                <c:pt idx="103">
                  <c:v>8.4768509022816393E-2</c:v>
                </c:pt>
                <c:pt idx="104">
                  <c:v>8.3091997337019705E-2</c:v>
                </c:pt>
                <c:pt idx="105">
                  <c:v>8.30712630880171E-2</c:v>
                </c:pt>
                <c:pt idx="106">
                  <c:v>8.5261142934000195E-2</c:v>
                </c:pt>
                <c:pt idx="107">
                  <c:v>8.6701423275640399E-2</c:v>
                </c:pt>
                <c:pt idx="108">
                  <c:v>8.7766539899518603E-2</c:v>
                </c:pt>
                <c:pt idx="109">
                  <c:v>8.9559017451881801E-2</c:v>
                </c:pt>
                <c:pt idx="110">
                  <c:v>9.0773952799962004E-2</c:v>
                </c:pt>
                <c:pt idx="111">
                  <c:v>9.1121701092776494E-2</c:v>
                </c:pt>
                <c:pt idx="112">
                  <c:v>9.2771040229938304E-2</c:v>
                </c:pt>
                <c:pt idx="113">
                  <c:v>9.5046865161455898E-2</c:v>
                </c:pt>
                <c:pt idx="114">
                  <c:v>9.5848206095561106E-2</c:v>
                </c:pt>
                <c:pt idx="115">
                  <c:v>9.7468791704989802E-2</c:v>
                </c:pt>
                <c:pt idx="116">
                  <c:v>9.7402732731791994E-2</c:v>
                </c:pt>
                <c:pt idx="117">
                  <c:v>9.6708241013600704E-2</c:v>
                </c:pt>
                <c:pt idx="118">
                  <c:v>9.8016810102534505E-2</c:v>
                </c:pt>
                <c:pt idx="119">
                  <c:v>0.100693029543902</c:v>
                </c:pt>
                <c:pt idx="120">
                  <c:v>0.10362269452782299</c:v>
                </c:pt>
                <c:pt idx="121">
                  <c:v>0.106435032510514</c:v>
                </c:pt>
                <c:pt idx="122">
                  <c:v>0.10777830644841201</c:v>
                </c:pt>
                <c:pt idx="123">
                  <c:v>0.10802219652358</c:v>
                </c:pt>
                <c:pt idx="124">
                  <c:v>0.107334654917545</c:v>
                </c:pt>
                <c:pt idx="125">
                  <c:v>0.10612887606831301</c:v>
                </c:pt>
                <c:pt idx="126">
                  <c:v>0.109098447470591</c:v>
                </c:pt>
                <c:pt idx="127">
                  <c:v>0.109470178303298</c:v>
                </c:pt>
                <c:pt idx="128">
                  <c:v>0.11254974462723299</c:v>
                </c:pt>
                <c:pt idx="129">
                  <c:v>0.112633822929773</c:v>
                </c:pt>
                <c:pt idx="130">
                  <c:v>0.11448627803303001</c:v>
                </c:pt>
                <c:pt idx="131">
                  <c:v>0.114368178306418</c:v>
                </c:pt>
                <c:pt idx="132">
                  <c:v>0.11762468025463201</c:v>
                </c:pt>
                <c:pt idx="133">
                  <c:v>0.118274242034744</c:v>
                </c:pt>
                <c:pt idx="134">
                  <c:v>0.117222922233471</c:v>
                </c:pt>
                <c:pt idx="135">
                  <c:v>0.119457641163652</c:v>
                </c:pt>
                <c:pt idx="136">
                  <c:v>0.120793082975736</c:v>
                </c:pt>
                <c:pt idx="137">
                  <c:v>0.124339586143352</c:v>
                </c:pt>
                <c:pt idx="138">
                  <c:v>0.12595648924608199</c:v>
                </c:pt>
                <c:pt idx="139">
                  <c:v>0.127399179250932</c:v>
                </c:pt>
                <c:pt idx="140">
                  <c:v>0.12785568391393901</c:v>
                </c:pt>
                <c:pt idx="141">
                  <c:v>0.130026853299473</c:v>
                </c:pt>
                <c:pt idx="142">
                  <c:v>0.128946320209405</c:v>
                </c:pt>
                <c:pt idx="143">
                  <c:v>0.133462946499223</c:v>
                </c:pt>
                <c:pt idx="144">
                  <c:v>0.13255785570862499</c:v>
                </c:pt>
                <c:pt idx="145">
                  <c:v>0.132899200173002</c:v>
                </c:pt>
                <c:pt idx="146">
                  <c:v>0.13605841600933299</c:v>
                </c:pt>
                <c:pt idx="147">
                  <c:v>0.135085417582614</c:v>
                </c:pt>
                <c:pt idx="148">
                  <c:v>0.138395991655169</c:v>
                </c:pt>
                <c:pt idx="149">
                  <c:v>0.13935048312840301</c:v>
                </c:pt>
                <c:pt idx="150">
                  <c:v>0.14495797013721501</c:v>
                </c:pt>
                <c:pt idx="151">
                  <c:v>0.14682611947086599</c:v>
                </c:pt>
                <c:pt idx="152">
                  <c:v>0.14935218786685101</c:v>
                </c:pt>
                <c:pt idx="153">
                  <c:v>0.15648480982466501</c:v>
                </c:pt>
                <c:pt idx="154">
                  <c:v>0.153420060802133</c:v>
                </c:pt>
                <c:pt idx="155">
                  <c:v>0.157007574906918</c:v>
                </c:pt>
                <c:pt idx="156">
                  <c:v>0.16187093097063801</c:v>
                </c:pt>
                <c:pt idx="157">
                  <c:v>0.16121224444721999</c:v>
                </c:pt>
                <c:pt idx="158">
                  <c:v>0.160666962065103</c:v>
                </c:pt>
                <c:pt idx="159">
                  <c:v>0.165256421388838</c:v>
                </c:pt>
                <c:pt idx="160">
                  <c:v>0.168787807354702</c:v>
                </c:pt>
                <c:pt idx="161">
                  <c:v>0.172706171158025</c:v>
                </c:pt>
                <c:pt idx="162">
                  <c:v>0.17332229898104901</c:v>
                </c:pt>
                <c:pt idx="163">
                  <c:v>0.17256507263540399</c:v>
                </c:pt>
                <c:pt idx="164">
                  <c:v>0.18397047750050499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REO!$AA$1:$AA$2</c:f>
              <c:strCache>
                <c:ptCount val="1"/>
                <c:pt idx="0">
                  <c:v>Interest FNMA</c:v>
                </c:pt>
              </c:strCache>
            </c:strRef>
          </c:tx>
          <c:marker>
            <c:symbol val="none"/>
          </c:marker>
          <c:cat>
            <c:numRef>
              <c:f>REO!$Y$14:$Y$181</c:f>
              <c:numCache>
                <c:formatCode>m/d/yyyy</c:formatCode>
                <c:ptCount val="168"/>
                <c:pt idx="0">
                  <c:v>36892</c:v>
                </c:pt>
                <c:pt idx="1">
                  <c:v>36923</c:v>
                </c:pt>
                <c:pt idx="2">
                  <c:v>36951</c:v>
                </c:pt>
                <c:pt idx="3">
                  <c:v>36982</c:v>
                </c:pt>
                <c:pt idx="4">
                  <c:v>37012</c:v>
                </c:pt>
                <c:pt idx="5">
                  <c:v>37043</c:v>
                </c:pt>
                <c:pt idx="6">
                  <c:v>37073</c:v>
                </c:pt>
                <c:pt idx="7">
                  <c:v>37104</c:v>
                </c:pt>
                <c:pt idx="8">
                  <c:v>37135</c:v>
                </c:pt>
                <c:pt idx="9">
                  <c:v>37165</c:v>
                </c:pt>
                <c:pt idx="10">
                  <c:v>37196</c:v>
                </c:pt>
                <c:pt idx="11">
                  <c:v>37226</c:v>
                </c:pt>
                <c:pt idx="12">
                  <c:v>37257</c:v>
                </c:pt>
                <c:pt idx="13">
                  <c:v>37288</c:v>
                </c:pt>
                <c:pt idx="14">
                  <c:v>37316</c:v>
                </c:pt>
                <c:pt idx="15">
                  <c:v>37347</c:v>
                </c:pt>
                <c:pt idx="16">
                  <c:v>37377</c:v>
                </c:pt>
                <c:pt idx="17">
                  <c:v>37408</c:v>
                </c:pt>
                <c:pt idx="18">
                  <c:v>37438</c:v>
                </c:pt>
                <c:pt idx="19">
                  <c:v>37469</c:v>
                </c:pt>
                <c:pt idx="20">
                  <c:v>37500</c:v>
                </c:pt>
                <c:pt idx="21">
                  <c:v>37530</c:v>
                </c:pt>
                <c:pt idx="22">
                  <c:v>37561</c:v>
                </c:pt>
                <c:pt idx="23">
                  <c:v>37591</c:v>
                </c:pt>
                <c:pt idx="24">
                  <c:v>37622</c:v>
                </c:pt>
                <c:pt idx="25">
                  <c:v>37653</c:v>
                </c:pt>
                <c:pt idx="26">
                  <c:v>37681</c:v>
                </c:pt>
                <c:pt idx="27">
                  <c:v>37712</c:v>
                </c:pt>
                <c:pt idx="28">
                  <c:v>37742</c:v>
                </c:pt>
                <c:pt idx="29">
                  <c:v>37773</c:v>
                </c:pt>
                <c:pt idx="30">
                  <c:v>37803</c:v>
                </c:pt>
                <c:pt idx="31">
                  <c:v>37834</c:v>
                </c:pt>
                <c:pt idx="32">
                  <c:v>37865</c:v>
                </c:pt>
                <c:pt idx="33">
                  <c:v>37895</c:v>
                </c:pt>
                <c:pt idx="34">
                  <c:v>37926</c:v>
                </c:pt>
                <c:pt idx="35">
                  <c:v>37956</c:v>
                </c:pt>
                <c:pt idx="36">
                  <c:v>37987</c:v>
                </c:pt>
                <c:pt idx="37">
                  <c:v>38018</c:v>
                </c:pt>
                <c:pt idx="38">
                  <c:v>38047</c:v>
                </c:pt>
                <c:pt idx="39">
                  <c:v>38078</c:v>
                </c:pt>
                <c:pt idx="40">
                  <c:v>38108</c:v>
                </c:pt>
                <c:pt idx="41">
                  <c:v>38139</c:v>
                </c:pt>
                <c:pt idx="42">
                  <c:v>38169</c:v>
                </c:pt>
                <c:pt idx="43">
                  <c:v>38200</c:v>
                </c:pt>
                <c:pt idx="44">
                  <c:v>38231</c:v>
                </c:pt>
                <c:pt idx="45">
                  <c:v>38261</c:v>
                </c:pt>
                <c:pt idx="46">
                  <c:v>38292</c:v>
                </c:pt>
                <c:pt idx="47">
                  <c:v>38322</c:v>
                </c:pt>
                <c:pt idx="48">
                  <c:v>38353</c:v>
                </c:pt>
                <c:pt idx="49">
                  <c:v>38384</c:v>
                </c:pt>
                <c:pt idx="50">
                  <c:v>38412</c:v>
                </c:pt>
                <c:pt idx="51">
                  <c:v>38443</c:v>
                </c:pt>
                <c:pt idx="52">
                  <c:v>38473</c:v>
                </c:pt>
                <c:pt idx="53">
                  <c:v>38504</c:v>
                </c:pt>
                <c:pt idx="54">
                  <c:v>38534</c:v>
                </c:pt>
                <c:pt idx="55">
                  <c:v>38565</c:v>
                </c:pt>
                <c:pt idx="56">
                  <c:v>38596</c:v>
                </c:pt>
                <c:pt idx="57">
                  <c:v>38626</c:v>
                </c:pt>
                <c:pt idx="58">
                  <c:v>38657</c:v>
                </c:pt>
                <c:pt idx="59">
                  <c:v>38687</c:v>
                </c:pt>
                <c:pt idx="60">
                  <c:v>38718</c:v>
                </c:pt>
                <c:pt idx="61">
                  <c:v>38749</c:v>
                </c:pt>
                <c:pt idx="62">
                  <c:v>38777</c:v>
                </c:pt>
                <c:pt idx="63">
                  <c:v>38808</c:v>
                </c:pt>
                <c:pt idx="64">
                  <c:v>38838</c:v>
                </c:pt>
                <c:pt idx="65">
                  <c:v>38869</c:v>
                </c:pt>
                <c:pt idx="66">
                  <c:v>38899</c:v>
                </c:pt>
                <c:pt idx="67">
                  <c:v>38930</c:v>
                </c:pt>
                <c:pt idx="68">
                  <c:v>38961</c:v>
                </c:pt>
                <c:pt idx="69">
                  <c:v>38991</c:v>
                </c:pt>
                <c:pt idx="70">
                  <c:v>39022</c:v>
                </c:pt>
                <c:pt idx="71">
                  <c:v>39052</c:v>
                </c:pt>
                <c:pt idx="72">
                  <c:v>39083</c:v>
                </c:pt>
                <c:pt idx="73">
                  <c:v>39114</c:v>
                </c:pt>
                <c:pt idx="74">
                  <c:v>39142</c:v>
                </c:pt>
                <c:pt idx="75">
                  <c:v>39173</c:v>
                </c:pt>
                <c:pt idx="76">
                  <c:v>39203</c:v>
                </c:pt>
                <c:pt idx="77">
                  <c:v>39234</c:v>
                </c:pt>
                <c:pt idx="78">
                  <c:v>39264</c:v>
                </c:pt>
                <c:pt idx="79">
                  <c:v>39295</c:v>
                </c:pt>
                <c:pt idx="80">
                  <c:v>39326</c:v>
                </c:pt>
                <c:pt idx="81">
                  <c:v>39356</c:v>
                </c:pt>
                <c:pt idx="82">
                  <c:v>39387</c:v>
                </c:pt>
                <c:pt idx="83">
                  <c:v>39417</c:v>
                </c:pt>
                <c:pt idx="84">
                  <c:v>39448</c:v>
                </c:pt>
                <c:pt idx="85">
                  <c:v>39479</c:v>
                </c:pt>
                <c:pt idx="86">
                  <c:v>39508</c:v>
                </c:pt>
                <c:pt idx="87">
                  <c:v>39539</c:v>
                </c:pt>
                <c:pt idx="88">
                  <c:v>39569</c:v>
                </c:pt>
                <c:pt idx="89">
                  <c:v>39600</c:v>
                </c:pt>
                <c:pt idx="90">
                  <c:v>39630</c:v>
                </c:pt>
                <c:pt idx="91">
                  <c:v>39661</c:v>
                </c:pt>
                <c:pt idx="92">
                  <c:v>39692</c:v>
                </c:pt>
                <c:pt idx="93">
                  <c:v>39722</c:v>
                </c:pt>
                <c:pt idx="94">
                  <c:v>39753</c:v>
                </c:pt>
                <c:pt idx="95">
                  <c:v>39783</c:v>
                </c:pt>
                <c:pt idx="96">
                  <c:v>39814</c:v>
                </c:pt>
                <c:pt idx="97">
                  <c:v>39845</c:v>
                </c:pt>
                <c:pt idx="98">
                  <c:v>39873</c:v>
                </c:pt>
                <c:pt idx="99">
                  <c:v>39904</c:v>
                </c:pt>
                <c:pt idx="100">
                  <c:v>39934</c:v>
                </c:pt>
                <c:pt idx="101">
                  <c:v>39965</c:v>
                </c:pt>
                <c:pt idx="102">
                  <c:v>39995</c:v>
                </c:pt>
                <c:pt idx="103">
                  <c:v>40026</c:v>
                </c:pt>
                <c:pt idx="104">
                  <c:v>40057</c:v>
                </c:pt>
                <c:pt idx="105">
                  <c:v>40087</c:v>
                </c:pt>
                <c:pt idx="106">
                  <c:v>40118</c:v>
                </c:pt>
                <c:pt idx="107">
                  <c:v>40148</c:v>
                </c:pt>
                <c:pt idx="108">
                  <c:v>40179</c:v>
                </c:pt>
                <c:pt idx="109">
                  <c:v>40210</c:v>
                </c:pt>
                <c:pt idx="110">
                  <c:v>40238</c:v>
                </c:pt>
                <c:pt idx="111">
                  <c:v>40269</c:v>
                </c:pt>
                <c:pt idx="112">
                  <c:v>40299</c:v>
                </c:pt>
                <c:pt idx="113">
                  <c:v>40330</c:v>
                </c:pt>
                <c:pt idx="114">
                  <c:v>40360</c:v>
                </c:pt>
                <c:pt idx="115">
                  <c:v>40391</c:v>
                </c:pt>
                <c:pt idx="116">
                  <c:v>40422</c:v>
                </c:pt>
                <c:pt idx="117">
                  <c:v>40452</c:v>
                </c:pt>
                <c:pt idx="118">
                  <c:v>40483</c:v>
                </c:pt>
                <c:pt idx="119">
                  <c:v>40513</c:v>
                </c:pt>
                <c:pt idx="120">
                  <c:v>40544</c:v>
                </c:pt>
                <c:pt idx="121">
                  <c:v>40575</c:v>
                </c:pt>
                <c:pt idx="122">
                  <c:v>40603</c:v>
                </c:pt>
                <c:pt idx="123">
                  <c:v>40634</c:v>
                </c:pt>
                <c:pt idx="124">
                  <c:v>40664</c:v>
                </c:pt>
                <c:pt idx="125">
                  <c:v>40695</c:v>
                </c:pt>
                <c:pt idx="126">
                  <c:v>40725</c:v>
                </c:pt>
                <c:pt idx="127">
                  <c:v>40756</c:v>
                </c:pt>
                <c:pt idx="128">
                  <c:v>40787</c:v>
                </c:pt>
                <c:pt idx="129">
                  <c:v>40817</c:v>
                </c:pt>
                <c:pt idx="130">
                  <c:v>40848</c:v>
                </c:pt>
                <c:pt idx="131">
                  <c:v>40878</c:v>
                </c:pt>
                <c:pt idx="132">
                  <c:v>40909</c:v>
                </c:pt>
                <c:pt idx="133">
                  <c:v>40940</c:v>
                </c:pt>
                <c:pt idx="134">
                  <c:v>40969</c:v>
                </c:pt>
                <c:pt idx="135">
                  <c:v>41000</c:v>
                </c:pt>
                <c:pt idx="136">
                  <c:v>41030</c:v>
                </c:pt>
                <c:pt idx="137">
                  <c:v>41061</c:v>
                </c:pt>
                <c:pt idx="138">
                  <c:v>41091</c:v>
                </c:pt>
                <c:pt idx="139">
                  <c:v>41122</c:v>
                </c:pt>
                <c:pt idx="140">
                  <c:v>41153</c:v>
                </c:pt>
                <c:pt idx="141">
                  <c:v>41183</c:v>
                </c:pt>
                <c:pt idx="142">
                  <c:v>41214</c:v>
                </c:pt>
                <c:pt idx="143">
                  <c:v>41244</c:v>
                </c:pt>
                <c:pt idx="144">
                  <c:v>41275</c:v>
                </c:pt>
                <c:pt idx="145">
                  <c:v>41306</c:v>
                </c:pt>
                <c:pt idx="146">
                  <c:v>41334</c:v>
                </c:pt>
                <c:pt idx="147">
                  <c:v>41365</c:v>
                </c:pt>
                <c:pt idx="148">
                  <c:v>41395</c:v>
                </c:pt>
                <c:pt idx="149">
                  <c:v>41426</c:v>
                </c:pt>
                <c:pt idx="150">
                  <c:v>41456</c:v>
                </c:pt>
                <c:pt idx="151">
                  <c:v>41487</c:v>
                </c:pt>
                <c:pt idx="152">
                  <c:v>41518</c:v>
                </c:pt>
                <c:pt idx="153">
                  <c:v>41548</c:v>
                </c:pt>
                <c:pt idx="154">
                  <c:v>41579</c:v>
                </c:pt>
                <c:pt idx="155">
                  <c:v>41609</c:v>
                </c:pt>
                <c:pt idx="156">
                  <c:v>41640</c:v>
                </c:pt>
                <c:pt idx="157">
                  <c:v>41671</c:v>
                </c:pt>
                <c:pt idx="158">
                  <c:v>41699</c:v>
                </c:pt>
                <c:pt idx="159">
                  <c:v>41730</c:v>
                </c:pt>
                <c:pt idx="160">
                  <c:v>41760</c:v>
                </c:pt>
                <c:pt idx="161">
                  <c:v>41791</c:v>
                </c:pt>
                <c:pt idx="162">
                  <c:v>41821</c:v>
                </c:pt>
                <c:pt idx="163">
                  <c:v>41852</c:v>
                </c:pt>
                <c:pt idx="164">
                  <c:v>41883</c:v>
                </c:pt>
              </c:numCache>
            </c:numRef>
          </c:cat>
          <c:val>
            <c:numRef>
              <c:f>REO!$AA$14:$AA$181</c:f>
              <c:numCache>
                <c:formatCode>0%</c:formatCode>
                <c:ptCount val="168"/>
                <c:pt idx="0">
                  <c:v>6.9067199612212804E-2</c:v>
                </c:pt>
                <c:pt idx="1">
                  <c:v>7.2999391095521005E-2</c:v>
                </c:pt>
                <c:pt idx="2">
                  <c:v>8.23589606067366E-2</c:v>
                </c:pt>
                <c:pt idx="3">
                  <c:v>7.9712160766359494E-2</c:v>
                </c:pt>
                <c:pt idx="4">
                  <c:v>7.9575096475967499E-2</c:v>
                </c:pt>
                <c:pt idx="5">
                  <c:v>7.9033857581908604E-2</c:v>
                </c:pt>
                <c:pt idx="6">
                  <c:v>8.5281662348587098E-2</c:v>
                </c:pt>
                <c:pt idx="7">
                  <c:v>7.8236842788917099E-2</c:v>
                </c:pt>
                <c:pt idx="8">
                  <c:v>9.1358307330051694E-2</c:v>
                </c:pt>
                <c:pt idx="9">
                  <c:v>9.0941628024028207E-2</c:v>
                </c:pt>
                <c:pt idx="10">
                  <c:v>9.1738938681914003E-2</c:v>
                </c:pt>
                <c:pt idx="11">
                  <c:v>8.9358634298590797E-2</c:v>
                </c:pt>
                <c:pt idx="12">
                  <c:v>9.7383211014932899E-2</c:v>
                </c:pt>
                <c:pt idx="13">
                  <c:v>9.6002163569224697E-2</c:v>
                </c:pt>
                <c:pt idx="14">
                  <c:v>9.5026824275996694E-2</c:v>
                </c:pt>
                <c:pt idx="15">
                  <c:v>9.6828909396165994E-2</c:v>
                </c:pt>
                <c:pt idx="16">
                  <c:v>9.1497060863771101E-2</c:v>
                </c:pt>
                <c:pt idx="17">
                  <c:v>9.2552909427932303E-2</c:v>
                </c:pt>
                <c:pt idx="18">
                  <c:v>9.5463533251856997E-2</c:v>
                </c:pt>
                <c:pt idx="19">
                  <c:v>9.8718605148476399E-2</c:v>
                </c:pt>
                <c:pt idx="20">
                  <c:v>9.6303580016304999E-2</c:v>
                </c:pt>
                <c:pt idx="21">
                  <c:v>9.8699430722717099E-2</c:v>
                </c:pt>
                <c:pt idx="22">
                  <c:v>9.4732215749978102E-2</c:v>
                </c:pt>
                <c:pt idx="23">
                  <c:v>9.3027142095450904E-2</c:v>
                </c:pt>
                <c:pt idx="24">
                  <c:v>9.7419911388664598E-2</c:v>
                </c:pt>
                <c:pt idx="25">
                  <c:v>9.4840673370351194E-2</c:v>
                </c:pt>
                <c:pt idx="26">
                  <c:v>9.5779156814831803E-2</c:v>
                </c:pt>
                <c:pt idx="27">
                  <c:v>9.76036845904793E-2</c:v>
                </c:pt>
                <c:pt idx="28">
                  <c:v>9.6424702075097707E-2</c:v>
                </c:pt>
                <c:pt idx="29">
                  <c:v>9.5980528404044294E-2</c:v>
                </c:pt>
                <c:pt idx="30">
                  <c:v>9.7198067873665805E-2</c:v>
                </c:pt>
                <c:pt idx="31">
                  <c:v>9.5584102869898005E-2</c:v>
                </c:pt>
                <c:pt idx="32">
                  <c:v>9.4151907658589704E-2</c:v>
                </c:pt>
                <c:pt idx="33">
                  <c:v>9.4983665870652101E-2</c:v>
                </c:pt>
                <c:pt idx="34">
                  <c:v>9.5532340805721705E-2</c:v>
                </c:pt>
                <c:pt idx="35">
                  <c:v>9.5588896004576304E-2</c:v>
                </c:pt>
                <c:pt idx="36">
                  <c:v>9.4361525513885797E-2</c:v>
                </c:pt>
                <c:pt idx="37">
                  <c:v>9.63743355166089E-2</c:v>
                </c:pt>
                <c:pt idx="38">
                  <c:v>9.5967381208651906E-2</c:v>
                </c:pt>
                <c:pt idx="39">
                  <c:v>9.4610349806685604E-2</c:v>
                </c:pt>
                <c:pt idx="40">
                  <c:v>9.5717192768817794E-2</c:v>
                </c:pt>
                <c:pt idx="41">
                  <c:v>9.5154607352040801E-2</c:v>
                </c:pt>
                <c:pt idx="42">
                  <c:v>9.4327637427874103E-2</c:v>
                </c:pt>
                <c:pt idx="43">
                  <c:v>9.5599466988136705E-2</c:v>
                </c:pt>
                <c:pt idx="44">
                  <c:v>9.6184036041423296E-2</c:v>
                </c:pt>
                <c:pt idx="45">
                  <c:v>9.7084341916287703E-2</c:v>
                </c:pt>
                <c:pt idx="46">
                  <c:v>9.9813726296657995E-2</c:v>
                </c:pt>
                <c:pt idx="47">
                  <c:v>9.7566846810769894E-2</c:v>
                </c:pt>
                <c:pt idx="48">
                  <c:v>9.6371033369157602E-2</c:v>
                </c:pt>
                <c:pt idx="49">
                  <c:v>0.102093354385993</c:v>
                </c:pt>
                <c:pt idx="50">
                  <c:v>9.8489532018637499E-2</c:v>
                </c:pt>
                <c:pt idx="51">
                  <c:v>9.8130972783853201E-2</c:v>
                </c:pt>
                <c:pt idx="52">
                  <c:v>9.78513516670452E-2</c:v>
                </c:pt>
                <c:pt idx="53">
                  <c:v>9.6308489719037896E-2</c:v>
                </c:pt>
                <c:pt idx="54">
                  <c:v>0.100447238189278</c:v>
                </c:pt>
                <c:pt idx="55">
                  <c:v>9.9657236916579905E-2</c:v>
                </c:pt>
                <c:pt idx="56">
                  <c:v>0.101000564643782</c:v>
                </c:pt>
                <c:pt idx="57">
                  <c:v>0.100460385578901</c:v>
                </c:pt>
                <c:pt idx="58">
                  <c:v>0.10424958456232999</c:v>
                </c:pt>
                <c:pt idx="59">
                  <c:v>0.103254673325802</c:v>
                </c:pt>
                <c:pt idx="60">
                  <c:v>0.105446579368695</c:v>
                </c:pt>
                <c:pt idx="61">
                  <c:v>0.106619376366937</c:v>
                </c:pt>
                <c:pt idx="62">
                  <c:v>0.103141221924823</c:v>
                </c:pt>
                <c:pt idx="63">
                  <c:v>0.101919190328511</c:v>
                </c:pt>
                <c:pt idx="64">
                  <c:v>0.103001512941442</c:v>
                </c:pt>
                <c:pt idx="65">
                  <c:v>0.107729186091801</c:v>
                </c:pt>
                <c:pt idx="66">
                  <c:v>0.10588107095568999</c:v>
                </c:pt>
                <c:pt idx="67">
                  <c:v>0.105299828156556</c:v>
                </c:pt>
                <c:pt idx="68">
                  <c:v>0.10134914452398899</c:v>
                </c:pt>
                <c:pt idx="69">
                  <c:v>0.108495126713007</c:v>
                </c:pt>
                <c:pt idx="70">
                  <c:v>0.106480870170734</c:v>
                </c:pt>
                <c:pt idx="71">
                  <c:v>0.107905136505157</c:v>
                </c:pt>
                <c:pt idx="72">
                  <c:v>0.106195435416477</c:v>
                </c:pt>
                <c:pt idx="73">
                  <c:v>0.103818992682782</c:v>
                </c:pt>
                <c:pt idx="74">
                  <c:v>9.9386963311766593E-2</c:v>
                </c:pt>
                <c:pt idx="75">
                  <c:v>0.100105975533078</c:v>
                </c:pt>
                <c:pt idx="76">
                  <c:v>0.102235293497526</c:v>
                </c:pt>
                <c:pt idx="77">
                  <c:v>9.8993397137887296E-2</c:v>
                </c:pt>
                <c:pt idx="78">
                  <c:v>9.9261065057450498E-2</c:v>
                </c:pt>
                <c:pt idx="79">
                  <c:v>9.5384209090191005E-2</c:v>
                </c:pt>
                <c:pt idx="80">
                  <c:v>9.5118972684488406E-2</c:v>
                </c:pt>
                <c:pt idx="81">
                  <c:v>9.4821685670900505E-2</c:v>
                </c:pt>
                <c:pt idx="82">
                  <c:v>9.4081715092770996E-2</c:v>
                </c:pt>
                <c:pt idx="83">
                  <c:v>9.3096304099396399E-2</c:v>
                </c:pt>
                <c:pt idx="84">
                  <c:v>9.9870774316353703E-2</c:v>
                </c:pt>
                <c:pt idx="85">
                  <c:v>9.3825635530286E-2</c:v>
                </c:pt>
                <c:pt idx="86">
                  <c:v>9.6483578068520495E-2</c:v>
                </c:pt>
                <c:pt idx="87">
                  <c:v>9.3186788767482001E-2</c:v>
                </c:pt>
                <c:pt idx="88">
                  <c:v>9.4615871821540604E-2</c:v>
                </c:pt>
                <c:pt idx="89">
                  <c:v>9.6376138813791395E-2</c:v>
                </c:pt>
                <c:pt idx="90">
                  <c:v>9.3718349335604301E-2</c:v>
                </c:pt>
                <c:pt idx="91">
                  <c:v>9.2649651995466403E-2</c:v>
                </c:pt>
                <c:pt idx="92">
                  <c:v>9.0161870995519006E-2</c:v>
                </c:pt>
                <c:pt idx="93">
                  <c:v>9.1146478379446505E-2</c:v>
                </c:pt>
                <c:pt idx="94">
                  <c:v>8.9666512443340493E-2</c:v>
                </c:pt>
                <c:pt idx="95">
                  <c:v>9.0977568446467205E-2</c:v>
                </c:pt>
                <c:pt idx="96">
                  <c:v>8.8996262431863205E-2</c:v>
                </c:pt>
                <c:pt idx="97">
                  <c:v>9.0742845761389898E-2</c:v>
                </c:pt>
                <c:pt idx="98">
                  <c:v>9.2634966340590694E-2</c:v>
                </c:pt>
                <c:pt idx="99">
                  <c:v>9.0776032675321805E-2</c:v>
                </c:pt>
                <c:pt idx="100">
                  <c:v>8.9505483468103095E-2</c:v>
                </c:pt>
                <c:pt idx="101">
                  <c:v>8.7854259001761803E-2</c:v>
                </c:pt>
                <c:pt idx="102">
                  <c:v>8.6071684312795702E-2</c:v>
                </c:pt>
                <c:pt idx="103">
                  <c:v>8.5882769001684206E-2</c:v>
                </c:pt>
                <c:pt idx="104">
                  <c:v>8.7696310405306899E-2</c:v>
                </c:pt>
                <c:pt idx="105">
                  <c:v>8.8583852928332193E-2</c:v>
                </c:pt>
                <c:pt idx="106">
                  <c:v>8.7887045424018206E-2</c:v>
                </c:pt>
                <c:pt idx="107">
                  <c:v>9.0867589632959003E-2</c:v>
                </c:pt>
                <c:pt idx="108">
                  <c:v>9.1877758204817001E-2</c:v>
                </c:pt>
                <c:pt idx="109">
                  <c:v>9.3559173124210193E-2</c:v>
                </c:pt>
                <c:pt idx="110">
                  <c:v>9.4245917674741997E-2</c:v>
                </c:pt>
                <c:pt idx="111">
                  <c:v>9.4631756047540094E-2</c:v>
                </c:pt>
                <c:pt idx="112">
                  <c:v>9.4038895258377497E-2</c:v>
                </c:pt>
                <c:pt idx="113">
                  <c:v>9.6386427542306599E-2</c:v>
                </c:pt>
                <c:pt idx="114">
                  <c:v>9.6208191531939102E-2</c:v>
                </c:pt>
                <c:pt idx="115">
                  <c:v>9.8230307920017301E-2</c:v>
                </c:pt>
                <c:pt idx="116">
                  <c:v>0.10024678450164801</c:v>
                </c:pt>
                <c:pt idx="117">
                  <c:v>9.8588393400362004E-2</c:v>
                </c:pt>
                <c:pt idx="118">
                  <c:v>9.7682272237059803E-2</c:v>
                </c:pt>
                <c:pt idx="119">
                  <c:v>0.10175319125200601</c:v>
                </c:pt>
                <c:pt idx="120">
                  <c:v>0.106138616392865</c:v>
                </c:pt>
                <c:pt idx="121">
                  <c:v>0.106691606960435</c:v>
                </c:pt>
                <c:pt idx="122">
                  <c:v>0.108303380890397</c:v>
                </c:pt>
                <c:pt idx="123">
                  <c:v>0.108596656176419</c:v>
                </c:pt>
                <c:pt idx="124">
                  <c:v>0.108004844907496</c:v>
                </c:pt>
                <c:pt idx="125">
                  <c:v>0.108004990031236</c:v>
                </c:pt>
                <c:pt idx="126">
                  <c:v>0.109921145809225</c:v>
                </c:pt>
                <c:pt idx="127">
                  <c:v>0.11061890620463501</c:v>
                </c:pt>
                <c:pt idx="128">
                  <c:v>0.109934557693772</c:v>
                </c:pt>
                <c:pt idx="129">
                  <c:v>0.11070247902234701</c:v>
                </c:pt>
                <c:pt idx="130">
                  <c:v>0.11273886485981501</c:v>
                </c:pt>
                <c:pt idx="131">
                  <c:v>0.11439861420752701</c:v>
                </c:pt>
                <c:pt idx="132">
                  <c:v>0.115202813565561</c:v>
                </c:pt>
                <c:pt idx="133">
                  <c:v>0.114336715289105</c:v>
                </c:pt>
                <c:pt idx="134">
                  <c:v>0.115604779364188</c:v>
                </c:pt>
                <c:pt idx="135">
                  <c:v>0.118665886740266</c:v>
                </c:pt>
                <c:pt idx="136">
                  <c:v>0.119256881862394</c:v>
                </c:pt>
                <c:pt idx="137">
                  <c:v>0.119975754464839</c:v>
                </c:pt>
                <c:pt idx="138">
                  <c:v>0.12168338808309601</c:v>
                </c:pt>
                <c:pt idx="139">
                  <c:v>0.121970695757994</c:v>
                </c:pt>
                <c:pt idx="140">
                  <c:v>0.12516407016389799</c:v>
                </c:pt>
                <c:pt idx="141">
                  <c:v>0.124463181161149</c:v>
                </c:pt>
                <c:pt idx="142">
                  <c:v>0.13061007139398501</c:v>
                </c:pt>
                <c:pt idx="143">
                  <c:v>0.13003941392107099</c:v>
                </c:pt>
                <c:pt idx="144">
                  <c:v>0.12985077041423199</c:v>
                </c:pt>
                <c:pt idx="145">
                  <c:v>0.13217154950235599</c:v>
                </c:pt>
                <c:pt idx="146">
                  <c:v>0.13274900686008201</c:v>
                </c:pt>
                <c:pt idx="147">
                  <c:v>0.13286588874447799</c:v>
                </c:pt>
                <c:pt idx="148">
                  <c:v>0.13463222740240699</c:v>
                </c:pt>
                <c:pt idx="149">
                  <c:v>0.14027567692611001</c:v>
                </c:pt>
                <c:pt idx="150">
                  <c:v>0.14660202921142501</c:v>
                </c:pt>
                <c:pt idx="151">
                  <c:v>0.145987666045686</c:v>
                </c:pt>
                <c:pt idx="152">
                  <c:v>0.14875100027759899</c:v>
                </c:pt>
                <c:pt idx="153">
                  <c:v>0.152357935178144</c:v>
                </c:pt>
                <c:pt idx="154">
                  <c:v>0.15612976040061999</c:v>
                </c:pt>
                <c:pt idx="155">
                  <c:v>0.15276589937299201</c:v>
                </c:pt>
                <c:pt idx="156">
                  <c:v>0.15472477936637799</c:v>
                </c:pt>
                <c:pt idx="157">
                  <c:v>0.154130060206119</c:v>
                </c:pt>
                <c:pt idx="158">
                  <c:v>0.15678632662502501</c:v>
                </c:pt>
                <c:pt idx="159">
                  <c:v>0.158261729588309</c:v>
                </c:pt>
                <c:pt idx="160">
                  <c:v>0.162971885308444</c:v>
                </c:pt>
                <c:pt idx="161">
                  <c:v>0.164074186133186</c:v>
                </c:pt>
                <c:pt idx="162">
                  <c:v>0.16641119955282299</c:v>
                </c:pt>
                <c:pt idx="163">
                  <c:v>0.17421959532214101</c:v>
                </c:pt>
                <c:pt idx="164">
                  <c:v>0.17287536255627201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97231744"/>
        <c:axId val="497279360"/>
      </c:lineChart>
      <c:dateAx>
        <c:axId val="497231744"/>
        <c:scaling>
          <c:orientation val="minMax"/>
        </c:scaling>
        <c:delete val="0"/>
        <c:axPos val="b"/>
        <c:numFmt formatCode="m/d/yyyy" sourceLinked="1"/>
        <c:majorTickMark val="out"/>
        <c:minorTickMark val="none"/>
        <c:tickLblPos val="nextTo"/>
        <c:crossAx val="497279360"/>
        <c:crosses val="autoZero"/>
        <c:auto val="1"/>
        <c:lblOffset val="100"/>
        <c:baseTimeUnit val="months"/>
      </c:dateAx>
      <c:valAx>
        <c:axId val="497279360"/>
        <c:scaling>
          <c:orientation val="minMax"/>
        </c:scaling>
        <c:delete val="0"/>
        <c:axPos val="l"/>
        <c:majorGridlines/>
        <c:numFmt formatCode="0%" sourceLinked="1"/>
        <c:majorTickMark val="out"/>
        <c:minorTickMark val="none"/>
        <c:tickLblPos val="nextTo"/>
        <c:crossAx val="497231744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REO!$AD$1:$AD$2</c:f>
              <c:strCache>
                <c:ptCount val="1"/>
                <c:pt idx="0">
                  <c:v>MI FHL</c:v>
                </c:pt>
              </c:strCache>
            </c:strRef>
          </c:tx>
          <c:marker>
            <c:symbol val="none"/>
          </c:marker>
          <c:cat>
            <c:numRef>
              <c:f>REO!$AC$14:$AC$181</c:f>
              <c:numCache>
                <c:formatCode>m/d/yyyy</c:formatCode>
                <c:ptCount val="168"/>
                <c:pt idx="0">
                  <c:v>36892</c:v>
                </c:pt>
                <c:pt idx="1">
                  <c:v>36923</c:v>
                </c:pt>
                <c:pt idx="2">
                  <c:v>36951</c:v>
                </c:pt>
                <c:pt idx="3">
                  <c:v>36982</c:v>
                </c:pt>
                <c:pt idx="4">
                  <c:v>37012</c:v>
                </c:pt>
                <c:pt idx="5">
                  <c:v>37043</c:v>
                </c:pt>
                <c:pt idx="6">
                  <c:v>37073</c:v>
                </c:pt>
                <c:pt idx="7">
                  <c:v>37104</c:v>
                </c:pt>
                <c:pt idx="8">
                  <c:v>37135</c:v>
                </c:pt>
                <c:pt idx="9">
                  <c:v>37165</c:v>
                </c:pt>
                <c:pt idx="10">
                  <c:v>37196</c:v>
                </c:pt>
                <c:pt idx="11">
                  <c:v>37226</c:v>
                </c:pt>
                <c:pt idx="12">
                  <c:v>37257</c:v>
                </c:pt>
                <c:pt idx="13">
                  <c:v>37288</c:v>
                </c:pt>
                <c:pt idx="14">
                  <c:v>37316</c:v>
                </c:pt>
                <c:pt idx="15">
                  <c:v>37347</c:v>
                </c:pt>
                <c:pt idx="16">
                  <c:v>37377</c:v>
                </c:pt>
                <c:pt idx="17">
                  <c:v>37408</c:v>
                </c:pt>
                <c:pt idx="18">
                  <c:v>37438</c:v>
                </c:pt>
                <c:pt idx="19">
                  <c:v>37469</c:v>
                </c:pt>
                <c:pt idx="20">
                  <c:v>37500</c:v>
                </c:pt>
                <c:pt idx="21">
                  <c:v>37530</c:v>
                </c:pt>
                <c:pt idx="22">
                  <c:v>37561</c:v>
                </c:pt>
                <c:pt idx="23">
                  <c:v>37591</c:v>
                </c:pt>
                <c:pt idx="24">
                  <c:v>37622</c:v>
                </c:pt>
                <c:pt idx="25">
                  <c:v>37653</c:v>
                </c:pt>
                <c:pt idx="26">
                  <c:v>37681</c:v>
                </c:pt>
                <c:pt idx="27">
                  <c:v>37712</c:v>
                </c:pt>
                <c:pt idx="28">
                  <c:v>37742</c:v>
                </c:pt>
                <c:pt idx="29">
                  <c:v>37773</c:v>
                </c:pt>
                <c:pt idx="30">
                  <c:v>37803</c:v>
                </c:pt>
                <c:pt idx="31">
                  <c:v>37834</c:v>
                </c:pt>
                <c:pt idx="32">
                  <c:v>37865</c:v>
                </c:pt>
                <c:pt idx="33">
                  <c:v>37895</c:v>
                </c:pt>
                <c:pt idx="34">
                  <c:v>37926</c:v>
                </c:pt>
                <c:pt idx="35">
                  <c:v>37956</c:v>
                </c:pt>
                <c:pt idx="36">
                  <c:v>37987</c:v>
                </c:pt>
                <c:pt idx="37">
                  <c:v>38018</c:v>
                </c:pt>
                <c:pt idx="38">
                  <c:v>38047</c:v>
                </c:pt>
                <c:pt idx="39">
                  <c:v>38078</c:v>
                </c:pt>
                <c:pt idx="40">
                  <c:v>38108</c:v>
                </c:pt>
                <c:pt idx="41">
                  <c:v>38139</c:v>
                </c:pt>
                <c:pt idx="42">
                  <c:v>38169</c:v>
                </c:pt>
                <c:pt idx="43">
                  <c:v>38200</c:v>
                </c:pt>
                <c:pt idx="44">
                  <c:v>38231</c:v>
                </c:pt>
                <c:pt idx="45">
                  <c:v>38261</c:v>
                </c:pt>
                <c:pt idx="46">
                  <c:v>38292</c:v>
                </c:pt>
                <c:pt idx="47">
                  <c:v>38322</c:v>
                </c:pt>
                <c:pt idx="48">
                  <c:v>38353</c:v>
                </c:pt>
                <c:pt idx="49">
                  <c:v>38384</c:v>
                </c:pt>
                <c:pt idx="50">
                  <c:v>38412</c:v>
                </c:pt>
                <c:pt idx="51">
                  <c:v>38443</c:v>
                </c:pt>
                <c:pt idx="52">
                  <c:v>38473</c:v>
                </c:pt>
                <c:pt idx="53">
                  <c:v>38504</c:v>
                </c:pt>
                <c:pt idx="54">
                  <c:v>38534</c:v>
                </c:pt>
                <c:pt idx="55">
                  <c:v>38565</c:v>
                </c:pt>
                <c:pt idx="56">
                  <c:v>38596</c:v>
                </c:pt>
                <c:pt idx="57">
                  <c:v>38626</c:v>
                </c:pt>
                <c:pt idx="58">
                  <c:v>38657</c:v>
                </c:pt>
                <c:pt idx="59">
                  <c:v>38687</c:v>
                </c:pt>
                <c:pt idx="60">
                  <c:v>38718</c:v>
                </c:pt>
                <c:pt idx="61">
                  <c:v>38749</c:v>
                </c:pt>
                <c:pt idx="62">
                  <c:v>38777</c:v>
                </c:pt>
                <c:pt idx="63">
                  <c:v>38808</c:v>
                </c:pt>
                <c:pt idx="64">
                  <c:v>38838</c:v>
                </c:pt>
                <c:pt idx="65">
                  <c:v>38869</c:v>
                </c:pt>
                <c:pt idx="66">
                  <c:v>38899</c:v>
                </c:pt>
                <c:pt idx="67">
                  <c:v>38930</c:v>
                </c:pt>
                <c:pt idx="68">
                  <c:v>38961</c:v>
                </c:pt>
                <c:pt idx="69">
                  <c:v>38991</c:v>
                </c:pt>
                <c:pt idx="70">
                  <c:v>39022</c:v>
                </c:pt>
                <c:pt idx="71">
                  <c:v>39052</c:v>
                </c:pt>
                <c:pt idx="72">
                  <c:v>39083</c:v>
                </c:pt>
                <c:pt idx="73">
                  <c:v>39114</c:v>
                </c:pt>
                <c:pt idx="74">
                  <c:v>39142</c:v>
                </c:pt>
                <c:pt idx="75">
                  <c:v>39173</c:v>
                </c:pt>
                <c:pt idx="76">
                  <c:v>39203</c:v>
                </c:pt>
                <c:pt idx="77">
                  <c:v>39234</c:v>
                </c:pt>
                <c:pt idx="78">
                  <c:v>39264</c:v>
                </c:pt>
                <c:pt idx="79">
                  <c:v>39295</c:v>
                </c:pt>
                <c:pt idx="80">
                  <c:v>39326</c:v>
                </c:pt>
                <c:pt idx="81">
                  <c:v>39356</c:v>
                </c:pt>
                <c:pt idx="82">
                  <c:v>39387</c:v>
                </c:pt>
                <c:pt idx="83">
                  <c:v>39417</c:v>
                </c:pt>
                <c:pt idx="84">
                  <c:v>39448</c:v>
                </c:pt>
                <c:pt idx="85">
                  <c:v>39479</c:v>
                </c:pt>
                <c:pt idx="86">
                  <c:v>39508</c:v>
                </c:pt>
                <c:pt idx="87">
                  <c:v>39539</c:v>
                </c:pt>
                <c:pt idx="88">
                  <c:v>39569</c:v>
                </c:pt>
                <c:pt idx="89">
                  <c:v>39600</c:v>
                </c:pt>
                <c:pt idx="90">
                  <c:v>39630</c:v>
                </c:pt>
                <c:pt idx="91">
                  <c:v>39661</c:v>
                </c:pt>
                <c:pt idx="92">
                  <c:v>39692</c:v>
                </c:pt>
                <c:pt idx="93">
                  <c:v>39722</c:v>
                </c:pt>
                <c:pt idx="94">
                  <c:v>39753</c:v>
                </c:pt>
                <c:pt idx="95">
                  <c:v>39783</c:v>
                </c:pt>
                <c:pt idx="96">
                  <c:v>39814</c:v>
                </c:pt>
                <c:pt idx="97">
                  <c:v>39845</c:v>
                </c:pt>
                <c:pt idx="98">
                  <c:v>39873</c:v>
                </c:pt>
                <c:pt idx="99">
                  <c:v>39904</c:v>
                </c:pt>
                <c:pt idx="100">
                  <c:v>39934</c:v>
                </c:pt>
                <c:pt idx="101">
                  <c:v>39965</c:v>
                </c:pt>
                <c:pt idx="102">
                  <c:v>39995</c:v>
                </c:pt>
                <c:pt idx="103">
                  <c:v>40026</c:v>
                </c:pt>
                <c:pt idx="104">
                  <c:v>40057</c:v>
                </c:pt>
                <c:pt idx="105">
                  <c:v>40087</c:v>
                </c:pt>
                <c:pt idx="106">
                  <c:v>40118</c:v>
                </c:pt>
                <c:pt idx="107">
                  <c:v>40148</c:v>
                </c:pt>
                <c:pt idx="108">
                  <c:v>40179</c:v>
                </c:pt>
                <c:pt idx="109">
                  <c:v>40210</c:v>
                </c:pt>
                <c:pt idx="110">
                  <c:v>40238</c:v>
                </c:pt>
                <c:pt idx="111">
                  <c:v>40269</c:v>
                </c:pt>
                <c:pt idx="112">
                  <c:v>40299</c:v>
                </c:pt>
                <c:pt idx="113">
                  <c:v>40330</c:v>
                </c:pt>
                <c:pt idx="114">
                  <c:v>40360</c:v>
                </c:pt>
                <c:pt idx="115">
                  <c:v>40391</c:v>
                </c:pt>
                <c:pt idx="116">
                  <c:v>40422</c:v>
                </c:pt>
                <c:pt idx="117">
                  <c:v>40452</c:v>
                </c:pt>
                <c:pt idx="118">
                  <c:v>40483</c:v>
                </c:pt>
                <c:pt idx="119">
                  <c:v>40513</c:v>
                </c:pt>
                <c:pt idx="120">
                  <c:v>40544</c:v>
                </c:pt>
                <c:pt idx="121">
                  <c:v>40575</c:v>
                </c:pt>
                <c:pt idx="122">
                  <c:v>40603</c:v>
                </c:pt>
                <c:pt idx="123">
                  <c:v>40634</c:v>
                </c:pt>
                <c:pt idx="124">
                  <c:v>40664</c:v>
                </c:pt>
                <c:pt idx="125">
                  <c:v>40695</c:v>
                </c:pt>
                <c:pt idx="126">
                  <c:v>40725</c:v>
                </c:pt>
                <c:pt idx="127">
                  <c:v>40756</c:v>
                </c:pt>
                <c:pt idx="128">
                  <c:v>40787</c:v>
                </c:pt>
                <c:pt idx="129">
                  <c:v>40817</c:v>
                </c:pt>
                <c:pt idx="130">
                  <c:v>40848</c:v>
                </c:pt>
                <c:pt idx="131">
                  <c:v>40878</c:v>
                </c:pt>
                <c:pt idx="132">
                  <c:v>40909</c:v>
                </c:pt>
                <c:pt idx="133">
                  <c:v>40940</c:v>
                </c:pt>
                <c:pt idx="134">
                  <c:v>40969</c:v>
                </c:pt>
                <c:pt idx="135">
                  <c:v>41000</c:v>
                </c:pt>
                <c:pt idx="136">
                  <c:v>41030</c:v>
                </c:pt>
                <c:pt idx="137">
                  <c:v>41061</c:v>
                </c:pt>
                <c:pt idx="138">
                  <c:v>41091</c:v>
                </c:pt>
                <c:pt idx="139">
                  <c:v>41122</c:v>
                </c:pt>
                <c:pt idx="140">
                  <c:v>41153</c:v>
                </c:pt>
                <c:pt idx="141">
                  <c:v>41183</c:v>
                </c:pt>
                <c:pt idx="142">
                  <c:v>41214</c:v>
                </c:pt>
                <c:pt idx="143">
                  <c:v>41244</c:v>
                </c:pt>
                <c:pt idx="144">
                  <c:v>41275</c:v>
                </c:pt>
                <c:pt idx="145">
                  <c:v>41306</c:v>
                </c:pt>
                <c:pt idx="146">
                  <c:v>41334</c:v>
                </c:pt>
                <c:pt idx="147">
                  <c:v>41365</c:v>
                </c:pt>
                <c:pt idx="148">
                  <c:v>41395</c:v>
                </c:pt>
                <c:pt idx="149">
                  <c:v>41426</c:v>
                </c:pt>
                <c:pt idx="150">
                  <c:v>41456</c:v>
                </c:pt>
                <c:pt idx="151">
                  <c:v>41487</c:v>
                </c:pt>
                <c:pt idx="152">
                  <c:v>41518</c:v>
                </c:pt>
                <c:pt idx="153">
                  <c:v>41548</c:v>
                </c:pt>
                <c:pt idx="154">
                  <c:v>41579</c:v>
                </c:pt>
                <c:pt idx="155">
                  <c:v>41609</c:v>
                </c:pt>
                <c:pt idx="156">
                  <c:v>41640</c:v>
                </c:pt>
                <c:pt idx="157">
                  <c:v>41671</c:v>
                </c:pt>
                <c:pt idx="158">
                  <c:v>41699</c:v>
                </c:pt>
                <c:pt idx="159">
                  <c:v>41730</c:v>
                </c:pt>
                <c:pt idx="160">
                  <c:v>41760</c:v>
                </c:pt>
                <c:pt idx="161">
                  <c:v>41791</c:v>
                </c:pt>
                <c:pt idx="162">
                  <c:v>41821</c:v>
                </c:pt>
                <c:pt idx="163">
                  <c:v>41852</c:v>
                </c:pt>
                <c:pt idx="164">
                  <c:v>41883</c:v>
                </c:pt>
              </c:numCache>
            </c:numRef>
          </c:cat>
          <c:val>
            <c:numRef>
              <c:f>REO!$AD$14:$AD$181</c:f>
              <c:numCache>
                <c:formatCode>0%</c:formatCode>
                <c:ptCount val="168"/>
                <c:pt idx="0">
                  <c:v>0.220589794790717</c:v>
                </c:pt>
                <c:pt idx="1">
                  <c:v>0.22455963646868099</c:v>
                </c:pt>
                <c:pt idx="2">
                  <c:v>0.25896350844649002</c:v>
                </c:pt>
                <c:pt idx="3">
                  <c:v>0.20564434286387401</c:v>
                </c:pt>
                <c:pt idx="4">
                  <c:v>0.249259398011588</c:v>
                </c:pt>
                <c:pt idx="5">
                  <c:v>0.19244136764394401</c:v>
                </c:pt>
                <c:pt idx="6">
                  <c:v>0.18535141835621799</c:v>
                </c:pt>
                <c:pt idx="7">
                  <c:v>0.1828264503491</c:v>
                </c:pt>
                <c:pt idx="8">
                  <c:v>0.14490042510248599</c:v>
                </c:pt>
                <c:pt idx="9">
                  <c:v>0.164752639041226</c:v>
                </c:pt>
                <c:pt idx="10">
                  <c:v>0.143461065646002</c:v>
                </c:pt>
                <c:pt idx="11">
                  <c:v>0.16248995689316001</c:v>
                </c:pt>
                <c:pt idx="12">
                  <c:v>0.131990340279421</c:v>
                </c:pt>
                <c:pt idx="13">
                  <c:v>0.17381646382938801</c:v>
                </c:pt>
                <c:pt idx="14">
                  <c:v>0.22046987602780799</c:v>
                </c:pt>
                <c:pt idx="15">
                  <c:v>0.19003674248900199</c:v>
                </c:pt>
                <c:pt idx="16">
                  <c:v>0.23520290086679699</c:v>
                </c:pt>
                <c:pt idx="17">
                  <c:v>0.15296661596684899</c:v>
                </c:pt>
                <c:pt idx="18">
                  <c:v>0.18526928318591701</c:v>
                </c:pt>
                <c:pt idx="19">
                  <c:v>0.19273438086209799</c:v>
                </c:pt>
                <c:pt idx="20">
                  <c:v>0.20414717483164399</c:v>
                </c:pt>
                <c:pt idx="21">
                  <c:v>0.168585365761171</c:v>
                </c:pt>
                <c:pt idx="22">
                  <c:v>0.19821837712767301</c:v>
                </c:pt>
                <c:pt idx="23">
                  <c:v>0.19051084055951201</c:v>
                </c:pt>
                <c:pt idx="24">
                  <c:v>0.16754748703255201</c:v>
                </c:pt>
                <c:pt idx="25">
                  <c:v>0.19749440190617901</c:v>
                </c:pt>
                <c:pt idx="26">
                  <c:v>0.17468906806866</c:v>
                </c:pt>
                <c:pt idx="27">
                  <c:v>0.15566510007402501</c:v>
                </c:pt>
                <c:pt idx="28">
                  <c:v>0.18631301973584999</c:v>
                </c:pt>
                <c:pt idx="29">
                  <c:v>0.14509551237408899</c:v>
                </c:pt>
                <c:pt idx="30">
                  <c:v>0.17229613512823699</c:v>
                </c:pt>
                <c:pt idx="31">
                  <c:v>0.15358277399549899</c:v>
                </c:pt>
                <c:pt idx="32">
                  <c:v>0.17675318384482999</c:v>
                </c:pt>
                <c:pt idx="33">
                  <c:v>0.164472255594104</c:v>
                </c:pt>
                <c:pt idx="34">
                  <c:v>0.169916796849225</c:v>
                </c:pt>
                <c:pt idx="35">
                  <c:v>0.163265569781081</c:v>
                </c:pt>
                <c:pt idx="36">
                  <c:v>0.15778321580955099</c:v>
                </c:pt>
                <c:pt idx="37">
                  <c:v>0.18170999485622599</c:v>
                </c:pt>
                <c:pt idx="38">
                  <c:v>0.15547555599264801</c:v>
                </c:pt>
                <c:pt idx="39">
                  <c:v>0.15813882876194299</c:v>
                </c:pt>
                <c:pt idx="40">
                  <c:v>0.17972826206617501</c:v>
                </c:pt>
                <c:pt idx="41">
                  <c:v>0.18027098786596499</c:v>
                </c:pt>
                <c:pt idx="42">
                  <c:v>0.146253078821273</c:v>
                </c:pt>
                <c:pt idx="43">
                  <c:v>0.16831472576754</c:v>
                </c:pt>
                <c:pt idx="44">
                  <c:v>0.184598067821762</c:v>
                </c:pt>
                <c:pt idx="45">
                  <c:v>0.164669316254384</c:v>
                </c:pt>
                <c:pt idx="46">
                  <c:v>0.179612819090504</c:v>
                </c:pt>
                <c:pt idx="47">
                  <c:v>0.17613068962922199</c:v>
                </c:pt>
                <c:pt idx="48">
                  <c:v>0.13546348761938701</c:v>
                </c:pt>
                <c:pt idx="49">
                  <c:v>0.15252337618393799</c:v>
                </c:pt>
                <c:pt idx="50">
                  <c:v>0.14515425108885599</c:v>
                </c:pt>
                <c:pt idx="51">
                  <c:v>0.14813281398390299</c:v>
                </c:pt>
                <c:pt idx="52">
                  <c:v>0.149855026527177</c:v>
                </c:pt>
                <c:pt idx="53">
                  <c:v>0.13117533045794799</c:v>
                </c:pt>
                <c:pt idx="54">
                  <c:v>0.14862676978526901</c:v>
                </c:pt>
                <c:pt idx="55">
                  <c:v>0.14515036366511599</c:v>
                </c:pt>
                <c:pt idx="56">
                  <c:v>0.141993825355028</c:v>
                </c:pt>
                <c:pt idx="57">
                  <c:v>0.143485487226794</c:v>
                </c:pt>
                <c:pt idx="58">
                  <c:v>0.14731770096840999</c:v>
                </c:pt>
                <c:pt idx="59">
                  <c:v>0.13961679762406701</c:v>
                </c:pt>
                <c:pt idx="60">
                  <c:v>0.14642254393523799</c:v>
                </c:pt>
                <c:pt idx="61">
                  <c:v>0.14863649475398999</c:v>
                </c:pt>
                <c:pt idx="62">
                  <c:v>0.152348428457072</c:v>
                </c:pt>
                <c:pt idx="63">
                  <c:v>0.13745531671687899</c:v>
                </c:pt>
                <c:pt idx="64">
                  <c:v>0.143110585069982</c:v>
                </c:pt>
                <c:pt idx="65">
                  <c:v>0.143974307943561</c:v>
                </c:pt>
                <c:pt idx="66">
                  <c:v>0.13386147107533</c:v>
                </c:pt>
                <c:pt idx="67">
                  <c:v>0.13954794704508999</c:v>
                </c:pt>
                <c:pt idx="68">
                  <c:v>0.13808616484914399</c:v>
                </c:pt>
                <c:pt idx="69">
                  <c:v>0.157849186201378</c:v>
                </c:pt>
                <c:pt idx="70">
                  <c:v>0.14225268838418301</c:v>
                </c:pt>
                <c:pt idx="71">
                  <c:v>0.139085856441197</c:v>
                </c:pt>
                <c:pt idx="72">
                  <c:v>0.12888322230128299</c:v>
                </c:pt>
                <c:pt idx="73">
                  <c:v>0.128011941668491</c:v>
                </c:pt>
                <c:pt idx="74">
                  <c:v>0.134410027812815</c:v>
                </c:pt>
                <c:pt idx="75">
                  <c:v>0.134931287875388</c:v>
                </c:pt>
                <c:pt idx="76">
                  <c:v>0.120041097197602</c:v>
                </c:pt>
                <c:pt idx="77">
                  <c:v>0.13795001639604701</c:v>
                </c:pt>
                <c:pt idx="78">
                  <c:v>0.13375930327010799</c:v>
                </c:pt>
                <c:pt idx="79">
                  <c:v>0.12669758525101199</c:v>
                </c:pt>
                <c:pt idx="80">
                  <c:v>0.137700905673241</c:v>
                </c:pt>
                <c:pt idx="81">
                  <c:v>0.13040278270380201</c:v>
                </c:pt>
                <c:pt idx="82">
                  <c:v>0.1199502739689</c:v>
                </c:pt>
                <c:pt idx="83">
                  <c:v>0.11774212117116301</c:v>
                </c:pt>
                <c:pt idx="84">
                  <c:v>0.122252869363162</c:v>
                </c:pt>
                <c:pt idx="85">
                  <c:v>0.134025751029687</c:v>
                </c:pt>
                <c:pt idx="86">
                  <c:v>0.13025027315418899</c:v>
                </c:pt>
                <c:pt idx="87">
                  <c:v>0.12418721326583</c:v>
                </c:pt>
                <c:pt idx="88">
                  <c:v>0.118453620525107</c:v>
                </c:pt>
                <c:pt idx="89">
                  <c:v>0.115517055938627</c:v>
                </c:pt>
                <c:pt idx="90">
                  <c:v>0.11622194571972</c:v>
                </c:pt>
                <c:pt idx="91">
                  <c:v>0.11551699012887399</c:v>
                </c:pt>
                <c:pt idx="92">
                  <c:v>0.105646389333339</c:v>
                </c:pt>
                <c:pt idx="93">
                  <c:v>0.10170223771817601</c:v>
                </c:pt>
                <c:pt idx="94">
                  <c:v>0.10799391861063599</c:v>
                </c:pt>
                <c:pt idx="95">
                  <c:v>9.97839212145466E-2</c:v>
                </c:pt>
                <c:pt idx="96">
                  <c:v>0.10061494428109199</c:v>
                </c:pt>
                <c:pt idx="97">
                  <c:v>9.6370519172242403E-2</c:v>
                </c:pt>
                <c:pt idx="98">
                  <c:v>9.16794457717095E-2</c:v>
                </c:pt>
                <c:pt idx="99">
                  <c:v>8.8184287507963505E-2</c:v>
                </c:pt>
                <c:pt idx="100">
                  <c:v>8.94278411008535E-2</c:v>
                </c:pt>
                <c:pt idx="101">
                  <c:v>8.6647898186982195E-2</c:v>
                </c:pt>
                <c:pt idx="102">
                  <c:v>8.2991984372119298E-2</c:v>
                </c:pt>
                <c:pt idx="103">
                  <c:v>8.7835085473888894E-2</c:v>
                </c:pt>
                <c:pt idx="104">
                  <c:v>8.8079633350379202E-2</c:v>
                </c:pt>
                <c:pt idx="105">
                  <c:v>8.1417764455446795E-2</c:v>
                </c:pt>
                <c:pt idx="106">
                  <c:v>8.8397669930545195E-2</c:v>
                </c:pt>
                <c:pt idx="107">
                  <c:v>7.98923304313129E-2</c:v>
                </c:pt>
                <c:pt idx="108">
                  <c:v>7.8180496100107799E-2</c:v>
                </c:pt>
                <c:pt idx="109">
                  <c:v>8.2604733815412598E-2</c:v>
                </c:pt>
                <c:pt idx="110">
                  <c:v>8.1844806631045902E-2</c:v>
                </c:pt>
                <c:pt idx="111">
                  <c:v>8.4015293569577196E-2</c:v>
                </c:pt>
                <c:pt idx="112">
                  <c:v>8.3777502222571798E-2</c:v>
                </c:pt>
                <c:pt idx="113">
                  <c:v>8.2113144484105102E-2</c:v>
                </c:pt>
                <c:pt idx="114">
                  <c:v>8.0632786427548994E-2</c:v>
                </c:pt>
                <c:pt idx="115">
                  <c:v>8.1863449137842006E-2</c:v>
                </c:pt>
                <c:pt idx="116">
                  <c:v>7.7170387099568E-2</c:v>
                </c:pt>
                <c:pt idx="117">
                  <c:v>7.8892000136369503E-2</c:v>
                </c:pt>
                <c:pt idx="118">
                  <c:v>8.0484678350618594E-2</c:v>
                </c:pt>
                <c:pt idx="119">
                  <c:v>8.6675482535144496E-2</c:v>
                </c:pt>
                <c:pt idx="120">
                  <c:v>8.4233221079681495E-2</c:v>
                </c:pt>
                <c:pt idx="121">
                  <c:v>8.6164253504358204E-2</c:v>
                </c:pt>
                <c:pt idx="122">
                  <c:v>8.7002649727805303E-2</c:v>
                </c:pt>
                <c:pt idx="123">
                  <c:v>8.3106124386944105E-2</c:v>
                </c:pt>
                <c:pt idx="124">
                  <c:v>8.1626266880609602E-2</c:v>
                </c:pt>
                <c:pt idx="125">
                  <c:v>8.14342294486088E-2</c:v>
                </c:pt>
                <c:pt idx="126">
                  <c:v>8.0767051643768198E-2</c:v>
                </c:pt>
                <c:pt idx="127">
                  <c:v>8.0344099234700705E-2</c:v>
                </c:pt>
                <c:pt idx="128">
                  <c:v>8.1220008384630102E-2</c:v>
                </c:pt>
                <c:pt idx="129">
                  <c:v>8.0214503102033902E-2</c:v>
                </c:pt>
                <c:pt idx="130">
                  <c:v>7.6573169973957994E-2</c:v>
                </c:pt>
                <c:pt idx="131">
                  <c:v>7.7723912072640303E-2</c:v>
                </c:pt>
                <c:pt idx="132">
                  <c:v>7.8124859991862305E-2</c:v>
                </c:pt>
                <c:pt idx="133">
                  <c:v>8.1630232657190202E-2</c:v>
                </c:pt>
                <c:pt idx="134">
                  <c:v>8.0760597339346596E-2</c:v>
                </c:pt>
                <c:pt idx="135">
                  <c:v>8.1798337455285003E-2</c:v>
                </c:pt>
                <c:pt idx="136">
                  <c:v>7.3800283799929201E-2</c:v>
                </c:pt>
                <c:pt idx="137">
                  <c:v>7.4166598014152499E-2</c:v>
                </c:pt>
                <c:pt idx="138">
                  <c:v>7.7089045420285496E-2</c:v>
                </c:pt>
                <c:pt idx="139">
                  <c:v>8.0353296819379597E-2</c:v>
                </c:pt>
                <c:pt idx="140">
                  <c:v>8.3059799209001597E-2</c:v>
                </c:pt>
                <c:pt idx="141">
                  <c:v>8.2213365976416097E-2</c:v>
                </c:pt>
                <c:pt idx="142">
                  <c:v>7.9770394447163495E-2</c:v>
                </c:pt>
                <c:pt idx="143">
                  <c:v>8.0565787892815002E-2</c:v>
                </c:pt>
                <c:pt idx="144">
                  <c:v>8.2889700470322195E-2</c:v>
                </c:pt>
                <c:pt idx="145">
                  <c:v>8.3697780765032898E-2</c:v>
                </c:pt>
                <c:pt idx="146">
                  <c:v>8.1926993783664095E-2</c:v>
                </c:pt>
                <c:pt idx="147">
                  <c:v>8.1574958503187397E-2</c:v>
                </c:pt>
                <c:pt idx="148">
                  <c:v>7.3897665546376098E-2</c:v>
                </c:pt>
                <c:pt idx="149">
                  <c:v>7.3889556882788004E-2</c:v>
                </c:pt>
                <c:pt idx="150">
                  <c:v>7.1459428432611105E-2</c:v>
                </c:pt>
                <c:pt idx="151">
                  <c:v>7.3938043541409301E-2</c:v>
                </c:pt>
                <c:pt idx="152">
                  <c:v>7.8319265293374796E-2</c:v>
                </c:pt>
                <c:pt idx="153">
                  <c:v>7.8035837753673898E-2</c:v>
                </c:pt>
                <c:pt idx="154">
                  <c:v>7.9826857854852301E-2</c:v>
                </c:pt>
                <c:pt idx="155">
                  <c:v>7.5117850848440901E-2</c:v>
                </c:pt>
                <c:pt idx="156">
                  <c:v>7.3360751851900594E-2</c:v>
                </c:pt>
                <c:pt idx="157">
                  <c:v>7.5422176481996894E-2</c:v>
                </c:pt>
                <c:pt idx="158">
                  <c:v>7.2687428103371102E-2</c:v>
                </c:pt>
                <c:pt idx="159">
                  <c:v>7.2536125308773097E-2</c:v>
                </c:pt>
                <c:pt idx="160">
                  <c:v>6.6614756789563703E-2</c:v>
                </c:pt>
                <c:pt idx="161">
                  <c:v>7.6060427060029204E-2</c:v>
                </c:pt>
                <c:pt idx="162">
                  <c:v>6.2567599633531895E-2</c:v>
                </c:pt>
                <c:pt idx="163">
                  <c:v>6.93390555360031E-2</c:v>
                </c:pt>
                <c:pt idx="164">
                  <c:v>6.4881066362492398E-2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REO!$AE$1:$AE$2</c:f>
              <c:strCache>
                <c:ptCount val="1"/>
                <c:pt idx="0">
                  <c:v>MI FNMA</c:v>
                </c:pt>
              </c:strCache>
            </c:strRef>
          </c:tx>
          <c:marker>
            <c:symbol val="none"/>
          </c:marker>
          <c:cat>
            <c:numRef>
              <c:f>REO!$AC$14:$AC$181</c:f>
              <c:numCache>
                <c:formatCode>m/d/yyyy</c:formatCode>
                <c:ptCount val="168"/>
                <c:pt idx="0">
                  <c:v>36892</c:v>
                </c:pt>
                <c:pt idx="1">
                  <c:v>36923</c:v>
                </c:pt>
                <c:pt idx="2">
                  <c:v>36951</c:v>
                </c:pt>
                <c:pt idx="3">
                  <c:v>36982</c:v>
                </c:pt>
                <c:pt idx="4">
                  <c:v>37012</c:v>
                </c:pt>
                <c:pt idx="5">
                  <c:v>37043</c:v>
                </c:pt>
                <c:pt idx="6">
                  <c:v>37073</c:v>
                </c:pt>
                <c:pt idx="7">
                  <c:v>37104</c:v>
                </c:pt>
                <c:pt idx="8">
                  <c:v>37135</c:v>
                </c:pt>
                <c:pt idx="9">
                  <c:v>37165</c:v>
                </c:pt>
                <c:pt idx="10">
                  <c:v>37196</c:v>
                </c:pt>
                <c:pt idx="11">
                  <c:v>37226</c:v>
                </c:pt>
                <c:pt idx="12">
                  <c:v>37257</c:v>
                </c:pt>
                <c:pt idx="13">
                  <c:v>37288</c:v>
                </c:pt>
                <c:pt idx="14">
                  <c:v>37316</c:v>
                </c:pt>
                <c:pt idx="15">
                  <c:v>37347</c:v>
                </c:pt>
                <c:pt idx="16">
                  <c:v>37377</c:v>
                </c:pt>
                <c:pt idx="17">
                  <c:v>37408</c:v>
                </c:pt>
                <c:pt idx="18">
                  <c:v>37438</c:v>
                </c:pt>
                <c:pt idx="19">
                  <c:v>37469</c:v>
                </c:pt>
                <c:pt idx="20">
                  <c:v>37500</c:v>
                </c:pt>
                <c:pt idx="21">
                  <c:v>37530</c:v>
                </c:pt>
                <c:pt idx="22">
                  <c:v>37561</c:v>
                </c:pt>
                <c:pt idx="23">
                  <c:v>37591</c:v>
                </c:pt>
                <c:pt idx="24">
                  <c:v>37622</c:v>
                </c:pt>
                <c:pt idx="25">
                  <c:v>37653</c:v>
                </c:pt>
                <c:pt idx="26">
                  <c:v>37681</c:v>
                </c:pt>
                <c:pt idx="27">
                  <c:v>37712</c:v>
                </c:pt>
                <c:pt idx="28">
                  <c:v>37742</c:v>
                </c:pt>
                <c:pt idx="29">
                  <c:v>37773</c:v>
                </c:pt>
                <c:pt idx="30">
                  <c:v>37803</c:v>
                </c:pt>
                <c:pt idx="31">
                  <c:v>37834</c:v>
                </c:pt>
                <c:pt idx="32">
                  <c:v>37865</c:v>
                </c:pt>
                <c:pt idx="33">
                  <c:v>37895</c:v>
                </c:pt>
                <c:pt idx="34">
                  <c:v>37926</c:v>
                </c:pt>
                <c:pt idx="35">
                  <c:v>37956</c:v>
                </c:pt>
                <c:pt idx="36">
                  <c:v>37987</c:v>
                </c:pt>
                <c:pt idx="37">
                  <c:v>38018</c:v>
                </c:pt>
                <c:pt idx="38">
                  <c:v>38047</c:v>
                </c:pt>
                <c:pt idx="39">
                  <c:v>38078</c:v>
                </c:pt>
                <c:pt idx="40">
                  <c:v>38108</c:v>
                </c:pt>
                <c:pt idx="41">
                  <c:v>38139</c:v>
                </c:pt>
                <c:pt idx="42">
                  <c:v>38169</c:v>
                </c:pt>
                <c:pt idx="43">
                  <c:v>38200</c:v>
                </c:pt>
                <c:pt idx="44">
                  <c:v>38231</c:v>
                </c:pt>
                <c:pt idx="45">
                  <c:v>38261</c:v>
                </c:pt>
                <c:pt idx="46">
                  <c:v>38292</c:v>
                </c:pt>
                <c:pt idx="47">
                  <c:v>38322</c:v>
                </c:pt>
                <c:pt idx="48">
                  <c:v>38353</c:v>
                </c:pt>
                <c:pt idx="49">
                  <c:v>38384</c:v>
                </c:pt>
                <c:pt idx="50">
                  <c:v>38412</c:v>
                </c:pt>
                <c:pt idx="51">
                  <c:v>38443</c:v>
                </c:pt>
                <c:pt idx="52">
                  <c:v>38473</c:v>
                </c:pt>
                <c:pt idx="53">
                  <c:v>38504</c:v>
                </c:pt>
                <c:pt idx="54">
                  <c:v>38534</c:v>
                </c:pt>
                <c:pt idx="55">
                  <c:v>38565</c:v>
                </c:pt>
                <c:pt idx="56">
                  <c:v>38596</c:v>
                </c:pt>
                <c:pt idx="57">
                  <c:v>38626</c:v>
                </c:pt>
                <c:pt idx="58">
                  <c:v>38657</c:v>
                </c:pt>
                <c:pt idx="59">
                  <c:v>38687</c:v>
                </c:pt>
                <c:pt idx="60">
                  <c:v>38718</c:v>
                </c:pt>
                <c:pt idx="61">
                  <c:v>38749</c:v>
                </c:pt>
                <c:pt idx="62">
                  <c:v>38777</c:v>
                </c:pt>
                <c:pt idx="63">
                  <c:v>38808</c:v>
                </c:pt>
                <c:pt idx="64">
                  <c:v>38838</c:v>
                </c:pt>
                <c:pt idx="65">
                  <c:v>38869</c:v>
                </c:pt>
                <c:pt idx="66">
                  <c:v>38899</c:v>
                </c:pt>
                <c:pt idx="67">
                  <c:v>38930</c:v>
                </c:pt>
                <c:pt idx="68">
                  <c:v>38961</c:v>
                </c:pt>
                <c:pt idx="69">
                  <c:v>38991</c:v>
                </c:pt>
                <c:pt idx="70">
                  <c:v>39022</c:v>
                </c:pt>
                <c:pt idx="71">
                  <c:v>39052</c:v>
                </c:pt>
                <c:pt idx="72">
                  <c:v>39083</c:v>
                </c:pt>
                <c:pt idx="73">
                  <c:v>39114</c:v>
                </c:pt>
                <c:pt idx="74">
                  <c:v>39142</c:v>
                </c:pt>
                <c:pt idx="75">
                  <c:v>39173</c:v>
                </c:pt>
                <c:pt idx="76">
                  <c:v>39203</c:v>
                </c:pt>
                <c:pt idx="77">
                  <c:v>39234</c:v>
                </c:pt>
                <c:pt idx="78">
                  <c:v>39264</c:v>
                </c:pt>
                <c:pt idx="79">
                  <c:v>39295</c:v>
                </c:pt>
                <c:pt idx="80">
                  <c:v>39326</c:v>
                </c:pt>
                <c:pt idx="81">
                  <c:v>39356</c:v>
                </c:pt>
                <c:pt idx="82">
                  <c:v>39387</c:v>
                </c:pt>
                <c:pt idx="83">
                  <c:v>39417</c:v>
                </c:pt>
                <c:pt idx="84">
                  <c:v>39448</c:v>
                </c:pt>
                <c:pt idx="85">
                  <c:v>39479</c:v>
                </c:pt>
                <c:pt idx="86">
                  <c:v>39508</c:v>
                </c:pt>
                <c:pt idx="87">
                  <c:v>39539</c:v>
                </c:pt>
                <c:pt idx="88">
                  <c:v>39569</c:v>
                </c:pt>
                <c:pt idx="89">
                  <c:v>39600</c:v>
                </c:pt>
                <c:pt idx="90">
                  <c:v>39630</c:v>
                </c:pt>
                <c:pt idx="91">
                  <c:v>39661</c:v>
                </c:pt>
                <c:pt idx="92">
                  <c:v>39692</c:v>
                </c:pt>
                <c:pt idx="93">
                  <c:v>39722</c:v>
                </c:pt>
                <c:pt idx="94">
                  <c:v>39753</c:v>
                </c:pt>
                <c:pt idx="95">
                  <c:v>39783</c:v>
                </c:pt>
                <c:pt idx="96">
                  <c:v>39814</c:v>
                </c:pt>
                <c:pt idx="97">
                  <c:v>39845</c:v>
                </c:pt>
                <c:pt idx="98">
                  <c:v>39873</c:v>
                </c:pt>
                <c:pt idx="99">
                  <c:v>39904</c:v>
                </c:pt>
                <c:pt idx="100">
                  <c:v>39934</c:v>
                </c:pt>
                <c:pt idx="101">
                  <c:v>39965</c:v>
                </c:pt>
                <c:pt idx="102">
                  <c:v>39995</c:v>
                </c:pt>
                <c:pt idx="103">
                  <c:v>40026</c:v>
                </c:pt>
                <c:pt idx="104">
                  <c:v>40057</c:v>
                </c:pt>
                <c:pt idx="105">
                  <c:v>40087</c:v>
                </c:pt>
                <c:pt idx="106">
                  <c:v>40118</c:v>
                </c:pt>
                <c:pt idx="107">
                  <c:v>40148</c:v>
                </c:pt>
                <c:pt idx="108">
                  <c:v>40179</c:v>
                </c:pt>
                <c:pt idx="109">
                  <c:v>40210</c:v>
                </c:pt>
                <c:pt idx="110">
                  <c:v>40238</c:v>
                </c:pt>
                <c:pt idx="111">
                  <c:v>40269</c:v>
                </c:pt>
                <c:pt idx="112">
                  <c:v>40299</c:v>
                </c:pt>
                <c:pt idx="113">
                  <c:v>40330</c:v>
                </c:pt>
                <c:pt idx="114">
                  <c:v>40360</c:v>
                </c:pt>
                <c:pt idx="115">
                  <c:v>40391</c:v>
                </c:pt>
                <c:pt idx="116">
                  <c:v>40422</c:v>
                </c:pt>
                <c:pt idx="117">
                  <c:v>40452</c:v>
                </c:pt>
                <c:pt idx="118">
                  <c:v>40483</c:v>
                </c:pt>
                <c:pt idx="119">
                  <c:v>40513</c:v>
                </c:pt>
                <c:pt idx="120">
                  <c:v>40544</c:v>
                </c:pt>
                <c:pt idx="121">
                  <c:v>40575</c:v>
                </c:pt>
                <c:pt idx="122">
                  <c:v>40603</c:v>
                </c:pt>
                <c:pt idx="123">
                  <c:v>40634</c:v>
                </c:pt>
                <c:pt idx="124">
                  <c:v>40664</c:v>
                </c:pt>
                <c:pt idx="125">
                  <c:v>40695</c:v>
                </c:pt>
                <c:pt idx="126">
                  <c:v>40725</c:v>
                </c:pt>
                <c:pt idx="127">
                  <c:v>40756</c:v>
                </c:pt>
                <c:pt idx="128">
                  <c:v>40787</c:v>
                </c:pt>
                <c:pt idx="129">
                  <c:v>40817</c:v>
                </c:pt>
                <c:pt idx="130">
                  <c:v>40848</c:v>
                </c:pt>
                <c:pt idx="131">
                  <c:v>40878</c:v>
                </c:pt>
                <c:pt idx="132">
                  <c:v>40909</c:v>
                </c:pt>
                <c:pt idx="133">
                  <c:v>40940</c:v>
                </c:pt>
                <c:pt idx="134">
                  <c:v>40969</c:v>
                </c:pt>
                <c:pt idx="135">
                  <c:v>41000</c:v>
                </c:pt>
                <c:pt idx="136">
                  <c:v>41030</c:v>
                </c:pt>
                <c:pt idx="137">
                  <c:v>41061</c:v>
                </c:pt>
                <c:pt idx="138">
                  <c:v>41091</c:v>
                </c:pt>
                <c:pt idx="139">
                  <c:v>41122</c:v>
                </c:pt>
                <c:pt idx="140">
                  <c:v>41153</c:v>
                </c:pt>
                <c:pt idx="141">
                  <c:v>41183</c:v>
                </c:pt>
                <c:pt idx="142">
                  <c:v>41214</c:v>
                </c:pt>
                <c:pt idx="143">
                  <c:v>41244</c:v>
                </c:pt>
                <c:pt idx="144">
                  <c:v>41275</c:v>
                </c:pt>
                <c:pt idx="145">
                  <c:v>41306</c:v>
                </c:pt>
                <c:pt idx="146">
                  <c:v>41334</c:v>
                </c:pt>
                <c:pt idx="147">
                  <c:v>41365</c:v>
                </c:pt>
                <c:pt idx="148">
                  <c:v>41395</c:v>
                </c:pt>
                <c:pt idx="149">
                  <c:v>41426</c:v>
                </c:pt>
                <c:pt idx="150">
                  <c:v>41456</c:v>
                </c:pt>
                <c:pt idx="151">
                  <c:v>41487</c:v>
                </c:pt>
                <c:pt idx="152">
                  <c:v>41518</c:v>
                </c:pt>
                <c:pt idx="153">
                  <c:v>41548</c:v>
                </c:pt>
                <c:pt idx="154">
                  <c:v>41579</c:v>
                </c:pt>
                <c:pt idx="155">
                  <c:v>41609</c:v>
                </c:pt>
                <c:pt idx="156">
                  <c:v>41640</c:v>
                </c:pt>
                <c:pt idx="157">
                  <c:v>41671</c:v>
                </c:pt>
                <c:pt idx="158">
                  <c:v>41699</c:v>
                </c:pt>
                <c:pt idx="159">
                  <c:v>41730</c:v>
                </c:pt>
                <c:pt idx="160">
                  <c:v>41760</c:v>
                </c:pt>
                <c:pt idx="161">
                  <c:v>41791</c:v>
                </c:pt>
                <c:pt idx="162">
                  <c:v>41821</c:v>
                </c:pt>
                <c:pt idx="163">
                  <c:v>41852</c:v>
                </c:pt>
                <c:pt idx="164">
                  <c:v>41883</c:v>
                </c:pt>
              </c:numCache>
            </c:numRef>
          </c:cat>
          <c:val>
            <c:numRef>
              <c:f>REO!$AE$14:$AE$181</c:f>
              <c:numCache>
                <c:formatCode>0%</c:formatCode>
                <c:ptCount val="168"/>
                <c:pt idx="0">
                  <c:v>0.18930805983995699</c:v>
                </c:pt>
                <c:pt idx="1">
                  <c:v>0.13212254468239101</c:v>
                </c:pt>
                <c:pt idx="2">
                  <c:v>0.20907297667815899</c:v>
                </c:pt>
                <c:pt idx="3">
                  <c:v>0.271818650215432</c:v>
                </c:pt>
                <c:pt idx="4">
                  <c:v>0.17744364943426399</c:v>
                </c:pt>
                <c:pt idx="5">
                  <c:v>0.161506087955851</c:v>
                </c:pt>
                <c:pt idx="6">
                  <c:v>0.258154793295642</c:v>
                </c:pt>
                <c:pt idx="7">
                  <c:v>0.195924584482465</c:v>
                </c:pt>
                <c:pt idx="8">
                  <c:v>0.155896623384258</c:v>
                </c:pt>
                <c:pt idx="9">
                  <c:v>0.18243383950796199</c:v>
                </c:pt>
                <c:pt idx="10">
                  <c:v>0.209707270540683</c:v>
                </c:pt>
                <c:pt idx="11">
                  <c:v>0.17706225291329999</c:v>
                </c:pt>
                <c:pt idx="12">
                  <c:v>0.20667945149983999</c:v>
                </c:pt>
                <c:pt idx="13">
                  <c:v>0.24000651037335</c:v>
                </c:pt>
                <c:pt idx="14">
                  <c:v>0.170796961709273</c:v>
                </c:pt>
                <c:pt idx="15">
                  <c:v>0.19422415689702099</c:v>
                </c:pt>
                <c:pt idx="16">
                  <c:v>0.18867196968755501</c:v>
                </c:pt>
                <c:pt idx="17">
                  <c:v>0.18321222935132001</c:v>
                </c:pt>
                <c:pt idx="18">
                  <c:v>0.19516214217861499</c:v>
                </c:pt>
                <c:pt idx="19">
                  <c:v>0.20135426858720901</c:v>
                </c:pt>
                <c:pt idx="20">
                  <c:v>0.18792899848906799</c:v>
                </c:pt>
                <c:pt idx="21">
                  <c:v>0.19858797016577701</c:v>
                </c:pt>
                <c:pt idx="22">
                  <c:v>0.19963007648433101</c:v>
                </c:pt>
                <c:pt idx="23">
                  <c:v>0.18220515855067401</c:v>
                </c:pt>
                <c:pt idx="24">
                  <c:v>0.20000193448350201</c:v>
                </c:pt>
                <c:pt idx="25">
                  <c:v>0.220723104173384</c:v>
                </c:pt>
                <c:pt idx="26">
                  <c:v>0.18441207144706401</c:v>
                </c:pt>
                <c:pt idx="27">
                  <c:v>0.205491277166862</c:v>
                </c:pt>
                <c:pt idx="28">
                  <c:v>0.19094667605465601</c:v>
                </c:pt>
                <c:pt idx="29">
                  <c:v>0.173044230542586</c:v>
                </c:pt>
                <c:pt idx="30">
                  <c:v>0.18606159089704399</c:v>
                </c:pt>
                <c:pt idx="31">
                  <c:v>0.17079296173048999</c:v>
                </c:pt>
                <c:pt idx="32">
                  <c:v>0.18859349775516701</c:v>
                </c:pt>
                <c:pt idx="33">
                  <c:v>0.166906212199532</c:v>
                </c:pt>
                <c:pt idx="34">
                  <c:v>0.17951054871160099</c:v>
                </c:pt>
                <c:pt idx="35">
                  <c:v>0.175284167250495</c:v>
                </c:pt>
                <c:pt idx="36">
                  <c:v>0.16198696394857401</c:v>
                </c:pt>
                <c:pt idx="37">
                  <c:v>0.18768268500920801</c:v>
                </c:pt>
                <c:pt idx="38">
                  <c:v>0.174320144601464</c:v>
                </c:pt>
                <c:pt idx="39">
                  <c:v>0.18038464304625701</c:v>
                </c:pt>
                <c:pt idx="40">
                  <c:v>0.16141665863888199</c:v>
                </c:pt>
                <c:pt idx="41">
                  <c:v>0.175335748644048</c:v>
                </c:pt>
                <c:pt idx="42">
                  <c:v>0.19334286654324301</c:v>
                </c:pt>
                <c:pt idx="43">
                  <c:v>0.18654139514252799</c:v>
                </c:pt>
                <c:pt idx="44">
                  <c:v>0.16531945366656001</c:v>
                </c:pt>
                <c:pt idx="45">
                  <c:v>0.18591932003289599</c:v>
                </c:pt>
                <c:pt idx="46">
                  <c:v>0.17735906466940701</c:v>
                </c:pt>
                <c:pt idx="47">
                  <c:v>0.17289896928586301</c:v>
                </c:pt>
                <c:pt idx="48">
                  <c:v>0.190834597037433</c:v>
                </c:pt>
                <c:pt idx="49">
                  <c:v>0.19856033930877501</c:v>
                </c:pt>
                <c:pt idx="50">
                  <c:v>0.16786223366067299</c:v>
                </c:pt>
                <c:pt idx="51">
                  <c:v>0.16358298208421401</c:v>
                </c:pt>
                <c:pt idx="52">
                  <c:v>0.18158533341677499</c:v>
                </c:pt>
                <c:pt idx="53">
                  <c:v>0.17397936780041301</c:v>
                </c:pt>
                <c:pt idx="54">
                  <c:v>0.17568250555609399</c:v>
                </c:pt>
                <c:pt idx="55">
                  <c:v>0.18256239874520599</c:v>
                </c:pt>
                <c:pt idx="56">
                  <c:v>0.16583086681117201</c:v>
                </c:pt>
                <c:pt idx="57">
                  <c:v>0.165718401815029</c:v>
                </c:pt>
                <c:pt idx="58">
                  <c:v>0.18430504084586</c:v>
                </c:pt>
                <c:pt idx="59">
                  <c:v>0.17271856965656501</c:v>
                </c:pt>
                <c:pt idx="60">
                  <c:v>0.20010862885634301</c:v>
                </c:pt>
                <c:pt idx="61">
                  <c:v>0.17524876053952701</c:v>
                </c:pt>
                <c:pt idx="62">
                  <c:v>0.18109737579677199</c:v>
                </c:pt>
                <c:pt idx="63">
                  <c:v>0.20177133023430099</c:v>
                </c:pt>
                <c:pt idx="64">
                  <c:v>0.18497283869887099</c:v>
                </c:pt>
                <c:pt idx="65">
                  <c:v>0.19425368043742999</c:v>
                </c:pt>
                <c:pt idx="66">
                  <c:v>0.19068869519593501</c:v>
                </c:pt>
                <c:pt idx="67">
                  <c:v>0.173963412239097</c:v>
                </c:pt>
                <c:pt idx="68">
                  <c:v>0.194346616858104</c:v>
                </c:pt>
                <c:pt idx="69">
                  <c:v>0.19913065582218301</c:v>
                </c:pt>
                <c:pt idx="70">
                  <c:v>0.203227465370243</c:v>
                </c:pt>
                <c:pt idx="71">
                  <c:v>0.194670261845165</c:v>
                </c:pt>
                <c:pt idx="72">
                  <c:v>0.20632533786101301</c:v>
                </c:pt>
                <c:pt idx="73">
                  <c:v>0.18721323606989801</c:v>
                </c:pt>
                <c:pt idx="74">
                  <c:v>0.17053212273423199</c:v>
                </c:pt>
                <c:pt idx="75">
                  <c:v>0.164743487646903</c:v>
                </c:pt>
                <c:pt idx="76">
                  <c:v>0.17159614327184899</c:v>
                </c:pt>
                <c:pt idx="77">
                  <c:v>0.15013450176845999</c:v>
                </c:pt>
                <c:pt idx="78">
                  <c:v>0.16782841694030601</c:v>
                </c:pt>
                <c:pt idx="79">
                  <c:v>0.16306496869512799</c:v>
                </c:pt>
                <c:pt idx="80">
                  <c:v>0.138708290246877</c:v>
                </c:pt>
                <c:pt idx="81">
                  <c:v>0.163547487577856</c:v>
                </c:pt>
                <c:pt idx="82">
                  <c:v>0.147812327388786</c:v>
                </c:pt>
                <c:pt idx="83">
                  <c:v>0.16289449724914201</c:v>
                </c:pt>
                <c:pt idx="84">
                  <c:v>0.15794978998809001</c:v>
                </c:pt>
                <c:pt idx="85">
                  <c:v>0.151786437635409</c:v>
                </c:pt>
                <c:pt idx="86">
                  <c:v>0.15372771607371799</c:v>
                </c:pt>
                <c:pt idx="87">
                  <c:v>0.122715873293285</c:v>
                </c:pt>
                <c:pt idx="88">
                  <c:v>0.124681539549638</c:v>
                </c:pt>
                <c:pt idx="89">
                  <c:v>0.13440429655084299</c:v>
                </c:pt>
                <c:pt idx="90">
                  <c:v>0.12234591668469801</c:v>
                </c:pt>
                <c:pt idx="91">
                  <c:v>0.124194140931916</c:v>
                </c:pt>
                <c:pt idx="92">
                  <c:v>0.12010018192291699</c:v>
                </c:pt>
                <c:pt idx="93">
                  <c:v>0.107312546658225</c:v>
                </c:pt>
                <c:pt idx="94">
                  <c:v>0.12359795796896</c:v>
                </c:pt>
                <c:pt idx="95">
                  <c:v>0.123193212629475</c:v>
                </c:pt>
                <c:pt idx="96">
                  <c:v>0.117905528323258</c:v>
                </c:pt>
                <c:pt idx="97">
                  <c:v>0.122191863148253</c:v>
                </c:pt>
                <c:pt idx="98">
                  <c:v>0.116294864540058</c:v>
                </c:pt>
                <c:pt idx="99">
                  <c:v>0.118227101431449</c:v>
                </c:pt>
                <c:pt idx="100">
                  <c:v>0.11517108433777</c:v>
                </c:pt>
                <c:pt idx="101">
                  <c:v>0.116991973284208</c:v>
                </c:pt>
                <c:pt idx="102">
                  <c:v>0.107081660015453</c:v>
                </c:pt>
                <c:pt idx="103">
                  <c:v>0.113163669200777</c:v>
                </c:pt>
                <c:pt idx="104">
                  <c:v>9.9046025107514604E-2</c:v>
                </c:pt>
                <c:pt idx="105">
                  <c:v>0.102523732913921</c:v>
                </c:pt>
                <c:pt idx="106">
                  <c:v>0.10150706312857199</c:v>
                </c:pt>
                <c:pt idx="107">
                  <c:v>9.6361856644978303E-2</c:v>
                </c:pt>
                <c:pt idx="108">
                  <c:v>9.3058350733900203E-2</c:v>
                </c:pt>
                <c:pt idx="109">
                  <c:v>9.1705717710475407E-2</c:v>
                </c:pt>
                <c:pt idx="110">
                  <c:v>9.94480987936954E-2</c:v>
                </c:pt>
                <c:pt idx="111">
                  <c:v>9.5274756797308305E-2</c:v>
                </c:pt>
                <c:pt idx="112">
                  <c:v>9.6411872271719698E-2</c:v>
                </c:pt>
                <c:pt idx="113">
                  <c:v>9.1527801206123902E-2</c:v>
                </c:pt>
                <c:pt idx="114">
                  <c:v>8.4134124216273795E-2</c:v>
                </c:pt>
                <c:pt idx="115">
                  <c:v>9.7090589994050597E-2</c:v>
                </c:pt>
                <c:pt idx="116">
                  <c:v>8.9199891045052895E-2</c:v>
                </c:pt>
                <c:pt idx="117">
                  <c:v>8.6173690036323997E-2</c:v>
                </c:pt>
                <c:pt idx="118">
                  <c:v>9.0094465654317099E-2</c:v>
                </c:pt>
                <c:pt idx="119">
                  <c:v>8.8947655051484595E-2</c:v>
                </c:pt>
                <c:pt idx="120">
                  <c:v>8.77327528263879E-2</c:v>
                </c:pt>
                <c:pt idx="121">
                  <c:v>8.9874266437537403E-2</c:v>
                </c:pt>
                <c:pt idx="122">
                  <c:v>8.1537914990097896E-2</c:v>
                </c:pt>
                <c:pt idx="123">
                  <c:v>8.4816304136765497E-2</c:v>
                </c:pt>
                <c:pt idx="124">
                  <c:v>8.1990369115300596E-2</c:v>
                </c:pt>
                <c:pt idx="125">
                  <c:v>8.3110686946176501E-2</c:v>
                </c:pt>
                <c:pt idx="126">
                  <c:v>8.2213855491534302E-2</c:v>
                </c:pt>
                <c:pt idx="127">
                  <c:v>8.37619967627454E-2</c:v>
                </c:pt>
                <c:pt idx="128">
                  <c:v>7.56186597444026E-2</c:v>
                </c:pt>
                <c:pt idx="129">
                  <c:v>7.6139725004689907E-2</c:v>
                </c:pt>
                <c:pt idx="130">
                  <c:v>7.4007818677175499E-2</c:v>
                </c:pt>
                <c:pt idx="131">
                  <c:v>7.6785688180167497E-2</c:v>
                </c:pt>
                <c:pt idx="132">
                  <c:v>7.54390955010599E-2</c:v>
                </c:pt>
                <c:pt idx="133">
                  <c:v>7.7395134381344197E-2</c:v>
                </c:pt>
                <c:pt idx="134">
                  <c:v>7.5182393227896993E-2</c:v>
                </c:pt>
                <c:pt idx="135">
                  <c:v>7.4188712389584605E-2</c:v>
                </c:pt>
                <c:pt idx="136">
                  <c:v>7.93232892826507E-2</c:v>
                </c:pt>
                <c:pt idx="137">
                  <c:v>7.2148709908243597E-2</c:v>
                </c:pt>
                <c:pt idx="138">
                  <c:v>7.5588148474725197E-2</c:v>
                </c:pt>
                <c:pt idx="139">
                  <c:v>7.3581793664630704E-2</c:v>
                </c:pt>
                <c:pt idx="140">
                  <c:v>7.5966695289768599E-2</c:v>
                </c:pt>
                <c:pt idx="141">
                  <c:v>7.5547419017648706E-2</c:v>
                </c:pt>
                <c:pt idx="142">
                  <c:v>7.6429862595935094E-2</c:v>
                </c:pt>
                <c:pt idx="143">
                  <c:v>7.4180912826475195E-2</c:v>
                </c:pt>
                <c:pt idx="144">
                  <c:v>7.0325746735397501E-2</c:v>
                </c:pt>
                <c:pt idx="145">
                  <c:v>7.4386137499957594E-2</c:v>
                </c:pt>
                <c:pt idx="146">
                  <c:v>7.1599837434190294E-2</c:v>
                </c:pt>
                <c:pt idx="147">
                  <c:v>7.4764052355933003E-2</c:v>
                </c:pt>
                <c:pt idx="148">
                  <c:v>7.2766831217682001E-2</c:v>
                </c:pt>
                <c:pt idx="149">
                  <c:v>7.3209064689230399E-2</c:v>
                </c:pt>
                <c:pt idx="150">
                  <c:v>7.2082704658598298E-2</c:v>
                </c:pt>
                <c:pt idx="151">
                  <c:v>7.0279302943788105E-2</c:v>
                </c:pt>
                <c:pt idx="152">
                  <c:v>7.7178366578793206E-2</c:v>
                </c:pt>
                <c:pt idx="153">
                  <c:v>7.4474879302808106E-2</c:v>
                </c:pt>
                <c:pt idx="154">
                  <c:v>7.2511315447045394E-2</c:v>
                </c:pt>
                <c:pt idx="155">
                  <c:v>7.6860186016386806E-2</c:v>
                </c:pt>
                <c:pt idx="156">
                  <c:v>7.13193139769909E-2</c:v>
                </c:pt>
                <c:pt idx="157">
                  <c:v>7.3936662694178201E-2</c:v>
                </c:pt>
                <c:pt idx="158">
                  <c:v>7.0560538165555797E-2</c:v>
                </c:pt>
                <c:pt idx="159">
                  <c:v>7.2297018973661295E-2</c:v>
                </c:pt>
                <c:pt idx="160">
                  <c:v>6.8493537254697798E-2</c:v>
                </c:pt>
                <c:pt idx="161">
                  <c:v>7.1034060855144202E-2</c:v>
                </c:pt>
                <c:pt idx="162">
                  <c:v>7.1561413492854303E-2</c:v>
                </c:pt>
                <c:pt idx="163">
                  <c:v>7.5334090909576906E-2</c:v>
                </c:pt>
                <c:pt idx="164">
                  <c:v>7.55743331663878E-2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97790976"/>
        <c:axId val="497792512"/>
      </c:lineChart>
      <c:dateAx>
        <c:axId val="497790976"/>
        <c:scaling>
          <c:orientation val="minMax"/>
        </c:scaling>
        <c:delete val="0"/>
        <c:axPos val="b"/>
        <c:numFmt formatCode="m/d/yyyy" sourceLinked="1"/>
        <c:majorTickMark val="out"/>
        <c:minorTickMark val="none"/>
        <c:tickLblPos val="nextTo"/>
        <c:crossAx val="497792512"/>
        <c:crosses val="autoZero"/>
        <c:auto val="1"/>
        <c:lblOffset val="100"/>
        <c:baseTimeUnit val="months"/>
      </c:dateAx>
      <c:valAx>
        <c:axId val="497792512"/>
        <c:scaling>
          <c:orientation val="minMax"/>
        </c:scaling>
        <c:delete val="0"/>
        <c:axPos val="l"/>
        <c:majorGridlines/>
        <c:numFmt formatCode="0%" sourceLinked="1"/>
        <c:majorTickMark val="out"/>
        <c:minorTickMark val="none"/>
        <c:tickLblPos val="nextTo"/>
        <c:crossAx val="497790976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REO!$AH$1:$AH$2</c:f>
              <c:strCache>
                <c:ptCount val="1"/>
                <c:pt idx="0">
                  <c:v>expenses FHL</c:v>
                </c:pt>
              </c:strCache>
            </c:strRef>
          </c:tx>
          <c:marker>
            <c:symbol val="none"/>
          </c:marker>
          <c:cat>
            <c:numRef>
              <c:f>REO!$AG$14:$AG$181</c:f>
              <c:numCache>
                <c:formatCode>m/d/yyyy</c:formatCode>
                <c:ptCount val="168"/>
                <c:pt idx="0">
                  <c:v>36892</c:v>
                </c:pt>
                <c:pt idx="1">
                  <c:v>36923</c:v>
                </c:pt>
                <c:pt idx="2">
                  <c:v>36951</c:v>
                </c:pt>
                <c:pt idx="3">
                  <c:v>36982</c:v>
                </c:pt>
                <c:pt idx="4">
                  <c:v>37012</c:v>
                </c:pt>
                <c:pt idx="5">
                  <c:v>37043</c:v>
                </c:pt>
                <c:pt idx="6">
                  <c:v>37073</c:v>
                </c:pt>
                <c:pt idx="7">
                  <c:v>37104</c:v>
                </c:pt>
                <c:pt idx="8">
                  <c:v>37135</c:v>
                </c:pt>
                <c:pt idx="9">
                  <c:v>37165</c:v>
                </c:pt>
                <c:pt idx="10">
                  <c:v>37196</c:v>
                </c:pt>
                <c:pt idx="11">
                  <c:v>37226</c:v>
                </c:pt>
                <c:pt idx="12">
                  <c:v>37257</c:v>
                </c:pt>
                <c:pt idx="13">
                  <c:v>37288</c:v>
                </c:pt>
                <c:pt idx="14">
                  <c:v>37316</c:v>
                </c:pt>
                <c:pt idx="15">
                  <c:v>37347</c:v>
                </c:pt>
                <c:pt idx="16">
                  <c:v>37377</c:v>
                </c:pt>
                <c:pt idx="17">
                  <c:v>37408</c:v>
                </c:pt>
                <c:pt idx="18">
                  <c:v>37438</c:v>
                </c:pt>
                <c:pt idx="19">
                  <c:v>37469</c:v>
                </c:pt>
                <c:pt idx="20">
                  <c:v>37500</c:v>
                </c:pt>
                <c:pt idx="21">
                  <c:v>37530</c:v>
                </c:pt>
                <c:pt idx="22">
                  <c:v>37561</c:v>
                </c:pt>
                <c:pt idx="23">
                  <c:v>37591</c:v>
                </c:pt>
                <c:pt idx="24">
                  <c:v>37622</c:v>
                </c:pt>
                <c:pt idx="25">
                  <c:v>37653</c:v>
                </c:pt>
                <c:pt idx="26">
                  <c:v>37681</c:v>
                </c:pt>
                <c:pt idx="27">
                  <c:v>37712</c:v>
                </c:pt>
                <c:pt idx="28">
                  <c:v>37742</c:v>
                </c:pt>
                <c:pt idx="29">
                  <c:v>37773</c:v>
                </c:pt>
                <c:pt idx="30">
                  <c:v>37803</c:v>
                </c:pt>
                <c:pt idx="31">
                  <c:v>37834</c:v>
                </c:pt>
                <c:pt idx="32">
                  <c:v>37865</c:v>
                </c:pt>
                <c:pt idx="33">
                  <c:v>37895</c:v>
                </c:pt>
                <c:pt idx="34">
                  <c:v>37926</c:v>
                </c:pt>
                <c:pt idx="35">
                  <c:v>37956</c:v>
                </c:pt>
                <c:pt idx="36">
                  <c:v>37987</c:v>
                </c:pt>
                <c:pt idx="37">
                  <c:v>38018</c:v>
                </c:pt>
                <c:pt idx="38">
                  <c:v>38047</c:v>
                </c:pt>
                <c:pt idx="39">
                  <c:v>38078</c:v>
                </c:pt>
                <c:pt idx="40">
                  <c:v>38108</c:v>
                </c:pt>
                <c:pt idx="41">
                  <c:v>38139</c:v>
                </c:pt>
                <c:pt idx="42">
                  <c:v>38169</c:v>
                </c:pt>
                <c:pt idx="43">
                  <c:v>38200</c:v>
                </c:pt>
                <c:pt idx="44">
                  <c:v>38231</c:v>
                </c:pt>
                <c:pt idx="45">
                  <c:v>38261</c:v>
                </c:pt>
                <c:pt idx="46">
                  <c:v>38292</c:v>
                </c:pt>
                <c:pt idx="47">
                  <c:v>38322</c:v>
                </c:pt>
                <c:pt idx="48">
                  <c:v>38353</c:v>
                </c:pt>
                <c:pt idx="49">
                  <c:v>38384</c:v>
                </c:pt>
                <c:pt idx="50">
                  <c:v>38412</c:v>
                </c:pt>
                <c:pt idx="51">
                  <c:v>38443</c:v>
                </c:pt>
                <c:pt idx="52">
                  <c:v>38473</c:v>
                </c:pt>
                <c:pt idx="53">
                  <c:v>38504</c:v>
                </c:pt>
                <c:pt idx="54">
                  <c:v>38534</c:v>
                </c:pt>
                <c:pt idx="55">
                  <c:v>38565</c:v>
                </c:pt>
                <c:pt idx="56">
                  <c:v>38596</c:v>
                </c:pt>
                <c:pt idx="57">
                  <c:v>38626</c:v>
                </c:pt>
                <c:pt idx="58">
                  <c:v>38657</c:v>
                </c:pt>
                <c:pt idx="59">
                  <c:v>38687</c:v>
                </c:pt>
                <c:pt idx="60">
                  <c:v>38718</c:v>
                </c:pt>
                <c:pt idx="61">
                  <c:v>38749</c:v>
                </c:pt>
                <c:pt idx="62">
                  <c:v>38777</c:v>
                </c:pt>
                <c:pt idx="63">
                  <c:v>38808</c:v>
                </c:pt>
                <c:pt idx="64">
                  <c:v>38838</c:v>
                </c:pt>
                <c:pt idx="65">
                  <c:v>38869</c:v>
                </c:pt>
                <c:pt idx="66">
                  <c:v>38899</c:v>
                </c:pt>
                <c:pt idx="67">
                  <c:v>38930</c:v>
                </c:pt>
                <c:pt idx="68">
                  <c:v>38961</c:v>
                </c:pt>
                <c:pt idx="69">
                  <c:v>38991</c:v>
                </c:pt>
                <c:pt idx="70">
                  <c:v>39022</c:v>
                </c:pt>
                <c:pt idx="71">
                  <c:v>39052</c:v>
                </c:pt>
                <c:pt idx="72">
                  <c:v>39083</c:v>
                </c:pt>
                <c:pt idx="73">
                  <c:v>39114</c:v>
                </c:pt>
                <c:pt idx="74">
                  <c:v>39142</c:v>
                </c:pt>
                <c:pt idx="75">
                  <c:v>39173</c:v>
                </c:pt>
                <c:pt idx="76">
                  <c:v>39203</c:v>
                </c:pt>
                <c:pt idx="77">
                  <c:v>39234</c:v>
                </c:pt>
                <c:pt idx="78">
                  <c:v>39264</c:v>
                </c:pt>
                <c:pt idx="79">
                  <c:v>39295</c:v>
                </c:pt>
                <c:pt idx="80">
                  <c:v>39326</c:v>
                </c:pt>
                <c:pt idx="81">
                  <c:v>39356</c:v>
                </c:pt>
                <c:pt idx="82">
                  <c:v>39387</c:v>
                </c:pt>
                <c:pt idx="83">
                  <c:v>39417</c:v>
                </c:pt>
                <c:pt idx="84">
                  <c:v>39448</c:v>
                </c:pt>
                <c:pt idx="85">
                  <c:v>39479</c:v>
                </c:pt>
                <c:pt idx="86">
                  <c:v>39508</c:v>
                </c:pt>
                <c:pt idx="87">
                  <c:v>39539</c:v>
                </c:pt>
                <c:pt idx="88">
                  <c:v>39569</c:v>
                </c:pt>
                <c:pt idx="89">
                  <c:v>39600</c:v>
                </c:pt>
                <c:pt idx="90">
                  <c:v>39630</c:v>
                </c:pt>
                <c:pt idx="91">
                  <c:v>39661</c:v>
                </c:pt>
                <c:pt idx="92">
                  <c:v>39692</c:v>
                </c:pt>
                <c:pt idx="93">
                  <c:v>39722</c:v>
                </c:pt>
                <c:pt idx="94">
                  <c:v>39753</c:v>
                </c:pt>
                <c:pt idx="95">
                  <c:v>39783</c:v>
                </c:pt>
                <c:pt idx="96">
                  <c:v>39814</c:v>
                </c:pt>
                <c:pt idx="97">
                  <c:v>39845</c:v>
                </c:pt>
                <c:pt idx="98">
                  <c:v>39873</c:v>
                </c:pt>
                <c:pt idx="99">
                  <c:v>39904</c:v>
                </c:pt>
                <c:pt idx="100">
                  <c:v>39934</c:v>
                </c:pt>
                <c:pt idx="101">
                  <c:v>39965</c:v>
                </c:pt>
                <c:pt idx="102">
                  <c:v>39995</c:v>
                </c:pt>
                <c:pt idx="103">
                  <c:v>40026</c:v>
                </c:pt>
                <c:pt idx="104">
                  <c:v>40057</c:v>
                </c:pt>
                <c:pt idx="105">
                  <c:v>40087</c:v>
                </c:pt>
                <c:pt idx="106">
                  <c:v>40118</c:v>
                </c:pt>
                <c:pt idx="107">
                  <c:v>40148</c:v>
                </c:pt>
                <c:pt idx="108">
                  <c:v>40179</c:v>
                </c:pt>
                <c:pt idx="109">
                  <c:v>40210</c:v>
                </c:pt>
                <c:pt idx="110">
                  <c:v>40238</c:v>
                </c:pt>
                <c:pt idx="111">
                  <c:v>40269</c:v>
                </c:pt>
                <c:pt idx="112">
                  <c:v>40299</c:v>
                </c:pt>
                <c:pt idx="113">
                  <c:v>40330</c:v>
                </c:pt>
                <c:pt idx="114">
                  <c:v>40360</c:v>
                </c:pt>
                <c:pt idx="115">
                  <c:v>40391</c:v>
                </c:pt>
                <c:pt idx="116">
                  <c:v>40422</c:v>
                </c:pt>
                <c:pt idx="117">
                  <c:v>40452</c:v>
                </c:pt>
                <c:pt idx="118">
                  <c:v>40483</c:v>
                </c:pt>
                <c:pt idx="119">
                  <c:v>40513</c:v>
                </c:pt>
                <c:pt idx="120">
                  <c:v>40544</c:v>
                </c:pt>
                <c:pt idx="121">
                  <c:v>40575</c:v>
                </c:pt>
                <c:pt idx="122">
                  <c:v>40603</c:v>
                </c:pt>
                <c:pt idx="123">
                  <c:v>40634</c:v>
                </c:pt>
                <c:pt idx="124">
                  <c:v>40664</c:v>
                </c:pt>
                <c:pt idx="125">
                  <c:v>40695</c:v>
                </c:pt>
                <c:pt idx="126">
                  <c:v>40725</c:v>
                </c:pt>
                <c:pt idx="127">
                  <c:v>40756</c:v>
                </c:pt>
                <c:pt idx="128">
                  <c:v>40787</c:v>
                </c:pt>
                <c:pt idx="129">
                  <c:v>40817</c:v>
                </c:pt>
                <c:pt idx="130">
                  <c:v>40848</c:v>
                </c:pt>
                <c:pt idx="131">
                  <c:v>40878</c:v>
                </c:pt>
                <c:pt idx="132">
                  <c:v>40909</c:v>
                </c:pt>
                <c:pt idx="133">
                  <c:v>40940</c:v>
                </c:pt>
                <c:pt idx="134">
                  <c:v>40969</c:v>
                </c:pt>
                <c:pt idx="135">
                  <c:v>41000</c:v>
                </c:pt>
                <c:pt idx="136">
                  <c:v>41030</c:v>
                </c:pt>
                <c:pt idx="137">
                  <c:v>41061</c:v>
                </c:pt>
                <c:pt idx="138">
                  <c:v>41091</c:v>
                </c:pt>
                <c:pt idx="139">
                  <c:v>41122</c:v>
                </c:pt>
                <c:pt idx="140">
                  <c:v>41153</c:v>
                </c:pt>
                <c:pt idx="141">
                  <c:v>41183</c:v>
                </c:pt>
                <c:pt idx="142">
                  <c:v>41214</c:v>
                </c:pt>
                <c:pt idx="143">
                  <c:v>41244</c:v>
                </c:pt>
                <c:pt idx="144">
                  <c:v>41275</c:v>
                </c:pt>
                <c:pt idx="145">
                  <c:v>41306</c:v>
                </c:pt>
                <c:pt idx="146">
                  <c:v>41334</c:v>
                </c:pt>
                <c:pt idx="147">
                  <c:v>41365</c:v>
                </c:pt>
                <c:pt idx="148">
                  <c:v>41395</c:v>
                </c:pt>
                <c:pt idx="149">
                  <c:v>41426</c:v>
                </c:pt>
                <c:pt idx="150">
                  <c:v>41456</c:v>
                </c:pt>
                <c:pt idx="151">
                  <c:v>41487</c:v>
                </c:pt>
                <c:pt idx="152">
                  <c:v>41518</c:v>
                </c:pt>
                <c:pt idx="153">
                  <c:v>41548</c:v>
                </c:pt>
                <c:pt idx="154">
                  <c:v>41579</c:v>
                </c:pt>
                <c:pt idx="155">
                  <c:v>41609</c:v>
                </c:pt>
                <c:pt idx="156">
                  <c:v>41640</c:v>
                </c:pt>
                <c:pt idx="157">
                  <c:v>41671</c:v>
                </c:pt>
                <c:pt idx="158">
                  <c:v>41699</c:v>
                </c:pt>
                <c:pt idx="159">
                  <c:v>41730</c:v>
                </c:pt>
                <c:pt idx="160">
                  <c:v>41760</c:v>
                </c:pt>
                <c:pt idx="161">
                  <c:v>41791</c:v>
                </c:pt>
                <c:pt idx="162">
                  <c:v>41821</c:v>
                </c:pt>
                <c:pt idx="163">
                  <c:v>41852</c:v>
                </c:pt>
                <c:pt idx="164">
                  <c:v>41883</c:v>
                </c:pt>
              </c:numCache>
            </c:numRef>
          </c:cat>
          <c:val>
            <c:numRef>
              <c:f>REO!$AH$14:$AH$181</c:f>
              <c:numCache>
                <c:formatCode>0%</c:formatCode>
                <c:ptCount val="168"/>
                <c:pt idx="0">
                  <c:v>6.1639485258078899E-2</c:v>
                </c:pt>
                <c:pt idx="1">
                  <c:v>7.4335462192824497E-2</c:v>
                </c:pt>
                <c:pt idx="2">
                  <c:v>6.0105048473401597E-2</c:v>
                </c:pt>
                <c:pt idx="3">
                  <c:v>7.2819264117704299E-2</c:v>
                </c:pt>
                <c:pt idx="4">
                  <c:v>6.14338520603274E-2</c:v>
                </c:pt>
                <c:pt idx="5">
                  <c:v>6.43457594765387E-2</c:v>
                </c:pt>
                <c:pt idx="6">
                  <c:v>7.3745315542554493E-2</c:v>
                </c:pt>
                <c:pt idx="7">
                  <c:v>6.9704039352657607E-2</c:v>
                </c:pt>
                <c:pt idx="8">
                  <c:v>6.9209024525890603E-2</c:v>
                </c:pt>
                <c:pt idx="9">
                  <c:v>7.0374898068193303E-2</c:v>
                </c:pt>
                <c:pt idx="10">
                  <c:v>8.4835535188494099E-2</c:v>
                </c:pt>
                <c:pt idx="11">
                  <c:v>7.4646347790155498E-2</c:v>
                </c:pt>
                <c:pt idx="12">
                  <c:v>7.8982393139086393E-2</c:v>
                </c:pt>
                <c:pt idx="13">
                  <c:v>7.69453844228664E-2</c:v>
                </c:pt>
                <c:pt idx="14">
                  <c:v>8.0547162083314305E-2</c:v>
                </c:pt>
                <c:pt idx="15">
                  <c:v>8.395408015545E-2</c:v>
                </c:pt>
                <c:pt idx="16">
                  <c:v>8.8447897788827806E-2</c:v>
                </c:pt>
                <c:pt idx="17">
                  <c:v>8.5630486235625899E-2</c:v>
                </c:pt>
                <c:pt idx="18">
                  <c:v>8.3421637383344197E-2</c:v>
                </c:pt>
                <c:pt idx="19">
                  <c:v>8.4097464503161801E-2</c:v>
                </c:pt>
                <c:pt idx="20">
                  <c:v>9.2322012751045096E-2</c:v>
                </c:pt>
                <c:pt idx="21">
                  <c:v>8.7021884831570903E-2</c:v>
                </c:pt>
                <c:pt idx="22">
                  <c:v>8.7093979055283904E-2</c:v>
                </c:pt>
                <c:pt idx="23">
                  <c:v>8.4176588435900396E-2</c:v>
                </c:pt>
                <c:pt idx="24">
                  <c:v>8.5576627750437798E-2</c:v>
                </c:pt>
                <c:pt idx="25">
                  <c:v>8.3559682185534806E-2</c:v>
                </c:pt>
                <c:pt idx="26">
                  <c:v>8.7326357530199197E-2</c:v>
                </c:pt>
                <c:pt idx="27">
                  <c:v>8.1448378186817202E-2</c:v>
                </c:pt>
                <c:pt idx="28">
                  <c:v>8.2622913639009601E-2</c:v>
                </c:pt>
                <c:pt idx="29">
                  <c:v>7.9324099263602704E-2</c:v>
                </c:pt>
                <c:pt idx="30">
                  <c:v>8.0580643143668002E-2</c:v>
                </c:pt>
                <c:pt idx="31">
                  <c:v>8.5679527329612398E-2</c:v>
                </c:pt>
                <c:pt idx="32">
                  <c:v>8.4798896307087201E-2</c:v>
                </c:pt>
                <c:pt idx="33">
                  <c:v>9.3085720493189195E-2</c:v>
                </c:pt>
                <c:pt idx="34">
                  <c:v>9.0488515711674503E-2</c:v>
                </c:pt>
                <c:pt idx="35">
                  <c:v>8.8916969047203295E-2</c:v>
                </c:pt>
                <c:pt idx="36">
                  <c:v>8.2151118429909395E-2</c:v>
                </c:pt>
                <c:pt idx="37">
                  <c:v>8.8416296925072399E-2</c:v>
                </c:pt>
                <c:pt idx="38">
                  <c:v>8.3152660828704303E-2</c:v>
                </c:pt>
                <c:pt idx="39">
                  <c:v>9.1846613978288805E-2</c:v>
                </c:pt>
                <c:pt idx="40">
                  <c:v>9.1719753728750103E-2</c:v>
                </c:pt>
                <c:pt idx="41">
                  <c:v>9.2016176259924906E-2</c:v>
                </c:pt>
                <c:pt idx="42">
                  <c:v>9.1647810379431704E-2</c:v>
                </c:pt>
                <c:pt idx="43">
                  <c:v>9.2752146255862603E-2</c:v>
                </c:pt>
                <c:pt idx="44">
                  <c:v>9.7759606817525005E-2</c:v>
                </c:pt>
                <c:pt idx="45">
                  <c:v>9.5227096518718496E-2</c:v>
                </c:pt>
                <c:pt idx="46">
                  <c:v>9.7153356889465498E-2</c:v>
                </c:pt>
                <c:pt idx="47">
                  <c:v>0.100053229672437</c:v>
                </c:pt>
                <c:pt idx="48">
                  <c:v>0.10366617768679</c:v>
                </c:pt>
                <c:pt idx="49">
                  <c:v>0.106013467488197</c:v>
                </c:pt>
                <c:pt idx="50">
                  <c:v>0.103111160150289</c:v>
                </c:pt>
                <c:pt idx="51">
                  <c:v>0.10950480211767701</c:v>
                </c:pt>
                <c:pt idx="52">
                  <c:v>0.110388445780571</c:v>
                </c:pt>
                <c:pt idx="53">
                  <c:v>0.11361479529702</c:v>
                </c:pt>
                <c:pt idx="54">
                  <c:v>0.114512149620216</c:v>
                </c:pt>
                <c:pt idx="55">
                  <c:v>0.11587377415462501</c:v>
                </c:pt>
                <c:pt idx="56">
                  <c:v>0.11414670395667099</c:v>
                </c:pt>
                <c:pt idx="57">
                  <c:v>0.11840892869833899</c:v>
                </c:pt>
                <c:pt idx="58">
                  <c:v>0.117621334782762</c:v>
                </c:pt>
                <c:pt idx="59">
                  <c:v>0.122098013937622</c:v>
                </c:pt>
                <c:pt idx="60">
                  <c:v>0.11836543721296799</c:v>
                </c:pt>
                <c:pt idx="61">
                  <c:v>0.12175613193360001</c:v>
                </c:pt>
                <c:pt idx="62">
                  <c:v>0.119971978793385</c:v>
                </c:pt>
                <c:pt idx="63">
                  <c:v>0.117899354495534</c:v>
                </c:pt>
                <c:pt idx="64">
                  <c:v>0.117033703977868</c:v>
                </c:pt>
                <c:pt idx="65">
                  <c:v>0.11995895617752</c:v>
                </c:pt>
                <c:pt idx="66">
                  <c:v>0.12666339044425501</c:v>
                </c:pt>
                <c:pt idx="67">
                  <c:v>0.12119449917976199</c:v>
                </c:pt>
                <c:pt idx="68">
                  <c:v>0.12285276127384701</c:v>
                </c:pt>
                <c:pt idx="69">
                  <c:v>0.123144882263031</c:v>
                </c:pt>
                <c:pt idx="70">
                  <c:v>0.12292943363459199</c:v>
                </c:pt>
                <c:pt idx="71">
                  <c:v>0.121681013457725</c:v>
                </c:pt>
                <c:pt idx="72">
                  <c:v>0.1148253752748</c:v>
                </c:pt>
                <c:pt idx="73">
                  <c:v>0.11990035480146299</c:v>
                </c:pt>
                <c:pt idx="74">
                  <c:v>0.11958509545207401</c:v>
                </c:pt>
                <c:pt idx="75">
                  <c:v>0.11147443381452</c:v>
                </c:pt>
                <c:pt idx="76">
                  <c:v>0.11436975022854499</c:v>
                </c:pt>
                <c:pt idx="77">
                  <c:v>0.111038849537341</c:v>
                </c:pt>
                <c:pt idx="78">
                  <c:v>0.111972202797664</c:v>
                </c:pt>
                <c:pt idx="79">
                  <c:v>0.103488899058495</c:v>
                </c:pt>
                <c:pt idx="80">
                  <c:v>0.117742978536075</c:v>
                </c:pt>
                <c:pt idx="81">
                  <c:v>0.105738092083522</c:v>
                </c:pt>
                <c:pt idx="82">
                  <c:v>0.10582405421171499</c:v>
                </c:pt>
                <c:pt idx="83">
                  <c:v>9.9315481116307294E-2</c:v>
                </c:pt>
                <c:pt idx="84">
                  <c:v>9.8505022930931593E-2</c:v>
                </c:pt>
                <c:pt idx="85">
                  <c:v>9.2699050879200898E-2</c:v>
                </c:pt>
                <c:pt idx="86">
                  <c:v>9.4481034786294493E-2</c:v>
                </c:pt>
                <c:pt idx="87">
                  <c:v>9.3584041774502094E-2</c:v>
                </c:pt>
                <c:pt idx="88">
                  <c:v>8.6993266942116496E-2</c:v>
                </c:pt>
                <c:pt idx="89">
                  <c:v>8.3591694274663106E-2</c:v>
                </c:pt>
                <c:pt idx="90">
                  <c:v>8.7081342314737201E-2</c:v>
                </c:pt>
                <c:pt idx="91">
                  <c:v>8.87410576933787E-2</c:v>
                </c:pt>
                <c:pt idx="92">
                  <c:v>8.6781149395721999E-2</c:v>
                </c:pt>
                <c:pt idx="93">
                  <c:v>8.3571366401511193E-2</c:v>
                </c:pt>
                <c:pt idx="94">
                  <c:v>8.5727331469954704E-2</c:v>
                </c:pt>
                <c:pt idx="95">
                  <c:v>8.4771688114541596E-2</c:v>
                </c:pt>
                <c:pt idx="96">
                  <c:v>8.2875146048610002E-2</c:v>
                </c:pt>
                <c:pt idx="97">
                  <c:v>8.5091599274761398E-2</c:v>
                </c:pt>
                <c:pt idx="98">
                  <c:v>8.3991257773110603E-2</c:v>
                </c:pt>
                <c:pt idx="99">
                  <c:v>8.3682289187508099E-2</c:v>
                </c:pt>
                <c:pt idx="100">
                  <c:v>8.1875320752664904E-2</c:v>
                </c:pt>
                <c:pt idx="101">
                  <c:v>8.3266885995347706E-2</c:v>
                </c:pt>
                <c:pt idx="102">
                  <c:v>8.13270526911644E-2</c:v>
                </c:pt>
                <c:pt idx="103">
                  <c:v>8.7900625802578805E-2</c:v>
                </c:pt>
                <c:pt idx="104">
                  <c:v>8.5322725714557998E-2</c:v>
                </c:pt>
                <c:pt idx="105">
                  <c:v>8.6646665695185907E-2</c:v>
                </c:pt>
                <c:pt idx="106">
                  <c:v>8.8053968253258605E-2</c:v>
                </c:pt>
                <c:pt idx="107">
                  <c:v>8.7228170131216407E-2</c:v>
                </c:pt>
                <c:pt idx="108">
                  <c:v>8.7854936546355206E-2</c:v>
                </c:pt>
                <c:pt idx="109">
                  <c:v>8.8628022981457805E-2</c:v>
                </c:pt>
                <c:pt idx="110">
                  <c:v>9.0492519075963396E-2</c:v>
                </c:pt>
                <c:pt idx="111">
                  <c:v>9.1568459261251803E-2</c:v>
                </c:pt>
                <c:pt idx="112">
                  <c:v>9.2217703794483699E-2</c:v>
                </c:pt>
                <c:pt idx="113">
                  <c:v>9.3829778211737297E-2</c:v>
                </c:pt>
                <c:pt idx="114">
                  <c:v>9.5723193132993906E-2</c:v>
                </c:pt>
                <c:pt idx="115">
                  <c:v>9.7673595230095098E-2</c:v>
                </c:pt>
                <c:pt idx="116">
                  <c:v>9.7988073939977993E-2</c:v>
                </c:pt>
                <c:pt idx="117">
                  <c:v>9.6825006096081495E-2</c:v>
                </c:pt>
                <c:pt idx="118">
                  <c:v>9.6978752094984397E-2</c:v>
                </c:pt>
                <c:pt idx="119">
                  <c:v>0.101427461367207</c:v>
                </c:pt>
                <c:pt idx="120">
                  <c:v>0.10447682228107399</c:v>
                </c:pt>
                <c:pt idx="121">
                  <c:v>0.108401643887564</c:v>
                </c:pt>
                <c:pt idx="122">
                  <c:v>0.10970206938284099</c:v>
                </c:pt>
                <c:pt idx="123">
                  <c:v>0.109643073121519</c:v>
                </c:pt>
                <c:pt idx="124">
                  <c:v>0.109931782776251</c:v>
                </c:pt>
                <c:pt idx="125">
                  <c:v>0.109552621686706</c:v>
                </c:pt>
                <c:pt idx="126">
                  <c:v>0.11202030250742601</c:v>
                </c:pt>
                <c:pt idx="127">
                  <c:v>0.11560224524688401</c:v>
                </c:pt>
                <c:pt idx="128">
                  <c:v>0.119546252282243</c:v>
                </c:pt>
                <c:pt idx="129">
                  <c:v>0.12166017890299401</c:v>
                </c:pt>
                <c:pt idx="130">
                  <c:v>0.124308796550124</c:v>
                </c:pt>
                <c:pt idx="131">
                  <c:v>0.12570157349335601</c:v>
                </c:pt>
                <c:pt idx="132">
                  <c:v>0.12883450793441101</c:v>
                </c:pt>
                <c:pt idx="133">
                  <c:v>0.13261747920671299</c:v>
                </c:pt>
                <c:pt idx="134">
                  <c:v>0.134205207797993</c:v>
                </c:pt>
                <c:pt idx="135">
                  <c:v>0.13553165806768699</c:v>
                </c:pt>
                <c:pt idx="136">
                  <c:v>0.13789460203683601</c:v>
                </c:pt>
                <c:pt idx="137">
                  <c:v>0.14117176446118099</c:v>
                </c:pt>
                <c:pt idx="138">
                  <c:v>0.14351322138304001</c:v>
                </c:pt>
                <c:pt idx="139">
                  <c:v>0.14804847641034</c:v>
                </c:pt>
                <c:pt idx="140">
                  <c:v>0.14739567111253299</c:v>
                </c:pt>
                <c:pt idx="141">
                  <c:v>0.15346433644768701</c:v>
                </c:pt>
                <c:pt idx="142">
                  <c:v>0.156394662618384</c:v>
                </c:pt>
                <c:pt idx="143">
                  <c:v>0.160218821136139</c:v>
                </c:pt>
                <c:pt idx="144">
                  <c:v>0.16140373497256799</c:v>
                </c:pt>
                <c:pt idx="145">
                  <c:v>0.16578643359022099</c:v>
                </c:pt>
                <c:pt idx="146">
                  <c:v>0.16910047269917</c:v>
                </c:pt>
                <c:pt idx="147">
                  <c:v>0.172290365396567</c:v>
                </c:pt>
                <c:pt idx="148">
                  <c:v>0.17858429673437601</c:v>
                </c:pt>
                <c:pt idx="149">
                  <c:v>0.18226429347298601</c:v>
                </c:pt>
                <c:pt idx="150">
                  <c:v>0.18782584275101699</c:v>
                </c:pt>
                <c:pt idx="151">
                  <c:v>0.19531211511006999</c:v>
                </c:pt>
                <c:pt idx="152">
                  <c:v>0.20247745941252601</c:v>
                </c:pt>
                <c:pt idx="153">
                  <c:v>0.21615246213134401</c:v>
                </c:pt>
                <c:pt idx="154">
                  <c:v>0.212856879132791</c:v>
                </c:pt>
                <c:pt idx="155">
                  <c:v>0.21588476630391201</c:v>
                </c:pt>
                <c:pt idx="156">
                  <c:v>0.221960459931065</c:v>
                </c:pt>
                <c:pt idx="157">
                  <c:v>0.220583139244688</c:v>
                </c:pt>
                <c:pt idx="158">
                  <c:v>0.22502422321212701</c:v>
                </c:pt>
                <c:pt idx="159">
                  <c:v>0.225187581941692</c:v>
                </c:pt>
                <c:pt idx="160">
                  <c:v>0.22042268492865999</c:v>
                </c:pt>
                <c:pt idx="161">
                  <c:v>0.21882030404087399</c:v>
                </c:pt>
                <c:pt idx="162">
                  <c:v>0.217387197802419</c:v>
                </c:pt>
                <c:pt idx="163">
                  <c:v>0.200062295162731</c:v>
                </c:pt>
                <c:pt idx="164">
                  <c:v>0.193678464032117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REO!$AI$1:$AI$2</c:f>
              <c:strCache>
                <c:ptCount val="1"/>
                <c:pt idx="0">
                  <c:v>expenses FNMA</c:v>
                </c:pt>
              </c:strCache>
            </c:strRef>
          </c:tx>
          <c:marker>
            <c:symbol val="none"/>
          </c:marker>
          <c:cat>
            <c:numRef>
              <c:f>REO!$AG$14:$AG$181</c:f>
              <c:numCache>
                <c:formatCode>m/d/yyyy</c:formatCode>
                <c:ptCount val="168"/>
                <c:pt idx="0">
                  <c:v>36892</c:v>
                </c:pt>
                <c:pt idx="1">
                  <c:v>36923</c:v>
                </c:pt>
                <c:pt idx="2">
                  <c:v>36951</c:v>
                </c:pt>
                <c:pt idx="3">
                  <c:v>36982</c:v>
                </c:pt>
                <c:pt idx="4">
                  <c:v>37012</c:v>
                </c:pt>
                <c:pt idx="5">
                  <c:v>37043</c:v>
                </c:pt>
                <c:pt idx="6">
                  <c:v>37073</c:v>
                </c:pt>
                <c:pt idx="7">
                  <c:v>37104</c:v>
                </c:pt>
                <c:pt idx="8">
                  <c:v>37135</c:v>
                </c:pt>
                <c:pt idx="9">
                  <c:v>37165</c:v>
                </c:pt>
                <c:pt idx="10">
                  <c:v>37196</c:v>
                </c:pt>
                <c:pt idx="11">
                  <c:v>37226</c:v>
                </c:pt>
                <c:pt idx="12">
                  <c:v>37257</c:v>
                </c:pt>
                <c:pt idx="13">
                  <c:v>37288</c:v>
                </c:pt>
                <c:pt idx="14">
                  <c:v>37316</c:v>
                </c:pt>
                <c:pt idx="15">
                  <c:v>37347</c:v>
                </c:pt>
                <c:pt idx="16">
                  <c:v>37377</c:v>
                </c:pt>
                <c:pt idx="17">
                  <c:v>37408</c:v>
                </c:pt>
                <c:pt idx="18">
                  <c:v>37438</c:v>
                </c:pt>
                <c:pt idx="19">
                  <c:v>37469</c:v>
                </c:pt>
                <c:pt idx="20">
                  <c:v>37500</c:v>
                </c:pt>
                <c:pt idx="21">
                  <c:v>37530</c:v>
                </c:pt>
                <c:pt idx="22">
                  <c:v>37561</c:v>
                </c:pt>
                <c:pt idx="23">
                  <c:v>37591</c:v>
                </c:pt>
                <c:pt idx="24">
                  <c:v>37622</c:v>
                </c:pt>
                <c:pt idx="25">
                  <c:v>37653</c:v>
                </c:pt>
                <c:pt idx="26">
                  <c:v>37681</c:v>
                </c:pt>
                <c:pt idx="27">
                  <c:v>37712</c:v>
                </c:pt>
                <c:pt idx="28">
                  <c:v>37742</c:v>
                </c:pt>
                <c:pt idx="29">
                  <c:v>37773</c:v>
                </c:pt>
                <c:pt idx="30">
                  <c:v>37803</c:v>
                </c:pt>
                <c:pt idx="31">
                  <c:v>37834</c:v>
                </c:pt>
                <c:pt idx="32">
                  <c:v>37865</c:v>
                </c:pt>
                <c:pt idx="33">
                  <c:v>37895</c:v>
                </c:pt>
                <c:pt idx="34">
                  <c:v>37926</c:v>
                </c:pt>
                <c:pt idx="35">
                  <c:v>37956</c:v>
                </c:pt>
                <c:pt idx="36">
                  <c:v>37987</c:v>
                </c:pt>
                <c:pt idx="37">
                  <c:v>38018</c:v>
                </c:pt>
                <c:pt idx="38">
                  <c:v>38047</c:v>
                </c:pt>
                <c:pt idx="39">
                  <c:v>38078</c:v>
                </c:pt>
                <c:pt idx="40">
                  <c:v>38108</c:v>
                </c:pt>
                <c:pt idx="41">
                  <c:v>38139</c:v>
                </c:pt>
                <c:pt idx="42">
                  <c:v>38169</c:v>
                </c:pt>
                <c:pt idx="43">
                  <c:v>38200</c:v>
                </c:pt>
                <c:pt idx="44">
                  <c:v>38231</c:v>
                </c:pt>
                <c:pt idx="45">
                  <c:v>38261</c:v>
                </c:pt>
                <c:pt idx="46">
                  <c:v>38292</c:v>
                </c:pt>
                <c:pt idx="47">
                  <c:v>38322</c:v>
                </c:pt>
                <c:pt idx="48">
                  <c:v>38353</c:v>
                </c:pt>
                <c:pt idx="49">
                  <c:v>38384</c:v>
                </c:pt>
                <c:pt idx="50">
                  <c:v>38412</c:v>
                </c:pt>
                <c:pt idx="51">
                  <c:v>38443</c:v>
                </c:pt>
                <c:pt idx="52">
                  <c:v>38473</c:v>
                </c:pt>
                <c:pt idx="53">
                  <c:v>38504</c:v>
                </c:pt>
                <c:pt idx="54">
                  <c:v>38534</c:v>
                </c:pt>
                <c:pt idx="55">
                  <c:v>38565</c:v>
                </c:pt>
                <c:pt idx="56">
                  <c:v>38596</c:v>
                </c:pt>
                <c:pt idx="57">
                  <c:v>38626</c:v>
                </c:pt>
                <c:pt idx="58">
                  <c:v>38657</c:v>
                </c:pt>
                <c:pt idx="59">
                  <c:v>38687</c:v>
                </c:pt>
                <c:pt idx="60">
                  <c:v>38718</c:v>
                </c:pt>
                <c:pt idx="61">
                  <c:v>38749</c:v>
                </c:pt>
                <c:pt idx="62">
                  <c:v>38777</c:v>
                </c:pt>
                <c:pt idx="63">
                  <c:v>38808</c:v>
                </c:pt>
                <c:pt idx="64">
                  <c:v>38838</c:v>
                </c:pt>
                <c:pt idx="65">
                  <c:v>38869</c:v>
                </c:pt>
                <c:pt idx="66">
                  <c:v>38899</c:v>
                </c:pt>
                <c:pt idx="67">
                  <c:v>38930</c:v>
                </c:pt>
                <c:pt idx="68">
                  <c:v>38961</c:v>
                </c:pt>
                <c:pt idx="69">
                  <c:v>38991</c:v>
                </c:pt>
                <c:pt idx="70">
                  <c:v>39022</c:v>
                </c:pt>
                <c:pt idx="71">
                  <c:v>39052</c:v>
                </c:pt>
                <c:pt idx="72">
                  <c:v>39083</c:v>
                </c:pt>
                <c:pt idx="73">
                  <c:v>39114</c:v>
                </c:pt>
                <c:pt idx="74">
                  <c:v>39142</c:v>
                </c:pt>
                <c:pt idx="75">
                  <c:v>39173</c:v>
                </c:pt>
                <c:pt idx="76">
                  <c:v>39203</c:v>
                </c:pt>
                <c:pt idx="77">
                  <c:v>39234</c:v>
                </c:pt>
                <c:pt idx="78">
                  <c:v>39264</c:v>
                </c:pt>
                <c:pt idx="79">
                  <c:v>39295</c:v>
                </c:pt>
                <c:pt idx="80">
                  <c:v>39326</c:v>
                </c:pt>
                <c:pt idx="81">
                  <c:v>39356</c:v>
                </c:pt>
                <c:pt idx="82">
                  <c:v>39387</c:v>
                </c:pt>
                <c:pt idx="83">
                  <c:v>39417</c:v>
                </c:pt>
                <c:pt idx="84">
                  <c:v>39448</c:v>
                </c:pt>
                <c:pt idx="85">
                  <c:v>39479</c:v>
                </c:pt>
                <c:pt idx="86">
                  <c:v>39508</c:v>
                </c:pt>
                <c:pt idx="87">
                  <c:v>39539</c:v>
                </c:pt>
                <c:pt idx="88">
                  <c:v>39569</c:v>
                </c:pt>
                <c:pt idx="89">
                  <c:v>39600</c:v>
                </c:pt>
                <c:pt idx="90">
                  <c:v>39630</c:v>
                </c:pt>
                <c:pt idx="91">
                  <c:v>39661</c:v>
                </c:pt>
                <c:pt idx="92">
                  <c:v>39692</c:v>
                </c:pt>
                <c:pt idx="93">
                  <c:v>39722</c:v>
                </c:pt>
                <c:pt idx="94">
                  <c:v>39753</c:v>
                </c:pt>
                <c:pt idx="95">
                  <c:v>39783</c:v>
                </c:pt>
                <c:pt idx="96">
                  <c:v>39814</c:v>
                </c:pt>
                <c:pt idx="97">
                  <c:v>39845</c:v>
                </c:pt>
                <c:pt idx="98">
                  <c:v>39873</c:v>
                </c:pt>
                <c:pt idx="99">
                  <c:v>39904</c:v>
                </c:pt>
                <c:pt idx="100">
                  <c:v>39934</c:v>
                </c:pt>
                <c:pt idx="101">
                  <c:v>39965</c:v>
                </c:pt>
                <c:pt idx="102">
                  <c:v>39995</c:v>
                </c:pt>
                <c:pt idx="103">
                  <c:v>40026</c:v>
                </c:pt>
                <c:pt idx="104">
                  <c:v>40057</c:v>
                </c:pt>
                <c:pt idx="105">
                  <c:v>40087</c:v>
                </c:pt>
                <c:pt idx="106">
                  <c:v>40118</c:v>
                </c:pt>
                <c:pt idx="107">
                  <c:v>40148</c:v>
                </c:pt>
                <c:pt idx="108">
                  <c:v>40179</c:v>
                </c:pt>
                <c:pt idx="109">
                  <c:v>40210</c:v>
                </c:pt>
                <c:pt idx="110">
                  <c:v>40238</c:v>
                </c:pt>
                <c:pt idx="111">
                  <c:v>40269</c:v>
                </c:pt>
                <c:pt idx="112">
                  <c:v>40299</c:v>
                </c:pt>
                <c:pt idx="113">
                  <c:v>40330</c:v>
                </c:pt>
                <c:pt idx="114">
                  <c:v>40360</c:v>
                </c:pt>
                <c:pt idx="115">
                  <c:v>40391</c:v>
                </c:pt>
                <c:pt idx="116">
                  <c:v>40422</c:v>
                </c:pt>
                <c:pt idx="117">
                  <c:v>40452</c:v>
                </c:pt>
                <c:pt idx="118">
                  <c:v>40483</c:v>
                </c:pt>
                <c:pt idx="119">
                  <c:v>40513</c:v>
                </c:pt>
                <c:pt idx="120">
                  <c:v>40544</c:v>
                </c:pt>
                <c:pt idx="121">
                  <c:v>40575</c:v>
                </c:pt>
                <c:pt idx="122">
                  <c:v>40603</c:v>
                </c:pt>
                <c:pt idx="123">
                  <c:v>40634</c:v>
                </c:pt>
                <c:pt idx="124">
                  <c:v>40664</c:v>
                </c:pt>
                <c:pt idx="125">
                  <c:v>40695</c:v>
                </c:pt>
                <c:pt idx="126">
                  <c:v>40725</c:v>
                </c:pt>
                <c:pt idx="127">
                  <c:v>40756</c:v>
                </c:pt>
                <c:pt idx="128">
                  <c:v>40787</c:v>
                </c:pt>
                <c:pt idx="129">
                  <c:v>40817</c:v>
                </c:pt>
                <c:pt idx="130">
                  <c:v>40848</c:v>
                </c:pt>
                <c:pt idx="131">
                  <c:v>40878</c:v>
                </c:pt>
                <c:pt idx="132">
                  <c:v>40909</c:v>
                </c:pt>
                <c:pt idx="133">
                  <c:v>40940</c:v>
                </c:pt>
                <c:pt idx="134">
                  <c:v>40969</c:v>
                </c:pt>
                <c:pt idx="135">
                  <c:v>41000</c:v>
                </c:pt>
                <c:pt idx="136">
                  <c:v>41030</c:v>
                </c:pt>
                <c:pt idx="137">
                  <c:v>41061</c:v>
                </c:pt>
                <c:pt idx="138">
                  <c:v>41091</c:v>
                </c:pt>
                <c:pt idx="139">
                  <c:v>41122</c:v>
                </c:pt>
                <c:pt idx="140">
                  <c:v>41153</c:v>
                </c:pt>
                <c:pt idx="141">
                  <c:v>41183</c:v>
                </c:pt>
                <c:pt idx="142">
                  <c:v>41214</c:v>
                </c:pt>
                <c:pt idx="143">
                  <c:v>41244</c:v>
                </c:pt>
                <c:pt idx="144">
                  <c:v>41275</c:v>
                </c:pt>
                <c:pt idx="145">
                  <c:v>41306</c:v>
                </c:pt>
                <c:pt idx="146">
                  <c:v>41334</c:v>
                </c:pt>
                <c:pt idx="147">
                  <c:v>41365</c:v>
                </c:pt>
                <c:pt idx="148">
                  <c:v>41395</c:v>
                </c:pt>
                <c:pt idx="149">
                  <c:v>41426</c:v>
                </c:pt>
                <c:pt idx="150">
                  <c:v>41456</c:v>
                </c:pt>
                <c:pt idx="151">
                  <c:v>41487</c:v>
                </c:pt>
                <c:pt idx="152">
                  <c:v>41518</c:v>
                </c:pt>
                <c:pt idx="153">
                  <c:v>41548</c:v>
                </c:pt>
                <c:pt idx="154">
                  <c:v>41579</c:v>
                </c:pt>
                <c:pt idx="155">
                  <c:v>41609</c:v>
                </c:pt>
                <c:pt idx="156">
                  <c:v>41640</c:v>
                </c:pt>
                <c:pt idx="157">
                  <c:v>41671</c:v>
                </c:pt>
                <c:pt idx="158">
                  <c:v>41699</c:v>
                </c:pt>
                <c:pt idx="159">
                  <c:v>41730</c:v>
                </c:pt>
                <c:pt idx="160">
                  <c:v>41760</c:v>
                </c:pt>
                <c:pt idx="161">
                  <c:v>41791</c:v>
                </c:pt>
                <c:pt idx="162">
                  <c:v>41821</c:v>
                </c:pt>
                <c:pt idx="163">
                  <c:v>41852</c:v>
                </c:pt>
                <c:pt idx="164">
                  <c:v>41883</c:v>
                </c:pt>
              </c:numCache>
            </c:numRef>
          </c:cat>
          <c:val>
            <c:numRef>
              <c:f>REO!$AI$14:$AI$181</c:f>
              <c:numCache>
                <c:formatCode>0%</c:formatCode>
                <c:ptCount val="168"/>
                <c:pt idx="0">
                  <c:v>4.3402865070994702E-2</c:v>
                </c:pt>
                <c:pt idx="1">
                  <c:v>7.00069579906233E-2</c:v>
                </c:pt>
                <c:pt idx="2">
                  <c:v>6.4272150958884403E-2</c:v>
                </c:pt>
                <c:pt idx="3">
                  <c:v>5.3722678105320998E-2</c:v>
                </c:pt>
                <c:pt idx="4">
                  <c:v>7.3902141311443306E-2</c:v>
                </c:pt>
                <c:pt idx="5">
                  <c:v>5.295909664851E-2</c:v>
                </c:pt>
                <c:pt idx="6">
                  <c:v>5.8479044645441701E-2</c:v>
                </c:pt>
                <c:pt idx="7">
                  <c:v>6.9304333800787904E-2</c:v>
                </c:pt>
                <c:pt idx="8">
                  <c:v>5.9004592667692701E-2</c:v>
                </c:pt>
                <c:pt idx="9">
                  <c:v>6.9673175149790698E-2</c:v>
                </c:pt>
                <c:pt idx="10">
                  <c:v>6.7952747513132294E-2</c:v>
                </c:pt>
                <c:pt idx="11">
                  <c:v>9.7771108471256807E-2</c:v>
                </c:pt>
                <c:pt idx="12">
                  <c:v>8.8211583211461997E-2</c:v>
                </c:pt>
                <c:pt idx="13">
                  <c:v>9.8232928654047799E-2</c:v>
                </c:pt>
                <c:pt idx="14">
                  <c:v>6.5236185001699296E-2</c:v>
                </c:pt>
                <c:pt idx="15">
                  <c:v>6.7459037702799193E-2</c:v>
                </c:pt>
                <c:pt idx="16">
                  <c:v>6.7585979654802703E-2</c:v>
                </c:pt>
                <c:pt idx="17">
                  <c:v>7.2737008486921995E-2</c:v>
                </c:pt>
                <c:pt idx="18">
                  <c:v>7.2560416181610604E-2</c:v>
                </c:pt>
                <c:pt idx="19">
                  <c:v>7.4638086222802102E-2</c:v>
                </c:pt>
                <c:pt idx="20">
                  <c:v>7.5362083568590199E-2</c:v>
                </c:pt>
                <c:pt idx="21">
                  <c:v>7.7419403672893503E-2</c:v>
                </c:pt>
                <c:pt idx="22">
                  <c:v>7.5399123767622797E-2</c:v>
                </c:pt>
                <c:pt idx="23">
                  <c:v>7.2991193327606299E-2</c:v>
                </c:pt>
                <c:pt idx="24">
                  <c:v>8.19295025533575E-2</c:v>
                </c:pt>
                <c:pt idx="25">
                  <c:v>8.4779995841831504E-2</c:v>
                </c:pt>
                <c:pt idx="26">
                  <c:v>7.5552990624335903E-2</c:v>
                </c:pt>
                <c:pt idx="27">
                  <c:v>8.08142760607896E-2</c:v>
                </c:pt>
                <c:pt idx="28">
                  <c:v>8.3168694911037899E-2</c:v>
                </c:pt>
                <c:pt idx="29">
                  <c:v>7.0314750208438595E-2</c:v>
                </c:pt>
                <c:pt idx="30">
                  <c:v>7.7483805144156703E-2</c:v>
                </c:pt>
                <c:pt idx="31">
                  <c:v>7.6012282451295404E-2</c:v>
                </c:pt>
                <c:pt idx="32">
                  <c:v>7.6585071998738499E-2</c:v>
                </c:pt>
                <c:pt idx="33">
                  <c:v>7.1388121262980303E-2</c:v>
                </c:pt>
                <c:pt idx="34">
                  <c:v>7.76657329243476E-2</c:v>
                </c:pt>
                <c:pt idx="35">
                  <c:v>8.4949531768712505E-2</c:v>
                </c:pt>
                <c:pt idx="36">
                  <c:v>7.5337555497559203E-2</c:v>
                </c:pt>
                <c:pt idx="37">
                  <c:v>7.6658127687751501E-2</c:v>
                </c:pt>
                <c:pt idx="38">
                  <c:v>7.8601257658638596E-2</c:v>
                </c:pt>
                <c:pt idx="39">
                  <c:v>7.6544406977086504E-2</c:v>
                </c:pt>
                <c:pt idx="40">
                  <c:v>7.8361393966631998E-2</c:v>
                </c:pt>
                <c:pt idx="41">
                  <c:v>7.8383055370413096E-2</c:v>
                </c:pt>
                <c:pt idx="42">
                  <c:v>8.1274551897818695E-2</c:v>
                </c:pt>
                <c:pt idx="43">
                  <c:v>7.5973159303922802E-2</c:v>
                </c:pt>
                <c:pt idx="44">
                  <c:v>7.4958617842373301E-2</c:v>
                </c:pt>
                <c:pt idx="45">
                  <c:v>8.2323355797126296E-2</c:v>
                </c:pt>
                <c:pt idx="46">
                  <c:v>8.3566287916106E-2</c:v>
                </c:pt>
                <c:pt idx="47">
                  <c:v>8.7184113501785801E-2</c:v>
                </c:pt>
                <c:pt idx="48">
                  <c:v>9.2889921953112603E-2</c:v>
                </c:pt>
                <c:pt idx="49">
                  <c:v>9.8811253915669695E-2</c:v>
                </c:pt>
                <c:pt idx="50">
                  <c:v>9.3268189403046001E-2</c:v>
                </c:pt>
                <c:pt idx="51">
                  <c:v>9.1025370254689597E-2</c:v>
                </c:pt>
                <c:pt idx="52">
                  <c:v>9.2834762917130498E-2</c:v>
                </c:pt>
                <c:pt idx="53">
                  <c:v>9.9829962312135603E-2</c:v>
                </c:pt>
                <c:pt idx="54">
                  <c:v>0.104603095931306</c:v>
                </c:pt>
                <c:pt idx="55">
                  <c:v>0.101549481578891</c:v>
                </c:pt>
                <c:pt idx="56">
                  <c:v>0.105763466253877</c:v>
                </c:pt>
                <c:pt idx="57">
                  <c:v>0.100823083647911</c:v>
                </c:pt>
                <c:pt idx="58">
                  <c:v>0.10783228905464499</c:v>
                </c:pt>
                <c:pt idx="59">
                  <c:v>0.117729044627323</c:v>
                </c:pt>
                <c:pt idx="60">
                  <c:v>0.110569971937963</c:v>
                </c:pt>
                <c:pt idx="61">
                  <c:v>0.11697458761042499</c:v>
                </c:pt>
                <c:pt idx="62">
                  <c:v>0.11732868831243599</c:v>
                </c:pt>
                <c:pt idx="63">
                  <c:v>0.119499190048157</c:v>
                </c:pt>
                <c:pt idx="64">
                  <c:v>0.11589812805775</c:v>
                </c:pt>
                <c:pt idx="65">
                  <c:v>0.11107700201894199</c:v>
                </c:pt>
                <c:pt idx="66">
                  <c:v>0.110950078626044</c:v>
                </c:pt>
                <c:pt idx="67">
                  <c:v>0.11152275671159401</c:v>
                </c:pt>
                <c:pt idx="68">
                  <c:v>0.111158441684941</c:v>
                </c:pt>
                <c:pt idx="69">
                  <c:v>0.11920929644212901</c:v>
                </c:pt>
                <c:pt idx="70">
                  <c:v>0.121681445711059</c:v>
                </c:pt>
                <c:pt idx="71">
                  <c:v>0.121471495201578</c:v>
                </c:pt>
                <c:pt idx="72">
                  <c:v>0.117760958394797</c:v>
                </c:pt>
                <c:pt idx="73">
                  <c:v>0.11564369374973001</c:v>
                </c:pt>
                <c:pt idx="74">
                  <c:v>0.10682840566499301</c:v>
                </c:pt>
                <c:pt idx="75">
                  <c:v>0.109038637254615</c:v>
                </c:pt>
                <c:pt idx="76">
                  <c:v>0.108710589145807</c:v>
                </c:pt>
                <c:pt idx="77">
                  <c:v>0.108651114631042</c:v>
                </c:pt>
                <c:pt idx="78">
                  <c:v>0.107261590399054</c:v>
                </c:pt>
                <c:pt idx="79">
                  <c:v>0.106065048346315</c:v>
                </c:pt>
                <c:pt idx="80">
                  <c:v>0.100879200167358</c:v>
                </c:pt>
                <c:pt idx="81">
                  <c:v>0.10304399913429101</c:v>
                </c:pt>
                <c:pt idx="82">
                  <c:v>0.10096445840891</c:v>
                </c:pt>
                <c:pt idx="83">
                  <c:v>0.106458983475158</c:v>
                </c:pt>
                <c:pt idx="84">
                  <c:v>0.10740037978014</c:v>
                </c:pt>
                <c:pt idx="85">
                  <c:v>9.6591119794814898E-2</c:v>
                </c:pt>
                <c:pt idx="86">
                  <c:v>9.5619067376424297E-2</c:v>
                </c:pt>
                <c:pt idx="87">
                  <c:v>8.9294895571748897E-2</c:v>
                </c:pt>
                <c:pt idx="88">
                  <c:v>9.6342217832722704E-2</c:v>
                </c:pt>
                <c:pt idx="89">
                  <c:v>9.3354513185780294E-2</c:v>
                </c:pt>
                <c:pt idx="90">
                  <c:v>9.0206910641928595E-2</c:v>
                </c:pt>
                <c:pt idx="91">
                  <c:v>9.1038349170479704E-2</c:v>
                </c:pt>
                <c:pt idx="92">
                  <c:v>8.3541553592425599E-2</c:v>
                </c:pt>
                <c:pt idx="93">
                  <c:v>8.6748494701625795E-2</c:v>
                </c:pt>
                <c:pt idx="94">
                  <c:v>8.3298588597746595E-2</c:v>
                </c:pt>
                <c:pt idx="95">
                  <c:v>8.3026668420384794E-2</c:v>
                </c:pt>
                <c:pt idx="96">
                  <c:v>8.0959004292972703E-2</c:v>
                </c:pt>
                <c:pt idx="97">
                  <c:v>7.99672507759389E-2</c:v>
                </c:pt>
                <c:pt idx="98">
                  <c:v>8.1174361392504599E-2</c:v>
                </c:pt>
                <c:pt idx="99">
                  <c:v>7.8320114763217194E-2</c:v>
                </c:pt>
                <c:pt idx="100">
                  <c:v>7.3788383379434302E-2</c:v>
                </c:pt>
                <c:pt idx="101">
                  <c:v>7.2260790536817596E-2</c:v>
                </c:pt>
                <c:pt idx="102">
                  <c:v>6.9231887827001501E-2</c:v>
                </c:pt>
                <c:pt idx="103">
                  <c:v>7.0493913584524295E-2</c:v>
                </c:pt>
                <c:pt idx="104">
                  <c:v>7.1288740727128694E-2</c:v>
                </c:pt>
                <c:pt idx="105">
                  <c:v>7.5062579338979099E-2</c:v>
                </c:pt>
                <c:pt idx="106">
                  <c:v>7.1927821816128307E-2</c:v>
                </c:pt>
                <c:pt idx="107">
                  <c:v>7.6438775402121198E-2</c:v>
                </c:pt>
                <c:pt idx="108">
                  <c:v>7.9738273359424294E-2</c:v>
                </c:pt>
                <c:pt idx="109">
                  <c:v>8.2404915564762204E-2</c:v>
                </c:pt>
                <c:pt idx="110">
                  <c:v>8.1267174919628496E-2</c:v>
                </c:pt>
                <c:pt idx="111">
                  <c:v>8.1078972180207404E-2</c:v>
                </c:pt>
                <c:pt idx="112">
                  <c:v>8.04422445301477E-2</c:v>
                </c:pt>
                <c:pt idx="113">
                  <c:v>8.1218021318876996E-2</c:v>
                </c:pt>
                <c:pt idx="114">
                  <c:v>7.9778347970866803E-2</c:v>
                </c:pt>
                <c:pt idx="115">
                  <c:v>8.4107763066873495E-2</c:v>
                </c:pt>
                <c:pt idx="116">
                  <c:v>8.3547193950232398E-2</c:v>
                </c:pt>
                <c:pt idx="117">
                  <c:v>7.8202069505850597E-2</c:v>
                </c:pt>
                <c:pt idx="118">
                  <c:v>7.7942014975699803E-2</c:v>
                </c:pt>
                <c:pt idx="119">
                  <c:v>8.1046306006865396E-2</c:v>
                </c:pt>
                <c:pt idx="120">
                  <c:v>8.9509781466045296E-2</c:v>
                </c:pt>
                <c:pt idx="121">
                  <c:v>8.7586413410240593E-2</c:v>
                </c:pt>
                <c:pt idx="122">
                  <c:v>8.8315770656710799E-2</c:v>
                </c:pt>
                <c:pt idx="123">
                  <c:v>8.8607687912694702E-2</c:v>
                </c:pt>
                <c:pt idx="124">
                  <c:v>8.8042310303137195E-2</c:v>
                </c:pt>
                <c:pt idx="125">
                  <c:v>8.6737907775388104E-2</c:v>
                </c:pt>
                <c:pt idx="126">
                  <c:v>9.1952193059381002E-2</c:v>
                </c:pt>
                <c:pt idx="127">
                  <c:v>9.4462305015956399E-2</c:v>
                </c:pt>
                <c:pt idx="128">
                  <c:v>9.0154963905621999E-2</c:v>
                </c:pt>
                <c:pt idx="129">
                  <c:v>9.44262694418916E-2</c:v>
                </c:pt>
                <c:pt idx="130">
                  <c:v>9.5726658018756905E-2</c:v>
                </c:pt>
                <c:pt idx="131">
                  <c:v>0.10131181037289801</c:v>
                </c:pt>
                <c:pt idx="132">
                  <c:v>0.10250584860999699</c:v>
                </c:pt>
                <c:pt idx="133">
                  <c:v>0.10545742682400699</c:v>
                </c:pt>
                <c:pt idx="134">
                  <c:v>0.108749229332107</c:v>
                </c:pt>
                <c:pt idx="135">
                  <c:v>0.108393779639552</c:v>
                </c:pt>
                <c:pt idx="136">
                  <c:v>0.110169139619768</c:v>
                </c:pt>
                <c:pt idx="137">
                  <c:v>0.111380636124399</c:v>
                </c:pt>
                <c:pt idx="138">
                  <c:v>0.112953751345428</c:v>
                </c:pt>
                <c:pt idx="139">
                  <c:v>0.11497610422926099</c:v>
                </c:pt>
                <c:pt idx="140">
                  <c:v>0.11794137599243</c:v>
                </c:pt>
                <c:pt idx="141">
                  <c:v>0.120007760444449</c:v>
                </c:pt>
                <c:pt idx="142">
                  <c:v>0.12506746870736599</c:v>
                </c:pt>
                <c:pt idx="143">
                  <c:v>0.126650161813014</c:v>
                </c:pt>
                <c:pt idx="144">
                  <c:v>0.128392456535354</c:v>
                </c:pt>
                <c:pt idx="145">
                  <c:v>0.129285948388843</c:v>
                </c:pt>
                <c:pt idx="146">
                  <c:v>0.13164635418915999</c:v>
                </c:pt>
                <c:pt idx="147">
                  <c:v>0.129524342456622</c:v>
                </c:pt>
                <c:pt idx="148">
                  <c:v>0.132592223253542</c:v>
                </c:pt>
                <c:pt idx="149">
                  <c:v>0.135789913105856</c:v>
                </c:pt>
                <c:pt idx="150">
                  <c:v>0.140722219665217</c:v>
                </c:pt>
                <c:pt idx="151">
                  <c:v>0.140695779267483</c:v>
                </c:pt>
                <c:pt idx="152">
                  <c:v>0.146619987843427</c:v>
                </c:pt>
                <c:pt idx="153">
                  <c:v>0.14292425413308699</c:v>
                </c:pt>
                <c:pt idx="154">
                  <c:v>0.14468160455117299</c:v>
                </c:pt>
                <c:pt idx="155">
                  <c:v>0.14885350110555801</c:v>
                </c:pt>
                <c:pt idx="156">
                  <c:v>0.14523074633168301</c:v>
                </c:pt>
                <c:pt idx="157">
                  <c:v>0.14316322517073399</c:v>
                </c:pt>
                <c:pt idx="158">
                  <c:v>0.14703553202342501</c:v>
                </c:pt>
                <c:pt idx="159">
                  <c:v>0.150461629343873</c:v>
                </c:pt>
                <c:pt idx="160">
                  <c:v>0.154569358995122</c:v>
                </c:pt>
                <c:pt idx="161">
                  <c:v>0.15921503781166799</c:v>
                </c:pt>
                <c:pt idx="162">
                  <c:v>0.163980743145276</c:v>
                </c:pt>
                <c:pt idx="163">
                  <c:v>0.171558644069215</c:v>
                </c:pt>
                <c:pt idx="164">
                  <c:v>0.16876695423358101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18759936"/>
        <c:axId val="518761472"/>
      </c:lineChart>
      <c:dateAx>
        <c:axId val="518759936"/>
        <c:scaling>
          <c:orientation val="minMax"/>
        </c:scaling>
        <c:delete val="0"/>
        <c:axPos val="b"/>
        <c:numFmt formatCode="m/d/yyyy" sourceLinked="1"/>
        <c:majorTickMark val="out"/>
        <c:minorTickMark val="none"/>
        <c:tickLblPos val="nextTo"/>
        <c:crossAx val="518761472"/>
        <c:crosses val="autoZero"/>
        <c:auto val="1"/>
        <c:lblOffset val="100"/>
        <c:baseTimeUnit val="months"/>
      </c:dateAx>
      <c:valAx>
        <c:axId val="518761472"/>
        <c:scaling>
          <c:orientation val="minMax"/>
        </c:scaling>
        <c:delete val="0"/>
        <c:axPos val="l"/>
        <c:majorGridlines/>
        <c:numFmt formatCode="0%" sourceLinked="1"/>
        <c:majorTickMark val="out"/>
        <c:minorTickMark val="none"/>
        <c:tickLblPos val="nextTo"/>
        <c:crossAx val="518759936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REO!$AL$1:$AL$2</c:f>
              <c:strCache>
                <c:ptCount val="1"/>
                <c:pt idx="0">
                  <c:v>Non-MI FHL</c:v>
                </c:pt>
              </c:strCache>
            </c:strRef>
          </c:tx>
          <c:marker>
            <c:symbol val="none"/>
          </c:marker>
          <c:cat>
            <c:numRef>
              <c:f>REO!$AK$14:$AK$181</c:f>
              <c:numCache>
                <c:formatCode>m/d/yyyy</c:formatCode>
                <c:ptCount val="168"/>
                <c:pt idx="0">
                  <c:v>36892</c:v>
                </c:pt>
                <c:pt idx="1">
                  <c:v>36923</c:v>
                </c:pt>
                <c:pt idx="2">
                  <c:v>36951</c:v>
                </c:pt>
                <c:pt idx="3">
                  <c:v>36982</c:v>
                </c:pt>
                <c:pt idx="4">
                  <c:v>37012</c:v>
                </c:pt>
                <c:pt idx="5">
                  <c:v>37043</c:v>
                </c:pt>
                <c:pt idx="6">
                  <c:v>37073</c:v>
                </c:pt>
                <c:pt idx="7">
                  <c:v>37104</c:v>
                </c:pt>
                <c:pt idx="8">
                  <c:v>37135</c:v>
                </c:pt>
                <c:pt idx="9">
                  <c:v>37165</c:v>
                </c:pt>
                <c:pt idx="10">
                  <c:v>37196</c:v>
                </c:pt>
                <c:pt idx="11">
                  <c:v>37226</c:v>
                </c:pt>
                <c:pt idx="12">
                  <c:v>37257</c:v>
                </c:pt>
                <c:pt idx="13">
                  <c:v>37288</c:v>
                </c:pt>
                <c:pt idx="14">
                  <c:v>37316</c:v>
                </c:pt>
                <c:pt idx="15">
                  <c:v>37347</c:v>
                </c:pt>
                <c:pt idx="16">
                  <c:v>37377</c:v>
                </c:pt>
                <c:pt idx="17">
                  <c:v>37408</c:v>
                </c:pt>
                <c:pt idx="18">
                  <c:v>37438</c:v>
                </c:pt>
                <c:pt idx="19">
                  <c:v>37469</c:v>
                </c:pt>
                <c:pt idx="20">
                  <c:v>37500</c:v>
                </c:pt>
                <c:pt idx="21">
                  <c:v>37530</c:v>
                </c:pt>
                <c:pt idx="22">
                  <c:v>37561</c:v>
                </c:pt>
                <c:pt idx="23">
                  <c:v>37591</c:v>
                </c:pt>
                <c:pt idx="24">
                  <c:v>37622</c:v>
                </c:pt>
                <c:pt idx="25">
                  <c:v>37653</c:v>
                </c:pt>
                <c:pt idx="26">
                  <c:v>37681</c:v>
                </c:pt>
                <c:pt idx="27">
                  <c:v>37712</c:v>
                </c:pt>
                <c:pt idx="28">
                  <c:v>37742</c:v>
                </c:pt>
                <c:pt idx="29">
                  <c:v>37773</c:v>
                </c:pt>
                <c:pt idx="30">
                  <c:v>37803</c:v>
                </c:pt>
                <c:pt idx="31">
                  <c:v>37834</c:v>
                </c:pt>
                <c:pt idx="32">
                  <c:v>37865</c:v>
                </c:pt>
                <c:pt idx="33">
                  <c:v>37895</c:v>
                </c:pt>
                <c:pt idx="34">
                  <c:v>37926</c:v>
                </c:pt>
                <c:pt idx="35">
                  <c:v>37956</c:v>
                </c:pt>
                <c:pt idx="36">
                  <c:v>37987</c:v>
                </c:pt>
                <c:pt idx="37">
                  <c:v>38018</c:v>
                </c:pt>
                <c:pt idx="38">
                  <c:v>38047</c:v>
                </c:pt>
                <c:pt idx="39">
                  <c:v>38078</c:v>
                </c:pt>
                <c:pt idx="40">
                  <c:v>38108</c:v>
                </c:pt>
                <c:pt idx="41">
                  <c:v>38139</c:v>
                </c:pt>
                <c:pt idx="42">
                  <c:v>38169</c:v>
                </c:pt>
                <c:pt idx="43">
                  <c:v>38200</c:v>
                </c:pt>
                <c:pt idx="44">
                  <c:v>38231</c:v>
                </c:pt>
                <c:pt idx="45">
                  <c:v>38261</c:v>
                </c:pt>
                <c:pt idx="46">
                  <c:v>38292</c:v>
                </c:pt>
                <c:pt idx="47">
                  <c:v>38322</c:v>
                </c:pt>
                <c:pt idx="48">
                  <c:v>38353</c:v>
                </c:pt>
                <c:pt idx="49">
                  <c:v>38384</c:v>
                </c:pt>
                <c:pt idx="50">
                  <c:v>38412</c:v>
                </c:pt>
                <c:pt idx="51">
                  <c:v>38443</c:v>
                </c:pt>
                <c:pt idx="52">
                  <c:v>38473</c:v>
                </c:pt>
                <c:pt idx="53">
                  <c:v>38504</c:v>
                </c:pt>
                <c:pt idx="54">
                  <c:v>38534</c:v>
                </c:pt>
                <c:pt idx="55">
                  <c:v>38565</c:v>
                </c:pt>
                <c:pt idx="56">
                  <c:v>38596</c:v>
                </c:pt>
                <c:pt idx="57">
                  <c:v>38626</c:v>
                </c:pt>
                <c:pt idx="58">
                  <c:v>38657</c:v>
                </c:pt>
                <c:pt idx="59">
                  <c:v>38687</c:v>
                </c:pt>
                <c:pt idx="60">
                  <c:v>38718</c:v>
                </c:pt>
                <c:pt idx="61">
                  <c:v>38749</c:v>
                </c:pt>
                <c:pt idx="62">
                  <c:v>38777</c:v>
                </c:pt>
                <c:pt idx="63">
                  <c:v>38808</c:v>
                </c:pt>
                <c:pt idx="64">
                  <c:v>38838</c:v>
                </c:pt>
                <c:pt idx="65">
                  <c:v>38869</c:v>
                </c:pt>
                <c:pt idx="66">
                  <c:v>38899</c:v>
                </c:pt>
                <c:pt idx="67">
                  <c:v>38930</c:v>
                </c:pt>
                <c:pt idx="68">
                  <c:v>38961</c:v>
                </c:pt>
                <c:pt idx="69">
                  <c:v>38991</c:v>
                </c:pt>
                <c:pt idx="70">
                  <c:v>39022</c:v>
                </c:pt>
                <c:pt idx="71">
                  <c:v>39052</c:v>
                </c:pt>
                <c:pt idx="72">
                  <c:v>39083</c:v>
                </c:pt>
                <c:pt idx="73">
                  <c:v>39114</c:v>
                </c:pt>
                <c:pt idx="74">
                  <c:v>39142</c:v>
                </c:pt>
                <c:pt idx="75">
                  <c:v>39173</c:v>
                </c:pt>
                <c:pt idx="76">
                  <c:v>39203</c:v>
                </c:pt>
                <c:pt idx="77">
                  <c:v>39234</c:v>
                </c:pt>
                <c:pt idx="78">
                  <c:v>39264</c:v>
                </c:pt>
                <c:pt idx="79">
                  <c:v>39295</c:v>
                </c:pt>
                <c:pt idx="80">
                  <c:v>39326</c:v>
                </c:pt>
                <c:pt idx="81">
                  <c:v>39356</c:v>
                </c:pt>
                <c:pt idx="82">
                  <c:v>39387</c:v>
                </c:pt>
                <c:pt idx="83">
                  <c:v>39417</c:v>
                </c:pt>
                <c:pt idx="84">
                  <c:v>39448</c:v>
                </c:pt>
                <c:pt idx="85">
                  <c:v>39479</c:v>
                </c:pt>
                <c:pt idx="86">
                  <c:v>39508</c:v>
                </c:pt>
                <c:pt idx="87">
                  <c:v>39539</c:v>
                </c:pt>
                <c:pt idx="88">
                  <c:v>39569</c:v>
                </c:pt>
                <c:pt idx="89">
                  <c:v>39600</c:v>
                </c:pt>
                <c:pt idx="90">
                  <c:v>39630</c:v>
                </c:pt>
                <c:pt idx="91">
                  <c:v>39661</c:v>
                </c:pt>
                <c:pt idx="92">
                  <c:v>39692</c:v>
                </c:pt>
                <c:pt idx="93">
                  <c:v>39722</c:v>
                </c:pt>
                <c:pt idx="94">
                  <c:v>39753</c:v>
                </c:pt>
                <c:pt idx="95">
                  <c:v>39783</c:v>
                </c:pt>
                <c:pt idx="96">
                  <c:v>39814</c:v>
                </c:pt>
                <c:pt idx="97">
                  <c:v>39845</c:v>
                </c:pt>
                <c:pt idx="98">
                  <c:v>39873</c:v>
                </c:pt>
                <c:pt idx="99">
                  <c:v>39904</c:v>
                </c:pt>
                <c:pt idx="100">
                  <c:v>39934</c:v>
                </c:pt>
                <c:pt idx="101">
                  <c:v>39965</c:v>
                </c:pt>
                <c:pt idx="102">
                  <c:v>39995</c:v>
                </c:pt>
                <c:pt idx="103">
                  <c:v>40026</c:v>
                </c:pt>
                <c:pt idx="104">
                  <c:v>40057</c:v>
                </c:pt>
                <c:pt idx="105">
                  <c:v>40087</c:v>
                </c:pt>
                <c:pt idx="106">
                  <c:v>40118</c:v>
                </c:pt>
                <c:pt idx="107">
                  <c:v>40148</c:v>
                </c:pt>
                <c:pt idx="108">
                  <c:v>40179</c:v>
                </c:pt>
                <c:pt idx="109">
                  <c:v>40210</c:v>
                </c:pt>
                <c:pt idx="110">
                  <c:v>40238</c:v>
                </c:pt>
                <c:pt idx="111">
                  <c:v>40269</c:v>
                </c:pt>
                <c:pt idx="112">
                  <c:v>40299</c:v>
                </c:pt>
                <c:pt idx="113">
                  <c:v>40330</c:v>
                </c:pt>
                <c:pt idx="114">
                  <c:v>40360</c:v>
                </c:pt>
                <c:pt idx="115">
                  <c:v>40391</c:v>
                </c:pt>
                <c:pt idx="116">
                  <c:v>40422</c:v>
                </c:pt>
                <c:pt idx="117">
                  <c:v>40452</c:v>
                </c:pt>
                <c:pt idx="118">
                  <c:v>40483</c:v>
                </c:pt>
                <c:pt idx="119">
                  <c:v>40513</c:v>
                </c:pt>
                <c:pt idx="120">
                  <c:v>40544</c:v>
                </c:pt>
                <c:pt idx="121">
                  <c:v>40575</c:v>
                </c:pt>
                <c:pt idx="122">
                  <c:v>40603</c:v>
                </c:pt>
                <c:pt idx="123">
                  <c:v>40634</c:v>
                </c:pt>
                <c:pt idx="124">
                  <c:v>40664</c:v>
                </c:pt>
                <c:pt idx="125">
                  <c:v>40695</c:v>
                </c:pt>
                <c:pt idx="126">
                  <c:v>40725</c:v>
                </c:pt>
                <c:pt idx="127">
                  <c:v>40756</c:v>
                </c:pt>
                <c:pt idx="128">
                  <c:v>40787</c:v>
                </c:pt>
                <c:pt idx="129">
                  <c:v>40817</c:v>
                </c:pt>
                <c:pt idx="130">
                  <c:v>40848</c:v>
                </c:pt>
                <c:pt idx="131">
                  <c:v>40878</c:v>
                </c:pt>
                <c:pt idx="132">
                  <c:v>40909</c:v>
                </c:pt>
                <c:pt idx="133">
                  <c:v>40940</c:v>
                </c:pt>
                <c:pt idx="134">
                  <c:v>40969</c:v>
                </c:pt>
                <c:pt idx="135">
                  <c:v>41000</c:v>
                </c:pt>
                <c:pt idx="136">
                  <c:v>41030</c:v>
                </c:pt>
                <c:pt idx="137">
                  <c:v>41061</c:v>
                </c:pt>
                <c:pt idx="138">
                  <c:v>41091</c:v>
                </c:pt>
                <c:pt idx="139">
                  <c:v>41122</c:v>
                </c:pt>
                <c:pt idx="140">
                  <c:v>41153</c:v>
                </c:pt>
                <c:pt idx="141">
                  <c:v>41183</c:v>
                </c:pt>
                <c:pt idx="142">
                  <c:v>41214</c:v>
                </c:pt>
                <c:pt idx="143">
                  <c:v>41244</c:v>
                </c:pt>
                <c:pt idx="144">
                  <c:v>41275</c:v>
                </c:pt>
                <c:pt idx="145">
                  <c:v>41306</c:v>
                </c:pt>
                <c:pt idx="146">
                  <c:v>41334</c:v>
                </c:pt>
                <c:pt idx="147">
                  <c:v>41365</c:v>
                </c:pt>
                <c:pt idx="148">
                  <c:v>41395</c:v>
                </c:pt>
                <c:pt idx="149">
                  <c:v>41426</c:v>
                </c:pt>
                <c:pt idx="150">
                  <c:v>41456</c:v>
                </c:pt>
                <c:pt idx="151">
                  <c:v>41487</c:v>
                </c:pt>
                <c:pt idx="152">
                  <c:v>41518</c:v>
                </c:pt>
                <c:pt idx="153">
                  <c:v>41548</c:v>
                </c:pt>
                <c:pt idx="154">
                  <c:v>41579</c:v>
                </c:pt>
                <c:pt idx="155">
                  <c:v>41609</c:v>
                </c:pt>
                <c:pt idx="156">
                  <c:v>41640</c:v>
                </c:pt>
                <c:pt idx="157">
                  <c:v>41671</c:v>
                </c:pt>
                <c:pt idx="158">
                  <c:v>41699</c:v>
                </c:pt>
                <c:pt idx="159">
                  <c:v>41730</c:v>
                </c:pt>
                <c:pt idx="160">
                  <c:v>41760</c:v>
                </c:pt>
                <c:pt idx="161">
                  <c:v>41791</c:v>
                </c:pt>
                <c:pt idx="162">
                  <c:v>41821</c:v>
                </c:pt>
                <c:pt idx="163">
                  <c:v>41852</c:v>
                </c:pt>
                <c:pt idx="164">
                  <c:v>41883</c:v>
                </c:pt>
              </c:numCache>
            </c:numRef>
          </c:cat>
          <c:val>
            <c:numRef>
              <c:f>REO!$AL$14:$AL$181</c:f>
              <c:numCache>
                <c:formatCode>0%</c:formatCode>
                <c:ptCount val="168"/>
                <c:pt idx="0">
                  <c:v>0.220589794790717</c:v>
                </c:pt>
                <c:pt idx="1">
                  <c:v>0.22455963646868099</c:v>
                </c:pt>
                <c:pt idx="2">
                  <c:v>0.25896350844649002</c:v>
                </c:pt>
                <c:pt idx="3">
                  <c:v>0.20564434286387401</c:v>
                </c:pt>
                <c:pt idx="4">
                  <c:v>0.249259398011588</c:v>
                </c:pt>
                <c:pt idx="5">
                  <c:v>0.19244136764394401</c:v>
                </c:pt>
                <c:pt idx="6">
                  <c:v>0.18535141835621799</c:v>
                </c:pt>
                <c:pt idx="7">
                  <c:v>0.1828264503491</c:v>
                </c:pt>
                <c:pt idx="8">
                  <c:v>0.14490042510248599</c:v>
                </c:pt>
                <c:pt idx="9">
                  <c:v>0.164752639041226</c:v>
                </c:pt>
                <c:pt idx="10">
                  <c:v>0.143461065646002</c:v>
                </c:pt>
                <c:pt idx="11">
                  <c:v>0.16248995689316001</c:v>
                </c:pt>
                <c:pt idx="12">
                  <c:v>0.131990340279421</c:v>
                </c:pt>
                <c:pt idx="13">
                  <c:v>0.17381646382938801</c:v>
                </c:pt>
                <c:pt idx="14">
                  <c:v>0.22046987602780799</c:v>
                </c:pt>
                <c:pt idx="15">
                  <c:v>0.19003674248900199</c:v>
                </c:pt>
                <c:pt idx="16">
                  <c:v>0.23520290086679699</c:v>
                </c:pt>
                <c:pt idx="17">
                  <c:v>0.15296661596684899</c:v>
                </c:pt>
                <c:pt idx="18">
                  <c:v>0.18526928318591701</c:v>
                </c:pt>
                <c:pt idx="19">
                  <c:v>0.19273438086209799</c:v>
                </c:pt>
                <c:pt idx="20">
                  <c:v>0.20414717483164399</c:v>
                </c:pt>
                <c:pt idx="21">
                  <c:v>0.168585365761171</c:v>
                </c:pt>
                <c:pt idx="22">
                  <c:v>0.19821837712767301</c:v>
                </c:pt>
                <c:pt idx="23">
                  <c:v>0.19051084055951201</c:v>
                </c:pt>
                <c:pt idx="24">
                  <c:v>0.16754748703255201</c:v>
                </c:pt>
                <c:pt idx="25">
                  <c:v>0.19749440190617901</c:v>
                </c:pt>
                <c:pt idx="26">
                  <c:v>0.17468906806866</c:v>
                </c:pt>
                <c:pt idx="27">
                  <c:v>0.15566510007402501</c:v>
                </c:pt>
                <c:pt idx="28">
                  <c:v>0.18631301973584999</c:v>
                </c:pt>
                <c:pt idx="29">
                  <c:v>0.14509551237408899</c:v>
                </c:pt>
                <c:pt idx="30">
                  <c:v>0.17229613512823699</c:v>
                </c:pt>
                <c:pt idx="31">
                  <c:v>0.15358277399549899</c:v>
                </c:pt>
                <c:pt idx="32">
                  <c:v>0.17675318384482999</c:v>
                </c:pt>
                <c:pt idx="33">
                  <c:v>0.164472255594104</c:v>
                </c:pt>
                <c:pt idx="34">
                  <c:v>0.169916796849225</c:v>
                </c:pt>
                <c:pt idx="35">
                  <c:v>0.163265569781081</c:v>
                </c:pt>
                <c:pt idx="36">
                  <c:v>0.15778321580955099</c:v>
                </c:pt>
                <c:pt idx="37">
                  <c:v>0.18170999485622599</c:v>
                </c:pt>
                <c:pt idx="38">
                  <c:v>0.15547555599264801</c:v>
                </c:pt>
                <c:pt idx="39">
                  <c:v>0.15813882876194299</c:v>
                </c:pt>
                <c:pt idx="40">
                  <c:v>0.17972826206617501</c:v>
                </c:pt>
                <c:pt idx="41">
                  <c:v>0.18027098786596499</c:v>
                </c:pt>
                <c:pt idx="42">
                  <c:v>0.146253078821273</c:v>
                </c:pt>
                <c:pt idx="43">
                  <c:v>0.16831472576754</c:v>
                </c:pt>
                <c:pt idx="44">
                  <c:v>0.184598067821762</c:v>
                </c:pt>
                <c:pt idx="45">
                  <c:v>0.164669316254384</c:v>
                </c:pt>
                <c:pt idx="46">
                  <c:v>0.179612819090504</c:v>
                </c:pt>
                <c:pt idx="47">
                  <c:v>0.17613068962922199</c:v>
                </c:pt>
                <c:pt idx="48">
                  <c:v>0.13546348761938701</c:v>
                </c:pt>
                <c:pt idx="49">
                  <c:v>0.15252337618393799</c:v>
                </c:pt>
                <c:pt idx="50">
                  <c:v>0.14515425108885599</c:v>
                </c:pt>
                <c:pt idx="51">
                  <c:v>0.14813281398390299</c:v>
                </c:pt>
                <c:pt idx="52">
                  <c:v>0.149855026527177</c:v>
                </c:pt>
                <c:pt idx="53">
                  <c:v>0.13117533045794799</c:v>
                </c:pt>
                <c:pt idx="54">
                  <c:v>0.14862676978526901</c:v>
                </c:pt>
                <c:pt idx="55">
                  <c:v>0.14515036366511599</c:v>
                </c:pt>
                <c:pt idx="56">
                  <c:v>0.141993825355028</c:v>
                </c:pt>
                <c:pt idx="57">
                  <c:v>0.143485487226794</c:v>
                </c:pt>
                <c:pt idx="58">
                  <c:v>0.14731770096840999</c:v>
                </c:pt>
                <c:pt idx="59">
                  <c:v>0.13961679762406701</c:v>
                </c:pt>
                <c:pt idx="60">
                  <c:v>0.14642254393523799</c:v>
                </c:pt>
                <c:pt idx="61">
                  <c:v>0.14863649475398999</c:v>
                </c:pt>
                <c:pt idx="62">
                  <c:v>0.152348428457072</c:v>
                </c:pt>
                <c:pt idx="63">
                  <c:v>0.13745531671687899</c:v>
                </c:pt>
                <c:pt idx="64">
                  <c:v>0.143110585069982</c:v>
                </c:pt>
                <c:pt idx="65">
                  <c:v>0.143974307943561</c:v>
                </c:pt>
                <c:pt idx="66">
                  <c:v>0.13386147107533</c:v>
                </c:pt>
                <c:pt idx="67">
                  <c:v>0.13954794704508999</c:v>
                </c:pt>
                <c:pt idx="68">
                  <c:v>0.13808616484914399</c:v>
                </c:pt>
                <c:pt idx="69">
                  <c:v>0.157849186201378</c:v>
                </c:pt>
                <c:pt idx="70">
                  <c:v>0.14225268838418301</c:v>
                </c:pt>
                <c:pt idx="71">
                  <c:v>0.139085856441197</c:v>
                </c:pt>
                <c:pt idx="72">
                  <c:v>0.12888322230128299</c:v>
                </c:pt>
                <c:pt idx="73">
                  <c:v>0.128011941668491</c:v>
                </c:pt>
                <c:pt idx="74">
                  <c:v>0.134410027812815</c:v>
                </c:pt>
                <c:pt idx="75">
                  <c:v>0.134931287875388</c:v>
                </c:pt>
                <c:pt idx="76">
                  <c:v>0.120041097197602</c:v>
                </c:pt>
                <c:pt idx="77">
                  <c:v>0.13795001639604701</c:v>
                </c:pt>
                <c:pt idx="78">
                  <c:v>0.13375930327010799</c:v>
                </c:pt>
                <c:pt idx="79">
                  <c:v>0.12669758525101199</c:v>
                </c:pt>
                <c:pt idx="80">
                  <c:v>0.137700905673241</c:v>
                </c:pt>
                <c:pt idx="81">
                  <c:v>0.13040278270380201</c:v>
                </c:pt>
                <c:pt idx="82">
                  <c:v>0.1199502739689</c:v>
                </c:pt>
                <c:pt idx="83">
                  <c:v>0.11774212117116301</c:v>
                </c:pt>
                <c:pt idx="84">
                  <c:v>0.122252869363162</c:v>
                </c:pt>
                <c:pt idx="85">
                  <c:v>0.134025751029687</c:v>
                </c:pt>
                <c:pt idx="86">
                  <c:v>0.13025027315418899</c:v>
                </c:pt>
                <c:pt idx="87">
                  <c:v>0.12418721326583</c:v>
                </c:pt>
                <c:pt idx="88">
                  <c:v>0.118453620525107</c:v>
                </c:pt>
                <c:pt idx="89">
                  <c:v>0.115517055938627</c:v>
                </c:pt>
                <c:pt idx="90">
                  <c:v>0.11622194571972</c:v>
                </c:pt>
                <c:pt idx="91">
                  <c:v>0.11551699012887399</c:v>
                </c:pt>
                <c:pt idx="92">
                  <c:v>0.105646389333339</c:v>
                </c:pt>
                <c:pt idx="93">
                  <c:v>0.10170223771817601</c:v>
                </c:pt>
                <c:pt idx="94">
                  <c:v>0.10799391861063599</c:v>
                </c:pt>
                <c:pt idx="95">
                  <c:v>9.97839212145466E-2</c:v>
                </c:pt>
                <c:pt idx="96">
                  <c:v>0.10061494428109199</c:v>
                </c:pt>
                <c:pt idx="97">
                  <c:v>9.6370519172242403E-2</c:v>
                </c:pt>
                <c:pt idx="98">
                  <c:v>9.16794457717095E-2</c:v>
                </c:pt>
                <c:pt idx="99">
                  <c:v>8.8184287507963505E-2</c:v>
                </c:pt>
                <c:pt idx="100">
                  <c:v>8.94278411008535E-2</c:v>
                </c:pt>
                <c:pt idx="101">
                  <c:v>8.6647898186982195E-2</c:v>
                </c:pt>
                <c:pt idx="102">
                  <c:v>8.2991984372119298E-2</c:v>
                </c:pt>
                <c:pt idx="103">
                  <c:v>8.7835085473888894E-2</c:v>
                </c:pt>
                <c:pt idx="104">
                  <c:v>8.8079633350379202E-2</c:v>
                </c:pt>
                <c:pt idx="105">
                  <c:v>8.1417764455446795E-2</c:v>
                </c:pt>
                <c:pt idx="106">
                  <c:v>8.8397669930545195E-2</c:v>
                </c:pt>
                <c:pt idx="107">
                  <c:v>7.98923304313129E-2</c:v>
                </c:pt>
                <c:pt idx="108">
                  <c:v>7.8180496100107799E-2</c:v>
                </c:pt>
                <c:pt idx="109">
                  <c:v>8.2604733815412598E-2</c:v>
                </c:pt>
                <c:pt idx="110">
                  <c:v>8.1844806631045902E-2</c:v>
                </c:pt>
                <c:pt idx="111">
                  <c:v>8.4015293569577196E-2</c:v>
                </c:pt>
                <c:pt idx="112">
                  <c:v>8.3777502222571798E-2</c:v>
                </c:pt>
                <c:pt idx="113">
                  <c:v>8.2113144484105102E-2</c:v>
                </c:pt>
                <c:pt idx="114">
                  <c:v>8.0632786427548994E-2</c:v>
                </c:pt>
                <c:pt idx="115">
                  <c:v>8.1863449137842006E-2</c:v>
                </c:pt>
                <c:pt idx="116">
                  <c:v>7.7170387099568E-2</c:v>
                </c:pt>
                <c:pt idx="117">
                  <c:v>7.8892000136369503E-2</c:v>
                </c:pt>
                <c:pt idx="118">
                  <c:v>8.0484678350618594E-2</c:v>
                </c:pt>
                <c:pt idx="119">
                  <c:v>8.6675482535144496E-2</c:v>
                </c:pt>
                <c:pt idx="120">
                  <c:v>8.4233221079681495E-2</c:v>
                </c:pt>
                <c:pt idx="121">
                  <c:v>8.6164253504358204E-2</c:v>
                </c:pt>
                <c:pt idx="122">
                  <c:v>8.7002649727805303E-2</c:v>
                </c:pt>
                <c:pt idx="123">
                  <c:v>8.3106124386944105E-2</c:v>
                </c:pt>
                <c:pt idx="124">
                  <c:v>8.1626266880609602E-2</c:v>
                </c:pt>
                <c:pt idx="125">
                  <c:v>8.14342294486088E-2</c:v>
                </c:pt>
                <c:pt idx="126">
                  <c:v>8.0767051643768198E-2</c:v>
                </c:pt>
                <c:pt idx="127">
                  <c:v>8.0344099234700705E-2</c:v>
                </c:pt>
                <c:pt idx="128">
                  <c:v>8.1220008384630102E-2</c:v>
                </c:pt>
                <c:pt idx="129">
                  <c:v>8.0214503102033902E-2</c:v>
                </c:pt>
                <c:pt idx="130">
                  <c:v>7.6573169973957994E-2</c:v>
                </c:pt>
                <c:pt idx="131">
                  <c:v>7.7723912072640303E-2</c:v>
                </c:pt>
                <c:pt idx="132">
                  <c:v>7.8124859991862305E-2</c:v>
                </c:pt>
                <c:pt idx="133">
                  <c:v>8.1630232657190202E-2</c:v>
                </c:pt>
                <c:pt idx="134">
                  <c:v>8.0760597339346596E-2</c:v>
                </c:pt>
                <c:pt idx="135">
                  <c:v>8.1798337455285003E-2</c:v>
                </c:pt>
                <c:pt idx="136">
                  <c:v>7.3800283799929201E-2</c:v>
                </c:pt>
                <c:pt idx="137">
                  <c:v>7.4166598014152499E-2</c:v>
                </c:pt>
                <c:pt idx="138">
                  <c:v>7.7089045420285496E-2</c:v>
                </c:pt>
                <c:pt idx="139">
                  <c:v>8.0353296819379597E-2</c:v>
                </c:pt>
                <c:pt idx="140">
                  <c:v>8.3059799209001597E-2</c:v>
                </c:pt>
                <c:pt idx="141">
                  <c:v>8.2213365976416097E-2</c:v>
                </c:pt>
                <c:pt idx="142">
                  <c:v>7.9770394447163495E-2</c:v>
                </c:pt>
                <c:pt idx="143">
                  <c:v>8.0565787892815002E-2</c:v>
                </c:pt>
                <c:pt idx="144">
                  <c:v>8.2889700470322195E-2</c:v>
                </c:pt>
                <c:pt idx="145">
                  <c:v>8.3697780765032898E-2</c:v>
                </c:pt>
                <c:pt idx="146">
                  <c:v>8.1926993783664095E-2</c:v>
                </c:pt>
                <c:pt idx="147">
                  <c:v>8.1574958503187397E-2</c:v>
                </c:pt>
                <c:pt idx="148">
                  <c:v>7.3897665546376098E-2</c:v>
                </c:pt>
                <c:pt idx="149">
                  <c:v>7.3889556882788004E-2</c:v>
                </c:pt>
                <c:pt idx="150">
                  <c:v>7.1459428432611105E-2</c:v>
                </c:pt>
                <c:pt idx="151">
                  <c:v>7.3938043541409301E-2</c:v>
                </c:pt>
                <c:pt idx="152">
                  <c:v>7.8319265293374796E-2</c:v>
                </c:pt>
                <c:pt idx="153">
                  <c:v>7.8035837753673898E-2</c:v>
                </c:pt>
                <c:pt idx="154">
                  <c:v>7.9826857854852301E-2</c:v>
                </c:pt>
                <c:pt idx="155">
                  <c:v>7.5117850848440901E-2</c:v>
                </c:pt>
                <c:pt idx="156">
                  <c:v>7.3360751851900594E-2</c:v>
                </c:pt>
                <c:pt idx="157">
                  <c:v>7.5422176481996894E-2</c:v>
                </c:pt>
                <c:pt idx="158">
                  <c:v>7.2687428103371102E-2</c:v>
                </c:pt>
                <c:pt idx="159">
                  <c:v>7.2536125308773097E-2</c:v>
                </c:pt>
                <c:pt idx="160">
                  <c:v>6.6614756789563703E-2</c:v>
                </c:pt>
                <c:pt idx="161">
                  <c:v>7.6060427060029204E-2</c:v>
                </c:pt>
                <c:pt idx="162">
                  <c:v>6.2567599633531895E-2</c:v>
                </c:pt>
                <c:pt idx="163">
                  <c:v>6.93390555360031E-2</c:v>
                </c:pt>
                <c:pt idx="164">
                  <c:v>6.4881066362492398E-2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REO!$AM$1:$AM$2</c:f>
              <c:strCache>
                <c:ptCount val="1"/>
                <c:pt idx="0">
                  <c:v>Non-MI FNMA</c:v>
                </c:pt>
              </c:strCache>
            </c:strRef>
          </c:tx>
          <c:marker>
            <c:symbol val="none"/>
          </c:marker>
          <c:cat>
            <c:numRef>
              <c:f>REO!$AK$14:$AK$181</c:f>
              <c:numCache>
                <c:formatCode>m/d/yyyy</c:formatCode>
                <c:ptCount val="168"/>
                <c:pt idx="0">
                  <c:v>36892</c:v>
                </c:pt>
                <c:pt idx="1">
                  <c:v>36923</c:v>
                </c:pt>
                <c:pt idx="2">
                  <c:v>36951</c:v>
                </c:pt>
                <c:pt idx="3">
                  <c:v>36982</c:v>
                </c:pt>
                <c:pt idx="4">
                  <c:v>37012</c:v>
                </c:pt>
                <c:pt idx="5">
                  <c:v>37043</c:v>
                </c:pt>
                <c:pt idx="6">
                  <c:v>37073</c:v>
                </c:pt>
                <c:pt idx="7">
                  <c:v>37104</c:v>
                </c:pt>
                <c:pt idx="8">
                  <c:v>37135</c:v>
                </c:pt>
                <c:pt idx="9">
                  <c:v>37165</c:v>
                </c:pt>
                <c:pt idx="10">
                  <c:v>37196</c:v>
                </c:pt>
                <c:pt idx="11">
                  <c:v>37226</c:v>
                </c:pt>
                <c:pt idx="12">
                  <c:v>37257</c:v>
                </c:pt>
                <c:pt idx="13">
                  <c:v>37288</c:v>
                </c:pt>
                <c:pt idx="14">
                  <c:v>37316</c:v>
                </c:pt>
                <c:pt idx="15">
                  <c:v>37347</c:v>
                </c:pt>
                <c:pt idx="16">
                  <c:v>37377</c:v>
                </c:pt>
                <c:pt idx="17">
                  <c:v>37408</c:v>
                </c:pt>
                <c:pt idx="18">
                  <c:v>37438</c:v>
                </c:pt>
                <c:pt idx="19">
                  <c:v>37469</c:v>
                </c:pt>
                <c:pt idx="20">
                  <c:v>37500</c:v>
                </c:pt>
                <c:pt idx="21">
                  <c:v>37530</c:v>
                </c:pt>
                <c:pt idx="22">
                  <c:v>37561</c:v>
                </c:pt>
                <c:pt idx="23">
                  <c:v>37591</c:v>
                </c:pt>
                <c:pt idx="24">
                  <c:v>37622</c:v>
                </c:pt>
                <c:pt idx="25">
                  <c:v>37653</c:v>
                </c:pt>
                <c:pt idx="26">
                  <c:v>37681</c:v>
                </c:pt>
                <c:pt idx="27">
                  <c:v>37712</c:v>
                </c:pt>
                <c:pt idx="28">
                  <c:v>37742</c:v>
                </c:pt>
                <c:pt idx="29">
                  <c:v>37773</c:v>
                </c:pt>
                <c:pt idx="30">
                  <c:v>37803</c:v>
                </c:pt>
                <c:pt idx="31">
                  <c:v>37834</c:v>
                </c:pt>
                <c:pt idx="32">
                  <c:v>37865</c:v>
                </c:pt>
                <c:pt idx="33">
                  <c:v>37895</c:v>
                </c:pt>
                <c:pt idx="34">
                  <c:v>37926</c:v>
                </c:pt>
                <c:pt idx="35">
                  <c:v>37956</c:v>
                </c:pt>
                <c:pt idx="36">
                  <c:v>37987</c:v>
                </c:pt>
                <c:pt idx="37">
                  <c:v>38018</c:v>
                </c:pt>
                <c:pt idx="38">
                  <c:v>38047</c:v>
                </c:pt>
                <c:pt idx="39">
                  <c:v>38078</c:v>
                </c:pt>
                <c:pt idx="40">
                  <c:v>38108</c:v>
                </c:pt>
                <c:pt idx="41">
                  <c:v>38139</c:v>
                </c:pt>
                <c:pt idx="42">
                  <c:v>38169</c:v>
                </c:pt>
                <c:pt idx="43">
                  <c:v>38200</c:v>
                </c:pt>
                <c:pt idx="44">
                  <c:v>38231</c:v>
                </c:pt>
                <c:pt idx="45">
                  <c:v>38261</c:v>
                </c:pt>
                <c:pt idx="46">
                  <c:v>38292</c:v>
                </c:pt>
                <c:pt idx="47">
                  <c:v>38322</c:v>
                </c:pt>
                <c:pt idx="48">
                  <c:v>38353</c:v>
                </c:pt>
                <c:pt idx="49">
                  <c:v>38384</c:v>
                </c:pt>
                <c:pt idx="50">
                  <c:v>38412</c:v>
                </c:pt>
                <c:pt idx="51">
                  <c:v>38443</c:v>
                </c:pt>
                <c:pt idx="52">
                  <c:v>38473</c:v>
                </c:pt>
                <c:pt idx="53">
                  <c:v>38504</c:v>
                </c:pt>
                <c:pt idx="54">
                  <c:v>38534</c:v>
                </c:pt>
                <c:pt idx="55">
                  <c:v>38565</c:v>
                </c:pt>
                <c:pt idx="56">
                  <c:v>38596</c:v>
                </c:pt>
                <c:pt idx="57">
                  <c:v>38626</c:v>
                </c:pt>
                <c:pt idx="58">
                  <c:v>38657</c:v>
                </c:pt>
                <c:pt idx="59">
                  <c:v>38687</c:v>
                </c:pt>
                <c:pt idx="60">
                  <c:v>38718</c:v>
                </c:pt>
                <c:pt idx="61">
                  <c:v>38749</c:v>
                </c:pt>
                <c:pt idx="62">
                  <c:v>38777</c:v>
                </c:pt>
                <c:pt idx="63">
                  <c:v>38808</c:v>
                </c:pt>
                <c:pt idx="64">
                  <c:v>38838</c:v>
                </c:pt>
                <c:pt idx="65">
                  <c:v>38869</c:v>
                </c:pt>
                <c:pt idx="66">
                  <c:v>38899</c:v>
                </c:pt>
                <c:pt idx="67">
                  <c:v>38930</c:v>
                </c:pt>
                <c:pt idx="68">
                  <c:v>38961</c:v>
                </c:pt>
                <c:pt idx="69">
                  <c:v>38991</c:v>
                </c:pt>
                <c:pt idx="70">
                  <c:v>39022</c:v>
                </c:pt>
                <c:pt idx="71">
                  <c:v>39052</c:v>
                </c:pt>
                <c:pt idx="72">
                  <c:v>39083</c:v>
                </c:pt>
                <c:pt idx="73">
                  <c:v>39114</c:v>
                </c:pt>
                <c:pt idx="74">
                  <c:v>39142</c:v>
                </c:pt>
                <c:pt idx="75">
                  <c:v>39173</c:v>
                </c:pt>
                <c:pt idx="76">
                  <c:v>39203</c:v>
                </c:pt>
                <c:pt idx="77">
                  <c:v>39234</c:v>
                </c:pt>
                <c:pt idx="78">
                  <c:v>39264</c:v>
                </c:pt>
                <c:pt idx="79">
                  <c:v>39295</c:v>
                </c:pt>
                <c:pt idx="80">
                  <c:v>39326</c:v>
                </c:pt>
                <c:pt idx="81">
                  <c:v>39356</c:v>
                </c:pt>
                <c:pt idx="82">
                  <c:v>39387</c:v>
                </c:pt>
                <c:pt idx="83">
                  <c:v>39417</c:v>
                </c:pt>
                <c:pt idx="84">
                  <c:v>39448</c:v>
                </c:pt>
                <c:pt idx="85">
                  <c:v>39479</c:v>
                </c:pt>
                <c:pt idx="86">
                  <c:v>39508</c:v>
                </c:pt>
                <c:pt idx="87">
                  <c:v>39539</c:v>
                </c:pt>
                <c:pt idx="88">
                  <c:v>39569</c:v>
                </c:pt>
                <c:pt idx="89">
                  <c:v>39600</c:v>
                </c:pt>
                <c:pt idx="90">
                  <c:v>39630</c:v>
                </c:pt>
                <c:pt idx="91">
                  <c:v>39661</c:v>
                </c:pt>
                <c:pt idx="92">
                  <c:v>39692</c:v>
                </c:pt>
                <c:pt idx="93">
                  <c:v>39722</c:v>
                </c:pt>
                <c:pt idx="94">
                  <c:v>39753</c:v>
                </c:pt>
                <c:pt idx="95">
                  <c:v>39783</c:v>
                </c:pt>
                <c:pt idx="96">
                  <c:v>39814</c:v>
                </c:pt>
                <c:pt idx="97">
                  <c:v>39845</c:v>
                </c:pt>
                <c:pt idx="98">
                  <c:v>39873</c:v>
                </c:pt>
                <c:pt idx="99">
                  <c:v>39904</c:v>
                </c:pt>
                <c:pt idx="100">
                  <c:v>39934</c:v>
                </c:pt>
                <c:pt idx="101">
                  <c:v>39965</c:v>
                </c:pt>
                <c:pt idx="102">
                  <c:v>39995</c:v>
                </c:pt>
                <c:pt idx="103">
                  <c:v>40026</c:v>
                </c:pt>
                <c:pt idx="104">
                  <c:v>40057</c:v>
                </c:pt>
                <c:pt idx="105">
                  <c:v>40087</c:v>
                </c:pt>
                <c:pt idx="106">
                  <c:v>40118</c:v>
                </c:pt>
                <c:pt idx="107">
                  <c:v>40148</c:v>
                </c:pt>
                <c:pt idx="108">
                  <c:v>40179</c:v>
                </c:pt>
                <c:pt idx="109">
                  <c:v>40210</c:v>
                </c:pt>
                <c:pt idx="110">
                  <c:v>40238</c:v>
                </c:pt>
                <c:pt idx="111">
                  <c:v>40269</c:v>
                </c:pt>
                <c:pt idx="112">
                  <c:v>40299</c:v>
                </c:pt>
                <c:pt idx="113">
                  <c:v>40330</c:v>
                </c:pt>
                <c:pt idx="114">
                  <c:v>40360</c:v>
                </c:pt>
                <c:pt idx="115">
                  <c:v>40391</c:v>
                </c:pt>
                <c:pt idx="116">
                  <c:v>40422</c:v>
                </c:pt>
                <c:pt idx="117">
                  <c:v>40452</c:v>
                </c:pt>
                <c:pt idx="118">
                  <c:v>40483</c:v>
                </c:pt>
                <c:pt idx="119">
                  <c:v>40513</c:v>
                </c:pt>
                <c:pt idx="120">
                  <c:v>40544</c:v>
                </c:pt>
                <c:pt idx="121">
                  <c:v>40575</c:v>
                </c:pt>
                <c:pt idx="122">
                  <c:v>40603</c:v>
                </c:pt>
                <c:pt idx="123">
                  <c:v>40634</c:v>
                </c:pt>
                <c:pt idx="124">
                  <c:v>40664</c:v>
                </c:pt>
                <c:pt idx="125">
                  <c:v>40695</c:v>
                </c:pt>
                <c:pt idx="126">
                  <c:v>40725</c:v>
                </c:pt>
                <c:pt idx="127">
                  <c:v>40756</c:v>
                </c:pt>
                <c:pt idx="128">
                  <c:v>40787</c:v>
                </c:pt>
                <c:pt idx="129">
                  <c:v>40817</c:v>
                </c:pt>
                <c:pt idx="130">
                  <c:v>40848</c:v>
                </c:pt>
                <c:pt idx="131">
                  <c:v>40878</c:v>
                </c:pt>
                <c:pt idx="132">
                  <c:v>40909</c:v>
                </c:pt>
                <c:pt idx="133">
                  <c:v>40940</c:v>
                </c:pt>
                <c:pt idx="134">
                  <c:v>40969</c:v>
                </c:pt>
                <c:pt idx="135">
                  <c:v>41000</c:v>
                </c:pt>
                <c:pt idx="136">
                  <c:v>41030</c:v>
                </c:pt>
                <c:pt idx="137">
                  <c:v>41061</c:v>
                </c:pt>
                <c:pt idx="138">
                  <c:v>41091</c:v>
                </c:pt>
                <c:pt idx="139">
                  <c:v>41122</c:v>
                </c:pt>
                <c:pt idx="140">
                  <c:v>41153</c:v>
                </c:pt>
                <c:pt idx="141">
                  <c:v>41183</c:v>
                </c:pt>
                <c:pt idx="142">
                  <c:v>41214</c:v>
                </c:pt>
                <c:pt idx="143">
                  <c:v>41244</c:v>
                </c:pt>
                <c:pt idx="144">
                  <c:v>41275</c:v>
                </c:pt>
                <c:pt idx="145">
                  <c:v>41306</c:v>
                </c:pt>
                <c:pt idx="146">
                  <c:v>41334</c:v>
                </c:pt>
                <c:pt idx="147">
                  <c:v>41365</c:v>
                </c:pt>
                <c:pt idx="148">
                  <c:v>41395</c:v>
                </c:pt>
                <c:pt idx="149">
                  <c:v>41426</c:v>
                </c:pt>
                <c:pt idx="150">
                  <c:v>41456</c:v>
                </c:pt>
                <c:pt idx="151">
                  <c:v>41487</c:v>
                </c:pt>
                <c:pt idx="152">
                  <c:v>41518</c:v>
                </c:pt>
                <c:pt idx="153">
                  <c:v>41548</c:v>
                </c:pt>
                <c:pt idx="154">
                  <c:v>41579</c:v>
                </c:pt>
                <c:pt idx="155">
                  <c:v>41609</c:v>
                </c:pt>
                <c:pt idx="156">
                  <c:v>41640</c:v>
                </c:pt>
                <c:pt idx="157">
                  <c:v>41671</c:v>
                </c:pt>
                <c:pt idx="158">
                  <c:v>41699</c:v>
                </c:pt>
                <c:pt idx="159">
                  <c:v>41730</c:v>
                </c:pt>
                <c:pt idx="160">
                  <c:v>41760</c:v>
                </c:pt>
                <c:pt idx="161">
                  <c:v>41791</c:v>
                </c:pt>
                <c:pt idx="162">
                  <c:v>41821</c:v>
                </c:pt>
                <c:pt idx="163">
                  <c:v>41852</c:v>
                </c:pt>
                <c:pt idx="164">
                  <c:v>41883</c:v>
                </c:pt>
              </c:numCache>
            </c:numRef>
          </c:cat>
          <c:val>
            <c:numRef>
              <c:f>REO!$AM$14:$AM$181</c:f>
              <c:numCache>
                <c:formatCode>0%</c:formatCode>
                <c:ptCount val="168"/>
                <c:pt idx="0">
                  <c:v>5.8745009223108734E-2</c:v>
                </c:pt>
                <c:pt idx="1">
                  <c:v>0.17351249184314019</c:v>
                </c:pt>
                <c:pt idx="2">
                  <c:v>0.21543071746582329</c:v>
                </c:pt>
                <c:pt idx="3">
                  <c:v>0.29388362584067473</c:v>
                </c:pt>
                <c:pt idx="4">
                  <c:v>0.18004781792677069</c:v>
                </c:pt>
                <c:pt idx="5">
                  <c:v>0.20643508625237994</c:v>
                </c:pt>
                <c:pt idx="6">
                  <c:v>0.19604186223755271</c:v>
                </c:pt>
                <c:pt idx="7">
                  <c:v>0.26979944206795703</c:v>
                </c:pt>
                <c:pt idx="8">
                  <c:v>0.23151382297555639</c:v>
                </c:pt>
                <c:pt idx="9">
                  <c:v>0.2953866953005817</c:v>
                </c:pt>
                <c:pt idx="10">
                  <c:v>0.27104677686334983</c:v>
                </c:pt>
                <c:pt idx="11">
                  <c:v>0.24301612103036552</c:v>
                </c:pt>
                <c:pt idx="12">
                  <c:v>0.32370373317401729</c:v>
                </c:pt>
                <c:pt idx="13">
                  <c:v>0.16754758536023712</c:v>
                </c:pt>
                <c:pt idx="14">
                  <c:v>0.2258559553333504</c:v>
                </c:pt>
                <c:pt idx="15">
                  <c:v>0.2180226512121885</c:v>
                </c:pt>
                <c:pt idx="16">
                  <c:v>0.17442508222720959</c:v>
                </c:pt>
                <c:pt idx="17">
                  <c:v>0.21214006549335421</c:v>
                </c:pt>
                <c:pt idx="18">
                  <c:v>0.196470863371872</c:v>
                </c:pt>
                <c:pt idx="19">
                  <c:v>0.1835387549504674</c:v>
                </c:pt>
                <c:pt idx="20">
                  <c:v>0.18079164892654981</c:v>
                </c:pt>
                <c:pt idx="21">
                  <c:v>0.1912488891995468</c:v>
                </c:pt>
                <c:pt idx="22">
                  <c:v>0.21753958472591101</c:v>
                </c:pt>
                <c:pt idx="23">
                  <c:v>0.1712377542644356</c:v>
                </c:pt>
                <c:pt idx="24">
                  <c:v>0.23227135832039669</c:v>
                </c:pt>
                <c:pt idx="25">
                  <c:v>0.16263434716638231</c:v>
                </c:pt>
                <c:pt idx="26">
                  <c:v>0.18108946445303692</c:v>
                </c:pt>
                <c:pt idx="27">
                  <c:v>0.19383918403851963</c:v>
                </c:pt>
                <c:pt idx="28">
                  <c:v>0.18026243154511462</c:v>
                </c:pt>
                <c:pt idx="29">
                  <c:v>0.2145853374800398</c:v>
                </c:pt>
                <c:pt idx="30">
                  <c:v>0.184905599796749</c:v>
                </c:pt>
                <c:pt idx="31">
                  <c:v>0.20645582435256732</c:v>
                </c:pt>
                <c:pt idx="32">
                  <c:v>0.22447759234434611</c:v>
                </c:pt>
                <c:pt idx="33">
                  <c:v>0.22295050548288789</c:v>
                </c:pt>
                <c:pt idx="34">
                  <c:v>0.1930475321011848</c:v>
                </c:pt>
                <c:pt idx="35">
                  <c:v>0.22481206384886093</c:v>
                </c:pt>
                <c:pt idx="36">
                  <c:v>0.2344661881419087</c:v>
                </c:pt>
                <c:pt idx="37">
                  <c:v>0.193926607039176</c:v>
                </c:pt>
                <c:pt idx="38">
                  <c:v>0.19035734070084731</c:v>
                </c:pt>
                <c:pt idx="39">
                  <c:v>0.18459569357774991</c:v>
                </c:pt>
                <c:pt idx="40">
                  <c:v>0.1825260820987861</c:v>
                </c:pt>
                <c:pt idx="41">
                  <c:v>0.2026926725921315</c:v>
                </c:pt>
                <c:pt idx="42">
                  <c:v>0.15792654024112029</c:v>
                </c:pt>
                <c:pt idx="43">
                  <c:v>0.17051195839960559</c:v>
                </c:pt>
                <c:pt idx="44">
                  <c:v>0.2004144548183914</c:v>
                </c:pt>
                <c:pt idx="45">
                  <c:v>0.18853180975680711</c:v>
                </c:pt>
                <c:pt idx="46">
                  <c:v>0.17512798500386351</c:v>
                </c:pt>
                <c:pt idx="47">
                  <c:v>0.16300726280941241</c:v>
                </c:pt>
                <c:pt idx="48">
                  <c:v>0.164143293415664</c:v>
                </c:pt>
                <c:pt idx="49">
                  <c:v>0.17556362578493681</c:v>
                </c:pt>
                <c:pt idx="50">
                  <c:v>0.1473428376771668</c:v>
                </c:pt>
                <c:pt idx="51">
                  <c:v>0.14649089409000599</c:v>
                </c:pt>
                <c:pt idx="52">
                  <c:v>0.1558929724805877</c:v>
                </c:pt>
                <c:pt idx="53">
                  <c:v>0.1613569528128761</c:v>
                </c:pt>
                <c:pt idx="54">
                  <c:v>0.14573396829215979</c:v>
                </c:pt>
                <c:pt idx="55">
                  <c:v>0.15586251258139899</c:v>
                </c:pt>
                <c:pt idx="56">
                  <c:v>0.15361961576345351</c:v>
                </c:pt>
                <c:pt idx="57">
                  <c:v>0.1713137409210686</c:v>
                </c:pt>
                <c:pt idx="58">
                  <c:v>0.14671617534644371</c:v>
                </c:pt>
                <c:pt idx="59">
                  <c:v>0.1554429022044912</c:v>
                </c:pt>
                <c:pt idx="60">
                  <c:v>0.2174035040188943</c:v>
                </c:pt>
                <c:pt idx="61">
                  <c:v>0.14123652793642799</c:v>
                </c:pt>
                <c:pt idx="62">
                  <c:v>0.1491422911917813</c:v>
                </c:pt>
                <c:pt idx="63">
                  <c:v>0.1012258567032874</c:v>
                </c:pt>
                <c:pt idx="64">
                  <c:v>0.1151569297160371</c:v>
                </c:pt>
                <c:pt idx="65">
                  <c:v>0.11933836405202961</c:v>
                </c:pt>
                <c:pt idx="66">
                  <c:v>0.1206378569058114</c:v>
                </c:pt>
                <c:pt idx="67">
                  <c:v>0.1006554010469965</c:v>
                </c:pt>
                <c:pt idx="68">
                  <c:v>0.11182406109622831</c:v>
                </c:pt>
                <c:pt idx="69">
                  <c:v>0.1142296470101001</c:v>
                </c:pt>
                <c:pt idx="70">
                  <c:v>8.6657220327319512E-2</c:v>
                </c:pt>
                <c:pt idx="71">
                  <c:v>0.1005996618660738</c:v>
                </c:pt>
                <c:pt idx="72">
                  <c:v>6.6351259286830402E-2</c:v>
                </c:pt>
                <c:pt idx="73">
                  <c:v>8.4998173378560887E-2</c:v>
                </c:pt>
                <c:pt idx="74">
                  <c:v>8.5001315200044392E-2</c:v>
                </c:pt>
                <c:pt idx="75">
                  <c:v>0.10267689695513491</c:v>
                </c:pt>
                <c:pt idx="76">
                  <c:v>0.11629901790605499</c:v>
                </c:pt>
                <c:pt idx="77">
                  <c:v>8.3147265062241904E-2</c:v>
                </c:pt>
                <c:pt idx="78">
                  <c:v>9.0912177420771401E-2</c:v>
                </c:pt>
                <c:pt idx="79">
                  <c:v>9.2715882543554506E-2</c:v>
                </c:pt>
                <c:pt idx="80">
                  <c:v>0.131527140721546</c:v>
                </c:pt>
                <c:pt idx="81">
                  <c:v>8.6065945222476709E-2</c:v>
                </c:pt>
                <c:pt idx="82">
                  <c:v>7.8578242320647196E-2</c:v>
                </c:pt>
                <c:pt idx="83">
                  <c:v>0.1008360920257681</c:v>
                </c:pt>
                <c:pt idx="84">
                  <c:v>9.0334184801735995E-2</c:v>
                </c:pt>
                <c:pt idx="85">
                  <c:v>7.5336695308727691E-2</c:v>
                </c:pt>
                <c:pt idx="86">
                  <c:v>5.9724927719869897E-2</c:v>
                </c:pt>
                <c:pt idx="87">
                  <c:v>6.7605092756737997E-2</c:v>
                </c:pt>
                <c:pt idx="88">
                  <c:v>8.1964262822285999E-2</c:v>
                </c:pt>
                <c:pt idx="89">
                  <c:v>9.5495134353207889E-2</c:v>
                </c:pt>
                <c:pt idx="90">
                  <c:v>7.8255086114836406E-2</c:v>
                </c:pt>
                <c:pt idx="91">
                  <c:v>7.5734466777590909E-2</c:v>
                </c:pt>
                <c:pt idx="92">
                  <c:v>7.3620795091877494E-2</c:v>
                </c:pt>
                <c:pt idx="93">
                  <c:v>6.3571258065385092E-2</c:v>
                </c:pt>
                <c:pt idx="94">
                  <c:v>8.5740315458699493E-2</c:v>
                </c:pt>
                <c:pt idx="95">
                  <c:v>7.2077242437969105E-2</c:v>
                </c:pt>
                <c:pt idx="96">
                  <c:v>9.9439862706344112E-2</c:v>
                </c:pt>
                <c:pt idx="97">
                  <c:v>8.3651916086772998E-2</c:v>
                </c:pt>
                <c:pt idx="98">
                  <c:v>8.6936732679660095E-2</c:v>
                </c:pt>
                <c:pt idx="99">
                  <c:v>8.3993653139610797E-2</c:v>
                </c:pt>
                <c:pt idx="100">
                  <c:v>9.7583768367970725E-2</c:v>
                </c:pt>
                <c:pt idx="101">
                  <c:v>9.8358653239457625E-2</c:v>
                </c:pt>
                <c:pt idx="102">
                  <c:v>0.10048914635156628</c:v>
                </c:pt>
                <c:pt idx="103">
                  <c:v>9.2083580315489869E-2</c:v>
                </c:pt>
                <c:pt idx="104">
                  <c:v>0.11042559349867183</c:v>
                </c:pt>
                <c:pt idx="105">
                  <c:v>0.1176166725905689</c:v>
                </c:pt>
                <c:pt idx="106">
                  <c:v>0.1223852939424387</c:v>
                </c:pt>
                <c:pt idx="107">
                  <c:v>0.13284470216904837</c:v>
                </c:pt>
                <c:pt idx="108">
                  <c:v>0.11951277576725997</c:v>
                </c:pt>
                <c:pt idx="109">
                  <c:v>0.12749309348531845</c:v>
                </c:pt>
                <c:pt idx="110">
                  <c:v>0.11891045667785917</c:v>
                </c:pt>
                <c:pt idx="111">
                  <c:v>0.11392602759358388</c:v>
                </c:pt>
                <c:pt idx="112">
                  <c:v>0.12266474334115335</c:v>
                </c:pt>
                <c:pt idx="113">
                  <c:v>0.130298290121386</c:v>
                </c:pt>
                <c:pt idx="114">
                  <c:v>0.10836647046227449</c:v>
                </c:pt>
                <c:pt idx="115">
                  <c:v>0.12245048005029291</c:v>
                </c:pt>
                <c:pt idx="116">
                  <c:v>0.12154862090577</c:v>
                </c:pt>
                <c:pt idx="117">
                  <c:v>0.12315270985714441</c:v>
                </c:pt>
                <c:pt idx="118">
                  <c:v>0.1217746817250281</c:v>
                </c:pt>
                <c:pt idx="119">
                  <c:v>0.11520401251824711</c:v>
                </c:pt>
                <c:pt idx="120">
                  <c:v>0.1261669574440217</c:v>
                </c:pt>
                <c:pt idx="121">
                  <c:v>0.1149274271714716</c:v>
                </c:pt>
                <c:pt idx="122">
                  <c:v>0.11530907929046949</c:v>
                </c:pt>
                <c:pt idx="123">
                  <c:v>0.1025665571016794</c:v>
                </c:pt>
                <c:pt idx="124">
                  <c:v>0.1050705563431083</c:v>
                </c:pt>
                <c:pt idx="125">
                  <c:v>0.1057389555940062</c:v>
                </c:pt>
                <c:pt idx="126">
                  <c:v>0.11258850019793409</c:v>
                </c:pt>
                <c:pt idx="127">
                  <c:v>0.1165118987114489</c:v>
                </c:pt>
                <c:pt idx="128">
                  <c:v>0.1216157319722347</c:v>
                </c:pt>
                <c:pt idx="129">
                  <c:v>0.113910613612975</c:v>
                </c:pt>
                <c:pt idx="130">
                  <c:v>0.11613429554484381</c:v>
                </c:pt>
                <c:pt idx="131">
                  <c:v>0.10349109428418721</c:v>
                </c:pt>
                <c:pt idx="132">
                  <c:v>0.1042629571962024</c:v>
                </c:pt>
                <c:pt idx="133">
                  <c:v>8.6499495087365402E-2</c:v>
                </c:pt>
                <c:pt idx="134">
                  <c:v>8.8759280451736089E-2</c:v>
                </c:pt>
                <c:pt idx="135">
                  <c:v>9.042090037859371E-2</c:v>
                </c:pt>
                <c:pt idx="136">
                  <c:v>8.6394590342178293E-2</c:v>
                </c:pt>
                <c:pt idx="137">
                  <c:v>8.6820486678216402E-2</c:v>
                </c:pt>
                <c:pt idx="138">
                  <c:v>7.4762204532236393E-2</c:v>
                </c:pt>
                <c:pt idx="139">
                  <c:v>7.9571307944123509E-2</c:v>
                </c:pt>
                <c:pt idx="140">
                  <c:v>8.37324485259653E-2</c:v>
                </c:pt>
                <c:pt idx="141">
                  <c:v>8.1573298432648295E-2</c:v>
                </c:pt>
                <c:pt idx="142">
                  <c:v>7.2174798823509204E-2</c:v>
                </c:pt>
                <c:pt idx="143">
                  <c:v>6.85575713332989E-2</c:v>
                </c:pt>
                <c:pt idx="144">
                  <c:v>7.2228600982345098E-2</c:v>
                </c:pt>
                <c:pt idx="145">
                  <c:v>6.3773761118393502E-2</c:v>
                </c:pt>
                <c:pt idx="146">
                  <c:v>6.1311761952002101E-2</c:v>
                </c:pt>
                <c:pt idx="147">
                  <c:v>6.4568631479357208E-2</c:v>
                </c:pt>
                <c:pt idx="148">
                  <c:v>5.2191310512148398E-2</c:v>
                </c:pt>
                <c:pt idx="149">
                  <c:v>5.78297936606047E-2</c:v>
                </c:pt>
                <c:pt idx="150">
                  <c:v>5.3170432031229106E-2</c:v>
                </c:pt>
                <c:pt idx="151">
                  <c:v>5.3043336784121098E-2</c:v>
                </c:pt>
                <c:pt idx="152">
                  <c:v>5.3114409071762798E-2</c:v>
                </c:pt>
                <c:pt idx="153">
                  <c:v>4.46549190033253E-2</c:v>
                </c:pt>
                <c:pt idx="154">
                  <c:v>4.4348241961515898E-2</c:v>
                </c:pt>
                <c:pt idx="155">
                  <c:v>2.9719158156338701E-2</c:v>
                </c:pt>
                <c:pt idx="156">
                  <c:v>3.5154125529795001E-2</c:v>
                </c:pt>
                <c:pt idx="157">
                  <c:v>3.2153150162348598E-2</c:v>
                </c:pt>
                <c:pt idx="158">
                  <c:v>3.5447666718029201E-2</c:v>
                </c:pt>
                <c:pt idx="159">
                  <c:v>3.4133110967640198E-2</c:v>
                </c:pt>
                <c:pt idx="160">
                  <c:v>2.7923943806810347E-2</c:v>
                </c:pt>
                <c:pt idx="161">
                  <c:v>2.6311559100343669E-2</c:v>
                </c:pt>
                <c:pt idx="162">
                  <c:v>2.9415468865164343E-2</c:v>
                </c:pt>
                <c:pt idx="163">
                  <c:v>3.4363259800866602E-2</c:v>
                </c:pt>
                <c:pt idx="164">
                  <c:v>2.6680392338034879E-2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25406592"/>
        <c:axId val="525408512"/>
      </c:lineChart>
      <c:dateAx>
        <c:axId val="525406592"/>
        <c:scaling>
          <c:orientation val="minMax"/>
        </c:scaling>
        <c:delete val="0"/>
        <c:axPos val="b"/>
        <c:numFmt formatCode="m/d/yyyy" sourceLinked="1"/>
        <c:majorTickMark val="out"/>
        <c:minorTickMark val="none"/>
        <c:tickLblPos val="nextTo"/>
        <c:crossAx val="525408512"/>
        <c:crosses val="autoZero"/>
        <c:auto val="1"/>
        <c:lblOffset val="100"/>
        <c:baseTimeUnit val="months"/>
      </c:dateAx>
      <c:valAx>
        <c:axId val="525408512"/>
        <c:scaling>
          <c:orientation val="minMax"/>
        </c:scaling>
        <c:delete val="0"/>
        <c:axPos val="l"/>
        <c:majorGridlines/>
        <c:numFmt formatCode="0%" sourceLinked="1"/>
        <c:majorTickMark val="out"/>
        <c:minorTickMark val="none"/>
        <c:tickLblPos val="nextTo"/>
        <c:crossAx val="525406592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REO!$AP$1:$AP$2</c:f>
              <c:strCache>
                <c:ptCount val="1"/>
                <c:pt idx="0">
                  <c:v>Total FHL</c:v>
                </c:pt>
              </c:strCache>
            </c:strRef>
          </c:tx>
          <c:marker>
            <c:symbol val="none"/>
          </c:marker>
          <c:cat>
            <c:numRef>
              <c:f>REO!$AO$14:$AO$181</c:f>
              <c:numCache>
                <c:formatCode>m/d/yyyy</c:formatCode>
                <c:ptCount val="168"/>
                <c:pt idx="0">
                  <c:v>36892</c:v>
                </c:pt>
                <c:pt idx="1">
                  <c:v>36923</c:v>
                </c:pt>
                <c:pt idx="2">
                  <c:v>36951</c:v>
                </c:pt>
                <c:pt idx="3">
                  <c:v>36982</c:v>
                </c:pt>
                <c:pt idx="4">
                  <c:v>37012</c:v>
                </c:pt>
                <c:pt idx="5">
                  <c:v>37043</c:v>
                </c:pt>
                <c:pt idx="6">
                  <c:v>37073</c:v>
                </c:pt>
                <c:pt idx="7">
                  <c:v>37104</c:v>
                </c:pt>
                <c:pt idx="8">
                  <c:v>37135</c:v>
                </c:pt>
                <c:pt idx="9">
                  <c:v>37165</c:v>
                </c:pt>
                <c:pt idx="10">
                  <c:v>37196</c:v>
                </c:pt>
                <c:pt idx="11">
                  <c:v>37226</c:v>
                </c:pt>
                <c:pt idx="12">
                  <c:v>37257</c:v>
                </c:pt>
                <c:pt idx="13">
                  <c:v>37288</c:v>
                </c:pt>
                <c:pt idx="14">
                  <c:v>37316</c:v>
                </c:pt>
                <c:pt idx="15">
                  <c:v>37347</c:v>
                </c:pt>
                <c:pt idx="16">
                  <c:v>37377</c:v>
                </c:pt>
                <c:pt idx="17">
                  <c:v>37408</c:v>
                </c:pt>
                <c:pt idx="18">
                  <c:v>37438</c:v>
                </c:pt>
                <c:pt idx="19">
                  <c:v>37469</c:v>
                </c:pt>
                <c:pt idx="20">
                  <c:v>37500</c:v>
                </c:pt>
                <c:pt idx="21">
                  <c:v>37530</c:v>
                </c:pt>
                <c:pt idx="22">
                  <c:v>37561</c:v>
                </c:pt>
                <c:pt idx="23">
                  <c:v>37591</c:v>
                </c:pt>
                <c:pt idx="24">
                  <c:v>37622</c:v>
                </c:pt>
                <c:pt idx="25">
                  <c:v>37653</c:v>
                </c:pt>
                <c:pt idx="26">
                  <c:v>37681</c:v>
                </c:pt>
                <c:pt idx="27">
                  <c:v>37712</c:v>
                </c:pt>
                <c:pt idx="28">
                  <c:v>37742</c:v>
                </c:pt>
                <c:pt idx="29">
                  <c:v>37773</c:v>
                </c:pt>
                <c:pt idx="30">
                  <c:v>37803</c:v>
                </c:pt>
                <c:pt idx="31">
                  <c:v>37834</c:v>
                </c:pt>
                <c:pt idx="32">
                  <c:v>37865</c:v>
                </c:pt>
                <c:pt idx="33">
                  <c:v>37895</c:v>
                </c:pt>
                <c:pt idx="34">
                  <c:v>37926</c:v>
                </c:pt>
                <c:pt idx="35">
                  <c:v>37956</c:v>
                </c:pt>
                <c:pt idx="36">
                  <c:v>37987</c:v>
                </c:pt>
                <c:pt idx="37">
                  <c:v>38018</c:v>
                </c:pt>
                <c:pt idx="38">
                  <c:v>38047</c:v>
                </c:pt>
                <c:pt idx="39">
                  <c:v>38078</c:v>
                </c:pt>
                <c:pt idx="40">
                  <c:v>38108</c:v>
                </c:pt>
                <c:pt idx="41">
                  <c:v>38139</c:v>
                </c:pt>
                <c:pt idx="42">
                  <c:v>38169</c:v>
                </c:pt>
                <c:pt idx="43">
                  <c:v>38200</c:v>
                </c:pt>
                <c:pt idx="44">
                  <c:v>38231</c:v>
                </c:pt>
                <c:pt idx="45">
                  <c:v>38261</c:v>
                </c:pt>
                <c:pt idx="46">
                  <c:v>38292</c:v>
                </c:pt>
                <c:pt idx="47">
                  <c:v>38322</c:v>
                </c:pt>
                <c:pt idx="48">
                  <c:v>38353</c:v>
                </c:pt>
                <c:pt idx="49">
                  <c:v>38384</c:v>
                </c:pt>
                <c:pt idx="50">
                  <c:v>38412</c:v>
                </c:pt>
                <c:pt idx="51">
                  <c:v>38443</c:v>
                </c:pt>
                <c:pt idx="52">
                  <c:v>38473</c:v>
                </c:pt>
                <c:pt idx="53">
                  <c:v>38504</c:v>
                </c:pt>
                <c:pt idx="54">
                  <c:v>38534</c:v>
                </c:pt>
                <c:pt idx="55">
                  <c:v>38565</c:v>
                </c:pt>
                <c:pt idx="56">
                  <c:v>38596</c:v>
                </c:pt>
                <c:pt idx="57">
                  <c:v>38626</c:v>
                </c:pt>
                <c:pt idx="58">
                  <c:v>38657</c:v>
                </c:pt>
                <c:pt idx="59">
                  <c:v>38687</c:v>
                </c:pt>
                <c:pt idx="60">
                  <c:v>38718</c:v>
                </c:pt>
                <c:pt idx="61">
                  <c:v>38749</c:v>
                </c:pt>
                <c:pt idx="62">
                  <c:v>38777</c:v>
                </c:pt>
                <c:pt idx="63">
                  <c:v>38808</c:v>
                </c:pt>
                <c:pt idx="64">
                  <c:v>38838</c:v>
                </c:pt>
                <c:pt idx="65">
                  <c:v>38869</c:v>
                </c:pt>
                <c:pt idx="66">
                  <c:v>38899</c:v>
                </c:pt>
                <c:pt idx="67">
                  <c:v>38930</c:v>
                </c:pt>
                <c:pt idx="68">
                  <c:v>38961</c:v>
                </c:pt>
                <c:pt idx="69">
                  <c:v>38991</c:v>
                </c:pt>
                <c:pt idx="70">
                  <c:v>39022</c:v>
                </c:pt>
                <c:pt idx="71">
                  <c:v>39052</c:v>
                </c:pt>
                <c:pt idx="72">
                  <c:v>39083</c:v>
                </c:pt>
                <c:pt idx="73">
                  <c:v>39114</c:v>
                </c:pt>
                <c:pt idx="74">
                  <c:v>39142</c:v>
                </c:pt>
                <c:pt idx="75">
                  <c:v>39173</c:v>
                </c:pt>
                <c:pt idx="76">
                  <c:v>39203</c:v>
                </c:pt>
                <c:pt idx="77">
                  <c:v>39234</c:v>
                </c:pt>
                <c:pt idx="78">
                  <c:v>39264</c:v>
                </c:pt>
                <c:pt idx="79">
                  <c:v>39295</c:v>
                </c:pt>
                <c:pt idx="80">
                  <c:v>39326</c:v>
                </c:pt>
                <c:pt idx="81">
                  <c:v>39356</c:v>
                </c:pt>
                <c:pt idx="82">
                  <c:v>39387</c:v>
                </c:pt>
                <c:pt idx="83">
                  <c:v>39417</c:v>
                </c:pt>
                <c:pt idx="84">
                  <c:v>39448</c:v>
                </c:pt>
                <c:pt idx="85">
                  <c:v>39479</c:v>
                </c:pt>
                <c:pt idx="86">
                  <c:v>39508</c:v>
                </c:pt>
                <c:pt idx="87">
                  <c:v>39539</c:v>
                </c:pt>
                <c:pt idx="88">
                  <c:v>39569</c:v>
                </c:pt>
                <c:pt idx="89">
                  <c:v>39600</c:v>
                </c:pt>
                <c:pt idx="90">
                  <c:v>39630</c:v>
                </c:pt>
                <c:pt idx="91">
                  <c:v>39661</c:v>
                </c:pt>
                <c:pt idx="92">
                  <c:v>39692</c:v>
                </c:pt>
                <c:pt idx="93">
                  <c:v>39722</c:v>
                </c:pt>
                <c:pt idx="94">
                  <c:v>39753</c:v>
                </c:pt>
                <c:pt idx="95">
                  <c:v>39783</c:v>
                </c:pt>
                <c:pt idx="96">
                  <c:v>39814</c:v>
                </c:pt>
                <c:pt idx="97">
                  <c:v>39845</c:v>
                </c:pt>
                <c:pt idx="98">
                  <c:v>39873</c:v>
                </c:pt>
                <c:pt idx="99">
                  <c:v>39904</c:v>
                </c:pt>
                <c:pt idx="100">
                  <c:v>39934</c:v>
                </c:pt>
                <c:pt idx="101">
                  <c:v>39965</c:v>
                </c:pt>
                <c:pt idx="102">
                  <c:v>39995</c:v>
                </c:pt>
                <c:pt idx="103">
                  <c:v>40026</c:v>
                </c:pt>
                <c:pt idx="104">
                  <c:v>40057</c:v>
                </c:pt>
                <c:pt idx="105">
                  <c:v>40087</c:v>
                </c:pt>
                <c:pt idx="106">
                  <c:v>40118</c:v>
                </c:pt>
                <c:pt idx="107">
                  <c:v>40148</c:v>
                </c:pt>
                <c:pt idx="108">
                  <c:v>40179</c:v>
                </c:pt>
                <c:pt idx="109">
                  <c:v>40210</c:v>
                </c:pt>
                <c:pt idx="110">
                  <c:v>40238</c:v>
                </c:pt>
                <c:pt idx="111">
                  <c:v>40269</c:v>
                </c:pt>
                <c:pt idx="112">
                  <c:v>40299</c:v>
                </c:pt>
                <c:pt idx="113">
                  <c:v>40330</c:v>
                </c:pt>
                <c:pt idx="114">
                  <c:v>40360</c:v>
                </c:pt>
                <c:pt idx="115">
                  <c:v>40391</c:v>
                </c:pt>
                <c:pt idx="116">
                  <c:v>40422</c:v>
                </c:pt>
                <c:pt idx="117">
                  <c:v>40452</c:v>
                </c:pt>
                <c:pt idx="118">
                  <c:v>40483</c:v>
                </c:pt>
                <c:pt idx="119">
                  <c:v>40513</c:v>
                </c:pt>
                <c:pt idx="120">
                  <c:v>40544</c:v>
                </c:pt>
                <c:pt idx="121">
                  <c:v>40575</c:v>
                </c:pt>
                <c:pt idx="122">
                  <c:v>40603</c:v>
                </c:pt>
                <c:pt idx="123">
                  <c:v>40634</c:v>
                </c:pt>
                <c:pt idx="124">
                  <c:v>40664</c:v>
                </c:pt>
                <c:pt idx="125">
                  <c:v>40695</c:v>
                </c:pt>
                <c:pt idx="126">
                  <c:v>40725</c:v>
                </c:pt>
                <c:pt idx="127">
                  <c:v>40756</c:v>
                </c:pt>
                <c:pt idx="128">
                  <c:v>40787</c:v>
                </c:pt>
                <c:pt idx="129">
                  <c:v>40817</c:v>
                </c:pt>
                <c:pt idx="130">
                  <c:v>40848</c:v>
                </c:pt>
                <c:pt idx="131">
                  <c:v>40878</c:v>
                </c:pt>
                <c:pt idx="132">
                  <c:v>40909</c:v>
                </c:pt>
                <c:pt idx="133">
                  <c:v>40940</c:v>
                </c:pt>
                <c:pt idx="134">
                  <c:v>40969</c:v>
                </c:pt>
                <c:pt idx="135">
                  <c:v>41000</c:v>
                </c:pt>
                <c:pt idx="136">
                  <c:v>41030</c:v>
                </c:pt>
                <c:pt idx="137">
                  <c:v>41061</c:v>
                </c:pt>
                <c:pt idx="138">
                  <c:v>41091</c:v>
                </c:pt>
                <c:pt idx="139">
                  <c:v>41122</c:v>
                </c:pt>
                <c:pt idx="140">
                  <c:v>41153</c:v>
                </c:pt>
                <c:pt idx="141">
                  <c:v>41183</c:v>
                </c:pt>
                <c:pt idx="142">
                  <c:v>41214</c:v>
                </c:pt>
                <c:pt idx="143">
                  <c:v>41244</c:v>
                </c:pt>
                <c:pt idx="144">
                  <c:v>41275</c:v>
                </c:pt>
                <c:pt idx="145">
                  <c:v>41306</c:v>
                </c:pt>
                <c:pt idx="146">
                  <c:v>41334</c:v>
                </c:pt>
                <c:pt idx="147">
                  <c:v>41365</c:v>
                </c:pt>
                <c:pt idx="148">
                  <c:v>41395</c:v>
                </c:pt>
                <c:pt idx="149">
                  <c:v>41426</c:v>
                </c:pt>
                <c:pt idx="150">
                  <c:v>41456</c:v>
                </c:pt>
                <c:pt idx="151">
                  <c:v>41487</c:v>
                </c:pt>
                <c:pt idx="152">
                  <c:v>41518</c:v>
                </c:pt>
                <c:pt idx="153">
                  <c:v>41548</c:v>
                </c:pt>
                <c:pt idx="154">
                  <c:v>41579</c:v>
                </c:pt>
                <c:pt idx="155">
                  <c:v>41609</c:v>
                </c:pt>
                <c:pt idx="156">
                  <c:v>41640</c:v>
                </c:pt>
                <c:pt idx="157">
                  <c:v>41671</c:v>
                </c:pt>
                <c:pt idx="158">
                  <c:v>41699</c:v>
                </c:pt>
                <c:pt idx="159">
                  <c:v>41730</c:v>
                </c:pt>
                <c:pt idx="160">
                  <c:v>41760</c:v>
                </c:pt>
                <c:pt idx="161">
                  <c:v>41791</c:v>
                </c:pt>
                <c:pt idx="162">
                  <c:v>41821</c:v>
                </c:pt>
                <c:pt idx="163">
                  <c:v>41852</c:v>
                </c:pt>
                <c:pt idx="164">
                  <c:v>41883</c:v>
                </c:pt>
              </c:numCache>
            </c:numRef>
          </c:cat>
          <c:val>
            <c:numRef>
              <c:f>REO!$AP$14:$AP$181</c:f>
              <c:numCache>
                <c:formatCode>0%</c:formatCode>
                <c:ptCount val="168"/>
                <c:pt idx="0">
                  <c:v>3.7187628226619703E-2</c:v>
                </c:pt>
                <c:pt idx="1">
                  <c:v>3.1464120541300301E-2</c:v>
                </c:pt>
                <c:pt idx="2">
                  <c:v>5.4301361588383501E-2</c:v>
                </c:pt>
                <c:pt idx="3">
                  <c:v>3.0395022229202699E-2</c:v>
                </c:pt>
                <c:pt idx="4">
                  <c:v>1.45419719086949E-2</c:v>
                </c:pt>
                <c:pt idx="5">
                  <c:v>2.4460191094069599E-2</c:v>
                </c:pt>
                <c:pt idx="6">
                  <c:v>7.0477432195572204E-2</c:v>
                </c:pt>
                <c:pt idx="7">
                  <c:v>6.7996269675420398E-2</c:v>
                </c:pt>
                <c:pt idx="8">
                  <c:v>6.2718683210381404E-2</c:v>
                </c:pt>
                <c:pt idx="9">
                  <c:v>7.0812167660270903E-2</c:v>
                </c:pt>
                <c:pt idx="10">
                  <c:v>8.9220673236263703E-2</c:v>
                </c:pt>
                <c:pt idx="11">
                  <c:v>8.5889212557405906E-2</c:v>
                </c:pt>
                <c:pt idx="12">
                  <c:v>9.2632647918505798E-2</c:v>
                </c:pt>
                <c:pt idx="13">
                  <c:v>8.4698029421116899E-2</c:v>
                </c:pt>
                <c:pt idx="14">
                  <c:v>9.1376147538219099E-2</c:v>
                </c:pt>
                <c:pt idx="15">
                  <c:v>8.1119427301117403E-2</c:v>
                </c:pt>
                <c:pt idx="16">
                  <c:v>0.103707105083335</c:v>
                </c:pt>
                <c:pt idx="17">
                  <c:v>6.2473369869056702E-2</c:v>
                </c:pt>
                <c:pt idx="18">
                  <c:v>9.2500240499364894E-2</c:v>
                </c:pt>
                <c:pt idx="19">
                  <c:v>0.103988197821491</c:v>
                </c:pt>
                <c:pt idx="20">
                  <c:v>9.3244375322675502E-2</c:v>
                </c:pt>
                <c:pt idx="21">
                  <c:v>0.112769983553759</c:v>
                </c:pt>
                <c:pt idx="22">
                  <c:v>9.9507747824836401E-2</c:v>
                </c:pt>
                <c:pt idx="23">
                  <c:v>0.10785837321651399</c:v>
                </c:pt>
                <c:pt idx="24">
                  <c:v>0.123559471032437</c:v>
                </c:pt>
                <c:pt idx="25">
                  <c:v>9.0048881202091202E-2</c:v>
                </c:pt>
                <c:pt idx="26">
                  <c:v>9.0047058287661394E-2</c:v>
                </c:pt>
                <c:pt idx="27">
                  <c:v>9.7070314103542998E-2</c:v>
                </c:pt>
                <c:pt idx="28">
                  <c:v>9.0463487100615594E-2</c:v>
                </c:pt>
                <c:pt idx="29">
                  <c:v>7.8448301915961999E-2</c:v>
                </c:pt>
                <c:pt idx="30">
                  <c:v>9.1519983228726204E-2</c:v>
                </c:pt>
                <c:pt idx="31">
                  <c:v>0.10215546689945899</c:v>
                </c:pt>
                <c:pt idx="32">
                  <c:v>0.12049805075394</c:v>
                </c:pt>
                <c:pt idx="33">
                  <c:v>0.12565783778316</c:v>
                </c:pt>
                <c:pt idx="34">
                  <c:v>0.135227670047186</c:v>
                </c:pt>
                <c:pt idx="35">
                  <c:v>0.116426932864892</c:v>
                </c:pt>
                <c:pt idx="36">
                  <c:v>0.135470977538245</c:v>
                </c:pt>
                <c:pt idx="37">
                  <c:v>0.124868599482193</c:v>
                </c:pt>
                <c:pt idx="38">
                  <c:v>0.10802913912744699</c:v>
                </c:pt>
                <c:pt idx="39">
                  <c:v>0.13912021982039099</c:v>
                </c:pt>
                <c:pt idx="40">
                  <c:v>0.13505899345941499</c:v>
                </c:pt>
                <c:pt idx="41">
                  <c:v>0.13714727218758499</c:v>
                </c:pt>
                <c:pt idx="42">
                  <c:v>0.13404759852298301</c:v>
                </c:pt>
                <c:pt idx="43">
                  <c:v>0.14241183489366999</c:v>
                </c:pt>
                <c:pt idx="44">
                  <c:v>0.145158871641418</c:v>
                </c:pt>
                <c:pt idx="45">
                  <c:v>0.132206293877354</c:v>
                </c:pt>
                <c:pt idx="46">
                  <c:v>0.117918059985288</c:v>
                </c:pt>
                <c:pt idx="47">
                  <c:v>0.134609339336689</c:v>
                </c:pt>
                <c:pt idx="48">
                  <c:v>0.15896288350649901</c:v>
                </c:pt>
                <c:pt idx="49">
                  <c:v>0.168771828796419</c:v>
                </c:pt>
                <c:pt idx="50">
                  <c:v>0.177869540392641</c:v>
                </c:pt>
                <c:pt idx="51">
                  <c:v>0.17224751551269299</c:v>
                </c:pt>
                <c:pt idx="52">
                  <c:v>0.16662384664347801</c:v>
                </c:pt>
                <c:pt idx="53">
                  <c:v>0.17612729379418299</c:v>
                </c:pt>
                <c:pt idx="54">
                  <c:v>0.188807801796366</c:v>
                </c:pt>
                <c:pt idx="55">
                  <c:v>0.17575288854461499</c:v>
                </c:pt>
                <c:pt idx="56">
                  <c:v>0.192004742850199</c:v>
                </c:pt>
                <c:pt idx="57">
                  <c:v>0.19763878076840799</c:v>
                </c:pt>
                <c:pt idx="58">
                  <c:v>0.198492355131726</c:v>
                </c:pt>
                <c:pt idx="59">
                  <c:v>0.209409708324097</c:v>
                </c:pt>
                <c:pt idx="60">
                  <c:v>0.21020538780563899</c:v>
                </c:pt>
                <c:pt idx="61">
                  <c:v>0.222851758136448</c:v>
                </c:pt>
                <c:pt idx="62">
                  <c:v>0.20802008463629401</c:v>
                </c:pt>
                <c:pt idx="63">
                  <c:v>0.18552734187162401</c:v>
                </c:pt>
                <c:pt idx="64">
                  <c:v>0.21744039018661099</c:v>
                </c:pt>
                <c:pt idx="65">
                  <c:v>0.18592550327259899</c:v>
                </c:pt>
                <c:pt idx="66">
                  <c:v>0.23378024337731801</c:v>
                </c:pt>
                <c:pt idx="67">
                  <c:v>0.204499801154019</c:v>
                </c:pt>
                <c:pt idx="68">
                  <c:v>0.242039596848142</c:v>
                </c:pt>
                <c:pt idx="69">
                  <c:v>0.23218432356205701</c:v>
                </c:pt>
                <c:pt idx="70">
                  <c:v>0.25508205516018201</c:v>
                </c:pt>
                <c:pt idx="71">
                  <c:v>0.198248492391216</c:v>
                </c:pt>
                <c:pt idx="72">
                  <c:v>0.21741772993663899</c:v>
                </c:pt>
                <c:pt idx="73">
                  <c:v>0.23586699132132199</c:v>
                </c:pt>
                <c:pt idx="74">
                  <c:v>0.23380247323740699</c:v>
                </c:pt>
                <c:pt idx="75">
                  <c:v>0.23414812071293001</c:v>
                </c:pt>
                <c:pt idx="76">
                  <c:v>0.20090140445965901</c:v>
                </c:pt>
                <c:pt idx="77">
                  <c:v>0.210351434333507</c:v>
                </c:pt>
                <c:pt idx="78">
                  <c:v>0.217415867911286</c:v>
                </c:pt>
                <c:pt idx="79">
                  <c:v>0.226138096897292</c:v>
                </c:pt>
                <c:pt idx="80">
                  <c:v>0.26942085652584802</c:v>
                </c:pt>
                <c:pt idx="81">
                  <c:v>0.24436959672231201</c:v>
                </c:pt>
                <c:pt idx="82">
                  <c:v>0.27115327041942699</c:v>
                </c:pt>
                <c:pt idx="83">
                  <c:v>0.26388457692262601</c:v>
                </c:pt>
                <c:pt idx="84">
                  <c:v>0.26536175679440599</c:v>
                </c:pt>
                <c:pt idx="85">
                  <c:v>0.24999283116588999</c:v>
                </c:pt>
                <c:pt idx="86">
                  <c:v>0.265449667959682</c:v>
                </c:pt>
                <c:pt idx="87">
                  <c:v>0.28656401575677298</c:v>
                </c:pt>
                <c:pt idx="88">
                  <c:v>0.27836032317742299</c:v>
                </c:pt>
                <c:pt idx="89">
                  <c:v>0.28045416877317397</c:v>
                </c:pt>
                <c:pt idx="90">
                  <c:v>0.27434844234538103</c:v>
                </c:pt>
                <c:pt idx="91">
                  <c:v>0.29206150181176799</c:v>
                </c:pt>
                <c:pt idx="92">
                  <c:v>0.29837489167477699</c:v>
                </c:pt>
                <c:pt idx="93">
                  <c:v>0.29416906837184598</c:v>
                </c:pt>
                <c:pt idx="94">
                  <c:v>0.32330071348020001</c:v>
                </c:pt>
                <c:pt idx="95">
                  <c:v>0.33982035464765897</c:v>
                </c:pt>
                <c:pt idx="96">
                  <c:v>0.33375343831285598</c:v>
                </c:pt>
                <c:pt idx="97">
                  <c:v>0.36311175951811903</c:v>
                </c:pt>
                <c:pt idx="98">
                  <c:v>0.37744108105747198</c:v>
                </c:pt>
                <c:pt idx="99">
                  <c:v>0.37739481160691601</c:v>
                </c:pt>
                <c:pt idx="100">
                  <c:v>0.37695463032952597</c:v>
                </c:pt>
                <c:pt idx="101">
                  <c:v>0.400930813785914</c:v>
                </c:pt>
                <c:pt idx="102">
                  <c:v>0.368946071162778</c:v>
                </c:pt>
                <c:pt idx="103">
                  <c:v>0.387757717282596</c:v>
                </c:pt>
                <c:pt idx="104">
                  <c:v>0.40183427535065003</c:v>
                </c:pt>
                <c:pt idx="105">
                  <c:v>0.40593601869052898</c:v>
                </c:pt>
                <c:pt idx="106">
                  <c:v>0.38411488562944301</c:v>
                </c:pt>
                <c:pt idx="107">
                  <c:v>0.40208013904701501</c:v>
                </c:pt>
                <c:pt idx="108">
                  <c:v>0.41567097854373303</c:v>
                </c:pt>
                <c:pt idx="109">
                  <c:v>0.406325117403947</c:v>
                </c:pt>
                <c:pt idx="110">
                  <c:v>0.41406851140316098</c:v>
                </c:pt>
                <c:pt idx="111">
                  <c:v>0.43018008521142898</c:v>
                </c:pt>
                <c:pt idx="112">
                  <c:v>0.426514341217333</c:v>
                </c:pt>
                <c:pt idx="113">
                  <c:v>0.441546790113444</c:v>
                </c:pt>
                <c:pt idx="114">
                  <c:v>0.449892918995213</c:v>
                </c:pt>
                <c:pt idx="115">
                  <c:v>0.462743414770873</c:v>
                </c:pt>
                <c:pt idx="116">
                  <c:v>0.47221211917839501</c:v>
                </c:pt>
                <c:pt idx="117">
                  <c:v>0.45161364171636498</c:v>
                </c:pt>
                <c:pt idx="118">
                  <c:v>0.468138488565709</c:v>
                </c:pt>
                <c:pt idx="119">
                  <c:v>0.47658169281798202</c:v>
                </c:pt>
                <c:pt idx="120">
                  <c:v>0.49892675259247099</c:v>
                </c:pt>
                <c:pt idx="121">
                  <c:v>0.51210394417595595</c:v>
                </c:pt>
                <c:pt idx="122">
                  <c:v>0.50589306753790997</c:v>
                </c:pt>
                <c:pt idx="123">
                  <c:v>0.50448889590377899</c:v>
                </c:pt>
                <c:pt idx="124">
                  <c:v>0.49672654233344699</c:v>
                </c:pt>
                <c:pt idx="125">
                  <c:v>0.50021660187307804</c:v>
                </c:pt>
                <c:pt idx="126">
                  <c:v>0.51134651343230897</c:v>
                </c:pt>
                <c:pt idx="127">
                  <c:v>0.51741907488295902</c:v>
                </c:pt>
                <c:pt idx="128">
                  <c:v>0.520485636010525</c:v>
                </c:pt>
                <c:pt idx="129">
                  <c:v>0.51576325089974295</c:v>
                </c:pt>
                <c:pt idx="130">
                  <c:v>0.52509202280946499</c:v>
                </c:pt>
                <c:pt idx="131">
                  <c:v>0.51497756963153296</c:v>
                </c:pt>
                <c:pt idx="132">
                  <c:v>0.53599786852350795</c:v>
                </c:pt>
                <c:pt idx="133">
                  <c:v>0.53181463575945198</c:v>
                </c:pt>
                <c:pt idx="134">
                  <c:v>0.51919413382518398</c:v>
                </c:pt>
                <c:pt idx="135">
                  <c:v>0.518030194487484</c:v>
                </c:pt>
                <c:pt idx="136">
                  <c:v>0.50826940296998602</c:v>
                </c:pt>
                <c:pt idx="137">
                  <c:v>0.51539922018774798</c:v>
                </c:pt>
                <c:pt idx="138">
                  <c:v>0.51225086505541895</c:v>
                </c:pt>
                <c:pt idx="139">
                  <c:v>0.510074257516132</c:v>
                </c:pt>
                <c:pt idx="140">
                  <c:v>0.51277572378523895</c:v>
                </c:pt>
                <c:pt idx="141">
                  <c:v>0.518395522623597</c:v>
                </c:pt>
                <c:pt idx="142">
                  <c:v>0.51257861796936599</c:v>
                </c:pt>
                <c:pt idx="143">
                  <c:v>0.51454043147897999</c:v>
                </c:pt>
                <c:pt idx="144">
                  <c:v>0.53135940378982605</c:v>
                </c:pt>
                <c:pt idx="145">
                  <c:v>0.53079333259940098</c:v>
                </c:pt>
                <c:pt idx="146">
                  <c:v>0.52081130123879604</c:v>
                </c:pt>
                <c:pt idx="147">
                  <c:v>0.52137318982234304</c:v>
                </c:pt>
                <c:pt idx="148">
                  <c:v>0.51949360702957603</c:v>
                </c:pt>
                <c:pt idx="149">
                  <c:v>0.50448248435329301</c:v>
                </c:pt>
                <c:pt idx="150">
                  <c:v>0.51830061534278105</c:v>
                </c:pt>
                <c:pt idx="151">
                  <c:v>0.52324840658954797</c:v>
                </c:pt>
                <c:pt idx="152">
                  <c:v>0.53831356037820399</c:v>
                </c:pt>
                <c:pt idx="153">
                  <c:v>0.56508298605442797</c:v>
                </c:pt>
                <c:pt idx="154">
                  <c:v>0.55780441464707298</c:v>
                </c:pt>
                <c:pt idx="155">
                  <c:v>0.56269517571427696</c:v>
                </c:pt>
                <c:pt idx="156">
                  <c:v>0.57761247387687098</c:v>
                </c:pt>
                <c:pt idx="157">
                  <c:v>0.58537785105624796</c:v>
                </c:pt>
                <c:pt idx="158">
                  <c:v>0.56670827334778895</c:v>
                </c:pt>
                <c:pt idx="159">
                  <c:v>0.56344111627890903</c:v>
                </c:pt>
                <c:pt idx="160">
                  <c:v>0.562728383736672</c:v>
                </c:pt>
                <c:pt idx="161">
                  <c:v>0.56506477622768303</c:v>
                </c:pt>
                <c:pt idx="162">
                  <c:v>0.57082081907189397</c:v>
                </c:pt>
                <c:pt idx="163">
                  <c:v>0.57369000973026796</c:v>
                </c:pt>
                <c:pt idx="164">
                  <c:v>0.62654977931787004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REO!$AQ$1:$AQ$2</c:f>
              <c:strCache>
                <c:ptCount val="1"/>
                <c:pt idx="0">
                  <c:v>Total FNMA</c:v>
                </c:pt>
              </c:strCache>
            </c:strRef>
          </c:tx>
          <c:marker>
            <c:symbol val="none"/>
          </c:marker>
          <c:cat>
            <c:numRef>
              <c:f>REO!$AO$14:$AO$181</c:f>
              <c:numCache>
                <c:formatCode>m/d/yyyy</c:formatCode>
                <c:ptCount val="168"/>
                <c:pt idx="0">
                  <c:v>36892</c:v>
                </c:pt>
                <c:pt idx="1">
                  <c:v>36923</c:v>
                </c:pt>
                <c:pt idx="2">
                  <c:v>36951</c:v>
                </c:pt>
                <c:pt idx="3">
                  <c:v>36982</c:v>
                </c:pt>
                <c:pt idx="4">
                  <c:v>37012</c:v>
                </c:pt>
                <c:pt idx="5">
                  <c:v>37043</c:v>
                </c:pt>
                <c:pt idx="6">
                  <c:v>37073</c:v>
                </c:pt>
                <c:pt idx="7">
                  <c:v>37104</c:v>
                </c:pt>
                <c:pt idx="8">
                  <c:v>37135</c:v>
                </c:pt>
                <c:pt idx="9">
                  <c:v>37165</c:v>
                </c:pt>
                <c:pt idx="10">
                  <c:v>37196</c:v>
                </c:pt>
                <c:pt idx="11">
                  <c:v>37226</c:v>
                </c:pt>
                <c:pt idx="12">
                  <c:v>37257</c:v>
                </c:pt>
                <c:pt idx="13">
                  <c:v>37288</c:v>
                </c:pt>
                <c:pt idx="14">
                  <c:v>37316</c:v>
                </c:pt>
                <c:pt idx="15">
                  <c:v>37347</c:v>
                </c:pt>
                <c:pt idx="16">
                  <c:v>37377</c:v>
                </c:pt>
                <c:pt idx="17">
                  <c:v>37408</c:v>
                </c:pt>
                <c:pt idx="18">
                  <c:v>37438</c:v>
                </c:pt>
                <c:pt idx="19">
                  <c:v>37469</c:v>
                </c:pt>
                <c:pt idx="20">
                  <c:v>37500</c:v>
                </c:pt>
                <c:pt idx="21">
                  <c:v>37530</c:v>
                </c:pt>
                <c:pt idx="22">
                  <c:v>37561</c:v>
                </c:pt>
                <c:pt idx="23">
                  <c:v>37591</c:v>
                </c:pt>
                <c:pt idx="24">
                  <c:v>37622</c:v>
                </c:pt>
                <c:pt idx="25">
                  <c:v>37653</c:v>
                </c:pt>
                <c:pt idx="26">
                  <c:v>37681</c:v>
                </c:pt>
                <c:pt idx="27">
                  <c:v>37712</c:v>
                </c:pt>
                <c:pt idx="28">
                  <c:v>37742</c:v>
                </c:pt>
                <c:pt idx="29">
                  <c:v>37773</c:v>
                </c:pt>
                <c:pt idx="30">
                  <c:v>37803</c:v>
                </c:pt>
                <c:pt idx="31">
                  <c:v>37834</c:v>
                </c:pt>
                <c:pt idx="32">
                  <c:v>37865</c:v>
                </c:pt>
                <c:pt idx="33">
                  <c:v>37895</c:v>
                </c:pt>
                <c:pt idx="34">
                  <c:v>37926</c:v>
                </c:pt>
                <c:pt idx="35">
                  <c:v>37956</c:v>
                </c:pt>
                <c:pt idx="36">
                  <c:v>37987</c:v>
                </c:pt>
                <c:pt idx="37">
                  <c:v>38018</c:v>
                </c:pt>
                <c:pt idx="38">
                  <c:v>38047</c:v>
                </c:pt>
                <c:pt idx="39">
                  <c:v>38078</c:v>
                </c:pt>
                <c:pt idx="40">
                  <c:v>38108</c:v>
                </c:pt>
                <c:pt idx="41">
                  <c:v>38139</c:v>
                </c:pt>
                <c:pt idx="42">
                  <c:v>38169</c:v>
                </c:pt>
                <c:pt idx="43">
                  <c:v>38200</c:v>
                </c:pt>
                <c:pt idx="44">
                  <c:v>38231</c:v>
                </c:pt>
                <c:pt idx="45">
                  <c:v>38261</c:v>
                </c:pt>
                <c:pt idx="46">
                  <c:v>38292</c:v>
                </c:pt>
                <c:pt idx="47">
                  <c:v>38322</c:v>
                </c:pt>
                <c:pt idx="48">
                  <c:v>38353</c:v>
                </c:pt>
                <c:pt idx="49">
                  <c:v>38384</c:v>
                </c:pt>
                <c:pt idx="50">
                  <c:v>38412</c:v>
                </c:pt>
                <c:pt idx="51">
                  <c:v>38443</c:v>
                </c:pt>
                <c:pt idx="52">
                  <c:v>38473</c:v>
                </c:pt>
                <c:pt idx="53">
                  <c:v>38504</c:v>
                </c:pt>
                <c:pt idx="54">
                  <c:v>38534</c:v>
                </c:pt>
                <c:pt idx="55">
                  <c:v>38565</c:v>
                </c:pt>
                <c:pt idx="56">
                  <c:v>38596</c:v>
                </c:pt>
                <c:pt idx="57">
                  <c:v>38626</c:v>
                </c:pt>
                <c:pt idx="58">
                  <c:v>38657</c:v>
                </c:pt>
                <c:pt idx="59">
                  <c:v>38687</c:v>
                </c:pt>
                <c:pt idx="60">
                  <c:v>38718</c:v>
                </c:pt>
                <c:pt idx="61">
                  <c:v>38749</c:v>
                </c:pt>
                <c:pt idx="62">
                  <c:v>38777</c:v>
                </c:pt>
                <c:pt idx="63">
                  <c:v>38808</c:v>
                </c:pt>
                <c:pt idx="64">
                  <c:v>38838</c:v>
                </c:pt>
                <c:pt idx="65">
                  <c:v>38869</c:v>
                </c:pt>
                <c:pt idx="66">
                  <c:v>38899</c:v>
                </c:pt>
                <c:pt idx="67">
                  <c:v>38930</c:v>
                </c:pt>
                <c:pt idx="68">
                  <c:v>38961</c:v>
                </c:pt>
                <c:pt idx="69">
                  <c:v>38991</c:v>
                </c:pt>
                <c:pt idx="70">
                  <c:v>39022</c:v>
                </c:pt>
                <c:pt idx="71">
                  <c:v>39052</c:v>
                </c:pt>
                <c:pt idx="72">
                  <c:v>39083</c:v>
                </c:pt>
                <c:pt idx="73">
                  <c:v>39114</c:v>
                </c:pt>
                <c:pt idx="74">
                  <c:v>39142</c:v>
                </c:pt>
                <c:pt idx="75">
                  <c:v>39173</c:v>
                </c:pt>
                <c:pt idx="76">
                  <c:v>39203</c:v>
                </c:pt>
                <c:pt idx="77">
                  <c:v>39234</c:v>
                </c:pt>
                <c:pt idx="78">
                  <c:v>39264</c:v>
                </c:pt>
                <c:pt idx="79">
                  <c:v>39295</c:v>
                </c:pt>
                <c:pt idx="80">
                  <c:v>39326</c:v>
                </c:pt>
                <c:pt idx="81">
                  <c:v>39356</c:v>
                </c:pt>
                <c:pt idx="82">
                  <c:v>39387</c:v>
                </c:pt>
                <c:pt idx="83">
                  <c:v>39417</c:v>
                </c:pt>
                <c:pt idx="84">
                  <c:v>39448</c:v>
                </c:pt>
                <c:pt idx="85">
                  <c:v>39479</c:v>
                </c:pt>
                <c:pt idx="86">
                  <c:v>39508</c:v>
                </c:pt>
                <c:pt idx="87">
                  <c:v>39539</c:v>
                </c:pt>
                <c:pt idx="88">
                  <c:v>39569</c:v>
                </c:pt>
                <c:pt idx="89">
                  <c:v>39600</c:v>
                </c:pt>
                <c:pt idx="90">
                  <c:v>39630</c:v>
                </c:pt>
                <c:pt idx="91">
                  <c:v>39661</c:v>
                </c:pt>
                <c:pt idx="92">
                  <c:v>39692</c:v>
                </c:pt>
                <c:pt idx="93">
                  <c:v>39722</c:v>
                </c:pt>
                <c:pt idx="94">
                  <c:v>39753</c:v>
                </c:pt>
                <c:pt idx="95">
                  <c:v>39783</c:v>
                </c:pt>
                <c:pt idx="96">
                  <c:v>39814</c:v>
                </c:pt>
                <c:pt idx="97">
                  <c:v>39845</c:v>
                </c:pt>
                <c:pt idx="98">
                  <c:v>39873</c:v>
                </c:pt>
                <c:pt idx="99">
                  <c:v>39904</c:v>
                </c:pt>
                <c:pt idx="100">
                  <c:v>39934</c:v>
                </c:pt>
                <c:pt idx="101">
                  <c:v>39965</c:v>
                </c:pt>
                <c:pt idx="102">
                  <c:v>39995</c:v>
                </c:pt>
                <c:pt idx="103">
                  <c:v>40026</c:v>
                </c:pt>
                <c:pt idx="104">
                  <c:v>40057</c:v>
                </c:pt>
                <c:pt idx="105">
                  <c:v>40087</c:v>
                </c:pt>
                <c:pt idx="106">
                  <c:v>40118</c:v>
                </c:pt>
                <c:pt idx="107">
                  <c:v>40148</c:v>
                </c:pt>
                <c:pt idx="108">
                  <c:v>40179</c:v>
                </c:pt>
                <c:pt idx="109">
                  <c:v>40210</c:v>
                </c:pt>
                <c:pt idx="110">
                  <c:v>40238</c:v>
                </c:pt>
                <c:pt idx="111">
                  <c:v>40269</c:v>
                </c:pt>
                <c:pt idx="112">
                  <c:v>40299</c:v>
                </c:pt>
                <c:pt idx="113">
                  <c:v>40330</c:v>
                </c:pt>
                <c:pt idx="114">
                  <c:v>40360</c:v>
                </c:pt>
                <c:pt idx="115">
                  <c:v>40391</c:v>
                </c:pt>
                <c:pt idx="116">
                  <c:v>40422</c:v>
                </c:pt>
                <c:pt idx="117">
                  <c:v>40452</c:v>
                </c:pt>
                <c:pt idx="118">
                  <c:v>40483</c:v>
                </c:pt>
                <c:pt idx="119">
                  <c:v>40513</c:v>
                </c:pt>
                <c:pt idx="120">
                  <c:v>40544</c:v>
                </c:pt>
                <c:pt idx="121">
                  <c:v>40575</c:v>
                </c:pt>
                <c:pt idx="122">
                  <c:v>40603</c:v>
                </c:pt>
                <c:pt idx="123">
                  <c:v>40634</c:v>
                </c:pt>
                <c:pt idx="124">
                  <c:v>40664</c:v>
                </c:pt>
                <c:pt idx="125">
                  <c:v>40695</c:v>
                </c:pt>
                <c:pt idx="126">
                  <c:v>40725</c:v>
                </c:pt>
                <c:pt idx="127">
                  <c:v>40756</c:v>
                </c:pt>
                <c:pt idx="128">
                  <c:v>40787</c:v>
                </c:pt>
                <c:pt idx="129">
                  <c:v>40817</c:v>
                </c:pt>
                <c:pt idx="130">
                  <c:v>40848</c:v>
                </c:pt>
                <c:pt idx="131">
                  <c:v>40878</c:v>
                </c:pt>
                <c:pt idx="132">
                  <c:v>40909</c:v>
                </c:pt>
                <c:pt idx="133">
                  <c:v>40940</c:v>
                </c:pt>
                <c:pt idx="134">
                  <c:v>40969</c:v>
                </c:pt>
                <c:pt idx="135">
                  <c:v>41000</c:v>
                </c:pt>
                <c:pt idx="136">
                  <c:v>41030</c:v>
                </c:pt>
                <c:pt idx="137">
                  <c:v>41061</c:v>
                </c:pt>
                <c:pt idx="138">
                  <c:v>41091</c:v>
                </c:pt>
                <c:pt idx="139">
                  <c:v>41122</c:v>
                </c:pt>
                <c:pt idx="140">
                  <c:v>41153</c:v>
                </c:pt>
                <c:pt idx="141">
                  <c:v>41183</c:v>
                </c:pt>
                <c:pt idx="142">
                  <c:v>41214</c:v>
                </c:pt>
                <c:pt idx="143">
                  <c:v>41244</c:v>
                </c:pt>
                <c:pt idx="144">
                  <c:v>41275</c:v>
                </c:pt>
                <c:pt idx="145">
                  <c:v>41306</c:v>
                </c:pt>
                <c:pt idx="146">
                  <c:v>41334</c:v>
                </c:pt>
                <c:pt idx="147">
                  <c:v>41365</c:v>
                </c:pt>
                <c:pt idx="148">
                  <c:v>41395</c:v>
                </c:pt>
                <c:pt idx="149">
                  <c:v>41426</c:v>
                </c:pt>
                <c:pt idx="150">
                  <c:v>41456</c:v>
                </c:pt>
                <c:pt idx="151">
                  <c:v>41487</c:v>
                </c:pt>
                <c:pt idx="152">
                  <c:v>41518</c:v>
                </c:pt>
                <c:pt idx="153">
                  <c:v>41548</c:v>
                </c:pt>
                <c:pt idx="154">
                  <c:v>41579</c:v>
                </c:pt>
                <c:pt idx="155">
                  <c:v>41609</c:v>
                </c:pt>
                <c:pt idx="156">
                  <c:v>41640</c:v>
                </c:pt>
                <c:pt idx="157">
                  <c:v>41671</c:v>
                </c:pt>
                <c:pt idx="158">
                  <c:v>41699</c:v>
                </c:pt>
                <c:pt idx="159">
                  <c:v>41730</c:v>
                </c:pt>
                <c:pt idx="160">
                  <c:v>41760</c:v>
                </c:pt>
                <c:pt idx="161">
                  <c:v>41791</c:v>
                </c:pt>
                <c:pt idx="162">
                  <c:v>41821</c:v>
                </c:pt>
                <c:pt idx="163">
                  <c:v>41852</c:v>
                </c:pt>
                <c:pt idx="164">
                  <c:v>41883</c:v>
                </c:pt>
              </c:numCache>
            </c:numRef>
          </c:cat>
          <c:val>
            <c:numRef>
              <c:f>REO!$AQ$14:$AQ$181</c:f>
              <c:numCache>
                <c:formatCode>0%</c:formatCode>
                <c:ptCount val="168"/>
                <c:pt idx="0">
                  <c:v>5.0430073869577541E-2</c:v>
                </c:pt>
                <c:pt idx="1">
                  <c:v>3.1222530499734225E-2</c:v>
                </c:pt>
                <c:pt idx="2">
                  <c:v>1.9464147965460921E-2</c:v>
                </c:pt>
                <c:pt idx="3">
                  <c:v>1.0946676476704109E-3</c:v>
                </c:pt>
                <c:pt idx="4">
                  <c:v>9.1543663209008308E-3</c:v>
                </c:pt>
                <c:pt idx="5">
                  <c:v>2.1597774442748463E-2</c:v>
                </c:pt>
                <c:pt idx="6">
                  <c:v>3.1450482044028671E-2</c:v>
                </c:pt>
                <c:pt idx="7">
                  <c:v>3.1427430014504987E-2</c:v>
                </c:pt>
                <c:pt idx="8">
                  <c:v>3.6109017908174446E-2</c:v>
                </c:pt>
                <c:pt idx="9">
                  <c:v>2.2443864650188772E-2</c:v>
                </c:pt>
                <c:pt idx="10">
                  <c:v>1.9300407612836468E-2</c:v>
                </c:pt>
                <c:pt idx="11">
                  <c:v>4.8656235347597443E-2</c:v>
                </c:pt>
                <c:pt idx="12">
                  <c:v>3.3640741352784831E-2</c:v>
                </c:pt>
                <c:pt idx="13">
                  <c:v>4.8928430050512617E-2</c:v>
                </c:pt>
                <c:pt idx="14">
                  <c:v>2.3601918613825879E-2</c:v>
                </c:pt>
                <c:pt idx="15">
                  <c:v>2.9737949539675013E-2</c:v>
                </c:pt>
                <c:pt idx="16">
                  <c:v>4.2958826617733648E-2</c:v>
                </c:pt>
                <c:pt idx="17">
                  <c:v>2.2435433644904412E-2</c:v>
                </c:pt>
                <c:pt idx="18">
                  <c:v>4.0806567916547687E-2</c:v>
                </c:pt>
                <c:pt idx="19">
                  <c:v>4.2313393057118454E-2</c:v>
                </c:pt>
                <c:pt idx="20">
                  <c:v>5.9890304936385252E-2</c:v>
                </c:pt>
                <c:pt idx="21">
                  <c:v>3.6900225923130581E-2</c:v>
                </c:pt>
                <c:pt idx="22">
                  <c:v>3.6972132053940898E-2</c:v>
                </c:pt>
                <c:pt idx="23">
                  <c:v>4.207128191237719E-2</c:v>
                </c:pt>
                <c:pt idx="24">
                  <c:v>5.4174114426582154E-2</c:v>
                </c:pt>
                <c:pt idx="25">
                  <c:v>6.2866962106832736E-2</c:v>
                </c:pt>
                <c:pt idx="26">
                  <c:v>5.0652732995537519E-2</c:v>
                </c:pt>
                <c:pt idx="27">
                  <c:v>7.3206441312678727E-2</c:v>
                </c:pt>
                <c:pt idx="28">
                  <c:v>5.8802377774235692E-2</c:v>
                </c:pt>
                <c:pt idx="29">
                  <c:v>5.3756056066272873E-2</c:v>
                </c:pt>
                <c:pt idx="30">
                  <c:v>7.9098634550472502E-2</c:v>
                </c:pt>
                <c:pt idx="31">
                  <c:v>7.5526006000603552E-2</c:v>
                </c:pt>
                <c:pt idx="32">
                  <c:v>6.6751732432678068E-2</c:v>
                </c:pt>
                <c:pt idx="33">
                  <c:v>9.304017644419238E-2</c:v>
                </c:pt>
                <c:pt idx="34">
                  <c:v>7.2046737543129291E-2</c:v>
                </c:pt>
                <c:pt idx="35">
                  <c:v>7.2459468890088807E-2</c:v>
                </c:pt>
                <c:pt idx="36">
                  <c:v>8.6408948727014989E-2</c:v>
                </c:pt>
                <c:pt idx="37">
                  <c:v>7.5513468382110371E-2</c:v>
                </c:pt>
                <c:pt idx="38">
                  <c:v>8.6820629071930444E-2</c:v>
                </c:pt>
                <c:pt idx="39">
                  <c:v>6.9968360672762131E-2</c:v>
                </c:pt>
                <c:pt idx="40">
                  <c:v>8.2740151390169769E-2</c:v>
                </c:pt>
                <c:pt idx="41">
                  <c:v>7.3483985234943816E-2</c:v>
                </c:pt>
                <c:pt idx="42">
                  <c:v>9.267691759678276E-2</c:v>
                </c:pt>
                <c:pt idx="43">
                  <c:v>8.8478481490779304E-2</c:v>
                </c:pt>
                <c:pt idx="44">
                  <c:v>8.3984290896726543E-2</c:v>
                </c:pt>
                <c:pt idx="45">
                  <c:v>8.6435586832924072E-2</c:v>
                </c:pt>
                <c:pt idx="46">
                  <c:v>9.7975904733524022E-2</c:v>
                </c:pt>
                <c:pt idx="47">
                  <c:v>9.9378267086925653E-2</c:v>
                </c:pt>
                <c:pt idx="48">
                  <c:v>9.519874459054023E-2</c:v>
                </c:pt>
                <c:pt idx="49">
                  <c:v>0.13013414981311278</c:v>
                </c:pt>
                <c:pt idx="50">
                  <c:v>0.11893294510374353</c:v>
                </c:pt>
                <c:pt idx="51">
                  <c:v>0.10271124465994275</c:v>
                </c:pt>
                <c:pt idx="52">
                  <c:v>9.7952665480415702E-2</c:v>
                </c:pt>
                <c:pt idx="53">
                  <c:v>0.10207368046886356</c:v>
                </c:pt>
                <c:pt idx="54">
                  <c:v>0.12620816894960396</c:v>
                </c:pt>
                <c:pt idx="55">
                  <c:v>0.11476055200253099</c:v>
                </c:pt>
                <c:pt idx="56">
                  <c:v>0.13719156118181908</c:v>
                </c:pt>
                <c:pt idx="57">
                  <c:v>0.12428363797398201</c:v>
                </c:pt>
                <c:pt idx="58">
                  <c:v>0.16171775068119487</c:v>
                </c:pt>
                <c:pt idx="59">
                  <c:v>0.16188724857362491</c:v>
                </c:pt>
                <c:pt idx="60">
                  <c:v>0.15251922951751817</c:v>
                </c:pt>
                <c:pt idx="61">
                  <c:v>0.16289808828220198</c:v>
                </c:pt>
                <c:pt idx="62">
                  <c:v>0.15976651709432899</c:v>
                </c:pt>
                <c:pt idx="63">
                  <c:v>0.15788244333736801</c:v>
                </c:pt>
                <c:pt idx="64">
                  <c:v>0.14666495918594191</c:v>
                </c:pt>
                <c:pt idx="65">
                  <c:v>0.1677111583557731</c:v>
                </c:pt>
                <c:pt idx="66">
                  <c:v>0.1882905309021341</c:v>
                </c:pt>
                <c:pt idx="67">
                  <c:v>0.19253735312438991</c:v>
                </c:pt>
                <c:pt idx="68">
                  <c:v>0.19464727670596016</c:v>
                </c:pt>
                <c:pt idx="69">
                  <c:v>0.228544492109929</c:v>
                </c:pt>
                <c:pt idx="70">
                  <c:v>0.22047868190201303</c:v>
                </c:pt>
                <c:pt idx="71">
                  <c:v>0.21992335970772503</c:v>
                </c:pt>
                <c:pt idx="72">
                  <c:v>0.2194770669655941</c:v>
                </c:pt>
                <c:pt idx="73">
                  <c:v>0.22228548101519896</c:v>
                </c:pt>
                <c:pt idx="74">
                  <c:v>0.20743743514519064</c:v>
                </c:pt>
                <c:pt idx="75">
                  <c:v>0.21156466565640308</c:v>
                </c:pt>
                <c:pt idx="76">
                  <c:v>0.19661573169735314</c:v>
                </c:pt>
                <c:pt idx="77">
                  <c:v>0.23373530434039813</c:v>
                </c:pt>
                <c:pt idx="78">
                  <c:v>0.2313988485056625</c:v>
                </c:pt>
                <c:pt idx="79">
                  <c:v>0.2331672045691221</c:v>
                </c:pt>
                <c:pt idx="80">
                  <c:v>0.23109400339879849</c:v>
                </c:pt>
                <c:pt idx="81">
                  <c:v>0.25050254155941742</c:v>
                </c:pt>
                <c:pt idx="82">
                  <c:v>0.27497742600007202</c:v>
                </c:pt>
                <c:pt idx="83">
                  <c:v>0.2982299681911843</c:v>
                </c:pt>
                <c:pt idx="84">
                  <c:v>0.26605369088045372</c:v>
                </c:pt>
                <c:pt idx="85">
                  <c:v>0.25407121958549184</c:v>
                </c:pt>
                <c:pt idx="86">
                  <c:v>0.27153199299656783</c:v>
                </c:pt>
                <c:pt idx="87">
                  <c:v>0.28852223638042895</c:v>
                </c:pt>
                <c:pt idx="88">
                  <c:v>0.27507826752989828</c:v>
                </c:pt>
                <c:pt idx="89">
                  <c:v>0.27175794430978961</c:v>
                </c:pt>
                <c:pt idx="90">
                  <c:v>0.28942025461915599</c:v>
                </c:pt>
                <c:pt idx="91">
                  <c:v>0.2995806665222871</c:v>
                </c:pt>
                <c:pt idx="92">
                  <c:v>0.30792949839800254</c:v>
                </c:pt>
                <c:pt idx="93">
                  <c:v>0.40714534825407234</c:v>
                </c:pt>
                <c:pt idx="94">
                  <c:v>0.34522090850198006</c:v>
                </c:pt>
                <c:pt idx="95">
                  <c:v>0.35312897665175391</c:v>
                </c:pt>
                <c:pt idx="96">
                  <c:v>0.35083582091115384</c:v>
                </c:pt>
                <c:pt idx="97">
                  <c:v>0.3665087544468707</c:v>
                </c:pt>
                <c:pt idx="98">
                  <c:v>0.39568973188930723</c:v>
                </c:pt>
                <c:pt idx="99">
                  <c:v>0.39108128409896004</c:v>
                </c:pt>
                <c:pt idx="100">
                  <c:v>0.36810204899499044</c:v>
                </c:pt>
                <c:pt idx="101">
                  <c:v>0.36582135101639646</c:v>
                </c:pt>
                <c:pt idx="102">
                  <c:v>0.3617384730534613</c:v>
                </c:pt>
                <c:pt idx="103">
                  <c:v>0.37255410846862647</c:v>
                </c:pt>
                <c:pt idx="104">
                  <c:v>0.35713040878097357</c:v>
                </c:pt>
                <c:pt idx="105">
                  <c:v>0.34967839591650529</c:v>
                </c:pt>
                <c:pt idx="106">
                  <c:v>0.33470499809165244</c:v>
                </c:pt>
                <c:pt idx="107">
                  <c:v>0.34995173770015608</c:v>
                </c:pt>
                <c:pt idx="108">
                  <c:v>0.37709553744382018</c:v>
                </c:pt>
                <c:pt idx="109">
                  <c:v>0.38220021976049234</c:v>
                </c:pt>
                <c:pt idx="110">
                  <c:v>0.36739850689773645</c:v>
                </c:pt>
                <c:pt idx="111">
                  <c:v>0.35415629279743843</c:v>
                </c:pt>
                <c:pt idx="112">
                  <c:v>0.35751975427835025</c:v>
                </c:pt>
                <c:pt idx="113">
                  <c:v>0.3587733850543926</c:v>
                </c:pt>
                <c:pt idx="114">
                  <c:v>0.37870605726523998</c:v>
                </c:pt>
                <c:pt idx="115">
                  <c:v>0.38042895333911875</c:v>
                </c:pt>
                <c:pt idx="116">
                  <c:v>0.39655041412508352</c:v>
                </c:pt>
                <c:pt idx="117">
                  <c:v>0.39360921376404046</c:v>
                </c:pt>
                <c:pt idx="118">
                  <c:v>0.4173009999538676</c:v>
                </c:pt>
                <c:pt idx="119">
                  <c:v>0.3991288342828484</c:v>
                </c:pt>
                <c:pt idx="120">
                  <c:v>0.4329711000594253</c:v>
                </c:pt>
                <c:pt idx="121">
                  <c:v>0.43443035176545752</c:v>
                </c:pt>
                <c:pt idx="122">
                  <c:v>0.43852966453335185</c:v>
                </c:pt>
                <c:pt idx="123">
                  <c:v>0.43285164454780578</c:v>
                </c:pt>
                <c:pt idx="124">
                  <c:v>0.43800333856789631</c:v>
                </c:pt>
                <c:pt idx="125">
                  <c:v>0.4297163086572181</c:v>
                </c:pt>
                <c:pt idx="126">
                  <c:v>0.44091011437612704</c:v>
                </c:pt>
                <c:pt idx="127">
                  <c:v>0.44223455201645656</c:v>
                </c:pt>
                <c:pt idx="128">
                  <c:v>0.44059669758681308</c:v>
                </c:pt>
                <c:pt idx="129">
                  <c:v>0.44299048859904555</c:v>
                </c:pt>
                <c:pt idx="130">
                  <c:v>0.45301093710960294</c:v>
                </c:pt>
                <c:pt idx="131">
                  <c:v>0.4586326929394261</c:v>
                </c:pt>
                <c:pt idx="132">
                  <c:v>0.46718919635890799</c:v>
                </c:pt>
                <c:pt idx="133">
                  <c:v>0.45899515202414198</c:v>
                </c:pt>
                <c:pt idx="134">
                  <c:v>0.45148384645157791</c:v>
                </c:pt>
                <c:pt idx="135">
                  <c:v>0.45226898632798207</c:v>
                </c:pt>
                <c:pt idx="136">
                  <c:v>0.44733329773422892</c:v>
                </c:pt>
                <c:pt idx="137">
                  <c:v>0.43855118565069495</c:v>
                </c:pt>
                <c:pt idx="138">
                  <c:v>0.44584702089490802</c:v>
                </c:pt>
                <c:pt idx="139">
                  <c:v>0.44150826947535904</c:v>
                </c:pt>
                <c:pt idx="140">
                  <c:v>0.44120825539149799</c:v>
                </c:pt>
                <c:pt idx="141">
                  <c:v>0.44900479006102412</c:v>
                </c:pt>
                <c:pt idx="142">
                  <c:v>0.44988581570451813</c:v>
                </c:pt>
                <c:pt idx="143">
                  <c:v>0.45347305341254207</c:v>
                </c:pt>
                <c:pt idx="144">
                  <c:v>0.45779484998220998</c:v>
                </c:pt>
                <c:pt idx="145">
                  <c:v>0.47075012626032398</c:v>
                </c:pt>
                <c:pt idx="146">
                  <c:v>0.43253004143403695</c:v>
                </c:pt>
                <c:pt idx="147">
                  <c:v>0.43218721761224299</c:v>
                </c:pt>
                <c:pt idx="148">
                  <c:v>0.4175162432514421</c:v>
                </c:pt>
                <c:pt idx="149">
                  <c:v>0.42620233048788492</c:v>
                </c:pt>
                <c:pt idx="150">
                  <c:v>0.44515993739607485</c:v>
                </c:pt>
                <c:pt idx="151">
                  <c:v>0.44697039522840498</c:v>
                </c:pt>
                <c:pt idx="152">
                  <c:v>0.45159213520502905</c:v>
                </c:pt>
                <c:pt idx="153">
                  <c:v>0.46340119674320501</c:v>
                </c:pt>
                <c:pt idx="154">
                  <c:v>0.469500366743829</c:v>
                </c:pt>
                <c:pt idx="155">
                  <c:v>0.47976739435870597</c:v>
                </c:pt>
                <c:pt idx="156">
                  <c:v>0.48996753836429008</c:v>
                </c:pt>
                <c:pt idx="157">
                  <c:v>0.47127287939936502</c:v>
                </c:pt>
                <c:pt idx="158">
                  <c:v>0.48037139553853703</c:v>
                </c:pt>
                <c:pt idx="159">
                  <c:v>0.47877018958367701</c:v>
                </c:pt>
                <c:pt idx="160">
                  <c:v>0.48354858324098815</c:v>
                </c:pt>
                <c:pt idx="161">
                  <c:v>0.48268934542595088</c:v>
                </c:pt>
                <c:pt idx="162">
                  <c:v>0.48767935694308906</c:v>
                </c:pt>
                <c:pt idx="163">
                  <c:v>0.509915567772113</c:v>
                </c:pt>
                <c:pt idx="164">
                  <c:v>0.51819777200818906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31448192"/>
        <c:axId val="531449728"/>
      </c:lineChart>
      <c:dateAx>
        <c:axId val="531448192"/>
        <c:scaling>
          <c:orientation val="minMax"/>
        </c:scaling>
        <c:delete val="0"/>
        <c:axPos val="b"/>
        <c:numFmt formatCode="m/d/yyyy" sourceLinked="1"/>
        <c:majorTickMark val="out"/>
        <c:minorTickMark val="none"/>
        <c:tickLblPos val="nextTo"/>
        <c:crossAx val="531449728"/>
        <c:crosses val="autoZero"/>
        <c:auto val="1"/>
        <c:lblOffset val="100"/>
        <c:baseTimeUnit val="months"/>
      </c:dateAx>
      <c:valAx>
        <c:axId val="531449728"/>
        <c:scaling>
          <c:orientation val="minMax"/>
        </c:scaling>
        <c:delete val="0"/>
        <c:axPos val="l"/>
        <c:majorGridlines/>
        <c:numFmt formatCode="0%" sourceLinked="1"/>
        <c:majorTickMark val="out"/>
        <c:minorTickMark val="none"/>
        <c:tickLblPos val="nextTo"/>
        <c:crossAx val="531448192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8.xml"/><Relationship Id="rId2" Type="http://schemas.openxmlformats.org/officeDocument/2006/relationships/chart" Target="../charts/chart7.xml"/><Relationship Id="rId1" Type="http://schemas.openxmlformats.org/officeDocument/2006/relationships/chart" Target="../charts/chart6.xml"/><Relationship Id="rId5" Type="http://schemas.openxmlformats.org/officeDocument/2006/relationships/chart" Target="../charts/chart10.xml"/><Relationship Id="rId4" Type="http://schemas.openxmlformats.org/officeDocument/2006/relationships/chart" Target="../charts/chart9.xm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3.xml"/><Relationship Id="rId2" Type="http://schemas.openxmlformats.org/officeDocument/2006/relationships/chart" Target="../charts/chart12.xml"/><Relationship Id="rId1" Type="http://schemas.openxmlformats.org/officeDocument/2006/relationships/chart" Target="../charts/chart11.xml"/><Relationship Id="rId5" Type="http://schemas.openxmlformats.org/officeDocument/2006/relationships/chart" Target="../charts/chart15.xml"/><Relationship Id="rId4" Type="http://schemas.openxmlformats.org/officeDocument/2006/relationships/chart" Target="../charts/chart1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30</xdr:col>
      <xdr:colOff>523875</xdr:colOff>
      <xdr:row>53</xdr:row>
      <xdr:rowOff>114300</xdr:rowOff>
    </xdr:from>
    <xdr:to>
      <xdr:col>40</xdr:col>
      <xdr:colOff>585788</xdr:colOff>
      <xdr:row>68</xdr:row>
      <xdr:rowOff>0</xdr:rowOff>
    </xdr:to>
    <xdr:graphicFrame macro="">
      <xdr:nvGraphicFramePr>
        <xdr:cNvPr id="7" name="Chart 6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30</xdr:col>
      <xdr:colOff>323851</xdr:colOff>
      <xdr:row>3</xdr:row>
      <xdr:rowOff>180975</xdr:rowOff>
    </xdr:from>
    <xdr:to>
      <xdr:col>40</xdr:col>
      <xdr:colOff>319089</xdr:colOff>
      <xdr:row>18</xdr:row>
      <xdr:rowOff>66675</xdr:rowOff>
    </xdr:to>
    <xdr:graphicFrame macro="">
      <xdr:nvGraphicFramePr>
        <xdr:cNvPr id="8" name="Chart 7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30</xdr:col>
      <xdr:colOff>409575</xdr:colOff>
      <xdr:row>20</xdr:row>
      <xdr:rowOff>123825</xdr:rowOff>
    </xdr:from>
    <xdr:to>
      <xdr:col>40</xdr:col>
      <xdr:colOff>223838</xdr:colOff>
      <xdr:row>35</xdr:row>
      <xdr:rowOff>9525</xdr:rowOff>
    </xdr:to>
    <xdr:graphicFrame macro="">
      <xdr:nvGraphicFramePr>
        <xdr:cNvPr id="9" name="Chart 8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30</xdr:col>
      <xdr:colOff>504826</xdr:colOff>
      <xdr:row>37</xdr:row>
      <xdr:rowOff>28575</xdr:rowOff>
    </xdr:from>
    <xdr:to>
      <xdr:col>40</xdr:col>
      <xdr:colOff>290514</xdr:colOff>
      <xdr:row>51</xdr:row>
      <xdr:rowOff>104775</xdr:rowOff>
    </xdr:to>
    <xdr:graphicFrame macro="">
      <xdr:nvGraphicFramePr>
        <xdr:cNvPr id="10" name="Chart 9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30</xdr:col>
      <xdr:colOff>438150</xdr:colOff>
      <xdr:row>69</xdr:row>
      <xdr:rowOff>114300</xdr:rowOff>
    </xdr:from>
    <xdr:to>
      <xdr:col>40</xdr:col>
      <xdr:colOff>309563</xdr:colOff>
      <xdr:row>84</xdr:row>
      <xdr:rowOff>0</xdr:rowOff>
    </xdr:to>
    <xdr:graphicFrame macro="">
      <xdr:nvGraphicFramePr>
        <xdr:cNvPr id="11" name="Chart 10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44</xdr:col>
      <xdr:colOff>271462</xdr:colOff>
      <xdr:row>2</xdr:row>
      <xdr:rowOff>157162</xdr:rowOff>
    </xdr:from>
    <xdr:to>
      <xdr:col>54</xdr:col>
      <xdr:colOff>419100</xdr:colOff>
      <xdr:row>17</xdr:row>
      <xdr:rowOff>42862</xdr:rowOff>
    </xdr:to>
    <xdr:graphicFrame macro="">
      <xdr:nvGraphicFramePr>
        <xdr:cNvPr id="4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44</xdr:col>
      <xdr:colOff>252411</xdr:colOff>
      <xdr:row>19</xdr:row>
      <xdr:rowOff>157162</xdr:rowOff>
    </xdr:from>
    <xdr:to>
      <xdr:col>54</xdr:col>
      <xdr:colOff>447675</xdr:colOff>
      <xdr:row>34</xdr:row>
      <xdr:rowOff>42862</xdr:rowOff>
    </xdr:to>
    <xdr:graphicFrame macro="">
      <xdr:nvGraphicFramePr>
        <xdr:cNvPr id="5" name="Chart 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44</xdr:col>
      <xdr:colOff>271462</xdr:colOff>
      <xdr:row>36</xdr:row>
      <xdr:rowOff>109537</xdr:rowOff>
    </xdr:from>
    <xdr:to>
      <xdr:col>54</xdr:col>
      <xdr:colOff>457200</xdr:colOff>
      <xdr:row>50</xdr:row>
      <xdr:rowOff>185737</xdr:rowOff>
    </xdr:to>
    <xdr:graphicFrame macro="">
      <xdr:nvGraphicFramePr>
        <xdr:cNvPr id="6" name="Chart 5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44</xdr:col>
      <xdr:colOff>290511</xdr:colOff>
      <xdr:row>52</xdr:row>
      <xdr:rowOff>157162</xdr:rowOff>
    </xdr:from>
    <xdr:to>
      <xdr:col>54</xdr:col>
      <xdr:colOff>447674</xdr:colOff>
      <xdr:row>67</xdr:row>
      <xdr:rowOff>42862</xdr:rowOff>
    </xdr:to>
    <xdr:graphicFrame macro="">
      <xdr:nvGraphicFramePr>
        <xdr:cNvPr id="7" name="Chart 6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44</xdr:col>
      <xdr:colOff>319087</xdr:colOff>
      <xdr:row>69</xdr:row>
      <xdr:rowOff>80962</xdr:rowOff>
    </xdr:from>
    <xdr:to>
      <xdr:col>54</xdr:col>
      <xdr:colOff>447675</xdr:colOff>
      <xdr:row>83</xdr:row>
      <xdr:rowOff>157162</xdr:rowOff>
    </xdr:to>
    <xdr:graphicFrame macro="">
      <xdr:nvGraphicFramePr>
        <xdr:cNvPr id="8" name="Chart 7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44</xdr:col>
      <xdr:colOff>138111</xdr:colOff>
      <xdr:row>6</xdr:row>
      <xdr:rowOff>147637</xdr:rowOff>
    </xdr:from>
    <xdr:to>
      <xdr:col>54</xdr:col>
      <xdr:colOff>428624</xdr:colOff>
      <xdr:row>21</xdr:row>
      <xdr:rowOff>33337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44</xdr:col>
      <xdr:colOff>109536</xdr:colOff>
      <xdr:row>22</xdr:row>
      <xdr:rowOff>185737</xdr:rowOff>
    </xdr:from>
    <xdr:to>
      <xdr:col>54</xdr:col>
      <xdr:colOff>400049</xdr:colOff>
      <xdr:row>37</xdr:row>
      <xdr:rowOff>71437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44</xdr:col>
      <xdr:colOff>147636</xdr:colOff>
      <xdr:row>39</xdr:row>
      <xdr:rowOff>4762</xdr:rowOff>
    </xdr:from>
    <xdr:to>
      <xdr:col>54</xdr:col>
      <xdr:colOff>380999</xdr:colOff>
      <xdr:row>53</xdr:row>
      <xdr:rowOff>80962</xdr:rowOff>
    </xdr:to>
    <xdr:graphicFrame macro="">
      <xdr:nvGraphicFramePr>
        <xdr:cNvPr id="4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44</xdr:col>
      <xdr:colOff>166686</xdr:colOff>
      <xdr:row>55</xdr:row>
      <xdr:rowOff>4762</xdr:rowOff>
    </xdr:from>
    <xdr:to>
      <xdr:col>54</xdr:col>
      <xdr:colOff>419099</xdr:colOff>
      <xdr:row>69</xdr:row>
      <xdr:rowOff>80962</xdr:rowOff>
    </xdr:to>
    <xdr:graphicFrame macro="">
      <xdr:nvGraphicFramePr>
        <xdr:cNvPr id="5" name="Chart 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44</xdr:col>
      <xdr:colOff>195262</xdr:colOff>
      <xdr:row>71</xdr:row>
      <xdr:rowOff>42862</xdr:rowOff>
    </xdr:from>
    <xdr:to>
      <xdr:col>54</xdr:col>
      <xdr:colOff>419100</xdr:colOff>
      <xdr:row>85</xdr:row>
      <xdr:rowOff>119062</xdr:rowOff>
    </xdr:to>
    <xdr:graphicFrame macro="">
      <xdr:nvGraphicFramePr>
        <xdr:cNvPr id="6" name="Chart 5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C27"/>
  <sheetViews>
    <sheetView topLeftCell="I1" workbookViewId="0">
      <selection activeCell="Q26" sqref="Q26"/>
    </sheetView>
  </sheetViews>
  <sheetFormatPr defaultRowHeight="15" x14ac:dyDescent="0.25"/>
  <cols>
    <col min="1" max="1" width="9.85546875" customWidth="1"/>
    <col min="2" max="2" width="9.7109375" bestFit="1" customWidth="1"/>
    <col min="16" max="16" width="9.7109375" bestFit="1" customWidth="1"/>
    <col min="17" max="17" width="12.28515625" customWidth="1"/>
    <col min="18" max="18" width="13.28515625" customWidth="1"/>
    <col min="19" max="19" width="11.5703125" customWidth="1"/>
    <col min="20" max="20" width="13.28515625" customWidth="1"/>
    <col min="21" max="21" width="12.140625" customWidth="1"/>
    <col min="22" max="22" width="11" customWidth="1"/>
    <col min="23" max="24" width="11.140625" customWidth="1"/>
  </cols>
  <sheetData>
    <row r="1" spans="1:29" ht="60" x14ac:dyDescent="0.25">
      <c r="A1" s="2" t="s">
        <v>0</v>
      </c>
      <c r="B1" s="2" t="s">
        <v>1</v>
      </c>
      <c r="C1" s="2" t="s">
        <v>2</v>
      </c>
      <c r="D1" s="2" t="s">
        <v>29</v>
      </c>
      <c r="E1" s="2" t="s">
        <v>30</v>
      </c>
      <c r="F1" s="2" t="s">
        <v>31</v>
      </c>
      <c r="G1" s="2" t="s">
        <v>32</v>
      </c>
      <c r="H1" s="2" t="s">
        <v>33</v>
      </c>
      <c r="I1" s="2" t="s">
        <v>34</v>
      </c>
      <c r="J1" s="2" t="s">
        <v>10</v>
      </c>
      <c r="K1" s="2" t="s">
        <v>35</v>
      </c>
      <c r="L1" s="2" t="s">
        <v>12</v>
      </c>
      <c r="M1" s="2" t="s">
        <v>13</v>
      </c>
      <c r="N1" s="2" t="s">
        <v>28</v>
      </c>
      <c r="O1" s="2" t="s">
        <v>36</v>
      </c>
      <c r="P1" s="2" t="s">
        <v>37</v>
      </c>
      <c r="Q1" s="2" t="s">
        <v>38</v>
      </c>
      <c r="R1" s="2" t="s">
        <v>39</v>
      </c>
      <c r="S1" s="2" t="s">
        <v>40</v>
      </c>
      <c r="T1" s="2" t="s">
        <v>41</v>
      </c>
      <c r="U1" s="2" t="s">
        <v>42</v>
      </c>
      <c r="V1" s="2" t="s">
        <v>22</v>
      </c>
      <c r="W1" s="2" t="s">
        <v>23</v>
      </c>
      <c r="X1" s="2" t="s">
        <v>24</v>
      </c>
      <c r="Y1" s="2" t="s">
        <v>25</v>
      </c>
      <c r="AA1" s="2"/>
      <c r="AB1" s="2"/>
      <c r="AC1" s="2"/>
    </row>
    <row r="2" spans="1:29" x14ac:dyDescent="0.25">
      <c r="A2">
        <v>109313766616</v>
      </c>
      <c r="B2" s="1">
        <v>37803</v>
      </c>
      <c r="D2">
        <v>8.625</v>
      </c>
      <c r="E2">
        <v>69818.570000000007</v>
      </c>
      <c r="F2">
        <v>40</v>
      </c>
      <c r="G2">
        <v>321</v>
      </c>
      <c r="H2" s="1"/>
      <c r="I2" s="1">
        <v>47574</v>
      </c>
      <c r="J2">
        <v>0</v>
      </c>
      <c r="K2" t="s">
        <v>27</v>
      </c>
    </row>
    <row r="3" spans="1:29" x14ac:dyDescent="0.25">
      <c r="A3">
        <v>109313766616</v>
      </c>
      <c r="B3" s="1">
        <v>37834</v>
      </c>
      <c r="D3">
        <v>8.625</v>
      </c>
      <c r="E3">
        <v>69818.570000000007</v>
      </c>
      <c r="F3">
        <v>41</v>
      </c>
      <c r="G3">
        <v>320</v>
      </c>
      <c r="H3" s="1"/>
      <c r="I3" s="1">
        <v>47574</v>
      </c>
      <c r="J3">
        <v>1</v>
      </c>
      <c r="K3" t="s">
        <v>27</v>
      </c>
    </row>
    <row r="4" spans="1:29" x14ac:dyDescent="0.25">
      <c r="A4">
        <v>109313766616</v>
      </c>
      <c r="B4" s="1">
        <v>37865</v>
      </c>
      <c r="D4">
        <v>8.625</v>
      </c>
      <c r="E4">
        <v>69818.570000000007</v>
      </c>
      <c r="F4">
        <v>42</v>
      </c>
      <c r="G4">
        <v>319</v>
      </c>
      <c r="H4" s="1"/>
      <c r="I4" s="1">
        <v>47574</v>
      </c>
      <c r="J4">
        <v>2</v>
      </c>
      <c r="K4" t="s">
        <v>27</v>
      </c>
    </row>
    <row r="5" spans="1:29" x14ac:dyDescent="0.25">
      <c r="A5">
        <v>109313766616</v>
      </c>
      <c r="B5" s="1">
        <v>37895</v>
      </c>
      <c r="D5">
        <v>8.625</v>
      </c>
      <c r="E5">
        <v>69818.570000000007</v>
      </c>
      <c r="F5">
        <v>43</v>
      </c>
      <c r="G5">
        <v>318</v>
      </c>
      <c r="H5" s="1"/>
      <c r="I5" s="1">
        <v>47574</v>
      </c>
      <c r="J5">
        <v>3</v>
      </c>
      <c r="K5" t="s">
        <v>27</v>
      </c>
    </row>
    <row r="6" spans="1:29" x14ac:dyDescent="0.25">
      <c r="A6">
        <v>109313766616</v>
      </c>
      <c r="B6" s="1">
        <v>37926</v>
      </c>
      <c r="D6">
        <v>8.625</v>
      </c>
      <c r="E6">
        <v>69818.570000000007</v>
      </c>
      <c r="F6">
        <v>44</v>
      </c>
      <c r="G6">
        <v>317</v>
      </c>
      <c r="H6" s="1"/>
      <c r="I6" s="1">
        <v>47574</v>
      </c>
      <c r="J6">
        <v>4</v>
      </c>
      <c r="K6" t="s">
        <v>27</v>
      </c>
      <c r="N6" s="1"/>
      <c r="O6" s="1"/>
      <c r="P6" s="1"/>
      <c r="Q6" s="1"/>
    </row>
    <row r="7" spans="1:29" x14ac:dyDescent="0.25">
      <c r="A7">
        <v>109313766616</v>
      </c>
      <c r="B7" s="1">
        <v>37956</v>
      </c>
      <c r="D7">
        <v>8.625</v>
      </c>
      <c r="E7">
        <v>69818.570000000007</v>
      </c>
      <c r="F7">
        <v>45</v>
      </c>
      <c r="G7">
        <v>316</v>
      </c>
      <c r="H7" s="1"/>
      <c r="I7" s="1">
        <v>47574</v>
      </c>
      <c r="J7">
        <v>5</v>
      </c>
      <c r="K7" t="s">
        <v>27</v>
      </c>
    </row>
    <row r="8" spans="1:29" x14ac:dyDescent="0.25">
      <c r="A8">
        <v>109313766616</v>
      </c>
      <c r="B8" s="1">
        <v>37987</v>
      </c>
      <c r="D8">
        <v>8.625</v>
      </c>
      <c r="E8">
        <v>69818.570000000007</v>
      </c>
      <c r="F8">
        <v>46</v>
      </c>
      <c r="G8">
        <v>315</v>
      </c>
      <c r="H8">
        <v>0</v>
      </c>
      <c r="I8" s="1">
        <v>47574</v>
      </c>
      <c r="J8" t="s">
        <v>26</v>
      </c>
      <c r="K8" t="s">
        <v>27</v>
      </c>
      <c r="L8">
        <v>9</v>
      </c>
      <c r="M8" s="1">
        <v>37987</v>
      </c>
      <c r="N8" s="1">
        <v>37803</v>
      </c>
      <c r="O8" s="1">
        <v>37987</v>
      </c>
      <c r="P8" s="1">
        <v>38292</v>
      </c>
      <c r="Q8">
        <v>1798</v>
      </c>
      <c r="R8">
        <v>2366</v>
      </c>
      <c r="S8">
        <v>-129</v>
      </c>
      <c r="T8">
        <v>1316</v>
      </c>
      <c r="U8">
        <v>29948</v>
      </c>
      <c r="V8">
        <v>51672</v>
      </c>
    </row>
    <row r="9" spans="1:29" s="2" customFormat="1" ht="30" x14ac:dyDescent="0.25">
      <c r="Q9" s="2" t="s">
        <v>43</v>
      </c>
      <c r="R9" s="2" t="s">
        <v>43</v>
      </c>
      <c r="S9" s="2" t="s">
        <v>43</v>
      </c>
      <c r="T9" s="2" t="s">
        <v>44</v>
      </c>
      <c r="U9" s="2" t="s">
        <v>45</v>
      </c>
      <c r="V9" s="2" t="s">
        <v>22</v>
      </c>
      <c r="W9" s="2" t="s">
        <v>46</v>
      </c>
    </row>
    <row r="20" spans="1:27" x14ac:dyDescent="0.25">
      <c r="A20" t="s">
        <v>0</v>
      </c>
      <c r="B20" t="s">
        <v>1</v>
      </c>
      <c r="C20" t="s">
        <v>2</v>
      </c>
      <c r="D20" t="s">
        <v>3</v>
      </c>
      <c r="E20" t="s">
        <v>4</v>
      </c>
      <c r="F20" t="s">
        <v>5</v>
      </c>
      <c r="G20" t="s">
        <v>6</v>
      </c>
      <c r="H20" t="s">
        <v>7</v>
      </c>
      <c r="I20" t="s">
        <v>8</v>
      </c>
      <c r="J20" t="s">
        <v>9</v>
      </c>
      <c r="K20" t="s">
        <v>10</v>
      </c>
      <c r="L20" t="s">
        <v>11</v>
      </c>
      <c r="M20" t="s">
        <v>12</v>
      </c>
      <c r="N20" t="s">
        <v>13</v>
      </c>
      <c r="O20" t="s">
        <v>14</v>
      </c>
      <c r="P20" t="s">
        <v>15</v>
      </c>
      <c r="Q20" t="s">
        <v>16</v>
      </c>
      <c r="R20" t="s">
        <v>17</v>
      </c>
      <c r="S20" t="s">
        <v>18</v>
      </c>
      <c r="T20" t="s">
        <v>19</v>
      </c>
      <c r="U20" t="s">
        <v>20</v>
      </c>
      <c r="V20" t="s">
        <v>21</v>
      </c>
      <c r="W20" t="s">
        <v>22</v>
      </c>
      <c r="X20" t="s">
        <v>23</v>
      </c>
      <c r="Y20" t="s">
        <v>24</v>
      </c>
      <c r="Z20" t="s">
        <v>25</v>
      </c>
    </row>
    <row r="21" spans="1:27" x14ac:dyDescent="0.25">
      <c r="A21">
        <v>109313766616</v>
      </c>
      <c r="B21" s="1">
        <v>37987</v>
      </c>
      <c r="D21">
        <v>8.625</v>
      </c>
      <c r="E21">
        <v>69818.570000000007</v>
      </c>
      <c r="F21">
        <v>46</v>
      </c>
      <c r="G21">
        <v>315</v>
      </c>
      <c r="H21">
        <v>0</v>
      </c>
      <c r="I21" s="1">
        <v>47574</v>
      </c>
      <c r="J21">
        <v>0</v>
      </c>
      <c r="K21" t="s">
        <v>26</v>
      </c>
      <c r="L21" t="s">
        <v>27</v>
      </c>
      <c r="M21">
        <v>9</v>
      </c>
      <c r="N21" s="1">
        <v>37987</v>
      </c>
      <c r="O21" s="1">
        <v>37803</v>
      </c>
      <c r="P21" s="1">
        <v>37987</v>
      </c>
      <c r="Q21" s="1">
        <v>38292</v>
      </c>
      <c r="R21">
        <v>1798</v>
      </c>
      <c r="S21">
        <v>2366</v>
      </c>
      <c r="T21">
        <v>-129</v>
      </c>
      <c r="U21">
        <v>1316</v>
      </c>
      <c r="V21">
        <v>29948</v>
      </c>
      <c r="W21">
        <v>51672</v>
      </c>
    </row>
    <row r="26" spans="1:27" x14ac:dyDescent="0.25">
      <c r="A26" t="s">
        <v>0</v>
      </c>
      <c r="B26" t="s">
        <v>1</v>
      </c>
      <c r="C26" t="s">
        <v>2</v>
      </c>
      <c r="D26" t="s">
        <v>3</v>
      </c>
      <c r="E26" t="s">
        <v>4</v>
      </c>
      <c r="F26" t="s">
        <v>5</v>
      </c>
      <c r="G26" t="s">
        <v>6</v>
      </c>
      <c r="H26" t="s">
        <v>7</v>
      </c>
      <c r="I26" t="s">
        <v>8</v>
      </c>
      <c r="J26" t="s">
        <v>9</v>
      </c>
      <c r="K26" t="s">
        <v>10</v>
      </c>
      <c r="L26" t="s">
        <v>11</v>
      </c>
      <c r="M26" t="s">
        <v>12</v>
      </c>
      <c r="N26" t="s">
        <v>13</v>
      </c>
      <c r="O26" t="s">
        <v>14</v>
      </c>
      <c r="P26" t="s">
        <v>15</v>
      </c>
      <c r="Q26" t="s">
        <v>16</v>
      </c>
      <c r="R26" t="s">
        <v>17</v>
      </c>
      <c r="S26" t="s">
        <v>18</v>
      </c>
      <c r="T26" t="s">
        <v>19</v>
      </c>
      <c r="U26" t="s">
        <v>20</v>
      </c>
      <c r="V26" t="s">
        <v>21</v>
      </c>
      <c r="W26" t="s">
        <v>22</v>
      </c>
      <c r="X26" t="s">
        <v>23</v>
      </c>
      <c r="Y26" t="s">
        <v>24</v>
      </c>
      <c r="Z26" t="s">
        <v>25</v>
      </c>
      <c r="AA26" t="s">
        <v>57</v>
      </c>
    </row>
    <row r="27" spans="1:27" x14ac:dyDescent="0.25">
      <c r="A27">
        <v>109313766616</v>
      </c>
      <c r="B27" s="1">
        <v>37987</v>
      </c>
      <c r="D27">
        <v>8.625</v>
      </c>
      <c r="E27">
        <v>69818.570000000007</v>
      </c>
      <c r="F27">
        <v>46</v>
      </c>
      <c r="G27">
        <v>315</v>
      </c>
      <c r="H27">
        <v>0</v>
      </c>
      <c r="I27" s="1">
        <v>47574</v>
      </c>
      <c r="J27">
        <v>0</v>
      </c>
      <c r="K27" t="s">
        <v>26</v>
      </c>
      <c r="L27" t="s">
        <v>27</v>
      </c>
      <c r="M27">
        <v>9</v>
      </c>
      <c r="N27" s="1">
        <v>37987</v>
      </c>
      <c r="O27" s="1">
        <v>37803</v>
      </c>
      <c r="P27" s="1">
        <v>37987</v>
      </c>
      <c r="Q27" s="1">
        <v>38292</v>
      </c>
      <c r="R27">
        <v>1798</v>
      </c>
      <c r="S27">
        <v>2366</v>
      </c>
      <c r="T27">
        <v>-129</v>
      </c>
      <c r="U27">
        <v>1316</v>
      </c>
      <c r="V27">
        <v>29948</v>
      </c>
      <c r="W27">
        <v>51672</v>
      </c>
    </row>
  </sheetData>
  <pageMargins left="0.7" right="0.7" top="0.75" bottom="0.75" header="0.3" footer="0.3"/>
  <pageSetup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X70"/>
  <sheetViews>
    <sheetView workbookViewId="0">
      <selection activeCell="U3" sqref="U3"/>
    </sheetView>
  </sheetViews>
  <sheetFormatPr defaultRowHeight="15" x14ac:dyDescent="0.25"/>
  <cols>
    <col min="1" max="1" width="34.28515625" bestFit="1" customWidth="1"/>
    <col min="2" max="16" width="10.28515625" customWidth="1"/>
    <col min="21" max="21" width="10.85546875" bestFit="1" customWidth="1"/>
  </cols>
  <sheetData>
    <row r="2" spans="1:24" x14ac:dyDescent="0.25">
      <c r="A2" t="s">
        <v>47</v>
      </c>
      <c r="B2">
        <v>2000</v>
      </c>
      <c r="C2">
        <v>2001</v>
      </c>
      <c r="D2">
        <v>2002</v>
      </c>
      <c r="E2">
        <v>2003</v>
      </c>
      <c r="F2">
        <v>2004</v>
      </c>
      <c r="G2">
        <v>2005</v>
      </c>
      <c r="H2">
        <v>2006</v>
      </c>
      <c r="I2">
        <v>2007</v>
      </c>
      <c r="J2">
        <v>2008</v>
      </c>
      <c r="K2">
        <v>2009</v>
      </c>
      <c r="L2">
        <v>2010</v>
      </c>
      <c r="M2">
        <v>2011</v>
      </c>
      <c r="N2">
        <v>2012</v>
      </c>
      <c r="O2">
        <v>2013</v>
      </c>
      <c r="P2">
        <v>2014</v>
      </c>
      <c r="U2" t="s">
        <v>96</v>
      </c>
    </row>
    <row r="3" spans="1:24" x14ac:dyDescent="0.25">
      <c r="A3" t="s">
        <v>79</v>
      </c>
      <c r="V3" t="s">
        <v>65</v>
      </c>
      <c r="W3" t="s">
        <v>92</v>
      </c>
    </row>
    <row r="4" spans="1:24" x14ac:dyDescent="0.25">
      <c r="A4" s="9" t="s">
        <v>81</v>
      </c>
      <c r="B4" s="4">
        <v>4.5644944464308002E-2</v>
      </c>
      <c r="C4" s="4">
        <v>7.7126885450478494E-2</v>
      </c>
      <c r="D4" s="4">
        <v>8.6539641796823802E-2</v>
      </c>
      <c r="E4" s="4">
        <v>8.8162106442588206E-2</v>
      </c>
      <c r="F4" s="4">
        <v>8.8798919631809595E-2</v>
      </c>
      <c r="G4" s="4">
        <v>9.2340888399573995E-2</v>
      </c>
      <c r="H4" s="4">
        <v>9.6726045882072495E-2</v>
      </c>
      <c r="I4" s="4">
        <v>8.9745738539818501E-2</v>
      </c>
      <c r="J4" s="4">
        <v>8.1043535492126006E-2</v>
      </c>
      <c r="K4" s="4">
        <v>7.5122102642254204E-2</v>
      </c>
      <c r="L4" s="4">
        <v>8.2118552644125001E-2</v>
      </c>
      <c r="M4" s="4">
        <v>9.3235643374929497E-2</v>
      </c>
      <c r="N4" s="4">
        <v>9.7621191621970096E-2</v>
      </c>
      <c r="O4" s="4">
        <v>0.12027512199868701</v>
      </c>
      <c r="P4" s="4">
        <v>0.152592214246908</v>
      </c>
      <c r="Q4" s="10">
        <v>0.1</v>
      </c>
      <c r="U4" t="s">
        <v>93</v>
      </c>
      <c r="V4">
        <v>17432</v>
      </c>
      <c r="W4">
        <v>21945</v>
      </c>
      <c r="X4">
        <f>V4+W4</f>
        <v>39377</v>
      </c>
    </row>
    <row r="5" spans="1:24" x14ac:dyDescent="0.25">
      <c r="A5" s="9" t="s">
        <v>82</v>
      </c>
      <c r="B5" s="4">
        <v>3.1864091384695703E-2</v>
      </c>
      <c r="C5" s="4">
        <v>5.5336989554443002E-2</v>
      </c>
      <c r="D5" s="4">
        <v>6.2819814373641605E-2</v>
      </c>
      <c r="E5" s="4">
        <v>6.6668058819225801E-2</v>
      </c>
      <c r="F5" s="4">
        <v>6.8511217725064799E-2</v>
      </c>
      <c r="G5" s="4">
        <v>8.5485507259462301E-2</v>
      </c>
      <c r="H5" s="4">
        <v>9.7976579805828301E-2</v>
      </c>
      <c r="I5" s="4">
        <v>9.1319162507446705E-2</v>
      </c>
      <c r="J5" s="4">
        <v>7.1926824507474799E-2</v>
      </c>
      <c r="K5" s="4">
        <v>5.5779327896768399E-2</v>
      </c>
      <c r="L5" s="4">
        <v>6.0133363404870202E-2</v>
      </c>
      <c r="M5" s="4">
        <v>7.0368792104796005E-2</v>
      </c>
      <c r="N5" s="4">
        <v>8.2928928129187798E-2</v>
      </c>
      <c r="O5" s="4">
        <v>0.107605699065442</v>
      </c>
      <c r="P5" s="4">
        <v>0.14100998868367601</v>
      </c>
      <c r="Q5" s="10">
        <v>0.08</v>
      </c>
      <c r="U5" s="4" t="s">
        <v>94</v>
      </c>
      <c r="V5">
        <v>153</v>
      </c>
      <c r="W5">
        <v>120</v>
      </c>
      <c r="X5">
        <f t="shared" ref="X5:X7" si="0">V5+W5</f>
        <v>273</v>
      </c>
    </row>
    <row r="6" spans="1:24" x14ac:dyDescent="0.25">
      <c r="A6" s="15" t="s">
        <v>83</v>
      </c>
      <c r="B6" s="4">
        <v>1.22035847257361E-2</v>
      </c>
      <c r="C6" s="4">
        <v>2.32587307543346E-2</v>
      </c>
      <c r="D6" s="4">
        <v>2.9110358674802401E-2</v>
      </c>
      <c r="E6" s="4">
        <v>3.1405709418943203E-2</v>
      </c>
      <c r="F6" s="4">
        <v>3.07854279637945E-2</v>
      </c>
      <c r="G6" s="4">
        <v>3.6736405315131802E-2</v>
      </c>
      <c r="H6" s="4">
        <v>4.1229212720376197E-2</v>
      </c>
      <c r="I6" s="4">
        <v>3.8797789271167601E-2</v>
      </c>
      <c r="J6" s="4">
        <v>2.96262205499346E-2</v>
      </c>
      <c r="K6" s="4">
        <v>2.1622909049399602E-2</v>
      </c>
      <c r="L6" s="4">
        <v>2.3602931342370601E-2</v>
      </c>
      <c r="M6" s="4">
        <v>2.49301452254738E-2</v>
      </c>
      <c r="N6" s="4">
        <v>2.7622285717396701E-2</v>
      </c>
      <c r="O6" s="4">
        <v>3.4410589144739802E-2</v>
      </c>
      <c r="P6" s="4">
        <v>4.4163473377648997E-2</v>
      </c>
      <c r="Q6" s="10">
        <v>0.03</v>
      </c>
      <c r="U6" s="6" t="s">
        <v>95</v>
      </c>
      <c r="V6">
        <v>286</v>
      </c>
      <c r="W6">
        <v>350</v>
      </c>
      <c r="X6">
        <f t="shared" si="0"/>
        <v>636</v>
      </c>
    </row>
    <row r="7" spans="1:24" x14ac:dyDescent="0.25">
      <c r="A7" s="15" t="s">
        <v>84</v>
      </c>
      <c r="B7" s="4">
        <v>8.0454636079397394E-3</v>
      </c>
      <c r="C7" s="4">
        <v>1.8413372988308901E-2</v>
      </c>
      <c r="D7" s="4">
        <v>1.44107133838575E-2</v>
      </c>
      <c r="E7" s="4">
        <v>1.4457052838043501E-2</v>
      </c>
      <c r="F7" s="4">
        <v>1.6181619849566599E-2</v>
      </c>
      <c r="G7" s="4">
        <v>2.33913416006843E-2</v>
      </c>
      <c r="H7" s="4">
        <v>2.7456008152338101E-2</v>
      </c>
      <c r="I7" s="4">
        <v>2.3540438211502E-2</v>
      </c>
      <c r="J7" s="4">
        <v>1.7229907690031E-2</v>
      </c>
      <c r="K7" s="4">
        <v>1.2159839444336899E-2</v>
      </c>
      <c r="L7" s="4">
        <v>1.2143922156769999E-2</v>
      </c>
      <c r="M7" s="4">
        <v>1.5384888642210199E-2</v>
      </c>
      <c r="N7" s="4">
        <v>1.7649912937385201E-2</v>
      </c>
      <c r="O7" s="4">
        <v>2.3263442043503099E-2</v>
      </c>
      <c r="P7" s="4">
        <v>3.30641938928301E-2</v>
      </c>
      <c r="Q7" s="10">
        <f t="shared" ref="Q5:Q11" si="1">AVERAGE(B7:P7)</f>
        <v>1.8452807829287144E-2</v>
      </c>
      <c r="U7" s="4"/>
      <c r="V7">
        <f>V5+V6</f>
        <v>439</v>
      </c>
      <c r="W7">
        <f>W5+W6</f>
        <v>470</v>
      </c>
      <c r="X7">
        <f t="shared" si="0"/>
        <v>909</v>
      </c>
    </row>
    <row r="8" spans="1:24" x14ac:dyDescent="0.25">
      <c r="A8" s="15" t="s">
        <v>85</v>
      </c>
      <c r="B8" s="4">
        <v>6.3824624472391201E-3</v>
      </c>
      <c r="C8" s="4">
        <v>4.7965121856677296E-3</v>
      </c>
      <c r="D8" s="4">
        <v>5.2771551095721399E-3</v>
      </c>
      <c r="E8" s="4">
        <v>4.6752971155635302E-3</v>
      </c>
      <c r="F8" s="4">
        <v>3.8463330044703802E-3</v>
      </c>
      <c r="G8" s="4">
        <v>5.3432915238166099E-3</v>
      </c>
      <c r="H8" s="4">
        <v>5.3785281175202501E-3</v>
      </c>
      <c r="I8" s="4">
        <v>4.3639566267610402E-3</v>
      </c>
      <c r="J8" s="4">
        <v>4.0010977957993001E-3</v>
      </c>
      <c r="K8" s="4">
        <v>4.1589210148678503E-3</v>
      </c>
      <c r="L8" s="4">
        <v>5.1922756158516601E-3</v>
      </c>
      <c r="M8" s="4">
        <v>6.6898517787659997E-3</v>
      </c>
      <c r="N8" s="4">
        <v>7.9684527260276E-3</v>
      </c>
      <c r="O8" s="4">
        <v>9.0135819345498695E-3</v>
      </c>
      <c r="P8" s="4">
        <v>9.4037955534846899E-3</v>
      </c>
      <c r="Q8" s="10">
        <f t="shared" si="1"/>
        <v>5.7661008366638507E-3</v>
      </c>
      <c r="U8" s="4"/>
    </row>
    <row r="9" spans="1:24" x14ac:dyDescent="0.25">
      <c r="A9" s="15" t="s">
        <v>87</v>
      </c>
      <c r="B9" s="4">
        <v>1.81260944355919E-3</v>
      </c>
      <c r="C9" s="4">
        <v>1.5184310149811799E-3</v>
      </c>
      <c r="D9" s="4">
        <v>3.3383347929503001E-3</v>
      </c>
      <c r="E9" s="4">
        <v>3.43721986452405E-3</v>
      </c>
      <c r="F9" s="4">
        <v>3.4841024557393501E-3</v>
      </c>
      <c r="G9" s="4">
        <v>3.5357065965637702E-3</v>
      </c>
      <c r="H9" s="4">
        <v>4.0830841171628903E-3</v>
      </c>
      <c r="I9" s="4">
        <v>3.4528507815618299E-3</v>
      </c>
      <c r="J9" s="4">
        <v>2.1330948895256999E-3</v>
      </c>
      <c r="K9" s="4">
        <v>2.3614857231512702E-3</v>
      </c>
      <c r="L9" s="4">
        <v>3.14232444385131E-3</v>
      </c>
      <c r="M9" s="4">
        <v>5.1684332457723001E-3</v>
      </c>
      <c r="N9" s="4">
        <v>7.9103464213395296E-3</v>
      </c>
      <c r="O9" s="4">
        <v>1.2293389541385201E-2</v>
      </c>
      <c r="P9" s="4">
        <v>1.81732166721379E-2</v>
      </c>
      <c r="Q9" s="10">
        <f t="shared" si="1"/>
        <v>5.0563086669470512E-3</v>
      </c>
      <c r="U9" s="4"/>
    </row>
    <row r="10" spans="1:24" x14ac:dyDescent="0.25">
      <c r="A10" s="15" t="s">
        <v>86</v>
      </c>
      <c r="B10" s="4">
        <v>3.4199711602215001E-3</v>
      </c>
      <c r="C10" s="4">
        <v>7.3499426111505598E-3</v>
      </c>
      <c r="D10" s="4">
        <v>1.0683252412459199E-2</v>
      </c>
      <c r="E10" s="4">
        <v>1.26927795821514E-2</v>
      </c>
      <c r="F10" s="4">
        <v>1.4213734451493799E-2</v>
      </c>
      <c r="G10" s="4">
        <v>1.6478762223265799E-2</v>
      </c>
      <c r="H10" s="4">
        <v>1.9829746698430701E-2</v>
      </c>
      <c r="I10" s="4">
        <v>2.1164127616454101E-2</v>
      </c>
      <c r="J10" s="4">
        <v>1.8936503582183999E-2</v>
      </c>
      <c r="K10" s="4">
        <v>1.54761726650126E-2</v>
      </c>
      <c r="L10" s="4">
        <v>1.6051909846026498E-2</v>
      </c>
      <c r="M10" s="4">
        <v>1.8195473212573501E-2</v>
      </c>
      <c r="N10" s="4">
        <v>2.1777930327038699E-2</v>
      </c>
      <c r="O10" s="4">
        <v>2.8624696401264801E-2</v>
      </c>
      <c r="P10" s="4">
        <v>3.62053091875746E-2</v>
      </c>
      <c r="Q10" s="10">
        <f t="shared" si="1"/>
        <v>1.7406687465153451E-2</v>
      </c>
      <c r="U10" s="4"/>
    </row>
    <row r="11" spans="1:24" x14ac:dyDescent="0.25">
      <c r="A11" s="14" t="s">
        <v>77</v>
      </c>
      <c r="B11" s="4">
        <f>B4+B5+1</f>
        <v>1.0775090358490038</v>
      </c>
      <c r="C11" s="4">
        <f t="shared" ref="C11:P11" si="2">C4+C5+1</f>
        <v>1.1324638750049214</v>
      </c>
      <c r="D11" s="4">
        <f t="shared" si="2"/>
        <v>1.1493594561704654</v>
      </c>
      <c r="E11" s="4">
        <f t="shared" si="2"/>
        <v>1.154830165261814</v>
      </c>
      <c r="F11" s="4">
        <f t="shared" si="2"/>
        <v>1.1573101373568744</v>
      </c>
      <c r="G11" s="4">
        <f t="shared" si="2"/>
        <v>1.1778263956590362</v>
      </c>
      <c r="H11" s="4">
        <f t="shared" si="2"/>
        <v>1.1947026256879008</v>
      </c>
      <c r="I11" s="4">
        <f t="shared" si="2"/>
        <v>1.1810649010472651</v>
      </c>
      <c r="J11" s="4">
        <f t="shared" si="2"/>
        <v>1.1529703599996008</v>
      </c>
      <c r="K11" s="4">
        <f t="shared" si="2"/>
        <v>1.1309014305390226</v>
      </c>
      <c r="L11" s="4">
        <f t="shared" si="2"/>
        <v>1.1422519160489952</v>
      </c>
      <c r="M11" s="4">
        <f t="shared" si="2"/>
        <v>1.1636044354797255</v>
      </c>
      <c r="N11" s="4">
        <f t="shared" si="2"/>
        <v>1.1805501197511579</v>
      </c>
      <c r="O11" s="4">
        <f t="shared" si="2"/>
        <v>1.227880821064129</v>
      </c>
      <c r="P11" s="4">
        <f t="shared" si="2"/>
        <v>1.293602202930584</v>
      </c>
      <c r="Q11" s="10">
        <v>1.18</v>
      </c>
      <c r="U11" s="4"/>
    </row>
    <row r="12" spans="1:24" x14ac:dyDescent="0.25"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U12" s="4"/>
    </row>
    <row r="13" spans="1:24" x14ac:dyDescent="0.25">
      <c r="A13" t="s">
        <v>80</v>
      </c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U13" s="4"/>
    </row>
    <row r="14" spans="1:24" x14ac:dyDescent="0.25">
      <c r="A14" s="9" t="s">
        <v>88</v>
      </c>
      <c r="B14" s="4">
        <v>1.0143552856699001</v>
      </c>
      <c r="C14" s="4">
        <v>0.76002322307477599</v>
      </c>
      <c r="D14" s="4">
        <v>0.79609158638660005</v>
      </c>
      <c r="E14" s="4">
        <v>0.76611288664160804</v>
      </c>
      <c r="F14" s="4">
        <v>0.77841624199566795</v>
      </c>
      <c r="G14" s="4">
        <v>0.79395329007606297</v>
      </c>
      <c r="H14" s="4">
        <v>0.77848653969726</v>
      </c>
      <c r="I14" s="4">
        <v>0.76467225963290097</v>
      </c>
      <c r="J14" s="4">
        <v>0.71425568660918004</v>
      </c>
      <c r="K14" s="4">
        <v>0.631626627537202</v>
      </c>
      <c r="L14" s="4">
        <v>0.62015037428603903</v>
      </c>
      <c r="M14" s="4">
        <v>0.588229916120104</v>
      </c>
      <c r="N14" s="4">
        <v>0.63741596662030597</v>
      </c>
      <c r="O14" s="4">
        <v>0.712435349881546</v>
      </c>
      <c r="P14" s="4">
        <v>0.74440157217530101</v>
      </c>
      <c r="Q14" s="4">
        <v>0.66</v>
      </c>
      <c r="U14" s="4"/>
    </row>
    <row r="15" spans="1:24" x14ac:dyDescent="0.25">
      <c r="A15" s="9" t="s">
        <v>89</v>
      </c>
      <c r="B15" s="4">
        <v>6.98435758852467E-2</v>
      </c>
      <c r="C15" s="4">
        <v>0.16004381808745599</v>
      </c>
      <c r="D15" s="4">
        <v>0.163556376347674</v>
      </c>
      <c r="E15" s="4">
        <v>0.15797621035586301</v>
      </c>
      <c r="F15" s="4">
        <v>0.15277551533533701</v>
      </c>
      <c r="G15" s="4">
        <v>0.152040536445741</v>
      </c>
      <c r="H15" s="4">
        <v>0.16093875465881199</v>
      </c>
      <c r="I15" s="4">
        <v>0.14226540445397201</v>
      </c>
      <c r="J15" s="4">
        <v>0.111171429386443</v>
      </c>
      <c r="K15" s="4">
        <v>9.4229818076227906E-2</v>
      </c>
      <c r="L15" s="4">
        <v>7.9078359454963804E-2</v>
      </c>
      <c r="M15" s="4">
        <v>7.0483801061444806E-2</v>
      </c>
      <c r="N15" s="4">
        <v>7.0255494795680398E-2</v>
      </c>
      <c r="O15" s="4">
        <v>6.8462718915066598E-2</v>
      </c>
      <c r="P15" s="4">
        <v>6.8130119649225093E-2</v>
      </c>
      <c r="Q15" s="4">
        <v>0.08</v>
      </c>
      <c r="U15" s="4"/>
    </row>
    <row r="16" spans="1:24" x14ac:dyDescent="0.25">
      <c r="A16" s="9" t="s">
        <v>90</v>
      </c>
      <c r="B16" s="4">
        <v>0</v>
      </c>
      <c r="C16" s="4">
        <v>0.15059481115965201</v>
      </c>
      <c r="D16" s="4">
        <v>0.119420382239113</v>
      </c>
      <c r="E16" s="4">
        <v>0.13027452485312099</v>
      </c>
      <c r="F16" s="4">
        <v>0.102848142060014</v>
      </c>
      <c r="G16" s="4">
        <v>7.8162961776590198E-2</v>
      </c>
      <c r="H16" s="4">
        <v>4.8421078113506898E-2</v>
      </c>
      <c r="I16" s="4">
        <v>3.4494707222195602E-2</v>
      </c>
      <c r="J16" s="4">
        <v>4.3219649224786001E-2</v>
      </c>
      <c r="K16" s="4">
        <v>7.7981873793341996E-2</v>
      </c>
      <c r="L16" s="4">
        <v>8.6555174838226001E-2</v>
      </c>
      <c r="M16" s="4">
        <v>7.8887009085538695E-2</v>
      </c>
      <c r="N16" s="4">
        <v>4.8822039692434302E-2</v>
      </c>
      <c r="O16" s="4">
        <v>2.6431465735943498E-2</v>
      </c>
      <c r="P16" s="4">
        <v>8.4919501581561495E-3</v>
      </c>
      <c r="Q16" s="4">
        <v>0.06</v>
      </c>
      <c r="U16" s="4"/>
    </row>
    <row r="17" spans="1:21" x14ac:dyDescent="0.25">
      <c r="A17" s="9" t="s">
        <v>91</v>
      </c>
      <c r="B17" s="4">
        <v>3.2629442848244902E-3</v>
      </c>
      <c r="C17" s="4">
        <v>3.84649371987896E-2</v>
      </c>
      <c r="D17" s="4">
        <v>3.7679941886487399E-2</v>
      </c>
      <c r="E17" s="4">
        <v>4.1566183522363201E-2</v>
      </c>
      <c r="F17" s="4">
        <v>5.0495457292067801E-2</v>
      </c>
      <c r="G17" s="4">
        <v>5.15601854718616E-2</v>
      </c>
      <c r="H17" s="4">
        <v>5.4605612445889802E-2</v>
      </c>
      <c r="I17" s="4">
        <v>4.5006522732551901E-2</v>
      </c>
      <c r="J17" s="4">
        <v>1.83751896706074E-2</v>
      </c>
      <c r="K17" s="4">
        <v>7.7761945074936003E-3</v>
      </c>
      <c r="L17" s="4">
        <v>8.2850071034234404E-3</v>
      </c>
      <c r="M17" s="4">
        <v>1.26732180091924E-2</v>
      </c>
      <c r="N17" s="4">
        <v>1.35893471035641E-2</v>
      </c>
      <c r="O17" s="4">
        <v>1.56586513932306E-2</v>
      </c>
      <c r="P17" s="4">
        <v>1.81556640374721E-2</v>
      </c>
      <c r="Q17" s="4">
        <v>0.02</v>
      </c>
      <c r="U17" s="4"/>
    </row>
    <row r="18" spans="1:21" x14ac:dyDescent="0.25">
      <c r="A18" t="s">
        <v>78</v>
      </c>
      <c r="B18" s="4">
        <v>1.0874618058399701</v>
      </c>
      <c r="C18" s="4">
        <v>1.10912678952067</v>
      </c>
      <c r="D18" s="4">
        <v>1.1167482868598699</v>
      </c>
      <c r="E18" s="4">
        <v>1.09592980537295</v>
      </c>
      <c r="F18" s="4">
        <v>1.08453535668308</v>
      </c>
      <c r="G18" s="4">
        <v>1.0757169737702501</v>
      </c>
      <c r="H18" s="4">
        <v>1.0424519849154601</v>
      </c>
      <c r="I18" s="4">
        <v>0.98643889404162</v>
      </c>
      <c r="J18" s="4">
        <v>0.88702195489101698</v>
      </c>
      <c r="K18" s="4">
        <v>0.81161451391426598</v>
      </c>
      <c r="L18" s="4">
        <v>0.79406891568265203</v>
      </c>
      <c r="M18" s="4">
        <v>0.75027394427628002</v>
      </c>
      <c r="N18" s="4">
        <v>0.77008284821198503</v>
      </c>
      <c r="O18" s="4">
        <v>0.82298818592578704</v>
      </c>
      <c r="P18" s="4">
        <v>0.839179306020154</v>
      </c>
      <c r="Q18" s="4">
        <v>0.82</v>
      </c>
      <c r="U18" s="4"/>
    </row>
    <row r="19" spans="1:21" x14ac:dyDescent="0.25">
      <c r="A19" s="14" t="s">
        <v>60</v>
      </c>
      <c r="B19" s="5">
        <f>B11-B18</f>
        <v>-9.9527699909662815E-3</v>
      </c>
      <c r="C19" s="5">
        <f t="shared" ref="C19:P19" si="3">C11-C18</f>
        <v>2.3337085484251396E-2</v>
      </c>
      <c r="D19" s="5">
        <f t="shared" si="3"/>
        <v>3.2611169310595489E-2</v>
      </c>
      <c r="E19" s="5">
        <f t="shared" si="3"/>
        <v>5.8900359888863996E-2</v>
      </c>
      <c r="F19" s="5">
        <f t="shared" si="3"/>
        <v>7.2774780673794393E-2</v>
      </c>
      <c r="G19" s="5">
        <f t="shared" si="3"/>
        <v>0.10210942188878613</v>
      </c>
      <c r="H19" s="5">
        <f t="shared" si="3"/>
        <v>0.15225064077244066</v>
      </c>
      <c r="I19" s="5">
        <f t="shared" si="3"/>
        <v>0.19462600700564514</v>
      </c>
      <c r="J19" s="5">
        <f t="shared" si="3"/>
        <v>0.26594840510858386</v>
      </c>
      <c r="K19" s="5">
        <f t="shared" si="3"/>
        <v>0.31928691662475661</v>
      </c>
      <c r="L19" s="5">
        <f t="shared" si="3"/>
        <v>0.3481830003663432</v>
      </c>
      <c r="M19" s="5">
        <f t="shared" si="3"/>
        <v>0.41333049120344545</v>
      </c>
      <c r="N19" s="5">
        <f t="shared" si="3"/>
        <v>0.41046727153917284</v>
      </c>
      <c r="O19" s="5">
        <f t="shared" si="3"/>
        <v>0.40489263513834195</v>
      </c>
      <c r="P19" s="5">
        <f t="shared" si="3"/>
        <v>0.45442289691043003</v>
      </c>
      <c r="Q19" s="5">
        <v>0.36599999999999999</v>
      </c>
      <c r="U19" s="4"/>
    </row>
    <row r="20" spans="1:21" x14ac:dyDescent="0.25">
      <c r="B20" s="16">
        <f>B19*B36/1000000</f>
        <v>-7.8615244657044697E-2</v>
      </c>
      <c r="C20" s="16">
        <f t="shared" ref="C20:P20" si="4">C19*C36/1000000</f>
        <v>3.2310128559287326</v>
      </c>
      <c r="D20" s="16">
        <f t="shared" si="4"/>
        <v>16.374440179833453</v>
      </c>
      <c r="E20" s="16">
        <f t="shared" si="4"/>
        <v>60.507242116814524</v>
      </c>
      <c r="F20" s="16">
        <f t="shared" si="4"/>
        <v>97.063168270261571</v>
      </c>
      <c r="G20" s="16">
        <f t="shared" si="4"/>
        <v>124.98114684673304</v>
      </c>
      <c r="H20" s="16">
        <f t="shared" si="4"/>
        <v>189.20903359805831</v>
      </c>
      <c r="I20" s="16">
        <f t="shared" si="4"/>
        <v>300.30012380664067</v>
      </c>
      <c r="J20" s="16">
        <f t="shared" si="4"/>
        <v>784.8299911703831</v>
      </c>
      <c r="K20" s="16">
        <f t="shared" si="4"/>
        <v>2136.3485504758605</v>
      </c>
      <c r="L20" s="16">
        <f t="shared" si="4"/>
        <v>5094.8264510263998</v>
      </c>
      <c r="M20" s="16">
        <f t="shared" si="4"/>
        <v>5938.2718501033933</v>
      </c>
      <c r="N20" s="16">
        <f t="shared" si="4"/>
        <v>5383.8807118295535</v>
      </c>
      <c r="O20" s="16">
        <f t="shared" si="4"/>
        <v>3706.4325926562615</v>
      </c>
      <c r="P20" s="16">
        <f t="shared" si="4"/>
        <v>2782.7619541680297</v>
      </c>
      <c r="U20" s="4"/>
    </row>
    <row r="21" spans="1:21" x14ac:dyDescent="0.25"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U21" s="4"/>
    </row>
    <row r="22" spans="1:21" x14ac:dyDescent="0.25">
      <c r="U22" s="4"/>
    </row>
    <row r="23" spans="1:21" x14ac:dyDescent="0.25">
      <c r="U23" s="4"/>
    </row>
    <row r="24" spans="1:21" x14ac:dyDescent="0.25">
      <c r="U24" s="4"/>
    </row>
    <row r="35" spans="1:16" x14ac:dyDescent="0.25">
      <c r="A35" t="s">
        <v>47</v>
      </c>
      <c r="B35" s="7">
        <v>2000</v>
      </c>
      <c r="C35" s="7">
        <v>2001</v>
      </c>
      <c r="D35" s="7">
        <v>2002</v>
      </c>
      <c r="E35" s="7">
        <v>2003</v>
      </c>
      <c r="F35" s="7">
        <v>2004</v>
      </c>
      <c r="G35" s="7">
        <v>2005</v>
      </c>
      <c r="H35" s="7">
        <v>2006</v>
      </c>
      <c r="I35" s="7">
        <v>2007</v>
      </c>
      <c r="J35" s="7">
        <v>2008</v>
      </c>
      <c r="K35" s="7">
        <v>2009</v>
      </c>
      <c r="L35" s="7">
        <v>2010</v>
      </c>
      <c r="M35" s="7">
        <v>2011</v>
      </c>
      <c r="N35" s="7">
        <v>2012</v>
      </c>
      <c r="O35" s="7">
        <v>2013</v>
      </c>
      <c r="P35" s="7">
        <v>2014</v>
      </c>
    </row>
    <row r="36" spans="1:16" x14ac:dyDescent="0.25">
      <c r="A36" t="s">
        <v>58</v>
      </c>
      <c r="B36" s="8">
        <v>7898830.6500000004</v>
      </c>
      <c r="C36" s="8">
        <v>138449715.93000001</v>
      </c>
      <c r="D36" s="8">
        <v>502111409.25</v>
      </c>
      <c r="E36" s="8">
        <v>1027281365.1900001</v>
      </c>
      <c r="F36" s="8">
        <v>1333747314.27</v>
      </c>
      <c r="G36" s="8">
        <v>1223992306.8299999</v>
      </c>
      <c r="H36" s="8">
        <v>1242747042.8900001</v>
      </c>
      <c r="I36" s="8">
        <v>1542959897.4300001</v>
      </c>
      <c r="J36" s="8">
        <v>2951061093.4099998</v>
      </c>
      <c r="K36" s="8">
        <v>6690999346.4799995</v>
      </c>
      <c r="L36" s="8">
        <v>14632611143.18</v>
      </c>
      <c r="M36" s="8">
        <v>14366885522.559999</v>
      </c>
      <c r="N36" s="8">
        <v>13116467706.77</v>
      </c>
      <c r="O36" s="8">
        <v>9154112154.6700001</v>
      </c>
      <c r="P36" s="8">
        <v>6123727420.1800003</v>
      </c>
    </row>
    <row r="37" spans="1:16" x14ac:dyDescent="0.25">
      <c r="B37" s="8"/>
      <c r="C37" s="8"/>
      <c r="D37" s="8"/>
      <c r="E37" s="8"/>
      <c r="F37" s="8"/>
      <c r="G37" s="8"/>
      <c r="H37" s="8"/>
      <c r="I37" s="8"/>
      <c r="J37" s="8"/>
      <c r="K37" s="8"/>
      <c r="L37" s="8"/>
      <c r="M37" s="8"/>
      <c r="N37" s="8"/>
      <c r="O37" s="8"/>
      <c r="P37" s="8"/>
    </row>
    <row r="38" spans="1:16" x14ac:dyDescent="0.25">
      <c r="A38" t="s">
        <v>48</v>
      </c>
      <c r="B38" s="8">
        <v>191117</v>
      </c>
      <c r="C38" s="8">
        <v>4141074</v>
      </c>
      <c r="D38" s="8">
        <v>16207312</v>
      </c>
      <c r="E38" s="8">
        <v>32765112</v>
      </c>
      <c r="F38" s="8">
        <v>45757759</v>
      </c>
      <c r="G38" s="8">
        <v>50513596</v>
      </c>
      <c r="H38" s="8">
        <v>50674017</v>
      </c>
      <c r="I38" s="8">
        <v>54197867</v>
      </c>
      <c r="J38" s="8">
        <v>79143909</v>
      </c>
      <c r="K38" s="8">
        <v>162221641</v>
      </c>
      <c r="L38" s="8">
        <v>383233344</v>
      </c>
      <c r="M38" s="8">
        <v>357931404</v>
      </c>
      <c r="N38" s="8">
        <v>384310530</v>
      </c>
      <c r="O38" s="8">
        <v>308319125</v>
      </c>
      <c r="P38" s="8">
        <v>117894107</v>
      </c>
    </row>
    <row r="39" spans="1:16" x14ac:dyDescent="0.25">
      <c r="A39" t="s">
        <v>49</v>
      </c>
      <c r="B39" s="8">
        <v>184302</v>
      </c>
      <c r="C39" s="8">
        <v>2804611</v>
      </c>
      <c r="D39" s="8">
        <v>8081090</v>
      </c>
      <c r="E39" s="8">
        <v>16395200</v>
      </c>
      <c r="F39" s="8">
        <v>28881005</v>
      </c>
      <c r="G39" s="8">
        <v>34008250</v>
      </c>
      <c r="H39" s="8">
        <v>31725557</v>
      </c>
      <c r="I39" s="8">
        <v>32735411</v>
      </c>
      <c r="J39" s="8">
        <v>48621027</v>
      </c>
      <c r="K39" s="8">
        <v>99061516</v>
      </c>
      <c r="L39" s="8">
        <v>240476692</v>
      </c>
      <c r="M39" s="8">
        <v>230632664</v>
      </c>
      <c r="N39" s="8">
        <v>244531636</v>
      </c>
      <c r="O39" s="8">
        <v>206092653</v>
      </c>
      <c r="P39" s="8">
        <v>65177166</v>
      </c>
    </row>
    <row r="40" spans="1:16" x14ac:dyDescent="0.25">
      <c r="A40" t="s">
        <v>50</v>
      </c>
      <c r="B40" s="8">
        <v>43070</v>
      </c>
      <c r="C40" s="8">
        <v>959627</v>
      </c>
      <c r="D40" s="8">
        <v>2925246</v>
      </c>
      <c r="E40" s="8">
        <v>4146674</v>
      </c>
      <c r="F40" s="8">
        <v>6281274</v>
      </c>
      <c r="G40" s="8">
        <v>7510651</v>
      </c>
      <c r="H40" s="8">
        <v>6128685</v>
      </c>
      <c r="I40" s="8">
        <v>6565751</v>
      </c>
      <c r="J40" s="8">
        <v>11947449</v>
      </c>
      <c r="K40" s="8">
        <v>32442561</v>
      </c>
      <c r="L40" s="8">
        <v>88880505</v>
      </c>
      <c r="M40" s="8">
        <v>99675202</v>
      </c>
      <c r="N40" s="8">
        <v>108306692</v>
      </c>
      <c r="O40" s="8">
        <v>79311827</v>
      </c>
      <c r="P40" s="8">
        <v>23829913</v>
      </c>
    </row>
    <row r="41" spans="1:16" x14ac:dyDescent="0.25">
      <c r="A41" t="s">
        <v>51</v>
      </c>
      <c r="B41" s="8">
        <v>22580</v>
      </c>
      <c r="C41" s="8">
        <v>358585</v>
      </c>
      <c r="D41" s="8">
        <v>1894153</v>
      </c>
      <c r="E41" s="8">
        <v>3884287</v>
      </c>
      <c r="F41" s="8">
        <v>4972521</v>
      </c>
      <c r="G41" s="8">
        <v>4541696</v>
      </c>
      <c r="H41" s="8">
        <v>5472148</v>
      </c>
      <c r="I41" s="8">
        <v>3802848</v>
      </c>
      <c r="J41" s="8">
        <v>7047544</v>
      </c>
      <c r="K41" s="8">
        <v>22736993</v>
      </c>
      <c r="L41" s="8">
        <v>64541779</v>
      </c>
      <c r="M41" s="8">
        <v>85578183</v>
      </c>
      <c r="N41" s="8">
        <v>126126073</v>
      </c>
      <c r="O41" s="8">
        <v>120325359</v>
      </c>
      <c r="P41" s="8">
        <v>50338289</v>
      </c>
    </row>
    <row r="42" spans="1:16" x14ac:dyDescent="0.25">
      <c r="A42" t="s">
        <v>52</v>
      </c>
      <c r="B42" s="8">
        <v>60756</v>
      </c>
      <c r="C42" s="8">
        <v>1436742</v>
      </c>
      <c r="D42" s="8">
        <v>6292821</v>
      </c>
      <c r="E42" s="8">
        <v>14555914</v>
      </c>
      <c r="F42" s="8">
        <v>21721430</v>
      </c>
      <c r="G42" s="8">
        <v>24274928</v>
      </c>
      <c r="H42" s="8">
        <v>27925354</v>
      </c>
      <c r="I42" s="8">
        <v>32860251</v>
      </c>
      <c r="J42" s="8">
        <v>56098522</v>
      </c>
      <c r="K42" s="8">
        <v>115983231</v>
      </c>
      <c r="L42" s="8">
        <v>285735507</v>
      </c>
      <c r="M42" s="8">
        <v>268429870</v>
      </c>
      <c r="N42" s="8">
        <v>308419143</v>
      </c>
      <c r="O42" s="8">
        <v>244457739</v>
      </c>
      <c r="P42" s="8">
        <v>91732167</v>
      </c>
    </row>
    <row r="43" spans="1:16" x14ac:dyDescent="0.25">
      <c r="A43" t="s">
        <v>43</v>
      </c>
      <c r="B43" s="8">
        <v>312689</v>
      </c>
      <c r="C43" s="8">
        <v>4738301</v>
      </c>
      <c r="D43" s="8">
        <v>16911440</v>
      </c>
      <c r="E43" s="8">
        <v>29774966</v>
      </c>
      <c r="F43" s="8">
        <v>49226864</v>
      </c>
      <c r="G43" s="8">
        <v>63713096</v>
      </c>
      <c r="H43" s="8">
        <v>58879034</v>
      </c>
      <c r="I43" s="8">
        <v>60165723</v>
      </c>
      <c r="J43" s="8">
        <v>92295411</v>
      </c>
      <c r="K43" s="8">
        <v>199301896</v>
      </c>
      <c r="L43" s="8">
        <v>578197779</v>
      </c>
      <c r="M43" s="8">
        <v>623453354</v>
      </c>
      <c r="N43" s="8">
        <v>715637165</v>
      </c>
      <c r="O43" s="8">
        <v>541395087</v>
      </c>
      <c r="P43" s="8">
        <v>167837441</v>
      </c>
    </row>
    <row r="44" spans="1:16" x14ac:dyDescent="0.25">
      <c r="B44" s="8"/>
      <c r="C44" s="8"/>
      <c r="D44" s="8"/>
      <c r="E44" s="8"/>
      <c r="F44" s="8"/>
      <c r="G44" s="8"/>
      <c r="H44" s="8"/>
      <c r="I44" s="8"/>
      <c r="J44" s="8"/>
      <c r="K44" s="8"/>
      <c r="L44" s="8"/>
      <c r="M44" s="8"/>
      <c r="N44" s="8"/>
      <c r="O44" s="8"/>
      <c r="P44" s="8"/>
    </row>
    <row r="45" spans="1:16" x14ac:dyDescent="0.25">
      <c r="A45" t="s">
        <v>53</v>
      </c>
      <c r="B45" s="8">
        <v>5530161</v>
      </c>
      <c r="C45" s="8">
        <v>100179716</v>
      </c>
      <c r="D45" s="8">
        <v>377265471</v>
      </c>
      <c r="E45" s="8">
        <v>769361961</v>
      </c>
      <c r="F45" s="8">
        <v>1039478922</v>
      </c>
      <c r="G45" s="8">
        <v>962210784</v>
      </c>
      <c r="H45" s="8">
        <v>951765677</v>
      </c>
      <c r="I45" s="8">
        <v>1098965797</v>
      </c>
      <c r="J45" s="8">
        <v>1914379189</v>
      </c>
      <c r="K45" s="8">
        <v>4128195908</v>
      </c>
      <c r="L45" s="8">
        <v>8788434504</v>
      </c>
      <c r="M45" s="8">
        <v>8753887069</v>
      </c>
      <c r="N45" s="8">
        <v>8706073066</v>
      </c>
      <c r="O45" s="8">
        <v>6184298820</v>
      </c>
      <c r="P45" s="8">
        <v>2373058371</v>
      </c>
    </row>
    <row r="46" spans="1:16" x14ac:dyDescent="0.25">
      <c r="A46" t="s">
        <v>54</v>
      </c>
      <c r="B46" s="8">
        <v>1241356</v>
      </c>
      <c r="C46" s="8">
        <v>24495186</v>
      </c>
      <c r="D46" s="8">
        <v>82133605</v>
      </c>
      <c r="E46" s="8">
        <v>163215364</v>
      </c>
      <c r="F46" s="8">
        <v>209838629</v>
      </c>
      <c r="G46" s="8">
        <v>190880687</v>
      </c>
      <c r="H46" s="8">
        <v>187008422</v>
      </c>
      <c r="I46" s="8">
        <v>194952683</v>
      </c>
      <c r="J46" s="8">
        <v>308544425</v>
      </c>
      <c r="K46" s="8">
        <v>583255253</v>
      </c>
      <c r="L46" s="8">
        <v>1129924589</v>
      </c>
      <c r="M46" s="8">
        <v>947267121</v>
      </c>
      <c r="N46" s="8">
        <v>905355437</v>
      </c>
      <c r="O46" s="8">
        <v>590589176</v>
      </c>
      <c r="P46" s="8">
        <v>198182018</v>
      </c>
    </row>
    <row r="47" spans="1:16" x14ac:dyDescent="0.25">
      <c r="A47" t="s">
        <v>55</v>
      </c>
      <c r="B47" s="8">
        <v>1615157</v>
      </c>
      <c r="C47" s="8">
        <v>23307366</v>
      </c>
      <c r="D47" s="8">
        <v>70642032</v>
      </c>
      <c r="E47" s="8">
        <v>130790916</v>
      </c>
      <c r="F47" s="8">
        <v>119279554</v>
      </c>
      <c r="G47" s="8">
        <v>67677116</v>
      </c>
      <c r="H47" s="8">
        <v>42369388</v>
      </c>
      <c r="I47" s="8">
        <v>64934457</v>
      </c>
      <c r="J47" s="8">
        <v>190618952</v>
      </c>
      <c r="K47" s="8">
        <v>632418943</v>
      </c>
      <c r="L47" s="8">
        <v>1351873621</v>
      </c>
      <c r="M47" s="8">
        <v>875577036</v>
      </c>
      <c r="N47" s="8">
        <v>464818949</v>
      </c>
      <c r="O47" s="8">
        <v>105373972</v>
      </c>
      <c r="P47" s="8">
        <v>9117224</v>
      </c>
    </row>
    <row r="48" spans="1:16" x14ac:dyDescent="0.25">
      <c r="A48" t="s">
        <v>56</v>
      </c>
      <c r="B48" s="8">
        <v>86167</v>
      </c>
      <c r="C48" s="8">
        <v>5749999</v>
      </c>
      <c r="D48" s="8">
        <v>18288344</v>
      </c>
      <c r="E48" s="8">
        <v>47170736</v>
      </c>
      <c r="F48" s="8">
        <v>59984066</v>
      </c>
      <c r="G48" s="8">
        <v>61974203</v>
      </c>
      <c r="H48" s="8">
        <v>62600474</v>
      </c>
      <c r="I48" s="8">
        <v>54922627</v>
      </c>
      <c r="J48" s="8">
        <v>40778452</v>
      </c>
      <c r="K48" s="8">
        <v>55169367</v>
      </c>
      <c r="L48" s="8">
        <v>163863038</v>
      </c>
      <c r="M48" s="8">
        <v>211399538</v>
      </c>
      <c r="N48" s="8">
        <v>169469766</v>
      </c>
      <c r="O48" s="8">
        <v>121556378</v>
      </c>
      <c r="P48" s="8">
        <v>46859084</v>
      </c>
    </row>
    <row r="49" spans="1:16" x14ac:dyDescent="0.25">
      <c r="A49" t="s">
        <v>57</v>
      </c>
      <c r="B49" s="8">
        <v>676478</v>
      </c>
      <c r="C49" s="8">
        <v>5063343</v>
      </c>
      <c r="D49" s="8">
        <v>15039885</v>
      </c>
      <c r="E49" s="8">
        <v>27357946</v>
      </c>
      <c r="F49" s="8">
        <v>23218434</v>
      </c>
      <c r="G49" s="8">
        <v>13508766</v>
      </c>
      <c r="H49" s="8">
        <v>11204364</v>
      </c>
      <c r="I49" s="8">
        <v>9537348</v>
      </c>
      <c r="J49" s="8">
        <v>78851773</v>
      </c>
      <c r="K49" s="8">
        <v>259324298</v>
      </c>
      <c r="L49" s="8">
        <v>424432525</v>
      </c>
      <c r="M49" s="8">
        <v>278636797</v>
      </c>
      <c r="N49" s="8">
        <v>159866537</v>
      </c>
      <c r="O49" s="8">
        <v>28970597</v>
      </c>
      <c r="P49" s="8">
        <v>1888966</v>
      </c>
    </row>
    <row r="54" spans="1:16" x14ac:dyDescent="0.25">
      <c r="A54" t="s">
        <v>47</v>
      </c>
      <c r="B54" t="s">
        <v>59</v>
      </c>
      <c r="C54" t="s">
        <v>48</v>
      </c>
      <c r="D54" t="s">
        <v>49</v>
      </c>
      <c r="E54" t="s">
        <v>50</v>
      </c>
      <c r="F54" t="s">
        <v>51</v>
      </c>
      <c r="G54" t="s">
        <v>52</v>
      </c>
      <c r="H54" t="s">
        <v>43</v>
      </c>
      <c r="I54" t="s">
        <v>53</v>
      </c>
      <c r="J54" t="s">
        <v>54</v>
      </c>
      <c r="K54" t="s">
        <v>55</v>
      </c>
      <c r="L54" t="s">
        <v>56</v>
      </c>
      <c r="M54" t="s">
        <v>57</v>
      </c>
    </row>
    <row r="55" spans="1:16" x14ac:dyDescent="0.25">
      <c r="A55">
        <v>2000</v>
      </c>
      <c r="B55">
        <v>4.5644944464308002E-2</v>
      </c>
      <c r="C55">
        <v>1.22035847257361E-2</v>
      </c>
      <c r="D55">
        <v>8.0454636079397394E-3</v>
      </c>
      <c r="E55">
        <v>6.3824624472391201E-3</v>
      </c>
      <c r="F55">
        <v>1.81260944355919E-3</v>
      </c>
      <c r="G55">
        <v>3.4199711602215001E-3</v>
      </c>
      <c r="H55">
        <v>3.1864091384695703E-2</v>
      </c>
      <c r="I55">
        <v>1.0143552856699001</v>
      </c>
      <c r="J55">
        <v>6.98435758852467E-2</v>
      </c>
      <c r="K55" s="3">
        <v>0</v>
      </c>
      <c r="L55">
        <v>3.2629442848244902E-3</v>
      </c>
      <c r="M55">
        <v>1.0874618058399701</v>
      </c>
    </row>
    <row r="56" spans="1:16" x14ac:dyDescent="0.25">
      <c r="A56">
        <v>2001</v>
      </c>
      <c r="B56">
        <v>7.7126885450478494E-2</v>
      </c>
      <c r="C56">
        <v>2.32587307543346E-2</v>
      </c>
      <c r="D56">
        <v>1.8413372988308901E-2</v>
      </c>
      <c r="E56">
        <v>4.7965121856677296E-3</v>
      </c>
      <c r="F56">
        <v>1.5184310149811799E-3</v>
      </c>
      <c r="G56">
        <v>7.3499426111505598E-3</v>
      </c>
      <c r="H56">
        <v>5.5336989554443002E-2</v>
      </c>
      <c r="I56">
        <v>0.76002322307477599</v>
      </c>
      <c r="J56">
        <v>0.16004381808745599</v>
      </c>
      <c r="K56">
        <v>0.15059481115965201</v>
      </c>
      <c r="L56">
        <v>3.84649371987896E-2</v>
      </c>
      <c r="M56">
        <v>1.10912678952067</v>
      </c>
    </row>
    <row r="57" spans="1:16" x14ac:dyDescent="0.25">
      <c r="A57">
        <v>2002</v>
      </c>
      <c r="B57">
        <v>8.6539641796823802E-2</v>
      </c>
      <c r="C57">
        <v>2.9110358674802401E-2</v>
      </c>
      <c r="D57">
        <v>1.44107133838575E-2</v>
      </c>
      <c r="E57">
        <v>5.2771551095721399E-3</v>
      </c>
      <c r="F57">
        <v>3.3383347929503001E-3</v>
      </c>
      <c r="G57">
        <v>1.0683252412459199E-2</v>
      </c>
      <c r="H57">
        <v>6.2819814373641605E-2</v>
      </c>
      <c r="I57">
        <v>0.79609158638660005</v>
      </c>
      <c r="J57">
        <v>0.163556376347674</v>
      </c>
      <c r="K57">
        <v>0.119420382239113</v>
      </c>
      <c r="L57">
        <v>3.7679941886487399E-2</v>
      </c>
      <c r="M57">
        <v>1.1167482868598699</v>
      </c>
    </row>
    <row r="58" spans="1:16" x14ac:dyDescent="0.25">
      <c r="A58">
        <v>2003</v>
      </c>
      <c r="B58">
        <v>8.8162106442588206E-2</v>
      </c>
      <c r="C58">
        <v>3.1405709418943203E-2</v>
      </c>
      <c r="D58">
        <v>1.4457052838043501E-2</v>
      </c>
      <c r="E58">
        <v>4.6752971155635302E-3</v>
      </c>
      <c r="F58">
        <v>3.43721986452405E-3</v>
      </c>
      <c r="G58">
        <v>1.26927795821514E-2</v>
      </c>
      <c r="H58">
        <v>6.6668058819225801E-2</v>
      </c>
      <c r="I58">
        <v>0.76611288664160804</v>
      </c>
      <c r="J58">
        <v>0.15797621035586301</v>
      </c>
      <c r="K58">
        <v>0.13027452485312099</v>
      </c>
      <c r="L58">
        <v>4.1566183522363201E-2</v>
      </c>
      <c r="M58">
        <v>1.09592980537295</v>
      </c>
    </row>
    <row r="59" spans="1:16" x14ac:dyDescent="0.25">
      <c r="A59">
        <v>2004</v>
      </c>
      <c r="B59">
        <v>8.8798919631809595E-2</v>
      </c>
      <c r="C59">
        <v>3.07854279637945E-2</v>
      </c>
      <c r="D59">
        <v>1.6181619849566599E-2</v>
      </c>
      <c r="E59">
        <v>3.8463330044703802E-3</v>
      </c>
      <c r="F59">
        <v>3.4841024557393501E-3</v>
      </c>
      <c r="G59">
        <v>1.4213734451493799E-2</v>
      </c>
      <c r="H59">
        <v>6.8511217725064799E-2</v>
      </c>
      <c r="I59">
        <v>0.77841624199566795</v>
      </c>
      <c r="J59">
        <v>0.15277551533533701</v>
      </c>
      <c r="K59">
        <v>0.102848142060014</v>
      </c>
      <c r="L59">
        <v>5.0495457292067801E-2</v>
      </c>
      <c r="M59">
        <v>1.08453535668308</v>
      </c>
    </row>
    <row r="60" spans="1:16" x14ac:dyDescent="0.25">
      <c r="A60">
        <v>2005</v>
      </c>
      <c r="B60">
        <v>9.2340888399573995E-2</v>
      </c>
      <c r="C60">
        <v>3.6736405315131802E-2</v>
      </c>
      <c r="D60">
        <v>2.33913416006843E-2</v>
      </c>
      <c r="E60">
        <v>5.3432915238166099E-3</v>
      </c>
      <c r="F60">
        <v>3.5357065965637702E-3</v>
      </c>
      <c r="G60">
        <v>1.6478762223265799E-2</v>
      </c>
      <c r="H60">
        <v>8.5485507259462301E-2</v>
      </c>
      <c r="I60">
        <v>0.79395329007606297</v>
      </c>
      <c r="J60">
        <v>0.152040536445741</v>
      </c>
      <c r="K60">
        <v>7.8162961776590198E-2</v>
      </c>
      <c r="L60">
        <v>5.15601854718616E-2</v>
      </c>
      <c r="M60">
        <v>1.0757169737702501</v>
      </c>
    </row>
    <row r="61" spans="1:16" x14ac:dyDescent="0.25">
      <c r="A61">
        <v>2006</v>
      </c>
      <c r="B61">
        <v>9.6726045882072495E-2</v>
      </c>
      <c r="C61">
        <v>4.1229212720376197E-2</v>
      </c>
      <c r="D61">
        <v>2.7456008152338101E-2</v>
      </c>
      <c r="E61">
        <v>5.3785281175202501E-3</v>
      </c>
      <c r="F61">
        <v>4.0830841171628903E-3</v>
      </c>
      <c r="G61">
        <v>1.9829746698430701E-2</v>
      </c>
      <c r="H61">
        <v>9.7976579805828301E-2</v>
      </c>
      <c r="I61">
        <v>0.77848653969726</v>
      </c>
      <c r="J61">
        <v>0.16093875465881199</v>
      </c>
      <c r="K61">
        <v>4.8421078113506898E-2</v>
      </c>
      <c r="L61">
        <v>5.4605612445889802E-2</v>
      </c>
      <c r="M61">
        <v>1.0424519849154601</v>
      </c>
    </row>
    <row r="62" spans="1:16" x14ac:dyDescent="0.25">
      <c r="A62">
        <v>2007</v>
      </c>
      <c r="B62">
        <v>8.9745738539818501E-2</v>
      </c>
      <c r="C62">
        <v>3.8797789271167601E-2</v>
      </c>
      <c r="D62">
        <v>2.3540438211502E-2</v>
      </c>
      <c r="E62">
        <v>4.3639566267610402E-3</v>
      </c>
      <c r="F62">
        <v>3.4528507815618299E-3</v>
      </c>
      <c r="G62">
        <v>2.1164127616454101E-2</v>
      </c>
      <c r="H62">
        <v>9.1319162507446705E-2</v>
      </c>
      <c r="I62">
        <v>0.76467225963290097</v>
      </c>
      <c r="J62">
        <v>0.14226540445397201</v>
      </c>
      <c r="K62">
        <v>3.4494707222195602E-2</v>
      </c>
      <c r="L62">
        <v>4.5006522732551901E-2</v>
      </c>
      <c r="M62">
        <v>0.98643889404162</v>
      </c>
    </row>
    <row r="63" spans="1:16" x14ac:dyDescent="0.25">
      <c r="A63">
        <v>2008</v>
      </c>
      <c r="B63">
        <v>8.1043535492126006E-2</v>
      </c>
      <c r="C63">
        <v>2.96262205499346E-2</v>
      </c>
      <c r="D63">
        <v>1.7229907690031E-2</v>
      </c>
      <c r="E63">
        <v>4.0010977957993001E-3</v>
      </c>
      <c r="F63">
        <v>2.1330948895256999E-3</v>
      </c>
      <c r="G63">
        <v>1.8936503582183999E-2</v>
      </c>
      <c r="H63">
        <v>7.1926824507474799E-2</v>
      </c>
      <c r="I63">
        <v>0.71425568660918004</v>
      </c>
      <c r="J63">
        <v>0.111171429386443</v>
      </c>
      <c r="K63">
        <v>4.3219649224786001E-2</v>
      </c>
      <c r="L63">
        <v>1.83751896706074E-2</v>
      </c>
      <c r="M63">
        <v>0.88702195489101698</v>
      </c>
    </row>
    <row r="64" spans="1:16" x14ac:dyDescent="0.25">
      <c r="A64">
        <v>2009</v>
      </c>
      <c r="B64">
        <v>7.5122102642254204E-2</v>
      </c>
      <c r="C64">
        <v>2.1622909049399602E-2</v>
      </c>
      <c r="D64">
        <v>1.2159839444336899E-2</v>
      </c>
      <c r="E64">
        <v>4.1589210148678503E-3</v>
      </c>
      <c r="F64">
        <v>2.3614857231512702E-3</v>
      </c>
      <c r="G64">
        <v>1.54761726650126E-2</v>
      </c>
      <c r="H64">
        <v>5.5779327896768399E-2</v>
      </c>
      <c r="I64">
        <v>0.631626627537202</v>
      </c>
      <c r="J64">
        <v>9.4229818076227906E-2</v>
      </c>
      <c r="K64">
        <v>7.7981873793341996E-2</v>
      </c>
      <c r="L64">
        <v>7.7761945074936003E-3</v>
      </c>
      <c r="M64">
        <v>0.81161451391426598</v>
      </c>
    </row>
    <row r="65" spans="1:13" x14ac:dyDescent="0.25">
      <c r="A65">
        <v>2010</v>
      </c>
      <c r="B65">
        <v>8.2118552644125001E-2</v>
      </c>
      <c r="C65">
        <v>2.3602931342370601E-2</v>
      </c>
      <c r="D65">
        <v>1.2143922156769999E-2</v>
      </c>
      <c r="E65">
        <v>5.1922756158516601E-3</v>
      </c>
      <c r="F65">
        <v>3.14232444385131E-3</v>
      </c>
      <c r="G65">
        <v>1.6051909846026498E-2</v>
      </c>
      <c r="H65">
        <v>6.0133363404870202E-2</v>
      </c>
      <c r="I65">
        <v>0.62015037428603903</v>
      </c>
      <c r="J65">
        <v>7.9078359454963804E-2</v>
      </c>
      <c r="K65">
        <v>8.6555174838226001E-2</v>
      </c>
      <c r="L65">
        <v>8.2850071034234404E-3</v>
      </c>
      <c r="M65">
        <v>0.79406891568265203</v>
      </c>
    </row>
    <row r="66" spans="1:13" x14ac:dyDescent="0.25">
      <c r="A66">
        <v>2011</v>
      </c>
      <c r="B66">
        <v>9.3235643374929497E-2</v>
      </c>
      <c r="C66">
        <v>2.49301452254738E-2</v>
      </c>
      <c r="D66">
        <v>1.5384888642210199E-2</v>
      </c>
      <c r="E66">
        <v>6.6898517787659997E-3</v>
      </c>
      <c r="F66">
        <v>5.1684332457723001E-3</v>
      </c>
      <c r="G66">
        <v>1.8195473212573501E-2</v>
      </c>
      <c r="H66">
        <v>7.0368792104796005E-2</v>
      </c>
      <c r="I66">
        <v>0.588229916120104</v>
      </c>
      <c r="J66">
        <v>7.0483801061444806E-2</v>
      </c>
      <c r="K66">
        <v>7.8887009085538695E-2</v>
      </c>
      <c r="L66">
        <v>1.26732180091924E-2</v>
      </c>
      <c r="M66">
        <v>0.75027394427628002</v>
      </c>
    </row>
    <row r="67" spans="1:13" x14ac:dyDescent="0.25">
      <c r="A67">
        <v>2012</v>
      </c>
      <c r="B67">
        <v>9.7621191621970096E-2</v>
      </c>
      <c r="C67">
        <v>2.7622285717396701E-2</v>
      </c>
      <c r="D67">
        <v>1.7649912937385201E-2</v>
      </c>
      <c r="E67">
        <v>7.9684527260276E-3</v>
      </c>
      <c r="F67">
        <v>7.9103464213395296E-3</v>
      </c>
      <c r="G67">
        <v>2.1777930327038699E-2</v>
      </c>
      <c r="H67">
        <v>8.2928928129187798E-2</v>
      </c>
      <c r="I67">
        <v>0.63741596662030597</v>
      </c>
      <c r="J67">
        <v>7.0255494795680398E-2</v>
      </c>
      <c r="K67">
        <v>4.8822039692434302E-2</v>
      </c>
      <c r="L67">
        <v>1.35893471035641E-2</v>
      </c>
      <c r="M67">
        <v>0.77008284821198503</v>
      </c>
    </row>
    <row r="68" spans="1:13" x14ac:dyDescent="0.25">
      <c r="A68">
        <v>2013</v>
      </c>
      <c r="B68">
        <v>0.12027512199868701</v>
      </c>
      <c r="C68">
        <v>3.4410589144739802E-2</v>
      </c>
      <c r="D68">
        <v>2.3263442043503099E-2</v>
      </c>
      <c r="E68">
        <v>9.0135819345498695E-3</v>
      </c>
      <c r="F68">
        <v>1.2293389541385201E-2</v>
      </c>
      <c r="G68">
        <v>2.8624696401264801E-2</v>
      </c>
      <c r="H68">
        <v>0.107605699065442</v>
      </c>
      <c r="I68">
        <v>0.712435349881546</v>
      </c>
      <c r="J68">
        <v>6.8462718915066598E-2</v>
      </c>
      <c r="K68">
        <v>2.6431465735943498E-2</v>
      </c>
      <c r="L68">
        <v>1.56586513932306E-2</v>
      </c>
      <c r="M68">
        <v>0.82298818592578704</v>
      </c>
    </row>
    <row r="69" spans="1:13" x14ac:dyDescent="0.25">
      <c r="A69">
        <v>2014</v>
      </c>
      <c r="B69">
        <v>0.152592214246908</v>
      </c>
      <c r="C69">
        <v>4.4163473377648997E-2</v>
      </c>
      <c r="D69">
        <v>3.30641938928301E-2</v>
      </c>
      <c r="E69">
        <v>9.4037955534846899E-3</v>
      </c>
      <c r="F69">
        <v>1.81732166721379E-2</v>
      </c>
      <c r="G69">
        <v>3.62053091875746E-2</v>
      </c>
      <c r="H69">
        <v>0.14100998868367601</v>
      </c>
      <c r="I69">
        <v>0.74440157217530101</v>
      </c>
      <c r="J69">
        <v>6.8130119649225093E-2</v>
      </c>
      <c r="K69">
        <v>8.4919501581561495E-3</v>
      </c>
      <c r="L69">
        <v>1.81556640374721E-2</v>
      </c>
      <c r="M69">
        <v>0.839179306020154</v>
      </c>
    </row>
    <row r="70" spans="1:13" x14ac:dyDescent="0.25">
      <c r="J70" s="3"/>
      <c r="K70" s="3"/>
    </row>
  </sheetData>
  <pageMargins left="0.7" right="0.7" top="0.75" bottom="0.75" header="0.3" footer="0.3"/>
  <pageSetup orientation="portrait" horizontalDpi="1200" verticalDpi="12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179"/>
  <sheetViews>
    <sheetView workbookViewId="0">
      <selection activeCell="L2" sqref="L2:M2"/>
    </sheetView>
  </sheetViews>
  <sheetFormatPr defaultRowHeight="15" x14ac:dyDescent="0.25"/>
  <cols>
    <col min="1" max="1" width="15" bestFit="1" customWidth="1"/>
    <col min="19" max="19" width="11.28515625" bestFit="1" customWidth="1"/>
    <col min="20" max="20" width="20.42578125" style="4" bestFit="1" customWidth="1"/>
    <col min="21" max="21" width="19" style="4" customWidth="1"/>
  </cols>
  <sheetData>
    <row r="1" spans="1:22" x14ac:dyDescent="0.25">
      <c r="A1" t="s">
        <v>67</v>
      </c>
      <c r="B1" t="s">
        <v>59</v>
      </c>
      <c r="C1" t="s">
        <v>48</v>
      </c>
      <c r="D1" t="s">
        <v>49</v>
      </c>
      <c r="E1" t="s">
        <v>50</v>
      </c>
      <c r="F1" t="s">
        <v>51</v>
      </c>
      <c r="G1" t="s">
        <v>52</v>
      </c>
      <c r="H1" t="s">
        <v>43</v>
      </c>
      <c r="J1" t="s">
        <v>53</v>
      </c>
      <c r="K1" t="s">
        <v>54</v>
      </c>
      <c r="L1" t="s">
        <v>55</v>
      </c>
      <c r="M1" t="s">
        <v>56</v>
      </c>
      <c r="N1" t="s">
        <v>57</v>
      </c>
      <c r="O1" t="s">
        <v>57</v>
      </c>
      <c r="P1" t="s">
        <v>60</v>
      </c>
      <c r="T1" s="4" t="s">
        <v>65</v>
      </c>
      <c r="V1" t="s">
        <v>64</v>
      </c>
    </row>
    <row r="2" spans="1:22" x14ac:dyDescent="0.25">
      <c r="A2" s="1">
        <v>36770</v>
      </c>
      <c r="B2" s="4">
        <v>4.4129954113061497E-2</v>
      </c>
      <c r="C2" s="4">
        <v>4.6020586371721597E-3</v>
      </c>
      <c r="D2" s="13">
        <v>0</v>
      </c>
      <c r="E2" s="13">
        <v>0</v>
      </c>
      <c r="F2" s="13">
        <v>0</v>
      </c>
      <c r="G2" s="13">
        <v>0</v>
      </c>
      <c r="H2" s="4">
        <v>4.6020586371721597E-3</v>
      </c>
      <c r="I2" s="4">
        <f>B2+H2+1</f>
        <v>1.0487320127502338</v>
      </c>
      <c r="J2" s="4">
        <v>1.0526066842361199</v>
      </c>
      <c r="K2" s="13">
        <v>0</v>
      </c>
      <c r="L2" s="13">
        <v>0</v>
      </c>
      <c r="M2" s="13">
        <v>0</v>
      </c>
      <c r="N2" s="4">
        <v>1.0526066842361199</v>
      </c>
      <c r="O2" s="4">
        <v>1.19726482213438</v>
      </c>
      <c r="P2" s="10">
        <f>I2-O2</f>
        <v>-0.14853280938414626</v>
      </c>
      <c r="S2" s="11"/>
      <c r="T2" s="4" t="s">
        <v>62</v>
      </c>
      <c r="U2" s="4" t="s">
        <v>63</v>
      </c>
      <c r="V2" t="s">
        <v>66</v>
      </c>
    </row>
    <row r="3" spans="1:22" x14ac:dyDescent="0.25">
      <c r="A3" s="1">
        <v>36831</v>
      </c>
      <c r="B3" s="4">
        <v>4.3370684559382103E-2</v>
      </c>
      <c r="C3" s="4">
        <v>1.83818688275512E-2</v>
      </c>
      <c r="D3" s="4">
        <v>1.5644466953659099E-2</v>
      </c>
      <c r="E3" s="4">
        <v>1.0539377057482899E-2</v>
      </c>
      <c r="F3" s="4">
        <v>2.7272727272727201E-3</v>
      </c>
      <c r="G3" s="4">
        <v>6.4775892631045804E-3</v>
      </c>
      <c r="H3" s="4">
        <v>5.3770574829070598E-2</v>
      </c>
      <c r="I3" s="4">
        <f t="shared" ref="I3:I66" si="0">B3+H3+1</f>
        <v>1.0971412593884526</v>
      </c>
      <c r="J3" s="4">
        <v>0.99861990377310705</v>
      </c>
      <c r="K3" s="4">
        <v>0.112068878197011</v>
      </c>
      <c r="L3" s="13">
        <v>0</v>
      </c>
      <c r="M3" s="4">
        <v>5.3203342618384402E-3</v>
      </c>
      <c r="N3" s="4">
        <v>1.1160091162319501</v>
      </c>
      <c r="O3" s="4">
        <v>1.10187237291414</v>
      </c>
      <c r="P3" s="10">
        <f t="shared" ref="P3:P66" si="1">I3-O3</f>
        <v>-4.731113525687336E-3</v>
      </c>
      <c r="S3" s="12">
        <v>36526</v>
      </c>
      <c r="T3" s="4">
        <v>0</v>
      </c>
      <c r="U3" s="4">
        <v>-2.5202226670370802E-2</v>
      </c>
      <c r="V3" s="4" t="e">
        <f>VLOOKUP(S3,A:P,16,0)</f>
        <v>#N/A</v>
      </c>
    </row>
    <row r="4" spans="1:22" x14ac:dyDescent="0.25">
      <c r="A4" s="1">
        <v>36861</v>
      </c>
      <c r="B4" s="4">
        <v>5.5E-2</v>
      </c>
      <c r="C4" s="4">
        <v>9.6361134161996303E-3</v>
      </c>
      <c r="D4" s="4">
        <v>2.3448826286462101E-3</v>
      </c>
      <c r="E4" s="4">
        <v>7.1273028226328597E-3</v>
      </c>
      <c r="F4" s="4">
        <v>2.7725207980041802E-3</v>
      </c>
      <c r="G4" s="4">
        <v>1.48247898710763E-3</v>
      </c>
      <c r="H4" s="4">
        <v>2.33632986525905E-2</v>
      </c>
      <c r="I4" s="4">
        <f t="shared" si="0"/>
        <v>1.0783632986525906</v>
      </c>
      <c r="J4" s="4">
        <v>0.98405957341809602</v>
      </c>
      <c r="K4" s="4">
        <v>8.7181168126445094E-2</v>
      </c>
      <c r="L4" s="13">
        <v>0</v>
      </c>
      <c r="M4" s="4">
        <v>3.8344889185764801E-3</v>
      </c>
      <c r="N4" s="4">
        <v>1.0750752304631099</v>
      </c>
      <c r="O4" s="4">
        <v>1.11494487881588</v>
      </c>
      <c r="P4" s="10">
        <f t="shared" si="1"/>
        <v>-3.6581580163289384E-2</v>
      </c>
      <c r="S4" s="12">
        <v>36557</v>
      </c>
      <c r="T4" s="4">
        <v>2.9483168816483E-2</v>
      </c>
      <c r="U4" s="4">
        <v>0.29370822972771099</v>
      </c>
      <c r="V4" s="4" t="e">
        <f t="shared" ref="V4:V67" si="2">VLOOKUP(S4,A:P,16,0)</f>
        <v>#N/A</v>
      </c>
    </row>
    <row r="5" spans="1:22" x14ac:dyDescent="0.25">
      <c r="A5" s="1">
        <v>36892</v>
      </c>
      <c r="B5" s="4">
        <v>6.3505735909539202E-2</v>
      </c>
      <c r="C5" s="4">
        <v>1.41867982429968E-2</v>
      </c>
      <c r="D5" s="4">
        <v>7.155757061857E-3</v>
      </c>
      <c r="E5" s="4">
        <v>6.5072344821275E-3</v>
      </c>
      <c r="F5" s="4">
        <v>-4.1009516071130399E-4</v>
      </c>
      <c r="G5" s="4">
        <v>7.4448044559898398E-3</v>
      </c>
      <c r="H5" s="4">
        <v>3.4884499082259803E-2</v>
      </c>
      <c r="I5" s="4">
        <f t="shared" si="0"/>
        <v>1.0983902349917991</v>
      </c>
      <c r="J5" s="4">
        <v>0.85286734941617404</v>
      </c>
      <c r="K5" s="4">
        <v>0.167194109689495</v>
      </c>
      <c r="L5" s="4">
        <v>4.2707119294539998E-2</v>
      </c>
      <c r="M5" s="4">
        <v>5.7736116543791898E-4</v>
      </c>
      <c r="N5" s="4">
        <v>1.0633459395656399</v>
      </c>
      <c r="O5" s="4">
        <v>1.1219671799159201</v>
      </c>
      <c r="P5" s="10">
        <f t="shared" si="1"/>
        <v>-2.3576944924120991E-2</v>
      </c>
      <c r="S5" s="12">
        <v>36586</v>
      </c>
      <c r="T5" s="4">
        <v>4.7097971566923899E-4</v>
      </c>
      <c r="U5" s="4">
        <v>5.2109176162535201E-2</v>
      </c>
      <c r="V5" s="4" t="e">
        <f t="shared" si="2"/>
        <v>#N/A</v>
      </c>
    </row>
    <row r="6" spans="1:22" x14ac:dyDescent="0.25">
      <c r="A6" s="1">
        <v>36923</v>
      </c>
      <c r="B6" s="4">
        <v>6.1097626247593503E-2</v>
      </c>
      <c r="C6" s="4">
        <v>1.0848470130844501E-2</v>
      </c>
      <c r="D6" s="4">
        <v>1.3088261325895601E-2</v>
      </c>
      <c r="E6" s="4">
        <v>1.22047881322921E-3</v>
      </c>
      <c r="F6" s="4">
        <v>-3.5048584441076802E-4</v>
      </c>
      <c r="G6" s="4">
        <v>7.5914404347077998E-3</v>
      </c>
      <c r="H6" s="4">
        <v>3.23981648602664E-2</v>
      </c>
      <c r="I6" s="4">
        <f t="shared" si="0"/>
        <v>1.09349579110786</v>
      </c>
      <c r="J6" s="4">
        <v>0.766454473065738</v>
      </c>
      <c r="K6" s="4">
        <v>6.0312599568958403E-2</v>
      </c>
      <c r="L6" s="4">
        <v>7.8106496285197405E-2</v>
      </c>
      <c r="M6" s="4">
        <v>0.17513922816857599</v>
      </c>
      <c r="N6" s="4">
        <v>1.0800127970884701</v>
      </c>
      <c r="O6" s="4">
        <v>1.14562295355942</v>
      </c>
      <c r="P6" s="10">
        <f t="shared" si="1"/>
        <v>-5.2127162451560016E-2</v>
      </c>
      <c r="S6" s="12">
        <v>36617</v>
      </c>
      <c r="T6" s="4">
        <v>4.5120999122011902E-2</v>
      </c>
      <c r="U6" s="4">
        <v>0.108984489853256</v>
      </c>
      <c r="V6" s="4" t="e">
        <f t="shared" si="2"/>
        <v>#N/A</v>
      </c>
    </row>
    <row r="7" spans="1:22" x14ac:dyDescent="0.25">
      <c r="A7" s="1">
        <v>36951</v>
      </c>
      <c r="B7" s="4">
        <v>7.3558562363446406E-2</v>
      </c>
      <c r="C7" s="4">
        <v>1.75280844642716E-2</v>
      </c>
      <c r="D7" s="4">
        <v>1.707943976042E-2</v>
      </c>
      <c r="E7" s="4">
        <v>1.9322266600010701E-3</v>
      </c>
      <c r="F7" s="4">
        <v>2.9477266085953498E-3</v>
      </c>
      <c r="G7" s="4">
        <v>7.6186296924616297E-3</v>
      </c>
      <c r="H7" s="4">
        <v>4.7106107185749799E-2</v>
      </c>
      <c r="I7" s="4">
        <f t="shared" si="0"/>
        <v>1.1206646695491962</v>
      </c>
      <c r="J7" s="4">
        <v>0.81168712551307198</v>
      </c>
      <c r="K7" s="4">
        <v>0.15395177560522999</v>
      </c>
      <c r="L7" s="4">
        <v>0.114020016884432</v>
      </c>
      <c r="M7" s="4">
        <v>3.3789174070804999E-2</v>
      </c>
      <c r="N7" s="4">
        <v>1.1134480920735299</v>
      </c>
      <c r="O7" s="4">
        <v>1.16019570740003</v>
      </c>
      <c r="P7" s="10">
        <f t="shared" si="1"/>
        <v>-3.9531037850833783E-2</v>
      </c>
      <c r="S7" s="12">
        <v>36647</v>
      </c>
      <c r="T7" s="4">
        <v>1.38762710407302E-2</v>
      </c>
      <c r="U7" s="4">
        <v>4.6184785033829903E-2</v>
      </c>
      <c r="V7" s="4" t="e">
        <f t="shared" si="2"/>
        <v>#N/A</v>
      </c>
    </row>
    <row r="8" spans="1:22" x14ac:dyDescent="0.25">
      <c r="A8" s="1">
        <v>36982</v>
      </c>
      <c r="B8" s="4">
        <v>6.5513945182537794E-2</v>
      </c>
      <c r="C8" s="4">
        <v>1.84092796879733E-2</v>
      </c>
      <c r="D8" s="4">
        <v>8.6977176496801801E-3</v>
      </c>
      <c r="E8" s="4">
        <v>4.8787866277126696E-3</v>
      </c>
      <c r="F8" s="4">
        <v>-9.1383389581886501E-5</v>
      </c>
      <c r="G8" s="4">
        <v>7.3704218443544599E-3</v>
      </c>
      <c r="H8" s="4">
        <v>3.9264822420138797E-2</v>
      </c>
      <c r="I8" s="4">
        <f t="shared" si="0"/>
        <v>1.1047787676026766</v>
      </c>
      <c r="J8" s="4">
        <v>0.69332322057904305</v>
      </c>
      <c r="K8" s="4">
        <v>0.22139575212493301</v>
      </c>
      <c r="L8" s="4">
        <v>0.18430847446004001</v>
      </c>
      <c r="M8" s="4">
        <v>3.1300408543502101E-3</v>
      </c>
      <c r="N8" s="4">
        <v>1.10215748801836</v>
      </c>
      <c r="O8" s="4">
        <v>1.1406251944613099</v>
      </c>
      <c r="P8" s="10">
        <f t="shared" si="1"/>
        <v>-3.5846426858633373E-2</v>
      </c>
      <c r="S8" s="12">
        <v>36678</v>
      </c>
      <c r="T8" s="4">
        <v>2.96663106147565E-2</v>
      </c>
      <c r="U8" s="4">
        <v>0.178141824126169</v>
      </c>
      <c r="V8" s="4" t="e">
        <f t="shared" si="2"/>
        <v>#N/A</v>
      </c>
    </row>
    <row r="9" spans="1:22" x14ac:dyDescent="0.25">
      <c r="A9" s="1">
        <v>37012</v>
      </c>
      <c r="B9" s="4">
        <v>7.02166139900436E-2</v>
      </c>
      <c r="C9" s="4">
        <v>2.0135836013503199E-2</v>
      </c>
      <c r="D9" s="4">
        <v>2.4928087389973101E-2</v>
      </c>
      <c r="E9" s="4">
        <v>2.8169478487227099E-3</v>
      </c>
      <c r="F9" s="4">
        <v>2.0572953070186798E-3</v>
      </c>
      <c r="G9" s="4">
        <v>7.6301498060159798E-3</v>
      </c>
      <c r="H9" s="4">
        <v>5.7568316365233699E-2</v>
      </c>
      <c r="I9" s="4">
        <f t="shared" si="0"/>
        <v>1.1277849303552774</v>
      </c>
      <c r="J9" s="4">
        <v>0.85544816724655204</v>
      </c>
      <c r="K9" s="4">
        <v>0.140648491242887</v>
      </c>
      <c r="L9" s="4">
        <v>0.11303433247205</v>
      </c>
      <c r="M9" s="4">
        <v>1.10613893764094E-2</v>
      </c>
      <c r="N9" s="4">
        <v>1.1201923803378899</v>
      </c>
      <c r="O9" s="4">
        <v>1.0876174719918901</v>
      </c>
      <c r="P9" s="10">
        <f t="shared" si="1"/>
        <v>4.0167458363387309E-2</v>
      </c>
      <c r="S9" s="12">
        <v>36708</v>
      </c>
      <c r="T9" s="4">
        <v>2.14876613834631E-2</v>
      </c>
      <c r="U9" s="4">
        <v>0.12816430484281399</v>
      </c>
      <c r="V9" s="4" t="e">
        <f t="shared" si="2"/>
        <v>#N/A</v>
      </c>
    </row>
    <row r="10" spans="1:22" x14ac:dyDescent="0.25">
      <c r="A10" s="1">
        <v>37043</v>
      </c>
      <c r="B10" s="4">
        <v>7.3447771153668698E-2</v>
      </c>
      <c r="C10" s="4">
        <v>2.13876663712185E-2</v>
      </c>
      <c r="D10" s="4">
        <v>1.3008769065036899E-2</v>
      </c>
      <c r="E10" s="4">
        <v>3.6166072954426898E-3</v>
      </c>
      <c r="F10" s="4">
        <v>3.7465537399577201E-4</v>
      </c>
      <c r="G10" s="4">
        <v>6.1413819646884702E-3</v>
      </c>
      <c r="H10" s="4">
        <v>4.4529080070382497E-2</v>
      </c>
      <c r="I10" s="4">
        <f t="shared" si="0"/>
        <v>1.1179768512240511</v>
      </c>
      <c r="J10" s="4">
        <v>0.774183309636998</v>
      </c>
      <c r="K10" s="4">
        <v>0.13567768301421501</v>
      </c>
      <c r="L10" s="4">
        <v>0.15552046978012601</v>
      </c>
      <c r="M10" s="4">
        <v>3.5299174798762802E-2</v>
      </c>
      <c r="N10" s="4">
        <v>1.1006806372300999</v>
      </c>
      <c r="O10" s="4">
        <v>1.11480616623714</v>
      </c>
      <c r="P10" s="10">
        <f t="shared" si="1"/>
        <v>3.1706849869110876E-3</v>
      </c>
      <c r="S10" s="12">
        <v>36739</v>
      </c>
      <c r="T10" s="4">
        <v>2.01876178028026E-2</v>
      </c>
      <c r="U10" s="4">
        <v>8.9225365427717807E-2</v>
      </c>
      <c r="V10" s="4" t="e">
        <f t="shared" si="2"/>
        <v>#N/A</v>
      </c>
    </row>
    <row r="11" spans="1:22" x14ac:dyDescent="0.25">
      <c r="A11" s="1">
        <v>37073</v>
      </c>
      <c r="B11" s="4">
        <v>7.4491023212480703E-2</v>
      </c>
      <c r="C11" s="4">
        <v>1.8838419163770201E-2</v>
      </c>
      <c r="D11" s="4">
        <v>1.52837454372158E-2</v>
      </c>
      <c r="E11" s="4">
        <v>4.4614984764668403E-3</v>
      </c>
      <c r="F11" s="4">
        <v>1.1984071118675301E-3</v>
      </c>
      <c r="G11" s="4">
        <v>6.2111728597934301E-3</v>
      </c>
      <c r="H11" s="4">
        <v>4.5993243049113897E-2</v>
      </c>
      <c r="I11" s="4">
        <f t="shared" si="0"/>
        <v>1.1204842662615946</v>
      </c>
      <c r="J11" s="4">
        <v>0.754140295185044</v>
      </c>
      <c r="K11" s="4">
        <v>0.20097791858486599</v>
      </c>
      <c r="L11" s="4">
        <v>0.13134686115344699</v>
      </c>
      <c r="M11" s="4">
        <v>8.6431283447035608E-3</v>
      </c>
      <c r="N11" s="4">
        <v>1.0951082032680599</v>
      </c>
      <c r="O11" s="4">
        <v>1.11212023193372</v>
      </c>
      <c r="P11" s="10">
        <f t="shared" si="1"/>
        <v>8.364034327874581E-3</v>
      </c>
      <c r="S11" s="12">
        <v>36770</v>
      </c>
      <c r="T11" s="4">
        <v>1.82949435699226E-2</v>
      </c>
      <c r="U11" s="4">
        <v>5.6410351720021103E-2</v>
      </c>
      <c r="V11" s="4">
        <f t="shared" si="2"/>
        <v>-0.14853280938414626</v>
      </c>
    </row>
    <row r="12" spans="1:22" x14ac:dyDescent="0.25">
      <c r="A12" s="1">
        <v>37104</v>
      </c>
      <c r="B12" s="4">
        <v>6.9184434888920704E-2</v>
      </c>
      <c r="C12" s="4">
        <v>2.7247430194189601E-2</v>
      </c>
      <c r="D12" s="4">
        <v>1.2095494717267501E-2</v>
      </c>
      <c r="E12" s="4">
        <v>4.7807392870747997E-3</v>
      </c>
      <c r="F12" s="4">
        <v>1.6730830774287101E-3</v>
      </c>
      <c r="G12" s="4">
        <v>6.0450446963650796E-3</v>
      </c>
      <c r="H12" s="4">
        <v>5.1841791972325697E-2</v>
      </c>
      <c r="I12" s="4">
        <f t="shared" si="0"/>
        <v>1.1210262268612463</v>
      </c>
      <c r="J12" s="4">
        <v>0.75211645043078001</v>
      </c>
      <c r="K12" s="4">
        <v>0.1584054679636</v>
      </c>
      <c r="L12" s="4">
        <v>0.10490816021859201</v>
      </c>
      <c r="M12" s="4">
        <v>7.5276306237856194E-2</v>
      </c>
      <c r="N12" s="4">
        <v>1.0907063848508201</v>
      </c>
      <c r="O12" s="4">
        <v>1.1417744176643401</v>
      </c>
      <c r="P12" s="10">
        <f t="shared" si="1"/>
        <v>-2.0748190803093758E-2</v>
      </c>
      <c r="S12" s="12">
        <v>36800</v>
      </c>
      <c r="T12" s="4">
        <v>1.8924635850596502E-2</v>
      </c>
      <c r="U12" s="4">
        <v>2.55830138818143E-2</v>
      </c>
      <c r="V12" s="4" t="e">
        <f t="shared" si="2"/>
        <v>#N/A</v>
      </c>
    </row>
    <row r="13" spans="1:22" x14ac:dyDescent="0.25">
      <c r="A13" s="1">
        <v>37135</v>
      </c>
      <c r="B13" s="4">
        <v>8.3641215265785399E-2</v>
      </c>
      <c r="C13" s="4">
        <v>2.1652645850570199E-2</v>
      </c>
      <c r="D13" s="4">
        <v>1.43445798869885E-2</v>
      </c>
      <c r="E13" s="4">
        <v>5.1814941059148299E-3</v>
      </c>
      <c r="F13" s="4">
        <v>2.1753198041023201E-3</v>
      </c>
      <c r="G13" s="4">
        <v>7.7497009642038097E-3</v>
      </c>
      <c r="H13" s="4">
        <v>5.1103740611779601E-2</v>
      </c>
      <c r="I13" s="4">
        <f t="shared" si="0"/>
        <v>1.1347449558775651</v>
      </c>
      <c r="J13" s="4">
        <v>0.76171386410240005</v>
      </c>
      <c r="K13" s="4">
        <v>0.14439401519475001</v>
      </c>
      <c r="L13" s="4">
        <v>0.155319056531939</v>
      </c>
      <c r="M13" s="4">
        <v>3.90336573854346E-2</v>
      </c>
      <c r="N13" s="4">
        <v>1.1004605932145199</v>
      </c>
      <c r="O13" s="4">
        <v>1.13484144803721</v>
      </c>
      <c r="P13" s="10">
        <f t="shared" si="1"/>
        <v>-9.6492159644911979E-5</v>
      </c>
      <c r="S13" s="12">
        <v>36831</v>
      </c>
      <c r="T13" s="4">
        <v>3.2175582334714098E-2</v>
      </c>
      <c r="U13" s="4">
        <v>6.3431994171402703E-2</v>
      </c>
      <c r="V13" s="4">
        <f t="shared" si="2"/>
        <v>-4.731113525687336E-3</v>
      </c>
    </row>
    <row r="14" spans="1:22" x14ac:dyDescent="0.25">
      <c r="A14" s="1">
        <v>37165</v>
      </c>
      <c r="B14" s="4">
        <v>8.23212129447283E-2</v>
      </c>
      <c r="C14" s="4">
        <v>2.49784400154613E-2</v>
      </c>
      <c r="D14" s="4">
        <v>1.6744076993824901E-2</v>
      </c>
      <c r="E14" s="4">
        <v>5.7476189136425604E-3</v>
      </c>
      <c r="F14" s="4">
        <v>2.1140902231707201E-3</v>
      </c>
      <c r="G14" s="4">
        <v>6.6820132677436403E-3</v>
      </c>
      <c r="H14" s="4">
        <v>5.6266239413843101E-2</v>
      </c>
      <c r="I14" s="4">
        <f t="shared" si="0"/>
        <v>1.1385874523585713</v>
      </c>
      <c r="J14" s="4">
        <v>0.72025257069829496</v>
      </c>
      <c r="K14" s="4">
        <v>0.15112229107289399</v>
      </c>
      <c r="L14" s="4">
        <v>0.20839845726565601</v>
      </c>
      <c r="M14" s="4">
        <v>4.1666199869807997E-2</v>
      </c>
      <c r="N14" s="4">
        <v>1.1214395189066499</v>
      </c>
      <c r="O14" s="4">
        <v>1.11026086315163</v>
      </c>
      <c r="P14" s="10">
        <f t="shared" si="1"/>
        <v>2.8326589206941311E-2</v>
      </c>
      <c r="S14" s="12">
        <v>36861</v>
      </c>
      <c r="T14" s="4">
        <v>5.49733108034237E-2</v>
      </c>
      <c r="U14" s="4">
        <v>0.16426409667261199</v>
      </c>
      <c r="V14" s="4">
        <f t="shared" si="2"/>
        <v>-3.6581580163289384E-2</v>
      </c>
    </row>
    <row r="15" spans="1:22" x14ac:dyDescent="0.25">
      <c r="A15" s="1">
        <v>37196</v>
      </c>
      <c r="B15" s="4">
        <v>8.1691858375027696E-2</v>
      </c>
      <c r="C15" s="4">
        <v>2.61952882003176E-2</v>
      </c>
      <c r="D15" s="4">
        <v>1.2876802636483499E-2</v>
      </c>
      <c r="E15" s="4">
        <v>4.5383957599662399E-3</v>
      </c>
      <c r="F15" s="4">
        <v>8.9658523809030895E-4</v>
      </c>
      <c r="G15" s="4">
        <v>7.5156082620492903E-3</v>
      </c>
      <c r="H15" s="4">
        <v>5.2022680096906901E-2</v>
      </c>
      <c r="I15" s="4">
        <f t="shared" si="0"/>
        <v>1.1337145384719345</v>
      </c>
      <c r="J15" s="4">
        <v>0.75714934213293505</v>
      </c>
      <c r="K15" s="4">
        <v>0.16696236742484499</v>
      </c>
      <c r="L15" s="4">
        <v>0.15259661293252499</v>
      </c>
      <c r="M15" s="4">
        <v>4.2206294316778498E-2</v>
      </c>
      <c r="N15" s="4">
        <v>1.11891461680708</v>
      </c>
      <c r="O15" s="4">
        <v>1.15359035624426</v>
      </c>
      <c r="P15" s="10">
        <f t="shared" si="1"/>
        <v>-1.9875817772325499E-2</v>
      </c>
      <c r="S15" s="12">
        <v>36892</v>
      </c>
      <c r="T15" s="4">
        <v>3.75910728677573E-2</v>
      </c>
      <c r="U15" s="4">
        <v>0.16878005337343599</v>
      </c>
      <c r="V15" s="4">
        <f t="shared" si="2"/>
        <v>-2.3576944924120991E-2</v>
      </c>
    </row>
    <row r="16" spans="1:22" x14ac:dyDescent="0.25">
      <c r="A16" s="1">
        <v>37226</v>
      </c>
      <c r="B16" s="4">
        <v>8.1993014245109797E-2</v>
      </c>
      <c r="C16" s="4">
        <v>2.60807383230433E-2</v>
      </c>
      <c r="D16" s="4">
        <v>3.91999020721054E-2</v>
      </c>
      <c r="E16" s="4">
        <v>6.1972168228018399E-3</v>
      </c>
      <c r="F16" s="4">
        <v>2.23551501222127E-3</v>
      </c>
      <c r="G16" s="4">
        <v>9.3882625417574597E-3</v>
      </c>
      <c r="H16" s="4">
        <v>8.3101634771929306E-2</v>
      </c>
      <c r="I16" s="4">
        <f t="shared" si="0"/>
        <v>1.1650946490170391</v>
      </c>
      <c r="J16" s="4">
        <v>0.75994029787232098</v>
      </c>
      <c r="K16" s="4">
        <v>0.161608329402323</v>
      </c>
      <c r="L16" s="4">
        <v>0.163764149317432</v>
      </c>
      <c r="M16" s="4">
        <v>3.67379089025534E-2</v>
      </c>
      <c r="N16" s="4">
        <v>1.1220506854946299</v>
      </c>
      <c r="O16" s="4">
        <v>1.1292550619083499</v>
      </c>
      <c r="P16" s="10">
        <f t="shared" si="1"/>
        <v>3.5839587108689175E-2</v>
      </c>
      <c r="S16" s="12">
        <v>36923</v>
      </c>
      <c r="T16" s="4">
        <v>3.4083487496490497E-2</v>
      </c>
      <c r="U16" s="4">
        <v>0.10963035953075601</v>
      </c>
      <c r="V16" s="4">
        <f t="shared" si="2"/>
        <v>-5.2127162451560016E-2</v>
      </c>
    </row>
    <row r="17" spans="1:22" x14ac:dyDescent="0.25">
      <c r="A17" s="1">
        <v>37257</v>
      </c>
      <c r="B17" s="4">
        <v>8.7576834912327206E-2</v>
      </c>
      <c r="C17" s="4">
        <v>3.4839877402058302E-2</v>
      </c>
      <c r="D17" s="4">
        <v>1.6435539981057099E-2</v>
      </c>
      <c r="E17" s="4">
        <v>5.66537056356348E-3</v>
      </c>
      <c r="F17" s="4">
        <v>3.0455114539301902E-3</v>
      </c>
      <c r="G17" s="4">
        <v>1.11509263137971E-2</v>
      </c>
      <c r="H17" s="4">
        <v>7.1137225714406199E-2</v>
      </c>
      <c r="I17" s="4">
        <f t="shared" si="0"/>
        <v>1.1587140606267334</v>
      </c>
      <c r="J17" s="4">
        <v>0.71054037090183197</v>
      </c>
      <c r="K17" s="4">
        <v>0.17944407635182699</v>
      </c>
      <c r="L17" s="4">
        <v>0.210449043618369</v>
      </c>
      <c r="M17" s="4">
        <v>3.36238166169648E-2</v>
      </c>
      <c r="N17" s="4">
        <v>1.1340573074889899</v>
      </c>
      <c r="O17" s="4">
        <v>1.1112873861985499</v>
      </c>
      <c r="P17" s="10">
        <f t="shared" si="1"/>
        <v>4.7426674428183491E-2</v>
      </c>
      <c r="S17" s="12">
        <v>36951</v>
      </c>
      <c r="T17" s="4">
        <v>4.2661981382809501E-2</v>
      </c>
      <c r="U17" s="4">
        <v>0.104203615307728</v>
      </c>
      <c r="V17" s="4">
        <f t="shared" si="2"/>
        <v>-3.9531037850833783E-2</v>
      </c>
    </row>
    <row r="18" spans="1:22" x14ac:dyDescent="0.25">
      <c r="A18" s="1">
        <v>37288</v>
      </c>
      <c r="B18" s="4">
        <v>9.0089853131241404E-2</v>
      </c>
      <c r="C18" s="4">
        <v>3.7323222373610999E-2</v>
      </c>
      <c r="D18" s="4">
        <v>1.73573408134917E-2</v>
      </c>
      <c r="E18" s="4">
        <v>1.5880251152570801E-2</v>
      </c>
      <c r="F18" s="4">
        <v>1.6587948669329301E-3</v>
      </c>
      <c r="G18" s="4">
        <v>1.1622983994085E-2</v>
      </c>
      <c r="H18" s="4">
        <v>8.3842593200691706E-2</v>
      </c>
      <c r="I18" s="4">
        <f t="shared" si="0"/>
        <v>1.1739324463319332</v>
      </c>
      <c r="J18" s="4">
        <v>0.78832962426089304</v>
      </c>
      <c r="K18" s="4">
        <v>0.20537499514264601</v>
      </c>
      <c r="L18" s="4">
        <v>0.1145822622789</v>
      </c>
      <c r="M18" s="4">
        <v>2.39981288837148E-2</v>
      </c>
      <c r="N18" s="4">
        <v>1.1322850105661499</v>
      </c>
      <c r="O18" s="4">
        <v>1.1210236439186301</v>
      </c>
      <c r="P18" s="10">
        <f t="shared" si="1"/>
        <v>5.2908802413303091E-2</v>
      </c>
      <c r="S18" s="12">
        <v>36982</v>
      </c>
      <c r="T18" s="4">
        <v>2.27949404709074E-2</v>
      </c>
      <c r="U18" s="4">
        <v>0.16803681317233499</v>
      </c>
      <c r="V18" s="4">
        <f t="shared" si="2"/>
        <v>-3.5846426858633373E-2</v>
      </c>
    </row>
    <row r="19" spans="1:22" x14ac:dyDescent="0.25">
      <c r="A19" s="1">
        <v>37316</v>
      </c>
      <c r="B19" s="4">
        <v>8.4294449611061306E-2</v>
      </c>
      <c r="C19" s="4">
        <v>2.1315998088519299E-2</v>
      </c>
      <c r="D19" s="4">
        <v>1.4563196869145201E-2</v>
      </c>
      <c r="E19" s="4">
        <v>4.4123865739186304E-3</v>
      </c>
      <c r="F19" s="4">
        <v>2.8306372787506601E-3</v>
      </c>
      <c r="G19" s="4">
        <v>9.8783473984825707E-3</v>
      </c>
      <c r="H19" s="4">
        <v>5.3000566208816498E-2</v>
      </c>
      <c r="I19" s="4">
        <f t="shared" si="0"/>
        <v>1.1372950158198778</v>
      </c>
      <c r="J19" s="4">
        <v>0.80408883485001503</v>
      </c>
      <c r="K19" s="4">
        <v>0.144535608242021</v>
      </c>
      <c r="L19" s="4">
        <v>0.12671419926196101</v>
      </c>
      <c r="M19" s="4">
        <v>4.1079201747939602E-2</v>
      </c>
      <c r="N19" s="4">
        <v>1.1164178441019299</v>
      </c>
      <c r="O19" s="4">
        <v>1.13236072021596</v>
      </c>
      <c r="P19" s="10">
        <f t="shared" si="1"/>
        <v>4.9342956039177821E-3</v>
      </c>
      <c r="S19" s="12">
        <v>37012</v>
      </c>
      <c r="T19" s="4">
        <v>1.2260310357961501E-2</v>
      </c>
      <c r="U19" s="4">
        <v>0.129999428027468</v>
      </c>
      <c r="V19" s="4">
        <f t="shared" si="2"/>
        <v>4.0167458363387309E-2</v>
      </c>
    </row>
    <row r="20" spans="1:22" x14ac:dyDescent="0.25">
      <c r="A20" s="1">
        <v>37347</v>
      </c>
      <c r="B20" s="4">
        <v>8.7325605995166297E-2</v>
      </c>
      <c r="C20" s="4">
        <v>3.3646166594702098E-2</v>
      </c>
      <c r="D20" s="4">
        <v>1.35347371407211E-2</v>
      </c>
      <c r="E20" s="4">
        <v>5.3817532728323604E-3</v>
      </c>
      <c r="F20" s="4">
        <v>2.1623342977888098E-3</v>
      </c>
      <c r="G20" s="4">
        <v>1.14883954100061E-2</v>
      </c>
      <c r="H20" s="4">
        <v>6.6213386716050607E-2</v>
      </c>
      <c r="I20" s="4">
        <f t="shared" si="0"/>
        <v>1.153538992711217</v>
      </c>
      <c r="J20" s="4">
        <v>0.77469016521476297</v>
      </c>
      <c r="K20" s="4">
        <v>0.16473669703013</v>
      </c>
      <c r="L20" s="4">
        <v>0.136357584738588</v>
      </c>
      <c r="M20" s="4">
        <v>5.62404406628512E-2</v>
      </c>
      <c r="N20" s="4">
        <v>1.1320248876463299</v>
      </c>
      <c r="O20" s="4">
        <v>1.1356532069332299</v>
      </c>
      <c r="P20" s="10">
        <f t="shared" si="1"/>
        <v>1.7885785777987051E-2</v>
      </c>
      <c r="S20" s="12">
        <v>37043</v>
      </c>
      <c r="T20" s="4">
        <v>2.21217698066698E-2</v>
      </c>
      <c r="U20" s="4">
        <v>0.154682867155856</v>
      </c>
      <c r="V20" s="4">
        <f t="shared" si="2"/>
        <v>3.1706849869110876E-3</v>
      </c>
    </row>
    <row r="21" spans="1:22" x14ac:dyDescent="0.25">
      <c r="A21" s="1">
        <v>37377</v>
      </c>
      <c r="B21" s="4">
        <v>8.2148354786449301E-2</v>
      </c>
      <c r="C21" s="4">
        <v>2.61503819783191E-2</v>
      </c>
      <c r="D21" s="4">
        <v>1.29845524484089E-2</v>
      </c>
      <c r="E21" s="4">
        <v>4.6489934251780496E-3</v>
      </c>
      <c r="F21" s="4">
        <v>2.20697246203408E-3</v>
      </c>
      <c r="G21" s="4">
        <v>9.4447960123396502E-3</v>
      </c>
      <c r="H21" s="4">
        <v>5.5435696326279899E-2</v>
      </c>
      <c r="I21" s="4">
        <f t="shared" si="0"/>
        <v>1.1375840511127291</v>
      </c>
      <c r="J21" s="4">
        <v>0.81376856934256203</v>
      </c>
      <c r="K21" s="4">
        <v>0.159448961978714</v>
      </c>
      <c r="L21" s="4">
        <v>0.102427704725592</v>
      </c>
      <c r="M21" s="4">
        <v>2.8681448119302899E-2</v>
      </c>
      <c r="N21" s="4">
        <v>1.1043266841661701</v>
      </c>
      <c r="O21" s="4">
        <v>1.1095811836167599</v>
      </c>
      <c r="P21" s="10">
        <f t="shared" si="1"/>
        <v>2.8002867495969141E-2</v>
      </c>
      <c r="S21" s="12">
        <v>37073</v>
      </c>
      <c r="T21" s="4">
        <v>6.8102281498550493E-2</v>
      </c>
      <c r="U21" s="4">
        <v>0.12509021057825501</v>
      </c>
      <c r="V21" s="4">
        <f t="shared" si="2"/>
        <v>8.364034327874581E-3</v>
      </c>
    </row>
    <row r="22" spans="1:22" x14ac:dyDescent="0.25">
      <c r="A22" s="1">
        <v>37408</v>
      </c>
      <c r="B22" s="4">
        <v>8.7564805022126699E-2</v>
      </c>
      <c r="C22" s="4">
        <v>2.7251755288049601E-2</v>
      </c>
      <c r="D22" s="4">
        <v>1.5732151852569199E-2</v>
      </c>
      <c r="E22" s="4">
        <v>5.2736385576982502E-3</v>
      </c>
      <c r="F22" s="4">
        <v>4.00872706406583E-3</v>
      </c>
      <c r="G22" s="4">
        <v>1.06417036420668E-2</v>
      </c>
      <c r="H22" s="4">
        <v>6.2907976404449895E-2</v>
      </c>
      <c r="I22" s="4">
        <f t="shared" si="0"/>
        <v>1.1504727814265765</v>
      </c>
      <c r="J22" s="4">
        <v>0.80216585972737398</v>
      </c>
      <c r="K22" s="4">
        <v>0.156428614364404</v>
      </c>
      <c r="L22" s="4">
        <v>0.119935899739013</v>
      </c>
      <c r="M22" s="4">
        <v>4.83724950262387E-2</v>
      </c>
      <c r="N22" s="4">
        <v>1.1269028688570299</v>
      </c>
      <c r="O22" s="4">
        <v>1.1309073087303101</v>
      </c>
      <c r="P22" s="10">
        <f t="shared" si="1"/>
        <v>1.9565472696266406E-2</v>
      </c>
      <c r="S22" s="12">
        <v>37104</v>
      </c>
      <c r="T22" s="4">
        <v>6.2680153844560299E-2</v>
      </c>
      <c r="U22" s="4">
        <v>0.15743327487741801</v>
      </c>
      <c r="V22" s="4">
        <f t="shared" si="2"/>
        <v>-2.0748190803093758E-2</v>
      </c>
    </row>
    <row r="23" spans="1:22" x14ac:dyDescent="0.25">
      <c r="A23" s="1">
        <v>37438</v>
      </c>
      <c r="B23" s="4">
        <v>8.4413349411530794E-2</v>
      </c>
      <c r="C23" s="4">
        <v>2.6061666079153899E-2</v>
      </c>
      <c r="D23" s="4">
        <v>1.39802184852722E-2</v>
      </c>
      <c r="E23" s="4">
        <v>4.5590770517633002E-3</v>
      </c>
      <c r="F23" s="4">
        <v>3.9662543640137798E-3</v>
      </c>
      <c r="G23" s="4">
        <v>9.8967442990721601E-3</v>
      </c>
      <c r="H23" s="4">
        <v>5.8463960279275397E-2</v>
      </c>
      <c r="I23" s="4">
        <f t="shared" si="0"/>
        <v>1.1428773096908063</v>
      </c>
      <c r="J23" s="4">
        <v>0.79980163729774501</v>
      </c>
      <c r="K23" s="4">
        <v>0.15865847243828299</v>
      </c>
      <c r="L23" s="4">
        <v>0.107008611279718</v>
      </c>
      <c r="M23" s="4">
        <v>4.5757580818595302E-2</v>
      </c>
      <c r="N23" s="4">
        <v>1.11122630183434</v>
      </c>
      <c r="O23" s="4">
        <v>1.11282479557382</v>
      </c>
      <c r="P23" s="10">
        <f t="shared" si="1"/>
        <v>3.0052514116986284E-2</v>
      </c>
      <c r="S23" s="12">
        <v>37135</v>
      </c>
      <c r="T23" s="4">
        <v>5.4134330492185703E-2</v>
      </c>
      <c r="U23" s="4">
        <v>0.21029782568432501</v>
      </c>
      <c r="V23" s="4">
        <f t="shared" si="2"/>
        <v>-9.6492159644911979E-5</v>
      </c>
    </row>
    <row r="24" spans="1:22" x14ac:dyDescent="0.25">
      <c r="A24" s="1">
        <v>37469</v>
      </c>
      <c r="B24" s="4">
        <v>8.7852492149950501E-2</v>
      </c>
      <c r="C24" s="4">
        <v>3.0688491322366999E-2</v>
      </c>
      <c r="D24" s="4">
        <v>1.3412740272315E-2</v>
      </c>
      <c r="E24" s="4">
        <v>4.9352569813116602E-3</v>
      </c>
      <c r="F24" s="4">
        <v>4.2025780205561403E-3</v>
      </c>
      <c r="G24" s="4">
        <v>9.6110825389832504E-3</v>
      </c>
      <c r="H24" s="4">
        <v>6.2850149135533107E-2</v>
      </c>
      <c r="I24" s="4">
        <f t="shared" si="0"/>
        <v>1.1507026412854837</v>
      </c>
      <c r="J24" s="4">
        <v>0.79947599495357702</v>
      </c>
      <c r="K24" s="4">
        <v>0.17146336827393699</v>
      </c>
      <c r="L24" s="4">
        <v>0.10396826607089001</v>
      </c>
      <c r="M24" s="4">
        <v>3.8571407837588202E-2</v>
      </c>
      <c r="N24" s="4">
        <v>1.1134790371359899</v>
      </c>
      <c r="O24" s="4">
        <v>1.11155755444614</v>
      </c>
      <c r="P24" s="10">
        <f t="shared" si="1"/>
        <v>3.9145086839343701E-2</v>
      </c>
      <c r="S24" s="12">
        <v>37165</v>
      </c>
      <c r="T24" s="4">
        <v>6.4409434926800804E-2</v>
      </c>
      <c r="U24" s="4">
        <v>0.177830765916935</v>
      </c>
      <c r="V24" s="4">
        <f t="shared" si="2"/>
        <v>2.8326589206941311E-2</v>
      </c>
    </row>
    <row r="25" spans="1:22" x14ac:dyDescent="0.25">
      <c r="A25" s="1">
        <v>37500</v>
      </c>
      <c r="B25" s="4">
        <v>8.5135660231266203E-2</v>
      </c>
      <c r="C25" s="4">
        <v>2.8316824534306902E-2</v>
      </c>
      <c r="D25" s="4">
        <v>1.3874175679639E-2</v>
      </c>
      <c r="E25" s="4">
        <v>4.0949318550824697E-3</v>
      </c>
      <c r="F25" s="4">
        <v>3.5499364212872499E-3</v>
      </c>
      <c r="G25" s="4">
        <v>9.3144565105568594E-3</v>
      </c>
      <c r="H25" s="4">
        <v>5.9150325000872597E-2</v>
      </c>
      <c r="I25" s="4">
        <f t="shared" si="0"/>
        <v>1.1442859852321388</v>
      </c>
      <c r="J25" s="4">
        <v>0.82278718644276405</v>
      </c>
      <c r="K25" s="4">
        <v>0.1454841562916</v>
      </c>
      <c r="L25" s="4">
        <v>0.10519356379078899</v>
      </c>
      <c r="M25" s="4">
        <v>2.3584065716873499E-2</v>
      </c>
      <c r="N25" s="4">
        <v>1.09704897224202</v>
      </c>
      <c r="O25" s="4">
        <v>1.10715210555636</v>
      </c>
      <c r="P25" s="10">
        <f t="shared" si="1"/>
        <v>3.7133879675778747E-2</v>
      </c>
      <c r="S25" s="12">
        <v>37196</v>
      </c>
      <c r="T25" s="4">
        <v>9.0237869397039205E-2</v>
      </c>
      <c r="U25" s="4">
        <v>0.17519871554531399</v>
      </c>
      <c r="V25" s="4">
        <f t="shared" si="2"/>
        <v>-1.9875817772325499E-2</v>
      </c>
    </row>
    <row r="26" spans="1:22" x14ac:dyDescent="0.25">
      <c r="A26" s="1">
        <v>37530</v>
      </c>
      <c r="B26" s="4">
        <v>8.9694041846569594E-2</v>
      </c>
      <c r="C26" s="4">
        <v>3.1361741438542201E-2</v>
      </c>
      <c r="D26" s="4">
        <v>1.45185985830236E-2</v>
      </c>
      <c r="E26" s="4">
        <v>5.0590419905928597E-3</v>
      </c>
      <c r="F26" s="4">
        <v>4.1514929675075104E-3</v>
      </c>
      <c r="G26" s="4">
        <v>1.05389663584984E-2</v>
      </c>
      <c r="H26" s="4">
        <v>6.5629841338164699E-2</v>
      </c>
      <c r="I26" s="4">
        <f t="shared" si="0"/>
        <v>1.1553238831847343</v>
      </c>
      <c r="J26" s="4">
        <v>0.798375578999034</v>
      </c>
      <c r="K26" s="4">
        <v>0.16746507397906901</v>
      </c>
      <c r="L26" s="4">
        <v>0.12792330367093999</v>
      </c>
      <c r="M26" s="4">
        <v>2.87290012918331E-2</v>
      </c>
      <c r="N26" s="4">
        <v>1.12249295794087</v>
      </c>
      <c r="O26" s="4">
        <v>1.1195794039776199</v>
      </c>
      <c r="P26" s="10">
        <f t="shared" si="1"/>
        <v>3.5744479207114432E-2</v>
      </c>
      <c r="S26" s="12">
        <v>37226</v>
      </c>
      <c r="T26" s="4">
        <v>7.3761007184129798E-2</v>
      </c>
      <c r="U26" s="4">
        <v>0.153490677385233</v>
      </c>
      <c r="V26" s="4">
        <f t="shared" si="2"/>
        <v>3.5839587108689175E-2</v>
      </c>
    </row>
    <row r="27" spans="1:22" x14ac:dyDescent="0.25">
      <c r="A27" s="1">
        <v>37561</v>
      </c>
      <c r="B27" s="4">
        <v>8.6514017074393906E-2</v>
      </c>
      <c r="C27" s="4">
        <v>2.92980764173453E-2</v>
      </c>
      <c r="D27" s="4">
        <v>1.5002638261291499E-2</v>
      </c>
      <c r="E27" s="4">
        <v>4.3909656705267202E-3</v>
      </c>
      <c r="F27" s="4">
        <v>2.81427952826111E-3</v>
      </c>
      <c r="G27" s="4">
        <v>1.19503683719337E-2</v>
      </c>
      <c r="H27" s="4">
        <v>6.3456328249358498E-2</v>
      </c>
      <c r="I27" s="4">
        <f t="shared" si="0"/>
        <v>1.1499703453237524</v>
      </c>
      <c r="J27" s="4">
        <v>0.765974071026298</v>
      </c>
      <c r="K27" s="4">
        <v>0.16982398823518299</v>
      </c>
      <c r="L27" s="4">
        <v>0.120705165222388</v>
      </c>
      <c r="M27" s="4">
        <v>5.9437222518045299E-2</v>
      </c>
      <c r="N27" s="4">
        <v>1.1159404470019101</v>
      </c>
      <c r="O27" s="4">
        <v>1.0983520713994599</v>
      </c>
      <c r="P27" s="10">
        <f t="shared" si="1"/>
        <v>5.1618273924292524E-2</v>
      </c>
      <c r="S27" s="12">
        <v>37257</v>
      </c>
      <c r="T27" s="4">
        <v>7.1665453962074896E-2</v>
      </c>
      <c r="U27" s="4">
        <v>0.157357744180084</v>
      </c>
      <c r="V27" s="4">
        <f t="shared" si="2"/>
        <v>4.7426674428183491E-2</v>
      </c>
    </row>
    <row r="28" spans="1:22" x14ac:dyDescent="0.25">
      <c r="A28" s="1">
        <v>37591</v>
      </c>
      <c r="B28" s="4">
        <v>8.66245609737296E-2</v>
      </c>
      <c r="C28" s="4">
        <v>2.83729894254569E-2</v>
      </c>
      <c r="D28" s="4">
        <v>1.41218965666913E-2</v>
      </c>
      <c r="E28" s="4">
        <v>4.9041602203200403E-3</v>
      </c>
      <c r="F28" s="4">
        <v>3.6353678500961901E-3</v>
      </c>
      <c r="G28" s="4">
        <v>1.25440109794303E-2</v>
      </c>
      <c r="H28" s="4">
        <v>6.3578425041994902E-2</v>
      </c>
      <c r="I28" s="4">
        <f t="shared" si="0"/>
        <v>1.1502029860157246</v>
      </c>
      <c r="J28" s="4">
        <v>0.815351561054663</v>
      </c>
      <c r="K28" s="4">
        <v>0.16276849290892201</v>
      </c>
      <c r="L28" s="4">
        <v>0.11458865694996501</v>
      </c>
      <c r="M28" s="4">
        <v>2.4106838261951001E-2</v>
      </c>
      <c r="N28" s="4">
        <v>1.1168155491755001</v>
      </c>
      <c r="O28" s="4">
        <v>1.1127209645426399</v>
      </c>
      <c r="P28" s="10">
        <f t="shared" si="1"/>
        <v>3.7482021473084659E-2</v>
      </c>
      <c r="S28" s="12">
        <v>37288</v>
      </c>
      <c r="T28" s="4">
        <v>6.4029798459877996E-2</v>
      </c>
      <c r="U28" s="4">
        <v>0.12079583584112499</v>
      </c>
      <c r="V28" s="4">
        <f t="shared" si="2"/>
        <v>5.2908802413303091E-2</v>
      </c>
    </row>
    <row r="29" spans="1:22" x14ac:dyDescent="0.25">
      <c r="A29" s="1">
        <v>37622</v>
      </c>
      <c r="B29" s="4">
        <v>8.8667005937121804E-2</v>
      </c>
      <c r="C29" s="4">
        <v>3.58656429260985E-2</v>
      </c>
      <c r="D29" s="4">
        <v>1.3207153325934201E-2</v>
      </c>
      <c r="E29" s="4">
        <v>4.82909808034062E-3</v>
      </c>
      <c r="F29" s="4">
        <v>3.65107699586444E-3</v>
      </c>
      <c r="G29" s="4">
        <v>1.2457722941753201E-2</v>
      </c>
      <c r="H29" s="4">
        <v>7.0010694269991E-2</v>
      </c>
      <c r="I29" s="4">
        <f t="shared" si="0"/>
        <v>1.1586777002071127</v>
      </c>
      <c r="J29" s="4">
        <v>0.76040655363158405</v>
      </c>
      <c r="K29" s="4">
        <v>0.16775654153570499</v>
      </c>
      <c r="L29" s="4">
        <v>0.13285049863842199</v>
      </c>
      <c r="M29" s="4">
        <v>5.0831243193459302E-2</v>
      </c>
      <c r="N29" s="4">
        <v>1.11184483699917</v>
      </c>
      <c r="O29" s="4">
        <v>1.10469806905287</v>
      </c>
      <c r="P29" s="10">
        <f t="shared" si="1"/>
        <v>5.3979631154242647E-2</v>
      </c>
      <c r="S29" s="12">
        <v>37316</v>
      </c>
      <c r="T29" s="4">
        <v>6.29535055729252E-2</v>
      </c>
      <c r="U29" s="4">
        <v>0.11987605219661</v>
      </c>
      <c r="V29" s="4">
        <f t="shared" si="2"/>
        <v>4.9342956039177821E-3</v>
      </c>
    </row>
    <row r="30" spans="1:22" x14ac:dyDescent="0.25">
      <c r="A30" s="1">
        <v>37653</v>
      </c>
      <c r="B30" s="4">
        <v>8.4020011958461593E-2</v>
      </c>
      <c r="C30" s="4">
        <v>3.08149452423058E-2</v>
      </c>
      <c r="D30" s="4">
        <v>1.3417164882983799E-2</v>
      </c>
      <c r="E30" s="4">
        <v>7.7046053187848603E-3</v>
      </c>
      <c r="F30" s="4">
        <v>3.4862463622195201E-3</v>
      </c>
      <c r="G30" s="4">
        <v>1.3771398377123699E-2</v>
      </c>
      <c r="H30" s="4">
        <v>6.9194360183417805E-2</v>
      </c>
      <c r="I30" s="4">
        <f t="shared" si="0"/>
        <v>1.1532143721418793</v>
      </c>
      <c r="J30" s="4">
        <v>0.794569523160918</v>
      </c>
      <c r="K30" s="4">
        <v>0.18075138999439999</v>
      </c>
      <c r="L30" s="4">
        <v>0.10097521341362101</v>
      </c>
      <c r="M30" s="4">
        <v>2.6097067493349699E-2</v>
      </c>
      <c r="N30" s="4">
        <v>1.10239319406228</v>
      </c>
      <c r="O30" s="4">
        <v>1.1041959259456</v>
      </c>
      <c r="P30" s="10">
        <f t="shared" si="1"/>
        <v>4.9018446196279264E-2</v>
      </c>
      <c r="S30" s="12">
        <v>37347</v>
      </c>
      <c r="T30" s="4">
        <v>6.3590235011097701E-2</v>
      </c>
      <c r="U30" s="4">
        <v>0.12584440707275399</v>
      </c>
      <c r="V30" s="4">
        <f t="shared" si="2"/>
        <v>1.7885785777987051E-2</v>
      </c>
    </row>
    <row r="31" spans="1:22" x14ac:dyDescent="0.25">
      <c r="A31" s="1">
        <v>37681</v>
      </c>
      <c r="B31" s="4">
        <v>8.8530137228132896E-2</v>
      </c>
      <c r="C31" s="4">
        <v>2.92039940485826E-2</v>
      </c>
      <c r="D31" s="4">
        <v>1.3476910008651199E-2</v>
      </c>
      <c r="E31" s="4">
        <v>4.8923148949937796E-3</v>
      </c>
      <c r="F31" s="4">
        <v>3.7794729495400298E-3</v>
      </c>
      <c r="G31" s="4">
        <v>1.38822431895001E-2</v>
      </c>
      <c r="H31" s="4">
        <v>6.5234935091267807E-2</v>
      </c>
      <c r="I31" s="4">
        <f t="shared" si="0"/>
        <v>1.1537650723194006</v>
      </c>
      <c r="J31" s="4">
        <v>0.79827395911190202</v>
      </c>
      <c r="K31" s="4">
        <v>0.16035070692605499</v>
      </c>
      <c r="L31" s="4">
        <v>0.121533496272027</v>
      </c>
      <c r="M31" s="4">
        <v>3.0103686342071501E-2</v>
      </c>
      <c r="N31" s="4">
        <v>1.1102618486520499</v>
      </c>
      <c r="O31" s="4">
        <v>1.1075643868449701</v>
      </c>
      <c r="P31" s="10">
        <f t="shared" si="1"/>
        <v>4.6200685474430569E-2</v>
      </c>
      <c r="S31" s="12">
        <v>37377</v>
      </c>
      <c r="T31" s="4">
        <v>8.24362009939415E-2</v>
      </c>
      <c r="U31" s="4">
        <v>0.15979382337942899</v>
      </c>
      <c r="V31" s="4">
        <f t="shared" si="2"/>
        <v>2.8002867495969141E-2</v>
      </c>
    </row>
    <row r="32" spans="1:22" x14ac:dyDescent="0.25">
      <c r="A32" s="1">
        <v>37712</v>
      </c>
      <c r="B32" s="4">
        <v>8.9821804528490604E-2</v>
      </c>
      <c r="C32" s="4">
        <v>3.4615592440021298E-2</v>
      </c>
      <c r="D32" s="4">
        <v>1.35929888379935E-2</v>
      </c>
      <c r="E32" s="4">
        <v>4.8733728764452904E-3</v>
      </c>
      <c r="F32" s="4">
        <v>2.8166094230429998E-3</v>
      </c>
      <c r="G32" s="4">
        <v>1.3116290374460699E-2</v>
      </c>
      <c r="H32" s="4">
        <v>6.9014853951963898E-2</v>
      </c>
      <c r="I32" s="4">
        <f t="shared" si="0"/>
        <v>1.1588366584804546</v>
      </c>
      <c r="J32" s="4">
        <v>0.76948366569549498</v>
      </c>
      <c r="K32" s="4">
        <v>0.17559151571839901</v>
      </c>
      <c r="L32" s="4">
        <v>0.117598963308854</v>
      </c>
      <c r="M32" s="4">
        <v>3.9033786133436402E-2</v>
      </c>
      <c r="N32" s="4">
        <v>1.1017079308561799</v>
      </c>
      <c r="O32" s="4">
        <v>1.09592217081662</v>
      </c>
      <c r="P32" s="10">
        <f t="shared" si="1"/>
        <v>6.2914487663834562E-2</v>
      </c>
      <c r="S32" s="12">
        <v>37408</v>
      </c>
      <c r="T32" s="4">
        <v>5.8617507897732901E-2</v>
      </c>
      <c r="U32" s="4">
        <v>0.13418828158071</v>
      </c>
      <c r="V32" s="4">
        <f t="shared" si="2"/>
        <v>1.9565472696266406E-2</v>
      </c>
    </row>
    <row r="33" spans="1:22" x14ac:dyDescent="0.25">
      <c r="A33" s="1">
        <v>37742</v>
      </c>
      <c r="B33" s="4">
        <v>8.8888016342953402E-2</v>
      </c>
      <c r="C33" s="4">
        <v>3.4701043612007501E-2</v>
      </c>
      <c r="D33" s="4">
        <v>1.45339715233022E-2</v>
      </c>
      <c r="E33" s="4">
        <v>4.7660223995240501E-3</v>
      </c>
      <c r="F33" s="4">
        <v>3.1488972640314598E-3</v>
      </c>
      <c r="G33" s="4">
        <v>1.28733554762942E-2</v>
      </c>
      <c r="H33" s="4">
        <v>7.0023290275159605E-2</v>
      </c>
      <c r="I33" s="4">
        <f t="shared" si="0"/>
        <v>1.1589113066181129</v>
      </c>
      <c r="J33" s="4">
        <v>0.79967743693628002</v>
      </c>
      <c r="K33" s="4">
        <v>0.16358467779274199</v>
      </c>
      <c r="L33" s="4">
        <v>0.10750111517920199</v>
      </c>
      <c r="M33" s="4">
        <v>3.9004817142411503E-2</v>
      </c>
      <c r="N33" s="4">
        <v>1.1097680470506299</v>
      </c>
      <c r="O33" s="4">
        <v>1.0919597260604801</v>
      </c>
      <c r="P33" s="10">
        <f t="shared" si="1"/>
        <v>6.6951580557632839E-2</v>
      </c>
      <c r="S33" s="12">
        <v>37438</v>
      </c>
      <c r="T33" s="4">
        <v>7.5367001158525807E-2</v>
      </c>
      <c r="U33" s="4">
        <v>0.156033843035501</v>
      </c>
      <c r="V33" s="4">
        <f t="shared" si="2"/>
        <v>3.0052514116986284E-2</v>
      </c>
    </row>
    <row r="34" spans="1:22" x14ac:dyDescent="0.25">
      <c r="A34" s="1">
        <v>37773</v>
      </c>
      <c r="B34" s="4">
        <v>8.6886099361692601E-2</v>
      </c>
      <c r="C34" s="4">
        <v>2.79181044974398E-2</v>
      </c>
      <c r="D34" s="4">
        <v>1.22579120665163E-2</v>
      </c>
      <c r="E34" s="4">
        <v>4.1572821288605403E-3</v>
      </c>
      <c r="F34" s="4">
        <v>2.8105561378920499E-3</v>
      </c>
      <c r="G34" s="4">
        <v>1.16122319521081E-2</v>
      </c>
      <c r="H34" s="4">
        <v>5.8756086782816998E-2</v>
      </c>
      <c r="I34" s="4">
        <f t="shared" si="0"/>
        <v>1.1456421861445096</v>
      </c>
      <c r="J34" s="4">
        <v>0.79069329527046495</v>
      </c>
      <c r="K34" s="4">
        <v>0.14231665535446</v>
      </c>
      <c r="L34" s="4">
        <v>0.132236759339522</v>
      </c>
      <c r="M34" s="4">
        <v>3.6951676429781297E-2</v>
      </c>
      <c r="N34" s="4">
        <v>1.10219838639422</v>
      </c>
      <c r="O34" s="4">
        <v>1.08232228683853</v>
      </c>
      <c r="P34" s="10">
        <f t="shared" si="1"/>
        <v>6.3319899305979588E-2</v>
      </c>
      <c r="S34" s="12">
        <v>37469</v>
      </c>
      <c r="T34" s="4">
        <v>8.3452542639223498E-2</v>
      </c>
      <c r="U34" s="4">
        <v>0.166518620040641</v>
      </c>
      <c r="V34" s="4">
        <f t="shared" si="2"/>
        <v>3.9145086839343701E-2</v>
      </c>
    </row>
    <row r="35" spans="1:22" x14ac:dyDescent="0.25">
      <c r="A35" s="1">
        <v>37803</v>
      </c>
      <c r="B35" s="4">
        <v>8.9278091647453497E-2</v>
      </c>
      <c r="C35" s="4">
        <v>2.8988498363168101E-2</v>
      </c>
      <c r="D35" s="4">
        <v>1.7658212312512401E-2</v>
      </c>
      <c r="E35" s="4">
        <v>4.1411959460919204E-3</v>
      </c>
      <c r="F35" s="4">
        <v>3.3212734700997898E-3</v>
      </c>
      <c r="G35" s="4">
        <v>1.21988895621583E-2</v>
      </c>
      <c r="H35" s="4">
        <v>6.6308069654030605E-2</v>
      </c>
      <c r="I35" s="4">
        <f t="shared" si="0"/>
        <v>1.1555861613014842</v>
      </c>
      <c r="J35" s="4">
        <v>0.77660953540227895</v>
      </c>
      <c r="K35" s="4">
        <v>0.159882246615553</v>
      </c>
      <c r="L35" s="4">
        <v>0.116382452470238</v>
      </c>
      <c r="M35" s="4">
        <v>3.3298664776697399E-2</v>
      </c>
      <c r="N35" s="4">
        <v>1.0861728992647599</v>
      </c>
      <c r="O35" s="4">
        <v>1.0839005680107601</v>
      </c>
      <c r="P35" s="10">
        <f t="shared" si="1"/>
        <v>7.1685593290724103E-2</v>
      </c>
      <c r="S35" s="12">
        <v>37500</v>
      </c>
      <c r="T35" s="4">
        <v>7.5708547748378804E-2</v>
      </c>
      <c r="U35" s="4">
        <v>0.18245098530090101</v>
      </c>
      <c r="V35" s="4">
        <f t="shared" si="2"/>
        <v>3.7133879675778747E-2</v>
      </c>
    </row>
    <row r="36" spans="1:22" x14ac:dyDescent="0.25">
      <c r="A36" s="1">
        <v>37834</v>
      </c>
      <c r="B36" s="4">
        <v>8.7898950202223394E-2</v>
      </c>
      <c r="C36" s="4">
        <v>3.13804871232813E-2</v>
      </c>
      <c r="D36" s="4">
        <v>1.4957279928662699E-2</v>
      </c>
      <c r="E36" s="4">
        <v>3.9284676729692096E-3</v>
      </c>
      <c r="F36" s="4">
        <v>2.9986538698910099E-3</v>
      </c>
      <c r="G36" s="4">
        <v>1.22690943309442E-2</v>
      </c>
      <c r="H36" s="4">
        <v>6.5533982925748399E-2</v>
      </c>
      <c r="I36" s="4">
        <f t="shared" si="0"/>
        <v>1.1534329331279718</v>
      </c>
      <c r="J36" s="4">
        <v>0.75066383168929096</v>
      </c>
      <c r="K36" s="4">
        <v>0.14688137359584499</v>
      </c>
      <c r="L36" s="4">
        <v>0.160713005709548</v>
      </c>
      <c r="M36" s="4">
        <v>2.9457509310470399E-2</v>
      </c>
      <c r="N36" s="4">
        <v>1.08771572030515</v>
      </c>
      <c r="O36" s="4">
        <v>1.0854129120148699</v>
      </c>
      <c r="P36" s="10">
        <f t="shared" si="1"/>
        <v>6.8020021113101903E-2</v>
      </c>
      <c r="S36" s="12">
        <v>37530</v>
      </c>
      <c r="T36" s="4">
        <v>9.7112611452362801E-2</v>
      </c>
      <c r="U36" s="4">
        <v>0.19076025642616701</v>
      </c>
      <c r="V36" s="4">
        <f t="shared" si="2"/>
        <v>3.5744479207114432E-2</v>
      </c>
    </row>
    <row r="37" spans="1:22" x14ac:dyDescent="0.25">
      <c r="A37" s="1">
        <v>37865</v>
      </c>
      <c r="B37" s="4">
        <v>8.6182644915306805E-2</v>
      </c>
      <c r="C37" s="4">
        <v>2.9288201172980099E-2</v>
      </c>
      <c r="D37" s="4">
        <v>1.40901568781687E-2</v>
      </c>
      <c r="E37" s="4">
        <v>6.46224243108778E-3</v>
      </c>
      <c r="F37" s="4">
        <v>3.5803759188121199E-3</v>
      </c>
      <c r="G37" s="4">
        <v>1.1271400734769101E-2</v>
      </c>
      <c r="H37" s="4">
        <v>6.4692377135818005E-2</v>
      </c>
      <c r="I37" s="4">
        <f t="shared" si="0"/>
        <v>1.1508750220511248</v>
      </c>
      <c r="J37" s="4">
        <v>0.74433008144763702</v>
      </c>
      <c r="K37" s="4">
        <v>0.16284232673965801</v>
      </c>
      <c r="L37" s="4">
        <v>0.13886784264409299</v>
      </c>
      <c r="M37" s="4">
        <v>4.8163110437092198E-2</v>
      </c>
      <c r="N37" s="4">
        <v>1.0942033612684801</v>
      </c>
      <c r="O37" s="4">
        <v>1.0860256523887499</v>
      </c>
      <c r="P37" s="10">
        <f t="shared" si="1"/>
        <v>6.4849369662374867E-2</v>
      </c>
      <c r="S37" s="12">
        <v>37561</v>
      </c>
      <c r="T37" s="4">
        <v>8.47779204903511E-2</v>
      </c>
      <c r="U37" s="4">
        <v>0.17858400687654499</v>
      </c>
      <c r="V37" s="4">
        <f t="shared" si="2"/>
        <v>5.1618273924292524E-2</v>
      </c>
    </row>
    <row r="38" spans="1:22" x14ac:dyDescent="0.25">
      <c r="A38" s="1">
        <v>37895</v>
      </c>
      <c r="B38" s="4">
        <v>8.94282147552308E-2</v>
      </c>
      <c r="C38" s="4">
        <v>2.92717993660923E-2</v>
      </c>
      <c r="D38" s="4">
        <v>1.51740953108216E-2</v>
      </c>
      <c r="E38" s="4">
        <v>3.4273184836677798E-3</v>
      </c>
      <c r="F38" s="4">
        <v>3.59858457956751E-3</v>
      </c>
      <c r="G38" s="4">
        <v>1.19415631591346E-2</v>
      </c>
      <c r="H38" s="4">
        <v>6.3413360899283899E-2</v>
      </c>
      <c r="I38" s="4">
        <f t="shared" si="0"/>
        <v>1.1528415756545147</v>
      </c>
      <c r="J38" s="4">
        <v>0.73596020099444104</v>
      </c>
      <c r="K38" s="4">
        <v>0.148546101805795</v>
      </c>
      <c r="L38" s="4">
        <v>0.14562233334209301</v>
      </c>
      <c r="M38" s="4">
        <v>4.4825034419669799E-2</v>
      </c>
      <c r="N38" s="4">
        <v>1.074953670562</v>
      </c>
      <c r="O38" s="4">
        <v>1.0820324316987799</v>
      </c>
      <c r="P38" s="10">
        <f t="shared" si="1"/>
        <v>7.0809143955734788E-2</v>
      </c>
      <c r="S38" s="12">
        <v>37591</v>
      </c>
      <c r="T38" s="4">
        <v>8.7997268462440797E-2</v>
      </c>
      <c r="U38" s="4">
        <v>0.20119307644252399</v>
      </c>
      <c r="V38" s="4">
        <f t="shared" si="2"/>
        <v>3.7482021473084659E-2</v>
      </c>
    </row>
    <row r="39" spans="1:22" x14ac:dyDescent="0.25">
      <c r="A39" s="1">
        <v>37926</v>
      </c>
      <c r="B39" s="4">
        <v>8.7281355458396506E-2</v>
      </c>
      <c r="C39" s="4">
        <v>3.0482078780270701E-2</v>
      </c>
      <c r="D39" s="4">
        <v>1.4916097083808699E-2</v>
      </c>
      <c r="E39" s="4">
        <v>4.1127109787649297E-3</v>
      </c>
      <c r="F39" s="4">
        <v>3.5598317821759402E-3</v>
      </c>
      <c r="G39" s="4">
        <v>1.26157423986628E-2</v>
      </c>
      <c r="H39" s="4">
        <v>6.5686461023683196E-2</v>
      </c>
      <c r="I39" s="4">
        <f t="shared" si="0"/>
        <v>1.1529678164820796</v>
      </c>
      <c r="J39" s="4">
        <v>0.753935151126915</v>
      </c>
      <c r="K39" s="4">
        <v>0.14959090665074701</v>
      </c>
      <c r="L39" s="4">
        <v>0.14716278558377399</v>
      </c>
      <c r="M39" s="4">
        <v>3.8693347535634297E-2</v>
      </c>
      <c r="N39" s="4">
        <v>1.08938219089707</v>
      </c>
      <c r="O39" s="4">
        <v>1.07865229902483</v>
      </c>
      <c r="P39" s="10">
        <f t="shared" si="1"/>
        <v>7.4315517457249625E-2</v>
      </c>
      <c r="S39" s="12">
        <v>37622</v>
      </c>
      <c r="T39" s="4">
        <v>0.103358706123988</v>
      </c>
      <c r="U39" s="4">
        <v>0.17601681613574599</v>
      </c>
      <c r="V39" s="4">
        <f t="shared" si="2"/>
        <v>5.3979631154242647E-2</v>
      </c>
    </row>
    <row r="40" spans="1:22" x14ac:dyDescent="0.25">
      <c r="A40" s="1">
        <v>37956</v>
      </c>
      <c r="B40" s="4">
        <v>9.0162471419852494E-2</v>
      </c>
      <c r="C40" s="4">
        <v>3.6929131155867802E-2</v>
      </c>
      <c r="D40" s="4">
        <v>1.44585950318058E-2</v>
      </c>
      <c r="E40" s="4">
        <v>4.14634931012689E-3</v>
      </c>
      <c r="F40" s="4">
        <v>4.4657885866151298E-3</v>
      </c>
      <c r="G40" s="4">
        <v>1.52937995222209E-2</v>
      </c>
      <c r="H40" s="4">
        <v>7.5293663606636696E-2</v>
      </c>
      <c r="I40" s="4">
        <f t="shared" si="0"/>
        <v>1.1654561350264891</v>
      </c>
      <c r="J40" s="4">
        <v>0.75093294719671499</v>
      </c>
      <c r="K40" s="4">
        <v>0.15671454187633499</v>
      </c>
      <c r="L40" s="4">
        <v>0.11808861847397201</v>
      </c>
      <c r="M40" s="4">
        <v>7.5557354901413298E-2</v>
      </c>
      <c r="N40" s="4">
        <v>1.1012934624484301</v>
      </c>
      <c r="O40" s="4">
        <v>1.08674176566389</v>
      </c>
      <c r="P40" s="10">
        <f t="shared" si="1"/>
        <v>7.8714369362599124E-2</v>
      </c>
      <c r="S40" s="12">
        <v>37653</v>
      </c>
      <c r="T40" s="4">
        <v>7.5969755320466695E-2</v>
      </c>
      <c r="U40" s="4">
        <v>0.17661951699013601</v>
      </c>
      <c r="V40" s="4">
        <f t="shared" si="2"/>
        <v>4.9018446196279264E-2</v>
      </c>
    </row>
    <row r="41" spans="1:22" x14ac:dyDescent="0.25">
      <c r="A41" s="1">
        <v>37987</v>
      </c>
      <c r="B41" s="4">
        <v>8.6899541215900405E-2</v>
      </c>
      <c r="C41" s="4">
        <v>2.9399482047198201E-2</v>
      </c>
      <c r="D41" s="4">
        <v>1.3033110928312599E-2</v>
      </c>
      <c r="E41" s="4">
        <v>3.8708509053935699E-3</v>
      </c>
      <c r="F41" s="4">
        <v>3.66211536137683E-3</v>
      </c>
      <c r="G41" s="4">
        <v>1.42395014907671E-2</v>
      </c>
      <c r="H41" s="4">
        <v>6.4205060733048394E-2</v>
      </c>
      <c r="I41" s="4">
        <f t="shared" si="0"/>
        <v>1.1511046019489488</v>
      </c>
      <c r="J41" s="4">
        <v>0.75540021585232797</v>
      </c>
      <c r="K41" s="4">
        <v>0.137808189946728</v>
      </c>
      <c r="L41" s="4">
        <v>0.13752921252029701</v>
      </c>
      <c r="M41" s="4">
        <v>4.8274146729464402E-2</v>
      </c>
      <c r="N41" s="4">
        <v>1.07901176504881</v>
      </c>
      <c r="O41" s="4">
        <v>1.0824965851396899</v>
      </c>
      <c r="P41" s="10">
        <f t="shared" si="1"/>
        <v>6.8608016809258876E-2</v>
      </c>
      <c r="S41" s="12">
        <v>37681</v>
      </c>
      <c r="T41" s="4">
        <v>8.1157300061189194E-2</v>
      </c>
      <c r="U41" s="4">
        <v>0.19002953706307099</v>
      </c>
      <c r="V41" s="4">
        <f t="shared" si="2"/>
        <v>4.6200685474430569E-2</v>
      </c>
    </row>
    <row r="42" spans="1:22" x14ac:dyDescent="0.25">
      <c r="A42" s="1">
        <v>38018</v>
      </c>
      <c r="B42" s="4">
        <v>8.9969620698563402E-2</v>
      </c>
      <c r="C42" s="4">
        <v>2.98838154204592E-2</v>
      </c>
      <c r="D42" s="4">
        <v>1.50617421434314E-2</v>
      </c>
      <c r="E42" s="4">
        <v>4.4495016233507502E-3</v>
      </c>
      <c r="F42" s="4">
        <v>3.69110868182464E-3</v>
      </c>
      <c r="G42" s="4">
        <v>1.50403792841271E-2</v>
      </c>
      <c r="H42" s="4">
        <v>6.8126547153193204E-2</v>
      </c>
      <c r="I42" s="4">
        <f t="shared" si="0"/>
        <v>1.1580961678517565</v>
      </c>
      <c r="J42" s="4">
        <v>0.757048362246594</v>
      </c>
      <c r="K42" s="4">
        <v>0.16960729935911201</v>
      </c>
      <c r="L42" s="4">
        <v>0.13235080438263699</v>
      </c>
      <c r="M42" s="4">
        <v>3.3387232856618099E-2</v>
      </c>
      <c r="N42" s="4">
        <v>1.0923936988449601</v>
      </c>
      <c r="O42" s="4">
        <v>1.0961310703690801</v>
      </c>
      <c r="P42" s="10">
        <f t="shared" si="1"/>
        <v>6.1965097482676423E-2</v>
      </c>
      <c r="S42" s="12">
        <v>37712</v>
      </c>
      <c r="T42" s="4">
        <v>8.0384900110124405E-2</v>
      </c>
      <c r="U42" s="4">
        <v>0.19623056288368701</v>
      </c>
      <c r="V42" s="4">
        <f t="shared" si="2"/>
        <v>6.2914487663834562E-2</v>
      </c>
    </row>
    <row r="43" spans="1:22" x14ac:dyDescent="0.25">
      <c r="A43" s="1">
        <v>38047</v>
      </c>
      <c r="B43" s="4">
        <v>8.9471667543770797E-2</v>
      </c>
      <c r="C43" s="4">
        <v>3.2076562307598498E-2</v>
      </c>
      <c r="D43" s="4">
        <v>1.49421288668064E-2</v>
      </c>
      <c r="E43" s="4">
        <v>3.1325982407881302E-3</v>
      </c>
      <c r="F43" s="4">
        <v>3.7313417712662202E-3</v>
      </c>
      <c r="G43" s="4">
        <v>1.4325527887661E-2</v>
      </c>
      <c r="H43" s="4">
        <v>6.8208159074120395E-2</v>
      </c>
      <c r="I43" s="4">
        <f t="shared" si="0"/>
        <v>1.1576798266178912</v>
      </c>
      <c r="J43" s="4">
        <v>0.75556750050783705</v>
      </c>
      <c r="K43" s="4">
        <v>0.15180675739884</v>
      </c>
      <c r="L43" s="4">
        <v>0.121708364059033</v>
      </c>
      <c r="M43" s="4">
        <v>5.1690172834659501E-2</v>
      </c>
      <c r="N43" s="4">
        <v>1.08077279480037</v>
      </c>
      <c r="O43" s="4">
        <v>1.09738615864137</v>
      </c>
      <c r="P43" s="10">
        <f t="shared" si="1"/>
        <v>6.0293667976521137E-2</v>
      </c>
      <c r="S43" s="12">
        <v>37742</v>
      </c>
      <c r="T43" s="4">
        <v>7.3480924663407998E-2</v>
      </c>
      <c r="U43" s="4">
        <v>0.17401002804413601</v>
      </c>
      <c r="V43" s="4">
        <f t="shared" si="2"/>
        <v>6.6951580557632839E-2</v>
      </c>
    </row>
    <row r="44" spans="1:22" x14ac:dyDescent="0.25">
      <c r="A44" s="1">
        <v>38078</v>
      </c>
      <c r="B44" s="4">
        <v>8.6854600693354198E-2</v>
      </c>
      <c r="C44" s="4">
        <v>2.95582588236817E-2</v>
      </c>
      <c r="D44" s="4">
        <v>1.52206476761634E-2</v>
      </c>
      <c r="E44" s="4">
        <v>3.52173987089604E-3</v>
      </c>
      <c r="F44" s="4">
        <v>3.5574676795012599E-3</v>
      </c>
      <c r="G44" s="4">
        <v>1.5026748500087899E-2</v>
      </c>
      <c r="H44" s="4">
        <v>6.6884862550330507E-2</v>
      </c>
      <c r="I44" s="4">
        <f t="shared" si="0"/>
        <v>1.1537394632436846</v>
      </c>
      <c r="J44" s="4">
        <v>0.79041485933794398</v>
      </c>
      <c r="K44" s="4">
        <v>0.15471126050058301</v>
      </c>
      <c r="L44" s="4">
        <v>0.104626106902558</v>
      </c>
      <c r="M44" s="4">
        <v>4.55197125763665E-2</v>
      </c>
      <c r="N44" s="4">
        <v>1.0952719393174499</v>
      </c>
      <c r="O44" s="4">
        <v>1.0765057833824001</v>
      </c>
      <c r="P44" s="10">
        <f t="shared" si="1"/>
        <v>7.7233679861284488E-2</v>
      </c>
      <c r="S44" s="12">
        <v>37773</v>
      </c>
      <c r="T44" s="4">
        <v>7.2088414374194096E-2</v>
      </c>
      <c r="U44" s="4">
        <v>0.198474253738609</v>
      </c>
      <c r="V44" s="4">
        <f t="shared" si="2"/>
        <v>6.3319899305979588E-2</v>
      </c>
    </row>
    <row r="45" spans="1:22" x14ac:dyDescent="0.25">
      <c r="A45" s="1">
        <v>38108</v>
      </c>
      <c r="B45" s="4">
        <v>8.8791304415957104E-2</v>
      </c>
      <c r="C45" s="4">
        <v>3.2394557548242602E-2</v>
      </c>
      <c r="D45" s="4">
        <v>1.4317809627990501E-2</v>
      </c>
      <c r="E45" s="4">
        <v>3.6103394536170798E-3</v>
      </c>
      <c r="F45" s="4">
        <v>3.58638262273509E-3</v>
      </c>
      <c r="G45" s="4">
        <v>1.48022437722444E-2</v>
      </c>
      <c r="H45" s="4">
        <v>6.8711333024829804E-2</v>
      </c>
      <c r="I45" s="4">
        <f t="shared" si="0"/>
        <v>1.1575026374407869</v>
      </c>
      <c r="J45" s="4">
        <v>0.79674333792162799</v>
      </c>
      <c r="K45" s="4">
        <v>0.141497236124978</v>
      </c>
      <c r="L45" s="4">
        <v>9.6512345193127694E-2</v>
      </c>
      <c r="M45" s="4">
        <v>5.3069495626692602E-2</v>
      </c>
      <c r="N45" s="4">
        <v>1.08782241486642</v>
      </c>
      <c r="O45" s="4">
        <v>1.0790746274221901</v>
      </c>
      <c r="P45" s="10">
        <f t="shared" si="1"/>
        <v>7.8428010018596783E-2</v>
      </c>
      <c r="S45" s="12">
        <v>37803</v>
      </c>
      <c r="T45" s="4">
        <v>7.89577127616434E-2</v>
      </c>
      <c r="U45" s="4">
        <v>0.163090313556644</v>
      </c>
      <c r="V45" s="4">
        <f t="shared" si="2"/>
        <v>7.1685593290724103E-2</v>
      </c>
    </row>
    <row r="46" spans="1:22" x14ac:dyDescent="0.25">
      <c r="A46" s="1">
        <v>38139</v>
      </c>
      <c r="B46" s="4">
        <v>8.7070608876102698E-2</v>
      </c>
      <c r="C46" s="4">
        <v>3.01400410988578E-2</v>
      </c>
      <c r="D46" s="4">
        <v>1.4434669462414999E-2</v>
      </c>
      <c r="E46" s="4">
        <v>3.7120263595474801E-3</v>
      </c>
      <c r="F46" s="4">
        <v>3.5283303390480701E-3</v>
      </c>
      <c r="G46" s="4">
        <v>1.3546565504032E-2</v>
      </c>
      <c r="H46" s="4">
        <v>6.5361632763900404E-2</v>
      </c>
      <c r="I46" s="4">
        <f t="shared" si="0"/>
        <v>1.152432241640003</v>
      </c>
      <c r="J46" s="4">
        <v>0.77902265463761899</v>
      </c>
      <c r="K46" s="4">
        <v>0.14501537710290999</v>
      </c>
      <c r="L46" s="4">
        <v>9.7375997811168097E-2</v>
      </c>
      <c r="M46" s="4">
        <v>6.5321490273094099E-2</v>
      </c>
      <c r="N46" s="4">
        <v>1.0867355198247901</v>
      </c>
      <c r="O46" s="4">
        <v>1.0730186015196399</v>
      </c>
      <c r="P46" s="10">
        <f t="shared" si="1"/>
        <v>7.9413640120363116E-2</v>
      </c>
      <c r="S46" s="12">
        <v>37834</v>
      </c>
      <c r="T46" s="4">
        <v>9.0145093064471798E-2</v>
      </c>
      <c r="U46" s="4">
        <v>0.184809623641878</v>
      </c>
      <c r="V46" s="4">
        <f t="shared" si="2"/>
        <v>6.8020021113101903E-2</v>
      </c>
    </row>
    <row r="47" spans="1:22" x14ac:dyDescent="0.25">
      <c r="A47" s="1">
        <v>38169</v>
      </c>
      <c r="B47" s="4">
        <v>8.7441520597238004E-2</v>
      </c>
      <c r="C47" s="4">
        <v>3.35144688692793E-2</v>
      </c>
      <c r="D47" s="4">
        <v>1.67338017374347E-2</v>
      </c>
      <c r="E47" s="4">
        <v>3.8982363522355799E-3</v>
      </c>
      <c r="F47" s="4">
        <v>3.8209576109639902E-3</v>
      </c>
      <c r="G47" s="4">
        <v>1.3446753801566499E-2</v>
      </c>
      <c r="H47" s="4">
        <v>7.1414218371480195E-2</v>
      </c>
      <c r="I47" s="4">
        <f t="shared" si="0"/>
        <v>1.1588557389687182</v>
      </c>
      <c r="J47" s="4">
        <v>0.78372867979544403</v>
      </c>
      <c r="K47" s="4">
        <v>0.16887105418517101</v>
      </c>
      <c r="L47" s="4">
        <v>8.9798618363657601E-2</v>
      </c>
      <c r="M47" s="4">
        <v>3.7504272992131098E-2</v>
      </c>
      <c r="N47" s="4">
        <v>1.0799026253363999</v>
      </c>
      <c r="O47" s="4">
        <v>1.0716139018909401</v>
      </c>
      <c r="P47" s="10">
        <f t="shared" si="1"/>
        <v>8.7241837077778106E-2</v>
      </c>
      <c r="S47" s="12">
        <v>37865</v>
      </c>
      <c r="T47" s="4">
        <v>9.7312421815653596E-2</v>
      </c>
      <c r="U47" s="4">
        <v>0.200315385388454</v>
      </c>
      <c r="V47" s="4">
        <f t="shared" si="2"/>
        <v>6.4849369662374867E-2</v>
      </c>
    </row>
    <row r="48" spans="1:22" x14ac:dyDescent="0.25">
      <c r="A48" s="1">
        <v>38200</v>
      </c>
      <c r="B48" s="4">
        <v>8.74697149415231E-2</v>
      </c>
      <c r="C48" s="4">
        <v>2.90531784262461E-2</v>
      </c>
      <c r="D48" s="4">
        <v>1.61203791196897E-2</v>
      </c>
      <c r="E48" s="4">
        <v>3.9298644459551399E-3</v>
      </c>
      <c r="F48" s="4">
        <v>3.1567029271540301E-3</v>
      </c>
      <c r="G48" s="4">
        <v>1.3254908464432599E-2</v>
      </c>
      <c r="H48" s="4">
        <v>6.5515033383477694E-2</v>
      </c>
      <c r="I48" s="4">
        <f t="shared" si="0"/>
        <v>1.1529847483250009</v>
      </c>
      <c r="J48" s="4">
        <v>0.77721608136623199</v>
      </c>
      <c r="K48" s="4">
        <v>0.16018615188177601</v>
      </c>
      <c r="L48" s="4">
        <v>8.2250959424796405E-2</v>
      </c>
      <c r="M48" s="4">
        <v>5.8474234845780397E-2</v>
      </c>
      <c r="N48" s="4">
        <v>1.0781274275185799</v>
      </c>
      <c r="O48" s="4">
        <v>1.0720639123331801</v>
      </c>
      <c r="P48" s="10">
        <f t="shared" si="1"/>
        <v>8.0920835991820761E-2</v>
      </c>
      <c r="S48" s="12">
        <v>37895</v>
      </c>
      <c r="T48" s="4">
        <v>0.10446045542636299</v>
      </c>
      <c r="U48" s="4">
        <v>0.19363492419283601</v>
      </c>
      <c r="V48" s="4">
        <f t="shared" si="2"/>
        <v>7.0809143955734788E-2</v>
      </c>
    </row>
    <row r="49" spans="1:22" x14ac:dyDescent="0.25">
      <c r="A49" s="1">
        <v>38231</v>
      </c>
      <c r="B49" s="4">
        <v>9.0837395443419303E-2</v>
      </c>
      <c r="C49" s="4">
        <v>2.7571832619942199E-2</v>
      </c>
      <c r="D49" s="4">
        <v>1.6903516854654899E-2</v>
      </c>
      <c r="E49" s="4">
        <v>3.78098123096406E-3</v>
      </c>
      <c r="F49" s="4">
        <v>3.4184630206426699E-3</v>
      </c>
      <c r="G49" s="4">
        <v>1.35210725465009E-2</v>
      </c>
      <c r="H49" s="4">
        <v>6.5195866272704905E-2</v>
      </c>
      <c r="I49" s="4">
        <f t="shared" si="0"/>
        <v>1.1560332617161242</v>
      </c>
      <c r="J49" s="4">
        <v>0.77816250684988897</v>
      </c>
      <c r="K49" s="4">
        <v>0.14284927932894501</v>
      </c>
      <c r="L49" s="4">
        <v>0.11011255808702899</v>
      </c>
      <c r="M49" s="4">
        <v>5.1423852871008702E-2</v>
      </c>
      <c r="N49" s="4">
        <v>1.08254819713687</v>
      </c>
      <c r="O49" s="4">
        <v>1.08544695897698</v>
      </c>
      <c r="P49" s="10">
        <f t="shared" si="1"/>
        <v>7.0586302739144235E-2</v>
      </c>
      <c r="S49" s="12">
        <v>37926</v>
      </c>
      <c r="T49" s="4">
        <v>0.113466400475263</v>
      </c>
      <c r="U49" s="4">
        <v>0.21152464819024</v>
      </c>
      <c r="V49" s="4">
        <f t="shared" si="2"/>
        <v>7.4315517457249625E-2</v>
      </c>
    </row>
    <row r="50" spans="1:22" x14ac:dyDescent="0.25">
      <c r="A50" s="1">
        <v>38261</v>
      </c>
      <c r="B50" s="4">
        <v>8.9777393763381702E-2</v>
      </c>
      <c r="C50" s="4">
        <v>3.3213818549822201E-2</v>
      </c>
      <c r="D50" s="4">
        <v>1.7726207947459698E-2</v>
      </c>
      <c r="E50" s="4">
        <v>3.9528464398812298E-3</v>
      </c>
      <c r="F50" s="4">
        <v>3.0633011713013898E-3</v>
      </c>
      <c r="G50" s="4">
        <v>1.36838043197833E-2</v>
      </c>
      <c r="H50" s="4">
        <v>7.1639978428248E-2</v>
      </c>
      <c r="I50" s="4">
        <f t="shared" si="0"/>
        <v>1.1614173721916297</v>
      </c>
      <c r="J50" s="4">
        <v>0.78234681036305997</v>
      </c>
      <c r="K50" s="4">
        <v>0.157532688610621</v>
      </c>
      <c r="L50" s="4">
        <v>9.5740145582374203E-2</v>
      </c>
      <c r="M50" s="4">
        <v>5.50616069212439E-2</v>
      </c>
      <c r="N50" s="4">
        <v>1.0906812514773001</v>
      </c>
      <c r="O50" s="4">
        <v>1.07619601979084</v>
      </c>
      <c r="P50" s="10">
        <f t="shared" si="1"/>
        <v>8.5221352400789652E-2</v>
      </c>
      <c r="S50" s="12">
        <v>37956</v>
      </c>
      <c r="T50" s="4">
        <v>0.101523452223734</v>
      </c>
      <c r="U50" s="4">
        <v>0.18659904627827001</v>
      </c>
      <c r="V50" s="4">
        <f t="shared" si="2"/>
        <v>7.8714369362599124E-2</v>
      </c>
    </row>
    <row r="51" spans="1:22" x14ac:dyDescent="0.25">
      <c r="A51" s="1">
        <v>38292</v>
      </c>
      <c r="B51" s="4">
        <v>9.0841886522269696E-2</v>
      </c>
      <c r="C51" s="4">
        <v>2.9778647410840201E-2</v>
      </c>
      <c r="D51" s="4">
        <v>1.9136808068549799E-2</v>
      </c>
      <c r="E51" s="4">
        <v>4.11177864201249E-3</v>
      </c>
      <c r="F51" s="4">
        <v>3.7245123396505899E-3</v>
      </c>
      <c r="G51" s="4">
        <v>1.37783080998552E-2</v>
      </c>
      <c r="H51" s="4">
        <v>7.0530054560908301E-2</v>
      </c>
      <c r="I51" s="4">
        <f t="shared" si="0"/>
        <v>1.161371941083178</v>
      </c>
      <c r="J51" s="4">
        <v>0.78886710777162306</v>
      </c>
      <c r="K51" s="4">
        <v>0.14900813209247801</v>
      </c>
      <c r="L51" s="4">
        <v>8.7353004825651406E-2</v>
      </c>
      <c r="M51" s="4">
        <v>5.3811539457690398E-2</v>
      </c>
      <c r="N51" s="4">
        <v>1.07903978414744</v>
      </c>
      <c r="O51" s="4">
        <v>1.0785409402624699</v>
      </c>
      <c r="P51" s="10">
        <f t="shared" si="1"/>
        <v>8.2831000820708045E-2</v>
      </c>
      <c r="S51" s="12">
        <v>37987</v>
      </c>
      <c r="T51" s="4">
        <v>0.115637494207282</v>
      </c>
      <c r="U51" s="4">
        <v>0.218214247319058</v>
      </c>
      <c r="V51" s="4">
        <f t="shared" si="2"/>
        <v>6.8608016809258876E-2</v>
      </c>
    </row>
    <row r="52" spans="1:22" x14ac:dyDescent="0.25">
      <c r="A52" s="1">
        <v>38322</v>
      </c>
      <c r="B52" s="4">
        <v>9.0689796352851404E-2</v>
      </c>
      <c r="C52" s="4">
        <v>3.2795421673880998E-2</v>
      </c>
      <c r="D52" s="4">
        <v>2.0352976810305599E-2</v>
      </c>
      <c r="E52" s="4">
        <v>4.3629929562391699E-3</v>
      </c>
      <c r="F52" s="4">
        <v>2.87881338281099E-3</v>
      </c>
      <c r="G52" s="4">
        <v>1.6004671677448099E-2</v>
      </c>
      <c r="H52" s="4">
        <v>7.6394876500684897E-2</v>
      </c>
      <c r="I52" s="4">
        <f t="shared" si="0"/>
        <v>1.1670846728535362</v>
      </c>
      <c r="J52" s="4">
        <v>0.79060591548004</v>
      </c>
      <c r="K52" s="4">
        <v>0.15239406104112299</v>
      </c>
      <c r="L52" s="4">
        <v>8.7953404156463605E-2</v>
      </c>
      <c r="M52" s="4">
        <v>5.0426455051778597E-2</v>
      </c>
      <c r="N52" s="4">
        <v>1.0813798357294</v>
      </c>
      <c r="O52" s="4">
        <v>1.06827186087966</v>
      </c>
      <c r="P52" s="10">
        <f t="shared" si="1"/>
        <v>9.8812811973876258E-2</v>
      </c>
      <c r="S52" s="12">
        <v>38018</v>
      </c>
      <c r="T52" s="4">
        <v>0.10821170787281</v>
      </c>
      <c r="U52" s="4">
        <v>0.196966980803464</v>
      </c>
      <c r="V52" s="4">
        <f t="shared" si="2"/>
        <v>6.1965097482676423E-2</v>
      </c>
    </row>
    <row r="53" spans="1:22" x14ac:dyDescent="0.25">
      <c r="A53" s="1">
        <v>38353</v>
      </c>
      <c r="B53" s="4">
        <v>8.9631211818076803E-2</v>
      </c>
      <c r="C53" s="4">
        <v>3.6808808025069098E-2</v>
      </c>
      <c r="D53" s="4">
        <v>1.9402088858387199E-2</v>
      </c>
      <c r="E53" s="4">
        <v>4.49459539309596E-3</v>
      </c>
      <c r="F53" s="4">
        <v>2.8731771105443399E-3</v>
      </c>
      <c r="G53" s="4">
        <v>1.7050000441719899E-2</v>
      </c>
      <c r="H53" s="4">
        <v>8.0628669828816696E-2</v>
      </c>
      <c r="I53" s="4">
        <f t="shared" si="0"/>
        <v>1.1702598816468934</v>
      </c>
      <c r="J53" s="4">
        <v>0.78348041915604305</v>
      </c>
      <c r="K53" s="4">
        <v>0.169737150029107</v>
      </c>
      <c r="L53" s="4">
        <v>8.2109707682115299E-2</v>
      </c>
      <c r="M53" s="4">
        <v>5.3627583467107699E-2</v>
      </c>
      <c r="N53" s="4">
        <v>1.0889548603343699</v>
      </c>
      <c r="O53" s="4">
        <v>1.0710843922297799</v>
      </c>
      <c r="P53" s="10">
        <f t="shared" si="1"/>
        <v>9.9175489417113516E-2</v>
      </c>
      <c r="S53" s="12">
        <v>38047</v>
      </c>
      <c r="T53" s="4">
        <v>9.9179791859409394E-2</v>
      </c>
      <c r="U53" s="4">
        <v>0.19721300618512499</v>
      </c>
      <c r="V53" s="4">
        <f t="shared" si="2"/>
        <v>6.0293667976521137E-2</v>
      </c>
    </row>
    <row r="54" spans="1:22" x14ac:dyDescent="0.25">
      <c r="A54" s="1">
        <v>38384</v>
      </c>
      <c r="B54" s="4">
        <v>9.5521049829385807E-2</v>
      </c>
      <c r="C54" s="4">
        <v>3.9174482774215202E-2</v>
      </c>
      <c r="D54" s="4">
        <v>2.0447483553638401E-2</v>
      </c>
      <c r="E54" s="4">
        <v>4.7318881141167699E-3</v>
      </c>
      <c r="F54" s="4">
        <v>3.9663511163561599E-3</v>
      </c>
      <c r="G54" s="4">
        <v>1.74526095096426E-2</v>
      </c>
      <c r="H54" s="4">
        <v>8.5772815067969299E-2</v>
      </c>
      <c r="I54" s="4">
        <f t="shared" si="0"/>
        <v>1.1812938648973552</v>
      </c>
      <c r="J54" s="4">
        <v>0.74692270559598395</v>
      </c>
      <c r="K54" s="4">
        <v>0.17422479188242301</v>
      </c>
      <c r="L54" s="4">
        <v>0.10822259319696299</v>
      </c>
      <c r="M54" s="4">
        <v>4.0473477746671198E-2</v>
      </c>
      <c r="N54" s="4">
        <v>1.06984356842204</v>
      </c>
      <c r="O54" s="4">
        <v>1.0639996475717</v>
      </c>
      <c r="P54" s="10">
        <f t="shared" si="1"/>
        <v>0.11729421732565526</v>
      </c>
      <c r="S54" s="12">
        <v>38078</v>
      </c>
      <c r="T54" s="4">
        <v>0.121163416863135</v>
      </c>
      <c r="U54" s="4">
        <v>0.19767738161432799</v>
      </c>
      <c r="V54" s="4">
        <f t="shared" si="2"/>
        <v>7.7233679861284488E-2</v>
      </c>
    </row>
    <row r="55" spans="1:22" x14ac:dyDescent="0.25">
      <c r="A55" s="1">
        <v>38412</v>
      </c>
      <c r="B55" s="4">
        <v>9.0666231845062395E-2</v>
      </c>
      <c r="C55" s="4">
        <v>3.3527329058204297E-2</v>
      </c>
      <c r="D55" s="4">
        <v>1.9775484009904299E-2</v>
      </c>
      <c r="E55" s="4">
        <v>5.0128473210290401E-3</v>
      </c>
      <c r="F55" s="4">
        <v>2.9979201645345599E-3</v>
      </c>
      <c r="G55" s="4">
        <v>1.74158230395683E-2</v>
      </c>
      <c r="H55" s="4">
        <v>7.8729403593240599E-2</v>
      </c>
      <c r="I55" s="4">
        <f t="shared" si="0"/>
        <v>1.169395635438303</v>
      </c>
      <c r="J55" s="4">
        <v>0.81386533414380702</v>
      </c>
      <c r="K55" s="4">
        <v>0.141470479961356</v>
      </c>
      <c r="L55" s="4">
        <v>7.4171480529262507E-2</v>
      </c>
      <c r="M55" s="4">
        <v>4.3810110441991998E-2</v>
      </c>
      <c r="N55" s="4">
        <v>1.07331740507641</v>
      </c>
      <c r="O55" s="4">
        <v>1.0634628021204799</v>
      </c>
      <c r="P55" s="10">
        <f t="shared" si="1"/>
        <v>0.10593283331782311</v>
      </c>
      <c r="S55" s="12">
        <v>38108</v>
      </c>
      <c r="T55" s="4">
        <v>0.116212642953109</v>
      </c>
      <c r="U55" s="4">
        <v>0.2074051269893</v>
      </c>
      <c r="V55" s="4">
        <f t="shared" si="2"/>
        <v>7.8428010018596783E-2</v>
      </c>
    </row>
    <row r="56" spans="1:22" x14ac:dyDescent="0.25">
      <c r="A56" s="1">
        <v>38443</v>
      </c>
      <c r="B56" s="4">
        <v>9.1162203403057598E-2</v>
      </c>
      <c r="C56" s="4">
        <v>3.2353073791339601E-2</v>
      </c>
      <c r="D56" s="4">
        <v>2.1057229199336499E-2</v>
      </c>
      <c r="E56" s="4">
        <v>4.9342171391997701E-3</v>
      </c>
      <c r="F56" s="4">
        <v>3.9748524309826004E-3</v>
      </c>
      <c r="G56" s="4">
        <v>1.5817434826421801E-2</v>
      </c>
      <c r="H56" s="4">
        <v>7.8136807387280405E-2</v>
      </c>
      <c r="I56" s="4">
        <f t="shared" si="0"/>
        <v>1.169299010790338</v>
      </c>
      <c r="J56" s="4">
        <v>0.81785508476120095</v>
      </c>
      <c r="K56" s="4">
        <v>0.141941037502269</v>
      </c>
      <c r="L56" s="4">
        <v>7.5697526008476596E-2</v>
      </c>
      <c r="M56" s="4">
        <v>4.5623521027999797E-2</v>
      </c>
      <c r="N56" s="4">
        <v>1.08111716929994</v>
      </c>
      <c r="O56" s="4">
        <v>1.06289700439851</v>
      </c>
      <c r="P56" s="10">
        <f t="shared" si="1"/>
        <v>0.10640200639182806</v>
      </c>
      <c r="S56" s="12">
        <v>38139</v>
      </c>
      <c r="T56" s="4">
        <v>0.118525881335647</v>
      </c>
      <c r="U56" s="4">
        <v>0.19177099648295101</v>
      </c>
      <c r="V56" s="4">
        <f t="shared" si="2"/>
        <v>7.9413640120363116E-2</v>
      </c>
    </row>
    <row r="57" spans="1:22" x14ac:dyDescent="0.25">
      <c r="A57" s="1">
        <v>38473</v>
      </c>
      <c r="B57" s="4">
        <v>9.0731887649068504E-2</v>
      </c>
      <c r="C57" s="4">
        <v>3.2905782905778502E-2</v>
      </c>
      <c r="D57" s="4">
        <v>2.2055657795078398E-2</v>
      </c>
      <c r="E57" s="4">
        <v>5.7982966353018204E-3</v>
      </c>
      <c r="F57" s="4">
        <v>3.49274794985919E-3</v>
      </c>
      <c r="G57" s="4">
        <v>1.66408421227747E-2</v>
      </c>
      <c r="H57" s="4">
        <v>8.0893327408792695E-2</v>
      </c>
      <c r="I57" s="4">
        <f t="shared" si="0"/>
        <v>1.1716252150578612</v>
      </c>
      <c r="J57" s="4">
        <v>0.79616105247140301</v>
      </c>
      <c r="K57" s="4">
        <v>0.158937503229854</v>
      </c>
      <c r="L57" s="4">
        <v>7.7770100482949897E-2</v>
      </c>
      <c r="M57" s="4">
        <v>5.40785777007027E-2</v>
      </c>
      <c r="N57" s="4">
        <v>1.08694723388491</v>
      </c>
      <c r="O57" s="4">
        <v>1.05190227850312</v>
      </c>
      <c r="P57" s="10">
        <f t="shared" si="1"/>
        <v>0.1197229365547412</v>
      </c>
      <c r="S57" s="12">
        <v>38169</v>
      </c>
      <c r="T57" s="4">
        <v>0.118303165815898</v>
      </c>
      <c r="U57" s="4">
        <v>0.181508290467954</v>
      </c>
      <c r="V57" s="4">
        <f t="shared" si="2"/>
        <v>8.7241837077778106E-2</v>
      </c>
    </row>
    <row r="58" spans="1:22" x14ac:dyDescent="0.25">
      <c r="A58" s="1">
        <v>38504</v>
      </c>
      <c r="B58" s="4">
        <v>8.9164745156703598E-2</v>
      </c>
      <c r="C58" s="4">
        <v>3.59029245027776E-2</v>
      </c>
      <c r="D58" s="4">
        <v>2.3468797447257599E-2</v>
      </c>
      <c r="E58" s="4">
        <v>5.4697127438971798E-3</v>
      </c>
      <c r="F58" s="4">
        <v>2.7385945758378999E-3</v>
      </c>
      <c r="G58" s="4">
        <v>1.61508170150498E-2</v>
      </c>
      <c r="H58" s="4">
        <v>8.3730846284820096E-2</v>
      </c>
      <c r="I58" s="4">
        <f t="shared" si="0"/>
        <v>1.1728955914415238</v>
      </c>
      <c r="J58" s="4">
        <v>0.810200576023</v>
      </c>
      <c r="K58" s="4">
        <v>0.14723833577173501</v>
      </c>
      <c r="L58" s="4">
        <v>7.9816869783059394E-2</v>
      </c>
      <c r="M58" s="4">
        <v>5.00431678133774E-2</v>
      </c>
      <c r="N58" s="4">
        <v>1.08729894939117</v>
      </c>
      <c r="O58" s="4">
        <v>1.0596708130788901</v>
      </c>
      <c r="P58" s="10">
        <f t="shared" si="1"/>
        <v>0.11322477836263367</v>
      </c>
      <c r="S58" s="12">
        <v>38200</v>
      </c>
      <c r="T58" s="4">
        <v>0.119786855951219</v>
      </c>
      <c r="U58" s="4">
        <v>0.19093370562868101</v>
      </c>
      <c r="V58" s="4">
        <f t="shared" si="2"/>
        <v>8.0920835991820761E-2</v>
      </c>
    </row>
    <row r="59" spans="1:22" x14ac:dyDescent="0.25">
      <c r="A59" s="1">
        <v>38534</v>
      </c>
      <c r="B59" s="4">
        <v>9.2654620046805206E-2</v>
      </c>
      <c r="C59" s="4">
        <v>3.6771922511356102E-2</v>
      </c>
      <c r="D59" s="4">
        <v>2.4527442959847299E-2</v>
      </c>
      <c r="E59" s="4">
        <v>6.0514584914076403E-3</v>
      </c>
      <c r="F59" s="4">
        <v>3.8393193641660999E-3</v>
      </c>
      <c r="G59" s="4">
        <v>1.6274820920099999E-2</v>
      </c>
      <c r="H59" s="4">
        <v>8.7464964246877303E-2</v>
      </c>
      <c r="I59" s="4">
        <f t="shared" si="0"/>
        <v>1.1801195842936825</v>
      </c>
      <c r="J59" s="4">
        <v>0.80933847358440203</v>
      </c>
      <c r="K59" s="4">
        <v>0.148538738373304</v>
      </c>
      <c r="L59" s="4">
        <v>6.4536233282857194E-2</v>
      </c>
      <c r="M59" s="4">
        <v>5.1147466967333702E-2</v>
      </c>
      <c r="N59" s="4">
        <v>1.07356091220789</v>
      </c>
      <c r="O59" s="4">
        <v>1.06189731239828</v>
      </c>
      <c r="P59" s="10">
        <f t="shared" si="1"/>
        <v>0.11822227189540246</v>
      </c>
      <c r="S59" s="12">
        <v>38231</v>
      </c>
      <c r="T59" s="4">
        <v>0.12621413571557499</v>
      </c>
      <c r="U59" s="4">
        <v>0.194533269714492</v>
      </c>
      <c r="V59" s="4">
        <f t="shared" si="2"/>
        <v>7.0586302739144235E-2</v>
      </c>
    </row>
    <row r="60" spans="1:22" x14ac:dyDescent="0.25">
      <c r="A60" s="1">
        <v>38565</v>
      </c>
      <c r="B60" s="4">
        <v>9.3457355231104294E-2</v>
      </c>
      <c r="C60" s="4">
        <v>3.7023823243545098E-2</v>
      </c>
      <c r="D60" s="4">
        <v>2.6089706911605101E-2</v>
      </c>
      <c r="E60" s="4">
        <v>5.7988816519922099E-3</v>
      </c>
      <c r="F60" s="4">
        <v>3.2337585694494301E-3</v>
      </c>
      <c r="G60" s="4">
        <v>1.55968380629882E-2</v>
      </c>
      <c r="H60" s="4">
        <v>8.7743008439580106E-2</v>
      </c>
      <c r="I60" s="4">
        <f t="shared" si="0"/>
        <v>1.1812003636706845</v>
      </c>
      <c r="J60" s="4">
        <v>0.79467735630101699</v>
      </c>
      <c r="K60" s="4">
        <v>0.15690723760292299</v>
      </c>
      <c r="L60" s="4">
        <v>6.5726567615011097E-2</v>
      </c>
      <c r="M60" s="4">
        <v>6.6066269054030693E-2</v>
      </c>
      <c r="N60" s="4">
        <v>1.08337743057298</v>
      </c>
      <c r="O60" s="4">
        <v>1.0488862396540399</v>
      </c>
      <c r="P60" s="10">
        <f t="shared" si="1"/>
        <v>0.13231412401664455</v>
      </c>
      <c r="S60" s="12">
        <v>38261</v>
      </c>
      <c r="T60" s="4">
        <v>0.11384817674032401</v>
      </c>
      <c r="U60" s="4">
        <v>0.17623387580286701</v>
      </c>
      <c r="V60" s="4">
        <f t="shared" si="2"/>
        <v>8.5221352400789652E-2</v>
      </c>
    </row>
    <row r="61" spans="1:22" x14ac:dyDescent="0.25">
      <c r="A61" s="1">
        <v>38596</v>
      </c>
      <c r="B61" s="4">
        <v>9.3681634592915702E-2</v>
      </c>
      <c r="C61" s="4">
        <v>4.2666356613215203E-2</v>
      </c>
      <c r="D61" s="4">
        <v>2.6430306664302499E-2</v>
      </c>
      <c r="E61" s="4">
        <v>5.5750152342892304E-3</v>
      </c>
      <c r="F61" s="4">
        <v>3.6684015875705E-3</v>
      </c>
      <c r="G61" s="4">
        <v>1.5170233687576E-2</v>
      </c>
      <c r="H61" s="4">
        <v>9.3510313786953597E-2</v>
      </c>
      <c r="I61" s="4">
        <f t="shared" si="0"/>
        <v>1.1871919483798692</v>
      </c>
      <c r="J61" s="4">
        <v>0.79252724123445295</v>
      </c>
      <c r="K61" s="4">
        <v>0.14531816865743499</v>
      </c>
      <c r="L61" s="4">
        <v>7.6469172825781695E-2</v>
      </c>
      <c r="M61" s="4">
        <v>5.6746576586367302E-2</v>
      </c>
      <c r="N61" s="4">
        <v>1.07106115930403</v>
      </c>
      <c r="O61" s="4">
        <v>1.0449124356617101</v>
      </c>
      <c r="P61" s="10">
        <f t="shared" si="1"/>
        <v>0.14227951271815908</v>
      </c>
      <c r="S61" s="12">
        <v>38292</v>
      </c>
      <c r="T61" s="4">
        <v>0.102327281972015</v>
      </c>
      <c r="U61" s="4">
        <v>0.178309561432859</v>
      </c>
      <c r="V61" s="4">
        <f t="shared" si="2"/>
        <v>8.2831000820708045E-2</v>
      </c>
    </row>
    <row r="62" spans="1:22" x14ac:dyDescent="0.25">
      <c r="A62" s="1">
        <v>38626</v>
      </c>
      <c r="B62" s="4">
        <v>9.25574881650197E-2</v>
      </c>
      <c r="C62" s="4">
        <v>3.50318845561087E-2</v>
      </c>
      <c r="D62" s="4">
        <v>2.5202582804062901E-2</v>
      </c>
      <c r="E62" s="4">
        <v>5.1956388367598496E-3</v>
      </c>
      <c r="F62" s="4">
        <v>3.6688856310788899E-3</v>
      </c>
      <c r="G62" s="4">
        <v>1.5020899438657099E-2</v>
      </c>
      <c r="H62" s="4">
        <v>8.4119891266667704E-2</v>
      </c>
      <c r="I62" s="4">
        <f t="shared" si="0"/>
        <v>1.1766773794316874</v>
      </c>
      <c r="J62" s="4">
        <v>0.79816169892140398</v>
      </c>
      <c r="K62" s="4">
        <v>0.13950681533510001</v>
      </c>
      <c r="L62" s="4">
        <v>8.5602091626910098E-2</v>
      </c>
      <c r="M62" s="4">
        <v>5.0677169524317903E-2</v>
      </c>
      <c r="N62" s="4">
        <v>1.07394777540773</v>
      </c>
      <c r="O62" s="4">
        <v>1.0462158733058</v>
      </c>
      <c r="P62" s="10">
        <f t="shared" si="1"/>
        <v>0.13046150612588736</v>
      </c>
      <c r="S62" s="12">
        <v>38322</v>
      </c>
      <c r="T62" s="4">
        <v>0.12446961832689001</v>
      </c>
      <c r="U62" s="4">
        <v>0.19014633535297901</v>
      </c>
      <c r="V62" s="4">
        <f t="shared" si="2"/>
        <v>9.8812811973876258E-2</v>
      </c>
    </row>
    <row r="63" spans="1:22" x14ac:dyDescent="0.25">
      <c r="A63" s="1">
        <v>38657</v>
      </c>
      <c r="B63" s="4">
        <v>9.5903516545019704E-2</v>
      </c>
      <c r="C63" s="4">
        <v>3.7708805623347101E-2</v>
      </c>
      <c r="D63" s="4">
        <v>2.79031653739002E-2</v>
      </c>
      <c r="E63" s="4">
        <v>5.5116018936363998E-3</v>
      </c>
      <c r="F63" s="4">
        <v>3.8896835487035901E-3</v>
      </c>
      <c r="G63" s="4">
        <v>1.7054203686381102E-2</v>
      </c>
      <c r="H63" s="4">
        <v>9.2067460125968503E-2</v>
      </c>
      <c r="I63" s="4">
        <f t="shared" si="0"/>
        <v>1.1879709766709883</v>
      </c>
      <c r="J63" s="4">
        <v>0.77089106698243204</v>
      </c>
      <c r="K63" s="4">
        <v>0.158090442517901</v>
      </c>
      <c r="L63" s="4">
        <v>6.9954710315933394E-2</v>
      </c>
      <c r="M63" s="4">
        <v>5.28516083370053E-2</v>
      </c>
      <c r="N63" s="4">
        <v>1.05178782815327</v>
      </c>
      <c r="O63" s="4">
        <v>1.0530320877797399</v>
      </c>
      <c r="P63" s="10">
        <f t="shared" si="1"/>
        <v>0.13493888889124839</v>
      </c>
      <c r="S63" s="12">
        <v>38353</v>
      </c>
      <c r="T63" s="4">
        <v>0.13717808180160199</v>
      </c>
      <c r="U63" s="4">
        <v>0.18065245208542799</v>
      </c>
      <c r="V63" s="4">
        <f t="shared" si="2"/>
        <v>9.9175489417113516E-2</v>
      </c>
    </row>
    <row r="64" spans="1:22" x14ac:dyDescent="0.25">
      <c r="A64" s="1">
        <v>38687</v>
      </c>
      <c r="B64" s="4">
        <v>9.4850436391437906E-2</v>
      </c>
      <c r="C64" s="4">
        <v>4.3719512488940501E-2</v>
      </c>
      <c r="D64" s="4">
        <v>2.7522567979011401E-2</v>
      </c>
      <c r="E64" s="4">
        <v>5.7780839966253801E-3</v>
      </c>
      <c r="F64" s="4">
        <v>4.3504713023812197E-3</v>
      </c>
      <c r="G64" s="4">
        <v>1.8142653832604501E-2</v>
      </c>
      <c r="H64" s="4">
        <v>9.9513289599563001E-2</v>
      </c>
      <c r="I64" s="4">
        <f t="shared" si="0"/>
        <v>1.1943637259910009</v>
      </c>
      <c r="J64" s="4">
        <v>0.77820758623765696</v>
      </c>
      <c r="K64" s="4">
        <v>0.14648422503922601</v>
      </c>
      <c r="L64" s="4">
        <v>7.4910201411828206E-2</v>
      </c>
      <c r="M64" s="4">
        <v>5.8933699104949298E-2</v>
      </c>
      <c r="N64" s="4">
        <v>1.05853571179366</v>
      </c>
      <c r="O64" s="4">
        <v>1.0421097628251099</v>
      </c>
      <c r="P64" s="10">
        <f t="shared" si="1"/>
        <v>0.15225396316589102</v>
      </c>
      <c r="S64" s="12">
        <v>38384</v>
      </c>
      <c r="T64" s="4">
        <v>0.14325230545658199</v>
      </c>
      <c r="U64" s="4">
        <v>0.21218643923435701</v>
      </c>
      <c r="V64" s="4">
        <f t="shared" si="2"/>
        <v>0.11729421732565526</v>
      </c>
    </row>
    <row r="65" spans="1:22" x14ac:dyDescent="0.25">
      <c r="A65" s="1">
        <v>38718</v>
      </c>
      <c r="B65" s="4">
        <v>9.6094282755908894E-2</v>
      </c>
      <c r="C65" s="4">
        <v>3.7829341549323103E-2</v>
      </c>
      <c r="D65" s="4">
        <v>2.5202026793615499E-2</v>
      </c>
      <c r="E65" s="4">
        <v>5.3896261926669499E-3</v>
      </c>
      <c r="F65" s="4">
        <v>3.3735660695859201E-3</v>
      </c>
      <c r="G65" s="4">
        <v>1.85591669765529E-2</v>
      </c>
      <c r="H65" s="4">
        <v>9.0353727581744495E-2</v>
      </c>
      <c r="I65" s="4">
        <f t="shared" si="0"/>
        <v>1.1864480103376533</v>
      </c>
      <c r="J65" s="4">
        <v>0.72777354301361996</v>
      </c>
      <c r="K65" s="4">
        <v>0.161739236116024</v>
      </c>
      <c r="L65" s="4">
        <v>0.100027489311904</v>
      </c>
      <c r="M65" s="4">
        <v>7.2614107962544805E-2</v>
      </c>
      <c r="N65" s="4">
        <v>1.0621543764040899</v>
      </c>
      <c r="O65" s="4">
        <v>1.0458018453559601</v>
      </c>
      <c r="P65" s="10">
        <f t="shared" si="1"/>
        <v>0.14064616498169324</v>
      </c>
      <c r="S65" s="12">
        <v>38412</v>
      </c>
      <c r="T65" s="4">
        <v>0.15849636013809901</v>
      </c>
      <c r="U65" s="4">
        <v>0.21556794326538101</v>
      </c>
      <c r="V65" s="4">
        <f t="shared" si="2"/>
        <v>0.10593283331782311</v>
      </c>
    </row>
    <row r="66" spans="1:22" x14ac:dyDescent="0.25">
      <c r="A66" s="1">
        <v>38749</v>
      </c>
      <c r="B66" s="4">
        <v>9.7786257797294093E-2</v>
      </c>
      <c r="C66" s="4">
        <v>4.2875487090508098E-2</v>
      </c>
      <c r="D66" s="4">
        <v>2.6443110798305001E-2</v>
      </c>
      <c r="E66" s="4">
        <v>5.5910819698795997E-3</v>
      </c>
      <c r="F66" s="4">
        <v>3.62537537651151E-3</v>
      </c>
      <c r="G66" s="4">
        <v>2.0802265839835299E-2</v>
      </c>
      <c r="H66" s="4">
        <v>9.9337321075039606E-2</v>
      </c>
      <c r="I66" s="4">
        <f t="shared" si="0"/>
        <v>1.1971235788723338</v>
      </c>
      <c r="J66" s="4">
        <v>0.79348455045649802</v>
      </c>
      <c r="K66" s="4">
        <v>0.14713359775881299</v>
      </c>
      <c r="L66" s="4">
        <v>7.2798648431106602E-2</v>
      </c>
      <c r="M66" s="4">
        <v>4.7517827858269801E-2</v>
      </c>
      <c r="N66" s="4">
        <v>1.06093462450468</v>
      </c>
      <c r="O66" s="4">
        <v>1.0320389294830901</v>
      </c>
      <c r="P66" s="10">
        <f t="shared" si="1"/>
        <v>0.16508464938924372</v>
      </c>
      <c r="S66" s="12">
        <v>38443</v>
      </c>
      <c r="T66" s="4">
        <v>0.15007408981205</v>
      </c>
      <c r="U66" s="4">
        <v>0.19150248844731099</v>
      </c>
      <c r="V66" s="4">
        <f t="shared" si="2"/>
        <v>0.10640200639182806</v>
      </c>
    </row>
    <row r="67" spans="1:22" x14ac:dyDescent="0.25">
      <c r="A67" s="1">
        <v>38777</v>
      </c>
      <c r="B67" s="4">
        <v>9.4294816298418196E-2</v>
      </c>
      <c r="C67" s="4">
        <v>4.2109879661154703E-2</v>
      </c>
      <c r="D67" s="4">
        <v>2.8578642665078601E-2</v>
      </c>
      <c r="E67" s="4">
        <v>5.8242680405265401E-3</v>
      </c>
      <c r="F67" s="4">
        <v>4.1977664842207697E-3</v>
      </c>
      <c r="G67" s="4">
        <v>1.94340953635386E-2</v>
      </c>
      <c r="H67" s="4">
        <v>0.100144652214519</v>
      </c>
      <c r="I67" s="4">
        <f t="shared" ref="I67:I130" si="3">B67+H67+1</f>
        <v>1.1944394685129371</v>
      </c>
      <c r="J67" s="4">
        <v>0.77789042473149705</v>
      </c>
      <c r="K67" s="4">
        <v>0.153903509916826</v>
      </c>
      <c r="L67" s="4">
        <v>6.2840450243079396E-2</v>
      </c>
      <c r="M67" s="4">
        <v>6.3410578770777506E-2</v>
      </c>
      <c r="N67" s="4">
        <v>1.05804496366218</v>
      </c>
      <c r="O67" s="4">
        <v>1.02439588352693</v>
      </c>
      <c r="P67" s="10">
        <f t="shared" ref="P67:P130" si="4">I67-O67</f>
        <v>0.17004358498600713</v>
      </c>
      <c r="S67" s="12">
        <v>38473</v>
      </c>
      <c r="T67" s="4">
        <v>0.144951703883206</v>
      </c>
      <c r="U67" s="4">
        <v>0.196982609013965</v>
      </c>
      <c r="V67" s="4">
        <f t="shared" si="2"/>
        <v>0.1197229365547412</v>
      </c>
    </row>
    <row r="68" spans="1:22" x14ac:dyDescent="0.25">
      <c r="A68" s="1">
        <v>38808</v>
      </c>
      <c r="B68" s="4">
        <v>9.5080152792324693E-2</v>
      </c>
      <c r="C68" s="4">
        <v>4.3055524105898198E-2</v>
      </c>
      <c r="D68" s="4">
        <v>2.8028441746499998E-2</v>
      </c>
      <c r="E68" s="4">
        <v>6.2914763404543399E-3</v>
      </c>
      <c r="F68" s="4">
        <v>3.7123005816834301E-3</v>
      </c>
      <c r="G68" s="4">
        <v>1.92312586118316E-2</v>
      </c>
      <c r="H68" s="4">
        <v>0.100319001386367</v>
      </c>
      <c r="I68" s="4">
        <f t="shared" si="3"/>
        <v>1.1953991541786917</v>
      </c>
      <c r="J68" s="4">
        <v>0.81007962552718304</v>
      </c>
      <c r="K68" s="4">
        <v>0.16927235667726001</v>
      </c>
      <c r="L68" s="4">
        <v>4.9308317522235197E-2</v>
      </c>
      <c r="M68" s="4">
        <v>3.4013419714205399E-2</v>
      </c>
      <c r="N68" s="4">
        <v>1.06267371944088</v>
      </c>
      <c r="O68" s="4">
        <v>1.0308708057209699</v>
      </c>
      <c r="P68" s="10">
        <f t="shared" si="4"/>
        <v>0.1645283484577218</v>
      </c>
      <c r="S68" s="12">
        <v>38504</v>
      </c>
      <c r="T68" s="4">
        <v>0.15325940488841999</v>
      </c>
      <c r="U68" s="4">
        <v>0.19388659459105301</v>
      </c>
      <c r="V68" s="4">
        <f t="shared" ref="V68:V131" si="5">VLOOKUP(S68,A:P,16,0)</f>
        <v>0.11322477836263367</v>
      </c>
    </row>
    <row r="69" spans="1:22" x14ac:dyDescent="0.25">
      <c r="A69" s="1">
        <v>38838</v>
      </c>
      <c r="B69" s="4">
        <v>9.6855707248384507E-2</v>
      </c>
      <c r="C69" s="4">
        <v>4.0950067815175697E-2</v>
      </c>
      <c r="D69" s="4">
        <v>2.7574042279444901E-2</v>
      </c>
      <c r="E69" s="4">
        <v>6.3622857804662303E-3</v>
      </c>
      <c r="F69" s="4">
        <v>3.5884808721847001E-3</v>
      </c>
      <c r="G69" s="4">
        <v>2.0008587784562101E-2</v>
      </c>
      <c r="H69" s="4">
        <v>9.8483464531833806E-2</v>
      </c>
      <c r="I69" s="4">
        <f t="shared" si="3"/>
        <v>1.1953391717802182</v>
      </c>
      <c r="J69" s="4">
        <v>0.81952102930515502</v>
      </c>
      <c r="K69" s="4">
        <v>0.15615516296239901</v>
      </c>
      <c r="L69" s="4">
        <v>4.0115209528863299E-2</v>
      </c>
      <c r="M69" s="4">
        <v>5.81835329786154E-2</v>
      </c>
      <c r="N69" s="4">
        <v>1.07397493477503</v>
      </c>
      <c r="O69" s="4">
        <v>1.02491359095414</v>
      </c>
      <c r="P69" s="10">
        <f t="shared" si="4"/>
        <v>0.17042558082607817</v>
      </c>
      <c r="S69" s="12">
        <v>38534</v>
      </c>
      <c r="T69" s="4">
        <v>0.16172570556216601</v>
      </c>
      <c r="U69" s="4">
        <v>0.18612835258382401</v>
      </c>
      <c r="V69" s="4">
        <f t="shared" si="5"/>
        <v>0.11822227189540246</v>
      </c>
    </row>
    <row r="70" spans="1:22" x14ac:dyDescent="0.25">
      <c r="A70" s="1">
        <v>38869</v>
      </c>
      <c r="B70" s="4">
        <v>9.7332281743985893E-2</v>
      </c>
      <c r="C70" s="4">
        <v>3.8439951861404503E-2</v>
      </c>
      <c r="D70" s="4">
        <v>2.6226662294941101E-2</v>
      </c>
      <c r="E70" s="4">
        <v>5.4449392398903196E-3</v>
      </c>
      <c r="F70" s="4">
        <v>3.4555884024190498E-3</v>
      </c>
      <c r="G70" s="4">
        <v>1.8999508341625101E-2</v>
      </c>
      <c r="H70" s="4">
        <v>9.2566650140280093E-2</v>
      </c>
      <c r="I70" s="4">
        <f t="shared" si="3"/>
        <v>1.1898989318842661</v>
      </c>
      <c r="J70" s="4">
        <v>0.79415677866804602</v>
      </c>
      <c r="K70" s="4">
        <v>0.16107816687947701</v>
      </c>
      <c r="L70" s="4">
        <v>4.6987731361190499E-2</v>
      </c>
      <c r="M70" s="4">
        <v>4.9628982454130603E-2</v>
      </c>
      <c r="N70" s="4">
        <v>1.05185165936284</v>
      </c>
      <c r="O70" s="4">
        <v>1.0042970176991901</v>
      </c>
      <c r="P70" s="10">
        <f t="shared" si="4"/>
        <v>0.18560191418507599</v>
      </c>
      <c r="S70" s="12">
        <v>38565</v>
      </c>
      <c r="T70" s="4">
        <v>0.15345617664604599</v>
      </c>
      <c r="U70" s="4">
        <v>0.18064073079187101</v>
      </c>
      <c r="V70" s="4">
        <f t="shared" si="5"/>
        <v>0.13231412401664455</v>
      </c>
    </row>
    <row r="71" spans="1:22" x14ac:dyDescent="0.25">
      <c r="A71" s="1">
        <v>38899</v>
      </c>
      <c r="B71" s="4">
        <v>9.6880907776892206E-2</v>
      </c>
      <c r="C71" s="4">
        <v>4.15764723192492E-2</v>
      </c>
      <c r="D71" s="4">
        <v>2.5291069080012E-2</v>
      </c>
      <c r="E71" s="4">
        <v>4.76969096719002E-3</v>
      </c>
      <c r="F71" s="4">
        <v>4.3842849434059103E-3</v>
      </c>
      <c r="G71" s="4">
        <v>1.9488859806015699E-2</v>
      </c>
      <c r="H71" s="4">
        <v>9.5510377115872999E-2</v>
      </c>
      <c r="I71" s="4">
        <f t="shared" si="3"/>
        <v>1.1923912848927651</v>
      </c>
      <c r="J71" s="4">
        <v>0.76258286870215097</v>
      </c>
      <c r="K71" s="4">
        <v>0.16320290962662601</v>
      </c>
      <c r="L71" s="4">
        <v>3.3554058684332602E-2</v>
      </c>
      <c r="M71" s="4">
        <v>7.3438367809126201E-2</v>
      </c>
      <c r="N71" s="4">
        <v>1.03277820482223</v>
      </c>
      <c r="O71" s="4">
        <v>0.995662805596776</v>
      </c>
      <c r="P71" s="10">
        <f t="shared" si="4"/>
        <v>0.19672847929598913</v>
      </c>
      <c r="S71" s="12">
        <v>38596</v>
      </c>
      <c r="T71" s="4">
        <v>0.172231599682759</v>
      </c>
      <c r="U71" s="4">
        <v>0.18510712950245001</v>
      </c>
      <c r="V71" s="4">
        <f t="shared" si="5"/>
        <v>0.14227951271815908</v>
      </c>
    </row>
    <row r="72" spans="1:22" x14ac:dyDescent="0.25">
      <c r="A72" s="1">
        <v>38930</v>
      </c>
      <c r="B72" s="4">
        <v>9.6400278623967703E-2</v>
      </c>
      <c r="C72" s="4">
        <v>3.9167840723160902E-2</v>
      </c>
      <c r="D72" s="4">
        <v>2.7766914383477299E-2</v>
      </c>
      <c r="E72" s="4">
        <v>4.8075218106580801E-3</v>
      </c>
      <c r="F72" s="4">
        <v>4.0665638009935497E-3</v>
      </c>
      <c r="G72" s="4">
        <v>1.8652662595174601E-2</v>
      </c>
      <c r="H72" s="4">
        <v>9.4461503313464507E-2</v>
      </c>
      <c r="I72" s="4">
        <f t="shared" si="3"/>
        <v>1.1908617819374321</v>
      </c>
      <c r="J72" s="4">
        <v>0.79545795082372595</v>
      </c>
      <c r="K72" s="4">
        <v>0.14841142261023399</v>
      </c>
      <c r="L72" s="4">
        <v>4.0658865675193501E-2</v>
      </c>
      <c r="M72" s="4">
        <v>4.6139185223273697E-2</v>
      </c>
      <c r="N72" s="4">
        <v>1.0306674243324201</v>
      </c>
      <c r="O72" s="4">
        <v>1.00321046894512</v>
      </c>
      <c r="P72" s="10">
        <f t="shared" si="4"/>
        <v>0.18765131299231208</v>
      </c>
      <c r="S72" s="12">
        <v>38626</v>
      </c>
      <c r="T72" s="4">
        <v>0.17210679557757799</v>
      </c>
      <c r="U72" s="4">
        <v>0.20439672035939099</v>
      </c>
      <c r="V72" s="4">
        <f t="shared" si="5"/>
        <v>0.13046150612588736</v>
      </c>
    </row>
    <row r="73" spans="1:22" x14ac:dyDescent="0.25">
      <c r="A73" s="1">
        <v>38961</v>
      </c>
      <c r="B73" s="4">
        <v>9.3255235494146702E-2</v>
      </c>
      <c r="C73" s="4">
        <v>4.1568271756451697E-2</v>
      </c>
      <c r="D73" s="4">
        <v>2.4952063388998601E-2</v>
      </c>
      <c r="E73" s="4">
        <v>4.2199898208287899E-3</v>
      </c>
      <c r="F73" s="4">
        <v>3.8543368351766599E-3</v>
      </c>
      <c r="G73" s="4">
        <v>1.7755321281633402E-2</v>
      </c>
      <c r="H73" s="4">
        <v>9.2349983083089199E-2</v>
      </c>
      <c r="I73" s="4">
        <f t="shared" si="3"/>
        <v>1.1856052185772359</v>
      </c>
      <c r="J73" s="4">
        <v>0.77640813532207797</v>
      </c>
      <c r="K73" s="4">
        <v>0.15891250943520999</v>
      </c>
      <c r="L73" s="4">
        <v>3.4482694414631802E-2</v>
      </c>
      <c r="M73" s="4">
        <v>5.87550547325391E-2</v>
      </c>
      <c r="N73" s="4">
        <v>1.02855839390446</v>
      </c>
      <c r="O73" s="4">
        <v>1.0106943715224701</v>
      </c>
      <c r="P73" s="10">
        <f t="shared" si="4"/>
        <v>0.17491084705476578</v>
      </c>
      <c r="S73" s="12">
        <v>38657</v>
      </c>
      <c r="T73" s="4">
        <v>0.171992783009947</v>
      </c>
      <c r="U73" s="4">
        <v>0.18471965464736301</v>
      </c>
      <c r="V73" s="4">
        <f t="shared" si="5"/>
        <v>0.13493888889124839</v>
      </c>
    </row>
    <row r="74" spans="1:22" x14ac:dyDescent="0.25">
      <c r="A74" s="1">
        <v>38991</v>
      </c>
      <c r="B74" s="4">
        <v>9.9001932133850196E-2</v>
      </c>
      <c r="C74" s="4">
        <v>4.1011559500190198E-2</v>
      </c>
      <c r="D74" s="4">
        <v>3.02552911223627E-2</v>
      </c>
      <c r="E74" s="4">
        <v>5.1877898351892597E-3</v>
      </c>
      <c r="F74" s="4">
        <v>4.7383273091621599E-3</v>
      </c>
      <c r="G74" s="4">
        <v>2.0594894436897399E-2</v>
      </c>
      <c r="H74" s="4">
        <v>0.101787862203801</v>
      </c>
      <c r="I74" s="4">
        <f t="shared" si="3"/>
        <v>1.2007897943376511</v>
      </c>
      <c r="J74" s="4">
        <v>0.74197116938307195</v>
      </c>
      <c r="K74" s="4">
        <v>0.16949384723149999</v>
      </c>
      <c r="L74" s="4">
        <v>3.6439227915963303E-2</v>
      </c>
      <c r="M74" s="4">
        <v>6.2104516628243303E-2</v>
      </c>
      <c r="N74" s="4">
        <v>1.01000876115877</v>
      </c>
      <c r="O74" s="4">
        <v>0.99372455963603001</v>
      </c>
      <c r="P74" s="10">
        <f t="shared" si="4"/>
        <v>0.20706523470162108</v>
      </c>
      <c r="S74" s="12">
        <v>38687</v>
      </c>
      <c r="T74" s="4">
        <v>0.177276802446865</v>
      </c>
      <c r="U74" s="4">
        <v>0.184663077385672</v>
      </c>
      <c r="V74" s="4">
        <f t="shared" si="5"/>
        <v>0.15225396316589102</v>
      </c>
    </row>
    <row r="75" spans="1:22" x14ac:dyDescent="0.25">
      <c r="A75" s="1">
        <v>39022</v>
      </c>
      <c r="B75" s="4">
        <v>9.8005687549031897E-2</v>
      </c>
      <c r="C75" s="4">
        <v>4.44210385742589E-2</v>
      </c>
      <c r="D75" s="4">
        <v>2.8466122869564701E-2</v>
      </c>
      <c r="E75" s="4">
        <v>4.6992437499533499E-3</v>
      </c>
      <c r="F75" s="4">
        <v>5.2097350095848503E-3</v>
      </c>
      <c r="G75" s="4">
        <v>2.13155701251449E-2</v>
      </c>
      <c r="H75" s="4">
        <v>0.104111710328506</v>
      </c>
      <c r="I75" s="4">
        <f t="shared" si="3"/>
        <v>1.2021173978775379</v>
      </c>
      <c r="J75" s="4">
        <v>0.76919916983161196</v>
      </c>
      <c r="K75" s="4">
        <v>0.17482560608297501</v>
      </c>
      <c r="L75" s="4">
        <v>4.0894830912880098E-2</v>
      </c>
      <c r="M75" s="4">
        <v>3.2957128585665602E-2</v>
      </c>
      <c r="N75" s="4">
        <v>1.01787673541313</v>
      </c>
      <c r="O75" s="4">
        <v>1.0182919069128</v>
      </c>
      <c r="P75" s="10">
        <f t="shared" si="4"/>
        <v>0.18382549096473788</v>
      </c>
      <c r="S75" s="12">
        <v>38718</v>
      </c>
      <c r="T75" s="4">
        <v>0.17381251169635301</v>
      </c>
      <c r="U75" s="4">
        <v>0.16970980064725899</v>
      </c>
      <c r="V75" s="4">
        <f t="shared" si="5"/>
        <v>0.14064616498169324</v>
      </c>
    </row>
    <row r="76" spans="1:22" x14ac:dyDescent="0.25">
      <c r="A76" s="1">
        <v>39052</v>
      </c>
      <c r="B76" s="4">
        <v>9.9334209925940498E-2</v>
      </c>
      <c r="C76" s="4">
        <v>4.2068964512738498E-2</v>
      </c>
      <c r="D76" s="4">
        <v>2.9797939553821699E-2</v>
      </c>
      <c r="E76" s="4">
        <v>5.6570784809060002E-3</v>
      </c>
      <c r="F76" s="4">
        <v>4.7849756215345898E-3</v>
      </c>
      <c r="G76" s="4">
        <v>2.2887509885425299E-2</v>
      </c>
      <c r="H76" s="4">
        <v>0.10519646805442601</v>
      </c>
      <c r="I76" s="4">
        <f t="shared" si="3"/>
        <v>1.2045306779803666</v>
      </c>
      <c r="J76" s="4">
        <v>0.75735445317829297</v>
      </c>
      <c r="K76" s="4">
        <v>0.16882030079881599</v>
      </c>
      <c r="L76" s="4">
        <v>3.02253535102926E-2</v>
      </c>
      <c r="M76" s="4">
        <v>6.0523108012683999E-2</v>
      </c>
      <c r="N76" s="4">
        <v>1.01692321550008</v>
      </c>
      <c r="O76" s="4">
        <v>0.99742562262405998</v>
      </c>
      <c r="P76" s="10">
        <f t="shared" si="4"/>
        <v>0.20710505535630663</v>
      </c>
      <c r="S76" s="12">
        <v>38749</v>
      </c>
      <c r="T76" s="4">
        <v>0.19161199651914501</v>
      </c>
      <c r="U76" s="4">
        <v>0.193397169077659</v>
      </c>
      <c r="V76" s="4">
        <f t="shared" si="5"/>
        <v>0.16508464938924372</v>
      </c>
    </row>
    <row r="77" spans="1:22" x14ac:dyDescent="0.25">
      <c r="A77" s="1">
        <v>39083</v>
      </c>
      <c r="B77" s="4">
        <v>9.6133305391941606E-2</v>
      </c>
      <c r="C77" s="4">
        <v>4.1476792418524401E-2</v>
      </c>
      <c r="D77" s="4">
        <v>2.5426177204585201E-2</v>
      </c>
      <c r="E77" s="4">
        <v>4.68967838026436E-3</v>
      </c>
      <c r="F77" s="4">
        <v>4.3945555225134098E-3</v>
      </c>
      <c r="G77" s="4">
        <v>2.2532336571614998E-2</v>
      </c>
      <c r="H77" s="4">
        <v>9.8519540097502495E-2</v>
      </c>
      <c r="I77" s="4">
        <f t="shared" si="3"/>
        <v>1.1946528454894441</v>
      </c>
      <c r="J77" s="4">
        <v>0.79480347502473403</v>
      </c>
      <c r="K77" s="4">
        <v>0.16922421194831799</v>
      </c>
      <c r="L77" s="4">
        <v>2.3857209456732201E-2</v>
      </c>
      <c r="M77" s="4">
        <v>3.18347803425654E-2</v>
      </c>
      <c r="N77" s="4">
        <v>1.01971967677235</v>
      </c>
      <c r="O77" s="4">
        <v>0.98093486861731605</v>
      </c>
      <c r="P77" s="10">
        <f t="shared" si="4"/>
        <v>0.21371797687212801</v>
      </c>
      <c r="S77" s="12">
        <v>38777</v>
      </c>
      <c r="T77" s="4">
        <v>0.17987428205835901</v>
      </c>
      <c r="U77" s="4">
        <v>0.22568485093266899</v>
      </c>
      <c r="V77" s="4">
        <f t="shared" si="5"/>
        <v>0.17004358498600713</v>
      </c>
    </row>
    <row r="78" spans="1:22" x14ac:dyDescent="0.25">
      <c r="A78" s="1">
        <v>39114</v>
      </c>
      <c r="B78" s="4">
        <v>9.4805582395195695E-2</v>
      </c>
      <c r="C78" s="4">
        <v>4.2123955555312703E-2</v>
      </c>
      <c r="D78" s="4">
        <v>2.63964729673394E-2</v>
      </c>
      <c r="E78" s="4">
        <v>4.5783353712722701E-3</v>
      </c>
      <c r="F78" s="4">
        <v>4.5397473241280597E-3</v>
      </c>
      <c r="G78" s="4">
        <v>2.19553895130398E-2</v>
      </c>
      <c r="H78" s="4">
        <v>9.9593900731092297E-2</v>
      </c>
      <c r="I78" s="4">
        <f t="shared" si="3"/>
        <v>1.1943994831262881</v>
      </c>
      <c r="J78" s="4">
        <v>0.77515173385315495</v>
      </c>
      <c r="K78" s="4">
        <v>0.16086273470763601</v>
      </c>
      <c r="L78" s="4">
        <v>2.9159551043932402E-2</v>
      </c>
      <c r="M78" s="4">
        <v>4.3241459803793202E-2</v>
      </c>
      <c r="N78" s="4">
        <v>1.0084154794085101</v>
      </c>
      <c r="O78" s="4">
        <v>0.99472401478704198</v>
      </c>
      <c r="P78" s="10">
        <f t="shared" si="4"/>
        <v>0.1996754683392461</v>
      </c>
      <c r="S78" s="12">
        <v>38808</v>
      </c>
      <c r="T78" s="4">
        <v>0.162377019906952</v>
      </c>
      <c r="U78" s="4">
        <v>0.17360019825721701</v>
      </c>
      <c r="V78" s="4">
        <f t="shared" si="5"/>
        <v>0.1645283484577218</v>
      </c>
    </row>
    <row r="79" spans="1:22" x14ac:dyDescent="0.25">
      <c r="A79" s="1">
        <v>39142</v>
      </c>
      <c r="B79" s="4">
        <v>9.1596637456451399E-2</v>
      </c>
      <c r="C79" s="4">
        <v>4.0280555143981898E-2</v>
      </c>
      <c r="D79" s="4">
        <v>2.3003675133151501E-2</v>
      </c>
      <c r="E79" s="4">
        <v>4.4672852297157999E-3</v>
      </c>
      <c r="F79" s="4">
        <v>3.6094239133745501E-3</v>
      </c>
      <c r="G79" s="4">
        <v>2.2075498249599E-2</v>
      </c>
      <c r="H79" s="4">
        <v>9.3436437669822903E-2</v>
      </c>
      <c r="I79" s="4">
        <f t="shared" si="3"/>
        <v>1.1850330751262743</v>
      </c>
      <c r="J79" s="4">
        <v>0.78780338836389896</v>
      </c>
      <c r="K79" s="4">
        <v>0.148861336311021</v>
      </c>
      <c r="L79" s="4">
        <v>2.98790691034783E-2</v>
      </c>
      <c r="M79" s="4">
        <v>4.2256904486018702E-2</v>
      </c>
      <c r="N79" s="4">
        <v>1.00880069826441</v>
      </c>
      <c r="O79" s="4">
        <v>0.96374019373611997</v>
      </c>
      <c r="P79" s="10">
        <f t="shared" si="4"/>
        <v>0.22129288139015435</v>
      </c>
      <c r="S79" s="12">
        <v>38838</v>
      </c>
      <c r="T79" s="4">
        <v>0.18889328526972099</v>
      </c>
      <c r="U79" s="4">
        <v>0.20971017409742801</v>
      </c>
      <c r="V79" s="4">
        <f t="shared" si="5"/>
        <v>0.17042558082607817</v>
      </c>
    </row>
    <row r="80" spans="1:22" x14ac:dyDescent="0.25">
      <c r="A80" s="1">
        <v>39173</v>
      </c>
      <c r="B80" s="4">
        <v>9.1976420713830095E-2</v>
      </c>
      <c r="C80" s="4">
        <v>4.2003631935526302E-2</v>
      </c>
      <c r="D80" s="4">
        <v>2.2640849947698698E-2</v>
      </c>
      <c r="E80" s="4">
        <v>4.4549076289231498E-3</v>
      </c>
      <c r="F80" s="4">
        <v>4.4154843755883598E-3</v>
      </c>
      <c r="G80" s="4">
        <v>2.0735093436097501E-2</v>
      </c>
      <c r="H80" s="4">
        <v>9.42499673238342E-2</v>
      </c>
      <c r="I80" s="4">
        <f t="shared" si="3"/>
        <v>1.1862263880376642</v>
      </c>
      <c r="J80" s="4">
        <v>0.77067984596888095</v>
      </c>
      <c r="K80" s="4">
        <v>0.14432989049421899</v>
      </c>
      <c r="L80" s="4">
        <v>4.10439001671392E-2</v>
      </c>
      <c r="M80" s="4">
        <v>4.8447222689435097E-2</v>
      </c>
      <c r="N80" s="4">
        <v>1.00450085931967</v>
      </c>
      <c r="O80" s="4">
        <v>0.96671547779278799</v>
      </c>
      <c r="P80" s="10">
        <f t="shared" si="4"/>
        <v>0.21951091024487623</v>
      </c>
      <c r="S80" s="12">
        <v>38869</v>
      </c>
      <c r="T80" s="4">
        <v>0.15696068697752799</v>
      </c>
      <c r="U80" s="4">
        <v>0.187666611132318</v>
      </c>
      <c r="V80" s="4">
        <f t="shared" si="5"/>
        <v>0.18560191418507599</v>
      </c>
    </row>
    <row r="81" spans="1:22" x14ac:dyDescent="0.25">
      <c r="A81" s="1">
        <v>39203</v>
      </c>
      <c r="B81" s="4">
        <v>9.3547053018569304E-2</v>
      </c>
      <c r="C81" s="4">
        <v>3.8237511135638898E-2</v>
      </c>
      <c r="D81" s="4">
        <v>2.3703907331895001E-2</v>
      </c>
      <c r="E81" s="4">
        <v>4.0290959304609903E-3</v>
      </c>
      <c r="F81" s="4">
        <v>4.3442653216925701E-3</v>
      </c>
      <c r="G81" s="4">
        <v>2.0848775964421799E-2</v>
      </c>
      <c r="H81" s="4">
        <v>9.1163555684109401E-2</v>
      </c>
      <c r="I81" s="4">
        <f t="shared" si="3"/>
        <v>1.1847106087026786</v>
      </c>
      <c r="J81" s="4">
        <v>0.78026490860155495</v>
      </c>
      <c r="K81" s="4">
        <v>0.14380369201895701</v>
      </c>
      <c r="L81" s="4">
        <v>3.4956971184287401E-2</v>
      </c>
      <c r="M81" s="4">
        <v>6.5733587220642598E-2</v>
      </c>
      <c r="N81" s="4">
        <v>1.0247591590254399</v>
      </c>
      <c r="O81" s="4">
        <v>0.95140920386319505</v>
      </c>
      <c r="P81" s="10">
        <f t="shared" si="4"/>
        <v>0.23330140483948358</v>
      </c>
      <c r="S81" s="12">
        <v>38899</v>
      </c>
      <c r="T81" s="4">
        <v>0.19594106413427601</v>
      </c>
      <c r="U81" s="4">
        <v>0.18622398438044399</v>
      </c>
      <c r="V81" s="4">
        <f t="shared" si="5"/>
        <v>0.19672847929598913</v>
      </c>
    </row>
    <row r="82" spans="1:22" x14ac:dyDescent="0.25">
      <c r="A82" s="1">
        <v>39234</v>
      </c>
      <c r="B82" s="4">
        <v>9.0363378892866303E-2</v>
      </c>
      <c r="C82" s="4">
        <v>3.94645338451491E-2</v>
      </c>
      <c r="D82" s="4">
        <v>2.4764542447176401E-2</v>
      </c>
      <c r="E82" s="4">
        <v>5.1258266777504799E-3</v>
      </c>
      <c r="F82" s="4">
        <v>3.84603015753847E-3</v>
      </c>
      <c r="G82" s="4">
        <v>2.0070723946157599E-2</v>
      </c>
      <c r="H82" s="4">
        <v>9.3271657073772204E-2</v>
      </c>
      <c r="I82" s="4">
        <f t="shared" si="3"/>
        <v>1.1836350359666385</v>
      </c>
      <c r="J82" s="4">
        <v>0.78202465725666803</v>
      </c>
      <c r="K82" s="4">
        <v>0.131248229333881</v>
      </c>
      <c r="L82" s="4">
        <v>3.37931275459918E-2</v>
      </c>
      <c r="M82" s="4">
        <v>4.0972942558599797E-2</v>
      </c>
      <c r="N82" s="4">
        <v>0.98803895669514097</v>
      </c>
      <c r="O82" s="4">
        <v>0.93305343738301605</v>
      </c>
      <c r="P82" s="10">
        <f t="shared" si="4"/>
        <v>0.2505815985836225</v>
      </c>
      <c r="S82" s="12">
        <v>38930</v>
      </c>
      <c r="T82" s="4">
        <v>0.18019993850945901</v>
      </c>
      <c r="U82" s="4">
        <v>0.19959263305407199</v>
      </c>
      <c r="V82" s="4">
        <f t="shared" si="5"/>
        <v>0.18765131299231208</v>
      </c>
    </row>
    <row r="83" spans="1:22" x14ac:dyDescent="0.25">
      <c r="A83" s="1">
        <v>39264</v>
      </c>
      <c r="B83" s="4">
        <v>9.1830123248260995E-2</v>
      </c>
      <c r="C83" s="4">
        <v>4.0035402543125702E-2</v>
      </c>
      <c r="D83" s="4">
        <v>2.4363486072557401E-2</v>
      </c>
      <c r="E83" s="4">
        <v>4.4945413742151401E-3</v>
      </c>
      <c r="F83" s="4">
        <v>2.08861706381833E-3</v>
      </c>
      <c r="G83" s="4">
        <v>2.14299798043967E-2</v>
      </c>
      <c r="H83" s="4">
        <v>9.2412026858113297E-2</v>
      </c>
      <c r="I83" s="4">
        <f t="shared" si="3"/>
        <v>1.1842421501063742</v>
      </c>
      <c r="J83" s="4">
        <v>0.76135298778550597</v>
      </c>
      <c r="K83" s="4">
        <v>0.146410641449878</v>
      </c>
      <c r="L83" s="4">
        <v>2.87611541064999E-2</v>
      </c>
      <c r="M83" s="4">
        <v>5.0636393727490098E-2</v>
      </c>
      <c r="N83" s="4">
        <v>0.98716117706937501</v>
      </c>
      <c r="O83" s="4">
        <v>0.93609494758642098</v>
      </c>
      <c r="P83" s="10">
        <f t="shared" si="4"/>
        <v>0.24814720251995326</v>
      </c>
      <c r="S83" s="12">
        <v>38961</v>
      </c>
      <c r="T83" s="4">
        <v>0.20728849899992</v>
      </c>
      <c r="U83" s="4">
        <v>0.20527967141380399</v>
      </c>
      <c r="V83" s="4">
        <f t="shared" si="5"/>
        <v>0.17491084705476578</v>
      </c>
    </row>
    <row r="84" spans="1:22" x14ac:dyDescent="0.25">
      <c r="A84" s="1">
        <v>39295</v>
      </c>
      <c r="B84" s="4">
        <v>8.5664441951018799E-2</v>
      </c>
      <c r="C84" s="4">
        <v>3.79998415314097E-2</v>
      </c>
      <c r="D84" s="4">
        <v>2.2204490502209399E-2</v>
      </c>
      <c r="E84" s="4">
        <v>4.2759022733683304E-3</v>
      </c>
      <c r="F84" s="4">
        <v>2.9454236574788001E-3</v>
      </c>
      <c r="G84" s="4">
        <v>2.0201942589524399E-2</v>
      </c>
      <c r="H84" s="4">
        <v>8.7627600553990798E-2</v>
      </c>
      <c r="I84" s="4">
        <f t="shared" si="3"/>
        <v>1.1732920425050095</v>
      </c>
      <c r="J84" s="4">
        <v>0.77026423521975895</v>
      </c>
      <c r="K84" s="4">
        <v>0.13844698985944701</v>
      </c>
      <c r="L84" s="4">
        <v>3.22928377611418E-2</v>
      </c>
      <c r="M84" s="4">
        <v>4.31262681424198E-2</v>
      </c>
      <c r="N84" s="4">
        <v>0.98413033098276903</v>
      </c>
      <c r="O84" s="4">
        <v>0.92152248835697503</v>
      </c>
      <c r="P84" s="10">
        <f t="shared" si="4"/>
        <v>0.25176955414803448</v>
      </c>
      <c r="S84" s="12">
        <v>38991</v>
      </c>
      <c r="T84" s="4">
        <v>0.19610733208012401</v>
      </c>
      <c r="U84" s="4">
        <v>0.209041271136859</v>
      </c>
      <c r="V84" s="4">
        <f t="shared" si="5"/>
        <v>0.20706523470162108</v>
      </c>
    </row>
    <row r="85" spans="1:22" x14ac:dyDescent="0.25">
      <c r="A85" s="1">
        <v>39326</v>
      </c>
      <c r="B85" s="4">
        <v>8.49702066827865E-2</v>
      </c>
      <c r="C85" s="4">
        <v>3.4975074508679198E-2</v>
      </c>
      <c r="D85" s="4">
        <v>1.9470987236346899E-2</v>
      </c>
      <c r="E85" s="4">
        <v>3.4329272382403798E-3</v>
      </c>
      <c r="F85" s="4">
        <v>3.6057707437657902E-3</v>
      </c>
      <c r="G85" s="4">
        <v>2.0411383019123899E-2</v>
      </c>
      <c r="H85" s="4">
        <v>8.1896142746156295E-2</v>
      </c>
      <c r="I85" s="4">
        <f t="shared" si="3"/>
        <v>1.1668663494289429</v>
      </c>
      <c r="J85" s="4">
        <v>0.76131504482302104</v>
      </c>
      <c r="K85" s="4">
        <v>0.115143854713146</v>
      </c>
      <c r="L85" s="4">
        <v>4.2413829981066901E-2</v>
      </c>
      <c r="M85" s="4">
        <v>6.2066369930313399E-2</v>
      </c>
      <c r="N85" s="4">
        <v>0.98093909944754698</v>
      </c>
      <c r="O85" s="4">
        <v>0.91820125376086703</v>
      </c>
      <c r="P85" s="10">
        <f t="shared" si="4"/>
        <v>0.24866509566807582</v>
      </c>
      <c r="S85" s="12">
        <v>39022</v>
      </c>
      <c r="T85" s="4">
        <v>0.21295075212689399</v>
      </c>
      <c r="U85" s="4">
        <v>0.216736249616749</v>
      </c>
      <c r="V85" s="4">
        <f t="shared" si="5"/>
        <v>0.18382549096473788</v>
      </c>
    </row>
    <row r="86" spans="1:22" x14ac:dyDescent="0.25">
      <c r="A86" s="1">
        <v>39356</v>
      </c>
      <c r="B86" s="4">
        <v>8.6058863425858598E-2</v>
      </c>
      <c r="C86" s="4">
        <v>3.4908253259593201E-2</v>
      </c>
      <c r="D86" s="4">
        <v>2.5489202518956498E-2</v>
      </c>
      <c r="E86" s="4">
        <v>4.2898450034375701E-3</v>
      </c>
      <c r="F86" s="4">
        <v>2.83926081984917E-3</v>
      </c>
      <c r="G86" s="4">
        <v>1.99381733953761E-2</v>
      </c>
      <c r="H86" s="4">
        <v>8.7464734997212606E-2</v>
      </c>
      <c r="I86" s="4">
        <f t="shared" si="3"/>
        <v>1.1735235984230712</v>
      </c>
      <c r="J86" s="4">
        <v>0.75197740778918798</v>
      </c>
      <c r="K86" s="4">
        <v>0.14116016302267101</v>
      </c>
      <c r="L86" s="4">
        <v>3.3251742046172199E-2</v>
      </c>
      <c r="M86" s="4">
        <v>3.9376037458188198E-2</v>
      </c>
      <c r="N86" s="4">
        <v>0.96576535031622102</v>
      </c>
      <c r="O86" s="4">
        <v>0.92081100393149795</v>
      </c>
      <c r="P86" s="10">
        <f t="shared" si="4"/>
        <v>0.25271259449157324</v>
      </c>
      <c r="S86" s="12">
        <v>39052</v>
      </c>
      <c r="T86" s="4">
        <v>0.16963282350421299</v>
      </c>
      <c r="U86" s="4">
        <v>0.19481211203913901</v>
      </c>
      <c r="V86" s="4">
        <f t="shared" si="5"/>
        <v>0.20710505535630663</v>
      </c>
    </row>
    <row r="87" spans="1:22" x14ac:dyDescent="0.25">
      <c r="A87" s="1">
        <v>39387</v>
      </c>
      <c r="B87" s="4">
        <v>8.4790434076548196E-2</v>
      </c>
      <c r="C87" s="4">
        <v>3.5181225836311503E-2</v>
      </c>
      <c r="D87" s="4">
        <v>2.13526013340831E-2</v>
      </c>
      <c r="E87" s="4">
        <v>4.3157623893492897E-3</v>
      </c>
      <c r="F87" s="4">
        <v>2.7505764950135599E-3</v>
      </c>
      <c r="G87" s="4">
        <v>2.0952426975020599E-2</v>
      </c>
      <c r="H87" s="4">
        <v>8.4552593029778203E-2</v>
      </c>
      <c r="I87" s="4">
        <f t="shared" si="3"/>
        <v>1.1693430271063263</v>
      </c>
      <c r="J87" s="4">
        <v>0.74479611258919798</v>
      </c>
      <c r="K87" s="4">
        <v>0.12668544959628</v>
      </c>
      <c r="L87" s="4">
        <v>4.2569269224573901E-2</v>
      </c>
      <c r="M87" s="4">
        <v>2.6905533278271901E-2</v>
      </c>
      <c r="N87" s="4">
        <v>0.940956364688324</v>
      </c>
      <c r="O87" s="4">
        <v>0.91506688983679896</v>
      </c>
      <c r="P87" s="10">
        <f t="shared" si="4"/>
        <v>0.25427613726952736</v>
      </c>
      <c r="S87" s="12">
        <v>39083</v>
      </c>
      <c r="T87" s="4">
        <v>0.167799095167038</v>
      </c>
      <c r="U87" s="4">
        <v>0.16146971635736901</v>
      </c>
      <c r="V87" s="4">
        <f t="shared" si="5"/>
        <v>0.21371797687212801</v>
      </c>
    </row>
    <row r="88" spans="1:22" x14ac:dyDescent="0.25">
      <c r="A88" s="1">
        <v>39417</v>
      </c>
      <c r="B88" s="4">
        <v>8.5750720525237703E-2</v>
      </c>
      <c r="C88" s="4">
        <v>3.8923470881779297E-2</v>
      </c>
      <c r="D88" s="4">
        <v>2.3613014054521101E-2</v>
      </c>
      <c r="E88" s="4">
        <v>4.1300242594418599E-3</v>
      </c>
      <c r="F88" s="4">
        <v>2.2664674406483198E-3</v>
      </c>
      <c r="G88" s="4">
        <v>2.3250070610240099E-2</v>
      </c>
      <c r="H88" s="4">
        <v>9.2183047246630803E-2</v>
      </c>
      <c r="I88" s="4">
        <f t="shared" si="3"/>
        <v>1.1779337677718684</v>
      </c>
      <c r="J88" s="4">
        <v>0.69262492069180603</v>
      </c>
      <c r="K88" s="4">
        <v>0.14348263542531001</v>
      </c>
      <c r="L88" s="4">
        <v>4.2536325735544799E-2</v>
      </c>
      <c r="M88" s="4">
        <v>4.2786423377029502E-2</v>
      </c>
      <c r="N88" s="4">
        <v>0.92143030522969105</v>
      </c>
      <c r="O88" s="4">
        <v>0.87188660203271195</v>
      </c>
      <c r="P88" s="10">
        <f t="shared" si="4"/>
        <v>0.30604716573915647</v>
      </c>
      <c r="S88" s="12">
        <v>39114</v>
      </c>
      <c r="T88" s="4">
        <v>0.18999877449692801</v>
      </c>
      <c r="U88" s="4">
        <v>0.18394369385614101</v>
      </c>
      <c r="V88" s="4">
        <f t="shared" si="5"/>
        <v>0.1996754683392461</v>
      </c>
    </row>
    <row r="89" spans="1:22" x14ac:dyDescent="0.25">
      <c r="A89" s="1">
        <v>39448</v>
      </c>
      <c r="B89" s="4">
        <v>8.7878585258331504E-2</v>
      </c>
      <c r="C89" s="4">
        <v>3.75377187721617E-2</v>
      </c>
      <c r="D89" s="4">
        <v>2.0372781291144199E-2</v>
      </c>
      <c r="E89" s="4">
        <v>3.9253086209037596E-3</v>
      </c>
      <c r="F89" s="4">
        <v>2.9017972343031101E-3</v>
      </c>
      <c r="G89" s="4">
        <v>2.2396374966863801E-2</v>
      </c>
      <c r="H89" s="4">
        <v>8.7133980885376702E-2</v>
      </c>
      <c r="I89" s="4">
        <f t="shared" si="3"/>
        <v>1.1750125661437081</v>
      </c>
      <c r="J89" s="4">
        <v>0.751735625079064</v>
      </c>
      <c r="K89" s="4">
        <v>0.13383910696123499</v>
      </c>
      <c r="L89" s="4">
        <v>3.1946573048528701E-2</v>
      </c>
      <c r="M89" s="4">
        <v>3.96101131877118E-2</v>
      </c>
      <c r="N89" s="4">
        <v>0.95713141827654002</v>
      </c>
      <c r="O89" s="4">
        <v>0.89001746970613604</v>
      </c>
      <c r="P89" s="10">
        <f t="shared" si="4"/>
        <v>0.28499509643757204</v>
      </c>
      <c r="S89" s="12">
        <v>39142</v>
      </c>
      <c r="T89" s="4">
        <v>0.196121642942792</v>
      </c>
      <c r="U89" s="4">
        <v>0.20195187577492099</v>
      </c>
      <c r="V89" s="4">
        <f t="shared" si="5"/>
        <v>0.22129288139015435</v>
      </c>
    </row>
    <row r="90" spans="1:22" x14ac:dyDescent="0.25">
      <c r="A90" s="1">
        <v>39479</v>
      </c>
      <c r="B90" s="4">
        <v>8.3515400437132806E-2</v>
      </c>
      <c r="C90" s="4">
        <v>3.4938014766048998E-2</v>
      </c>
      <c r="D90" s="4">
        <v>1.8511352590364901E-2</v>
      </c>
      <c r="E90" s="4">
        <v>3.9675972680165497E-3</v>
      </c>
      <c r="F90" s="4">
        <v>1.8536211301376001E-3</v>
      </c>
      <c r="G90" s="4">
        <v>2.0575118455255399E-2</v>
      </c>
      <c r="H90" s="4">
        <v>7.9845704209823606E-2</v>
      </c>
      <c r="I90" s="4">
        <f t="shared" si="3"/>
        <v>1.1633611046469565</v>
      </c>
      <c r="J90" s="4">
        <v>0.76484896404802905</v>
      </c>
      <c r="K90" s="4">
        <v>0.12956239127890301</v>
      </c>
      <c r="L90" s="4">
        <v>4.0846580189815199E-2</v>
      </c>
      <c r="M90" s="4">
        <v>1.87806567340702E-2</v>
      </c>
      <c r="N90" s="4">
        <v>0.954038592250818</v>
      </c>
      <c r="O90" s="4">
        <v>0.907454815509257</v>
      </c>
      <c r="P90" s="10">
        <f t="shared" si="4"/>
        <v>0.25590628913769953</v>
      </c>
      <c r="S90" s="12">
        <v>39173</v>
      </c>
      <c r="T90" s="4">
        <v>0.201967957210961</v>
      </c>
      <c r="U90" s="4">
        <v>0.20913631428858101</v>
      </c>
      <c r="V90" s="4">
        <f t="shared" si="5"/>
        <v>0.21951091024487623</v>
      </c>
    </row>
    <row r="91" spans="1:22" x14ac:dyDescent="0.25">
      <c r="A91" s="1">
        <v>39508</v>
      </c>
      <c r="B91" s="4">
        <v>8.6275181559898495E-2</v>
      </c>
      <c r="C91" s="4">
        <v>3.32798437567789E-2</v>
      </c>
      <c r="D91" s="4">
        <v>1.8357061951627101E-2</v>
      </c>
      <c r="E91" s="4">
        <v>4.0209162245755502E-3</v>
      </c>
      <c r="F91" s="4">
        <v>2.5324200943689901E-3</v>
      </c>
      <c r="G91" s="4">
        <v>2.2246956863109499E-2</v>
      </c>
      <c r="H91" s="4">
        <v>8.0437198890460193E-2</v>
      </c>
      <c r="I91" s="4">
        <f t="shared" si="3"/>
        <v>1.1667123804503587</v>
      </c>
      <c r="J91" s="4">
        <v>0.75552976103231595</v>
      </c>
      <c r="K91" s="4">
        <v>0.131263859875386</v>
      </c>
      <c r="L91" s="4">
        <v>3.2287786545321703E-2</v>
      </c>
      <c r="M91" s="4">
        <v>2.1118269399403301E-2</v>
      </c>
      <c r="N91" s="4">
        <v>0.940199676852427</v>
      </c>
      <c r="O91" s="4">
        <v>0.87294675024786506</v>
      </c>
      <c r="P91" s="10">
        <f t="shared" si="4"/>
        <v>0.29376563020249369</v>
      </c>
      <c r="S91" s="12">
        <v>39203</v>
      </c>
      <c r="T91" s="4">
        <v>0.1665813107785</v>
      </c>
      <c r="U91" s="4">
        <v>0.17345691531354099</v>
      </c>
      <c r="V91" s="4">
        <f t="shared" si="5"/>
        <v>0.23330140483948358</v>
      </c>
    </row>
    <row r="92" spans="1:22" x14ac:dyDescent="0.25">
      <c r="A92" s="1">
        <v>39539</v>
      </c>
      <c r="B92" s="4">
        <v>8.2651987750342701E-2</v>
      </c>
      <c r="C92" s="4">
        <v>2.9442909106905599E-2</v>
      </c>
      <c r="D92" s="4">
        <v>1.78074334351161E-2</v>
      </c>
      <c r="E92" s="4">
        <v>3.4268123206699099E-3</v>
      </c>
      <c r="F92" s="4">
        <v>2.0838300315553699E-3</v>
      </c>
      <c r="G92" s="4">
        <v>1.9890319547615901E-2</v>
      </c>
      <c r="H92" s="4">
        <v>7.2651304441863102E-2</v>
      </c>
      <c r="I92" s="4">
        <f t="shared" si="3"/>
        <v>1.1553032921922057</v>
      </c>
      <c r="J92" s="4">
        <v>0.7593310505234</v>
      </c>
      <c r="K92" s="4">
        <v>0.10630523668122301</v>
      </c>
      <c r="L92" s="4">
        <v>3.2184993963533498E-2</v>
      </c>
      <c r="M92" s="4">
        <v>2.20315141145071E-2</v>
      </c>
      <c r="N92" s="4">
        <v>0.91985279528266495</v>
      </c>
      <c r="O92" s="4">
        <v>0.883179306991969</v>
      </c>
      <c r="P92" s="10">
        <f t="shared" si="4"/>
        <v>0.27212398520023673</v>
      </c>
      <c r="S92" s="12">
        <v>39234</v>
      </c>
      <c r="T92" s="4">
        <v>0.181613017331511</v>
      </c>
      <c r="U92" s="4">
        <v>0.18558021944959799</v>
      </c>
      <c r="V92" s="4">
        <f t="shared" si="5"/>
        <v>0.2505815985836225</v>
      </c>
    </row>
    <row r="93" spans="1:22" x14ac:dyDescent="0.25">
      <c r="A93" s="1">
        <v>39569</v>
      </c>
      <c r="B93" s="4">
        <v>8.12134801657481E-2</v>
      </c>
      <c r="C93" s="4">
        <v>3.26846203379451E-2</v>
      </c>
      <c r="D93" s="4">
        <v>1.7527949887337E-2</v>
      </c>
      <c r="E93" s="4">
        <v>3.88781618028062E-3</v>
      </c>
      <c r="F93" s="4">
        <v>1.5247372965189201E-3</v>
      </c>
      <c r="G93" s="4">
        <v>1.9288134171269199E-2</v>
      </c>
      <c r="H93" s="4">
        <v>7.4913257873350902E-2</v>
      </c>
      <c r="I93" s="4">
        <f t="shared" si="3"/>
        <v>1.1561267380390989</v>
      </c>
      <c r="J93" s="4">
        <v>0.76168494208019899</v>
      </c>
      <c r="K93" s="4">
        <v>0.108000823849544</v>
      </c>
      <c r="L93" s="4">
        <v>4.3238631463530998E-2</v>
      </c>
      <c r="M93" s="4">
        <v>2.0451129680731601E-2</v>
      </c>
      <c r="N93" s="4">
        <v>0.93337552707400695</v>
      </c>
      <c r="O93" s="4">
        <v>0.85023410560913404</v>
      </c>
      <c r="P93" s="10">
        <f t="shared" si="4"/>
        <v>0.30589263242996489</v>
      </c>
      <c r="S93" s="12">
        <v>39264</v>
      </c>
      <c r="T93" s="4">
        <v>0.183459081277494</v>
      </c>
      <c r="U93" s="4">
        <v>0.19642568512176301</v>
      </c>
      <c r="V93" s="4">
        <f t="shared" si="5"/>
        <v>0.24814720251995326</v>
      </c>
    </row>
    <row r="94" spans="1:22" x14ac:dyDescent="0.25">
      <c r="A94" s="1">
        <v>39600</v>
      </c>
      <c r="B94" s="4">
        <v>8.1877862936668197E-2</v>
      </c>
      <c r="C94" s="4">
        <v>2.8659515073020201E-2</v>
      </c>
      <c r="D94" s="4">
        <v>1.7472678313097401E-2</v>
      </c>
      <c r="E94" s="4">
        <v>4.0255595469994004E-3</v>
      </c>
      <c r="F94" s="4">
        <v>2.0861767651602298E-3</v>
      </c>
      <c r="G94" s="4">
        <v>1.8162147437796101E-2</v>
      </c>
      <c r="H94" s="4">
        <v>7.04060771360734E-2</v>
      </c>
      <c r="I94" s="4">
        <f t="shared" si="3"/>
        <v>1.1522839400727416</v>
      </c>
      <c r="J94" s="4">
        <v>0.74969491281160505</v>
      </c>
      <c r="K94" s="4">
        <v>0.108813481978368</v>
      </c>
      <c r="L94" s="4">
        <v>4.4378925324968198E-2</v>
      </c>
      <c r="M94" s="4">
        <v>2.8238725841775301E-2</v>
      </c>
      <c r="N94" s="4">
        <v>0.931126045956716</v>
      </c>
      <c r="O94" s="4">
        <v>0.85657492527457102</v>
      </c>
      <c r="P94" s="10">
        <f t="shared" si="4"/>
        <v>0.29570901479817058</v>
      </c>
      <c r="S94" s="12">
        <v>39295</v>
      </c>
      <c r="T94" s="4">
        <v>0.19953203615999901</v>
      </c>
      <c r="U94" s="4">
        <v>0.198192239145663</v>
      </c>
      <c r="V94" s="4">
        <f t="shared" si="5"/>
        <v>0.25176955414803448</v>
      </c>
    </row>
    <row r="95" spans="1:22" x14ac:dyDescent="0.25">
      <c r="A95" s="1">
        <v>39630</v>
      </c>
      <c r="B95" s="4">
        <v>7.9365972915804897E-2</v>
      </c>
      <c r="C95" s="4">
        <v>2.77339235300335E-2</v>
      </c>
      <c r="D95" s="4">
        <v>1.73166925010734E-2</v>
      </c>
      <c r="E95" s="4">
        <v>4.2705902634386497E-3</v>
      </c>
      <c r="F95" s="4">
        <v>2.3541002911786901E-3</v>
      </c>
      <c r="G95" s="4">
        <v>1.7321688656545899E-2</v>
      </c>
      <c r="H95" s="4">
        <v>6.8996995242270195E-2</v>
      </c>
      <c r="I95" s="4">
        <f t="shared" si="3"/>
        <v>1.1483629681580751</v>
      </c>
      <c r="J95" s="4">
        <v>0.74451418667080804</v>
      </c>
      <c r="K95" s="4">
        <v>0.10451130237732301</v>
      </c>
      <c r="L95" s="4">
        <v>4.1453813172515598E-2</v>
      </c>
      <c r="M95" s="4">
        <v>1.72545755939757E-2</v>
      </c>
      <c r="N95" s="4">
        <v>0.907733877814623</v>
      </c>
      <c r="O95" s="4">
        <v>0.83323770469567104</v>
      </c>
      <c r="P95" s="10">
        <f t="shared" si="4"/>
        <v>0.3151252634624041</v>
      </c>
      <c r="S95" s="12">
        <v>39326</v>
      </c>
      <c r="T95" s="4">
        <v>0.23130257091380199</v>
      </c>
      <c r="U95" s="4">
        <v>0.240813453908273</v>
      </c>
      <c r="V95" s="4">
        <f t="shared" si="5"/>
        <v>0.24866509566807582</v>
      </c>
    </row>
    <row r="96" spans="1:22" x14ac:dyDescent="0.25">
      <c r="A96" s="1">
        <v>39661</v>
      </c>
      <c r="B96" s="4">
        <v>7.95020283597139E-2</v>
      </c>
      <c r="C96" s="4">
        <v>2.8565118912931099E-2</v>
      </c>
      <c r="D96" s="4">
        <v>1.72232590324411E-2</v>
      </c>
      <c r="E96" s="4">
        <v>4.2466156802505499E-3</v>
      </c>
      <c r="F96" s="4">
        <v>2.3293466289461598E-3</v>
      </c>
      <c r="G96" s="4">
        <v>1.8430808963523001E-2</v>
      </c>
      <c r="H96" s="4">
        <v>7.0795149218091893E-2</v>
      </c>
      <c r="I96" s="4">
        <f t="shared" si="3"/>
        <v>1.1502971775778059</v>
      </c>
      <c r="J96" s="4">
        <v>0.73266873914965602</v>
      </c>
      <c r="K96" s="4">
        <v>0.109094023575764</v>
      </c>
      <c r="L96" s="4">
        <v>4.12076215308027E-2</v>
      </c>
      <c r="M96" s="4">
        <v>2.0163941579244699E-2</v>
      </c>
      <c r="N96" s="4">
        <v>0.90313432583546804</v>
      </c>
      <c r="O96" s="4">
        <v>0.82367124704234096</v>
      </c>
      <c r="P96" s="10">
        <f t="shared" si="4"/>
        <v>0.32662593053546496</v>
      </c>
      <c r="S96" s="12">
        <v>39356</v>
      </c>
      <c r="T96" s="4">
        <v>0.212180867589227</v>
      </c>
      <c r="U96" s="4">
        <v>0.23290228524898601</v>
      </c>
      <c r="V96" s="4">
        <f t="shared" si="5"/>
        <v>0.25271259449157324</v>
      </c>
    </row>
    <row r="97" spans="1:22" x14ac:dyDescent="0.25">
      <c r="A97" s="1">
        <v>39692</v>
      </c>
      <c r="B97" s="4">
        <v>7.8146576432254103E-2</v>
      </c>
      <c r="C97" s="4">
        <v>2.6735604146859202E-2</v>
      </c>
      <c r="D97" s="4">
        <v>1.6243260617958302E-2</v>
      </c>
      <c r="E97" s="4">
        <v>4.2271749119350702E-3</v>
      </c>
      <c r="F97" s="4">
        <v>1.9667619625749898E-3</v>
      </c>
      <c r="G97" s="4">
        <v>1.6265915229662298E-2</v>
      </c>
      <c r="H97" s="4">
        <v>6.5438716868989999E-2</v>
      </c>
      <c r="I97" s="4">
        <f t="shared" si="3"/>
        <v>1.143585293301244</v>
      </c>
      <c r="J97" s="4">
        <v>0.718120273061162</v>
      </c>
      <c r="K97" s="4">
        <v>0.100646133269711</v>
      </c>
      <c r="L97" s="4">
        <v>4.5196588575071903E-2</v>
      </c>
      <c r="M97" s="4">
        <v>1.48209147435906E-2</v>
      </c>
      <c r="N97" s="4">
        <v>0.87878390964953601</v>
      </c>
      <c r="O97" s="4">
        <v>0.83001427341885903</v>
      </c>
      <c r="P97" s="10">
        <f t="shared" si="4"/>
        <v>0.313571019882385</v>
      </c>
      <c r="S97" s="12">
        <v>39387</v>
      </c>
      <c r="T97" s="4">
        <v>0.23143418280228101</v>
      </c>
      <c r="U97" s="4">
        <v>0.237811556808217</v>
      </c>
      <c r="V97" s="4">
        <f t="shared" si="5"/>
        <v>0.25427613726952736</v>
      </c>
    </row>
    <row r="98" spans="1:22" x14ac:dyDescent="0.25">
      <c r="A98" s="1">
        <v>39722</v>
      </c>
      <c r="B98" s="4">
        <v>8.1102393437688394E-2</v>
      </c>
      <c r="C98" s="4">
        <v>2.9985144866710899E-2</v>
      </c>
      <c r="D98" s="4">
        <v>1.7383167263891199E-2</v>
      </c>
      <c r="E98" s="4">
        <v>3.9740309206773303E-3</v>
      </c>
      <c r="F98" s="4">
        <v>2.1625487481091599E-3</v>
      </c>
      <c r="G98" s="4">
        <v>1.8793238257357899E-2</v>
      </c>
      <c r="H98" s="4">
        <v>7.2298130056746596E-2</v>
      </c>
      <c r="I98" s="4">
        <f t="shared" si="3"/>
        <v>1.1534005234944349</v>
      </c>
      <c r="J98" s="4">
        <v>0.646348281881999</v>
      </c>
      <c r="K98" s="4">
        <v>0.102771143173453</v>
      </c>
      <c r="L98" s="4">
        <v>4.2009618818599E-2</v>
      </c>
      <c r="M98" s="4">
        <v>1.2638786344498399E-2</v>
      </c>
      <c r="N98" s="4">
        <v>0.80376783021854903</v>
      </c>
      <c r="O98" s="4">
        <v>0.82477265544461797</v>
      </c>
      <c r="P98" s="10">
        <f t="shared" si="4"/>
        <v>0.32862786804981692</v>
      </c>
      <c r="S98" s="12">
        <v>39417</v>
      </c>
      <c r="T98" s="4">
        <v>0.22851317819844499</v>
      </c>
      <c r="U98" s="4">
        <v>0.23433467330277</v>
      </c>
      <c r="V98" s="4">
        <f t="shared" si="5"/>
        <v>0.30604716573915647</v>
      </c>
    </row>
    <row r="99" spans="1:22" x14ac:dyDescent="0.25">
      <c r="A99" s="1">
        <v>39753</v>
      </c>
      <c r="B99" s="4">
        <v>7.8771718489176301E-2</v>
      </c>
      <c r="C99" s="4">
        <v>2.6829762862197699E-2</v>
      </c>
      <c r="D99" s="4">
        <v>1.6760408804298101E-2</v>
      </c>
      <c r="E99" s="4">
        <v>3.9132289164937701E-3</v>
      </c>
      <c r="F99" s="4">
        <v>1.9461864195087701E-3</v>
      </c>
      <c r="G99" s="4">
        <v>1.8039413290580099E-2</v>
      </c>
      <c r="H99" s="4">
        <v>6.7489000293078596E-2</v>
      </c>
      <c r="I99" s="4">
        <f t="shared" si="3"/>
        <v>1.1462607187822549</v>
      </c>
      <c r="J99" s="4">
        <v>0.66716365426968405</v>
      </c>
      <c r="K99" s="4">
        <v>0.11043382912913099</v>
      </c>
      <c r="L99" s="4">
        <v>5.6408759687577498E-2</v>
      </c>
      <c r="M99" s="4">
        <v>1.3778335112467999E-2</v>
      </c>
      <c r="N99" s="4">
        <v>0.84778457819886199</v>
      </c>
      <c r="O99" s="4">
        <v>0.809126288844911</v>
      </c>
      <c r="P99" s="10">
        <f t="shared" si="4"/>
        <v>0.33713442993734388</v>
      </c>
      <c r="S99" s="12">
        <v>39448</v>
      </c>
      <c r="T99" s="4">
        <v>0.22415887694293801</v>
      </c>
      <c r="U99" s="4">
        <v>0.221455792037204</v>
      </c>
      <c r="V99" s="4">
        <f t="shared" si="5"/>
        <v>0.28499509643757204</v>
      </c>
    </row>
    <row r="100" spans="1:22" x14ac:dyDescent="0.25">
      <c r="A100" s="1">
        <v>39783</v>
      </c>
      <c r="B100" s="4">
        <v>7.9535886220867894E-2</v>
      </c>
      <c r="C100" s="4">
        <v>2.7422519910993901E-2</v>
      </c>
      <c r="D100" s="4">
        <v>1.52564263223656E-2</v>
      </c>
      <c r="E100" s="4">
        <v>3.9843196070723603E-3</v>
      </c>
      <c r="F100" s="4">
        <v>2.1527745724524701E-3</v>
      </c>
      <c r="G100" s="4">
        <v>1.93318455783952E-2</v>
      </c>
      <c r="H100" s="4">
        <v>6.8147885991279605E-2</v>
      </c>
      <c r="I100" s="4">
        <f t="shared" si="3"/>
        <v>1.1476837722121476</v>
      </c>
      <c r="J100" s="4">
        <v>0.66268334268139995</v>
      </c>
      <c r="K100" s="4">
        <v>0.11336066713460299</v>
      </c>
      <c r="L100" s="4">
        <v>4.9896585887144802E-2</v>
      </c>
      <c r="M100" s="4">
        <v>1.1679369978883299E-2</v>
      </c>
      <c r="N100" s="4">
        <v>0.83761996568203201</v>
      </c>
      <c r="O100" s="4">
        <v>0.82163794638432097</v>
      </c>
      <c r="P100" s="10">
        <f t="shared" si="4"/>
        <v>0.3260458258278266</v>
      </c>
      <c r="S100" s="12">
        <v>39479</v>
      </c>
      <c r="T100" s="4">
        <v>0.215016587776197</v>
      </c>
      <c r="U100" s="4">
        <v>0.21254117767086</v>
      </c>
      <c r="V100" s="4">
        <f t="shared" si="5"/>
        <v>0.25590628913769953</v>
      </c>
    </row>
    <row r="101" spans="1:22" x14ac:dyDescent="0.25">
      <c r="A101" s="1">
        <v>39814</v>
      </c>
      <c r="B101" s="4">
        <v>7.6329575965091601E-2</v>
      </c>
      <c r="C101" s="4">
        <v>2.53573197333418E-2</v>
      </c>
      <c r="D101" s="4">
        <v>1.3398022896225799E-2</v>
      </c>
      <c r="E101" s="4">
        <v>4.12918840330905E-3</v>
      </c>
      <c r="F101" s="4">
        <v>2.0710848437312402E-3</v>
      </c>
      <c r="G101" s="4">
        <v>1.8956634611686899E-2</v>
      </c>
      <c r="H101" s="4">
        <v>6.3912250488294797E-2</v>
      </c>
      <c r="I101" s="4">
        <f t="shared" si="3"/>
        <v>1.1402418264533865</v>
      </c>
      <c r="J101" s="4">
        <v>0.64482954633428402</v>
      </c>
      <c r="K101" s="4">
        <v>0.106600834813091</v>
      </c>
      <c r="L101" s="4">
        <v>6.6786624491712202E-2</v>
      </c>
      <c r="M101" s="4">
        <v>1.00708962068237E-2</v>
      </c>
      <c r="N101" s="4">
        <v>0.82828790184591095</v>
      </c>
      <c r="O101" s="4">
        <v>0.83017355686850303</v>
      </c>
      <c r="P101" s="10">
        <f t="shared" si="4"/>
        <v>0.31006826958488343</v>
      </c>
      <c r="S101" s="12">
        <v>39508</v>
      </c>
      <c r="T101" s="4">
        <v>0.228401143711814</v>
      </c>
      <c r="U101" s="4">
        <v>0.222069857607541</v>
      </c>
      <c r="V101" s="4">
        <f t="shared" si="5"/>
        <v>0.29376563020249369</v>
      </c>
    </row>
    <row r="102" spans="1:22" x14ac:dyDescent="0.25">
      <c r="A102" s="1">
        <v>39845</v>
      </c>
      <c r="B102" s="4">
        <v>7.8959216832169193E-2</v>
      </c>
      <c r="C102" s="4">
        <v>2.4546597427663401E-2</v>
      </c>
      <c r="D102" s="4">
        <v>1.46001940323042E-2</v>
      </c>
      <c r="E102" s="4">
        <v>3.9455175356034001E-3</v>
      </c>
      <c r="F102" s="4">
        <v>2.2981443906341598E-3</v>
      </c>
      <c r="G102" s="4">
        <v>1.8576770699078399E-2</v>
      </c>
      <c r="H102" s="4">
        <v>6.39672240852837E-2</v>
      </c>
      <c r="I102" s="4">
        <f t="shared" si="3"/>
        <v>1.1429264409174529</v>
      </c>
      <c r="J102" s="4">
        <v>0.64912427236620696</v>
      </c>
      <c r="K102" s="4">
        <v>0.106802236977947</v>
      </c>
      <c r="L102" s="4">
        <v>6.4014779352512097E-2</v>
      </c>
      <c r="M102" s="4">
        <v>9.1013233964249898E-3</v>
      </c>
      <c r="N102" s="4">
        <v>0.82904261209309105</v>
      </c>
      <c r="O102" s="4">
        <v>0.84008481652609301</v>
      </c>
      <c r="P102" s="10">
        <f t="shared" si="4"/>
        <v>0.30284162439135986</v>
      </c>
      <c r="S102" s="12">
        <v>39539</v>
      </c>
      <c r="T102" s="4">
        <v>0.250398774936329</v>
      </c>
      <c r="U102" s="4">
        <v>0.238871078115372</v>
      </c>
      <c r="V102" s="4">
        <f t="shared" si="5"/>
        <v>0.27212398520023673</v>
      </c>
    </row>
    <row r="103" spans="1:22" x14ac:dyDescent="0.25">
      <c r="A103" s="1">
        <v>39873</v>
      </c>
      <c r="B103" s="4">
        <v>7.8338134061547701E-2</v>
      </c>
      <c r="C103" s="4">
        <v>2.3469828003523902E-2</v>
      </c>
      <c r="D103" s="4">
        <v>1.4796869056098999E-2</v>
      </c>
      <c r="E103" s="4">
        <v>4.2158465630081597E-3</v>
      </c>
      <c r="F103" s="4">
        <v>2.1665980184672998E-3</v>
      </c>
      <c r="G103" s="4">
        <v>1.8417717918927101E-2</v>
      </c>
      <c r="H103" s="4">
        <v>6.3066859560025501E-2</v>
      </c>
      <c r="I103" s="4">
        <f t="shared" si="3"/>
        <v>1.1414049936215731</v>
      </c>
      <c r="J103" s="4">
        <v>0.62154902803442202</v>
      </c>
      <c r="K103" s="4">
        <v>0.107396756538814</v>
      </c>
      <c r="L103" s="4">
        <v>6.3781833483554304E-2</v>
      </c>
      <c r="M103" s="4">
        <v>1.1119684209368401E-2</v>
      </c>
      <c r="N103" s="4">
        <v>0.80384730226615897</v>
      </c>
      <c r="O103" s="4">
        <v>0.84318462567775398</v>
      </c>
      <c r="P103" s="10">
        <f t="shared" si="4"/>
        <v>0.29822036794381912</v>
      </c>
      <c r="S103" s="12">
        <v>39569</v>
      </c>
      <c r="T103" s="4">
        <v>0.244645885040884</v>
      </c>
      <c r="U103" s="4">
        <v>0.24707400539295499</v>
      </c>
      <c r="V103" s="4">
        <f t="shared" si="5"/>
        <v>0.30589263242996489</v>
      </c>
    </row>
    <row r="104" spans="1:22" x14ac:dyDescent="0.25">
      <c r="A104" s="1">
        <v>39904</v>
      </c>
      <c r="B104" s="4">
        <v>7.7757655433162307E-2</v>
      </c>
      <c r="C104" s="4">
        <v>2.3208522672360201E-2</v>
      </c>
      <c r="D104" s="4">
        <v>1.4145890004871301E-2</v>
      </c>
      <c r="E104" s="4">
        <v>4.1353556521709798E-3</v>
      </c>
      <c r="F104" s="4">
        <v>2.2327130113857199E-3</v>
      </c>
      <c r="G104" s="4">
        <v>1.7451252269418901E-2</v>
      </c>
      <c r="H104" s="4">
        <v>6.1173733610207198E-2</v>
      </c>
      <c r="I104" s="4">
        <f t="shared" si="3"/>
        <v>1.1389313890433694</v>
      </c>
      <c r="J104" s="4">
        <v>0.62264664928084901</v>
      </c>
      <c r="K104" s="4">
        <v>0.107768313184571</v>
      </c>
      <c r="L104" s="4">
        <v>6.2676636788570897E-2</v>
      </c>
      <c r="M104" s="4">
        <v>9.0596122265921807E-3</v>
      </c>
      <c r="N104" s="4">
        <v>0.80215121148058399</v>
      </c>
      <c r="O104" s="4">
        <v>0.82143039424742903</v>
      </c>
      <c r="P104" s="10">
        <f t="shared" si="4"/>
        <v>0.31750099479594041</v>
      </c>
      <c r="S104" s="12">
        <v>39600</v>
      </c>
      <c r="T104" s="4">
        <v>0.25403604561165799</v>
      </c>
      <c r="U104" s="4">
        <v>0.26308610497762203</v>
      </c>
      <c r="V104" s="4">
        <f t="shared" si="5"/>
        <v>0.29570901479817058</v>
      </c>
    </row>
    <row r="105" spans="1:22" x14ac:dyDescent="0.25">
      <c r="A105" s="1">
        <v>39934</v>
      </c>
      <c r="B105" s="4">
        <v>7.6879396475263206E-2</v>
      </c>
      <c r="C105" s="4">
        <v>2.2517756655751099E-2</v>
      </c>
      <c r="D105" s="4">
        <v>1.34480187340372E-2</v>
      </c>
      <c r="E105" s="4">
        <v>3.84354160421597E-3</v>
      </c>
      <c r="F105" s="4">
        <v>2.6965981165411302E-3</v>
      </c>
      <c r="G105" s="4">
        <v>1.6334686548482E-2</v>
      </c>
      <c r="H105" s="4">
        <v>5.8840601659027401E-2</v>
      </c>
      <c r="I105" s="4">
        <f t="shared" si="3"/>
        <v>1.1357199981342907</v>
      </c>
      <c r="J105" s="4">
        <v>0.623806946947424</v>
      </c>
      <c r="K105" s="4">
        <v>0.10360356933975599</v>
      </c>
      <c r="L105" s="4">
        <v>7.8839422169842396E-2</v>
      </c>
      <c r="M105" s="4">
        <v>8.1695259973396106E-3</v>
      </c>
      <c r="N105" s="4">
        <v>0.81441946445436197</v>
      </c>
      <c r="O105" s="4">
        <v>0.85525719967749703</v>
      </c>
      <c r="P105" s="10">
        <f t="shared" si="4"/>
        <v>0.28046279845679367</v>
      </c>
      <c r="S105" s="12">
        <v>39630</v>
      </c>
      <c r="T105" s="4">
        <v>0.24449108143182699</v>
      </c>
      <c r="U105" s="4">
        <v>0.25867069054990799</v>
      </c>
      <c r="V105" s="4">
        <f t="shared" si="5"/>
        <v>0.3151252634624041</v>
      </c>
    </row>
    <row r="106" spans="1:22" x14ac:dyDescent="0.25">
      <c r="A106" s="1">
        <v>39965</v>
      </c>
      <c r="B106" s="4">
        <v>7.5660927497080296E-2</v>
      </c>
      <c r="C106" s="4">
        <v>2.1806028569931399E-2</v>
      </c>
      <c r="D106" s="4">
        <v>1.27605220142632E-2</v>
      </c>
      <c r="E106" s="4">
        <v>3.7465526517970601E-3</v>
      </c>
      <c r="F106" s="4">
        <v>2.3469147241179898E-3</v>
      </c>
      <c r="G106" s="4">
        <v>1.48067022568775E-2</v>
      </c>
      <c r="H106" s="4">
        <v>5.54667202169873E-2</v>
      </c>
      <c r="I106" s="4">
        <f t="shared" si="3"/>
        <v>1.1311276477140675</v>
      </c>
      <c r="J106" s="4">
        <v>0.626621481189376</v>
      </c>
      <c r="K106" s="4">
        <v>0.101141642833508</v>
      </c>
      <c r="L106" s="4">
        <v>7.4678162827274103E-2</v>
      </c>
      <c r="M106" s="4">
        <v>7.3710985378593096E-3</v>
      </c>
      <c r="N106" s="4">
        <v>0.80981238538801803</v>
      </c>
      <c r="O106" s="4">
        <v>0.837630219884824</v>
      </c>
      <c r="P106" s="10">
        <f t="shared" si="4"/>
        <v>0.29349742782924348</v>
      </c>
      <c r="S106" s="12">
        <v>39661</v>
      </c>
      <c r="T106" s="4">
        <v>0.25575846789168299</v>
      </c>
      <c r="U106" s="4">
        <v>0.27370993559985901</v>
      </c>
      <c r="V106" s="4">
        <f t="shared" si="5"/>
        <v>0.32662593053546496</v>
      </c>
    </row>
    <row r="107" spans="1:22" x14ac:dyDescent="0.25">
      <c r="A107" s="1">
        <v>39995</v>
      </c>
      <c r="B107" s="4">
        <v>7.2273607473948204E-2</v>
      </c>
      <c r="C107" s="4">
        <v>2.0322766220697699E-2</v>
      </c>
      <c r="D107" s="4">
        <v>1.15415768834542E-2</v>
      </c>
      <c r="E107" s="4">
        <v>3.9166803090024101E-3</v>
      </c>
      <c r="F107" s="4">
        <v>2.0458613607945999E-3</v>
      </c>
      <c r="G107" s="4">
        <v>1.34888912273414E-2</v>
      </c>
      <c r="H107" s="4">
        <v>5.1315776001290399E-2</v>
      </c>
      <c r="I107" s="4">
        <f t="shared" si="3"/>
        <v>1.1235893834752386</v>
      </c>
      <c r="J107" s="4">
        <v>0.63604809671439999</v>
      </c>
      <c r="K107" s="4">
        <v>9.5396648633925496E-2</v>
      </c>
      <c r="L107" s="4">
        <v>7.6010746674566407E-2</v>
      </c>
      <c r="M107" s="4">
        <v>7.4791162867993604E-3</v>
      </c>
      <c r="N107" s="4">
        <v>0.814934608309692</v>
      </c>
      <c r="O107" s="4">
        <v>0.81872138342531597</v>
      </c>
      <c r="P107" s="10">
        <f t="shared" si="4"/>
        <v>0.30486800004992265</v>
      </c>
      <c r="S107" s="12">
        <v>39692</v>
      </c>
      <c r="T107" s="4">
        <v>0.25545495914585598</v>
      </c>
      <c r="U107" s="4">
        <v>0.28479827686491899</v>
      </c>
      <c r="V107" s="4">
        <f t="shared" si="5"/>
        <v>0.313571019882385</v>
      </c>
    </row>
    <row r="108" spans="1:22" x14ac:dyDescent="0.25">
      <c r="A108" s="1">
        <v>40026</v>
      </c>
      <c r="B108" s="4">
        <v>7.1563796602764698E-2</v>
      </c>
      <c r="C108" s="4">
        <v>1.9568452168359701E-2</v>
      </c>
      <c r="D108" s="4">
        <v>1.08705480467372E-2</v>
      </c>
      <c r="E108" s="4">
        <v>3.9948233543776702E-3</v>
      </c>
      <c r="F108" s="4">
        <v>2.3340411536603599E-3</v>
      </c>
      <c r="G108" s="4">
        <v>1.3570226427433E-2</v>
      </c>
      <c r="H108" s="4">
        <v>5.0338091150568101E-2</v>
      </c>
      <c r="I108" s="4">
        <f t="shared" si="3"/>
        <v>1.1219018877533329</v>
      </c>
      <c r="J108" s="4">
        <v>0.62360022343067201</v>
      </c>
      <c r="K108" s="4">
        <v>9.4321661320534295E-2</v>
      </c>
      <c r="L108" s="4">
        <v>7.1542290913106293E-2</v>
      </c>
      <c r="M108" s="4">
        <v>6.0164878065433296E-3</v>
      </c>
      <c r="N108" s="4">
        <v>0.795480663470856</v>
      </c>
      <c r="O108" s="4">
        <v>0.80696446448023296</v>
      </c>
      <c r="P108" s="10">
        <f t="shared" si="4"/>
        <v>0.31493742327309993</v>
      </c>
      <c r="S108" s="12">
        <v>39722</v>
      </c>
      <c r="T108" s="4">
        <v>0.26542644846917102</v>
      </c>
      <c r="U108" s="4">
        <v>0.29617831707291797</v>
      </c>
      <c r="V108" s="4">
        <f t="shared" si="5"/>
        <v>0.32862786804981692</v>
      </c>
    </row>
    <row r="109" spans="1:22" x14ac:dyDescent="0.25">
      <c r="A109" s="1">
        <v>40057</v>
      </c>
      <c r="B109" s="4">
        <v>7.28488297159154E-2</v>
      </c>
      <c r="C109" s="4">
        <v>2.0396141698362999E-2</v>
      </c>
      <c r="D109" s="4">
        <v>1.06956668159489E-2</v>
      </c>
      <c r="E109" s="4">
        <v>4.2675786882848997E-3</v>
      </c>
      <c r="F109" s="4">
        <v>2.21540570184098E-3</v>
      </c>
      <c r="G109" s="4">
        <v>1.3529349257474E-2</v>
      </c>
      <c r="H109" s="4">
        <v>5.1104142161912003E-2</v>
      </c>
      <c r="I109" s="4">
        <f t="shared" si="3"/>
        <v>1.1239529718778274</v>
      </c>
      <c r="J109" s="4">
        <v>0.63585818071811895</v>
      </c>
      <c r="K109" s="4">
        <v>8.0594081651761296E-2</v>
      </c>
      <c r="L109" s="4">
        <v>8.0187761240673797E-2</v>
      </c>
      <c r="M109" s="4">
        <v>6.4416115919639499E-3</v>
      </c>
      <c r="N109" s="4">
        <v>0.80308163520251796</v>
      </c>
      <c r="O109" s="4">
        <v>0.82145526039123296</v>
      </c>
      <c r="P109" s="10">
        <f t="shared" si="4"/>
        <v>0.30249771148659443</v>
      </c>
      <c r="S109" s="12">
        <v>39753</v>
      </c>
      <c r="T109" s="4">
        <v>0.28053748621226099</v>
      </c>
      <c r="U109" s="4">
        <v>0.30142946424325301</v>
      </c>
      <c r="V109" s="4">
        <f t="shared" si="5"/>
        <v>0.33713442993734388</v>
      </c>
    </row>
    <row r="110" spans="1:22" x14ac:dyDescent="0.25">
      <c r="A110" s="1">
        <v>40087</v>
      </c>
      <c r="B110" s="4">
        <v>7.3810894629770196E-2</v>
      </c>
      <c r="C110" s="4">
        <v>2.1515943059247099E-2</v>
      </c>
      <c r="D110" s="4">
        <v>1.16084534767296E-2</v>
      </c>
      <c r="E110" s="4">
        <v>4.4427666453557496E-3</v>
      </c>
      <c r="F110" s="4">
        <v>2.77440809005991E-3</v>
      </c>
      <c r="G110" s="4">
        <v>1.3935375646893801E-2</v>
      </c>
      <c r="H110" s="4">
        <v>5.4276946918286197E-2</v>
      </c>
      <c r="I110" s="4">
        <f t="shared" si="3"/>
        <v>1.1280878415480564</v>
      </c>
      <c r="J110" s="4">
        <v>0.63709810397868805</v>
      </c>
      <c r="K110" s="4">
        <v>8.5979428811575803E-2</v>
      </c>
      <c r="L110" s="4">
        <v>8.4885370291199802E-2</v>
      </c>
      <c r="M110" s="4">
        <v>7.1432023486383998E-3</v>
      </c>
      <c r="N110" s="4">
        <v>0.81510610543010198</v>
      </c>
      <c r="O110" s="4">
        <v>0.821654298202528</v>
      </c>
      <c r="P110" s="10">
        <f t="shared" si="4"/>
        <v>0.30643354334552841</v>
      </c>
      <c r="S110" s="12">
        <v>39783</v>
      </c>
      <c r="T110" s="4">
        <v>0.30917839071485198</v>
      </c>
      <c r="U110" s="4">
        <v>0.33027854385460198</v>
      </c>
      <c r="V110" s="4">
        <f t="shared" si="5"/>
        <v>0.3260458258278266</v>
      </c>
    </row>
    <row r="111" spans="1:22" x14ac:dyDescent="0.25">
      <c r="A111" s="1">
        <v>40118</v>
      </c>
      <c r="B111" s="4">
        <v>7.5543290730333904E-2</v>
      </c>
      <c r="C111" s="4">
        <v>2.0061012614932199E-2</v>
      </c>
      <c r="D111" s="4">
        <v>1.10045466774927E-2</v>
      </c>
      <c r="E111" s="4">
        <v>4.3407474646978703E-3</v>
      </c>
      <c r="F111" s="4">
        <v>2.75563222249789E-3</v>
      </c>
      <c r="G111" s="4">
        <v>1.48976300690677E-2</v>
      </c>
      <c r="H111" s="4">
        <v>5.3059569048688499E-2</v>
      </c>
      <c r="I111" s="4">
        <f t="shared" si="3"/>
        <v>1.1286028597790225</v>
      </c>
      <c r="J111" s="4">
        <v>0.63418302453865405</v>
      </c>
      <c r="K111" s="4">
        <v>8.7144914595016304E-2</v>
      </c>
      <c r="L111" s="4">
        <v>9.5698764377244006E-2</v>
      </c>
      <c r="M111" s="4">
        <v>7.4573651732413497E-3</v>
      </c>
      <c r="N111" s="4">
        <v>0.82448406868415602</v>
      </c>
      <c r="O111" s="4">
        <v>0.80845888899932405</v>
      </c>
      <c r="P111" s="10">
        <f t="shared" si="4"/>
        <v>0.32014397077969847</v>
      </c>
      <c r="S111" s="12">
        <v>39814</v>
      </c>
      <c r="T111" s="4">
        <v>0.31185834572187898</v>
      </c>
      <c r="U111" s="4">
        <v>0.32805689554420697</v>
      </c>
      <c r="V111" s="4">
        <f t="shared" si="5"/>
        <v>0.31006826958488343</v>
      </c>
    </row>
    <row r="112" spans="1:22" x14ac:dyDescent="0.25">
      <c r="A112" s="1">
        <v>40148</v>
      </c>
      <c r="B112" s="4">
        <v>7.5504028119218997E-2</v>
      </c>
      <c r="C112" s="4">
        <v>2.0941611114035599E-2</v>
      </c>
      <c r="D112" s="4">
        <v>1.0642176449210399E-2</v>
      </c>
      <c r="E112" s="4">
        <v>4.5708709723340096E-3</v>
      </c>
      <c r="F112" s="4">
        <v>2.1928085554238901E-3</v>
      </c>
      <c r="G112" s="4">
        <v>1.6046753057191498E-2</v>
      </c>
      <c r="H112" s="4">
        <v>5.4394220148195498E-2</v>
      </c>
      <c r="I112" s="4">
        <f t="shared" si="3"/>
        <v>1.1298982482674145</v>
      </c>
      <c r="J112" s="4">
        <v>0.63002319477867896</v>
      </c>
      <c r="K112" s="4">
        <v>7.973594890796E-2</v>
      </c>
      <c r="L112" s="4">
        <v>9.2730355978165299E-2</v>
      </c>
      <c r="M112" s="4">
        <v>7.0676973403798098E-3</v>
      </c>
      <c r="N112" s="4">
        <v>0.80955719700518403</v>
      </c>
      <c r="O112" s="4">
        <v>0.79379789500650599</v>
      </c>
      <c r="P112" s="10">
        <f t="shared" si="4"/>
        <v>0.33610035326090848</v>
      </c>
      <c r="S112" s="12">
        <v>39845</v>
      </c>
      <c r="T112" s="4">
        <v>0.32478880049514303</v>
      </c>
      <c r="U112" s="4">
        <v>0.31681528328695502</v>
      </c>
      <c r="V112" s="4">
        <f t="shared" si="5"/>
        <v>0.30284162439135986</v>
      </c>
    </row>
    <row r="113" spans="1:22" x14ac:dyDescent="0.25">
      <c r="A113" s="1">
        <v>40179</v>
      </c>
      <c r="B113" s="4">
        <v>7.4686493682850699E-2</v>
      </c>
      <c r="C113" s="4">
        <v>2.00279312680606E-2</v>
      </c>
      <c r="D113" s="4">
        <v>9.9995223698209797E-3</v>
      </c>
      <c r="E113" s="4">
        <v>4.5044453662086304E-3</v>
      </c>
      <c r="F113" s="4">
        <v>2.0586657239338702E-3</v>
      </c>
      <c r="G113" s="4">
        <v>1.6244822611591499E-2</v>
      </c>
      <c r="H113" s="4">
        <v>5.2835387339615597E-2</v>
      </c>
      <c r="I113" s="4">
        <f t="shared" si="3"/>
        <v>1.1275218810224663</v>
      </c>
      <c r="J113" s="4">
        <v>0.63684241700065802</v>
      </c>
      <c r="K113" s="4">
        <v>7.4491136389630397E-2</v>
      </c>
      <c r="L113" s="4">
        <v>8.2528486995506897E-2</v>
      </c>
      <c r="M113" s="4">
        <v>7.0021535244587903E-3</v>
      </c>
      <c r="N113" s="4">
        <v>0.80086419391025399</v>
      </c>
      <c r="O113" s="4">
        <v>0.81335082788002899</v>
      </c>
      <c r="P113" s="10">
        <f t="shared" si="4"/>
        <v>0.31417105314243732</v>
      </c>
      <c r="S113" s="12">
        <v>39873</v>
      </c>
      <c r="T113" s="4">
        <v>0.34250562956613501</v>
      </c>
      <c r="U113" s="4">
        <v>0.32231951068734999</v>
      </c>
      <c r="V113" s="4">
        <f t="shared" si="5"/>
        <v>0.29822036794381912</v>
      </c>
    </row>
    <row r="114" spans="1:22" x14ac:dyDescent="0.25">
      <c r="A114" s="1">
        <v>40210</v>
      </c>
      <c r="B114" s="4">
        <v>7.7857594791134493E-2</v>
      </c>
      <c r="C114" s="4">
        <v>2.2390248056422798E-2</v>
      </c>
      <c r="D114" s="4">
        <v>1.17486230874536E-2</v>
      </c>
      <c r="E114" s="4">
        <v>4.6569413578525301E-3</v>
      </c>
      <c r="F114" s="4">
        <v>2.7937683137126E-3</v>
      </c>
      <c r="G114" s="4">
        <v>1.64593861146087E-2</v>
      </c>
      <c r="H114" s="4">
        <v>5.8048966930050301E-2</v>
      </c>
      <c r="I114" s="4">
        <f t="shared" si="3"/>
        <v>1.1359065617211848</v>
      </c>
      <c r="J114" s="4">
        <v>0.62075513131750304</v>
      </c>
      <c r="K114" s="4">
        <v>7.9563128951605694E-2</v>
      </c>
      <c r="L114" s="4">
        <v>9.0714899233890506E-2</v>
      </c>
      <c r="M114" s="4">
        <v>6.2671333994806198E-3</v>
      </c>
      <c r="N114" s="4">
        <v>0.79730029290247895</v>
      </c>
      <c r="O114" s="4">
        <v>0.79132309231374298</v>
      </c>
      <c r="P114" s="10">
        <f t="shared" si="4"/>
        <v>0.34458346940744178</v>
      </c>
      <c r="S114" s="12">
        <v>39904</v>
      </c>
      <c r="T114" s="4">
        <v>0.342393257928025</v>
      </c>
      <c r="U114" s="4">
        <v>0.32830572047654899</v>
      </c>
      <c r="V114" s="4">
        <f t="shared" si="5"/>
        <v>0.31750099479594041</v>
      </c>
    </row>
    <row r="115" spans="1:22" x14ac:dyDescent="0.25">
      <c r="A115" s="1">
        <v>40238</v>
      </c>
      <c r="B115" s="4">
        <v>7.9219782270327097E-2</v>
      </c>
      <c r="C115" s="4">
        <v>2.4092581119221902E-2</v>
      </c>
      <c r="D115" s="4">
        <v>1.1886155321078E-2</v>
      </c>
      <c r="E115" s="4">
        <v>4.6278988913530401E-3</v>
      </c>
      <c r="F115" s="4">
        <v>2.8232352879970098E-3</v>
      </c>
      <c r="G115" s="4">
        <v>1.58998367213294E-2</v>
      </c>
      <c r="H115" s="4">
        <v>5.9329707340979497E-2</v>
      </c>
      <c r="I115" s="4">
        <f t="shared" si="3"/>
        <v>1.1385494896113066</v>
      </c>
      <c r="J115" s="4">
        <v>0.62957291496423096</v>
      </c>
      <c r="K115" s="4">
        <v>8.50694897515165E-2</v>
      </c>
      <c r="L115" s="4">
        <v>8.9373036670771594E-2</v>
      </c>
      <c r="M115" s="4">
        <v>6.2540130172909197E-3</v>
      </c>
      <c r="N115" s="4">
        <v>0.81026945440381104</v>
      </c>
      <c r="O115" s="4">
        <v>0.808056610919485</v>
      </c>
      <c r="P115" s="10">
        <f t="shared" si="4"/>
        <v>0.33049287869182165</v>
      </c>
      <c r="S115" s="12">
        <v>39934</v>
      </c>
      <c r="T115" s="4">
        <v>0.34529964526518198</v>
      </c>
      <c r="U115" s="4">
        <v>0.33234525670874598</v>
      </c>
      <c r="V115" s="4">
        <f t="shared" si="5"/>
        <v>0.28046279845679367</v>
      </c>
    </row>
    <row r="116" spans="1:22" x14ac:dyDescent="0.25">
      <c r="A116" s="1">
        <v>40269</v>
      </c>
      <c r="B116" s="4">
        <v>8.1415187658143207E-2</v>
      </c>
      <c r="C116" s="4">
        <v>2.6178449505757002E-2</v>
      </c>
      <c r="D116" s="4">
        <v>1.23087937911975E-2</v>
      </c>
      <c r="E116" s="4">
        <v>4.8085901738806301E-3</v>
      </c>
      <c r="F116" s="4">
        <v>3.2908895606311201E-3</v>
      </c>
      <c r="G116" s="4">
        <v>1.67748722650977E-2</v>
      </c>
      <c r="H116" s="4">
        <v>6.3361595296564099E-2</v>
      </c>
      <c r="I116" s="4">
        <f t="shared" si="3"/>
        <v>1.1447767829547073</v>
      </c>
      <c r="J116" s="4">
        <v>0.63467409425826704</v>
      </c>
      <c r="K116" s="4">
        <v>8.3356405802850697E-2</v>
      </c>
      <c r="L116" s="4">
        <v>8.9323771821391298E-2</v>
      </c>
      <c r="M116" s="4">
        <v>8.0953830677892302E-3</v>
      </c>
      <c r="N116" s="4">
        <v>0.81544965495029798</v>
      </c>
      <c r="O116" s="4">
        <v>0.79738678652548001</v>
      </c>
      <c r="P116" s="10">
        <f t="shared" si="4"/>
        <v>0.3473899964292273</v>
      </c>
      <c r="S116" s="12">
        <v>39965</v>
      </c>
      <c r="T116" s="4">
        <v>0.35955668908656102</v>
      </c>
      <c r="U116" s="4">
        <v>0.35170953448026898</v>
      </c>
      <c r="V116" s="4">
        <f t="shared" si="5"/>
        <v>0.29349742782924348</v>
      </c>
    </row>
    <row r="117" spans="1:22" x14ac:dyDescent="0.25">
      <c r="A117" s="1">
        <v>40299</v>
      </c>
      <c r="B117" s="4">
        <v>7.8819026981857401E-2</v>
      </c>
      <c r="C117" s="4">
        <v>2.4451162793537699E-2</v>
      </c>
      <c r="D117" s="4">
        <v>1.13183327685664E-2</v>
      </c>
      <c r="E117" s="4">
        <v>4.7558896303236701E-3</v>
      </c>
      <c r="F117" s="4">
        <v>2.97342049947895E-3</v>
      </c>
      <c r="G117" s="4">
        <v>1.5700642985869699E-2</v>
      </c>
      <c r="H117" s="4">
        <v>5.9199448677776503E-2</v>
      </c>
      <c r="I117" s="4">
        <f t="shared" si="3"/>
        <v>1.1380184756596339</v>
      </c>
      <c r="J117" s="4">
        <v>0.63322724926919005</v>
      </c>
      <c r="K117" s="4">
        <v>8.0875360140406305E-2</v>
      </c>
      <c r="L117" s="4">
        <v>8.9283827380287104E-2</v>
      </c>
      <c r="M117" s="4">
        <v>5.7867422275655897E-3</v>
      </c>
      <c r="N117" s="4">
        <v>0.80917317901744901</v>
      </c>
      <c r="O117" s="4">
        <v>0.78312160531752395</v>
      </c>
      <c r="P117" s="10">
        <f t="shared" si="4"/>
        <v>0.35489687034210993</v>
      </c>
      <c r="S117" s="12">
        <v>39995</v>
      </c>
      <c r="T117" s="4">
        <v>0.339590963993602</v>
      </c>
      <c r="U117" s="4">
        <v>0.34570745804686698</v>
      </c>
      <c r="V117" s="4">
        <f t="shared" si="5"/>
        <v>0.30486800004992265</v>
      </c>
    </row>
    <row r="118" spans="1:22" x14ac:dyDescent="0.25">
      <c r="A118" s="1">
        <v>40330</v>
      </c>
      <c r="B118" s="4">
        <v>8.1347130389888403E-2</v>
      </c>
      <c r="C118" s="4">
        <v>2.50903273898502E-2</v>
      </c>
      <c r="D118" s="4">
        <v>1.16445118168682E-2</v>
      </c>
      <c r="E118" s="4">
        <v>4.8706941815311799E-3</v>
      </c>
      <c r="F118" s="4">
        <v>3.1869205146521202E-3</v>
      </c>
      <c r="G118" s="4">
        <v>1.5842256766067601E-2</v>
      </c>
      <c r="H118" s="4">
        <v>6.0634710668969402E-2</v>
      </c>
      <c r="I118" s="4">
        <f t="shared" si="3"/>
        <v>1.1419818410588578</v>
      </c>
      <c r="J118" s="4">
        <v>0.63404048376034305</v>
      </c>
      <c r="K118" s="4">
        <v>7.8426092588853302E-2</v>
      </c>
      <c r="L118" s="4">
        <v>8.9446709456792894E-2</v>
      </c>
      <c r="M118" s="4">
        <v>8.4919858681393994E-3</v>
      </c>
      <c r="N118" s="4">
        <v>0.81040527167412801</v>
      </c>
      <c r="O118" s="4">
        <v>0.78817271369841102</v>
      </c>
      <c r="P118" s="10">
        <f t="shared" si="4"/>
        <v>0.35380912736044678</v>
      </c>
      <c r="S118" s="12">
        <v>40026</v>
      </c>
      <c r="T118" s="4">
        <v>0.353108424181036</v>
      </c>
      <c r="U118" s="4">
        <v>0.35726962657371603</v>
      </c>
      <c r="V118" s="4">
        <f t="shared" si="5"/>
        <v>0.31493742327309993</v>
      </c>
    </row>
    <row r="119" spans="1:22" x14ac:dyDescent="0.25">
      <c r="A119" s="1">
        <v>40360</v>
      </c>
      <c r="B119" s="4">
        <v>7.81943201685735E-2</v>
      </c>
      <c r="C119" s="4">
        <v>2.4199700961530599E-2</v>
      </c>
      <c r="D119" s="4">
        <v>9.9769590001604902E-3</v>
      </c>
      <c r="E119" s="4">
        <v>4.8535705842242703E-3</v>
      </c>
      <c r="F119" s="4">
        <v>2.8335636591725602E-3</v>
      </c>
      <c r="G119" s="4">
        <v>1.44848351274224E-2</v>
      </c>
      <c r="H119" s="4">
        <v>5.6348629332510301E-2</v>
      </c>
      <c r="I119" s="4">
        <f t="shared" si="3"/>
        <v>1.1345429495010837</v>
      </c>
      <c r="J119" s="4">
        <v>0.63602199578126295</v>
      </c>
      <c r="K119" s="4">
        <v>7.2983533288583494E-2</v>
      </c>
      <c r="L119" s="4">
        <v>7.5770195653075897E-2</v>
      </c>
      <c r="M119" s="4">
        <v>7.6649366018518E-3</v>
      </c>
      <c r="N119" s="4">
        <v>0.79244066132477398</v>
      </c>
      <c r="O119" s="4">
        <v>0.79037580094615401</v>
      </c>
      <c r="P119" s="10">
        <f t="shared" si="4"/>
        <v>0.34416714855492969</v>
      </c>
      <c r="S119" s="12">
        <v>40057</v>
      </c>
      <c r="T119" s="4">
        <v>0.37438553424871901</v>
      </c>
      <c r="U119" s="4">
        <v>0.38313216408383999</v>
      </c>
      <c r="V119" s="4">
        <f t="shared" si="5"/>
        <v>0.30249771148659443</v>
      </c>
    </row>
    <row r="120" spans="1:22" x14ac:dyDescent="0.25">
      <c r="A120" s="1">
        <v>40391</v>
      </c>
      <c r="B120" s="4">
        <v>8.3316822581034095E-2</v>
      </c>
      <c r="C120" s="4">
        <v>2.3193085205053799E-2</v>
      </c>
      <c r="D120" s="4">
        <v>1.20617427143322E-2</v>
      </c>
      <c r="E120" s="4">
        <v>5.1986869872585502E-3</v>
      </c>
      <c r="F120" s="4">
        <v>3.34150975202033E-3</v>
      </c>
      <c r="G120" s="4">
        <v>1.5673546881210101E-2</v>
      </c>
      <c r="H120" s="4">
        <v>5.9468571539875101E-2</v>
      </c>
      <c r="I120" s="4">
        <f t="shared" si="3"/>
        <v>1.1427853941209092</v>
      </c>
      <c r="J120" s="4">
        <v>0.61724590189596495</v>
      </c>
      <c r="K120" s="4">
        <v>7.6661936808071499E-2</v>
      </c>
      <c r="L120" s="4">
        <v>8.3522844816722397E-2</v>
      </c>
      <c r="M120" s="4">
        <v>1.01782796863625E-2</v>
      </c>
      <c r="N120" s="4">
        <v>0.78760896320712204</v>
      </c>
      <c r="O120" s="4">
        <v>0.783816251471119</v>
      </c>
      <c r="P120" s="10">
        <f t="shared" si="4"/>
        <v>0.35896914264979018</v>
      </c>
      <c r="S120" s="12">
        <v>40087</v>
      </c>
      <c r="T120" s="4">
        <v>0.37217026853294</v>
      </c>
      <c r="U120" s="4">
        <v>0.38844047078965199</v>
      </c>
      <c r="V120" s="4">
        <f t="shared" si="5"/>
        <v>0.30643354334552841</v>
      </c>
    </row>
    <row r="121" spans="1:22" x14ac:dyDescent="0.25">
      <c r="A121" s="1">
        <v>40422</v>
      </c>
      <c r="B121" s="4">
        <v>8.5137491087157902E-2</v>
      </c>
      <c r="C121" s="4">
        <v>2.3069150064075498E-2</v>
      </c>
      <c r="D121" s="4">
        <v>1.2970714950859E-2</v>
      </c>
      <c r="E121" s="4">
        <v>5.5324545253677901E-3</v>
      </c>
      <c r="F121" s="4">
        <v>3.6335771275459901E-3</v>
      </c>
      <c r="G121" s="4">
        <v>1.5841201202719899E-2</v>
      </c>
      <c r="H121" s="4">
        <v>6.10470978705683E-2</v>
      </c>
      <c r="I121" s="4">
        <f t="shared" si="3"/>
        <v>1.1461845889577262</v>
      </c>
      <c r="J121" s="4">
        <v>0.61092060913808199</v>
      </c>
      <c r="K121" s="4">
        <v>7.8806089952748598E-2</v>
      </c>
      <c r="L121" s="4">
        <v>8.5548199950237602E-2</v>
      </c>
      <c r="M121" s="4">
        <v>8.9094675769337394E-3</v>
      </c>
      <c r="N121" s="4">
        <v>0.78418436661800195</v>
      </c>
      <c r="O121" s="4">
        <v>0.78052262792923</v>
      </c>
      <c r="P121" s="10">
        <f t="shared" si="4"/>
        <v>0.36566196102849624</v>
      </c>
      <c r="S121" s="12">
        <v>40118</v>
      </c>
      <c r="T121" s="4">
        <v>0.35138308884559</v>
      </c>
      <c r="U121" s="4">
        <v>0.371279200104003</v>
      </c>
      <c r="V121" s="4">
        <f t="shared" si="5"/>
        <v>0.32014397077969847</v>
      </c>
    </row>
    <row r="122" spans="1:22" x14ac:dyDescent="0.25">
      <c r="A122" s="1">
        <v>40452</v>
      </c>
      <c r="B122" s="4">
        <v>8.4673542480079897E-2</v>
      </c>
      <c r="C122" s="4">
        <v>2.2085924559814601E-2</v>
      </c>
      <c r="D122" s="4">
        <v>1.3048461346914101E-2</v>
      </c>
      <c r="E122" s="4">
        <v>5.8721807104257298E-3</v>
      </c>
      <c r="F122" s="4">
        <v>3.1963878300738401E-3</v>
      </c>
      <c r="G122" s="4">
        <v>1.5117136398778E-2</v>
      </c>
      <c r="H122" s="4">
        <v>5.9320090846006403E-2</v>
      </c>
      <c r="I122" s="4">
        <f t="shared" si="3"/>
        <v>1.1439936333260863</v>
      </c>
      <c r="J122" s="4">
        <v>0.60741787876627495</v>
      </c>
      <c r="K122" s="4">
        <v>7.7801892279923096E-2</v>
      </c>
      <c r="L122" s="4">
        <v>8.6481087327046999E-2</v>
      </c>
      <c r="M122" s="4">
        <v>1.14225715664776E-2</v>
      </c>
      <c r="N122" s="4">
        <v>0.78312342993972195</v>
      </c>
      <c r="O122" s="4">
        <v>0.77643218967794303</v>
      </c>
      <c r="P122" s="10">
        <f t="shared" si="4"/>
        <v>0.36756144364814325</v>
      </c>
      <c r="S122" s="12">
        <v>40148</v>
      </c>
      <c r="T122" s="4">
        <v>0.370250825133082</v>
      </c>
      <c r="U122" s="4">
        <v>0.39283865729332301</v>
      </c>
      <c r="V122" s="4">
        <f t="shared" si="5"/>
        <v>0.33610035326090848</v>
      </c>
    </row>
    <row r="123" spans="1:22" x14ac:dyDescent="0.25">
      <c r="A123" s="1">
        <v>40483</v>
      </c>
      <c r="B123" s="4">
        <v>8.6015912709796999E-2</v>
      </c>
      <c r="C123" s="4">
        <v>2.3293695169286401E-2</v>
      </c>
      <c r="D123" s="4">
        <v>1.36519257625609E-2</v>
      </c>
      <c r="E123" s="4">
        <v>6.1292024017526904E-3</v>
      </c>
      <c r="F123" s="4">
        <v>3.2053485419581002E-3</v>
      </c>
      <c r="G123" s="4">
        <v>1.5968082052765599E-2</v>
      </c>
      <c r="H123" s="4">
        <v>6.2248253928323803E-2</v>
      </c>
      <c r="I123" s="4">
        <f t="shared" si="3"/>
        <v>1.1482641666381208</v>
      </c>
      <c r="J123" s="4">
        <v>0.58271641291337395</v>
      </c>
      <c r="K123" s="4">
        <v>8.0566801066414895E-2</v>
      </c>
      <c r="L123" s="4">
        <v>9.0989312592255706E-2</v>
      </c>
      <c r="M123" s="4">
        <v>9.4233349008041502E-3</v>
      </c>
      <c r="N123" s="4">
        <v>0.76369586147284896</v>
      </c>
      <c r="O123" s="4">
        <v>0.78196624825115502</v>
      </c>
      <c r="P123" s="10">
        <f t="shared" si="4"/>
        <v>0.36629791838696579</v>
      </c>
      <c r="S123" s="12">
        <v>40179</v>
      </c>
      <c r="T123" s="4">
        <v>0.38383437711646501</v>
      </c>
      <c r="U123" s="4">
        <v>0.39116749832513897</v>
      </c>
      <c r="V123" s="4">
        <f t="shared" si="5"/>
        <v>0.31417105314243732</v>
      </c>
    </row>
    <row r="124" spans="1:22" x14ac:dyDescent="0.25">
      <c r="A124" s="1">
        <v>40513</v>
      </c>
      <c r="B124" s="4">
        <v>8.9776224789666001E-2</v>
      </c>
      <c r="C124" s="4">
        <v>2.3338205665737299E-2</v>
      </c>
      <c r="D124" s="4">
        <v>1.42034380716748E-2</v>
      </c>
      <c r="E124" s="4">
        <v>6.0765834675536303E-3</v>
      </c>
      <c r="F124" s="4">
        <v>3.7139682913974298E-3</v>
      </c>
      <c r="G124" s="4">
        <v>1.8372244568204001E-2</v>
      </c>
      <c r="H124" s="4">
        <v>6.5704440064567202E-2</v>
      </c>
      <c r="I124" s="4">
        <f t="shared" si="3"/>
        <v>1.1554806648542333</v>
      </c>
      <c r="J124" s="4">
        <v>0.60158981568959702</v>
      </c>
      <c r="K124" s="4">
        <v>7.9834196873487903E-2</v>
      </c>
      <c r="L124" s="4">
        <v>8.6783987860851397E-2</v>
      </c>
      <c r="M124" s="4">
        <v>9.0371043630857704E-3</v>
      </c>
      <c r="N124" s="4">
        <v>0.77724510478702302</v>
      </c>
      <c r="O124" s="4">
        <v>0.77939315548104005</v>
      </c>
      <c r="P124" s="10">
        <f t="shared" si="4"/>
        <v>0.37608750937319324</v>
      </c>
      <c r="S124" s="12">
        <v>40210</v>
      </c>
      <c r="T124" s="4">
        <v>0.38626294950205597</v>
      </c>
      <c r="U124" s="4">
        <v>0.39311185099920898</v>
      </c>
      <c r="V124" s="4">
        <f t="shared" si="5"/>
        <v>0.34458346940744178</v>
      </c>
    </row>
    <row r="125" spans="1:22" x14ac:dyDescent="0.25">
      <c r="A125" s="1">
        <v>40544</v>
      </c>
      <c r="B125" s="4">
        <v>9.0789161254669001E-2</v>
      </c>
      <c r="C125" s="4">
        <v>2.6693581569789099E-2</v>
      </c>
      <c r="D125" s="4">
        <v>1.3998698572645799E-2</v>
      </c>
      <c r="E125" s="4">
        <v>6.1573707571787803E-3</v>
      </c>
      <c r="F125" s="4">
        <v>3.5929697757271801E-3</v>
      </c>
      <c r="G125" s="4">
        <v>1.8773259003994399E-2</v>
      </c>
      <c r="H125" s="4">
        <v>6.9215879679335401E-2</v>
      </c>
      <c r="I125" s="4">
        <f t="shared" si="3"/>
        <v>1.1600050409340044</v>
      </c>
      <c r="J125" s="4">
        <v>0.58785334688010205</v>
      </c>
      <c r="K125" s="4">
        <v>7.56654984132243E-2</v>
      </c>
      <c r="L125" s="4">
        <v>8.9712957968795401E-2</v>
      </c>
      <c r="M125" s="4">
        <v>1.00600347942774E-2</v>
      </c>
      <c r="N125" s="4">
        <v>0.763291838056399</v>
      </c>
      <c r="O125" s="4">
        <v>0.77445147491331401</v>
      </c>
      <c r="P125" s="10">
        <f t="shared" si="4"/>
        <v>0.38555356602069035</v>
      </c>
      <c r="S125" s="12">
        <v>40238</v>
      </c>
      <c r="T125" s="4">
        <v>0.39381183904279898</v>
      </c>
      <c r="U125" s="4">
        <v>0.40301588661647603</v>
      </c>
      <c r="V125" s="4">
        <f t="shared" si="5"/>
        <v>0.33049287869182165</v>
      </c>
    </row>
    <row r="126" spans="1:22" x14ac:dyDescent="0.25">
      <c r="A126" s="1">
        <v>40575</v>
      </c>
      <c r="B126" s="4">
        <v>9.3171493428124502E-2</v>
      </c>
      <c r="C126" s="4">
        <v>2.5465430619253899E-2</v>
      </c>
      <c r="D126" s="4">
        <v>1.46308962227234E-2</v>
      </c>
      <c r="E126" s="4">
        <v>6.3083016824866597E-3</v>
      </c>
      <c r="F126" s="4">
        <v>4.5755497080901698E-3</v>
      </c>
      <c r="G126" s="4">
        <v>1.8421212286628501E-2</v>
      </c>
      <c r="H126" s="4">
        <v>6.9401390519182704E-2</v>
      </c>
      <c r="I126" s="4">
        <f t="shared" si="3"/>
        <v>1.1625728839473073</v>
      </c>
      <c r="J126" s="4">
        <v>0.584099552221644</v>
      </c>
      <c r="K126" s="4">
        <v>7.8637594191881502E-2</v>
      </c>
      <c r="L126" s="4">
        <v>8.1835921075948795E-2</v>
      </c>
      <c r="M126" s="4">
        <v>1.16058449923797E-2</v>
      </c>
      <c r="N126" s="4">
        <v>0.75617891248185398</v>
      </c>
      <c r="O126" s="4">
        <v>0.758058068132621</v>
      </c>
      <c r="P126" s="10">
        <f t="shared" si="4"/>
        <v>0.40451481581468629</v>
      </c>
      <c r="S126" s="12">
        <v>40269</v>
      </c>
      <c r="T126" s="4">
        <v>0.401763612641866</v>
      </c>
      <c r="U126" s="4">
        <v>0.416070990998059</v>
      </c>
      <c r="V126" s="4">
        <f t="shared" si="5"/>
        <v>0.3473899964292273</v>
      </c>
    </row>
    <row r="127" spans="1:22" x14ac:dyDescent="0.25">
      <c r="A127" s="1">
        <v>40603</v>
      </c>
      <c r="B127" s="4">
        <v>9.4434875029389395E-2</v>
      </c>
      <c r="C127" s="4">
        <v>2.4461148744313099E-2</v>
      </c>
      <c r="D127" s="4">
        <v>1.4405647219947601E-2</v>
      </c>
      <c r="E127" s="4">
        <v>6.0928669156123999E-3</v>
      </c>
      <c r="F127" s="4">
        <v>4.6725089482234803E-3</v>
      </c>
      <c r="G127" s="4">
        <v>1.8511215689963001E-2</v>
      </c>
      <c r="H127" s="4">
        <v>6.8143387518059706E-2</v>
      </c>
      <c r="I127" s="4">
        <f t="shared" si="3"/>
        <v>1.162578262547449</v>
      </c>
      <c r="J127" s="4">
        <v>0.58143232763033503</v>
      </c>
      <c r="K127" s="4">
        <v>6.7829256927320197E-2</v>
      </c>
      <c r="L127" s="4">
        <v>8.2386774440985203E-2</v>
      </c>
      <c r="M127" s="4">
        <v>1.033848754268E-2</v>
      </c>
      <c r="N127" s="4">
        <v>0.74198684654132097</v>
      </c>
      <c r="O127" s="4">
        <v>0.75098229576046205</v>
      </c>
      <c r="P127" s="10">
        <f t="shared" si="4"/>
        <v>0.41159596678698696</v>
      </c>
      <c r="S127" s="12">
        <v>40299</v>
      </c>
      <c r="T127" s="4">
        <v>0.39256647173320403</v>
      </c>
      <c r="U127" s="4">
        <v>0.41937125224510302</v>
      </c>
      <c r="V127" s="4">
        <f t="shared" si="5"/>
        <v>0.35489687034210993</v>
      </c>
    </row>
    <row r="128" spans="1:22" x14ac:dyDescent="0.25">
      <c r="A128" s="1">
        <v>40634</v>
      </c>
      <c r="B128" s="4">
        <v>9.3259887930705193E-2</v>
      </c>
      <c r="C128" s="4">
        <v>2.3996120675689198E-2</v>
      </c>
      <c r="D128" s="4">
        <v>1.45890024315502E-2</v>
      </c>
      <c r="E128" s="4">
        <v>6.4301176745887503E-3</v>
      </c>
      <c r="F128" s="4">
        <v>5.1071234885139904E-3</v>
      </c>
      <c r="G128" s="4">
        <v>1.8272118798713499E-2</v>
      </c>
      <c r="H128" s="4">
        <v>6.8394483069055795E-2</v>
      </c>
      <c r="I128" s="4">
        <f t="shared" si="3"/>
        <v>1.1616543709997611</v>
      </c>
      <c r="J128" s="4">
        <v>0.59171236533876603</v>
      </c>
      <c r="K128" s="4">
        <v>7.1358905610673096E-2</v>
      </c>
      <c r="L128" s="4">
        <v>7.46754581583811E-2</v>
      </c>
      <c r="M128" s="4">
        <v>1.12596230539508E-2</v>
      </c>
      <c r="N128" s="4">
        <v>0.74900635216177103</v>
      </c>
      <c r="O128" s="4">
        <v>0.75245221559627895</v>
      </c>
      <c r="P128" s="10">
        <f t="shared" si="4"/>
        <v>0.40920215540348215</v>
      </c>
      <c r="S128" s="12">
        <v>40330</v>
      </c>
      <c r="T128" s="4">
        <v>0.40471023010236801</v>
      </c>
      <c r="U128" s="4">
        <v>0.41998133372879098</v>
      </c>
      <c r="V128" s="4">
        <f t="shared" si="5"/>
        <v>0.35380912736044678</v>
      </c>
    </row>
    <row r="129" spans="1:22" x14ac:dyDescent="0.25">
      <c r="A129" s="1">
        <v>40664</v>
      </c>
      <c r="B129" s="4">
        <v>9.3269013550087099E-2</v>
      </c>
      <c r="C129" s="4">
        <v>2.41111086022762E-2</v>
      </c>
      <c r="D129" s="4">
        <v>1.47213503093156E-2</v>
      </c>
      <c r="E129" s="4">
        <v>6.3721160370990701E-3</v>
      </c>
      <c r="F129" s="4">
        <v>4.88138924103464E-3</v>
      </c>
      <c r="G129" s="4">
        <v>1.8002031196836001E-2</v>
      </c>
      <c r="H129" s="4">
        <v>6.8087995386561698E-2</v>
      </c>
      <c r="I129" s="4">
        <f t="shared" si="3"/>
        <v>1.1613570089366487</v>
      </c>
      <c r="J129" s="4">
        <v>0.58927629330898301</v>
      </c>
      <c r="K129" s="4">
        <v>7.1027151065055902E-2</v>
      </c>
      <c r="L129" s="4">
        <v>7.8781050742125505E-2</v>
      </c>
      <c r="M129" s="4">
        <v>1.0719187201418699E-2</v>
      </c>
      <c r="N129" s="4">
        <v>0.74980368231758299</v>
      </c>
      <c r="O129" s="4">
        <v>0.73019992760166397</v>
      </c>
      <c r="P129" s="10">
        <f t="shared" si="4"/>
        <v>0.43115708133498476</v>
      </c>
      <c r="S129" s="12">
        <v>40360</v>
      </c>
      <c r="T129" s="4">
        <v>0.42472312726467099</v>
      </c>
      <c r="U129" s="4">
        <v>0.42834445139258098</v>
      </c>
      <c r="V129" s="4">
        <f t="shared" si="5"/>
        <v>0.34416714855492969</v>
      </c>
    </row>
    <row r="130" spans="1:22" x14ac:dyDescent="0.25">
      <c r="A130" s="1">
        <v>40695</v>
      </c>
      <c r="B130" s="4">
        <v>9.3577879789542004E-2</v>
      </c>
      <c r="C130" s="4">
        <v>2.4018776066447301E-2</v>
      </c>
      <c r="D130" s="4">
        <v>1.49716355553349E-2</v>
      </c>
      <c r="E130" s="4">
        <v>6.7131724247698303E-3</v>
      </c>
      <c r="F130" s="4">
        <v>4.9926135345811301E-3</v>
      </c>
      <c r="G130" s="4">
        <v>1.8204577747935699E-2</v>
      </c>
      <c r="H130" s="4">
        <v>6.8900775329069006E-2</v>
      </c>
      <c r="I130" s="4">
        <f t="shared" si="3"/>
        <v>1.162478655118611</v>
      </c>
      <c r="J130" s="4">
        <v>0.59426655709015297</v>
      </c>
      <c r="K130" s="4">
        <v>7.2026086112465401E-2</v>
      </c>
      <c r="L130" s="4">
        <v>8.0542738025823304E-2</v>
      </c>
      <c r="M130" s="4">
        <v>1.15612893006157E-2</v>
      </c>
      <c r="N130" s="4">
        <v>0.75839667052905801</v>
      </c>
      <c r="O130" s="4">
        <v>0.74126271633692997</v>
      </c>
      <c r="P130" s="10">
        <f t="shared" si="4"/>
        <v>0.42121593878168107</v>
      </c>
      <c r="S130" s="12">
        <v>40391</v>
      </c>
      <c r="T130" s="4">
        <v>0.42748039687973</v>
      </c>
      <c r="U130" s="4">
        <v>0.42054771993725498</v>
      </c>
      <c r="V130" s="4">
        <f t="shared" si="5"/>
        <v>0.35896914264979018</v>
      </c>
    </row>
    <row r="131" spans="1:22" x14ac:dyDescent="0.25">
      <c r="A131" s="1">
        <v>40725</v>
      </c>
      <c r="B131" s="4">
        <v>9.2953380120775697E-2</v>
      </c>
      <c r="C131" s="4">
        <v>2.527004939573E-2</v>
      </c>
      <c r="D131" s="4">
        <v>1.6287344618196802E-2</v>
      </c>
      <c r="E131" s="4">
        <v>6.9221695589505201E-3</v>
      </c>
      <c r="F131" s="4">
        <v>5.1698936528517796E-3</v>
      </c>
      <c r="G131" s="4">
        <v>1.74185970984101E-2</v>
      </c>
      <c r="H131" s="4">
        <v>7.1068054324139193E-2</v>
      </c>
      <c r="I131" s="4">
        <f t="shared" ref="I131:I177" si="6">B131+H131+1</f>
        <v>1.1640214344449149</v>
      </c>
      <c r="J131" s="4">
        <v>0.58605318744656199</v>
      </c>
      <c r="K131" s="4">
        <v>6.9916897252187998E-2</v>
      </c>
      <c r="L131" s="4">
        <v>8.0391298320022397E-2</v>
      </c>
      <c r="M131" s="4">
        <v>1.2383104446882899E-2</v>
      </c>
      <c r="N131" s="4">
        <v>0.74874448746565503</v>
      </c>
      <c r="O131" s="4">
        <v>0.74985182102248404</v>
      </c>
      <c r="P131" s="10">
        <f t="shared" ref="P131:P177" si="7">I131-O131</f>
        <v>0.41416961342243086</v>
      </c>
      <c r="S131" s="12">
        <v>40422</v>
      </c>
      <c r="T131" s="4">
        <v>0.441356075612229</v>
      </c>
      <c r="U131" s="4">
        <v>0.42558577859796798</v>
      </c>
      <c r="V131" s="4">
        <f t="shared" si="5"/>
        <v>0.36566196102849624</v>
      </c>
    </row>
    <row r="132" spans="1:22" x14ac:dyDescent="0.25">
      <c r="A132" s="1">
        <v>40756</v>
      </c>
      <c r="B132" s="4">
        <v>9.4934032158162998E-2</v>
      </c>
      <c r="C132" s="4">
        <v>2.6957346574594199E-2</v>
      </c>
      <c r="D132" s="4">
        <v>1.73325135854995E-2</v>
      </c>
      <c r="E132" s="4">
        <v>6.89310091801929E-3</v>
      </c>
      <c r="F132" s="4">
        <v>6.0387947116248E-3</v>
      </c>
      <c r="G132" s="4">
        <v>1.78816556787404E-2</v>
      </c>
      <c r="H132" s="4">
        <v>7.5103411468478307E-2</v>
      </c>
      <c r="I132" s="4">
        <f t="shared" si="6"/>
        <v>1.1700374436266414</v>
      </c>
      <c r="J132" s="4">
        <v>0.58160688508165304</v>
      </c>
      <c r="K132" s="4">
        <v>7.2455532802235198E-2</v>
      </c>
      <c r="L132" s="4">
        <v>8.3538158321704095E-2</v>
      </c>
      <c r="M132" s="4">
        <v>1.5103549514500001E-2</v>
      </c>
      <c r="N132" s="4">
        <v>0.75270412572009204</v>
      </c>
      <c r="O132" s="4">
        <v>0.75836241814515803</v>
      </c>
      <c r="P132" s="10">
        <f t="shared" si="7"/>
        <v>0.41167502548148338</v>
      </c>
      <c r="S132" s="12">
        <v>40452</v>
      </c>
      <c r="T132" s="4">
        <v>0.42857092228354998</v>
      </c>
      <c r="U132" s="4">
        <v>0.41607722386482099</v>
      </c>
      <c r="V132" s="4">
        <f t="shared" ref="V132:V179" si="8">VLOOKUP(S132,A:P,16,0)</f>
        <v>0.36756144364814325</v>
      </c>
    </row>
    <row r="133" spans="1:22" x14ac:dyDescent="0.25">
      <c r="A133" s="1">
        <v>40787</v>
      </c>
      <c r="B133" s="4">
        <v>9.2227060612086298E-2</v>
      </c>
      <c r="C133" s="4">
        <v>2.4533390822024E-2</v>
      </c>
      <c r="D133" s="4">
        <v>1.58341832326932E-2</v>
      </c>
      <c r="E133" s="4">
        <v>6.9374771391490404E-3</v>
      </c>
      <c r="F133" s="4">
        <v>5.6074156879269499E-3</v>
      </c>
      <c r="G133" s="4">
        <v>1.6727871193799301E-2</v>
      </c>
      <c r="H133" s="4">
        <v>6.9640338075592598E-2</v>
      </c>
      <c r="I133" s="4">
        <f t="shared" si="6"/>
        <v>1.1618673986876789</v>
      </c>
      <c r="J133" s="4">
        <v>0.58544273354037701</v>
      </c>
      <c r="K133" s="4">
        <v>6.7054949420299603E-2</v>
      </c>
      <c r="L133" s="4">
        <v>8.22164319532111E-2</v>
      </c>
      <c r="M133" s="4">
        <v>1.6040319568245101E-2</v>
      </c>
      <c r="N133" s="4">
        <v>0.75075443448213297</v>
      </c>
      <c r="O133" s="4">
        <v>0.74659397468600897</v>
      </c>
      <c r="P133" s="10">
        <f t="shared" si="7"/>
        <v>0.41527342400166989</v>
      </c>
      <c r="S133" s="12">
        <v>40483</v>
      </c>
      <c r="T133" s="4">
        <v>0.43757893192073299</v>
      </c>
      <c r="U133" s="4">
        <v>0.42161183770194699</v>
      </c>
      <c r="V133" s="4">
        <f t="shared" si="8"/>
        <v>0.36629791838696579</v>
      </c>
    </row>
    <row r="134" spans="1:22" x14ac:dyDescent="0.25">
      <c r="A134" s="1">
        <v>40817</v>
      </c>
      <c r="B134" s="4">
        <v>9.4168153524081602E-2</v>
      </c>
      <c r="C134" s="4">
        <v>2.4917247389522199E-2</v>
      </c>
      <c r="D134" s="4">
        <v>1.67278419575209E-2</v>
      </c>
      <c r="E134" s="4">
        <v>7.3790691608323104E-3</v>
      </c>
      <c r="F134" s="4">
        <v>5.8096916229648399E-3</v>
      </c>
      <c r="G134" s="4">
        <v>1.7643823098385299E-2</v>
      </c>
      <c r="H134" s="4">
        <v>7.24776732292257E-2</v>
      </c>
      <c r="I134" s="4">
        <f t="shared" si="6"/>
        <v>1.1666458267533073</v>
      </c>
      <c r="J134" s="4">
        <v>0.58973597578946901</v>
      </c>
      <c r="K134" s="4">
        <v>6.9080811953630097E-2</v>
      </c>
      <c r="L134" s="4">
        <v>7.5165732596611606E-2</v>
      </c>
      <c r="M134" s="4">
        <v>1.5105388296567599E-2</v>
      </c>
      <c r="N134" s="4">
        <v>0.74908790863627905</v>
      </c>
      <c r="O134" s="4">
        <v>0.76421959834972297</v>
      </c>
      <c r="P134" s="10">
        <f t="shared" si="7"/>
        <v>0.40242622840358433</v>
      </c>
      <c r="S134" s="12">
        <v>40513</v>
      </c>
      <c r="T134" s="4">
        <v>0.44737460277219498</v>
      </c>
      <c r="U134" s="4">
        <v>0.42277276830639499</v>
      </c>
      <c r="V134" s="4">
        <f t="shared" si="8"/>
        <v>0.37608750937319324</v>
      </c>
    </row>
    <row r="135" spans="1:22" x14ac:dyDescent="0.25">
      <c r="A135" s="1">
        <v>40848</v>
      </c>
      <c r="B135" s="4">
        <v>9.1480888945878802E-2</v>
      </c>
      <c r="C135" s="4">
        <v>2.4288263520132702E-2</v>
      </c>
      <c r="D135" s="4">
        <v>1.5258005829594501E-2</v>
      </c>
      <c r="E135" s="4">
        <v>6.8950914689614798E-3</v>
      </c>
      <c r="F135" s="4">
        <v>5.4698628342648601E-3</v>
      </c>
      <c r="G135" s="4">
        <v>1.8061405505222599E-2</v>
      </c>
      <c r="H135" s="4">
        <v>6.9972629158176203E-2</v>
      </c>
      <c r="I135" s="4">
        <f t="shared" si="6"/>
        <v>1.1614535181040551</v>
      </c>
      <c r="J135" s="4">
        <v>0.59067365190940002</v>
      </c>
      <c r="K135" s="4">
        <v>6.3715342521815599E-2</v>
      </c>
      <c r="L135" s="4">
        <v>7.3638247588008104E-2</v>
      </c>
      <c r="M135" s="4">
        <v>1.48638125348757E-2</v>
      </c>
      <c r="N135" s="4">
        <v>0.74289105455409998</v>
      </c>
      <c r="O135" s="4">
        <v>0.76424149470274605</v>
      </c>
      <c r="P135" s="10">
        <f t="shared" si="7"/>
        <v>0.39721202340130901</v>
      </c>
      <c r="S135" s="12">
        <v>40544</v>
      </c>
      <c r="T135" s="4">
        <v>0.46560518667717499</v>
      </c>
      <c r="U135" s="4">
        <v>0.45164926526226701</v>
      </c>
      <c r="V135" s="4">
        <f t="shared" si="8"/>
        <v>0.38555356602069035</v>
      </c>
    </row>
    <row r="136" spans="1:22" x14ac:dyDescent="0.25">
      <c r="A136" s="1">
        <v>40878</v>
      </c>
      <c r="B136" s="4">
        <v>9.3259003936553703E-2</v>
      </c>
      <c r="C136" s="4">
        <v>2.5431841019707399E-2</v>
      </c>
      <c r="D136" s="4">
        <v>1.6001928184979902E-2</v>
      </c>
      <c r="E136" s="4">
        <v>7.2747449499470799E-3</v>
      </c>
      <c r="F136" s="4">
        <v>5.9012687532057602E-3</v>
      </c>
      <c r="G136" s="4">
        <v>2.0458952517223902E-2</v>
      </c>
      <c r="H136" s="4">
        <v>7.5068735425064106E-2</v>
      </c>
      <c r="I136" s="4">
        <f t="shared" si="6"/>
        <v>1.1683277393616178</v>
      </c>
      <c r="J136" s="4">
        <v>0.59608142010175702</v>
      </c>
      <c r="K136" s="4">
        <v>6.8641969646864295E-2</v>
      </c>
      <c r="L136" s="4">
        <v>6.5550090267873298E-2</v>
      </c>
      <c r="M136" s="4">
        <v>1.3923896096767399E-2</v>
      </c>
      <c r="N136" s="4">
        <v>0.74419737611326198</v>
      </c>
      <c r="O136" s="4">
        <v>0.76410380497113795</v>
      </c>
      <c r="P136" s="10">
        <f t="shared" si="7"/>
        <v>0.40422393439047988</v>
      </c>
      <c r="S136" s="12">
        <v>40575</v>
      </c>
      <c r="T136" s="4">
        <v>0.47168614042205198</v>
      </c>
      <c r="U136" s="4">
        <v>0.46481409311986799</v>
      </c>
      <c r="V136" s="4">
        <f t="shared" si="8"/>
        <v>0.40451481581468629</v>
      </c>
    </row>
    <row r="137" spans="1:22" x14ac:dyDescent="0.25">
      <c r="A137" s="1">
        <v>40909</v>
      </c>
      <c r="B137" s="4">
        <v>9.4475514181607795E-2</v>
      </c>
      <c r="C137" s="4">
        <v>2.6494822427517901E-2</v>
      </c>
      <c r="D137" s="4">
        <v>1.6633497344911E-2</v>
      </c>
      <c r="E137" s="4">
        <v>7.2252070792195103E-3</v>
      </c>
      <c r="F137" s="4">
        <v>6.2489038481188903E-3</v>
      </c>
      <c r="G137" s="4">
        <v>2.0686346667677599E-2</v>
      </c>
      <c r="H137" s="4">
        <v>7.7288777367444897E-2</v>
      </c>
      <c r="I137" s="4">
        <f t="shared" si="6"/>
        <v>1.1717642915490527</v>
      </c>
      <c r="J137" s="4">
        <v>0.59206045940321095</v>
      </c>
      <c r="K137" s="4">
        <v>7.0058617738965906E-2</v>
      </c>
      <c r="L137" s="4">
        <v>6.5171414542242706E-2</v>
      </c>
      <c r="M137" s="4">
        <v>1.4248109945177201E-2</v>
      </c>
      <c r="N137" s="4">
        <v>0.74153860162959695</v>
      </c>
      <c r="O137" s="4">
        <v>0.76603863975430497</v>
      </c>
      <c r="P137" s="10">
        <f t="shared" si="7"/>
        <v>0.40572565179474773</v>
      </c>
      <c r="S137" s="12">
        <v>40603</v>
      </c>
      <c r="T137" s="4">
        <v>0.47795594136275998</v>
      </c>
      <c r="U137" s="4">
        <v>0.47502580909169201</v>
      </c>
      <c r="V137" s="4">
        <f t="shared" si="8"/>
        <v>0.41159596678698696</v>
      </c>
    </row>
    <row r="138" spans="1:22" x14ac:dyDescent="0.25">
      <c r="A138" s="1">
        <v>40940</v>
      </c>
      <c r="B138" s="4">
        <v>9.5030579887846203E-2</v>
      </c>
      <c r="C138" s="4">
        <v>2.7561017538025801E-2</v>
      </c>
      <c r="D138" s="4">
        <v>1.7095559897889599E-2</v>
      </c>
      <c r="E138" s="4">
        <v>7.5030742862022904E-3</v>
      </c>
      <c r="F138" s="4">
        <v>6.8359857890488403E-3</v>
      </c>
      <c r="G138" s="4">
        <v>2.1151015318020001E-2</v>
      </c>
      <c r="H138" s="4">
        <v>8.0146652829186704E-2</v>
      </c>
      <c r="I138" s="4">
        <f t="shared" si="6"/>
        <v>1.1751772327170329</v>
      </c>
      <c r="J138" s="4">
        <v>0.61036821195751301</v>
      </c>
      <c r="K138" s="4">
        <v>7.3281639211731503E-2</v>
      </c>
      <c r="L138" s="4">
        <v>5.3602400431596399E-2</v>
      </c>
      <c r="M138" s="4">
        <v>1.35338329569738E-2</v>
      </c>
      <c r="N138" s="4">
        <v>0.75078608455781504</v>
      </c>
      <c r="O138" s="4">
        <v>0.75112873837706495</v>
      </c>
      <c r="P138" s="10">
        <f t="shared" si="7"/>
        <v>0.42404849433996794</v>
      </c>
      <c r="S138" s="12">
        <v>40634</v>
      </c>
      <c r="T138" s="4">
        <v>0.46847097378151198</v>
      </c>
      <c r="U138" s="4">
        <v>0.46262513134035799</v>
      </c>
      <c r="V138" s="4">
        <f t="shared" si="8"/>
        <v>0.40920215540348215</v>
      </c>
    </row>
    <row r="139" spans="1:22" x14ac:dyDescent="0.25">
      <c r="A139" s="1">
        <v>40969</v>
      </c>
      <c r="B139" s="4">
        <v>9.5023825847662696E-2</v>
      </c>
      <c r="C139" s="4">
        <v>2.7737761606676799E-2</v>
      </c>
      <c r="D139" s="4">
        <v>1.7954959125533802E-2</v>
      </c>
      <c r="E139" s="4">
        <v>7.7379278648384902E-3</v>
      </c>
      <c r="F139" s="4">
        <v>6.7529194618636398E-3</v>
      </c>
      <c r="G139" s="4">
        <v>2.1384139975978399E-2</v>
      </c>
      <c r="H139" s="4">
        <v>8.1567708034891204E-2</v>
      </c>
      <c r="I139" s="4">
        <f t="shared" si="6"/>
        <v>1.1765915338825539</v>
      </c>
      <c r="J139" s="4">
        <v>0.62031377553260902</v>
      </c>
      <c r="K139" s="4">
        <v>7.2239558406990895E-2</v>
      </c>
      <c r="L139" s="4">
        <v>5.59526277172075E-2</v>
      </c>
      <c r="M139" s="4">
        <v>1.45682547757118E-2</v>
      </c>
      <c r="N139" s="4">
        <v>0.76307421643252005</v>
      </c>
      <c r="O139" s="4">
        <v>0.77331617269578501</v>
      </c>
      <c r="P139" s="10">
        <f t="shared" si="7"/>
        <v>0.40327536118676888</v>
      </c>
      <c r="S139" s="12">
        <v>40664</v>
      </c>
      <c r="T139" s="4">
        <v>0.47184505323128301</v>
      </c>
      <c r="U139" s="4">
        <v>0.475992927496595</v>
      </c>
      <c r="V139" s="4">
        <f t="shared" si="8"/>
        <v>0.43115708133498476</v>
      </c>
    </row>
    <row r="140" spans="1:22" x14ac:dyDescent="0.25">
      <c r="A140" s="1">
        <v>41000</v>
      </c>
      <c r="B140" s="4">
        <v>9.6209364209945095E-2</v>
      </c>
      <c r="C140" s="4">
        <v>2.6841022303281298E-2</v>
      </c>
      <c r="D140" s="4">
        <v>1.71785979989308E-2</v>
      </c>
      <c r="E140" s="4">
        <v>7.5727394612918799E-3</v>
      </c>
      <c r="F140" s="4">
        <v>7.04781323776465E-3</v>
      </c>
      <c r="G140" s="4">
        <v>2.1282061642855499E-2</v>
      </c>
      <c r="H140" s="4">
        <v>7.9922234644124193E-2</v>
      </c>
      <c r="I140" s="4">
        <f t="shared" si="6"/>
        <v>1.1761315988540693</v>
      </c>
      <c r="J140" s="4">
        <v>0.62505449248773004</v>
      </c>
      <c r="K140" s="4">
        <v>7.0682450211461106E-2</v>
      </c>
      <c r="L140" s="4">
        <v>5.48810973611909E-2</v>
      </c>
      <c r="M140" s="4">
        <v>1.3271789897124299E-2</v>
      </c>
      <c r="N140" s="4">
        <v>0.76388982995750698</v>
      </c>
      <c r="O140" s="4">
        <v>0.77280181956771199</v>
      </c>
      <c r="P140" s="10">
        <f t="shared" si="7"/>
        <v>0.40332977928635727</v>
      </c>
      <c r="S140" s="12">
        <v>40695</v>
      </c>
      <c r="T140" s="4">
        <v>0.470613944455408</v>
      </c>
      <c r="U140" s="4">
        <v>0.47404049236483298</v>
      </c>
      <c r="V140" s="4">
        <f t="shared" si="8"/>
        <v>0.42121593878168107</v>
      </c>
    </row>
    <row r="141" spans="1:22" x14ac:dyDescent="0.25">
      <c r="A141" s="1">
        <v>41030</v>
      </c>
      <c r="B141" s="4">
        <v>9.6072528241441801E-2</v>
      </c>
      <c r="C141" s="4">
        <v>2.6750142896917E-2</v>
      </c>
      <c r="D141" s="4">
        <v>1.6884294949297302E-2</v>
      </c>
      <c r="E141" s="4">
        <v>7.6423377352423201E-3</v>
      </c>
      <c r="F141" s="4">
        <v>7.8527917661029897E-3</v>
      </c>
      <c r="G141" s="4">
        <v>2.10276322264836E-2</v>
      </c>
      <c r="H141" s="4">
        <v>8.0157199574043297E-2</v>
      </c>
      <c r="I141" s="4">
        <f t="shared" si="6"/>
        <v>1.1762297278154852</v>
      </c>
      <c r="J141" s="4">
        <v>0.62817871065007602</v>
      </c>
      <c r="K141" s="4">
        <v>7.1264556468385407E-2</v>
      </c>
      <c r="L141" s="4">
        <v>4.8559610912236602E-2</v>
      </c>
      <c r="M141" s="4">
        <v>1.4685522015576101E-2</v>
      </c>
      <c r="N141" s="4">
        <v>0.76268840004627403</v>
      </c>
      <c r="O141" s="4">
        <v>0.77796420182158998</v>
      </c>
      <c r="P141" s="10">
        <f t="shared" si="7"/>
        <v>0.3982655259938952</v>
      </c>
      <c r="S141" s="12">
        <v>40725</v>
      </c>
      <c r="T141" s="4">
        <v>0.48073499130339098</v>
      </c>
      <c r="U141" s="4">
        <v>0.47683244505091399</v>
      </c>
      <c r="V141" s="4">
        <f t="shared" si="8"/>
        <v>0.41416961342243086</v>
      </c>
    </row>
    <row r="142" spans="1:22" x14ac:dyDescent="0.25">
      <c r="A142" s="1">
        <v>41061</v>
      </c>
      <c r="B142" s="4">
        <v>9.4156560257383101E-2</v>
      </c>
      <c r="C142" s="4">
        <v>2.5832492173113598E-2</v>
      </c>
      <c r="D142" s="4">
        <v>1.6217012994024199E-2</v>
      </c>
      <c r="E142" s="4">
        <v>8.1189069285567596E-3</v>
      </c>
      <c r="F142" s="4">
        <v>7.3194536433913099E-3</v>
      </c>
      <c r="G142" s="4">
        <v>2.06739919712828E-2</v>
      </c>
      <c r="H142" s="4">
        <v>7.8161857710368696E-2</v>
      </c>
      <c r="I142" s="4">
        <f t="shared" si="6"/>
        <v>1.1723184179677517</v>
      </c>
      <c r="J142" s="4">
        <v>0.64283237581238695</v>
      </c>
      <c r="K142" s="4">
        <v>6.6942566610322496E-2</v>
      </c>
      <c r="L142" s="4">
        <v>4.8823351560620801E-2</v>
      </c>
      <c r="M142" s="4">
        <v>1.4046516720188E-2</v>
      </c>
      <c r="N142" s="4">
        <v>0.77264481070351798</v>
      </c>
      <c r="O142" s="4">
        <v>0.77487577270535801</v>
      </c>
      <c r="P142" s="10">
        <f t="shared" si="7"/>
        <v>0.3974426452623937</v>
      </c>
      <c r="S142" s="12">
        <v>40756</v>
      </c>
      <c r="T142" s="4">
        <v>0.48208513565240102</v>
      </c>
      <c r="U142" s="4">
        <v>0.475079593057671</v>
      </c>
      <c r="V142" s="4">
        <f t="shared" si="8"/>
        <v>0.41167502548148338</v>
      </c>
    </row>
    <row r="143" spans="1:22" x14ac:dyDescent="0.25">
      <c r="A143" s="1">
        <v>41091</v>
      </c>
      <c r="B143" s="4">
        <v>9.6000284607337699E-2</v>
      </c>
      <c r="C143" s="4">
        <v>2.7044488565700901E-2</v>
      </c>
      <c r="D143" s="4">
        <v>1.7024655432441301E-2</v>
      </c>
      <c r="E143" s="4">
        <v>7.90732552087468E-3</v>
      </c>
      <c r="F143" s="4">
        <v>8.2951716491949396E-3</v>
      </c>
      <c r="G143" s="4">
        <v>2.06176401299926E-2</v>
      </c>
      <c r="H143" s="4">
        <v>8.0889281298204593E-2</v>
      </c>
      <c r="I143" s="4">
        <f t="shared" si="6"/>
        <v>1.1768895659055423</v>
      </c>
      <c r="J143" s="4">
        <v>0.64699751862301402</v>
      </c>
      <c r="K143" s="4">
        <v>6.8904004610346903E-2</v>
      </c>
      <c r="L143" s="4">
        <v>4.2235870926123902E-2</v>
      </c>
      <c r="M143" s="4">
        <v>1.21963736502484E-2</v>
      </c>
      <c r="N143" s="4">
        <v>0.77033376780973295</v>
      </c>
      <c r="O143" s="4">
        <v>0.77536577859272504</v>
      </c>
      <c r="P143" s="10">
        <f t="shared" si="7"/>
        <v>0.40152378731281724</v>
      </c>
      <c r="S143" s="12">
        <v>40787</v>
      </c>
      <c r="T143" s="4">
        <v>0.48070323069743598</v>
      </c>
      <c r="U143" s="4">
        <v>0.46449566624408201</v>
      </c>
      <c r="V143" s="4">
        <f t="shared" si="8"/>
        <v>0.41527342400166989</v>
      </c>
    </row>
    <row r="144" spans="1:22" x14ac:dyDescent="0.25">
      <c r="A144" s="1">
        <v>41122</v>
      </c>
      <c r="B144" s="4">
        <v>9.4756706781837896E-2</v>
      </c>
      <c r="C144" s="4">
        <v>2.61756749201917E-2</v>
      </c>
      <c r="D144" s="4">
        <v>1.6390145086473101E-2</v>
      </c>
      <c r="E144" s="4">
        <v>8.1461511059802098E-3</v>
      </c>
      <c r="F144" s="4">
        <v>8.17038976031274E-3</v>
      </c>
      <c r="G144" s="4">
        <v>2.0729081229375799E-2</v>
      </c>
      <c r="H144" s="4">
        <v>7.9611442102333604E-2</v>
      </c>
      <c r="I144" s="4">
        <f t="shared" si="6"/>
        <v>1.1743681488841715</v>
      </c>
      <c r="J144" s="4">
        <v>0.65197219398820405</v>
      </c>
      <c r="K144" s="4">
        <v>7.1021885796296202E-2</v>
      </c>
      <c r="L144" s="4">
        <v>4.4363433844656901E-2</v>
      </c>
      <c r="M144" s="4">
        <v>1.1716578237671501E-2</v>
      </c>
      <c r="N144" s="4">
        <v>0.77907409186682897</v>
      </c>
      <c r="O144" s="4">
        <v>0.77901464647243002</v>
      </c>
      <c r="P144" s="10">
        <f t="shared" si="7"/>
        <v>0.3953535024117415</v>
      </c>
      <c r="S144" s="12">
        <v>40817</v>
      </c>
      <c r="T144" s="4">
        <v>0.48357080789336199</v>
      </c>
      <c r="U144" s="4">
        <v>0.47006371755147103</v>
      </c>
      <c r="V144" s="4">
        <f t="shared" si="8"/>
        <v>0.40242622840358433</v>
      </c>
    </row>
    <row r="145" spans="1:22" x14ac:dyDescent="0.25">
      <c r="A145" s="1">
        <v>41153</v>
      </c>
      <c r="B145" s="4">
        <v>9.95185761158493E-2</v>
      </c>
      <c r="C145" s="4">
        <v>2.8040713384813901E-2</v>
      </c>
      <c r="D145" s="4">
        <v>1.8024671827052301E-2</v>
      </c>
      <c r="E145" s="4">
        <v>8.3503104145920496E-3</v>
      </c>
      <c r="F145" s="4">
        <v>8.8851583096503494E-3</v>
      </c>
      <c r="G145" s="4">
        <v>2.14951329725146E-2</v>
      </c>
      <c r="H145" s="4">
        <v>8.4795986908623402E-2</v>
      </c>
      <c r="I145" s="4">
        <f t="shared" si="6"/>
        <v>1.1843145630244727</v>
      </c>
      <c r="J145" s="4">
        <v>0.655504152885929</v>
      </c>
      <c r="K145" s="4">
        <v>6.9528429367593195E-2</v>
      </c>
      <c r="L145" s="4">
        <v>4.6138383210517199E-2</v>
      </c>
      <c r="M145" s="4">
        <v>1.2391323533825299E-2</v>
      </c>
      <c r="N145" s="4">
        <v>0.78356228899786495</v>
      </c>
      <c r="O145" s="4">
        <v>0.78417858456570799</v>
      </c>
      <c r="P145" s="10">
        <f t="shared" si="7"/>
        <v>0.4001359784587647</v>
      </c>
      <c r="S145" s="12">
        <v>40848</v>
      </c>
      <c r="T145" s="4">
        <v>0.48962762519370001</v>
      </c>
      <c r="U145" s="4">
        <v>0.46732606327378601</v>
      </c>
      <c r="V145" s="4">
        <f t="shared" si="8"/>
        <v>0.39721202340130901</v>
      </c>
    </row>
    <row r="146" spans="1:22" x14ac:dyDescent="0.25">
      <c r="A146" s="1">
        <v>41183</v>
      </c>
      <c r="B146" s="4">
        <v>0.10076309712635199</v>
      </c>
      <c r="C146" s="4">
        <v>2.88104304587521E-2</v>
      </c>
      <c r="D146" s="4">
        <v>1.8572363131177601E-2</v>
      </c>
      <c r="E146" s="4">
        <v>8.57313573322082E-3</v>
      </c>
      <c r="F146" s="4">
        <v>9.3787110157949691E-3</v>
      </c>
      <c r="G146" s="4">
        <v>2.2365917829994902E-2</v>
      </c>
      <c r="H146" s="4">
        <v>8.7700558168940498E-2</v>
      </c>
      <c r="I146" s="4">
        <f t="shared" si="6"/>
        <v>1.1884636552952925</v>
      </c>
      <c r="J146" s="4">
        <v>0.65487661737042002</v>
      </c>
      <c r="K146" s="4">
        <v>6.9786466662354898E-2</v>
      </c>
      <c r="L146" s="4">
        <v>4.4507748359561998E-2</v>
      </c>
      <c r="M146" s="4">
        <v>1.36938680648689E-2</v>
      </c>
      <c r="N146" s="4">
        <v>0.78286470045720602</v>
      </c>
      <c r="O146" s="4">
        <v>0.79077810233302703</v>
      </c>
      <c r="P146" s="10">
        <f t="shared" si="7"/>
        <v>0.39768555296226549</v>
      </c>
      <c r="S146" s="12">
        <v>40878</v>
      </c>
      <c r="T146" s="4">
        <v>0.47947053700088199</v>
      </c>
      <c r="U146" s="4">
        <v>0.45455174490081601</v>
      </c>
      <c r="V146" s="4">
        <f t="shared" si="8"/>
        <v>0.40422393439047988</v>
      </c>
    </row>
    <row r="147" spans="1:22" x14ac:dyDescent="0.25">
      <c r="A147" s="1">
        <v>41214</v>
      </c>
      <c r="B147" s="4">
        <v>0.108692836405176</v>
      </c>
      <c r="C147" s="4">
        <v>3.0995656479274099E-2</v>
      </c>
      <c r="D147" s="4">
        <v>2.0725710183233499E-2</v>
      </c>
      <c r="E147" s="4">
        <v>8.5427602896514694E-3</v>
      </c>
      <c r="F147" s="4">
        <v>9.9303305593709899E-3</v>
      </c>
      <c r="G147" s="4">
        <v>2.5570762437271199E-2</v>
      </c>
      <c r="H147" s="4">
        <v>9.5765219948801397E-2</v>
      </c>
      <c r="I147" s="4">
        <f t="shared" si="6"/>
        <v>1.2044580563539773</v>
      </c>
      <c r="J147" s="4">
        <v>0.67045887139428295</v>
      </c>
      <c r="K147" s="4">
        <v>6.8042360414227093E-2</v>
      </c>
      <c r="L147" s="4">
        <v>3.85289754047538E-2</v>
      </c>
      <c r="M147" s="4">
        <v>1.51671183791707E-2</v>
      </c>
      <c r="N147" s="4">
        <v>0.79219732559243505</v>
      </c>
      <c r="O147" s="4">
        <v>0.801142812722617</v>
      </c>
      <c r="P147" s="10">
        <f t="shared" si="7"/>
        <v>0.40331524363136029</v>
      </c>
      <c r="S147" s="12">
        <v>40909</v>
      </c>
      <c r="T147" s="4">
        <v>0.50101133006432497</v>
      </c>
      <c r="U147" s="4">
        <v>0.47855265876390002</v>
      </c>
      <c r="V147" s="4">
        <f t="shared" si="8"/>
        <v>0.40572565179474773</v>
      </c>
    </row>
    <row r="148" spans="1:22" x14ac:dyDescent="0.25">
      <c r="A148" s="1">
        <v>41244</v>
      </c>
      <c r="B148" s="4">
        <v>0.106055422548189</v>
      </c>
      <c r="C148" s="4">
        <v>3.0845286880906601E-2</v>
      </c>
      <c r="D148" s="4">
        <v>2.0557377865807198E-2</v>
      </c>
      <c r="E148" s="4">
        <v>8.7717707532394707E-3</v>
      </c>
      <c r="F148" s="4">
        <v>9.4891989295533205E-3</v>
      </c>
      <c r="G148" s="4">
        <v>2.6211154689982301E-2</v>
      </c>
      <c r="H148" s="4">
        <v>9.5874789119489004E-2</v>
      </c>
      <c r="I148" s="4">
        <f t="shared" si="6"/>
        <v>1.201930211667678</v>
      </c>
      <c r="J148" s="4">
        <v>0.67308159668274903</v>
      </c>
      <c r="K148" s="4">
        <v>7.02055252942234E-2</v>
      </c>
      <c r="L148" s="4">
        <v>3.6102167831887397E-2</v>
      </c>
      <c r="M148" s="4">
        <v>1.33584766572821E-2</v>
      </c>
      <c r="N148" s="4">
        <v>0.79274776646614198</v>
      </c>
      <c r="O148" s="4">
        <v>0.79916640172115905</v>
      </c>
      <c r="P148" s="10">
        <f t="shared" si="7"/>
        <v>0.40276380994651895</v>
      </c>
      <c r="S148" s="12">
        <v>40940</v>
      </c>
      <c r="T148" s="4">
        <v>0.49032661515859799</v>
      </c>
      <c r="U148" s="4">
        <v>0.46825447652934399</v>
      </c>
      <c r="V148" s="4">
        <f t="shared" si="8"/>
        <v>0.42404849433996794</v>
      </c>
    </row>
    <row r="149" spans="1:22" x14ac:dyDescent="0.25">
      <c r="A149" s="1">
        <v>41275</v>
      </c>
      <c r="B149" s="4">
        <v>0.10953808096062199</v>
      </c>
      <c r="C149" s="4">
        <v>3.2650763560349898E-2</v>
      </c>
      <c r="D149" s="4">
        <v>2.2142730702324701E-2</v>
      </c>
      <c r="E149" s="4">
        <v>9.0299389931284696E-3</v>
      </c>
      <c r="F149" s="4">
        <v>9.8892790851803306E-3</v>
      </c>
      <c r="G149" s="4">
        <v>2.7547911092393702E-2</v>
      </c>
      <c r="H149" s="4">
        <v>0.101260623433377</v>
      </c>
      <c r="I149" s="4">
        <f t="shared" si="6"/>
        <v>1.2107987043939989</v>
      </c>
      <c r="J149" s="4">
        <v>0.67417831486537205</v>
      </c>
      <c r="K149" s="4">
        <v>6.6699008610280996E-2</v>
      </c>
      <c r="L149" s="4">
        <v>3.8541717731958899E-2</v>
      </c>
      <c r="M149" s="4">
        <v>1.7547830742894299E-2</v>
      </c>
      <c r="N149" s="4">
        <v>0.79696687195050597</v>
      </c>
      <c r="O149" s="4">
        <v>0.813821938475912</v>
      </c>
      <c r="P149" s="10">
        <f t="shared" si="7"/>
        <v>0.39697676591808695</v>
      </c>
      <c r="S149" s="12">
        <v>40969</v>
      </c>
      <c r="T149" s="4">
        <v>0.48362965588651302</v>
      </c>
      <c r="U149" s="4">
        <v>0.473972824376024</v>
      </c>
      <c r="V149" s="4">
        <f t="shared" si="8"/>
        <v>0.40327536118676888</v>
      </c>
    </row>
    <row r="150" spans="1:22" x14ac:dyDescent="0.25">
      <c r="A150" s="1">
        <v>41306</v>
      </c>
      <c r="B150" s="4">
        <v>0.114437534884958</v>
      </c>
      <c r="C150" s="4">
        <v>3.4013233578380403E-2</v>
      </c>
      <c r="D150" s="4">
        <v>2.2367375750279798E-2</v>
      </c>
      <c r="E150" s="4">
        <v>8.9567511849323097E-3</v>
      </c>
      <c r="F150" s="4">
        <v>1.1015333712040601E-2</v>
      </c>
      <c r="G150" s="4">
        <v>2.8074626791520899E-2</v>
      </c>
      <c r="H150" s="4">
        <v>0.104427321017154</v>
      </c>
      <c r="I150" s="4">
        <f t="shared" si="6"/>
        <v>1.218864855902112</v>
      </c>
      <c r="J150" s="4">
        <v>0.66942235285433904</v>
      </c>
      <c r="K150" s="4">
        <v>7.0105543611052701E-2</v>
      </c>
      <c r="L150" s="4">
        <v>3.5469697672487199E-2</v>
      </c>
      <c r="M150" s="4">
        <v>1.5016501380229899E-2</v>
      </c>
      <c r="N150" s="4">
        <v>0.79001409551810897</v>
      </c>
      <c r="O150" s="4">
        <v>0.80908244157965503</v>
      </c>
      <c r="P150" s="10">
        <f t="shared" si="7"/>
        <v>0.40978241432245699</v>
      </c>
      <c r="S150" s="12">
        <v>41000</v>
      </c>
      <c r="T150" s="4">
        <v>0.47146119323427199</v>
      </c>
      <c r="U150" s="4">
        <v>0.475188628908293</v>
      </c>
      <c r="V150" s="4">
        <f t="shared" si="8"/>
        <v>0.40332977928635727</v>
      </c>
    </row>
    <row r="151" spans="1:22" x14ac:dyDescent="0.25">
      <c r="A151" s="1">
        <v>41334</v>
      </c>
      <c r="B151" s="4">
        <v>0.114001803628499</v>
      </c>
      <c r="C151" s="4">
        <v>3.3708933303773898E-2</v>
      </c>
      <c r="D151" s="4">
        <v>2.33863793115025E-2</v>
      </c>
      <c r="E151" s="4">
        <v>8.9483985412676607E-3</v>
      </c>
      <c r="F151" s="4">
        <v>1.09613322655953E-2</v>
      </c>
      <c r="G151" s="4">
        <v>2.82327173565423E-2</v>
      </c>
      <c r="H151" s="4">
        <v>0.10523776077868099</v>
      </c>
      <c r="I151" s="4">
        <f t="shared" si="6"/>
        <v>1.2192395644071801</v>
      </c>
      <c r="J151" s="4">
        <v>0.70542072156711999</v>
      </c>
      <c r="K151" s="4">
        <v>6.6743435481239496E-2</v>
      </c>
      <c r="L151" s="4">
        <v>3.6198942645826702E-2</v>
      </c>
      <c r="M151" s="4">
        <v>1.28297455584534E-2</v>
      </c>
      <c r="N151" s="4">
        <v>0.82119284525264002</v>
      </c>
      <c r="O151" s="4">
        <v>0.81781820203748201</v>
      </c>
      <c r="P151" s="10">
        <f t="shared" si="7"/>
        <v>0.40142136236969805</v>
      </c>
      <c r="S151" s="12">
        <v>41030</v>
      </c>
      <c r="T151" s="4">
        <v>0.464470048205751</v>
      </c>
      <c r="U151" s="4">
        <v>0.47687712190500697</v>
      </c>
      <c r="V151" s="4">
        <f t="shared" si="8"/>
        <v>0.3982655259938952</v>
      </c>
    </row>
    <row r="152" spans="1:22" x14ac:dyDescent="0.25">
      <c r="A152" s="1">
        <v>41365</v>
      </c>
      <c r="B152" s="4">
        <v>0.113447359872881</v>
      </c>
      <c r="C152" s="4">
        <v>3.3542201614072099E-2</v>
      </c>
      <c r="D152" s="4">
        <v>2.20884842399061E-2</v>
      </c>
      <c r="E152" s="4">
        <v>8.9956856724382507E-3</v>
      </c>
      <c r="F152" s="4">
        <v>1.07948619658511E-2</v>
      </c>
      <c r="G152" s="4">
        <v>2.71595910257636E-2</v>
      </c>
      <c r="H152" s="4">
        <v>0.10258082451803099</v>
      </c>
      <c r="I152" s="4">
        <f t="shared" si="6"/>
        <v>1.216028184390912</v>
      </c>
      <c r="J152" s="4">
        <v>0.70251618211081601</v>
      </c>
      <c r="K152" s="4">
        <v>6.95972801417718E-2</v>
      </c>
      <c r="L152" s="4">
        <v>3.34455158477244E-2</v>
      </c>
      <c r="M152" s="4">
        <v>1.55699521565499E-2</v>
      </c>
      <c r="N152" s="4">
        <v>0.82112893025686295</v>
      </c>
      <c r="O152" s="4">
        <v>0.823448307736385</v>
      </c>
      <c r="P152" s="10">
        <f t="shared" si="7"/>
        <v>0.39257987665452698</v>
      </c>
      <c r="S152" s="12">
        <v>41061</v>
      </c>
      <c r="T152" s="4">
        <v>0.47094199310984203</v>
      </c>
      <c r="U152" s="4">
        <v>0.48186773585634601</v>
      </c>
      <c r="V152" s="4">
        <f t="shared" si="8"/>
        <v>0.3974426452623937</v>
      </c>
    </row>
    <row r="153" spans="1:22" x14ac:dyDescent="0.25">
      <c r="A153" s="1">
        <v>41395</v>
      </c>
      <c r="B153" s="4">
        <v>0.114638147422631</v>
      </c>
      <c r="C153" s="4">
        <v>3.3299110459896801E-2</v>
      </c>
      <c r="D153" s="4">
        <v>2.1943689018026E-2</v>
      </c>
      <c r="E153" s="4">
        <v>8.9604122736517099E-3</v>
      </c>
      <c r="F153" s="4">
        <v>1.1473615031742299E-2</v>
      </c>
      <c r="G153" s="4">
        <v>2.7343976569939799E-2</v>
      </c>
      <c r="H153" s="4">
        <v>0.103020803353256</v>
      </c>
      <c r="I153" s="4">
        <f t="shared" si="6"/>
        <v>1.217658950775887</v>
      </c>
      <c r="J153" s="4">
        <v>0.72591628401310504</v>
      </c>
      <c r="K153" s="4">
        <v>6.9484902537301996E-2</v>
      </c>
      <c r="L153" s="4">
        <v>2.33899293897743E-2</v>
      </c>
      <c r="M153" s="4">
        <v>1.4483327288295701E-2</v>
      </c>
      <c r="N153" s="4">
        <v>0.83327444322847699</v>
      </c>
      <c r="O153" s="4">
        <v>0.82104151975997997</v>
      </c>
      <c r="P153" s="10">
        <f t="shared" si="7"/>
        <v>0.39661743101590707</v>
      </c>
      <c r="S153" s="12">
        <v>41091</v>
      </c>
      <c r="T153" s="4">
        <v>0.46554385208825699</v>
      </c>
      <c r="U153" s="4">
        <v>0.46942782488782703</v>
      </c>
      <c r="V153" s="4">
        <f t="shared" si="8"/>
        <v>0.40152378731281724</v>
      </c>
    </row>
    <row r="154" spans="1:22" x14ac:dyDescent="0.25">
      <c r="A154" s="1">
        <v>41426</v>
      </c>
      <c r="B154" s="4">
        <v>0.11687219533788901</v>
      </c>
      <c r="C154" s="4">
        <v>3.35421269800973E-2</v>
      </c>
      <c r="D154" s="4">
        <v>2.1997321856020401E-2</v>
      </c>
      <c r="E154" s="4">
        <v>9.1191918140831694E-3</v>
      </c>
      <c r="F154" s="4">
        <v>1.24435432904205E-2</v>
      </c>
      <c r="G154" s="4">
        <v>2.65958750839295E-2</v>
      </c>
      <c r="H154" s="4">
        <v>0.103698059024551</v>
      </c>
      <c r="I154" s="4">
        <f t="shared" si="6"/>
        <v>1.2205702543624399</v>
      </c>
      <c r="J154" s="4">
        <v>0.72307259547886604</v>
      </c>
      <c r="K154" s="4">
        <v>6.95236811977194E-2</v>
      </c>
      <c r="L154" s="4">
        <v>2.65246357774927E-2</v>
      </c>
      <c r="M154" s="4">
        <v>1.51991507782634E-2</v>
      </c>
      <c r="N154" s="4">
        <v>0.83432006323234198</v>
      </c>
      <c r="O154" s="4">
        <v>0.81859975756486902</v>
      </c>
      <c r="P154" s="10">
        <f t="shared" si="7"/>
        <v>0.40197049679757091</v>
      </c>
      <c r="S154" s="12">
        <v>41122</v>
      </c>
      <c r="T154" s="4">
        <v>0.46031732809086201</v>
      </c>
      <c r="U154" s="4">
        <v>0.46653779999839501</v>
      </c>
      <c r="V154" s="4">
        <f t="shared" si="8"/>
        <v>0.3953535024117415</v>
      </c>
    </row>
    <row r="155" spans="1:22" x14ac:dyDescent="0.25">
      <c r="A155" s="1">
        <v>41456</v>
      </c>
      <c r="B155" s="4">
        <v>0.121802179636566</v>
      </c>
      <c r="C155" s="4">
        <v>3.3804259108240899E-2</v>
      </c>
      <c r="D155" s="4">
        <v>2.2287934878359401E-2</v>
      </c>
      <c r="E155" s="4">
        <v>8.8645219270893898E-3</v>
      </c>
      <c r="F155" s="4">
        <v>1.28931688639067E-2</v>
      </c>
      <c r="G155" s="4">
        <v>2.8067521613761501E-2</v>
      </c>
      <c r="H155" s="4">
        <v>0.10591740639135799</v>
      </c>
      <c r="I155" s="4">
        <f t="shared" si="6"/>
        <v>1.227719586027924</v>
      </c>
      <c r="J155" s="4">
        <v>0.72584312797314499</v>
      </c>
      <c r="K155" s="4">
        <v>6.8049508266251196E-2</v>
      </c>
      <c r="L155" s="4">
        <v>2.36814001265107E-2</v>
      </c>
      <c r="M155" s="4">
        <v>1.43413846794071E-2</v>
      </c>
      <c r="N155" s="4">
        <v>0.83191542104531402</v>
      </c>
      <c r="O155" s="4">
        <v>0.80411213883092902</v>
      </c>
      <c r="P155" s="10">
        <f t="shared" si="7"/>
        <v>0.42360744719699495</v>
      </c>
      <c r="S155" s="12">
        <v>41153</v>
      </c>
      <c r="T155" s="4">
        <v>0.45891026055108097</v>
      </c>
      <c r="U155" s="4">
        <v>0.46481974032588402</v>
      </c>
      <c r="V155" s="4">
        <f t="shared" si="8"/>
        <v>0.4001359784587647</v>
      </c>
    </row>
    <row r="156" spans="1:22" x14ac:dyDescent="0.25">
      <c r="A156" s="1">
        <v>41487</v>
      </c>
      <c r="B156" s="4">
        <v>0.12399506250589901</v>
      </c>
      <c r="C156" s="4">
        <v>3.4525332896898603E-2</v>
      </c>
      <c r="D156" s="4">
        <v>2.3951775025043101E-2</v>
      </c>
      <c r="E156" s="4">
        <v>8.8829704653825992E-3</v>
      </c>
      <c r="F156" s="4">
        <v>1.3457876592627401E-2</v>
      </c>
      <c r="G156" s="4">
        <v>2.8550031571240302E-2</v>
      </c>
      <c r="H156" s="4">
        <v>0.109367986551192</v>
      </c>
      <c r="I156" s="4">
        <f t="shared" si="6"/>
        <v>1.233363049057091</v>
      </c>
      <c r="J156" s="4">
        <v>0.72465233827199405</v>
      </c>
      <c r="K156" s="4">
        <v>6.6101011948867999E-2</v>
      </c>
      <c r="L156" s="4">
        <v>2.1887804692334902E-2</v>
      </c>
      <c r="M156" s="4">
        <v>1.6639093070530801E-2</v>
      </c>
      <c r="N156" s="4">
        <v>0.82928024798372701</v>
      </c>
      <c r="O156" s="4">
        <v>0.81709756774808595</v>
      </c>
      <c r="P156" s="10">
        <f t="shared" si="7"/>
        <v>0.41626548130900509</v>
      </c>
      <c r="S156" s="12">
        <v>41183</v>
      </c>
      <c r="T156" s="4">
        <v>0.46431987406735498</v>
      </c>
      <c r="U156" s="4">
        <v>0.46748104385908101</v>
      </c>
      <c r="V156" s="4">
        <f t="shared" si="8"/>
        <v>0.39768555296226549</v>
      </c>
    </row>
    <row r="157" spans="1:22" x14ac:dyDescent="0.25">
      <c r="A157" s="1">
        <v>41518</v>
      </c>
      <c r="B157" s="4">
        <v>0.12895707499978601</v>
      </c>
      <c r="C157" s="4">
        <v>3.7185278307209399E-2</v>
      </c>
      <c r="D157" s="4">
        <v>2.5397351518568301E-2</v>
      </c>
      <c r="E157" s="4">
        <v>9.2617869792701694E-3</v>
      </c>
      <c r="F157" s="4">
        <v>1.4137330709181099E-2</v>
      </c>
      <c r="G157" s="4">
        <v>3.05351855484856E-2</v>
      </c>
      <c r="H157" s="4">
        <v>0.116516933062714</v>
      </c>
      <c r="I157" s="4">
        <f t="shared" si="6"/>
        <v>1.2454740080625</v>
      </c>
      <c r="J157" s="4">
        <v>0.73184227165165405</v>
      </c>
      <c r="K157" s="4">
        <v>7.0454579977387494E-2</v>
      </c>
      <c r="L157" s="4">
        <v>1.9556322071448699E-2</v>
      </c>
      <c r="M157" s="4">
        <v>1.9715901400648401E-2</v>
      </c>
      <c r="N157" s="4">
        <v>0.84156907510113899</v>
      </c>
      <c r="O157" s="4">
        <v>0.81881777173744497</v>
      </c>
      <c r="P157" s="10">
        <f t="shared" si="7"/>
        <v>0.426656236325055</v>
      </c>
      <c r="S157" s="12">
        <v>41214</v>
      </c>
      <c r="T157" s="4">
        <v>0.45242838581824601</v>
      </c>
      <c r="U157" s="4">
        <v>0.45317621740035102</v>
      </c>
      <c r="V157" s="4">
        <f t="shared" si="8"/>
        <v>0.40331524363136029</v>
      </c>
    </row>
    <row r="158" spans="1:22" x14ac:dyDescent="0.25">
      <c r="A158" s="1">
        <v>41548</v>
      </c>
      <c r="B158" s="4">
        <v>0.132312917431993</v>
      </c>
      <c r="C158" s="4">
        <v>3.5457107536156503E-2</v>
      </c>
      <c r="D158" s="4">
        <v>2.3734819179367601E-2</v>
      </c>
      <c r="E158" s="4">
        <v>8.9133286403882007E-3</v>
      </c>
      <c r="F158" s="4">
        <v>1.41424769115631E-2</v>
      </c>
      <c r="G158" s="4">
        <v>2.9597404213460101E-2</v>
      </c>
      <c r="H158" s="4">
        <v>0.111845136480935</v>
      </c>
      <c r="I158" s="4">
        <f t="shared" si="6"/>
        <v>1.244158053912928</v>
      </c>
      <c r="J158" s="4">
        <v>0.72966092616373601</v>
      </c>
      <c r="K158" s="4">
        <v>6.7118329174310501E-2</v>
      </c>
      <c r="L158" s="4">
        <v>1.6358909710288E-2</v>
      </c>
      <c r="M158" s="4">
        <v>1.5859089631807401E-2</v>
      </c>
      <c r="N158" s="4">
        <v>0.82899725468014196</v>
      </c>
      <c r="O158" s="4">
        <v>0.82344882586800605</v>
      </c>
      <c r="P158" s="10">
        <f t="shared" si="7"/>
        <v>0.42070922804492195</v>
      </c>
      <c r="S158" s="12">
        <v>41244</v>
      </c>
      <c r="T158" s="4">
        <v>0.44757414209382301</v>
      </c>
      <c r="U158" s="4">
        <v>0.44891740415663101</v>
      </c>
      <c r="V158" s="4">
        <f t="shared" si="8"/>
        <v>0.40276380994651895</v>
      </c>
    </row>
    <row r="159" spans="1:22" x14ac:dyDescent="0.25">
      <c r="A159" s="1">
        <v>41579</v>
      </c>
      <c r="B159" s="4">
        <v>0.137281505345836</v>
      </c>
      <c r="C159" s="4">
        <v>3.6596141170014397E-2</v>
      </c>
      <c r="D159" s="4">
        <v>2.4989111172209501E-2</v>
      </c>
      <c r="E159" s="4">
        <v>9.1290508590770401E-3</v>
      </c>
      <c r="F159" s="4">
        <v>1.45285742848802E-2</v>
      </c>
      <c r="G159" s="4">
        <v>3.2521958542529199E-2</v>
      </c>
      <c r="H159" s="4">
        <v>0.11776483602871</v>
      </c>
      <c r="I159" s="4">
        <f t="shared" si="6"/>
        <v>1.2550463413745461</v>
      </c>
      <c r="J159" s="4">
        <v>0.73093143383250603</v>
      </c>
      <c r="K159" s="4">
        <v>6.7650381096313494E-2</v>
      </c>
      <c r="L159" s="4">
        <v>1.74981291801494E-2</v>
      </c>
      <c r="M159" s="4">
        <v>1.7152294329194399E-2</v>
      </c>
      <c r="N159" s="4">
        <v>0.83323223843816296</v>
      </c>
      <c r="O159" s="4">
        <v>0.82930908801788905</v>
      </c>
      <c r="P159" s="10">
        <f t="shared" si="7"/>
        <v>0.42573725335665702</v>
      </c>
      <c r="S159" s="12">
        <v>41275</v>
      </c>
      <c r="T159" s="4">
        <v>0.46783783500986098</v>
      </c>
      <c r="U159" s="4">
        <v>0.460118832674209</v>
      </c>
      <c r="V159" s="4">
        <f t="shared" si="8"/>
        <v>0.39697676591808695</v>
      </c>
    </row>
    <row r="160" spans="1:22" x14ac:dyDescent="0.25">
      <c r="A160" s="1">
        <v>41609</v>
      </c>
      <c r="B160" s="4">
        <v>0.13451278140235001</v>
      </c>
      <c r="C160" s="4">
        <v>3.7621262804274101E-2</v>
      </c>
      <c r="D160" s="4">
        <v>2.76910181790379E-2</v>
      </c>
      <c r="E160" s="4">
        <v>9.2446886922463601E-3</v>
      </c>
      <c r="F160" s="4">
        <v>1.50951152730759E-2</v>
      </c>
      <c r="G160" s="4">
        <v>3.2812938565972102E-2</v>
      </c>
      <c r="H160" s="4">
        <v>0.122465023514606</v>
      </c>
      <c r="I160" s="4">
        <f t="shared" si="6"/>
        <v>1.256977804916956</v>
      </c>
      <c r="J160" s="4">
        <v>0.73677886526088598</v>
      </c>
      <c r="K160" s="4">
        <v>7.0414169278535499E-2</v>
      </c>
      <c r="L160" s="4">
        <v>8.6267007315449298E-3</v>
      </c>
      <c r="M160" s="4">
        <v>1.54198420164084E-2</v>
      </c>
      <c r="N160" s="4">
        <v>0.83123957728737496</v>
      </c>
      <c r="O160" s="4">
        <v>0.82617979988745405</v>
      </c>
      <c r="P160" s="10">
        <f t="shared" si="7"/>
        <v>0.43079800502950194</v>
      </c>
      <c r="S160" s="12">
        <v>41306</v>
      </c>
      <c r="T160" s="4">
        <v>0.45742903336601098</v>
      </c>
      <c r="U160" s="4">
        <v>0.45720328544942301</v>
      </c>
      <c r="V160" s="4">
        <f t="shared" si="8"/>
        <v>0.40978241432245699</v>
      </c>
    </row>
    <row r="161" spans="1:22" x14ac:dyDescent="0.25">
      <c r="A161" s="1">
        <v>41640</v>
      </c>
      <c r="B161" s="4">
        <v>0.13813557922735401</v>
      </c>
      <c r="C161" s="4">
        <v>3.9407789368719498E-2</v>
      </c>
      <c r="D161" s="4">
        <v>2.7046493227679502E-2</v>
      </c>
      <c r="E161" s="4">
        <v>8.7357532081190695E-3</v>
      </c>
      <c r="F161" s="4">
        <v>1.4974724051346699E-2</v>
      </c>
      <c r="G161" s="4">
        <v>3.2138540506110501E-2</v>
      </c>
      <c r="H161" s="4">
        <v>0.122303300361975</v>
      </c>
      <c r="I161" s="4">
        <f t="shared" si="6"/>
        <v>1.2604388795893291</v>
      </c>
      <c r="J161" s="4">
        <v>0.72903575749229999</v>
      </c>
      <c r="K161" s="4">
        <v>6.6679902589791201E-2</v>
      </c>
      <c r="L161" s="4">
        <v>1.0216732488814001E-2</v>
      </c>
      <c r="M161" s="4">
        <v>1.8499712550449E-2</v>
      </c>
      <c r="N161" s="4">
        <v>0.82443210512135501</v>
      </c>
      <c r="O161" s="4">
        <v>0.83576988304694</v>
      </c>
      <c r="P161" s="10">
        <f t="shared" si="7"/>
        <v>0.4246689965423891</v>
      </c>
      <c r="S161" s="12">
        <v>41334</v>
      </c>
      <c r="T161" s="4">
        <v>0.45587058346674297</v>
      </c>
      <c r="U161" s="4">
        <v>0.460079310798157</v>
      </c>
      <c r="V161" s="4">
        <f t="shared" si="8"/>
        <v>0.40142136236969805</v>
      </c>
    </row>
    <row r="162" spans="1:22" x14ac:dyDescent="0.25">
      <c r="A162" s="1">
        <v>41671</v>
      </c>
      <c r="B162" s="4">
        <v>0.142423265407741</v>
      </c>
      <c r="C162" s="4">
        <v>3.9144005142157601E-2</v>
      </c>
      <c r="D162" s="4">
        <v>2.7269209158938799E-2</v>
      </c>
      <c r="E162" s="4">
        <v>8.76702192179412E-3</v>
      </c>
      <c r="F162" s="4">
        <v>1.54410653315579E-2</v>
      </c>
      <c r="G162" s="4">
        <v>3.3651341364403002E-2</v>
      </c>
      <c r="H162" s="4">
        <v>0.124272642918851</v>
      </c>
      <c r="I162" s="4">
        <f t="shared" si="6"/>
        <v>1.2666959083265921</v>
      </c>
      <c r="J162" s="4">
        <v>0.73712056292179695</v>
      </c>
      <c r="K162" s="4">
        <v>7.0505548413392793E-2</v>
      </c>
      <c r="L162" s="4">
        <v>1.09486167727671E-2</v>
      </c>
      <c r="M162" s="4">
        <v>1.65048535220567E-2</v>
      </c>
      <c r="N162" s="4">
        <v>0.83507958163001395</v>
      </c>
      <c r="O162" s="4">
        <v>0.84751526359209395</v>
      </c>
      <c r="P162" s="10">
        <f t="shared" si="7"/>
        <v>0.41918064473449812</v>
      </c>
      <c r="S162" s="12">
        <v>41365</v>
      </c>
      <c r="T162" s="4">
        <v>0.458054040952388</v>
      </c>
      <c r="U162" s="4">
        <v>0.45653935265553802</v>
      </c>
      <c r="V162" s="4">
        <f t="shared" si="8"/>
        <v>0.39257987665452698</v>
      </c>
    </row>
    <row r="163" spans="1:22" x14ac:dyDescent="0.25">
      <c r="A163" s="1">
        <v>41699</v>
      </c>
      <c r="B163" s="4">
        <v>0.14424719278343101</v>
      </c>
      <c r="C163" s="4">
        <v>4.0673600259652699E-2</v>
      </c>
      <c r="D163" s="4">
        <v>2.9273729217933898E-2</v>
      </c>
      <c r="E163" s="4">
        <v>8.93522027516617E-3</v>
      </c>
      <c r="F163" s="4">
        <v>1.54669224495005E-2</v>
      </c>
      <c r="G163" s="4">
        <v>3.48497359334543E-2</v>
      </c>
      <c r="H163" s="4">
        <v>0.12919920813570701</v>
      </c>
      <c r="I163" s="4">
        <f t="shared" si="6"/>
        <v>1.273446400919138</v>
      </c>
      <c r="J163" s="4">
        <v>0.73582842455696695</v>
      </c>
      <c r="K163" s="4">
        <v>6.6753608119479294E-2</v>
      </c>
      <c r="L163" s="4">
        <v>1.20571558555832E-2</v>
      </c>
      <c r="M163" s="4">
        <v>1.8523019484092899E-2</v>
      </c>
      <c r="N163" s="4">
        <v>0.83316220801612295</v>
      </c>
      <c r="O163" s="4">
        <v>0.84282723706806295</v>
      </c>
      <c r="P163" s="10">
        <f t="shared" si="7"/>
        <v>0.43061916385107502</v>
      </c>
      <c r="S163" s="12">
        <v>41395</v>
      </c>
      <c r="T163" s="4">
        <v>0.45920267027096701</v>
      </c>
      <c r="U163" s="4">
        <v>0.46430423748969801</v>
      </c>
      <c r="V163" s="4">
        <f t="shared" si="8"/>
        <v>0.39661743101590707</v>
      </c>
    </row>
    <row r="164" spans="1:22" x14ac:dyDescent="0.25">
      <c r="A164" s="1">
        <v>41730</v>
      </c>
      <c r="B164" s="4">
        <v>0.14536975293624199</v>
      </c>
      <c r="C164" s="4">
        <v>4.1410142572153502E-2</v>
      </c>
      <c r="D164" s="4">
        <v>3.0019354518335501E-2</v>
      </c>
      <c r="E164" s="4">
        <v>9.1333046828709699E-3</v>
      </c>
      <c r="F164" s="4">
        <v>1.6850764239222899E-2</v>
      </c>
      <c r="G164" s="4">
        <v>3.4403740745125103E-2</v>
      </c>
      <c r="H164" s="4">
        <v>0.131817306757708</v>
      </c>
      <c r="I164" s="4">
        <f t="shared" si="6"/>
        <v>1.2771870596939499</v>
      </c>
      <c r="J164" s="4">
        <v>0.73917017239379001</v>
      </c>
      <c r="K164" s="4">
        <v>6.7891748845771593E-2</v>
      </c>
      <c r="L164" s="4">
        <v>1.02519989321727E-2</v>
      </c>
      <c r="M164" s="4">
        <v>1.8751122017016199E-2</v>
      </c>
      <c r="N164" s="4">
        <v>0.836065042188751</v>
      </c>
      <c r="O164" s="4">
        <v>0.85375094385843797</v>
      </c>
      <c r="P164" s="10">
        <f t="shared" si="7"/>
        <v>0.42343611583551188</v>
      </c>
      <c r="S164" s="12">
        <v>41426</v>
      </c>
      <c r="T164" s="4">
        <v>0.45278416125617998</v>
      </c>
      <c r="U164" s="4">
        <v>0.45703892912187899</v>
      </c>
      <c r="V164" s="4">
        <f t="shared" si="8"/>
        <v>0.40197049679757091</v>
      </c>
    </row>
    <row r="165" spans="1:22" x14ac:dyDescent="0.25">
      <c r="A165" s="1">
        <v>41760</v>
      </c>
      <c r="B165" s="4">
        <v>0.14699467799893701</v>
      </c>
      <c r="C165" s="4">
        <v>4.2776689235747997E-2</v>
      </c>
      <c r="D165" s="4">
        <v>3.06864688455851E-2</v>
      </c>
      <c r="E165" s="4">
        <v>9.2425541929562899E-3</v>
      </c>
      <c r="F165" s="4">
        <v>1.6703421916642099E-2</v>
      </c>
      <c r="G165" s="4">
        <v>3.4531090938084999E-2</v>
      </c>
      <c r="H165" s="4">
        <v>0.13394022512901599</v>
      </c>
      <c r="I165" s="4">
        <f t="shared" si="6"/>
        <v>1.2809349031279531</v>
      </c>
      <c r="J165" s="4">
        <v>0.755281256125234</v>
      </c>
      <c r="K165" s="4">
        <v>6.4482994088018497E-2</v>
      </c>
      <c r="L165" s="4">
        <v>6.3237338163713297E-3</v>
      </c>
      <c r="M165" s="4">
        <v>1.7481779402772801E-2</v>
      </c>
      <c r="N165" s="4">
        <v>0.84356976343239698</v>
      </c>
      <c r="O165" s="4">
        <v>0.84475867056280696</v>
      </c>
      <c r="P165" s="10">
        <f t="shared" si="7"/>
        <v>0.43617623256514615</v>
      </c>
      <c r="S165" s="12">
        <v>41456</v>
      </c>
      <c r="T165" s="4">
        <v>0.45271307497415197</v>
      </c>
      <c r="U165" s="4">
        <v>0.45598321204574099</v>
      </c>
      <c r="V165" s="4">
        <f t="shared" si="8"/>
        <v>0.42360744719699495</v>
      </c>
    </row>
    <row r="166" spans="1:22" x14ac:dyDescent="0.25">
      <c r="A166" s="1">
        <v>41791</v>
      </c>
      <c r="B166" s="4">
        <v>0.15109386236476399</v>
      </c>
      <c r="C166" s="4">
        <v>4.5164175763605999E-2</v>
      </c>
      <c r="D166" s="4">
        <v>3.2762208539150697E-2</v>
      </c>
      <c r="E166" s="4">
        <v>9.4147834355814003E-3</v>
      </c>
      <c r="F166" s="4">
        <v>1.7557919524095598E-2</v>
      </c>
      <c r="G166" s="4">
        <v>3.5983808422541001E-2</v>
      </c>
      <c r="H166" s="4">
        <v>0.140882895684974</v>
      </c>
      <c r="I166" s="4">
        <f t="shared" si="6"/>
        <v>1.2919767580497381</v>
      </c>
      <c r="J166" s="4">
        <v>0.75959308953641402</v>
      </c>
      <c r="K166" s="4">
        <v>6.8409344373506001E-2</v>
      </c>
      <c r="L166" s="4">
        <v>7.7920569398689001E-3</v>
      </c>
      <c r="M166" s="4">
        <v>1.60197434104297E-2</v>
      </c>
      <c r="N166" s="4">
        <v>0.85181423426021896</v>
      </c>
      <c r="O166" s="4">
        <v>0.84347391058224697</v>
      </c>
      <c r="P166" s="10">
        <f t="shared" si="7"/>
        <v>0.44850284746749114</v>
      </c>
      <c r="S166" s="12">
        <v>41487</v>
      </c>
      <c r="T166" s="4">
        <v>0.46224120275782898</v>
      </c>
      <c r="U166" s="4">
        <v>0.46473451101861801</v>
      </c>
      <c r="V166" s="4">
        <f t="shared" si="8"/>
        <v>0.41626548130900509</v>
      </c>
    </row>
    <row r="167" spans="1:22" x14ac:dyDescent="0.25">
      <c r="A167" s="1">
        <v>41821</v>
      </c>
      <c r="B167" s="4">
        <v>0.15340901494062001</v>
      </c>
      <c r="C167" s="4">
        <v>4.6023248441828098E-2</v>
      </c>
      <c r="D167" s="4">
        <v>3.3472464494593401E-2</v>
      </c>
      <c r="E167" s="4">
        <v>9.5140720237004203E-3</v>
      </c>
      <c r="F167" s="4">
        <v>1.81893077621594E-2</v>
      </c>
      <c r="G167" s="4">
        <v>3.6480907582679398E-2</v>
      </c>
      <c r="H167" s="4">
        <v>0.14368000030496</v>
      </c>
      <c r="I167" s="4">
        <f t="shared" si="6"/>
        <v>1.2970890152455801</v>
      </c>
      <c r="J167" s="4">
        <v>0.75985675225706795</v>
      </c>
      <c r="K167" s="4">
        <v>6.7327788186658799E-2</v>
      </c>
      <c r="L167" s="4">
        <v>7.4884306518308496E-3</v>
      </c>
      <c r="M167" s="4">
        <v>1.82138780682429E-2</v>
      </c>
      <c r="N167" s="4">
        <v>0.85288684916380098</v>
      </c>
      <c r="O167" s="4">
        <v>0.85443804179694405</v>
      </c>
      <c r="P167" s="10">
        <f t="shared" si="7"/>
        <v>0.44265097344863602</v>
      </c>
      <c r="S167" s="12">
        <v>41518</v>
      </c>
      <c r="T167" s="4">
        <v>0.47189878513476302</v>
      </c>
      <c r="U167" s="4">
        <v>0.46681798908169198</v>
      </c>
      <c r="V167" s="4">
        <f t="shared" si="8"/>
        <v>0.426656236325055</v>
      </c>
    </row>
    <row r="168" spans="1:22" x14ac:dyDescent="0.25">
      <c r="A168" s="1">
        <v>41852</v>
      </c>
      <c r="B168" s="4">
        <v>0.159461569711038</v>
      </c>
      <c r="C168" s="4">
        <v>4.6052500916104001E-2</v>
      </c>
      <c r="D168" s="4">
        <v>3.5325934218419799E-2</v>
      </c>
      <c r="E168" s="4">
        <v>9.6447893629336007E-3</v>
      </c>
      <c r="F168" s="4">
        <v>2.06991458570812E-2</v>
      </c>
      <c r="G168" s="4">
        <v>3.7851438629116801E-2</v>
      </c>
      <c r="H168" s="4">
        <v>0.14957380898365499</v>
      </c>
      <c r="I168" s="4">
        <f t="shared" si="6"/>
        <v>1.3090353786946931</v>
      </c>
      <c r="J168" s="4">
        <v>0.74608674897834004</v>
      </c>
      <c r="K168" s="4">
        <v>7.1855123483547195E-2</v>
      </c>
      <c r="L168" s="4">
        <v>9.5865640976596205E-3</v>
      </c>
      <c r="M168" s="4">
        <v>1.9987313806146E-2</v>
      </c>
      <c r="N168" s="4">
        <v>0.84751575036569304</v>
      </c>
      <c r="O168" s="4">
        <v>0.84613901320292895</v>
      </c>
      <c r="P168" s="10">
        <f t="shared" si="7"/>
        <v>0.46289636549176416</v>
      </c>
      <c r="S168" s="12">
        <v>41548</v>
      </c>
      <c r="T168" s="4">
        <v>0.49709405830146902</v>
      </c>
      <c r="U168" s="4">
        <v>0.48065868559552699</v>
      </c>
      <c r="V168" s="4">
        <f t="shared" si="8"/>
        <v>0.42070922804492195</v>
      </c>
    </row>
    <row r="169" spans="1:22" x14ac:dyDescent="0.25">
      <c r="A169" s="1">
        <v>41883</v>
      </c>
      <c r="B169" s="4">
        <v>0.16000278166533899</v>
      </c>
      <c r="C169" s="4">
        <v>4.71879601136974E-2</v>
      </c>
      <c r="D169" s="4">
        <v>3.6123659589081397E-2</v>
      </c>
      <c r="E169" s="4">
        <v>9.6598280784621193E-3</v>
      </c>
      <c r="F169" s="4">
        <v>2.1041534716008399E-2</v>
      </c>
      <c r="G169" s="4">
        <v>3.6833323118980202E-2</v>
      </c>
      <c r="H169" s="4">
        <v>0.150846305616229</v>
      </c>
      <c r="I169" s="4">
        <f t="shared" si="6"/>
        <v>1.3108490872815679</v>
      </c>
      <c r="J169" s="4">
        <v>0.74073649613149195</v>
      </c>
      <c r="K169" s="4">
        <v>7.1331440881985106E-2</v>
      </c>
      <c r="L169" s="4">
        <v>4.9643907155639301E-3</v>
      </c>
      <c r="M169" s="4">
        <v>1.87794497359326E-2</v>
      </c>
      <c r="N169" s="4">
        <v>0.83581177746497304</v>
      </c>
      <c r="O169" s="4">
        <v>0.848468639332977</v>
      </c>
      <c r="P169" s="10">
        <f t="shared" si="7"/>
        <v>0.4623804479485909</v>
      </c>
      <c r="S169" s="12">
        <v>41579</v>
      </c>
      <c r="T169" s="4">
        <v>0.49039444974726198</v>
      </c>
      <c r="U169" s="4">
        <v>0.47199093737514503</v>
      </c>
      <c r="V169" s="4">
        <f t="shared" si="8"/>
        <v>0.42573725335665702</v>
      </c>
    </row>
    <row r="170" spans="1:22" x14ac:dyDescent="0.25">
      <c r="A170" s="1">
        <v>41913</v>
      </c>
      <c r="B170" s="4">
        <v>0.16790145121087899</v>
      </c>
      <c r="C170" s="4">
        <v>4.8133618976727001E-2</v>
      </c>
      <c r="D170" s="4">
        <v>3.7199691267830903E-2</v>
      </c>
      <c r="E170" s="4">
        <v>9.8143593977807007E-3</v>
      </c>
      <c r="F170" s="4">
        <v>2.1650279350479699E-2</v>
      </c>
      <c r="G170" s="4">
        <v>4.05789734195552E-2</v>
      </c>
      <c r="H170" s="4">
        <v>0.157376922412373</v>
      </c>
      <c r="I170" s="4">
        <f t="shared" si="6"/>
        <v>1.3252783736232518</v>
      </c>
      <c r="J170" s="4">
        <v>0.73567467351038096</v>
      </c>
      <c r="K170" s="4">
        <v>7.2175391122856994E-2</v>
      </c>
      <c r="L170" s="4">
        <v>1.06938570219872E-2</v>
      </c>
      <c r="M170" s="4">
        <v>1.8378439472912199E-2</v>
      </c>
      <c r="N170" s="4">
        <v>0.836922361128138</v>
      </c>
      <c r="O170" s="4">
        <v>0.86299114734819005</v>
      </c>
      <c r="P170" s="10">
        <f t="shared" si="7"/>
        <v>0.4622872262750618</v>
      </c>
      <c r="S170" s="12">
        <v>41609</v>
      </c>
      <c r="T170" s="4">
        <v>0.50493530130556297</v>
      </c>
      <c r="U170" s="4">
        <v>0.47434090268051798</v>
      </c>
      <c r="V170" s="4">
        <f t="shared" si="8"/>
        <v>0.43079800502950194</v>
      </c>
    </row>
    <row r="171" spans="1:22" x14ac:dyDescent="0.25">
      <c r="A171" s="1">
        <v>41944</v>
      </c>
      <c r="B171" s="4">
        <v>0.16435039347027999</v>
      </c>
      <c r="C171" s="4">
        <v>4.88636609972804E-2</v>
      </c>
      <c r="D171" s="4">
        <v>4.0638032109308699E-2</v>
      </c>
      <c r="E171" s="4">
        <v>1.03637435494674E-2</v>
      </c>
      <c r="F171" s="4">
        <v>2.0981955757043501E-2</v>
      </c>
      <c r="G171" s="4">
        <v>3.9025420002071501E-2</v>
      </c>
      <c r="H171" s="4">
        <v>0.15987281241517101</v>
      </c>
      <c r="I171" s="4">
        <f t="shared" si="6"/>
        <v>1.3242232058854511</v>
      </c>
      <c r="J171" s="4">
        <v>0.73956294390320998</v>
      </c>
      <c r="K171" s="4">
        <v>6.6685545864421394E-2</v>
      </c>
      <c r="L171" s="4">
        <v>5.6475940520154099E-3</v>
      </c>
      <c r="M171" s="4">
        <v>1.8632729149671599E-2</v>
      </c>
      <c r="N171" s="4">
        <v>0.83052881296931902</v>
      </c>
      <c r="O171" s="4">
        <v>0.85668396069175001</v>
      </c>
      <c r="P171" s="10">
        <f t="shared" si="7"/>
        <v>0.46753924519370105</v>
      </c>
      <c r="S171" s="12">
        <v>41640</v>
      </c>
      <c r="T171" s="4">
        <v>0.52823475549350696</v>
      </c>
      <c r="U171" s="4">
        <v>0.49858498214027602</v>
      </c>
      <c r="V171" s="4">
        <f t="shared" si="8"/>
        <v>0.4246689965423891</v>
      </c>
    </row>
    <row r="172" spans="1:22" x14ac:dyDescent="0.25">
      <c r="A172" s="1">
        <v>41974</v>
      </c>
      <c r="B172" s="4">
        <v>0.16708800118546499</v>
      </c>
      <c r="C172" s="4">
        <v>4.8305420748410301E-2</v>
      </c>
      <c r="D172" s="4">
        <v>4.1584888744233398E-2</v>
      </c>
      <c r="E172" s="4">
        <v>1.01070104467343E-2</v>
      </c>
      <c r="F172" s="4">
        <v>2.0852586660101299E-2</v>
      </c>
      <c r="G172" s="4">
        <v>4.0384463270363997E-2</v>
      </c>
      <c r="H172" s="4">
        <v>0.16123436986984299</v>
      </c>
      <c r="I172" s="4">
        <f t="shared" si="6"/>
        <v>1.328322371055308</v>
      </c>
      <c r="J172" s="4">
        <v>0.75258500198591105</v>
      </c>
      <c r="K172" s="4">
        <v>6.4254126279636101E-2</v>
      </c>
      <c r="L172" s="4">
        <v>4.4963046140975103E-3</v>
      </c>
      <c r="M172" s="4">
        <v>1.8486645517753201E-2</v>
      </c>
      <c r="N172" s="4">
        <v>0.83982207839739798</v>
      </c>
      <c r="O172" s="4">
        <v>0.85453104218713505</v>
      </c>
      <c r="P172" s="10">
        <f t="shared" si="7"/>
        <v>0.47379132886817299</v>
      </c>
      <c r="S172" s="12">
        <v>41671</v>
      </c>
      <c r="T172" s="4">
        <v>0.53622667992930795</v>
      </c>
      <c r="U172" s="4">
        <v>0.49936245131854201</v>
      </c>
      <c r="V172" s="4">
        <f t="shared" si="8"/>
        <v>0.41918064473449812</v>
      </c>
    </row>
    <row r="173" spans="1:22" x14ac:dyDescent="0.25">
      <c r="A173" s="1">
        <v>41944</v>
      </c>
      <c r="B173" s="4">
        <v>0.115752334413925</v>
      </c>
      <c r="C173" s="4">
        <v>2.4339526797441599E-2</v>
      </c>
      <c r="D173" s="4">
        <v>4.4050199325851996E-3</v>
      </c>
      <c r="E173" s="4">
        <v>5.2161999512930299E-3</v>
      </c>
      <c r="F173" s="4">
        <v>1.35739305256151E-2</v>
      </c>
      <c r="G173" s="4">
        <v>2.9243441115826101E-2</v>
      </c>
      <c r="H173" s="4">
        <v>7.6778118322761199E-2</v>
      </c>
      <c r="I173" s="4">
        <f t="shared" si="6"/>
        <v>1.1925304527366862</v>
      </c>
      <c r="J173" s="4">
        <f>B173+H173+1</f>
        <v>1.1925304527366862</v>
      </c>
      <c r="K173" s="4">
        <v>0.82041993634669597</v>
      </c>
      <c r="L173" s="4">
        <v>3.9462864609761901E-2</v>
      </c>
      <c r="M173" s="4">
        <v>1.18311157011586E-3</v>
      </c>
      <c r="N173" s="4">
        <v>8.9298684483425407E-3</v>
      </c>
      <c r="O173" s="4">
        <v>0.86999578097491603</v>
      </c>
      <c r="P173" s="10">
        <f t="shared" si="7"/>
        <v>0.3225346717617702</v>
      </c>
      <c r="S173" s="12">
        <v>41699</v>
      </c>
      <c r="T173" s="4">
        <v>0.52510058639667501</v>
      </c>
      <c r="U173" s="4">
        <v>0.49017285866416299</v>
      </c>
      <c r="V173" s="4">
        <f t="shared" si="8"/>
        <v>0.43061916385107502</v>
      </c>
    </row>
    <row r="174" spans="1:22" x14ac:dyDescent="0.25">
      <c r="A174" s="1">
        <v>41974</v>
      </c>
      <c r="B174" s="4">
        <v>0.111425578226213</v>
      </c>
      <c r="C174" s="4">
        <v>2.3839986221083201E-2</v>
      </c>
      <c r="D174" s="4">
        <v>2.6431704301377299E-3</v>
      </c>
      <c r="E174" s="4">
        <v>4.9754557285247997E-3</v>
      </c>
      <c r="F174" s="4">
        <v>1.04095955447677E-2</v>
      </c>
      <c r="G174" s="4">
        <v>2.8925838399403599E-2</v>
      </c>
      <c r="H174" s="4">
        <v>7.0794046323917004E-2</v>
      </c>
      <c r="I174" s="4">
        <f t="shared" si="6"/>
        <v>1.18221962455013</v>
      </c>
      <c r="J174" s="4">
        <f>B174+H174+1</f>
        <v>1.18221962455013</v>
      </c>
      <c r="K174" s="4">
        <v>0.82984565855940595</v>
      </c>
      <c r="L174" s="4">
        <v>4.2270703886418501E-2</v>
      </c>
      <c r="M174" s="4">
        <v>0</v>
      </c>
      <c r="N174" s="4">
        <v>9.3742941739313607E-3</v>
      </c>
      <c r="O174" s="4">
        <v>0.88149065661975601</v>
      </c>
      <c r="P174" s="10">
        <f t="shared" si="7"/>
        <v>0.30072896793037396</v>
      </c>
      <c r="S174" s="12">
        <v>41730</v>
      </c>
      <c r="T174" s="4">
        <v>0.53007323265291795</v>
      </c>
      <c r="U174" s="4">
        <v>0.490689190228984</v>
      </c>
      <c r="V174" s="4">
        <f t="shared" si="8"/>
        <v>0.42343611583551188</v>
      </c>
    </row>
    <row r="175" spans="1:22" x14ac:dyDescent="0.25">
      <c r="A175" s="1">
        <v>42005</v>
      </c>
      <c r="B175" s="4">
        <v>0.10318172363535701</v>
      </c>
      <c r="C175" s="4">
        <v>5.3659689625717898E-2</v>
      </c>
      <c r="D175" s="4">
        <v>2.6877676048951998E-2</v>
      </c>
      <c r="E175" s="4">
        <v>0</v>
      </c>
      <c r="F175" s="4">
        <v>1.4850294318640499E-2</v>
      </c>
      <c r="G175" s="4">
        <v>3.03163070946246E-2</v>
      </c>
      <c r="H175" s="4">
        <v>0.12570396708793499</v>
      </c>
      <c r="I175" s="4">
        <f t="shared" si="6"/>
        <v>1.2288856907232919</v>
      </c>
      <c r="J175" s="4">
        <f>B175+H175+1</f>
        <v>1.2288856907232919</v>
      </c>
      <c r="K175" s="4">
        <v>0.70331049551247304</v>
      </c>
      <c r="L175" s="4">
        <v>0.104014675666823</v>
      </c>
      <c r="M175" s="4">
        <v>0</v>
      </c>
      <c r="N175" s="4">
        <v>1.12620819528223E-2</v>
      </c>
      <c r="O175" s="4">
        <v>0.818587253132119</v>
      </c>
      <c r="P175" s="10">
        <f t="shared" si="7"/>
        <v>0.4102984375911729</v>
      </c>
      <c r="S175" s="12">
        <v>41760</v>
      </c>
      <c r="T175" s="4">
        <v>0.53400349328579899</v>
      </c>
      <c r="U175" s="4">
        <v>0.48796121989931301</v>
      </c>
      <c r="V175" s="4">
        <f t="shared" si="8"/>
        <v>0.43617623256514615</v>
      </c>
    </row>
    <row r="176" spans="1:22" x14ac:dyDescent="0.25">
      <c r="A176" s="1">
        <v>42036</v>
      </c>
      <c r="B176" s="4">
        <v>0.12567916339374499</v>
      </c>
      <c r="C176" s="4">
        <v>4.91417808052039E-2</v>
      </c>
      <c r="D176" s="4">
        <v>2.15798144960354E-2</v>
      </c>
      <c r="E176" s="4">
        <v>1.5449270543212899E-2</v>
      </c>
      <c r="F176" s="4">
        <v>9.5615500917003403E-3</v>
      </c>
      <c r="G176" s="4">
        <v>1.5240921983447101E-2</v>
      </c>
      <c r="H176" s="4">
        <v>0.110973337919599</v>
      </c>
      <c r="I176" s="4">
        <f t="shared" si="6"/>
        <v>1.236652501313344</v>
      </c>
      <c r="J176" s="4">
        <f>B176+H176+1</f>
        <v>1.236652501313344</v>
      </c>
      <c r="K176" s="4">
        <v>0.87309138479604698</v>
      </c>
      <c r="L176" s="4">
        <v>1.4861697626463201E-2</v>
      </c>
      <c r="M176" s="4">
        <v>0</v>
      </c>
      <c r="N176" s="4">
        <v>1.8253732092291301E-2</v>
      </c>
      <c r="O176" s="4">
        <v>0.90620681451480101</v>
      </c>
      <c r="P176" s="10">
        <f t="shared" si="7"/>
        <v>0.33044568679854303</v>
      </c>
      <c r="S176" s="12">
        <v>41791</v>
      </c>
      <c r="T176" s="4">
        <v>0.56045607490942695</v>
      </c>
      <c r="U176" s="4">
        <v>0.48876552046390898</v>
      </c>
      <c r="V176" s="4">
        <f t="shared" si="8"/>
        <v>0.44850284746749114</v>
      </c>
    </row>
    <row r="177" spans="1:22" x14ac:dyDescent="0.25">
      <c r="A177" s="1">
        <v>42064</v>
      </c>
      <c r="B177" s="4">
        <v>0.124486880773354</v>
      </c>
      <c r="C177" s="4">
        <v>4.2394086181730101E-2</v>
      </c>
      <c r="D177" s="4">
        <v>4.8303047892079197E-2</v>
      </c>
      <c r="E177" s="4">
        <v>1.23817894706733E-2</v>
      </c>
      <c r="F177" s="4">
        <v>3.5205624888431501E-3</v>
      </c>
      <c r="G177" s="4">
        <v>2.3437552100835202E-2</v>
      </c>
      <c r="H177" s="4">
        <v>0.13003703813416101</v>
      </c>
      <c r="I177" s="4">
        <f t="shared" si="6"/>
        <v>1.254523918907515</v>
      </c>
      <c r="J177" s="4">
        <f>B177+H177+1</f>
        <v>1.254523918907515</v>
      </c>
      <c r="K177" s="4">
        <v>0.80709282783875502</v>
      </c>
      <c r="L177" s="4">
        <v>4.6001056434616598E-2</v>
      </c>
      <c r="M177" s="4">
        <v>0</v>
      </c>
      <c r="N177" s="4">
        <v>6.02184569952878E-2</v>
      </c>
      <c r="O177" s="4">
        <v>0.91331234126866001</v>
      </c>
      <c r="P177" s="10">
        <f t="shared" si="7"/>
        <v>0.34121157763885501</v>
      </c>
      <c r="S177" s="12">
        <v>41821</v>
      </c>
      <c r="T177" s="4">
        <v>0.59942859577283703</v>
      </c>
      <c r="U177" s="4">
        <v>0.49269073486618098</v>
      </c>
      <c r="V177" s="4">
        <f t="shared" si="8"/>
        <v>0.44265097344863602</v>
      </c>
    </row>
    <row r="178" spans="1:22" x14ac:dyDescent="0.25">
      <c r="S178" s="12">
        <v>41852</v>
      </c>
      <c r="T178" s="4">
        <v>0.59640020627646195</v>
      </c>
      <c r="U178" s="4">
        <v>0.52864279943942905</v>
      </c>
      <c r="V178" s="4">
        <f t="shared" si="8"/>
        <v>0.46289636549176416</v>
      </c>
    </row>
    <row r="179" spans="1:22" x14ac:dyDescent="0.25">
      <c r="S179" s="12"/>
      <c r="T179" s="4">
        <v>0.73373296419811695</v>
      </c>
      <c r="U179" s="4">
        <v>0.49507166741518699</v>
      </c>
      <c r="V179" s="4" t="e">
        <f t="shared" si="8"/>
        <v>#N/A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Q167"/>
  <sheetViews>
    <sheetView tabSelected="1" topLeftCell="G104" workbookViewId="0">
      <selection activeCell="AJ119" sqref="AJ119"/>
    </sheetView>
  </sheetViews>
  <sheetFormatPr defaultRowHeight="15" x14ac:dyDescent="0.25"/>
  <cols>
    <col min="1" max="1" width="10.5703125" customWidth="1"/>
    <col min="10" max="10" width="10.5703125" customWidth="1"/>
    <col min="14" max="14" width="10.5703125" customWidth="1"/>
    <col min="18" max="18" width="10.5703125" customWidth="1"/>
    <col min="19" max="20" width="9.140625" style="4"/>
    <col min="22" max="22" width="10.5703125" customWidth="1"/>
    <col min="23" max="24" width="9.140625" style="4"/>
    <col min="26" max="26" width="10.5703125" customWidth="1"/>
    <col min="27" max="28" width="9.140625" style="4"/>
    <col min="30" max="30" width="10.5703125" customWidth="1"/>
    <col min="31" max="32" width="9.140625" style="4"/>
  </cols>
  <sheetData>
    <row r="1" spans="1:32" x14ac:dyDescent="0.25">
      <c r="K1" t="s">
        <v>59</v>
      </c>
      <c r="O1" t="s">
        <v>75</v>
      </c>
      <c r="S1" s="4" t="s">
        <v>71</v>
      </c>
      <c r="W1" s="4" t="s">
        <v>76</v>
      </c>
      <c r="AA1" s="4" t="s">
        <v>61</v>
      </c>
      <c r="AE1" s="4" t="s">
        <v>97</v>
      </c>
    </row>
    <row r="2" spans="1:32" x14ac:dyDescent="0.25">
      <c r="A2" t="s">
        <v>68</v>
      </c>
      <c r="B2" t="s">
        <v>74</v>
      </c>
      <c r="C2" t="s">
        <v>69</v>
      </c>
      <c r="D2" t="s">
        <v>70</v>
      </c>
      <c r="E2" t="s">
        <v>71</v>
      </c>
      <c r="F2" t="s">
        <v>72</v>
      </c>
      <c r="G2" t="s">
        <v>73</v>
      </c>
      <c r="K2" t="s">
        <v>65</v>
      </c>
      <c r="L2" t="s">
        <v>64</v>
      </c>
      <c r="O2" t="s">
        <v>65</v>
      </c>
      <c r="P2" t="s">
        <v>64</v>
      </c>
      <c r="S2" s="4" t="s">
        <v>65</v>
      </c>
      <c r="T2" s="4" t="s">
        <v>64</v>
      </c>
      <c r="W2" s="4" t="s">
        <v>65</v>
      </c>
      <c r="X2" s="4" t="s">
        <v>64</v>
      </c>
      <c r="AA2" s="4" t="s">
        <v>65</v>
      </c>
      <c r="AB2" s="4" t="s">
        <v>64</v>
      </c>
      <c r="AE2" s="4" t="s">
        <v>65</v>
      </c>
      <c r="AF2" s="4" t="s">
        <v>64</v>
      </c>
    </row>
    <row r="3" spans="1:32" x14ac:dyDescent="0.25">
      <c r="A3" s="1">
        <v>36892</v>
      </c>
      <c r="B3" s="4">
        <v>6.7081483180755602E-2</v>
      </c>
      <c r="C3" s="4">
        <v>0.18105061015839199</v>
      </c>
      <c r="D3" s="4">
        <v>0.18105061015839199</v>
      </c>
      <c r="E3" s="4">
        <v>-5.0292646341945101E-2</v>
      </c>
      <c r="F3" s="4">
        <v>0.610833333522661</v>
      </c>
      <c r="G3" s="4">
        <v>3.6380462945255598E-2</v>
      </c>
      <c r="J3" s="1">
        <v>36892</v>
      </c>
      <c r="K3" s="4">
        <f>VLOOKUP(J3,A:G,2,0)</f>
        <v>6.7081483180755602E-2</v>
      </c>
      <c r="L3" s="4">
        <f>VLOOKUP(J3,Total!A:P,2,0)</f>
        <v>6.3505735909539202E-2</v>
      </c>
      <c r="N3" s="1">
        <f t="shared" ref="N3:N52" si="0">J3</f>
        <v>36892</v>
      </c>
      <c r="O3" s="4">
        <f>VLOOKUP(J3,A:G,3,0)</f>
        <v>0.18105061015839199</v>
      </c>
      <c r="P3" s="4">
        <f>VLOOKUP(J3,Total!A:P,11,0)</f>
        <v>0.167194109689495</v>
      </c>
      <c r="R3" s="1">
        <f t="shared" ref="R3:R52" si="1">N3</f>
        <v>36892</v>
      </c>
      <c r="S3" s="4">
        <f>-VLOOKUP(J3,A:G,5,0)</f>
        <v>5.0292646341945101E-2</v>
      </c>
      <c r="T3" s="4">
        <f>VLOOKUP(J3,Total!A:P,8,0)</f>
        <v>3.4884499082259803E-2</v>
      </c>
      <c r="V3" s="1">
        <f t="shared" ref="V3:V52" si="2">R3</f>
        <v>36892</v>
      </c>
      <c r="W3" s="4">
        <f>VLOOKUP(J3,A:G,4,0)</f>
        <v>0.18105061015839199</v>
      </c>
      <c r="X3" s="4">
        <f>VLOOKUP(J3,Total!A:P,12,0)+VLOOKUP(J3,Total!A:P,13,0)</f>
        <v>4.3284480459977917E-2</v>
      </c>
      <c r="Z3" s="1">
        <f t="shared" ref="Z3:Z52" si="3">V3</f>
        <v>36892</v>
      </c>
      <c r="AA3" s="4">
        <f>VLOOKUP(J3,A:G,7,0)</f>
        <v>3.6380462945255598E-2</v>
      </c>
      <c r="AB3" s="4">
        <f>VLOOKUP(J3,Total!A:P,16,0)</f>
        <v>-2.3576944924120991E-2</v>
      </c>
      <c r="AD3" s="1">
        <f t="shared" ref="AD3:AD66" si="4">Z3</f>
        <v>36892</v>
      </c>
      <c r="AE3" s="4">
        <f>AA3+O3+W3-K3-S3</f>
        <v>0.28110755373933893</v>
      </c>
      <c r="AF3" s="4">
        <f>AB3+P3+X3-L3-T3</f>
        <v>8.8511410233552912E-2</v>
      </c>
    </row>
    <row r="4" spans="1:32" x14ac:dyDescent="0.25">
      <c r="A4" s="1">
        <v>36923</v>
      </c>
      <c r="B4" s="4">
        <v>6.8468820324213503E-2</v>
      </c>
      <c r="C4" s="4">
        <v>0.156253823761139</v>
      </c>
      <c r="D4" s="4">
        <v>0.156253823761139</v>
      </c>
      <c r="E4" s="4">
        <v>-5.3613517183156802E-2</v>
      </c>
      <c r="F4" s="4">
        <v>0.70074551071325097</v>
      </c>
      <c r="G4" s="4">
        <v>3.34029122610714E-2</v>
      </c>
      <c r="J4" s="1">
        <v>36923</v>
      </c>
      <c r="K4" s="4">
        <f>VLOOKUP(J4,A:G,2,0)</f>
        <v>6.8468820324213503E-2</v>
      </c>
      <c r="L4" s="4">
        <f>VLOOKUP(J4,Total!A:P,2,0)</f>
        <v>6.1097626247593503E-2</v>
      </c>
      <c r="N4" s="1">
        <f t="shared" si="0"/>
        <v>36923</v>
      </c>
      <c r="O4" s="4">
        <f>VLOOKUP(J4,A:G,3,0)</f>
        <v>0.156253823761139</v>
      </c>
      <c r="P4" s="4">
        <f>VLOOKUP(J4,Total!A:P,11,0)</f>
        <v>6.0312599568958403E-2</v>
      </c>
      <c r="R4" s="1">
        <f t="shared" si="1"/>
        <v>36923</v>
      </c>
      <c r="S4" s="4">
        <f>-VLOOKUP(J4,A:G,5,0)</f>
        <v>5.3613517183156802E-2</v>
      </c>
      <c r="T4" s="4">
        <f>VLOOKUP(J4,Total!A:P,8,0)</f>
        <v>3.23981648602664E-2</v>
      </c>
      <c r="V4" s="1">
        <f t="shared" si="2"/>
        <v>36923</v>
      </c>
      <c r="W4" s="4">
        <f>VLOOKUP(J4,A:G,4,0)</f>
        <v>0.156253823761139</v>
      </c>
      <c r="X4" s="4">
        <f>VLOOKUP(J4,Total!A:P,12,0)+VLOOKUP(J4,Total!A:P,13,0)</f>
        <v>0.25324572445377341</v>
      </c>
      <c r="Z4" s="1">
        <f t="shared" si="3"/>
        <v>36923</v>
      </c>
      <c r="AA4" s="4">
        <f>VLOOKUP(J4,A:G,7,0)</f>
        <v>3.34029122610714E-2</v>
      </c>
      <c r="AB4" s="4">
        <f>VLOOKUP(J4,Total!A:P,16,0)</f>
        <v>-5.2127162451560016E-2</v>
      </c>
      <c r="AD4" s="1">
        <f t="shared" si="4"/>
        <v>36923</v>
      </c>
      <c r="AE4" s="4">
        <f t="shared" ref="AE4:AE67" si="5">AA4+O4+W4-K4-S4</f>
        <v>0.22382822227597907</v>
      </c>
      <c r="AF4" s="4">
        <f t="shared" ref="AF4:AF67" si="6">AB4+P4+X4-L4-T4</f>
        <v>0.16793537046331189</v>
      </c>
    </row>
    <row r="5" spans="1:32" x14ac:dyDescent="0.25">
      <c r="A5" s="1">
        <v>36951</v>
      </c>
      <c r="B5" s="4">
        <v>7.2709305314335296E-2</v>
      </c>
      <c r="C5" s="4">
        <v>0.20269618018697699</v>
      </c>
      <c r="D5" s="4">
        <v>0.20269618018697699</v>
      </c>
      <c r="E5" s="4">
        <v>-4.6337984240149399E-2</v>
      </c>
      <c r="F5" s="4">
        <v>0.73603751228969405</v>
      </c>
      <c r="G5" s="4">
        <v>4.26619836268647E-2</v>
      </c>
      <c r="J5" s="1">
        <v>36951</v>
      </c>
      <c r="K5" s="4">
        <f>VLOOKUP(J5,A:G,2,0)</f>
        <v>7.2709305314335296E-2</v>
      </c>
      <c r="L5" s="4">
        <f>VLOOKUP(J5,Total!A:P,2,0)</f>
        <v>7.3558562363446406E-2</v>
      </c>
      <c r="N5" s="1">
        <f t="shared" si="0"/>
        <v>36951</v>
      </c>
      <c r="O5" s="4">
        <f>VLOOKUP(J5,A:G,3,0)</f>
        <v>0.20269618018697699</v>
      </c>
      <c r="P5" s="4">
        <f>VLOOKUP(J5,Total!A:P,11,0)</f>
        <v>0.15395177560522999</v>
      </c>
      <c r="R5" s="1">
        <f t="shared" si="1"/>
        <v>36951</v>
      </c>
      <c r="S5" s="4">
        <f>-VLOOKUP(J5,A:G,5,0)</f>
        <v>4.6337984240149399E-2</v>
      </c>
      <c r="T5" s="4">
        <f>VLOOKUP(J5,Total!A:P,8,0)</f>
        <v>4.7106107185749799E-2</v>
      </c>
      <c r="V5" s="1">
        <f t="shared" si="2"/>
        <v>36951</v>
      </c>
      <c r="W5" s="4">
        <f>VLOOKUP(J5,A:G,4,0)</f>
        <v>0.20269618018697699</v>
      </c>
      <c r="X5" s="4">
        <f>VLOOKUP(J5,Total!A:P,12,0)+VLOOKUP(J5,Total!A:P,13,0)</f>
        <v>0.14780919095523701</v>
      </c>
      <c r="Z5" s="1">
        <f t="shared" si="3"/>
        <v>36951</v>
      </c>
      <c r="AA5" s="4">
        <f>VLOOKUP(J5,A:G,7,0)</f>
        <v>4.26619836268647E-2</v>
      </c>
      <c r="AB5" s="4">
        <f>VLOOKUP(J5,Total!A:P,16,0)</f>
        <v>-3.9531037850833783E-2</v>
      </c>
      <c r="AD5" s="1">
        <f t="shared" si="4"/>
        <v>36951</v>
      </c>
      <c r="AE5" s="4">
        <f t="shared" si="5"/>
        <v>0.32900705444633399</v>
      </c>
      <c r="AF5" s="4">
        <f t="shared" si="6"/>
        <v>0.14156525916043705</v>
      </c>
    </row>
    <row r="6" spans="1:32" x14ac:dyDescent="0.25">
      <c r="A6" s="1">
        <v>36982</v>
      </c>
      <c r="B6" s="4">
        <v>7.6695836037831394E-2</v>
      </c>
      <c r="C6" s="4">
        <v>0.17730268012869299</v>
      </c>
      <c r="D6" s="4">
        <v>0.17730268012869299</v>
      </c>
      <c r="E6" s="4">
        <v>-5.7232240699292898E-2</v>
      </c>
      <c r="F6" s="4">
        <v>0.75394762560601603</v>
      </c>
      <c r="G6" s="4">
        <v>2.2597554884542501E-2</v>
      </c>
      <c r="J6" s="1">
        <v>36982</v>
      </c>
      <c r="K6" s="4">
        <f>VLOOKUP(J6,A:G,2,0)</f>
        <v>7.6695836037831394E-2</v>
      </c>
      <c r="L6" s="4">
        <f>VLOOKUP(J6,Total!A:P,2,0)</f>
        <v>6.5513945182537794E-2</v>
      </c>
      <c r="N6" s="1">
        <f t="shared" si="0"/>
        <v>36982</v>
      </c>
      <c r="O6" s="4">
        <f>VLOOKUP(J6,A:G,3,0)</f>
        <v>0.17730268012869299</v>
      </c>
      <c r="P6" s="4">
        <f>VLOOKUP(J6,Total!A:P,11,0)</f>
        <v>0.22139575212493301</v>
      </c>
      <c r="R6" s="1">
        <f t="shared" si="1"/>
        <v>36982</v>
      </c>
      <c r="S6" s="4">
        <f>-VLOOKUP(J6,A:G,5,0)</f>
        <v>5.7232240699292898E-2</v>
      </c>
      <c r="T6" s="4">
        <f>VLOOKUP(J6,Total!A:P,8,0)</f>
        <v>3.9264822420138797E-2</v>
      </c>
      <c r="V6" s="1">
        <f t="shared" si="2"/>
        <v>36982</v>
      </c>
      <c r="W6" s="4">
        <f>VLOOKUP(J6,A:G,4,0)</f>
        <v>0.17730268012869299</v>
      </c>
      <c r="X6" s="4">
        <f>VLOOKUP(J6,Total!A:P,12,0)+VLOOKUP(J6,Total!A:P,13,0)</f>
        <v>0.18743851531439021</v>
      </c>
      <c r="Z6" s="1">
        <f t="shared" si="3"/>
        <v>36982</v>
      </c>
      <c r="AA6" s="4">
        <f>VLOOKUP(J6,A:G,7,0)</f>
        <v>2.2597554884542501E-2</v>
      </c>
      <c r="AB6" s="4">
        <f>VLOOKUP(J6,Total!A:P,16,0)</f>
        <v>-3.5846426858633373E-2</v>
      </c>
      <c r="AD6" s="1">
        <f t="shared" si="4"/>
        <v>36982</v>
      </c>
      <c r="AE6" s="4">
        <f t="shared" si="5"/>
        <v>0.24327483840480424</v>
      </c>
      <c r="AF6" s="4">
        <f t="shared" si="6"/>
        <v>0.26820907297801327</v>
      </c>
    </row>
    <row r="7" spans="1:32" x14ac:dyDescent="0.25">
      <c r="A7" s="1">
        <v>37012</v>
      </c>
      <c r="B7" s="4">
        <v>7.3919830034256007E-2</v>
      </c>
      <c r="C7" s="4">
        <v>0.19891039476379299</v>
      </c>
      <c r="D7" s="4">
        <v>0.19891039476379299</v>
      </c>
      <c r="E7" s="4">
        <v>-4.8647285463548698E-2</v>
      </c>
      <c r="F7" s="4">
        <v>0.68920606771607495</v>
      </c>
      <c r="G7" s="4">
        <v>1.19238873015247E-2</v>
      </c>
      <c r="J7" s="1">
        <v>37012</v>
      </c>
      <c r="K7" s="4">
        <f>VLOOKUP(J7,A:G,2,0)</f>
        <v>7.3919830034256007E-2</v>
      </c>
      <c r="L7" s="4">
        <f>VLOOKUP(J7,Total!A:P,2,0)</f>
        <v>7.02166139900436E-2</v>
      </c>
      <c r="N7" s="1">
        <f t="shared" si="0"/>
        <v>37012</v>
      </c>
      <c r="O7" s="4">
        <f>VLOOKUP(J7,A:G,3,0)</f>
        <v>0.19891039476379299</v>
      </c>
      <c r="P7" s="4">
        <f>VLOOKUP(J7,Total!A:P,11,0)</f>
        <v>0.140648491242887</v>
      </c>
      <c r="R7" s="1">
        <f t="shared" si="1"/>
        <v>37012</v>
      </c>
      <c r="S7" s="4">
        <f>-VLOOKUP(J7,A:G,5,0)</f>
        <v>4.8647285463548698E-2</v>
      </c>
      <c r="T7" s="4">
        <f>VLOOKUP(J7,Total!A:P,8,0)</f>
        <v>5.7568316365233699E-2</v>
      </c>
      <c r="V7" s="1">
        <f t="shared" si="2"/>
        <v>37012</v>
      </c>
      <c r="W7" s="4">
        <f>VLOOKUP(J7,A:G,4,0)</f>
        <v>0.19891039476379299</v>
      </c>
      <c r="X7" s="4">
        <f>VLOOKUP(J7,Total!A:P,12,0)+VLOOKUP(J7,Total!A:P,13,0)</f>
        <v>0.12409572184845939</v>
      </c>
      <c r="Z7" s="1">
        <f t="shared" si="3"/>
        <v>37012</v>
      </c>
      <c r="AA7" s="4">
        <f>VLOOKUP(J7,A:G,7,0)</f>
        <v>1.19238873015247E-2</v>
      </c>
      <c r="AB7" s="4">
        <f>VLOOKUP(J7,Total!A:P,16,0)</f>
        <v>4.0167458363387309E-2</v>
      </c>
      <c r="AD7" s="1">
        <f t="shared" si="4"/>
        <v>37012</v>
      </c>
      <c r="AE7" s="4">
        <f t="shared" si="5"/>
        <v>0.28717756133130595</v>
      </c>
      <c r="AF7" s="4">
        <f t="shared" si="6"/>
        <v>0.17712674109945642</v>
      </c>
    </row>
    <row r="8" spans="1:32" x14ac:dyDescent="0.25">
      <c r="A8" s="1">
        <v>37043</v>
      </c>
      <c r="B8" s="4">
        <v>7.3619747583270195E-2</v>
      </c>
      <c r="C8" s="4">
        <v>0.15205840735072901</v>
      </c>
      <c r="D8" s="4">
        <v>0.15205840735072901</v>
      </c>
      <c r="E8" s="4">
        <v>-5.13852408761147E-2</v>
      </c>
      <c r="F8" s="4">
        <v>0.76410792335011302</v>
      </c>
      <c r="G8" s="4">
        <v>2.1925472924689202E-2</v>
      </c>
      <c r="J8" s="1">
        <v>37043</v>
      </c>
      <c r="K8" s="4">
        <f>VLOOKUP(J8,A:G,2,0)</f>
        <v>7.3619747583270195E-2</v>
      </c>
      <c r="L8" s="4">
        <f>VLOOKUP(J8,Total!A:P,2,0)</f>
        <v>7.3447771153668698E-2</v>
      </c>
      <c r="N8" s="1">
        <f t="shared" si="0"/>
        <v>37043</v>
      </c>
      <c r="O8" s="4">
        <f>VLOOKUP(J8,A:G,3,0)</f>
        <v>0.15205840735072901</v>
      </c>
      <c r="P8" s="4">
        <f>VLOOKUP(J8,Total!A:P,11,0)</f>
        <v>0.13567768301421501</v>
      </c>
      <c r="R8" s="1">
        <f t="shared" si="1"/>
        <v>37043</v>
      </c>
      <c r="S8" s="4">
        <f>-VLOOKUP(J8,A:G,5,0)</f>
        <v>5.13852408761147E-2</v>
      </c>
      <c r="T8" s="4">
        <f>VLOOKUP(J8,Total!A:P,8,0)</f>
        <v>4.4529080070382497E-2</v>
      </c>
      <c r="V8" s="1">
        <f t="shared" si="2"/>
        <v>37043</v>
      </c>
      <c r="W8" s="4">
        <f>VLOOKUP(J8,A:G,4,0)</f>
        <v>0.15205840735072901</v>
      </c>
      <c r="X8" s="4">
        <f>VLOOKUP(J8,Total!A:P,12,0)+VLOOKUP(J8,Total!A:P,13,0)</f>
        <v>0.19081964457888881</v>
      </c>
      <c r="Z8" s="1">
        <f t="shared" si="3"/>
        <v>37043</v>
      </c>
      <c r="AA8" s="4">
        <f>VLOOKUP(J8,A:G,7,0)</f>
        <v>2.1925472924689202E-2</v>
      </c>
      <c r="AB8" s="4">
        <f>VLOOKUP(J8,Total!A:P,16,0)</f>
        <v>3.1706849869110876E-3</v>
      </c>
      <c r="AD8" s="1">
        <f t="shared" si="4"/>
        <v>37043</v>
      </c>
      <c r="AE8" s="4">
        <f t="shared" si="5"/>
        <v>0.2010372991667623</v>
      </c>
      <c r="AF8" s="4">
        <f t="shared" si="6"/>
        <v>0.21169116135596369</v>
      </c>
    </row>
    <row r="9" spans="1:32" x14ac:dyDescent="0.25">
      <c r="A9" s="1">
        <v>37073</v>
      </c>
      <c r="B9" s="4">
        <v>7.3445000352882803E-2</v>
      </c>
      <c r="C9" s="4">
        <v>0.13824310054242001</v>
      </c>
      <c r="D9" s="4">
        <v>0.13824310054242001</v>
      </c>
      <c r="E9" s="4">
        <v>-5.6009229257843803E-2</v>
      </c>
      <c r="F9" s="4">
        <v>0.760485445545383</v>
      </c>
      <c r="G9" s="4">
        <v>6.7293689851821506E-2</v>
      </c>
      <c r="J9" s="1">
        <v>37073</v>
      </c>
      <c r="K9" s="4">
        <f>VLOOKUP(J9,A:G,2,0)</f>
        <v>7.3445000352882803E-2</v>
      </c>
      <c r="L9" s="4">
        <f>VLOOKUP(J9,Total!A:P,2,0)</f>
        <v>7.4491023212480703E-2</v>
      </c>
      <c r="N9" s="1">
        <f t="shared" si="0"/>
        <v>37073</v>
      </c>
      <c r="O9" s="4">
        <f>VLOOKUP(J9,A:G,3,0)</f>
        <v>0.13824310054242001</v>
      </c>
      <c r="P9" s="4">
        <f>VLOOKUP(J9,Total!A:P,11,0)</f>
        <v>0.20097791858486599</v>
      </c>
      <c r="R9" s="1">
        <f t="shared" si="1"/>
        <v>37073</v>
      </c>
      <c r="S9" s="4">
        <f>-VLOOKUP(J9,A:G,5,0)</f>
        <v>5.6009229257843803E-2</v>
      </c>
      <c r="T9" s="4">
        <f>VLOOKUP(J9,Total!A:P,8,0)</f>
        <v>4.5993243049113897E-2</v>
      </c>
      <c r="V9" s="1">
        <f t="shared" si="2"/>
        <v>37073</v>
      </c>
      <c r="W9" s="4">
        <f>VLOOKUP(J9,A:G,4,0)</f>
        <v>0.13824310054242001</v>
      </c>
      <c r="X9" s="4">
        <f>VLOOKUP(J9,Total!A:P,12,0)+VLOOKUP(J9,Total!A:P,13,0)</f>
        <v>0.13998998949815056</v>
      </c>
      <c r="Z9" s="1">
        <f t="shared" si="3"/>
        <v>37073</v>
      </c>
      <c r="AA9" s="4">
        <f>VLOOKUP(J9,A:G,7,0)</f>
        <v>6.7293689851821506E-2</v>
      </c>
      <c r="AB9" s="4">
        <f>VLOOKUP(J9,Total!A:P,16,0)</f>
        <v>8.364034327874581E-3</v>
      </c>
      <c r="AD9" s="1">
        <f t="shared" si="4"/>
        <v>37073</v>
      </c>
      <c r="AE9" s="4">
        <f t="shared" si="5"/>
        <v>0.21432566132593489</v>
      </c>
      <c r="AF9" s="4">
        <f t="shared" si="6"/>
        <v>0.22884767614929657</v>
      </c>
    </row>
    <row r="10" spans="1:32" x14ac:dyDescent="0.25">
      <c r="A10" s="1">
        <v>37104</v>
      </c>
      <c r="B10" s="4">
        <v>7.7184686219406606E-2</v>
      </c>
      <c r="C10" s="4">
        <v>0.14921990945137001</v>
      </c>
      <c r="D10" s="4">
        <v>0.14921990945137001</v>
      </c>
      <c r="E10" s="4">
        <v>-5.5780746800368999E-2</v>
      </c>
      <c r="F10" s="4">
        <v>0.70501326076938198</v>
      </c>
      <c r="G10" s="4">
        <v>6.1930282270194502E-2</v>
      </c>
      <c r="J10" s="1">
        <v>37104</v>
      </c>
      <c r="K10" s="4">
        <f>VLOOKUP(J10,A:G,2,0)</f>
        <v>7.7184686219406606E-2</v>
      </c>
      <c r="L10" s="4">
        <f>VLOOKUP(J10,Total!A:P,2,0)</f>
        <v>6.9184434888920704E-2</v>
      </c>
      <c r="N10" s="1">
        <f t="shared" si="0"/>
        <v>37104</v>
      </c>
      <c r="O10" s="4">
        <f>VLOOKUP(J10,A:G,3,0)</f>
        <v>0.14921990945137001</v>
      </c>
      <c r="P10" s="4">
        <f>VLOOKUP(J10,Total!A:P,11,0)</f>
        <v>0.1584054679636</v>
      </c>
      <c r="R10" s="1">
        <f t="shared" si="1"/>
        <v>37104</v>
      </c>
      <c r="S10" s="4">
        <f>-VLOOKUP(J10,A:G,5,0)</f>
        <v>5.5780746800368999E-2</v>
      </c>
      <c r="T10" s="4">
        <f>VLOOKUP(J10,Total!A:P,8,0)</f>
        <v>5.1841791972325697E-2</v>
      </c>
      <c r="V10" s="1">
        <f t="shared" si="2"/>
        <v>37104</v>
      </c>
      <c r="W10" s="4">
        <f>VLOOKUP(J10,A:G,4,0)</f>
        <v>0.14921990945137001</v>
      </c>
      <c r="X10" s="4">
        <f>VLOOKUP(J10,Total!A:P,12,0)+VLOOKUP(J10,Total!A:P,13,0)</f>
        <v>0.1801844664564482</v>
      </c>
      <c r="Z10" s="1">
        <f t="shared" si="3"/>
        <v>37104</v>
      </c>
      <c r="AA10" s="4">
        <f>VLOOKUP(J10,A:G,7,0)</f>
        <v>6.1930282270194502E-2</v>
      </c>
      <c r="AB10" s="4">
        <f>VLOOKUP(J10,Total!A:P,16,0)</f>
        <v>-2.0748190803093758E-2</v>
      </c>
      <c r="AD10" s="1">
        <f t="shared" si="4"/>
        <v>37104</v>
      </c>
      <c r="AE10" s="4">
        <f t="shared" si="5"/>
        <v>0.22740466815315896</v>
      </c>
      <c r="AF10" s="4">
        <f t="shared" si="6"/>
        <v>0.19681551675570805</v>
      </c>
    </row>
    <row r="11" spans="1:32" x14ac:dyDescent="0.25">
      <c r="A11" s="1">
        <v>37135</v>
      </c>
      <c r="B11" s="4">
        <v>8.0731526210056304E-2</v>
      </c>
      <c r="C11" s="4">
        <v>0.12618147425012499</v>
      </c>
      <c r="D11" s="4">
        <v>0.12618147425012499</v>
      </c>
      <c r="E11" s="4">
        <v>-5.7501692020250003E-2</v>
      </c>
      <c r="F11" s="4">
        <v>0.66189532870999601</v>
      </c>
      <c r="G11" s="4">
        <v>5.4134332503399399E-2</v>
      </c>
      <c r="J11" s="1">
        <v>37135</v>
      </c>
      <c r="K11" s="4">
        <f>VLOOKUP(J11,A:G,2,0)</f>
        <v>8.0731526210056304E-2</v>
      </c>
      <c r="L11" s="4">
        <f>VLOOKUP(J11,Total!A:P,2,0)</f>
        <v>8.3641215265785399E-2</v>
      </c>
      <c r="N11" s="1">
        <f t="shared" si="0"/>
        <v>37135</v>
      </c>
      <c r="O11" s="4">
        <f>VLOOKUP(J11,A:G,3,0)</f>
        <v>0.12618147425012499</v>
      </c>
      <c r="P11" s="4">
        <f>VLOOKUP(J11,Total!A:P,11,0)</f>
        <v>0.14439401519475001</v>
      </c>
      <c r="R11" s="1">
        <f t="shared" si="1"/>
        <v>37135</v>
      </c>
      <c r="S11" s="4">
        <f>-VLOOKUP(J11,A:G,5,0)</f>
        <v>5.7501692020250003E-2</v>
      </c>
      <c r="T11" s="4">
        <f>VLOOKUP(J11,Total!A:P,8,0)</f>
        <v>5.1103740611779601E-2</v>
      </c>
      <c r="V11" s="1">
        <f t="shared" si="2"/>
        <v>37135</v>
      </c>
      <c r="W11" s="4">
        <f>VLOOKUP(J11,A:G,4,0)</f>
        <v>0.12618147425012499</v>
      </c>
      <c r="X11" s="4">
        <f>VLOOKUP(J11,Total!A:P,12,0)+VLOOKUP(J11,Total!A:P,13,0)</f>
        <v>0.1943527139173736</v>
      </c>
      <c r="Z11" s="1">
        <f t="shared" si="3"/>
        <v>37135</v>
      </c>
      <c r="AA11" s="4">
        <f>VLOOKUP(J11,A:G,7,0)</f>
        <v>5.4134332503399399E-2</v>
      </c>
      <c r="AB11" s="4">
        <f>VLOOKUP(J11,Total!A:P,16,0)</f>
        <v>-9.6492159644911979E-5</v>
      </c>
      <c r="AD11" s="1">
        <f t="shared" si="4"/>
        <v>37135</v>
      </c>
      <c r="AE11" s="4">
        <f t="shared" si="5"/>
        <v>0.16826406277334305</v>
      </c>
      <c r="AF11" s="4">
        <f t="shared" si="6"/>
        <v>0.20390528107491371</v>
      </c>
    </row>
    <row r="12" spans="1:32" x14ac:dyDescent="0.25">
      <c r="A12" s="1">
        <v>37165</v>
      </c>
      <c r="B12" s="4">
        <v>7.9637129911231105E-2</v>
      </c>
      <c r="C12" s="4">
        <v>0.132749112500714</v>
      </c>
      <c r="D12" s="4">
        <v>0.132749112500714</v>
      </c>
      <c r="E12" s="4">
        <v>-5.39924029446519E-2</v>
      </c>
      <c r="F12" s="4">
        <v>0.68890860485361605</v>
      </c>
      <c r="G12" s="4">
        <v>6.3367515620354406E-2</v>
      </c>
      <c r="J12" s="1">
        <v>37165</v>
      </c>
      <c r="K12" s="4">
        <f>VLOOKUP(J12,A:G,2,0)</f>
        <v>7.9637129911231105E-2</v>
      </c>
      <c r="L12" s="4">
        <f>VLOOKUP(J12,Total!A:P,2,0)</f>
        <v>8.23212129447283E-2</v>
      </c>
      <c r="N12" s="1">
        <f t="shared" si="0"/>
        <v>37165</v>
      </c>
      <c r="O12" s="4">
        <f>VLOOKUP(J12,A:G,3,0)</f>
        <v>0.132749112500714</v>
      </c>
      <c r="P12" s="4">
        <f>VLOOKUP(J12,Total!A:P,11,0)</f>
        <v>0.15112229107289399</v>
      </c>
      <c r="R12" s="1">
        <f t="shared" si="1"/>
        <v>37165</v>
      </c>
      <c r="S12" s="4">
        <f>-VLOOKUP(J12,A:G,5,0)</f>
        <v>5.39924029446519E-2</v>
      </c>
      <c r="T12" s="4">
        <f>VLOOKUP(J12,Total!A:P,8,0)</f>
        <v>5.6266239413843101E-2</v>
      </c>
      <c r="V12" s="1">
        <f t="shared" si="2"/>
        <v>37165</v>
      </c>
      <c r="W12" s="4">
        <f>VLOOKUP(J12,A:G,4,0)</f>
        <v>0.132749112500714</v>
      </c>
      <c r="X12" s="4">
        <f>VLOOKUP(J12,Total!A:P,12,0)+VLOOKUP(J12,Total!A:P,13,0)</f>
        <v>0.250064657135464</v>
      </c>
      <c r="Z12" s="1">
        <f t="shared" si="3"/>
        <v>37165</v>
      </c>
      <c r="AA12" s="4">
        <f>VLOOKUP(J12,A:G,7,0)</f>
        <v>6.3367515620354406E-2</v>
      </c>
      <c r="AB12" s="4">
        <f>VLOOKUP(J12,Total!A:P,16,0)</f>
        <v>2.8326589206941311E-2</v>
      </c>
      <c r="AD12" s="1">
        <f t="shared" si="4"/>
        <v>37165</v>
      </c>
      <c r="AE12" s="4">
        <f t="shared" si="5"/>
        <v>0.19523620776589939</v>
      </c>
      <c r="AF12" s="4">
        <f t="shared" si="6"/>
        <v>0.2909260850567279</v>
      </c>
    </row>
    <row r="13" spans="1:32" x14ac:dyDescent="0.25">
      <c r="A13" s="1">
        <v>37196</v>
      </c>
      <c r="B13" s="4">
        <v>8.4809797833393305E-2</v>
      </c>
      <c r="C13" s="4">
        <v>0.117184862247236</v>
      </c>
      <c r="D13" s="4">
        <v>0.117184862247236</v>
      </c>
      <c r="E13" s="4">
        <v>-6.2849904846346102E-2</v>
      </c>
      <c r="F13" s="4">
        <v>0.78301811337210203</v>
      </c>
      <c r="G13" s="4">
        <v>9.0237870764117004E-2</v>
      </c>
      <c r="J13" s="1">
        <v>37196</v>
      </c>
      <c r="K13" s="4">
        <f>VLOOKUP(J13,A:G,2,0)</f>
        <v>8.4809797833393305E-2</v>
      </c>
      <c r="L13" s="4">
        <f>VLOOKUP(J13,Total!A:P,2,0)</f>
        <v>8.1691858375027696E-2</v>
      </c>
      <c r="N13" s="1">
        <f t="shared" si="0"/>
        <v>37196</v>
      </c>
      <c r="O13" s="4">
        <f>VLOOKUP(J13,A:G,3,0)</f>
        <v>0.117184862247236</v>
      </c>
      <c r="P13" s="4">
        <f>VLOOKUP(J13,Total!A:P,11,0)</f>
        <v>0.16696236742484499</v>
      </c>
      <c r="R13" s="1">
        <f t="shared" si="1"/>
        <v>37196</v>
      </c>
      <c r="S13" s="4">
        <f>-VLOOKUP(J13,A:G,5,0)</f>
        <v>6.2849904846346102E-2</v>
      </c>
      <c r="T13" s="4">
        <f>VLOOKUP(J13,Total!A:P,8,0)</f>
        <v>5.2022680096906901E-2</v>
      </c>
      <c r="V13" s="1">
        <f t="shared" si="2"/>
        <v>37196</v>
      </c>
      <c r="W13" s="4">
        <f>VLOOKUP(J13,A:G,4,0)</f>
        <v>0.117184862247236</v>
      </c>
      <c r="X13" s="4">
        <f>VLOOKUP(J13,Total!A:P,12,0)+VLOOKUP(J13,Total!A:P,13,0)</f>
        <v>0.19480290724930349</v>
      </c>
      <c r="Z13" s="1">
        <f t="shared" si="3"/>
        <v>37196</v>
      </c>
      <c r="AA13" s="4">
        <f>VLOOKUP(J13,A:G,7,0)</f>
        <v>9.0237870764117004E-2</v>
      </c>
      <c r="AB13" s="4">
        <f>VLOOKUP(J13,Total!A:P,16,0)</f>
        <v>-1.9875817772325499E-2</v>
      </c>
      <c r="AD13" s="1">
        <f t="shared" si="4"/>
        <v>37196</v>
      </c>
      <c r="AE13" s="4">
        <f t="shared" si="5"/>
        <v>0.17694789257884957</v>
      </c>
      <c r="AF13" s="4">
        <f t="shared" si="6"/>
        <v>0.20817491842988839</v>
      </c>
    </row>
    <row r="14" spans="1:32" x14ac:dyDescent="0.25">
      <c r="A14" s="1">
        <v>37226</v>
      </c>
      <c r="B14" s="4">
        <v>8.4472033767165194E-2</v>
      </c>
      <c r="C14" s="4">
        <v>0.133886135719537</v>
      </c>
      <c r="D14" s="4">
        <v>0.133886135719537</v>
      </c>
      <c r="E14" s="4">
        <v>-6.359264634266E-2</v>
      </c>
      <c r="F14" s="4">
        <v>0.69890077479185597</v>
      </c>
      <c r="G14" s="4">
        <v>7.3543568946068394E-2</v>
      </c>
      <c r="J14" s="1">
        <v>37226</v>
      </c>
      <c r="K14" s="4">
        <f>VLOOKUP(J14,A:G,2,0)</f>
        <v>8.4472033767165194E-2</v>
      </c>
      <c r="L14" s="4">
        <f>VLOOKUP(J14,Total!A:P,2,0)</f>
        <v>8.1993014245109797E-2</v>
      </c>
      <c r="N14" s="1">
        <f t="shared" si="0"/>
        <v>37226</v>
      </c>
      <c r="O14" s="4">
        <f>VLOOKUP(J14,A:G,3,0)</f>
        <v>0.133886135719537</v>
      </c>
      <c r="P14" s="4">
        <f>VLOOKUP(J14,Total!A:P,11,0)</f>
        <v>0.161608329402323</v>
      </c>
      <c r="R14" s="1">
        <f t="shared" si="1"/>
        <v>37226</v>
      </c>
      <c r="S14" s="4">
        <f>-VLOOKUP(J14,A:G,5,0)</f>
        <v>6.359264634266E-2</v>
      </c>
      <c r="T14" s="4">
        <f>VLOOKUP(J14,Total!A:P,8,0)</f>
        <v>8.3101634771929306E-2</v>
      </c>
      <c r="V14" s="1">
        <f t="shared" si="2"/>
        <v>37226</v>
      </c>
      <c r="W14" s="4">
        <f>VLOOKUP(J14,A:G,4,0)</f>
        <v>0.133886135719537</v>
      </c>
      <c r="X14" s="4">
        <f>VLOOKUP(J14,Total!A:P,12,0)+VLOOKUP(J14,Total!A:P,13,0)</f>
        <v>0.2005020582199854</v>
      </c>
      <c r="Z14" s="1">
        <f t="shared" si="3"/>
        <v>37226</v>
      </c>
      <c r="AA14" s="4">
        <f>VLOOKUP(J14,A:G,7,0)</f>
        <v>7.3543568946068394E-2</v>
      </c>
      <c r="AB14" s="4">
        <f>VLOOKUP(J14,Total!A:P,16,0)</f>
        <v>3.5839587108689175E-2</v>
      </c>
      <c r="AD14" s="1">
        <f t="shared" si="4"/>
        <v>37226</v>
      </c>
      <c r="AE14" s="4">
        <f t="shared" si="5"/>
        <v>0.19325116027531725</v>
      </c>
      <c r="AF14" s="4">
        <f t="shared" si="6"/>
        <v>0.23285532571395848</v>
      </c>
    </row>
    <row r="15" spans="1:32" x14ac:dyDescent="0.25">
      <c r="A15" s="1">
        <v>37257</v>
      </c>
      <c r="B15" s="4">
        <v>7.7748797166420899E-2</v>
      </c>
      <c r="C15" s="4">
        <v>0.108548001790962</v>
      </c>
      <c r="D15" s="4">
        <v>0.108548001790962</v>
      </c>
      <c r="E15" s="4">
        <v>-5.7615114227848201E-2</v>
      </c>
      <c r="F15" s="4">
        <v>0.80284565876728797</v>
      </c>
      <c r="G15" s="4">
        <v>7.1226648566513298E-2</v>
      </c>
      <c r="J15" s="1">
        <v>37257</v>
      </c>
      <c r="K15" s="4">
        <f>VLOOKUP(J15,A:G,2,0)</f>
        <v>7.7748797166420899E-2</v>
      </c>
      <c r="L15" s="4">
        <f>VLOOKUP(J15,Total!A:P,2,0)</f>
        <v>8.7576834912327206E-2</v>
      </c>
      <c r="N15" s="1">
        <f t="shared" si="0"/>
        <v>37257</v>
      </c>
      <c r="O15" s="4">
        <f>VLOOKUP(J15,A:G,3,0)</f>
        <v>0.108548001790962</v>
      </c>
      <c r="P15" s="4">
        <f>VLOOKUP(J15,Total!A:P,11,0)</f>
        <v>0.17944407635182699</v>
      </c>
      <c r="R15" s="1">
        <f t="shared" si="1"/>
        <v>37257</v>
      </c>
      <c r="S15" s="4">
        <f>-VLOOKUP(J15,A:G,5,0)</f>
        <v>5.7615114227848201E-2</v>
      </c>
      <c r="T15" s="4">
        <f>VLOOKUP(J15,Total!A:P,8,0)</f>
        <v>7.1137225714406199E-2</v>
      </c>
      <c r="V15" s="1">
        <f t="shared" si="2"/>
        <v>37257</v>
      </c>
      <c r="W15" s="4">
        <f>VLOOKUP(J15,A:G,4,0)</f>
        <v>0.108548001790962</v>
      </c>
      <c r="X15" s="4">
        <f>VLOOKUP(J15,Total!A:P,12,0)+VLOOKUP(J15,Total!A:P,13,0)</f>
        <v>0.24407286023533381</v>
      </c>
      <c r="Z15" s="1">
        <f t="shared" si="3"/>
        <v>37257</v>
      </c>
      <c r="AA15" s="4">
        <f>VLOOKUP(J15,A:G,7,0)</f>
        <v>7.1226648566513298E-2</v>
      </c>
      <c r="AB15" s="4">
        <f>VLOOKUP(J15,Total!A:P,16,0)</f>
        <v>4.7426674428183491E-2</v>
      </c>
      <c r="AD15" s="1">
        <f t="shared" si="4"/>
        <v>37257</v>
      </c>
      <c r="AE15" s="4">
        <f t="shared" si="5"/>
        <v>0.15295874075416821</v>
      </c>
      <c r="AF15" s="4">
        <f t="shared" si="6"/>
        <v>0.31222955038861089</v>
      </c>
    </row>
    <row r="16" spans="1:32" x14ac:dyDescent="0.25">
      <c r="A16" s="1">
        <v>37288</v>
      </c>
      <c r="B16" s="4">
        <v>7.9845920663198094E-2</v>
      </c>
      <c r="C16" s="4">
        <v>0.13274077248638799</v>
      </c>
      <c r="D16" s="4">
        <v>0.13274077248638799</v>
      </c>
      <c r="E16" s="4">
        <v>-5.7877795629502897E-2</v>
      </c>
      <c r="F16" s="4">
        <v>0.81280334080660999</v>
      </c>
      <c r="G16" s="4">
        <v>6.3859885513273595E-2</v>
      </c>
      <c r="J16" s="1">
        <v>37288</v>
      </c>
      <c r="K16" s="4">
        <f>VLOOKUP(J16,A:G,2,0)</f>
        <v>7.9845920663198094E-2</v>
      </c>
      <c r="L16" s="4">
        <f>VLOOKUP(J16,Total!A:P,2,0)</f>
        <v>9.0089853131241404E-2</v>
      </c>
      <c r="N16" s="1">
        <f t="shared" si="0"/>
        <v>37288</v>
      </c>
      <c r="O16" s="4">
        <f>VLOOKUP(J16,A:G,3,0)</f>
        <v>0.13274077248638799</v>
      </c>
      <c r="P16" s="4">
        <f>VLOOKUP(J16,Total!A:P,11,0)</f>
        <v>0.20537499514264601</v>
      </c>
      <c r="R16" s="1">
        <f t="shared" si="1"/>
        <v>37288</v>
      </c>
      <c r="S16" s="4">
        <f>-VLOOKUP(J16,A:G,5,0)</f>
        <v>5.7877795629502897E-2</v>
      </c>
      <c r="T16" s="4">
        <f>VLOOKUP(J16,Total!A:P,8,0)</f>
        <v>8.3842593200691706E-2</v>
      </c>
      <c r="V16" s="1">
        <f t="shared" si="2"/>
        <v>37288</v>
      </c>
      <c r="W16" s="4">
        <f>VLOOKUP(J16,A:G,4,0)</f>
        <v>0.13274077248638799</v>
      </c>
      <c r="X16" s="4">
        <f>VLOOKUP(J16,Total!A:P,12,0)+VLOOKUP(J16,Total!A:P,13,0)</f>
        <v>0.13858039116261481</v>
      </c>
      <c r="Z16" s="1">
        <f t="shared" si="3"/>
        <v>37288</v>
      </c>
      <c r="AA16" s="4">
        <f>VLOOKUP(J16,A:G,7,0)</f>
        <v>6.3859885513273595E-2</v>
      </c>
      <c r="AB16" s="4">
        <f>VLOOKUP(J16,Total!A:P,16,0)</f>
        <v>5.2908802413303091E-2</v>
      </c>
      <c r="AD16" s="1">
        <f t="shared" si="4"/>
        <v>37288</v>
      </c>
      <c r="AE16" s="4">
        <f t="shared" si="5"/>
        <v>0.19161771419334858</v>
      </c>
      <c r="AF16" s="4">
        <f t="shared" si="6"/>
        <v>0.22293174238663077</v>
      </c>
    </row>
    <row r="17" spans="1:32" x14ac:dyDescent="0.25">
      <c r="A17" s="1">
        <v>37316</v>
      </c>
      <c r="B17" s="4">
        <v>8.0036927062429999E-2</v>
      </c>
      <c r="C17" s="4">
        <v>0.16750764570791299</v>
      </c>
      <c r="D17" s="4">
        <v>0.16750764570791299</v>
      </c>
      <c r="E17" s="4">
        <v>-5.9242624090797898E-2</v>
      </c>
      <c r="F17" s="4">
        <v>0.77009328026833801</v>
      </c>
      <c r="G17" s="4">
        <v>6.2534381308589307E-2</v>
      </c>
      <c r="J17" s="1">
        <v>37316</v>
      </c>
      <c r="K17" s="4">
        <f>VLOOKUP(J17,A:G,2,0)</f>
        <v>8.0036927062429999E-2</v>
      </c>
      <c r="L17" s="4">
        <f>VLOOKUP(J17,Total!A:P,2,0)</f>
        <v>8.4294449611061306E-2</v>
      </c>
      <c r="N17" s="1">
        <f t="shared" si="0"/>
        <v>37316</v>
      </c>
      <c r="O17" s="4">
        <f>VLOOKUP(J17,A:G,3,0)</f>
        <v>0.16750764570791299</v>
      </c>
      <c r="P17" s="4">
        <f>VLOOKUP(J17,Total!A:P,11,0)</f>
        <v>0.144535608242021</v>
      </c>
      <c r="R17" s="1">
        <f t="shared" si="1"/>
        <v>37316</v>
      </c>
      <c r="S17" s="4">
        <f>-VLOOKUP(J17,A:G,5,0)</f>
        <v>5.9242624090797898E-2</v>
      </c>
      <c r="T17" s="4">
        <f>VLOOKUP(J17,Total!A:P,8,0)</f>
        <v>5.3000566208816498E-2</v>
      </c>
      <c r="V17" s="1">
        <f t="shared" si="2"/>
        <v>37316</v>
      </c>
      <c r="W17" s="4">
        <f>VLOOKUP(J17,A:G,4,0)</f>
        <v>0.16750764570791299</v>
      </c>
      <c r="X17" s="4">
        <f>VLOOKUP(J17,Total!A:P,12,0)+VLOOKUP(J17,Total!A:P,13,0)</f>
        <v>0.16779340100990062</v>
      </c>
      <c r="Z17" s="1">
        <f t="shared" si="3"/>
        <v>37316</v>
      </c>
      <c r="AA17" s="4">
        <f>VLOOKUP(J17,A:G,7,0)</f>
        <v>6.2534381308589307E-2</v>
      </c>
      <c r="AB17" s="4">
        <f>VLOOKUP(J17,Total!A:P,16,0)</f>
        <v>4.9342956039177821E-3</v>
      </c>
      <c r="AD17" s="1">
        <f t="shared" si="4"/>
        <v>37316</v>
      </c>
      <c r="AE17" s="4">
        <f t="shared" si="5"/>
        <v>0.25827012157118739</v>
      </c>
      <c r="AF17" s="4">
        <f t="shared" si="6"/>
        <v>0.17996828903596163</v>
      </c>
    </row>
    <row r="18" spans="1:32" x14ac:dyDescent="0.25">
      <c r="A18" s="1">
        <v>37347</v>
      </c>
      <c r="B18" s="4">
        <v>8.1298021814066201E-2</v>
      </c>
      <c r="C18" s="4">
        <v>0.144391027151968</v>
      </c>
      <c r="D18" s="4">
        <v>0.144391027151968</v>
      </c>
      <c r="E18" s="4">
        <v>-6.0552751159708401E-2</v>
      </c>
      <c r="F18" s="4">
        <v>0.783597855349494</v>
      </c>
      <c r="G18" s="4">
        <v>6.3005403673622104E-2</v>
      </c>
      <c r="J18" s="1">
        <v>37347</v>
      </c>
      <c r="K18" s="4">
        <f>VLOOKUP(J18,A:G,2,0)</f>
        <v>8.1298021814066201E-2</v>
      </c>
      <c r="L18" s="4">
        <f>VLOOKUP(J18,Total!A:P,2,0)</f>
        <v>8.7325605995166297E-2</v>
      </c>
      <c r="N18" s="1">
        <f t="shared" si="0"/>
        <v>37347</v>
      </c>
      <c r="O18" s="4">
        <f>VLOOKUP(J18,A:G,3,0)</f>
        <v>0.144391027151968</v>
      </c>
      <c r="P18" s="4">
        <f>VLOOKUP(J18,Total!A:P,11,0)</f>
        <v>0.16473669703013</v>
      </c>
      <c r="R18" s="1">
        <f t="shared" si="1"/>
        <v>37347</v>
      </c>
      <c r="S18" s="4">
        <f>-VLOOKUP(J18,A:G,5,0)</f>
        <v>6.0552751159708401E-2</v>
      </c>
      <c r="T18" s="4">
        <f>VLOOKUP(J18,Total!A:P,8,0)</f>
        <v>6.6213386716050607E-2</v>
      </c>
      <c r="V18" s="1">
        <f t="shared" si="2"/>
        <v>37347</v>
      </c>
      <c r="W18" s="4">
        <f>VLOOKUP(J18,A:G,4,0)</f>
        <v>0.144391027151968</v>
      </c>
      <c r="X18" s="4">
        <f>VLOOKUP(J18,Total!A:P,12,0)+VLOOKUP(J18,Total!A:P,13,0)</f>
        <v>0.19259802540143919</v>
      </c>
      <c r="Z18" s="1">
        <f t="shared" si="3"/>
        <v>37347</v>
      </c>
      <c r="AA18" s="4">
        <f>VLOOKUP(J18,A:G,7,0)</f>
        <v>6.3005403673622104E-2</v>
      </c>
      <c r="AB18" s="4">
        <f>VLOOKUP(J18,Total!A:P,16,0)</f>
        <v>1.7885785777987051E-2</v>
      </c>
      <c r="AD18" s="1">
        <f t="shared" si="4"/>
        <v>37347</v>
      </c>
      <c r="AE18" s="4">
        <f t="shared" si="5"/>
        <v>0.20993668500378351</v>
      </c>
      <c r="AF18" s="4">
        <f t="shared" si="6"/>
        <v>0.22168151549833931</v>
      </c>
    </row>
    <row r="19" spans="1:32" x14ac:dyDescent="0.25">
      <c r="A19" s="1">
        <v>37377</v>
      </c>
      <c r="B19" s="4">
        <v>8.2450983989635407E-2</v>
      </c>
      <c r="C19" s="4">
        <v>0.18468803933148101</v>
      </c>
      <c r="D19" s="4">
        <v>0.18468803933148101</v>
      </c>
      <c r="E19" s="4">
        <v>-6.6909637121992896E-2</v>
      </c>
      <c r="F19" s="4">
        <v>0.78490583755834897</v>
      </c>
      <c r="G19" s="4">
        <v>8.0618539325873095E-2</v>
      </c>
      <c r="J19" s="1">
        <v>37377</v>
      </c>
      <c r="K19" s="4">
        <f>VLOOKUP(J19,A:G,2,0)</f>
        <v>8.2450983989635407E-2</v>
      </c>
      <c r="L19" s="4">
        <f>VLOOKUP(J19,Total!A:P,2,0)</f>
        <v>8.2148354786449301E-2</v>
      </c>
      <c r="N19" s="1">
        <f t="shared" si="0"/>
        <v>37377</v>
      </c>
      <c r="O19" s="4">
        <f>VLOOKUP(J19,A:G,3,0)</f>
        <v>0.18468803933148101</v>
      </c>
      <c r="P19" s="4">
        <f>VLOOKUP(J19,Total!A:P,11,0)</f>
        <v>0.159448961978714</v>
      </c>
      <c r="R19" s="1">
        <f t="shared" si="1"/>
        <v>37377</v>
      </c>
      <c r="S19" s="4">
        <f>-VLOOKUP(J19,A:G,5,0)</f>
        <v>6.6909637121992896E-2</v>
      </c>
      <c r="T19" s="4">
        <f>VLOOKUP(J19,Total!A:P,8,0)</f>
        <v>5.5435696326279899E-2</v>
      </c>
      <c r="V19" s="1">
        <f t="shared" si="2"/>
        <v>37377</v>
      </c>
      <c r="W19" s="4">
        <f>VLOOKUP(J19,A:G,4,0)</f>
        <v>0.18468803933148101</v>
      </c>
      <c r="X19" s="4">
        <f>VLOOKUP(J19,Total!A:P,12,0)+VLOOKUP(J19,Total!A:P,13,0)</f>
        <v>0.13110915284489488</v>
      </c>
      <c r="Z19" s="1">
        <f t="shared" si="3"/>
        <v>37377</v>
      </c>
      <c r="AA19" s="4">
        <f>VLOOKUP(J19,A:G,7,0)</f>
        <v>8.0618539325873095E-2</v>
      </c>
      <c r="AB19" s="4">
        <f>VLOOKUP(J19,Total!A:P,16,0)</f>
        <v>2.8002867495969141E-2</v>
      </c>
      <c r="AD19" s="1">
        <f t="shared" si="4"/>
        <v>37377</v>
      </c>
      <c r="AE19" s="4">
        <f t="shared" si="5"/>
        <v>0.30063399687720682</v>
      </c>
      <c r="AF19" s="4">
        <f t="shared" si="6"/>
        <v>0.18097693120684882</v>
      </c>
    </row>
    <row r="20" spans="1:32" x14ac:dyDescent="0.25">
      <c r="A20" s="1">
        <v>37408</v>
      </c>
      <c r="B20" s="4">
        <v>8.2499162032790396E-2</v>
      </c>
      <c r="C20" s="4">
        <v>0.124526372725562</v>
      </c>
      <c r="D20" s="4">
        <v>0.124526372725562</v>
      </c>
      <c r="E20" s="4">
        <v>-6.4214324302892395E-2</v>
      </c>
      <c r="F20" s="4">
        <v>0.77835301609701402</v>
      </c>
      <c r="G20" s="4">
        <v>5.7851494985326601E-2</v>
      </c>
      <c r="J20" s="1">
        <v>37408</v>
      </c>
      <c r="K20" s="4">
        <f>VLOOKUP(J20,A:G,2,0)</f>
        <v>8.2499162032790396E-2</v>
      </c>
      <c r="L20" s="4">
        <f>VLOOKUP(J20,Total!A:P,2,0)</f>
        <v>8.7564805022126699E-2</v>
      </c>
      <c r="N20" s="1">
        <f t="shared" si="0"/>
        <v>37408</v>
      </c>
      <c r="O20" s="4">
        <f>VLOOKUP(J20,A:G,3,0)</f>
        <v>0.124526372725562</v>
      </c>
      <c r="P20" s="4">
        <f>VLOOKUP(J20,Total!A:P,11,0)</f>
        <v>0.156428614364404</v>
      </c>
      <c r="R20" s="1">
        <f t="shared" si="1"/>
        <v>37408</v>
      </c>
      <c r="S20" s="4">
        <f>-VLOOKUP(J20,A:G,5,0)</f>
        <v>6.4214324302892395E-2</v>
      </c>
      <c r="T20" s="4">
        <f>VLOOKUP(J20,Total!A:P,8,0)</f>
        <v>6.2907976404449895E-2</v>
      </c>
      <c r="V20" s="1">
        <f t="shared" si="2"/>
        <v>37408</v>
      </c>
      <c r="W20" s="4">
        <f>VLOOKUP(J20,A:G,4,0)</f>
        <v>0.124526372725562</v>
      </c>
      <c r="X20" s="4">
        <f>VLOOKUP(J20,Total!A:P,12,0)+VLOOKUP(J20,Total!A:P,13,0)</f>
        <v>0.1683083947652517</v>
      </c>
      <c r="Z20" s="1">
        <f t="shared" si="3"/>
        <v>37408</v>
      </c>
      <c r="AA20" s="4">
        <f>VLOOKUP(J20,A:G,7,0)</f>
        <v>5.7851494985326601E-2</v>
      </c>
      <c r="AB20" s="4">
        <f>VLOOKUP(J20,Total!A:P,16,0)</f>
        <v>1.9565472696266406E-2</v>
      </c>
      <c r="AD20" s="1">
        <f t="shared" si="4"/>
        <v>37408</v>
      </c>
      <c r="AE20" s="4">
        <f t="shared" si="5"/>
        <v>0.1601907541007678</v>
      </c>
      <c r="AF20" s="4">
        <f t="shared" si="6"/>
        <v>0.19382970039934549</v>
      </c>
    </row>
    <row r="21" spans="1:32" x14ac:dyDescent="0.25">
      <c r="A21" s="1">
        <v>37438</v>
      </c>
      <c r="B21" s="4">
        <v>8.7685065712248295E-2</v>
      </c>
      <c r="C21" s="4">
        <v>0.14827760576903801</v>
      </c>
      <c r="D21" s="4">
        <v>0.14827760576903801</v>
      </c>
      <c r="E21" s="4">
        <v>-6.1280232674208401E-2</v>
      </c>
      <c r="F21" s="4">
        <v>0.78071185627003903</v>
      </c>
      <c r="G21" s="4">
        <v>7.5196223926076E-2</v>
      </c>
      <c r="J21" s="1">
        <v>37438</v>
      </c>
      <c r="K21" s="4">
        <f>VLOOKUP(J21,A:G,2,0)</f>
        <v>8.7685065712248295E-2</v>
      </c>
      <c r="L21" s="4">
        <f>VLOOKUP(J21,Total!A:P,2,0)</f>
        <v>8.4413349411530794E-2</v>
      </c>
      <c r="N21" s="1">
        <f t="shared" si="0"/>
        <v>37438</v>
      </c>
      <c r="O21" s="4">
        <f>VLOOKUP(J21,A:G,3,0)</f>
        <v>0.14827760576903801</v>
      </c>
      <c r="P21" s="4">
        <f>VLOOKUP(J21,Total!A:P,11,0)</f>
        <v>0.15865847243828299</v>
      </c>
      <c r="R21" s="1">
        <f t="shared" si="1"/>
        <v>37438</v>
      </c>
      <c r="S21" s="4">
        <f>-VLOOKUP(J21,A:G,5,0)</f>
        <v>6.1280232674208401E-2</v>
      </c>
      <c r="T21" s="4">
        <f>VLOOKUP(J21,Total!A:P,8,0)</f>
        <v>5.8463960279275397E-2</v>
      </c>
      <c r="V21" s="1">
        <f t="shared" si="2"/>
        <v>37438</v>
      </c>
      <c r="W21" s="4">
        <f>VLOOKUP(J21,A:G,4,0)</f>
        <v>0.14827760576903801</v>
      </c>
      <c r="X21" s="4">
        <f>VLOOKUP(J21,Total!A:P,12,0)+VLOOKUP(J21,Total!A:P,13,0)</f>
        <v>0.1527661920983133</v>
      </c>
      <c r="Z21" s="1">
        <f t="shared" si="3"/>
        <v>37438</v>
      </c>
      <c r="AA21" s="4">
        <f>VLOOKUP(J21,A:G,7,0)</f>
        <v>7.5196223926076E-2</v>
      </c>
      <c r="AB21" s="4">
        <f>VLOOKUP(J21,Total!A:P,16,0)</f>
        <v>3.0052514116986284E-2</v>
      </c>
      <c r="AD21" s="1">
        <f t="shared" si="4"/>
        <v>37438</v>
      </c>
      <c r="AE21" s="4">
        <f t="shared" si="5"/>
        <v>0.22278613707769529</v>
      </c>
      <c r="AF21" s="4">
        <f t="shared" si="6"/>
        <v>0.1985998689627764</v>
      </c>
    </row>
    <row r="22" spans="1:32" x14ac:dyDescent="0.25">
      <c r="A22" s="1">
        <v>37469</v>
      </c>
      <c r="B22" s="4">
        <v>8.7914238445349194E-2</v>
      </c>
      <c r="C22" s="4">
        <v>0.15973573534482499</v>
      </c>
      <c r="D22" s="4">
        <v>0.15973573534482499</v>
      </c>
      <c r="E22" s="4">
        <v>-6.4766783966035094E-2</v>
      </c>
      <c r="F22" s="4">
        <v>0.74426113558153595</v>
      </c>
      <c r="G22" s="4">
        <v>8.3452543301422794E-2</v>
      </c>
      <c r="J22" s="1">
        <v>37469</v>
      </c>
      <c r="K22" s="4">
        <f>VLOOKUP(J22,A:G,2,0)</f>
        <v>8.7914238445349194E-2</v>
      </c>
      <c r="L22" s="4">
        <f>VLOOKUP(J22,Total!A:P,2,0)</f>
        <v>8.7852492149950501E-2</v>
      </c>
      <c r="N22" s="1">
        <f t="shared" si="0"/>
        <v>37469</v>
      </c>
      <c r="O22" s="4">
        <f>VLOOKUP(J22,A:G,3,0)</f>
        <v>0.15973573534482499</v>
      </c>
      <c r="P22" s="4">
        <f>VLOOKUP(J22,Total!A:P,11,0)</f>
        <v>0.17146336827393699</v>
      </c>
      <c r="R22" s="1">
        <f t="shared" si="1"/>
        <v>37469</v>
      </c>
      <c r="S22" s="4">
        <f>-VLOOKUP(J22,A:G,5,0)</f>
        <v>6.4766783966035094E-2</v>
      </c>
      <c r="T22" s="4">
        <f>VLOOKUP(J22,Total!A:P,8,0)</f>
        <v>6.2850149135533107E-2</v>
      </c>
      <c r="V22" s="1">
        <f t="shared" si="2"/>
        <v>37469</v>
      </c>
      <c r="W22" s="4">
        <f>VLOOKUP(J22,A:G,4,0)</f>
        <v>0.15973573534482499</v>
      </c>
      <c r="X22" s="4">
        <f>VLOOKUP(J22,Total!A:P,12,0)+VLOOKUP(J22,Total!A:P,13,0)</f>
        <v>0.14253967390847821</v>
      </c>
      <c r="Z22" s="1">
        <f t="shared" si="3"/>
        <v>37469</v>
      </c>
      <c r="AA22" s="4">
        <f>VLOOKUP(J22,A:G,7,0)</f>
        <v>8.3452543301422794E-2</v>
      </c>
      <c r="AB22" s="4">
        <f>VLOOKUP(J22,Total!A:P,16,0)</f>
        <v>3.9145086839343701E-2</v>
      </c>
      <c r="AD22" s="1">
        <f t="shared" si="4"/>
        <v>37469</v>
      </c>
      <c r="AE22" s="4">
        <f t="shared" si="5"/>
        <v>0.25024299157968855</v>
      </c>
      <c r="AF22" s="4">
        <f t="shared" si="6"/>
        <v>0.2024454877362753</v>
      </c>
    </row>
    <row r="23" spans="1:32" x14ac:dyDescent="0.25">
      <c r="A23" s="1">
        <v>37500</v>
      </c>
      <c r="B23" s="4">
        <v>8.7924287412398994E-2</v>
      </c>
      <c r="C23" s="4">
        <v>0.17025672631328201</v>
      </c>
      <c r="D23" s="4">
        <v>0.17025672631328201</v>
      </c>
      <c r="E23" s="4">
        <v>-7.4617540639325797E-2</v>
      </c>
      <c r="F23" s="4">
        <v>0.75724484578181905</v>
      </c>
      <c r="G23" s="4">
        <v>7.4983754664951205E-2</v>
      </c>
      <c r="J23" s="1">
        <v>37500</v>
      </c>
      <c r="K23" s="4">
        <f>VLOOKUP(J23,A:G,2,0)</f>
        <v>8.7924287412398994E-2</v>
      </c>
      <c r="L23" s="4">
        <f>VLOOKUP(J23,Total!A:P,2,0)</f>
        <v>8.5135660231266203E-2</v>
      </c>
      <c r="N23" s="1">
        <f t="shared" si="0"/>
        <v>37500</v>
      </c>
      <c r="O23" s="4">
        <f>VLOOKUP(J23,A:G,3,0)</f>
        <v>0.17025672631328201</v>
      </c>
      <c r="P23" s="4">
        <f>VLOOKUP(J23,Total!A:P,11,0)</f>
        <v>0.1454841562916</v>
      </c>
      <c r="R23" s="1">
        <f t="shared" si="1"/>
        <v>37500</v>
      </c>
      <c r="S23" s="4">
        <f>-VLOOKUP(J23,A:G,5,0)</f>
        <v>7.4617540639325797E-2</v>
      </c>
      <c r="T23" s="4">
        <f>VLOOKUP(J23,Total!A:P,8,0)</f>
        <v>5.9150325000872597E-2</v>
      </c>
      <c r="V23" s="1">
        <f t="shared" si="2"/>
        <v>37500</v>
      </c>
      <c r="W23" s="4">
        <f>VLOOKUP(J23,A:G,4,0)</f>
        <v>0.17025672631328201</v>
      </c>
      <c r="X23" s="4">
        <f>VLOOKUP(J23,Total!A:P,12,0)+VLOOKUP(J23,Total!A:P,13,0)</f>
        <v>0.1287776295076625</v>
      </c>
      <c r="Z23" s="1">
        <f t="shared" si="3"/>
        <v>37500</v>
      </c>
      <c r="AA23" s="4">
        <f>VLOOKUP(J23,A:G,7,0)</f>
        <v>7.4983754664951205E-2</v>
      </c>
      <c r="AB23" s="4">
        <f>VLOOKUP(J23,Total!A:P,16,0)</f>
        <v>3.7133879675778747E-2</v>
      </c>
      <c r="AD23" s="1">
        <f t="shared" si="4"/>
        <v>37500</v>
      </c>
      <c r="AE23" s="4">
        <f t="shared" si="5"/>
        <v>0.25295537923979039</v>
      </c>
      <c r="AF23" s="4">
        <f t="shared" si="6"/>
        <v>0.16710968024290246</v>
      </c>
    </row>
    <row r="24" spans="1:32" x14ac:dyDescent="0.25">
      <c r="A24" s="1">
        <v>37530</v>
      </c>
      <c r="B24" s="4">
        <v>8.6858761558677694E-2</v>
      </c>
      <c r="C24" s="4">
        <v>0.14072912442504701</v>
      </c>
      <c r="D24" s="4">
        <v>0.14072912442504701</v>
      </c>
      <c r="E24" s="4">
        <v>-6.67522610049823E-2</v>
      </c>
      <c r="F24" s="4">
        <v>0.75683732947944204</v>
      </c>
      <c r="G24" s="4">
        <v>9.6411121167592095E-2</v>
      </c>
      <c r="J24" s="1">
        <v>37530</v>
      </c>
      <c r="K24" s="4">
        <f>VLOOKUP(J24,A:G,2,0)</f>
        <v>8.6858761558677694E-2</v>
      </c>
      <c r="L24" s="4">
        <f>VLOOKUP(J24,Total!A:P,2,0)</f>
        <v>8.9694041846569594E-2</v>
      </c>
      <c r="N24" s="1">
        <f t="shared" si="0"/>
        <v>37530</v>
      </c>
      <c r="O24" s="4">
        <f>VLOOKUP(J24,A:G,3,0)</f>
        <v>0.14072912442504701</v>
      </c>
      <c r="P24" s="4">
        <f>VLOOKUP(J24,Total!A:P,11,0)</f>
        <v>0.16746507397906901</v>
      </c>
      <c r="R24" s="1">
        <f t="shared" si="1"/>
        <v>37530</v>
      </c>
      <c r="S24" s="4">
        <f>-VLOOKUP(J24,A:G,5,0)</f>
        <v>6.67522610049823E-2</v>
      </c>
      <c r="T24" s="4">
        <f>VLOOKUP(J24,Total!A:P,8,0)</f>
        <v>6.5629841338164699E-2</v>
      </c>
      <c r="V24" s="1">
        <f t="shared" si="2"/>
        <v>37530</v>
      </c>
      <c r="W24" s="4">
        <f>VLOOKUP(J24,A:G,4,0)</f>
        <v>0.14072912442504701</v>
      </c>
      <c r="X24" s="4">
        <f>VLOOKUP(J24,Total!A:P,12,0)+VLOOKUP(J24,Total!A:P,13,0)</f>
        <v>0.15665230496277308</v>
      </c>
      <c r="Z24" s="1">
        <f t="shared" si="3"/>
        <v>37530</v>
      </c>
      <c r="AA24" s="4">
        <f>VLOOKUP(J24,A:G,7,0)</f>
        <v>9.6411121167592095E-2</v>
      </c>
      <c r="AB24" s="4">
        <f>VLOOKUP(J24,Total!A:P,16,0)</f>
        <v>3.5744479207114432E-2</v>
      </c>
      <c r="AD24" s="1">
        <f t="shared" si="4"/>
        <v>37530</v>
      </c>
      <c r="AE24" s="4">
        <f t="shared" si="5"/>
        <v>0.22425834745402609</v>
      </c>
      <c r="AF24" s="4">
        <f t="shared" si="6"/>
        <v>0.20453797496422227</v>
      </c>
    </row>
    <row r="25" spans="1:32" x14ac:dyDescent="0.25">
      <c r="A25" s="1">
        <v>37561</v>
      </c>
      <c r="B25" s="4">
        <v>8.7410540204885395E-2</v>
      </c>
      <c r="C25" s="4">
        <v>0.162690054828553</v>
      </c>
      <c r="D25" s="4">
        <v>0.162690054828553</v>
      </c>
      <c r="E25" s="4">
        <v>-6.9784412105886498E-2</v>
      </c>
      <c r="F25" s="4">
        <v>0.71141439003048001</v>
      </c>
      <c r="G25" s="4">
        <v>8.4777921856008603E-2</v>
      </c>
      <c r="J25" s="1">
        <v>37561</v>
      </c>
      <c r="K25" s="4">
        <f>VLOOKUP(J25,A:G,2,0)</f>
        <v>8.7410540204885395E-2</v>
      </c>
      <c r="L25" s="4">
        <f>VLOOKUP(J25,Total!A:P,2,0)</f>
        <v>8.6514017074393906E-2</v>
      </c>
      <c r="N25" s="1">
        <f t="shared" si="0"/>
        <v>37561</v>
      </c>
      <c r="O25" s="4">
        <f>VLOOKUP(J25,A:G,3,0)</f>
        <v>0.162690054828553</v>
      </c>
      <c r="P25" s="4">
        <f>VLOOKUP(J25,Total!A:P,11,0)</f>
        <v>0.16982398823518299</v>
      </c>
      <c r="R25" s="1">
        <f t="shared" si="1"/>
        <v>37561</v>
      </c>
      <c r="S25" s="4">
        <f>-VLOOKUP(J25,A:G,5,0)</f>
        <v>6.9784412105886498E-2</v>
      </c>
      <c r="T25" s="4">
        <f>VLOOKUP(J25,Total!A:P,8,0)</f>
        <v>6.3456328249358498E-2</v>
      </c>
      <c r="V25" s="1">
        <f t="shared" si="2"/>
        <v>37561</v>
      </c>
      <c r="W25" s="4">
        <f>VLOOKUP(J25,A:G,4,0)</f>
        <v>0.162690054828553</v>
      </c>
      <c r="X25" s="4">
        <f>VLOOKUP(J25,Total!A:P,12,0)+VLOOKUP(J25,Total!A:P,13,0)</f>
        <v>0.18014238774043329</v>
      </c>
      <c r="Z25" s="1">
        <f t="shared" si="3"/>
        <v>37561</v>
      </c>
      <c r="AA25" s="4">
        <f>VLOOKUP(J25,A:G,7,0)</f>
        <v>8.4777921856008603E-2</v>
      </c>
      <c r="AB25" s="4">
        <f>VLOOKUP(J25,Total!A:P,16,0)</f>
        <v>5.1618273924292524E-2</v>
      </c>
      <c r="AD25" s="1">
        <f t="shared" si="4"/>
        <v>37561</v>
      </c>
      <c r="AE25" s="4">
        <f t="shared" si="5"/>
        <v>0.25296307920234273</v>
      </c>
      <c r="AF25" s="4">
        <f t="shared" si="6"/>
        <v>0.25161430457615647</v>
      </c>
    </row>
    <row r="26" spans="1:32" x14ac:dyDescent="0.25">
      <c r="A26" s="1">
        <v>37591</v>
      </c>
      <c r="B26" s="4">
        <v>8.7623867104085804E-2</v>
      </c>
      <c r="C26" s="4">
        <v>0.16294384769713299</v>
      </c>
      <c r="D26" s="4">
        <v>0.16294384769713299</v>
      </c>
      <c r="E26" s="4">
        <v>-6.82433600447762E-2</v>
      </c>
      <c r="F26" s="4">
        <v>0.73421311743859097</v>
      </c>
      <c r="G26" s="4">
        <v>8.8327093489043898E-2</v>
      </c>
      <c r="J26" s="1">
        <v>37591</v>
      </c>
      <c r="K26" s="4">
        <f>VLOOKUP(J26,A:G,2,0)</f>
        <v>8.7623867104085804E-2</v>
      </c>
      <c r="L26" s="4">
        <f>VLOOKUP(J26,Total!A:P,2,0)</f>
        <v>8.66245609737296E-2</v>
      </c>
      <c r="N26" s="1">
        <f t="shared" si="0"/>
        <v>37591</v>
      </c>
      <c r="O26" s="4">
        <f>VLOOKUP(J26,A:G,3,0)</f>
        <v>0.16294384769713299</v>
      </c>
      <c r="P26" s="4">
        <f>VLOOKUP(J26,Total!A:P,11,0)</f>
        <v>0.16276849290892201</v>
      </c>
      <c r="R26" s="1">
        <f t="shared" si="1"/>
        <v>37591</v>
      </c>
      <c r="S26" s="4">
        <f>-VLOOKUP(J26,A:G,5,0)</f>
        <v>6.82433600447762E-2</v>
      </c>
      <c r="T26" s="4">
        <f>VLOOKUP(J26,Total!A:P,8,0)</f>
        <v>6.3578425041994902E-2</v>
      </c>
      <c r="V26" s="1">
        <f t="shared" si="2"/>
        <v>37591</v>
      </c>
      <c r="W26" s="4">
        <f>VLOOKUP(J26,A:G,4,0)</f>
        <v>0.16294384769713299</v>
      </c>
      <c r="X26" s="4">
        <f>VLOOKUP(J26,Total!A:P,12,0)+VLOOKUP(J26,Total!A:P,13,0)</f>
        <v>0.13869549521191601</v>
      </c>
      <c r="Z26" s="1">
        <f t="shared" si="3"/>
        <v>37591</v>
      </c>
      <c r="AA26" s="4">
        <f>VLOOKUP(J26,A:G,7,0)</f>
        <v>8.8327093489043898E-2</v>
      </c>
      <c r="AB26" s="4">
        <f>VLOOKUP(J26,Total!A:P,16,0)</f>
        <v>3.7482021473084659E-2</v>
      </c>
      <c r="AD26" s="1">
        <f t="shared" si="4"/>
        <v>37591</v>
      </c>
      <c r="AE26" s="4">
        <f t="shared" si="5"/>
        <v>0.25834756173444784</v>
      </c>
      <c r="AF26" s="4">
        <f t="shared" si="6"/>
        <v>0.18874302357819817</v>
      </c>
    </row>
    <row r="27" spans="1:32" x14ac:dyDescent="0.25">
      <c r="A27" s="1">
        <v>37622</v>
      </c>
      <c r="B27" s="4">
        <v>8.7384288949877806E-2</v>
      </c>
      <c r="C27" s="4">
        <v>0.13634413169555901</v>
      </c>
      <c r="D27" s="4">
        <v>0.13634413169555901</v>
      </c>
      <c r="E27" s="4">
        <v>-6.6515196813954403E-2</v>
      </c>
      <c r="F27" s="4">
        <v>0.76044880302441498</v>
      </c>
      <c r="G27" s="4">
        <v>0.10205334144254299</v>
      </c>
      <c r="J27" s="1">
        <v>37622</v>
      </c>
      <c r="K27" s="4">
        <f>VLOOKUP(J27,A:G,2,0)</f>
        <v>8.7384288949877806E-2</v>
      </c>
      <c r="L27" s="4">
        <f>VLOOKUP(J27,Total!A:P,2,0)</f>
        <v>8.8667005937121804E-2</v>
      </c>
      <c r="N27" s="1">
        <f t="shared" si="0"/>
        <v>37622</v>
      </c>
      <c r="O27" s="4">
        <f>VLOOKUP(J27,A:G,3,0)</f>
        <v>0.13634413169555901</v>
      </c>
      <c r="P27" s="4">
        <f>VLOOKUP(J27,Total!A:P,11,0)</f>
        <v>0.16775654153570499</v>
      </c>
      <c r="R27" s="1">
        <f t="shared" si="1"/>
        <v>37622</v>
      </c>
      <c r="S27" s="4">
        <f>-VLOOKUP(J27,A:G,5,0)</f>
        <v>6.6515196813954403E-2</v>
      </c>
      <c r="T27" s="4">
        <f>VLOOKUP(J27,Total!A:P,8,0)</f>
        <v>7.0010694269991E-2</v>
      </c>
      <c r="V27" s="1">
        <f t="shared" si="2"/>
        <v>37622</v>
      </c>
      <c r="W27" s="4">
        <f>VLOOKUP(J27,A:G,4,0)</f>
        <v>0.13634413169555901</v>
      </c>
      <c r="X27" s="4">
        <f>VLOOKUP(J27,Total!A:P,12,0)+VLOOKUP(J27,Total!A:P,13,0)</f>
        <v>0.1836817418318813</v>
      </c>
      <c r="Z27" s="1">
        <f t="shared" si="3"/>
        <v>37622</v>
      </c>
      <c r="AA27" s="4">
        <f>VLOOKUP(J27,A:G,7,0)</f>
        <v>0.10205334144254299</v>
      </c>
      <c r="AB27" s="4">
        <f>VLOOKUP(J27,Total!A:P,16,0)</f>
        <v>5.3979631154242647E-2</v>
      </c>
      <c r="AD27" s="1">
        <f t="shared" si="4"/>
        <v>37622</v>
      </c>
      <c r="AE27" s="4">
        <f t="shared" si="5"/>
        <v>0.22084211906982881</v>
      </c>
      <c r="AF27" s="4">
        <f t="shared" si="6"/>
        <v>0.24674021431471616</v>
      </c>
    </row>
    <row r="28" spans="1:32" x14ac:dyDescent="0.25">
      <c r="A28" s="1">
        <v>37653</v>
      </c>
      <c r="B28" s="4">
        <v>8.8620746491372901E-2</v>
      </c>
      <c r="C28" s="4">
        <v>0.16286796315966801</v>
      </c>
      <c r="D28" s="4">
        <v>0.16286796315966801</v>
      </c>
      <c r="E28" s="4">
        <v>-6.7327881317084795E-2</v>
      </c>
      <c r="F28" s="4">
        <v>0.76838501739645204</v>
      </c>
      <c r="G28" s="4">
        <v>7.6544021105789006E-2</v>
      </c>
      <c r="J28" s="1">
        <v>37653</v>
      </c>
      <c r="K28" s="4">
        <f>VLOOKUP(J28,A:G,2,0)</f>
        <v>8.8620746491372901E-2</v>
      </c>
      <c r="L28" s="4">
        <f>VLOOKUP(J28,Total!A:P,2,0)</f>
        <v>8.4020011958461593E-2</v>
      </c>
      <c r="N28" s="1">
        <f t="shared" si="0"/>
        <v>37653</v>
      </c>
      <c r="O28" s="4">
        <f>VLOOKUP(J28,A:G,3,0)</f>
        <v>0.16286796315966801</v>
      </c>
      <c r="P28" s="4">
        <f>VLOOKUP(J28,Total!A:P,11,0)</f>
        <v>0.18075138999439999</v>
      </c>
      <c r="R28" s="1">
        <f t="shared" si="1"/>
        <v>37653</v>
      </c>
      <c r="S28" s="4">
        <f>-VLOOKUP(J28,A:G,5,0)</f>
        <v>6.7327881317084795E-2</v>
      </c>
      <c r="T28" s="4">
        <f>VLOOKUP(J28,Total!A:P,8,0)</f>
        <v>6.9194360183417805E-2</v>
      </c>
      <c r="V28" s="1">
        <f t="shared" si="2"/>
        <v>37653</v>
      </c>
      <c r="W28" s="4">
        <f>VLOOKUP(J28,A:G,4,0)</f>
        <v>0.16286796315966801</v>
      </c>
      <c r="X28" s="4">
        <f>VLOOKUP(J28,Total!A:P,12,0)+VLOOKUP(J28,Total!A:P,13,0)</f>
        <v>0.1270722809069707</v>
      </c>
      <c r="Z28" s="1">
        <f t="shared" si="3"/>
        <v>37653</v>
      </c>
      <c r="AA28" s="4">
        <f>VLOOKUP(J28,A:G,7,0)</f>
        <v>7.6544021105789006E-2</v>
      </c>
      <c r="AB28" s="4">
        <f>VLOOKUP(J28,Total!A:P,16,0)</f>
        <v>4.9018446196279264E-2</v>
      </c>
      <c r="AD28" s="1">
        <f t="shared" si="4"/>
        <v>37653</v>
      </c>
      <c r="AE28" s="4">
        <f t="shared" si="5"/>
        <v>0.24633131961666732</v>
      </c>
      <c r="AF28" s="4">
        <f t="shared" si="6"/>
        <v>0.20362774495577057</v>
      </c>
    </row>
    <row r="29" spans="1:32" x14ac:dyDescent="0.25">
      <c r="A29" s="1">
        <v>37681</v>
      </c>
      <c r="B29" s="4">
        <v>8.9228726618628795E-2</v>
      </c>
      <c r="C29" s="4">
        <v>0.14243390202506701</v>
      </c>
      <c r="D29" s="4">
        <v>0.14243390202506701</v>
      </c>
      <c r="E29" s="4">
        <v>-6.9293165880438296E-2</v>
      </c>
      <c r="F29" s="4">
        <v>0.77584563829436604</v>
      </c>
      <c r="G29" s="4">
        <v>8.1043877046003202E-2</v>
      </c>
      <c r="J29" s="1">
        <v>37681</v>
      </c>
      <c r="K29" s="4">
        <f>VLOOKUP(J29,A:G,2,0)</f>
        <v>8.9228726618628795E-2</v>
      </c>
      <c r="L29" s="4">
        <f>VLOOKUP(J29,Total!A:P,2,0)</f>
        <v>8.8530137228132896E-2</v>
      </c>
      <c r="N29" s="1">
        <f t="shared" si="0"/>
        <v>37681</v>
      </c>
      <c r="O29" s="4">
        <f>VLOOKUP(J29,A:G,3,0)</f>
        <v>0.14243390202506701</v>
      </c>
      <c r="P29" s="4">
        <f>VLOOKUP(J29,Total!A:P,11,0)</f>
        <v>0.16035070692605499</v>
      </c>
      <c r="R29" s="1">
        <f t="shared" si="1"/>
        <v>37681</v>
      </c>
      <c r="S29" s="4">
        <f>-VLOOKUP(J29,A:G,5,0)</f>
        <v>6.9293165880438296E-2</v>
      </c>
      <c r="T29" s="4">
        <f>VLOOKUP(J29,Total!A:P,8,0)</f>
        <v>6.5234935091267807E-2</v>
      </c>
      <c r="V29" s="1">
        <f t="shared" si="2"/>
        <v>37681</v>
      </c>
      <c r="W29" s="4">
        <f>VLOOKUP(J29,A:G,4,0)</f>
        <v>0.14243390202506701</v>
      </c>
      <c r="X29" s="4">
        <f>VLOOKUP(J29,Total!A:P,12,0)+VLOOKUP(J29,Total!A:P,13,0)</f>
        <v>0.1516371826140985</v>
      </c>
      <c r="Z29" s="1">
        <f t="shared" si="3"/>
        <v>37681</v>
      </c>
      <c r="AA29" s="4">
        <f>VLOOKUP(J29,A:G,7,0)</f>
        <v>8.1043877046003202E-2</v>
      </c>
      <c r="AB29" s="4">
        <f>VLOOKUP(J29,Total!A:P,16,0)</f>
        <v>4.6200685474430569E-2</v>
      </c>
      <c r="AD29" s="1">
        <f t="shared" si="4"/>
        <v>37681</v>
      </c>
      <c r="AE29" s="4">
        <f t="shared" si="5"/>
        <v>0.20738978859707011</v>
      </c>
      <c r="AF29" s="4">
        <f t="shared" si="6"/>
        <v>0.20442350269518333</v>
      </c>
    </row>
    <row r="30" spans="1:32" x14ac:dyDescent="0.25">
      <c r="A30" s="1">
        <v>37712</v>
      </c>
      <c r="B30" s="4">
        <v>8.8770040067370298E-2</v>
      </c>
      <c r="C30" s="4">
        <v>0.13630108118959799</v>
      </c>
      <c r="D30" s="4">
        <v>0.13630108118959799</v>
      </c>
      <c r="E30" s="4">
        <v>-6.5955471639046401E-2</v>
      </c>
      <c r="F30" s="4">
        <v>0.73078471606742301</v>
      </c>
      <c r="G30" s="4">
        <v>7.9694273285452297E-2</v>
      </c>
      <c r="J30" s="1">
        <v>37712</v>
      </c>
      <c r="K30" s="4">
        <f>VLOOKUP(J30,A:G,2,0)</f>
        <v>8.8770040067370298E-2</v>
      </c>
      <c r="L30" s="4">
        <f>VLOOKUP(J30,Total!A:P,2,0)</f>
        <v>8.9821804528490604E-2</v>
      </c>
      <c r="N30" s="1">
        <f t="shared" si="0"/>
        <v>37712</v>
      </c>
      <c r="O30" s="4">
        <f>VLOOKUP(J30,A:G,3,0)</f>
        <v>0.13630108118959799</v>
      </c>
      <c r="P30" s="4">
        <f>VLOOKUP(J30,Total!A:P,11,0)</f>
        <v>0.17559151571839901</v>
      </c>
      <c r="R30" s="1">
        <f t="shared" si="1"/>
        <v>37712</v>
      </c>
      <c r="S30" s="4">
        <f>-VLOOKUP(J30,A:G,5,0)</f>
        <v>6.5955471639046401E-2</v>
      </c>
      <c r="T30" s="4">
        <f>VLOOKUP(J30,Total!A:P,8,0)</f>
        <v>6.9014853951963898E-2</v>
      </c>
      <c r="V30" s="1">
        <f t="shared" si="2"/>
        <v>37712</v>
      </c>
      <c r="W30" s="4">
        <f>VLOOKUP(J30,A:G,4,0)</f>
        <v>0.13630108118959799</v>
      </c>
      <c r="X30" s="4">
        <f>VLOOKUP(J30,Total!A:P,12,0)+VLOOKUP(J30,Total!A:P,13,0)</f>
        <v>0.15663274944229039</v>
      </c>
      <c r="Z30" s="1">
        <f t="shared" si="3"/>
        <v>37712</v>
      </c>
      <c r="AA30" s="4">
        <f>VLOOKUP(J30,A:G,7,0)</f>
        <v>7.9694273285452297E-2</v>
      </c>
      <c r="AB30" s="4">
        <f>VLOOKUP(J30,Total!A:P,16,0)</f>
        <v>6.2914487663834562E-2</v>
      </c>
      <c r="AD30" s="1">
        <f t="shared" si="4"/>
        <v>37712</v>
      </c>
      <c r="AE30" s="4">
        <f t="shared" si="5"/>
        <v>0.19757092395823156</v>
      </c>
      <c r="AF30" s="4">
        <f t="shared" si="6"/>
        <v>0.23630209434406946</v>
      </c>
    </row>
    <row r="31" spans="1:32" x14ac:dyDescent="0.25">
      <c r="A31" s="1">
        <v>37742</v>
      </c>
      <c r="B31" s="4">
        <v>8.5763399262746898E-2</v>
      </c>
      <c r="C31" s="4">
        <v>0.152239953045815</v>
      </c>
      <c r="D31" s="4">
        <v>0.152239953045815</v>
      </c>
      <c r="E31" s="4">
        <v>-6.3743091421152795E-2</v>
      </c>
      <c r="F31" s="4">
        <v>0.71738002435368797</v>
      </c>
      <c r="G31" s="4">
        <v>7.2973305763976204E-2</v>
      </c>
      <c r="J31" s="1">
        <v>37742</v>
      </c>
      <c r="K31" s="4">
        <f>VLOOKUP(J31,A:G,2,0)</f>
        <v>8.5763399262746898E-2</v>
      </c>
      <c r="L31" s="4">
        <f>VLOOKUP(J31,Total!A:P,2,0)</f>
        <v>8.8888016342953402E-2</v>
      </c>
      <c r="N31" s="1">
        <f t="shared" si="0"/>
        <v>37742</v>
      </c>
      <c r="O31" s="4">
        <f>VLOOKUP(J31,A:G,3,0)</f>
        <v>0.152239953045815</v>
      </c>
      <c r="P31" s="4">
        <f>VLOOKUP(J31,Total!A:P,11,0)</f>
        <v>0.16358467779274199</v>
      </c>
      <c r="R31" s="1">
        <f t="shared" si="1"/>
        <v>37742</v>
      </c>
      <c r="S31" s="4">
        <f>-VLOOKUP(J31,A:G,5,0)</f>
        <v>6.3743091421152795E-2</v>
      </c>
      <c r="T31" s="4">
        <f>VLOOKUP(J31,Total!A:P,8,0)</f>
        <v>7.0023290275159605E-2</v>
      </c>
      <c r="V31" s="1">
        <f t="shared" si="2"/>
        <v>37742</v>
      </c>
      <c r="W31" s="4">
        <f>VLOOKUP(J31,A:G,4,0)</f>
        <v>0.152239953045815</v>
      </c>
      <c r="X31" s="4">
        <f>VLOOKUP(J31,Total!A:P,12,0)+VLOOKUP(J31,Total!A:P,13,0)</f>
        <v>0.14650593232161349</v>
      </c>
      <c r="Z31" s="1">
        <f t="shared" si="3"/>
        <v>37742</v>
      </c>
      <c r="AA31" s="4">
        <f>VLOOKUP(J31,A:G,7,0)</f>
        <v>7.2973305763976204E-2</v>
      </c>
      <c r="AB31" s="4">
        <f>VLOOKUP(J31,Total!A:P,16,0)</f>
        <v>6.6951580557632839E-2</v>
      </c>
      <c r="AD31" s="1">
        <f t="shared" si="4"/>
        <v>37742</v>
      </c>
      <c r="AE31" s="4">
        <f t="shared" si="5"/>
        <v>0.2279467211717065</v>
      </c>
      <c r="AF31" s="4">
        <f t="shared" si="6"/>
        <v>0.21813088405387529</v>
      </c>
    </row>
    <row r="32" spans="1:32" x14ac:dyDescent="0.25">
      <c r="A32" s="1">
        <v>37773</v>
      </c>
      <c r="B32" s="4">
        <v>8.7687362926509305E-2</v>
      </c>
      <c r="C32" s="4">
        <v>0.12717015855236899</v>
      </c>
      <c r="D32" s="4">
        <v>0.12717015855236899</v>
      </c>
      <c r="E32" s="4">
        <v>-6.7448145264804304E-2</v>
      </c>
      <c r="F32" s="4">
        <v>0.75299279821175602</v>
      </c>
      <c r="G32" s="4">
        <v>7.1852749244112904E-2</v>
      </c>
      <c r="J32" s="1">
        <v>37773</v>
      </c>
      <c r="K32" s="4">
        <f>VLOOKUP(J32,A:G,2,0)</f>
        <v>8.7687362926509305E-2</v>
      </c>
      <c r="L32" s="4">
        <f>VLOOKUP(J32,Total!A:P,2,0)</f>
        <v>8.6886099361692601E-2</v>
      </c>
      <c r="N32" s="1">
        <f t="shared" si="0"/>
        <v>37773</v>
      </c>
      <c r="O32" s="4">
        <f>VLOOKUP(J32,A:G,3,0)</f>
        <v>0.12717015855236899</v>
      </c>
      <c r="P32" s="4">
        <f>VLOOKUP(J32,Total!A:P,11,0)</f>
        <v>0.14231665535446</v>
      </c>
      <c r="R32" s="1">
        <f t="shared" si="1"/>
        <v>37773</v>
      </c>
      <c r="S32" s="4">
        <f>-VLOOKUP(J32,A:G,5,0)</f>
        <v>6.7448145264804304E-2</v>
      </c>
      <c r="T32" s="4">
        <f>VLOOKUP(J32,Total!A:P,8,0)</f>
        <v>5.8756086782816998E-2</v>
      </c>
      <c r="V32" s="1">
        <f t="shared" si="2"/>
        <v>37773</v>
      </c>
      <c r="W32" s="4">
        <f>VLOOKUP(J32,A:G,4,0)</f>
        <v>0.12717015855236899</v>
      </c>
      <c r="X32" s="4">
        <f>VLOOKUP(J32,Total!A:P,12,0)+VLOOKUP(J32,Total!A:P,13,0)</f>
        <v>0.16918843576930331</v>
      </c>
      <c r="Z32" s="1">
        <f t="shared" si="3"/>
        <v>37773</v>
      </c>
      <c r="AA32" s="4">
        <f>VLOOKUP(J32,A:G,7,0)</f>
        <v>7.1852749244112904E-2</v>
      </c>
      <c r="AB32" s="4">
        <f>VLOOKUP(J32,Total!A:P,16,0)</f>
        <v>6.3319899305979588E-2</v>
      </c>
      <c r="AD32" s="1">
        <f t="shared" si="4"/>
        <v>37773</v>
      </c>
      <c r="AE32" s="4">
        <f t="shared" si="5"/>
        <v>0.17105755815753731</v>
      </c>
      <c r="AF32" s="4">
        <f t="shared" si="6"/>
        <v>0.22918280428523333</v>
      </c>
    </row>
    <row r="33" spans="1:43" x14ac:dyDescent="0.25">
      <c r="A33" s="1">
        <v>37803</v>
      </c>
      <c r="B33" s="4">
        <v>8.5968865795660196E-2</v>
      </c>
      <c r="C33" s="4">
        <v>0.14489913483401101</v>
      </c>
      <c r="D33" s="4">
        <v>0.14489913483401101</v>
      </c>
      <c r="E33" s="4">
        <v>-6.5314368612472404E-2</v>
      </c>
      <c r="F33" s="4">
        <v>0.76402435872383201</v>
      </c>
      <c r="G33" s="4">
        <v>7.8783280598977698E-2</v>
      </c>
      <c r="J33" s="1">
        <v>37803</v>
      </c>
      <c r="K33" s="4">
        <f>VLOOKUP(J33,A:G,2,0)</f>
        <v>8.5968865795660196E-2</v>
      </c>
      <c r="L33" s="4">
        <f>VLOOKUP(J33,Total!A:P,2,0)</f>
        <v>8.9278091647453497E-2</v>
      </c>
      <c r="N33" s="1">
        <f t="shared" si="0"/>
        <v>37803</v>
      </c>
      <c r="O33" s="4">
        <f>VLOOKUP(J33,A:G,3,0)</f>
        <v>0.14489913483401101</v>
      </c>
      <c r="P33" s="4">
        <f>VLOOKUP(J33,Total!A:P,11,0)</f>
        <v>0.159882246615553</v>
      </c>
      <c r="R33" s="1">
        <f t="shared" si="1"/>
        <v>37803</v>
      </c>
      <c r="S33" s="4">
        <f>-VLOOKUP(J33,A:G,5,0)</f>
        <v>6.5314368612472404E-2</v>
      </c>
      <c r="T33" s="4">
        <f>VLOOKUP(J33,Total!A:P,8,0)</f>
        <v>6.6308069654030605E-2</v>
      </c>
      <c r="V33" s="1">
        <f t="shared" si="2"/>
        <v>37803</v>
      </c>
      <c r="W33" s="4">
        <f>VLOOKUP(J33,A:G,4,0)</f>
        <v>0.14489913483401101</v>
      </c>
      <c r="X33" s="4">
        <f>VLOOKUP(J33,Total!A:P,12,0)+VLOOKUP(J33,Total!A:P,13,0)</f>
        <v>0.14968111724693539</v>
      </c>
      <c r="Z33" s="1">
        <f t="shared" si="3"/>
        <v>37803</v>
      </c>
      <c r="AA33" s="4">
        <f>VLOOKUP(J33,A:G,7,0)</f>
        <v>7.8783280598977698E-2</v>
      </c>
      <c r="AB33" s="4">
        <f>VLOOKUP(J33,Total!A:P,16,0)</f>
        <v>7.1685593290724103E-2</v>
      </c>
      <c r="AD33" s="1">
        <f t="shared" si="4"/>
        <v>37803</v>
      </c>
      <c r="AE33" s="4">
        <f t="shared" si="5"/>
        <v>0.21729831585886711</v>
      </c>
      <c r="AF33" s="4">
        <f t="shared" si="6"/>
        <v>0.22566279585172841</v>
      </c>
    </row>
    <row r="34" spans="1:43" x14ac:dyDescent="0.25">
      <c r="A34" s="1">
        <v>37834</v>
      </c>
      <c r="B34" s="4">
        <v>8.6379970793136002E-2</v>
      </c>
      <c r="C34" s="4">
        <v>0.12937871906929199</v>
      </c>
      <c r="D34" s="4">
        <v>0.12937871906929199</v>
      </c>
      <c r="E34" s="4">
        <v>-6.9331459148933197E-2</v>
      </c>
      <c r="F34" s="4">
        <v>0.773159460475771</v>
      </c>
      <c r="G34" s="4">
        <v>8.9446524020438498E-2</v>
      </c>
      <c r="J34" s="1">
        <v>37834</v>
      </c>
      <c r="K34" s="4">
        <f>VLOOKUP(J34,A:G,2,0)</f>
        <v>8.6379970793136002E-2</v>
      </c>
      <c r="L34" s="4">
        <f>VLOOKUP(J34,Total!A:P,2,0)</f>
        <v>8.7898950202223394E-2</v>
      </c>
      <c r="N34" s="1">
        <f t="shared" si="0"/>
        <v>37834</v>
      </c>
      <c r="O34" s="4">
        <f>VLOOKUP(J34,A:G,3,0)</f>
        <v>0.12937871906929199</v>
      </c>
      <c r="P34" s="4">
        <f>VLOOKUP(J34,Total!A:P,11,0)</f>
        <v>0.14688137359584499</v>
      </c>
      <c r="R34" s="1">
        <f t="shared" si="1"/>
        <v>37834</v>
      </c>
      <c r="S34" s="4">
        <f>-VLOOKUP(J34,A:G,5,0)</f>
        <v>6.9331459148933197E-2</v>
      </c>
      <c r="T34" s="4">
        <f>VLOOKUP(J34,Total!A:P,8,0)</f>
        <v>6.5533982925748399E-2</v>
      </c>
      <c r="V34" s="1">
        <f t="shared" si="2"/>
        <v>37834</v>
      </c>
      <c r="W34" s="4">
        <f>VLOOKUP(J34,A:G,4,0)</f>
        <v>0.12937871906929199</v>
      </c>
      <c r="X34" s="4">
        <f>VLOOKUP(J34,Total!A:P,12,0)+VLOOKUP(J34,Total!A:P,13,0)</f>
        <v>0.19017051502001839</v>
      </c>
      <c r="Z34" s="1">
        <f t="shared" si="3"/>
        <v>37834</v>
      </c>
      <c r="AA34" s="4">
        <f>VLOOKUP(J34,A:G,7,0)</f>
        <v>8.9446524020438498E-2</v>
      </c>
      <c r="AB34" s="4">
        <f>VLOOKUP(J34,Total!A:P,16,0)</f>
        <v>6.8020021113101903E-2</v>
      </c>
      <c r="AD34" s="1">
        <f t="shared" si="4"/>
        <v>37834</v>
      </c>
      <c r="AE34" s="4">
        <f t="shared" si="5"/>
        <v>0.19249253221695334</v>
      </c>
      <c r="AF34" s="4">
        <f t="shared" si="6"/>
        <v>0.25163897660099349</v>
      </c>
    </row>
    <row r="35" spans="1:43" x14ac:dyDescent="0.25">
      <c r="A35" s="1">
        <v>37865</v>
      </c>
      <c r="B35" s="4">
        <v>8.7868288122384397E-2</v>
      </c>
      <c r="C35" s="4">
        <v>0.15230435318017699</v>
      </c>
      <c r="D35" s="4">
        <v>0.15230435318017699</v>
      </c>
      <c r="E35" s="4">
        <v>-6.9105729090864695E-2</v>
      </c>
      <c r="F35" s="4">
        <v>0.72136773063710402</v>
      </c>
      <c r="G35" s="4">
        <v>9.6701435317356393E-2</v>
      </c>
      <c r="J35" s="1">
        <v>37865</v>
      </c>
      <c r="K35" s="4">
        <f>VLOOKUP(J35,A:G,2,0)</f>
        <v>8.7868288122384397E-2</v>
      </c>
      <c r="L35" s="4">
        <f>VLOOKUP(J35,Total!A:P,2,0)</f>
        <v>8.6182644915306805E-2</v>
      </c>
      <c r="N35" s="1">
        <f t="shared" si="0"/>
        <v>37865</v>
      </c>
      <c r="O35" s="4">
        <f>VLOOKUP(J35,A:G,3,0)</f>
        <v>0.15230435318017699</v>
      </c>
      <c r="P35" s="4">
        <f>VLOOKUP(J35,Total!A:P,11,0)</f>
        <v>0.16284232673965801</v>
      </c>
      <c r="R35" s="1">
        <f t="shared" si="1"/>
        <v>37865</v>
      </c>
      <c r="S35" s="4">
        <f>-VLOOKUP(J35,A:G,5,0)</f>
        <v>6.9105729090864695E-2</v>
      </c>
      <c r="T35" s="4">
        <f>VLOOKUP(J35,Total!A:P,8,0)</f>
        <v>6.4692377135818005E-2</v>
      </c>
      <c r="V35" s="1">
        <f t="shared" si="2"/>
        <v>37865</v>
      </c>
      <c r="W35" s="4">
        <f>VLOOKUP(J35,A:G,4,0)</f>
        <v>0.15230435318017699</v>
      </c>
      <c r="X35" s="4">
        <f>VLOOKUP(J35,Total!A:P,12,0)+VLOOKUP(J35,Total!A:P,13,0)</f>
        <v>0.1870309530811852</v>
      </c>
      <c r="Z35" s="1">
        <f t="shared" si="3"/>
        <v>37865</v>
      </c>
      <c r="AA35" s="4">
        <f>VLOOKUP(J35,A:G,7,0)</f>
        <v>9.6701435317356393E-2</v>
      </c>
      <c r="AB35" s="4">
        <f>VLOOKUP(J35,Total!A:P,16,0)</f>
        <v>6.4849369662374867E-2</v>
      </c>
      <c r="AD35" s="1">
        <f t="shared" si="4"/>
        <v>37865</v>
      </c>
      <c r="AE35" s="4">
        <f t="shared" si="5"/>
        <v>0.24433612446446129</v>
      </c>
      <c r="AF35" s="4">
        <f t="shared" si="6"/>
        <v>0.26384762743209328</v>
      </c>
    </row>
    <row r="36" spans="1:43" x14ac:dyDescent="0.25">
      <c r="A36" s="1">
        <v>37895</v>
      </c>
      <c r="B36" s="4">
        <v>8.8726217403564095E-2</v>
      </c>
      <c r="C36" s="4">
        <v>0.13949026787885899</v>
      </c>
      <c r="D36" s="4">
        <v>0.13949026787885899</v>
      </c>
      <c r="E36" s="4">
        <v>-7.5871471161266898E-2</v>
      </c>
      <c r="F36" s="4">
        <v>0.75159773351113002</v>
      </c>
      <c r="G36" s="4">
        <v>0.104204483196514</v>
      </c>
      <c r="J36" s="1">
        <v>37895</v>
      </c>
      <c r="K36" s="4">
        <f>VLOOKUP(J36,A:G,2,0)</f>
        <v>8.8726217403564095E-2</v>
      </c>
      <c r="L36" s="4">
        <f>VLOOKUP(J36,Total!A:P,2,0)</f>
        <v>8.94282147552308E-2</v>
      </c>
      <c r="N36" s="1">
        <f t="shared" si="0"/>
        <v>37895</v>
      </c>
      <c r="O36" s="4">
        <f>VLOOKUP(J36,A:G,3,0)</f>
        <v>0.13949026787885899</v>
      </c>
      <c r="P36" s="4">
        <f>VLOOKUP(J36,Total!A:P,11,0)</f>
        <v>0.148546101805795</v>
      </c>
      <c r="R36" s="1">
        <f t="shared" si="1"/>
        <v>37895</v>
      </c>
      <c r="S36" s="4">
        <f>-VLOOKUP(J36,A:G,5,0)</f>
        <v>7.5871471161266898E-2</v>
      </c>
      <c r="T36" s="4">
        <f>VLOOKUP(J36,Total!A:P,8,0)</f>
        <v>6.3413360899283899E-2</v>
      </c>
      <c r="V36" s="1">
        <f t="shared" si="2"/>
        <v>37895</v>
      </c>
      <c r="W36" s="4">
        <f>VLOOKUP(J36,A:G,4,0)</f>
        <v>0.13949026787885899</v>
      </c>
      <c r="X36" s="4">
        <f>VLOOKUP(J36,Total!A:P,12,0)+VLOOKUP(J36,Total!A:P,13,0)</f>
        <v>0.1904473677617628</v>
      </c>
      <c r="Z36" s="1">
        <f t="shared" si="3"/>
        <v>37895</v>
      </c>
      <c r="AA36" s="4">
        <f>VLOOKUP(J36,A:G,7,0)</f>
        <v>0.104204483196514</v>
      </c>
      <c r="AB36" s="4">
        <f>VLOOKUP(J36,Total!A:P,16,0)</f>
        <v>7.0809143955734788E-2</v>
      </c>
      <c r="AD36" s="1">
        <f t="shared" si="4"/>
        <v>37895</v>
      </c>
      <c r="AE36" s="4">
        <f t="shared" si="5"/>
        <v>0.21858733038940092</v>
      </c>
      <c r="AF36" s="4">
        <f t="shared" si="6"/>
        <v>0.25696103786877794</v>
      </c>
      <c r="AQ36">
        <v>1</v>
      </c>
    </row>
    <row r="37" spans="1:43" x14ac:dyDescent="0.25">
      <c r="A37" s="1">
        <v>37926</v>
      </c>
      <c r="B37" s="4">
        <v>9.0423627278118604E-2</v>
      </c>
      <c r="C37" s="4">
        <v>0.15011950703889801</v>
      </c>
      <c r="D37" s="4">
        <v>0.15011950703889801</v>
      </c>
      <c r="E37" s="4">
        <v>-7.5831397885690002E-2</v>
      </c>
      <c r="F37" s="4">
        <v>0.73920821532616099</v>
      </c>
      <c r="G37" s="4">
        <v>0.11346640332565</v>
      </c>
      <c r="J37" s="1">
        <v>37926</v>
      </c>
      <c r="K37" s="4">
        <f>VLOOKUP(J37,A:G,2,0)</f>
        <v>9.0423627278118604E-2</v>
      </c>
      <c r="L37" s="4">
        <f>VLOOKUP(J37,Total!A:P,2,0)</f>
        <v>8.7281355458396506E-2</v>
      </c>
      <c r="N37" s="1">
        <f t="shared" si="0"/>
        <v>37926</v>
      </c>
      <c r="O37" s="4">
        <f>VLOOKUP(J37,A:G,3,0)</f>
        <v>0.15011950703889801</v>
      </c>
      <c r="P37" s="4">
        <f>VLOOKUP(J37,Total!A:P,11,0)</f>
        <v>0.14959090665074701</v>
      </c>
      <c r="R37" s="1">
        <f t="shared" si="1"/>
        <v>37926</v>
      </c>
      <c r="S37" s="4">
        <f>-VLOOKUP(J37,A:G,5,0)</f>
        <v>7.5831397885690002E-2</v>
      </c>
      <c r="T37" s="4">
        <f>VLOOKUP(J37,Total!A:P,8,0)</f>
        <v>6.5686461023683196E-2</v>
      </c>
      <c r="V37" s="1">
        <f t="shared" si="2"/>
        <v>37926</v>
      </c>
      <c r="W37" s="4">
        <f>VLOOKUP(J37,A:G,4,0)</f>
        <v>0.15011950703889801</v>
      </c>
      <c r="X37" s="4">
        <f>VLOOKUP(J37,Total!A:P,12,0)+VLOOKUP(J37,Total!A:P,13,0)</f>
        <v>0.1858561331194083</v>
      </c>
      <c r="Z37" s="1">
        <f t="shared" si="3"/>
        <v>37926</v>
      </c>
      <c r="AA37" s="4">
        <f>VLOOKUP(J37,A:G,7,0)</f>
        <v>0.11346640332565</v>
      </c>
      <c r="AB37" s="4">
        <f>VLOOKUP(J37,Total!A:P,16,0)</f>
        <v>7.4315517457249625E-2</v>
      </c>
      <c r="AD37" s="1">
        <f t="shared" si="4"/>
        <v>37926</v>
      </c>
      <c r="AE37" s="4">
        <f t="shared" si="5"/>
        <v>0.24745039223963744</v>
      </c>
      <c r="AF37" s="4">
        <f t="shared" si="6"/>
        <v>0.25679474074532527</v>
      </c>
    </row>
    <row r="38" spans="1:43" x14ac:dyDescent="0.25">
      <c r="A38" s="1">
        <v>37956</v>
      </c>
      <c r="B38" s="4">
        <v>8.7757124983331797E-2</v>
      </c>
      <c r="C38" s="4">
        <v>0.14372469135199301</v>
      </c>
      <c r="D38" s="4">
        <v>0.14372469135199301</v>
      </c>
      <c r="E38" s="4">
        <v>-7.5151910013974393E-2</v>
      </c>
      <c r="F38" s="4">
        <v>0.69680519828625498</v>
      </c>
      <c r="G38" s="4">
        <v>0.100986207028109</v>
      </c>
      <c r="J38" s="1">
        <v>37956</v>
      </c>
      <c r="K38" s="4">
        <f>VLOOKUP(J38,A:G,2,0)</f>
        <v>8.7757124983331797E-2</v>
      </c>
      <c r="L38" s="4">
        <f>VLOOKUP(J38,Total!A:P,2,0)</f>
        <v>9.0162471419852494E-2</v>
      </c>
      <c r="N38" s="1">
        <f t="shared" si="0"/>
        <v>37956</v>
      </c>
      <c r="O38" s="4">
        <f>VLOOKUP(J38,A:G,3,0)</f>
        <v>0.14372469135199301</v>
      </c>
      <c r="P38" s="4">
        <f>VLOOKUP(J38,Total!A:P,11,0)</f>
        <v>0.15671454187633499</v>
      </c>
      <c r="R38" s="1">
        <f t="shared" si="1"/>
        <v>37956</v>
      </c>
      <c r="S38" s="4">
        <f>-VLOOKUP(J38,A:G,5,0)</f>
        <v>7.5151910013974393E-2</v>
      </c>
      <c r="T38" s="4">
        <f>VLOOKUP(J38,Total!A:P,8,0)</f>
        <v>7.5293663606636696E-2</v>
      </c>
      <c r="V38" s="1">
        <f t="shared" si="2"/>
        <v>37956</v>
      </c>
      <c r="W38" s="4">
        <f>VLOOKUP(J38,A:G,4,0)</f>
        <v>0.14372469135199301</v>
      </c>
      <c r="X38" s="4">
        <f>VLOOKUP(J38,Total!A:P,12,0)+VLOOKUP(J38,Total!A:P,13,0)</f>
        <v>0.19364597337538531</v>
      </c>
      <c r="Z38" s="1">
        <f t="shared" si="3"/>
        <v>37956</v>
      </c>
      <c r="AA38" s="4">
        <f>VLOOKUP(J38,A:G,7,0)</f>
        <v>0.100986207028109</v>
      </c>
      <c r="AB38" s="4">
        <f>VLOOKUP(J38,Total!A:P,16,0)</f>
        <v>7.8714369362599124E-2</v>
      </c>
      <c r="AD38" s="1">
        <f t="shared" si="4"/>
        <v>37956</v>
      </c>
      <c r="AE38" s="4">
        <f t="shared" si="5"/>
        <v>0.22552655473478886</v>
      </c>
      <c r="AF38" s="4">
        <f t="shared" si="6"/>
        <v>0.26361874958783021</v>
      </c>
    </row>
    <row r="39" spans="1:43" x14ac:dyDescent="0.25">
      <c r="A39" s="1">
        <v>37987</v>
      </c>
      <c r="B39" s="4">
        <v>9.0019953595711397E-2</v>
      </c>
      <c r="C39" s="4">
        <v>0.137297055448584</v>
      </c>
      <c r="D39" s="4">
        <v>0.137297055448584</v>
      </c>
      <c r="E39" s="4">
        <v>-6.8800975602797604E-2</v>
      </c>
      <c r="F39" s="4">
        <v>0.64135670651353305</v>
      </c>
      <c r="G39" s="4">
        <v>0.11534897911467901</v>
      </c>
      <c r="J39" s="1">
        <v>37987</v>
      </c>
      <c r="K39" s="4">
        <f>VLOOKUP(J39,A:G,2,0)</f>
        <v>9.0019953595711397E-2</v>
      </c>
      <c r="L39" s="4">
        <f>VLOOKUP(J39,Total!A:P,2,0)</f>
        <v>8.6899541215900405E-2</v>
      </c>
      <c r="N39" s="1">
        <f t="shared" si="0"/>
        <v>37987</v>
      </c>
      <c r="O39" s="4">
        <f>VLOOKUP(J39,A:G,3,0)</f>
        <v>0.137297055448584</v>
      </c>
      <c r="P39" s="4">
        <f>VLOOKUP(J39,Total!A:P,11,0)</f>
        <v>0.137808189946728</v>
      </c>
      <c r="R39" s="1">
        <f t="shared" si="1"/>
        <v>37987</v>
      </c>
      <c r="S39" s="4">
        <f>-VLOOKUP(J39,A:G,5,0)</f>
        <v>6.8800975602797604E-2</v>
      </c>
      <c r="T39" s="4">
        <f>VLOOKUP(J39,Total!A:P,8,0)</f>
        <v>6.4205060733048394E-2</v>
      </c>
      <c r="V39" s="1">
        <f t="shared" si="2"/>
        <v>37987</v>
      </c>
      <c r="W39" s="4">
        <f>VLOOKUP(J39,A:G,4,0)</f>
        <v>0.137297055448584</v>
      </c>
      <c r="X39" s="4">
        <f>VLOOKUP(J39,Total!A:P,12,0)+VLOOKUP(J39,Total!A:P,13,0)</f>
        <v>0.18580335924976141</v>
      </c>
      <c r="Z39" s="1">
        <f t="shared" si="3"/>
        <v>37987</v>
      </c>
      <c r="AA39" s="4">
        <f>VLOOKUP(J39,A:G,7,0)</f>
        <v>0.11534897911467901</v>
      </c>
      <c r="AB39" s="4">
        <f>VLOOKUP(J39,Total!A:P,16,0)</f>
        <v>6.8608016809258876E-2</v>
      </c>
      <c r="AD39" s="1">
        <f t="shared" si="4"/>
        <v>37987</v>
      </c>
      <c r="AE39" s="4">
        <f t="shared" si="5"/>
        <v>0.231122160813338</v>
      </c>
      <c r="AF39" s="4">
        <f t="shared" si="6"/>
        <v>0.2411149640567995</v>
      </c>
    </row>
    <row r="40" spans="1:43" x14ac:dyDescent="0.25">
      <c r="A40" s="1">
        <v>38018</v>
      </c>
      <c r="B40" s="4">
        <v>8.8321416255549498E-2</v>
      </c>
      <c r="C40" s="4">
        <v>0.154650183200507</v>
      </c>
      <c r="D40" s="4">
        <v>0.154650183200507</v>
      </c>
      <c r="E40" s="4">
        <v>-7.1449253533868398E-2</v>
      </c>
      <c r="F40" s="4">
        <v>0.69073080479329196</v>
      </c>
      <c r="G40" s="4">
        <v>0.108211708685444</v>
      </c>
      <c r="J40" s="1">
        <v>38018</v>
      </c>
      <c r="K40" s="4">
        <f>VLOOKUP(J40,A:G,2,0)</f>
        <v>8.8321416255549498E-2</v>
      </c>
      <c r="L40" s="4">
        <f>VLOOKUP(J40,Total!A:P,2,0)</f>
        <v>8.9969620698563402E-2</v>
      </c>
      <c r="N40" s="1">
        <f t="shared" si="0"/>
        <v>38018</v>
      </c>
      <c r="O40" s="4">
        <f>VLOOKUP(J40,A:G,3,0)</f>
        <v>0.154650183200507</v>
      </c>
      <c r="P40" s="4">
        <f>VLOOKUP(J40,Total!A:P,11,0)</f>
        <v>0.16960729935911201</v>
      </c>
      <c r="R40" s="1">
        <f t="shared" si="1"/>
        <v>38018</v>
      </c>
      <c r="S40" s="4">
        <f>-VLOOKUP(J40,A:G,5,0)</f>
        <v>7.1449253533868398E-2</v>
      </c>
      <c r="T40" s="4">
        <f>VLOOKUP(J40,Total!A:P,8,0)</f>
        <v>6.8126547153193204E-2</v>
      </c>
      <c r="V40" s="1">
        <f t="shared" si="2"/>
        <v>38018</v>
      </c>
      <c r="W40" s="4">
        <f>VLOOKUP(J40,A:G,4,0)</f>
        <v>0.154650183200507</v>
      </c>
      <c r="X40" s="4">
        <f>VLOOKUP(J40,Total!A:P,12,0)+VLOOKUP(J40,Total!A:P,13,0)</f>
        <v>0.16573803723925509</v>
      </c>
      <c r="Z40" s="1">
        <f t="shared" si="3"/>
        <v>38018</v>
      </c>
      <c r="AA40" s="4">
        <f>VLOOKUP(J40,A:G,7,0)</f>
        <v>0.108211708685444</v>
      </c>
      <c r="AB40" s="4">
        <f>VLOOKUP(J40,Total!A:P,16,0)</f>
        <v>6.1965097482676423E-2</v>
      </c>
      <c r="AD40" s="1">
        <f t="shared" si="4"/>
        <v>38018</v>
      </c>
      <c r="AE40" s="4">
        <f t="shared" si="5"/>
        <v>0.25774140529704009</v>
      </c>
      <c r="AF40" s="4">
        <f t="shared" si="6"/>
        <v>0.23921426622928688</v>
      </c>
    </row>
    <row r="41" spans="1:43" x14ac:dyDescent="0.25">
      <c r="A41" s="1">
        <v>38047</v>
      </c>
      <c r="B41" s="4">
        <v>8.8812241742765405E-2</v>
      </c>
      <c r="C41" s="4">
        <v>0.135705613477941</v>
      </c>
      <c r="D41" s="4">
        <v>0.135705613477941</v>
      </c>
      <c r="E41" s="4">
        <v>-7.0261719237324397E-2</v>
      </c>
      <c r="F41" s="4">
        <v>0.65779498334441799</v>
      </c>
      <c r="G41" s="4">
        <v>9.8655298723853105E-2</v>
      </c>
      <c r="J41" s="1">
        <v>38047</v>
      </c>
      <c r="K41" s="4">
        <f>VLOOKUP(J41,A:G,2,0)</f>
        <v>8.8812241742765405E-2</v>
      </c>
      <c r="L41" s="4">
        <f>VLOOKUP(J41,Total!A:P,2,0)</f>
        <v>8.9471667543770797E-2</v>
      </c>
      <c r="N41" s="1">
        <f t="shared" si="0"/>
        <v>38047</v>
      </c>
      <c r="O41" s="4">
        <f>VLOOKUP(J41,A:G,3,0)</f>
        <v>0.135705613477941</v>
      </c>
      <c r="P41" s="4">
        <f>VLOOKUP(J41,Total!A:P,11,0)</f>
        <v>0.15180675739884</v>
      </c>
      <c r="R41" s="1">
        <f t="shared" si="1"/>
        <v>38047</v>
      </c>
      <c r="S41" s="4">
        <f>-VLOOKUP(J41,A:G,5,0)</f>
        <v>7.0261719237324397E-2</v>
      </c>
      <c r="T41" s="4">
        <f>VLOOKUP(J41,Total!A:P,8,0)</f>
        <v>6.8208159074120395E-2</v>
      </c>
      <c r="V41" s="1">
        <f t="shared" si="2"/>
        <v>38047</v>
      </c>
      <c r="W41" s="4">
        <f>VLOOKUP(J41,A:G,4,0)</f>
        <v>0.135705613477941</v>
      </c>
      <c r="X41" s="4">
        <f>VLOOKUP(J41,Total!A:P,12,0)+VLOOKUP(J41,Total!A:P,13,0)</f>
        <v>0.1733985368936925</v>
      </c>
      <c r="Z41" s="1">
        <f t="shared" si="3"/>
        <v>38047</v>
      </c>
      <c r="AA41" s="4">
        <f>VLOOKUP(J41,A:G,7,0)</f>
        <v>9.8655298723853105E-2</v>
      </c>
      <c r="AB41" s="4">
        <f>VLOOKUP(J41,Total!A:P,16,0)</f>
        <v>6.0293667976521137E-2</v>
      </c>
      <c r="AD41" s="1">
        <f t="shared" si="4"/>
        <v>38047</v>
      </c>
      <c r="AE41" s="4">
        <f t="shared" si="5"/>
        <v>0.21099256469964528</v>
      </c>
      <c r="AF41" s="4">
        <f t="shared" si="6"/>
        <v>0.22781913565116249</v>
      </c>
    </row>
    <row r="42" spans="1:43" x14ac:dyDescent="0.25">
      <c r="A42" s="1">
        <v>38078</v>
      </c>
      <c r="B42" s="4">
        <v>8.9065438704836297E-2</v>
      </c>
      <c r="C42" s="4">
        <v>0.140602284336416</v>
      </c>
      <c r="D42" s="4">
        <v>0.140602284336416</v>
      </c>
      <c r="E42" s="4">
        <v>-7.7240691694485095E-2</v>
      </c>
      <c r="F42" s="4">
        <v>0.72545137230565904</v>
      </c>
      <c r="G42" s="4">
        <v>0.1212731160656</v>
      </c>
      <c r="J42" s="1">
        <v>38078</v>
      </c>
      <c r="K42" s="4">
        <f>VLOOKUP(J42,A:G,2,0)</f>
        <v>8.9065438704836297E-2</v>
      </c>
      <c r="L42" s="4">
        <f>VLOOKUP(J42,Total!A:P,2,0)</f>
        <v>8.6854600693354198E-2</v>
      </c>
      <c r="N42" s="1">
        <f t="shared" si="0"/>
        <v>38078</v>
      </c>
      <c r="O42" s="4">
        <f>VLOOKUP(J42,A:G,3,0)</f>
        <v>0.140602284336416</v>
      </c>
      <c r="P42" s="4">
        <f>VLOOKUP(J42,Total!A:P,11,0)</f>
        <v>0.15471126050058301</v>
      </c>
      <c r="R42" s="1">
        <f t="shared" si="1"/>
        <v>38078</v>
      </c>
      <c r="S42" s="4">
        <f>-VLOOKUP(J42,A:G,5,0)</f>
        <v>7.7240691694485095E-2</v>
      </c>
      <c r="T42" s="4">
        <f>VLOOKUP(J42,Total!A:P,8,0)</f>
        <v>6.6884862550330507E-2</v>
      </c>
      <c r="V42" s="1">
        <f t="shared" si="2"/>
        <v>38078</v>
      </c>
      <c r="W42" s="4">
        <f>VLOOKUP(J42,A:G,4,0)</f>
        <v>0.140602284336416</v>
      </c>
      <c r="X42" s="4">
        <f>VLOOKUP(J42,Total!A:P,12,0)+VLOOKUP(J42,Total!A:P,13,0)</f>
        <v>0.1501458194789245</v>
      </c>
      <c r="Z42" s="1">
        <f t="shared" si="3"/>
        <v>38078</v>
      </c>
      <c r="AA42" s="4">
        <f>VLOOKUP(J42,A:G,7,0)</f>
        <v>0.1212731160656</v>
      </c>
      <c r="AB42" s="4">
        <f>VLOOKUP(J42,Total!A:P,16,0)</f>
        <v>7.7233679861284488E-2</v>
      </c>
      <c r="AD42" s="1">
        <f t="shared" si="4"/>
        <v>38078</v>
      </c>
      <c r="AE42" s="4">
        <f t="shared" si="5"/>
        <v>0.23617155433911063</v>
      </c>
      <c r="AF42" s="4">
        <f t="shared" si="6"/>
        <v>0.22835129659710729</v>
      </c>
    </row>
    <row r="43" spans="1:43" x14ac:dyDescent="0.25">
      <c r="A43" s="1">
        <v>38108</v>
      </c>
      <c r="B43" s="4">
        <v>9.0233695260244703E-2</v>
      </c>
      <c r="C43" s="4">
        <v>0.157558511977618</v>
      </c>
      <c r="D43" s="4">
        <v>0.157558511977618</v>
      </c>
      <c r="E43" s="4">
        <v>-7.7462395836395706E-2</v>
      </c>
      <c r="F43" s="4">
        <v>0.74622403817566096</v>
      </c>
      <c r="G43" s="4">
        <v>0.115960326126979</v>
      </c>
      <c r="J43" s="1">
        <v>38108</v>
      </c>
      <c r="K43" s="4">
        <f>VLOOKUP(J43,A:G,2,0)</f>
        <v>9.0233695260244703E-2</v>
      </c>
      <c r="L43" s="4">
        <f>VLOOKUP(J43,Total!A:P,2,0)</f>
        <v>8.8791304415957104E-2</v>
      </c>
      <c r="N43" s="1">
        <f t="shared" si="0"/>
        <v>38108</v>
      </c>
      <c r="O43" s="4">
        <f>VLOOKUP(J43,A:G,3,0)</f>
        <v>0.157558511977618</v>
      </c>
      <c r="P43" s="4">
        <f>VLOOKUP(J43,Total!A:P,11,0)</f>
        <v>0.141497236124978</v>
      </c>
      <c r="R43" s="1">
        <f t="shared" si="1"/>
        <v>38108</v>
      </c>
      <c r="S43" s="4">
        <f>-VLOOKUP(J43,A:G,5,0)</f>
        <v>7.7462395836395706E-2</v>
      </c>
      <c r="T43" s="4">
        <f>VLOOKUP(J43,Total!A:P,8,0)</f>
        <v>6.8711333024829804E-2</v>
      </c>
      <c r="V43" s="1">
        <f t="shared" si="2"/>
        <v>38108</v>
      </c>
      <c r="W43" s="4">
        <f>VLOOKUP(J43,A:G,4,0)</f>
        <v>0.157558511977618</v>
      </c>
      <c r="X43" s="4">
        <f>VLOOKUP(J43,Total!A:P,12,0)+VLOOKUP(J43,Total!A:P,13,0)</f>
        <v>0.14958184081982029</v>
      </c>
      <c r="Z43" s="1">
        <f t="shared" si="3"/>
        <v>38108</v>
      </c>
      <c r="AA43" s="4">
        <f>VLOOKUP(J43,A:G,7,0)</f>
        <v>0.115960326126979</v>
      </c>
      <c r="AB43" s="4">
        <f>VLOOKUP(J43,Total!A:P,16,0)</f>
        <v>7.8428010018596783E-2</v>
      </c>
      <c r="AD43" s="1">
        <f t="shared" si="4"/>
        <v>38108</v>
      </c>
      <c r="AE43" s="4">
        <f t="shared" si="5"/>
        <v>0.26338125898557457</v>
      </c>
      <c r="AF43" s="4">
        <f t="shared" si="6"/>
        <v>0.21200444952260816</v>
      </c>
    </row>
    <row r="44" spans="1:43" x14ac:dyDescent="0.25">
      <c r="A44" s="1">
        <v>38139</v>
      </c>
      <c r="B44" s="4">
        <v>9.0645352571982002E-2</v>
      </c>
      <c r="C44" s="4">
        <v>0.15595010781354199</v>
      </c>
      <c r="D44" s="4">
        <v>0.15595010781354199</v>
      </c>
      <c r="E44" s="4">
        <v>-7.6800636701862102E-2</v>
      </c>
      <c r="F44" s="4">
        <v>0.73188295852725505</v>
      </c>
      <c r="G44" s="4">
        <v>0.118355808205522</v>
      </c>
      <c r="J44" s="1">
        <v>38139</v>
      </c>
      <c r="K44" s="4">
        <f>VLOOKUP(J44,A:G,2,0)</f>
        <v>9.0645352571982002E-2</v>
      </c>
      <c r="L44" s="4">
        <f>VLOOKUP(J44,Total!A:P,2,0)</f>
        <v>8.7070608876102698E-2</v>
      </c>
      <c r="N44" s="1">
        <f t="shared" si="0"/>
        <v>38139</v>
      </c>
      <c r="O44" s="4">
        <f>VLOOKUP(J44,A:G,3,0)</f>
        <v>0.15595010781354199</v>
      </c>
      <c r="P44" s="4">
        <f>VLOOKUP(J44,Total!A:P,11,0)</f>
        <v>0.14501537710290999</v>
      </c>
      <c r="R44" s="1">
        <f t="shared" si="1"/>
        <v>38139</v>
      </c>
      <c r="S44" s="4">
        <f>-VLOOKUP(J44,A:G,5,0)</f>
        <v>7.6800636701862102E-2</v>
      </c>
      <c r="T44" s="4">
        <f>VLOOKUP(J44,Total!A:P,8,0)</f>
        <v>6.5361632763900404E-2</v>
      </c>
      <c r="V44" s="1">
        <f t="shared" si="2"/>
        <v>38139</v>
      </c>
      <c r="W44" s="4">
        <f>VLOOKUP(J44,A:G,4,0)</f>
        <v>0.15595010781354199</v>
      </c>
      <c r="X44" s="4">
        <f>VLOOKUP(J44,Total!A:P,12,0)+VLOOKUP(J44,Total!A:P,13,0)</f>
        <v>0.16269748808426221</v>
      </c>
      <c r="Z44" s="1">
        <f t="shared" si="3"/>
        <v>38139</v>
      </c>
      <c r="AA44" s="4">
        <f>VLOOKUP(J44,A:G,7,0)</f>
        <v>0.118355808205522</v>
      </c>
      <c r="AB44" s="4">
        <f>VLOOKUP(J44,Total!A:P,16,0)</f>
        <v>7.9413640120363116E-2</v>
      </c>
      <c r="AD44" s="1">
        <f t="shared" si="4"/>
        <v>38139</v>
      </c>
      <c r="AE44" s="4">
        <f t="shared" si="5"/>
        <v>0.26281003455876184</v>
      </c>
      <c r="AF44" s="4">
        <f t="shared" si="6"/>
        <v>0.23469426366753227</v>
      </c>
    </row>
    <row r="45" spans="1:43" x14ac:dyDescent="0.25">
      <c r="A45" s="1">
        <v>38169</v>
      </c>
      <c r="B45" s="4">
        <v>8.5457893781954203E-2</v>
      </c>
      <c r="C45" s="4">
        <v>0.128363516425653</v>
      </c>
      <c r="D45" s="4">
        <v>0.128363516425653</v>
      </c>
      <c r="E45" s="4">
        <v>-7.6938935300006395E-2</v>
      </c>
      <c r="F45" s="4">
        <v>0.76472439348863297</v>
      </c>
      <c r="G45" s="4">
        <v>0.118140332822079</v>
      </c>
      <c r="J45" s="1">
        <v>38169</v>
      </c>
      <c r="K45" s="4">
        <f>VLOOKUP(J45,A:G,2,0)</f>
        <v>8.5457893781954203E-2</v>
      </c>
      <c r="L45" s="4">
        <f>VLOOKUP(J45,Total!A:P,2,0)</f>
        <v>8.7441520597238004E-2</v>
      </c>
      <c r="N45" s="1">
        <f t="shared" si="0"/>
        <v>38169</v>
      </c>
      <c r="O45" s="4">
        <f>VLOOKUP(J45,A:G,3,0)</f>
        <v>0.128363516425653</v>
      </c>
      <c r="P45" s="4">
        <f>VLOOKUP(J45,Total!A:P,11,0)</f>
        <v>0.16887105418517101</v>
      </c>
      <c r="R45" s="1">
        <f t="shared" si="1"/>
        <v>38169</v>
      </c>
      <c r="S45" s="4">
        <f>-VLOOKUP(J45,A:G,5,0)</f>
        <v>7.6938935300006395E-2</v>
      </c>
      <c r="T45" s="4">
        <f>VLOOKUP(J45,Total!A:P,8,0)</f>
        <v>7.1414218371480195E-2</v>
      </c>
      <c r="V45" s="1">
        <f t="shared" si="2"/>
        <v>38169</v>
      </c>
      <c r="W45" s="4">
        <f>VLOOKUP(J45,A:G,4,0)</f>
        <v>0.128363516425653</v>
      </c>
      <c r="X45" s="4">
        <f>VLOOKUP(J45,Total!A:P,12,0)+VLOOKUP(J45,Total!A:P,13,0)</f>
        <v>0.12730289135578871</v>
      </c>
      <c r="Z45" s="1">
        <f t="shared" si="3"/>
        <v>38169</v>
      </c>
      <c r="AA45" s="4">
        <f>VLOOKUP(J45,A:G,7,0)</f>
        <v>0.118140332822079</v>
      </c>
      <c r="AB45" s="4">
        <f>VLOOKUP(J45,Total!A:P,16,0)</f>
        <v>8.7241837077778106E-2</v>
      </c>
      <c r="AD45" s="1">
        <f t="shared" si="4"/>
        <v>38169</v>
      </c>
      <c r="AE45" s="4">
        <f t="shared" si="5"/>
        <v>0.21247053659142434</v>
      </c>
      <c r="AF45" s="4">
        <f t="shared" si="6"/>
        <v>0.22456004365001958</v>
      </c>
    </row>
    <row r="46" spans="1:43" x14ac:dyDescent="0.25">
      <c r="A46" s="1">
        <v>38200</v>
      </c>
      <c r="B46" s="4">
        <v>9.1238330692891098E-2</v>
      </c>
      <c r="C46" s="4">
        <v>0.147401919325652</v>
      </c>
      <c r="D46" s="4">
        <v>0.147401919325652</v>
      </c>
      <c r="E46" s="4">
        <v>-7.7380772063722306E-2</v>
      </c>
      <c r="F46" s="4">
        <v>0.73743988313656195</v>
      </c>
      <c r="G46" s="4">
        <v>0.119729588533524</v>
      </c>
      <c r="J46" s="1">
        <v>38200</v>
      </c>
      <c r="K46" s="4">
        <f>VLOOKUP(J46,A:G,2,0)</f>
        <v>9.1238330692891098E-2</v>
      </c>
      <c r="L46" s="4">
        <f>VLOOKUP(J46,Total!A:P,2,0)</f>
        <v>8.74697149415231E-2</v>
      </c>
      <c r="N46" s="1">
        <f t="shared" si="0"/>
        <v>38200</v>
      </c>
      <c r="O46" s="4">
        <f>VLOOKUP(J46,A:G,3,0)</f>
        <v>0.147401919325652</v>
      </c>
      <c r="P46" s="4">
        <f>VLOOKUP(J46,Total!A:P,11,0)</f>
        <v>0.16018615188177601</v>
      </c>
      <c r="R46" s="1">
        <f t="shared" si="1"/>
        <v>38200</v>
      </c>
      <c r="S46" s="4">
        <f>-VLOOKUP(J46,A:G,5,0)</f>
        <v>7.7380772063722306E-2</v>
      </c>
      <c r="T46" s="4">
        <f>VLOOKUP(J46,Total!A:P,8,0)</f>
        <v>6.5515033383477694E-2</v>
      </c>
      <c r="V46" s="1">
        <f t="shared" si="2"/>
        <v>38200</v>
      </c>
      <c r="W46" s="4">
        <f>VLOOKUP(J46,A:G,4,0)</f>
        <v>0.147401919325652</v>
      </c>
      <c r="X46" s="4">
        <f>VLOOKUP(J46,Total!A:P,12,0)+VLOOKUP(J46,Total!A:P,13,0)</f>
        <v>0.14072519427057681</v>
      </c>
      <c r="Z46" s="1">
        <f t="shared" si="3"/>
        <v>38200</v>
      </c>
      <c r="AA46" s="4">
        <f>VLOOKUP(J46,A:G,7,0)</f>
        <v>0.119729588533524</v>
      </c>
      <c r="AB46" s="4">
        <f>VLOOKUP(J46,Total!A:P,16,0)</f>
        <v>8.0920835991820761E-2</v>
      </c>
      <c r="AD46" s="1">
        <f t="shared" si="4"/>
        <v>38200</v>
      </c>
      <c r="AE46" s="4">
        <f t="shared" si="5"/>
        <v>0.24591432442821459</v>
      </c>
      <c r="AF46" s="4">
        <f t="shared" si="6"/>
        <v>0.22884743381917277</v>
      </c>
    </row>
    <row r="47" spans="1:43" x14ac:dyDescent="0.25">
      <c r="A47" s="1">
        <v>38231</v>
      </c>
      <c r="B47" s="4">
        <v>8.7752970543801198E-2</v>
      </c>
      <c r="C47" s="4">
        <v>0.15879026105529301</v>
      </c>
      <c r="D47" s="4">
        <v>0.15879026105529301</v>
      </c>
      <c r="E47" s="4">
        <v>-8.1175100856483301E-2</v>
      </c>
      <c r="F47" s="4">
        <v>0.73736846806735201</v>
      </c>
      <c r="G47" s="4">
        <v>0.12761566896701099</v>
      </c>
      <c r="J47" s="1">
        <v>38231</v>
      </c>
      <c r="K47" s="4">
        <f>VLOOKUP(J47,A:G,2,0)</f>
        <v>8.7752970543801198E-2</v>
      </c>
      <c r="L47" s="4">
        <f>VLOOKUP(J47,Total!A:P,2,0)</f>
        <v>9.0837395443419303E-2</v>
      </c>
      <c r="N47" s="1">
        <f t="shared" si="0"/>
        <v>38231</v>
      </c>
      <c r="O47" s="4">
        <f>VLOOKUP(J47,A:G,3,0)</f>
        <v>0.15879026105529301</v>
      </c>
      <c r="P47" s="4">
        <f>VLOOKUP(J47,Total!A:P,11,0)</f>
        <v>0.14284927932894501</v>
      </c>
      <c r="R47" s="1">
        <f t="shared" si="1"/>
        <v>38231</v>
      </c>
      <c r="S47" s="4">
        <f>-VLOOKUP(J47,A:G,5,0)</f>
        <v>8.1175100856483301E-2</v>
      </c>
      <c r="T47" s="4">
        <f>VLOOKUP(J47,Total!A:P,8,0)</f>
        <v>6.5195866272704905E-2</v>
      </c>
      <c r="V47" s="1">
        <f t="shared" si="2"/>
        <v>38231</v>
      </c>
      <c r="W47" s="4">
        <f>VLOOKUP(J47,A:G,4,0)</f>
        <v>0.15879026105529301</v>
      </c>
      <c r="X47" s="4">
        <f>VLOOKUP(J47,Total!A:P,12,0)+VLOOKUP(J47,Total!A:P,13,0)</f>
        <v>0.1615364109580377</v>
      </c>
      <c r="Z47" s="1">
        <f t="shared" si="3"/>
        <v>38231</v>
      </c>
      <c r="AA47" s="4">
        <f>VLOOKUP(J47,A:G,7,0)</f>
        <v>0.12761566896701099</v>
      </c>
      <c r="AB47" s="4">
        <f>VLOOKUP(J47,Total!A:P,16,0)</f>
        <v>7.0586302739144235E-2</v>
      </c>
      <c r="AD47" s="1">
        <f t="shared" si="4"/>
        <v>38231</v>
      </c>
      <c r="AE47" s="4">
        <f t="shared" si="5"/>
        <v>0.27626811967731246</v>
      </c>
      <c r="AF47" s="4">
        <f t="shared" si="6"/>
        <v>0.21893873131000274</v>
      </c>
    </row>
    <row r="48" spans="1:43" x14ac:dyDescent="0.25">
      <c r="A48" s="1">
        <v>38261</v>
      </c>
      <c r="B48" s="4">
        <v>8.8020712996673398E-2</v>
      </c>
      <c r="C48" s="4">
        <v>0.146165760653582</v>
      </c>
      <c r="D48" s="4">
        <v>0.146165760653582</v>
      </c>
      <c r="E48" s="4">
        <v>-8.0090982708782704E-2</v>
      </c>
      <c r="F48" s="4">
        <v>0.67308226402903104</v>
      </c>
      <c r="G48" s="4">
        <v>0.113475993815848</v>
      </c>
      <c r="J48" s="1">
        <v>38261</v>
      </c>
      <c r="K48" s="4">
        <f>VLOOKUP(J48,A:G,2,0)</f>
        <v>8.8020712996673398E-2</v>
      </c>
      <c r="L48" s="4">
        <f>VLOOKUP(J48,Total!A:P,2,0)</f>
        <v>8.9777393763381702E-2</v>
      </c>
      <c r="N48" s="1">
        <f t="shared" si="0"/>
        <v>38261</v>
      </c>
      <c r="O48" s="4">
        <f>VLOOKUP(J48,A:G,3,0)</f>
        <v>0.146165760653582</v>
      </c>
      <c r="P48" s="4">
        <f>VLOOKUP(J48,Total!A:P,11,0)</f>
        <v>0.157532688610621</v>
      </c>
      <c r="R48" s="1">
        <f t="shared" si="1"/>
        <v>38261</v>
      </c>
      <c r="S48" s="4">
        <f>-VLOOKUP(J48,A:G,5,0)</f>
        <v>8.0090982708782704E-2</v>
      </c>
      <c r="T48" s="4">
        <f>VLOOKUP(J48,Total!A:P,8,0)</f>
        <v>7.1639978428248E-2</v>
      </c>
      <c r="V48" s="1">
        <f t="shared" si="2"/>
        <v>38261</v>
      </c>
      <c r="W48" s="4">
        <f>VLOOKUP(J48,A:G,4,0)</f>
        <v>0.146165760653582</v>
      </c>
      <c r="X48" s="4">
        <f>VLOOKUP(J48,Total!A:P,12,0)+VLOOKUP(J48,Total!A:P,13,0)</f>
        <v>0.1508017525036181</v>
      </c>
      <c r="Z48" s="1">
        <f t="shared" si="3"/>
        <v>38261</v>
      </c>
      <c r="AA48" s="4">
        <f>VLOOKUP(J48,A:G,7,0)</f>
        <v>0.113475993815848</v>
      </c>
      <c r="AB48" s="4">
        <f>VLOOKUP(J48,Total!A:P,16,0)</f>
        <v>8.5221352400789652E-2</v>
      </c>
      <c r="AD48" s="1">
        <f t="shared" si="4"/>
        <v>38261</v>
      </c>
      <c r="AE48" s="4">
        <f t="shared" si="5"/>
        <v>0.23769581941755588</v>
      </c>
      <c r="AF48" s="4">
        <f t="shared" si="6"/>
        <v>0.23213842132339912</v>
      </c>
    </row>
    <row r="49" spans="1:32" x14ac:dyDescent="0.25">
      <c r="A49" s="1">
        <v>38292</v>
      </c>
      <c r="B49" s="4">
        <v>8.5891745885226495E-2</v>
      </c>
      <c r="C49" s="4">
        <v>0.158052583692216</v>
      </c>
      <c r="D49" s="4">
        <v>0.158052583692216</v>
      </c>
      <c r="E49" s="4">
        <v>-8.2057101235695901E-2</v>
      </c>
      <c r="F49" s="4">
        <v>0.72540398697585395</v>
      </c>
      <c r="G49" s="4">
        <v>0.102529610435</v>
      </c>
      <c r="J49" s="1">
        <v>38292</v>
      </c>
      <c r="K49" s="4">
        <f>VLOOKUP(J49,A:G,2,0)</f>
        <v>8.5891745885226495E-2</v>
      </c>
      <c r="L49" s="4">
        <f>VLOOKUP(J49,Total!A:P,2,0)</f>
        <v>9.0841886522269696E-2</v>
      </c>
      <c r="N49" s="1">
        <f t="shared" si="0"/>
        <v>38292</v>
      </c>
      <c r="O49" s="4">
        <f>VLOOKUP(J49,A:G,3,0)</f>
        <v>0.158052583692216</v>
      </c>
      <c r="P49" s="4">
        <f>VLOOKUP(J49,Total!A:P,11,0)</f>
        <v>0.14900813209247801</v>
      </c>
      <c r="R49" s="1">
        <f t="shared" si="1"/>
        <v>38292</v>
      </c>
      <c r="S49" s="4">
        <f>-VLOOKUP(J49,A:G,5,0)</f>
        <v>8.2057101235695901E-2</v>
      </c>
      <c r="T49" s="4">
        <f>VLOOKUP(J49,Total!A:P,8,0)</f>
        <v>7.0530054560908301E-2</v>
      </c>
      <c r="V49" s="1">
        <f t="shared" si="2"/>
        <v>38292</v>
      </c>
      <c r="W49" s="4">
        <f>VLOOKUP(J49,A:G,4,0)</f>
        <v>0.158052583692216</v>
      </c>
      <c r="X49" s="4">
        <f>VLOOKUP(J49,Total!A:P,12,0)+VLOOKUP(J49,Total!A:P,13,0)</f>
        <v>0.1411645442833418</v>
      </c>
      <c r="Z49" s="1">
        <f t="shared" si="3"/>
        <v>38292</v>
      </c>
      <c r="AA49" s="4">
        <f>VLOOKUP(J49,A:G,7,0)</f>
        <v>0.102529610435</v>
      </c>
      <c r="AB49" s="4">
        <f>VLOOKUP(J49,Total!A:P,16,0)</f>
        <v>8.2831000820708045E-2</v>
      </c>
      <c r="AD49" s="1">
        <f t="shared" si="4"/>
        <v>38292</v>
      </c>
      <c r="AE49" s="4">
        <f t="shared" si="5"/>
        <v>0.25068593069850964</v>
      </c>
      <c r="AF49" s="4">
        <f t="shared" si="6"/>
        <v>0.21163173611334982</v>
      </c>
    </row>
    <row r="50" spans="1:32" x14ac:dyDescent="0.25">
      <c r="A50" s="1">
        <v>38322</v>
      </c>
      <c r="B50" s="4">
        <v>9.4270539020334193E-2</v>
      </c>
      <c r="C50" s="4">
        <v>0.160530570900872</v>
      </c>
      <c r="D50" s="4">
        <v>0.160530570900872</v>
      </c>
      <c r="E50" s="4">
        <v>-8.83945212836761E-2</v>
      </c>
      <c r="F50" s="4">
        <v>0.72912847805836201</v>
      </c>
      <c r="G50" s="4">
        <v>0.124184868071389</v>
      </c>
      <c r="J50" s="1">
        <v>38322</v>
      </c>
      <c r="K50" s="4">
        <f>VLOOKUP(J50,A:G,2,0)</f>
        <v>9.4270539020334193E-2</v>
      </c>
      <c r="L50" s="4">
        <f>VLOOKUP(J50,Total!A:P,2,0)</f>
        <v>9.0689796352851404E-2</v>
      </c>
      <c r="N50" s="1">
        <f t="shared" si="0"/>
        <v>38322</v>
      </c>
      <c r="O50" s="4">
        <f>VLOOKUP(J50,A:G,3,0)</f>
        <v>0.160530570900872</v>
      </c>
      <c r="P50" s="4">
        <f>VLOOKUP(J50,Total!A:P,11,0)</f>
        <v>0.15239406104112299</v>
      </c>
      <c r="R50" s="1">
        <f t="shared" si="1"/>
        <v>38322</v>
      </c>
      <c r="S50" s="4">
        <f>-VLOOKUP(J50,A:G,5,0)</f>
        <v>8.83945212836761E-2</v>
      </c>
      <c r="T50" s="4">
        <f>VLOOKUP(J50,Total!A:P,8,0)</f>
        <v>7.6394876500684897E-2</v>
      </c>
      <c r="V50" s="1">
        <f t="shared" si="2"/>
        <v>38322</v>
      </c>
      <c r="W50" s="4">
        <f>VLOOKUP(J50,A:G,4,0)</f>
        <v>0.160530570900872</v>
      </c>
      <c r="X50" s="4">
        <f>VLOOKUP(J50,Total!A:P,12,0)+VLOOKUP(J50,Total!A:P,13,0)</f>
        <v>0.1383798592082422</v>
      </c>
      <c r="Z50" s="1">
        <f t="shared" si="3"/>
        <v>38322</v>
      </c>
      <c r="AA50" s="4">
        <f>VLOOKUP(J50,A:G,7,0)</f>
        <v>0.124184868071389</v>
      </c>
      <c r="AB50" s="4">
        <f>VLOOKUP(J50,Total!A:P,16,0)</f>
        <v>9.8812811973876258E-2</v>
      </c>
      <c r="AD50" s="1">
        <f t="shared" si="4"/>
        <v>38322</v>
      </c>
      <c r="AE50" s="4">
        <f t="shared" si="5"/>
        <v>0.2625809495691227</v>
      </c>
      <c r="AF50" s="4">
        <f t="shared" si="6"/>
        <v>0.22250205936970513</v>
      </c>
    </row>
    <row r="51" spans="1:32" x14ac:dyDescent="0.25">
      <c r="A51" s="1">
        <v>38353</v>
      </c>
      <c r="B51" s="4">
        <v>8.9862982001748498E-2</v>
      </c>
      <c r="C51" s="4">
        <v>0.11806756051485701</v>
      </c>
      <c r="D51" s="4">
        <v>0.11806756051485701</v>
      </c>
      <c r="E51" s="4">
        <v>-8.5543242843435494E-2</v>
      </c>
      <c r="F51" s="4">
        <v>0.78658911879467897</v>
      </c>
      <c r="G51" s="4">
        <v>0.13711982119148999</v>
      </c>
      <c r="J51" s="1">
        <v>38353</v>
      </c>
      <c r="K51" s="4">
        <f>VLOOKUP(J51,A:G,2,0)</f>
        <v>8.9862982001748498E-2</v>
      </c>
      <c r="L51" s="4">
        <f>VLOOKUP(J51,Total!A:P,2,0)</f>
        <v>8.9631211818076803E-2</v>
      </c>
      <c r="N51" s="1">
        <f t="shared" si="0"/>
        <v>38353</v>
      </c>
      <c r="O51" s="4">
        <f>VLOOKUP(J51,A:G,3,0)</f>
        <v>0.11806756051485701</v>
      </c>
      <c r="P51" s="4">
        <f>VLOOKUP(J51,Total!A:P,11,0)</f>
        <v>0.169737150029107</v>
      </c>
      <c r="R51" s="1">
        <f t="shared" si="1"/>
        <v>38353</v>
      </c>
      <c r="S51" s="4">
        <f>-VLOOKUP(J51,A:G,5,0)</f>
        <v>8.5543242843435494E-2</v>
      </c>
      <c r="T51" s="4">
        <f>VLOOKUP(J51,Total!A:P,8,0)</f>
        <v>8.0628669828816696E-2</v>
      </c>
      <c r="V51" s="1">
        <f t="shared" si="2"/>
        <v>38353</v>
      </c>
      <c r="W51" s="4">
        <f>VLOOKUP(J51,A:G,4,0)</f>
        <v>0.11806756051485701</v>
      </c>
      <c r="X51" s="4">
        <f>VLOOKUP(J51,Total!A:P,12,0)+VLOOKUP(J51,Total!A:P,13,0)</f>
        <v>0.135737291149223</v>
      </c>
      <c r="Z51" s="1">
        <f t="shared" si="3"/>
        <v>38353</v>
      </c>
      <c r="AA51" s="4">
        <f>VLOOKUP(J51,A:G,7,0)</f>
        <v>0.13711982119148999</v>
      </c>
      <c r="AB51" s="4">
        <f>VLOOKUP(J51,Total!A:P,16,0)</f>
        <v>9.9175489417113516E-2</v>
      </c>
      <c r="AD51" s="1">
        <f t="shared" si="4"/>
        <v>38353</v>
      </c>
      <c r="AE51" s="4">
        <f t="shared" si="5"/>
        <v>0.19784871737602006</v>
      </c>
      <c r="AF51" s="4">
        <f t="shared" si="6"/>
        <v>0.23439004894855001</v>
      </c>
    </row>
    <row r="52" spans="1:32" x14ac:dyDescent="0.25">
      <c r="A52" s="1">
        <v>38384</v>
      </c>
      <c r="B52" s="4">
        <v>9.20732465776989E-2</v>
      </c>
      <c r="C52" s="4">
        <v>0.13528261974432099</v>
      </c>
      <c r="D52" s="4">
        <v>0.13528261974432099</v>
      </c>
      <c r="E52" s="4">
        <v>-9.0438851346145405E-2</v>
      </c>
      <c r="F52" s="4">
        <v>0.76631089684569098</v>
      </c>
      <c r="G52" s="4">
        <v>0.14265768410028801</v>
      </c>
      <c r="J52" s="1">
        <v>38384</v>
      </c>
      <c r="K52" s="4">
        <f>VLOOKUP(J52,A:G,2,0)</f>
        <v>9.20732465776989E-2</v>
      </c>
      <c r="L52" s="4">
        <f>VLOOKUP(J52,Total!A:P,2,0)</f>
        <v>9.5521049829385807E-2</v>
      </c>
      <c r="N52" s="1">
        <f t="shared" si="0"/>
        <v>38384</v>
      </c>
      <c r="O52" s="4">
        <f>VLOOKUP(J52,A:G,3,0)</f>
        <v>0.13528261974432099</v>
      </c>
      <c r="P52" s="4">
        <f>VLOOKUP(J52,Total!A:P,11,0)</f>
        <v>0.17422479188242301</v>
      </c>
      <c r="R52" s="1">
        <f t="shared" si="1"/>
        <v>38384</v>
      </c>
      <c r="S52" s="4">
        <f>-VLOOKUP(J52,A:G,5,0)</f>
        <v>9.0438851346145405E-2</v>
      </c>
      <c r="T52" s="4">
        <f>VLOOKUP(J52,Total!A:P,8,0)</f>
        <v>8.5772815067969299E-2</v>
      </c>
      <c r="V52" s="1">
        <f t="shared" si="2"/>
        <v>38384</v>
      </c>
      <c r="W52" s="4">
        <f>VLOOKUP(J52,A:G,4,0)</f>
        <v>0.13528261974432099</v>
      </c>
      <c r="X52" s="4">
        <f>VLOOKUP(J52,Total!A:P,12,0)+VLOOKUP(J52,Total!A:P,13,0)</f>
        <v>0.14869607094363418</v>
      </c>
      <c r="Z52" s="1">
        <f t="shared" si="3"/>
        <v>38384</v>
      </c>
      <c r="AA52" s="4">
        <f>VLOOKUP(J52,A:G,7,0)</f>
        <v>0.14265768410028801</v>
      </c>
      <c r="AB52" s="4">
        <f>VLOOKUP(J52,Total!A:P,16,0)</f>
        <v>0.11729421732565526</v>
      </c>
      <c r="AD52" s="1">
        <f t="shared" si="4"/>
        <v>38384</v>
      </c>
      <c r="AE52" s="4">
        <f t="shared" si="5"/>
        <v>0.23071082566508569</v>
      </c>
      <c r="AF52" s="4">
        <f t="shared" si="6"/>
        <v>0.25892121525435735</v>
      </c>
    </row>
    <row r="53" spans="1:32" x14ac:dyDescent="0.25">
      <c r="A53" s="1">
        <v>38412</v>
      </c>
      <c r="B53" s="4">
        <v>9.2276760506832201E-2</v>
      </c>
      <c r="C53" s="4">
        <v>0.13019338378989201</v>
      </c>
      <c r="D53" s="4">
        <v>0.13019338378989201</v>
      </c>
      <c r="E53" s="4">
        <v>-8.94277778714542E-2</v>
      </c>
      <c r="F53" s="4">
        <v>0.74602169421504405</v>
      </c>
      <c r="G53" s="4">
        <v>0.15834876532164799</v>
      </c>
      <c r="J53" s="1">
        <v>38412</v>
      </c>
      <c r="K53" s="4">
        <f>VLOOKUP(J53,A:G,2,0)</f>
        <v>9.2276760506832201E-2</v>
      </c>
      <c r="L53" s="4">
        <f>VLOOKUP(J53,Total!A:P,2,0)</f>
        <v>9.0666231845062395E-2</v>
      </c>
      <c r="N53" s="1">
        <f t="shared" ref="N53:N116" si="7">J53</f>
        <v>38412</v>
      </c>
      <c r="O53" s="4">
        <f>VLOOKUP(J53,A:G,3,0)</f>
        <v>0.13019338378989201</v>
      </c>
      <c r="P53" s="4">
        <f>VLOOKUP(J53,Total!A:P,11,0)</f>
        <v>0.141470479961356</v>
      </c>
      <c r="R53" s="1">
        <f t="shared" ref="R53:R116" si="8">N53</f>
        <v>38412</v>
      </c>
      <c r="S53" s="4">
        <f>-VLOOKUP(J53,A:G,5,0)</f>
        <v>8.94277778714542E-2</v>
      </c>
      <c r="T53" s="4">
        <f>VLOOKUP(J53,Total!A:P,8,0)</f>
        <v>7.8729403593240599E-2</v>
      </c>
      <c r="V53" s="1">
        <f t="shared" ref="V53:V116" si="9">R53</f>
        <v>38412</v>
      </c>
      <c r="W53" s="4">
        <f>VLOOKUP(J53,A:G,4,0)</f>
        <v>0.13019338378989201</v>
      </c>
      <c r="X53" s="4">
        <f>VLOOKUP(J53,Total!A:P,12,0)+VLOOKUP(J53,Total!A:P,13,0)</f>
        <v>0.1179815909712545</v>
      </c>
      <c r="Z53" s="1">
        <f t="shared" ref="Z53:Z116" si="10">V53</f>
        <v>38412</v>
      </c>
      <c r="AA53" s="4">
        <f>VLOOKUP(J53,A:G,7,0)</f>
        <v>0.15834876532164799</v>
      </c>
      <c r="AB53" s="4">
        <f>VLOOKUP(J53,Total!A:P,16,0)</f>
        <v>0.10593283331782311</v>
      </c>
      <c r="AD53" s="1">
        <f t="shared" si="4"/>
        <v>38412</v>
      </c>
      <c r="AE53" s="4">
        <f t="shared" si="5"/>
        <v>0.23703099452314555</v>
      </c>
      <c r="AF53" s="4">
        <f t="shared" si="6"/>
        <v>0.19598926881213063</v>
      </c>
    </row>
    <row r="54" spans="1:32" x14ac:dyDescent="0.25">
      <c r="A54" s="1">
        <v>38443</v>
      </c>
      <c r="B54" s="4">
        <v>9.05857594786975E-2</v>
      </c>
      <c r="C54" s="4">
        <v>0.13020581691185401</v>
      </c>
      <c r="D54" s="4">
        <v>0.13020581691185401</v>
      </c>
      <c r="E54" s="4">
        <v>-9.3576861781285603E-2</v>
      </c>
      <c r="F54" s="4">
        <v>0.77115196042753797</v>
      </c>
      <c r="G54" s="4">
        <v>0.14962090431887001</v>
      </c>
      <c r="J54" s="1">
        <v>38443</v>
      </c>
      <c r="K54" s="4">
        <f>VLOOKUP(J54,A:G,2,0)</f>
        <v>9.05857594786975E-2</v>
      </c>
      <c r="L54" s="4">
        <f>VLOOKUP(J54,Total!A:P,2,0)</f>
        <v>9.1162203403057598E-2</v>
      </c>
      <c r="N54" s="1">
        <f t="shared" si="7"/>
        <v>38443</v>
      </c>
      <c r="O54" s="4">
        <f>VLOOKUP(J54,A:G,3,0)</f>
        <v>0.13020581691185401</v>
      </c>
      <c r="P54" s="4">
        <f>VLOOKUP(J54,Total!A:P,11,0)</f>
        <v>0.141941037502269</v>
      </c>
      <c r="R54" s="1">
        <f t="shared" si="8"/>
        <v>38443</v>
      </c>
      <c r="S54" s="4">
        <f>-VLOOKUP(J54,A:G,5,0)</f>
        <v>9.3576861781285603E-2</v>
      </c>
      <c r="T54" s="4">
        <f>VLOOKUP(J54,Total!A:P,8,0)</f>
        <v>7.8136807387280405E-2</v>
      </c>
      <c r="V54" s="1">
        <f t="shared" si="9"/>
        <v>38443</v>
      </c>
      <c r="W54" s="4">
        <f>VLOOKUP(J54,A:G,4,0)</f>
        <v>0.13020581691185401</v>
      </c>
      <c r="X54" s="4">
        <f>VLOOKUP(J54,Total!A:P,12,0)+VLOOKUP(J54,Total!A:P,13,0)</f>
        <v>0.12132104703647639</v>
      </c>
      <c r="Z54" s="1">
        <f t="shared" si="10"/>
        <v>38443</v>
      </c>
      <c r="AA54" s="4">
        <f>VLOOKUP(J54,A:G,7,0)</f>
        <v>0.14962090431887001</v>
      </c>
      <c r="AB54" s="4">
        <f>VLOOKUP(J54,Total!A:P,16,0)</f>
        <v>0.10640200639182806</v>
      </c>
      <c r="AD54" s="1">
        <f t="shared" si="4"/>
        <v>38443</v>
      </c>
      <c r="AE54" s="4">
        <f t="shared" si="5"/>
        <v>0.22586991688259495</v>
      </c>
      <c r="AF54" s="4">
        <f t="shared" si="6"/>
        <v>0.20036508014023546</v>
      </c>
    </row>
    <row r="55" spans="1:32" x14ac:dyDescent="0.25">
      <c r="A55" s="1">
        <v>38473</v>
      </c>
      <c r="B55" s="4">
        <v>8.9676789114044406E-2</v>
      </c>
      <c r="C55" s="4">
        <v>0.13337951545464699</v>
      </c>
      <c r="D55" s="4">
        <v>0.13337951545464699</v>
      </c>
      <c r="E55" s="4">
        <v>-9.4107658918168094E-2</v>
      </c>
      <c r="F55" s="4">
        <v>0.79263100811762699</v>
      </c>
      <c r="G55" s="4">
        <v>0.14450737908221301</v>
      </c>
      <c r="J55" s="1">
        <v>38473</v>
      </c>
      <c r="K55" s="4">
        <f>VLOOKUP(J55,A:G,2,0)</f>
        <v>8.9676789114044406E-2</v>
      </c>
      <c r="L55" s="4">
        <f>VLOOKUP(J55,Total!A:P,2,0)</f>
        <v>9.0731887649068504E-2</v>
      </c>
      <c r="N55" s="1">
        <f t="shared" si="7"/>
        <v>38473</v>
      </c>
      <c r="O55" s="4">
        <f>VLOOKUP(J55,A:G,3,0)</f>
        <v>0.13337951545464699</v>
      </c>
      <c r="P55" s="4">
        <f>VLOOKUP(J55,Total!A:P,11,0)</f>
        <v>0.158937503229854</v>
      </c>
      <c r="R55" s="1">
        <f t="shared" si="8"/>
        <v>38473</v>
      </c>
      <c r="S55" s="4">
        <f>-VLOOKUP(J55,A:G,5,0)</f>
        <v>9.4107658918168094E-2</v>
      </c>
      <c r="T55" s="4">
        <f>VLOOKUP(J55,Total!A:P,8,0)</f>
        <v>8.0893327408792695E-2</v>
      </c>
      <c r="V55" s="1">
        <f t="shared" si="9"/>
        <v>38473</v>
      </c>
      <c r="W55" s="4">
        <f>VLOOKUP(J55,A:G,4,0)</f>
        <v>0.13337951545464699</v>
      </c>
      <c r="X55" s="4">
        <f>VLOOKUP(J55,Total!A:P,12,0)+VLOOKUP(J55,Total!A:P,13,0)</f>
        <v>0.13184867818365259</v>
      </c>
      <c r="Z55" s="1">
        <f t="shared" si="10"/>
        <v>38473</v>
      </c>
      <c r="AA55" s="4">
        <f>VLOOKUP(J55,A:G,7,0)</f>
        <v>0.14450737908221301</v>
      </c>
      <c r="AB55" s="4">
        <f>VLOOKUP(J55,Total!A:P,16,0)</f>
        <v>0.1197229365547412</v>
      </c>
      <c r="AD55" s="1">
        <f t="shared" si="4"/>
        <v>38473</v>
      </c>
      <c r="AE55" s="4">
        <f t="shared" si="5"/>
        <v>0.22748196195929449</v>
      </c>
      <c r="AF55" s="4">
        <f t="shared" si="6"/>
        <v>0.23888390291038658</v>
      </c>
    </row>
    <row r="56" spans="1:32" x14ac:dyDescent="0.25">
      <c r="A56" s="1">
        <v>38504</v>
      </c>
      <c r="B56" s="4">
        <v>9.0885005071767402E-2</v>
      </c>
      <c r="C56" s="4">
        <v>0.11856048347419799</v>
      </c>
      <c r="D56" s="4">
        <v>0.11856048347419799</v>
      </c>
      <c r="E56" s="4">
        <v>-9.7240416141367594E-2</v>
      </c>
      <c r="F56" s="4">
        <v>0.80056268926954999</v>
      </c>
      <c r="G56" s="4">
        <v>0.15284686723885499</v>
      </c>
      <c r="J56" s="1">
        <v>38504</v>
      </c>
      <c r="K56" s="4">
        <f>VLOOKUP(J56,A:G,2,0)</f>
        <v>9.0885005071767402E-2</v>
      </c>
      <c r="L56" s="4">
        <f>VLOOKUP(J56,Total!A:P,2,0)</f>
        <v>8.9164745156703598E-2</v>
      </c>
      <c r="N56" s="1">
        <f t="shared" si="7"/>
        <v>38504</v>
      </c>
      <c r="O56" s="4">
        <f>VLOOKUP(J56,A:G,3,0)</f>
        <v>0.11856048347419799</v>
      </c>
      <c r="P56" s="4">
        <f>VLOOKUP(J56,Total!A:P,11,0)</f>
        <v>0.14723833577173501</v>
      </c>
      <c r="R56" s="1">
        <f t="shared" si="8"/>
        <v>38504</v>
      </c>
      <c r="S56" s="4">
        <f>-VLOOKUP(J56,A:G,5,0)</f>
        <v>9.7240416141367594E-2</v>
      </c>
      <c r="T56" s="4">
        <f>VLOOKUP(J56,Total!A:P,8,0)</f>
        <v>8.3730846284820096E-2</v>
      </c>
      <c r="V56" s="1">
        <f t="shared" si="9"/>
        <v>38504</v>
      </c>
      <c r="W56" s="4">
        <f>VLOOKUP(J56,A:G,4,0)</f>
        <v>0.11856048347419799</v>
      </c>
      <c r="X56" s="4">
        <f>VLOOKUP(J56,Total!A:P,12,0)+VLOOKUP(J56,Total!A:P,13,0)</f>
        <v>0.1298600375964368</v>
      </c>
      <c r="Z56" s="1">
        <f t="shared" si="10"/>
        <v>38504</v>
      </c>
      <c r="AA56" s="4">
        <f>VLOOKUP(J56,A:G,7,0)</f>
        <v>0.15284686723885499</v>
      </c>
      <c r="AB56" s="4">
        <f>VLOOKUP(J56,Total!A:P,16,0)</f>
        <v>0.11322477836263367</v>
      </c>
      <c r="AD56" s="1">
        <f t="shared" si="4"/>
        <v>38504</v>
      </c>
      <c r="AE56" s="4">
        <f t="shared" si="5"/>
        <v>0.20184241297411604</v>
      </c>
      <c r="AF56" s="4">
        <f t="shared" si="6"/>
        <v>0.21742756028928178</v>
      </c>
    </row>
    <row r="57" spans="1:32" x14ac:dyDescent="0.25">
      <c r="A57" s="1">
        <v>38534</v>
      </c>
      <c r="B57" s="4">
        <v>8.8697063236260407E-2</v>
      </c>
      <c r="C57" s="4">
        <v>0.12954810171282499</v>
      </c>
      <c r="D57" s="4">
        <v>0.12954810171282499</v>
      </c>
      <c r="E57" s="4">
        <v>-9.5561729803041104E-2</v>
      </c>
      <c r="F57" s="4">
        <v>0.81579716884656694</v>
      </c>
      <c r="G57" s="4">
        <v>0.16159383514133599</v>
      </c>
      <c r="J57" s="1">
        <v>38534</v>
      </c>
      <c r="K57" s="4">
        <f>VLOOKUP(J57,A:G,2,0)</f>
        <v>8.8697063236260407E-2</v>
      </c>
      <c r="L57" s="4">
        <f>VLOOKUP(J57,Total!A:P,2,0)</f>
        <v>9.2654620046805206E-2</v>
      </c>
      <c r="N57" s="1">
        <f t="shared" si="7"/>
        <v>38534</v>
      </c>
      <c r="O57" s="4">
        <f>VLOOKUP(J57,A:G,3,0)</f>
        <v>0.12954810171282499</v>
      </c>
      <c r="P57" s="4">
        <f>VLOOKUP(J57,Total!A:P,11,0)</f>
        <v>0.148538738373304</v>
      </c>
      <c r="R57" s="1">
        <f t="shared" si="8"/>
        <v>38534</v>
      </c>
      <c r="S57" s="4">
        <f>-VLOOKUP(J57,A:G,5,0)</f>
        <v>9.5561729803041104E-2</v>
      </c>
      <c r="T57" s="4">
        <f>VLOOKUP(J57,Total!A:P,8,0)</f>
        <v>8.7464964246877303E-2</v>
      </c>
      <c r="V57" s="1">
        <f t="shared" si="9"/>
        <v>38534</v>
      </c>
      <c r="W57" s="4">
        <f>VLOOKUP(J57,A:G,4,0)</f>
        <v>0.12954810171282499</v>
      </c>
      <c r="X57" s="4">
        <f>VLOOKUP(J57,Total!A:P,12,0)+VLOOKUP(J57,Total!A:P,13,0)</f>
        <v>0.1156837002501909</v>
      </c>
      <c r="Z57" s="1">
        <f t="shared" si="10"/>
        <v>38534</v>
      </c>
      <c r="AA57" s="4">
        <f>VLOOKUP(J57,A:G,7,0)</f>
        <v>0.16159383514133599</v>
      </c>
      <c r="AB57" s="4">
        <f>VLOOKUP(J57,Total!A:P,16,0)</f>
        <v>0.11822227189540246</v>
      </c>
      <c r="AD57" s="1">
        <f t="shared" si="4"/>
        <v>38534</v>
      </c>
      <c r="AE57" s="4">
        <f t="shared" si="5"/>
        <v>0.23643124552768446</v>
      </c>
      <c r="AF57" s="4">
        <f t="shared" si="6"/>
        <v>0.2023251262252149</v>
      </c>
    </row>
    <row r="58" spans="1:32" x14ac:dyDescent="0.25">
      <c r="A58" s="1">
        <v>38565</v>
      </c>
      <c r="B58" s="4">
        <v>9.0073991069571105E-2</v>
      </c>
      <c r="C58" s="4">
        <v>0.12713926516895899</v>
      </c>
      <c r="D58" s="4">
        <v>0.12713926516895899</v>
      </c>
      <c r="E58" s="4">
        <v>-9.7877639537478703E-2</v>
      </c>
      <c r="F58" s="4">
        <v>0.83386115682740403</v>
      </c>
      <c r="G58" s="4">
        <v>0.153396994367337</v>
      </c>
      <c r="J58" s="1">
        <v>38565</v>
      </c>
      <c r="K58" s="4">
        <f>VLOOKUP(J58,A:G,2,0)</f>
        <v>9.0073991069571105E-2</v>
      </c>
      <c r="L58" s="4">
        <f>VLOOKUP(J58,Total!A:P,2,0)</f>
        <v>9.3457355231104294E-2</v>
      </c>
      <c r="N58" s="1">
        <f t="shared" si="7"/>
        <v>38565</v>
      </c>
      <c r="O58" s="4">
        <f>VLOOKUP(J58,A:G,3,0)</f>
        <v>0.12713926516895899</v>
      </c>
      <c r="P58" s="4">
        <f>VLOOKUP(J58,Total!A:P,11,0)</f>
        <v>0.15690723760292299</v>
      </c>
      <c r="R58" s="1">
        <f t="shared" si="8"/>
        <v>38565</v>
      </c>
      <c r="S58" s="4">
        <f>-VLOOKUP(J58,A:G,5,0)</f>
        <v>9.7877639537478703E-2</v>
      </c>
      <c r="T58" s="4">
        <f>VLOOKUP(J58,Total!A:P,8,0)</f>
        <v>8.7743008439580106E-2</v>
      </c>
      <c r="V58" s="1">
        <f t="shared" si="9"/>
        <v>38565</v>
      </c>
      <c r="W58" s="4">
        <f>VLOOKUP(J58,A:G,4,0)</f>
        <v>0.12713926516895899</v>
      </c>
      <c r="X58" s="4">
        <f>VLOOKUP(J58,Total!A:P,12,0)+VLOOKUP(J58,Total!A:P,13,0)</f>
        <v>0.13179283666904179</v>
      </c>
      <c r="Z58" s="1">
        <f t="shared" si="10"/>
        <v>38565</v>
      </c>
      <c r="AA58" s="4">
        <f>VLOOKUP(J58,A:G,7,0)</f>
        <v>0.153396994367337</v>
      </c>
      <c r="AB58" s="4">
        <f>VLOOKUP(J58,Total!A:P,16,0)</f>
        <v>0.13231412401664455</v>
      </c>
      <c r="AD58" s="1">
        <f t="shared" si="4"/>
        <v>38565</v>
      </c>
      <c r="AE58" s="4">
        <f t="shared" si="5"/>
        <v>0.21972389409820525</v>
      </c>
      <c r="AF58" s="4">
        <f t="shared" si="6"/>
        <v>0.23981383461792499</v>
      </c>
    </row>
    <row r="59" spans="1:32" x14ac:dyDescent="0.25">
      <c r="A59" s="1">
        <v>38596</v>
      </c>
      <c r="B59" s="4">
        <v>9.0756754729030706E-2</v>
      </c>
      <c r="C59" s="4">
        <v>0.13080508895621501</v>
      </c>
      <c r="D59" s="4">
        <v>0.13080508895621501</v>
      </c>
      <c r="E59" s="4">
        <v>-9.8793413034423794E-2</v>
      </c>
      <c r="F59" s="4">
        <v>0.81970090097333903</v>
      </c>
      <c r="G59" s="4">
        <v>0.17182987729452701</v>
      </c>
      <c r="J59" s="1">
        <v>38596</v>
      </c>
      <c r="K59" s="4">
        <f>VLOOKUP(J59,A:G,2,0)</f>
        <v>9.0756754729030706E-2</v>
      </c>
      <c r="L59" s="4">
        <f>VLOOKUP(J59,Total!A:P,2,0)</f>
        <v>9.3681634592915702E-2</v>
      </c>
      <c r="N59" s="1">
        <f t="shared" si="7"/>
        <v>38596</v>
      </c>
      <c r="O59" s="4">
        <f>VLOOKUP(J59,A:G,3,0)</f>
        <v>0.13080508895621501</v>
      </c>
      <c r="P59" s="4">
        <f>VLOOKUP(J59,Total!A:P,11,0)</f>
        <v>0.14531816865743499</v>
      </c>
      <c r="R59" s="1">
        <f t="shared" si="8"/>
        <v>38596</v>
      </c>
      <c r="S59" s="4">
        <f>-VLOOKUP(J59,A:G,5,0)</f>
        <v>9.8793413034423794E-2</v>
      </c>
      <c r="T59" s="4">
        <f>VLOOKUP(J59,Total!A:P,8,0)</f>
        <v>9.3510313786953597E-2</v>
      </c>
      <c r="V59" s="1">
        <f t="shared" si="9"/>
        <v>38596</v>
      </c>
      <c r="W59" s="4">
        <f>VLOOKUP(J59,A:G,4,0)</f>
        <v>0.13080508895621501</v>
      </c>
      <c r="X59" s="4">
        <f>VLOOKUP(J59,Total!A:P,12,0)+VLOOKUP(J59,Total!A:P,13,0)</f>
        <v>0.133215749412149</v>
      </c>
      <c r="Z59" s="1">
        <f t="shared" si="10"/>
        <v>38596</v>
      </c>
      <c r="AA59" s="4">
        <f>VLOOKUP(J59,A:G,7,0)</f>
        <v>0.17182987729452701</v>
      </c>
      <c r="AB59" s="4">
        <f>VLOOKUP(J59,Total!A:P,16,0)</f>
        <v>0.14227951271815908</v>
      </c>
      <c r="AD59" s="1">
        <f t="shared" si="4"/>
        <v>38596</v>
      </c>
      <c r="AE59" s="4">
        <f t="shared" si="5"/>
        <v>0.24388988744350254</v>
      </c>
      <c r="AF59" s="4">
        <f t="shared" si="6"/>
        <v>0.23362148240787375</v>
      </c>
    </row>
    <row r="60" spans="1:32" x14ac:dyDescent="0.25">
      <c r="A60" s="1">
        <v>38626</v>
      </c>
      <c r="B60" s="4">
        <v>9.0265536194633206E-2</v>
      </c>
      <c r="C60" s="4">
        <v>0.125298029970385</v>
      </c>
      <c r="D60" s="4">
        <v>0.125298029970385</v>
      </c>
      <c r="E60" s="4">
        <v>-0.10187860898708299</v>
      </c>
      <c r="F60" s="4">
        <v>0.83989815072666296</v>
      </c>
      <c r="G60" s="4">
        <v>0.171693259818998</v>
      </c>
      <c r="J60" s="1">
        <v>38626</v>
      </c>
      <c r="K60" s="4">
        <f>VLOOKUP(J60,A:G,2,0)</f>
        <v>9.0265536194633206E-2</v>
      </c>
      <c r="L60" s="4">
        <f>VLOOKUP(J60,Total!A:P,2,0)</f>
        <v>9.25574881650197E-2</v>
      </c>
      <c r="N60" s="1">
        <f t="shared" si="7"/>
        <v>38626</v>
      </c>
      <c r="O60" s="4">
        <f>VLOOKUP(J60,A:G,3,0)</f>
        <v>0.125298029970385</v>
      </c>
      <c r="P60" s="4">
        <f>VLOOKUP(J60,Total!A:P,11,0)</f>
        <v>0.13950681533510001</v>
      </c>
      <c r="R60" s="1">
        <f t="shared" si="8"/>
        <v>38626</v>
      </c>
      <c r="S60" s="4">
        <f>-VLOOKUP(J60,A:G,5,0)</f>
        <v>0.10187860898708299</v>
      </c>
      <c r="T60" s="4">
        <f>VLOOKUP(J60,Total!A:P,8,0)</f>
        <v>8.4119891266667704E-2</v>
      </c>
      <c r="V60" s="1">
        <f t="shared" si="9"/>
        <v>38626</v>
      </c>
      <c r="W60" s="4">
        <f>VLOOKUP(J60,A:G,4,0)</f>
        <v>0.125298029970385</v>
      </c>
      <c r="X60" s="4">
        <f>VLOOKUP(J60,Total!A:P,12,0)+VLOOKUP(J60,Total!A:P,13,0)</f>
        <v>0.13627926115122801</v>
      </c>
      <c r="Z60" s="1">
        <f t="shared" si="10"/>
        <v>38626</v>
      </c>
      <c r="AA60" s="4">
        <f>VLOOKUP(J60,A:G,7,0)</f>
        <v>0.171693259818998</v>
      </c>
      <c r="AB60" s="4">
        <f>VLOOKUP(J60,Total!A:P,16,0)</f>
        <v>0.13046150612588736</v>
      </c>
      <c r="AD60" s="1">
        <f t="shared" si="4"/>
        <v>38626</v>
      </c>
      <c r="AE60" s="4">
        <f t="shared" si="5"/>
        <v>0.23014517457805184</v>
      </c>
      <c r="AF60" s="4">
        <f t="shared" si="6"/>
        <v>0.22957020318052801</v>
      </c>
    </row>
    <row r="61" spans="1:32" x14ac:dyDescent="0.25">
      <c r="A61" s="1">
        <v>38657</v>
      </c>
      <c r="B61" s="4">
        <v>8.6185833204277196E-2</v>
      </c>
      <c r="C61" s="4">
        <v>0.130220782717689</v>
      </c>
      <c r="D61" s="4">
        <v>0.130220782717689</v>
      </c>
      <c r="E61" s="4">
        <v>-0.100257048116629</v>
      </c>
      <c r="F61" s="4">
        <v>0.82322128120819305</v>
      </c>
      <c r="G61" s="4">
        <v>0.17063559329712299</v>
      </c>
      <c r="J61" s="1">
        <v>38657</v>
      </c>
      <c r="K61" s="4">
        <f>VLOOKUP(J61,A:G,2,0)</f>
        <v>8.6185833204277196E-2</v>
      </c>
      <c r="L61" s="4">
        <f>VLOOKUP(J61,Total!A:P,2,0)</f>
        <v>9.5903516545019704E-2</v>
      </c>
      <c r="N61" s="1">
        <f t="shared" si="7"/>
        <v>38657</v>
      </c>
      <c r="O61" s="4">
        <f>VLOOKUP(J61,A:G,3,0)</f>
        <v>0.130220782717689</v>
      </c>
      <c r="P61" s="4">
        <f>VLOOKUP(J61,Total!A:P,11,0)</f>
        <v>0.158090442517901</v>
      </c>
      <c r="R61" s="1">
        <f t="shared" si="8"/>
        <v>38657</v>
      </c>
      <c r="S61" s="4">
        <f>-VLOOKUP(J61,A:G,5,0)</f>
        <v>0.100257048116629</v>
      </c>
      <c r="T61" s="4">
        <f>VLOOKUP(J61,Total!A:P,8,0)</f>
        <v>9.2067460125968503E-2</v>
      </c>
      <c r="V61" s="1">
        <f t="shared" si="9"/>
        <v>38657</v>
      </c>
      <c r="W61" s="4">
        <f>VLOOKUP(J61,A:G,4,0)</f>
        <v>0.130220782717689</v>
      </c>
      <c r="X61" s="4">
        <f>VLOOKUP(J61,Total!A:P,12,0)+VLOOKUP(J61,Total!A:P,13,0)</f>
        <v>0.1228063186529387</v>
      </c>
      <c r="Z61" s="1">
        <f t="shared" si="10"/>
        <v>38657</v>
      </c>
      <c r="AA61" s="4">
        <f>VLOOKUP(J61,A:G,7,0)</f>
        <v>0.17063559329712299</v>
      </c>
      <c r="AB61" s="4">
        <f>VLOOKUP(J61,Total!A:P,16,0)</f>
        <v>0.13493888889124839</v>
      </c>
      <c r="AD61" s="1">
        <f t="shared" si="4"/>
        <v>38657</v>
      </c>
      <c r="AE61" s="4">
        <f t="shared" si="5"/>
        <v>0.24463427741159477</v>
      </c>
      <c r="AF61" s="4">
        <f t="shared" si="6"/>
        <v>0.22786467339109989</v>
      </c>
    </row>
    <row r="62" spans="1:32" x14ac:dyDescent="0.25">
      <c r="A62" s="1">
        <v>38687</v>
      </c>
      <c r="B62" s="4">
        <v>8.7072161291370506E-2</v>
      </c>
      <c r="C62" s="4">
        <v>0.12042697585246701</v>
      </c>
      <c r="D62" s="4">
        <v>0.12042697585246701</v>
      </c>
      <c r="E62" s="4">
        <v>-9.9707333917942106E-2</v>
      </c>
      <c r="F62" s="4">
        <v>0.81875063239549295</v>
      </c>
      <c r="G62" s="4">
        <v>0.176342462176651</v>
      </c>
      <c r="J62" s="1">
        <v>38687</v>
      </c>
      <c r="K62" s="4">
        <f>VLOOKUP(J62,A:G,2,0)</f>
        <v>8.7072161291370506E-2</v>
      </c>
      <c r="L62" s="4">
        <f>VLOOKUP(J62,Total!A:P,2,0)</f>
        <v>9.4850436391437906E-2</v>
      </c>
      <c r="N62" s="1">
        <f t="shared" si="7"/>
        <v>38687</v>
      </c>
      <c r="O62" s="4">
        <f>VLOOKUP(J62,A:G,3,0)</f>
        <v>0.12042697585246701</v>
      </c>
      <c r="P62" s="4">
        <f>VLOOKUP(J62,Total!A:P,11,0)</f>
        <v>0.14648422503922601</v>
      </c>
      <c r="R62" s="1">
        <f t="shared" si="8"/>
        <v>38687</v>
      </c>
      <c r="S62" s="4">
        <f>-VLOOKUP(J62,A:G,5,0)</f>
        <v>9.9707333917942106E-2</v>
      </c>
      <c r="T62" s="4">
        <f>VLOOKUP(J62,Total!A:P,8,0)</f>
        <v>9.9513289599563001E-2</v>
      </c>
      <c r="V62" s="1">
        <f t="shared" si="9"/>
        <v>38687</v>
      </c>
      <c r="W62" s="4">
        <f>VLOOKUP(J62,A:G,4,0)</f>
        <v>0.12042697585246701</v>
      </c>
      <c r="X62" s="4">
        <f>VLOOKUP(J62,Total!A:P,12,0)+VLOOKUP(J62,Total!A:P,13,0)</f>
        <v>0.1338439005167775</v>
      </c>
      <c r="Z62" s="1">
        <f t="shared" si="10"/>
        <v>38687</v>
      </c>
      <c r="AA62" s="4">
        <f>VLOOKUP(J62,A:G,7,0)</f>
        <v>0.176342462176651</v>
      </c>
      <c r="AB62" s="4">
        <f>VLOOKUP(J62,Total!A:P,16,0)</f>
        <v>0.15225396316589102</v>
      </c>
      <c r="AD62" s="1">
        <f t="shared" si="4"/>
        <v>38687</v>
      </c>
      <c r="AE62" s="4">
        <f t="shared" si="5"/>
        <v>0.23041691867227238</v>
      </c>
      <c r="AF62" s="4">
        <f t="shared" si="6"/>
        <v>0.23821836273089358</v>
      </c>
    </row>
    <row r="63" spans="1:32" x14ac:dyDescent="0.25">
      <c r="A63" s="1">
        <v>38718</v>
      </c>
      <c r="B63" s="4">
        <v>8.6098485107399703E-2</v>
      </c>
      <c r="C63" s="4">
        <v>0.12368979144482301</v>
      </c>
      <c r="D63" s="4">
        <v>0.12368979144482301</v>
      </c>
      <c r="E63" s="4">
        <v>-9.60755264703263E-2</v>
      </c>
      <c r="F63" s="4">
        <v>0.82533688850377795</v>
      </c>
      <c r="G63" s="4">
        <v>0.17412232819013199</v>
      </c>
      <c r="J63" s="1">
        <v>38718</v>
      </c>
      <c r="K63" s="4">
        <f>VLOOKUP(J63,A:G,2,0)</f>
        <v>8.6098485107399703E-2</v>
      </c>
      <c r="L63" s="4">
        <f>VLOOKUP(J63,Total!A:P,2,0)</f>
        <v>9.6094282755908894E-2</v>
      </c>
      <c r="N63" s="1">
        <f t="shared" si="7"/>
        <v>38718</v>
      </c>
      <c r="O63" s="4">
        <f>VLOOKUP(J63,A:G,3,0)</f>
        <v>0.12368979144482301</v>
      </c>
      <c r="P63" s="4">
        <f>VLOOKUP(J63,Total!A:P,11,0)</f>
        <v>0.161739236116024</v>
      </c>
      <c r="R63" s="1">
        <f t="shared" si="8"/>
        <v>38718</v>
      </c>
      <c r="S63" s="4">
        <f>-VLOOKUP(J63,A:G,5,0)</f>
        <v>9.60755264703263E-2</v>
      </c>
      <c r="T63" s="4">
        <f>VLOOKUP(J63,Total!A:P,8,0)</f>
        <v>9.0353727581744495E-2</v>
      </c>
      <c r="V63" s="1">
        <f t="shared" si="9"/>
        <v>38718</v>
      </c>
      <c r="W63" s="4">
        <f>VLOOKUP(J63,A:G,4,0)</f>
        <v>0.12368979144482301</v>
      </c>
      <c r="X63" s="4">
        <f>VLOOKUP(J63,Total!A:P,12,0)+VLOOKUP(J63,Total!A:P,13,0)</f>
        <v>0.1726415972744488</v>
      </c>
      <c r="Z63" s="1">
        <f t="shared" si="10"/>
        <v>38718</v>
      </c>
      <c r="AA63" s="4">
        <f>VLOOKUP(J63,A:G,7,0)</f>
        <v>0.17412232819013199</v>
      </c>
      <c r="AB63" s="4">
        <f>VLOOKUP(J63,Total!A:P,16,0)</f>
        <v>0.14064616498169324</v>
      </c>
      <c r="AD63" s="1">
        <f t="shared" si="4"/>
        <v>38718</v>
      </c>
      <c r="AE63" s="4">
        <f t="shared" si="5"/>
        <v>0.23932789950205202</v>
      </c>
      <c r="AF63" s="4">
        <f t="shared" si="6"/>
        <v>0.28857898803451271</v>
      </c>
    </row>
    <row r="64" spans="1:32" x14ac:dyDescent="0.25">
      <c r="A64" s="1">
        <v>38749</v>
      </c>
      <c r="B64" s="4">
        <v>9.1813861884956396E-2</v>
      </c>
      <c r="C64" s="4">
        <v>0.128541969613161</v>
      </c>
      <c r="D64" s="4">
        <v>0.128541969613161</v>
      </c>
      <c r="E64" s="4">
        <v>-0.10268963535492499</v>
      </c>
      <c r="F64" s="4">
        <v>0.80824748548980996</v>
      </c>
      <c r="G64" s="4">
        <v>0.19161199902188</v>
      </c>
      <c r="J64" s="1">
        <v>38749</v>
      </c>
      <c r="K64" s="4">
        <f>VLOOKUP(J64,A:G,2,0)</f>
        <v>9.1813861884956396E-2</v>
      </c>
      <c r="L64" s="4">
        <f>VLOOKUP(J64,Total!A:P,2,0)</f>
        <v>9.7786257797294093E-2</v>
      </c>
      <c r="N64" s="1">
        <f t="shared" si="7"/>
        <v>38749</v>
      </c>
      <c r="O64" s="4">
        <f>VLOOKUP(J64,A:G,3,0)</f>
        <v>0.128541969613161</v>
      </c>
      <c r="P64" s="4">
        <f>VLOOKUP(J64,Total!A:P,11,0)</f>
        <v>0.14713359775881299</v>
      </c>
      <c r="R64" s="1">
        <f t="shared" si="8"/>
        <v>38749</v>
      </c>
      <c r="S64" s="4">
        <f>-VLOOKUP(J64,A:G,5,0)</f>
        <v>0.10268963535492499</v>
      </c>
      <c r="T64" s="4">
        <f>VLOOKUP(J64,Total!A:P,8,0)</f>
        <v>9.9337321075039606E-2</v>
      </c>
      <c r="V64" s="1">
        <f t="shared" si="9"/>
        <v>38749</v>
      </c>
      <c r="W64" s="4">
        <f>VLOOKUP(J64,A:G,4,0)</f>
        <v>0.128541969613161</v>
      </c>
      <c r="X64" s="4">
        <f>VLOOKUP(J64,Total!A:P,12,0)+VLOOKUP(J64,Total!A:P,13,0)</f>
        <v>0.1203164762893764</v>
      </c>
      <c r="Z64" s="1">
        <f t="shared" si="10"/>
        <v>38749</v>
      </c>
      <c r="AA64" s="4">
        <f>VLOOKUP(J64,A:G,7,0)</f>
        <v>0.19161199902188</v>
      </c>
      <c r="AB64" s="4">
        <f>VLOOKUP(J64,Total!A:P,16,0)</f>
        <v>0.16508464938924372</v>
      </c>
      <c r="AD64" s="1">
        <f t="shared" si="4"/>
        <v>38749</v>
      </c>
      <c r="AE64" s="4">
        <f t="shared" si="5"/>
        <v>0.25419244100832061</v>
      </c>
      <c r="AF64" s="4">
        <f t="shared" si="6"/>
        <v>0.23541114456509937</v>
      </c>
    </row>
    <row r="65" spans="1:32" x14ac:dyDescent="0.25">
      <c r="A65" s="1">
        <v>38777</v>
      </c>
      <c r="B65" s="4">
        <v>8.9366191077645596E-2</v>
      </c>
      <c r="C65" s="4">
        <v>0.13451878267992101</v>
      </c>
      <c r="D65" s="4">
        <v>0.13451878267992101</v>
      </c>
      <c r="E65" s="4">
        <v>-0.10223943490611501</v>
      </c>
      <c r="F65" s="4">
        <v>0.81110558141874101</v>
      </c>
      <c r="G65" s="4">
        <v>0.17936510382555099</v>
      </c>
      <c r="J65" s="1">
        <v>38777</v>
      </c>
      <c r="K65" s="4">
        <f>VLOOKUP(J65,A:G,2,0)</f>
        <v>8.9366191077645596E-2</v>
      </c>
      <c r="L65" s="4">
        <f>VLOOKUP(J65,Total!A:P,2,0)</f>
        <v>9.4294816298418196E-2</v>
      </c>
      <c r="N65" s="1">
        <f t="shared" si="7"/>
        <v>38777</v>
      </c>
      <c r="O65" s="4">
        <f>VLOOKUP(J65,A:G,3,0)</f>
        <v>0.13451878267992101</v>
      </c>
      <c r="P65" s="4">
        <f>VLOOKUP(J65,Total!A:P,11,0)</f>
        <v>0.153903509916826</v>
      </c>
      <c r="R65" s="1">
        <f t="shared" si="8"/>
        <v>38777</v>
      </c>
      <c r="S65" s="4">
        <f>-VLOOKUP(J65,A:G,5,0)</f>
        <v>0.10223943490611501</v>
      </c>
      <c r="T65" s="4">
        <f>VLOOKUP(J65,Total!A:P,8,0)</f>
        <v>0.100144652214519</v>
      </c>
      <c r="V65" s="1">
        <f t="shared" si="9"/>
        <v>38777</v>
      </c>
      <c r="W65" s="4">
        <f>VLOOKUP(J65,A:G,4,0)</f>
        <v>0.13451878267992101</v>
      </c>
      <c r="X65" s="4">
        <f>VLOOKUP(J65,Total!A:P,12,0)+VLOOKUP(J65,Total!A:P,13,0)</f>
        <v>0.1262510290138569</v>
      </c>
      <c r="Z65" s="1">
        <f t="shared" si="10"/>
        <v>38777</v>
      </c>
      <c r="AA65" s="4">
        <f>VLOOKUP(J65,A:G,7,0)</f>
        <v>0.17936510382555099</v>
      </c>
      <c r="AB65" s="4">
        <f>VLOOKUP(J65,Total!A:P,16,0)</f>
        <v>0.17004358498600713</v>
      </c>
      <c r="AD65" s="1">
        <f t="shared" si="4"/>
        <v>38777</v>
      </c>
      <c r="AE65" s="4">
        <f t="shared" si="5"/>
        <v>0.25679704320163244</v>
      </c>
      <c r="AF65" s="4">
        <f t="shared" si="6"/>
        <v>0.25575865540375281</v>
      </c>
    </row>
    <row r="66" spans="1:32" x14ac:dyDescent="0.25">
      <c r="A66" s="1">
        <v>38808</v>
      </c>
      <c r="B66" s="4">
        <v>8.9640605649553895E-2</v>
      </c>
      <c r="C66" s="4">
        <v>0.11988881587219</v>
      </c>
      <c r="D66" s="4">
        <v>0.11988881587219</v>
      </c>
      <c r="E66" s="4">
        <v>-9.9154458830349998E-2</v>
      </c>
      <c r="F66" s="4">
        <v>0.85225047311711399</v>
      </c>
      <c r="G66" s="4">
        <v>0.16225788593125001</v>
      </c>
      <c r="J66" s="1">
        <v>38808</v>
      </c>
      <c r="K66" s="4">
        <f>VLOOKUP(J66,A:G,2,0)</f>
        <v>8.9640605649553895E-2</v>
      </c>
      <c r="L66" s="4">
        <f>VLOOKUP(J66,Total!A:P,2,0)</f>
        <v>9.5080152792324693E-2</v>
      </c>
      <c r="N66" s="1">
        <f t="shared" si="7"/>
        <v>38808</v>
      </c>
      <c r="O66" s="4">
        <f>VLOOKUP(J66,A:G,3,0)</f>
        <v>0.11988881587219</v>
      </c>
      <c r="P66" s="4">
        <f>VLOOKUP(J66,Total!A:P,11,0)</f>
        <v>0.16927235667726001</v>
      </c>
      <c r="R66" s="1">
        <f t="shared" si="8"/>
        <v>38808</v>
      </c>
      <c r="S66" s="4">
        <f>-VLOOKUP(J66,A:G,5,0)</f>
        <v>9.9154458830349998E-2</v>
      </c>
      <c r="T66" s="4">
        <f>VLOOKUP(J66,Total!A:P,8,0)</f>
        <v>0.100319001386367</v>
      </c>
      <c r="V66" s="1">
        <f t="shared" si="9"/>
        <v>38808</v>
      </c>
      <c r="W66" s="4">
        <f>VLOOKUP(J66,A:G,4,0)</f>
        <v>0.11988881587219</v>
      </c>
      <c r="X66" s="4">
        <f>VLOOKUP(J66,Total!A:P,12,0)+VLOOKUP(J66,Total!A:P,13,0)</f>
        <v>8.3321737236440596E-2</v>
      </c>
      <c r="Z66" s="1">
        <f t="shared" si="10"/>
        <v>38808</v>
      </c>
      <c r="AA66" s="4">
        <f>VLOOKUP(J66,A:G,7,0)</f>
        <v>0.16225788593125001</v>
      </c>
      <c r="AB66" s="4">
        <f>VLOOKUP(J66,Total!A:P,16,0)</f>
        <v>0.1645283484577218</v>
      </c>
      <c r="AD66" s="1">
        <f t="shared" si="4"/>
        <v>38808</v>
      </c>
      <c r="AE66" s="4">
        <f t="shared" si="5"/>
        <v>0.21324045319572615</v>
      </c>
      <c r="AF66" s="4">
        <f t="shared" si="6"/>
        <v>0.22172328819273074</v>
      </c>
    </row>
    <row r="67" spans="1:32" x14ac:dyDescent="0.25">
      <c r="A67" s="1">
        <v>38838</v>
      </c>
      <c r="B67" s="4">
        <v>8.9093104090694694E-2</v>
      </c>
      <c r="C67" s="4">
        <v>0.12745178652011699</v>
      </c>
      <c r="D67" s="4">
        <v>0.12745178652011699</v>
      </c>
      <c r="E67" s="4">
        <v>-0.100311352724878</v>
      </c>
      <c r="F67" s="4">
        <v>0.82766209578273098</v>
      </c>
      <c r="G67" s="4">
        <v>0.18840934173101101</v>
      </c>
      <c r="J67" s="1">
        <v>38838</v>
      </c>
      <c r="K67" s="4">
        <f>VLOOKUP(J67,A:G,2,0)</f>
        <v>8.9093104090694694E-2</v>
      </c>
      <c r="L67" s="4">
        <f>VLOOKUP(J67,Total!A:P,2,0)</f>
        <v>9.6855707248384507E-2</v>
      </c>
      <c r="N67" s="1">
        <f t="shared" si="7"/>
        <v>38838</v>
      </c>
      <c r="O67" s="4">
        <f>VLOOKUP(J67,A:G,3,0)</f>
        <v>0.12745178652011699</v>
      </c>
      <c r="P67" s="4">
        <f>VLOOKUP(J67,Total!A:P,11,0)</f>
        <v>0.15615516296239901</v>
      </c>
      <c r="R67" s="1">
        <f t="shared" si="8"/>
        <v>38838</v>
      </c>
      <c r="S67" s="4">
        <f>-VLOOKUP(J67,A:G,5,0)</f>
        <v>0.100311352724878</v>
      </c>
      <c r="T67" s="4">
        <f>VLOOKUP(J67,Total!A:P,8,0)</f>
        <v>9.8483464531833806E-2</v>
      </c>
      <c r="V67" s="1">
        <f t="shared" si="9"/>
        <v>38838</v>
      </c>
      <c r="W67" s="4">
        <f>VLOOKUP(J67,A:G,4,0)</f>
        <v>0.12745178652011699</v>
      </c>
      <c r="X67" s="4">
        <f>VLOOKUP(J67,Total!A:P,12,0)+VLOOKUP(J67,Total!A:P,13,0)</f>
        <v>9.8298742507478692E-2</v>
      </c>
      <c r="Z67" s="1">
        <f t="shared" si="10"/>
        <v>38838</v>
      </c>
      <c r="AA67" s="4">
        <f>VLOOKUP(J67,A:G,7,0)</f>
        <v>0.18840934173101101</v>
      </c>
      <c r="AB67" s="4">
        <f>VLOOKUP(J67,Total!A:P,16,0)</f>
        <v>0.17042558082607817</v>
      </c>
      <c r="AD67" s="1">
        <f t="shared" ref="AD67:AD130" si="11">Z67</f>
        <v>38838</v>
      </c>
      <c r="AE67" s="4">
        <f t="shared" si="5"/>
        <v>0.2539084579556723</v>
      </c>
      <c r="AF67" s="4">
        <f t="shared" si="6"/>
        <v>0.22954031451573753</v>
      </c>
    </row>
    <row r="68" spans="1:32" x14ac:dyDescent="0.25">
      <c r="A68" s="1">
        <v>38869</v>
      </c>
      <c r="B68" s="4">
        <v>8.6557512675460593E-2</v>
      </c>
      <c r="C68" s="4">
        <v>0.122748949282419</v>
      </c>
      <c r="D68" s="4">
        <v>0.122748949282419</v>
      </c>
      <c r="E68" s="4">
        <v>-0.10031134507216</v>
      </c>
      <c r="F68" s="4">
        <v>0.854312647908265</v>
      </c>
      <c r="G68" s="4">
        <v>0.15670948010290101</v>
      </c>
      <c r="J68" s="1">
        <v>38869</v>
      </c>
      <c r="K68" s="4">
        <f>VLOOKUP(J68,A:G,2,0)</f>
        <v>8.6557512675460593E-2</v>
      </c>
      <c r="L68" s="4">
        <f>VLOOKUP(J68,Total!A:P,2,0)</f>
        <v>9.7332281743985893E-2</v>
      </c>
      <c r="N68" s="1">
        <f t="shared" si="7"/>
        <v>38869</v>
      </c>
      <c r="O68" s="4">
        <f>VLOOKUP(J68,A:G,3,0)</f>
        <v>0.122748949282419</v>
      </c>
      <c r="P68" s="4">
        <f>VLOOKUP(J68,Total!A:P,11,0)</f>
        <v>0.16107816687947701</v>
      </c>
      <c r="R68" s="1">
        <f t="shared" si="8"/>
        <v>38869</v>
      </c>
      <c r="S68" s="4">
        <f>-VLOOKUP(J68,A:G,5,0)</f>
        <v>0.10031134507216</v>
      </c>
      <c r="T68" s="4">
        <f>VLOOKUP(J68,Total!A:P,8,0)</f>
        <v>9.2566650140280093E-2</v>
      </c>
      <c r="V68" s="1">
        <f t="shared" si="9"/>
        <v>38869</v>
      </c>
      <c r="W68" s="4">
        <f>VLOOKUP(J68,A:G,4,0)</f>
        <v>0.122748949282419</v>
      </c>
      <c r="X68" s="4">
        <f>VLOOKUP(J68,Total!A:P,12,0)+VLOOKUP(J68,Total!A:P,13,0)</f>
        <v>9.6616713815321109E-2</v>
      </c>
      <c r="Z68" s="1">
        <f t="shared" si="10"/>
        <v>38869</v>
      </c>
      <c r="AA68" s="4">
        <f>VLOOKUP(J68,A:G,7,0)</f>
        <v>0.15670948010290101</v>
      </c>
      <c r="AB68" s="4">
        <f>VLOOKUP(J68,Total!A:P,16,0)</f>
        <v>0.18560191418507599</v>
      </c>
      <c r="AD68" s="1">
        <f t="shared" si="11"/>
        <v>38869</v>
      </c>
      <c r="AE68" s="4">
        <f t="shared" ref="AE68:AE131" si="12">AA68+O68+W68-K68-S68</f>
        <v>0.21533852092011846</v>
      </c>
      <c r="AF68" s="4">
        <f t="shared" ref="AF68:AF131" si="13">AB68+P68+X68-L68-T68</f>
        <v>0.25339786299560813</v>
      </c>
    </row>
    <row r="69" spans="1:32" x14ac:dyDescent="0.25">
      <c r="A69" s="1">
        <v>38899</v>
      </c>
      <c r="B69" s="4">
        <v>8.9905783201335701E-2</v>
      </c>
      <c r="C69" s="4">
        <v>0.115856003896987</v>
      </c>
      <c r="D69" s="4">
        <v>0.115856003896987</v>
      </c>
      <c r="E69" s="4">
        <v>-0.10302133808851099</v>
      </c>
      <c r="F69" s="4">
        <v>0.82468430372022705</v>
      </c>
      <c r="G69" s="4">
        <v>0.19576276807359</v>
      </c>
      <c r="J69" s="1">
        <v>38899</v>
      </c>
      <c r="K69" s="4">
        <f>VLOOKUP(J69,A:G,2,0)</f>
        <v>8.9905783201335701E-2</v>
      </c>
      <c r="L69" s="4">
        <f>VLOOKUP(J69,Total!A:P,2,0)</f>
        <v>9.6880907776892206E-2</v>
      </c>
      <c r="N69" s="1">
        <f t="shared" si="7"/>
        <v>38899</v>
      </c>
      <c r="O69" s="4">
        <f>VLOOKUP(J69,A:G,3,0)</f>
        <v>0.115856003896987</v>
      </c>
      <c r="P69" s="4">
        <f>VLOOKUP(J69,Total!A:P,11,0)</f>
        <v>0.16320290962662601</v>
      </c>
      <c r="R69" s="1">
        <f t="shared" si="8"/>
        <v>38899</v>
      </c>
      <c r="S69" s="4">
        <f>-VLOOKUP(J69,A:G,5,0)</f>
        <v>0.10302133808851099</v>
      </c>
      <c r="T69" s="4">
        <f>VLOOKUP(J69,Total!A:P,8,0)</f>
        <v>9.5510377115872999E-2</v>
      </c>
      <c r="V69" s="1">
        <f t="shared" si="9"/>
        <v>38899</v>
      </c>
      <c r="W69" s="4">
        <f>VLOOKUP(J69,A:G,4,0)</f>
        <v>0.115856003896987</v>
      </c>
      <c r="X69" s="4">
        <f>VLOOKUP(J69,Total!A:P,12,0)+VLOOKUP(J69,Total!A:P,13,0)</f>
        <v>0.1069924264934588</v>
      </c>
      <c r="Z69" s="1">
        <f t="shared" si="10"/>
        <v>38899</v>
      </c>
      <c r="AA69" s="4">
        <f>VLOOKUP(J69,A:G,7,0)</f>
        <v>0.19576276807359</v>
      </c>
      <c r="AB69" s="4">
        <f>VLOOKUP(J69,Total!A:P,16,0)</f>
        <v>0.19672847929598913</v>
      </c>
      <c r="AD69" s="1">
        <f t="shared" si="11"/>
        <v>38899</v>
      </c>
      <c r="AE69" s="4">
        <f t="shared" si="12"/>
        <v>0.23454765457771731</v>
      </c>
      <c r="AF69" s="4">
        <f t="shared" si="13"/>
        <v>0.27453253052330867</v>
      </c>
    </row>
    <row r="70" spans="1:32" x14ac:dyDescent="0.25">
      <c r="A70" s="1">
        <v>38930</v>
      </c>
      <c r="B70" s="4">
        <v>8.7486989656653705E-2</v>
      </c>
      <c r="C70" s="4">
        <v>0.122006770696217</v>
      </c>
      <c r="D70" s="4">
        <v>0.122006770696217</v>
      </c>
      <c r="E70" s="4">
        <v>-0.10341396996116101</v>
      </c>
      <c r="F70" s="4">
        <v>0.81930226569294695</v>
      </c>
      <c r="G70" s="4">
        <v>0.180199943136955</v>
      </c>
      <c r="J70" s="1">
        <v>38930</v>
      </c>
      <c r="K70" s="4">
        <f>VLOOKUP(J70,A:G,2,0)</f>
        <v>8.7486989656653705E-2</v>
      </c>
      <c r="L70" s="4">
        <f>VLOOKUP(J70,Total!A:P,2,0)</f>
        <v>9.6400278623967703E-2</v>
      </c>
      <c r="N70" s="1">
        <f t="shared" si="7"/>
        <v>38930</v>
      </c>
      <c r="O70" s="4">
        <f>VLOOKUP(J70,A:G,3,0)</f>
        <v>0.122006770696217</v>
      </c>
      <c r="P70" s="4">
        <f>VLOOKUP(J70,Total!A:P,11,0)</f>
        <v>0.14841142261023399</v>
      </c>
      <c r="R70" s="1">
        <f t="shared" si="8"/>
        <v>38930</v>
      </c>
      <c r="S70" s="4">
        <f>-VLOOKUP(J70,A:G,5,0)</f>
        <v>0.10341396996116101</v>
      </c>
      <c r="T70" s="4">
        <f>VLOOKUP(J70,Total!A:P,8,0)</f>
        <v>9.4461503313464507E-2</v>
      </c>
      <c r="V70" s="1">
        <f t="shared" si="9"/>
        <v>38930</v>
      </c>
      <c r="W70" s="4">
        <f>VLOOKUP(J70,A:G,4,0)</f>
        <v>0.122006770696217</v>
      </c>
      <c r="X70" s="4">
        <f>VLOOKUP(J70,Total!A:P,12,0)+VLOOKUP(J70,Total!A:P,13,0)</f>
        <v>8.6798050898467205E-2</v>
      </c>
      <c r="Z70" s="1">
        <f t="shared" si="10"/>
        <v>38930</v>
      </c>
      <c r="AA70" s="4">
        <f>VLOOKUP(J70,A:G,7,0)</f>
        <v>0.180199943136955</v>
      </c>
      <c r="AB70" s="4">
        <f>VLOOKUP(J70,Total!A:P,16,0)</f>
        <v>0.18765131299231208</v>
      </c>
      <c r="AD70" s="1">
        <f t="shared" si="11"/>
        <v>38930</v>
      </c>
      <c r="AE70" s="4">
        <f t="shared" si="12"/>
        <v>0.23331252491157431</v>
      </c>
      <c r="AF70" s="4">
        <f t="shared" si="13"/>
        <v>0.23199900456358105</v>
      </c>
    </row>
    <row r="71" spans="1:32" x14ac:dyDescent="0.25">
      <c r="A71" s="1">
        <v>38961</v>
      </c>
      <c r="B71" s="4">
        <v>8.7784487261852895E-2</v>
      </c>
      <c r="C71" s="4">
        <v>0.120964755385589</v>
      </c>
      <c r="D71" s="4">
        <v>0.120964755385589</v>
      </c>
      <c r="E71" s="4">
        <v>-0.102268308234263</v>
      </c>
      <c r="F71" s="4">
        <v>0.803849812328293</v>
      </c>
      <c r="G71" s="4">
        <v>0.20581101383825201</v>
      </c>
      <c r="J71" s="1">
        <v>38961</v>
      </c>
      <c r="K71" s="4">
        <f>VLOOKUP(J71,A:G,2,0)</f>
        <v>8.7784487261852895E-2</v>
      </c>
      <c r="L71" s="4">
        <f>VLOOKUP(J71,Total!A:P,2,0)</f>
        <v>9.3255235494146702E-2</v>
      </c>
      <c r="N71" s="1">
        <f t="shared" si="7"/>
        <v>38961</v>
      </c>
      <c r="O71" s="4">
        <f>VLOOKUP(J71,A:G,3,0)</f>
        <v>0.120964755385589</v>
      </c>
      <c r="P71" s="4">
        <f>VLOOKUP(J71,Total!A:P,11,0)</f>
        <v>0.15891250943520999</v>
      </c>
      <c r="R71" s="1">
        <f t="shared" si="8"/>
        <v>38961</v>
      </c>
      <c r="S71" s="4">
        <f>-VLOOKUP(J71,A:G,5,0)</f>
        <v>0.102268308234263</v>
      </c>
      <c r="T71" s="4">
        <f>VLOOKUP(J71,Total!A:P,8,0)</f>
        <v>9.2349983083089199E-2</v>
      </c>
      <c r="V71" s="1">
        <f t="shared" si="9"/>
        <v>38961</v>
      </c>
      <c r="W71" s="4">
        <f>VLOOKUP(J71,A:G,4,0)</f>
        <v>0.120964755385589</v>
      </c>
      <c r="X71" s="4">
        <f>VLOOKUP(J71,Total!A:P,12,0)+VLOOKUP(J71,Total!A:P,13,0)</f>
        <v>9.3237749147170895E-2</v>
      </c>
      <c r="Z71" s="1">
        <f t="shared" si="10"/>
        <v>38961</v>
      </c>
      <c r="AA71" s="4">
        <f>VLOOKUP(J71,A:G,7,0)</f>
        <v>0.20581101383825201</v>
      </c>
      <c r="AB71" s="4">
        <f>VLOOKUP(J71,Total!A:P,16,0)</f>
        <v>0.17491084705476578</v>
      </c>
      <c r="AD71" s="1">
        <f t="shared" si="11"/>
        <v>38961</v>
      </c>
      <c r="AE71" s="4">
        <f t="shared" si="12"/>
        <v>0.25768772911331406</v>
      </c>
      <c r="AF71" s="4">
        <f t="shared" si="13"/>
        <v>0.2414558870599107</v>
      </c>
    </row>
    <row r="72" spans="1:32" x14ac:dyDescent="0.25">
      <c r="A72" s="1">
        <v>38991</v>
      </c>
      <c r="B72" s="4">
        <v>8.8717759691411893E-2</v>
      </c>
      <c r="C72" s="4">
        <v>0.136218652004784</v>
      </c>
      <c r="D72" s="4">
        <v>0.136218652004784</v>
      </c>
      <c r="E72" s="4">
        <v>-0.103380667843414</v>
      </c>
      <c r="F72" s="4">
        <v>0.78912548693685602</v>
      </c>
      <c r="G72" s="4">
        <v>0.19531502680593199</v>
      </c>
      <c r="J72" s="1">
        <v>38991</v>
      </c>
      <c r="K72" s="4">
        <f>VLOOKUP(J72,A:G,2,0)</f>
        <v>8.8717759691411893E-2</v>
      </c>
      <c r="L72" s="4">
        <f>VLOOKUP(J72,Total!A:P,2,0)</f>
        <v>9.9001932133850196E-2</v>
      </c>
      <c r="N72" s="1">
        <f t="shared" si="7"/>
        <v>38991</v>
      </c>
      <c r="O72" s="4">
        <f>VLOOKUP(J72,A:G,3,0)</f>
        <v>0.136218652004784</v>
      </c>
      <c r="P72" s="4">
        <f>VLOOKUP(J72,Total!A:P,11,0)</f>
        <v>0.16949384723149999</v>
      </c>
      <c r="R72" s="1">
        <f t="shared" si="8"/>
        <v>38991</v>
      </c>
      <c r="S72" s="4">
        <f>-VLOOKUP(J72,A:G,5,0)</f>
        <v>0.103380667843414</v>
      </c>
      <c r="T72" s="4">
        <f>VLOOKUP(J72,Total!A:P,8,0)</f>
        <v>0.101787862203801</v>
      </c>
      <c r="V72" s="1">
        <f t="shared" si="9"/>
        <v>38991</v>
      </c>
      <c r="W72" s="4">
        <f>VLOOKUP(J72,A:G,4,0)</f>
        <v>0.136218652004784</v>
      </c>
      <c r="X72" s="4">
        <f>VLOOKUP(J72,Total!A:P,12,0)+VLOOKUP(J72,Total!A:P,13,0)</f>
        <v>9.8543744544206613E-2</v>
      </c>
      <c r="Z72" s="1">
        <f t="shared" si="10"/>
        <v>38991</v>
      </c>
      <c r="AA72" s="4">
        <f>VLOOKUP(J72,A:G,7,0)</f>
        <v>0.19531502680593199</v>
      </c>
      <c r="AB72" s="4">
        <f>VLOOKUP(J72,Total!A:P,16,0)</f>
        <v>0.20706523470162108</v>
      </c>
      <c r="AD72" s="1">
        <f t="shared" si="11"/>
        <v>38991</v>
      </c>
      <c r="AE72" s="4">
        <f t="shared" si="12"/>
        <v>0.27565390328067413</v>
      </c>
      <c r="AF72" s="4">
        <f t="shared" si="13"/>
        <v>0.2743130321396765</v>
      </c>
    </row>
    <row r="73" spans="1:32" x14ac:dyDescent="0.25">
      <c r="A73" s="1">
        <v>39022</v>
      </c>
      <c r="B73" s="4">
        <v>8.6757529924947799E-2</v>
      </c>
      <c r="C73" s="4">
        <v>0.125364059206549</v>
      </c>
      <c r="D73" s="4">
        <v>0.125364059206549</v>
      </c>
      <c r="E73" s="4">
        <v>-0.101112568716101</v>
      </c>
      <c r="F73" s="4">
        <v>0.77535417718371902</v>
      </c>
      <c r="G73" s="4">
        <v>0.21193079702902501</v>
      </c>
      <c r="J73" s="1">
        <v>39022</v>
      </c>
      <c r="K73" s="4">
        <f>VLOOKUP(J73,A:G,2,0)</f>
        <v>8.6757529924947799E-2</v>
      </c>
      <c r="L73" s="4">
        <f>VLOOKUP(J73,Total!A:P,2,0)</f>
        <v>9.8005687549031897E-2</v>
      </c>
      <c r="N73" s="1">
        <f t="shared" si="7"/>
        <v>39022</v>
      </c>
      <c r="O73" s="4">
        <f>VLOOKUP(J73,A:G,3,0)</f>
        <v>0.125364059206549</v>
      </c>
      <c r="P73" s="4">
        <f>VLOOKUP(J73,Total!A:P,11,0)</f>
        <v>0.17482560608297501</v>
      </c>
      <c r="R73" s="1">
        <f t="shared" si="8"/>
        <v>39022</v>
      </c>
      <c r="S73" s="4">
        <f>-VLOOKUP(J73,A:G,5,0)</f>
        <v>0.101112568716101</v>
      </c>
      <c r="T73" s="4">
        <f>VLOOKUP(J73,Total!A:P,8,0)</f>
        <v>0.104111710328506</v>
      </c>
      <c r="V73" s="1">
        <f t="shared" si="9"/>
        <v>39022</v>
      </c>
      <c r="W73" s="4">
        <f>VLOOKUP(J73,A:G,4,0)</f>
        <v>0.125364059206549</v>
      </c>
      <c r="X73" s="4">
        <f>VLOOKUP(J73,Total!A:P,12,0)+VLOOKUP(J73,Total!A:P,13,0)</f>
        <v>7.38519594985457E-2</v>
      </c>
      <c r="Z73" s="1">
        <f t="shared" si="10"/>
        <v>39022</v>
      </c>
      <c r="AA73" s="4">
        <f>VLOOKUP(J73,A:G,7,0)</f>
        <v>0.21193079702902501</v>
      </c>
      <c r="AB73" s="4">
        <f>VLOOKUP(J73,Total!A:P,16,0)</f>
        <v>0.18382549096473788</v>
      </c>
      <c r="AD73" s="1">
        <f t="shared" si="11"/>
        <v>39022</v>
      </c>
      <c r="AE73" s="4">
        <f t="shared" si="12"/>
        <v>0.27478881680107425</v>
      </c>
      <c r="AF73" s="4">
        <f t="shared" si="13"/>
        <v>0.23038565866872077</v>
      </c>
    </row>
    <row r="74" spans="1:32" x14ac:dyDescent="0.25">
      <c r="A74" s="1">
        <v>39052</v>
      </c>
      <c r="B74" s="4">
        <v>8.6158488571861203E-2</v>
      </c>
      <c r="C74" s="4">
        <v>0.121284907615879</v>
      </c>
      <c r="D74" s="4">
        <v>0.121284907615879</v>
      </c>
      <c r="E74" s="4">
        <v>-0.10292947478105501</v>
      </c>
      <c r="F74" s="4">
        <v>0.81399677791474501</v>
      </c>
      <c r="G74" s="4">
        <v>0.16963282564703899</v>
      </c>
      <c r="J74" s="1">
        <v>39052</v>
      </c>
      <c r="K74" s="4">
        <f>VLOOKUP(J74,A:G,2,0)</f>
        <v>8.6158488571861203E-2</v>
      </c>
      <c r="L74" s="4">
        <f>VLOOKUP(J74,Total!A:P,2,0)</f>
        <v>9.9334209925940498E-2</v>
      </c>
      <c r="N74" s="1">
        <f t="shared" si="7"/>
        <v>39052</v>
      </c>
      <c r="O74" s="4">
        <f>VLOOKUP(J74,A:G,3,0)</f>
        <v>0.121284907615879</v>
      </c>
      <c r="P74" s="4">
        <f>VLOOKUP(J74,Total!A:P,11,0)</f>
        <v>0.16882030079881599</v>
      </c>
      <c r="R74" s="1">
        <f t="shared" si="8"/>
        <v>39052</v>
      </c>
      <c r="S74" s="4">
        <f>-VLOOKUP(J74,A:G,5,0)</f>
        <v>0.10292947478105501</v>
      </c>
      <c r="T74" s="4">
        <f>VLOOKUP(J74,Total!A:P,8,0)</f>
        <v>0.10519646805442601</v>
      </c>
      <c r="V74" s="1">
        <f t="shared" si="9"/>
        <v>39052</v>
      </c>
      <c r="W74" s="4">
        <f>VLOOKUP(J74,A:G,4,0)</f>
        <v>0.121284907615879</v>
      </c>
      <c r="X74" s="4">
        <f>VLOOKUP(J74,Total!A:P,12,0)+VLOOKUP(J74,Total!A:P,13,0)</f>
        <v>9.0748461522976595E-2</v>
      </c>
      <c r="Z74" s="1">
        <f t="shared" si="10"/>
        <v>39052</v>
      </c>
      <c r="AA74" s="4">
        <f>VLOOKUP(J74,A:G,7,0)</f>
        <v>0.16963282564703899</v>
      </c>
      <c r="AB74" s="4">
        <f>VLOOKUP(J74,Total!A:P,16,0)</f>
        <v>0.20710505535630663</v>
      </c>
      <c r="AD74" s="1">
        <f t="shared" si="11"/>
        <v>39052</v>
      </c>
      <c r="AE74" s="4">
        <f t="shared" si="12"/>
        <v>0.22311467752588077</v>
      </c>
      <c r="AF74" s="4">
        <f t="shared" si="13"/>
        <v>0.26214313969773273</v>
      </c>
    </row>
    <row r="75" spans="1:32" x14ac:dyDescent="0.25">
      <c r="A75" s="1">
        <v>39083</v>
      </c>
      <c r="B75" s="4">
        <v>8.0561279601906205E-2</v>
      </c>
      <c r="C75" s="4">
        <v>0.102387546290818</v>
      </c>
      <c r="D75" s="4">
        <v>0.102387546290818</v>
      </c>
      <c r="E75" s="4">
        <v>-8.5911491728031406E-2</v>
      </c>
      <c r="F75" s="4">
        <v>0.82046296112777195</v>
      </c>
      <c r="G75" s="4">
        <v>0.16635428445355799</v>
      </c>
      <c r="J75" s="1">
        <v>39083</v>
      </c>
      <c r="K75" s="4">
        <f>VLOOKUP(J75,A:G,2,0)</f>
        <v>8.0561279601906205E-2</v>
      </c>
      <c r="L75" s="4">
        <f>VLOOKUP(J75,Total!A:P,2,0)</f>
        <v>9.6133305391941606E-2</v>
      </c>
      <c r="N75" s="1">
        <f t="shared" si="7"/>
        <v>39083</v>
      </c>
      <c r="O75" s="4">
        <f>VLOOKUP(J75,A:G,3,0)</f>
        <v>0.102387546290818</v>
      </c>
      <c r="P75" s="4">
        <f>VLOOKUP(J75,Total!A:P,11,0)</f>
        <v>0.16922421194831799</v>
      </c>
      <c r="R75" s="1">
        <f t="shared" si="8"/>
        <v>39083</v>
      </c>
      <c r="S75" s="4">
        <f>-VLOOKUP(J75,A:G,5,0)</f>
        <v>8.5911491728031406E-2</v>
      </c>
      <c r="T75" s="4">
        <f>VLOOKUP(J75,Total!A:P,8,0)</f>
        <v>9.8519540097502495E-2</v>
      </c>
      <c r="V75" s="1">
        <f t="shared" si="9"/>
        <v>39083</v>
      </c>
      <c r="W75" s="4">
        <f>VLOOKUP(J75,A:G,4,0)</f>
        <v>0.102387546290818</v>
      </c>
      <c r="X75" s="4">
        <f>VLOOKUP(J75,Total!A:P,12,0)+VLOOKUP(J75,Total!A:P,13,0)</f>
        <v>5.5691989799297598E-2</v>
      </c>
      <c r="Z75" s="1">
        <f t="shared" si="10"/>
        <v>39083</v>
      </c>
      <c r="AA75" s="4">
        <f>VLOOKUP(J75,A:G,7,0)</f>
        <v>0.16635428445355799</v>
      </c>
      <c r="AB75" s="4">
        <f>VLOOKUP(J75,Total!A:P,16,0)</f>
        <v>0.21371797687212801</v>
      </c>
      <c r="AD75" s="1">
        <f t="shared" si="11"/>
        <v>39083</v>
      </c>
      <c r="AE75" s="4">
        <f t="shared" si="12"/>
        <v>0.2046566057052564</v>
      </c>
      <c r="AF75" s="4">
        <f t="shared" si="13"/>
        <v>0.24398133313029954</v>
      </c>
    </row>
    <row r="76" spans="1:32" x14ac:dyDescent="0.25">
      <c r="A76" s="1">
        <v>39114</v>
      </c>
      <c r="B76" s="4">
        <v>8.0433321297836494E-2</v>
      </c>
      <c r="C76" s="4">
        <v>0.10838563095327899</v>
      </c>
      <c r="D76" s="4">
        <v>0.10838563095327899</v>
      </c>
      <c r="E76" s="4">
        <v>-9.6030505813755204E-2</v>
      </c>
      <c r="F76" s="4">
        <v>0.82436297318056795</v>
      </c>
      <c r="G76" s="4">
        <v>0.189853579303814</v>
      </c>
      <c r="J76" s="1">
        <v>39114</v>
      </c>
      <c r="K76" s="4">
        <f>VLOOKUP(J76,A:G,2,0)</f>
        <v>8.0433321297836494E-2</v>
      </c>
      <c r="L76" s="4">
        <f>VLOOKUP(J76,Total!A:P,2,0)</f>
        <v>9.4805582395195695E-2</v>
      </c>
      <c r="N76" s="1">
        <f t="shared" si="7"/>
        <v>39114</v>
      </c>
      <c r="O76" s="4">
        <f>VLOOKUP(J76,A:G,3,0)</f>
        <v>0.10838563095327899</v>
      </c>
      <c r="P76" s="4">
        <f>VLOOKUP(J76,Total!A:P,11,0)</f>
        <v>0.16086273470763601</v>
      </c>
      <c r="R76" s="1">
        <f t="shared" si="8"/>
        <v>39114</v>
      </c>
      <c r="S76" s="4">
        <f>-VLOOKUP(J76,A:G,5,0)</f>
        <v>9.6030505813755204E-2</v>
      </c>
      <c r="T76" s="4">
        <f>VLOOKUP(J76,Total!A:P,8,0)</f>
        <v>9.9593900731092297E-2</v>
      </c>
      <c r="V76" s="1">
        <f t="shared" si="9"/>
        <v>39114</v>
      </c>
      <c r="W76" s="4">
        <f>VLOOKUP(J76,A:G,4,0)</f>
        <v>0.10838563095327899</v>
      </c>
      <c r="X76" s="4">
        <f>VLOOKUP(J76,Total!A:P,12,0)+VLOOKUP(J76,Total!A:P,13,0)</f>
        <v>7.24010108477256E-2</v>
      </c>
      <c r="Z76" s="1">
        <f t="shared" si="10"/>
        <v>39114</v>
      </c>
      <c r="AA76" s="4">
        <f>VLOOKUP(J76,A:G,7,0)</f>
        <v>0.189853579303814</v>
      </c>
      <c r="AB76" s="4">
        <f>VLOOKUP(J76,Total!A:P,16,0)</f>
        <v>0.1996754683392461</v>
      </c>
      <c r="AD76" s="1">
        <f t="shared" si="11"/>
        <v>39114</v>
      </c>
      <c r="AE76" s="4">
        <f t="shared" si="12"/>
        <v>0.23016101409878031</v>
      </c>
      <c r="AF76" s="4">
        <f t="shared" si="13"/>
        <v>0.23853973076831969</v>
      </c>
    </row>
    <row r="77" spans="1:32" x14ac:dyDescent="0.25">
      <c r="A77" s="1">
        <v>39142</v>
      </c>
      <c r="B77" s="4">
        <v>8.3524643602359297E-2</v>
      </c>
      <c r="C77" s="4">
        <v>0.11428582567755</v>
      </c>
      <c r="D77" s="4">
        <v>0.11428582567755</v>
      </c>
      <c r="E77" s="4">
        <v>-9.7197599446893906E-2</v>
      </c>
      <c r="F77" s="4">
        <v>0.80521392021562299</v>
      </c>
      <c r="G77" s="4">
        <v>0.19519771772748001</v>
      </c>
      <c r="J77" s="1">
        <v>39142</v>
      </c>
      <c r="K77" s="4">
        <f>VLOOKUP(J77,A:G,2,0)</f>
        <v>8.3524643602359297E-2</v>
      </c>
      <c r="L77" s="4">
        <f>VLOOKUP(J77,Total!A:P,2,0)</f>
        <v>9.1596637456451399E-2</v>
      </c>
      <c r="N77" s="1">
        <f t="shared" si="7"/>
        <v>39142</v>
      </c>
      <c r="O77" s="4">
        <f>VLOOKUP(J77,A:G,3,0)</f>
        <v>0.11428582567755</v>
      </c>
      <c r="P77" s="4">
        <f>VLOOKUP(J77,Total!A:P,11,0)</f>
        <v>0.148861336311021</v>
      </c>
      <c r="R77" s="1">
        <f t="shared" si="8"/>
        <v>39142</v>
      </c>
      <c r="S77" s="4">
        <f>-VLOOKUP(J77,A:G,5,0)</f>
        <v>9.7197599446893906E-2</v>
      </c>
      <c r="T77" s="4">
        <f>VLOOKUP(J77,Total!A:P,8,0)</f>
        <v>9.3436437669822903E-2</v>
      </c>
      <c r="V77" s="1">
        <f t="shared" si="9"/>
        <v>39142</v>
      </c>
      <c r="W77" s="4">
        <f>VLOOKUP(J77,A:G,4,0)</f>
        <v>0.11428582567755</v>
      </c>
      <c r="X77" s="4">
        <f>VLOOKUP(J77,Total!A:P,12,0)+VLOOKUP(J77,Total!A:P,13,0)</f>
        <v>7.2135973589496999E-2</v>
      </c>
      <c r="Z77" s="1">
        <f t="shared" si="10"/>
        <v>39142</v>
      </c>
      <c r="AA77" s="4">
        <f>VLOOKUP(J77,A:G,7,0)</f>
        <v>0.19519771772748001</v>
      </c>
      <c r="AB77" s="4">
        <f>VLOOKUP(J77,Total!A:P,16,0)</f>
        <v>0.22129288139015435</v>
      </c>
      <c r="AD77" s="1">
        <f t="shared" si="11"/>
        <v>39142</v>
      </c>
      <c r="AE77" s="4">
        <f t="shared" si="12"/>
        <v>0.24304712603332682</v>
      </c>
      <c r="AF77" s="4">
        <f t="shared" si="13"/>
        <v>0.25725711616439806</v>
      </c>
    </row>
    <row r="78" spans="1:32" x14ac:dyDescent="0.25">
      <c r="A78" s="1">
        <v>39173</v>
      </c>
      <c r="B78" s="4">
        <v>8.3439574459062499E-2</v>
      </c>
      <c r="C78" s="4">
        <v>0.11517549234487399</v>
      </c>
      <c r="D78" s="4">
        <v>0.11517549234487399</v>
      </c>
      <c r="E78" s="4">
        <v>-9.2859172093641501E-2</v>
      </c>
      <c r="F78" s="4">
        <v>0.80884235143013905</v>
      </c>
      <c r="G78" s="4">
        <v>0.20156229686126501</v>
      </c>
      <c r="J78" s="1">
        <v>39173</v>
      </c>
      <c r="K78" s="4">
        <f>VLOOKUP(J78,A:G,2,0)</f>
        <v>8.3439574459062499E-2</v>
      </c>
      <c r="L78" s="4">
        <f>VLOOKUP(J78,Total!A:P,2,0)</f>
        <v>9.1976420713830095E-2</v>
      </c>
      <c r="N78" s="1">
        <f t="shared" si="7"/>
        <v>39173</v>
      </c>
      <c r="O78" s="4">
        <f>VLOOKUP(J78,A:G,3,0)</f>
        <v>0.11517549234487399</v>
      </c>
      <c r="P78" s="4">
        <f>VLOOKUP(J78,Total!A:P,11,0)</f>
        <v>0.14432989049421899</v>
      </c>
      <c r="R78" s="1">
        <f t="shared" si="8"/>
        <v>39173</v>
      </c>
      <c r="S78" s="4">
        <f>-VLOOKUP(J78,A:G,5,0)</f>
        <v>9.2859172093641501E-2</v>
      </c>
      <c r="T78" s="4">
        <f>VLOOKUP(J78,Total!A:P,8,0)</f>
        <v>9.42499673238342E-2</v>
      </c>
      <c r="V78" s="1">
        <f t="shared" si="9"/>
        <v>39173</v>
      </c>
      <c r="W78" s="4">
        <f>VLOOKUP(J78,A:G,4,0)</f>
        <v>0.11517549234487399</v>
      </c>
      <c r="X78" s="4">
        <f>VLOOKUP(J78,Total!A:P,12,0)+VLOOKUP(J78,Total!A:P,13,0)</f>
        <v>8.949112285657429E-2</v>
      </c>
      <c r="Z78" s="1">
        <f t="shared" si="10"/>
        <v>39173</v>
      </c>
      <c r="AA78" s="4">
        <f>VLOOKUP(J78,A:G,7,0)</f>
        <v>0.20156229686126501</v>
      </c>
      <c r="AB78" s="4">
        <f>VLOOKUP(J78,Total!A:P,16,0)</f>
        <v>0.21951091024487623</v>
      </c>
      <c r="AD78" s="1">
        <f t="shared" si="11"/>
        <v>39173</v>
      </c>
      <c r="AE78" s="4">
        <f t="shared" si="12"/>
        <v>0.255614534998309</v>
      </c>
      <c r="AF78" s="4">
        <f t="shared" si="13"/>
        <v>0.2671055355580052</v>
      </c>
    </row>
    <row r="79" spans="1:32" x14ac:dyDescent="0.25">
      <c r="A79" s="1">
        <v>39203</v>
      </c>
      <c r="B79" s="4">
        <v>7.7738592601725706E-2</v>
      </c>
      <c r="C79" s="4">
        <v>9.8205764720559405E-2</v>
      </c>
      <c r="D79" s="4">
        <v>9.8205764720559405E-2</v>
      </c>
      <c r="E79" s="4">
        <v>-8.9216457910686206E-2</v>
      </c>
      <c r="F79" s="4">
        <v>0.843868610616892</v>
      </c>
      <c r="G79" s="4">
        <v>0.16607278666948899</v>
      </c>
      <c r="J79" s="1">
        <v>39203</v>
      </c>
      <c r="K79" s="4">
        <f>VLOOKUP(J79,A:G,2,0)</f>
        <v>7.7738592601725706E-2</v>
      </c>
      <c r="L79" s="4">
        <f>VLOOKUP(J79,Total!A:P,2,0)</f>
        <v>9.3547053018569304E-2</v>
      </c>
      <c r="N79" s="1">
        <f t="shared" si="7"/>
        <v>39203</v>
      </c>
      <c r="O79" s="4">
        <f>VLOOKUP(J79,A:G,3,0)</f>
        <v>9.8205764720559405E-2</v>
      </c>
      <c r="P79" s="4">
        <f>VLOOKUP(J79,Total!A:P,11,0)</f>
        <v>0.14380369201895701</v>
      </c>
      <c r="R79" s="1">
        <f t="shared" si="8"/>
        <v>39203</v>
      </c>
      <c r="S79" s="4">
        <f>-VLOOKUP(J79,A:G,5,0)</f>
        <v>8.9216457910686206E-2</v>
      </c>
      <c r="T79" s="4">
        <f>VLOOKUP(J79,Total!A:P,8,0)</f>
        <v>9.1163555684109401E-2</v>
      </c>
      <c r="V79" s="1">
        <f t="shared" si="9"/>
        <v>39203</v>
      </c>
      <c r="W79" s="4">
        <f>VLOOKUP(J79,A:G,4,0)</f>
        <v>9.8205764720559405E-2</v>
      </c>
      <c r="X79" s="4">
        <f>VLOOKUP(J79,Total!A:P,12,0)+VLOOKUP(J79,Total!A:P,13,0)</f>
        <v>0.10069055840492999</v>
      </c>
      <c r="Z79" s="1">
        <f t="shared" si="10"/>
        <v>39203</v>
      </c>
      <c r="AA79" s="4">
        <f>VLOOKUP(J79,A:G,7,0)</f>
        <v>0.16607278666948899</v>
      </c>
      <c r="AB79" s="4">
        <f>VLOOKUP(J79,Total!A:P,16,0)</f>
        <v>0.23330140483948358</v>
      </c>
      <c r="AD79" s="1">
        <f t="shared" si="11"/>
        <v>39203</v>
      </c>
      <c r="AE79" s="4">
        <f t="shared" si="12"/>
        <v>0.19552926559819589</v>
      </c>
      <c r="AF79" s="4">
        <f t="shared" si="13"/>
        <v>0.29308504656069195</v>
      </c>
    </row>
    <row r="80" spans="1:32" x14ac:dyDescent="0.25">
      <c r="A80" s="1">
        <v>39234</v>
      </c>
      <c r="B80" s="4">
        <v>8.0500293951274005E-2</v>
      </c>
      <c r="C80" s="4">
        <v>0.113490014884034</v>
      </c>
      <c r="D80" s="4">
        <v>0.113490014884034</v>
      </c>
      <c r="E80" s="4">
        <v>-8.9501566896744406E-2</v>
      </c>
      <c r="F80" s="4">
        <v>0.82813918578380297</v>
      </c>
      <c r="G80" s="4">
        <v>0.18087568462998699</v>
      </c>
      <c r="J80" s="1">
        <v>39234</v>
      </c>
      <c r="K80" s="4">
        <f>VLOOKUP(J80,A:G,2,0)</f>
        <v>8.0500293951274005E-2</v>
      </c>
      <c r="L80" s="4">
        <f>VLOOKUP(J80,Total!A:P,2,0)</f>
        <v>9.0363378892866303E-2</v>
      </c>
      <c r="N80" s="1">
        <f t="shared" si="7"/>
        <v>39234</v>
      </c>
      <c r="O80" s="4">
        <f>VLOOKUP(J80,A:G,3,0)</f>
        <v>0.113490014884034</v>
      </c>
      <c r="P80" s="4">
        <f>VLOOKUP(J80,Total!A:P,11,0)</f>
        <v>0.131248229333881</v>
      </c>
      <c r="R80" s="1">
        <f t="shared" si="8"/>
        <v>39234</v>
      </c>
      <c r="S80" s="4">
        <f>-VLOOKUP(J80,A:G,5,0)</f>
        <v>8.9501566896744406E-2</v>
      </c>
      <c r="T80" s="4">
        <f>VLOOKUP(J80,Total!A:P,8,0)</f>
        <v>9.3271657073772204E-2</v>
      </c>
      <c r="V80" s="1">
        <f t="shared" si="9"/>
        <v>39234</v>
      </c>
      <c r="W80" s="4">
        <f>VLOOKUP(J80,A:G,4,0)</f>
        <v>0.113490014884034</v>
      </c>
      <c r="X80" s="4">
        <f>VLOOKUP(J80,Total!A:P,12,0)+VLOOKUP(J80,Total!A:P,13,0)</f>
        <v>7.4766070104591603E-2</v>
      </c>
      <c r="Z80" s="1">
        <f t="shared" si="10"/>
        <v>39234</v>
      </c>
      <c r="AA80" s="4">
        <f>VLOOKUP(J80,A:G,7,0)</f>
        <v>0.18087568462998699</v>
      </c>
      <c r="AB80" s="4">
        <f>VLOOKUP(J80,Total!A:P,16,0)</f>
        <v>0.2505815985836225</v>
      </c>
      <c r="AD80" s="1">
        <f t="shared" si="11"/>
        <v>39234</v>
      </c>
      <c r="AE80" s="4">
        <f t="shared" si="12"/>
        <v>0.23785385355003655</v>
      </c>
      <c r="AF80" s="4">
        <f t="shared" si="13"/>
        <v>0.27296086205545661</v>
      </c>
    </row>
    <row r="81" spans="1:32" x14ac:dyDescent="0.25">
      <c r="A81" s="1">
        <v>39264</v>
      </c>
      <c r="B81" s="4">
        <v>7.6892813307821703E-2</v>
      </c>
      <c r="C81" s="4">
        <v>0.112798338143262</v>
      </c>
      <c r="D81" s="4">
        <v>0.112798338143262</v>
      </c>
      <c r="E81" s="4">
        <v>-9.1327904334346302E-2</v>
      </c>
      <c r="F81" s="4">
        <v>0.83282654851964399</v>
      </c>
      <c r="G81" s="4">
        <v>0.18270231399016301</v>
      </c>
      <c r="J81" s="1">
        <v>39264</v>
      </c>
      <c r="K81" s="4">
        <f>VLOOKUP(J81,A:G,2,0)</f>
        <v>7.6892813307821703E-2</v>
      </c>
      <c r="L81" s="4">
        <f>VLOOKUP(J81,Total!A:P,2,0)</f>
        <v>9.1830123248260995E-2</v>
      </c>
      <c r="N81" s="1">
        <f t="shared" si="7"/>
        <v>39264</v>
      </c>
      <c r="O81" s="4">
        <f>VLOOKUP(J81,A:G,3,0)</f>
        <v>0.112798338143262</v>
      </c>
      <c r="P81" s="4">
        <f>VLOOKUP(J81,Total!A:P,11,0)</f>
        <v>0.146410641449878</v>
      </c>
      <c r="R81" s="1">
        <f t="shared" si="8"/>
        <v>39264</v>
      </c>
      <c r="S81" s="4">
        <f>-VLOOKUP(J81,A:G,5,0)</f>
        <v>9.1327904334346302E-2</v>
      </c>
      <c r="T81" s="4">
        <f>VLOOKUP(J81,Total!A:P,8,0)</f>
        <v>9.2412026858113297E-2</v>
      </c>
      <c r="V81" s="1">
        <f t="shared" si="9"/>
        <v>39264</v>
      </c>
      <c r="W81" s="4">
        <f>VLOOKUP(J81,A:G,4,0)</f>
        <v>0.112798338143262</v>
      </c>
      <c r="X81" s="4">
        <f>VLOOKUP(J81,Total!A:P,12,0)+VLOOKUP(J81,Total!A:P,13,0)</f>
        <v>7.9397547833990001E-2</v>
      </c>
      <c r="Z81" s="1">
        <f t="shared" si="10"/>
        <v>39264</v>
      </c>
      <c r="AA81" s="4">
        <f>VLOOKUP(J81,A:G,7,0)</f>
        <v>0.18270231399016301</v>
      </c>
      <c r="AB81" s="4">
        <f>VLOOKUP(J81,Total!A:P,16,0)</f>
        <v>0.24814720251995326</v>
      </c>
      <c r="AD81" s="1">
        <f t="shared" si="11"/>
        <v>39264</v>
      </c>
      <c r="AE81" s="4">
        <f t="shared" si="12"/>
        <v>0.24007827263451903</v>
      </c>
      <c r="AF81" s="4">
        <f t="shared" si="13"/>
        <v>0.289713241697447</v>
      </c>
    </row>
    <row r="82" spans="1:32" x14ac:dyDescent="0.25">
      <c r="A82" s="1">
        <v>39295</v>
      </c>
      <c r="B82" s="4">
        <v>7.7037487405873406E-2</v>
      </c>
      <c r="C82" s="4">
        <v>0.10660797188398501</v>
      </c>
      <c r="D82" s="4">
        <v>0.10660797188398501</v>
      </c>
      <c r="E82" s="4">
        <v>-8.3983023380881497E-2</v>
      </c>
      <c r="F82" s="4">
        <v>0.78948476228019004</v>
      </c>
      <c r="G82" s="4">
        <v>0.19862004042443901</v>
      </c>
      <c r="J82" s="1">
        <v>39295</v>
      </c>
      <c r="K82" s="4">
        <f>VLOOKUP(J82,A:G,2,0)</f>
        <v>7.7037487405873406E-2</v>
      </c>
      <c r="L82" s="4">
        <f>VLOOKUP(J82,Total!A:P,2,0)</f>
        <v>8.5664441951018799E-2</v>
      </c>
      <c r="N82" s="1">
        <f t="shared" si="7"/>
        <v>39295</v>
      </c>
      <c r="O82" s="4">
        <f>VLOOKUP(J82,A:G,3,0)</f>
        <v>0.10660797188398501</v>
      </c>
      <c r="P82" s="4">
        <f>VLOOKUP(J82,Total!A:P,11,0)</f>
        <v>0.13844698985944701</v>
      </c>
      <c r="R82" s="1">
        <f t="shared" si="8"/>
        <v>39295</v>
      </c>
      <c r="S82" s="4">
        <f>-VLOOKUP(J82,A:G,5,0)</f>
        <v>8.3983023380881497E-2</v>
      </c>
      <c r="T82" s="4">
        <f>VLOOKUP(J82,Total!A:P,8,0)</f>
        <v>8.7627600553990798E-2</v>
      </c>
      <c r="V82" s="1">
        <f t="shared" si="9"/>
        <v>39295</v>
      </c>
      <c r="W82" s="4">
        <f>VLOOKUP(J82,A:G,4,0)</f>
        <v>0.10660797188398501</v>
      </c>
      <c r="X82" s="4">
        <f>VLOOKUP(J82,Total!A:P,12,0)+VLOOKUP(J82,Total!A:P,13,0)</f>
        <v>7.5419105903561601E-2</v>
      </c>
      <c r="Z82" s="1">
        <f t="shared" si="10"/>
        <v>39295</v>
      </c>
      <c r="AA82" s="4">
        <f>VLOOKUP(J82,A:G,7,0)</f>
        <v>0.19862004042443901</v>
      </c>
      <c r="AB82" s="4">
        <f>VLOOKUP(J82,Total!A:P,16,0)</f>
        <v>0.25176955414803448</v>
      </c>
      <c r="AD82" s="1">
        <f t="shared" si="11"/>
        <v>39295</v>
      </c>
      <c r="AE82" s="4">
        <f t="shared" si="12"/>
        <v>0.25081547340565413</v>
      </c>
      <c r="AF82" s="4">
        <f t="shared" si="13"/>
        <v>0.29234360740603349</v>
      </c>
    </row>
    <row r="83" spans="1:32" x14ac:dyDescent="0.25">
      <c r="A83" s="1">
        <v>39326</v>
      </c>
      <c r="B83" s="4">
        <v>8.0625121946369796E-2</v>
      </c>
      <c r="C83" s="4">
        <v>0.11844846973777701</v>
      </c>
      <c r="D83" s="4">
        <v>0.11844846973777701</v>
      </c>
      <c r="E83" s="4">
        <v>-9.8782654084627303E-2</v>
      </c>
      <c r="F83" s="4">
        <v>0.76635518820569803</v>
      </c>
      <c r="G83" s="4">
        <v>0.23109791153122</v>
      </c>
      <c r="J83" s="1">
        <v>39326</v>
      </c>
      <c r="K83" s="4">
        <f>VLOOKUP(J83,A:G,2,0)</f>
        <v>8.0625121946369796E-2</v>
      </c>
      <c r="L83" s="4">
        <f>VLOOKUP(J83,Total!A:P,2,0)</f>
        <v>8.49702066827865E-2</v>
      </c>
      <c r="N83" s="1">
        <f t="shared" si="7"/>
        <v>39326</v>
      </c>
      <c r="O83" s="4">
        <f>VLOOKUP(J83,A:G,3,0)</f>
        <v>0.11844846973777701</v>
      </c>
      <c r="P83" s="4">
        <f>VLOOKUP(J83,Total!A:P,11,0)</f>
        <v>0.115143854713146</v>
      </c>
      <c r="R83" s="1">
        <f t="shared" si="8"/>
        <v>39326</v>
      </c>
      <c r="S83" s="4">
        <f>-VLOOKUP(J83,A:G,5,0)</f>
        <v>9.8782654084627303E-2</v>
      </c>
      <c r="T83" s="4">
        <f>VLOOKUP(J83,Total!A:P,8,0)</f>
        <v>8.1896142746156295E-2</v>
      </c>
      <c r="V83" s="1">
        <f t="shared" si="9"/>
        <v>39326</v>
      </c>
      <c r="W83" s="4">
        <f>VLOOKUP(J83,A:G,4,0)</f>
        <v>0.11844846973777701</v>
      </c>
      <c r="X83" s="4">
        <f>VLOOKUP(J83,Total!A:P,12,0)+VLOOKUP(J83,Total!A:P,13,0)</f>
        <v>0.1044801999113803</v>
      </c>
      <c r="Z83" s="1">
        <f t="shared" si="10"/>
        <v>39326</v>
      </c>
      <c r="AA83" s="4">
        <f>VLOOKUP(J83,A:G,7,0)</f>
        <v>0.23109791153122</v>
      </c>
      <c r="AB83" s="4">
        <f>VLOOKUP(J83,Total!A:P,16,0)</f>
        <v>0.24866509566807582</v>
      </c>
      <c r="AD83" s="1">
        <f t="shared" si="11"/>
        <v>39326</v>
      </c>
      <c r="AE83" s="4">
        <f t="shared" si="12"/>
        <v>0.28858707497577696</v>
      </c>
      <c r="AF83" s="4">
        <f t="shared" si="13"/>
        <v>0.30142280086365936</v>
      </c>
    </row>
    <row r="84" spans="1:32" x14ac:dyDescent="0.25">
      <c r="A84" s="1">
        <v>39356</v>
      </c>
      <c r="B84" s="4">
        <v>7.8533046959484001E-2</v>
      </c>
      <c r="C84" s="4">
        <v>0.11223692560454</v>
      </c>
      <c r="D84" s="4">
        <v>0.11223692560454</v>
      </c>
      <c r="E84" s="4">
        <v>-8.6719844056918197E-2</v>
      </c>
      <c r="F84" s="4">
        <v>0.72092617598589703</v>
      </c>
      <c r="G84" s="4">
        <v>0.210867035591875</v>
      </c>
      <c r="J84" s="1">
        <v>39356</v>
      </c>
      <c r="K84" s="4">
        <f>VLOOKUP(J84,A:G,2,0)</f>
        <v>7.8533046959484001E-2</v>
      </c>
      <c r="L84" s="4">
        <f>VLOOKUP(J84,Total!A:P,2,0)</f>
        <v>8.6058863425858598E-2</v>
      </c>
      <c r="N84" s="1">
        <f t="shared" si="7"/>
        <v>39356</v>
      </c>
      <c r="O84" s="4">
        <f>VLOOKUP(J84,A:G,3,0)</f>
        <v>0.11223692560454</v>
      </c>
      <c r="P84" s="4">
        <f>VLOOKUP(J84,Total!A:P,11,0)</f>
        <v>0.14116016302267101</v>
      </c>
      <c r="R84" s="1">
        <f t="shared" si="8"/>
        <v>39356</v>
      </c>
      <c r="S84" s="4">
        <f>-VLOOKUP(J84,A:G,5,0)</f>
        <v>8.6719844056918197E-2</v>
      </c>
      <c r="T84" s="4">
        <f>VLOOKUP(J84,Total!A:P,8,0)</f>
        <v>8.7464734997212606E-2</v>
      </c>
      <c r="V84" s="1">
        <f t="shared" si="9"/>
        <v>39356</v>
      </c>
      <c r="W84" s="4">
        <f>VLOOKUP(J84,A:G,4,0)</f>
        <v>0.11223692560454</v>
      </c>
      <c r="X84" s="4">
        <f>VLOOKUP(J84,Total!A:P,12,0)+VLOOKUP(J84,Total!A:P,13,0)</f>
        <v>7.262777950436039E-2</v>
      </c>
      <c r="Z84" s="1">
        <f t="shared" si="10"/>
        <v>39356</v>
      </c>
      <c r="AA84" s="4">
        <f>VLOOKUP(J84,A:G,7,0)</f>
        <v>0.210867035591875</v>
      </c>
      <c r="AB84" s="4">
        <f>VLOOKUP(J84,Total!A:P,16,0)</f>
        <v>0.25271259449157324</v>
      </c>
      <c r="AD84" s="1">
        <f t="shared" si="11"/>
        <v>39356</v>
      </c>
      <c r="AE84" s="4">
        <f t="shared" si="12"/>
        <v>0.27008799578455284</v>
      </c>
      <c r="AF84" s="4">
        <f t="shared" si="13"/>
        <v>0.29297693859553342</v>
      </c>
    </row>
    <row r="85" spans="1:32" x14ac:dyDescent="0.25">
      <c r="A85" s="1">
        <v>39387</v>
      </c>
      <c r="B85" s="4">
        <v>7.6770466628580503E-2</v>
      </c>
      <c r="C85" s="4">
        <v>0.107231011373465</v>
      </c>
      <c r="D85" s="4">
        <v>0.107231011373465</v>
      </c>
      <c r="E85" s="4">
        <v>-8.5623719283184005E-2</v>
      </c>
      <c r="F85" s="4">
        <v>0.75398396168893</v>
      </c>
      <c r="G85" s="4">
        <v>0.23143418683580799</v>
      </c>
      <c r="J85" s="1">
        <v>39387</v>
      </c>
      <c r="K85" s="4">
        <f>VLOOKUP(J85,A:G,2,0)</f>
        <v>7.6770466628580503E-2</v>
      </c>
      <c r="L85" s="4">
        <f>VLOOKUP(J85,Total!A:P,2,0)</f>
        <v>8.4790434076548196E-2</v>
      </c>
      <c r="N85" s="1">
        <f t="shared" si="7"/>
        <v>39387</v>
      </c>
      <c r="O85" s="4">
        <f>VLOOKUP(J85,A:G,3,0)</f>
        <v>0.107231011373465</v>
      </c>
      <c r="P85" s="4">
        <f>VLOOKUP(J85,Total!A:P,11,0)</f>
        <v>0.12668544959628</v>
      </c>
      <c r="R85" s="1">
        <f t="shared" si="8"/>
        <v>39387</v>
      </c>
      <c r="S85" s="4">
        <f>-VLOOKUP(J85,A:G,5,0)</f>
        <v>8.5623719283184005E-2</v>
      </c>
      <c r="T85" s="4">
        <f>VLOOKUP(J85,Total!A:P,8,0)</f>
        <v>8.4552593029778203E-2</v>
      </c>
      <c r="V85" s="1">
        <f t="shared" si="9"/>
        <v>39387</v>
      </c>
      <c r="W85" s="4">
        <f>VLOOKUP(J85,A:G,4,0)</f>
        <v>0.107231011373465</v>
      </c>
      <c r="X85" s="4">
        <f>VLOOKUP(J85,Total!A:P,12,0)+VLOOKUP(J85,Total!A:P,13,0)</f>
        <v>6.9474802502845795E-2</v>
      </c>
      <c r="Z85" s="1">
        <f t="shared" si="10"/>
        <v>39387</v>
      </c>
      <c r="AA85" s="4">
        <f>VLOOKUP(J85,A:G,7,0)</f>
        <v>0.23143418683580799</v>
      </c>
      <c r="AB85" s="4">
        <f>VLOOKUP(J85,Total!A:P,16,0)</f>
        <v>0.25427613726952736</v>
      </c>
      <c r="AD85" s="1">
        <f t="shared" si="11"/>
        <v>39387</v>
      </c>
      <c r="AE85" s="4">
        <f t="shared" si="12"/>
        <v>0.28350202367097349</v>
      </c>
      <c r="AF85" s="4">
        <f t="shared" si="13"/>
        <v>0.28109336226232678</v>
      </c>
    </row>
    <row r="86" spans="1:32" x14ac:dyDescent="0.25">
      <c r="A86" s="1">
        <v>39417</v>
      </c>
      <c r="B86" s="4">
        <v>7.6725403014676105E-2</v>
      </c>
      <c r="C86" s="4">
        <v>0.105431540588013</v>
      </c>
      <c r="D86" s="4">
        <v>0.105431540588013</v>
      </c>
      <c r="E86" s="4">
        <v>-8.3841862474908296E-2</v>
      </c>
      <c r="F86" s="4">
        <v>0.75724717117215301</v>
      </c>
      <c r="G86" s="4">
        <v>0.226828633565786</v>
      </c>
      <c r="J86" s="1">
        <v>39417</v>
      </c>
      <c r="K86" s="4">
        <f>VLOOKUP(J86,A:G,2,0)</f>
        <v>7.6725403014676105E-2</v>
      </c>
      <c r="L86" s="4">
        <f>VLOOKUP(J86,Total!A:P,2,0)</f>
        <v>8.5750720525237703E-2</v>
      </c>
      <c r="N86" s="1">
        <f t="shared" si="7"/>
        <v>39417</v>
      </c>
      <c r="O86" s="4">
        <f>VLOOKUP(J86,A:G,3,0)</f>
        <v>0.105431540588013</v>
      </c>
      <c r="P86" s="4">
        <f>VLOOKUP(J86,Total!A:P,11,0)</f>
        <v>0.14348263542531001</v>
      </c>
      <c r="R86" s="1">
        <f t="shared" si="8"/>
        <v>39417</v>
      </c>
      <c r="S86" s="4">
        <f>-VLOOKUP(J86,A:G,5,0)</f>
        <v>8.3841862474908296E-2</v>
      </c>
      <c r="T86" s="4">
        <f>VLOOKUP(J86,Total!A:P,8,0)</f>
        <v>9.2183047246630803E-2</v>
      </c>
      <c r="V86" s="1">
        <f t="shared" si="9"/>
        <v>39417</v>
      </c>
      <c r="W86" s="4">
        <f>VLOOKUP(J86,A:G,4,0)</f>
        <v>0.105431540588013</v>
      </c>
      <c r="X86" s="4">
        <f>VLOOKUP(J86,Total!A:P,12,0)+VLOOKUP(J86,Total!A:P,13,0)</f>
        <v>8.53227491125743E-2</v>
      </c>
      <c r="Z86" s="1">
        <f t="shared" si="10"/>
        <v>39417</v>
      </c>
      <c r="AA86" s="4">
        <f>VLOOKUP(J86,A:G,7,0)</f>
        <v>0.226828633565786</v>
      </c>
      <c r="AB86" s="4">
        <f>VLOOKUP(J86,Total!A:P,16,0)</f>
        <v>0.30604716573915647</v>
      </c>
      <c r="AD86" s="1">
        <f t="shared" si="11"/>
        <v>39417</v>
      </c>
      <c r="AE86" s="4">
        <f t="shared" si="12"/>
        <v>0.27712444925222757</v>
      </c>
      <c r="AF86" s="4">
        <f t="shared" si="13"/>
        <v>0.35691878250517234</v>
      </c>
    </row>
    <row r="87" spans="1:32" x14ac:dyDescent="0.25">
      <c r="A87" s="1">
        <v>39448</v>
      </c>
      <c r="B87" s="4">
        <v>7.3572456828262203E-2</v>
      </c>
      <c r="C87" s="4">
        <v>0.10529018698003501</v>
      </c>
      <c r="D87" s="4">
        <v>0.10529018698003501</v>
      </c>
      <c r="E87" s="4">
        <v>-7.9798842063263001E-2</v>
      </c>
      <c r="F87" s="4">
        <v>0.75374192143984697</v>
      </c>
      <c r="G87" s="4">
        <v>0.22201092389946001</v>
      </c>
      <c r="J87" s="1">
        <v>39448</v>
      </c>
      <c r="K87" s="4">
        <f>VLOOKUP(J87,A:G,2,0)</f>
        <v>7.3572456828262203E-2</v>
      </c>
      <c r="L87" s="4">
        <f>VLOOKUP(J87,Total!A:P,2,0)</f>
        <v>8.7878585258331504E-2</v>
      </c>
      <c r="N87" s="1">
        <f t="shared" si="7"/>
        <v>39448</v>
      </c>
      <c r="O87" s="4">
        <f>VLOOKUP(J87,A:G,3,0)</f>
        <v>0.10529018698003501</v>
      </c>
      <c r="P87" s="4">
        <f>VLOOKUP(J87,Total!A:P,11,0)</f>
        <v>0.13383910696123499</v>
      </c>
      <c r="R87" s="1">
        <f t="shared" si="8"/>
        <v>39448</v>
      </c>
      <c r="S87" s="4">
        <f>-VLOOKUP(J87,A:G,5,0)</f>
        <v>7.9798842063263001E-2</v>
      </c>
      <c r="T87" s="4">
        <f>VLOOKUP(J87,Total!A:P,8,0)</f>
        <v>8.7133980885376702E-2</v>
      </c>
      <c r="V87" s="1">
        <f t="shared" si="9"/>
        <v>39448</v>
      </c>
      <c r="W87" s="4">
        <f>VLOOKUP(J87,A:G,4,0)</f>
        <v>0.10529018698003501</v>
      </c>
      <c r="X87" s="4">
        <f>VLOOKUP(J87,Total!A:P,12,0)+VLOOKUP(J87,Total!A:P,13,0)</f>
        <v>7.1556686236240508E-2</v>
      </c>
      <c r="Z87" s="1">
        <f t="shared" si="10"/>
        <v>39448</v>
      </c>
      <c r="AA87" s="4">
        <f>VLOOKUP(J87,A:G,7,0)</f>
        <v>0.22201092389946001</v>
      </c>
      <c r="AB87" s="4">
        <f>VLOOKUP(J87,Total!A:P,16,0)</f>
        <v>0.28499509643757204</v>
      </c>
      <c r="AD87" s="1">
        <f t="shared" si="11"/>
        <v>39448</v>
      </c>
      <c r="AE87" s="4">
        <f t="shared" si="12"/>
        <v>0.27921999896800481</v>
      </c>
      <c r="AF87" s="4">
        <f t="shared" si="13"/>
        <v>0.31537832349133932</v>
      </c>
    </row>
    <row r="88" spans="1:32" x14ac:dyDescent="0.25">
      <c r="A88" s="1">
        <v>39479</v>
      </c>
      <c r="B88" s="4">
        <v>7.3524917700542203E-2</v>
      </c>
      <c r="C88" s="4">
        <v>0.11930473567753</v>
      </c>
      <c r="D88" s="4">
        <v>0.11930473567753</v>
      </c>
      <c r="E88" s="4">
        <v>-7.6700365995208505E-2</v>
      </c>
      <c r="F88" s="4">
        <v>0.73966532671111695</v>
      </c>
      <c r="G88" s="4">
        <v>0.21308090396566101</v>
      </c>
      <c r="J88" s="1">
        <v>39479</v>
      </c>
      <c r="K88" s="4">
        <f>VLOOKUP(J88,A:G,2,0)</f>
        <v>7.3524917700542203E-2</v>
      </c>
      <c r="L88" s="4">
        <f>VLOOKUP(J88,Total!A:P,2,0)</f>
        <v>8.3515400437132806E-2</v>
      </c>
      <c r="N88" s="1">
        <f t="shared" si="7"/>
        <v>39479</v>
      </c>
      <c r="O88" s="4">
        <f>VLOOKUP(J88,A:G,3,0)</f>
        <v>0.11930473567753</v>
      </c>
      <c r="P88" s="4">
        <f>VLOOKUP(J88,Total!A:P,11,0)</f>
        <v>0.12956239127890301</v>
      </c>
      <c r="R88" s="1">
        <f t="shared" si="8"/>
        <v>39479</v>
      </c>
      <c r="S88" s="4">
        <f>-VLOOKUP(J88,A:G,5,0)</f>
        <v>7.6700365995208505E-2</v>
      </c>
      <c r="T88" s="4">
        <f>VLOOKUP(J88,Total!A:P,8,0)</f>
        <v>7.9845704209823606E-2</v>
      </c>
      <c r="V88" s="1">
        <f t="shared" si="9"/>
        <v>39479</v>
      </c>
      <c r="W88" s="4">
        <f>VLOOKUP(J88,A:G,4,0)</f>
        <v>0.11930473567753</v>
      </c>
      <c r="X88" s="4">
        <f>VLOOKUP(J88,Total!A:P,12,0)+VLOOKUP(J88,Total!A:P,13,0)</f>
        <v>5.9627236923885399E-2</v>
      </c>
      <c r="Z88" s="1">
        <f t="shared" si="10"/>
        <v>39479</v>
      </c>
      <c r="AA88" s="4">
        <f>VLOOKUP(J88,A:G,7,0)</f>
        <v>0.21308090396566101</v>
      </c>
      <c r="AB88" s="4">
        <f>VLOOKUP(J88,Total!A:P,16,0)</f>
        <v>0.25590628913769953</v>
      </c>
      <c r="AD88" s="1">
        <f t="shared" si="11"/>
        <v>39479</v>
      </c>
      <c r="AE88" s="4">
        <f t="shared" si="12"/>
        <v>0.30146509162497026</v>
      </c>
      <c r="AF88" s="4">
        <f t="shared" si="13"/>
        <v>0.28173481269353151</v>
      </c>
    </row>
    <row r="89" spans="1:32" x14ac:dyDescent="0.25">
      <c r="A89" s="1">
        <v>39508</v>
      </c>
      <c r="B89" s="4">
        <v>7.53574629330475E-2</v>
      </c>
      <c r="C89" s="4">
        <v>0.11320144765204899</v>
      </c>
      <c r="D89" s="4">
        <v>0.11320144765204899</v>
      </c>
      <c r="E89" s="4">
        <v>-7.7983420683892898E-2</v>
      </c>
      <c r="F89" s="4">
        <v>0.74077109894975601</v>
      </c>
      <c r="G89" s="4">
        <v>0.22602179155449001</v>
      </c>
      <c r="J89" s="1">
        <v>39508</v>
      </c>
      <c r="K89" s="4">
        <f>VLOOKUP(J89,A:G,2,0)</f>
        <v>7.53574629330475E-2</v>
      </c>
      <c r="L89" s="4">
        <f>VLOOKUP(J89,Total!A:P,2,0)</f>
        <v>8.6275181559898495E-2</v>
      </c>
      <c r="N89" s="1">
        <f t="shared" si="7"/>
        <v>39508</v>
      </c>
      <c r="O89" s="4">
        <f>VLOOKUP(J89,A:G,3,0)</f>
        <v>0.11320144765204899</v>
      </c>
      <c r="P89" s="4">
        <f>VLOOKUP(J89,Total!A:P,11,0)</f>
        <v>0.131263859875386</v>
      </c>
      <c r="R89" s="1">
        <f t="shared" si="8"/>
        <v>39508</v>
      </c>
      <c r="S89" s="4">
        <f>-VLOOKUP(J89,A:G,5,0)</f>
        <v>7.7983420683892898E-2</v>
      </c>
      <c r="T89" s="4">
        <f>VLOOKUP(J89,Total!A:P,8,0)</f>
        <v>8.0437198890460193E-2</v>
      </c>
      <c r="V89" s="1">
        <f t="shared" si="9"/>
        <v>39508</v>
      </c>
      <c r="W89" s="4">
        <f>VLOOKUP(J89,A:G,4,0)</f>
        <v>0.11320144765204899</v>
      </c>
      <c r="X89" s="4">
        <f>VLOOKUP(J89,Total!A:P,12,0)+VLOOKUP(J89,Total!A:P,13,0)</f>
        <v>5.3406055944725001E-2</v>
      </c>
      <c r="Z89" s="1">
        <f t="shared" si="10"/>
        <v>39508</v>
      </c>
      <c r="AA89" s="4">
        <f>VLOOKUP(J89,A:G,7,0)</f>
        <v>0.22602179155449001</v>
      </c>
      <c r="AB89" s="4">
        <f>VLOOKUP(J89,Total!A:P,16,0)</f>
        <v>0.29376563020249369</v>
      </c>
      <c r="AD89" s="1">
        <f t="shared" si="11"/>
        <v>39508</v>
      </c>
      <c r="AE89" s="4">
        <f t="shared" si="12"/>
        <v>0.29908380324164757</v>
      </c>
      <c r="AF89" s="4">
        <f t="shared" si="13"/>
        <v>0.31172316557224605</v>
      </c>
    </row>
    <row r="90" spans="1:32" x14ac:dyDescent="0.25">
      <c r="A90" s="1">
        <v>39539</v>
      </c>
      <c r="B90" s="4">
        <v>7.1209504174158403E-2</v>
      </c>
      <c r="C90" s="4">
        <v>0.10658598987622001</v>
      </c>
      <c r="D90" s="4">
        <v>0.10658598987622001</v>
      </c>
      <c r="E90" s="4">
        <v>-7.5007834206809398E-2</v>
      </c>
      <c r="F90" s="4">
        <v>0.726539271945433</v>
      </c>
      <c r="G90" s="4">
        <v>0.24761041545259699</v>
      </c>
      <c r="J90" s="1">
        <v>39539</v>
      </c>
      <c r="K90" s="4">
        <f>VLOOKUP(J90,A:G,2,0)</f>
        <v>7.1209504174158403E-2</v>
      </c>
      <c r="L90" s="4">
        <f>VLOOKUP(J90,Total!A:P,2,0)</f>
        <v>8.2651987750342701E-2</v>
      </c>
      <c r="N90" s="1">
        <f t="shared" si="7"/>
        <v>39539</v>
      </c>
      <c r="O90" s="4">
        <f>VLOOKUP(J90,A:G,3,0)</f>
        <v>0.10658598987622001</v>
      </c>
      <c r="P90" s="4">
        <f>VLOOKUP(J90,Total!A:P,11,0)</f>
        <v>0.10630523668122301</v>
      </c>
      <c r="R90" s="1">
        <f t="shared" si="8"/>
        <v>39539</v>
      </c>
      <c r="S90" s="4">
        <f>-VLOOKUP(J90,A:G,5,0)</f>
        <v>7.5007834206809398E-2</v>
      </c>
      <c r="T90" s="4">
        <f>VLOOKUP(J90,Total!A:P,8,0)</f>
        <v>7.2651304441863102E-2</v>
      </c>
      <c r="V90" s="1">
        <f t="shared" si="9"/>
        <v>39539</v>
      </c>
      <c r="W90" s="4">
        <f>VLOOKUP(J90,A:G,4,0)</f>
        <v>0.10658598987622001</v>
      </c>
      <c r="X90" s="4">
        <f>VLOOKUP(J90,Total!A:P,12,0)+VLOOKUP(J90,Total!A:P,13,0)</f>
        <v>5.4216508078040598E-2</v>
      </c>
      <c r="Z90" s="1">
        <f t="shared" si="10"/>
        <v>39539</v>
      </c>
      <c r="AA90" s="4">
        <f>VLOOKUP(J90,A:G,7,0)</f>
        <v>0.24761041545259699</v>
      </c>
      <c r="AB90" s="4">
        <f>VLOOKUP(J90,Total!A:P,16,0)</f>
        <v>0.27212398520023673</v>
      </c>
      <c r="AD90" s="1">
        <f t="shared" si="11"/>
        <v>39539</v>
      </c>
      <c r="AE90" s="4">
        <f t="shared" si="12"/>
        <v>0.31456505682406927</v>
      </c>
      <c r="AF90" s="4">
        <f t="shared" si="13"/>
        <v>0.2773424377672945</v>
      </c>
    </row>
    <row r="91" spans="1:32" x14ac:dyDescent="0.25">
      <c r="A91" s="1">
        <v>39569</v>
      </c>
      <c r="B91" s="4">
        <v>6.9584042510803495E-2</v>
      </c>
      <c r="C91" s="4">
        <v>0.103220628297425</v>
      </c>
      <c r="D91" s="4">
        <v>0.103220628297425</v>
      </c>
      <c r="E91" s="4">
        <v>-7.11309459456273E-2</v>
      </c>
      <c r="F91" s="4">
        <v>0.72857711440501505</v>
      </c>
      <c r="G91" s="4">
        <v>0.24365932772718699</v>
      </c>
      <c r="J91" s="1">
        <v>39569</v>
      </c>
      <c r="K91" s="4">
        <f>VLOOKUP(J91,A:G,2,0)</f>
        <v>6.9584042510803495E-2</v>
      </c>
      <c r="L91" s="4">
        <f>VLOOKUP(J91,Total!A:P,2,0)</f>
        <v>8.12134801657481E-2</v>
      </c>
      <c r="N91" s="1">
        <f t="shared" si="7"/>
        <v>39569</v>
      </c>
      <c r="O91" s="4">
        <f>VLOOKUP(J91,A:G,3,0)</f>
        <v>0.103220628297425</v>
      </c>
      <c r="P91" s="4">
        <f>VLOOKUP(J91,Total!A:P,11,0)</f>
        <v>0.108000823849544</v>
      </c>
      <c r="R91" s="1">
        <f t="shared" si="8"/>
        <v>39569</v>
      </c>
      <c r="S91" s="4">
        <f>-VLOOKUP(J91,A:G,5,0)</f>
        <v>7.11309459456273E-2</v>
      </c>
      <c r="T91" s="4">
        <f>VLOOKUP(J91,Total!A:P,8,0)</f>
        <v>7.4913257873350902E-2</v>
      </c>
      <c r="V91" s="1">
        <f t="shared" si="9"/>
        <v>39569</v>
      </c>
      <c r="W91" s="4">
        <f>VLOOKUP(J91,A:G,4,0)</f>
        <v>0.103220628297425</v>
      </c>
      <c r="X91" s="4">
        <f>VLOOKUP(J91,Total!A:P,12,0)+VLOOKUP(J91,Total!A:P,13,0)</f>
        <v>6.3689761144262599E-2</v>
      </c>
      <c r="Z91" s="1">
        <f t="shared" si="10"/>
        <v>39569</v>
      </c>
      <c r="AA91" s="4">
        <f>VLOOKUP(J91,A:G,7,0)</f>
        <v>0.24365932772718699</v>
      </c>
      <c r="AB91" s="4">
        <f>VLOOKUP(J91,Total!A:P,16,0)</f>
        <v>0.30589263242996489</v>
      </c>
      <c r="AD91" s="1">
        <f t="shared" si="11"/>
        <v>39569</v>
      </c>
      <c r="AE91" s="4">
        <f t="shared" si="12"/>
        <v>0.30938559586560621</v>
      </c>
      <c r="AF91" s="4">
        <f t="shared" si="13"/>
        <v>0.32145647938467253</v>
      </c>
    </row>
    <row r="92" spans="1:32" x14ac:dyDescent="0.25">
      <c r="A92" s="1">
        <v>39600</v>
      </c>
      <c r="B92" s="4">
        <v>7.1400198242191404E-2</v>
      </c>
      <c r="C92" s="4">
        <v>0.102551179542688</v>
      </c>
      <c r="D92" s="4">
        <v>0.102551179542688</v>
      </c>
      <c r="E92" s="4">
        <v>-7.0150528683315699E-2</v>
      </c>
      <c r="F92" s="4">
        <v>0.71604048981244595</v>
      </c>
      <c r="G92" s="4">
        <v>0.25059349400914899</v>
      </c>
      <c r="J92" s="1">
        <v>39600</v>
      </c>
      <c r="K92" s="4">
        <f>VLOOKUP(J92,A:G,2,0)</f>
        <v>7.1400198242191404E-2</v>
      </c>
      <c r="L92" s="4">
        <f>VLOOKUP(J92,Total!A:P,2,0)</f>
        <v>8.1877862936668197E-2</v>
      </c>
      <c r="N92" s="1">
        <f t="shared" si="7"/>
        <v>39600</v>
      </c>
      <c r="O92" s="4">
        <f>VLOOKUP(J92,A:G,3,0)</f>
        <v>0.102551179542688</v>
      </c>
      <c r="P92" s="4">
        <f>VLOOKUP(J92,Total!A:P,11,0)</f>
        <v>0.108813481978368</v>
      </c>
      <c r="R92" s="1">
        <f t="shared" si="8"/>
        <v>39600</v>
      </c>
      <c r="S92" s="4">
        <f>-VLOOKUP(J92,A:G,5,0)</f>
        <v>7.0150528683315699E-2</v>
      </c>
      <c r="T92" s="4">
        <f>VLOOKUP(J92,Total!A:P,8,0)</f>
        <v>7.04060771360734E-2</v>
      </c>
      <c r="V92" s="1">
        <f t="shared" si="9"/>
        <v>39600</v>
      </c>
      <c r="W92" s="4">
        <f>VLOOKUP(J92,A:G,4,0)</f>
        <v>0.102551179542688</v>
      </c>
      <c r="X92" s="4">
        <f>VLOOKUP(J92,Total!A:P,12,0)+VLOOKUP(J92,Total!A:P,13,0)</f>
        <v>7.2617651166743499E-2</v>
      </c>
      <c r="Z92" s="1">
        <f t="shared" si="10"/>
        <v>39600</v>
      </c>
      <c r="AA92" s="4">
        <f>VLOOKUP(J92,A:G,7,0)</f>
        <v>0.25059349400914899</v>
      </c>
      <c r="AB92" s="4">
        <f>VLOOKUP(J92,Total!A:P,16,0)</f>
        <v>0.29570901479817058</v>
      </c>
      <c r="AD92" s="1">
        <f t="shared" si="11"/>
        <v>39600</v>
      </c>
      <c r="AE92" s="4">
        <f t="shared" si="12"/>
        <v>0.31414512616901791</v>
      </c>
      <c r="AF92" s="4">
        <f t="shared" si="13"/>
        <v>0.32485620787054048</v>
      </c>
    </row>
    <row r="93" spans="1:32" x14ac:dyDescent="0.25">
      <c r="A93" s="1">
        <v>39630</v>
      </c>
      <c r="B93" s="4">
        <v>6.8356463950650495E-2</v>
      </c>
      <c r="C93" s="4">
        <v>9.9948906318235206E-2</v>
      </c>
      <c r="D93" s="4">
        <v>9.9948906318235206E-2</v>
      </c>
      <c r="E93" s="4">
        <v>-6.9509230791938506E-2</v>
      </c>
      <c r="F93" s="4">
        <v>0.71377906962705195</v>
      </c>
      <c r="G93" s="4">
        <v>0.24132792104103601</v>
      </c>
      <c r="J93" s="1">
        <v>39630</v>
      </c>
      <c r="K93" s="4">
        <f>VLOOKUP(J93,A:G,2,0)</f>
        <v>6.8356463950650495E-2</v>
      </c>
      <c r="L93" s="4">
        <f>VLOOKUP(J93,Total!A:P,2,0)</f>
        <v>7.9365972915804897E-2</v>
      </c>
      <c r="N93" s="1">
        <f t="shared" si="7"/>
        <v>39630</v>
      </c>
      <c r="O93" s="4">
        <f>VLOOKUP(J93,A:G,3,0)</f>
        <v>9.9948906318235206E-2</v>
      </c>
      <c r="P93" s="4">
        <f>VLOOKUP(J93,Total!A:P,11,0)</f>
        <v>0.10451130237732301</v>
      </c>
      <c r="R93" s="1">
        <f t="shared" si="8"/>
        <v>39630</v>
      </c>
      <c r="S93" s="4">
        <f>-VLOOKUP(J93,A:G,5,0)</f>
        <v>6.9509230791938506E-2</v>
      </c>
      <c r="T93" s="4">
        <f>VLOOKUP(J93,Total!A:P,8,0)</f>
        <v>6.8996995242270195E-2</v>
      </c>
      <c r="V93" s="1">
        <f t="shared" si="9"/>
        <v>39630</v>
      </c>
      <c r="W93" s="4">
        <f>VLOOKUP(J93,A:G,4,0)</f>
        <v>9.9948906318235206E-2</v>
      </c>
      <c r="X93" s="4">
        <f>VLOOKUP(J93,Total!A:P,12,0)+VLOOKUP(J93,Total!A:P,13,0)</f>
        <v>5.8708388766491301E-2</v>
      </c>
      <c r="Z93" s="1">
        <f t="shared" si="10"/>
        <v>39630</v>
      </c>
      <c r="AA93" s="4">
        <f>VLOOKUP(J93,A:G,7,0)</f>
        <v>0.24132792104103601</v>
      </c>
      <c r="AB93" s="4">
        <f>VLOOKUP(J93,Total!A:P,16,0)</f>
        <v>0.3151252634624041</v>
      </c>
      <c r="AD93" s="1">
        <f t="shared" si="11"/>
        <v>39630</v>
      </c>
      <c r="AE93" s="4">
        <f t="shared" si="12"/>
        <v>0.30336003893491748</v>
      </c>
      <c r="AF93" s="4">
        <f t="shared" si="13"/>
        <v>0.32998198644814331</v>
      </c>
    </row>
    <row r="94" spans="1:32" x14ac:dyDescent="0.25">
      <c r="A94" s="1">
        <v>39661</v>
      </c>
      <c r="B94" s="4">
        <v>6.7908938764225102E-2</v>
      </c>
      <c r="C94" s="4">
        <v>0.10050999032062601</v>
      </c>
      <c r="D94" s="4">
        <v>0.10050999032062601</v>
      </c>
      <c r="E94" s="4">
        <v>-6.9329412860428402E-2</v>
      </c>
      <c r="F94" s="4">
        <v>0.71077062153774395</v>
      </c>
      <c r="G94" s="4">
        <v>0.252827612928815</v>
      </c>
      <c r="J94" s="1">
        <v>39661</v>
      </c>
      <c r="K94" s="4">
        <f>VLOOKUP(J94,A:G,2,0)</f>
        <v>6.7908938764225102E-2</v>
      </c>
      <c r="L94" s="4">
        <f>VLOOKUP(J94,Total!A:P,2,0)</f>
        <v>7.95020283597139E-2</v>
      </c>
      <c r="N94" s="1">
        <f t="shared" si="7"/>
        <v>39661</v>
      </c>
      <c r="O94" s="4">
        <f>VLOOKUP(J94,A:G,3,0)</f>
        <v>0.10050999032062601</v>
      </c>
      <c r="P94" s="4">
        <f>VLOOKUP(J94,Total!A:P,11,0)</f>
        <v>0.109094023575764</v>
      </c>
      <c r="R94" s="1">
        <f t="shared" si="8"/>
        <v>39661</v>
      </c>
      <c r="S94" s="4">
        <f>-VLOOKUP(J94,A:G,5,0)</f>
        <v>6.9329412860428402E-2</v>
      </c>
      <c r="T94" s="4">
        <f>VLOOKUP(J94,Total!A:P,8,0)</f>
        <v>7.0795149218091893E-2</v>
      </c>
      <c r="V94" s="1">
        <f t="shared" si="9"/>
        <v>39661</v>
      </c>
      <c r="W94" s="4">
        <f>VLOOKUP(J94,A:G,4,0)</f>
        <v>0.10050999032062601</v>
      </c>
      <c r="X94" s="4">
        <f>VLOOKUP(J94,Total!A:P,12,0)+VLOOKUP(J94,Total!A:P,13,0)</f>
        <v>6.1371563110047399E-2</v>
      </c>
      <c r="Z94" s="1">
        <f t="shared" si="10"/>
        <v>39661</v>
      </c>
      <c r="AA94" s="4">
        <f>VLOOKUP(J94,A:G,7,0)</f>
        <v>0.252827612928815</v>
      </c>
      <c r="AB94" s="4">
        <f>VLOOKUP(J94,Total!A:P,16,0)</f>
        <v>0.32662593053546496</v>
      </c>
      <c r="AD94" s="1">
        <f t="shared" si="11"/>
        <v>39661</v>
      </c>
      <c r="AE94" s="4">
        <f t="shared" si="12"/>
        <v>0.31660924194541351</v>
      </c>
      <c r="AF94" s="4">
        <f t="shared" si="13"/>
        <v>0.34679433964347056</v>
      </c>
    </row>
    <row r="95" spans="1:32" x14ac:dyDescent="0.25">
      <c r="A95" s="1">
        <v>39692</v>
      </c>
      <c r="B95" s="4">
        <v>6.8183295565228993E-2</v>
      </c>
      <c r="C95" s="4">
        <v>8.8271505099589601E-2</v>
      </c>
      <c r="D95" s="4">
        <v>8.8271505099589601E-2</v>
      </c>
      <c r="E95" s="4">
        <v>-6.4985269682751201E-2</v>
      </c>
      <c r="F95" s="4">
        <v>0.70426131261249203</v>
      </c>
      <c r="G95" s="4">
        <v>0.25218912982534403</v>
      </c>
      <c r="J95" s="1">
        <v>39692</v>
      </c>
      <c r="K95" s="4">
        <f>VLOOKUP(J95,A:G,2,0)</f>
        <v>6.8183295565228993E-2</v>
      </c>
      <c r="L95" s="4">
        <f>VLOOKUP(J95,Total!A:P,2,0)</f>
        <v>7.8146576432254103E-2</v>
      </c>
      <c r="N95" s="1">
        <f t="shared" si="7"/>
        <v>39692</v>
      </c>
      <c r="O95" s="4">
        <f>VLOOKUP(J95,A:G,3,0)</f>
        <v>8.8271505099589601E-2</v>
      </c>
      <c r="P95" s="4">
        <f>VLOOKUP(J95,Total!A:P,11,0)</f>
        <v>0.100646133269711</v>
      </c>
      <c r="R95" s="1">
        <f t="shared" si="8"/>
        <v>39692</v>
      </c>
      <c r="S95" s="4">
        <f>-VLOOKUP(J95,A:G,5,0)</f>
        <v>6.4985269682751201E-2</v>
      </c>
      <c r="T95" s="4">
        <f>VLOOKUP(J95,Total!A:P,8,0)</f>
        <v>6.5438716868989999E-2</v>
      </c>
      <c r="V95" s="1">
        <f t="shared" si="9"/>
        <v>39692</v>
      </c>
      <c r="W95" s="4">
        <f>VLOOKUP(J95,A:G,4,0)</f>
        <v>8.8271505099589601E-2</v>
      </c>
      <c r="X95" s="4">
        <f>VLOOKUP(J95,Total!A:P,12,0)+VLOOKUP(J95,Total!A:P,13,0)</f>
        <v>6.0017503318662499E-2</v>
      </c>
      <c r="Z95" s="1">
        <f t="shared" si="10"/>
        <v>39692</v>
      </c>
      <c r="AA95" s="4">
        <f>VLOOKUP(J95,A:G,7,0)</f>
        <v>0.25218912982534403</v>
      </c>
      <c r="AB95" s="4">
        <f>VLOOKUP(J95,Total!A:P,16,0)</f>
        <v>0.313571019882385</v>
      </c>
      <c r="AD95" s="1">
        <f t="shared" si="11"/>
        <v>39692</v>
      </c>
      <c r="AE95" s="4">
        <f t="shared" si="12"/>
        <v>0.29556357477654299</v>
      </c>
      <c r="AF95" s="4">
        <f t="shared" si="13"/>
        <v>0.33064936316951443</v>
      </c>
    </row>
    <row r="96" spans="1:32" x14ac:dyDescent="0.25">
      <c r="A96" s="1">
        <v>39722</v>
      </c>
      <c r="B96" s="4">
        <v>6.8136653615373202E-2</v>
      </c>
      <c r="C96" s="4">
        <v>8.5318861076734198E-2</v>
      </c>
      <c r="D96" s="4">
        <v>8.5318861076734198E-2</v>
      </c>
      <c r="E96" s="4">
        <v>-6.3384376734161904E-2</v>
      </c>
      <c r="F96" s="4">
        <v>0.67643350077704201</v>
      </c>
      <c r="G96" s="4">
        <v>0.26204568471977602</v>
      </c>
      <c r="J96" s="1">
        <v>39722</v>
      </c>
      <c r="K96" s="4">
        <f>VLOOKUP(J96,A:G,2,0)</f>
        <v>6.8136653615373202E-2</v>
      </c>
      <c r="L96" s="4">
        <f>VLOOKUP(J96,Total!A:P,2,0)</f>
        <v>8.1102393437688394E-2</v>
      </c>
      <c r="N96" s="1">
        <f t="shared" si="7"/>
        <v>39722</v>
      </c>
      <c r="O96" s="4">
        <f>VLOOKUP(J96,A:G,3,0)</f>
        <v>8.5318861076734198E-2</v>
      </c>
      <c r="P96" s="4">
        <f>VLOOKUP(J96,Total!A:P,11,0)</f>
        <v>0.102771143173453</v>
      </c>
      <c r="R96" s="1">
        <f t="shared" si="8"/>
        <v>39722</v>
      </c>
      <c r="S96" s="4">
        <f>-VLOOKUP(J96,A:G,5,0)</f>
        <v>6.3384376734161904E-2</v>
      </c>
      <c r="T96" s="4">
        <f>VLOOKUP(J96,Total!A:P,8,0)</f>
        <v>7.2298130056746596E-2</v>
      </c>
      <c r="V96" s="1">
        <f t="shared" si="9"/>
        <v>39722</v>
      </c>
      <c r="W96" s="4">
        <f>VLOOKUP(J96,A:G,4,0)</f>
        <v>8.5318861076734198E-2</v>
      </c>
      <c r="X96" s="4">
        <f>VLOOKUP(J96,Total!A:P,12,0)+VLOOKUP(J96,Total!A:P,13,0)</f>
        <v>5.4648405163097401E-2</v>
      </c>
      <c r="Z96" s="1">
        <f t="shared" si="10"/>
        <v>39722</v>
      </c>
      <c r="AA96" s="4">
        <f>VLOOKUP(J96,A:G,7,0)</f>
        <v>0.26204568471977602</v>
      </c>
      <c r="AB96" s="4">
        <f>VLOOKUP(J96,Total!A:P,16,0)</f>
        <v>0.32862786804981692</v>
      </c>
      <c r="AD96" s="1">
        <f t="shared" si="11"/>
        <v>39722</v>
      </c>
      <c r="AE96" s="4">
        <f t="shared" si="12"/>
        <v>0.30116237652370931</v>
      </c>
      <c r="AF96" s="4">
        <f t="shared" si="13"/>
        <v>0.33264689289193228</v>
      </c>
    </row>
    <row r="97" spans="1:32" x14ac:dyDescent="0.25">
      <c r="A97" s="1">
        <v>39753</v>
      </c>
      <c r="B97" s="4">
        <v>6.6117355829872299E-2</v>
      </c>
      <c r="C97" s="4">
        <v>9.1589678500674898E-2</v>
      </c>
      <c r="D97" s="4">
        <v>9.1589678500674898E-2</v>
      </c>
      <c r="E97" s="4">
        <v>-6.4707419911733094E-2</v>
      </c>
      <c r="F97" s="4">
        <v>0.667445814960138</v>
      </c>
      <c r="G97" s="4">
        <v>0.27737033255159399</v>
      </c>
      <c r="J97" s="1">
        <v>39753</v>
      </c>
      <c r="K97" s="4">
        <f>VLOOKUP(J97,A:G,2,0)</f>
        <v>6.6117355829872299E-2</v>
      </c>
      <c r="L97" s="4">
        <f>VLOOKUP(J97,Total!A:P,2,0)</f>
        <v>7.8771718489176301E-2</v>
      </c>
      <c r="N97" s="1">
        <f t="shared" si="7"/>
        <v>39753</v>
      </c>
      <c r="O97" s="4">
        <f>VLOOKUP(J97,A:G,3,0)</f>
        <v>9.1589678500674898E-2</v>
      </c>
      <c r="P97" s="4">
        <f>VLOOKUP(J97,Total!A:P,11,0)</f>
        <v>0.11043382912913099</v>
      </c>
      <c r="R97" s="1">
        <f t="shared" si="8"/>
        <v>39753</v>
      </c>
      <c r="S97" s="4">
        <f>-VLOOKUP(J97,A:G,5,0)</f>
        <v>6.4707419911733094E-2</v>
      </c>
      <c r="T97" s="4">
        <f>VLOOKUP(J97,Total!A:P,8,0)</f>
        <v>6.7489000293078596E-2</v>
      </c>
      <c r="V97" s="1">
        <f t="shared" si="9"/>
        <v>39753</v>
      </c>
      <c r="W97" s="4">
        <f>VLOOKUP(J97,A:G,4,0)</f>
        <v>9.1589678500674898E-2</v>
      </c>
      <c r="X97" s="4">
        <f>VLOOKUP(J97,Total!A:P,12,0)+VLOOKUP(J97,Total!A:P,13,0)</f>
        <v>7.0187094800045494E-2</v>
      </c>
      <c r="Z97" s="1">
        <f t="shared" si="10"/>
        <v>39753</v>
      </c>
      <c r="AA97" s="4">
        <f>VLOOKUP(J97,A:G,7,0)</f>
        <v>0.27737033255159399</v>
      </c>
      <c r="AB97" s="4">
        <f>VLOOKUP(J97,Total!A:P,16,0)</f>
        <v>0.33713442993734388</v>
      </c>
      <c r="AD97" s="1">
        <f t="shared" si="11"/>
        <v>39753</v>
      </c>
      <c r="AE97" s="4">
        <f t="shared" si="12"/>
        <v>0.32972491381133839</v>
      </c>
      <c r="AF97" s="4">
        <f t="shared" si="13"/>
        <v>0.3714946350842655</v>
      </c>
    </row>
    <row r="98" spans="1:32" x14ac:dyDescent="0.25">
      <c r="A98" s="1">
        <v>39783</v>
      </c>
      <c r="B98" s="4">
        <v>6.9118510160068702E-2</v>
      </c>
      <c r="C98" s="4">
        <v>9.1945107572026105E-2</v>
      </c>
      <c r="D98" s="4">
        <v>9.1945107572026105E-2</v>
      </c>
      <c r="E98" s="4">
        <v>-6.8639643332675707E-2</v>
      </c>
      <c r="F98" s="4">
        <v>0.63515615922967705</v>
      </c>
      <c r="G98" s="4">
        <v>0.30567044564816598</v>
      </c>
      <c r="J98" s="1">
        <v>39783</v>
      </c>
      <c r="K98" s="4">
        <f>VLOOKUP(J98,A:G,2,0)</f>
        <v>6.9118510160068702E-2</v>
      </c>
      <c r="L98" s="4">
        <f>VLOOKUP(J98,Total!A:P,2,0)</f>
        <v>7.9535886220867894E-2</v>
      </c>
      <c r="N98" s="1">
        <f t="shared" si="7"/>
        <v>39783</v>
      </c>
      <c r="O98" s="4">
        <f>VLOOKUP(J98,A:G,3,0)</f>
        <v>9.1945107572026105E-2</v>
      </c>
      <c r="P98" s="4">
        <f>VLOOKUP(J98,Total!A:P,11,0)</f>
        <v>0.11336066713460299</v>
      </c>
      <c r="R98" s="1">
        <f t="shared" si="8"/>
        <v>39783</v>
      </c>
      <c r="S98" s="4">
        <f>-VLOOKUP(J98,A:G,5,0)</f>
        <v>6.8639643332675707E-2</v>
      </c>
      <c r="T98" s="4">
        <f>VLOOKUP(J98,Total!A:P,8,0)</f>
        <v>6.8147885991279605E-2</v>
      </c>
      <c r="V98" s="1">
        <f t="shared" si="9"/>
        <v>39783</v>
      </c>
      <c r="W98" s="4">
        <f>VLOOKUP(J98,A:G,4,0)</f>
        <v>9.1945107572026105E-2</v>
      </c>
      <c r="X98" s="4">
        <f>VLOOKUP(J98,Total!A:P,12,0)+VLOOKUP(J98,Total!A:P,13,0)</f>
        <v>6.1575955866028098E-2</v>
      </c>
      <c r="Z98" s="1">
        <f t="shared" si="10"/>
        <v>39783</v>
      </c>
      <c r="AA98" s="4">
        <f>VLOOKUP(J98,A:G,7,0)</f>
        <v>0.30567044564816598</v>
      </c>
      <c r="AB98" s="4">
        <f>VLOOKUP(J98,Total!A:P,16,0)</f>
        <v>0.3260458258278266</v>
      </c>
      <c r="AD98" s="1">
        <f t="shared" si="11"/>
        <v>39783</v>
      </c>
      <c r="AE98" s="4">
        <f t="shared" si="12"/>
        <v>0.35180250729947382</v>
      </c>
      <c r="AF98" s="4">
        <f t="shared" si="13"/>
        <v>0.35329867661631031</v>
      </c>
    </row>
    <row r="99" spans="1:32" x14ac:dyDescent="0.25">
      <c r="A99" s="1">
        <v>39814</v>
      </c>
      <c r="B99" s="4">
        <v>7.0154452419585497E-2</v>
      </c>
      <c r="C99" s="4">
        <v>9.0871135533922204E-2</v>
      </c>
      <c r="D99" s="4">
        <v>9.0871135533922204E-2</v>
      </c>
      <c r="E99" s="4">
        <v>-6.78571533755713E-2</v>
      </c>
      <c r="F99" s="4">
        <v>0.62387452349956896</v>
      </c>
      <c r="G99" s="4">
        <v>0.30828548076795798</v>
      </c>
      <c r="J99" s="1">
        <v>39814</v>
      </c>
      <c r="K99" s="4">
        <f>VLOOKUP(J99,A:G,2,0)</f>
        <v>7.0154452419585497E-2</v>
      </c>
      <c r="L99" s="4">
        <f>VLOOKUP(J99,Total!A:P,2,0)</f>
        <v>7.6329575965091601E-2</v>
      </c>
      <c r="N99" s="1">
        <f t="shared" si="7"/>
        <v>39814</v>
      </c>
      <c r="O99" s="4">
        <f>VLOOKUP(J99,A:G,3,0)</f>
        <v>9.0871135533922204E-2</v>
      </c>
      <c r="P99" s="4">
        <f>VLOOKUP(J99,Total!A:P,11,0)</f>
        <v>0.106600834813091</v>
      </c>
      <c r="R99" s="1">
        <f t="shared" si="8"/>
        <v>39814</v>
      </c>
      <c r="S99" s="4">
        <f>-VLOOKUP(J99,A:G,5,0)</f>
        <v>6.78571533755713E-2</v>
      </c>
      <c r="T99" s="4">
        <f>VLOOKUP(J99,Total!A:P,8,0)</f>
        <v>6.3912250488294797E-2</v>
      </c>
      <c r="V99" s="1">
        <f t="shared" si="9"/>
        <v>39814</v>
      </c>
      <c r="W99" s="4">
        <f>VLOOKUP(J99,A:G,4,0)</f>
        <v>9.0871135533922204E-2</v>
      </c>
      <c r="X99" s="4">
        <f>VLOOKUP(J99,Total!A:P,12,0)+VLOOKUP(J99,Total!A:P,13,0)</f>
        <v>7.6857520698535908E-2</v>
      </c>
      <c r="Z99" s="1">
        <f t="shared" si="10"/>
        <v>39814</v>
      </c>
      <c r="AA99" s="4">
        <f>VLOOKUP(J99,A:G,7,0)</f>
        <v>0.30828548076795798</v>
      </c>
      <c r="AB99" s="4">
        <f>VLOOKUP(J99,Total!A:P,16,0)</f>
        <v>0.31006826958488343</v>
      </c>
      <c r="AD99" s="1">
        <f t="shared" si="11"/>
        <v>39814</v>
      </c>
      <c r="AE99" s="4">
        <f t="shared" si="12"/>
        <v>0.35201614604064557</v>
      </c>
      <c r="AF99" s="4">
        <f t="shared" si="13"/>
        <v>0.35328479864312395</v>
      </c>
    </row>
    <row r="100" spans="1:32" x14ac:dyDescent="0.25">
      <c r="A100" s="1">
        <v>39845</v>
      </c>
      <c r="B100" s="4">
        <v>7.1368320262322704E-2</v>
      </c>
      <c r="C100" s="4">
        <v>8.44242965976362E-2</v>
      </c>
      <c r="D100" s="4">
        <v>8.44242965976362E-2</v>
      </c>
      <c r="E100" s="4">
        <v>-6.6040360765635006E-2</v>
      </c>
      <c r="F100" s="4">
        <v>0.62163823801321905</v>
      </c>
      <c r="G100" s="4">
        <v>0.32303203103545403</v>
      </c>
      <c r="J100" s="1">
        <v>39845</v>
      </c>
      <c r="K100" s="4">
        <f>VLOOKUP(J100,A:G,2,0)</f>
        <v>7.1368320262322704E-2</v>
      </c>
      <c r="L100" s="4">
        <f>VLOOKUP(J100,Total!A:P,2,0)</f>
        <v>7.8959216832169193E-2</v>
      </c>
      <c r="N100" s="1">
        <f t="shared" si="7"/>
        <v>39845</v>
      </c>
      <c r="O100" s="4">
        <f>VLOOKUP(J100,A:G,3,0)</f>
        <v>8.44242965976362E-2</v>
      </c>
      <c r="P100" s="4">
        <f>VLOOKUP(J100,Total!A:P,11,0)</f>
        <v>0.106802236977947</v>
      </c>
      <c r="R100" s="1">
        <f t="shared" si="8"/>
        <v>39845</v>
      </c>
      <c r="S100" s="4">
        <f>-VLOOKUP(J100,A:G,5,0)</f>
        <v>6.6040360765635006E-2</v>
      </c>
      <c r="T100" s="4">
        <f>VLOOKUP(J100,Total!A:P,8,0)</f>
        <v>6.39672240852837E-2</v>
      </c>
      <c r="V100" s="1">
        <f t="shared" si="9"/>
        <v>39845</v>
      </c>
      <c r="W100" s="4">
        <f>VLOOKUP(J100,A:G,4,0)</f>
        <v>8.44242965976362E-2</v>
      </c>
      <c r="X100" s="4">
        <f>VLOOKUP(J100,Total!A:P,12,0)+VLOOKUP(J100,Total!A:P,13,0)</f>
        <v>7.3116102748937081E-2</v>
      </c>
      <c r="Z100" s="1">
        <f t="shared" si="10"/>
        <v>39845</v>
      </c>
      <c r="AA100" s="4">
        <f>VLOOKUP(J100,A:G,7,0)</f>
        <v>0.32303203103545403</v>
      </c>
      <c r="AB100" s="4">
        <f>VLOOKUP(J100,Total!A:P,16,0)</f>
        <v>0.30284162439135986</v>
      </c>
      <c r="AD100" s="1">
        <f t="shared" si="11"/>
        <v>39845</v>
      </c>
      <c r="AE100" s="4">
        <f t="shared" si="12"/>
        <v>0.3544719432027687</v>
      </c>
      <c r="AF100" s="4">
        <f t="shared" si="13"/>
        <v>0.33983352320079102</v>
      </c>
    </row>
    <row r="101" spans="1:32" x14ac:dyDescent="0.25">
      <c r="A101" s="1">
        <v>39873</v>
      </c>
      <c r="B101" s="4">
        <v>7.2291417028799695E-2</v>
      </c>
      <c r="C101" s="4">
        <v>8.1878923969725098E-2</v>
      </c>
      <c r="D101" s="4">
        <v>8.1878923969725098E-2</v>
      </c>
      <c r="E101" s="4">
        <v>-6.6501773354195701E-2</v>
      </c>
      <c r="F101" s="4">
        <v>0.61377473951149797</v>
      </c>
      <c r="G101" s="4">
        <v>0.33843423649273502</v>
      </c>
      <c r="J101" s="1">
        <v>39873</v>
      </c>
      <c r="K101" s="4">
        <f>VLOOKUP(J101,A:G,2,0)</f>
        <v>7.2291417028799695E-2</v>
      </c>
      <c r="L101" s="4">
        <f>VLOOKUP(J101,Total!A:P,2,0)</f>
        <v>7.8338134061547701E-2</v>
      </c>
      <c r="N101" s="1">
        <f t="shared" si="7"/>
        <v>39873</v>
      </c>
      <c r="O101" s="4">
        <f>VLOOKUP(J101,A:G,3,0)</f>
        <v>8.1878923969725098E-2</v>
      </c>
      <c r="P101" s="4">
        <f>VLOOKUP(J101,Total!A:P,11,0)</f>
        <v>0.107396756538814</v>
      </c>
      <c r="R101" s="1">
        <f t="shared" si="8"/>
        <v>39873</v>
      </c>
      <c r="S101" s="4">
        <f>-VLOOKUP(J101,A:G,5,0)</f>
        <v>6.6501773354195701E-2</v>
      </c>
      <c r="T101" s="4">
        <f>VLOOKUP(J101,Total!A:P,8,0)</f>
        <v>6.3066859560025501E-2</v>
      </c>
      <c r="V101" s="1">
        <f t="shared" si="9"/>
        <v>39873</v>
      </c>
      <c r="W101" s="4">
        <f>VLOOKUP(J101,A:G,4,0)</f>
        <v>8.1878923969725098E-2</v>
      </c>
      <c r="X101" s="4">
        <f>VLOOKUP(J101,Total!A:P,12,0)+VLOOKUP(J101,Total!A:P,13,0)</f>
        <v>7.4901517692922706E-2</v>
      </c>
      <c r="Z101" s="1">
        <f t="shared" si="10"/>
        <v>39873</v>
      </c>
      <c r="AA101" s="4">
        <f>VLOOKUP(J101,A:G,7,0)</f>
        <v>0.33843423649273502</v>
      </c>
      <c r="AB101" s="4">
        <f>VLOOKUP(J101,Total!A:P,16,0)</f>
        <v>0.29822036794381912</v>
      </c>
      <c r="AD101" s="1">
        <f t="shared" si="11"/>
        <v>39873</v>
      </c>
      <c r="AE101" s="4">
        <f t="shared" si="12"/>
        <v>0.36339889404918979</v>
      </c>
      <c r="AF101" s="4">
        <f t="shared" si="13"/>
        <v>0.33911364855398257</v>
      </c>
    </row>
    <row r="102" spans="1:32" x14ac:dyDescent="0.25">
      <c r="A102" s="1">
        <v>39904</v>
      </c>
      <c r="B102" s="4">
        <v>6.9938346198933798E-2</v>
      </c>
      <c r="C102" s="4">
        <v>7.5191439014367006E-2</v>
      </c>
      <c r="D102" s="4">
        <v>7.5191439014367006E-2</v>
      </c>
      <c r="E102" s="4">
        <v>-6.2148140614784603E-2</v>
      </c>
      <c r="F102" s="4">
        <v>0.61397048396439502</v>
      </c>
      <c r="G102" s="4">
        <v>0.33728791439053302</v>
      </c>
      <c r="J102" s="1">
        <v>39904</v>
      </c>
      <c r="K102" s="4">
        <f>VLOOKUP(J102,A:G,2,0)</f>
        <v>6.9938346198933798E-2</v>
      </c>
      <c r="L102" s="4">
        <f>VLOOKUP(J102,Total!A:P,2,0)</f>
        <v>7.7757655433162307E-2</v>
      </c>
      <c r="N102" s="1">
        <f t="shared" si="7"/>
        <v>39904</v>
      </c>
      <c r="O102" s="4">
        <f>VLOOKUP(J102,A:G,3,0)</f>
        <v>7.5191439014367006E-2</v>
      </c>
      <c r="P102" s="4">
        <f>VLOOKUP(J102,Total!A:P,11,0)</f>
        <v>0.107768313184571</v>
      </c>
      <c r="R102" s="1">
        <f t="shared" si="8"/>
        <v>39904</v>
      </c>
      <c r="S102" s="4">
        <f>-VLOOKUP(J102,A:G,5,0)</f>
        <v>6.2148140614784603E-2</v>
      </c>
      <c r="T102" s="4">
        <f>VLOOKUP(J102,Total!A:P,8,0)</f>
        <v>6.1173733610207198E-2</v>
      </c>
      <c r="V102" s="1">
        <f t="shared" si="9"/>
        <v>39904</v>
      </c>
      <c r="W102" s="4">
        <f>VLOOKUP(J102,A:G,4,0)</f>
        <v>7.5191439014367006E-2</v>
      </c>
      <c r="X102" s="4">
        <f>VLOOKUP(J102,Total!A:P,12,0)+VLOOKUP(J102,Total!A:P,13,0)</f>
        <v>7.1736249015163081E-2</v>
      </c>
      <c r="Z102" s="1">
        <f t="shared" si="10"/>
        <v>39904</v>
      </c>
      <c r="AA102" s="4">
        <f>VLOOKUP(J102,A:G,7,0)</f>
        <v>0.33728791439053302</v>
      </c>
      <c r="AB102" s="4">
        <f>VLOOKUP(J102,Total!A:P,16,0)</f>
        <v>0.31750099479594041</v>
      </c>
      <c r="AD102" s="1">
        <f t="shared" si="11"/>
        <v>39904</v>
      </c>
      <c r="AE102" s="4">
        <f t="shared" si="12"/>
        <v>0.35558430560554866</v>
      </c>
      <c r="AF102" s="4">
        <f t="shared" si="13"/>
        <v>0.35807416795230496</v>
      </c>
    </row>
    <row r="103" spans="1:32" x14ac:dyDescent="0.25">
      <c r="A103" s="1">
        <v>39934</v>
      </c>
      <c r="B103" s="4">
        <v>6.9864828634934401E-2</v>
      </c>
      <c r="C103" s="4">
        <v>7.8326361192114405E-2</v>
      </c>
      <c r="D103" s="4">
        <v>7.8326361192114405E-2</v>
      </c>
      <c r="E103" s="4">
        <v>-6.0220880302871302E-2</v>
      </c>
      <c r="F103" s="4">
        <v>0.618014060133114</v>
      </c>
      <c r="G103" s="4">
        <v>0.33994544918901298</v>
      </c>
      <c r="J103" s="1">
        <v>39934</v>
      </c>
      <c r="K103" s="4">
        <f>VLOOKUP(J103,A:G,2,0)</f>
        <v>6.9864828634934401E-2</v>
      </c>
      <c r="L103" s="4">
        <f>VLOOKUP(J103,Total!A:P,2,0)</f>
        <v>7.6879396475263206E-2</v>
      </c>
      <c r="N103" s="1">
        <f t="shared" si="7"/>
        <v>39934</v>
      </c>
      <c r="O103" s="4">
        <f>VLOOKUP(J103,A:G,3,0)</f>
        <v>7.8326361192114405E-2</v>
      </c>
      <c r="P103" s="4">
        <f>VLOOKUP(J103,Total!A:P,11,0)</f>
        <v>0.10360356933975599</v>
      </c>
      <c r="R103" s="1">
        <f t="shared" si="8"/>
        <v>39934</v>
      </c>
      <c r="S103" s="4">
        <f>-VLOOKUP(J103,A:G,5,0)</f>
        <v>6.0220880302871302E-2</v>
      </c>
      <c r="T103" s="4">
        <f>VLOOKUP(J103,Total!A:P,8,0)</f>
        <v>5.8840601659027401E-2</v>
      </c>
      <c r="V103" s="1">
        <f t="shared" si="9"/>
        <v>39934</v>
      </c>
      <c r="W103" s="4">
        <f>VLOOKUP(J103,A:G,4,0)</f>
        <v>7.8326361192114405E-2</v>
      </c>
      <c r="X103" s="4">
        <f>VLOOKUP(J103,Total!A:P,12,0)+VLOOKUP(J103,Total!A:P,13,0)</f>
        <v>8.7008948167182007E-2</v>
      </c>
      <c r="Z103" s="1">
        <f t="shared" si="10"/>
        <v>39934</v>
      </c>
      <c r="AA103" s="4">
        <f>VLOOKUP(J103,A:G,7,0)</f>
        <v>0.33994544918901298</v>
      </c>
      <c r="AB103" s="4">
        <f>VLOOKUP(J103,Total!A:P,16,0)</f>
        <v>0.28046279845679367</v>
      </c>
      <c r="AD103" s="1">
        <f t="shared" si="11"/>
        <v>39934</v>
      </c>
      <c r="AE103" s="4">
        <f t="shared" si="12"/>
        <v>0.36651246263543602</v>
      </c>
      <c r="AF103" s="4">
        <f t="shared" si="13"/>
        <v>0.33535531782944111</v>
      </c>
    </row>
    <row r="104" spans="1:32" x14ac:dyDescent="0.25">
      <c r="A104" s="1">
        <v>39965</v>
      </c>
      <c r="B104" s="4">
        <v>7.0095843672133507E-2</v>
      </c>
      <c r="C104" s="4">
        <v>7.6225323310633503E-2</v>
      </c>
      <c r="D104" s="4">
        <v>7.6225323310633503E-2</v>
      </c>
      <c r="E104" s="4">
        <v>-6.0164096223304202E-2</v>
      </c>
      <c r="F104" s="4">
        <v>0.61125872307110196</v>
      </c>
      <c r="G104" s="4">
        <v>0.35569922453914399</v>
      </c>
      <c r="J104" s="1">
        <v>39965</v>
      </c>
      <c r="K104" s="4">
        <f>VLOOKUP(J104,A:G,2,0)</f>
        <v>7.0095843672133507E-2</v>
      </c>
      <c r="L104" s="4">
        <f>VLOOKUP(J104,Total!A:P,2,0)</f>
        <v>7.5660927497080296E-2</v>
      </c>
      <c r="N104" s="1">
        <f t="shared" si="7"/>
        <v>39965</v>
      </c>
      <c r="O104" s="4">
        <f>VLOOKUP(J104,A:G,3,0)</f>
        <v>7.6225323310633503E-2</v>
      </c>
      <c r="P104" s="4">
        <f>VLOOKUP(J104,Total!A:P,11,0)</f>
        <v>0.101141642833508</v>
      </c>
      <c r="R104" s="1">
        <f t="shared" si="8"/>
        <v>39965</v>
      </c>
      <c r="S104" s="4">
        <f>-VLOOKUP(J104,A:G,5,0)</f>
        <v>6.0164096223304202E-2</v>
      </c>
      <c r="T104" s="4">
        <f>VLOOKUP(J104,Total!A:P,8,0)</f>
        <v>5.54667202169873E-2</v>
      </c>
      <c r="V104" s="1">
        <f t="shared" si="9"/>
        <v>39965</v>
      </c>
      <c r="W104" s="4">
        <f>VLOOKUP(J104,A:G,4,0)</f>
        <v>7.6225323310633503E-2</v>
      </c>
      <c r="X104" s="4">
        <f>VLOOKUP(J104,Total!A:P,12,0)+VLOOKUP(J104,Total!A:P,13,0)</f>
        <v>8.2049261365133408E-2</v>
      </c>
      <c r="Z104" s="1">
        <f t="shared" si="10"/>
        <v>39965</v>
      </c>
      <c r="AA104" s="4">
        <f>VLOOKUP(J104,A:G,7,0)</f>
        <v>0.35569922453914399</v>
      </c>
      <c r="AB104" s="4">
        <f>VLOOKUP(J104,Total!A:P,16,0)</f>
        <v>0.29349742782924348</v>
      </c>
      <c r="AD104" s="1">
        <f t="shared" si="11"/>
        <v>39965</v>
      </c>
      <c r="AE104" s="4">
        <f t="shared" si="12"/>
        <v>0.37788993126497328</v>
      </c>
      <c r="AF104" s="4">
        <f t="shared" si="13"/>
        <v>0.34556068431381731</v>
      </c>
    </row>
    <row r="105" spans="1:32" x14ac:dyDescent="0.25">
      <c r="A105" s="1">
        <v>39995</v>
      </c>
      <c r="B105" s="4">
        <v>6.8132350658932694E-2</v>
      </c>
      <c r="C105" s="4">
        <v>6.9948895782131995E-2</v>
      </c>
      <c r="D105" s="4">
        <v>6.9948895782131995E-2</v>
      </c>
      <c r="E105" s="4">
        <v>-5.6223664551506E-2</v>
      </c>
      <c r="F105" s="4">
        <v>0.62228621982246402</v>
      </c>
      <c r="G105" s="4">
        <v>0.335423880411924</v>
      </c>
      <c r="J105" s="1">
        <v>39995</v>
      </c>
      <c r="K105" s="4">
        <f>VLOOKUP(J105,A:G,2,0)</f>
        <v>6.8132350658932694E-2</v>
      </c>
      <c r="L105" s="4">
        <f>VLOOKUP(J105,Total!A:P,2,0)</f>
        <v>7.2273607473948204E-2</v>
      </c>
      <c r="N105" s="1">
        <f t="shared" si="7"/>
        <v>39995</v>
      </c>
      <c r="O105" s="4">
        <f>VLOOKUP(J105,A:G,3,0)</f>
        <v>6.9948895782131995E-2</v>
      </c>
      <c r="P105" s="4">
        <f>VLOOKUP(J105,Total!A:P,11,0)</f>
        <v>9.5396648633925496E-2</v>
      </c>
      <c r="R105" s="1">
        <f t="shared" si="8"/>
        <v>39995</v>
      </c>
      <c r="S105" s="4">
        <f>-VLOOKUP(J105,A:G,5,0)</f>
        <v>5.6223664551506E-2</v>
      </c>
      <c r="T105" s="4">
        <f>VLOOKUP(J105,Total!A:P,8,0)</f>
        <v>5.1315776001290399E-2</v>
      </c>
      <c r="V105" s="1">
        <f t="shared" si="9"/>
        <v>39995</v>
      </c>
      <c r="W105" s="4">
        <f>VLOOKUP(J105,A:G,4,0)</f>
        <v>6.9948895782131995E-2</v>
      </c>
      <c r="X105" s="4">
        <f>VLOOKUP(J105,Total!A:P,12,0)+VLOOKUP(J105,Total!A:P,13,0)</f>
        <v>8.3489862961365763E-2</v>
      </c>
      <c r="Z105" s="1">
        <f t="shared" si="10"/>
        <v>39995</v>
      </c>
      <c r="AA105" s="4">
        <f>VLOOKUP(J105,A:G,7,0)</f>
        <v>0.335423880411924</v>
      </c>
      <c r="AB105" s="4">
        <f>VLOOKUP(J105,Total!A:P,16,0)</f>
        <v>0.30486800004992265</v>
      </c>
      <c r="AD105" s="1">
        <f t="shared" si="11"/>
        <v>39995</v>
      </c>
      <c r="AE105" s="4">
        <f t="shared" si="12"/>
        <v>0.35096565676574926</v>
      </c>
      <c r="AF105" s="4">
        <f t="shared" si="13"/>
        <v>0.36016512816997531</v>
      </c>
    </row>
    <row r="106" spans="1:32" x14ac:dyDescent="0.25">
      <c r="A106" s="1">
        <v>40026</v>
      </c>
      <c r="B106" s="4">
        <v>6.8695064508851197E-2</v>
      </c>
      <c r="C106" s="4">
        <v>7.3908580048177006E-2</v>
      </c>
      <c r="D106" s="4">
        <v>7.3908580048177006E-2</v>
      </c>
      <c r="E106" s="4">
        <v>-5.9239267021323497E-2</v>
      </c>
      <c r="F106" s="4">
        <v>0.62348409646240099</v>
      </c>
      <c r="G106" s="4">
        <v>0.347001916359373</v>
      </c>
      <c r="J106" s="1">
        <v>40026</v>
      </c>
      <c r="K106" s="4">
        <f>VLOOKUP(J106,A:G,2,0)</f>
        <v>6.8695064508851197E-2</v>
      </c>
      <c r="L106" s="4">
        <f>VLOOKUP(J106,Total!A:P,2,0)</f>
        <v>7.1563796602764698E-2</v>
      </c>
      <c r="N106" s="1">
        <f t="shared" si="7"/>
        <v>40026</v>
      </c>
      <c r="O106" s="4">
        <f>VLOOKUP(J106,A:G,3,0)</f>
        <v>7.3908580048177006E-2</v>
      </c>
      <c r="P106" s="4">
        <f>VLOOKUP(J106,Total!A:P,11,0)</f>
        <v>9.4321661320534295E-2</v>
      </c>
      <c r="R106" s="1">
        <f t="shared" si="8"/>
        <v>40026</v>
      </c>
      <c r="S106" s="4">
        <f>-VLOOKUP(J106,A:G,5,0)</f>
        <v>5.9239267021323497E-2</v>
      </c>
      <c r="T106" s="4">
        <f>VLOOKUP(J106,Total!A:P,8,0)</f>
        <v>5.0338091150568101E-2</v>
      </c>
      <c r="V106" s="1">
        <f t="shared" si="9"/>
        <v>40026</v>
      </c>
      <c r="W106" s="4">
        <f>VLOOKUP(J106,A:G,4,0)</f>
        <v>7.3908580048177006E-2</v>
      </c>
      <c r="X106" s="4">
        <f>VLOOKUP(J106,Total!A:P,12,0)+VLOOKUP(J106,Total!A:P,13,0)</f>
        <v>7.7558778719649626E-2</v>
      </c>
      <c r="Z106" s="1">
        <f t="shared" si="10"/>
        <v>40026</v>
      </c>
      <c r="AA106" s="4">
        <f>VLOOKUP(J106,A:G,7,0)</f>
        <v>0.347001916359373</v>
      </c>
      <c r="AB106" s="4">
        <f>VLOOKUP(J106,Total!A:P,16,0)</f>
        <v>0.31493742327309993</v>
      </c>
      <c r="AD106" s="1">
        <f t="shared" si="11"/>
        <v>40026</v>
      </c>
      <c r="AE106" s="4">
        <f t="shared" si="12"/>
        <v>0.36688474492555234</v>
      </c>
      <c r="AF106" s="4">
        <f t="shared" si="13"/>
        <v>0.36491597555995109</v>
      </c>
    </row>
    <row r="107" spans="1:32" x14ac:dyDescent="0.25">
      <c r="A107" s="1">
        <v>40057</v>
      </c>
      <c r="B107" s="4">
        <v>6.9283078724280106E-2</v>
      </c>
      <c r="C107" s="4">
        <v>7.23923503773094E-2</v>
      </c>
      <c r="D107" s="4">
        <v>7.23923503773094E-2</v>
      </c>
      <c r="E107" s="4">
        <v>-5.9896271713288797E-2</v>
      </c>
      <c r="F107" s="4">
        <v>0.60195163781521099</v>
      </c>
      <c r="G107" s="4">
        <v>0.36756495512579201</v>
      </c>
      <c r="J107" s="1">
        <v>40057</v>
      </c>
      <c r="K107" s="4">
        <f>VLOOKUP(J107,A:G,2,0)</f>
        <v>6.9283078724280106E-2</v>
      </c>
      <c r="L107" s="4">
        <f>VLOOKUP(J107,Total!A:P,2,0)</f>
        <v>7.28488297159154E-2</v>
      </c>
      <c r="N107" s="1">
        <f t="shared" si="7"/>
        <v>40057</v>
      </c>
      <c r="O107" s="4">
        <f>VLOOKUP(J107,A:G,3,0)</f>
        <v>7.23923503773094E-2</v>
      </c>
      <c r="P107" s="4">
        <f>VLOOKUP(J107,Total!A:P,11,0)</f>
        <v>8.0594081651761296E-2</v>
      </c>
      <c r="R107" s="1">
        <f t="shared" si="8"/>
        <v>40057</v>
      </c>
      <c r="S107" s="4">
        <f>-VLOOKUP(J107,A:G,5,0)</f>
        <v>5.9896271713288797E-2</v>
      </c>
      <c r="T107" s="4">
        <f>VLOOKUP(J107,Total!A:P,8,0)</f>
        <v>5.1104142161912003E-2</v>
      </c>
      <c r="V107" s="1">
        <f t="shared" si="9"/>
        <v>40057</v>
      </c>
      <c r="W107" s="4">
        <f>VLOOKUP(J107,A:G,4,0)</f>
        <v>7.23923503773094E-2</v>
      </c>
      <c r="X107" s="4">
        <f>VLOOKUP(J107,Total!A:P,12,0)+VLOOKUP(J107,Total!A:P,13,0)</f>
        <v>8.6629372832637747E-2</v>
      </c>
      <c r="Z107" s="1">
        <f t="shared" si="10"/>
        <v>40057</v>
      </c>
      <c r="AA107" s="4">
        <f>VLOOKUP(J107,A:G,7,0)</f>
        <v>0.36756495512579201</v>
      </c>
      <c r="AB107" s="4">
        <f>VLOOKUP(J107,Total!A:P,16,0)</f>
        <v>0.30249771148659443</v>
      </c>
      <c r="AD107" s="1">
        <f t="shared" si="11"/>
        <v>40057</v>
      </c>
      <c r="AE107" s="4">
        <f t="shared" si="12"/>
        <v>0.38317030544284192</v>
      </c>
      <c r="AF107" s="4">
        <f t="shared" si="13"/>
        <v>0.34576819409316606</v>
      </c>
    </row>
    <row r="108" spans="1:32" x14ac:dyDescent="0.25">
      <c r="A108" s="1">
        <v>40087</v>
      </c>
      <c r="B108" s="4">
        <v>7.0403204757036E-2</v>
      </c>
      <c r="C108" s="4">
        <v>7.0659689902343101E-2</v>
      </c>
      <c r="D108" s="4">
        <v>7.0659689902343101E-2</v>
      </c>
      <c r="E108" s="4">
        <v>-6.1919552791901297E-2</v>
      </c>
      <c r="F108" s="4">
        <v>0.61810802367903706</v>
      </c>
      <c r="G108" s="4">
        <v>0.36794843344073502</v>
      </c>
      <c r="J108" s="1">
        <v>40087</v>
      </c>
      <c r="K108" s="4">
        <f>VLOOKUP(J108,A:G,2,0)</f>
        <v>7.0403204757036E-2</v>
      </c>
      <c r="L108" s="4">
        <f>VLOOKUP(J108,Total!A:P,2,0)</f>
        <v>7.3810894629770196E-2</v>
      </c>
      <c r="N108" s="1">
        <f t="shared" si="7"/>
        <v>40087</v>
      </c>
      <c r="O108" s="4">
        <f>VLOOKUP(J108,A:G,3,0)</f>
        <v>7.0659689902343101E-2</v>
      </c>
      <c r="P108" s="4">
        <f>VLOOKUP(J108,Total!A:P,11,0)</f>
        <v>8.5979428811575803E-2</v>
      </c>
      <c r="R108" s="1">
        <f t="shared" si="8"/>
        <v>40087</v>
      </c>
      <c r="S108" s="4">
        <f>-VLOOKUP(J108,A:G,5,0)</f>
        <v>6.1919552791901297E-2</v>
      </c>
      <c r="T108" s="4">
        <f>VLOOKUP(J108,Total!A:P,8,0)</f>
        <v>5.4276946918286197E-2</v>
      </c>
      <c r="V108" s="1">
        <f t="shared" si="9"/>
        <v>40087</v>
      </c>
      <c r="W108" s="4">
        <f>VLOOKUP(J108,A:G,4,0)</f>
        <v>7.0659689902343101E-2</v>
      </c>
      <c r="X108" s="4">
        <f>VLOOKUP(J108,Total!A:P,12,0)+VLOOKUP(J108,Total!A:P,13,0)</f>
        <v>9.2028572639838199E-2</v>
      </c>
      <c r="Z108" s="1">
        <f t="shared" si="10"/>
        <v>40087</v>
      </c>
      <c r="AA108" s="4">
        <f>VLOOKUP(J108,A:G,7,0)</f>
        <v>0.36794843344073502</v>
      </c>
      <c r="AB108" s="4">
        <f>VLOOKUP(J108,Total!A:P,16,0)</f>
        <v>0.30643354334552841</v>
      </c>
      <c r="AD108" s="1">
        <f t="shared" si="11"/>
        <v>40087</v>
      </c>
      <c r="AE108" s="4">
        <f t="shared" si="12"/>
        <v>0.37694505569648395</v>
      </c>
      <c r="AF108" s="4">
        <f t="shared" si="13"/>
        <v>0.35635370324888604</v>
      </c>
    </row>
    <row r="109" spans="1:32" x14ac:dyDescent="0.25">
      <c r="A109" s="1">
        <v>40118</v>
      </c>
      <c r="B109" s="4">
        <v>7.1696988871491299E-2</v>
      </c>
      <c r="C109" s="4">
        <v>7.5385742604492198E-2</v>
      </c>
      <c r="D109" s="4">
        <v>7.5385742604492198E-2</v>
      </c>
      <c r="E109" s="4">
        <v>-6.1485577623545798E-2</v>
      </c>
      <c r="F109" s="4">
        <v>0.62242354113167198</v>
      </c>
      <c r="G109" s="4">
        <v>0.34693260420951</v>
      </c>
      <c r="J109" s="1">
        <v>40118</v>
      </c>
      <c r="K109" s="4">
        <f>VLOOKUP(J109,A:G,2,0)</f>
        <v>7.1696988871491299E-2</v>
      </c>
      <c r="L109" s="4">
        <f>VLOOKUP(J109,Total!A:P,2,0)</f>
        <v>7.5543290730333904E-2</v>
      </c>
      <c r="N109" s="1">
        <f t="shared" si="7"/>
        <v>40118</v>
      </c>
      <c r="O109" s="4">
        <f>VLOOKUP(J109,A:G,3,0)</f>
        <v>7.5385742604492198E-2</v>
      </c>
      <c r="P109" s="4">
        <f>VLOOKUP(J109,Total!A:P,11,0)</f>
        <v>8.7144914595016304E-2</v>
      </c>
      <c r="R109" s="1">
        <f t="shared" si="8"/>
        <v>40118</v>
      </c>
      <c r="S109" s="4">
        <f>-VLOOKUP(J109,A:G,5,0)</f>
        <v>6.1485577623545798E-2</v>
      </c>
      <c r="T109" s="4">
        <f>VLOOKUP(J109,Total!A:P,8,0)</f>
        <v>5.3059569048688499E-2</v>
      </c>
      <c r="V109" s="1">
        <f t="shared" si="9"/>
        <v>40118</v>
      </c>
      <c r="W109" s="4">
        <f>VLOOKUP(J109,A:G,4,0)</f>
        <v>7.5385742604492198E-2</v>
      </c>
      <c r="X109" s="4">
        <f>VLOOKUP(J109,Total!A:P,12,0)+VLOOKUP(J109,Total!A:P,13,0)</f>
        <v>0.10315612955048535</v>
      </c>
      <c r="Z109" s="1">
        <f t="shared" si="10"/>
        <v>40118</v>
      </c>
      <c r="AA109" s="4">
        <f>VLOOKUP(J109,A:G,7,0)</f>
        <v>0.34693260420951</v>
      </c>
      <c r="AB109" s="4">
        <f>VLOOKUP(J109,Total!A:P,16,0)</f>
        <v>0.32014397077969847</v>
      </c>
      <c r="AD109" s="1">
        <f t="shared" si="11"/>
        <v>40118</v>
      </c>
      <c r="AE109" s="4">
        <f t="shared" si="12"/>
        <v>0.36452152292345735</v>
      </c>
      <c r="AF109" s="4">
        <f t="shared" si="13"/>
        <v>0.3818421551461777</v>
      </c>
    </row>
    <row r="110" spans="1:32" x14ac:dyDescent="0.25">
      <c r="A110" s="1">
        <v>40148</v>
      </c>
      <c r="B110" s="4">
        <v>7.3482747219273004E-2</v>
      </c>
      <c r="C110" s="4">
        <v>7.2570349646047805E-2</v>
      </c>
      <c r="D110" s="4">
        <v>7.2570349646047805E-2</v>
      </c>
      <c r="E110" s="4">
        <v>-6.3772075328761002E-2</v>
      </c>
      <c r="F110" s="4">
        <v>0.61034380535214094</v>
      </c>
      <c r="G110" s="4">
        <v>0.36532536018498901</v>
      </c>
      <c r="J110" s="1">
        <v>40148</v>
      </c>
      <c r="K110" s="4">
        <f>VLOOKUP(J110,A:G,2,0)</f>
        <v>7.3482747219273004E-2</v>
      </c>
      <c r="L110" s="4">
        <f>VLOOKUP(J110,Total!A:P,2,0)</f>
        <v>7.5504028119218997E-2</v>
      </c>
      <c r="N110" s="1">
        <f t="shared" si="7"/>
        <v>40148</v>
      </c>
      <c r="O110" s="4">
        <f>VLOOKUP(J110,A:G,3,0)</f>
        <v>7.2570349646047805E-2</v>
      </c>
      <c r="P110" s="4">
        <f>VLOOKUP(J110,Total!A:P,11,0)</f>
        <v>7.973594890796E-2</v>
      </c>
      <c r="R110" s="1">
        <f t="shared" si="8"/>
        <v>40148</v>
      </c>
      <c r="S110" s="4">
        <f>-VLOOKUP(J110,A:G,5,0)</f>
        <v>6.3772075328761002E-2</v>
      </c>
      <c r="T110" s="4">
        <f>VLOOKUP(J110,Total!A:P,8,0)</f>
        <v>5.4394220148195498E-2</v>
      </c>
      <c r="V110" s="1">
        <f t="shared" si="9"/>
        <v>40148</v>
      </c>
      <c r="W110" s="4">
        <f>VLOOKUP(J110,A:G,4,0)</f>
        <v>7.2570349646047805E-2</v>
      </c>
      <c r="X110" s="4">
        <f>VLOOKUP(J110,Total!A:P,12,0)+VLOOKUP(J110,Total!A:P,13,0)</f>
        <v>9.9798053318545105E-2</v>
      </c>
      <c r="Z110" s="1">
        <f t="shared" si="10"/>
        <v>40148</v>
      </c>
      <c r="AA110" s="4">
        <f>VLOOKUP(J110,A:G,7,0)</f>
        <v>0.36532536018498901</v>
      </c>
      <c r="AB110" s="4">
        <f>VLOOKUP(J110,Total!A:P,16,0)</f>
        <v>0.33610035326090848</v>
      </c>
      <c r="AD110" s="1">
        <f t="shared" si="11"/>
        <v>40148</v>
      </c>
      <c r="AE110" s="4">
        <f t="shared" si="12"/>
        <v>0.37321123692905067</v>
      </c>
      <c r="AF110" s="4">
        <f t="shared" si="13"/>
        <v>0.38573610721999907</v>
      </c>
    </row>
    <row r="111" spans="1:32" x14ac:dyDescent="0.25">
      <c r="A111" s="1">
        <v>40179</v>
      </c>
      <c r="B111" s="4">
        <v>7.280518880247E-2</v>
      </c>
      <c r="C111" s="4">
        <v>6.7863225896033594E-2</v>
      </c>
      <c r="D111" s="4">
        <v>6.7863225896033594E-2</v>
      </c>
      <c r="E111" s="4">
        <v>-6.05093709155115E-2</v>
      </c>
      <c r="F111" s="4">
        <v>0.606262529657147</v>
      </c>
      <c r="G111" s="4">
        <v>0.37966962187328002</v>
      </c>
      <c r="J111" s="1">
        <v>40179</v>
      </c>
      <c r="K111" s="4">
        <f>VLOOKUP(J111,A:G,2,0)</f>
        <v>7.280518880247E-2</v>
      </c>
      <c r="L111" s="4">
        <f>VLOOKUP(J111,Total!A:P,2,0)</f>
        <v>7.4686493682850699E-2</v>
      </c>
      <c r="N111" s="1">
        <f t="shared" si="7"/>
        <v>40179</v>
      </c>
      <c r="O111" s="4">
        <f>VLOOKUP(J111,A:G,3,0)</f>
        <v>6.7863225896033594E-2</v>
      </c>
      <c r="P111" s="4">
        <f>VLOOKUP(J111,Total!A:P,11,0)</f>
        <v>7.4491136389630397E-2</v>
      </c>
      <c r="R111" s="1">
        <f t="shared" si="8"/>
        <v>40179</v>
      </c>
      <c r="S111" s="4">
        <f>-VLOOKUP(J111,A:G,5,0)</f>
        <v>6.05093709155115E-2</v>
      </c>
      <c r="T111" s="4">
        <f>VLOOKUP(J111,Total!A:P,8,0)</f>
        <v>5.2835387339615597E-2</v>
      </c>
      <c r="V111" s="1">
        <f t="shared" si="9"/>
        <v>40179</v>
      </c>
      <c r="W111" s="4">
        <f>VLOOKUP(J111,A:G,4,0)</f>
        <v>6.7863225896033594E-2</v>
      </c>
      <c r="X111" s="4">
        <f>VLOOKUP(J111,Total!A:P,12,0)+VLOOKUP(J111,Total!A:P,13,0)</f>
        <v>8.953064051996569E-2</v>
      </c>
      <c r="Z111" s="1">
        <f t="shared" si="10"/>
        <v>40179</v>
      </c>
      <c r="AA111" s="4">
        <f>VLOOKUP(J111,A:G,7,0)</f>
        <v>0.37966962187328002</v>
      </c>
      <c r="AB111" s="4">
        <f>VLOOKUP(J111,Total!A:P,16,0)</f>
        <v>0.31417105314243732</v>
      </c>
      <c r="AD111" s="1">
        <f t="shared" si="11"/>
        <v>40179</v>
      </c>
      <c r="AE111" s="4">
        <f t="shared" si="12"/>
        <v>0.38208151394736573</v>
      </c>
      <c r="AF111" s="4">
        <f t="shared" si="13"/>
        <v>0.35067094902956708</v>
      </c>
    </row>
    <row r="112" spans="1:32" x14ac:dyDescent="0.25">
      <c r="A112" s="1">
        <v>40210</v>
      </c>
      <c r="B112" s="4">
        <v>7.5736054417871707E-2</v>
      </c>
      <c r="C112" s="4">
        <v>7.2766534512695602E-2</v>
      </c>
      <c r="D112" s="4">
        <v>7.2766534512695602E-2</v>
      </c>
      <c r="E112" s="4">
        <v>-6.3420562940325304E-2</v>
      </c>
      <c r="F112" s="4">
        <v>0.59325771433019303</v>
      </c>
      <c r="G112" s="4">
        <v>0.382598401378415</v>
      </c>
      <c r="J112" s="1">
        <v>40210</v>
      </c>
      <c r="K112" s="4">
        <f>VLOOKUP(J112,A:G,2,0)</f>
        <v>7.5736054417871707E-2</v>
      </c>
      <c r="L112" s="4">
        <f>VLOOKUP(J112,Total!A:P,2,0)</f>
        <v>7.7857594791134493E-2</v>
      </c>
      <c r="N112" s="1">
        <f t="shared" si="7"/>
        <v>40210</v>
      </c>
      <c r="O112" s="4">
        <f>VLOOKUP(J112,A:G,3,0)</f>
        <v>7.2766534512695602E-2</v>
      </c>
      <c r="P112" s="4">
        <f>VLOOKUP(J112,Total!A:P,11,0)</f>
        <v>7.9563128951605694E-2</v>
      </c>
      <c r="R112" s="1">
        <f t="shared" si="8"/>
        <v>40210</v>
      </c>
      <c r="S112" s="4">
        <f>-VLOOKUP(J112,A:G,5,0)</f>
        <v>6.3420562940325304E-2</v>
      </c>
      <c r="T112" s="4">
        <f>VLOOKUP(J112,Total!A:P,8,0)</f>
        <v>5.8048966930050301E-2</v>
      </c>
      <c r="V112" s="1">
        <f t="shared" si="9"/>
        <v>40210</v>
      </c>
      <c r="W112" s="4">
        <f>VLOOKUP(J112,A:G,4,0)</f>
        <v>7.2766534512695602E-2</v>
      </c>
      <c r="X112" s="4">
        <f>VLOOKUP(J112,Total!A:P,12,0)+VLOOKUP(J112,Total!A:P,13,0)</f>
        <v>9.6982032633371129E-2</v>
      </c>
      <c r="Z112" s="1">
        <f t="shared" si="10"/>
        <v>40210</v>
      </c>
      <c r="AA112" s="4">
        <f>VLOOKUP(J112,A:G,7,0)</f>
        <v>0.382598401378415</v>
      </c>
      <c r="AB112" s="4">
        <f>VLOOKUP(J112,Total!A:P,16,0)</f>
        <v>0.34458346940744178</v>
      </c>
      <c r="AD112" s="1">
        <f t="shared" si="11"/>
        <v>40210</v>
      </c>
      <c r="AE112" s="4">
        <f t="shared" si="12"/>
        <v>0.3889748530456093</v>
      </c>
      <c r="AF112" s="4">
        <f t="shared" si="13"/>
        <v>0.38522206927123376</v>
      </c>
    </row>
    <row r="113" spans="1:32" x14ac:dyDescent="0.25">
      <c r="A113" s="1">
        <v>40238</v>
      </c>
      <c r="B113" s="4">
        <v>7.71747861553988E-2</v>
      </c>
      <c r="C113" s="4">
        <v>6.9745167535022204E-2</v>
      </c>
      <c r="D113" s="4">
        <v>6.9745167535022204E-2</v>
      </c>
      <c r="E113" s="4">
        <v>-6.4193449731103899E-2</v>
      </c>
      <c r="F113" s="4">
        <v>0.61146760432298997</v>
      </c>
      <c r="G113" s="4">
        <v>0.39029739439168698</v>
      </c>
      <c r="J113" s="1">
        <v>40238</v>
      </c>
      <c r="K113" s="4">
        <f>VLOOKUP(J113,A:G,2,0)</f>
        <v>7.71747861553988E-2</v>
      </c>
      <c r="L113" s="4">
        <f>VLOOKUP(J113,Total!A:P,2,0)</f>
        <v>7.9219782270327097E-2</v>
      </c>
      <c r="N113" s="1">
        <f t="shared" si="7"/>
        <v>40238</v>
      </c>
      <c r="O113" s="4">
        <f>VLOOKUP(J113,A:G,3,0)</f>
        <v>6.9745167535022204E-2</v>
      </c>
      <c r="P113" s="4">
        <f>VLOOKUP(J113,Total!A:P,11,0)</f>
        <v>8.50694897515165E-2</v>
      </c>
      <c r="R113" s="1">
        <f t="shared" si="8"/>
        <v>40238</v>
      </c>
      <c r="S113" s="4">
        <f>-VLOOKUP(J113,A:G,5,0)</f>
        <v>6.4193449731103899E-2</v>
      </c>
      <c r="T113" s="4">
        <f>VLOOKUP(J113,Total!A:P,8,0)</f>
        <v>5.9329707340979497E-2</v>
      </c>
      <c r="V113" s="1">
        <f t="shared" si="9"/>
        <v>40238</v>
      </c>
      <c r="W113" s="4">
        <f>VLOOKUP(J113,A:G,4,0)</f>
        <v>6.9745167535022204E-2</v>
      </c>
      <c r="X113" s="4">
        <f>VLOOKUP(J113,Total!A:P,12,0)+VLOOKUP(J113,Total!A:P,13,0)</f>
        <v>9.5627049688062515E-2</v>
      </c>
      <c r="Z113" s="1">
        <f t="shared" si="10"/>
        <v>40238</v>
      </c>
      <c r="AA113" s="4">
        <f>VLOOKUP(J113,A:G,7,0)</f>
        <v>0.39029739439168698</v>
      </c>
      <c r="AB113" s="4">
        <f>VLOOKUP(J113,Total!A:P,16,0)</f>
        <v>0.33049287869182165</v>
      </c>
      <c r="AD113" s="1">
        <f t="shared" si="11"/>
        <v>40238</v>
      </c>
      <c r="AE113" s="4">
        <f t="shared" si="12"/>
        <v>0.38841949357522865</v>
      </c>
      <c r="AF113" s="4">
        <f t="shared" si="13"/>
        <v>0.37263992852009414</v>
      </c>
    </row>
    <row r="114" spans="1:32" x14ac:dyDescent="0.25">
      <c r="A114" s="1">
        <v>40269</v>
      </c>
      <c r="B114" s="4">
        <v>7.6923807156543705E-2</v>
      </c>
      <c r="C114" s="4">
        <v>6.9333270925460405E-2</v>
      </c>
      <c r="D114" s="4">
        <v>6.9333270925460405E-2</v>
      </c>
      <c r="E114" s="4">
        <v>-6.2845694829349805E-2</v>
      </c>
      <c r="F114" s="4">
        <v>0.60825607236913604</v>
      </c>
      <c r="G114" s="4">
        <v>0.396590801734305</v>
      </c>
      <c r="J114" s="1">
        <v>40269</v>
      </c>
      <c r="K114" s="4">
        <f>VLOOKUP(J114,A:G,2,0)</f>
        <v>7.6923807156543705E-2</v>
      </c>
      <c r="L114" s="4">
        <f>VLOOKUP(J114,Total!A:P,2,0)</f>
        <v>8.1415187658143207E-2</v>
      </c>
      <c r="N114" s="1">
        <f t="shared" si="7"/>
        <v>40269</v>
      </c>
      <c r="O114" s="4">
        <f>VLOOKUP(J114,A:G,3,0)</f>
        <v>6.9333270925460405E-2</v>
      </c>
      <c r="P114" s="4">
        <f>VLOOKUP(J114,Total!A:P,11,0)</f>
        <v>8.3356405802850697E-2</v>
      </c>
      <c r="R114" s="1">
        <f t="shared" si="8"/>
        <v>40269</v>
      </c>
      <c r="S114" s="4">
        <f>-VLOOKUP(J114,A:G,5,0)</f>
        <v>6.2845694829349805E-2</v>
      </c>
      <c r="T114" s="4">
        <f>VLOOKUP(J114,Total!A:P,8,0)</f>
        <v>6.3361595296564099E-2</v>
      </c>
      <c r="V114" s="1">
        <f t="shared" si="9"/>
        <v>40269</v>
      </c>
      <c r="W114" s="4">
        <f>VLOOKUP(J114,A:G,4,0)</f>
        <v>6.9333270925460405E-2</v>
      </c>
      <c r="X114" s="4">
        <f>VLOOKUP(J114,Total!A:P,12,0)+VLOOKUP(J114,Total!A:P,13,0)</f>
        <v>9.7419154889180529E-2</v>
      </c>
      <c r="Z114" s="1">
        <f t="shared" si="10"/>
        <v>40269</v>
      </c>
      <c r="AA114" s="4">
        <f>VLOOKUP(J114,A:G,7,0)</f>
        <v>0.396590801734305</v>
      </c>
      <c r="AB114" s="4">
        <f>VLOOKUP(J114,Total!A:P,16,0)</f>
        <v>0.3473899964292273</v>
      </c>
      <c r="AD114" s="1">
        <f t="shared" si="11"/>
        <v>40269</v>
      </c>
      <c r="AE114" s="4">
        <f t="shared" si="12"/>
        <v>0.39548784159933231</v>
      </c>
      <c r="AF114" s="4">
        <f t="shared" si="13"/>
        <v>0.38338877416655126</v>
      </c>
    </row>
    <row r="115" spans="1:32" x14ac:dyDescent="0.25">
      <c r="A115" s="1">
        <v>40299</v>
      </c>
      <c r="B115" s="4">
        <v>7.8594153061863195E-2</v>
      </c>
      <c r="C115" s="4">
        <v>6.8577857021106498E-2</v>
      </c>
      <c r="D115" s="4">
        <v>6.8577857021106498E-2</v>
      </c>
      <c r="E115" s="4">
        <v>-6.3284062207846103E-2</v>
      </c>
      <c r="F115" s="4">
        <v>0.61241164386298697</v>
      </c>
      <c r="G115" s="4">
        <v>0.38845049711444801</v>
      </c>
      <c r="J115" s="1">
        <v>40299</v>
      </c>
      <c r="K115" s="4">
        <f>VLOOKUP(J115,A:G,2,0)</f>
        <v>7.8594153061863195E-2</v>
      </c>
      <c r="L115" s="4">
        <f>VLOOKUP(J115,Total!A:P,2,0)</f>
        <v>7.8819026981857401E-2</v>
      </c>
      <c r="N115" s="1">
        <f t="shared" si="7"/>
        <v>40299</v>
      </c>
      <c r="O115" s="4">
        <f>VLOOKUP(J115,A:G,3,0)</f>
        <v>6.8577857021106498E-2</v>
      </c>
      <c r="P115" s="4">
        <f>VLOOKUP(J115,Total!A:P,11,0)</f>
        <v>8.0875360140406305E-2</v>
      </c>
      <c r="R115" s="1">
        <f t="shared" si="8"/>
        <v>40299</v>
      </c>
      <c r="S115" s="4">
        <f>-VLOOKUP(J115,A:G,5,0)</f>
        <v>6.3284062207846103E-2</v>
      </c>
      <c r="T115" s="4">
        <f>VLOOKUP(J115,Total!A:P,8,0)</f>
        <v>5.9199448677776503E-2</v>
      </c>
      <c r="V115" s="1">
        <f t="shared" si="9"/>
        <v>40299</v>
      </c>
      <c r="W115" s="4">
        <f>VLOOKUP(J115,A:G,4,0)</f>
        <v>6.8577857021106498E-2</v>
      </c>
      <c r="X115" s="4">
        <f>VLOOKUP(J115,Total!A:P,12,0)+VLOOKUP(J115,Total!A:P,13,0)</f>
        <v>9.5070569607852692E-2</v>
      </c>
      <c r="Z115" s="1">
        <f t="shared" si="10"/>
        <v>40299</v>
      </c>
      <c r="AA115" s="4">
        <f>VLOOKUP(J115,A:G,7,0)</f>
        <v>0.38845049711444801</v>
      </c>
      <c r="AB115" s="4">
        <f>VLOOKUP(J115,Total!A:P,16,0)</f>
        <v>0.35489687034210993</v>
      </c>
      <c r="AD115" s="1">
        <f t="shared" si="11"/>
        <v>40299</v>
      </c>
      <c r="AE115" s="4">
        <f t="shared" si="12"/>
        <v>0.38372799588695178</v>
      </c>
      <c r="AF115" s="4">
        <f t="shared" si="13"/>
        <v>0.39282432443073501</v>
      </c>
    </row>
    <row r="116" spans="1:32" x14ac:dyDescent="0.25">
      <c r="A116" s="1">
        <v>40330</v>
      </c>
      <c r="B116" s="4">
        <v>7.6509270889366404E-2</v>
      </c>
      <c r="C116" s="4">
        <v>6.6635954494242103E-2</v>
      </c>
      <c r="D116" s="4">
        <v>6.6635954494242103E-2</v>
      </c>
      <c r="E116" s="4">
        <v>-5.80935557737789E-2</v>
      </c>
      <c r="F116" s="4">
        <v>0.60416957293976703</v>
      </c>
      <c r="G116" s="4">
        <v>0.399156610856508</v>
      </c>
      <c r="J116" s="1">
        <v>40330</v>
      </c>
      <c r="K116" s="4">
        <f>VLOOKUP(J116,A:G,2,0)</f>
        <v>7.6509270889366404E-2</v>
      </c>
      <c r="L116" s="4">
        <f>VLOOKUP(J116,Total!A:P,2,0)</f>
        <v>8.1347130389888403E-2</v>
      </c>
      <c r="N116" s="1">
        <f t="shared" si="7"/>
        <v>40330</v>
      </c>
      <c r="O116" s="4">
        <f>VLOOKUP(J116,A:G,3,0)</f>
        <v>6.6635954494242103E-2</v>
      </c>
      <c r="P116" s="4">
        <f>VLOOKUP(J116,Total!A:P,11,0)</f>
        <v>7.8426092588853302E-2</v>
      </c>
      <c r="R116" s="1">
        <f t="shared" si="8"/>
        <v>40330</v>
      </c>
      <c r="S116" s="4">
        <f>-VLOOKUP(J116,A:G,5,0)</f>
        <v>5.80935557737789E-2</v>
      </c>
      <c r="T116" s="4">
        <f>VLOOKUP(J116,Total!A:P,8,0)</f>
        <v>6.0634710668969402E-2</v>
      </c>
      <c r="V116" s="1">
        <f t="shared" si="9"/>
        <v>40330</v>
      </c>
      <c r="W116" s="4">
        <f>VLOOKUP(J116,A:G,4,0)</f>
        <v>6.6635954494242103E-2</v>
      </c>
      <c r="X116" s="4">
        <f>VLOOKUP(J116,Total!A:P,12,0)+VLOOKUP(J116,Total!A:P,13,0)</f>
        <v>9.7938695324932296E-2</v>
      </c>
      <c r="Z116" s="1">
        <f t="shared" si="10"/>
        <v>40330</v>
      </c>
      <c r="AA116" s="4">
        <f>VLOOKUP(J116,A:G,7,0)</f>
        <v>0.399156610856508</v>
      </c>
      <c r="AB116" s="4">
        <f>VLOOKUP(J116,Total!A:P,16,0)</f>
        <v>0.35380912736044678</v>
      </c>
      <c r="AD116" s="1">
        <f t="shared" si="11"/>
        <v>40330</v>
      </c>
      <c r="AE116" s="4">
        <f t="shared" si="12"/>
        <v>0.39782569318184685</v>
      </c>
      <c r="AF116" s="4">
        <f t="shared" si="13"/>
        <v>0.38819207421537461</v>
      </c>
    </row>
    <row r="117" spans="1:32" x14ac:dyDescent="0.25">
      <c r="A117" s="1">
        <v>40360</v>
      </c>
      <c r="B117" s="4">
        <v>8.0068244140198697E-2</v>
      </c>
      <c r="C117" s="4">
        <v>6.3482503767367096E-2</v>
      </c>
      <c r="D117" s="4">
        <v>6.3482503767367096E-2</v>
      </c>
      <c r="E117" s="4">
        <v>-6.3116974643755805E-2</v>
      </c>
      <c r="F117" s="4">
        <v>0.58875196708914901</v>
      </c>
      <c r="G117" s="4">
        <v>0.42147411222743297</v>
      </c>
      <c r="J117" s="1">
        <v>40360</v>
      </c>
      <c r="K117" s="4">
        <f>VLOOKUP(J117,A:G,2,0)</f>
        <v>8.0068244140198697E-2</v>
      </c>
      <c r="L117" s="4">
        <f>VLOOKUP(J117,Total!A:P,2,0)</f>
        <v>7.81943201685735E-2</v>
      </c>
      <c r="N117" s="1">
        <f t="shared" ref="N117:N166" si="14">J117</f>
        <v>40360</v>
      </c>
      <c r="O117" s="4">
        <f>VLOOKUP(J117,A:G,3,0)</f>
        <v>6.3482503767367096E-2</v>
      </c>
      <c r="P117" s="4">
        <f>VLOOKUP(J117,Total!A:P,11,0)</f>
        <v>7.2983533288583494E-2</v>
      </c>
      <c r="R117" s="1">
        <f t="shared" ref="R117:R165" si="15">N117</f>
        <v>40360</v>
      </c>
      <c r="S117" s="4">
        <f>-VLOOKUP(J117,A:G,5,0)</f>
        <v>6.3116974643755805E-2</v>
      </c>
      <c r="T117" s="4">
        <f>VLOOKUP(J117,Total!A:P,8,0)</f>
        <v>5.6348629332510301E-2</v>
      </c>
      <c r="V117" s="1">
        <f t="shared" ref="V117:V165" si="16">R117</f>
        <v>40360</v>
      </c>
      <c r="W117" s="4">
        <f>VLOOKUP(J117,A:G,4,0)</f>
        <v>6.3482503767367096E-2</v>
      </c>
      <c r="X117" s="4">
        <f>VLOOKUP(J117,Total!A:P,12,0)+VLOOKUP(J117,Total!A:P,13,0)</f>
        <v>8.3435132254927699E-2</v>
      </c>
      <c r="Z117" s="1">
        <f t="shared" ref="Z117:Z165" si="17">V117</f>
        <v>40360</v>
      </c>
      <c r="AA117" s="4">
        <f>VLOOKUP(J117,A:G,7,0)</f>
        <v>0.42147411222743297</v>
      </c>
      <c r="AB117" s="4">
        <f>VLOOKUP(J117,Total!A:P,16,0)</f>
        <v>0.34416714855492969</v>
      </c>
      <c r="AD117" s="1">
        <f t="shared" si="11"/>
        <v>40360</v>
      </c>
      <c r="AE117" s="4">
        <f t="shared" si="12"/>
        <v>0.40525390097821268</v>
      </c>
      <c r="AF117" s="4">
        <f t="shared" si="13"/>
        <v>0.36604286459735702</v>
      </c>
    </row>
    <row r="118" spans="1:32" x14ac:dyDescent="0.25">
      <c r="A118" s="1">
        <v>40391</v>
      </c>
      <c r="B118" s="4">
        <v>8.0716745504960594E-2</v>
      </c>
      <c r="C118" s="4">
        <v>6.4311007786683499E-2</v>
      </c>
      <c r="D118" s="4">
        <v>6.4311007786683499E-2</v>
      </c>
      <c r="E118" s="4">
        <v>-6.3979378076414004E-2</v>
      </c>
      <c r="F118" s="4">
        <v>0.58498852928701195</v>
      </c>
      <c r="G118" s="4">
        <v>0.42234806292080801</v>
      </c>
      <c r="J118" s="1">
        <v>40391</v>
      </c>
      <c r="K118" s="4">
        <f>VLOOKUP(J118,A:G,2,0)</f>
        <v>8.0716745504960594E-2</v>
      </c>
      <c r="L118" s="4">
        <f>VLOOKUP(J118,Total!A:P,2,0)</f>
        <v>8.3316822581034095E-2</v>
      </c>
      <c r="N118" s="1">
        <f t="shared" si="14"/>
        <v>40391</v>
      </c>
      <c r="O118" s="4">
        <f>VLOOKUP(J118,A:G,3,0)</f>
        <v>6.4311007786683499E-2</v>
      </c>
      <c r="P118" s="4">
        <f>VLOOKUP(J118,Total!A:P,11,0)</f>
        <v>7.6661936808071499E-2</v>
      </c>
      <c r="R118" s="1">
        <f t="shared" si="15"/>
        <v>40391</v>
      </c>
      <c r="S118" s="4">
        <f>-VLOOKUP(J118,A:G,5,0)</f>
        <v>6.3979378076414004E-2</v>
      </c>
      <c r="T118" s="4">
        <f>VLOOKUP(J118,Total!A:P,8,0)</f>
        <v>5.9468571539875101E-2</v>
      </c>
      <c r="V118" s="1">
        <f t="shared" si="16"/>
        <v>40391</v>
      </c>
      <c r="W118" s="4">
        <f>VLOOKUP(J118,A:G,4,0)</f>
        <v>6.4311007786683499E-2</v>
      </c>
      <c r="X118" s="4">
        <f>VLOOKUP(J118,Total!A:P,12,0)+VLOOKUP(J118,Total!A:P,13,0)</f>
        <v>9.3701124503084904E-2</v>
      </c>
      <c r="Z118" s="1">
        <f t="shared" si="17"/>
        <v>40391</v>
      </c>
      <c r="AA118" s="4">
        <f>VLOOKUP(J118,A:G,7,0)</f>
        <v>0.42234806292080801</v>
      </c>
      <c r="AB118" s="4">
        <f>VLOOKUP(J118,Total!A:P,16,0)</f>
        <v>0.35896914264979018</v>
      </c>
      <c r="AD118" s="1">
        <f t="shared" si="11"/>
        <v>40391</v>
      </c>
      <c r="AE118" s="4">
        <f t="shared" si="12"/>
        <v>0.40627395491280038</v>
      </c>
      <c r="AF118" s="4">
        <f t="shared" si="13"/>
        <v>0.38654680984003736</v>
      </c>
    </row>
    <row r="119" spans="1:32" x14ac:dyDescent="0.25">
      <c r="A119" s="1">
        <v>40422</v>
      </c>
      <c r="B119" s="4">
        <v>8.1484548406933893E-2</v>
      </c>
      <c r="C119" s="4">
        <v>6.2732791200289198E-2</v>
      </c>
      <c r="D119" s="4">
        <v>6.2732791200289198E-2</v>
      </c>
      <c r="E119" s="4">
        <v>-6.5493184875948005E-2</v>
      </c>
      <c r="F119" s="4">
        <v>0.57263202532648705</v>
      </c>
      <c r="G119" s="4">
        <v>0.43602040107240198</v>
      </c>
      <c r="J119" s="1">
        <v>40422</v>
      </c>
      <c r="K119" s="4">
        <f>VLOOKUP(J119,A:G,2,0)</f>
        <v>8.1484548406933893E-2</v>
      </c>
      <c r="L119" s="4">
        <f>VLOOKUP(J119,Total!A:P,2,0)</f>
        <v>8.5137491087157902E-2</v>
      </c>
      <c r="N119" s="1">
        <f t="shared" si="14"/>
        <v>40422</v>
      </c>
      <c r="O119" s="4">
        <f>VLOOKUP(J119,A:G,3,0)</f>
        <v>6.2732791200289198E-2</v>
      </c>
      <c r="P119" s="4">
        <f>VLOOKUP(J119,Total!A:P,11,0)</f>
        <v>7.8806089952748598E-2</v>
      </c>
      <c r="R119" s="1">
        <f t="shared" si="15"/>
        <v>40422</v>
      </c>
      <c r="S119" s="4">
        <f>-VLOOKUP(J119,A:G,5,0)</f>
        <v>6.5493184875948005E-2</v>
      </c>
      <c r="T119" s="4">
        <f>VLOOKUP(J119,Total!A:P,8,0)</f>
        <v>6.10470978705683E-2</v>
      </c>
      <c r="V119" s="1">
        <f t="shared" si="16"/>
        <v>40422</v>
      </c>
      <c r="W119" s="4">
        <f>VLOOKUP(J119,A:G,4,0)</f>
        <v>6.2732791200289198E-2</v>
      </c>
      <c r="X119" s="4">
        <f>VLOOKUP(J119,Total!A:P,12,0)+VLOOKUP(J119,Total!A:P,13,0)</f>
        <v>9.4457667527171343E-2</v>
      </c>
      <c r="Z119" s="1">
        <f t="shared" si="17"/>
        <v>40422</v>
      </c>
      <c r="AA119" s="4">
        <f>VLOOKUP(J119,A:G,7,0)</f>
        <v>0.43602040107240198</v>
      </c>
      <c r="AB119" s="4">
        <f>VLOOKUP(J119,Total!A:P,16,0)</f>
        <v>0.36566196102849624</v>
      </c>
      <c r="AD119" s="1">
        <f t="shared" si="11"/>
        <v>40422</v>
      </c>
      <c r="AE119" s="4">
        <f t="shared" si="12"/>
        <v>0.41450825019009852</v>
      </c>
      <c r="AF119" s="4">
        <f t="shared" si="13"/>
        <v>0.39274112955069002</v>
      </c>
    </row>
    <row r="120" spans="1:32" x14ac:dyDescent="0.25">
      <c r="A120" s="1">
        <v>40452</v>
      </c>
      <c r="B120" s="4">
        <v>8.0253276736642704E-2</v>
      </c>
      <c r="C120" s="4">
        <v>6.5082529325473898E-2</v>
      </c>
      <c r="D120" s="4">
        <v>6.5082529325473898E-2</v>
      </c>
      <c r="E120" s="4">
        <v>-6.4800986632008895E-2</v>
      </c>
      <c r="F120" s="4">
        <v>0.57843956080312398</v>
      </c>
      <c r="G120" s="4">
        <v>0.42339472979671899</v>
      </c>
      <c r="J120" s="1">
        <v>40452</v>
      </c>
      <c r="K120" s="4">
        <f>VLOOKUP(J120,A:G,2,0)</f>
        <v>8.0253276736642704E-2</v>
      </c>
      <c r="L120" s="4">
        <f>VLOOKUP(J120,Total!A:P,2,0)</f>
        <v>8.4673542480079897E-2</v>
      </c>
      <c r="N120" s="1">
        <f t="shared" si="14"/>
        <v>40452</v>
      </c>
      <c r="O120" s="4">
        <f>VLOOKUP(J120,A:G,3,0)</f>
        <v>6.5082529325473898E-2</v>
      </c>
      <c r="P120" s="4">
        <f>VLOOKUP(J120,Total!A:P,11,0)</f>
        <v>7.7801892279923096E-2</v>
      </c>
      <c r="R120" s="1">
        <f t="shared" si="15"/>
        <v>40452</v>
      </c>
      <c r="S120" s="4">
        <f>-VLOOKUP(J120,A:G,5,0)</f>
        <v>6.4800986632008895E-2</v>
      </c>
      <c r="T120" s="4">
        <f>VLOOKUP(J120,Total!A:P,8,0)</f>
        <v>5.9320090846006403E-2</v>
      </c>
      <c r="V120" s="1">
        <f t="shared" si="16"/>
        <v>40452</v>
      </c>
      <c r="W120" s="4">
        <f>VLOOKUP(J120,A:G,4,0)</f>
        <v>6.5082529325473898E-2</v>
      </c>
      <c r="X120" s="4">
        <f>VLOOKUP(J120,Total!A:P,12,0)+VLOOKUP(J120,Total!A:P,13,0)</f>
        <v>9.7903658893524592E-2</v>
      </c>
      <c r="Z120" s="1">
        <f t="shared" si="17"/>
        <v>40452</v>
      </c>
      <c r="AA120" s="4">
        <f>VLOOKUP(J120,A:G,7,0)</f>
        <v>0.42339472979671899</v>
      </c>
      <c r="AB120" s="4">
        <f>VLOOKUP(J120,Total!A:P,16,0)</f>
        <v>0.36756144364814325</v>
      </c>
      <c r="AD120" s="1">
        <f t="shared" si="11"/>
        <v>40452</v>
      </c>
      <c r="AE120" s="4">
        <f t="shared" si="12"/>
        <v>0.40850552507901511</v>
      </c>
      <c r="AF120" s="4">
        <f t="shared" si="13"/>
        <v>0.39927336149550458</v>
      </c>
    </row>
    <row r="121" spans="1:32" x14ac:dyDescent="0.25">
      <c r="A121" s="1">
        <v>40483</v>
      </c>
      <c r="B121" s="4">
        <v>8.0663104849414399E-2</v>
      </c>
      <c r="C121" s="4">
        <v>6.4722706569040694E-2</v>
      </c>
      <c r="D121" s="4">
        <v>6.4722706569040694E-2</v>
      </c>
      <c r="E121" s="4">
        <v>-6.4709296036825695E-2</v>
      </c>
      <c r="F121" s="4">
        <v>0.56683873486621505</v>
      </c>
      <c r="G121" s="4">
        <v>0.43325679224739999</v>
      </c>
      <c r="J121" s="1">
        <v>40483</v>
      </c>
      <c r="K121" s="4">
        <f>VLOOKUP(J121,A:G,2,0)</f>
        <v>8.0663104849414399E-2</v>
      </c>
      <c r="L121" s="4">
        <f>VLOOKUP(J121,Total!A:P,2,0)</f>
        <v>8.6015912709796999E-2</v>
      </c>
      <c r="N121" s="1">
        <f t="shared" si="14"/>
        <v>40483</v>
      </c>
      <c r="O121" s="4">
        <f>VLOOKUP(J121,A:G,3,0)</f>
        <v>6.4722706569040694E-2</v>
      </c>
      <c r="P121" s="4">
        <f>VLOOKUP(J121,Total!A:P,11,0)</f>
        <v>8.0566801066414895E-2</v>
      </c>
      <c r="R121" s="1">
        <f t="shared" si="15"/>
        <v>40483</v>
      </c>
      <c r="S121" s="4">
        <f>-VLOOKUP(J121,A:G,5,0)</f>
        <v>6.4709296036825695E-2</v>
      </c>
      <c r="T121" s="4">
        <f>VLOOKUP(J121,Total!A:P,8,0)</f>
        <v>6.2248253928323803E-2</v>
      </c>
      <c r="V121" s="1">
        <f t="shared" si="16"/>
        <v>40483</v>
      </c>
      <c r="W121" s="4">
        <f>VLOOKUP(J121,A:G,4,0)</f>
        <v>6.4722706569040694E-2</v>
      </c>
      <c r="X121" s="4">
        <f>VLOOKUP(J121,Total!A:P,12,0)+VLOOKUP(J121,Total!A:P,13,0)</f>
        <v>0.10041264749305985</v>
      </c>
      <c r="Z121" s="1">
        <f t="shared" si="17"/>
        <v>40483</v>
      </c>
      <c r="AA121" s="4">
        <f>VLOOKUP(J121,A:G,7,0)</f>
        <v>0.43325679224739999</v>
      </c>
      <c r="AB121" s="4">
        <f>VLOOKUP(J121,Total!A:P,16,0)</f>
        <v>0.36629791838696579</v>
      </c>
      <c r="AD121" s="1">
        <f t="shared" si="11"/>
        <v>40483</v>
      </c>
      <c r="AE121" s="4">
        <f t="shared" si="12"/>
        <v>0.41732980449924123</v>
      </c>
      <c r="AF121" s="4">
        <f t="shared" si="13"/>
        <v>0.39901320030831977</v>
      </c>
    </row>
    <row r="122" spans="1:32" x14ac:dyDescent="0.25">
      <c r="A122" s="1">
        <v>40513</v>
      </c>
      <c r="B122" s="4">
        <v>8.5315602201451998E-2</v>
      </c>
      <c r="C122" s="4">
        <v>7.1459557915764499E-2</v>
      </c>
      <c r="D122" s="4">
        <v>7.1459557915764499E-2</v>
      </c>
      <c r="E122" s="4">
        <v>-7.2442109704647095E-2</v>
      </c>
      <c r="F122" s="4">
        <v>0.57831936844001297</v>
      </c>
      <c r="G122" s="4">
        <v>0.44452730799893703</v>
      </c>
      <c r="J122" s="1">
        <v>40513</v>
      </c>
      <c r="K122" s="4">
        <f>VLOOKUP(J122,A:G,2,0)</f>
        <v>8.5315602201451998E-2</v>
      </c>
      <c r="L122" s="4">
        <f>VLOOKUP(J122,Total!A:P,2,0)</f>
        <v>8.9776224789666001E-2</v>
      </c>
      <c r="N122" s="1">
        <f t="shared" si="14"/>
        <v>40513</v>
      </c>
      <c r="O122" s="4">
        <f>VLOOKUP(J122,A:G,3,0)</f>
        <v>7.1459557915764499E-2</v>
      </c>
      <c r="P122" s="4">
        <f>VLOOKUP(J122,Total!A:P,11,0)</f>
        <v>7.9834196873487903E-2</v>
      </c>
      <c r="R122" s="1">
        <f t="shared" si="15"/>
        <v>40513</v>
      </c>
      <c r="S122" s="4">
        <f>-VLOOKUP(J122,A:G,5,0)</f>
        <v>7.2442109704647095E-2</v>
      </c>
      <c r="T122" s="4">
        <f>VLOOKUP(J122,Total!A:P,8,0)</f>
        <v>6.5704440064567202E-2</v>
      </c>
      <c r="V122" s="1">
        <f t="shared" si="16"/>
        <v>40513</v>
      </c>
      <c r="W122" s="4">
        <f>VLOOKUP(J122,A:G,4,0)</f>
        <v>7.1459557915764499E-2</v>
      </c>
      <c r="X122" s="4">
        <f>VLOOKUP(J122,Total!A:P,12,0)+VLOOKUP(J122,Total!A:P,13,0)</f>
        <v>9.5821092223937171E-2</v>
      </c>
      <c r="Z122" s="1">
        <f t="shared" si="17"/>
        <v>40513</v>
      </c>
      <c r="AA122" s="4">
        <f>VLOOKUP(J122,A:G,7,0)</f>
        <v>0.44452730799893703</v>
      </c>
      <c r="AB122" s="4">
        <f>VLOOKUP(J122,Total!A:P,16,0)</f>
        <v>0.37608750937319324</v>
      </c>
      <c r="AD122" s="1">
        <f t="shared" si="11"/>
        <v>40513</v>
      </c>
      <c r="AE122" s="4">
        <f t="shared" si="12"/>
        <v>0.42968871192436703</v>
      </c>
      <c r="AF122" s="4">
        <f t="shared" si="13"/>
        <v>0.39626213361638513</v>
      </c>
    </row>
    <row r="123" spans="1:32" x14ac:dyDescent="0.25">
      <c r="A123" s="1">
        <v>40544</v>
      </c>
      <c r="B123" s="4">
        <v>8.8353963964978605E-2</v>
      </c>
      <c r="C123" s="4">
        <v>6.9037730859874899E-2</v>
      </c>
      <c r="D123" s="4">
        <v>6.9037730859874899E-2</v>
      </c>
      <c r="E123" s="4">
        <v>-7.4592432111174695E-2</v>
      </c>
      <c r="F123" s="4">
        <v>0.56423421479464997</v>
      </c>
      <c r="G123" s="4">
        <v>0.46306147384580798</v>
      </c>
      <c r="J123" s="1">
        <v>40544</v>
      </c>
      <c r="K123" s="4">
        <f>VLOOKUP(J123,A:G,2,0)</f>
        <v>8.8353963964978605E-2</v>
      </c>
      <c r="L123" s="4">
        <f>VLOOKUP(J123,Total!A:P,2,0)</f>
        <v>9.0789161254669001E-2</v>
      </c>
      <c r="N123" s="1">
        <f t="shared" si="14"/>
        <v>40544</v>
      </c>
      <c r="O123" s="4">
        <f>VLOOKUP(J123,A:G,3,0)</f>
        <v>6.9037730859874899E-2</v>
      </c>
      <c r="P123" s="4">
        <f>VLOOKUP(J123,Total!A:P,11,0)</f>
        <v>7.56654984132243E-2</v>
      </c>
      <c r="R123" s="1">
        <f t="shared" si="15"/>
        <v>40544</v>
      </c>
      <c r="S123" s="4">
        <f>-VLOOKUP(J123,A:G,5,0)</f>
        <v>7.4592432111174695E-2</v>
      </c>
      <c r="T123" s="4">
        <f>VLOOKUP(J123,Total!A:P,8,0)</f>
        <v>6.9215879679335401E-2</v>
      </c>
      <c r="V123" s="1">
        <f t="shared" si="16"/>
        <v>40544</v>
      </c>
      <c r="W123" s="4">
        <f>VLOOKUP(J123,A:G,4,0)</f>
        <v>6.9037730859874899E-2</v>
      </c>
      <c r="X123" s="4">
        <f>VLOOKUP(J123,Total!A:P,12,0)+VLOOKUP(J123,Total!A:P,13,0)</f>
        <v>9.9772992763072804E-2</v>
      </c>
      <c r="Z123" s="1">
        <f t="shared" si="17"/>
        <v>40544</v>
      </c>
      <c r="AA123" s="4">
        <f>VLOOKUP(J123,A:G,7,0)</f>
        <v>0.46306147384580798</v>
      </c>
      <c r="AB123" s="4">
        <f>VLOOKUP(J123,Total!A:P,16,0)</f>
        <v>0.38555356602069035</v>
      </c>
      <c r="AD123" s="1">
        <f t="shared" si="11"/>
        <v>40544</v>
      </c>
      <c r="AE123" s="4">
        <f t="shared" si="12"/>
        <v>0.43819053948940434</v>
      </c>
      <c r="AF123" s="4">
        <f t="shared" si="13"/>
        <v>0.400987016262983</v>
      </c>
    </row>
    <row r="124" spans="1:32" x14ac:dyDescent="0.25">
      <c r="A124" s="1">
        <v>40575</v>
      </c>
      <c r="B124" s="4">
        <v>8.9533600995255702E-2</v>
      </c>
      <c r="C124" s="4">
        <v>7.1317274153281193E-2</v>
      </c>
      <c r="D124" s="4">
        <v>7.1317274153281193E-2</v>
      </c>
      <c r="E124" s="4">
        <v>-7.7734266036483701E-2</v>
      </c>
      <c r="F124" s="4">
        <v>0.57112787576304402</v>
      </c>
      <c r="G124" s="4">
        <v>0.46860040214888399</v>
      </c>
      <c r="J124" s="1">
        <v>40575</v>
      </c>
      <c r="K124" s="4">
        <f>VLOOKUP(J124,A:G,2,0)</f>
        <v>8.9533600995255702E-2</v>
      </c>
      <c r="L124" s="4">
        <f>VLOOKUP(J124,Total!A:P,2,0)</f>
        <v>9.3171493428124502E-2</v>
      </c>
      <c r="N124" s="1">
        <f t="shared" si="14"/>
        <v>40575</v>
      </c>
      <c r="O124" s="4">
        <f>VLOOKUP(J124,A:G,3,0)</f>
        <v>7.1317274153281193E-2</v>
      </c>
      <c r="P124" s="4">
        <f>VLOOKUP(J124,Total!A:P,11,0)</f>
        <v>7.8637594191881502E-2</v>
      </c>
      <c r="R124" s="1">
        <f t="shared" si="15"/>
        <v>40575</v>
      </c>
      <c r="S124" s="4">
        <f>-VLOOKUP(J124,A:G,5,0)</f>
        <v>7.7734266036483701E-2</v>
      </c>
      <c r="T124" s="4">
        <f>VLOOKUP(J124,Total!A:P,8,0)</f>
        <v>6.9401390519182704E-2</v>
      </c>
      <c r="V124" s="1">
        <f t="shared" si="16"/>
        <v>40575</v>
      </c>
      <c r="W124" s="4">
        <f>VLOOKUP(J124,A:G,4,0)</f>
        <v>7.1317274153281193E-2</v>
      </c>
      <c r="X124" s="4">
        <f>VLOOKUP(J124,Total!A:P,12,0)+VLOOKUP(J124,Total!A:P,13,0)</f>
        <v>9.3441766068328491E-2</v>
      </c>
      <c r="Z124" s="1">
        <f t="shared" si="17"/>
        <v>40575</v>
      </c>
      <c r="AA124" s="4">
        <f>VLOOKUP(J124,A:G,7,0)</f>
        <v>0.46860040214888399</v>
      </c>
      <c r="AB124" s="4">
        <f>VLOOKUP(J124,Total!A:P,16,0)</f>
        <v>0.40451481581468629</v>
      </c>
      <c r="AD124" s="1">
        <f t="shared" si="11"/>
        <v>40575</v>
      </c>
      <c r="AE124" s="4">
        <f t="shared" si="12"/>
        <v>0.44396708342370683</v>
      </c>
      <c r="AF124" s="4">
        <f t="shared" si="13"/>
        <v>0.41402129212758909</v>
      </c>
    </row>
    <row r="125" spans="1:32" x14ac:dyDescent="0.25">
      <c r="A125" s="1">
        <v>40603</v>
      </c>
      <c r="B125" s="4">
        <v>9.1850406383032601E-2</v>
      </c>
      <c r="C125" s="4">
        <v>6.97435990989861E-2</v>
      </c>
      <c r="D125" s="4">
        <v>6.97435990989861E-2</v>
      </c>
      <c r="E125" s="4">
        <v>-7.8717070508136894E-2</v>
      </c>
      <c r="F125" s="4">
        <v>0.57530057262201995</v>
      </c>
      <c r="G125" s="4">
        <v>0.47511675009799997</v>
      </c>
      <c r="J125" s="1">
        <v>40603</v>
      </c>
      <c r="K125" s="4">
        <f>VLOOKUP(J125,A:G,2,0)</f>
        <v>9.1850406383032601E-2</v>
      </c>
      <c r="L125" s="4">
        <f>VLOOKUP(J125,Total!A:P,2,0)</f>
        <v>9.4434875029389395E-2</v>
      </c>
      <c r="N125" s="1">
        <f t="shared" si="14"/>
        <v>40603</v>
      </c>
      <c r="O125" s="4">
        <f>VLOOKUP(J125,A:G,3,0)</f>
        <v>6.97435990989861E-2</v>
      </c>
      <c r="P125" s="4">
        <f>VLOOKUP(J125,Total!A:P,11,0)</f>
        <v>6.7829256927320197E-2</v>
      </c>
      <c r="R125" s="1">
        <f t="shared" si="15"/>
        <v>40603</v>
      </c>
      <c r="S125" s="4">
        <f>-VLOOKUP(J125,A:G,5,0)</f>
        <v>7.8717070508136894E-2</v>
      </c>
      <c r="T125" s="4">
        <f>VLOOKUP(J125,Total!A:P,8,0)</f>
        <v>6.8143387518059706E-2</v>
      </c>
      <c r="V125" s="1">
        <f t="shared" si="16"/>
        <v>40603</v>
      </c>
      <c r="W125" s="4">
        <f>VLOOKUP(J125,A:G,4,0)</f>
        <v>6.97435990989861E-2</v>
      </c>
      <c r="X125" s="4">
        <f>VLOOKUP(J125,Total!A:P,12,0)+VLOOKUP(J125,Total!A:P,13,0)</f>
        <v>9.2725261983665208E-2</v>
      </c>
      <c r="Z125" s="1">
        <f t="shared" si="17"/>
        <v>40603</v>
      </c>
      <c r="AA125" s="4">
        <f>VLOOKUP(J125,A:G,7,0)</f>
        <v>0.47511675009799997</v>
      </c>
      <c r="AB125" s="4">
        <f>VLOOKUP(J125,Total!A:P,16,0)</f>
        <v>0.41159596678698696</v>
      </c>
      <c r="AD125" s="1">
        <f t="shared" si="11"/>
        <v>40603</v>
      </c>
      <c r="AE125" s="4">
        <f t="shared" si="12"/>
        <v>0.44403647140480274</v>
      </c>
      <c r="AF125" s="4">
        <f t="shared" si="13"/>
        <v>0.40957222315052333</v>
      </c>
    </row>
    <row r="126" spans="1:32" x14ac:dyDescent="0.25">
      <c r="A126" s="1">
        <v>40634</v>
      </c>
      <c r="B126" s="4">
        <v>8.9815717712332502E-2</v>
      </c>
      <c r="C126" s="4">
        <v>6.46613697145524E-2</v>
      </c>
      <c r="D126" s="4">
        <v>6.46613697145524E-2</v>
      </c>
      <c r="E126" s="4">
        <v>-7.4197696990774803E-2</v>
      </c>
      <c r="F126" s="4">
        <v>0.58816032996821899</v>
      </c>
      <c r="G126" s="4">
        <v>0.46535339197076803</v>
      </c>
      <c r="J126" s="1">
        <v>40634</v>
      </c>
      <c r="K126" s="4">
        <f>VLOOKUP(J126,A:G,2,0)</f>
        <v>8.9815717712332502E-2</v>
      </c>
      <c r="L126" s="4">
        <f>VLOOKUP(J126,Total!A:P,2,0)</f>
        <v>9.3259887930705193E-2</v>
      </c>
      <c r="N126" s="1">
        <f t="shared" si="14"/>
        <v>40634</v>
      </c>
      <c r="O126" s="4">
        <f>VLOOKUP(J126,A:G,3,0)</f>
        <v>6.46613697145524E-2</v>
      </c>
      <c r="P126" s="4">
        <f>VLOOKUP(J126,Total!A:P,11,0)</f>
        <v>7.1358905610673096E-2</v>
      </c>
      <c r="R126" s="1">
        <f t="shared" si="15"/>
        <v>40634</v>
      </c>
      <c r="S126" s="4">
        <f>-VLOOKUP(J126,A:G,5,0)</f>
        <v>7.4197696990774803E-2</v>
      </c>
      <c r="T126" s="4">
        <f>VLOOKUP(J126,Total!A:P,8,0)</f>
        <v>6.8394483069055795E-2</v>
      </c>
      <c r="V126" s="1">
        <f t="shared" si="16"/>
        <v>40634</v>
      </c>
      <c r="W126" s="4">
        <f>VLOOKUP(J126,A:G,4,0)</f>
        <v>6.46613697145524E-2</v>
      </c>
      <c r="X126" s="4">
        <f>VLOOKUP(J126,Total!A:P,12,0)+VLOOKUP(J126,Total!A:P,13,0)</f>
        <v>8.5935081212331899E-2</v>
      </c>
      <c r="Z126" s="1">
        <f t="shared" si="17"/>
        <v>40634</v>
      </c>
      <c r="AA126" s="4">
        <f>VLOOKUP(J126,A:G,7,0)</f>
        <v>0.46535339197076803</v>
      </c>
      <c r="AB126" s="4">
        <f>VLOOKUP(J126,Total!A:P,16,0)</f>
        <v>0.40920215540348215</v>
      </c>
      <c r="AD126" s="1">
        <f t="shared" si="11"/>
        <v>40634</v>
      </c>
      <c r="AE126" s="4">
        <f t="shared" si="12"/>
        <v>0.43066271669676548</v>
      </c>
      <c r="AF126" s="4">
        <f t="shared" si="13"/>
        <v>0.40484177122672615</v>
      </c>
    </row>
    <row r="127" spans="1:32" x14ac:dyDescent="0.25">
      <c r="A127" s="1">
        <v>40664</v>
      </c>
      <c r="B127" s="4">
        <v>8.8760278401557396E-2</v>
      </c>
      <c r="C127" s="4">
        <v>6.29529348987765E-2</v>
      </c>
      <c r="D127" s="4">
        <v>6.29529348987765E-2</v>
      </c>
      <c r="E127" s="4">
        <v>-7.4958235523294295E-2</v>
      </c>
      <c r="F127" s="4">
        <v>0.58438279557588801</v>
      </c>
      <c r="G127" s="4">
        <v>0.46811843937081898</v>
      </c>
      <c r="J127" s="1">
        <v>40664</v>
      </c>
      <c r="K127" s="4">
        <f>VLOOKUP(J127,A:G,2,0)</f>
        <v>8.8760278401557396E-2</v>
      </c>
      <c r="L127" s="4">
        <f>VLOOKUP(J127,Total!A:P,2,0)</f>
        <v>9.3269013550087099E-2</v>
      </c>
      <c r="N127" s="1">
        <f t="shared" si="14"/>
        <v>40664</v>
      </c>
      <c r="O127" s="4">
        <f>VLOOKUP(J127,A:G,3,0)</f>
        <v>6.29529348987765E-2</v>
      </c>
      <c r="P127" s="4">
        <f>VLOOKUP(J127,Total!A:P,11,0)</f>
        <v>7.1027151065055902E-2</v>
      </c>
      <c r="R127" s="1">
        <f t="shared" si="15"/>
        <v>40664</v>
      </c>
      <c r="S127" s="4">
        <f>-VLOOKUP(J127,A:G,5,0)</f>
        <v>7.4958235523294295E-2</v>
      </c>
      <c r="T127" s="4">
        <f>VLOOKUP(J127,Total!A:P,8,0)</f>
        <v>6.8087995386561698E-2</v>
      </c>
      <c r="V127" s="1">
        <f t="shared" si="16"/>
        <v>40664</v>
      </c>
      <c r="W127" s="4">
        <f>VLOOKUP(J127,A:G,4,0)</f>
        <v>6.29529348987765E-2</v>
      </c>
      <c r="X127" s="4">
        <f>VLOOKUP(J127,Total!A:P,12,0)+VLOOKUP(J127,Total!A:P,13,0)</f>
        <v>8.9500237943544197E-2</v>
      </c>
      <c r="Z127" s="1">
        <f t="shared" si="17"/>
        <v>40664</v>
      </c>
      <c r="AA127" s="4">
        <f>VLOOKUP(J127,A:G,7,0)</f>
        <v>0.46811843937081898</v>
      </c>
      <c r="AB127" s="4">
        <f>VLOOKUP(J127,Total!A:P,16,0)</f>
        <v>0.43115708133498476</v>
      </c>
      <c r="AD127" s="1">
        <f t="shared" si="11"/>
        <v>40664</v>
      </c>
      <c r="AE127" s="4">
        <f t="shared" si="12"/>
        <v>0.43030579524352031</v>
      </c>
      <c r="AF127" s="4">
        <f t="shared" si="13"/>
        <v>0.43032746140693606</v>
      </c>
    </row>
    <row r="128" spans="1:32" x14ac:dyDescent="0.25">
      <c r="A128" s="1">
        <v>40695</v>
      </c>
      <c r="B128" s="4">
        <v>8.88271852963778E-2</v>
      </c>
      <c r="C128" s="4">
        <v>6.4912649651408805E-2</v>
      </c>
      <c r="D128" s="4">
        <v>6.4912649651408805E-2</v>
      </c>
      <c r="E128" s="4">
        <v>-7.4919235363805403E-2</v>
      </c>
      <c r="F128" s="4">
        <v>0.58334378184038205</v>
      </c>
      <c r="G128" s="4">
        <v>0.46749424452865301</v>
      </c>
      <c r="J128" s="1">
        <v>40695</v>
      </c>
      <c r="K128" s="4">
        <f>VLOOKUP(J128,A:G,2,0)</f>
        <v>8.88271852963778E-2</v>
      </c>
      <c r="L128" s="4">
        <f>VLOOKUP(J128,Total!A:P,2,0)</f>
        <v>9.3577879789542004E-2</v>
      </c>
      <c r="N128" s="1">
        <f t="shared" si="14"/>
        <v>40695</v>
      </c>
      <c r="O128" s="4">
        <f>VLOOKUP(J128,A:G,3,0)</f>
        <v>6.4912649651408805E-2</v>
      </c>
      <c r="P128" s="4">
        <f>VLOOKUP(J128,Total!A:P,11,0)</f>
        <v>7.2026086112465401E-2</v>
      </c>
      <c r="R128" s="1">
        <f t="shared" si="15"/>
        <v>40695</v>
      </c>
      <c r="S128" s="4">
        <f>-VLOOKUP(J128,A:G,5,0)</f>
        <v>7.4919235363805403E-2</v>
      </c>
      <c r="T128" s="4">
        <f>VLOOKUP(J128,Total!A:P,8,0)</f>
        <v>6.8900775329069006E-2</v>
      </c>
      <c r="V128" s="1">
        <f t="shared" si="16"/>
        <v>40695</v>
      </c>
      <c r="W128" s="4">
        <f>VLOOKUP(J128,A:G,4,0)</f>
        <v>6.4912649651408805E-2</v>
      </c>
      <c r="X128" s="4">
        <f>VLOOKUP(J128,Total!A:P,12,0)+VLOOKUP(J128,Total!A:P,13,0)</f>
        <v>9.2104027326439006E-2</v>
      </c>
      <c r="Z128" s="1">
        <f t="shared" si="17"/>
        <v>40695</v>
      </c>
      <c r="AA128" s="4">
        <f>VLOOKUP(J128,A:G,7,0)</f>
        <v>0.46749424452865301</v>
      </c>
      <c r="AB128" s="4">
        <f>VLOOKUP(J128,Total!A:P,16,0)</f>
        <v>0.42121593878168107</v>
      </c>
      <c r="AD128" s="1">
        <f t="shared" si="11"/>
        <v>40695</v>
      </c>
      <c r="AE128" s="4">
        <f t="shared" si="12"/>
        <v>0.43357312317128749</v>
      </c>
      <c r="AF128" s="4">
        <f t="shared" si="13"/>
        <v>0.42286739710197441</v>
      </c>
    </row>
    <row r="129" spans="1:32" x14ac:dyDescent="0.25">
      <c r="A129" s="1">
        <v>40725</v>
      </c>
      <c r="B129" s="4">
        <v>8.9852593371859399E-2</v>
      </c>
      <c r="C129" s="4">
        <v>6.1795933066237603E-2</v>
      </c>
      <c r="D129" s="4">
        <v>6.1795933066237603E-2</v>
      </c>
      <c r="E129" s="4">
        <v>-7.4880836527860498E-2</v>
      </c>
      <c r="F129" s="4">
        <v>0.58088656414574003</v>
      </c>
      <c r="G129" s="4">
        <v>0.47649703530200799</v>
      </c>
      <c r="J129" s="1">
        <v>40725</v>
      </c>
      <c r="K129" s="4">
        <f>VLOOKUP(J129,A:G,2,0)</f>
        <v>8.9852593371859399E-2</v>
      </c>
      <c r="L129" s="4">
        <f>VLOOKUP(J129,Total!A:P,2,0)</f>
        <v>9.2953380120775697E-2</v>
      </c>
      <c r="N129" s="1">
        <f t="shared" si="14"/>
        <v>40725</v>
      </c>
      <c r="O129" s="4">
        <f>VLOOKUP(J129,A:G,3,0)</f>
        <v>6.1795933066237603E-2</v>
      </c>
      <c r="P129" s="4">
        <f>VLOOKUP(J129,Total!A:P,11,0)</f>
        <v>6.9916897252187998E-2</v>
      </c>
      <c r="R129" s="1">
        <f t="shared" si="15"/>
        <v>40725</v>
      </c>
      <c r="S129" s="4">
        <f>-VLOOKUP(J129,A:G,5,0)</f>
        <v>7.4880836527860498E-2</v>
      </c>
      <c r="T129" s="4">
        <f>VLOOKUP(J129,Total!A:P,8,0)</f>
        <v>7.1068054324139193E-2</v>
      </c>
      <c r="V129" s="1">
        <f t="shared" si="16"/>
        <v>40725</v>
      </c>
      <c r="W129" s="4">
        <f>VLOOKUP(J129,A:G,4,0)</f>
        <v>6.1795933066237603E-2</v>
      </c>
      <c r="X129" s="4">
        <f>VLOOKUP(J129,Total!A:P,12,0)+VLOOKUP(J129,Total!A:P,13,0)</f>
        <v>9.2774402766905295E-2</v>
      </c>
      <c r="Z129" s="1">
        <f t="shared" si="17"/>
        <v>40725</v>
      </c>
      <c r="AA129" s="4">
        <f>VLOOKUP(J129,A:G,7,0)</f>
        <v>0.47649703530200799</v>
      </c>
      <c r="AB129" s="4">
        <f>VLOOKUP(J129,Total!A:P,16,0)</f>
        <v>0.41416961342243086</v>
      </c>
      <c r="AD129" s="1">
        <f t="shared" si="11"/>
        <v>40725</v>
      </c>
      <c r="AE129" s="4">
        <f t="shared" si="12"/>
        <v>0.43535547153476339</v>
      </c>
      <c r="AF129" s="4">
        <f t="shared" si="13"/>
        <v>0.41283947899660922</v>
      </c>
    </row>
    <row r="130" spans="1:32" x14ac:dyDescent="0.25">
      <c r="A130" s="1">
        <v>40756</v>
      </c>
      <c r="B130" s="4">
        <v>8.9133530567191699E-2</v>
      </c>
      <c r="C130" s="4">
        <v>6.1148395949829903E-2</v>
      </c>
      <c r="D130" s="4">
        <v>6.1148395949829903E-2</v>
      </c>
      <c r="E130" s="4">
        <v>-7.5943918871103605E-2</v>
      </c>
      <c r="F130" s="4">
        <v>0.57830454403278997</v>
      </c>
      <c r="G130" s="4">
        <v>0.47846384086626098</v>
      </c>
      <c r="J130" s="1">
        <v>40756</v>
      </c>
      <c r="K130" s="4">
        <f>VLOOKUP(J130,A:G,2,0)</f>
        <v>8.9133530567191699E-2</v>
      </c>
      <c r="L130" s="4">
        <f>VLOOKUP(J130,Total!A:P,2,0)</f>
        <v>9.4934032158162998E-2</v>
      </c>
      <c r="N130" s="1">
        <f t="shared" si="14"/>
        <v>40756</v>
      </c>
      <c r="O130" s="4">
        <f>VLOOKUP(J130,A:G,3,0)</f>
        <v>6.1148395949829903E-2</v>
      </c>
      <c r="P130" s="4">
        <f>VLOOKUP(J130,Total!A:P,11,0)</f>
        <v>7.2455532802235198E-2</v>
      </c>
      <c r="R130" s="1">
        <f t="shared" si="15"/>
        <v>40756</v>
      </c>
      <c r="S130" s="4">
        <f>-VLOOKUP(J130,A:G,5,0)</f>
        <v>7.5943918871103605E-2</v>
      </c>
      <c r="T130" s="4">
        <f>VLOOKUP(J130,Total!A:P,8,0)</f>
        <v>7.5103411468478307E-2</v>
      </c>
      <c r="V130" s="1">
        <f t="shared" si="16"/>
        <v>40756</v>
      </c>
      <c r="W130" s="4">
        <f>VLOOKUP(J130,A:G,4,0)</f>
        <v>6.1148395949829903E-2</v>
      </c>
      <c r="X130" s="4">
        <f>VLOOKUP(J130,Total!A:P,12,0)+VLOOKUP(J130,Total!A:P,13,0)</f>
        <v>9.8641707836204101E-2</v>
      </c>
      <c r="Z130" s="1">
        <f t="shared" si="17"/>
        <v>40756</v>
      </c>
      <c r="AA130" s="4">
        <f>VLOOKUP(J130,A:G,7,0)</f>
        <v>0.47846384086626098</v>
      </c>
      <c r="AB130" s="4">
        <f>VLOOKUP(J130,Total!A:P,16,0)</f>
        <v>0.41167502548148338</v>
      </c>
      <c r="AD130" s="1">
        <f t="shared" si="11"/>
        <v>40756</v>
      </c>
      <c r="AE130" s="4">
        <f t="shared" si="12"/>
        <v>0.43568318332762546</v>
      </c>
      <c r="AF130" s="4">
        <f t="shared" si="13"/>
        <v>0.41273482249328142</v>
      </c>
    </row>
    <row r="131" spans="1:32" x14ac:dyDescent="0.25">
      <c r="A131" s="1">
        <v>40787</v>
      </c>
      <c r="B131" s="4">
        <v>9.0401608552669793E-2</v>
      </c>
      <c r="C131" s="4">
        <v>6.3822800171625907E-2</v>
      </c>
      <c r="D131" s="4">
        <v>6.3822800171625907E-2</v>
      </c>
      <c r="E131" s="4">
        <v>-7.7214527040559797E-2</v>
      </c>
      <c r="F131" s="4">
        <v>0.58219203866012004</v>
      </c>
      <c r="G131" s="4">
        <v>0.47619814495488599</v>
      </c>
      <c r="J131" s="1">
        <v>40787</v>
      </c>
      <c r="K131" s="4">
        <f>VLOOKUP(J131,A:G,2,0)</f>
        <v>9.0401608552669793E-2</v>
      </c>
      <c r="L131" s="4">
        <f>VLOOKUP(J131,Total!A:P,2,0)</f>
        <v>9.2227060612086298E-2</v>
      </c>
      <c r="N131" s="1">
        <f t="shared" si="14"/>
        <v>40787</v>
      </c>
      <c r="O131" s="4">
        <f>VLOOKUP(J131,A:G,3,0)</f>
        <v>6.3822800171625907E-2</v>
      </c>
      <c r="P131" s="4">
        <f>VLOOKUP(J131,Total!A:P,11,0)</f>
        <v>6.7054949420299603E-2</v>
      </c>
      <c r="R131" s="1">
        <f t="shared" si="15"/>
        <v>40787</v>
      </c>
      <c r="S131" s="4">
        <f>-VLOOKUP(J131,A:G,5,0)</f>
        <v>7.7214527040559797E-2</v>
      </c>
      <c r="T131" s="4">
        <f>VLOOKUP(J131,Total!A:P,8,0)</f>
        <v>6.9640338075592598E-2</v>
      </c>
      <c r="V131" s="1">
        <f t="shared" si="16"/>
        <v>40787</v>
      </c>
      <c r="W131" s="4">
        <f>VLOOKUP(J131,A:G,4,0)</f>
        <v>6.3822800171625907E-2</v>
      </c>
      <c r="X131" s="4">
        <f>VLOOKUP(J131,Total!A:P,12,0)+VLOOKUP(J131,Total!A:P,13,0)</f>
        <v>9.8256751521456201E-2</v>
      </c>
      <c r="Z131" s="1">
        <f t="shared" si="17"/>
        <v>40787</v>
      </c>
      <c r="AA131" s="4">
        <f>VLOOKUP(J131,A:G,7,0)</f>
        <v>0.47619814495488599</v>
      </c>
      <c r="AB131" s="4">
        <f>VLOOKUP(J131,Total!A:P,16,0)</f>
        <v>0.41527342400166989</v>
      </c>
      <c r="AD131" s="1">
        <f t="shared" ref="AD131:AD179" si="18">Z131</f>
        <v>40787</v>
      </c>
      <c r="AE131" s="4">
        <f t="shared" si="12"/>
        <v>0.4362276097049082</v>
      </c>
      <c r="AF131" s="4">
        <f t="shared" si="13"/>
        <v>0.41871772625574682</v>
      </c>
    </row>
    <row r="132" spans="1:32" x14ac:dyDescent="0.25">
      <c r="A132" s="1">
        <v>40817</v>
      </c>
      <c r="B132" s="4">
        <v>9.2178612696754897E-2</v>
      </c>
      <c r="C132" s="4">
        <v>6.2968380929164597E-2</v>
      </c>
      <c r="D132" s="4">
        <v>6.2968380929164597E-2</v>
      </c>
      <c r="E132" s="4">
        <v>-7.9104926093739703E-2</v>
      </c>
      <c r="F132" s="4">
        <v>0.58261442552946296</v>
      </c>
      <c r="G132" s="4">
        <v>0.47897892754515198</v>
      </c>
      <c r="J132" s="1">
        <v>40817</v>
      </c>
      <c r="K132" s="4">
        <f>VLOOKUP(J132,A:G,2,0)</f>
        <v>9.2178612696754897E-2</v>
      </c>
      <c r="L132" s="4">
        <f>VLOOKUP(J132,Total!A:P,2,0)</f>
        <v>9.4168153524081602E-2</v>
      </c>
      <c r="N132" s="1">
        <f t="shared" si="14"/>
        <v>40817</v>
      </c>
      <c r="O132" s="4">
        <f>VLOOKUP(J132,A:G,3,0)</f>
        <v>6.2968380929164597E-2</v>
      </c>
      <c r="P132" s="4">
        <f>VLOOKUP(J132,Total!A:P,11,0)</f>
        <v>6.9080811953630097E-2</v>
      </c>
      <c r="R132" s="1">
        <f t="shared" si="15"/>
        <v>40817</v>
      </c>
      <c r="S132" s="4">
        <f>-VLOOKUP(J132,A:G,5,0)</f>
        <v>7.9104926093739703E-2</v>
      </c>
      <c r="T132" s="4">
        <f>VLOOKUP(J132,Total!A:P,8,0)</f>
        <v>7.24776732292257E-2</v>
      </c>
      <c r="V132" s="1">
        <f t="shared" si="16"/>
        <v>40817</v>
      </c>
      <c r="W132" s="4">
        <f>VLOOKUP(J132,A:G,4,0)</f>
        <v>6.2968380929164597E-2</v>
      </c>
      <c r="X132" s="4">
        <f>VLOOKUP(J132,Total!A:P,12,0)+VLOOKUP(J132,Total!A:P,13,0)</f>
        <v>9.0271120893179208E-2</v>
      </c>
      <c r="Z132" s="1">
        <f t="shared" si="17"/>
        <v>40817</v>
      </c>
      <c r="AA132" s="4">
        <f>VLOOKUP(J132,A:G,7,0)</f>
        <v>0.47897892754515198</v>
      </c>
      <c r="AB132" s="4">
        <f>VLOOKUP(J132,Total!A:P,16,0)</f>
        <v>0.40242622840358433</v>
      </c>
      <c r="AD132" s="1">
        <f t="shared" si="18"/>
        <v>40817</v>
      </c>
      <c r="AE132" s="4">
        <f t="shared" ref="AE132:AE164" si="19">AA132+O132+W132-K132-S132</f>
        <v>0.4336321506129866</v>
      </c>
      <c r="AF132" s="4">
        <f t="shared" ref="AF132:AF164" si="20">AB132+P132+X132-L132-T132</f>
        <v>0.39513233449708629</v>
      </c>
    </row>
    <row r="133" spans="1:32" x14ac:dyDescent="0.25">
      <c r="A133" s="1">
        <v>40848</v>
      </c>
      <c r="B133" s="4">
        <v>9.3262529042125106E-2</v>
      </c>
      <c r="C133" s="4">
        <v>6.1530122867415701E-2</v>
      </c>
      <c r="D133" s="4">
        <v>6.1530122867415701E-2</v>
      </c>
      <c r="E133" s="4">
        <v>-8.1056824070220496E-2</v>
      </c>
      <c r="F133" s="4">
        <v>0.58314973071384701</v>
      </c>
      <c r="G133" s="4">
        <v>0.48503913417529598</v>
      </c>
      <c r="J133" s="1">
        <v>40848</v>
      </c>
      <c r="K133" s="4">
        <f>VLOOKUP(J133,A:G,2,0)</f>
        <v>9.3262529042125106E-2</v>
      </c>
      <c r="L133" s="4">
        <f>VLOOKUP(J133,Total!A:P,2,0)</f>
        <v>9.1480888945878802E-2</v>
      </c>
      <c r="N133" s="1">
        <f t="shared" si="14"/>
        <v>40848</v>
      </c>
      <c r="O133" s="4">
        <f>VLOOKUP(J133,A:G,3,0)</f>
        <v>6.1530122867415701E-2</v>
      </c>
      <c r="P133" s="4">
        <f>VLOOKUP(J133,Total!A:P,11,0)</f>
        <v>6.3715342521815599E-2</v>
      </c>
      <c r="R133" s="1">
        <f t="shared" si="15"/>
        <v>40848</v>
      </c>
      <c r="S133" s="4">
        <f>-VLOOKUP(J133,A:G,5,0)</f>
        <v>8.1056824070220496E-2</v>
      </c>
      <c r="T133" s="4">
        <f>VLOOKUP(J133,Total!A:P,8,0)</f>
        <v>6.9972629158176203E-2</v>
      </c>
      <c r="V133" s="1">
        <f t="shared" si="16"/>
        <v>40848</v>
      </c>
      <c r="W133" s="4">
        <f>VLOOKUP(J133,A:G,4,0)</f>
        <v>6.1530122867415701E-2</v>
      </c>
      <c r="X133" s="4">
        <f>VLOOKUP(J133,Total!A:P,12,0)+VLOOKUP(J133,Total!A:P,13,0)</f>
        <v>8.8502060122883808E-2</v>
      </c>
      <c r="Z133" s="1">
        <f t="shared" si="17"/>
        <v>40848</v>
      </c>
      <c r="AA133" s="4">
        <f>VLOOKUP(J133,A:G,7,0)</f>
        <v>0.48503913417529598</v>
      </c>
      <c r="AB133" s="4">
        <f>VLOOKUP(J133,Total!A:P,16,0)</f>
        <v>0.39721202340130901</v>
      </c>
      <c r="AD133" s="1">
        <f t="shared" si="18"/>
        <v>40848</v>
      </c>
      <c r="AE133" s="4">
        <f t="shared" si="19"/>
        <v>0.43378002679778171</v>
      </c>
      <c r="AF133" s="4">
        <f t="shared" si="20"/>
        <v>0.38797590794195341</v>
      </c>
    </row>
    <row r="134" spans="1:32" x14ac:dyDescent="0.25">
      <c r="A134" s="1">
        <v>40878</v>
      </c>
      <c r="B134" s="4">
        <v>9.2556251874425802E-2</v>
      </c>
      <c r="C134" s="4">
        <v>6.2550886822289098E-2</v>
      </c>
      <c r="D134" s="4">
        <v>6.2550886822289098E-2</v>
      </c>
      <c r="E134" s="4">
        <v>-8.1471949928639195E-2</v>
      </c>
      <c r="F134" s="4">
        <v>0.58750200792859097</v>
      </c>
      <c r="G134" s="4">
        <v>0.47584101664762801</v>
      </c>
      <c r="J134" s="1">
        <v>40878</v>
      </c>
      <c r="K134" s="4">
        <f>VLOOKUP(J134,A:G,2,0)</f>
        <v>9.2556251874425802E-2</v>
      </c>
      <c r="L134" s="4">
        <f>VLOOKUP(J134,Total!A:P,2,0)</f>
        <v>9.3259003936553703E-2</v>
      </c>
      <c r="N134" s="1">
        <f t="shared" si="14"/>
        <v>40878</v>
      </c>
      <c r="O134" s="4">
        <f>VLOOKUP(J134,A:G,3,0)</f>
        <v>6.2550886822289098E-2</v>
      </c>
      <c r="P134" s="4">
        <f>VLOOKUP(J134,Total!A:P,11,0)</f>
        <v>6.8641969646864295E-2</v>
      </c>
      <c r="R134" s="1">
        <f t="shared" si="15"/>
        <v>40878</v>
      </c>
      <c r="S134" s="4">
        <f>-VLOOKUP(J134,A:G,5,0)</f>
        <v>8.1471949928639195E-2</v>
      </c>
      <c r="T134" s="4">
        <f>VLOOKUP(J134,Total!A:P,8,0)</f>
        <v>7.5068735425064106E-2</v>
      </c>
      <c r="V134" s="1">
        <f t="shared" si="16"/>
        <v>40878</v>
      </c>
      <c r="W134" s="4">
        <f>VLOOKUP(J134,A:G,4,0)</f>
        <v>6.2550886822289098E-2</v>
      </c>
      <c r="X134" s="4">
        <f>VLOOKUP(J134,Total!A:P,12,0)+VLOOKUP(J134,Total!A:P,13,0)</f>
        <v>7.9473986364640703E-2</v>
      </c>
      <c r="Z134" s="1">
        <f t="shared" si="17"/>
        <v>40878</v>
      </c>
      <c r="AA134" s="4">
        <f>VLOOKUP(J134,A:G,7,0)</f>
        <v>0.47584101664762801</v>
      </c>
      <c r="AB134" s="4">
        <f>VLOOKUP(J134,Total!A:P,16,0)</f>
        <v>0.40422393439047988</v>
      </c>
      <c r="AD134" s="1">
        <f t="shared" si="18"/>
        <v>40878</v>
      </c>
      <c r="AE134" s="4">
        <f t="shared" si="19"/>
        <v>0.42691458848914116</v>
      </c>
      <c r="AF134" s="4">
        <f t="shared" si="20"/>
        <v>0.38401215104036712</v>
      </c>
    </row>
    <row r="135" spans="1:32" x14ac:dyDescent="0.25">
      <c r="A135" s="1">
        <v>40909</v>
      </c>
      <c r="B135" s="4">
        <v>9.6668175182684293E-2</v>
      </c>
      <c r="C135" s="4">
        <v>6.0684308474296303E-2</v>
      </c>
      <c r="D135" s="4">
        <v>6.0684308474296303E-2</v>
      </c>
      <c r="E135" s="4">
        <v>-8.4465117641510407E-2</v>
      </c>
      <c r="F135" s="4">
        <v>0.57877764749841798</v>
      </c>
      <c r="G135" s="4">
        <v>0.49644920746958898</v>
      </c>
      <c r="J135" s="1">
        <v>40909</v>
      </c>
      <c r="K135" s="4">
        <f>VLOOKUP(J135,A:G,2,0)</f>
        <v>9.6668175182684293E-2</v>
      </c>
      <c r="L135" s="4">
        <f>VLOOKUP(J135,Total!A:P,2,0)</f>
        <v>9.4475514181607795E-2</v>
      </c>
      <c r="N135" s="1">
        <f t="shared" si="14"/>
        <v>40909</v>
      </c>
      <c r="O135" s="4">
        <f>VLOOKUP(J135,A:G,3,0)</f>
        <v>6.0684308474296303E-2</v>
      </c>
      <c r="P135" s="4">
        <f>VLOOKUP(J135,Total!A:P,11,0)</f>
        <v>7.0058617738965906E-2</v>
      </c>
      <c r="R135" s="1">
        <f t="shared" si="15"/>
        <v>40909</v>
      </c>
      <c r="S135" s="4">
        <f>-VLOOKUP(J135,A:G,5,0)</f>
        <v>8.4465117641510407E-2</v>
      </c>
      <c r="T135" s="4">
        <f>VLOOKUP(J135,Total!A:P,8,0)</f>
        <v>7.7288777367444897E-2</v>
      </c>
      <c r="V135" s="1">
        <f t="shared" si="16"/>
        <v>40909</v>
      </c>
      <c r="W135" s="4">
        <f>VLOOKUP(J135,A:G,4,0)</f>
        <v>6.0684308474296303E-2</v>
      </c>
      <c r="X135" s="4">
        <f>VLOOKUP(J135,Total!A:P,12,0)+VLOOKUP(J135,Total!A:P,13,0)</f>
        <v>7.9419524487419901E-2</v>
      </c>
      <c r="Z135" s="1">
        <f t="shared" si="17"/>
        <v>40909</v>
      </c>
      <c r="AA135" s="4">
        <f>VLOOKUP(J135,A:G,7,0)</f>
        <v>0.49644920746958898</v>
      </c>
      <c r="AB135" s="4">
        <f>VLOOKUP(J135,Total!A:P,16,0)</f>
        <v>0.40572565179474773</v>
      </c>
      <c r="AD135" s="1">
        <f t="shared" si="18"/>
        <v>40909</v>
      </c>
      <c r="AE135" s="4">
        <f t="shared" si="19"/>
        <v>0.43668453159398679</v>
      </c>
      <c r="AF135" s="4">
        <f t="shared" si="20"/>
        <v>0.38343950247208092</v>
      </c>
    </row>
    <row r="136" spans="1:32" x14ac:dyDescent="0.25">
      <c r="A136" s="1">
        <v>40940</v>
      </c>
      <c r="B136" s="4">
        <v>9.6637754674662693E-2</v>
      </c>
      <c r="C136" s="4">
        <v>6.5833018725354797E-2</v>
      </c>
      <c r="D136" s="4">
        <v>6.5833018725354797E-2</v>
      </c>
      <c r="E136" s="4">
        <v>-8.6473913465087801E-2</v>
      </c>
      <c r="F136" s="4">
        <v>0.58830137367046198</v>
      </c>
      <c r="G136" s="4">
        <v>0.48596985776559998</v>
      </c>
      <c r="J136" s="1">
        <v>40940</v>
      </c>
      <c r="K136" s="4">
        <f>VLOOKUP(J136,A:G,2,0)</f>
        <v>9.6637754674662693E-2</v>
      </c>
      <c r="L136" s="4">
        <f>VLOOKUP(J136,Total!A:P,2,0)</f>
        <v>9.5030579887846203E-2</v>
      </c>
      <c r="N136" s="1">
        <f t="shared" si="14"/>
        <v>40940</v>
      </c>
      <c r="O136" s="4">
        <f>VLOOKUP(J136,A:G,3,0)</f>
        <v>6.5833018725354797E-2</v>
      </c>
      <c r="P136" s="4">
        <f>VLOOKUP(J136,Total!A:P,11,0)</f>
        <v>7.3281639211731503E-2</v>
      </c>
      <c r="R136" s="1">
        <f t="shared" si="15"/>
        <v>40940</v>
      </c>
      <c r="S136" s="4">
        <f>-VLOOKUP(J136,A:G,5,0)</f>
        <v>8.6473913465087801E-2</v>
      </c>
      <c r="T136" s="4">
        <f>VLOOKUP(J136,Total!A:P,8,0)</f>
        <v>8.0146652829186704E-2</v>
      </c>
      <c r="V136" s="1">
        <f t="shared" si="16"/>
        <v>40940</v>
      </c>
      <c r="W136" s="4">
        <f>VLOOKUP(J136,A:G,4,0)</f>
        <v>6.5833018725354797E-2</v>
      </c>
      <c r="X136" s="4">
        <f>VLOOKUP(J136,Total!A:P,12,0)+VLOOKUP(J136,Total!A:P,13,0)</f>
        <v>6.7136233388570193E-2</v>
      </c>
      <c r="Z136" s="1">
        <f t="shared" si="17"/>
        <v>40940</v>
      </c>
      <c r="AA136" s="4">
        <f>VLOOKUP(J136,A:G,7,0)</f>
        <v>0.48596985776559998</v>
      </c>
      <c r="AB136" s="4">
        <f>VLOOKUP(J136,Total!A:P,16,0)</f>
        <v>0.42404849433996794</v>
      </c>
      <c r="AD136" s="1">
        <f t="shared" si="18"/>
        <v>40940</v>
      </c>
      <c r="AE136" s="4">
        <f t="shared" si="19"/>
        <v>0.43452422707655913</v>
      </c>
      <c r="AF136" s="4">
        <f t="shared" si="20"/>
        <v>0.38928913422323674</v>
      </c>
    </row>
    <row r="137" spans="1:32" x14ac:dyDescent="0.25">
      <c r="A137" s="1">
        <v>40969</v>
      </c>
      <c r="B137" s="4">
        <v>9.7274704722994598E-2</v>
      </c>
      <c r="C137" s="4">
        <v>6.3236758043512004E-2</v>
      </c>
      <c r="D137" s="4">
        <v>6.3236758043512004E-2</v>
      </c>
      <c r="E137" s="4">
        <v>-8.8997784386306802E-2</v>
      </c>
      <c r="F137" s="4">
        <v>0.60317728733153397</v>
      </c>
      <c r="G137" s="4">
        <v>0.48072014735215901</v>
      </c>
      <c r="J137" s="1">
        <v>40969</v>
      </c>
      <c r="K137" s="4">
        <f>VLOOKUP(J137,A:G,2,0)</f>
        <v>9.7274704722994598E-2</v>
      </c>
      <c r="L137" s="4">
        <f>VLOOKUP(J137,Total!A:P,2,0)</f>
        <v>9.5023825847662696E-2</v>
      </c>
      <c r="N137" s="1">
        <f t="shared" si="14"/>
        <v>40969</v>
      </c>
      <c r="O137" s="4">
        <f>VLOOKUP(J137,A:G,3,0)</f>
        <v>6.3236758043512004E-2</v>
      </c>
      <c r="P137" s="4">
        <f>VLOOKUP(J137,Total!A:P,11,0)</f>
        <v>7.2239558406990895E-2</v>
      </c>
      <c r="R137" s="1">
        <f t="shared" si="15"/>
        <v>40969</v>
      </c>
      <c r="S137" s="4">
        <f>-VLOOKUP(J137,A:G,5,0)</f>
        <v>8.8997784386306802E-2</v>
      </c>
      <c r="T137" s="4">
        <f>VLOOKUP(J137,Total!A:P,8,0)</f>
        <v>8.1567708034891204E-2</v>
      </c>
      <c r="V137" s="1">
        <f t="shared" si="16"/>
        <v>40969</v>
      </c>
      <c r="W137" s="4">
        <f>VLOOKUP(J137,A:G,4,0)</f>
        <v>6.3236758043512004E-2</v>
      </c>
      <c r="X137" s="4">
        <f>VLOOKUP(J137,Total!A:P,12,0)+VLOOKUP(J137,Total!A:P,13,0)</f>
        <v>7.0520882492919296E-2</v>
      </c>
      <c r="Z137" s="1">
        <f t="shared" si="17"/>
        <v>40969</v>
      </c>
      <c r="AA137" s="4">
        <f>VLOOKUP(J137,A:G,7,0)</f>
        <v>0.48072014735215901</v>
      </c>
      <c r="AB137" s="4">
        <f>VLOOKUP(J137,Total!A:P,16,0)</f>
        <v>0.40327536118676888</v>
      </c>
      <c r="AD137" s="1">
        <f t="shared" si="18"/>
        <v>40969</v>
      </c>
      <c r="AE137" s="4">
        <f t="shared" si="19"/>
        <v>0.42092117432988163</v>
      </c>
      <c r="AF137" s="4">
        <f t="shared" si="20"/>
        <v>0.36944426820412524</v>
      </c>
    </row>
    <row r="138" spans="1:32" x14ac:dyDescent="0.25">
      <c r="A138" s="1">
        <v>41000</v>
      </c>
      <c r="B138" s="4">
        <v>9.7626427568625093E-2</v>
      </c>
      <c r="C138" s="4">
        <v>6.6030266855361203E-2</v>
      </c>
      <c r="D138" s="4">
        <v>6.6030266855361203E-2</v>
      </c>
      <c r="E138" s="4">
        <v>-8.7829855513272007E-2</v>
      </c>
      <c r="F138" s="4">
        <v>0.60800992725578495</v>
      </c>
      <c r="G138" s="4">
        <v>0.46778128993937901</v>
      </c>
      <c r="J138" s="1">
        <v>41000</v>
      </c>
      <c r="K138" s="4">
        <f>VLOOKUP(J138,A:G,2,0)</f>
        <v>9.7626427568625093E-2</v>
      </c>
      <c r="L138" s="4">
        <f>VLOOKUP(J138,Total!A:P,2,0)</f>
        <v>9.6209364209945095E-2</v>
      </c>
      <c r="N138" s="1">
        <f t="shared" si="14"/>
        <v>41000</v>
      </c>
      <c r="O138" s="4">
        <f>VLOOKUP(J138,A:G,3,0)</f>
        <v>6.6030266855361203E-2</v>
      </c>
      <c r="P138" s="4">
        <f>VLOOKUP(J138,Total!A:P,11,0)</f>
        <v>7.0682450211461106E-2</v>
      </c>
      <c r="R138" s="1">
        <f t="shared" si="15"/>
        <v>41000</v>
      </c>
      <c r="S138" s="4">
        <f>-VLOOKUP(J138,A:G,5,0)</f>
        <v>8.7829855513272007E-2</v>
      </c>
      <c r="T138" s="4">
        <f>VLOOKUP(J138,Total!A:P,8,0)</f>
        <v>7.9922234644124193E-2</v>
      </c>
      <c r="V138" s="1">
        <f t="shared" si="16"/>
        <v>41000</v>
      </c>
      <c r="W138" s="4">
        <f>VLOOKUP(J138,A:G,4,0)</f>
        <v>6.6030266855361203E-2</v>
      </c>
      <c r="X138" s="4">
        <f>VLOOKUP(J138,Total!A:P,12,0)+VLOOKUP(J138,Total!A:P,13,0)</f>
        <v>6.8152887258315198E-2</v>
      </c>
      <c r="Z138" s="1">
        <f t="shared" si="17"/>
        <v>41000</v>
      </c>
      <c r="AA138" s="4">
        <f>VLOOKUP(J138,A:G,7,0)</f>
        <v>0.46778128993937901</v>
      </c>
      <c r="AB138" s="4">
        <f>VLOOKUP(J138,Total!A:P,16,0)</f>
        <v>0.40332977928635727</v>
      </c>
      <c r="AD138" s="1">
        <f t="shared" si="18"/>
        <v>41000</v>
      </c>
      <c r="AE138" s="4">
        <f t="shared" si="19"/>
        <v>0.41438554056820437</v>
      </c>
      <c r="AF138" s="4">
        <f t="shared" si="20"/>
        <v>0.3660335179020644</v>
      </c>
    </row>
    <row r="139" spans="1:32" x14ac:dyDescent="0.25">
      <c r="A139" s="1">
        <v>41030</v>
      </c>
      <c r="B139" s="4">
        <v>9.8374326049321198E-2</v>
      </c>
      <c r="C139" s="4">
        <v>6.0345014764379999E-2</v>
      </c>
      <c r="D139" s="4">
        <v>6.0345014764379999E-2</v>
      </c>
      <c r="E139" s="4">
        <v>-8.8615548965548602E-2</v>
      </c>
      <c r="F139" s="4">
        <v>0.62469096344495201</v>
      </c>
      <c r="G139" s="4">
        <v>0.46175415215648402</v>
      </c>
      <c r="J139" s="1">
        <v>41030</v>
      </c>
      <c r="K139" s="4">
        <f>VLOOKUP(J139,A:G,2,0)</f>
        <v>9.8374326049321198E-2</v>
      </c>
      <c r="L139" s="4">
        <f>VLOOKUP(J139,Total!A:P,2,0)</f>
        <v>9.6072528241441801E-2</v>
      </c>
      <c r="N139" s="1">
        <f t="shared" si="14"/>
        <v>41030</v>
      </c>
      <c r="O139" s="4">
        <f>VLOOKUP(J139,A:G,3,0)</f>
        <v>6.0345014764379999E-2</v>
      </c>
      <c r="P139" s="4">
        <f>VLOOKUP(J139,Total!A:P,11,0)</f>
        <v>7.1264556468385407E-2</v>
      </c>
      <c r="R139" s="1">
        <f t="shared" si="15"/>
        <v>41030</v>
      </c>
      <c r="S139" s="4">
        <f>-VLOOKUP(J139,A:G,5,0)</f>
        <v>8.8615548965548602E-2</v>
      </c>
      <c r="T139" s="4">
        <f>VLOOKUP(J139,Total!A:P,8,0)</f>
        <v>8.0157199574043297E-2</v>
      </c>
      <c r="V139" s="1">
        <f t="shared" si="16"/>
        <v>41030</v>
      </c>
      <c r="W139" s="4">
        <f>VLOOKUP(J139,A:G,4,0)</f>
        <v>6.0345014764379999E-2</v>
      </c>
      <c r="X139" s="4">
        <f>VLOOKUP(J139,Total!A:P,12,0)+VLOOKUP(J139,Total!A:P,13,0)</f>
        <v>6.3245132927812697E-2</v>
      </c>
      <c r="Z139" s="1">
        <f t="shared" si="17"/>
        <v>41030</v>
      </c>
      <c r="AA139" s="4">
        <f>VLOOKUP(J139,A:G,7,0)</f>
        <v>0.46175415215648402</v>
      </c>
      <c r="AB139" s="4">
        <f>VLOOKUP(J139,Total!A:P,16,0)</f>
        <v>0.3982655259938952</v>
      </c>
      <c r="AD139" s="1">
        <f t="shared" si="18"/>
        <v>41030</v>
      </c>
      <c r="AE139" s="4">
        <f t="shared" si="19"/>
        <v>0.39545430667037429</v>
      </c>
      <c r="AF139" s="4">
        <f t="shared" si="20"/>
        <v>0.35654548757460824</v>
      </c>
    </row>
    <row r="140" spans="1:32" x14ac:dyDescent="0.25">
      <c r="A140" s="1">
        <v>41061</v>
      </c>
      <c r="B140" s="4">
        <v>0.100004107050572</v>
      </c>
      <c r="C140" s="4">
        <v>6.0003016462742802E-2</v>
      </c>
      <c r="D140" s="4">
        <v>6.0003016462742802E-2</v>
      </c>
      <c r="E140" s="4">
        <v>-8.8531336187911605E-2</v>
      </c>
      <c r="F140" s="4">
        <v>0.62355646903307205</v>
      </c>
      <c r="G140" s="4">
        <v>0.46728803828988003</v>
      </c>
      <c r="J140" s="1">
        <v>41061</v>
      </c>
      <c r="K140" s="4">
        <f>VLOOKUP(J140,A:G,2,0)</f>
        <v>0.100004107050572</v>
      </c>
      <c r="L140" s="4">
        <f>VLOOKUP(J140,Total!A:P,2,0)</f>
        <v>9.4156560257383101E-2</v>
      </c>
      <c r="N140" s="1">
        <f t="shared" si="14"/>
        <v>41061</v>
      </c>
      <c r="O140" s="4">
        <f>VLOOKUP(J140,A:G,3,0)</f>
        <v>6.0003016462742802E-2</v>
      </c>
      <c r="P140" s="4">
        <f>VLOOKUP(J140,Total!A:P,11,0)</f>
        <v>6.6942566610322496E-2</v>
      </c>
      <c r="R140" s="1">
        <f t="shared" si="15"/>
        <v>41061</v>
      </c>
      <c r="S140" s="4">
        <f>-VLOOKUP(J140,A:G,5,0)</f>
        <v>8.8531336187911605E-2</v>
      </c>
      <c r="T140" s="4">
        <f>VLOOKUP(J140,Total!A:P,8,0)</f>
        <v>7.8161857710368696E-2</v>
      </c>
      <c r="V140" s="1">
        <f t="shared" si="16"/>
        <v>41061</v>
      </c>
      <c r="W140" s="4">
        <f>VLOOKUP(J140,A:G,4,0)</f>
        <v>6.0003016462742802E-2</v>
      </c>
      <c r="X140" s="4">
        <f>VLOOKUP(J140,Total!A:P,12,0)+VLOOKUP(J140,Total!A:P,13,0)</f>
        <v>6.2869868280808802E-2</v>
      </c>
      <c r="Z140" s="1">
        <f t="shared" si="17"/>
        <v>41061</v>
      </c>
      <c r="AA140" s="4">
        <f>VLOOKUP(J140,A:G,7,0)</f>
        <v>0.46728803828988003</v>
      </c>
      <c r="AB140" s="4">
        <f>VLOOKUP(J140,Total!A:P,16,0)</f>
        <v>0.3974426452623937</v>
      </c>
      <c r="AD140" s="1">
        <f t="shared" si="18"/>
        <v>41061</v>
      </c>
      <c r="AE140" s="4">
        <f t="shared" si="19"/>
        <v>0.398758627976882</v>
      </c>
      <c r="AF140" s="4">
        <f t="shared" si="20"/>
        <v>0.35493666218577313</v>
      </c>
    </row>
    <row r="141" spans="1:32" x14ac:dyDescent="0.25">
      <c r="A141" s="1">
        <v>41091</v>
      </c>
      <c r="B141" s="4">
        <v>0.100140949536848</v>
      </c>
      <c r="C141" s="4">
        <v>6.09150495783655E-2</v>
      </c>
      <c r="D141" s="4">
        <v>6.09150495783655E-2</v>
      </c>
      <c r="E141" s="4">
        <v>-8.7858638912528E-2</v>
      </c>
      <c r="F141" s="4">
        <v>0.62413679702521496</v>
      </c>
      <c r="G141" s="4">
        <v>0.46196610051605602</v>
      </c>
      <c r="J141" s="1">
        <v>41091</v>
      </c>
      <c r="K141" s="4">
        <f>VLOOKUP(J141,A:G,2,0)</f>
        <v>0.100140949536848</v>
      </c>
      <c r="L141" s="4">
        <f>VLOOKUP(J141,Total!A:P,2,0)</f>
        <v>9.6000284607337699E-2</v>
      </c>
      <c r="N141" s="1">
        <f t="shared" si="14"/>
        <v>41091</v>
      </c>
      <c r="O141" s="4">
        <f>VLOOKUP(J141,A:G,3,0)</f>
        <v>6.09150495783655E-2</v>
      </c>
      <c r="P141" s="4">
        <f>VLOOKUP(J141,Total!A:P,11,0)</f>
        <v>6.8904004610346903E-2</v>
      </c>
      <c r="R141" s="1">
        <f t="shared" si="15"/>
        <v>41091</v>
      </c>
      <c r="S141" s="4">
        <f>-VLOOKUP(J141,A:G,5,0)</f>
        <v>8.7858638912528E-2</v>
      </c>
      <c r="T141" s="4">
        <f>VLOOKUP(J141,Total!A:P,8,0)</f>
        <v>8.0889281298204593E-2</v>
      </c>
      <c r="V141" s="1">
        <f t="shared" si="16"/>
        <v>41091</v>
      </c>
      <c r="W141" s="4">
        <f>VLOOKUP(J141,A:G,4,0)</f>
        <v>6.09150495783655E-2</v>
      </c>
      <c r="X141" s="4">
        <f>VLOOKUP(J141,Total!A:P,12,0)+VLOOKUP(J141,Total!A:P,13,0)</f>
        <v>5.4432244576372302E-2</v>
      </c>
      <c r="Z141" s="1">
        <f t="shared" si="17"/>
        <v>41091</v>
      </c>
      <c r="AA141" s="4">
        <f>VLOOKUP(J141,A:G,7,0)</f>
        <v>0.46196610051605602</v>
      </c>
      <c r="AB141" s="4">
        <f>VLOOKUP(J141,Total!A:P,16,0)</f>
        <v>0.40152378731281724</v>
      </c>
      <c r="AD141" s="1">
        <f t="shared" si="18"/>
        <v>41091</v>
      </c>
      <c r="AE141" s="4">
        <f t="shared" si="19"/>
        <v>0.39579661122341098</v>
      </c>
      <c r="AF141" s="4">
        <f t="shared" si="20"/>
        <v>0.34797047059399411</v>
      </c>
    </row>
    <row r="142" spans="1:32" x14ac:dyDescent="0.25">
      <c r="A142" s="1">
        <v>41122</v>
      </c>
      <c r="B142" s="4">
        <v>9.9319918869132606E-2</v>
      </c>
      <c r="C142" s="4">
        <v>6.3456377429837202E-2</v>
      </c>
      <c r="D142" s="4">
        <v>6.3456377429837202E-2</v>
      </c>
      <c r="E142" s="4">
        <v>-8.8989079622300404E-2</v>
      </c>
      <c r="F142" s="4">
        <v>0.62693861805248696</v>
      </c>
      <c r="G142" s="4">
        <v>0.456333113838788</v>
      </c>
      <c r="J142" s="1">
        <v>41122</v>
      </c>
      <c r="K142" s="4">
        <f>VLOOKUP(J142,A:G,2,0)</f>
        <v>9.9319918869132606E-2</v>
      </c>
      <c r="L142" s="4">
        <f>VLOOKUP(J142,Total!A:P,2,0)</f>
        <v>9.4756706781837896E-2</v>
      </c>
      <c r="N142" s="1">
        <f t="shared" si="14"/>
        <v>41122</v>
      </c>
      <c r="O142" s="4">
        <f>VLOOKUP(J142,A:G,3,0)</f>
        <v>6.3456377429837202E-2</v>
      </c>
      <c r="P142" s="4">
        <f>VLOOKUP(J142,Total!A:P,11,0)</f>
        <v>7.1021885796296202E-2</v>
      </c>
      <c r="R142" s="1">
        <f t="shared" si="15"/>
        <v>41122</v>
      </c>
      <c r="S142" s="4">
        <f>-VLOOKUP(J142,A:G,5,0)</f>
        <v>8.8989079622300404E-2</v>
      </c>
      <c r="T142" s="4">
        <f>VLOOKUP(J142,Total!A:P,8,0)</f>
        <v>7.9611442102333604E-2</v>
      </c>
      <c r="V142" s="1">
        <f t="shared" si="16"/>
        <v>41122</v>
      </c>
      <c r="W142" s="4">
        <f>VLOOKUP(J142,A:G,4,0)</f>
        <v>6.3456377429837202E-2</v>
      </c>
      <c r="X142" s="4">
        <f>VLOOKUP(J142,Total!A:P,12,0)+VLOOKUP(J142,Total!A:P,13,0)</f>
        <v>5.60800120823284E-2</v>
      </c>
      <c r="Z142" s="1">
        <f t="shared" si="17"/>
        <v>41122</v>
      </c>
      <c r="AA142" s="4">
        <f>VLOOKUP(J142,A:G,7,0)</f>
        <v>0.456333113838788</v>
      </c>
      <c r="AB142" s="4">
        <f>VLOOKUP(J142,Total!A:P,16,0)</f>
        <v>0.3953535024117415</v>
      </c>
      <c r="AD142" s="1">
        <f t="shared" si="18"/>
        <v>41122</v>
      </c>
      <c r="AE142" s="4">
        <f t="shared" si="19"/>
        <v>0.39493687020702939</v>
      </c>
      <c r="AF142" s="4">
        <f t="shared" si="20"/>
        <v>0.34808725140619456</v>
      </c>
    </row>
    <row r="143" spans="1:32" x14ac:dyDescent="0.25">
      <c r="A143" s="1">
        <v>41153</v>
      </c>
      <c r="B143" s="4">
        <v>0.100872812871397</v>
      </c>
      <c r="C143" s="4">
        <v>6.29168514549001E-2</v>
      </c>
      <c r="D143" s="4">
        <v>6.29168514549001E-2</v>
      </c>
      <c r="E143" s="4">
        <v>-9.0701561123328195E-2</v>
      </c>
      <c r="F143" s="4">
        <v>0.63127420014869995</v>
      </c>
      <c r="G143" s="4">
        <v>0.45406034427370401</v>
      </c>
      <c r="J143" s="1">
        <v>41153</v>
      </c>
      <c r="K143" s="4">
        <f>VLOOKUP(J143,A:G,2,0)</f>
        <v>0.100872812871397</v>
      </c>
      <c r="L143" s="4">
        <f>VLOOKUP(J143,Total!A:P,2,0)</f>
        <v>9.95185761158493E-2</v>
      </c>
      <c r="N143" s="1">
        <f t="shared" si="14"/>
        <v>41153</v>
      </c>
      <c r="O143" s="4">
        <f>VLOOKUP(J143,A:G,3,0)</f>
        <v>6.29168514549001E-2</v>
      </c>
      <c r="P143" s="4">
        <f>VLOOKUP(J143,Total!A:P,11,0)</f>
        <v>6.9528429367593195E-2</v>
      </c>
      <c r="R143" s="1">
        <f t="shared" si="15"/>
        <v>41153</v>
      </c>
      <c r="S143" s="4">
        <f>-VLOOKUP(J143,A:G,5,0)</f>
        <v>9.0701561123328195E-2</v>
      </c>
      <c r="T143" s="4">
        <f>VLOOKUP(J143,Total!A:P,8,0)</f>
        <v>8.4795986908623402E-2</v>
      </c>
      <c r="V143" s="1">
        <f t="shared" si="16"/>
        <v>41153</v>
      </c>
      <c r="W143" s="4">
        <f>VLOOKUP(J143,A:G,4,0)</f>
        <v>6.29168514549001E-2</v>
      </c>
      <c r="X143" s="4">
        <f>VLOOKUP(J143,Total!A:P,12,0)+VLOOKUP(J143,Total!A:P,13,0)</f>
        <v>5.8529706744342498E-2</v>
      </c>
      <c r="Z143" s="1">
        <f t="shared" si="17"/>
        <v>41153</v>
      </c>
      <c r="AA143" s="4">
        <f>VLOOKUP(J143,A:G,7,0)</f>
        <v>0.45406034427370401</v>
      </c>
      <c r="AB143" s="4">
        <f>VLOOKUP(J143,Total!A:P,16,0)</f>
        <v>0.4001359784587647</v>
      </c>
      <c r="AD143" s="1">
        <f t="shared" si="18"/>
        <v>41153</v>
      </c>
      <c r="AE143" s="4">
        <f t="shared" si="19"/>
        <v>0.38831967318877902</v>
      </c>
      <c r="AF143" s="4">
        <f t="shared" si="20"/>
        <v>0.34387955154622774</v>
      </c>
    </row>
    <row r="144" spans="1:32" x14ac:dyDescent="0.25">
      <c r="A144" s="1">
        <v>41183</v>
      </c>
      <c r="B144" s="4">
        <v>0.102046683841318</v>
      </c>
      <c r="C144" s="4">
        <v>6.2456374083545603E-2</v>
      </c>
      <c r="D144" s="4">
        <v>6.2456374083545603E-2</v>
      </c>
      <c r="E144" s="4">
        <v>-9.2099231919233193E-2</v>
      </c>
      <c r="F144" s="4">
        <v>0.63277674920809501</v>
      </c>
      <c r="G144" s="4">
        <v>0.46090012654950002</v>
      </c>
      <c r="J144" s="1">
        <v>41183</v>
      </c>
      <c r="K144" s="4">
        <f>VLOOKUP(J144,A:G,2,0)</f>
        <v>0.102046683841318</v>
      </c>
      <c r="L144" s="4">
        <f>VLOOKUP(J144,Total!A:P,2,0)</f>
        <v>0.10076309712635199</v>
      </c>
      <c r="N144" s="1">
        <f t="shared" si="14"/>
        <v>41183</v>
      </c>
      <c r="O144" s="4">
        <f>VLOOKUP(J144,A:G,3,0)</f>
        <v>6.2456374083545603E-2</v>
      </c>
      <c r="P144" s="4">
        <f>VLOOKUP(J144,Total!A:P,11,0)</f>
        <v>6.9786466662354898E-2</v>
      </c>
      <c r="R144" s="1">
        <f t="shared" si="15"/>
        <v>41183</v>
      </c>
      <c r="S144" s="4">
        <f>-VLOOKUP(J144,A:G,5,0)</f>
        <v>9.2099231919233193E-2</v>
      </c>
      <c r="T144" s="4">
        <f>VLOOKUP(J144,Total!A:P,8,0)</f>
        <v>8.7700558168940498E-2</v>
      </c>
      <c r="V144" s="1">
        <f t="shared" si="16"/>
        <v>41183</v>
      </c>
      <c r="W144" s="4">
        <f>VLOOKUP(J144,A:G,4,0)</f>
        <v>6.2456374083545603E-2</v>
      </c>
      <c r="X144" s="4">
        <f>VLOOKUP(J144,Total!A:P,12,0)+VLOOKUP(J144,Total!A:P,13,0)</f>
        <v>5.8201616424430898E-2</v>
      </c>
      <c r="Z144" s="1">
        <f t="shared" si="17"/>
        <v>41183</v>
      </c>
      <c r="AA144" s="4">
        <f>VLOOKUP(J144,A:G,7,0)</f>
        <v>0.46090012654950002</v>
      </c>
      <c r="AB144" s="4">
        <f>VLOOKUP(J144,Total!A:P,16,0)</f>
        <v>0.39768555296226549</v>
      </c>
      <c r="AD144" s="1">
        <f t="shared" si="18"/>
        <v>41183</v>
      </c>
      <c r="AE144" s="4">
        <f t="shared" si="19"/>
        <v>0.39166695895604009</v>
      </c>
      <c r="AF144" s="4">
        <f t="shared" si="20"/>
        <v>0.33720998075375874</v>
      </c>
    </row>
    <row r="145" spans="1:32" x14ac:dyDescent="0.25">
      <c r="A145" s="1">
        <v>41214</v>
      </c>
      <c r="B145" s="4">
        <v>0.100469094975094</v>
      </c>
      <c r="C145" s="4">
        <v>6.4074137701498807E-2</v>
      </c>
      <c r="D145" s="4">
        <v>6.4074137701498807E-2</v>
      </c>
      <c r="E145" s="4">
        <v>-9.51025313641298E-2</v>
      </c>
      <c r="F145" s="4">
        <v>0.64214643879838496</v>
      </c>
      <c r="G145" s="4">
        <v>0.44812781787611899</v>
      </c>
      <c r="J145" s="1">
        <v>41214</v>
      </c>
      <c r="K145" s="4">
        <f>VLOOKUP(J145,A:G,2,0)</f>
        <v>0.100469094975094</v>
      </c>
      <c r="L145" s="4">
        <f>VLOOKUP(J145,Total!A:P,2,0)</f>
        <v>0.108692836405176</v>
      </c>
      <c r="N145" s="1">
        <f t="shared" si="14"/>
        <v>41214</v>
      </c>
      <c r="O145" s="4">
        <f>VLOOKUP(J145,A:G,3,0)</f>
        <v>6.4074137701498807E-2</v>
      </c>
      <c r="P145" s="4">
        <f>VLOOKUP(J145,Total!A:P,11,0)</f>
        <v>6.8042360414227093E-2</v>
      </c>
      <c r="R145" s="1">
        <f t="shared" si="15"/>
        <v>41214</v>
      </c>
      <c r="S145" s="4">
        <f>-VLOOKUP(J145,A:G,5,0)</f>
        <v>9.51025313641298E-2</v>
      </c>
      <c r="T145" s="4">
        <f>VLOOKUP(J145,Total!A:P,8,0)</f>
        <v>9.5765219948801397E-2</v>
      </c>
      <c r="V145" s="1">
        <f t="shared" si="16"/>
        <v>41214</v>
      </c>
      <c r="W145" s="4">
        <f>VLOOKUP(J145,A:G,4,0)</f>
        <v>6.4074137701498807E-2</v>
      </c>
      <c r="X145" s="4">
        <f>VLOOKUP(J145,Total!A:P,12,0)+VLOOKUP(J145,Total!A:P,13,0)</f>
        <v>5.3696093783924502E-2</v>
      </c>
      <c r="Z145" s="1">
        <f t="shared" si="17"/>
        <v>41214</v>
      </c>
      <c r="AA145" s="4">
        <f>VLOOKUP(J145,A:G,7,0)</f>
        <v>0.44812781787611899</v>
      </c>
      <c r="AB145" s="4">
        <f>VLOOKUP(J145,Total!A:P,16,0)</f>
        <v>0.40331524363136029</v>
      </c>
      <c r="AD145" s="1">
        <f t="shared" si="18"/>
        <v>41214</v>
      </c>
      <c r="AE145" s="4">
        <f t="shared" si="19"/>
        <v>0.3807044669398929</v>
      </c>
      <c r="AF145" s="4">
        <f t="shared" si="20"/>
        <v>0.32059564147553443</v>
      </c>
    </row>
    <row r="146" spans="1:32" x14ac:dyDescent="0.25">
      <c r="A146" s="1">
        <v>41244</v>
      </c>
      <c r="B146" s="4">
        <v>0.101265471510535</v>
      </c>
      <c r="C146" s="4">
        <v>6.7378490834465996E-2</v>
      </c>
      <c r="D146" s="4">
        <v>6.7378490834465996E-2</v>
      </c>
      <c r="E146" s="4">
        <v>-9.4608510341414903E-2</v>
      </c>
      <c r="F146" s="4">
        <v>0.64262208553538502</v>
      </c>
      <c r="G146" s="4">
        <v>0.445303801018189</v>
      </c>
      <c r="J146" s="1">
        <v>41244</v>
      </c>
      <c r="K146" s="4">
        <f>VLOOKUP(J146,A:G,2,0)</f>
        <v>0.101265471510535</v>
      </c>
      <c r="L146" s="4">
        <f>VLOOKUP(J146,Total!A:P,2,0)</f>
        <v>0.106055422548189</v>
      </c>
      <c r="N146" s="1">
        <f t="shared" si="14"/>
        <v>41244</v>
      </c>
      <c r="O146" s="4">
        <f>VLOOKUP(J146,A:G,3,0)</f>
        <v>6.7378490834465996E-2</v>
      </c>
      <c r="P146" s="4">
        <f>VLOOKUP(J146,Total!A:P,11,0)</f>
        <v>7.02055252942234E-2</v>
      </c>
      <c r="R146" s="1">
        <f t="shared" si="15"/>
        <v>41244</v>
      </c>
      <c r="S146" s="4">
        <f>-VLOOKUP(J146,A:G,5,0)</f>
        <v>9.4608510341414903E-2</v>
      </c>
      <c r="T146" s="4">
        <f>VLOOKUP(J146,Total!A:P,8,0)</f>
        <v>9.5874789119489004E-2</v>
      </c>
      <c r="V146" s="1">
        <f t="shared" si="16"/>
        <v>41244</v>
      </c>
      <c r="W146" s="4">
        <f>VLOOKUP(J146,A:G,4,0)</f>
        <v>6.7378490834465996E-2</v>
      </c>
      <c r="X146" s="4">
        <f>VLOOKUP(J146,Total!A:P,12,0)+VLOOKUP(J146,Total!A:P,13,0)</f>
        <v>4.9460644489169495E-2</v>
      </c>
      <c r="Z146" s="1">
        <f t="shared" si="17"/>
        <v>41244</v>
      </c>
      <c r="AA146" s="4">
        <f>VLOOKUP(J146,A:G,7,0)</f>
        <v>0.445303801018189</v>
      </c>
      <c r="AB146" s="4">
        <f>VLOOKUP(J146,Total!A:P,16,0)</f>
        <v>0.40276380994651895</v>
      </c>
      <c r="AD146" s="1">
        <f t="shared" si="18"/>
        <v>41244</v>
      </c>
      <c r="AE146" s="4">
        <f t="shared" si="19"/>
        <v>0.38418680083517109</v>
      </c>
      <c r="AF146" s="4">
        <f t="shared" si="20"/>
        <v>0.3204997680622339</v>
      </c>
    </row>
    <row r="147" spans="1:32" x14ac:dyDescent="0.25">
      <c r="A147" s="1">
        <v>41275</v>
      </c>
      <c r="B147" s="4">
        <v>0.10918341265592101</v>
      </c>
      <c r="C147" s="4">
        <v>6.6687972836812104E-2</v>
      </c>
      <c r="D147" s="4">
        <v>6.6687972836812104E-2</v>
      </c>
      <c r="E147" s="4">
        <v>-0.104527525119694</v>
      </c>
      <c r="F147" s="4">
        <v>0.64339152158509705</v>
      </c>
      <c r="G147" s="4">
        <v>0.46657080135757301</v>
      </c>
      <c r="J147" s="1">
        <v>41275</v>
      </c>
      <c r="K147" s="4">
        <f>VLOOKUP(J147,A:G,2,0)</f>
        <v>0.10918341265592101</v>
      </c>
      <c r="L147" s="4">
        <f>VLOOKUP(J147,Total!A:P,2,0)</f>
        <v>0.10953808096062199</v>
      </c>
      <c r="N147" s="1">
        <f t="shared" si="14"/>
        <v>41275</v>
      </c>
      <c r="O147" s="4">
        <f>VLOOKUP(J147,A:G,3,0)</f>
        <v>6.6687972836812104E-2</v>
      </c>
      <c r="P147" s="4">
        <f>VLOOKUP(J147,Total!A:P,11,0)</f>
        <v>6.6699008610280996E-2</v>
      </c>
      <c r="R147" s="1">
        <f t="shared" si="15"/>
        <v>41275</v>
      </c>
      <c r="S147" s="4">
        <f>-VLOOKUP(J147,A:G,5,0)</f>
        <v>0.104527525119694</v>
      </c>
      <c r="T147" s="4">
        <f>VLOOKUP(J147,Total!A:P,8,0)</f>
        <v>0.101260623433377</v>
      </c>
      <c r="V147" s="1">
        <f t="shared" si="16"/>
        <v>41275</v>
      </c>
      <c r="W147" s="4">
        <f>VLOOKUP(J147,A:G,4,0)</f>
        <v>6.6687972836812104E-2</v>
      </c>
      <c r="X147" s="4">
        <f>VLOOKUP(J147,Total!A:P,12,0)+VLOOKUP(J147,Total!A:P,13,0)</f>
        <v>5.6089548474853201E-2</v>
      </c>
      <c r="Z147" s="1">
        <f t="shared" si="17"/>
        <v>41275</v>
      </c>
      <c r="AA147" s="4">
        <f>VLOOKUP(J147,A:G,7,0)</f>
        <v>0.46657080135757301</v>
      </c>
      <c r="AB147" s="4">
        <f>VLOOKUP(J147,Total!A:P,16,0)</f>
        <v>0.39697676591808695</v>
      </c>
      <c r="AD147" s="1">
        <f t="shared" si="18"/>
        <v>41275</v>
      </c>
      <c r="AE147" s="4">
        <f t="shared" si="19"/>
        <v>0.38623580925558221</v>
      </c>
      <c r="AF147" s="4">
        <f t="shared" si="20"/>
        <v>0.30896661860922209</v>
      </c>
    </row>
    <row r="148" spans="1:32" x14ac:dyDescent="0.25">
      <c r="A148" s="1">
        <v>41306</v>
      </c>
      <c r="B148" s="4">
        <v>0.10715956971349599</v>
      </c>
      <c r="C148" s="4">
        <v>6.7012126487559498E-2</v>
      </c>
      <c r="D148" s="4">
        <v>6.7012126487559498E-2</v>
      </c>
      <c r="E148" s="4">
        <v>-0.103153938541076</v>
      </c>
      <c r="F148" s="4">
        <v>0.65179851359986196</v>
      </c>
      <c r="G148" s="4">
        <v>0.45664467742201498</v>
      </c>
      <c r="J148" s="1">
        <v>41306</v>
      </c>
      <c r="K148" s="4">
        <f>VLOOKUP(J148,A:G,2,0)</f>
        <v>0.10715956971349599</v>
      </c>
      <c r="L148" s="4">
        <f>VLOOKUP(J148,Total!A:P,2,0)</f>
        <v>0.114437534884958</v>
      </c>
      <c r="N148" s="1">
        <f t="shared" si="14"/>
        <v>41306</v>
      </c>
      <c r="O148" s="4">
        <f>VLOOKUP(J148,A:G,3,0)</f>
        <v>6.7012126487559498E-2</v>
      </c>
      <c r="P148" s="4">
        <f>VLOOKUP(J148,Total!A:P,11,0)</f>
        <v>7.0105543611052701E-2</v>
      </c>
      <c r="R148" s="1">
        <f t="shared" si="15"/>
        <v>41306</v>
      </c>
      <c r="S148" s="4">
        <f>-VLOOKUP(J148,A:G,5,0)</f>
        <v>0.103153938541076</v>
      </c>
      <c r="T148" s="4">
        <f>VLOOKUP(J148,Total!A:P,8,0)</f>
        <v>0.104427321017154</v>
      </c>
      <c r="V148" s="1">
        <f t="shared" si="16"/>
        <v>41306</v>
      </c>
      <c r="W148" s="4">
        <f>VLOOKUP(J148,A:G,4,0)</f>
        <v>6.7012126487559498E-2</v>
      </c>
      <c r="X148" s="4">
        <f>VLOOKUP(J148,Total!A:P,12,0)+VLOOKUP(J148,Total!A:P,13,0)</f>
        <v>5.0486199052717097E-2</v>
      </c>
      <c r="Z148" s="1">
        <f t="shared" si="17"/>
        <v>41306</v>
      </c>
      <c r="AA148" s="4">
        <f>VLOOKUP(J148,A:G,7,0)</f>
        <v>0.45664467742201498</v>
      </c>
      <c r="AB148" s="4">
        <f>VLOOKUP(J148,Total!A:P,16,0)</f>
        <v>0.40978241432245699</v>
      </c>
      <c r="AD148" s="1">
        <f t="shared" si="18"/>
        <v>41306</v>
      </c>
      <c r="AE148" s="4">
        <f t="shared" si="19"/>
        <v>0.38035542214256196</v>
      </c>
      <c r="AF148" s="4">
        <f t="shared" si="20"/>
        <v>0.31150930108411479</v>
      </c>
    </row>
    <row r="149" spans="1:32" x14ac:dyDescent="0.25">
      <c r="A149" s="1">
        <v>41334</v>
      </c>
      <c r="B149" s="4">
        <v>0.112080289239569</v>
      </c>
      <c r="C149" s="4">
        <v>6.7687094740987205E-2</v>
      </c>
      <c r="D149" s="4">
        <v>6.7687094740987205E-2</v>
      </c>
      <c r="E149" s="4">
        <v>-0.10951235727261199</v>
      </c>
      <c r="F149" s="4">
        <v>0.66553837754831502</v>
      </c>
      <c r="G149" s="4">
        <v>0.45530763990856199</v>
      </c>
      <c r="J149" s="1">
        <v>41334</v>
      </c>
      <c r="K149" s="4">
        <f>VLOOKUP(J149,A:G,2,0)</f>
        <v>0.112080289239569</v>
      </c>
      <c r="L149" s="4">
        <f>VLOOKUP(J149,Total!A:P,2,0)</f>
        <v>0.114001803628499</v>
      </c>
      <c r="N149" s="1">
        <f t="shared" si="14"/>
        <v>41334</v>
      </c>
      <c r="O149" s="4">
        <f>VLOOKUP(J149,A:G,3,0)</f>
        <v>6.7687094740987205E-2</v>
      </c>
      <c r="P149" s="4">
        <f>VLOOKUP(J149,Total!A:P,11,0)</f>
        <v>6.6743435481239496E-2</v>
      </c>
      <c r="R149" s="1">
        <f t="shared" si="15"/>
        <v>41334</v>
      </c>
      <c r="S149" s="4">
        <f>-VLOOKUP(J149,A:G,5,0)</f>
        <v>0.10951235727261199</v>
      </c>
      <c r="T149" s="4">
        <f>VLOOKUP(J149,Total!A:P,8,0)</f>
        <v>0.10523776077868099</v>
      </c>
      <c r="V149" s="1">
        <f t="shared" si="16"/>
        <v>41334</v>
      </c>
      <c r="W149" s="4">
        <f>VLOOKUP(J149,A:G,4,0)</f>
        <v>6.7687094740987205E-2</v>
      </c>
      <c r="X149" s="4">
        <f>VLOOKUP(J149,Total!A:P,12,0)+VLOOKUP(J149,Total!A:P,13,0)</f>
        <v>4.9028688204280101E-2</v>
      </c>
      <c r="Z149" s="1">
        <f t="shared" si="17"/>
        <v>41334</v>
      </c>
      <c r="AA149" s="4">
        <f>VLOOKUP(J149,A:G,7,0)</f>
        <v>0.45530763990856199</v>
      </c>
      <c r="AB149" s="4">
        <f>VLOOKUP(J149,Total!A:P,16,0)</f>
        <v>0.40142136236969805</v>
      </c>
      <c r="AD149" s="1">
        <f t="shared" si="18"/>
        <v>41334</v>
      </c>
      <c r="AE149" s="4">
        <f t="shared" si="19"/>
        <v>0.36908918287835535</v>
      </c>
      <c r="AF149" s="4">
        <f t="shared" si="20"/>
        <v>0.29795392164803769</v>
      </c>
    </row>
    <row r="150" spans="1:32" x14ac:dyDescent="0.25">
      <c r="A150" s="1">
        <v>41365</v>
      </c>
      <c r="B150" s="4">
        <v>0.115253012982483</v>
      </c>
      <c r="C150" s="4">
        <v>6.9939104304650904E-2</v>
      </c>
      <c r="D150" s="4">
        <v>6.9939104304650904E-2</v>
      </c>
      <c r="E150" s="4">
        <v>-0.114789148326073</v>
      </c>
      <c r="F150" s="4">
        <v>0.67178126252143799</v>
      </c>
      <c r="G150" s="4">
        <v>0.45771173519590402</v>
      </c>
      <c r="J150" s="1">
        <v>41365</v>
      </c>
      <c r="K150" s="4">
        <f>VLOOKUP(J150,A:G,2,0)</f>
        <v>0.115253012982483</v>
      </c>
      <c r="L150" s="4">
        <f>VLOOKUP(J150,Total!A:P,2,0)</f>
        <v>0.113447359872881</v>
      </c>
      <c r="N150" s="1">
        <f t="shared" si="14"/>
        <v>41365</v>
      </c>
      <c r="O150" s="4">
        <f>VLOOKUP(J150,A:G,3,0)</f>
        <v>6.9939104304650904E-2</v>
      </c>
      <c r="P150" s="4">
        <f>VLOOKUP(J150,Total!A:P,11,0)</f>
        <v>6.95972801417718E-2</v>
      </c>
      <c r="R150" s="1">
        <f t="shared" si="15"/>
        <v>41365</v>
      </c>
      <c r="S150" s="4">
        <f>-VLOOKUP(J150,A:G,5,0)</f>
        <v>0.114789148326073</v>
      </c>
      <c r="T150" s="4">
        <f>VLOOKUP(J150,Total!A:P,8,0)</f>
        <v>0.10258082451803099</v>
      </c>
      <c r="V150" s="1">
        <f t="shared" si="16"/>
        <v>41365</v>
      </c>
      <c r="W150" s="4">
        <f>VLOOKUP(J150,A:G,4,0)</f>
        <v>6.9939104304650904E-2</v>
      </c>
      <c r="X150" s="4">
        <f>VLOOKUP(J150,Total!A:P,12,0)+VLOOKUP(J150,Total!A:P,13,0)</f>
        <v>4.9015468004274296E-2</v>
      </c>
      <c r="Z150" s="1">
        <f t="shared" si="17"/>
        <v>41365</v>
      </c>
      <c r="AA150" s="4">
        <f>VLOOKUP(J150,A:G,7,0)</f>
        <v>0.45771173519590402</v>
      </c>
      <c r="AB150" s="4">
        <f>VLOOKUP(J150,Total!A:P,16,0)</f>
        <v>0.39257987665452698</v>
      </c>
      <c r="AD150" s="1">
        <f t="shared" si="18"/>
        <v>41365</v>
      </c>
      <c r="AE150" s="4">
        <f t="shared" si="19"/>
        <v>0.36754778249664977</v>
      </c>
      <c r="AF150" s="4">
        <f t="shared" si="20"/>
        <v>0.29516444040966106</v>
      </c>
    </row>
    <row r="151" spans="1:32" x14ac:dyDescent="0.25">
      <c r="A151" s="1">
        <v>41395</v>
      </c>
      <c r="B151" s="4">
        <v>0.118107236427831</v>
      </c>
      <c r="C151" s="4">
        <v>6.8331965670175895E-2</v>
      </c>
      <c r="D151" s="4">
        <v>6.8331965670175895E-2</v>
      </c>
      <c r="E151" s="4">
        <v>-0.121133963137915</v>
      </c>
      <c r="F151" s="4">
        <v>0.68074901575254099</v>
      </c>
      <c r="G151" s="4">
        <v>0.45856559145152898</v>
      </c>
      <c r="J151" s="1">
        <v>41395</v>
      </c>
      <c r="K151" s="4">
        <f>VLOOKUP(J151,A:G,2,0)</f>
        <v>0.118107236427831</v>
      </c>
      <c r="L151" s="4">
        <f>VLOOKUP(J151,Total!A:P,2,0)</f>
        <v>0.114638147422631</v>
      </c>
      <c r="N151" s="1">
        <f t="shared" si="14"/>
        <v>41395</v>
      </c>
      <c r="O151" s="4">
        <f>VLOOKUP(J151,A:G,3,0)</f>
        <v>6.8331965670175895E-2</v>
      </c>
      <c r="P151" s="4">
        <f>VLOOKUP(J151,Total!A:P,11,0)</f>
        <v>6.9484902537301996E-2</v>
      </c>
      <c r="R151" s="1">
        <f t="shared" si="15"/>
        <v>41395</v>
      </c>
      <c r="S151" s="4">
        <f>-VLOOKUP(J151,A:G,5,0)</f>
        <v>0.121133963137915</v>
      </c>
      <c r="T151" s="4">
        <f>VLOOKUP(J151,Total!A:P,8,0)</f>
        <v>0.103020803353256</v>
      </c>
      <c r="V151" s="1">
        <f t="shared" si="16"/>
        <v>41395</v>
      </c>
      <c r="W151" s="4">
        <f>VLOOKUP(J151,A:G,4,0)</f>
        <v>6.8331965670175895E-2</v>
      </c>
      <c r="X151" s="4">
        <f>VLOOKUP(J151,Total!A:P,12,0)+VLOOKUP(J151,Total!A:P,13,0)</f>
        <v>3.7873256678069997E-2</v>
      </c>
      <c r="Z151" s="1">
        <f t="shared" si="17"/>
        <v>41395</v>
      </c>
      <c r="AA151" s="4">
        <f>VLOOKUP(J151,A:G,7,0)</f>
        <v>0.45856559145152898</v>
      </c>
      <c r="AB151" s="4">
        <f>VLOOKUP(J151,Total!A:P,16,0)</f>
        <v>0.39661743101590707</v>
      </c>
      <c r="AD151" s="1">
        <f t="shared" si="18"/>
        <v>41395</v>
      </c>
      <c r="AE151" s="4">
        <f t="shared" si="19"/>
        <v>0.35598832322613472</v>
      </c>
      <c r="AF151" s="4">
        <f t="shared" si="20"/>
        <v>0.28631663945539199</v>
      </c>
    </row>
    <row r="152" spans="1:32" x14ac:dyDescent="0.25">
      <c r="A152" s="1">
        <v>41426</v>
      </c>
      <c r="B152" s="4">
        <v>0.11893243150812</v>
      </c>
      <c r="C152" s="4">
        <v>6.4847715852302201E-2</v>
      </c>
      <c r="D152" s="4">
        <v>6.4847715852302201E-2</v>
      </c>
      <c r="E152" s="4">
        <v>-0.123494082639382</v>
      </c>
      <c r="F152" s="4">
        <v>0.69843204412289495</v>
      </c>
      <c r="G152" s="4">
        <v>0.45206413699043901</v>
      </c>
      <c r="J152" s="1">
        <v>41426</v>
      </c>
      <c r="K152" s="4">
        <f>VLOOKUP(J152,A:G,2,0)</f>
        <v>0.11893243150812</v>
      </c>
      <c r="L152" s="4">
        <f>VLOOKUP(J152,Total!A:P,2,0)</f>
        <v>0.11687219533788901</v>
      </c>
      <c r="N152" s="1">
        <f t="shared" si="14"/>
        <v>41426</v>
      </c>
      <c r="O152" s="4">
        <f>VLOOKUP(J152,A:G,3,0)</f>
        <v>6.4847715852302201E-2</v>
      </c>
      <c r="P152" s="4">
        <f>VLOOKUP(J152,Total!A:P,11,0)</f>
        <v>6.95236811977194E-2</v>
      </c>
      <c r="R152" s="1">
        <f t="shared" si="15"/>
        <v>41426</v>
      </c>
      <c r="S152" s="4">
        <f>-VLOOKUP(J152,A:G,5,0)</f>
        <v>0.123494082639382</v>
      </c>
      <c r="T152" s="4">
        <f>VLOOKUP(J152,Total!A:P,8,0)</f>
        <v>0.103698059024551</v>
      </c>
      <c r="V152" s="1">
        <f t="shared" si="16"/>
        <v>41426</v>
      </c>
      <c r="W152" s="4">
        <f>VLOOKUP(J152,A:G,4,0)</f>
        <v>6.4847715852302201E-2</v>
      </c>
      <c r="X152" s="4">
        <f>VLOOKUP(J152,Total!A:P,12,0)+VLOOKUP(J152,Total!A:P,13,0)</f>
        <v>4.17237865557561E-2</v>
      </c>
      <c r="Z152" s="1">
        <f t="shared" si="17"/>
        <v>41426</v>
      </c>
      <c r="AA152" s="4">
        <f>VLOOKUP(J152,A:G,7,0)</f>
        <v>0.45206413699043901</v>
      </c>
      <c r="AB152" s="4">
        <f>VLOOKUP(J152,Total!A:P,16,0)</f>
        <v>0.40197049679757091</v>
      </c>
      <c r="AD152" s="1">
        <f t="shared" si="18"/>
        <v>41426</v>
      </c>
      <c r="AE152" s="4">
        <f t="shared" si="19"/>
        <v>0.33933305454754142</v>
      </c>
      <c r="AF152" s="4">
        <f t="shared" si="20"/>
        <v>0.29264771018860641</v>
      </c>
    </row>
    <row r="153" spans="1:32" x14ac:dyDescent="0.25">
      <c r="A153" s="1">
        <v>41456</v>
      </c>
      <c r="B153" s="4">
        <v>0.12234075333292101</v>
      </c>
      <c r="C153" s="4">
        <v>6.4785010233080101E-2</v>
      </c>
      <c r="D153" s="4">
        <v>6.4785010233080101E-2</v>
      </c>
      <c r="E153" s="4">
        <v>-0.12578922649149901</v>
      </c>
      <c r="F153" s="4">
        <v>0.69687380144748201</v>
      </c>
      <c r="G153" s="4">
        <v>0.45222303007822301</v>
      </c>
      <c r="J153" s="1">
        <v>41456</v>
      </c>
      <c r="K153" s="4">
        <f>VLOOKUP(J153,A:G,2,0)</f>
        <v>0.12234075333292101</v>
      </c>
      <c r="L153" s="4">
        <f>VLOOKUP(J153,Total!A:P,2,0)</f>
        <v>0.121802179636566</v>
      </c>
      <c r="N153" s="1">
        <f t="shared" si="14"/>
        <v>41456</v>
      </c>
      <c r="O153" s="4">
        <f>VLOOKUP(J153,A:G,3,0)</f>
        <v>6.4785010233080101E-2</v>
      </c>
      <c r="P153" s="4">
        <f>VLOOKUP(J153,Total!A:P,11,0)</f>
        <v>6.8049508266251196E-2</v>
      </c>
      <c r="R153" s="1">
        <f t="shared" si="15"/>
        <v>41456</v>
      </c>
      <c r="S153" s="4">
        <f>-VLOOKUP(J153,A:G,5,0)</f>
        <v>0.12578922649149901</v>
      </c>
      <c r="T153" s="4">
        <f>VLOOKUP(J153,Total!A:P,8,0)</f>
        <v>0.10591740639135799</v>
      </c>
      <c r="V153" s="1">
        <f t="shared" si="16"/>
        <v>41456</v>
      </c>
      <c r="W153" s="4">
        <f>VLOOKUP(J153,A:G,4,0)</f>
        <v>6.4785010233080101E-2</v>
      </c>
      <c r="X153" s="4">
        <f>VLOOKUP(J153,Total!A:P,12,0)+VLOOKUP(J153,Total!A:P,13,0)</f>
        <v>3.8022784805917802E-2</v>
      </c>
      <c r="Z153" s="1">
        <f t="shared" si="17"/>
        <v>41456</v>
      </c>
      <c r="AA153" s="4">
        <f>VLOOKUP(J153,A:G,7,0)</f>
        <v>0.45222303007822301</v>
      </c>
      <c r="AB153" s="4">
        <f>VLOOKUP(J153,Total!A:P,16,0)</f>
        <v>0.42360744719699495</v>
      </c>
      <c r="AD153" s="1">
        <f t="shared" si="18"/>
        <v>41456</v>
      </c>
      <c r="AE153" s="4">
        <f t="shared" si="19"/>
        <v>0.33366307071996326</v>
      </c>
      <c r="AF153" s="4">
        <f t="shared" si="20"/>
        <v>0.30196015424123995</v>
      </c>
    </row>
    <row r="154" spans="1:32" x14ac:dyDescent="0.25">
      <c r="A154" s="1">
        <v>41487</v>
      </c>
      <c r="B154" s="4">
        <v>0.126811464750373</v>
      </c>
      <c r="C154" s="4">
        <v>6.6010944140916697E-2</v>
      </c>
      <c r="D154" s="4">
        <v>6.6010944140916697E-2</v>
      </c>
      <c r="E154" s="4">
        <v>-0.13508187623932999</v>
      </c>
      <c r="F154" s="4">
        <v>0.70075234921379004</v>
      </c>
      <c r="G154" s="4">
        <v>0.46082789042621503</v>
      </c>
      <c r="J154" s="1">
        <v>41487</v>
      </c>
      <c r="K154" s="4">
        <f>VLOOKUP(J154,A:G,2,0)</f>
        <v>0.126811464750373</v>
      </c>
      <c r="L154" s="4">
        <f>VLOOKUP(J154,Total!A:P,2,0)</f>
        <v>0.12399506250589901</v>
      </c>
      <c r="N154" s="1">
        <f t="shared" si="14"/>
        <v>41487</v>
      </c>
      <c r="O154" s="4">
        <f>VLOOKUP(J154,A:G,3,0)</f>
        <v>6.6010944140916697E-2</v>
      </c>
      <c r="P154" s="4">
        <f>VLOOKUP(J154,Total!A:P,11,0)</f>
        <v>6.6101011948867999E-2</v>
      </c>
      <c r="R154" s="1">
        <f t="shared" si="15"/>
        <v>41487</v>
      </c>
      <c r="S154" s="4">
        <f>-VLOOKUP(J154,A:G,5,0)</f>
        <v>0.13508187623932999</v>
      </c>
      <c r="T154" s="4">
        <f>VLOOKUP(J154,Total!A:P,8,0)</f>
        <v>0.109367986551192</v>
      </c>
      <c r="V154" s="1">
        <f t="shared" si="16"/>
        <v>41487</v>
      </c>
      <c r="W154" s="4">
        <f>VLOOKUP(J154,A:G,4,0)</f>
        <v>6.6010944140916697E-2</v>
      </c>
      <c r="X154" s="4">
        <f>VLOOKUP(J154,Total!A:P,12,0)+VLOOKUP(J154,Total!A:P,13,0)</f>
        <v>3.8526897762865706E-2</v>
      </c>
      <c r="Z154" s="1">
        <f t="shared" si="17"/>
        <v>41487</v>
      </c>
      <c r="AA154" s="4">
        <f>VLOOKUP(J154,A:G,7,0)</f>
        <v>0.46082789042621503</v>
      </c>
      <c r="AB154" s="4">
        <f>VLOOKUP(J154,Total!A:P,16,0)</f>
        <v>0.41626548130900509</v>
      </c>
      <c r="AD154" s="1">
        <f t="shared" si="18"/>
        <v>41487</v>
      </c>
      <c r="AE154" s="4">
        <f t="shared" si="19"/>
        <v>0.33095643771834549</v>
      </c>
      <c r="AF154" s="4">
        <f t="shared" si="20"/>
        <v>0.28753034196364774</v>
      </c>
    </row>
    <row r="155" spans="1:32" x14ac:dyDescent="0.25">
      <c r="A155" s="1">
        <v>41518</v>
      </c>
      <c r="B155" s="4">
        <v>0.128582664856324</v>
      </c>
      <c r="C155" s="4">
        <v>7.0084149496895704E-2</v>
      </c>
      <c r="D155" s="4">
        <v>7.0084149496895704E-2</v>
      </c>
      <c r="E155" s="4">
        <v>-0.14289629105232099</v>
      </c>
      <c r="F155" s="4">
        <v>0.70268449309347403</v>
      </c>
      <c r="G155" s="4">
        <v>0.47113094272475098</v>
      </c>
      <c r="J155" s="1">
        <v>41518</v>
      </c>
      <c r="K155" s="4">
        <f>VLOOKUP(J155,A:G,2,0)</f>
        <v>0.128582664856324</v>
      </c>
      <c r="L155" s="4">
        <f>VLOOKUP(J155,Total!A:P,2,0)</f>
        <v>0.12895707499978601</v>
      </c>
      <c r="N155" s="1">
        <f t="shared" si="14"/>
        <v>41518</v>
      </c>
      <c r="O155" s="4">
        <f>VLOOKUP(J155,A:G,3,0)</f>
        <v>7.0084149496895704E-2</v>
      </c>
      <c r="P155" s="4">
        <f>VLOOKUP(J155,Total!A:P,11,0)</f>
        <v>7.0454579977387494E-2</v>
      </c>
      <c r="R155" s="1">
        <f t="shared" si="15"/>
        <v>41518</v>
      </c>
      <c r="S155" s="4">
        <f>-VLOOKUP(J155,A:G,5,0)</f>
        <v>0.14289629105232099</v>
      </c>
      <c r="T155" s="4">
        <f>VLOOKUP(J155,Total!A:P,8,0)</f>
        <v>0.116516933062714</v>
      </c>
      <c r="V155" s="1">
        <f t="shared" si="16"/>
        <v>41518</v>
      </c>
      <c r="W155" s="4">
        <f>VLOOKUP(J155,A:G,4,0)</f>
        <v>7.0084149496895704E-2</v>
      </c>
      <c r="X155" s="4">
        <f>VLOOKUP(J155,Total!A:P,12,0)+VLOOKUP(J155,Total!A:P,13,0)</f>
        <v>3.9272223472097099E-2</v>
      </c>
      <c r="Z155" s="1">
        <f t="shared" si="17"/>
        <v>41518</v>
      </c>
      <c r="AA155" s="4">
        <f>VLOOKUP(J155,A:G,7,0)</f>
        <v>0.47113094272475098</v>
      </c>
      <c r="AB155" s="4">
        <f>VLOOKUP(J155,Total!A:P,16,0)</f>
        <v>0.426656236325055</v>
      </c>
      <c r="AD155" s="1">
        <f t="shared" si="18"/>
        <v>41518</v>
      </c>
      <c r="AE155" s="4">
        <f t="shared" si="19"/>
        <v>0.33982028580989737</v>
      </c>
      <c r="AF155" s="4">
        <f t="shared" si="20"/>
        <v>0.29090903171203958</v>
      </c>
    </row>
    <row r="156" spans="1:32" x14ac:dyDescent="0.25">
      <c r="A156" s="1">
        <v>41548</v>
      </c>
      <c r="B156" s="4">
        <v>0.13578879470008501</v>
      </c>
      <c r="C156" s="4">
        <v>6.8809834656109903E-2</v>
      </c>
      <c r="D156" s="4">
        <v>6.8809834656109903E-2</v>
      </c>
      <c r="E156" s="4">
        <v>-0.155730831782766</v>
      </c>
      <c r="F156" s="4">
        <v>0.69799263343397899</v>
      </c>
      <c r="G156" s="4">
        <v>0.49656148203537098</v>
      </c>
      <c r="J156" s="1">
        <v>41548</v>
      </c>
      <c r="K156" s="4">
        <f>VLOOKUP(J156,A:G,2,0)</f>
        <v>0.13578879470008501</v>
      </c>
      <c r="L156" s="4">
        <f>VLOOKUP(J156,Total!A:P,2,0)</f>
        <v>0.132312917431993</v>
      </c>
      <c r="N156" s="1">
        <f t="shared" si="14"/>
        <v>41548</v>
      </c>
      <c r="O156" s="4">
        <f>VLOOKUP(J156,A:G,3,0)</f>
        <v>6.8809834656109903E-2</v>
      </c>
      <c r="P156" s="4">
        <f>VLOOKUP(J156,Total!A:P,11,0)</f>
        <v>6.7118329174310501E-2</v>
      </c>
      <c r="R156" s="1">
        <f t="shared" si="15"/>
        <v>41548</v>
      </c>
      <c r="S156" s="4">
        <f>-VLOOKUP(J156,A:G,5,0)</f>
        <v>0.155730831782766</v>
      </c>
      <c r="T156" s="4">
        <f>VLOOKUP(J156,Total!A:P,8,0)</f>
        <v>0.111845136480935</v>
      </c>
      <c r="V156" s="1">
        <f t="shared" si="16"/>
        <v>41548</v>
      </c>
      <c r="W156" s="4">
        <f>VLOOKUP(J156,A:G,4,0)</f>
        <v>6.8809834656109903E-2</v>
      </c>
      <c r="X156" s="4">
        <f>VLOOKUP(J156,Total!A:P,12,0)+VLOOKUP(J156,Total!A:P,13,0)</f>
        <v>3.2217999342095405E-2</v>
      </c>
      <c r="Z156" s="1">
        <f t="shared" si="17"/>
        <v>41548</v>
      </c>
      <c r="AA156" s="4">
        <f>VLOOKUP(J156,A:G,7,0)</f>
        <v>0.49656148203537098</v>
      </c>
      <c r="AB156" s="4">
        <f>VLOOKUP(J156,Total!A:P,16,0)</f>
        <v>0.42070922804492195</v>
      </c>
      <c r="AD156" s="1">
        <f t="shared" si="18"/>
        <v>41548</v>
      </c>
      <c r="AE156" s="4">
        <f t="shared" si="19"/>
        <v>0.34266152486473977</v>
      </c>
      <c r="AF156" s="4">
        <f t="shared" si="20"/>
        <v>0.27588750264839978</v>
      </c>
    </row>
    <row r="157" spans="1:32" x14ac:dyDescent="0.25">
      <c r="A157" s="1">
        <v>41579</v>
      </c>
      <c r="B157" s="4">
        <v>0.13385992929961399</v>
      </c>
      <c r="C157" s="4">
        <v>7.19940823050573E-2</v>
      </c>
      <c r="D157" s="4">
        <v>7.19940823050573E-2</v>
      </c>
      <c r="E157" s="4">
        <v>-0.15573892343284301</v>
      </c>
      <c r="F157" s="4">
        <v>0.69546963718402799</v>
      </c>
      <c r="G157" s="4">
        <v>0.48949267907654997</v>
      </c>
      <c r="J157" s="1">
        <v>41579</v>
      </c>
      <c r="K157" s="4">
        <f>VLOOKUP(J157,A:G,2,0)</f>
        <v>0.13385992929961399</v>
      </c>
      <c r="L157" s="4">
        <f>VLOOKUP(J157,Total!A:P,2,0)</f>
        <v>0.137281505345836</v>
      </c>
      <c r="N157" s="1">
        <f t="shared" si="14"/>
        <v>41579</v>
      </c>
      <c r="O157" s="4">
        <f>VLOOKUP(J157,A:G,3,0)</f>
        <v>7.19940823050573E-2</v>
      </c>
      <c r="P157" s="4">
        <f>VLOOKUP(J157,Total!A:P,11,0)</f>
        <v>6.7650381096313494E-2</v>
      </c>
      <c r="R157" s="1">
        <f t="shared" si="15"/>
        <v>41579</v>
      </c>
      <c r="S157" s="4">
        <f>-VLOOKUP(J157,A:G,5,0)</f>
        <v>0.15573892343284301</v>
      </c>
      <c r="T157" s="4">
        <f>VLOOKUP(J157,Total!A:P,8,0)</f>
        <v>0.11776483602871</v>
      </c>
      <c r="V157" s="1">
        <f t="shared" si="16"/>
        <v>41579</v>
      </c>
      <c r="W157" s="4">
        <f>VLOOKUP(J157,A:G,4,0)</f>
        <v>7.19940823050573E-2</v>
      </c>
      <c r="X157" s="4">
        <f>VLOOKUP(J157,Total!A:P,12,0)+VLOOKUP(J157,Total!A:P,13,0)</f>
        <v>3.4650423509343803E-2</v>
      </c>
      <c r="Z157" s="1">
        <f t="shared" si="17"/>
        <v>41579</v>
      </c>
      <c r="AA157" s="4">
        <f>VLOOKUP(J157,A:G,7,0)</f>
        <v>0.48949267907654997</v>
      </c>
      <c r="AB157" s="4">
        <f>VLOOKUP(J157,Total!A:P,16,0)</f>
        <v>0.42573725335665702</v>
      </c>
      <c r="AD157" s="1">
        <f t="shared" si="18"/>
        <v>41579</v>
      </c>
      <c r="AE157" s="4">
        <f t="shared" si="19"/>
        <v>0.34388199095420757</v>
      </c>
      <c r="AF157" s="4">
        <f t="shared" si="20"/>
        <v>0.27299171658776827</v>
      </c>
    </row>
    <row r="158" spans="1:32" x14ac:dyDescent="0.25">
      <c r="A158" s="1">
        <v>41609</v>
      </c>
      <c r="B158" s="4">
        <v>0.139518391413473</v>
      </c>
      <c r="C158" s="4">
        <v>6.7282967522308001E-2</v>
      </c>
      <c r="D158" s="4">
        <v>6.7282967522308001E-2</v>
      </c>
      <c r="E158" s="4">
        <v>-0.163703857250109</v>
      </c>
      <c r="F158" s="4">
        <v>0.69809999156623803</v>
      </c>
      <c r="G158" s="4">
        <v>0.50404425657948904</v>
      </c>
      <c r="J158" s="1">
        <v>41609</v>
      </c>
      <c r="K158" s="4">
        <f>VLOOKUP(J158,A:G,2,0)</f>
        <v>0.139518391413473</v>
      </c>
      <c r="L158" s="4">
        <f>VLOOKUP(J158,Total!A:P,2,0)</f>
        <v>0.13451278140235001</v>
      </c>
      <c r="N158" s="1">
        <f t="shared" si="14"/>
        <v>41609</v>
      </c>
      <c r="O158" s="4">
        <f>VLOOKUP(J158,A:G,3,0)</f>
        <v>6.7282967522308001E-2</v>
      </c>
      <c r="P158" s="4">
        <f>VLOOKUP(J158,Total!A:P,11,0)</f>
        <v>7.0414169278535499E-2</v>
      </c>
      <c r="R158" s="1">
        <f t="shared" si="15"/>
        <v>41609</v>
      </c>
      <c r="S158" s="4">
        <f>-VLOOKUP(J158,A:G,5,0)</f>
        <v>0.163703857250109</v>
      </c>
      <c r="T158" s="4">
        <f>VLOOKUP(J158,Total!A:P,8,0)</f>
        <v>0.122465023514606</v>
      </c>
      <c r="V158" s="1">
        <f t="shared" si="16"/>
        <v>41609</v>
      </c>
      <c r="W158" s="4">
        <f>VLOOKUP(J158,A:G,4,0)</f>
        <v>6.7282967522308001E-2</v>
      </c>
      <c r="X158" s="4">
        <f>VLOOKUP(J158,Total!A:P,12,0)+VLOOKUP(J158,Total!A:P,13,0)</f>
        <v>2.4046542747953328E-2</v>
      </c>
      <c r="Z158" s="1">
        <f t="shared" si="17"/>
        <v>41609</v>
      </c>
      <c r="AA158" s="4">
        <f>VLOOKUP(J158,A:G,7,0)</f>
        <v>0.50404425657948904</v>
      </c>
      <c r="AB158" s="4">
        <f>VLOOKUP(J158,Total!A:P,16,0)</f>
        <v>0.43079800502950194</v>
      </c>
      <c r="AD158" s="1">
        <f t="shared" si="18"/>
        <v>41609</v>
      </c>
      <c r="AE158" s="4">
        <f t="shared" si="19"/>
        <v>0.33538794296052304</v>
      </c>
      <c r="AF158" s="4">
        <f t="shared" si="20"/>
        <v>0.26828091213903482</v>
      </c>
    </row>
    <row r="159" spans="1:32" x14ac:dyDescent="0.25">
      <c r="A159" s="1">
        <v>41640</v>
      </c>
      <c r="B159" s="4">
        <v>0.14892517625217</v>
      </c>
      <c r="C159" s="4">
        <v>6.1168693815864497E-2</v>
      </c>
      <c r="D159" s="4">
        <v>6.1168693815864497E-2</v>
      </c>
      <c r="E159" s="4">
        <v>-0.17508486768633</v>
      </c>
      <c r="F159" s="4">
        <v>0.70185670725172999</v>
      </c>
      <c r="G159" s="4">
        <v>0.52747635785932301</v>
      </c>
      <c r="J159" s="1">
        <v>41640</v>
      </c>
      <c r="K159" s="4">
        <f>VLOOKUP(J159,A:G,2,0)</f>
        <v>0.14892517625217</v>
      </c>
      <c r="L159" s="4">
        <f>VLOOKUP(J159,Total!A:P,2,0)</f>
        <v>0.13813557922735401</v>
      </c>
      <c r="N159" s="1">
        <f t="shared" si="14"/>
        <v>41640</v>
      </c>
      <c r="O159" s="4">
        <f>VLOOKUP(J159,A:G,3,0)</f>
        <v>6.1168693815864497E-2</v>
      </c>
      <c r="P159" s="4">
        <f>VLOOKUP(J159,Total!A:P,11,0)</f>
        <v>6.6679902589791201E-2</v>
      </c>
      <c r="R159" s="1">
        <f t="shared" si="15"/>
        <v>41640</v>
      </c>
      <c r="S159" s="4">
        <f>-VLOOKUP(J159,A:G,5,0)</f>
        <v>0.17508486768633</v>
      </c>
      <c r="T159" s="4">
        <f>VLOOKUP(J159,Total!A:P,8,0)</f>
        <v>0.122303300361975</v>
      </c>
      <c r="V159" s="1">
        <f t="shared" si="16"/>
        <v>41640</v>
      </c>
      <c r="W159" s="4">
        <f>VLOOKUP(J159,A:G,4,0)</f>
        <v>6.1168693815864497E-2</v>
      </c>
      <c r="X159" s="4">
        <f>VLOOKUP(J159,Total!A:P,12,0)+VLOOKUP(J159,Total!A:P,13,0)</f>
        <v>2.8716445039263003E-2</v>
      </c>
      <c r="Z159" s="1">
        <f t="shared" si="17"/>
        <v>41640</v>
      </c>
      <c r="AA159" s="4">
        <f>VLOOKUP(J159,A:G,7,0)</f>
        <v>0.52747635785932301</v>
      </c>
      <c r="AB159" s="4">
        <f>VLOOKUP(J159,Total!A:P,16,0)</f>
        <v>0.4246689965423891</v>
      </c>
      <c r="AD159" s="1">
        <f t="shared" si="18"/>
        <v>41640</v>
      </c>
      <c r="AE159" s="4">
        <f t="shared" si="19"/>
        <v>0.32580370155255201</v>
      </c>
      <c r="AF159" s="4">
        <f t="shared" si="20"/>
        <v>0.25962646458211425</v>
      </c>
    </row>
    <row r="160" spans="1:32" x14ac:dyDescent="0.25">
      <c r="A160" s="1">
        <v>41671</v>
      </c>
      <c r="B160" s="4">
        <v>0.14789261918182101</v>
      </c>
      <c r="C160" s="4">
        <v>6.5074829674916401E-2</v>
      </c>
      <c r="D160" s="4">
        <v>6.5074829674916401E-2</v>
      </c>
      <c r="E160" s="4">
        <v>-0.17584930913081201</v>
      </c>
      <c r="F160" s="4">
        <v>0.69110687373449797</v>
      </c>
      <c r="G160" s="4">
        <v>0.53553656133998695</v>
      </c>
      <c r="J160" s="1">
        <v>41671</v>
      </c>
      <c r="K160" s="4">
        <f>VLOOKUP(J160,A:G,2,0)</f>
        <v>0.14789261918182101</v>
      </c>
      <c r="L160" s="4">
        <f>VLOOKUP(J160,Total!A:P,2,0)</f>
        <v>0.142423265407741</v>
      </c>
      <c r="N160" s="1">
        <f t="shared" si="14"/>
        <v>41671</v>
      </c>
      <c r="O160" s="4">
        <f>VLOOKUP(J160,A:G,3,0)</f>
        <v>6.5074829674916401E-2</v>
      </c>
      <c r="P160" s="4">
        <f>VLOOKUP(J160,Total!A:P,11,0)</f>
        <v>7.0505548413392793E-2</v>
      </c>
      <c r="R160" s="1">
        <f t="shared" si="15"/>
        <v>41671</v>
      </c>
      <c r="S160" s="4">
        <f>-VLOOKUP(J160,A:G,5,0)</f>
        <v>0.17584930913081201</v>
      </c>
      <c r="T160" s="4">
        <f>VLOOKUP(J160,Total!A:P,8,0)</f>
        <v>0.124272642918851</v>
      </c>
      <c r="V160" s="1">
        <f t="shared" si="16"/>
        <v>41671</v>
      </c>
      <c r="W160" s="4">
        <f>VLOOKUP(J160,A:G,4,0)</f>
        <v>6.5074829674916401E-2</v>
      </c>
      <c r="X160" s="4">
        <f>VLOOKUP(J160,Total!A:P,12,0)+VLOOKUP(J160,Total!A:P,13,0)</f>
        <v>2.7453470294823798E-2</v>
      </c>
      <c r="Z160" s="1">
        <f t="shared" si="17"/>
        <v>41671</v>
      </c>
      <c r="AA160" s="4">
        <f>VLOOKUP(J160,A:G,7,0)</f>
        <v>0.53553656133998695</v>
      </c>
      <c r="AB160" s="4">
        <f>VLOOKUP(J160,Total!A:P,16,0)</f>
        <v>0.41918064473449812</v>
      </c>
      <c r="AD160" s="1">
        <f t="shared" si="18"/>
        <v>41671</v>
      </c>
      <c r="AE160" s="4">
        <f t="shared" si="19"/>
        <v>0.34194429237718671</v>
      </c>
      <c r="AF160" s="4">
        <f t="shared" si="20"/>
        <v>0.25044375511612271</v>
      </c>
    </row>
    <row r="161" spans="1:32" x14ac:dyDescent="0.25">
      <c r="A161" s="1">
        <v>41699</v>
      </c>
      <c r="B161" s="4">
        <v>0.14824399135970801</v>
      </c>
      <c r="C161" s="4">
        <v>6.2240422270341503E-2</v>
      </c>
      <c r="D161" s="4">
        <v>6.2240422270341503E-2</v>
      </c>
      <c r="E161" s="4">
        <v>-0.18322433513810599</v>
      </c>
      <c r="F161" s="4">
        <v>0.71611159602801999</v>
      </c>
      <c r="G161" s="4">
        <v>0.52405095464905604</v>
      </c>
      <c r="J161" s="1">
        <v>41699</v>
      </c>
      <c r="K161" s="4">
        <f>VLOOKUP(J161,A:G,2,0)</f>
        <v>0.14824399135970801</v>
      </c>
      <c r="L161" s="4">
        <f>VLOOKUP(J161,Total!A:P,2,0)</f>
        <v>0.14424719278343101</v>
      </c>
      <c r="N161" s="1">
        <f t="shared" si="14"/>
        <v>41699</v>
      </c>
      <c r="O161" s="4">
        <f>VLOOKUP(J161,A:G,3,0)</f>
        <v>6.2240422270341503E-2</v>
      </c>
      <c r="P161" s="4">
        <f>VLOOKUP(J161,Total!A:P,11,0)</f>
        <v>6.6753608119479294E-2</v>
      </c>
      <c r="R161" s="1">
        <f t="shared" si="15"/>
        <v>41699</v>
      </c>
      <c r="S161" s="4">
        <f>-VLOOKUP(J161,A:G,5,0)</f>
        <v>0.18322433513810599</v>
      </c>
      <c r="T161" s="4">
        <f>VLOOKUP(J161,Total!A:P,8,0)</f>
        <v>0.12919920813570701</v>
      </c>
      <c r="V161" s="1">
        <f t="shared" si="16"/>
        <v>41699</v>
      </c>
      <c r="W161" s="4">
        <f>VLOOKUP(J161,A:G,4,0)</f>
        <v>6.2240422270341503E-2</v>
      </c>
      <c r="X161" s="4">
        <f>VLOOKUP(J161,Total!A:P,12,0)+VLOOKUP(J161,Total!A:P,13,0)</f>
        <v>3.0580175339676101E-2</v>
      </c>
      <c r="Z161" s="1">
        <f t="shared" si="17"/>
        <v>41699</v>
      </c>
      <c r="AA161" s="4">
        <f>VLOOKUP(J161,A:G,7,0)</f>
        <v>0.52405095464905604</v>
      </c>
      <c r="AB161" s="4">
        <f>VLOOKUP(J161,Total!A:P,16,0)</f>
        <v>0.43061916385107502</v>
      </c>
      <c r="AD161" s="1">
        <f t="shared" si="18"/>
        <v>41699</v>
      </c>
      <c r="AE161" s="4">
        <f t="shared" si="19"/>
        <v>0.31706347269192514</v>
      </c>
      <c r="AF161" s="4">
        <f t="shared" si="20"/>
        <v>0.25450654639109233</v>
      </c>
    </row>
    <row r="162" spans="1:32" x14ac:dyDescent="0.25">
      <c r="A162" s="1">
        <v>41730</v>
      </c>
      <c r="B162" s="4">
        <v>0.152463364071349</v>
      </c>
      <c r="C162" s="4">
        <v>6.1977651454892799E-2</v>
      </c>
      <c r="D162" s="4">
        <v>6.1977651454892799E-2</v>
      </c>
      <c r="E162" s="4">
        <v>-0.17901934305073899</v>
      </c>
      <c r="F162" s="4">
        <v>0.70846755940525397</v>
      </c>
      <c r="G162" s="4">
        <v>0.52912773488002995</v>
      </c>
      <c r="J162" s="1">
        <v>41730</v>
      </c>
      <c r="K162" s="4">
        <f>VLOOKUP(J162,A:G,2,0)</f>
        <v>0.152463364071349</v>
      </c>
      <c r="L162" s="4">
        <f>VLOOKUP(J162,Total!A:P,2,0)</f>
        <v>0.14536975293624199</v>
      </c>
      <c r="N162" s="1">
        <f t="shared" si="14"/>
        <v>41730</v>
      </c>
      <c r="O162" s="4">
        <f>VLOOKUP(J162,A:G,3,0)</f>
        <v>6.1977651454892799E-2</v>
      </c>
      <c r="P162" s="4">
        <f>VLOOKUP(J162,Total!A:P,11,0)</f>
        <v>6.7891748845771593E-2</v>
      </c>
      <c r="R162" s="1">
        <f t="shared" si="15"/>
        <v>41730</v>
      </c>
      <c r="S162" s="4">
        <f>-VLOOKUP(J162,A:G,5,0)</f>
        <v>0.17901934305073899</v>
      </c>
      <c r="T162" s="4">
        <f>VLOOKUP(J162,Total!A:P,8,0)</f>
        <v>0.131817306757708</v>
      </c>
      <c r="V162" s="1">
        <f t="shared" si="16"/>
        <v>41730</v>
      </c>
      <c r="W162" s="4">
        <f>VLOOKUP(J162,A:G,4,0)</f>
        <v>6.1977651454892799E-2</v>
      </c>
      <c r="X162" s="4">
        <f>VLOOKUP(J162,Total!A:P,12,0)+VLOOKUP(J162,Total!A:P,13,0)</f>
        <v>2.9003120949188901E-2</v>
      </c>
      <c r="Z162" s="1">
        <f t="shared" si="17"/>
        <v>41730</v>
      </c>
      <c r="AA162" s="4">
        <f>VLOOKUP(J162,A:G,7,0)</f>
        <v>0.52912773488002995</v>
      </c>
      <c r="AB162" s="4">
        <f>VLOOKUP(J162,Total!A:P,16,0)</f>
        <v>0.42343611583551188</v>
      </c>
      <c r="AD162" s="1">
        <f t="shared" si="18"/>
        <v>41730</v>
      </c>
      <c r="AE162" s="4">
        <f t="shared" si="19"/>
        <v>0.32160033066772753</v>
      </c>
      <c r="AF162" s="4">
        <f t="shared" si="20"/>
        <v>0.24314392593652243</v>
      </c>
    </row>
    <row r="163" spans="1:32" x14ac:dyDescent="0.25">
      <c r="A163" s="1">
        <v>41760</v>
      </c>
      <c r="B163" s="4">
        <v>0.153830881552661</v>
      </c>
      <c r="C163" s="4">
        <v>5.5059630360709301E-2</v>
      </c>
      <c r="D163" s="4">
        <v>5.5059630360709301E-2</v>
      </c>
      <c r="E163" s="4">
        <v>-0.16822194130276</v>
      </c>
      <c r="F163" s="4">
        <v>0.70893908544395001</v>
      </c>
      <c r="G163" s="4">
        <v>0.53332721084174395</v>
      </c>
      <c r="J163" s="1">
        <v>41760</v>
      </c>
      <c r="K163" s="4">
        <f>VLOOKUP(J163,A:G,2,0)</f>
        <v>0.153830881552661</v>
      </c>
      <c r="L163" s="4">
        <f>VLOOKUP(J163,Total!A:P,2,0)</f>
        <v>0.14699467799893701</v>
      </c>
      <c r="N163" s="1">
        <f t="shared" si="14"/>
        <v>41760</v>
      </c>
      <c r="O163" s="4">
        <f>VLOOKUP(J163,A:G,3,0)</f>
        <v>5.5059630360709301E-2</v>
      </c>
      <c r="P163" s="4">
        <f>VLOOKUP(J163,Total!A:P,11,0)</f>
        <v>6.4482994088018497E-2</v>
      </c>
      <c r="R163" s="1">
        <f t="shared" si="15"/>
        <v>41760</v>
      </c>
      <c r="S163" s="4">
        <f>-VLOOKUP(J163,A:G,5,0)</f>
        <v>0.16822194130276</v>
      </c>
      <c r="T163" s="4">
        <f>VLOOKUP(J163,Total!A:P,8,0)</f>
        <v>0.13394022512901599</v>
      </c>
      <c r="V163" s="1">
        <f t="shared" si="16"/>
        <v>41760</v>
      </c>
      <c r="W163" s="4">
        <f>VLOOKUP(J163,A:G,4,0)</f>
        <v>5.5059630360709301E-2</v>
      </c>
      <c r="X163" s="4">
        <f>VLOOKUP(J163,Total!A:P,12,0)+VLOOKUP(J163,Total!A:P,13,0)</f>
        <v>2.380551321914413E-2</v>
      </c>
      <c r="Z163" s="1">
        <f t="shared" si="17"/>
        <v>41760</v>
      </c>
      <c r="AA163" s="4">
        <f>VLOOKUP(J163,A:G,7,0)</f>
        <v>0.53332721084174395</v>
      </c>
      <c r="AB163" s="4">
        <f>VLOOKUP(J163,Total!A:P,16,0)</f>
        <v>0.43617623256514615</v>
      </c>
      <c r="AD163" s="1">
        <f t="shared" si="18"/>
        <v>41760</v>
      </c>
      <c r="AE163" s="4">
        <f t="shared" si="19"/>
        <v>0.32139364870774145</v>
      </c>
      <c r="AF163" s="4">
        <f t="shared" si="20"/>
        <v>0.2435298367443558</v>
      </c>
    </row>
    <row r="164" spans="1:32" x14ac:dyDescent="0.25">
      <c r="A164" s="1">
        <v>41791</v>
      </c>
      <c r="B164" s="4">
        <v>0.15713850746335201</v>
      </c>
      <c r="C164" s="4">
        <v>5.6635312189078503E-2</v>
      </c>
      <c r="D164" s="4">
        <v>5.6635312189078503E-2</v>
      </c>
      <c r="E164" s="4">
        <v>-0.158322205275468</v>
      </c>
      <c r="F164" s="4">
        <v>0.67641345706851896</v>
      </c>
      <c r="G164" s="4">
        <v>0.55945875963153402</v>
      </c>
      <c r="J164" s="1">
        <v>41791</v>
      </c>
      <c r="K164" s="4">
        <f>VLOOKUP(J164,A:G,2,0)</f>
        <v>0.15713850746335201</v>
      </c>
      <c r="L164" s="4">
        <f>VLOOKUP(J164,Total!A:P,2,0)</f>
        <v>0.15109386236476399</v>
      </c>
      <c r="N164" s="1">
        <f t="shared" si="14"/>
        <v>41791</v>
      </c>
      <c r="O164" s="4">
        <f>VLOOKUP(J164,A:G,3,0)</f>
        <v>5.6635312189078503E-2</v>
      </c>
      <c r="P164" s="4">
        <f>VLOOKUP(J164,Total!A:P,11,0)</f>
        <v>6.8409344373506001E-2</v>
      </c>
      <c r="R164" s="1">
        <f t="shared" si="15"/>
        <v>41791</v>
      </c>
      <c r="S164" s="4">
        <f>-VLOOKUP(J164,A:G,5,0)</f>
        <v>0.158322205275468</v>
      </c>
      <c r="T164" s="4">
        <f>VLOOKUP(J164,Total!A:P,8,0)</f>
        <v>0.140882895684974</v>
      </c>
      <c r="V164" s="1">
        <f t="shared" si="16"/>
        <v>41791</v>
      </c>
      <c r="W164" s="4">
        <f>VLOOKUP(J164,A:G,4,0)</f>
        <v>5.6635312189078503E-2</v>
      </c>
      <c r="X164" s="4">
        <f>VLOOKUP(J164,Total!A:P,12,0)+VLOOKUP(J164,Total!A:P,13,0)</f>
        <v>2.38118003502986E-2</v>
      </c>
      <c r="Z164" s="1">
        <f t="shared" si="17"/>
        <v>41791</v>
      </c>
      <c r="AA164" s="4">
        <f>VLOOKUP(J164,A:G,7,0)</f>
        <v>0.55945875963153402</v>
      </c>
      <c r="AB164" s="4">
        <f>VLOOKUP(J164,Total!A:P,16,0)</f>
        <v>0.44850284746749114</v>
      </c>
      <c r="AD164" s="1">
        <f t="shared" si="18"/>
        <v>41791</v>
      </c>
      <c r="AE164" s="4">
        <f t="shared" si="19"/>
        <v>0.35726867127087092</v>
      </c>
      <c r="AF164" s="4">
        <f t="shared" si="20"/>
        <v>0.24874723414155778</v>
      </c>
    </row>
    <row r="165" spans="1:32" x14ac:dyDescent="0.25">
      <c r="A165" s="1">
        <v>41821</v>
      </c>
      <c r="B165" s="4">
        <v>0.159369831495909</v>
      </c>
      <c r="C165" s="4">
        <v>4.2308069209028298E-2</v>
      </c>
      <c r="D165" s="4">
        <v>4.2308069209028298E-2</v>
      </c>
      <c r="E165" s="4">
        <v>-0.150712743451208</v>
      </c>
      <c r="F165" s="4">
        <v>0.64500453497847499</v>
      </c>
      <c r="G165" s="4">
        <v>0.59888969948804704</v>
      </c>
      <c r="J165" s="1"/>
      <c r="K165" s="4"/>
      <c r="L165" s="4"/>
      <c r="N165" s="1"/>
      <c r="O165" s="4"/>
      <c r="P165" s="4"/>
      <c r="R165" s="1"/>
      <c r="V165" s="1"/>
      <c r="Z165" s="1"/>
      <c r="AD165" s="1"/>
    </row>
    <row r="166" spans="1:32" x14ac:dyDescent="0.25">
      <c r="A166" s="1">
        <v>41852</v>
      </c>
      <c r="B166" s="4">
        <v>0.174702697259627</v>
      </c>
      <c r="C166" s="4">
        <v>3.0881372918304398E-2</v>
      </c>
      <c r="D166" s="4">
        <v>3.0881372918304398E-2</v>
      </c>
      <c r="E166" s="4">
        <v>-0.122455745412494</v>
      </c>
      <c r="F166" s="4">
        <v>0.65771783732213296</v>
      </c>
      <c r="G166" s="4">
        <v>0.59591162763092898</v>
      </c>
      <c r="J166" s="1"/>
      <c r="K166" s="4"/>
      <c r="L166" s="4"/>
      <c r="N166" s="1"/>
      <c r="O166" s="4"/>
      <c r="P166" s="4"/>
      <c r="R166" s="1"/>
      <c r="V166" s="1"/>
      <c r="Z166" s="1"/>
      <c r="AD166" s="1"/>
    </row>
    <row r="167" spans="1:32" x14ac:dyDescent="0.25">
      <c r="A167" s="1">
        <v>41883</v>
      </c>
      <c r="B167" s="4">
        <v>0.164754906623054</v>
      </c>
      <c r="C167" s="4">
        <v>4.1673738340796303E-2</v>
      </c>
      <c r="D167" s="4">
        <v>4.1673738340796303E-2</v>
      </c>
      <c r="E167" s="4">
        <v>-0.122393019393192</v>
      </c>
      <c r="F167" s="4">
        <v>0.49708520879597101</v>
      </c>
      <c r="G167" s="4">
        <v>0.73304407352357404</v>
      </c>
      <c r="J167" s="1"/>
      <c r="K167" s="4"/>
      <c r="L167" s="4"/>
      <c r="N167" s="1"/>
      <c r="O167" s="4"/>
      <c r="P167" s="4"/>
      <c r="R167" s="1"/>
      <c r="V167" s="1"/>
      <c r="Z167" s="1"/>
      <c r="AD167" s="1"/>
    </row>
  </sheetData>
  <pageMargins left="0.7" right="0.7" top="0.75" bottom="0.75" header="0.3" footer="0.3"/>
  <pageSetup scale="22"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BJ181"/>
  <sheetViews>
    <sheetView topLeftCell="X37" workbookViewId="0">
      <selection activeCell="BD53" sqref="BD53"/>
    </sheetView>
  </sheetViews>
  <sheetFormatPr defaultRowHeight="15" x14ac:dyDescent="0.25"/>
  <cols>
    <col min="26" max="27" width="9.140625" style="4"/>
    <col min="30" max="31" width="9.140625" style="4"/>
    <col min="34" max="35" width="9.140625" style="4"/>
    <col min="38" max="39" width="9.140625" style="4"/>
    <col min="42" max="43" width="9.140625" style="4"/>
  </cols>
  <sheetData>
    <row r="1" spans="1:43" x14ac:dyDescent="0.25">
      <c r="B1" t="s">
        <v>59</v>
      </c>
      <c r="C1" t="s">
        <v>48</v>
      </c>
      <c r="D1" t="s">
        <v>49</v>
      </c>
      <c r="E1" t="s">
        <v>50</v>
      </c>
      <c r="F1" t="s">
        <v>51</v>
      </c>
      <c r="G1" t="s">
        <v>52</v>
      </c>
      <c r="H1" t="s">
        <v>43</v>
      </c>
      <c r="I1" t="s">
        <v>53</v>
      </c>
      <c r="J1" t="s">
        <v>54</v>
      </c>
      <c r="K1" t="s">
        <v>55</v>
      </c>
      <c r="L1" t="s">
        <v>56</v>
      </c>
      <c r="M1" t="s">
        <v>57</v>
      </c>
      <c r="N1" t="s">
        <v>60</v>
      </c>
      <c r="P1" t="s">
        <v>68</v>
      </c>
      <c r="Q1" t="s">
        <v>74</v>
      </c>
      <c r="R1" t="s">
        <v>69</v>
      </c>
      <c r="S1" t="s">
        <v>70</v>
      </c>
      <c r="T1" t="s">
        <v>71</v>
      </c>
      <c r="U1" t="s">
        <v>72</v>
      </c>
      <c r="V1" t="s">
        <v>73</v>
      </c>
      <c r="Z1" s="4" t="s">
        <v>59</v>
      </c>
      <c r="AD1" s="4" t="s">
        <v>75</v>
      </c>
      <c r="AH1" s="4" t="s">
        <v>71</v>
      </c>
      <c r="AL1" s="4" t="s">
        <v>76</v>
      </c>
      <c r="AP1" s="4" t="s">
        <v>61</v>
      </c>
    </row>
    <row r="2" spans="1:43" x14ac:dyDescent="0.25">
      <c r="A2" s="1">
        <v>36770</v>
      </c>
      <c r="B2" s="4">
        <v>4.4129954113061497E-2</v>
      </c>
      <c r="C2" s="4">
        <v>4.6020586371721597E-3</v>
      </c>
      <c r="D2" s="4">
        <v>0</v>
      </c>
      <c r="E2" s="4">
        <v>0</v>
      </c>
      <c r="F2" s="4">
        <v>0</v>
      </c>
      <c r="G2" s="4">
        <v>0</v>
      </c>
      <c r="H2" s="4">
        <v>4.6020586371721597E-3</v>
      </c>
      <c r="I2" s="4">
        <v>1.0526066842361199</v>
      </c>
      <c r="J2" s="4">
        <v>0</v>
      </c>
      <c r="K2" s="4">
        <v>0</v>
      </c>
      <c r="L2" s="4">
        <v>0</v>
      </c>
      <c r="M2" s="4">
        <v>1.0526066842361199</v>
      </c>
      <c r="N2" s="4">
        <f>B2+H2+1-M2</f>
        <v>-3.8746714858861608E-3</v>
      </c>
      <c r="P2" s="1">
        <v>36434</v>
      </c>
      <c r="Q2">
        <v>3.7872360781146697E-2</v>
      </c>
      <c r="R2">
        <v>2.4505320843836099E-2</v>
      </c>
      <c r="S2">
        <v>2.4505320843836099E-2</v>
      </c>
      <c r="T2">
        <v>-1.10842159923948E-2</v>
      </c>
      <c r="Z2" s="4" t="s">
        <v>65</v>
      </c>
      <c r="AA2" s="4" t="s">
        <v>64</v>
      </c>
      <c r="AD2" s="4" t="s">
        <v>65</v>
      </c>
      <c r="AE2" s="4" t="s">
        <v>64</v>
      </c>
      <c r="AH2" s="4" t="s">
        <v>65</v>
      </c>
      <c r="AI2" s="4" t="s">
        <v>64</v>
      </c>
      <c r="AL2" s="4" t="s">
        <v>65</v>
      </c>
      <c r="AM2" s="4" t="s">
        <v>64</v>
      </c>
      <c r="AP2" s="4" t="s">
        <v>65</v>
      </c>
      <c r="AQ2" s="4" t="s">
        <v>64</v>
      </c>
    </row>
    <row r="3" spans="1:43" x14ac:dyDescent="0.25">
      <c r="A3" s="1">
        <v>36831</v>
      </c>
      <c r="B3" s="4">
        <v>2.74999999974418E-2</v>
      </c>
      <c r="C3" s="4">
        <v>0</v>
      </c>
      <c r="D3" s="4">
        <v>0</v>
      </c>
      <c r="E3" s="4">
        <v>4.65116279069767E-3</v>
      </c>
      <c r="F3" s="4">
        <v>-1.3162790697674399E-3</v>
      </c>
      <c r="G3" s="4">
        <v>0</v>
      </c>
      <c r="H3" s="4">
        <v>3.3348837209302299E-3</v>
      </c>
      <c r="I3" s="4">
        <v>1.0149860465116201</v>
      </c>
      <c r="J3" s="4">
        <v>9.0837209302325507E-3</v>
      </c>
      <c r="K3" s="4">
        <v>0</v>
      </c>
      <c r="L3" s="4">
        <v>7.5348837209302303E-4</v>
      </c>
      <c r="M3" s="4">
        <v>1.0248232558139501</v>
      </c>
      <c r="N3" s="4">
        <f t="shared" ref="N3:N66" si="0">B3+H3+1-M3</f>
        <v>6.0116279044220011E-3</v>
      </c>
      <c r="P3" s="1">
        <v>36465</v>
      </c>
      <c r="Q3">
        <v>3.2500000000000001E-2</v>
      </c>
      <c r="R3">
        <v>5.8627102989455698E-2</v>
      </c>
      <c r="S3">
        <v>5.8627102989455698E-2</v>
      </c>
      <c r="T3">
        <v>-1.7354430338660201E-2</v>
      </c>
      <c r="Y3" s="1">
        <v>36557</v>
      </c>
      <c r="Z3" s="4">
        <f>VLOOKUP(Y3,P:V,2,0)</f>
        <v>2.85072290627645E-2</v>
      </c>
      <c r="AA3" s="4" t="e">
        <f>VLOOKUP(Y3,A:N,2,0)</f>
        <v>#N/A</v>
      </c>
      <c r="AC3" s="1">
        <v>36557</v>
      </c>
      <c r="AD3" s="4">
        <f>VLOOKUP(Y3,P:V,3,0)</f>
        <v>3.1453292647264201E-2</v>
      </c>
      <c r="AE3" s="4" t="e">
        <f>VLOOKUP(Y3,A:N,10,0)</f>
        <v>#N/A</v>
      </c>
      <c r="AG3" s="1">
        <v>36557</v>
      </c>
      <c r="AH3" s="4">
        <f>-VLOOKUP(Y3,P:V,5,0)</f>
        <v>4.5568616278177099E-3</v>
      </c>
      <c r="AI3" s="4" t="e">
        <f>VLOOKUP(Y3,A:N,8,0)</f>
        <v>#N/A</v>
      </c>
      <c r="AK3" s="1">
        <v>36557</v>
      </c>
      <c r="AL3" s="4">
        <f>VLOOKUP(Y3,P:V,4,0)</f>
        <v>3.1453292647264201E-2</v>
      </c>
      <c r="AM3" s="4" t="e">
        <f>VLOOKUP(Y3,A:N,11,0)+VLOOKUP(Y3,A:N,12,0)</f>
        <v>#N/A</v>
      </c>
      <c r="AO3" s="1">
        <v>36557</v>
      </c>
      <c r="AP3" s="4">
        <f>VLOOKUP(Y3,P:V,7,0)</f>
        <v>5.6932037655142899E-8</v>
      </c>
      <c r="AQ3" s="4" t="e">
        <f>VLOOKUP(Y3,A:N,14,0)</f>
        <v>#N/A</v>
      </c>
    </row>
    <row r="4" spans="1:43" x14ac:dyDescent="0.25">
      <c r="A4" s="1">
        <v>36861</v>
      </c>
      <c r="B4" s="4">
        <v>5.5E-2</v>
      </c>
      <c r="C4" s="4">
        <v>9.6361134161996303E-3</v>
      </c>
      <c r="D4" s="4">
        <v>2.3448826286462101E-3</v>
      </c>
      <c r="E4" s="4">
        <v>7.1273028226328597E-3</v>
      </c>
      <c r="F4" s="4">
        <v>2.7725207980041802E-3</v>
      </c>
      <c r="G4" s="4">
        <v>1.48247898710763E-3</v>
      </c>
      <c r="H4" s="4">
        <v>2.33632986525905E-2</v>
      </c>
      <c r="I4" s="4">
        <v>0.98405957341809602</v>
      </c>
      <c r="J4" s="4">
        <v>8.7181168126445094E-2</v>
      </c>
      <c r="K4" s="4">
        <v>0</v>
      </c>
      <c r="L4" s="4">
        <v>3.8344889185764801E-3</v>
      </c>
      <c r="M4" s="4">
        <v>1.0750752304631099</v>
      </c>
      <c r="N4" s="4">
        <f t="shared" si="0"/>
        <v>3.2880681894806862E-3</v>
      </c>
      <c r="P4" s="1">
        <v>36495</v>
      </c>
      <c r="Q4">
        <v>2.7317860030927801E-2</v>
      </c>
      <c r="R4">
        <v>0.118399475971257</v>
      </c>
      <c r="S4">
        <v>0.118399475971257</v>
      </c>
      <c r="T4">
        <v>-2.1279083256401501E-2</v>
      </c>
      <c r="Y4" s="1">
        <v>36586</v>
      </c>
      <c r="Z4" s="4">
        <f t="shared" ref="Z4:Z67" si="1">VLOOKUP(Y4,P:V,2,0)</f>
        <v>4.4554449995441503E-2</v>
      </c>
      <c r="AA4" s="4" t="e">
        <f t="shared" ref="AA4:AA67" si="2">VLOOKUP(Y4,A:N,2,0)</f>
        <v>#N/A</v>
      </c>
      <c r="AC4" s="1">
        <v>36586</v>
      </c>
      <c r="AD4" s="4">
        <f t="shared" ref="AD4:AD67" si="3">VLOOKUP(Y4,P:V,3,0)</f>
        <v>8.4914843820038804E-2</v>
      </c>
      <c r="AE4" s="4" t="e">
        <f t="shared" ref="AE4:AE67" si="4">VLOOKUP(Y4,A:N,10,0)</f>
        <v>#N/A</v>
      </c>
      <c r="AG4" s="1">
        <v>36586</v>
      </c>
      <c r="AH4" s="4">
        <f t="shared" ref="AH4:AH67" si="5">-VLOOKUP(Y4,P:V,5,0)</f>
        <v>1.57032855816088E-2</v>
      </c>
      <c r="AI4" s="4" t="e">
        <f t="shared" ref="AI4:AI67" si="6">VLOOKUP(Y4,A:N,8,0)</f>
        <v>#N/A</v>
      </c>
      <c r="AK4" s="1">
        <v>36586</v>
      </c>
      <c r="AL4" s="4">
        <f t="shared" ref="AL4:AL67" si="7">VLOOKUP(Y4,P:V,4,0)</f>
        <v>8.4914843820038804E-2</v>
      </c>
      <c r="AM4" s="4" t="e">
        <f t="shared" ref="AM4:AM67" si="8">VLOOKUP(Y4,A:N,11,0)+VLOOKUP(Y4,A:N,12,0)</f>
        <v>#N/A</v>
      </c>
      <c r="AO4" s="1">
        <v>36586</v>
      </c>
      <c r="AP4" s="4">
        <f t="shared" ref="AP4:AP67" si="9">VLOOKUP(Y4,P:V,7,0)</f>
        <v>4.1902826280151902E-3</v>
      </c>
      <c r="AQ4" s="4" t="e">
        <f t="shared" ref="AQ4:AQ67" si="10">VLOOKUP(Y4,A:N,14,0)</f>
        <v>#N/A</v>
      </c>
    </row>
    <row r="5" spans="1:43" x14ac:dyDescent="0.25">
      <c r="A5" s="1">
        <v>36892</v>
      </c>
      <c r="B5" s="4">
        <v>4.7935436170418101E-2</v>
      </c>
      <c r="C5" s="4">
        <v>3.3171600872608201E-3</v>
      </c>
      <c r="D5" s="4">
        <v>6.7736966487762999E-4</v>
      </c>
      <c r="E5" s="4">
        <v>5.5750589701862498E-3</v>
      </c>
      <c r="F5" s="4">
        <v>-3.4481739730601998E-3</v>
      </c>
      <c r="G5" s="4">
        <v>4.9144144822191801E-3</v>
      </c>
      <c r="H5" s="4">
        <v>1.10358292314836E-2</v>
      </c>
      <c r="I5" s="4">
        <v>0.96171997259301001</v>
      </c>
      <c r="J5" s="4">
        <v>0.105282201122482</v>
      </c>
      <c r="K5" s="4">
        <v>0</v>
      </c>
      <c r="L5" s="4">
        <v>0</v>
      </c>
      <c r="M5" s="4">
        <v>1.06700217371549</v>
      </c>
      <c r="N5" s="4">
        <f t="shared" si="0"/>
        <v>-8.0309083135883252E-3</v>
      </c>
      <c r="P5" s="1">
        <v>36526</v>
      </c>
      <c r="Q5">
        <v>2.8735888529223701E-2</v>
      </c>
      <c r="R5">
        <v>0.10319416441174201</v>
      </c>
      <c r="S5">
        <v>0.10319416441174201</v>
      </c>
      <c r="T5">
        <v>-1.35109223349288E-2</v>
      </c>
      <c r="U5">
        <v>0.93758210742904202</v>
      </c>
      <c r="V5" s="3">
        <v>6.1266478211423198E-9</v>
      </c>
      <c r="Y5" s="1">
        <v>36617</v>
      </c>
      <c r="Z5" s="4">
        <f t="shared" si="1"/>
        <v>4.3194314668478201E-2</v>
      </c>
      <c r="AA5" s="4" t="e">
        <f t="shared" si="2"/>
        <v>#N/A</v>
      </c>
      <c r="AC5" s="1">
        <v>36617</v>
      </c>
      <c r="AD5" s="4">
        <f t="shared" si="3"/>
        <v>4.4691467665979701E-2</v>
      </c>
      <c r="AE5" s="4" t="e">
        <f t="shared" si="4"/>
        <v>#N/A</v>
      </c>
      <c r="AG5" s="1">
        <v>36617</v>
      </c>
      <c r="AH5" s="4">
        <f t="shared" si="5"/>
        <v>1.9638594661004E-2</v>
      </c>
      <c r="AI5" s="4" t="e">
        <f t="shared" si="6"/>
        <v>#N/A</v>
      </c>
      <c r="AK5" s="1">
        <v>36617</v>
      </c>
      <c r="AL5" s="4">
        <f t="shared" si="7"/>
        <v>4.4691467665979701E-2</v>
      </c>
      <c r="AM5" s="4" t="e">
        <f t="shared" si="8"/>
        <v>#N/A</v>
      </c>
      <c r="AO5" s="1">
        <v>36617</v>
      </c>
      <c r="AP5" s="4">
        <f t="shared" si="9"/>
        <v>6.7339585910992303E-2</v>
      </c>
      <c r="AQ5" s="4" t="e">
        <f t="shared" si="10"/>
        <v>#N/A</v>
      </c>
    </row>
    <row r="6" spans="1:43" x14ac:dyDescent="0.25">
      <c r="A6" s="1">
        <v>36923</v>
      </c>
      <c r="B6" s="4">
        <v>5.1101428975710503E-2</v>
      </c>
      <c r="C6" s="4">
        <v>2.04331624388335E-3</v>
      </c>
      <c r="D6" s="4">
        <v>0</v>
      </c>
      <c r="E6" s="4">
        <v>1.2401078977816799E-4</v>
      </c>
      <c r="F6" s="4">
        <v>-1.35648725434273E-3</v>
      </c>
      <c r="G6" s="4">
        <v>0</v>
      </c>
      <c r="H6" s="4">
        <v>8.1083977931879303E-4</v>
      </c>
      <c r="I6" s="4">
        <v>0.73311553986074995</v>
      </c>
      <c r="J6" s="4">
        <v>0</v>
      </c>
      <c r="K6" s="4">
        <v>0</v>
      </c>
      <c r="L6" s="4">
        <v>0.32021302993196898</v>
      </c>
      <c r="M6" s="4">
        <v>1.0533285697927099</v>
      </c>
      <c r="N6" s="4">
        <f t="shared" si="0"/>
        <v>-1.4163010376806451E-3</v>
      </c>
      <c r="P6" s="1">
        <v>36557</v>
      </c>
      <c r="Q6">
        <v>2.85072290627645E-2</v>
      </c>
      <c r="R6">
        <v>3.1453292647264201E-2</v>
      </c>
      <c r="S6">
        <v>3.1453292647264201E-2</v>
      </c>
      <c r="T6">
        <v>-4.5568616278177099E-3</v>
      </c>
      <c r="U6">
        <v>0.98090729715020997</v>
      </c>
      <c r="V6" s="3">
        <v>5.6932037655142899E-8</v>
      </c>
      <c r="Y6" s="1">
        <v>36647</v>
      </c>
      <c r="Z6" s="4">
        <f t="shared" si="1"/>
        <v>4.4340743021100401E-2</v>
      </c>
      <c r="AA6" s="4" t="e">
        <f t="shared" si="2"/>
        <v>#N/A</v>
      </c>
      <c r="AC6" s="1">
        <v>36647</v>
      </c>
      <c r="AD6" s="4">
        <f t="shared" si="3"/>
        <v>7.3383258395262205E-2</v>
      </c>
      <c r="AE6" s="4" t="e">
        <f t="shared" si="4"/>
        <v>#N/A</v>
      </c>
      <c r="AG6" s="1">
        <v>36647</v>
      </c>
      <c r="AH6" s="4">
        <f t="shared" si="5"/>
        <v>1.33288060254964E-2</v>
      </c>
      <c r="AI6" s="4" t="e">
        <f t="shared" si="6"/>
        <v>#N/A</v>
      </c>
      <c r="AK6" s="1">
        <v>36647</v>
      </c>
      <c r="AL6" s="4">
        <f t="shared" si="7"/>
        <v>7.3383258395262205E-2</v>
      </c>
      <c r="AM6" s="4" t="e">
        <f t="shared" si="8"/>
        <v>#N/A</v>
      </c>
      <c r="AO6" s="1">
        <v>36647</v>
      </c>
      <c r="AP6" s="4">
        <f t="shared" si="9"/>
        <v>5.1575715797219602E-3</v>
      </c>
      <c r="AQ6" s="4" t="e">
        <f t="shared" si="10"/>
        <v>#N/A</v>
      </c>
    </row>
    <row r="7" spans="1:43" x14ac:dyDescent="0.25">
      <c r="A7" s="1">
        <v>36951</v>
      </c>
      <c r="B7" s="4">
        <v>5.4557556739024501E-2</v>
      </c>
      <c r="C7" s="4">
        <v>5.4913195233539597E-3</v>
      </c>
      <c r="D7" s="4">
        <v>1.4411267576122899E-4</v>
      </c>
      <c r="E7" s="4">
        <v>2.5063074045431101E-3</v>
      </c>
      <c r="F7" s="4">
        <v>2.7193435339292797E-4</v>
      </c>
      <c r="G7" s="4">
        <v>1.62909981295302E-3</v>
      </c>
      <c r="H7" s="4">
        <v>1.0042773770004201E-2</v>
      </c>
      <c r="I7" s="4">
        <v>1.0470813480089101</v>
      </c>
      <c r="J7" s="4">
        <v>3.49391783730333E-2</v>
      </c>
      <c r="K7" s="4">
        <v>0</v>
      </c>
      <c r="L7" s="4">
        <v>1.8070476386755801E-3</v>
      </c>
      <c r="M7" s="4">
        <v>1.08382757402062</v>
      </c>
      <c r="N7" s="4">
        <f t="shared" si="0"/>
        <v>-1.9227243511591219E-2</v>
      </c>
      <c r="P7" s="1">
        <v>36586</v>
      </c>
      <c r="Q7">
        <v>4.4554449995441503E-2</v>
      </c>
      <c r="R7">
        <v>8.4914843820038804E-2</v>
      </c>
      <c r="S7">
        <v>8.4914843820038804E-2</v>
      </c>
      <c r="T7">
        <v>-1.57032855816088E-2</v>
      </c>
      <c r="U7">
        <v>0.969072317643068</v>
      </c>
      <c r="V7">
        <v>4.1902826280151902E-3</v>
      </c>
      <c r="Y7" s="1">
        <v>36678</v>
      </c>
      <c r="Z7" s="4">
        <f t="shared" si="1"/>
        <v>4.5407847482043497E-2</v>
      </c>
      <c r="AA7" s="4" t="e">
        <f t="shared" si="2"/>
        <v>#N/A</v>
      </c>
      <c r="AC7" s="1">
        <v>36678</v>
      </c>
      <c r="AD7" s="4">
        <f t="shared" si="3"/>
        <v>8.0169136689599102E-2</v>
      </c>
      <c r="AE7" s="4" t="e">
        <f t="shared" si="4"/>
        <v>#N/A</v>
      </c>
      <c r="AG7" s="1">
        <v>36678</v>
      </c>
      <c r="AH7" s="4">
        <f t="shared" si="5"/>
        <v>1.5019502151940501E-2</v>
      </c>
      <c r="AI7" s="4" t="e">
        <f t="shared" si="6"/>
        <v>#N/A</v>
      </c>
      <c r="AK7" s="1">
        <v>36678</v>
      </c>
      <c r="AL7" s="4">
        <f t="shared" si="7"/>
        <v>8.0169136689599102E-2</v>
      </c>
      <c r="AM7" s="4" t="e">
        <f t="shared" si="8"/>
        <v>#N/A</v>
      </c>
      <c r="AO7" s="1">
        <v>36678</v>
      </c>
      <c r="AP7" s="4">
        <f t="shared" si="9"/>
        <v>7.2817607399924295E-2</v>
      </c>
      <c r="AQ7" s="4" t="e">
        <f t="shared" si="10"/>
        <v>#N/A</v>
      </c>
    </row>
    <row r="8" spans="1:43" x14ac:dyDescent="0.25">
      <c r="A8" s="1">
        <v>36982</v>
      </c>
      <c r="B8" s="4">
        <v>4.0534154564915999E-2</v>
      </c>
      <c r="C8" s="4">
        <v>7.2808934024745997E-3</v>
      </c>
      <c r="D8" s="4">
        <v>0</v>
      </c>
      <c r="E8" s="4">
        <v>5.2900654413717101E-3</v>
      </c>
      <c r="F8" s="4">
        <v>-1.3048828088716899E-3</v>
      </c>
      <c r="G8" s="4">
        <v>2.5621550287710298E-3</v>
      </c>
      <c r="H8" s="4">
        <v>1.3828231063745601E-2</v>
      </c>
      <c r="I8" s="4">
        <v>0.91620847573050601</v>
      </c>
      <c r="J8" s="4">
        <v>0.13268365804533799</v>
      </c>
      <c r="K8" s="4">
        <v>0</v>
      </c>
      <c r="L8" s="4">
        <v>1.63110351108961E-4</v>
      </c>
      <c r="M8" s="4">
        <v>1.0490552441269501</v>
      </c>
      <c r="N8" s="4">
        <f t="shared" si="0"/>
        <v>5.3071415017116319E-3</v>
      </c>
      <c r="P8" s="1">
        <v>36617</v>
      </c>
      <c r="Q8">
        <v>4.3194314668478201E-2</v>
      </c>
      <c r="R8">
        <v>4.4691467665979701E-2</v>
      </c>
      <c r="S8">
        <v>4.4691467665979701E-2</v>
      </c>
      <c r="T8">
        <v>-1.9638594661004E-2</v>
      </c>
      <c r="U8">
        <v>0.94507769820284204</v>
      </c>
      <c r="V8">
        <v>6.7339585910992303E-2</v>
      </c>
      <c r="Y8" s="1">
        <v>36708</v>
      </c>
      <c r="Z8" s="4">
        <f t="shared" si="1"/>
        <v>4.1810538887450101E-2</v>
      </c>
      <c r="AA8" s="4" t="e">
        <f t="shared" si="2"/>
        <v>#N/A</v>
      </c>
      <c r="AC8" s="1">
        <v>36708</v>
      </c>
      <c r="AD8" s="4">
        <f t="shared" si="3"/>
        <v>6.7870463464704102E-3</v>
      </c>
      <c r="AE8" s="4" t="e">
        <f t="shared" si="4"/>
        <v>#N/A</v>
      </c>
      <c r="AG8" s="1">
        <v>36708</v>
      </c>
      <c r="AH8" s="4">
        <f t="shared" si="5"/>
        <v>6.9777018301337597E-3</v>
      </c>
      <c r="AI8" s="4" t="e">
        <f t="shared" si="6"/>
        <v>#N/A</v>
      </c>
      <c r="AK8" s="1">
        <v>36708</v>
      </c>
      <c r="AL8" s="4">
        <f t="shared" si="7"/>
        <v>6.7870463464704102E-3</v>
      </c>
      <c r="AM8" s="4" t="e">
        <f t="shared" si="8"/>
        <v>#N/A</v>
      </c>
      <c r="AO8" s="1">
        <v>36708</v>
      </c>
      <c r="AP8" s="4">
        <f t="shared" si="9"/>
        <v>7.480476980748E-3</v>
      </c>
      <c r="AQ8" s="4" t="e">
        <f t="shared" si="10"/>
        <v>#N/A</v>
      </c>
    </row>
    <row r="9" spans="1:43" x14ac:dyDescent="0.25">
      <c r="A9" s="1">
        <v>37012</v>
      </c>
      <c r="B9" s="4">
        <v>5.1094253121851597E-2</v>
      </c>
      <c r="C9" s="4">
        <v>1.2129221223235599E-2</v>
      </c>
      <c r="D9" s="4">
        <v>1.18072761599412E-4</v>
      </c>
      <c r="E9" s="4">
        <v>4.4080497663780797E-3</v>
      </c>
      <c r="F9" s="4">
        <v>-1.46410224383272E-4</v>
      </c>
      <c r="G9" s="4">
        <v>7.6841753248897901E-3</v>
      </c>
      <c r="H9" s="4">
        <v>2.41931088517197E-2</v>
      </c>
      <c r="I9" s="4">
        <v>0.99565407224925795</v>
      </c>
      <c r="J9" s="4">
        <v>6.5464261941178506E-2</v>
      </c>
      <c r="K9" s="4">
        <v>7.6715808969858596E-3</v>
      </c>
      <c r="L9" s="4">
        <v>2.0961850942615699E-3</v>
      </c>
      <c r="M9" s="4">
        <v>1.0708861001816801</v>
      </c>
      <c r="N9" s="4">
        <f t="shared" si="0"/>
        <v>4.4012617918911534E-3</v>
      </c>
      <c r="P9" s="1">
        <v>36647</v>
      </c>
      <c r="Q9">
        <v>4.4340743021100401E-2</v>
      </c>
      <c r="R9">
        <v>7.3383258395262205E-2</v>
      </c>
      <c r="S9">
        <v>7.3383258395262205E-2</v>
      </c>
      <c r="T9">
        <v>-1.33288060254964E-2</v>
      </c>
      <c r="U9">
        <v>0.97734777889555302</v>
      </c>
      <c r="V9">
        <v>5.1575715797219602E-3</v>
      </c>
      <c r="Y9" s="1">
        <v>36739</v>
      </c>
      <c r="Z9" s="4">
        <f t="shared" si="1"/>
        <v>3.7035505994161701E-2</v>
      </c>
      <c r="AA9" s="4" t="e">
        <f t="shared" si="2"/>
        <v>#N/A</v>
      </c>
      <c r="AC9" s="1">
        <v>36739</v>
      </c>
      <c r="AD9" s="4">
        <f t="shared" si="3"/>
        <v>8.3448406889635507E-2</v>
      </c>
      <c r="AE9" s="4" t="e">
        <f t="shared" si="4"/>
        <v>#N/A</v>
      </c>
      <c r="AG9" s="1">
        <v>36739</v>
      </c>
      <c r="AH9" s="4">
        <f t="shared" si="5"/>
        <v>1.51033542350051E-2</v>
      </c>
      <c r="AI9" s="4" t="e">
        <f t="shared" si="6"/>
        <v>#N/A</v>
      </c>
      <c r="AK9" s="1">
        <v>36739</v>
      </c>
      <c r="AL9" s="4">
        <f t="shared" si="7"/>
        <v>8.3448406889635507E-2</v>
      </c>
      <c r="AM9" s="4" t="e">
        <f t="shared" si="8"/>
        <v>#N/A</v>
      </c>
      <c r="AO9" s="1">
        <v>36739</v>
      </c>
      <c r="AP9" s="4">
        <f t="shared" si="9"/>
        <v>6.4310737830542503E-2</v>
      </c>
      <c r="AQ9" s="4" t="e">
        <f t="shared" si="10"/>
        <v>#N/A</v>
      </c>
    </row>
    <row r="10" spans="1:43" x14ac:dyDescent="0.25">
      <c r="A10" s="1">
        <v>37043</v>
      </c>
      <c r="B10" s="4">
        <v>5.3189327340314001E-2</v>
      </c>
      <c r="C10" s="4">
        <v>6.0913243000554097E-3</v>
      </c>
      <c r="D10" s="4">
        <v>0</v>
      </c>
      <c r="E10" s="4">
        <v>4.50089806803075E-3</v>
      </c>
      <c r="F10" s="4">
        <v>3.7330497587841202E-4</v>
      </c>
      <c r="G10" s="4">
        <v>2.99134096644802E-3</v>
      </c>
      <c r="H10" s="4">
        <v>1.3956868310412599E-2</v>
      </c>
      <c r="I10" s="4">
        <v>0.88925247867764801</v>
      </c>
      <c r="J10" s="4">
        <v>4.20086542549215E-2</v>
      </c>
      <c r="K10" s="4">
        <v>0</v>
      </c>
      <c r="L10" s="4">
        <v>0.134188843779979</v>
      </c>
      <c r="M10" s="4">
        <v>1.06544997671254</v>
      </c>
      <c r="N10" s="4">
        <f t="shared" si="0"/>
        <v>1.6962189381866111E-3</v>
      </c>
      <c r="P10" s="1">
        <v>36678</v>
      </c>
      <c r="Q10">
        <v>4.5407847482043497E-2</v>
      </c>
      <c r="R10">
        <v>8.0169136689599102E-2</v>
      </c>
      <c r="S10">
        <v>8.0169136689599102E-2</v>
      </c>
      <c r="T10">
        <v>-1.5019502151940501E-2</v>
      </c>
      <c r="U10">
        <v>0.90458556274283297</v>
      </c>
      <c r="V10">
        <v>7.2817607399924295E-2</v>
      </c>
      <c r="Y10" s="1">
        <v>36770</v>
      </c>
      <c r="Z10" s="4">
        <f t="shared" si="1"/>
        <v>3.5177554102509397E-2</v>
      </c>
      <c r="AA10" s="4">
        <f t="shared" si="2"/>
        <v>4.4129954113061497E-2</v>
      </c>
      <c r="AC10" s="1">
        <v>36770</v>
      </c>
      <c r="AD10" s="4">
        <f t="shared" si="3"/>
        <v>0.10003842020208099</v>
      </c>
      <c r="AE10" s="4">
        <f t="shared" si="4"/>
        <v>0</v>
      </c>
      <c r="AG10" s="1">
        <v>36770</v>
      </c>
      <c r="AH10" s="4">
        <f t="shared" si="5"/>
        <v>1.12465530029632E-2</v>
      </c>
      <c r="AI10" s="4">
        <f t="shared" si="6"/>
        <v>4.6020586371721597E-3</v>
      </c>
      <c r="AK10" s="1">
        <v>36770</v>
      </c>
      <c r="AL10" s="4">
        <f t="shared" si="7"/>
        <v>0.10003842020208099</v>
      </c>
      <c r="AM10" s="4">
        <f t="shared" si="8"/>
        <v>0</v>
      </c>
      <c r="AO10" s="1">
        <v>36770</v>
      </c>
      <c r="AP10" s="4">
        <f t="shared" si="9"/>
        <v>1.5723280265356899E-2</v>
      </c>
      <c r="AQ10" s="4">
        <f t="shared" si="10"/>
        <v>-3.8746714858861608E-3</v>
      </c>
    </row>
    <row r="11" spans="1:43" x14ac:dyDescent="0.25">
      <c r="A11" s="1">
        <v>37073</v>
      </c>
      <c r="B11" s="4">
        <v>4.9343683866645498E-2</v>
      </c>
      <c r="C11" s="4">
        <v>9.0052601426633908E-3</v>
      </c>
      <c r="D11" s="4">
        <v>6.2719920348462005E-4</v>
      </c>
      <c r="E11" s="4">
        <v>5.1616393779595499E-3</v>
      </c>
      <c r="F11" s="4">
        <v>5.1016203154251403E-4</v>
      </c>
      <c r="G11" s="4">
        <v>1.5911053477873E-3</v>
      </c>
      <c r="H11" s="4">
        <v>1.6895366103437299E-2</v>
      </c>
      <c r="I11" s="4">
        <v>0.977928397882594</v>
      </c>
      <c r="J11" s="4">
        <v>6.7728511116958795E-2</v>
      </c>
      <c r="K11" s="4">
        <v>8.69616197061116E-3</v>
      </c>
      <c r="L11" s="4">
        <v>6.6621159413198904E-4</v>
      </c>
      <c r="M11" s="4">
        <v>1.0550192825642899</v>
      </c>
      <c r="N11" s="4">
        <f t="shared" si="0"/>
        <v>1.1219767405793002E-2</v>
      </c>
      <c r="P11" s="1">
        <v>36708</v>
      </c>
      <c r="Q11">
        <v>4.1810538887450101E-2</v>
      </c>
      <c r="R11">
        <v>6.7870463464704102E-3</v>
      </c>
      <c r="S11">
        <v>6.7870463464704102E-3</v>
      </c>
      <c r="T11">
        <v>-6.9777018301337597E-3</v>
      </c>
      <c r="U11">
        <v>1.03154244763798</v>
      </c>
      <c r="V11">
        <v>7.480476980748E-3</v>
      </c>
      <c r="Y11" s="1">
        <v>36800</v>
      </c>
      <c r="Z11" s="4">
        <f t="shared" si="1"/>
        <v>4.6182746578030197E-2</v>
      </c>
      <c r="AA11" s="4" t="e">
        <f t="shared" si="2"/>
        <v>#N/A</v>
      </c>
      <c r="AC11" s="1">
        <v>36800</v>
      </c>
      <c r="AD11" s="4">
        <f t="shared" si="3"/>
        <v>7.4782627424863302E-2</v>
      </c>
      <c r="AE11" s="4" t="e">
        <f t="shared" si="4"/>
        <v>#N/A</v>
      </c>
      <c r="AG11" s="1">
        <v>36800</v>
      </c>
      <c r="AH11" s="4">
        <f t="shared" si="5"/>
        <v>1.0006782721863901E-2</v>
      </c>
      <c r="AI11" s="4" t="e">
        <f t="shared" si="6"/>
        <v>#N/A</v>
      </c>
      <c r="AK11" s="1">
        <v>36800</v>
      </c>
      <c r="AL11" s="4">
        <f t="shared" si="7"/>
        <v>7.4782627424863302E-2</v>
      </c>
      <c r="AM11" s="4" t="e">
        <f t="shared" si="8"/>
        <v>#N/A</v>
      </c>
      <c r="AO11" s="1">
        <v>36800</v>
      </c>
      <c r="AP11" s="4">
        <f t="shared" si="9"/>
        <v>-1.5436133135533401E-3</v>
      </c>
      <c r="AQ11" s="4" t="e">
        <f t="shared" si="10"/>
        <v>#N/A</v>
      </c>
    </row>
    <row r="12" spans="1:43" x14ac:dyDescent="0.25">
      <c r="A12" s="1">
        <v>37104</v>
      </c>
      <c r="B12" s="4">
        <v>5.26848283516596E-2</v>
      </c>
      <c r="C12" s="4">
        <v>8.8165346986845104E-3</v>
      </c>
      <c r="D12" s="4">
        <v>5.9504171194721097E-4</v>
      </c>
      <c r="E12" s="4">
        <v>4.80610613495824E-3</v>
      </c>
      <c r="F12" s="4">
        <v>1.3674516264940699E-3</v>
      </c>
      <c r="G12" s="4">
        <v>4.4281020730738297E-3</v>
      </c>
      <c r="H12" s="4">
        <v>2.0013236245157801E-2</v>
      </c>
      <c r="I12" s="4">
        <v>0.93753131955324798</v>
      </c>
      <c r="J12" s="4">
        <v>9.0020275092742102E-2</v>
      </c>
      <c r="K12" s="4">
        <v>7.86256077459478E-3</v>
      </c>
      <c r="L12" s="4">
        <v>8.9828412284338605E-3</v>
      </c>
      <c r="M12" s="4">
        <v>1.0443969966490101</v>
      </c>
      <c r="N12" s="4">
        <f t="shared" si="0"/>
        <v>2.830106794780729E-2</v>
      </c>
      <c r="P12" s="1">
        <v>36739</v>
      </c>
      <c r="Q12">
        <v>3.7035505994161701E-2</v>
      </c>
      <c r="R12">
        <v>8.3448406889635507E-2</v>
      </c>
      <c r="S12">
        <v>8.3448406889635507E-2</v>
      </c>
      <c r="T12">
        <v>-1.51033542350051E-2</v>
      </c>
      <c r="U12">
        <v>0.89767900156358305</v>
      </c>
      <c r="V12">
        <v>6.4310737830542503E-2</v>
      </c>
      <c r="Y12" s="1">
        <v>36831</v>
      </c>
      <c r="Z12" s="4">
        <f t="shared" si="1"/>
        <v>4.3445279863390099E-2</v>
      </c>
      <c r="AA12" s="4">
        <f t="shared" si="2"/>
        <v>2.74999999974418E-2</v>
      </c>
      <c r="AC12" s="1">
        <v>36831</v>
      </c>
      <c r="AD12" s="4">
        <f t="shared" si="3"/>
        <v>0.102526974190319</v>
      </c>
      <c r="AE12" s="4">
        <f t="shared" si="4"/>
        <v>9.0837209302325507E-3</v>
      </c>
      <c r="AG12" s="1">
        <v>36831</v>
      </c>
      <c r="AH12" s="4">
        <f t="shared" si="5"/>
        <v>3.3513044722183902E-2</v>
      </c>
      <c r="AI12" s="4">
        <f t="shared" si="6"/>
        <v>3.3348837209302299E-3</v>
      </c>
      <c r="AK12" s="1">
        <v>36831</v>
      </c>
      <c r="AL12" s="4">
        <f t="shared" si="7"/>
        <v>0.102526974190319</v>
      </c>
      <c r="AM12" s="4">
        <f t="shared" si="8"/>
        <v>7.5348837209302303E-4</v>
      </c>
      <c r="AO12" s="1">
        <v>36831</v>
      </c>
      <c r="AP12" s="4">
        <f t="shared" si="9"/>
        <v>3.0278266669152201E-2</v>
      </c>
      <c r="AQ12" s="4">
        <f t="shared" si="10"/>
        <v>6.0116279044220011E-3</v>
      </c>
    </row>
    <row r="13" spans="1:43" x14ac:dyDescent="0.25">
      <c r="A13" s="1">
        <v>37135</v>
      </c>
      <c r="B13" s="4">
        <v>4.3909285261945999E-2</v>
      </c>
      <c r="C13" s="4">
        <v>3.8946080903328002E-3</v>
      </c>
      <c r="D13" s="4">
        <v>2.2456244477431599E-4</v>
      </c>
      <c r="E13" s="4">
        <v>3.6963542164943899E-3</v>
      </c>
      <c r="F13" s="4">
        <v>1.6461648671322201E-3</v>
      </c>
      <c r="G13" s="4">
        <v>9.6402120643702298E-4</v>
      </c>
      <c r="H13" s="4">
        <v>1.04257108251707E-2</v>
      </c>
      <c r="I13" s="4">
        <v>0.94124644033290294</v>
      </c>
      <c r="J13" s="4">
        <v>8.5172119221348194E-2</v>
      </c>
      <c r="K13" s="4">
        <v>1.4610652787617601E-3</v>
      </c>
      <c r="L13" s="4">
        <v>1.5653599706862301E-3</v>
      </c>
      <c r="M13" s="4">
        <v>1.02944498480369</v>
      </c>
      <c r="N13" s="4">
        <f t="shared" si="0"/>
        <v>2.4890011283426716E-2</v>
      </c>
      <c r="P13" s="1">
        <v>36770</v>
      </c>
      <c r="Q13">
        <v>3.5177554102509397E-2</v>
      </c>
      <c r="R13">
        <v>0.10003842020208099</v>
      </c>
      <c r="S13">
        <v>0.10003842020208099</v>
      </c>
      <c r="T13">
        <v>-1.12465530029632E-2</v>
      </c>
      <c r="U13">
        <v>0.92793581165161099</v>
      </c>
      <c r="V13">
        <v>1.5723280265356899E-2</v>
      </c>
      <c r="Y13" s="1">
        <v>36861</v>
      </c>
      <c r="Z13" s="4">
        <f t="shared" si="1"/>
        <v>4.1650472098611502E-2</v>
      </c>
      <c r="AA13" s="4">
        <f t="shared" si="2"/>
        <v>5.5E-2</v>
      </c>
      <c r="AC13" s="1">
        <v>36861</v>
      </c>
      <c r="AD13" s="4">
        <f t="shared" si="3"/>
        <v>0.10886304664456201</v>
      </c>
      <c r="AE13" s="4">
        <f t="shared" si="4"/>
        <v>8.7181168126445094E-2</v>
      </c>
      <c r="AG13" s="1">
        <v>36861</v>
      </c>
      <c r="AH13" s="4">
        <f t="shared" si="5"/>
        <v>2.3715565854325001E-2</v>
      </c>
      <c r="AI13" s="4">
        <f t="shared" si="6"/>
        <v>2.33632986525905E-2</v>
      </c>
      <c r="AK13" s="1">
        <v>36861</v>
      </c>
      <c r="AL13" s="4">
        <f t="shared" si="7"/>
        <v>0.10886304664456201</v>
      </c>
      <c r="AM13" s="4">
        <f t="shared" si="8"/>
        <v>3.8344889185764801E-3</v>
      </c>
      <c r="AO13" s="1">
        <v>36861</v>
      </c>
      <c r="AP13" s="4">
        <f t="shared" si="9"/>
        <v>1.2636551846119301E-2</v>
      </c>
      <c r="AQ13" s="4">
        <f t="shared" si="10"/>
        <v>3.2880681894806862E-3</v>
      </c>
    </row>
    <row r="14" spans="1:43" x14ac:dyDescent="0.25">
      <c r="A14" s="1">
        <v>37165</v>
      </c>
      <c r="B14" s="4">
        <v>5.3365177334519197E-2</v>
      </c>
      <c r="C14" s="4">
        <v>6.5443843541836298E-3</v>
      </c>
      <c r="D14" s="4">
        <v>6.2819674173864205E-5</v>
      </c>
      <c r="E14" s="4">
        <v>2.22764802034979E-3</v>
      </c>
      <c r="F14" s="4">
        <v>-1.6417765909977899E-3</v>
      </c>
      <c r="G14" s="4">
        <v>4.0391713904982503E-3</v>
      </c>
      <c r="H14" s="4">
        <v>1.12322468482077E-2</v>
      </c>
      <c r="I14" s="4">
        <v>0.92146437596967201</v>
      </c>
      <c r="J14" s="4">
        <v>4.5946577008526703E-2</v>
      </c>
      <c r="K14" s="4">
        <v>6.0687815018389497E-2</v>
      </c>
      <c r="L14" s="4">
        <v>3.7139793324875797E-2</v>
      </c>
      <c r="M14" s="4">
        <v>1.0652385613214601</v>
      </c>
      <c r="N14" s="4">
        <f t="shared" si="0"/>
        <v>-6.4113713873314992E-4</v>
      </c>
      <c r="P14" s="1">
        <v>36800</v>
      </c>
      <c r="Q14">
        <v>4.6182746578030197E-2</v>
      </c>
      <c r="R14">
        <v>7.4782627424863302E-2</v>
      </c>
      <c r="S14">
        <v>7.4782627424863302E-2</v>
      </c>
      <c r="T14">
        <v>-1.0006782721863901E-2</v>
      </c>
      <c r="U14">
        <v>0.96486170312741903</v>
      </c>
      <c r="V14">
        <v>-1.5436133135533401E-3</v>
      </c>
      <c r="Y14" s="1">
        <v>36892</v>
      </c>
      <c r="Z14" s="4">
        <f t="shared" si="1"/>
        <v>3.6827344684935502E-2</v>
      </c>
      <c r="AA14" s="4">
        <f t="shared" si="2"/>
        <v>4.7935436170418101E-2</v>
      </c>
      <c r="AC14" s="1">
        <v>36892</v>
      </c>
      <c r="AD14" s="4">
        <f t="shared" si="3"/>
        <v>4.2253928266224601E-2</v>
      </c>
      <c r="AE14" s="4">
        <f t="shared" si="4"/>
        <v>0.105282201122482</v>
      </c>
      <c r="AG14" s="1">
        <v>36892</v>
      </c>
      <c r="AH14" s="4">
        <f t="shared" si="5"/>
        <v>1.04611827908038E-2</v>
      </c>
      <c r="AI14" s="4">
        <f t="shared" si="6"/>
        <v>1.10358292314836E-2</v>
      </c>
      <c r="AK14" s="1">
        <v>36892</v>
      </c>
      <c r="AL14" s="4">
        <f t="shared" si="7"/>
        <v>4.2253928266224601E-2</v>
      </c>
      <c r="AM14" s="4">
        <f t="shared" si="8"/>
        <v>0</v>
      </c>
      <c r="AO14" s="1">
        <v>36892</v>
      </c>
      <c r="AP14" s="4">
        <f t="shared" si="9"/>
        <v>3.3547024071042902E-2</v>
      </c>
      <c r="AQ14" s="4">
        <f t="shared" si="10"/>
        <v>-8.0309083135883252E-3</v>
      </c>
    </row>
    <row r="15" spans="1:43" x14ac:dyDescent="0.25">
      <c r="A15" s="1">
        <v>37196</v>
      </c>
      <c r="B15" s="4">
        <v>5.81150634309704E-2</v>
      </c>
      <c r="C15" s="4">
        <v>9.0273557650401293E-3</v>
      </c>
      <c r="D15" s="4">
        <v>2.1686472850032299E-4</v>
      </c>
      <c r="E15" s="4">
        <v>3.6650139116554598E-3</v>
      </c>
      <c r="F15" s="4">
        <v>-3.3217893346822801E-3</v>
      </c>
      <c r="G15" s="4">
        <v>5.0532373270288696E-3</v>
      </c>
      <c r="H15" s="4">
        <v>1.4640682397542499E-2</v>
      </c>
      <c r="I15" s="4">
        <v>0.98597433151483505</v>
      </c>
      <c r="J15" s="4">
        <v>6.6655832104830698E-2</v>
      </c>
      <c r="K15" s="4">
        <v>6.1057541426837699E-3</v>
      </c>
      <c r="L15" s="4">
        <v>9.7808884083359204E-3</v>
      </c>
      <c r="M15" s="4">
        <v>1.06851680617068</v>
      </c>
      <c r="N15" s="4">
        <f t="shared" si="0"/>
        <v>4.2389396578328409E-3</v>
      </c>
      <c r="P15" s="1">
        <v>36831</v>
      </c>
      <c r="Q15">
        <v>4.3445279863390099E-2</v>
      </c>
      <c r="R15">
        <v>0.102526974190319</v>
      </c>
      <c r="S15">
        <v>0.102526974190319</v>
      </c>
      <c r="T15">
        <v>-3.3513044722183902E-2</v>
      </c>
      <c r="U15">
        <v>0.92172157055494996</v>
      </c>
      <c r="V15">
        <v>3.0278266669152201E-2</v>
      </c>
      <c r="Y15" s="1">
        <v>36923</v>
      </c>
      <c r="Z15" s="4">
        <f t="shared" si="1"/>
        <v>4.2129877966118098E-2</v>
      </c>
      <c r="AA15" s="4">
        <f t="shared" si="2"/>
        <v>5.1101428975710503E-2</v>
      </c>
      <c r="AC15" s="1">
        <v>36923</v>
      </c>
      <c r="AD15" s="4">
        <f t="shared" si="3"/>
        <v>5.5779109091734197E-2</v>
      </c>
      <c r="AE15" s="4">
        <f t="shared" si="4"/>
        <v>0</v>
      </c>
      <c r="AG15" s="1">
        <v>36923</v>
      </c>
      <c r="AH15" s="4">
        <f t="shared" si="5"/>
        <v>2.3132487389163799E-2</v>
      </c>
      <c r="AI15" s="4">
        <f t="shared" si="6"/>
        <v>8.1083977931879303E-4</v>
      </c>
      <c r="AK15" s="1">
        <v>36923</v>
      </c>
      <c r="AL15" s="4">
        <f t="shared" si="7"/>
        <v>5.5779109091734197E-2</v>
      </c>
      <c r="AM15" s="4">
        <f t="shared" si="8"/>
        <v>0.32021302993196898</v>
      </c>
      <c r="AO15" s="1">
        <v>36923</v>
      </c>
      <c r="AP15" s="4">
        <f t="shared" si="9"/>
        <v>3.62547858736652E-2</v>
      </c>
      <c r="AQ15" s="4">
        <f t="shared" si="10"/>
        <v>-1.4163010376806451E-3</v>
      </c>
    </row>
    <row r="16" spans="1:43" x14ac:dyDescent="0.25">
      <c r="A16" s="1">
        <v>37226</v>
      </c>
      <c r="B16" s="4">
        <v>4.9023505181772002E-2</v>
      </c>
      <c r="C16" s="4">
        <v>8.0321208299236092E-3</v>
      </c>
      <c r="D16" s="4">
        <v>1.6519894879815799E-4</v>
      </c>
      <c r="E16" s="4">
        <v>4.1916151187592499E-3</v>
      </c>
      <c r="F16" s="4">
        <v>-1.59725192584249E-3</v>
      </c>
      <c r="G16" s="4">
        <v>6.64740844716173E-3</v>
      </c>
      <c r="H16" s="4">
        <v>1.74390914188002E-2</v>
      </c>
      <c r="I16" s="4">
        <v>0.94590205860278298</v>
      </c>
      <c r="J16" s="4">
        <v>9.2434482861259895E-2</v>
      </c>
      <c r="K16" s="4">
        <v>7.8294439106518406E-3</v>
      </c>
      <c r="L16" s="4">
        <v>2.3739335507890601E-3</v>
      </c>
      <c r="M16" s="4">
        <v>1.04853991892548</v>
      </c>
      <c r="N16" s="4">
        <f t="shared" si="0"/>
        <v>1.7922677675092258E-2</v>
      </c>
      <c r="P16" s="1">
        <v>36861</v>
      </c>
      <c r="Q16">
        <v>4.1650472098611502E-2</v>
      </c>
      <c r="R16">
        <v>0.10886304664456201</v>
      </c>
      <c r="S16">
        <v>0.10886304664456201</v>
      </c>
      <c r="T16">
        <v>-2.3715565854325001E-2</v>
      </c>
      <c r="U16">
        <v>0.94026127199624698</v>
      </c>
      <c r="V16">
        <v>1.2636551846119301E-2</v>
      </c>
      <c r="Y16" s="1">
        <v>36951</v>
      </c>
      <c r="Z16" s="4">
        <f t="shared" si="1"/>
        <v>5.26780595043599E-2</v>
      </c>
      <c r="AA16" s="4">
        <f t="shared" si="2"/>
        <v>5.4557556739024501E-2</v>
      </c>
      <c r="AC16" s="1">
        <v>36951</v>
      </c>
      <c r="AD16" s="4">
        <f t="shared" si="3"/>
        <v>8.1185882259723299E-2</v>
      </c>
      <c r="AE16" s="4">
        <f t="shared" si="4"/>
        <v>3.49391783730333E-2</v>
      </c>
      <c r="AG16" s="1">
        <v>36951</v>
      </c>
      <c r="AH16" s="4">
        <f t="shared" si="5"/>
        <v>1.6607763731887E-2</v>
      </c>
      <c r="AI16" s="4">
        <f t="shared" si="6"/>
        <v>1.0042773770004201E-2</v>
      </c>
      <c r="AK16" s="1">
        <v>36951</v>
      </c>
      <c r="AL16" s="4">
        <f t="shared" si="7"/>
        <v>8.1185882259723299E-2</v>
      </c>
      <c r="AM16" s="4">
        <f t="shared" si="8"/>
        <v>1.8070476386755801E-3</v>
      </c>
      <c r="AO16" s="1">
        <v>36951</v>
      </c>
      <c r="AP16" s="4">
        <f t="shared" si="9"/>
        <v>1.7526539532752201E-2</v>
      </c>
      <c r="AQ16" s="4">
        <f t="shared" si="10"/>
        <v>-1.9227243511591219E-2</v>
      </c>
    </row>
    <row r="17" spans="1:62" x14ac:dyDescent="0.25">
      <c r="A17" s="1">
        <v>37257</v>
      </c>
      <c r="B17" s="4">
        <v>6.2064382162580901E-2</v>
      </c>
      <c r="C17" s="4">
        <v>1.0969610661991499E-2</v>
      </c>
      <c r="D17" s="4">
        <v>2.6996007061159499E-4</v>
      </c>
      <c r="E17" s="4">
        <v>4.4760218961507996E-3</v>
      </c>
      <c r="F17" s="4">
        <v>1.60409434703304E-3</v>
      </c>
      <c r="G17" s="4">
        <v>9.3965687168630803E-3</v>
      </c>
      <c r="H17" s="4">
        <v>2.6716255692650102E-2</v>
      </c>
      <c r="I17" s="4">
        <v>0.94200510467357601</v>
      </c>
      <c r="J17" s="4">
        <v>0.108588011449249</v>
      </c>
      <c r="K17" s="4">
        <v>0</v>
      </c>
      <c r="L17" s="4">
        <v>3.6903681528289302E-2</v>
      </c>
      <c r="M17" s="4">
        <v>1.0874967976511101</v>
      </c>
      <c r="N17" s="4">
        <f t="shared" si="0"/>
        <v>1.2838402041208674E-3</v>
      </c>
      <c r="P17" s="1">
        <v>36892</v>
      </c>
      <c r="Q17">
        <v>3.6827344684935502E-2</v>
      </c>
      <c r="R17">
        <v>4.2253928266224601E-2</v>
      </c>
      <c r="S17">
        <v>4.2253928266224601E-2</v>
      </c>
      <c r="T17">
        <v>-1.04611827908038E-2</v>
      </c>
      <c r="U17">
        <v>0.96714168034263104</v>
      </c>
      <c r="V17">
        <v>3.3547024071042902E-2</v>
      </c>
      <c r="Y17" s="1">
        <v>36982</v>
      </c>
      <c r="Z17" s="4">
        <f t="shared" si="1"/>
        <v>5.1320028073231098E-2</v>
      </c>
      <c r="AA17" s="4">
        <f t="shared" si="2"/>
        <v>4.0534154564915999E-2</v>
      </c>
      <c r="AC17" s="1">
        <v>36982</v>
      </c>
      <c r="AD17" s="4">
        <f t="shared" si="3"/>
        <v>0.10916436437058499</v>
      </c>
      <c r="AE17" s="4">
        <f t="shared" si="4"/>
        <v>0.13268365804533799</v>
      </c>
      <c r="AG17" s="1">
        <v>36982</v>
      </c>
      <c r="AH17" s="4">
        <f t="shared" si="5"/>
        <v>1.97583093588303E-2</v>
      </c>
      <c r="AI17" s="4">
        <f t="shared" si="6"/>
        <v>1.3828231063745601E-2</v>
      </c>
      <c r="AK17" s="1">
        <v>36982</v>
      </c>
      <c r="AL17" s="4">
        <f t="shared" si="7"/>
        <v>0.10916436437058499</v>
      </c>
      <c r="AM17" s="4">
        <f t="shared" si="8"/>
        <v>1.63110351108961E-4</v>
      </c>
      <c r="AO17" s="1">
        <v>36982</v>
      </c>
      <c r="AP17" s="4">
        <f t="shared" si="9"/>
        <v>3.85107917461666E-3</v>
      </c>
      <c r="AQ17" s="4">
        <f t="shared" si="10"/>
        <v>5.3071415017116319E-3</v>
      </c>
    </row>
    <row r="18" spans="1:62" x14ac:dyDescent="0.25">
      <c r="A18" s="1">
        <v>37288</v>
      </c>
      <c r="B18" s="4">
        <v>6.1979930375563E-2</v>
      </c>
      <c r="C18" s="4">
        <v>7.94342875753664E-3</v>
      </c>
      <c r="D18" s="4">
        <v>3.91183147154976E-4</v>
      </c>
      <c r="E18" s="4">
        <v>2.7452813309285602E-3</v>
      </c>
      <c r="F18" s="4">
        <v>4.0557059888930502E-4</v>
      </c>
      <c r="G18" s="4">
        <v>3.9386621247840502E-3</v>
      </c>
      <c r="H18" s="4">
        <v>1.5424125959293499E-2</v>
      </c>
      <c r="I18" s="4">
        <v>1.0287969007158</v>
      </c>
      <c r="J18" s="4">
        <v>4.0720376908617399E-2</v>
      </c>
      <c r="K18" s="4">
        <v>0</v>
      </c>
      <c r="L18" s="4">
        <v>8.5663665326283697E-4</v>
      </c>
      <c r="M18" s="4">
        <v>1.07037391427768</v>
      </c>
      <c r="N18" s="4">
        <f t="shared" si="0"/>
        <v>7.0301420571765583E-3</v>
      </c>
      <c r="P18" s="1">
        <v>36923</v>
      </c>
      <c r="Q18">
        <v>4.2129877966118098E-2</v>
      </c>
      <c r="R18">
        <v>5.5779109091734197E-2</v>
      </c>
      <c r="S18">
        <v>5.5779109091734197E-2</v>
      </c>
      <c r="T18">
        <v>-2.3132487389163799E-2</v>
      </c>
      <c r="U18">
        <v>0.93052761644093096</v>
      </c>
      <c r="V18">
        <v>3.62547858736652E-2</v>
      </c>
      <c r="Y18" s="1">
        <v>37012</v>
      </c>
      <c r="Z18" s="4">
        <f t="shared" si="1"/>
        <v>5.2119089229904998E-2</v>
      </c>
      <c r="AA18" s="4">
        <f t="shared" si="2"/>
        <v>5.1094253121851597E-2</v>
      </c>
      <c r="AC18" s="1">
        <v>37012</v>
      </c>
      <c r="AD18" s="4">
        <f t="shared" si="3"/>
        <v>6.9216984244051594E-2</v>
      </c>
      <c r="AE18" s="4">
        <f t="shared" si="4"/>
        <v>6.5464261941178506E-2</v>
      </c>
      <c r="AG18" s="1">
        <v>37012</v>
      </c>
      <c r="AH18" s="4">
        <f t="shared" si="5"/>
        <v>1.57105176270044E-2</v>
      </c>
      <c r="AI18" s="4">
        <f t="shared" si="6"/>
        <v>2.41931088517197E-2</v>
      </c>
      <c r="AK18" s="1">
        <v>37012</v>
      </c>
      <c r="AL18" s="4">
        <f t="shared" si="7"/>
        <v>6.9216984244051594E-2</v>
      </c>
      <c r="AM18" s="4">
        <f t="shared" si="8"/>
        <v>9.7677659912474291E-3</v>
      </c>
      <c r="AO18" s="1">
        <v>37012</v>
      </c>
      <c r="AP18" s="4">
        <f t="shared" si="9"/>
        <v>5.1799936823791401E-3</v>
      </c>
      <c r="AQ18" s="4">
        <f t="shared" si="10"/>
        <v>4.4012617918911534E-3</v>
      </c>
    </row>
    <row r="19" spans="1:62" x14ac:dyDescent="0.25">
      <c r="A19" s="1">
        <v>37316</v>
      </c>
      <c r="B19" s="4">
        <v>5.4392775062895901E-2</v>
      </c>
      <c r="C19" s="4">
        <v>8.2348582291764897E-3</v>
      </c>
      <c r="D19" s="4">
        <v>6.4688738014698902E-5</v>
      </c>
      <c r="E19" s="4">
        <v>4.2850399903966302E-3</v>
      </c>
      <c r="F19" s="4">
        <v>2.07891846286454E-3</v>
      </c>
      <c r="G19" s="4">
        <v>4.2471689925112797E-3</v>
      </c>
      <c r="H19" s="4">
        <v>1.89106744129636E-2</v>
      </c>
      <c r="I19" s="4">
        <v>0.98262519206031895</v>
      </c>
      <c r="J19" s="4">
        <v>7.1368348517320296E-2</v>
      </c>
      <c r="K19" s="4">
        <v>5.8165503929182999E-5</v>
      </c>
      <c r="L19" s="4">
        <v>5.9660411740447101E-3</v>
      </c>
      <c r="M19" s="4">
        <v>1.06001774725561</v>
      </c>
      <c r="N19" s="4">
        <f t="shared" si="0"/>
        <v>1.3285702220249496E-2</v>
      </c>
      <c r="P19" s="1">
        <v>36951</v>
      </c>
      <c r="Q19">
        <v>5.26780595043599E-2</v>
      </c>
      <c r="R19">
        <v>8.1185882259723299E-2</v>
      </c>
      <c r="S19">
        <v>8.1185882259723299E-2</v>
      </c>
      <c r="T19">
        <v>-1.6607763731887E-2</v>
      </c>
      <c r="U19">
        <v>0.96094045389309701</v>
      </c>
      <c r="V19">
        <v>1.7526539532752201E-2</v>
      </c>
      <c r="Y19" s="1">
        <v>37043</v>
      </c>
      <c r="Z19" s="4">
        <f t="shared" si="1"/>
        <v>5.2504915702536202E-2</v>
      </c>
      <c r="AA19" s="4">
        <f t="shared" si="2"/>
        <v>5.3189327340314001E-2</v>
      </c>
      <c r="AC19" s="1">
        <v>37043</v>
      </c>
      <c r="AD19" s="4">
        <f t="shared" si="3"/>
        <v>4.34042955482652E-2</v>
      </c>
      <c r="AE19" s="4">
        <f t="shared" si="4"/>
        <v>4.20086542549215E-2</v>
      </c>
      <c r="AG19" s="1">
        <v>37043</v>
      </c>
      <c r="AH19" s="4">
        <f t="shared" si="5"/>
        <v>1.6513759766172802E-2</v>
      </c>
      <c r="AI19" s="4">
        <f t="shared" si="6"/>
        <v>1.3956868310412599E-2</v>
      </c>
      <c r="AK19" s="1">
        <v>37043</v>
      </c>
      <c r="AL19" s="4">
        <f t="shared" si="7"/>
        <v>4.34042955482652E-2</v>
      </c>
      <c r="AM19" s="4">
        <f t="shared" si="8"/>
        <v>0.134188843779979</v>
      </c>
      <c r="AO19" s="1">
        <v>37043</v>
      </c>
      <c r="AP19" s="4">
        <f t="shared" si="9"/>
        <v>1.51055778658848E-2</v>
      </c>
      <c r="AQ19" s="4">
        <f t="shared" si="10"/>
        <v>1.6962189381866111E-3</v>
      </c>
    </row>
    <row r="20" spans="1:62" x14ac:dyDescent="0.25">
      <c r="A20" s="1">
        <v>37347</v>
      </c>
      <c r="B20" s="4">
        <v>5.5124486834301101E-2</v>
      </c>
      <c r="C20" s="4">
        <v>5.1526973448397503E-2</v>
      </c>
      <c r="D20" s="4">
        <v>2.1382763925468202E-5</v>
      </c>
      <c r="E20" s="4">
        <v>4.0873247857532201E-3</v>
      </c>
      <c r="F20" s="4">
        <v>2.5337629111683098E-4</v>
      </c>
      <c r="G20" s="4">
        <v>6.1035491187254598E-3</v>
      </c>
      <c r="H20" s="4">
        <v>6.1992606407918503E-2</v>
      </c>
      <c r="I20" s="4">
        <v>0.952198888013015</v>
      </c>
      <c r="J20" s="4">
        <v>6.4820997314059894E-2</v>
      </c>
      <c r="K20" s="4">
        <v>9.6920688982173195E-2</v>
      </c>
      <c r="L20" s="4">
        <v>9.5281974507885094E-3</v>
      </c>
      <c r="M20" s="4">
        <v>1.12346877176003</v>
      </c>
      <c r="N20" s="4">
        <f t="shared" si="0"/>
        <v>-6.3516785178103774E-3</v>
      </c>
      <c r="P20" s="1">
        <v>36982</v>
      </c>
      <c r="Q20">
        <v>5.1320028073231098E-2</v>
      </c>
      <c r="R20">
        <v>0.10916436437058499</v>
      </c>
      <c r="S20">
        <v>0.10916436437058499</v>
      </c>
      <c r="T20">
        <v>-1.97583093588303E-2</v>
      </c>
      <c r="U20">
        <v>0.944119676417563</v>
      </c>
      <c r="V20">
        <v>3.85107917461666E-3</v>
      </c>
      <c r="Y20" s="1">
        <v>37073</v>
      </c>
      <c r="Z20" s="4">
        <f t="shared" si="1"/>
        <v>4.5508380484793699E-2</v>
      </c>
      <c r="AA20" s="4">
        <f t="shared" si="2"/>
        <v>4.9343683866645498E-2</v>
      </c>
      <c r="AC20" s="1">
        <v>37073</v>
      </c>
      <c r="AD20" s="4">
        <f t="shared" si="3"/>
        <v>4.6695289696493697E-2</v>
      </c>
      <c r="AE20" s="4">
        <f t="shared" si="4"/>
        <v>6.7728511116958795E-2</v>
      </c>
      <c r="AG20" s="1">
        <v>37073</v>
      </c>
      <c r="AH20" s="4">
        <f t="shared" si="5"/>
        <v>2.15418581503115E-2</v>
      </c>
      <c r="AI20" s="4">
        <f t="shared" si="6"/>
        <v>1.6895366103437299E-2</v>
      </c>
      <c r="AK20" s="1">
        <v>37073</v>
      </c>
      <c r="AL20" s="4">
        <f t="shared" si="7"/>
        <v>4.6695289696493697E-2</v>
      </c>
      <c r="AM20" s="4">
        <f t="shared" si="8"/>
        <v>9.3623735647431483E-3</v>
      </c>
      <c r="AO20" s="1">
        <v>37073</v>
      </c>
      <c r="AP20" s="4">
        <f t="shared" si="9"/>
        <v>6.1106573533639401E-2</v>
      </c>
      <c r="AQ20" s="4">
        <f t="shared" si="10"/>
        <v>1.1219767405793002E-2</v>
      </c>
    </row>
    <row r="21" spans="1:62" x14ac:dyDescent="0.25">
      <c r="A21" s="1">
        <v>37377</v>
      </c>
      <c r="B21" s="4">
        <v>5.4335369438313297E-2</v>
      </c>
      <c r="C21" s="4">
        <v>9.1492365510510605E-3</v>
      </c>
      <c r="D21" s="4">
        <v>2.5247507327724901E-4</v>
      </c>
      <c r="E21" s="4">
        <v>3.3889027281014902E-3</v>
      </c>
      <c r="F21" s="4">
        <v>1.02635339765359E-3</v>
      </c>
      <c r="G21" s="4">
        <v>5.4708756651207502E-3</v>
      </c>
      <c r="H21" s="4">
        <v>1.9287843415204099E-2</v>
      </c>
      <c r="I21" s="4">
        <v>0.99447805564560499</v>
      </c>
      <c r="J21" s="4">
        <v>7.2508686125338895E-2</v>
      </c>
      <c r="K21" s="4">
        <v>0</v>
      </c>
      <c r="L21" s="4">
        <v>2.2415534908323299E-3</v>
      </c>
      <c r="M21" s="4">
        <v>1.06922829526177</v>
      </c>
      <c r="N21" s="4">
        <f t="shared" si="0"/>
        <v>4.3949175917474825E-3</v>
      </c>
      <c r="P21" s="1">
        <v>37012</v>
      </c>
      <c r="Q21">
        <v>5.2119089229904998E-2</v>
      </c>
      <c r="R21">
        <v>6.9216984244051594E-2</v>
      </c>
      <c r="S21">
        <v>6.9216984244051594E-2</v>
      </c>
      <c r="T21">
        <v>-1.57105176270044E-2</v>
      </c>
      <c r="U21">
        <v>0.99068998906512895</v>
      </c>
      <c r="V21">
        <v>5.1799936823791401E-3</v>
      </c>
      <c r="Y21" s="1">
        <v>37104</v>
      </c>
      <c r="Z21" s="4">
        <f t="shared" si="1"/>
        <v>4.8509411109113103E-2</v>
      </c>
      <c r="AA21" s="4">
        <f t="shared" si="2"/>
        <v>5.26848283516596E-2</v>
      </c>
      <c r="AC21" s="1">
        <v>37104</v>
      </c>
      <c r="AD21" s="4">
        <f t="shared" si="3"/>
        <v>6.4641640871308401E-2</v>
      </c>
      <c r="AE21" s="4">
        <f t="shared" si="4"/>
        <v>9.0020275092742102E-2</v>
      </c>
      <c r="AG21" s="1">
        <v>37104</v>
      </c>
      <c r="AH21" s="4">
        <f t="shared" si="5"/>
        <v>2.0739711765257601E-2</v>
      </c>
      <c r="AI21" s="4">
        <f t="shared" si="6"/>
        <v>2.0013236245157801E-2</v>
      </c>
      <c r="AK21" s="1">
        <v>37104</v>
      </c>
      <c r="AL21" s="4">
        <f t="shared" si="7"/>
        <v>6.4641640871308401E-2</v>
      </c>
      <c r="AM21" s="4">
        <f t="shared" si="8"/>
        <v>1.6845402003028642E-2</v>
      </c>
      <c r="AO21" s="1">
        <v>37104</v>
      </c>
      <c r="AP21" s="4">
        <f t="shared" si="9"/>
        <v>4.6663887745278097E-2</v>
      </c>
      <c r="AQ21" s="4">
        <f t="shared" si="10"/>
        <v>2.830106794780729E-2</v>
      </c>
    </row>
    <row r="22" spans="1:62" x14ac:dyDescent="0.25">
      <c r="A22" s="1">
        <v>37408</v>
      </c>
      <c r="B22" s="4">
        <v>6.8733293789509001E-2</v>
      </c>
      <c r="C22" s="4">
        <v>1.0599911757022001E-2</v>
      </c>
      <c r="D22" s="4">
        <v>1.4467812547159701E-4</v>
      </c>
      <c r="E22" s="4">
        <v>5.0292872187745899E-3</v>
      </c>
      <c r="F22" s="4">
        <v>2.59783353153346E-3</v>
      </c>
      <c r="G22" s="4">
        <v>7.4288772712392398E-3</v>
      </c>
      <c r="H22" s="4">
        <v>2.5800587904040901E-2</v>
      </c>
      <c r="I22" s="4">
        <v>1.00853674484996</v>
      </c>
      <c r="J22" s="4">
        <v>5.5312858669883003E-2</v>
      </c>
      <c r="K22" s="4">
        <v>0</v>
      </c>
      <c r="L22" s="4">
        <v>2.8313853626518999E-3</v>
      </c>
      <c r="M22" s="4">
        <v>1.06668098888249</v>
      </c>
      <c r="N22" s="4">
        <f t="shared" si="0"/>
        <v>2.7852892811059959E-2</v>
      </c>
      <c r="P22" s="1">
        <v>37043</v>
      </c>
      <c r="Q22">
        <v>5.2504915702536202E-2</v>
      </c>
      <c r="R22">
        <v>4.34042955482652E-2</v>
      </c>
      <c r="S22">
        <v>4.34042955482652E-2</v>
      </c>
      <c r="T22">
        <v>-1.6513759766172802E-2</v>
      </c>
      <c r="U22">
        <v>1.0064391897559399</v>
      </c>
      <c r="V22">
        <v>1.51055778658848E-2</v>
      </c>
      <c r="Y22" s="1">
        <v>37135</v>
      </c>
      <c r="Z22" s="4">
        <f t="shared" si="1"/>
        <v>5.19227273300987E-2</v>
      </c>
      <c r="AA22" s="4">
        <f t="shared" si="2"/>
        <v>4.3909285261945999E-2</v>
      </c>
      <c r="AC22" s="1">
        <v>37135</v>
      </c>
      <c r="AD22" s="4">
        <f t="shared" si="3"/>
        <v>5.84091775576914E-2</v>
      </c>
      <c r="AE22" s="4">
        <f t="shared" si="4"/>
        <v>8.5172119221348194E-2</v>
      </c>
      <c r="AG22" s="1">
        <v>37135</v>
      </c>
      <c r="AH22" s="4">
        <f t="shared" si="5"/>
        <v>1.51150850834004E-2</v>
      </c>
      <c r="AI22" s="4">
        <f t="shared" si="6"/>
        <v>1.04257108251707E-2</v>
      </c>
      <c r="AK22" s="1">
        <v>37135</v>
      </c>
      <c r="AL22" s="4">
        <f t="shared" si="7"/>
        <v>5.84091775576914E-2</v>
      </c>
      <c r="AM22" s="4">
        <f t="shared" si="8"/>
        <v>3.0264252494479902E-3</v>
      </c>
      <c r="AO22" s="1">
        <v>37135</v>
      </c>
      <c r="AP22" s="4">
        <f t="shared" si="9"/>
        <v>2.3054537080351201E-2</v>
      </c>
      <c r="AQ22" s="4">
        <f t="shared" si="10"/>
        <v>2.4890011283426716E-2</v>
      </c>
    </row>
    <row r="23" spans="1:62" x14ac:dyDescent="0.25">
      <c r="A23" s="1">
        <v>37438</v>
      </c>
      <c r="B23" s="4">
        <v>5.2582089756860101E-2</v>
      </c>
      <c r="C23" s="4">
        <v>8.98504684309211E-3</v>
      </c>
      <c r="D23" s="4">
        <v>9.2911455421166401E-5</v>
      </c>
      <c r="E23" s="4">
        <v>3.29962942711471E-3</v>
      </c>
      <c r="F23" s="4">
        <v>9.0124111758531399E-4</v>
      </c>
      <c r="G23" s="4">
        <v>4.5787528887348697E-3</v>
      </c>
      <c r="H23" s="4">
        <v>1.78575817319481E-2</v>
      </c>
      <c r="I23" s="4">
        <v>0.98478646192019503</v>
      </c>
      <c r="J23" s="4">
        <v>5.3505670761588402E-2</v>
      </c>
      <c r="K23" s="4">
        <v>2.22998947847769E-2</v>
      </c>
      <c r="L23" s="4">
        <v>4.5702253989907404E-3</v>
      </c>
      <c r="M23" s="4">
        <v>1.06516225286555</v>
      </c>
      <c r="N23" s="4">
        <f t="shared" si="0"/>
        <v>5.2774186232582565E-3</v>
      </c>
      <c r="P23" s="1">
        <v>37073</v>
      </c>
      <c r="Q23">
        <v>4.5508380484793699E-2</v>
      </c>
      <c r="R23">
        <v>4.6695289696493697E-2</v>
      </c>
      <c r="S23">
        <v>4.6695289696493697E-2</v>
      </c>
      <c r="T23">
        <v>-2.15418581503115E-2</v>
      </c>
      <c r="U23">
        <v>0.92128638988676603</v>
      </c>
      <c r="V23">
        <v>6.1106573533639401E-2</v>
      </c>
      <c r="Y23" s="1">
        <v>37165</v>
      </c>
      <c r="Z23" s="4">
        <f t="shared" si="1"/>
        <v>5.4609554874228E-2</v>
      </c>
      <c r="AA23" s="4">
        <f t="shared" si="2"/>
        <v>5.3365177334519197E-2</v>
      </c>
      <c r="AC23" s="1">
        <v>37165</v>
      </c>
      <c r="AD23" s="4">
        <f t="shared" si="3"/>
        <v>6.0025934996593699E-2</v>
      </c>
      <c r="AE23" s="4">
        <f t="shared" si="4"/>
        <v>4.5946577008526703E-2</v>
      </c>
      <c r="AG23" s="1">
        <v>37165</v>
      </c>
      <c r="AH23" s="4">
        <f t="shared" si="5"/>
        <v>1.67656585944135E-2</v>
      </c>
      <c r="AI23" s="4">
        <f t="shared" si="6"/>
        <v>1.12322468482077E-2</v>
      </c>
      <c r="AK23" s="1">
        <v>37165</v>
      </c>
      <c r="AL23" s="4">
        <f t="shared" si="7"/>
        <v>6.0025934996593699E-2</v>
      </c>
      <c r="AM23" s="4">
        <f t="shared" si="8"/>
        <v>9.7827608343265288E-2</v>
      </c>
      <c r="AO23" s="1">
        <v>37165</v>
      </c>
      <c r="AP23" s="4">
        <f t="shared" si="9"/>
        <v>4.6450668938788499E-2</v>
      </c>
      <c r="AQ23" s="4">
        <f t="shared" si="10"/>
        <v>-6.4113713873314992E-4</v>
      </c>
    </row>
    <row r="24" spans="1:62" x14ac:dyDescent="0.25">
      <c r="A24" s="1">
        <v>37469</v>
      </c>
      <c r="B24" s="4">
        <v>5.4235463240326798E-2</v>
      </c>
      <c r="C24" s="4">
        <v>1.7073596601178399E-2</v>
      </c>
      <c r="D24" s="4">
        <v>2.1327339376756599E-4</v>
      </c>
      <c r="E24" s="4">
        <v>4.5619277664564802E-3</v>
      </c>
      <c r="F24" s="4">
        <v>-6.2241766479735996E-4</v>
      </c>
      <c r="G24" s="4">
        <v>5.1548475486667697E-3</v>
      </c>
      <c r="H24" s="4">
        <v>2.6381227645271801E-2</v>
      </c>
      <c r="I24" s="4">
        <v>0.96445240161003698</v>
      </c>
      <c r="J24" s="4">
        <v>7.8988417930399193E-2</v>
      </c>
      <c r="K24" s="4">
        <v>1.16130325036909E-2</v>
      </c>
      <c r="L24" s="4">
        <v>4.0857652935656899E-3</v>
      </c>
      <c r="M24" s="4">
        <v>1.0591396173376899</v>
      </c>
      <c r="N24" s="4">
        <f t="shared" si="0"/>
        <v>2.1477073547908621E-2</v>
      </c>
      <c r="P24" s="1">
        <v>37104</v>
      </c>
      <c r="Q24">
        <v>4.8509411109113103E-2</v>
      </c>
      <c r="R24">
        <v>6.4641640871308401E-2</v>
      </c>
      <c r="S24">
        <v>6.4641640871308401E-2</v>
      </c>
      <c r="T24">
        <v>-2.0739711765257601E-2</v>
      </c>
      <c r="U24">
        <v>0.953351701426433</v>
      </c>
      <c r="V24">
        <v>4.6663887745278097E-2</v>
      </c>
      <c r="Y24" s="1">
        <v>37196</v>
      </c>
      <c r="Z24" s="4">
        <f t="shared" si="1"/>
        <v>5.72853680516556E-2</v>
      </c>
      <c r="AA24" s="4">
        <f t="shared" si="2"/>
        <v>5.81150634309704E-2</v>
      </c>
      <c r="AC24" s="1">
        <v>37196</v>
      </c>
      <c r="AD24" s="4">
        <f t="shared" si="3"/>
        <v>5.94903367814145E-2</v>
      </c>
      <c r="AE24" s="4">
        <f t="shared" si="4"/>
        <v>6.6655832104830698E-2</v>
      </c>
      <c r="AG24" s="1">
        <v>37196</v>
      </c>
      <c r="AH24" s="4">
        <f t="shared" si="5"/>
        <v>1.45761687054253E-2</v>
      </c>
      <c r="AI24" s="4">
        <f t="shared" si="6"/>
        <v>1.4640682397542499E-2</v>
      </c>
      <c r="AK24" s="1">
        <v>37196</v>
      </c>
      <c r="AL24" s="4">
        <f t="shared" si="7"/>
        <v>5.94903367814145E-2</v>
      </c>
      <c r="AM24" s="4">
        <f t="shared" si="8"/>
        <v>1.5886642551019691E-2</v>
      </c>
      <c r="AO24" s="1">
        <v>37196</v>
      </c>
      <c r="AP24" s="4">
        <f t="shared" si="9"/>
        <v>9.2471326175611504E-2</v>
      </c>
      <c r="AQ24" s="4">
        <f t="shared" si="10"/>
        <v>4.2389396578328409E-3</v>
      </c>
    </row>
    <row r="25" spans="1:62" x14ac:dyDescent="0.25">
      <c r="A25" s="1">
        <v>37500</v>
      </c>
      <c r="B25" s="4">
        <v>5.8796769446177399E-2</v>
      </c>
      <c r="C25" s="4">
        <v>1.32852391724303E-2</v>
      </c>
      <c r="D25" s="4">
        <v>3.1801274412205998E-4</v>
      </c>
      <c r="E25" s="4">
        <v>2.7493299366752599E-3</v>
      </c>
      <c r="F25" s="4">
        <v>6.3381007330723404E-4</v>
      </c>
      <c r="G25" s="4">
        <v>3.9294411932827402E-3</v>
      </c>
      <c r="H25" s="4">
        <v>2.0915833119817599E-2</v>
      </c>
      <c r="I25" s="4">
        <v>1.0108316026813899</v>
      </c>
      <c r="J25" s="4">
        <v>4.5380458866489497E-2</v>
      </c>
      <c r="K25" s="4">
        <v>4.4925593899675298E-3</v>
      </c>
      <c r="L25" s="4">
        <v>1.6130234754107499E-3</v>
      </c>
      <c r="M25" s="4">
        <v>1.06231764441326</v>
      </c>
      <c r="N25" s="4">
        <f t="shared" si="0"/>
        <v>1.7394958152735063E-2</v>
      </c>
      <c r="P25" s="1">
        <v>37135</v>
      </c>
      <c r="Q25">
        <v>5.19227273300987E-2</v>
      </c>
      <c r="R25">
        <v>5.84091775576914E-2</v>
      </c>
      <c r="S25">
        <v>5.84091775576914E-2</v>
      </c>
      <c r="T25">
        <v>-1.51150850834004E-2</v>
      </c>
      <c r="U25">
        <v>0.96891378599231603</v>
      </c>
      <c r="V25">
        <v>2.3054537080351201E-2</v>
      </c>
      <c r="Y25" s="1">
        <v>37226</v>
      </c>
      <c r="Z25" s="4">
        <f t="shared" si="1"/>
        <v>5.4141627528368E-2</v>
      </c>
      <c r="AA25" s="4">
        <f t="shared" si="2"/>
        <v>4.9023505181772002E-2</v>
      </c>
      <c r="AC25" s="1">
        <v>37226</v>
      </c>
      <c r="AD25" s="4">
        <f t="shared" si="3"/>
        <v>4.6399703361347598E-2</v>
      </c>
      <c r="AE25" s="4">
        <f t="shared" si="4"/>
        <v>9.2434482861259895E-2</v>
      </c>
      <c r="AG25" s="1">
        <v>37226</v>
      </c>
      <c r="AH25" s="4">
        <f t="shared" si="5"/>
        <v>2.9784264653932802E-2</v>
      </c>
      <c r="AI25" s="4">
        <f t="shared" si="6"/>
        <v>1.74390914188002E-2</v>
      </c>
      <c r="AK25" s="1">
        <v>37226</v>
      </c>
      <c r="AL25" s="4">
        <f t="shared" si="7"/>
        <v>4.6399703361347598E-2</v>
      </c>
      <c r="AM25" s="4">
        <f t="shared" si="8"/>
        <v>1.0203377461440901E-2</v>
      </c>
      <c r="AO25" s="1">
        <v>37226</v>
      </c>
      <c r="AP25" s="4">
        <f t="shared" si="9"/>
        <v>3.5783707836406803E-2</v>
      </c>
      <c r="AQ25" s="4">
        <f t="shared" si="10"/>
        <v>1.7922677675092258E-2</v>
      </c>
    </row>
    <row r="26" spans="1:62" x14ac:dyDescent="0.25">
      <c r="A26" s="1">
        <v>37530</v>
      </c>
      <c r="B26" s="4">
        <v>5.2794707368901697E-2</v>
      </c>
      <c r="C26" s="4">
        <v>9.1795198660195206E-3</v>
      </c>
      <c r="D26" s="4">
        <v>4.0137997981015697E-5</v>
      </c>
      <c r="E26" s="4">
        <v>3.0137058684742502E-3</v>
      </c>
      <c r="F26" s="4">
        <v>6.9697821243288802E-4</v>
      </c>
      <c r="G26" s="4">
        <v>4.39209036101295E-3</v>
      </c>
      <c r="H26" s="4">
        <v>1.73224323059206E-2</v>
      </c>
      <c r="I26" s="4">
        <v>0.99912645621109697</v>
      </c>
      <c r="J26" s="4">
        <v>3.9939858566233201E-2</v>
      </c>
      <c r="K26" s="4">
        <v>1.32542649854701E-2</v>
      </c>
      <c r="L26" s="4">
        <v>1.63948284060918E-3</v>
      </c>
      <c r="M26" s="4">
        <v>1.0539600626034</v>
      </c>
      <c r="N26" s="4">
        <f t="shared" si="0"/>
        <v>1.6157077071422332E-2</v>
      </c>
      <c r="P26" s="1">
        <v>37165</v>
      </c>
      <c r="Q26">
        <v>5.4609554874228E-2</v>
      </c>
      <c r="R26">
        <v>6.0025934996593699E-2</v>
      </c>
      <c r="S26">
        <v>6.0025934996593699E-2</v>
      </c>
      <c r="T26">
        <v>-1.67656585944135E-2</v>
      </c>
      <c r="U26">
        <v>0.97003714194878798</v>
      </c>
      <c r="V26">
        <v>4.6450668938788499E-2</v>
      </c>
      <c r="Y26" s="1">
        <v>37257</v>
      </c>
      <c r="Z26" s="4">
        <f t="shared" si="1"/>
        <v>5.0423982317029097E-2</v>
      </c>
      <c r="AA26" s="4">
        <f t="shared" si="2"/>
        <v>6.2064382162580901E-2</v>
      </c>
      <c r="AC26" s="1">
        <v>37257</v>
      </c>
      <c r="AD26" s="4">
        <f t="shared" si="3"/>
        <v>6.4048027993422102E-2</v>
      </c>
      <c r="AE26" s="4">
        <f t="shared" si="4"/>
        <v>0.108588011449249</v>
      </c>
      <c r="AG26" s="1">
        <v>37257</v>
      </c>
      <c r="AH26" s="4">
        <f t="shared" si="5"/>
        <v>1.7054171378952598E-2</v>
      </c>
      <c r="AI26" s="4">
        <f t="shared" si="6"/>
        <v>2.6716255692650102E-2</v>
      </c>
      <c r="AK26" s="1">
        <v>37257</v>
      </c>
      <c r="AL26" s="4">
        <f t="shared" si="7"/>
        <v>6.4048027993422102E-2</v>
      </c>
      <c r="AM26" s="4">
        <f t="shared" si="8"/>
        <v>3.6903681528289302E-2</v>
      </c>
      <c r="AO26" s="1">
        <v>37257</v>
      </c>
      <c r="AP26" s="4">
        <f t="shared" si="9"/>
        <v>3.0592203724638702E-2</v>
      </c>
      <c r="AQ26" s="4">
        <f t="shared" si="10"/>
        <v>1.2838402041208674E-3</v>
      </c>
    </row>
    <row r="27" spans="1:62" x14ac:dyDescent="0.25">
      <c r="A27" s="1">
        <v>37561</v>
      </c>
      <c r="B27" s="4">
        <v>5.3493760794290302E-2</v>
      </c>
      <c r="C27" s="4">
        <v>8.2458909930079802E-3</v>
      </c>
      <c r="D27" s="4">
        <v>3.36625458452627E-4</v>
      </c>
      <c r="E27" s="4">
        <v>3.8003063005124099E-3</v>
      </c>
      <c r="F27" s="4">
        <v>-3.0701551743753898E-5</v>
      </c>
      <c r="G27" s="4">
        <v>3.1187318518010698E-3</v>
      </c>
      <c r="H27" s="4">
        <v>1.54708530520303E-2</v>
      </c>
      <c r="I27" s="4">
        <v>0.96680905727978905</v>
      </c>
      <c r="J27" s="4">
        <v>5.0064815751527998E-2</v>
      </c>
      <c r="K27" s="4">
        <v>0</v>
      </c>
      <c r="L27" s="4">
        <v>2.9882570794571701E-2</v>
      </c>
      <c r="M27" s="4">
        <v>1.0467564438258801</v>
      </c>
      <c r="N27" s="4">
        <f t="shared" si="0"/>
        <v>2.2208170020440621E-2</v>
      </c>
      <c r="P27" s="1">
        <v>37196</v>
      </c>
      <c r="Q27">
        <v>5.72853680516556E-2</v>
      </c>
      <c r="R27">
        <v>5.94903367814145E-2</v>
      </c>
      <c r="S27">
        <v>5.94903367814145E-2</v>
      </c>
      <c r="T27">
        <v>-1.45761687054253E-2</v>
      </c>
      <c r="U27">
        <v>0.88939304282367404</v>
      </c>
      <c r="V27">
        <v>9.2471326175611504E-2</v>
      </c>
      <c r="Y27" s="1">
        <v>37288</v>
      </c>
      <c r="Z27" s="4">
        <f t="shared" si="1"/>
        <v>5.8634221941789903E-2</v>
      </c>
      <c r="AA27" s="4">
        <f t="shared" si="2"/>
        <v>6.1979930375563E-2</v>
      </c>
      <c r="AC27" s="1">
        <v>37288</v>
      </c>
      <c r="AD27" s="4">
        <f t="shared" si="3"/>
        <v>6.03128788552387E-2</v>
      </c>
      <c r="AE27" s="4">
        <f t="shared" si="4"/>
        <v>4.0720376908617399E-2</v>
      </c>
      <c r="AG27" s="1">
        <v>37288</v>
      </c>
      <c r="AH27" s="4">
        <f t="shared" si="5"/>
        <v>2.42563215222007E-2</v>
      </c>
      <c r="AI27" s="4">
        <f t="shared" si="6"/>
        <v>1.5424125959293499E-2</v>
      </c>
      <c r="AK27" s="1">
        <v>37288</v>
      </c>
      <c r="AL27" s="4">
        <f t="shared" si="7"/>
        <v>6.03128788552387E-2</v>
      </c>
      <c r="AM27" s="4">
        <f t="shared" si="8"/>
        <v>8.5663665326283697E-4</v>
      </c>
      <c r="AO27" s="1">
        <v>37288</v>
      </c>
      <c r="AP27" s="4">
        <f t="shared" si="9"/>
        <v>2.7116429199298402E-2</v>
      </c>
      <c r="AQ27" s="4">
        <f t="shared" si="10"/>
        <v>7.0301420571765583E-3</v>
      </c>
    </row>
    <row r="28" spans="1:62" x14ac:dyDescent="0.25">
      <c r="A28" s="1">
        <v>37591</v>
      </c>
      <c r="B28" s="4">
        <v>6.1729303328711502E-2</v>
      </c>
      <c r="C28" s="4">
        <v>1.26197426923899E-2</v>
      </c>
      <c r="D28" s="4">
        <v>6.9925223774167696E-4</v>
      </c>
      <c r="E28" s="4">
        <v>3.88538875997227E-3</v>
      </c>
      <c r="F28" s="4">
        <v>1.0332779320459599E-3</v>
      </c>
      <c r="G28" s="4">
        <v>8.7409473194043005E-3</v>
      </c>
      <c r="H28" s="4">
        <v>2.69786089415541E-2</v>
      </c>
      <c r="I28" s="4">
        <v>0.98973249638809802</v>
      </c>
      <c r="J28" s="4">
        <v>8.7192597857804505E-2</v>
      </c>
      <c r="K28" s="4">
        <v>9.3909846328529903E-3</v>
      </c>
      <c r="L28" s="4">
        <v>2.7699289687002299E-3</v>
      </c>
      <c r="M28" s="4">
        <v>1.08908600784745</v>
      </c>
      <c r="N28" s="4">
        <f t="shared" si="0"/>
        <v>-3.7809557718437858E-4</v>
      </c>
      <c r="P28" s="1">
        <v>37226</v>
      </c>
      <c r="Q28">
        <v>5.4141627528368E-2</v>
      </c>
      <c r="R28">
        <v>4.6399703361347598E-2</v>
      </c>
      <c r="S28">
        <v>4.6399703361347598E-2</v>
      </c>
      <c r="T28">
        <v>-2.9784264653932802E-2</v>
      </c>
      <c r="U28">
        <v>0.99601258494458</v>
      </c>
      <c r="V28">
        <v>3.5783707836406803E-2</v>
      </c>
      <c r="Y28" s="1">
        <v>37316</v>
      </c>
      <c r="Z28" s="4">
        <f t="shared" si="1"/>
        <v>5.14181557330625E-2</v>
      </c>
      <c r="AA28" s="4">
        <f t="shared" si="2"/>
        <v>5.4392775062895901E-2</v>
      </c>
      <c r="AC28" s="1">
        <v>37316</v>
      </c>
      <c r="AD28" s="4">
        <f t="shared" si="3"/>
        <v>5.9203933813904201E-2</v>
      </c>
      <c r="AE28" s="4">
        <f t="shared" si="4"/>
        <v>7.1368348517320296E-2</v>
      </c>
      <c r="AG28" s="1">
        <v>37316</v>
      </c>
      <c r="AH28" s="4">
        <f t="shared" si="5"/>
        <v>1.5676472687432198E-2</v>
      </c>
      <c r="AI28" s="4">
        <f t="shared" si="6"/>
        <v>1.89106744129636E-2</v>
      </c>
      <c r="AK28" s="1">
        <v>37316</v>
      </c>
      <c r="AL28" s="4">
        <f t="shared" si="7"/>
        <v>5.9203933813904201E-2</v>
      </c>
      <c r="AM28" s="4">
        <f t="shared" si="8"/>
        <v>6.024206677973893E-3</v>
      </c>
      <c r="AO28" s="1">
        <v>37316</v>
      </c>
      <c r="AP28" s="4">
        <f t="shared" si="9"/>
        <v>3.5551744024408601E-3</v>
      </c>
      <c r="AQ28" s="4">
        <f t="shared" si="10"/>
        <v>1.3285702220249496E-2</v>
      </c>
    </row>
    <row r="29" spans="1:62" x14ac:dyDescent="0.25">
      <c r="A29" s="1">
        <v>37622</v>
      </c>
      <c r="B29" s="4">
        <v>5.8546508269076897E-2</v>
      </c>
      <c r="C29" s="4">
        <v>1.9060497829632799E-2</v>
      </c>
      <c r="D29" s="4">
        <v>2.8939242597099998E-4</v>
      </c>
      <c r="E29" s="4">
        <v>3.5758083533559601E-3</v>
      </c>
      <c r="F29" s="4">
        <v>-3.3718555960049702E-3</v>
      </c>
      <c r="G29" s="4">
        <v>9.4418489709395693E-3</v>
      </c>
      <c r="H29" s="4">
        <v>2.8995691983894401E-2</v>
      </c>
      <c r="I29" s="4">
        <v>0.99270319608292301</v>
      </c>
      <c r="J29" s="4">
        <v>5.6793697430251699E-2</v>
      </c>
      <c r="K29" s="4">
        <v>4.63293285542145E-3</v>
      </c>
      <c r="L29" s="4">
        <v>1.1842223890413299E-2</v>
      </c>
      <c r="M29" s="4">
        <v>1.06597205025901</v>
      </c>
      <c r="N29" s="4">
        <f t="shared" si="0"/>
        <v>2.1570149993961341E-2</v>
      </c>
      <c r="P29" s="1">
        <v>37257</v>
      </c>
      <c r="Q29">
        <v>5.0423982317029097E-2</v>
      </c>
      <c r="R29">
        <v>6.4048027993422102E-2</v>
      </c>
      <c r="S29">
        <v>6.4048027993422102E-2</v>
      </c>
      <c r="T29">
        <v>-1.7054171378952598E-2</v>
      </c>
      <c r="U29">
        <v>0.97150345185702203</v>
      </c>
      <c r="V29">
        <v>3.0592203724638702E-2</v>
      </c>
      <c r="Y29" s="1">
        <v>37347</v>
      </c>
      <c r="Z29" s="4">
        <f t="shared" si="1"/>
        <v>5.0753804547830197E-2</v>
      </c>
      <c r="AA29" s="4">
        <f t="shared" si="2"/>
        <v>5.5124486834301101E-2</v>
      </c>
      <c r="AC29" s="1">
        <v>37347</v>
      </c>
      <c r="AD29" s="4">
        <f t="shared" si="3"/>
        <v>5.3559871902193197E-2</v>
      </c>
      <c r="AE29" s="4">
        <f t="shared" si="4"/>
        <v>6.4820997314059894E-2</v>
      </c>
      <c r="AG29" s="1">
        <v>37347</v>
      </c>
      <c r="AH29" s="4">
        <f t="shared" si="5"/>
        <v>1.3986063982856499E-2</v>
      </c>
      <c r="AI29" s="4">
        <f t="shared" si="6"/>
        <v>6.1992606407918503E-2</v>
      </c>
      <c r="AK29" s="1">
        <v>37347</v>
      </c>
      <c r="AL29" s="4">
        <f t="shared" si="7"/>
        <v>5.3559871902193197E-2</v>
      </c>
      <c r="AM29" s="4">
        <f t="shared" si="8"/>
        <v>0.1064488864329617</v>
      </c>
      <c r="AO29" s="1">
        <v>37347</v>
      </c>
      <c r="AP29" s="4">
        <f t="shared" si="9"/>
        <v>2.69600118956944E-2</v>
      </c>
      <c r="AQ29" s="4">
        <f t="shared" si="10"/>
        <v>-6.3516785178103774E-3</v>
      </c>
    </row>
    <row r="30" spans="1:62" x14ac:dyDescent="0.25">
      <c r="A30" s="1">
        <v>37653</v>
      </c>
      <c r="B30" s="4">
        <v>5.4348347751179797E-2</v>
      </c>
      <c r="C30" s="4">
        <v>1.4659834842376899E-2</v>
      </c>
      <c r="D30" s="4">
        <v>8.3892074179462805E-4</v>
      </c>
      <c r="E30" s="4">
        <v>4.1691502370025304E-3</v>
      </c>
      <c r="F30" s="4">
        <v>-3.5891804324482999E-5</v>
      </c>
      <c r="G30" s="4">
        <v>6.8245013981001901E-3</v>
      </c>
      <c r="H30" s="4">
        <v>2.64565154149498E-2</v>
      </c>
      <c r="I30" s="4">
        <v>0.96231459710086598</v>
      </c>
      <c r="J30" s="4">
        <v>7.1143738875673407E-2</v>
      </c>
      <c r="K30" s="4">
        <v>1.32458422827479E-2</v>
      </c>
      <c r="L30" s="4">
        <v>1.6310616956710301E-2</v>
      </c>
      <c r="M30" s="4">
        <v>1.0630147952159901</v>
      </c>
      <c r="N30" s="4">
        <f t="shared" si="0"/>
        <v>1.7790067950139488E-2</v>
      </c>
      <c r="P30" s="1">
        <v>37288</v>
      </c>
      <c r="Q30">
        <v>5.8634221941789903E-2</v>
      </c>
      <c r="R30">
        <v>6.03128788552387E-2</v>
      </c>
      <c r="S30">
        <v>6.03128788552387E-2</v>
      </c>
      <c r="T30">
        <v>-2.42563215222007E-2</v>
      </c>
      <c r="U30">
        <v>0.98882550789725998</v>
      </c>
      <c r="V30">
        <v>2.7116429199298402E-2</v>
      </c>
      <c r="Y30" s="1">
        <v>37377</v>
      </c>
      <c r="Z30" s="4">
        <f t="shared" si="1"/>
        <v>5.1384537206682103E-2</v>
      </c>
      <c r="AA30" s="4">
        <f t="shared" si="2"/>
        <v>5.4335369438313297E-2</v>
      </c>
      <c r="AC30" s="1">
        <v>37377</v>
      </c>
      <c r="AD30" s="4">
        <f t="shared" si="3"/>
        <v>6.2957393227189698E-2</v>
      </c>
      <c r="AE30" s="4">
        <f t="shared" si="4"/>
        <v>7.2508686125338895E-2</v>
      </c>
      <c r="AG30" s="1">
        <v>37377</v>
      </c>
      <c r="AH30" s="4">
        <f t="shared" si="5"/>
        <v>1.50067652294617E-2</v>
      </c>
      <c r="AI30" s="4">
        <f t="shared" si="6"/>
        <v>1.9287843415204099E-2</v>
      </c>
      <c r="AK30" s="1">
        <v>37377</v>
      </c>
      <c r="AL30" s="4">
        <f t="shared" si="7"/>
        <v>6.2957393227189698E-2</v>
      </c>
      <c r="AM30" s="4">
        <f t="shared" si="8"/>
        <v>2.2415534908323299E-3</v>
      </c>
      <c r="AO30" s="1">
        <v>37377</v>
      </c>
      <c r="AP30" s="4">
        <f t="shared" si="9"/>
        <v>2.4979744289042899E-2</v>
      </c>
      <c r="AQ30" s="4">
        <f t="shared" si="10"/>
        <v>4.3949175917474825E-3</v>
      </c>
    </row>
    <row r="31" spans="1:62" x14ac:dyDescent="0.25">
      <c r="A31" s="1">
        <v>37681</v>
      </c>
      <c r="B31" s="4">
        <v>5.7391250328026798E-2</v>
      </c>
      <c r="C31" s="4">
        <v>9.0062906276488393E-3</v>
      </c>
      <c r="D31" s="4">
        <v>3.7050241175109398E-4</v>
      </c>
      <c r="E31" s="4">
        <v>3.58862358876187E-3</v>
      </c>
      <c r="F31" s="4">
        <v>1.28153683352318E-3</v>
      </c>
      <c r="G31" s="4">
        <v>6.6657446111098098E-3</v>
      </c>
      <c r="H31" s="4">
        <v>2.0912698072794798E-2</v>
      </c>
      <c r="I31" s="4">
        <v>0.98339747307213699</v>
      </c>
      <c r="J31" s="4">
        <v>5.6992714921634602E-2</v>
      </c>
      <c r="K31" s="4">
        <v>2.1795174308161198E-2</v>
      </c>
      <c r="L31" s="4">
        <v>3.3267930876566699E-3</v>
      </c>
      <c r="M31" s="4">
        <v>1.0655121553895801</v>
      </c>
      <c r="N31" s="4">
        <f t="shared" si="0"/>
        <v>1.2791793011241559E-2</v>
      </c>
      <c r="P31" s="1">
        <v>37316</v>
      </c>
      <c r="Q31">
        <v>5.14181557330625E-2</v>
      </c>
      <c r="R31">
        <v>5.9203933813904201E-2</v>
      </c>
      <c r="S31">
        <v>5.9203933813904201E-2</v>
      </c>
      <c r="T31">
        <v>-1.5676472687432198E-2</v>
      </c>
      <c r="U31">
        <v>0.99287948092163103</v>
      </c>
      <c r="V31">
        <v>3.5551744024408601E-3</v>
      </c>
      <c r="Y31" s="1">
        <v>37408</v>
      </c>
      <c r="Z31" s="4">
        <f t="shared" si="1"/>
        <v>5.5774215375284597E-2</v>
      </c>
      <c r="AA31" s="4">
        <f t="shared" si="2"/>
        <v>6.8733293789509001E-2</v>
      </c>
      <c r="AC31" s="1">
        <v>37408</v>
      </c>
      <c r="AD31" s="4">
        <f t="shared" si="3"/>
        <v>5.8322280925619398E-2</v>
      </c>
      <c r="AE31" s="4">
        <f t="shared" si="4"/>
        <v>5.5312858669883003E-2</v>
      </c>
      <c r="AG31" s="1">
        <v>37408</v>
      </c>
      <c r="AH31" s="4">
        <f t="shared" si="5"/>
        <v>1.43611096672719E-2</v>
      </c>
      <c r="AI31" s="4">
        <f t="shared" si="6"/>
        <v>2.5800587904040901E-2</v>
      </c>
      <c r="AK31" s="1">
        <v>37408</v>
      </c>
      <c r="AL31" s="4">
        <f t="shared" si="7"/>
        <v>5.8322280925619398E-2</v>
      </c>
      <c r="AM31" s="4">
        <f t="shared" si="8"/>
        <v>2.8313853626518999E-3</v>
      </c>
      <c r="AO31" s="1">
        <v>37408</v>
      </c>
      <c r="AP31" s="4">
        <f t="shared" si="9"/>
        <v>4.7092549413225597E-2</v>
      </c>
      <c r="AQ31" s="4">
        <f t="shared" si="10"/>
        <v>2.7852892811059959E-2</v>
      </c>
    </row>
    <row r="32" spans="1:62" x14ac:dyDescent="0.25">
      <c r="A32" s="1">
        <v>37712</v>
      </c>
      <c r="B32" s="4">
        <v>6.0843516632990598E-2</v>
      </c>
      <c r="C32" s="4">
        <v>1.27853815214644E-2</v>
      </c>
      <c r="D32" s="4">
        <v>2.22743567524946E-4</v>
      </c>
      <c r="E32" s="4">
        <v>3.1141089184234098E-3</v>
      </c>
      <c r="F32" s="4">
        <v>1.7637518878209999E-3</v>
      </c>
      <c r="G32" s="4">
        <v>7.1899936271105002E-3</v>
      </c>
      <c r="H32" s="4">
        <v>2.5075979522344301E-2</v>
      </c>
      <c r="I32" s="4">
        <v>1.0063280603870799</v>
      </c>
      <c r="J32" s="4">
        <v>6.4250311747323097E-2</v>
      </c>
      <c r="K32" s="4">
        <v>5.5743790320623102E-3</v>
      </c>
      <c r="L32" s="4">
        <v>1.2508461557085101E-2</v>
      </c>
      <c r="M32" s="4">
        <v>1.08866121272355</v>
      </c>
      <c r="N32" s="4">
        <f t="shared" si="0"/>
        <v>-2.7417165682150912E-3</v>
      </c>
      <c r="P32" s="1">
        <v>37347</v>
      </c>
      <c r="Q32">
        <v>5.0753804547830197E-2</v>
      </c>
      <c r="R32">
        <v>5.3559871902193197E-2</v>
      </c>
      <c r="S32">
        <v>5.3559871902193197E-2</v>
      </c>
      <c r="T32">
        <v>-1.3986063982856499E-2</v>
      </c>
      <c r="U32">
        <v>0.97774309360543299</v>
      </c>
      <c r="V32">
        <v>2.69600118956944E-2</v>
      </c>
      <c r="Y32" s="1">
        <v>37438</v>
      </c>
      <c r="Z32" s="4">
        <f t="shared" si="1"/>
        <v>6.4228838041816005E-2</v>
      </c>
      <c r="AA32" s="4">
        <f t="shared" si="2"/>
        <v>5.2582089756860101E-2</v>
      </c>
      <c r="AC32" s="1">
        <v>37438</v>
      </c>
      <c r="AD32" s="4">
        <f t="shared" si="3"/>
        <v>6.1502032969304801E-2</v>
      </c>
      <c r="AE32" s="4">
        <f t="shared" si="4"/>
        <v>5.3505670761588402E-2</v>
      </c>
      <c r="AG32" s="1">
        <v>37438</v>
      </c>
      <c r="AH32" s="4">
        <f t="shared" si="5"/>
        <v>9.3406286769783693E-3</v>
      </c>
      <c r="AI32" s="4">
        <f t="shared" si="6"/>
        <v>1.78575817319481E-2</v>
      </c>
      <c r="AK32" s="1">
        <v>37438</v>
      </c>
      <c r="AL32" s="4">
        <f t="shared" si="7"/>
        <v>6.1502032969304801E-2</v>
      </c>
      <c r="AM32" s="4">
        <f t="shared" si="8"/>
        <v>2.6870120183767641E-2</v>
      </c>
      <c r="AO32" s="1">
        <v>37438</v>
      </c>
      <c r="AP32" s="4">
        <f t="shared" si="9"/>
        <v>3.4604229868567801E-2</v>
      </c>
      <c r="AQ32" s="4">
        <f t="shared" si="10"/>
        <v>5.2774186232582565E-3</v>
      </c>
      <c r="BJ32">
        <v>1</v>
      </c>
    </row>
    <row r="33" spans="1:43" x14ac:dyDescent="0.25">
      <c r="A33" s="1">
        <v>37742</v>
      </c>
      <c r="B33" s="4">
        <v>6.03122387591562E-2</v>
      </c>
      <c r="C33" s="4">
        <v>1.0782700786866399E-2</v>
      </c>
      <c r="D33" s="4">
        <v>4.3997328787376402E-4</v>
      </c>
      <c r="E33" s="4">
        <v>4.0447345378753002E-3</v>
      </c>
      <c r="F33" s="4">
        <v>-1.47790761918073E-3</v>
      </c>
      <c r="G33" s="4">
        <v>6.3922312714511003E-3</v>
      </c>
      <c r="H33" s="4">
        <v>2.0181732264885899E-2</v>
      </c>
      <c r="I33" s="4">
        <v>0.98961750349640698</v>
      </c>
      <c r="J33" s="4">
        <v>5.9840087084134602E-2</v>
      </c>
      <c r="K33" s="4">
        <v>6.9074055639332696E-5</v>
      </c>
      <c r="L33" s="4">
        <v>1.8447149247822502E-2</v>
      </c>
      <c r="M33" s="4">
        <v>1.067973813884</v>
      </c>
      <c r="N33" s="4">
        <f t="shared" si="0"/>
        <v>1.2520157140042176E-2</v>
      </c>
      <c r="P33" s="1">
        <v>37377</v>
      </c>
      <c r="Q33">
        <v>5.1384537206682103E-2</v>
      </c>
      <c r="R33">
        <v>6.2957393227189698E-2</v>
      </c>
      <c r="S33">
        <v>6.2957393227189698E-2</v>
      </c>
      <c r="T33">
        <v>-1.50067652294617E-2</v>
      </c>
      <c r="U33">
        <v>0.95999703857340202</v>
      </c>
      <c r="V33">
        <v>2.4979744289042899E-2</v>
      </c>
      <c r="Y33" s="1">
        <v>37469</v>
      </c>
      <c r="Z33" s="4">
        <f t="shared" si="1"/>
        <v>5.9208263440461303E-2</v>
      </c>
      <c r="AA33" s="4">
        <f t="shared" si="2"/>
        <v>5.4235463240326798E-2</v>
      </c>
      <c r="AC33" s="1">
        <v>37469</v>
      </c>
      <c r="AD33" s="4">
        <f t="shared" si="3"/>
        <v>7.6931177886787799E-2</v>
      </c>
      <c r="AE33" s="4">
        <f t="shared" si="4"/>
        <v>7.8988417930399193E-2</v>
      </c>
      <c r="AG33" s="1">
        <v>37469</v>
      </c>
      <c r="AH33" s="4">
        <f t="shared" si="5"/>
        <v>1.6259688533843599E-2</v>
      </c>
      <c r="AI33" s="4">
        <f t="shared" si="6"/>
        <v>2.6381227645271801E-2</v>
      </c>
      <c r="AK33" s="1">
        <v>37469</v>
      </c>
      <c r="AL33" s="4">
        <f t="shared" si="7"/>
        <v>7.6931177886787799E-2</v>
      </c>
      <c r="AM33" s="4">
        <f t="shared" si="8"/>
        <v>1.5698797797256591E-2</v>
      </c>
      <c r="AO33" s="1">
        <v>37469</v>
      </c>
      <c r="AP33" s="4">
        <f t="shared" si="9"/>
        <v>3.1921768083534398E-2</v>
      </c>
      <c r="AQ33" s="4">
        <f t="shared" si="10"/>
        <v>2.1477073547908621E-2</v>
      </c>
    </row>
    <row r="34" spans="1:43" x14ac:dyDescent="0.25">
      <c r="A34" s="1">
        <v>37773</v>
      </c>
      <c r="B34" s="4">
        <v>5.7111075898663301E-2</v>
      </c>
      <c r="C34" s="4">
        <v>1.22659599193276E-2</v>
      </c>
      <c r="D34" s="4">
        <v>6.4349318611157198E-4</v>
      </c>
      <c r="E34" s="4">
        <v>2.5561364317682198E-3</v>
      </c>
      <c r="F34" s="4">
        <v>-3.1153289373507097E-4</v>
      </c>
      <c r="G34" s="4">
        <v>5.7591404871817102E-3</v>
      </c>
      <c r="H34" s="4">
        <v>2.0913197130653999E-2</v>
      </c>
      <c r="I34" s="4">
        <v>1.00606794249682</v>
      </c>
      <c r="J34" s="4">
        <v>4.1715037822696401E-2</v>
      </c>
      <c r="K34" s="4">
        <v>1.31656090689339E-2</v>
      </c>
      <c r="L34" s="4">
        <v>7.39405547225328E-3</v>
      </c>
      <c r="M34" s="4">
        <v>1.0683426448607101</v>
      </c>
      <c r="N34" s="4">
        <f t="shared" si="0"/>
        <v>9.6816281686071815E-3</v>
      </c>
      <c r="P34" s="1">
        <v>37408</v>
      </c>
      <c r="Q34">
        <v>5.5774215375284597E-2</v>
      </c>
      <c r="R34">
        <v>5.8322280925619398E-2</v>
      </c>
      <c r="S34">
        <v>5.8322280925619398E-2</v>
      </c>
      <c r="T34">
        <v>-1.43611096672719E-2</v>
      </c>
      <c r="U34">
        <v>0.96015291697257998</v>
      </c>
      <c r="V34">
        <v>4.7092549413225597E-2</v>
      </c>
      <c r="Y34" s="1">
        <v>37500</v>
      </c>
      <c r="Z34" s="4">
        <f t="shared" si="1"/>
        <v>5.2083543628963301E-2</v>
      </c>
      <c r="AA34" s="4">
        <f t="shared" si="2"/>
        <v>5.8796769446177399E-2</v>
      </c>
      <c r="AC34" s="1">
        <v>37500</v>
      </c>
      <c r="AD34" s="4">
        <f t="shared" si="3"/>
        <v>6.0093231982947498E-2</v>
      </c>
      <c r="AE34" s="4">
        <f t="shared" si="4"/>
        <v>4.5380458866489497E-2</v>
      </c>
      <c r="AG34" s="1">
        <v>37500</v>
      </c>
      <c r="AH34" s="4">
        <f t="shared" si="5"/>
        <v>1.7067800273858999E-2</v>
      </c>
      <c r="AI34" s="4">
        <f t="shared" si="6"/>
        <v>2.0915833119817599E-2</v>
      </c>
      <c r="AK34" s="1">
        <v>37500</v>
      </c>
      <c r="AL34" s="4">
        <f t="shared" si="7"/>
        <v>6.0093231982947498E-2</v>
      </c>
      <c r="AM34" s="4">
        <f t="shared" si="8"/>
        <v>6.1055828653782795E-3</v>
      </c>
      <c r="AO34" s="1">
        <v>37500</v>
      </c>
      <c r="AP34" s="4">
        <f t="shared" si="9"/>
        <v>1.5626210924989201E-2</v>
      </c>
      <c r="AQ34" s="4">
        <f t="shared" si="10"/>
        <v>1.7394958152735063E-2</v>
      </c>
    </row>
    <row r="35" spans="1:43" x14ac:dyDescent="0.25">
      <c r="A35" s="1">
        <v>37803</v>
      </c>
      <c r="B35" s="4">
        <v>5.6170970602855301E-2</v>
      </c>
      <c r="C35" s="4">
        <v>9.6002831806805897E-3</v>
      </c>
      <c r="D35" s="4">
        <v>5.8399397430093202E-4</v>
      </c>
      <c r="E35" s="4">
        <v>3.2333372958260002E-3</v>
      </c>
      <c r="F35" s="4">
        <v>-9.7411114071983503E-4</v>
      </c>
      <c r="G35" s="4">
        <v>7.14770545117124E-3</v>
      </c>
      <c r="H35" s="4">
        <v>1.9591208761258899E-2</v>
      </c>
      <c r="I35" s="4">
        <v>0.99395295150469198</v>
      </c>
      <c r="J35" s="4">
        <v>5.0447231251871998E-2</v>
      </c>
      <c r="K35" s="4">
        <v>2.4751627691000699E-5</v>
      </c>
      <c r="L35" s="4">
        <v>2.41082166794044E-3</v>
      </c>
      <c r="M35" s="4">
        <v>1.0468357560521899</v>
      </c>
      <c r="N35" s="4">
        <f t="shared" si="0"/>
        <v>2.8926423311924188E-2</v>
      </c>
      <c r="P35" s="1">
        <v>37438</v>
      </c>
      <c r="Q35">
        <v>6.4228838041816005E-2</v>
      </c>
      <c r="R35">
        <v>6.1502032969304801E-2</v>
      </c>
      <c r="S35">
        <v>6.1502032969304801E-2</v>
      </c>
      <c r="T35">
        <v>-9.3406286769783693E-3</v>
      </c>
      <c r="U35">
        <v>0.95924813828169198</v>
      </c>
      <c r="V35">
        <v>3.4604229868567801E-2</v>
      </c>
      <c r="Y35" s="1">
        <v>37530</v>
      </c>
      <c r="Z35" s="4">
        <f t="shared" si="1"/>
        <v>5.1062548932903802E-2</v>
      </c>
      <c r="AA35" s="4">
        <f t="shared" si="2"/>
        <v>5.2794707368901697E-2</v>
      </c>
      <c r="AC35" s="1">
        <v>37530</v>
      </c>
      <c r="AD35" s="4">
        <f t="shared" si="3"/>
        <v>5.8583725963730397E-2</v>
      </c>
      <c r="AE35" s="4">
        <f t="shared" si="4"/>
        <v>3.9939858566233201E-2</v>
      </c>
      <c r="AG35" s="1">
        <v>37530</v>
      </c>
      <c r="AH35" s="4">
        <f t="shared" si="5"/>
        <v>6.9790738831106199E-3</v>
      </c>
      <c r="AI35" s="4">
        <f t="shared" si="6"/>
        <v>1.73224323059206E-2</v>
      </c>
      <c r="AK35" s="1">
        <v>37530</v>
      </c>
      <c r="AL35" s="4">
        <f t="shared" si="7"/>
        <v>5.8583725963730397E-2</v>
      </c>
      <c r="AM35" s="4">
        <f t="shared" si="8"/>
        <v>1.489374782607928E-2</v>
      </c>
      <c r="AO35" s="1">
        <v>37530</v>
      </c>
      <c r="AP35" s="4">
        <f t="shared" si="9"/>
        <v>4.8170396481490102E-2</v>
      </c>
      <c r="AQ35" s="4">
        <f t="shared" si="10"/>
        <v>1.6157077071422332E-2</v>
      </c>
    </row>
    <row r="36" spans="1:43" x14ac:dyDescent="0.25">
      <c r="A36" s="1">
        <v>37834</v>
      </c>
      <c r="B36" s="4">
        <v>5.6027394659509101E-2</v>
      </c>
      <c r="C36" s="4">
        <v>1.3522402018830801E-2</v>
      </c>
      <c r="D36" s="4">
        <v>2.2206481051695599E-4</v>
      </c>
      <c r="E36" s="4">
        <v>2.75611420816039E-3</v>
      </c>
      <c r="F36" s="4">
        <v>9.5682137872003402E-4</v>
      </c>
      <c r="G36" s="4">
        <v>4.6213988413183003E-3</v>
      </c>
      <c r="H36" s="4">
        <v>2.20788012575465E-2</v>
      </c>
      <c r="I36" s="4">
        <v>0.88271868021404098</v>
      </c>
      <c r="J36" s="4">
        <v>4.7716198575525302E-2</v>
      </c>
      <c r="K36" s="4">
        <v>0.117753527006668</v>
      </c>
      <c r="L36" s="4">
        <v>4.8792092121822603E-3</v>
      </c>
      <c r="M36" s="4">
        <v>1.05306761500841</v>
      </c>
      <c r="N36" s="4">
        <f t="shared" si="0"/>
        <v>2.5038580908645747E-2</v>
      </c>
      <c r="P36" s="1">
        <v>37469</v>
      </c>
      <c r="Q36">
        <v>5.9208263440461303E-2</v>
      </c>
      <c r="R36">
        <v>7.6931177886787799E-2</v>
      </c>
      <c r="S36">
        <v>7.6931177886787799E-2</v>
      </c>
      <c r="T36">
        <v>-1.6259688533843599E-2</v>
      </c>
      <c r="U36">
        <v>0.960460057024349</v>
      </c>
      <c r="V36">
        <v>3.1921768083534398E-2</v>
      </c>
      <c r="Y36" s="1">
        <v>37561</v>
      </c>
      <c r="Z36" s="4">
        <f t="shared" si="1"/>
        <v>5.6778499001901003E-2</v>
      </c>
      <c r="AA36" s="4">
        <f t="shared" si="2"/>
        <v>5.3493760794290302E-2</v>
      </c>
      <c r="AC36" s="1">
        <v>37561</v>
      </c>
      <c r="AD36" s="4">
        <f t="shared" si="3"/>
        <v>5.58336899465414E-2</v>
      </c>
      <c r="AE36" s="4">
        <f t="shared" si="4"/>
        <v>5.0064815751527998E-2</v>
      </c>
      <c r="AG36" s="1">
        <v>37561</v>
      </c>
      <c r="AH36" s="4">
        <f t="shared" si="5"/>
        <v>1.7723484873748901E-2</v>
      </c>
      <c r="AI36" s="4">
        <f t="shared" si="6"/>
        <v>1.54708530520303E-2</v>
      </c>
      <c r="AK36" s="1">
        <v>37561</v>
      </c>
      <c r="AL36" s="4">
        <f t="shared" si="7"/>
        <v>5.58336899465414E-2</v>
      </c>
      <c r="AM36" s="4">
        <f t="shared" si="8"/>
        <v>2.9882570794571701E-2</v>
      </c>
      <c r="AO36" s="1">
        <v>37561</v>
      </c>
      <c r="AP36" s="4">
        <f t="shared" si="9"/>
        <v>4.0475923998581298E-2</v>
      </c>
      <c r="AQ36" s="4">
        <f t="shared" si="10"/>
        <v>2.2208170020440621E-2</v>
      </c>
    </row>
    <row r="37" spans="1:43" x14ac:dyDescent="0.25">
      <c r="A37" s="1">
        <v>37865</v>
      </c>
      <c r="B37" s="4">
        <v>5.6873549619866903E-2</v>
      </c>
      <c r="C37" s="4">
        <v>1.20324605243044E-2</v>
      </c>
      <c r="D37" s="4">
        <v>4.8027375031858903E-4</v>
      </c>
      <c r="E37" s="4">
        <v>3.2286874040361999E-3</v>
      </c>
      <c r="F37" s="4">
        <v>4.4328378962084499E-4</v>
      </c>
      <c r="G37" s="4">
        <v>4.76910534272718E-3</v>
      </c>
      <c r="H37" s="4">
        <v>2.0953810811007199E-2</v>
      </c>
      <c r="I37" s="4">
        <v>0.94078143042362705</v>
      </c>
      <c r="J37" s="4">
        <v>6.8135507605245005E-2</v>
      </c>
      <c r="K37" s="4">
        <v>4.1913687325672098E-2</v>
      </c>
      <c r="L37" s="4">
        <v>7.3972339265916598E-3</v>
      </c>
      <c r="M37" s="4">
        <v>1.0582278592811301</v>
      </c>
      <c r="N37" s="4">
        <f t="shared" si="0"/>
        <v>1.959950114974407E-2</v>
      </c>
      <c r="P37" s="1">
        <v>37500</v>
      </c>
      <c r="Q37">
        <v>5.2083543628963301E-2</v>
      </c>
      <c r="R37">
        <v>6.0093231982947498E-2</v>
      </c>
      <c r="S37">
        <v>6.0093231982947498E-2</v>
      </c>
      <c r="T37">
        <v>-1.7067800273858999E-2</v>
      </c>
      <c r="U37">
        <v>0.97053145563562204</v>
      </c>
      <c r="V37">
        <v>1.5626210924989201E-2</v>
      </c>
      <c r="Y37" s="1">
        <v>37591</v>
      </c>
      <c r="Z37" s="4">
        <f t="shared" si="1"/>
        <v>5.2193501077200097E-2</v>
      </c>
      <c r="AA37" s="4">
        <f t="shared" si="2"/>
        <v>6.1729303328711502E-2</v>
      </c>
      <c r="AC37" s="1">
        <v>37591</v>
      </c>
      <c r="AD37" s="4">
        <f t="shared" si="3"/>
        <v>7.0087656862426406E-2</v>
      </c>
      <c r="AE37" s="4">
        <f t="shared" si="4"/>
        <v>8.7192597857804505E-2</v>
      </c>
      <c r="AG37" s="1">
        <v>37591</v>
      </c>
      <c r="AH37" s="4">
        <f t="shared" si="5"/>
        <v>1.45741439831901E-2</v>
      </c>
      <c r="AI37" s="4">
        <f t="shared" si="6"/>
        <v>2.69786089415541E-2</v>
      </c>
      <c r="AK37" s="1">
        <v>37591</v>
      </c>
      <c r="AL37" s="4">
        <f t="shared" si="7"/>
        <v>7.0087656862426406E-2</v>
      </c>
      <c r="AM37" s="4">
        <f t="shared" si="8"/>
        <v>1.2160913601553219E-2</v>
      </c>
      <c r="AO37" s="1">
        <v>37591</v>
      </c>
      <c r="AP37" s="4">
        <f t="shared" si="9"/>
        <v>2.2538262379534699E-2</v>
      </c>
      <c r="AQ37" s="4">
        <f t="shared" si="10"/>
        <v>-3.7809557718437858E-4</v>
      </c>
    </row>
    <row r="38" spans="1:43" x14ac:dyDescent="0.25">
      <c r="A38" s="1">
        <v>37895</v>
      </c>
      <c r="B38" s="4">
        <v>6.4546723598257597E-2</v>
      </c>
      <c r="C38" s="4">
        <v>1.81853497977537E-2</v>
      </c>
      <c r="D38" s="4">
        <v>5.1873414858634903E-4</v>
      </c>
      <c r="E38" s="4">
        <v>2.98790616668063E-3</v>
      </c>
      <c r="F38" s="4">
        <v>-8.37157499668853E-4</v>
      </c>
      <c r="G38" s="4">
        <v>6.8415495301487302E-3</v>
      </c>
      <c r="H38" s="4">
        <v>2.7696382143500502E-2</v>
      </c>
      <c r="I38" s="4">
        <v>0.97102891088459198</v>
      </c>
      <c r="J38" s="4">
        <v>6.6315709545709103E-2</v>
      </c>
      <c r="K38" s="4">
        <v>1.1156451500873899E-2</v>
      </c>
      <c r="L38" s="4">
        <v>3.3717403511020698E-2</v>
      </c>
      <c r="M38" s="4">
        <v>1.08221847544219</v>
      </c>
      <c r="N38" s="4">
        <f t="shared" si="0"/>
        <v>1.0024630299568127E-2</v>
      </c>
      <c r="P38" s="1">
        <v>37530</v>
      </c>
      <c r="Q38">
        <v>5.1062548932903802E-2</v>
      </c>
      <c r="R38">
        <v>5.8583725963730397E-2</v>
      </c>
      <c r="S38">
        <v>5.8583725963730397E-2</v>
      </c>
      <c r="T38">
        <v>-6.9790738831106199E-3</v>
      </c>
      <c r="U38">
        <v>0.92081654640659805</v>
      </c>
      <c r="V38">
        <v>4.8170396481490102E-2</v>
      </c>
      <c r="Y38" s="1">
        <v>37622</v>
      </c>
      <c r="Z38" s="4">
        <f t="shared" si="1"/>
        <v>5.2693852818339201E-2</v>
      </c>
      <c r="AA38" s="4">
        <f t="shared" si="2"/>
        <v>5.8546508269076897E-2</v>
      </c>
      <c r="AC38" s="1">
        <v>37622</v>
      </c>
      <c r="AD38" s="4">
        <f t="shared" si="3"/>
        <v>5.1219088795806597E-2</v>
      </c>
      <c r="AE38" s="4">
        <f t="shared" si="4"/>
        <v>5.6793697430251699E-2</v>
      </c>
      <c r="AG38" s="1">
        <v>37622</v>
      </c>
      <c r="AH38" s="4">
        <f t="shared" si="5"/>
        <v>1.45142145902535E-2</v>
      </c>
      <c r="AI38" s="4">
        <f t="shared" si="6"/>
        <v>2.8995691983894401E-2</v>
      </c>
      <c r="AK38" s="1">
        <v>37622</v>
      </c>
      <c r="AL38" s="4">
        <f t="shared" si="7"/>
        <v>5.1219088795806597E-2</v>
      </c>
      <c r="AM38" s="4">
        <f t="shared" si="8"/>
        <v>1.6475156745834749E-2</v>
      </c>
      <c r="AO38" s="1">
        <v>37622</v>
      </c>
      <c r="AP38" s="4">
        <f t="shared" si="9"/>
        <v>4.33830419130272E-2</v>
      </c>
      <c r="AQ38" s="4">
        <f t="shared" si="10"/>
        <v>2.1570149993961341E-2</v>
      </c>
    </row>
    <row r="39" spans="1:43" x14ac:dyDescent="0.25">
      <c r="A39" s="1">
        <v>37926</v>
      </c>
      <c r="B39" s="4">
        <v>5.80016125963514E-2</v>
      </c>
      <c r="C39" s="4">
        <v>1.51015477344114E-2</v>
      </c>
      <c r="D39" s="4">
        <v>3.04847645073422E-4</v>
      </c>
      <c r="E39" s="4">
        <v>2.6501308772510501E-3</v>
      </c>
      <c r="F39" s="4">
        <v>-7.2695945175572701E-4</v>
      </c>
      <c r="G39" s="4">
        <v>5.8468198262325802E-3</v>
      </c>
      <c r="H39" s="4">
        <v>2.3176386631212801E-2</v>
      </c>
      <c r="I39" s="4">
        <v>0.84386431231709502</v>
      </c>
      <c r="J39" s="4">
        <v>4.34169905438389E-2</v>
      </c>
      <c r="K39" s="4">
        <v>0.14599055131873501</v>
      </c>
      <c r="L39" s="4">
        <v>1.4345925160748001E-2</v>
      </c>
      <c r="M39" s="4">
        <v>1.04761777934041</v>
      </c>
      <c r="N39" s="4">
        <f t="shared" si="0"/>
        <v>3.3560219887154297E-2</v>
      </c>
      <c r="P39" s="1">
        <v>37561</v>
      </c>
      <c r="Q39">
        <v>5.6778499001901003E-2</v>
      </c>
      <c r="R39">
        <v>5.58336899465414E-2</v>
      </c>
      <c r="S39">
        <v>5.58336899465414E-2</v>
      </c>
      <c r="T39">
        <v>-1.7723484873748901E-2</v>
      </c>
      <c r="U39">
        <v>0.96890063612669697</v>
      </c>
      <c r="V39">
        <v>4.0475923998581298E-2</v>
      </c>
      <c r="Y39" s="1">
        <v>37653</v>
      </c>
      <c r="Z39" s="4">
        <f t="shared" si="1"/>
        <v>5.8334266147765802E-2</v>
      </c>
      <c r="AA39" s="4">
        <f t="shared" si="2"/>
        <v>5.4348347751179797E-2</v>
      </c>
      <c r="AC39" s="1">
        <v>37653</v>
      </c>
      <c r="AD39" s="4">
        <f t="shared" si="3"/>
        <v>5.5233917163221201E-2</v>
      </c>
      <c r="AE39" s="4">
        <f t="shared" si="4"/>
        <v>7.1143738875673407E-2</v>
      </c>
      <c r="AG39" s="1">
        <v>37653</v>
      </c>
      <c r="AH39" s="4">
        <f t="shared" si="5"/>
        <v>1.6872377819603001E-2</v>
      </c>
      <c r="AI39" s="4">
        <f t="shared" si="6"/>
        <v>2.64565154149498E-2</v>
      </c>
      <c r="AK39" s="1">
        <v>37653</v>
      </c>
      <c r="AL39" s="4">
        <f t="shared" si="7"/>
        <v>5.5233917163221201E-2</v>
      </c>
      <c r="AM39" s="4">
        <f t="shared" si="8"/>
        <v>2.9556459239458203E-2</v>
      </c>
      <c r="AO39" s="1">
        <v>37653</v>
      </c>
      <c r="AP39" s="4">
        <f t="shared" si="9"/>
        <v>3.4565036682291099E-2</v>
      </c>
      <c r="AQ39" s="4">
        <f t="shared" si="10"/>
        <v>1.7790067950139488E-2</v>
      </c>
    </row>
    <row r="40" spans="1:43" x14ac:dyDescent="0.25">
      <c r="A40" s="1">
        <v>37956</v>
      </c>
      <c r="B40" s="4">
        <v>6.0825361446789399E-2</v>
      </c>
      <c r="C40" s="4">
        <v>1.29700185523708E-2</v>
      </c>
      <c r="D40" s="4">
        <v>3.2849037719918499E-4</v>
      </c>
      <c r="E40" s="4">
        <v>3.10172304786449E-3</v>
      </c>
      <c r="F40" s="4">
        <v>5.3184156308439497E-5</v>
      </c>
      <c r="G40" s="4">
        <v>6.6373168445609801E-3</v>
      </c>
      <c r="H40" s="4">
        <v>2.3090732978303899E-2</v>
      </c>
      <c r="I40" s="4">
        <v>0.98313654472381196</v>
      </c>
      <c r="J40" s="4">
        <v>5.6320786604407397E-2</v>
      </c>
      <c r="K40" s="4">
        <v>2.24782095681881E-2</v>
      </c>
      <c r="L40" s="4">
        <v>2.6732036460294598E-3</v>
      </c>
      <c r="M40" s="4">
        <v>1.0646087445424299</v>
      </c>
      <c r="N40" s="4">
        <f t="shared" si="0"/>
        <v>1.9307349882663472E-2</v>
      </c>
      <c r="P40" s="1">
        <v>37591</v>
      </c>
      <c r="Q40">
        <v>5.2193501077200097E-2</v>
      </c>
      <c r="R40">
        <v>7.0087656862426406E-2</v>
      </c>
      <c r="S40">
        <v>7.0087656862426406E-2</v>
      </c>
      <c r="T40">
        <v>-1.45741439831901E-2</v>
      </c>
      <c r="U40">
        <v>0.94039574150263605</v>
      </c>
      <c r="V40">
        <v>2.2538262379534699E-2</v>
      </c>
      <c r="Y40" s="1">
        <v>37681</v>
      </c>
      <c r="Z40" s="4">
        <f t="shared" si="1"/>
        <v>5.6849174817973198E-2</v>
      </c>
      <c r="AA40" s="4">
        <f t="shared" si="2"/>
        <v>5.7391250328026798E-2</v>
      </c>
      <c r="AC40" s="1">
        <v>37681</v>
      </c>
      <c r="AD40" s="4">
        <f t="shared" si="3"/>
        <v>4.3892005714373697E-2</v>
      </c>
      <c r="AE40" s="4">
        <f t="shared" si="4"/>
        <v>5.6992714921634602E-2</v>
      </c>
      <c r="AG40" s="1">
        <v>37681</v>
      </c>
      <c r="AH40" s="4">
        <f t="shared" si="5"/>
        <v>1.42004437006791E-2</v>
      </c>
      <c r="AI40" s="4">
        <f t="shared" si="6"/>
        <v>2.0912698072794798E-2</v>
      </c>
      <c r="AK40" s="1">
        <v>37681</v>
      </c>
      <c r="AL40" s="4">
        <f t="shared" si="7"/>
        <v>4.3892005714373697E-2</v>
      </c>
      <c r="AM40" s="4">
        <f t="shared" si="8"/>
        <v>2.5121967395817867E-2</v>
      </c>
      <c r="AO40" s="1">
        <v>37681</v>
      </c>
      <c r="AP40" s="4">
        <f t="shared" si="9"/>
        <v>5.3538498491050399E-2</v>
      </c>
      <c r="AQ40" s="4">
        <f t="shared" si="10"/>
        <v>1.2791793011241559E-2</v>
      </c>
    </row>
    <row r="41" spans="1:43" x14ac:dyDescent="0.25">
      <c r="A41" s="1">
        <v>37987</v>
      </c>
      <c r="B41" s="4">
        <v>6.1756026604031497E-2</v>
      </c>
      <c r="C41" s="4">
        <v>1.33115987867838E-2</v>
      </c>
      <c r="D41" s="4">
        <v>3.4050548711165798E-4</v>
      </c>
      <c r="E41" s="4">
        <v>3.9425022565721304E-3</v>
      </c>
      <c r="F41" s="4">
        <v>5.8617696930015305E-4</v>
      </c>
      <c r="G41" s="4">
        <v>8.5128012504643406E-3</v>
      </c>
      <c r="H41" s="4">
        <v>2.6693584750232102E-2</v>
      </c>
      <c r="I41" s="4">
        <v>0.986427332604495</v>
      </c>
      <c r="J41" s="4">
        <v>5.6336649249891201E-2</v>
      </c>
      <c r="K41" s="4">
        <v>6.2395196768563702E-3</v>
      </c>
      <c r="L41" s="4">
        <v>1.5592099557998401E-2</v>
      </c>
      <c r="M41" s="4">
        <v>1.0645956010892399</v>
      </c>
      <c r="N41" s="4">
        <f t="shared" si="0"/>
        <v>2.3854010265023762E-2</v>
      </c>
      <c r="P41" s="1">
        <v>37622</v>
      </c>
      <c r="Q41">
        <v>5.2693852818339201E-2</v>
      </c>
      <c r="R41">
        <v>5.1219088795806597E-2</v>
      </c>
      <c r="S41">
        <v>5.1219088795806597E-2</v>
      </c>
      <c r="T41">
        <v>-1.45142145902535E-2</v>
      </c>
      <c r="U41">
        <v>0.96097012531785297</v>
      </c>
      <c r="V41">
        <v>4.33830419130272E-2</v>
      </c>
      <c r="Y41" s="1">
        <v>37712</v>
      </c>
      <c r="Z41" s="4">
        <f t="shared" si="1"/>
        <v>5.1332781587071601E-2</v>
      </c>
      <c r="AA41" s="4">
        <f t="shared" si="2"/>
        <v>6.0843516632990598E-2</v>
      </c>
      <c r="AC41" s="1">
        <v>37712</v>
      </c>
      <c r="AD41" s="4">
        <f t="shared" si="3"/>
        <v>7.5240238489709899E-2</v>
      </c>
      <c r="AE41" s="4">
        <f t="shared" si="4"/>
        <v>6.4250311747323097E-2</v>
      </c>
      <c r="AG41" s="1">
        <v>37712</v>
      </c>
      <c r="AH41" s="4">
        <f t="shared" si="5"/>
        <v>1.71014638360323E-2</v>
      </c>
      <c r="AI41" s="4">
        <f t="shared" si="6"/>
        <v>2.5075979522344301E-2</v>
      </c>
      <c r="AK41" s="1">
        <v>37712</v>
      </c>
      <c r="AL41" s="4">
        <f t="shared" si="7"/>
        <v>7.5240238489709899E-2</v>
      </c>
      <c r="AM41" s="4">
        <f t="shared" si="8"/>
        <v>1.8082840589147411E-2</v>
      </c>
      <c r="AO41" s="1">
        <v>37712</v>
      </c>
      <c r="AP41" s="4">
        <f t="shared" si="9"/>
        <v>2.49021507682845E-2</v>
      </c>
      <c r="AQ41" s="4">
        <f t="shared" si="10"/>
        <v>-2.7417165682150912E-3</v>
      </c>
    </row>
    <row r="42" spans="1:43" x14ac:dyDescent="0.25">
      <c r="A42" s="1">
        <v>38018</v>
      </c>
      <c r="B42" s="4">
        <v>5.7340995626126198E-2</v>
      </c>
      <c r="C42" s="4">
        <v>1.41714932327296E-2</v>
      </c>
      <c r="D42" s="4">
        <v>6.8282833255160498E-4</v>
      </c>
      <c r="E42" s="4">
        <v>2.5849481675690399E-3</v>
      </c>
      <c r="F42" s="4">
        <v>-4.5296532951443098E-4</v>
      </c>
      <c r="G42" s="4">
        <v>7.6763648964548997E-3</v>
      </c>
      <c r="H42" s="4">
        <v>2.4662669299790801E-2</v>
      </c>
      <c r="I42" s="4">
        <v>0.96662801318379599</v>
      </c>
      <c r="J42" s="4">
        <v>7.7522796274761496E-2</v>
      </c>
      <c r="K42" s="4">
        <v>2.38575215098922E-4</v>
      </c>
      <c r="L42" s="4">
        <v>2.18936495157811E-2</v>
      </c>
      <c r="M42" s="4">
        <v>1.06628303418943</v>
      </c>
      <c r="N42" s="4">
        <f t="shared" si="0"/>
        <v>1.5720630736486996E-2</v>
      </c>
      <c r="P42" s="1">
        <v>37653</v>
      </c>
      <c r="Q42">
        <v>5.8334266147765802E-2</v>
      </c>
      <c r="R42">
        <v>5.5233917163221201E-2</v>
      </c>
      <c r="S42">
        <v>5.5233917163221201E-2</v>
      </c>
      <c r="T42">
        <v>-1.6872377819603001E-2</v>
      </c>
      <c r="U42">
        <v>0.96894001597222301</v>
      </c>
      <c r="V42">
        <v>3.4565036682291099E-2</v>
      </c>
      <c r="Y42" s="1">
        <v>37742</v>
      </c>
      <c r="Z42" s="4">
        <f t="shared" si="1"/>
        <v>5.3851236788216301E-2</v>
      </c>
      <c r="AA42" s="4">
        <f t="shared" si="2"/>
        <v>6.03122387591562E-2</v>
      </c>
      <c r="AC42" s="1">
        <v>37742</v>
      </c>
      <c r="AD42" s="4">
        <f t="shared" si="3"/>
        <v>6.2386256739830802E-2</v>
      </c>
      <c r="AE42" s="4">
        <f t="shared" si="4"/>
        <v>5.9840087084134602E-2</v>
      </c>
      <c r="AG42" s="1">
        <v>37742</v>
      </c>
      <c r="AH42" s="4">
        <f t="shared" si="5"/>
        <v>1.39553271642165E-2</v>
      </c>
      <c r="AI42" s="4">
        <f t="shared" si="6"/>
        <v>2.0181732264885899E-2</v>
      </c>
      <c r="AK42" s="1">
        <v>37742</v>
      </c>
      <c r="AL42" s="4">
        <f t="shared" si="7"/>
        <v>6.2386256739830802E-2</v>
      </c>
      <c r="AM42" s="4">
        <f t="shared" si="8"/>
        <v>1.8516223303461834E-2</v>
      </c>
      <c r="AO42" s="1">
        <v>37742</v>
      </c>
      <c r="AP42" s="4">
        <f t="shared" si="9"/>
        <v>2.6850147656266001E-2</v>
      </c>
      <c r="AQ42" s="4">
        <f t="shared" si="10"/>
        <v>1.2520157140042176E-2</v>
      </c>
    </row>
    <row r="43" spans="1:43" x14ac:dyDescent="0.25">
      <c r="A43" s="1">
        <v>38047</v>
      </c>
      <c r="B43" s="4">
        <v>6.2570811119258496E-2</v>
      </c>
      <c r="C43" s="4">
        <v>1.32813558201461E-2</v>
      </c>
      <c r="D43" s="4">
        <v>4.7832606961512801E-4</v>
      </c>
      <c r="E43" s="4">
        <v>2.7994922673528302E-3</v>
      </c>
      <c r="F43" s="4">
        <v>-2.78545873390545E-4</v>
      </c>
      <c r="G43" s="4">
        <v>8.8863397447558508E-3</v>
      </c>
      <c r="H43" s="4">
        <v>2.5166968028479401E-2</v>
      </c>
      <c r="I43" s="4">
        <v>0.89014801484469697</v>
      </c>
      <c r="J43" s="4">
        <v>5.85715213628741E-2</v>
      </c>
      <c r="K43" s="4">
        <v>9.5274893920557699E-2</v>
      </c>
      <c r="L43" s="4">
        <v>7.8917377685974507E-3</v>
      </c>
      <c r="M43" s="4">
        <v>1.05188616789672</v>
      </c>
      <c r="N43" s="4">
        <f t="shared" si="0"/>
        <v>3.5851611251017879E-2</v>
      </c>
      <c r="P43" s="1">
        <v>37681</v>
      </c>
      <c r="Q43">
        <v>5.6849174817973198E-2</v>
      </c>
      <c r="R43">
        <v>4.3892005714373697E-2</v>
      </c>
      <c r="S43">
        <v>4.3892005714373697E-2</v>
      </c>
      <c r="T43">
        <v>-1.42004437006791E-2</v>
      </c>
      <c r="U43">
        <v>0.96570543295946998</v>
      </c>
      <c r="V43">
        <v>5.3538498491050399E-2</v>
      </c>
      <c r="Y43" s="1">
        <v>37773</v>
      </c>
      <c r="Z43" s="4">
        <f t="shared" si="1"/>
        <v>5.77285056941979E-2</v>
      </c>
      <c r="AA43" s="4">
        <f t="shared" si="2"/>
        <v>5.7111075898663301E-2</v>
      </c>
      <c r="AC43" s="1">
        <v>37773</v>
      </c>
      <c r="AD43" s="4">
        <f t="shared" si="3"/>
        <v>6.3750977826210295E-2</v>
      </c>
      <c r="AE43" s="4">
        <f t="shared" si="4"/>
        <v>4.1715037822696401E-2</v>
      </c>
      <c r="AG43" s="1">
        <v>37773</v>
      </c>
      <c r="AH43" s="4">
        <f t="shared" si="5"/>
        <v>2.5431497758928601E-2</v>
      </c>
      <c r="AI43" s="4">
        <f t="shared" si="6"/>
        <v>2.0913197130653999E-2</v>
      </c>
      <c r="AK43" s="1">
        <v>37773</v>
      </c>
      <c r="AL43" s="4">
        <f t="shared" si="7"/>
        <v>6.3750977826210295E-2</v>
      </c>
      <c r="AM43" s="4">
        <f t="shared" si="8"/>
        <v>2.055966454118718E-2</v>
      </c>
      <c r="AO43" s="1">
        <v>37773</v>
      </c>
      <c r="AP43" s="4">
        <f t="shared" si="9"/>
        <v>4.8517949214779602E-2</v>
      </c>
      <c r="AQ43" s="4">
        <f t="shared" si="10"/>
        <v>9.6816281686071815E-3</v>
      </c>
    </row>
    <row r="44" spans="1:43" x14ac:dyDescent="0.25">
      <c r="A44" s="1">
        <v>38078</v>
      </c>
      <c r="B44" s="4">
        <v>5.69432430423846E-2</v>
      </c>
      <c r="C44" s="4">
        <v>1.8386353394163502E-2</v>
      </c>
      <c r="D44" s="4">
        <v>7.17775123219758E-4</v>
      </c>
      <c r="E44" s="4">
        <v>2.8115864751246302E-3</v>
      </c>
      <c r="F44" s="4">
        <v>-1.3375625202378201E-4</v>
      </c>
      <c r="G44" s="4">
        <v>7.8492376749417E-3</v>
      </c>
      <c r="H44" s="4">
        <v>2.96311964154258E-2</v>
      </c>
      <c r="I44" s="4">
        <v>0.99948026056191897</v>
      </c>
      <c r="J44" s="4">
        <v>5.5697520343125702E-2</v>
      </c>
      <c r="K44" s="4">
        <v>7.8287985173290699E-3</v>
      </c>
      <c r="L44" s="4">
        <v>9.4552573661755707E-3</v>
      </c>
      <c r="M44" s="4">
        <v>1.0724618367885399</v>
      </c>
      <c r="N44" s="4">
        <f t="shared" si="0"/>
        <v>1.4112602669270391E-2</v>
      </c>
      <c r="P44" s="1">
        <v>37712</v>
      </c>
      <c r="Q44">
        <v>5.1332781587071601E-2</v>
      </c>
      <c r="R44">
        <v>7.5240238489709899E-2</v>
      </c>
      <c r="S44">
        <v>7.5240238489709899E-2</v>
      </c>
      <c r="T44">
        <v>-1.71014638360323E-2</v>
      </c>
      <c r="U44">
        <v>0.95260919717119097</v>
      </c>
      <c r="V44">
        <v>2.49021507682845E-2</v>
      </c>
      <c r="Y44" s="1">
        <v>37803</v>
      </c>
      <c r="Z44" s="4">
        <f t="shared" si="1"/>
        <v>5.50202748889249E-2</v>
      </c>
      <c r="AA44" s="4">
        <f t="shared" si="2"/>
        <v>5.6170970602855301E-2</v>
      </c>
      <c r="AC44" s="1">
        <v>37803</v>
      </c>
      <c r="AD44" s="4">
        <f t="shared" si="3"/>
        <v>6.2693112141176704E-2</v>
      </c>
      <c r="AE44" s="4">
        <f t="shared" si="4"/>
        <v>5.0447231251871998E-2</v>
      </c>
      <c r="AG44" s="1">
        <v>37803</v>
      </c>
      <c r="AH44" s="4">
        <f t="shared" si="5"/>
        <v>1.95071745011158E-2</v>
      </c>
      <c r="AI44" s="4">
        <f t="shared" si="6"/>
        <v>1.9591208761258899E-2</v>
      </c>
      <c r="AK44" s="1">
        <v>37803</v>
      </c>
      <c r="AL44" s="4">
        <f t="shared" si="7"/>
        <v>6.2693112141176704E-2</v>
      </c>
      <c r="AM44" s="4">
        <f t="shared" si="8"/>
        <v>2.4355732956314407E-3</v>
      </c>
      <c r="AO44" s="1">
        <v>37803</v>
      </c>
      <c r="AP44" s="4">
        <f t="shared" si="9"/>
        <v>4.0566189159457797E-2</v>
      </c>
      <c r="AQ44" s="4">
        <f t="shared" si="10"/>
        <v>2.8926423311924188E-2</v>
      </c>
    </row>
    <row r="45" spans="1:43" x14ac:dyDescent="0.25">
      <c r="A45" s="1">
        <v>38108</v>
      </c>
      <c r="B45" s="4">
        <v>5.8789520085235802E-2</v>
      </c>
      <c r="C45" s="4">
        <v>1.4590355672439E-2</v>
      </c>
      <c r="D45" s="4">
        <v>6.1288207624824202E-4</v>
      </c>
      <c r="E45" s="4">
        <v>2.9219248756893199E-3</v>
      </c>
      <c r="F45" s="4">
        <v>-3.0847082762937398E-4</v>
      </c>
      <c r="G45" s="4">
        <v>9.0921990858142503E-3</v>
      </c>
      <c r="H45" s="4">
        <v>2.69088908825614E-2</v>
      </c>
      <c r="I45" s="4">
        <v>1.0105090350433501</v>
      </c>
      <c r="J45" s="4">
        <v>5.5209645594035198E-2</v>
      </c>
      <c r="K45" s="4">
        <v>0</v>
      </c>
      <c r="L45" s="4">
        <v>6.8729244419576101E-3</v>
      </c>
      <c r="M45" s="4">
        <v>1.07259160507935</v>
      </c>
      <c r="N45" s="4">
        <f t="shared" si="0"/>
        <v>1.3106805888447148E-2</v>
      </c>
      <c r="P45" s="1">
        <v>37742</v>
      </c>
      <c r="Q45">
        <v>5.3851236788216301E-2</v>
      </c>
      <c r="R45">
        <v>6.2386256739830802E-2</v>
      </c>
      <c r="S45">
        <v>6.2386256739830802E-2</v>
      </c>
      <c r="T45">
        <v>-1.39553271642165E-2</v>
      </c>
      <c r="U45">
        <v>0.971963083311434</v>
      </c>
      <c r="V45">
        <v>2.6850147656266001E-2</v>
      </c>
      <c r="Y45" s="1">
        <v>37834</v>
      </c>
      <c r="Z45" s="4">
        <f t="shared" si="1"/>
        <v>5.3273235157927798E-2</v>
      </c>
      <c r="AA45" s="4">
        <f t="shared" si="2"/>
        <v>5.6027394659509101E-2</v>
      </c>
      <c r="AC45" s="1">
        <v>37834</v>
      </c>
      <c r="AD45" s="4">
        <f t="shared" si="3"/>
        <v>5.04178614887918E-2</v>
      </c>
      <c r="AE45" s="4">
        <f t="shared" si="4"/>
        <v>4.7716198575525302E-2</v>
      </c>
      <c r="AG45" s="1">
        <v>37834</v>
      </c>
      <c r="AH45" s="4">
        <f t="shared" si="5"/>
        <v>1.5999177129806301E-2</v>
      </c>
      <c r="AI45" s="4">
        <f t="shared" si="6"/>
        <v>2.20788012575465E-2</v>
      </c>
      <c r="AK45" s="1">
        <v>37834</v>
      </c>
      <c r="AL45" s="4">
        <f t="shared" si="7"/>
        <v>5.04178614887918E-2</v>
      </c>
      <c r="AM45" s="4">
        <f t="shared" si="8"/>
        <v>0.12263273621885026</v>
      </c>
      <c r="AO45" s="1">
        <v>37834</v>
      </c>
      <c r="AP45" s="4">
        <f t="shared" si="9"/>
        <v>4.7986155841280798E-2</v>
      </c>
      <c r="AQ45" s="4">
        <f t="shared" si="10"/>
        <v>2.5038580908645747E-2</v>
      </c>
    </row>
    <row r="46" spans="1:43" x14ac:dyDescent="0.25">
      <c r="A46" s="1">
        <v>38139</v>
      </c>
      <c r="B46" s="4">
        <v>6.1327157895436801E-2</v>
      </c>
      <c r="C46" s="4">
        <v>1.25857423487243E-2</v>
      </c>
      <c r="D46" s="4">
        <v>7.69470416606532E-4</v>
      </c>
      <c r="E46" s="4">
        <v>3.2252157834077801E-3</v>
      </c>
      <c r="F46" s="4">
        <v>2.4168097698199799E-4</v>
      </c>
      <c r="G46" s="4">
        <v>7.0728708671951596E-3</v>
      </c>
      <c r="H46" s="4">
        <v>2.38949803929158E-2</v>
      </c>
      <c r="I46" s="4">
        <v>0.96053057250155605</v>
      </c>
      <c r="J46" s="4">
        <v>4.8460312080551002E-2</v>
      </c>
      <c r="K46" s="4">
        <v>1.0413605688339199E-2</v>
      </c>
      <c r="L46" s="4">
        <v>2.4919425944617601E-2</v>
      </c>
      <c r="M46" s="4">
        <v>1.0443239162150599</v>
      </c>
      <c r="N46" s="4">
        <f t="shared" si="0"/>
        <v>4.0898222073292745E-2</v>
      </c>
      <c r="P46" s="1">
        <v>37773</v>
      </c>
      <c r="Q46">
        <v>5.77285056941979E-2</v>
      </c>
      <c r="R46">
        <v>6.3750977826210295E-2</v>
      </c>
      <c r="S46">
        <v>6.3750977826210295E-2</v>
      </c>
      <c r="T46">
        <v>-2.5431497758928601E-2</v>
      </c>
      <c r="U46">
        <v>0.93133885565265395</v>
      </c>
      <c r="V46">
        <v>4.8517949214779602E-2</v>
      </c>
      <c r="Y46" s="1">
        <v>37865</v>
      </c>
      <c r="Z46" s="4">
        <f t="shared" si="1"/>
        <v>6.0545408975682898E-2</v>
      </c>
      <c r="AA46" s="4">
        <f t="shared" si="2"/>
        <v>5.6873549619866903E-2</v>
      </c>
      <c r="AC46" s="1">
        <v>37865</v>
      </c>
      <c r="AD46" s="4">
        <f t="shared" si="3"/>
        <v>7.3833668197861899E-2</v>
      </c>
      <c r="AE46" s="4">
        <f t="shared" si="4"/>
        <v>6.8135507605245005E-2</v>
      </c>
      <c r="AG46" s="1">
        <v>37865</v>
      </c>
      <c r="AH46" s="4">
        <f t="shared" si="5"/>
        <v>1.8737120551260599E-2</v>
      </c>
      <c r="AI46" s="4">
        <f t="shared" si="6"/>
        <v>2.0953810811007199E-2</v>
      </c>
      <c r="AK46" s="1">
        <v>37865</v>
      </c>
      <c r="AL46" s="4">
        <f t="shared" si="7"/>
        <v>7.3833668197861899E-2</v>
      </c>
      <c r="AM46" s="4">
        <f t="shared" si="8"/>
        <v>4.9310921252263759E-2</v>
      </c>
      <c r="AO46" s="1">
        <v>37865</v>
      </c>
      <c r="AP46" s="4">
        <f t="shared" si="9"/>
        <v>2.0324092810373302E-2</v>
      </c>
      <c r="AQ46" s="4">
        <f t="shared" si="10"/>
        <v>1.959950114974407E-2</v>
      </c>
    </row>
    <row r="47" spans="1:43" x14ac:dyDescent="0.25">
      <c r="A47" s="1">
        <v>38169</v>
      </c>
      <c r="B47" s="4">
        <v>5.9783044112457301E-2</v>
      </c>
      <c r="C47" s="4">
        <v>1.9617586678730502E-2</v>
      </c>
      <c r="D47" s="4">
        <v>1.07367569072083E-3</v>
      </c>
      <c r="E47" s="4">
        <v>3.1925610674997502E-3</v>
      </c>
      <c r="F47" s="4">
        <v>-1.34626352084959E-4</v>
      </c>
      <c r="G47" s="4">
        <v>8.0604357592528406E-3</v>
      </c>
      <c r="H47" s="4">
        <v>3.1809632844119001E-2</v>
      </c>
      <c r="I47" s="4">
        <v>0.99288207647354698</v>
      </c>
      <c r="J47" s="4">
        <v>7.0578640145023505E-2</v>
      </c>
      <c r="K47" s="4">
        <v>7.0826801700524104E-4</v>
      </c>
      <c r="L47" s="4">
        <v>3.5930110505856799E-3</v>
      </c>
      <c r="M47" s="4">
        <v>1.0677619956861599</v>
      </c>
      <c r="N47" s="4">
        <f t="shared" si="0"/>
        <v>2.3830681270416321E-2</v>
      </c>
      <c r="P47" s="1">
        <v>37803</v>
      </c>
      <c r="Q47">
        <v>5.50202748889249E-2</v>
      </c>
      <c r="R47">
        <v>6.2693112141176704E-2</v>
      </c>
      <c r="S47">
        <v>6.2693112141176704E-2</v>
      </c>
      <c r="T47">
        <v>-1.95071745011158E-2</v>
      </c>
      <c r="U47">
        <v>0.96134880399446998</v>
      </c>
      <c r="V47">
        <v>4.0566189159457797E-2</v>
      </c>
      <c r="Y47" s="1">
        <v>37895</v>
      </c>
      <c r="Z47" s="4">
        <f t="shared" si="1"/>
        <v>5.80767246398129E-2</v>
      </c>
      <c r="AA47" s="4">
        <f t="shared" si="2"/>
        <v>6.4546723598257597E-2</v>
      </c>
      <c r="AC47" s="1">
        <v>37895</v>
      </c>
      <c r="AD47" s="4">
        <f t="shared" si="3"/>
        <v>5.4113422952905901E-2</v>
      </c>
      <c r="AE47" s="4">
        <f t="shared" si="4"/>
        <v>6.6315709545709103E-2</v>
      </c>
      <c r="AG47" s="1">
        <v>37895</v>
      </c>
      <c r="AH47" s="4">
        <f t="shared" si="5"/>
        <v>1.7041152594127699E-2</v>
      </c>
      <c r="AI47" s="4">
        <f t="shared" si="6"/>
        <v>2.7696382143500502E-2</v>
      </c>
      <c r="AK47" s="1">
        <v>37895</v>
      </c>
      <c r="AL47" s="4">
        <f t="shared" si="7"/>
        <v>5.4113422952905901E-2</v>
      </c>
      <c r="AM47" s="4">
        <f t="shared" si="8"/>
        <v>4.4873855011894601E-2</v>
      </c>
      <c r="AO47" s="1">
        <v>37895</v>
      </c>
      <c r="AP47" s="4">
        <f t="shared" si="9"/>
        <v>3.08868693795873E-2</v>
      </c>
      <c r="AQ47" s="4">
        <f t="shared" si="10"/>
        <v>1.0024630299568127E-2</v>
      </c>
    </row>
    <row r="48" spans="1:43" x14ac:dyDescent="0.25">
      <c r="A48" s="1">
        <v>38200</v>
      </c>
      <c r="B48" s="4">
        <v>5.4983346893377902E-2</v>
      </c>
      <c r="C48" s="4">
        <v>1.4390784960510401E-2</v>
      </c>
      <c r="D48" s="4">
        <v>6.2406255291779205E-4</v>
      </c>
      <c r="E48" s="4">
        <v>3.8080491998591401E-3</v>
      </c>
      <c r="F48" s="4">
        <v>-1.6647843696820999E-3</v>
      </c>
      <c r="G48" s="4">
        <v>6.5664056837557898E-3</v>
      </c>
      <c r="H48" s="4">
        <v>2.3724518027360999E-2</v>
      </c>
      <c r="I48" s="4">
        <v>0.981711778142353</v>
      </c>
      <c r="J48" s="4">
        <v>5.4870992494618499E-2</v>
      </c>
      <c r="K48" s="4">
        <v>3.2842754493907201E-3</v>
      </c>
      <c r="L48" s="4">
        <v>1.8413453172708899E-2</v>
      </c>
      <c r="M48" s="4">
        <v>1.05828049925907</v>
      </c>
      <c r="N48" s="4">
        <f t="shared" si="0"/>
        <v>2.0427365661668917E-2</v>
      </c>
      <c r="P48" s="1">
        <v>37834</v>
      </c>
      <c r="Q48">
        <v>5.3273235157927798E-2</v>
      </c>
      <c r="R48">
        <v>5.04178614887918E-2</v>
      </c>
      <c r="S48">
        <v>5.04178614887918E-2</v>
      </c>
      <c r="T48">
        <v>-1.5999177129806301E-2</v>
      </c>
      <c r="U48">
        <v>0.95057870298262304</v>
      </c>
      <c r="V48">
        <v>4.7986155841280798E-2</v>
      </c>
      <c r="Y48" s="1">
        <v>37926</v>
      </c>
      <c r="Z48" s="4">
        <f t="shared" si="1"/>
        <v>5.4575119763973001E-2</v>
      </c>
      <c r="AA48" s="4">
        <f t="shared" si="2"/>
        <v>5.80016125963514E-2</v>
      </c>
      <c r="AC48" s="1">
        <v>37926</v>
      </c>
      <c r="AD48" s="4">
        <f t="shared" si="3"/>
        <v>7.3100557164836405E-2</v>
      </c>
      <c r="AE48" s="4">
        <f t="shared" si="4"/>
        <v>4.34169905438389E-2</v>
      </c>
      <c r="AG48" s="1">
        <v>37926</v>
      </c>
      <c r="AH48" s="4">
        <f t="shared" si="5"/>
        <v>1.8809662387892698E-2</v>
      </c>
      <c r="AI48" s="4">
        <f t="shared" si="6"/>
        <v>2.3176386631212801E-2</v>
      </c>
      <c r="AK48" s="1">
        <v>37926</v>
      </c>
      <c r="AL48" s="4">
        <f t="shared" si="7"/>
        <v>7.3100557164836405E-2</v>
      </c>
      <c r="AM48" s="4">
        <f t="shared" si="8"/>
        <v>0.16033647647948301</v>
      </c>
      <c r="AO48" s="1">
        <v>37926</v>
      </c>
      <c r="AP48" s="4">
        <f t="shared" si="9"/>
        <v>2.8806839977350601E-2</v>
      </c>
      <c r="AQ48" s="4">
        <f t="shared" si="10"/>
        <v>3.3560219887154297E-2</v>
      </c>
    </row>
    <row r="49" spans="1:43" x14ac:dyDescent="0.25">
      <c r="A49" s="1">
        <v>38231</v>
      </c>
      <c r="B49" s="4">
        <v>6.8876238171720797E-2</v>
      </c>
      <c r="C49" s="4">
        <v>1.54791855785321E-2</v>
      </c>
      <c r="D49" s="4">
        <v>8.1236725524193895E-4</v>
      </c>
      <c r="E49" s="4">
        <v>2.61634401213625E-3</v>
      </c>
      <c r="F49" s="4">
        <v>-1.20636863937789E-3</v>
      </c>
      <c r="G49" s="4">
        <v>7.3941445528755501E-3</v>
      </c>
      <c r="H49" s="4">
        <v>2.5095672759408001E-2</v>
      </c>
      <c r="I49" s="4">
        <v>1.01121226361946</v>
      </c>
      <c r="J49" s="4">
        <v>5.0553748423974303E-2</v>
      </c>
      <c r="K49" s="4">
        <v>0</v>
      </c>
      <c r="L49" s="4">
        <v>1.84607457149408E-3</v>
      </c>
      <c r="M49" s="4">
        <v>1.0636120866149299</v>
      </c>
      <c r="N49" s="4">
        <f t="shared" si="0"/>
        <v>3.035982431619888E-2</v>
      </c>
      <c r="P49" s="1">
        <v>37865</v>
      </c>
      <c r="Q49">
        <v>6.0545408975682898E-2</v>
      </c>
      <c r="R49">
        <v>7.3833668197861899E-2</v>
      </c>
      <c r="S49">
        <v>7.3833668197861899E-2</v>
      </c>
      <c r="T49">
        <v>-1.8737120551260599E-2</v>
      </c>
      <c r="U49">
        <v>0.95537625632645395</v>
      </c>
      <c r="V49">
        <v>2.0324092810373302E-2</v>
      </c>
      <c r="Y49" s="1">
        <v>37956</v>
      </c>
      <c r="Z49" s="4">
        <f t="shared" si="1"/>
        <v>5.1061601003201999E-2</v>
      </c>
      <c r="AA49" s="4">
        <f t="shared" si="2"/>
        <v>6.0825361446789399E-2</v>
      </c>
      <c r="AC49" s="1">
        <v>37956</v>
      </c>
      <c r="AD49" s="4">
        <f t="shared" si="3"/>
        <v>6.5917091174133302E-2</v>
      </c>
      <c r="AE49" s="4">
        <f t="shared" si="4"/>
        <v>5.6320786604407397E-2</v>
      </c>
      <c r="AG49" s="1">
        <v>37956</v>
      </c>
      <c r="AH49" s="4">
        <f t="shared" si="5"/>
        <v>2.0342387833650898E-2</v>
      </c>
      <c r="AI49" s="4">
        <f t="shared" si="6"/>
        <v>2.3090732978303899E-2</v>
      </c>
      <c r="AK49" s="1">
        <v>37956</v>
      </c>
      <c r="AL49" s="4">
        <f t="shared" si="7"/>
        <v>6.5917091174133302E-2</v>
      </c>
      <c r="AM49" s="4">
        <f t="shared" si="8"/>
        <v>2.5151413214217558E-2</v>
      </c>
      <c r="AO49" s="1">
        <v>37956</v>
      </c>
      <c r="AP49" s="4">
        <f t="shared" si="9"/>
        <v>3.95045378839015E-2</v>
      </c>
      <c r="AQ49" s="4">
        <f t="shared" si="10"/>
        <v>1.9307349882663472E-2</v>
      </c>
    </row>
    <row r="50" spans="1:43" x14ac:dyDescent="0.25">
      <c r="A50" s="1">
        <v>38261</v>
      </c>
      <c r="B50" s="4">
        <v>6.10695560508457E-2</v>
      </c>
      <c r="C50" s="4">
        <v>1.86121381652073E-2</v>
      </c>
      <c r="D50" s="4">
        <v>7.4680944339640203E-4</v>
      </c>
      <c r="E50" s="4">
        <v>2.1367912516218001E-3</v>
      </c>
      <c r="F50" s="4">
        <v>-9.3415339311440004E-4</v>
      </c>
      <c r="G50" s="4">
        <v>9.1051016075418597E-3</v>
      </c>
      <c r="H50" s="4">
        <v>2.9666687074653E-2</v>
      </c>
      <c r="I50" s="4">
        <v>1.0331083472281599</v>
      </c>
      <c r="J50" s="4">
        <v>4.6006126354648298E-2</v>
      </c>
      <c r="K50" s="4">
        <v>0</v>
      </c>
      <c r="L50" s="4">
        <v>2.5663554755890102E-3</v>
      </c>
      <c r="M50" s="4">
        <v>1.0816808290583999</v>
      </c>
      <c r="N50" s="4">
        <f t="shared" si="0"/>
        <v>9.0554140670988659E-3</v>
      </c>
      <c r="P50" s="1">
        <v>37895</v>
      </c>
      <c r="Q50">
        <v>5.80767246398129E-2</v>
      </c>
      <c r="R50">
        <v>5.4113422952905901E-2</v>
      </c>
      <c r="S50">
        <v>5.4113422952905901E-2</v>
      </c>
      <c r="T50">
        <v>-1.7041152594127699E-2</v>
      </c>
      <c r="U50">
        <v>0.96059056496349304</v>
      </c>
      <c r="V50">
        <v>3.08868693795873E-2</v>
      </c>
      <c r="Y50" s="1">
        <v>37987</v>
      </c>
      <c r="Z50" s="4">
        <f t="shared" si="1"/>
        <v>5.3689114745955398E-2</v>
      </c>
      <c r="AA50" s="4">
        <f t="shared" si="2"/>
        <v>6.1756026604031497E-2</v>
      </c>
      <c r="AC50" s="1">
        <v>37987</v>
      </c>
      <c r="AD50" s="4">
        <f t="shared" si="3"/>
        <v>5.8333615784237798E-2</v>
      </c>
      <c r="AE50" s="4">
        <f t="shared" si="4"/>
        <v>5.6336649249891201E-2</v>
      </c>
      <c r="AG50" s="1">
        <v>37987</v>
      </c>
      <c r="AH50" s="4">
        <f t="shared" si="5"/>
        <v>1.7343153391876299E-2</v>
      </c>
      <c r="AI50" s="4">
        <f t="shared" si="6"/>
        <v>2.6693584750232102E-2</v>
      </c>
      <c r="AK50" s="1">
        <v>37987</v>
      </c>
      <c r="AL50" s="4">
        <f t="shared" si="7"/>
        <v>5.8333615784237798E-2</v>
      </c>
      <c r="AM50" s="4">
        <f t="shared" si="8"/>
        <v>2.1831619234854771E-2</v>
      </c>
      <c r="AO50" s="1">
        <v>37987</v>
      </c>
      <c r="AP50" s="4">
        <f t="shared" si="9"/>
        <v>3.7789193364258698E-2</v>
      </c>
      <c r="AQ50" s="4">
        <f t="shared" si="10"/>
        <v>2.3854010265023762E-2</v>
      </c>
    </row>
    <row r="51" spans="1:43" x14ac:dyDescent="0.25">
      <c r="A51" s="1">
        <v>38292</v>
      </c>
      <c r="B51" s="4">
        <v>5.5610249233551699E-2</v>
      </c>
      <c r="C51" s="4">
        <v>1.27726497745654E-2</v>
      </c>
      <c r="D51" s="4">
        <v>5.3808030945723504E-4</v>
      </c>
      <c r="E51" s="4">
        <v>2.6102241956722501E-3</v>
      </c>
      <c r="F51" s="4">
        <v>-2.63596477973597E-3</v>
      </c>
      <c r="G51" s="4">
        <v>6.0529064033091502E-3</v>
      </c>
      <c r="H51" s="4">
        <v>1.93378959032681E-2</v>
      </c>
      <c r="I51" s="4">
        <v>1.0085780974662</v>
      </c>
      <c r="J51" s="4">
        <v>3.7676476772613703E-2</v>
      </c>
      <c r="K51" s="4">
        <v>2.14796844595177E-3</v>
      </c>
      <c r="L51" s="4">
        <v>5.6450874211388799E-3</v>
      </c>
      <c r="M51" s="4">
        <v>1.0540476301059101</v>
      </c>
      <c r="N51" s="4">
        <f t="shared" si="0"/>
        <v>2.0900515030909839E-2</v>
      </c>
      <c r="P51" s="1">
        <v>37926</v>
      </c>
      <c r="Q51">
        <v>5.4575119763973001E-2</v>
      </c>
      <c r="R51">
        <v>7.3100557164836405E-2</v>
      </c>
      <c r="S51">
        <v>7.3100557164836405E-2</v>
      </c>
      <c r="T51">
        <v>-1.8809662387892698E-2</v>
      </c>
      <c r="U51">
        <v>0.96060358985758199</v>
      </c>
      <c r="V51">
        <v>2.8806839977350601E-2</v>
      </c>
      <c r="Y51" s="1">
        <v>38018</v>
      </c>
      <c r="Z51" s="4">
        <f t="shared" si="1"/>
        <v>5.2344952457467397E-2</v>
      </c>
      <c r="AA51" s="4">
        <f t="shared" si="2"/>
        <v>5.7340995626126198E-2</v>
      </c>
      <c r="AC51" s="1">
        <v>38018</v>
      </c>
      <c r="AD51" s="4">
        <f t="shared" si="3"/>
        <v>6.4330469014455396E-2</v>
      </c>
      <c r="AE51" s="4">
        <f t="shared" si="4"/>
        <v>7.7522796274761496E-2</v>
      </c>
      <c r="AG51" s="1">
        <v>38018</v>
      </c>
      <c r="AH51" s="4">
        <f t="shared" si="5"/>
        <v>1.48169853875367E-2</v>
      </c>
      <c r="AI51" s="4">
        <f t="shared" si="6"/>
        <v>2.4662669299790801E-2</v>
      </c>
      <c r="AK51" s="1">
        <v>38018</v>
      </c>
      <c r="AL51" s="4">
        <f t="shared" si="7"/>
        <v>6.4330469014455396E-2</v>
      </c>
      <c r="AM51" s="4">
        <f t="shared" si="8"/>
        <v>2.2132224730880022E-2</v>
      </c>
      <c r="AO51" s="1">
        <v>38018</v>
      </c>
      <c r="AP51" s="4">
        <f t="shared" si="9"/>
        <v>5.26146618496552E-2</v>
      </c>
      <c r="AQ51" s="4">
        <f t="shared" si="10"/>
        <v>1.5720630736486996E-2</v>
      </c>
    </row>
    <row r="52" spans="1:43" x14ac:dyDescent="0.25">
      <c r="A52" s="1">
        <v>38322</v>
      </c>
      <c r="B52" s="4">
        <v>5.9005553898308701E-2</v>
      </c>
      <c r="C52" s="4">
        <v>1.8335399254094699E-2</v>
      </c>
      <c r="D52" s="4">
        <v>5.2933348454372502E-4</v>
      </c>
      <c r="E52" s="4">
        <v>2.4295667397585298E-3</v>
      </c>
      <c r="F52" s="4">
        <v>-2.2111774591963601E-3</v>
      </c>
      <c r="G52" s="4">
        <v>7.6031180341845197E-3</v>
      </c>
      <c r="H52" s="4">
        <v>2.6686240053385098E-2</v>
      </c>
      <c r="I52" s="4">
        <v>0.98014537778863497</v>
      </c>
      <c r="J52" s="4">
        <v>5.7922966447596397E-2</v>
      </c>
      <c r="K52" s="4">
        <v>5.23669257692818E-3</v>
      </c>
      <c r="L52" s="4">
        <v>1.9678734241277699E-2</v>
      </c>
      <c r="M52" s="4">
        <v>1.0629837710544301</v>
      </c>
      <c r="N52" s="4">
        <f t="shared" si="0"/>
        <v>2.2708022897263813E-2</v>
      </c>
      <c r="P52" s="1">
        <v>37956</v>
      </c>
      <c r="Q52">
        <v>5.1061601003201999E-2</v>
      </c>
      <c r="R52">
        <v>6.5917091174133302E-2</v>
      </c>
      <c r="S52">
        <v>6.5917091174133302E-2</v>
      </c>
      <c r="T52">
        <v>-2.0342387833650898E-2</v>
      </c>
      <c r="U52">
        <v>0.94612061236102396</v>
      </c>
      <c r="V52">
        <v>3.95045378839015E-2</v>
      </c>
      <c r="Y52" s="1">
        <v>38047</v>
      </c>
      <c r="Z52" s="4">
        <f t="shared" si="1"/>
        <v>5.2693409402839703E-2</v>
      </c>
      <c r="AA52" s="4">
        <f t="shared" si="2"/>
        <v>6.2570811119258496E-2</v>
      </c>
      <c r="AC52" s="1">
        <v>38047</v>
      </c>
      <c r="AD52" s="4">
        <f t="shared" si="3"/>
        <v>5.48476648598899E-2</v>
      </c>
      <c r="AE52" s="4">
        <f t="shared" si="4"/>
        <v>5.85715213628741E-2</v>
      </c>
      <c r="AG52" s="1">
        <v>38047</v>
      </c>
      <c r="AH52" s="4">
        <f t="shared" si="5"/>
        <v>1.75384959877527E-2</v>
      </c>
      <c r="AI52" s="4">
        <f t="shared" si="6"/>
        <v>2.5166968028479401E-2</v>
      </c>
      <c r="AK52" s="1">
        <v>38047</v>
      </c>
      <c r="AL52" s="4">
        <f t="shared" si="7"/>
        <v>5.48476648598899E-2</v>
      </c>
      <c r="AM52" s="4">
        <f t="shared" si="8"/>
        <v>0.10316663168915514</v>
      </c>
      <c r="AO52" s="1">
        <v>38047</v>
      </c>
      <c r="AP52" s="4">
        <f t="shared" si="9"/>
        <v>6.0316820746804403E-2</v>
      </c>
      <c r="AQ52" s="4">
        <f t="shared" si="10"/>
        <v>3.5851611251017879E-2</v>
      </c>
    </row>
    <row r="53" spans="1:43" x14ac:dyDescent="0.25">
      <c r="A53" s="1">
        <v>38353</v>
      </c>
      <c r="B53" s="4">
        <v>5.8892142849707202E-2</v>
      </c>
      <c r="C53" s="4">
        <v>1.5640843017235201E-2</v>
      </c>
      <c r="D53" s="4">
        <v>8.2926466763939897E-4</v>
      </c>
      <c r="E53" s="4">
        <v>3.8881174698838701E-3</v>
      </c>
      <c r="F53" s="4">
        <v>-5.7449753638506703E-3</v>
      </c>
      <c r="G53" s="4">
        <v>1.00941360942917E-2</v>
      </c>
      <c r="H53" s="4">
        <v>2.4707385885199499E-2</v>
      </c>
      <c r="I53" s="4">
        <v>0.98596274527939498</v>
      </c>
      <c r="J53" s="4">
        <v>7.3515629365631094E-2</v>
      </c>
      <c r="K53" s="4">
        <v>2.21540033834852E-3</v>
      </c>
      <c r="L53" s="4">
        <v>3.9674128226906196E-3</v>
      </c>
      <c r="M53" s="4">
        <v>1.06566118780606</v>
      </c>
      <c r="N53" s="4">
        <f t="shared" si="0"/>
        <v>1.7938340928846719E-2</v>
      </c>
      <c r="P53" s="1">
        <v>37987</v>
      </c>
      <c r="Q53">
        <v>5.3689114745955398E-2</v>
      </c>
      <c r="R53">
        <v>5.8333615784237798E-2</v>
      </c>
      <c r="S53">
        <v>5.8333615784237798E-2</v>
      </c>
      <c r="T53">
        <v>-1.7343153391876299E-2</v>
      </c>
      <c r="U53">
        <v>0.94616802486080598</v>
      </c>
      <c r="V53">
        <v>3.7789193364258698E-2</v>
      </c>
      <c r="Y53" s="1">
        <v>38078</v>
      </c>
      <c r="Z53" s="4">
        <f t="shared" si="1"/>
        <v>5.6897482572921397E-2</v>
      </c>
      <c r="AA53" s="4">
        <f t="shared" si="2"/>
        <v>5.69432430423846E-2</v>
      </c>
      <c r="AC53" s="1">
        <v>38078</v>
      </c>
      <c r="AD53" s="4">
        <f t="shared" si="3"/>
        <v>7.6304582521183106E-2</v>
      </c>
      <c r="AE53" s="4">
        <f t="shared" si="4"/>
        <v>5.5697520343125702E-2</v>
      </c>
      <c r="AG53" s="1">
        <v>38078</v>
      </c>
      <c r="AH53" s="4">
        <f t="shared" si="5"/>
        <v>2.3688109557867799E-2</v>
      </c>
      <c r="AI53" s="4">
        <f t="shared" si="6"/>
        <v>2.96311964154258E-2</v>
      </c>
      <c r="AK53" s="1">
        <v>38078</v>
      </c>
      <c r="AL53" s="4">
        <f t="shared" si="7"/>
        <v>7.6304582521183106E-2</v>
      </c>
      <c r="AM53" s="4">
        <f t="shared" si="8"/>
        <v>1.7284055883504641E-2</v>
      </c>
      <c r="AO53" s="1">
        <v>38078</v>
      </c>
      <c r="AP53" s="4">
        <f t="shared" si="9"/>
        <v>5.5836749148257397E-2</v>
      </c>
      <c r="AQ53" s="4">
        <f t="shared" si="10"/>
        <v>1.4112602669270391E-2</v>
      </c>
    </row>
    <row r="54" spans="1:43" x14ac:dyDescent="0.25">
      <c r="A54" s="1">
        <v>38384</v>
      </c>
      <c r="B54" s="4">
        <v>6.3872370813020607E-2</v>
      </c>
      <c r="C54" s="4">
        <v>1.26958944822786E-2</v>
      </c>
      <c r="D54" s="4">
        <v>9.5263666462936801E-4</v>
      </c>
      <c r="E54" s="4">
        <v>3.0854570860058398E-3</v>
      </c>
      <c r="F54" s="4">
        <v>-2.6250775108090001E-3</v>
      </c>
      <c r="G54" s="4">
        <v>8.8778051304100793E-3</v>
      </c>
      <c r="H54" s="4">
        <v>2.29867158525149E-2</v>
      </c>
      <c r="I54" s="4">
        <v>0.98902586566830897</v>
      </c>
      <c r="J54" s="4">
        <v>5.7037902177235297E-2</v>
      </c>
      <c r="K54" s="4">
        <v>9.2205847567166394E-3</v>
      </c>
      <c r="L54" s="4">
        <v>1.00958124662244E-2</v>
      </c>
      <c r="M54" s="4">
        <v>1.06538016506848</v>
      </c>
      <c r="N54" s="4">
        <f t="shared" si="0"/>
        <v>2.1478921597055445E-2</v>
      </c>
      <c r="P54" s="1">
        <v>38018</v>
      </c>
      <c r="Q54">
        <v>5.2344952457467397E-2</v>
      </c>
      <c r="R54">
        <v>6.4330469014455396E-2</v>
      </c>
      <c r="S54">
        <v>6.4330469014455396E-2</v>
      </c>
      <c r="T54">
        <v>-1.48169853875367E-2</v>
      </c>
      <c r="U54">
        <v>0.930634394183109</v>
      </c>
      <c r="V54">
        <v>5.26146618496552E-2</v>
      </c>
      <c r="Y54" s="1">
        <v>38108</v>
      </c>
      <c r="Z54" s="4">
        <f t="shared" si="1"/>
        <v>5.1162919843344E-2</v>
      </c>
      <c r="AA54" s="4">
        <f t="shared" si="2"/>
        <v>5.8789520085235802E-2</v>
      </c>
      <c r="AC54" s="1">
        <v>38108</v>
      </c>
      <c r="AD54" s="4">
        <f t="shared" si="3"/>
        <v>6.8269089718737297E-2</v>
      </c>
      <c r="AE54" s="4">
        <f t="shared" si="4"/>
        <v>5.5209645594035198E-2</v>
      </c>
      <c r="AG54" s="1">
        <v>38108</v>
      </c>
      <c r="AH54" s="4">
        <f t="shared" si="5"/>
        <v>2.00404021710948E-2</v>
      </c>
      <c r="AI54" s="4">
        <f t="shared" si="6"/>
        <v>2.69088908825614E-2</v>
      </c>
      <c r="AK54" s="1">
        <v>38108</v>
      </c>
      <c r="AL54" s="4">
        <f t="shared" si="7"/>
        <v>6.8269089718737297E-2</v>
      </c>
      <c r="AM54" s="4">
        <f t="shared" si="8"/>
        <v>6.8729244419576101E-3</v>
      </c>
      <c r="AO54" s="1">
        <v>38108</v>
      </c>
      <c r="AP54" s="4">
        <f t="shared" si="9"/>
        <v>3.9039794085977998E-2</v>
      </c>
      <c r="AQ54" s="4">
        <f t="shared" si="10"/>
        <v>1.3106805888447148E-2</v>
      </c>
    </row>
    <row r="55" spans="1:43" x14ac:dyDescent="0.25">
      <c r="A55" s="1">
        <v>38412</v>
      </c>
      <c r="B55" s="4">
        <v>6.2331332664308299E-2</v>
      </c>
      <c r="C55" s="4">
        <v>1.6754415147300802E-2</v>
      </c>
      <c r="D55" s="4">
        <v>6.1074507352164601E-4</v>
      </c>
      <c r="E55" s="4">
        <v>2.9262918866755001E-3</v>
      </c>
      <c r="F55" s="4">
        <v>-2.05577712412182E-3</v>
      </c>
      <c r="G55" s="4">
        <v>7.8362795805047101E-3</v>
      </c>
      <c r="H55" s="4">
        <v>2.6071954563880902E-2</v>
      </c>
      <c r="I55" s="4">
        <v>1.01757913731535</v>
      </c>
      <c r="J55" s="4">
        <v>4.5883238812240303E-2</v>
      </c>
      <c r="K55" s="4">
        <v>1.9533438091988002E-3</v>
      </c>
      <c r="L55" s="4">
        <v>9.6859176112410808E-3</v>
      </c>
      <c r="M55" s="4">
        <v>1.07510163754803</v>
      </c>
      <c r="N55" s="4">
        <f t="shared" si="0"/>
        <v>1.3301649680159233E-2</v>
      </c>
      <c r="P55" s="1">
        <v>38047</v>
      </c>
      <c r="Q55">
        <v>5.2693409402839703E-2</v>
      </c>
      <c r="R55">
        <v>5.48476648598899E-2</v>
      </c>
      <c r="S55">
        <v>5.48476648598899E-2</v>
      </c>
      <c r="T55">
        <v>-1.75384959877527E-2</v>
      </c>
      <c r="U55">
        <v>0.92282198315504105</v>
      </c>
      <c r="V55">
        <v>6.0316820746804403E-2</v>
      </c>
      <c r="Y55" s="1">
        <v>38139</v>
      </c>
      <c r="Z55" s="4">
        <f t="shared" si="1"/>
        <v>6.0073293609057499E-2</v>
      </c>
      <c r="AA55" s="4">
        <f t="shared" si="2"/>
        <v>6.1327157895436801E-2</v>
      </c>
      <c r="AC55" s="1">
        <v>38139</v>
      </c>
      <c r="AD55" s="4">
        <f t="shared" si="3"/>
        <v>6.3741539679291498E-2</v>
      </c>
      <c r="AE55" s="4">
        <f t="shared" si="4"/>
        <v>4.8460312080551002E-2</v>
      </c>
      <c r="AG55" s="1">
        <v>38139</v>
      </c>
      <c r="AH55" s="4">
        <f t="shared" si="5"/>
        <v>1.9113451328024E-2</v>
      </c>
      <c r="AI55" s="4">
        <f t="shared" si="6"/>
        <v>2.38949803929158E-2</v>
      </c>
      <c r="AK55" s="1">
        <v>38139</v>
      </c>
      <c r="AL55" s="4">
        <f t="shared" si="7"/>
        <v>6.3741539679291498E-2</v>
      </c>
      <c r="AM55" s="4">
        <f t="shared" si="8"/>
        <v>3.5333031632956799E-2</v>
      </c>
      <c r="AO55" s="1">
        <v>38139</v>
      </c>
      <c r="AP55" s="4">
        <f t="shared" si="9"/>
        <v>4.7111100645702703E-2</v>
      </c>
      <c r="AQ55" s="4">
        <f t="shared" si="10"/>
        <v>4.0898222073292745E-2</v>
      </c>
    </row>
    <row r="56" spans="1:43" x14ac:dyDescent="0.25">
      <c r="A56" s="1">
        <v>38443</v>
      </c>
      <c r="B56" s="4">
        <v>6.0606396576953402E-2</v>
      </c>
      <c r="C56" s="4">
        <v>1.35050391039747E-2</v>
      </c>
      <c r="D56" s="4">
        <v>3.4663634708155999E-4</v>
      </c>
      <c r="E56" s="4">
        <v>3.01865507169536E-3</v>
      </c>
      <c r="F56" s="4">
        <v>-2.2503715048308799E-3</v>
      </c>
      <c r="G56" s="4">
        <v>7.0046557966022402E-3</v>
      </c>
      <c r="H56" s="4">
        <v>2.1624614814522901E-2</v>
      </c>
      <c r="I56" s="4">
        <v>0.99974844661932605</v>
      </c>
      <c r="J56" s="4">
        <v>4.7048088424415699E-2</v>
      </c>
      <c r="K56" s="4">
        <v>1.6464320010571101E-3</v>
      </c>
      <c r="L56" s="4">
        <v>9.3129511052472205E-3</v>
      </c>
      <c r="M56" s="4">
        <v>1.05775591815004</v>
      </c>
      <c r="N56" s="4">
        <f t="shared" si="0"/>
        <v>2.4475093241436374E-2</v>
      </c>
      <c r="P56" s="1">
        <v>38078</v>
      </c>
      <c r="Q56">
        <v>5.6897482572921397E-2</v>
      </c>
      <c r="R56">
        <v>7.6304582521183106E-2</v>
      </c>
      <c r="S56">
        <v>7.6304582521183106E-2</v>
      </c>
      <c r="T56">
        <v>-2.3688109557867799E-2</v>
      </c>
      <c r="U56">
        <v>0.92476634470008101</v>
      </c>
      <c r="V56">
        <v>5.5836749148257397E-2</v>
      </c>
      <c r="Y56" s="1">
        <v>38169</v>
      </c>
      <c r="Z56" s="4">
        <f t="shared" si="1"/>
        <v>5.3009427773376597E-2</v>
      </c>
      <c r="AA56" s="4">
        <f t="shared" si="2"/>
        <v>5.9783044112457301E-2</v>
      </c>
      <c r="AC56" s="1">
        <v>38169</v>
      </c>
      <c r="AD56" s="4">
        <f t="shared" si="3"/>
        <v>5.92819187343551E-2</v>
      </c>
      <c r="AE56" s="4">
        <f t="shared" si="4"/>
        <v>7.0578640145023505E-2</v>
      </c>
      <c r="AG56" s="1">
        <v>38169</v>
      </c>
      <c r="AH56" s="4">
        <f t="shared" si="5"/>
        <v>2.01397488102797E-2</v>
      </c>
      <c r="AI56" s="4">
        <f t="shared" si="6"/>
        <v>3.1809632844119001E-2</v>
      </c>
      <c r="AK56" s="1">
        <v>38169</v>
      </c>
      <c r="AL56" s="4">
        <f t="shared" si="7"/>
        <v>5.92819187343551E-2</v>
      </c>
      <c r="AM56" s="4">
        <f t="shared" si="8"/>
        <v>4.3012790675909206E-3</v>
      </c>
      <c r="AO56" s="1">
        <v>38169</v>
      </c>
      <c r="AP56" s="4">
        <f t="shared" si="9"/>
        <v>5.6713490442333099E-2</v>
      </c>
      <c r="AQ56" s="4">
        <f t="shared" si="10"/>
        <v>2.3830681270416321E-2</v>
      </c>
    </row>
    <row r="57" spans="1:43" x14ac:dyDescent="0.25">
      <c r="A57" s="1">
        <v>38473</v>
      </c>
      <c r="B57" s="4">
        <v>5.75474009630886E-2</v>
      </c>
      <c r="C57" s="4">
        <v>1.4596105654509001E-2</v>
      </c>
      <c r="D57" s="4">
        <v>1.3010646926212501E-3</v>
      </c>
      <c r="E57" s="4">
        <v>3.2905736942921201E-3</v>
      </c>
      <c r="F57" s="4">
        <v>-3.0774411129342702E-3</v>
      </c>
      <c r="G57" s="4">
        <v>9.1228783460821292E-3</v>
      </c>
      <c r="H57" s="4">
        <v>2.52331812745702E-2</v>
      </c>
      <c r="I57" s="4">
        <v>0.98682731582421701</v>
      </c>
      <c r="J57" s="4">
        <v>5.3373851611343698E-2</v>
      </c>
      <c r="K57" s="4">
        <v>0</v>
      </c>
      <c r="L57" s="4">
        <v>1.97759769303382E-2</v>
      </c>
      <c r="M57" s="4">
        <v>1.0599771443658901</v>
      </c>
      <c r="N57" s="4">
        <f t="shared" si="0"/>
        <v>2.280343787176875E-2</v>
      </c>
      <c r="P57" s="1">
        <v>38108</v>
      </c>
      <c r="Q57">
        <v>5.1162919843344E-2</v>
      </c>
      <c r="R57">
        <v>6.8269089718737297E-2</v>
      </c>
      <c r="S57">
        <v>6.8269089718737297E-2</v>
      </c>
      <c r="T57">
        <v>-2.00404021710948E-2</v>
      </c>
      <c r="U57">
        <v>0.94357259625263401</v>
      </c>
      <c r="V57">
        <v>3.9039794085977998E-2</v>
      </c>
      <c r="Y57" s="1">
        <v>38200</v>
      </c>
      <c r="Z57" s="4">
        <f t="shared" si="1"/>
        <v>5.7176118668286598E-2</v>
      </c>
      <c r="AA57" s="4">
        <f t="shared" si="2"/>
        <v>5.4983346893377902E-2</v>
      </c>
      <c r="AC57" s="1">
        <v>38200</v>
      </c>
      <c r="AD57" s="4">
        <f t="shared" si="3"/>
        <v>6.6718877046383601E-2</v>
      </c>
      <c r="AE57" s="4">
        <f t="shared" si="4"/>
        <v>5.4870992494618499E-2</v>
      </c>
      <c r="AG57" s="1">
        <v>38200</v>
      </c>
      <c r="AH57" s="4">
        <f t="shared" si="5"/>
        <v>1.8076955654327698E-2</v>
      </c>
      <c r="AI57" s="4">
        <f t="shared" si="6"/>
        <v>2.3724518027360999E-2</v>
      </c>
      <c r="AK57" s="1">
        <v>38200</v>
      </c>
      <c r="AL57" s="4">
        <f t="shared" si="7"/>
        <v>6.6718877046383601E-2</v>
      </c>
      <c r="AM57" s="4">
        <f t="shared" si="8"/>
        <v>2.1697728622099618E-2</v>
      </c>
      <c r="AO57" s="1">
        <v>38200</v>
      </c>
      <c r="AP57" s="4">
        <f t="shared" si="9"/>
        <v>3.2219925631518702E-2</v>
      </c>
      <c r="AQ57" s="4">
        <f t="shared" si="10"/>
        <v>2.0427365661668917E-2</v>
      </c>
    </row>
    <row r="58" spans="1:43" x14ac:dyDescent="0.25">
      <c r="A58" s="1">
        <v>38504</v>
      </c>
      <c r="B58" s="4">
        <v>6.2831575306661697E-2</v>
      </c>
      <c r="C58" s="4">
        <v>1.53696479643826E-2</v>
      </c>
      <c r="D58" s="4">
        <v>5.63843388272099E-4</v>
      </c>
      <c r="E58" s="4">
        <v>3.1170427816822701E-3</v>
      </c>
      <c r="F58" s="4">
        <v>-3.0064569427833798E-3</v>
      </c>
      <c r="G58" s="4">
        <v>8.3424360080551103E-3</v>
      </c>
      <c r="H58" s="4">
        <v>2.43865131996087E-2</v>
      </c>
      <c r="I58" s="4">
        <v>0.99993639318282301</v>
      </c>
      <c r="J58" s="4">
        <v>4.8665922910084203E-2</v>
      </c>
      <c r="K58" s="4">
        <v>4.3270319221996E-3</v>
      </c>
      <c r="L58" s="4">
        <v>9.4295236824536305E-3</v>
      </c>
      <c r="M58" s="4">
        <v>1.06235887169756</v>
      </c>
      <c r="N58" s="4">
        <f t="shared" si="0"/>
        <v>2.4859216808710283E-2</v>
      </c>
      <c r="P58" s="1">
        <v>38139</v>
      </c>
      <c r="Q58">
        <v>6.0073293609057499E-2</v>
      </c>
      <c r="R58">
        <v>6.3741539679291498E-2</v>
      </c>
      <c r="S58">
        <v>6.3741539679291498E-2</v>
      </c>
      <c r="T58">
        <v>-1.9113451328024E-2</v>
      </c>
      <c r="U58">
        <v>0.94820661225828096</v>
      </c>
      <c r="V58">
        <v>4.7111100645702703E-2</v>
      </c>
      <c r="Y58" s="1">
        <v>38231</v>
      </c>
      <c r="Z58" s="4">
        <f t="shared" si="1"/>
        <v>5.2655782614272499E-2</v>
      </c>
      <c r="AA58" s="4">
        <f t="shared" si="2"/>
        <v>6.8876238171720797E-2</v>
      </c>
      <c r="AC58" s="1">
        <v>38231</v>
      </c>
      <c r="AD58" s="4">
        <f t="shared" si="3"/>
        <v>5.8813902343480502E-2</v>
      </c>
      <c r="AE58" s="4">
        <f t="shared" si="4"/>
        <v>5.0553748423974303E-2</v>
      </c>
      <c r="AG58" s="1">
        <v>38231</v>
      </c>
      <c r="AH58" s="4">
        <f t="shared" si="5"/>
        <v>1.6928707041508801E-2</v>
      </c>
      <c r="AI58" s="4">
        <f t="shared" si="6"/>
        <v>2.5095672759408001E-2</v>
      </c>
      <c r="AK58" s="1">
        <v>38231</v>
      </c>
      <c r="AL58" s="4">
        <f t="shared" si="7"/>
        <v>5.8813902343480502E-2</v>
      </c>
      <c r="AM58" s="4">
        <f t="shared" si="8"/>
        <v>1.84607457149408E-3</v>
      </c>
      <c r="AO58" s="1">
        <v>38231</v>
      </c>
      <c r="AP58" s="4">
        <f t="shared" si="9"/>
        <v>5.9655398673549499E-2</v>
      </c>
      <c r="AQ58" s="4">
        <f t="shared" si="10"/>
        <v>3.035982431619888E-2</v>
      </c>
    </row>
    <row r="59" spans="1:43" x14ac:dyDescent="0.25">
      <c r="A59" s="1">
        <v>38534</v>
      </c>
      <c r="B59" s="4">
        <v>6.5045835951440298E-2</v>
      </c>
      <c r="C59" s="4">
        <v>1.6705799413413401E-2</v>
      </c>
      <c r="D59" s="4">
        <v>8.2879442038694595E-4</v>
      </c>
      <c r="E59" s="4">
        <v>2.7484342565684901E-3</v>
      </c>
      <c r="F59" s="4">
        <v>-1.62415407989532E-3</v>
      </c>
      <c r="G59" s="4">
        <v>8.0867057083206396E-3</v>
      </c>
      <c r="H59" s="4">
        <v>2.67455797187942E-2</v>
      </c>
      <c r="I59" s="4">
        <v>0.993262383501197</v>
      </c>
      <c r="J59" s="4">
        <v>5.2369980456127202E-2</v>
      </c>
      <c r="K59" s="4">
        <v>2.0352562701761302E-3</v>
      </c>
      <c r="L59" s="4">
        <v>7.18212582994228E-3</v>
      </c>
      <c r="M59" s="4">
        <v>1.05484974605744</v>
      </c>
      <c r="N59" s="4">
        <f t="shared" si="0"/>
        <v>3.6941669612794437E-2</v>
      </c>
      <c r="P59" s="1">
        <v>38169</v>
      </c>
      <c r="Q59">
        <v>5.3009427773376597E-2</v>
      </c>
      <c r="R59">
        <v>5.92819187343551E-2</v>
      </c>
      <c r="S59">
        <v>5.92819187343551E-2</v>
      </c>
      <c r="T59">
        <v>-2.01397488102797E-2</v>
      </c>
      <c r="U59">
        <v>0.94446154925162695</v>
      </c>
      <c r="V59">
        <v>5.6713490442333099E-2</v>
      </c>
      <c r="Y59" s="1">
        <v>38261</v>
      </c>
      <c r="Z59" s="4">
        <f t="shared" si="1"/>
        <v>5.4035577462926199E-2</v>
      </c>
      <c r="AA59" s="4">
        <f t="shared" si="2"/>
        <v>6.10695560508457E-2</v>
      </c>
      <c r="AC59" s="1">
        <v>38261</v>
      </c>
      <c r="AD59" s="4">
        <f t="shared" si="3"/>
        <v>7.5193256153300997E-2</v>
      </c>
      <c r="AE59" s="4">
        <f t="shared" si="4"/>
        <v>4.6006126354648298E-2</v>
      </c>
      <c r="AG59" s="1">
        <v>38261</v>
      </c>
      <c r="AH59" s="4">
        <f t="shared" si="5"/>
        <v>2.2034686466677202E-2</v>
      </c>
      <c r="AI59" s="4">
        <f t="shared" si="6"/>
        <v>2.9666687074653E-2</v>
      </c>
      <c r="AK59" s="1">
        <v>38261</v>
      </c>
      <c r="AL59" s="4">
        <f t="shared" si="7"/>
        <v>7.5193256153300997E-2</v>
      </c>
      <c r="AM59" s="4">
        <f t="shared" si="8"/>
        <v>2.5663554755890102E-3</v>
      </c>
      <c r="AO59" s="1">
        <v>38261</v>
      </c>
      <c r="AP59" s="4">
        <f t="shared" si="9"/>
        <v>4.1633784994684397E-2</v>
      </c>
      <c r="AQ59" s="4">
        <f t="shared" si="10"/>
        <v>9.0554140670988659E-3</v>
      </c>
    </row>
    <row r="60" spans="1:43" x14ac:dyDescent="0.25">
      <c r="A60" s="1">
        <v>38565</v>
      </c>
      <c r="B60" s="4">
        <v>6.7642201782090502E-2</v>
      </c>
      <c r="C60" s="4">
        <v>2.0745036237839801E-2</v>
      </c>
      <c r="D60" s="4">
        <v>8.0671519010478505E-4</v>
      </c>
      <c r="E60" s="4">
        <v>3.26714351629822E-3</v>
      </c>
      <c r="F60" s="4">
        <v>-2.2448625786141798E-3</v>
      </c>
      <c r="G60" s="4">
        <v>7.6813915098794799E-3</v>
      </c>
      <c r="H60" s="4">
        <v>3.02554238755081E-2</v>
      </c>
      <c r="I60" s="4">
        <v>0.98894467803816799</v>
      </c>
      <c r="J60" s="4">
        <v>5.0083921409846403E-2</v>
      </c>
      <c r="K60" s="4">
        <v>2.7613829155111098E-3</v>
      </c>
      <c r="L60" s="4">
        <v>2.8809802975710602E-2</v>
      </c>
      <c r="M60" s="4">
        <v>1.0705997853392299</v>
      </c>
      <c r="N60" s="4">
        <f t="shared" si="0"/>
        <v>2.7297840318368571E-2</v>
      </c>
      <c r="P60" s="1">
        <v>38200</v>
      </c>
      <c r="Q60">
        <v>5.7176118668286598E-2</v>
      </c>
      <c r="R60">
        <v>6.6718877046383601E-2</v>
      </c>
      <c r="S60">
        <v>6.6718877046383601E-2</v>
      </c>
      <c r="T60">
        <v>-1.8076955654327698E-2</v>
      </c>
      <c r="U60">
        <v>0.95821875878981699</v>
      </c>
      <c r="V60">
        <v>3.2219925631518702E-2</v>
      </c>
      <c r="Y60" s="1">
        <v>38292</v>
      </c>
      <c r="Z60" s="4">
        <f t="shared" si="1"/>
        <v>5.3231479102560403E-2</v>
      </c>
      <c r="AA60" s="4">
        <f t="shared" si="2"/>
        <v>5.5610249233551699E-2</v>
      </c>
      <c r="AC60" s="1">
        <v>38292</v>
      </c>
      <c r="AD60" s="4">
        <f t="shared" si="3"/>
        <v>6.8556177506533006E-2</v>
      </c>
      <c r="AE60" s="4">
        <f t="shared" si="4"/>
        <v>3.7676476772613703E-2</v>
      </c>
      <c r="AG60" s="1">
        <v>38292</v>
      </c>
      <c r="AH60" s="4">
        <f t="shared" si="5"/>
        <v>1.93926357085723E-2</v>
      </c>
      <c r="AI60" s="4">
        <f t="shared" si="6"/>
        <v>1.93378959032681E-2</v>
      </c>
      <c r="AK60" s="1">
        <v>38292</v>
      </c>
      <c r="AL60" s="4">
        <f t="shared" si="7"/>
        <v>6.8556177506533006E-2</v>
      </c>
      <c r="AM60" s="4">
        <f t="shared" si="8"/>
        <v>7.7930558670906494E-3</v>
      </c>
      <c r="AO60" s="1">
        <v>38292</v>
      </c>
      <c r="AP60" s="4">
        <f t="shared" si="9"/>
        <v>3.8652249818157E-2</v>
      </c>
      <c r="AQ60" s="4">
        <f t="shared" si="10"/>
        <v>2.0900515030909839E-2</v>
      </c>
    </row>
    <row r="61" spans="1:43" x14ac:dyDescent="0.25">
      <c r="A61" s="1">
        <v>38596</v>
      </c>
      <c r="B61" s="4">
        <v>5.86497130489027E-2</v>
      </c>
      <c r="C61" s="4">
        <v>2.8655397464387101E-2</v>
      </c>
      <c r="D61" s="4">
        <v>9.6000546539527895E-4</v>
      </c>
      <c r="E61" s="4">
        <v>2.6360679318124798E-3</v>
      </c>
      <c r="F61" s="4">
        <v>-2.2630820072085502E-3</v>
      </c>
      <c r="G61" s="4">
        <v>4.8724402531407501E-3</v>
      </c>
      <c r="H61" s="4">
        <v>3.4860829107527101E-2</v>
      </c>
      <c r="I61" s="4">
        <v>0.99549919534845399</v>
      </c>
      <c r="J61" s="4">
        <v>4.7134523318097303E-2</v>
      </c>
      <c r="K61" s="4">
        <v>3.0844760738566099E-2</v>
      </c>
      <c r="L61" s="4">
        <v>4.70826471726321E-3</v>
      </c>
      <c r="M61" s="4">
        <v>1.07818674412238</v>
      </c>
      <c r="N61" s="4">
        <f t="shared" si="0"/>
        <v>1.5323798034049707E-2</v>
      </c>
      <c r="P61" s="1">
        <v>38231</v>
      </c>
      <c r="Q61">
        <v>5.2655782614272499E-2</v>
      </c>
      <c r="R61">
        <v>5.8813902343480502E-2</v>
      </c>
      <c r="S61">
        <v>5.8813902343480502E-2</v>
      </c>
      <c r="T61">
        <v>-1.6928707041508801E-2</v>
      </c>
      <c r="U61">
        <v>0.91784677176819696</v>
      </c>
      <c r="V61">
        <v>5.9655398673549499E-2</v>
      </c>
      <c r="Y61" s="1">
        <v>38322</v>
      </c>
      <c r="Z61" s="4">
        <f t="shared" si="1"/>
        <v>5.8119966014319097E-2</v>
      </c>
      <c r="AA61" s="4">
        <f t="shared" si="2"/>
        <v>5.9005553898308701E-2</v>
      </c>
      <c r="AC61" s="1">
        <v>38322</v>
      </c>
      <c r="AD61" s="4">
        <f t="shared" si="3"/>
        <v>6.9455749429040897E-2</v>
      </c>
      <c r="AE61" s="4">
        <f t="shared" si="4"/>
        <v>5.7922966447596397E-2</v>
      </c>
      <c r="AG61" s="1">
        <v>38322</v>
      </c>
      <c r="AH61" s="4">
        <f t="shared" si="5"/>
        <v>2.03299889818166E-2</v>
      </c>
      <c r="AI61" s="4">
        <f t="shared" si="6"/>
        <v>2.6686240053385098E-2</v>
      </c>
      <c r="AK61" s="1">
        <v>38322</v>
      </c>
      <c r="AL61" s="4">
        <f t="shared" si="7"/>
        <v>6.9455749429040897E-2</v>
      </c>
      <c r="AM61" s="4">
        <f t="shared" si="8"/>
        <v>2.4915426818205879E-2</v>
      </c>
      <c r="AO61" s="1">
        <v>38322</v>
      </c>
      <c r="AP61" s="4">
        <f t="shared" si="9"/>
        <v>6.33259171904485E-2</v>
      </c>
      <c r="AQ61" s="4">
        <f t="shared" si="10"/>
        <v>2.2708022897263813E-2</v>
      </c>
    </row>
    <row r="62" spans="1:43" x14ac:dyDescent="0.25">
      <c r="A62" s="1">
        <v>38626</v>
      </c>
      <c r="B62" s="4">
        <v>6.4116095649154395E-2</v>
      </c>
      <c r="C62" s="4">
        <v>1.5963155532236501E-2</v>
      </c>
      <c r="D62" s="4">
        <v>6.9797463524542101E-4</v>
      </c>
      <c r="E62" s="4">
        <v>2.7092658804311002E-3</v>
      </c>
      <c r="F62" s="4">
        <v>-1.52194615872813E-3</v>
      </c>
      <c r="G62" s="4">
        <v>6.1590514648297602E-3</v>
      </c>
      <c r="H62" s="4">
        <v>2.40075013540147E-2</v>
      </c>
      <c r="I62" s="4">
        <v>1.00759358261057</v>
      </c>
      <c r="J62" s="4">
        <v>4.5175080972750102E-2</v>
      </c>
      <c r="K62" s="4">
        <v>5.6322298557433198E-3</v>
      </c>
      <c r="L62" s="4">
        <v>4.5629714198084101E-3</v>
      </c>
      <c r="M62" s="4">
        <v>1.06296386485887</v>
      </c>
      <c r="N62" s="4">
        <f t="shared" si="0"/>
        <v>2.5159732144299118E-2</v>
      </c>
      <c r="P62" s="1">
        <v>38261</v>
      </c>
      <c r="Q62">
        <v>5.4035577462926199E-2</v>
      </c>
      <c r="R62">
        <v>7.5193256153300997E-2</v>
      </c>
      <c r="S62">
        <v>7.5193256153300997E-2</v>
      </c>
      <c r="T62">
        <v>-2.2034686466677202E-2</v>
      </c>
      <c r="U62">
        <v>0.94152999848357399</v>
      </c>
      <c r="V62">
        <v>4.1633784994684397E-2</v>
      </c>
      <c r="Y62" s="1">
        <v>38353</v>
      </c>
      <c r="Z62" s="4">
        <f t="shared" si="1"/>
        <v>5.9474262119405798E-2</v>
      </c>
      <c r="AA62" s="4">
        <f t="shared" si="2"/>
        <v>5.8892142849707202E-2</v>
      </c>
      <c r="AC62" s="1">
        <v>38353</v>
      </c>
      <c r="AD62" s="4">
        <f t="shared" si="3"/>
        <v>5.3394910974026398E-2</v>
      </c>
      <c r="AE62" s="4">
        <f t="shared" si="4"/>
        <v>7.3515629365631094E-2</v>
      </c>
      <c r="AG62" s="1">
        <v>38353</v>
      </c>
      <c r="AH62" s="4">
        <f t="shared" si="5"/>
        <v>1.81678045162404E-2</v>
      </c>
      <c r="AI62" s="4">
        <f t="shared" si="6"/>
        <v>2.4707385885199499E-2</v>
      </c>
      <c r="AK62" s="1">
        <v>38353</v>
      </c>
      <c r="AL62" s="4">
        <f t="shared" si="7"/>
        <v>5.3394910974026398E-2</v>
      </c>
      <c r="AM62" s="4">
        <f t="shared" si="8"/>
        <v>6.1828131610391392E-3</v>
      </c>
      <c r="AO62" s="1">
        <v>38353</v>
      </c>
      <c r="AP62" s="4">
        <f t="shared" si="9"/>
        <v>5.5914105307034299E-2</v>
      </c>
      <c r="AQ62" s="4">
        <f t="shared" si="10"/>
        <v>1.7938340928846719E-2</v>
      </c>
    </row>
    <row r="63" spans="1:43" x14ac:dyDescent="0.25">
      <c r="A63" s="1">
        <v>38657</v>
      </c>
      <c r="B63" s="4">
        <v>5.6662042243050097E-2</v>
      </c>
      <c r="C63" s="4">
        <v>1.01691744134453E-2</v>
      </c>
      <c r="D63" s="4">
        <v>7.15284364929705E-4</v>
      </c>
      <c r="E63" s="4">
        <v>2.18650788985957E-3</v>
      </c>
      <c r="F63" s="4">
        <v>7.6869066398905399E-4</v>
      </c>
      <c r="G63" s="4">
        <v>4.1048591517175003E-3</v>
      </c>
      <c r="H63" s="4">
        <v>1.79445164839412E-2</v>
      </c>
      <c r="I63" s="4">
        <v>1.01325978493859</v>
      </c>
      <c r="J63" s="4">
        <v>3.4834858632236197E-2</v>
      </c>
      <c r="K63" s="4">
        <v>7.2670821232681104E-3</v>
      </c>
      <c r="L63" s="4">
        <v>3.1200679995402698E-3</v>
      </c>
      <c r="M63" s="4">
        <v>1.0584817936936299</v>
      </c>
      <c r="N63" s="4">
        <f t="shared" si="0"/>
        <v>1.6124765033361355E-2</v>
      </c>
      <c r="P63" s="1">
        <v>38292</v>
      </c>
      <c r="Q63">
        <v>5.3231479102560403E-2</v>
      </c>
      <c r="R63">
        <v>6.8556177506533006E-2</v>
      </c>
      <c r="S63">
        <v>6.8556177506533006E-2</v>
      </c>
      <c r="T63">
        <v>-1.93926357085723E-2</v>
      </c>
      <c r="U63">
        <v>0.94778812285117897</v>
      </c>
      <c r="V63">
        <v>3.8652249818157E-2</v>
      </c>
      <c r="Y63" s="1">
        <v>38384</v>
      </c>
      <c r="Z63" s="4">
        <f t="shared" si="1"/>
        <v>5.6959810900005597E-2</v>
      </c>
      <c r="AA63" s="4">
        <f t="shared" si="2"/>
        <v>6.3872370813020607E-2</v>
      </c>
      <c r="AC63" s="1">
        <v>38384</v>
      </c>
      <c r="AD63" s="4">
        <f t="shared" si="3"/>
        <v>6.1396523467051198E-2</v>
      </c>
      <c r="AE63" s="4">
        <f t="shared" si="4"/>
        <v>5.7037902177235297E-2</v>
      </c>
      <c r="AG63" s="1">
        <v>38384</v>
      </c>
      <c r="AH63" s="4">
        <f t="shared" si="5"/>
        <v>2.36930799652013E-2</v>
      </c>
      <c r="AI63" s="4">
        <f t="shared" si="6"/>
        <v>2.29867158525149E-2</v>
      </c>
      <c r="AK63" s="1">
        <v>38384</v>
      </c>
      <c r="AL63" s="4">
        <f t="shared" si="7"/>
        <v>6.1396523467051198E-2</v>
      </c>
      <c r="AM63" s="4">
        <f t="shared" si="8"/>
        <v>1.931639722294104E-2</v>
      </c>
      <c r="AO63" s="1">
        <v>38384</v>
      </c>
      <c r="AP63" s="4">
        <f t="shared" si="9"/>
        <v>3.0744252924881699E-2</v>
      </c>
      <c r="AQ63" s="4">
        <f t="shared" si="10"/>
        <v>2.1478921597055445E-2</v>
      </c>
    </row>
    <row r="64" spans="1:43" x14ac:dyDescent="0.25">
      <c r="A64" s="1">
        <v>38687</v>
      </c>
      <c r="B64" s="4">
        <v>5.7366756245760299E-2</v>
      </c>
      <c r="C64" s="4">
        <v>1.2362897181878101E-2</v>
      </c>
      <c r="D64" s="4">
        <v>4.5009748918432802E-4</v>
      </c>
      <c r="E64" s="4">
        <v>1.7687725647976399E-3</v>
      </c>
      <c r="F64" s="4">
        <v>-1.02057711113697E-3</v>
      </c>
      <c r="G64" s="4">
        <v>4.7081340315658499E-3</v>
      </c>
      <c r="H64" s="4">
        <v>1.8269324156288999E-2</v>
      </c>
      <c r="I64" s="4">
        <v>0.98904773853793304</v>
      </c>
      <c r="J64" s="4">
        <v>2.9476602556938201E-2</v>
      </c>
      <c r="K64" s="4">
        <v>8.2982919921491503E-3</v>
      </c>
      <c r="L64" s="4">
        <v>2.9212047601592302E-2</v>
      </c>
      <c r="M64" s="4">
        <v>1.0560346806886101</v>
      </c>
      <c r="N64" s="4">
        <f t="shared" si="0"/>
        <v>1.9601399713439216E-2</v>
      </c>
      <c r="P64" s="1">
        <v>38322</v>
      </c>
      <c r="Q64">
        <v>5.8119966014319097E-2</v>
      </c>
      <c r="R64">
        <v>6.9455749429040897E-2</v>
      </c>
      <c r="S64">
        <v>6.9455749429040897E-2</v>
      </c>
      <c r="T64">
        <v>-2.03299889818166E-2</v>
      </c>
      <c r="U64">
        <v>0.93083279724623302</v>
      </c>
      <c r="V64">
        <v>6.33259171904485E-2</v>
      </c>
      <c r="Y64" s="1">
        <v>38412</v>
      </c>
      <c r="Z64" s="4">
        <f t="shared" si="1"/>
        <v>5.5585980893956902E-2</v>
      </c>
      <c r="AA64" s="4">
        <f t="shared" si="2"/>
        <v>6.2331332664308299E-2</v>
      </c>
      <c r="AC64" s="1">
        <v>38412</v>
      </c>
      <c r="AD64" s="4">
        <f t="shared" si="3"/>
        <v>5.4777870327351298E-2</v>
      </c>
      <c r="AE64" s="4">
        <f t="shared" si="4"/>
        <v>4.5883238812240303E-2</v>
      </c>
      <c r="AG64" s="1">
        <v>38412</v>
      </c>
      <c r="AH64" s="4">
        <f t="shared" si="5"/>
        <v>2.0451876953329302E-2</v>
      </c>
      <c r="AI64" s="4">
        <f t="shared" si="6"/>
        <v>2.6071954563880902E-2</v>
      </c>
      <c r="AK64" s="1">
        <v>38412</v>
      </c>
      <c r="AL64" s="4">
        <f t="shared" si="7"/>
        <v>5.4777870327351298E-2</v>
      </c>
      <c r="AM64" s="4">
        <f t="shared" si="8"/>
        <v>1.1639261420439881E-2</v>
      </c>
      <c r="AO64" s="1">
        <v>38412</v>
      </c>
      <c r="AP64" s="4">
        <f t="shared" si="9"/>
        <v>5.9947432982604403E-2</v>
      </c>
      <c r="AQ64" s="4">
        <f t="shared" si="10"/>
        <v>1.3301649680159233E-2</v>
      </c>
    </row>
    <row r="65" spans="1:43" x14ac:dyDescent="0.25">
      <c r="A65" s="1">
        <v>38718</v>
      </c>
      <c r="B65" s="4">
        <v>6.1977477676141798E-2</v>
      </c>
      <c r="C65" s="4">
        <v>1.09978951536589E-2</v>
      </c>
      <c r="D65" s="4">
        <v>3.73451010086704E-4</v>
      </c>
      <c r="E65" s="4">
        <v>1.55001252312852E-3</v>
      </c>
      <c r="F65" s="4">
        <v>-1.5763819348038901E-3</v>
      </c>
      <c r="G65" s="4">
        <v>5.2606976292362403E-3</v>
      </c>
      <c r="H65" s="4">
        <v>1.6605674381306501E-2</v>
      </c>
      <c r="I65" s="4">
        <v>1.0261341971014999</v>
      </c>
      <c r="J65" s="4">
        <v>2.1769221546475599E-2</v>
      </c>
      <c r="K65" s="4">
        <v>8.8487881021163603E-4</v>
      </c>
      <c r="L65" s="4">
        <v>8.4670677370525093E-3</v>
      </c>
      <c r="M65" s="4">
        <v>1.0572553651952401</v>
      </c>
      <c r="N65" s="4">
        <f t="shared" si="0"/>
        <v>2.1327786862208153E-2</v>
      </c>
      <c r="P65" s="1">
        <v>38353</v>
      </c>
      <c r="Q65">
        <v>5.9474262119405798E-2</v>
      </c>
      <c r="R65">
        <v>5.3394910974026398E-2</v>
      </c>
      <c r="S65">
        <v>5.3394910974026398E-2</v>
      </c>
      <c r="T65">
        <v>-1.81678045162404E-2</v>
      </c>
      <c r="U65">
        <v>0.93567878280710903</v>
      </c>
      <c r="V65">
        <v>5.5914105307034299E-2</v>
      </c>
      <c r="Y65" s="1">
        <v>38443</v>
      </c>
      <c r="Z65" s="4">
        <f t="shared" si="1"/>
        <v>5.9300547201844897E-2</v>
      </c>
      <c r="AA65" s="4">
        <f t="shared" si="2"/>
        <v>6.0606396576953402E-2</v>
      </c>
      <c r="AC65" s="1">
        <v>38443</v>
      </c>
      <c r="AD65" s="4">
        <f t="shared" si="3"/>
        <v>5.2801441322425903E-2</v>
      </c>
      <c r="AE65" s="4">
        <f t="shared" si="4"/>
        <v>4.7048088424415699E-2</v>
      </c>
      <c r="AG65" s="1">
        <v>38443</v>
      </c>
      <c r="AH65" s="4">
        <f t="shared" si="5"/>
        <v>2.4803922777106802E-2</v>
      </c>
      <c r="AI65" s="4">
        <f t="shared" si="6"/>
        <v>2.1624614814522901E-2</v>
      </c>
      <c r="AK65" s="1">
        <v>38443</v>
      </c>
      <c r="AL65" s="4">
        <f t="shared" si="7"/>
        <v>5.2801441322425903E-2</v>
      </c>
      <c r="AM65" s="4">
        <f t="shared" si="8"/>
        <v>1.0959383106304331E-2</v>
      </c>
      <c r="AO65" s="1">
        <v>38443</v>
      </c>
      <c r="AP65" s="4">
        <f t="shared" si="9"/>
        <v>5.1924747839132403E-2</v>
      </c>
      <c r="AQ65" s="4">
        <f t="shared" si="10"/>
        <v>2.4475093241436374E-2</v>
      </c>
    </row>
    <row r="66" spans="1:43" x14ac:dyDescent="0.25">
      <c r="A66" s="1">
        <v>38749</v>
      </c>
      <c r="B66" s="4">
        <v>5.7634431731107903E-2</v>
      </c>
      <c r="C66" s="4">
        <v>1.12223493813955E-2</v>
      </c>
      <c r="D66" s="4">
        <v>8.4880341544506005E-4</v>
      </c>
      <c r="E66" s="4">
        <v>1.92301678402891E-3</v>
      </c>
      <c r="F66" s="4">
        <v>-7.5668816197012898E-4</v>
      </c>
      <c r="G66" s="4">
        <v>5.9278763083877297E-3</v>
      </c>
      <c r="H66" s="4">
        <v>1.91653577272871E-2</v>
      </c>
      <c r="I66" s="4">
        <v>1.01746429055585</v>
      </c>
      <c r="J66" s="4">
        <v>1.9333306514743801E-2</v>
      </c>
      <c r="K66" s="4">
        <v>1.92675461068298E-3</v>
      </c>
      <c r="L66" s="4">
        <v>2.3295529474048501E-2</v>
      </c>
      <c r="M66" s="4">
        <v>1.0620198811553301</v>
      </c>
      <c r="N66" s="4">
        <f t="shared" si="0"/>
        <v>1.4779908303064859E-2</v>
      </c>
      <c r="P66" s="1">
        <v>38384</v>
      </c>
      <c r="Q66">
        <v>5.6959810900005597E-2</v>
      </c>
      <c r="R66">
        <v>6.1396523467051198E-2</v>
      </c>
      <c r="S66">
        <v>6.1396523467051198E-2</v>
      </c>
      <c r="T66">
        <v>-2.36930799652013E-2</v>
      </c>
      <c r="U66">
        <v>0.97091386672114999</v>
      </c>
      <c r="V66">
        <v>3.0744252924881699E-2</v>
      </c>
      <c r="Y66" s="1">
        <v>38473</v>
      </c>
      <c r="Z66" s="4">
        <f t="shared" si="1"/>
        <v>5.6857401844315501E-2</v>
      </c>
      <c r="AA66" s="4">
        <f t="shared" si="2"/>
        <v>5.75474009630886E-2</v>
      </c>
      <c r="AC66" s="1">
        <v>38473</v>
      </c>
      <c r="AD66" s="4">
        <f t="shared" si="3"/>
        <v>5.8717437582503501E-2</v>
      </c>
      <c r="AE66" s="4">
        <f t="shared" si="4"/>
        <v>5.3373851611343698E-2</v>
      </c>
      <c r="AG66" s="1">
        <v>38473</v>
      </c>
      <c r="AH66" s="4">
        <f t="shared" si="5"/>
        <v>2.03280128004098E-2</v>
      </c>
      <c r="AI66" s="4">
        <f t="shared" si="6"/>
        <v>2.52331812745702E-2</v>
      </c>
      <c r="AK66" s="1">
        <v>38473</v>
      </c>
      <c r="AL66" s="4">
        <f t="shared" si="7"/>
        <v>5.8717437582503501E-2</v>
      </c>
      <c r="AM66" s="4">
        <f t="shared" si="8"/>
        <v>1.97759769303382E-2</v>
      </c>
      <c r="AO66" s="1">
        <v>38473</v>
      </c>
      <c r="AP66" s="4">
        <f t="shared" si="9"/>
        <v>4.42821772024935E-2</v>
      </c>
      <c r="AQ66" s="4">
        <f t="shared" si="10"/>
        <v>2.280343787176875E-2</v>
      </c>
    </row>
    <row r="67" spans="1:43" x14ac:dyDescent="0.25">
      <c r="A67" s="1">
        <v>38777</v>
      </c>
      <c r="B67" s="4">
        <v>5.4118353485831598E-2</v>
      </c>
      <c r="C67" s="4">
        <v>1.4180182761282399E-2</v>
      </c>
      <c r="D67" s="4">
        <v>8.4457489201238101E-4</v>
      </c>
      <c r="E67" s="4">
        <v>2.53258174056013E-3</v>
      </c>
      <c r="F67" s="4">
        <v>-1.1537117257944601E-3</v>
      </c>
      <c r="G67" s="4">
        <v>5.69873071387681E-3</v>
      </c>
      <c r="H67" s="4">
        <v>2.21023583819373E-2</v>
      </c>
      <c r="I67" s="4">
        <v>0.99328151939482401</v>
      </c>
      <c r="J67" s="4">
        <v>3.0400995178520102E-2</v>
      </c>
      <c r="K67" s="4">
        <v>0</v>
      </c>
      <c r="L67" s="4">
        <v>2.2289037843182501E-2</v>
      </c>
      <c r="M67" s="4">
        <v>1.0459715524165201</v>
      </c>
      <c r="N67" s="4">
        <f t="shared" ref="N67:N130" si="11">B67+H67+1-M67</f>
        <v>3.0249159451248842E-2</v>
      </c>
      <c r="P67" s="1">
        <v>38412</v>
      </c>
      <c r="Q67">
        <v>5.5585980893956902E-2</v>
      </c>
      <c r="R67">
        <v>5.4777870327351298E-2</v>
      </c>
      <c r="S67">
        <v>5.4777870327351298E-2</v>
      </c>
      <c r="T67">
        <v>-2.0451876953329302E-2</v>
      </c>
      <c r="U67">
        <v>0.94370938293236095</v>
      </c>
      <c r="V67">
        <v>5.9947432982604403E-2</v>
      </c>
      <c r="Y67" s="1">
        <v>38504</v>
      </c>
      <c r="Z67" s="4">
        <f t="shared" si="1"/>
        <v>5.7184541728142399E-2</v>
      </c>
      <c r="AA67" s="4">
        <f t="shared" si="2"/>
        <v>6.2831575306661697E-2</v>
      </c>
      <c r="AC67" s="1">
        <v>38504</v>
      </c>
      <c r="AD67" s="4">
        <f t="shared" si="3"/>
        <v>6.0034123231694402E-2</v>
      </c>
      <c r="AE67" s="4">
        <f t="shared" si="4"/>
        <v>4.8665922910084203E-2</v>
      </c>
      <c r="AG67" s="1">
        <v>38504</v>
      </c>
      <c r="AH67" s="4">
        <f t="shared" si="5"/>
        <v>2.1271772649649499E-2</v>
      </c>
      <c r="AI67" s="4">
        <f t="shared" si="6"/>
        <v>2.43865131996087E-2</v>
      </c>
      <c r="AK67" s="1">
        <v>38504</v>
      </c>
      <c r="AL67" s="4">
        <f t="shared" si="7"/>
        <v>6.0034123231694402E-2</v>
      </c>
      <c r="AM67" s="4">
        <f t="shared" si="8"/>
        <v>1.375655560465323E-2</v>
      </c>
      <c r="AO67" s="1">
        <v>38504</v>
      </c>
      <c r="AP67" s="4">
        <f t="shared" si="9"/>
        <v>4.4837738556487303E-2</v>
      </c>
      <c r="AQ67" s="4">
        <f t="shared" si="10"/>
        <v>2.4859216808710283E-2</v>
      </c>
    </row>
    <row r="68" spans="1:43" x14ac:dyDescent="0.25">
      <c r="A68" s="1">
        <v>38808</v>
      </c>
      <c r="B68" s="4">
        <v>6.7706108973574694E-2</v>
      </c>
      <c r="C68" s="4">
        <v>1.4079190492078199E-2</v>
      </c>
      <c r="D68" s="4">
        <v>3.93812396737478E-4</v>
      </c>
      <c r="E68" s="4">
        <v>2.7824853562867999E-3</v>
      </c>
      <c r="F68" s="4">
        <v>-1.9705982440459298E-3</v>
      </c>
      <c r="G68" s="4">
        <v>8.26317364712118E-3</v>
      </c>
      <c r="H68" s="4">
        <v>2.3548063648177801E-2</v>
      </c>
      <c r="I68" s="4">
        <v>1.00837274609283</v>
      </c>
      <c r="J68" s="4">
        <v>3.9191432057725503E-2</v>
      </c>
      <c r="K68" s="4">
        <v>1.75170763020153E-3</v>
      </c>
      <c r="L68" s="4">
        <v>9.9067073582834505E-3</v>
      </c>
      <c r="M68" s="4">
        <v>1.05922259313904</v>
      </c>
      <c r="N68" s="4">
        <f t="shared" si="11"/>
        <v>3.2031579482712402E-2</v>
      </c>
      <c r="P68" s="1">
        <v>38443</v>
      </c>
      <c r="Q68">
        <v>5.9300547201844897E-2</v>
      </c>
      <c r="R68">
        <v>5.2801441322425903E-2</v>
      </c>
      <c r="S68">
        <v>5.2801441322425903E-2</v>
      </c>
      <c r="T68">
        <v>-2.4803922777106802E-2</v>
      </c>
      <c r="U68">
        <v>0.95173890634043401</v>
      </c>
      <c r="V68">
        <v>5.1924747839132403E-2</v>
      </c>
      <c r="Y68" s="1">
        <v>38534</v>
      </c>
      <c r="Z68" s="4">
        <f t="shared" ref="Z68:Z131" si="12">VLOOKUP(Y68,P:V,2,0)</f>
        <v>5.4102889517888497E-2</v>
      </c>
      <c r="AA68" s="4">
        <f t="shared" ref="AA68:AA131" si="13">VLOOKUP(Y68,A:N,2,0)</f>
        <v>6.5045835951440298E-2</v>
      </c>
      <c r="AC68" s="1">
        <v>38534</v>
      </c>
      <c r="AD68" s="4">
        <f t="shared" ref="AD68:AD131" si="14">VLOOKUP(Y68,P:V,3,0)</f>
        <v>5.0969950089225502E-2</v>
      </c>
      <c r="AE68" s="4">
        <f t="shared" ref="AE68:AE131" si="15">VLOOKUP(Y68,A:N,10,0)</f>
        <v>5.2369980456127202E-2</v>
      </c>
      <c r="AG68" s="1">
        <v>38534</v>
      </c>
      <c r="AH68" s="4">
        <f t="shared" ref="AH68:AH131" si="16">-VLOOKUP(Y68,P:V,5,0)</f>
        <v>1.7511786480441601E-2</v>
      </c>
      <c r="AI68" s="4">
        <f t="shared" ref="AI68:AI131" si="17">VLOOKUP(Y68,A:N,8,0)</f>
        <v>2.67455797187942E-2</v>
      </c>
      <c r="AK68" s="1">
        <v>38534</v>
      </c>
      <c r="AL68" s="4">
        <f t="shared" ref="AL68:AL131" si="18">VLOOKUP(Y68,P:V,4,0)</f>
        <v>5.0969950089225502E-2</v>
      </c>
      <c r="AM68" s="4">
        <f t="shared" ref="AM68:AM131" si="19">VLOOKUP(Y68,A:N,11,0)+VLOOKUP(Y68,A:N,12,0)</f>
        <v>9.2173821001184097E-3</v>
      </c>
      <c r="AO68" s="1">
        <v>38534</v>
      </c>
      <c r="AP68" s="4">
        <f t="shared" ref="AP68:AP131" si="20">VLOOKUP(Y68,P:V,7,0)</f>
        <v>4.9509323267724899E-2</v>
      </c>
      <c r="AQ68" s="4">
        <f t="shared" ref="AQ68:AQ131" si="21">VLOOKUP(Y68,A:N,14,0)</f>
        <v>3.6941669612794437E-2</v>
      </c>
    </row>
    <row r="69" spans="1:43" x14ac:dyDescent="0.25">
      <c r="A69" s="1">
        <v>38838</v>
      </c>
      <c r="B69" s="4">
        <v>7.0618929662425306E-2</v>
      </c>
      <c r="C69" s="4">
        <v>1.5888366267315601E-2</v>
      </c>
      <c r="D69" s="4">
        <v>4.6329879337277802E-4</v>
      </c>
      <c r="E69" s="4">
        <v>2.0650618393310001E-3</v>
      </c>
      <c r="F69" s="4">
        <v>-1.35809085413803E-3</v>
      </c>
      <c r="G69" s="4">
        <v>7.0806860767865E-3</v>
      </c>
      <c r="H69" s="4">
        <v>2.4139322122667801E-2</v>
      </c>
      <c r="I69" s="4">
        <v>1.02194299790762</v>
      </c>
      <c r="J69" s="4">
        <v>3.3130943420912898E-2</v>
      </c>
      <c r="K69" s="4">
        <v>1.2568747452960599E-2</v>
      </c>
      <c r="L69" s="4">
        <v>1.3761480203326199E-2</v>
      </c>
      <c r="M69" s="4">
        <v>1.0814041689848199</v>
      </c>
      <c r="N69" s="4">
        <f t="shared" si="11"/>
        <v>1.335408280027317E-2</v>
      </c>
      <c r="P69" s="1">
        <v>38473</v>
      </c>
      <c r="Q69">
        <v>5.6857401844315501E-2</v>
      </c>
      <c r="R69">
        <v>5.8717437582503501E-2</v>
      </c>
      <c r="S69">
        <v>5.8717437582503501E-2</v>
      </c>
      <c r="T69">
        <v>-2.03280128004098E-2</v>
      </c>
      <c r="U69">
        <v>0.96310588799536301</v>
      </c>
      <c r="V69">
        <v>4.42821772024935E-2</v>
      </c>
      <c r="Y69" s="1">
        <v>38565</v>
      </c>
      <c r="Z69" s="4">
        <f t="shared" si="12"/>
        <v>6.1308827152285E-2</v>
      </c>
      <c r="AA69" s="4">
        <f t="shared" si="13"/>
        <v>6.7642201782090502E-2</v>
      </c>
      <c r="AC69" s="1">
        <v>38565</v>
      </c>
      <c r="AD69" s="4">
        <f t="shared" si="14"/>
        <v>5.4282465482248798E-2</v>
      </c>
      <c r="AE69" s="4">
        <f t="shared" si="15"/>
        <v>5.0083921409846403E-2</v>
      </c>
      <c r="AG69" s="1">
        <v>38565</v>
      </c>
      <c r="AH69" s="4">
        <f t="shared" si="16"/>
        <v>2.50813703251196E-2</v>
      </c>
      <c r="AI69" s="4">
        <f t="shared" si="17"/>
        <v>3.02554238755081E-2</v>
      </c>
      <c r="AK69" s="1">
        <v>38565</v>
      </c>
      <c r="AL69" s="4">
        <f t="shared" si="18"/>
        <v>5.4282465482248798E-2</v>
      </c>
      <c r="AM69" s="4">
        <f t="shared" si="19"/>
        <v>3.1571185891221709E-2</v>
      </c>
      <c r="AO69" s="1">
        <v>38565</v>
      </c>
      <c r="AP69" s="4">
        <f t="shared" si="20"/>
        <v>6.2965036303327407E-2</v>
      </c>
      <c r="AQ69" s="4">
        <f t="shared" si="21"/>
        <v>2.7297840318368571E-2</v>
      </c>
    </row>
    <row r="70" spans="1:43" x14ac:dyDescent="0.25">
      <c r="A70" s="1">
        <v>38869</v>
      </c>
      <c r="B70" s="4">
        <v>5.7076964516638899E-2</v>
      </c>
      <c r="C70" s="4">
        <v>1.1362349556061401E-2</v>
      </c>
      <c r="D70" s="4">
        <v>3.20387730099254E-4</v>
      </c>
      <c r="E70" s="4">
        <v>2.5295153667504798E-3</v>
      </c>
      <c r="F70" s="4">
        <v>-9.2181255111430105E-4</v>
      </c>
      <c r="G70" s="4">
        <v>7.6067917253399599E-3</v>
      </c>
      <c r="H70" s="4">
        <v>2.0897231827136799E-2</v>
      </c>
      <c r="I70" s="4">
        <v>1.0135121126459601</v>
      </c>
      <c r="J70" s="4">
        <v>3.2627353273975097E-2</v>
      </c>
      <c r="K70" s="4">
        <v>5.0144605747026198E-3</v>
      </c>
      <c r="L70" s="4">
        <v>3.62729380957675E-3</v>
      </c>
      <c r="M70" s="4">
        <v>1.0547812203042199</v>
      </c>
      <c r="N70" s="4">
        <f t="shared" si="11"/>
        <v>2.3192976039555724E-2</v>
      </c>
      <c r="P70" s="1">
        <v>38504</v>
      </c>
      <c r="Q70">
        <v>5.7184541728142399E-2</v>
      </c>
      <c r="R70">
        <v>6.0034123231694402E-2</v>
      </c>
      <c r="S70">
        <v>6.0034123231694402E-2</v>
      </c>
      <c r="T70">
        <v>-2.1271772649649499E-2</v>
      </c>
      <c r="U70">
        <v>0.95068897784525697</v>
      </c>
      <c r="V70">
        <v>4.4837738556487303E-2</v>
      </c>
      <c r="Y70" s="1">
        <v>38596</v>
      </c>
      <c r="Z70" s="4">
        <f t="shared" si="12"/>
        <v>6.07946711849792E-2</v>
      </c>
      <c r="AA70" s="4">
        <f t="shared" si="13"/>
        <v>5.86497130489027E-2</v>
      </c>
      <c r="AC70" s="1">
        <v>38596</v>
      </c>
      <c r="AD70" s="4">
        <f t="shared" si="14"/>
        <v>7.7378738477218698E-2</v>
      </c>
      <c r="AE70" s="4">
        <f t="shared" si="15"/>
        <v>4.7134523318097303E-2</v>
      </c>
      <c r="AG70" s="1">
        <v>38596</v>
      </c>
      <c r="AH70" s="4">
        <f t="shared" si="16"/>
        <v>2.5481264764934199E-2</v>
      </c>
      <c r="AI70" s="4">
        <f t="shared" si="17"/>
        <v>3.4860829107527101E-2</v>
      </c>
      <c r="AK70" s="1">
        <v>38596</v>
      </c>
      <c r="AL70" s="4">
        <f t="shared" si="18"/>
        <v>7.7378738477218698E-2</v>
      </c>
      <c r="AM70" s="4">
        <f t="shared" si="19"/>
        <v>3.5553025455829307E-2</v>
      </c>
      <c r="AO70" s="1">
        <v>38596</v>
      </c>
      <c r="AP70" s="4">
        <f t="shared" si="20"/>
        <v>7.5494652330399606E-2</v>
      </c>
      <c r="AQ70" s="4">
        <f t="shared" si="21"/>
        <v>1.5323798034049707E-2</v>
      </c>
    </row>
    <row r="71" spans="1:43" x14ac:dyDescent="0.25">
      <c r="A71" s="1">
        <v>38899</v>
      </c>
      <c r="B71" s="4">
        <v>5.4970792765955602E-2</v>
      </c>
      <c r="C71" s="4">
        <v>1.4933481541855699E-2</v>
      </c>
      <c r="D71" s="4">
        <v>3.8263596744590798E-4</v>
      </c>
      <c r="E71" s="4">
        <v>2.65709414919061E-3</v>
      </c>
      <c r="F71" s="4">
        <v>-1.1816812518516901E-3</v>
      </c>
      <c r="G71" s="4">
        <v>6.8224095923908696E-3</v>
      </c>
      <c r="H71" s="4">
        <v>2.36139399990314E-2</v>
      </c>
      <c r="I71" s="4">
        <v>0.97384700660318702</v>
      </c>
      <c r="J71" s="4">
        <v>3.5212737505162003E-2</v>
      </c>
      <c r="K71" s="4">
        <v>1.6686865188242E-2</v>
      </c>
      <c r="L71" s="4">
        <v>2.6764318041694699E-2</v>
      </c>
      <c r="M71" s="4">
        <v>1.05251092733828</v>
      </c>
      <c r="N71" s="4">
        <f t="shared" si="11"/>
        <v>2.607380542670712E-2</v>
      </c>
      <c r="P71" s="1">
        <v>38534</v>
      </c>
      <c r="Q71">
        <v>5.4102889517888497E-2</v>
      </c>
      <c r="R71">
        <v>5.0969950089225502E-2</v>
      </c>
      <c r="S71">
        <v>5.0969950089225502E-2</v>
      </c>
      <c r="T71">
        <v>-1.7511786480441601E-2</v>
      </c>
      <c r="U71">
        <v>0.95643395622847804</v>
      </c>
      <c r="V71">
        <v>4.9509323267724899E-2</v>
      </c>
      <c r="Y71" s="1">
        <v>38626</v>
      </c>
      <c r="Z71" s="4">
        <f t="shared" si="12"/>
        <v>6.0561715274340198E-2</v>
      </c>
      <c r="AA71" s="4">
        <f t="shared" si="13"/>
        <v>6.4116095649154395E-2</v>
      </c>
      <c r="AC71" s="1">
        <v>38626</v>
      </c>
      <c r="AD71" s="4">
        <f t="shared" si="14"/>
        <v>3.9791598332667599E-2</v>
      </c>
      <c r="AE71" s="4">
        <f t="shared" si="15"/>
        <v>4.5175080972750102E-2</v>
      </c>
      <c r="AG71" s="1">
        <v>38626</v>
      </c>
      <c r="AH71" s="4">
        <f t="shared" si="16"/>
        <v>2.4163036523429299E-2</v>
      </c>
      <c r="AI71" s="4">
        <f t="shared" si="17"/>
        <v>2.40075013540147E-2</v>
      </c>
      <c r="AK71" s="1">
        <v>38626</v>
      </c>
      <c r="AL71" s="4">
        <f t="shared" si="18"/>
        <v>3.9791598332667599E-2</v>
      </c>
      <c r="AM71" s="4">
        <f t="shared" si="19"/>
        <v>1.019520127555173E-2</v>
      </c>
      <c r="AO71" s="1">
        <v>38626</v>
      </c>
      <c r="AP71" s="4">
        <f t="shared" si="20"/>
        <v>4.9713101620476603E-2</v>
      </c>
      <c r="AQ71" s="4">
        <f t="shared" si="21"/>
        <v>2.5159732144299118E-2</v>
      </c>
    </row>
    <row r="72" spans="1:43" x14ac:dyDescent="0.25">
      <c r="A72" s="1">
        <v>38930</v>
      </c>
      <c r="B72" s="4">
        <v>5.78275563544835E-2</v>
      </c>
      <c r="C72" s="4">
        <v>1.25131047184017E-2</v>
      </c>
      <c r="D72" s="4">
        <v>4.5407314445607399E-4</v>
      </c>
      <c r="E72" s="4">
        <v>2.6657670634246699E-3</v>
      </c>
      <c r="F72" s="4">
        <v>2.59412463692825E-5</v>
      </c>
      <c r="G72" s="4">
        <v>4.8551677237946601E-3</v>
      </c>
      <c r="H72" s="4">
        <v>2.0514053896446401E-2</v>
      </c>
      <c r="I72" s="4">
        <v>0.99392912667167099</v>
      </c>
      <c r="J72" s="4">
        <v>3.7663143073421099E-2</v>
      </c>
      <c r="K72" s="4">
        <v>2.9349581610027902E-3</v>
      </c>
      <c r="L72" s="4">
        <v>2.3802106873753E-2</v>
      </c>
      <c r="M72" s="4">
        <v>1.0583293347798399</v>
      </c>
      <c r="N72" s="4">
        <f t="shared" si="11"/>
        <v>2.0012275471089858E-2</v>
      </c>
      <c r="P72" s="1">
        <v>38565</v>
      </c>
      <c r="Q72">
        <v>6.1308827152285E-2</v>
      </c>
      <c r="R72">
        <v>5.4282465482248798E-2</v>
      </c>
      <c r="S72">
        <v>5.4282465482248798E-2</v>
      </c>
      <c r="T72">
        <v>-2.50813703251196E-2</v>
      </c>
      <c r="U72">
        <v>0.94312958283311998</v>
      </c>
      <c r="V72">
        <v>6.2965036303327407E-2</v>
      </c>
      <c r="Y72" s="1">
        <v>38657</v>
      </c>
      <c r="Z72" s="4">
        <f t="shared" si="12"/>
        <v>5.1182189431007101E-2</v>
      </c>
      <c r="AA72" s="4">
        <f t="shared" si="13"/>
        <v>5.6662042243050097E-2</v>
      </c>
      <c r="AC72" s="1">
        <v>38657</v>
      </c>
      <c r="AD72" s="4">
        <f t="shared" si="14"/>
        <v>4.6763630832854397E-2</v>
      </c>
      <c r="AE72" s="4">
        <f t="shared" si="15"/>
        <v>3.4834858632236197E-2</v>
      </c>
      <c r="AG72" s="1">
        <v>38657</v>
      </c>
      <c r="AH72" s="4">
        <f t="shared" si="16"/>
        <v>1.54947600588832E-2</v>
      </c>
      <c r="AI72" s="4">
        <f t="shared" si="17"/>
        <v>1.79445164839412E-2</v>
      </c>
      <c r="AK72" s="1">
        <v>38657</v>
      </c>
      <c r="AL72" s="4">
        <f t="shared" si="18"/>
        <v>4.6763630832854397E-2</v>
      </c>
      <c r="AM72" s="4">
        <f t="shared" si="19"/>
        <v>1.0387150122808379E-2</v>
      </c>
      <c r="AO72" s="1">
        <v>38657</v>
      </c>
      <c r="AP72" s="4">
        <f t="shared" si="20"/>
        <v>3.4655180373755798E-2</v>
      </c>
      <c r="AQ72" s="4">
        <f t="shared" si="21"/>
        <v>1.6124765033361355E-2</v>
      </c>
    </row>
    <row r="73" spans="1:43" x14ac:dyDescent="0.25">
      <c r="A73" s="1">
        <v>38961</v>
      </c>
      <c r="B73" s="4">
        <v>6.3082413595394196E-2</v>
      </c>
      <c r="C73" s="4">
        <v>1.3244200172796599E-2</v>
      </c>
      <c r="D73" s="4">
        <v>6.9175825345275303E-4</v>
      </c>
      <c r="E73" s="4">
        <v>2.1689650329745698E-3</v>
      </c>
      <c r="F73" s="4">
        <v>-8.4115784230520197E-4</v>
      </c>
      <c r="G73" s="4">
        <v>6.97123723952208E-3</v>
      </c>
      <c r="H73" s="4">
        <v>2.22350028564408E-2</v>
      </c>
      <c r="I73" s="4">
        <v>1.0176685548189801</v>
      </c>
      <c r="J73" s="4">
        <v>2.6819721084093601E-2</v>
      </c>
      <c r="K73" s="4">
        <v>3.7628737310184498E-5</v>
      </c>
      <c r="L73" s="4">
        <v>2.3913268021746401E-2</v>
      </c>
      <c r="M73" s="4">
        <v>1.0684391726621301</v>
      </c>
      <c r="N73" s="4">
        <f t="shared" si="11"/>
        <v>1.6878243789705039E-2</v>
      </c>
      <c r="P73" s="1">
        <v>38596</v>
      </c>
      <c r="Q73">
        <v>6.07946711849792E-2</v>
      </c>
      <c r="R73">
        <v>7.7378738477218698E-2</v>
      </c>
      <c r="S73">
        <v>7.7378738477218698E-2</v>
      </c>
      <c r="T73">
        <v>-2.5481264764934199E-2</v>
      </c>
      <c r="U73">
        <v>0.924264915984089</v>
      </c>
      <c r="V73">
        <v>7.5494652330399606E-2</v>
      </c>
      <c r="Y73" s="1">
        <v>38687</v>
      </c>
      <c r="Z73" s="4">
        <f t="shared" si="12"/>
        <v>5.50503698424189E-2</v>
      </c>
      <c r="AA73" s="4">
        <f t="shared" si="13"/>
        <v>5.7366756245760299E-2</v>
      </c>
      <c r="AC73" s="1">
        <v>38687</v>
      </c>
      <c r="AD73" s="4">
        <f t="shared" si="14"/>
        <v>5.3306180400937098E-2</v>
      </c>
      <c r="AE73" s="4">
        <f t="shared" si="15"/>
        <v>2.9476602556938201E-2</v>
      </c>
      <c r="AG73" s="1">
        <v>38687</v>
      </c>
      <c r="AH73" s="4">
        <f t="shared" si="16"/>
        <v>2.13908038579354E-2</v>
      </c>
      <c r="AI73" s="4">
        <f t="shared" si="17"/>
        <v>1.8269324156288999E-2</v>
      </c>
      <c r="AK73" s="1">
        <v>38687</v>
      </c>
      <c r="AL73" s="4">
        <f t="shared" si="18"/>
        <v>5.3306180400937098E-2</v>
      </c>
      <c r="AM73" s="4">
        <f t="shared" si="19"/>
        <v>3.7510339593741449E-2</v>
      </c>
      <c r="AO73" s="1">
        <v>38687</v>
      </c>
      <c r="AP73" s="4">
        <f t="shared" si="20"/>
        <v>6.0682197520474102E-2</v>
      </c>
      <c r="AQ73" s="4">
        <f t="shared" si="21"/>
        <v>1.9601399713439216E-2</v>
      </c>
    </row>
    <row r="74" spans="1:43" x14ac:dyDescent="0.25">
      <c r="A74" s="1">
        <v>38991</v>
      </c>
      <c r="B74" s="4">
        <v>5.3860239676467997E-2</v>
      </c>
      <c r="C74" s="4">
        <v>1.23103603366383E-2</v>
      </c>
      <c r="D74" s="4">
        <v>8.5201978504553398E-4</v>
      </c>
      <c r="E74" s="4">
        <v>1.9032146389846101E-3</v>
      </c>
      <c r="F74" s="4">
        <v>-1.0041329143439001E-3</v>
      </c>
      <c r="G74" s="4">
        <v>4.8846319732326997E-3</v>
      </c>
      <c r="H74" s="4">
        <v>1.8946093819557301E-2</v>
      </c>
      <c r="I74" s="4">
        <v>1.00907603226317</v>
      </c>
      <c r="J74" s="4">
        <v>2.8565976464352501E-2</v>
      </c>
      <c r="K74" s="4">
        <v>2.33918949365121E-3</v>
      </c>
      <c r="L74" s="4">
        <v>2.1615524021264799E-2</v>
      </c>
      <c r="M74" s="4">
        <v>1.0615967222424401</v>
      </c>
      <c r="N74" s="4">
        <f t="shared" si="11"/>
        <v>1.1209611253585328E-2</v>
      </c>
      <c r="P74" s="1">
        <v>38626</v>
      </c>
      <c r="Q74">
        <v>6.0561715274340198E-2</v>
      </c>
      <c r="R74">
        <v>3.9791598332667599E-2</v>
      </c>
      <c r="S74">
        <v>3.9791598332667599E-2</v>
      </c>
      <c r="T74">
        <v>-2.4163036523429299E-2</v>
      </c>
      <c r="U74">
        <v>0.96393418224698602</v>
      </c>
      <c r="V74">
        <v>4.9713101620476603E-2</v>
      </c>
      <c r="Y74" s="1">
        <v>38718</v>
      </c>
      <c r="Z74" s="4">
        <f t="shared" si="12"/>
        <v>5.2842273120356498E-2</v>
      </c>
      <c r="AA74" s="4">
        <f t="shared" si="13"/>
        <v>6.1977477676141798E-2</v>
      </c>
      <c r="AC74" s="1">
        <v>38718</v>
      </c>
      <c r="AD74" s="4">
        <f t="shared" si="14"/>
        <v>4.6407972007262203E-2</v>
      </c>
      <c r="AE74" s="4">
        <f t="shared" si="15"/>
        <v>2.1769221546475599E-2</v>
      </c>
      <c r="AG74" s="1">
        <v>38718</v>
      </c>
      <c r="AH74" s="4">
        <f t="shared" si="16"/>
        <v>2.0299183151648099E-2</v>
      </c>
      <c r="AI74" s="4">
        <f t="shared" si="17"/>
        <v>1.6605674381306501E-2</v>
      </c>
      <c r="AK74" s="1">
        <v>38718</v>
      </c>
      <c r="AL74" s="4">
        <f t="shared" si="18"/>
        <v>4.6407972007262203E-2</v>
      </c>
      <c r="AM74" s="4">
        <f t="shared" si="19"/>
        <v>9.3519465472641453E-3</v>
      </c>
      <c r="AO74" s="1">
        <v>38718</v>
      </c>
      <c r="AP74" s="4">
        <f t="shared" si="20"/>
        <v>5.1455066531597898E-2</v>
      </c>
      <c r="AQ74" s="4">
        <f t="shared" si="21"/>
        <v>2.1327786862208153E-2</v>
      </c>
    </row>
    <row r="75" spans="1:43" x14ac:dyDescent="0.25">
      <c r="A75" s="1">
        <v>39022</v>
      </c>
      <c r="B75" s="4">
        <v>5.6156229716646397E-2</v>
      </c>
      <c r="C75" s="4">
        <v>1.18726641962008E-2</v>
      </c>
      <c r="D75" s="4">
        <v>3.2811260271260002E-4</v>
      </c>
      <c r="E75" s="4">
        <v>1.7969458703916801E-3</v>
      </c>
      <c r="F75" s="4">
        <v>-1.1903228464699E-3</v>
      </c>
      <c r="G75" s="4">
        <v>4.5470177323615702E-3</v>
      </c>
      <c r="H75" s="4">
        <v>1.7354417555196799E-2</v>
      </c>
      <c r="I75" s="4">
        <v>1.0230074357205601</v>
      </c>
      <c r="J75" s="4">
        <v>3.4580555839429802E-2</v>
      </c>
      <c r="K75" s="4">
        <v>8.4440267206874003E-5</v>
      </c>
      <c r="L75" s="4">
        <v>1.0536643035915399E-2</v>
      </c>
      <c r="M75" s="4">
        <v>1.0682090748631199</v>
      </c>
      <c r="N75" s="4">
        <f t="shared" si="11"/>
        <v>5.3015724087233096E-3</v>
      </c>
      <c r="P75" s="1">
        <v>38657</v>
      </c>
      <c r="Q75">
        <v>5.1182189431007101E-2</v>
      </c>
      <c r="R75">
        <v>4.6763630832854397E-2</v>
      </c>
      <c r="S75">
        <v>4.6763630832854397E-2</v>
      </c>
      <c r="T75">
        <v>-1.54947600588832E-2</v>
      </c>
      <c r="U75">
        <v>0.97249412952208503</v>
      </c>
      <c r="V75">
        <v>3.4655180373755798E-2</v>
      </c>
      <c r="Y75" s="1">
        <v>38749</v>
      </c>
      <c r="Z75" s="4">
        <f t="shared" si="12"/>
        <v>5.5114137656760501E-2</v>
      </c>
      <c r="AA75" s="4">
        <f t="shared" si="13"/>
        <v>5.7634431731107903E-2</v>
      </c>
      <c r="AC75" s="1">
        <v>38749</v>
      </c>
      <c r="AD75" s="4">
        <f t="shared" si="14"/>
        <v>4.04159118880612E-2</v>
      </c>
      <c r="AE75" s="4">
        <f t="shared" si="15"/>
        <v>1.9333306514743801E-2</v>
      </c>
      <c r="AG75" s="1">
        <v>38749</v>
      </c>
      <c r="AH75" s="4">
        <f t="shared" si="16"/>
        <v>1.9072074535150699E-2</v>
      </c>
      <c r="AI75" s="4">
        <f t="shared" si="17"/>
        <v>1.91653577272871E-2</v>
      </c>
      <c r="AK75" s="1">
        <v>38749</v>
      </c>
      <c r="AL75" s="4">
        <f t="shared" si="18"/>
        <v>4.04159118880612E-2</v>
      </c>
      <c r="AM75" s="4">
        <f t="shared" si="19"/>
        <v>2.522228408473148E-2</v>
      </c>
      <c r="AO75" s="1">
        <v>38749</v>
      </c>
      <c r="AP75" s="4">
        <f t="shared" si="20"/>
        <v>5.46076759162323E-2</v>
      </c>
      <c r="AQ75" s="4">
        <f t="shared" si="21"/>
        <v>1.4779908303064859E-2</v>
      </c>
    </row>
    <row r="76" spans="1:43" x14ac:dyDescent="0.25">
      <c r="A76" s="1">
        <v>39052</v>
      </c>
      <c r="B76" s="4">
        <v>5.4288484360433403E-2</v>
      </c>
      <c r="C76" s="4">
        <v>1.34795039677477E-2</v>
      </c>
      <c r="D76" s="4">
        <v>3.5280145461482698E-4</v>
      </c>
      <c r="E76" s="4">
        <v>1.7303368924755499E-3</v>
      </c>
      <c r="F76" s="4">
        <v>-7.0541050705480598E-4</v>
      </c>
      <c r="G76" s="4">
        <v>4.8035126972807403E-3</v>
      </c>
      <c r="H76" s="4">
        <v>1.9660744505064099E-2</v>
      </c>
      <c r="I76" s="4">
        <v>0.98424634465401495</v>
      </c>
      <c r="J76" s="4">
        <v>3.2962148192959902E-2</v>
      </c>
      <c r="K76" s="4">
        <v>4.2946089448050702E-3</v>
      </c>
      <c r="L76" s="4">
        <v>3.4679465871604101E-2</v>
      </c>
      <c r="M76" s="4">
        <v>1.05618256766338</v>
      </c>
      <c r="N76" s="4">
        <f t="shared" si="11"/>
        <v>1.7766661202117451E-2</v>
      </c>
      <c r="P76" s="1">
        <v>38687</v>
      </c>
      <c r="Q76">
        <v>5.50503698424189E-2</v>
      </c>
      <c r="R76">
        <v>5.3306180400937098E-2</v>
      </c>
      <c r="S76">
        <v>5.3306180400937098E-2</v>
      </c>
      <c r="T76">
        <v>-2.13908038579354E-2</v>
      </c>
      <c r="U76">
        <v>0.94284343709052199</v>
      </c>
      <c r="V76">
        <v>6.0682197520474102E-2</v>
      </c>
      <c r="Y76" s="1">
        <v>38777</v>
      </c>
      <c r="Z76" s="4">
        <f t="shared" si="12"/>
        <v>4.96391294119456E-2</v>
      </c>
      <c r="AA76" s="4">
        <f t="shared" si="13"/>
        <v>5.4118353485831598E-2</v>
      </c>
      <c r="AC76" s="1">
        <v>38777</v>
      </c>
      <c r="AD76" s="4">
        <f t="shared" si="14"/>
        <v>5.6313455293629001E-2</v>
      </c>
      <c r="AE76" s="4">
        <f t="shared" si="15"/>
        <v>3.0400995178520102E-2</v>
      </c>
      <c r="AG76" s="1">
        <v>38777</v>
      </c>
      <c r="AH76" s="4">
        <f t="shared" si="16"/>
        <v>2.44600209217378E-2</v>
      </c>
      <c r="AI76" s="4">
        <f t="shared" si="17"/>
        <v>2.21023583819373E-2</v>
      </c>
      <c r="AK76" s="1">
        <v>38777</v>
      </c>
      <c r="AL76" s="4">
        <f t="shared" si="18"/>
        <v>5.6313455293629001E-2</v>
      </c>
      <c r="AM76" s="4">
        <f t="shared" si="19"/>
        <v>2.2289037843182501E-2</v>
      </c>
      <c r="AO76" s="1">
        <v>38777</v>
      </c>
      <c r="AP76" s="4">
        <f t="shared" si="20"/>
        <v>5.3677124178532001E-2</v>
      </c>
      <c r="AQ76" s="4">
        <f t="shared" si="21"/>
        <v>3.0249159451248842E-2</v>
      </c>
    </row>
    <row r="77" spans="1:43" x14ac:dyDescent="0.25">
      <c r="A77" s="1">
        <v>39083</v>
      </c>
      <c r="B77" s="4">
        <v>5.7736034691442603E-2</v>
      </c>
      <c r="C77" s="4">
        <v>1.7098226478131098E-2</v>
      </c>
      <c r="D77" s="4">
        <v>7.3796994034025498E-4</v>
      </c>
      <c r="E77" s="4">
        <v>1.6366944007504701E-3</v>
      </c>
      <c r="F77" s="4">
        <v>-2.2344316746467198E-3</v>
      </c>
      <c r="G77" s="4">
        <v>7.8554796914470405E-3</v>
      </c>
      <c r="H77" s="4">
        <v>2.5093938836022098E-2</v>
      </c>
      <c r="I77" s="4">
        <v>1.0352154620245999</v>
      </c>
      <c r="J77" s="4">
        <v>2.76456424516771E-2</v>
      </c>
      <c r="K77" s="4">
        <v>8.53137357703815E-3</v>
      </c>
      <c r="L77" s="4">
        <v>6.48465049886563E-3</v>
      </c>
      <c r="M77" s="4">
        <v>1.07787712855218</v>
      </c>
      <c r="N77" s="4">
        <f t="shared" si="11"/>
        <v>4.9528449752846981E-3</v>
      </c>
      <c r="P77" s="1">
        <v>38718</v>
      </c>
      <c r="Q77">
        <v>5.2842273120356498E-2</v>
      </c>
      <c r="R77">
        <v>4.6407972007262203E-2</v>
      </c>
      <c r="S77">
        <v>4.6407972007262203E-2</v>
      </c>
      <c r="T77">
        <v>-2.0299183151648099E-2</v>
      </c>
      <c r="U77">
        <v>0.93181104746521604</v>
      </c>
      <c r="V77">
        <v>5.1455066531597898E-2</v>
      </c>
      <c r="Y77" s="1">
        <v>38808</v>
      </c>
      <c r="Z77" s="4">
        <f t="shared" si="12"/>
        <v>5.77996623997339E-2</v>
      </c>
      <c r="AA77" s="4">
        <f t="shared" si="13"/>
        <v>6.7706108973574694E-2</v>
      </c>
      <c r="AC77" s="1">
        <v>38808</v>
      </c>
      <c r="AD77" s="4">
        <f t="shared" si="14"/>
        <v>5.2356024922039703E-2</v>
      </c>
      <c r="AE77" s="4">
        <f t="shared" si="15"/>
        <v>3.9191432057725503E-2</v>
      </c>
      <c r="AG77" s="1">
        <v>38808</v>
      </c>
      <c r="AH77" s="4">
        <f t="shared" si="16"/>
        <v>2.70914377693275E-2</v>
      </c>
      <c r="AI77" s="4">
        <f t="shared" si="17"/>
        <v>2.3548063648177801E-2</v>
      </c>
      <c r="AK77" s="1">
        <v>38808</v>
      </c>
      <c r="AL77" s="4">
        <f t="shared" si="18"/>
        <v>5.2356024922039703E-2</v>
      </c>
      <c r="AM77" s="4">
        <f t="shared" si="19"/>
        <v>1.165841498848498E-2</v>
      </c>
      <c r="AO77" s="1">
        <v>38808</v>
      </c>
      <c r="AP77" s="4">
        <f t="shared" si="20"/>
        <v>7.2800610550190506E-2</v>
      </c>
      <c r="AQ77" s="4">
        <f t="shared" si="21"/>
        <v>3.2031579482712402E-2</v>
      </c>
    </row>
    <row r="78" spans="1:43" x14ac:dyDescent="0.25">
      <c r="A78" s="1">
        <v>39114</v>
      </c>
      <c r="B78" s="4">
        <v>5.1377823991664101E-2</v>
      </c>
      <c r="C78" s="4">
        <v>1.47323097743851E-2</v>
      </c>
      <c r="D78" s="4">
        <v>4.9106148629481702E-4</v>
      </c>
      <c r="E78" s="4">
        <v>2.0236733979907902E-3</v>
      </c>
      <c r="F78" s="4">
        <v>-6.2637233041655104E-4</v>
      </c>
      <c r="G78" s="4">
        <v>5.6432820893916004E-3</v>
      </c>
      <c r="H78" s="4">
        <v>2.2263954417645698E-2</v>
      </c>
      <c r="I78" s="4">
        <v>1.0169539725347501</v>
      </c>
      <c r="J78" s="4">
        <v>3.3902664050662397E-2</v>
      </c>
      <c r="K78" s="4">
        <v>3.2708358323367E-4</v>
      </c>
      <c r="L78" s="4">
        <v>1.13791942495549E-2</v>
      </c>
      <c r="M78" s="4">
        <v>1.0625629144182001</v>
      </c>
      <c r="N78" s="4">
        <f t="shared" si="11"/>
        <v>1.1078863991109689E-2</v>
      </c>
      <c r="P78" s="1">
        <v>38749</v>
      </c>
      <c r="Q78">
        <v>5.5114137656760501E-2</v>
      </c>
      <c r="R78">
        <v>4.04159118880612E-2</v>
      </c>
      <c r="S78">
        <v>4.04159118880612E-2</v>
      </c>
      <c r="T78">
        <v>-1.9072074535150699E-2</v>
      </c>
      <c r="U78">
        <v>0.92692566901027396</v>
      </c>
      <c r="V78">
        <v>5.46076759162323E-2</v>
      </c>
      <c r="Y78" s="1">
        <v>38838</v>
      </c>
      <c r="Z78" s="4">
        <f t="shared" si="12"/>
        <v>5.7159309061450503E-2</v>
      </c>
      <c r="AA78" s="4">
        <f t="shared" si="13"/>
        <v>7.0618929662425306E-2</v>
      </c>
      <c r="AC78" s="1">
        <v>38838</v>
      </c>
      <c r="AD78" s="4">
        <f t="shared" si="14"/>
        <v>5.3277668395465098E-2</v>
      </c>
      <c r="AE78" s="4">
        <f t="shared" si="15"/>
        <v>3.3130943420912898E-2</v>
      </c>
      <c r="AG78" s="1">
        <v>38838</v>
      </c>
      <c r="AH78" s="4">
        <f t="shared" si="16"/>
        <v>2.1099294838615501E-2</v>
      </c>
      <c r="AI78" s="4">
        <f t="shared" si="17"/>
        <v>2.4139322122667801E-2</v>
      </c>
      <c r="AK78" s="1">
        <v>38838</v>
      </c>
      <c r="AL78" s="4">
        <f t="shared" si="18"/>
        <v>5.3277668395465098E-2</v>
      </c>
      <c r="AM78" s="4">
        <f t="shared" si="19"/>
        <v>2.63302276562868E-2</v>
      </c>
      <c r="AO78" s="1">
        <v>38838</v>
      </c>
      <c r="AP78" s="4">
        <f t="shared" si="20"/>
        <v>5.0892251223020997E-2</v>
      </c>
      <c r="AQ78" s="4">
        <f t="shared" si="21"/>
        <v>1.335408280027317E-2</v>
      </c>
    </row>
    <row r="79" spans="1:43" x14ac:dyDescent="0.25">
      <c r="A79" s="1">
        <v>39142</v>
      </c>
      <c r="B79" s="4">
        <v>5.1496901254267299E-2</v>
      </c>
      <c r="C79" s="4">
        <v>1.64622668092426E-2</v>
      </c>
      <c r="D79" s="4">
        <v>4.34257878648791E-4</v>
      </c>
      <c r="E79" s="4">
        <v>1.74854099974027E-3</v>
      </c>
      <c r="F79" s="4">
        <v>-5.5795982333878996E-4</v>
      </c>
      <c r="G79" s="4">
        <v>6.4158373910394298E-3</v>
      </c>
      <c r="H79" s="4">
        <v>2.45029432553323E-2</v>
      </c>
      <c r="I79" s="4">
        <v>1.0171647612457899</v>
      </c>
      <c r="J79" s="4">
        <v>3.7313650757951199E-2</v>
      </c>
      <c r="K79" s="4">
        <v>1.00082479522653E-4</v>
      </c>
      <c r="L79" s="4">
        <v>5.8131406993540101E-3</v>
      </c>
      <c r="M79" s="4">
        <v>1.0603916351826199</v>
      </c>
      <c r="N79" s="4">
        <f t="shared" si="11"/>
        <v>1.5608209326979594E-2</v>
      </c>
      <c r="P79" s="1">
        <v>38777</v>
      </c>
      <c r="Q79">
        <v>4.96391294119456E-2</v>
      </c>
      <c r="R79">
        <v>5.6313455293629001E-2</v>
      </c>
      <c r="S79">
        <v>5.6313455293629001E-2</v>
      </c>
      <c r="T79">
        <v>-2.44600209217378E-2</v>
      </c>
      <c r="U79">
        <v>0.92321746247748704</v>
      </c>
      <c r="V79">
        <v>5.3677124178532001E-2</v>
      </c>
      <c r="Y79" s="1">
        <v>38869</v>
      </c>
      <c r="Z79" s="4">
        <f t="shared" si="12"/>
        <v>5.6101980087793803E-2</v>
      </c>
      <c r="AA79" s="4">
        <f t="shared" si="13"/>
        <v>5.7076964516638899E-2</v>
      </c>
      <c r="AC79" s="1">
        <v>38869</v>
      </c>
      <c r="AD79" s="4">
        <f t="shared" si="14"/>
        <v>3.4027234918607402E-2</v>
      </c>
      <c r="AE79" s="4">
        <f t="shared" si="15"/>
        <v>3.2627353273975097E-2</v>
      </c>
      <c r="AG79" s="1">
        <v>38869</v>
      </c>
      <c r="AH79" s="4">
        <f t="shared" si="16"/>
        <v>1.81845943184832E-2</v>
      </c>
      <c r="AI79" s="4">
        <f t="shared" si="17"/>
        <v>2.0897231827136799E-2</v>
      </c>
      <c r="AK79" s="1">
        <v>38869</v>
      </c>
      <c r="AL79" s="4">
        <f t="shared" si="18"/>
        <v>3.4027234918607402E-2</v>
      </c>
      <c r="AM79" s="4">
        <f t="shared" si="19"/>
        <v>8.6417543842793702E-3</v>
      </c>
      <c r="AO79" s="1">
        <v>38869</v>
      </c>
      <c r="AP79" s="4">
        <f t="shared" si="20"/>
        <v>3.45868953263236E-2</v>
      </c>
      <c r="AQ79" s="4">
        <f t="shared" si="21"/>
        <v>2.3192976039555724E-2</v>
      </c>
    </row>
    <row r="80" spans="1:43" x14ac:dyDescent="0.25">
      <c r="A80" s="1">
        <v>39173</v>
      </c>
      <c r="B80" s="4">
        <v>4.9562303255866497E-2</v>
      </c>
      <c r="C80" s="4">
        <v>1.13273410770565E-2</v>
      </c>
      <c r="D80" s="4">
        <v>3.6597215365080101E-4</v>
      </c>
      <c r="E80" s="4">
        <v>2.23827729128019E-3</v>
      </c>
      <c r="F80" s="4">
        <v>-1.90038031945582E-3</v>
      </c>
      <c r="G80" s="4">
        <v>5.0622095073923901E-3</v>
      </c>
      <c r="H80" s="4">
        <v>1.7093419709924E-2</v>
      </c>
      <c r="I80" s="4">
        <v>0.98208527953201696</v>
      </c>
      <c r="J80" s="4">
        <v>3.7826554625999501E-2</v>
      </c>
      <c r="K80" s="4">
        <v>7.5809070203011197E-3</v>
      </c>
      <c r="L80" s="4">
        <v>1.31164154591138E-2</v>
      </c>
      <c r="M80" s="4">
        <v>1.04060915663743</v>
      </c>
      <c r="N80" s="4">
        <f t="shared" si="11"/>
        <v>2.6046566328360443E-2</v>
      </c>
      <c r="P80" s="1">
        <v>38808</v>
      </c>
      <c r="Q80">
        <v>5.77996623997339E-2</v>
      </c>
      <c r="R80">
        <v>5.2356024922039703E-2</v>
      </c>
      <c r="S80">
        <v>5.2356024922039703E-2</v>
      </c>
      <c r="T80">
        <v>-2.70914377693275E-2</v>
      </c>
      <c r="U80">
        <v>0.92520193142724805</v>
      </c>
      <c r="V80">
        <v>7.2800610550190506E-2</v>
      </c>
      <c r="Y80" s="1">
        <v>38899</v>
      </c>
      <c r="Z80" s="4">
        <f t="shared" si="12"/>
        <v>5.3967869442208903E-2</v>
      </c>
      <c r="AA80" s="4">
        <f t="shared" si="13"/>
        <v>5.4970792765955602E-2</v>
      </c>
      <c r="AC80" s="1">
        <v>38899</v>
      </c>
      <c r="AD80" s="4">
        <f t="shared" si="14"/>
        <v>5.2546493366153101E-2</v>
      </c>
      <c r="AE80" s="4">
        <f t="shared" si="15"/>
        <v>3.5212737505162003E-2</v>
      </c>
      <c r="AG80" s="1">
        <v>38899</v>
      </c>
      <c r="AH80" s="4">
        <f t="shared" si="16"/>
        <v>1.9892877840235301E-2</v>
      </c>
      <c r="AI80" s="4">
        <f t="shared" si="17"/>
        <v>2.36139399990314E-2</v>
      </c>
      <c r="AK80" s="1">
        <v>38899</v>
      </c>
      <c r="AL80" s="4">
        <f t="shared" si="18"/>
        <v>5.2546493366153101E-2</v>
      </c>
      <c r="AM80" s="4">
        <f t="shared" si="19"/>
        <v>4.3451183229936699E-2</v>
      </c>
      <c r="AO80" s="1">
        <v>38899</v>
      </c>
      <c r="AP80" s="4">
        <f t="shared" si="20"/>
        <v>6.2088494073520697E-2</v>
      </c>
      <c r="AQ80" s="4">
        <f t="shared" si="21"/>
        <v>2.607380542670712E-2</v>
      </c>
    </row>
    <row r="81" spans="1:43" x14ac:dyDescent="0.25">
      <c r="A81" s="1">
        <v>39203</v>
      </c>
      <c r="B81" s="4">
        <v>5.9137663840051299E-2</v>
      </c>
      <c r="C81" s="4">
        <v>1.43800957363844E-2</v>
      </c>
      <c r="D81" s="4">
        <v>6.5987057210851899E-4</v>
      </c>
      <c r="E81" s="4">
        <v>2.0457378533657402E-3</v>
      </c>
      <c r="F81" s="4">
        <v>-1.5760694842287899E-3</v>
      </c>
      <c r="G81" s="4">
        <v>6.1596770598056003E-3</v>
      </c>
      <c r="H81" s="4">
        <v>2.1669311737435502E-2</v>
      </c>
      <c r="I81" s="4">
        <v>0.99345590292026897</v>
      </c>
      <c r="J81" s="4">
        <v>3.3732927552674603E-2</v>
      </c>
      <c r="K81" s="4">
        <v>1.43943830279437E-2</v>
      </c>
      <c r="L81" s="4">
        <v>2.4479567198136501E-2</v>
      </c>
      <c r="M81" s="4">
        <v>1.0660627806990199</v>
      </c>
      <c r="N81" s="4">
        <f t="shared" si="11"/>
        <v>1.4744194878466788E-2</v>
      </c>
      <c r="P81" s="1">
        <v>38838</v>
      </c>
      <c r="Q81">
        <v>5.7159309061450503E-2</v>
      </c>
      <c r="R81">
        <v>5.3277668395465098E-2</v>
      </c>
      <c r="S81">
        <v>5.3277668395465098E-2</v>
      </c>
      <c r="T81">
        <v>-2.1099294838615501E-2</v>
      </c>
      <c r="U81">
        <v>0.94470787412435997</v>
      </c>
      <c r="V81">
        <v>5.0892251223020997E-2</v>
      </c>
      <c r="Y81" s="1">
        <v>38930</v>
      </c>
      <c r="Z81" s="4">
        <f t="shared" si="12"/>
        <v>6.3493498855793695E-2</v>
      </c>
      <c r="AA81" s="4">
        <f t="shared" si="13"/>
        <v>5.78275563544835E-2</v>
      </c>
      <c r="AC81" s="1">
        <v>38930</v>
      </c>
      <c r="AD81" s="4">
        <f t="shared" si="14"/>
        <v>4.04019162872893E-2</v>
      </c>
      <c r="AE81" s="4">
        <f t="shared" si="15"/>
        <v>3.7663143073421099E-2</v>
      </c>
      <c r="AG81" s="1">
        <v>38930</v>
      </c>
      <c r="AH81" s="4">
        <f t="shared" si="16"/>
        <v>2.0695600945347899E-2</v>
      </c>
      <c r="AI81" s="4">
        <f t="shared" si="17"/>
        <v>2.0514053896446401E-2</v>
      </c>
      <c r="AK81" s="1">
        <v>38930</v>
      </c>
      <c r="AL81" s="4">
        <f t="shared" si="18"/>
        <v>4.04019162872893E-2</v>
      </c>
      <c r="AM81" s="4">
        <f t="shared" si="19"/>
        <v>2.6737065034755789E-2</v>
      </c>
      <c r="AO81" s="1">
        <v>38930</v>
      </c>
      <c r="AP81" s="4">
        <f t="shared" si="20"/>
        <v>6.7152429321416296E-2</v>
      </c>
      <c r="AQ81" s="4">
        <f t="shared" si="21"/>
        <v>2.0012275471089858E-2</v>
      </c>
    </row>
    <row r="82" spans="1:43" x14ac:dyDescent="0.25">
      <c r="A82" s="1">
        <v>39234</v>
      </c>
      <c r="B82" s="4">
        <v>4.8666017395847597E-2</v>
      </c>
      <c r="C82" s="4">
        <v>1.41920023716811E-2</v>
      </c>
      <c r="D82" s="4">
        <v>3.6834928139722298E-4</v>
      </c>
      <c r="E82" s="4">
        <v>2.0882699676353302E-3</v>
      </c>
      <c r="F82" s="4">
        <v>-2.6073097672701701E-3</v>
      </c>
      <c r="G82" s="4">
        <v>4.9219505928297996E-3</v>
      </c>
      <c r="H82" s="4">
        <v>1.8963262446273301E-2</v>
      </c>
      <c r="I82" s="4">
        <v>0.98204216115822396</v>
      </c>
      <c r="J82" s="4">
        <v>3.9996078217033597E-2</v>
      </c>
      <c r="K82" s="4">
        <v>1.6786387602761899E-2</v>
      </c>
      <c r="L82" s="4">
        <v>1.7484551900250899E-2</v>
      </c>
      <c r="M82" s="4">
        <v>1.0563091788782699</v>
      </c>
      <c r="N82" s="4">
        <f t="shared" si="11"/>
        <v>1.1320100963851054E-2</v>
      </c>
      <c r="P82" s="1">
        <v>38869</v>
      </c>
      <c r="Q82">
        <v>5.6101980087793803E-2</v>
      </c>
      <c r="R82">
        <v>3.4027234918607402E-2</v>
      </c>
      <c r="S82">
        <v>3.4027234918607402E-2</v>
      </c>
      <c r="T82">
        <v>-1.81845943184832E-2</v>
      </c>
      <c r="U82">
        <v>0.94516303543097602</v>
      </c>
      <c r="V82">
        <v>3.45868953263236E-2</v>
      </c>
      <c r="Y82" s="1">
        <v>38961</v>
      </c>
      <c r="Z82" s="4">
        <f t="shared" si="12"/>
        <v>4.9087787008090099E-2</v>
      </c>
      <c r="AA82" s="4">
        <f t="shared" si="13"/>
        <v>6.3082413595394196E-2</v>
      </c>
      <c r="AC82" s="1">
        <v>38961</v>
      </c>
      <c r="AD82" s="4">
        <f t="shared" si="14"/>
        <v>5.1482578591727002E-2</v>
      </c>
      <c r="AE82" s="4">
        <f t="shared" si="15"/>
        <v>2.6819721084093601E-2</v>
      </c>
      <c r="AG82" s="1">
        <v>38961</v>
      </c>
      <c r="AH82" s="4">
        <f t="shared" si="16"/>
        <v>1.87323932533222E-2</v>
      </c>
      <c r="AI82" s="4">
        <f t="shared" si="17"/>
        <v>2.22350028564408E-2</v>
      </c>
      <c r="AK82" s="1">
        <v>38961</v>
      </c>
      <c r="AL82" s="4">
        <f t="shared" si="18"/>
        <v>5.1482578591727002E-2</v>
      </c>
      <c r="AM82" s="4">
        <f t="shared" si="19"/>
        <v>2.3950896759056584E-2</v>
      </c>
      <c r="AO82" s="1">
        <v>38961</v>
      </c>
      <c r="AP82" s="4">
        <f t="shared" si="20"/>
        <v>5.8788023993723099E-2</v>
      </c>
      <c r="AQ82" s="4">
        <f t="shared" si="21"/>
        <v>1.6878243789705039E-2</v>
      </c>
    </row>
    <row r="83" spans="1:43" x14ac:dyDescent="0.25">
      <c r="A83" s="1">
        <v>39264</v>
      </c>
      <c r="B83" s="4">
        <v>5.3718095410880497E-2</v>
      </c>
      <c r="C83" s="4">
        <v>2.10519107719194E-2</v>
      </c>
      <c r="D83" s="4">
        <v>2.70864059145812E-4</v>
      </c>
      <c r="E83" s="4">
        <v>1.7613011827303301E-3</v>
      </c>
      <c r="F83" s="4">
        <v>-1.2949114108779001E-2</v>
      </c>
      <c r="G83" s="4">
        <v>6.1161968454496304E-3</v>
      </c>
      <c r="H83" s="4">
        <v>1.6251158750466201E-2</v>
      </c>
      <c r="I83" s="4">
        <v>0.99199526276354599</v>
      </c>
      <c r="J83" s="4">
        <v>3.6562539194989301E-2</v>
      </c>
      <c r="K83" s="4">
        <v>1.1383875942023201E-2</v>
      </c>
      <c r="L83" s="4">
        <v>8.9571088590227194E-3</v>
      </c>
      <c r="M83" s="4">
        <v>1.04889878675958</v>
      </c>
      <c r="N83" s="4">
        <f t="shared" si="11"/>
        <v>2.1070467401766546E-2</v>
      </c>
      <c r="P83" s="1">
        <v>38899</v>
      </c>
      <c r="Q83">
        <v>5.3967869442208903E-2</v>
      </c>
      <c r="R83">
        <v>5.2546493366153101E-2</v>
      </c>
      <c r="S83">
        <v>5.2546493366153101E-2</v>
      </c>
      <c r="T83">
        <v>-1.9892877840235301E-2</v>
      </c>
      <c r="U83">
        <v>0.89448727925649596</v>
      </c>
      <c r="V83">
        <v>6.2088494073520697E-2</v>
      </c>
      <c r="Y83" s="1">
        <v>38991</v>
      </c>
      <c r="Z83" s="4">
        <f t="shared" si="12"/>
        <v>5.7144830979379398E-2</v>
      </c>
      <c r="AA83" s="4">
        <f t="shared" si="13"/>
        <v>5.3860239676467997E-2</v>
      </c>
      <c r="AC83" s="1">
        <v>38991</v>
      </c>
      <c r="AD83" s="4">
        <f t="shared" si="14"/>
        <v>4.4453688496216497E-2</v>
      </c>
      <c r="AE83" s="4">
        <f t="shared" si="15"/>
        <v>2.8565976464352501E-2</v>
      </c>
      <c r="AG83" s="1">
        <v>38991</v>
      </c>
      <c r="AH83" s="4">
        <f t="shared" si="16"/>
        <v>1.9533343569879201E-2</v>
      </c>
      <c r="AI83" s="4">
        <f t="shared" si="17"/>
        <v>1.8946093819557301E-2</v>
      </c>
      <c r="AK83" s="1">
        <v>38991</v>
      </c>
      <c r="AL83" s="4">
        <f t="shared" si="18"/>
        <v>4.4453688496216497E-2</v>
      </c>
      <c r="AM83" s="4">
        <f t="shared" si="19"/>
        <v>2.3954713514916008E-2</v>
      </c>
      <c r="AO83" s="1">
        <v>38991</v>
      </c>
      <c r="AP83" s="4">
        <f t="shared" si="20"/>
        <v>3.8901429219188897E-2</v>
      </c>
      <c r="AQ83" s="4">
        <f t="shared" si="21"/>
        <v>1.1209611253585328E-2</v>
      </c>
    </row>
    <row r="84" spans="1:43" x14ac:dyDescent="0.25">
      <c r="A84" s="1">
        <v>39295</v>
      </c>
      <c r="B84" s="4">
        <v>4.8408471283746E-2</v>
      </c>
      <c r="C84" s="4">
        <v>1.08890296185482E-2</v>
      </c>
      <c r="D84" s="4">
        <v>3.6001795958673301E-4</v>
      </c>
      <c r="E84" s="4">
        <v>2.1684134758635999E-3</v>
      </c>
      <c r="F84" s="4">
        <v>-2.31155127609601E-3</v>
      </c>
      <c r="G84" s="4">
        <v>5.8507575844999197E-3</v>
      </c>
      <c r="H84" s="4">
        <v>1.6956667362402499E-2</v>
      </c>
      <c r="I84" s="4">
        <v>0.99167055641115998</v>
      </c>
      <c r="J84" s="4">
        <v>4.4086015542135898E-2</v>
      </c>
      <c r="K84" s="4">
        <v>0</v>
      </c>
      <c r="L84" s="4">
        <v>9.1203773526613297E-3</v>
      </c>
      <c r="M84" s="4">
        <v>1.04487694930595</v>
      </c>
      <c r="N84" s="4">
        <f t="shared" si="11"/>
        <v>2.048818934019847E-2</v>
      </c>
      <c r="P84" s="1">
        <v>38930</v>
      </c>
      <c r="Q84">
        <v>6.3493498855793695E-2</v>
      </c>
      <c r="R84">
        <v>4.04019162872893E-2</v>
      </c>
      <c r="S84">
        <v>4.04019162872893E-2</v>
      </c>
      <c r="T84">
        <v>-2.0695600945347899E-2</v>
      </c>
      <c r="U84">
        <v>0.95513548593266295</v>
      </c>
      <c r="V84">
        <v>6.7152429321416296E-2</v>
      </c>
      <c r="Y84" s="1">
        <v>39022</v>
      </c>
      <c r="Z84" s="4">
        <f t="shared" si="12"/>
        <v>5.0008597985349297E-2</v>
      </c>
      <c r="AA84" s="4">
        <f t="shared" si="13"/>
        <v>5.6156229716646397E-2</v>
      </c>
      <c r="AC84" s="1">
        <v>39022</v>
      </c>
      <c r="AD84" s="4">
        <f t="shared" si="14"/>
        <v>6.0128854787172399E-2</v>
      </c>
      <c r="AE84" s="4">
        <f t="shared" si="15"/>
        <v>3.4580555839429802E-2</v>
      </c>
      <c r="AG84" s="1">
        <v>39022</v>
      </c>
      <c r="AH84" s="4">
        <f t="shared" si="16"/>
        <v>1.6841215027286902E-2</v>
      </c>
      <c r="AI84" s="4">
        <f t="shared" si="17"/>
        <v>1.7354417555196799E-2</v>
      </c>
      <c r="AK84" s="1">
        <v>39022</v>
      </c>
      <c r="AL84" s="4">
        <f t="shared" si="18"/>
        <v>6.0128854787172399E-2</v>
      </c>
      <c r="AM84" s="4">
        <f t="shared" si="19"/>
        <v>1.0621083303122274E-2</v>
      </c>
      <c r="AO84" s="1">
        <v>39022</v>
      </c>
      <c r="AP84" s="4">
        <f t="shared" si="20"/>
        <v>4.5251718725427902E-2</v>
      </c>
      <c r="AQ84" s="4">
        <f t="shared" si="21"/>
        <v>5.3015724087233096E-3</v>
      </c>
    </row>
    <row r="85" spans="1:43" x14ac:dyDescent="0.25">
      <c r="A85" s="1">
        <v>39326</v>
      </c>
      <c r="B85" s="4">
        <v>4.9110123166600197E-2</v>
      </c>
      <c r="C85" s="4">
        <v>9.5464379325827606E-3</v>
      </c>
      <c r="D85" s="4">
        <v>2.6719473482361797E-4</v>
      </c>
      <c r="E85" s="4">
        <v>2.0013268309771E-3</v>
      </c>
      <c r="F85" s="4">
        <v>-1.8415952523496101E-3</v>
      </c>
      <c r="G85" s="4">
        <v>4.8472321329383903E-3</v>
      </c>
      <c r="H85" s="4">
        <v>1.4820596378972199E-2</v>
      </c>
      <c r="I85" s="4">
        <v>0.99680595188890897</v>
      </c>
      <c r="J85" s="4">
        <v>3.1880271129714102E-2</v>
      </c>
      <c r="K85" s="4">
        <v>2.33249523356557E-4</v>
      </c>
      <c r="L85" s="4">
        <v>8.6781338297111203E-3</v>
      </c>
      <c r="M85" s="4">
        <v>1.0375976063716901</v>
      </c>
      <c r="N85" s="4">
        <f t="shared" si="11"/>
        <v>2.6333113173882428E-2</v>
      </c>
      <c r="P85" s="1">
        <v>38961</v>
      </c>
      <c r="Q85">
        <v>4.9087787008090099E-2</v>
      </c>
      <c r="R85">
        <v>5.1482578591727002E-2</v>
      </c>
      <c r="S85">
        <v>5.1482578591727002E-2</v>
      </c>
      <c r="T85">
        <v>-1.87323932533222E-2</v>
      </c>
      <c r="U85">
        <v>0.91592324238167</v>
      </c>
      <c r="V85">
        <v>5.8788023993723099E-2</v>
      </c>
      <c r="Y85" s="1">
        <v>39052</v>
      </c>
      <c r="Z85" s="4">
        <f t="shared" si="12"/>
        <v>4.8392527161068399E-2</v>
      </c>
      <c r="AA85" s="4">
        <f t="shared" si="13"/>
        <v>5.4288484360433403E-2</v>
      </c>
      <c r="AC85" s="1">
        <v>39052</v>
      </c>
      <c r="AD85" s="4">
        <f t="shared" si="14"/>
        <v>4.0828261832053903E-2</v>
      </c>
      <c r="AE85" s="4">
        <f t="shared" si="15"/>
        <v>3.2962148192959902E-2</v>
      </c>
      <c r="AG85" s="1">
        <v>39052</v>
      </c>
      <c r="AH85" s="4">
        <f t="shared" si="16"/>
        <v>1.8176357404261601E-2</v>
      </c>
      <c r="AI85" s="4">
        <f t="shared" si="17"/>
        <v>1.9660744505064099E-2</v>
      </c>
      <c r="AK85" s="1">
        <v>39052</v>
      </c>
      <c r="AL85" s="4">
        <f t="shared" si="18"/>
        <v>4.0828261832053903E-2</v>
      </c>
      <c r="AM85" s="4">
        <f t="shared" si="19"/>
        <v>3.8974074816409174E-2</v>
      </c>
      <c r="AO85" s="1">
        <v>39052</v>
      </c>
      <c r="AP85" s="4">
        <f t="shared" si="20"/>
        <v>4.02958680670219E-2</v>
      </c>
      <c r="AQ85" s="4">
        <f t="shared" si="21"/>
        <v>1.7766661202117451E-2</v>
      </c>
    </row>
    <row r="86" spans="1:43" x14ac:dyDescent="0.25">
      <c r="A86" s="1">
        <v>39356</v>
      </c>
      <c r="B86" s="4">
        <v>4.8489871155853702E-2</v>
      </c>
      <c r="C86" s="4">
        <v>1.25841472529667E-2</v>
      </c>
      <c r="D86" s="4">
        <v>4.8033622034316601E-4</v>
      </c>
      <c r="E86" s="4">
        <v>1.81229704723927E-3</v>
      </c>
      <c r="F86" s="4">
        <v>-6.11773759406686E-4</v>
      </c>
      <c r="G86" s="4">
        <v>6.4064922704026202E-3</v>
      </c>
      <c r="H86" s="4">
        <v>2.0671499031544999E-2</v>
      </c>
      <c r="I86" s="4">
        <v>0.98446870857760105</v>
      </c>
      <c r="J86" s="4">
        <v>4.5178617392699599E-2</v>
      </c>
      <c r="K86" s="4">
        <v>8.5982812192208103E-4</v>
      </c>
      <c r="L86" s="4">
        <v>1.4154281965303699E-2</v>
      </c>
      <c r="M86" s="4">
        <v>1.0446614360575199</v>
      </c>
      <c r="N86" s="4">
        <f t="shared" si="11"/>
        <v>2.4499934129878831E-2</v>
      </c>
      <c r="P86" s="1">
        <v>38991</v>
      </c>
      <c r="Q86">
        <v>5.7144830979379398E-2</v>
      </c>
      <c r="R86">
        <v>4.4453688496216497E-2</v>
      </c>
      <c r="S86">
        <v>4.4453688496216497E-2</v>
      </c>
      <c r="T86">
        <v>-1.9533343569879201E-2</v>
      </c>
      <c r="U86">
        <v>0.90397770190331095</v>
      </c>
      <c r="V86">
        <v>3.8901429219188897E-2</v>
      </c>
      <c r="Y86" s="1">
        <v>39083</v>
      </c>
      <c r="Z86" s="4">
        <f t="shared" si="12"/>
        <v>4.9095917422311897E-2</v>
      </c>
      <c r="AA86" s="4">
        <f t="shared" si="13"/>
        <v>5.7736034691442603E-2</v>
      </c>
      <c r="AC86" s="1">
        <v>39083</v>
      </c>
      <c r="AD86" s="4">
        <f t="shared" si="14"/>
        <v>3.93916762833149E-2</v>
      </c>
      <c r="AE86" s="4">
        <f t="shared" si="15"/>
        <v>2.76456424516771E-2</v>
      </c>
      <c r="AG86" s="1">
        <v>39083</v>
      </c>
      <c r="AH86" s="4">
        <f t="shared" si="16"/>
        <v>1.71661142330405E-2</v>
      </c>
      <c r="AI86" s="4">
        <f t="shared" si="17"/>
        <v>2.5093938836022098E-2</v>
      </c>
      <c r="AK86" s="1">
        <v>39083</v>
      </c>
      <c r="AL86" s="4">
        <f t="shared" si="18"/>
        <v>3.93916762833149E-2</v>
      </c>
      <c r="AM86" s="4">
        <f t="shared" si="19"/>
        <v>1.5016024075903779E-2</v>
      </c>
      <c r="AO86" s="1">
        <v>39083</v>
      </c>
      <c r="AP86" s="4">
        <f t="shared" si="20"/>
        <v>4.4946316884927603E-2</v>
      </c>
      <c r="AQ86" s="4">
        <f t="shared" si="21"/>
        <v>4.9528449752846981E-3</v>
      </c>
    </row>
    <row r="87" spans="1:43" x14ac:dyDescent="0.25">
      <c r="A87" s="1">
        <v>39387</v>
      </c>
      <c r="B87" s="4">
        <v>4.6621114721767901E-2</v>
      </c>
      <c r="C87" s="4">
        <v>1.0044454006509799E-2</v>
      </c>
      <c r="D87" s="4">
        <v>6.6318538598845404E-4</v>
      </c>
      <c r="E87" s="4">
        <v>2.0520047166643698E-3</v>
      </c>
      <c r="F87" s="4">
        <v>-1.4171957930163501E-3</v>
      </c>
      <c r="G87" s="4">
        <v>5.7889000251981904E-3</v>
      </c>
      <c r="H87" s="4">
        <v>1.7131348341344499E-2</v>
      </c>
      <c r="I87" s="4">
        <v>0.95479264316637902</v>
      </c>
      <c r="J87" s="4">
        <v>3.9894559941386798E-2</v>
      </c>
      <c r="K87" s="4">
        <v>2.1748168251807501E-3</v>
      </c>
      <c r="L87" s="4">
        <v>2.99023328646684E-2</v>
      </c>
      <c r="M87" s="4">
        <v>1.02676435279761</v>
      </c>
      <c r="N87" s="4">
        <f t="shared" si="11"/>
        <v>3.6988110265502305E-2</v>
      </c>
      <c r="P87" s="1">
        <v>39022</v>
      </c>
      <c r="Q87">
        <v>5.0008597985349297E-2</v>
      </c>
      <c r="R87">
        <v>6.0128854787172399E-2</v>
      </c>
      <c r="S87">
        <v>6.0128854787172399E-2</v>
      </c>
      <c r="T87">
        <v>-1.6841215027286902E-2</v>
      </c>
      <c r="U87">
        <v>0.92653181111674099</v>
      </c>
      <c r="V87">
        <v>4.5251718725427902E-2</v>
      </c>
      <c r="Y87" s="1">
        <v>39114</v>
      </c>
      <c r="Z87" s="4">
        <f t="shared" si="12"/>
        <v>4.4855816432841297E-2</v>
      </c>
      <c r="AA87" s="4">
        <f t="shared" si="13"/>
        <v>5.1377823991664101E-2</v>
      </c>
      <c r="AC87" s="1">
        <v>39114</v>
      </c>
      <c r="AD87" s="4">
        <f t="shared" si="14"/>
        <v>4.4810487578932502E-2</v>
      </c>
      <c r="AE87" s="4">
        <f t="shared" si="15"/>
        <v>3.3902664050662397E-2</v>
      </c>
      <c r="AG87" s="1">
        <v>39114</v>
      </c>
      <c r="AH87" s="4">
        <f t="shared" si="16"/>
        <v>1.8709347816327299E-2</v>
      </c>
      <c r="AI87" s="4">
        <f t="shared" si="17"/>
        <v>2.2263954417645698E-2</v>
      </c>
      <c r="AK87" s="1">
        <v>39114</v>
      </c>
      <c r="AL87" s="4">
        <f t="shared" si="18"/>
        <v>4.4810487578932502E-2</v>
      </c>
      <c r="AM87" s="4">
        <f t="shared" si="19"/>
        <v>1.170627783278857E-2</v>
      </c>
      <c r="AO87" s="1">
        <v>39114</v>
      </c>
      <c r="AP87" s="4">
        <f t="shared" si="20"/>
        <v>4.0803189314395603E-2</v>
      </c>
      <c r="AQ87" s="4">
        <f t="shared" si="21"/>
        <v>1.1078863991109689E-2</v>
      </c>
    </row>
    <row r="88" spans="1:43" x14ac:dyDescent="0.25">
      <c r="A88" s="1">
        <v>39417</v>
      </c>
      <c r="B88" s="4">
        <v>4.7381765757137997E-2</v>
      </c>
      <c r="C88" s="4">
        <v>1.0086775798791799E-2</v>
      </c>
      <c r="D88" s="4">
        <v>6.4187223605259905E-4</v>
      </c>
      <c r="E88" s="4">
        <v>2.4781829948120901E-3</v>
      </c>
      <c r="F88" s="4">
        <v>-2.89233648009717E-3</v>
      </c>
      <c r="G88" s="4">
        <v>7.2995622425068999E-3</v>
      </c>
      <c r="H88" s="4">
        <v>1.7614056792066301E-2</v>
      </c>
      <c r="I88" s="4">
        <v>0.98006986935460605</v>
      </c>
      <c r="J88" s="4">
        <v>4.2086627774751702E-2</v>
      </c>
      <c r="K88" s="4">
        <v>1.48919383651381E-3</v>
      </c>
      <c r="L88" s="4">
        <v>2.8010890970163E-3</v>
      </c>
      <c r="M88" s="4">
        <v>1.02644678006288</v>
      </c>
      <c r="N88" s="4">
        <f t="shared" si="11"/>
        <v>3.8549042486324181E-2</v>
      </c>
      <c r="P88" s="1">
        <v>39052</v>
      </c>
      <c r="Q88">
        <v>4.8392527161068399E-2</v>
      </c>
      <c r="R88">
        <v>4.0828261832053903E-2</v>
      </c>
      <c r="S88">
        <v>4.0828261832053903E-2</v>
      </c>
      <c r="T88">
        <v>-1.8176357404261601E-2</v>
      </c>
      <c r="U88">
        <v>0.93953458262029599</v>
      </c>
      <c r="V88">
        <v>4.02958680670219E-2</v>
      </c>
      <c r="Y88" s="1">
        <v>39142</v>
      </c>
      <c r="Z88" s="4">
        <f t="shared" si="12"/>
        <v>4.8085285905496301E-2</v>
      </c>
      <c r="AA88" s="4">
        <f t="shared" si="13"/>
        <v>5.1496901254267299E-2</v>
      </c>
      <c r="AC88" s="1">
        <v>39142</v>
      </c>
      <c r="AD88" s="4">
        <f t="shared" si="14"/>
        <v>4.5162402853109802E-2</v>
      </c>
      <c r="AE88" s="4">
        <f t="shared" si="15"/>
        <v>3.7313650757951199E-2</v>
      </c>
      <c r="AG88" s="1">
        <v>39142</v>
      </c>
      <c r="AH88" s="4">
        <f t="shared" si="16"/>
        <v>2.0300123365851099E-2</v>
      </c>
      <c r="AI88" s="4">
        <f t="shared" si="17"/>
        <v>2.45029432553323E-2</v>
      </c>
      <c r="AK88" s="1">
        <v>39142</v>
      </c>
      <c r="AL88" s="4">
        <f t="shared" si="18"/>
        <v>4.5162402853109802E-2</v>
      </c>
      <c r="AM88" s="4">
        <f t="shared" si="19"/>
        <v>5.9132231788766631E-3</v>
      </c>
      <c r="AO88" s="1">
        <v>39142</v>
      </c>
      <c r="AP88" s="4">
        <f t="shared" si="20"/>
        <v>6.2596543270446198E-2</v>
      </c>
      <c r="AQ88" s="4">
        <f t="shared" si="21"/>
        <v>1.5608209326979594E-2</v>
      </c>
    </row>
    <row r="89" spans="1:43" x14ac:dyDescent="0.25">
      <c r="A89" s="1">
        <v>39448</v>
      </c>
      <c r="B89" s="4">
        <v>4.52560423290361E-2</v>
      </c>
      <c r="C89" s="4">
        <v>8.2801583398332806E-3</v>
      </c>
      <c r="D89" s="4">
        <v>1.9084830668057999E-4</v>
      </c>
      <c r="E89" s="4">
        <v>2.3090776082495901E-3</v>
      </c>
      <c r="F89" s="4">
        <v>-5.5435306839297298E-4</v>
      </c>
      <c r="G89" s="4">
        <v>4.8775760050795798E-3</v>
      </c>
      <c r="H89" s="4">
        <v>1.510330719145E-2</v>
      </c>
      <c r="I89" s="4">
        <v>0.96072971128751805</v>
      </c>
      <c r="J89" s="4">
        <v>4.81451091936385E-2</v>
      </c>
      <c r="K89" s="4">
        <v>0</v>
      </c>
      <c r="L89" s="4">
        <v>4.8178502455569101E-3</v>
      </c>
      <c r="M89" s="4">
        <v>1.01369267072671</v>
      </c>
      <c r="N89" s="4">
        <f t="shared" si="11"/>
        <v>4.6666678793776173E-2</v>
      </c>
      <c r="P89" s="1">
        <v>39083</v>
      </c>
      <c r="Q89">
        <v>4.9095917422311897E-2</v>
      </c>
      <c r="R89">
        <v>3.93916762833149E-2</v>
      </c>
      <c r="S89">
        <v>3.93916762833149E-2</v>
      </c>
      <c r="T89">
        <v>-1.71661142330405E-2</v>
      </c>
      <c r="U89">
        <v>0.96497289261467301</v>
      </c>
      <c r="V89">
        <v>4.4946316884927603E-2</v>
      </c>
      <c r="Y89" s="1">
        <v>39173</v>
      </c>
      <c r="Z89" s="4">
        <f t="shared" si="12"/>
        <v>4.8422557755164297E-2</v>
      </c>
      <c r="AA89" s="4">
        <f t="shared" si="13"/>
        <v>4.9562303255866497E-2</v>
      </c>
      <c r="AC89" s="1">
        <v>39173</v>
      </c>
      <c r="AD89" s="4">
        <f t="shared" si="14"/>
        <v>4.0574068855492397E-2</v>
      </c>
      <c r="AE89" s="4">
        <f t="shared" si="15"/>
        <v>3.7826554625999501E-2</v>
      </c>
      <c r="AG89" s="1">
        <v>39173</v>
      </c>
      <c r="AH89" s="4">
        <f t="shared" si="16"/>
        <v>2.2564608614281299E-2</v>
      </c>
      <c r="AI89" s="4">
        <f t="shared" si="17"/>
        <v>1.7093419709924E-2</v>
      </c>
      <c r="AK89" s="1">
        <v>39173</v>
      </c>
      <c r="AL89" s="4">
        <f t="shared" si="18"/>
        <v>4.0574068855492397E-2</v>
      </c>
      <c r="AM89" s="4">
        <f t="shared" si="19"/>
        <v>2.0697322479414922E-2</v>
      </c>
      <c r="AO89" s="1">
        <v>39173</v>
      </c>
      <c r="AP89" s="4">
        <f t="shared" si="20"/>
        <v>7.8512387726817304E-2</v>
      </c>
      <c r="AQ89" s="4">
        <f t="shared" si="21"/>
        <v>2.6046566328360443E-2</v>
      </c>
    </row>
    <row r="90" spans="1:43" x14ac:dyDescent="0.25">
      <c r="A90" s="1">
        <v>39479</v>
      </c>
      <c r="B90" s="4">
        <v>4.6065049773506402E-2</v>
      </c>
      <c r="C90" s="4">
        <v>1.13622122160174E-2</v>
      </c>
      <c r="D90" s="4">
        <v>3.2155050557923102E-4</v>
      </c>
      <c r="E90" s="4">
        <v>2.38375146849057E-3</v>
      </c>
      <c r="F90" s="4">
        <v>-3.15165957673235E-3</v>
      </c>
      <c r="G90" s="4">
        <v>8.10469090706715E-3</v>
      </c>
      <c r="H90" s="4">
        <v>1.9020545520422E-2</v>
      </c>
      <c r="I90" s="4">
        <v>0.96690393236814198</v>
      </c>
      <c r="J90" s="4">
        <v>4.8836944992176702E-2</v>
      </c>
      <c r="K90" s="4">
        <v>0</v>
      </c>
      <c r="L90" s="4">
        <v>2.5650341775403499E-3</v>
      </c>
      <c r="M90" s="4">
        <v>1.0183059115378501</v>
      </c>
      <c r="N90" s="4">
        <f t="shared" si="11"/>
        <v>4.6779683756078327E-2</v>
      </c>
      <c r="P90" s="1">
        <v>39114</v>
      </c>
      <c r="Q90">
        <v>4.4855816432841297E-2</v>
      </c>
      <c r="R90">
        <v>4.4810487578932502E-2</v>
      </c>
      <c r="S90">
        <v>4.4810487578932502E-2</v>
      </c>
      <c r="T90">
        <v>-1.8709347816327299E-2</v>
      </c>
      <c r="U90">
        <v>0.95929719413379499</v>
      </c>
      <c r="V90">
        <v>4.0803189314395603E-2</v>
      </c>
      <c r="Y90" s="1">
        <v>39203</v>
      </c>
      <c r="Z90" s="4">
        <f t="shared" si="12"/>
        <v>5.0699609516537E-2</v>
      </c>
      <c r="AA90" s="4">
        <f t="shared" si="13"/>
        <v>5.9137663840051299E-2</v>
      </c>
      <c r="AC90" s="1">
        <v>39203</v>
      </c>
      <c r="AD90" s="4">
        <f t="shared" si="14"/>
        <v>3.7179279560634701E-2</v>
      </c>
      <c r="AE90" s="4">
        <f t="shared" si="15"/>
        <v>3.3732927552674603E-2</v>
      </c>
      <c r="AG90" s="1">
        <v>39203</v>
      </c>
      <c r="AH90" s="4">
        <f t="shared" si="16"/>
        <v>1.89167717495996E-2</v>
      </c>
      <c r="AI90" s="4">
        <f t="shared" si="17"/>
        <v>2.1669311737435502E-2</v>
      </c>
      <c r="AK90" s="1">
        <v>39203</v>
      </c>
      <c r="AL90" s="4">
        <f t="shared" si="18"/>
        <v>3.7179279560634701E-2</v>
      </c>
      <c r="AM90" s="4">
        <f t="shared" si="19"/>
        <v>3.8873950226080201E-2</v>
      </c>
      <c r="AO90" s="1">
        <v>39203</v>
      </c>
      <c r="AP90" s="4">
        <f t="shared" si="20"/>
        <v>6.8732014370868205E-2</v>
      </c>
      <c r="AQ90" s="4">
        <f t="shared" si="21"/>
        <v>1.4744194878466788E-2</v>
      </c>
    </row>
    <row r="91" spans="1:43" x14ac:dyDescent="0.25">
      <c r="A91" s="1">
        <v>39508</v>
      </c>
      <c r="B91" s="4">
        <v>4.6683047775331603E-2</v>
      </c>
      <c r="C91" s="4">
        <v>1.42327821205734E-2</v>
      </c>
      <c r="D91" s="4">
        <v>3.8020004616045201E-4</v>
      </c>
      <c r="E91" s="4">
        <v>2.2545761682303501E-3</v>
      </c>
      <c r="F91" s="4">
        <v>-2.4794624355667198E-3</v>
      </c>
      <c r="G91" s="4">
        <v>7.1679096823666502E-3</v>
      </c>
      <c r="H91" s="4">
        <v>2.1556005581764199E-2</v>
      </c>
      <c r="I91" s="4">
        <v>0.94328937394091905</v>
      </c>
      <c r="J91" s="4">
        <v>4.4140284770277601E-2</v>
      </c>
      <c r="K91" s="4">
        <v>2.4558894108277801E-2</v>
      </c>
      <c r="L91" s="4">
        <v>4.3401183964942597E-3</v>
      </c>
      <c r="M91" s="4">
        <v>1.01632867121596</v>
      </c>
      <c r="N91" s="4">
        <f t="shared" si="11"/>
        <v>5.1910382141135747E-2</v>
      </c>
      <c r="P91" s="1">
        <v>39142</v>
      </c>
      <c r="Q91">
        <v>4.8085285905496301E-2</v>
      </c>
      <c r="R91">
        <v>4.5162402853109802E-2</v>
      </c>
      <c r="S91">
        <v>4.5162402853109802E-2</v>
      </c>
      <c r="T91">
        <v>-2.0300123365851099E-2</v>
      </c>
      <c r="U91">
        <v>0.91125500228480805</v>
      </c>
      <c r="V91">
        <v>6.2596543270446198E-2</v>
      </c>
      <c r="Y91" s="1">
        <v>39234</v>
      </c>
      <c r="Z91" s="4">
        <f t="shared" si="12"/>
        <v>4.9509780124420498E-2</v>
      </c>
      <c r="AA91" s="4">
        <f t="shared" si="13"/>
        <v>4.8666017395847597E-2</v>
      </c>
      <c r="AC91" s="1">
        <v>39234</v>
      </c>
      <c r="AD91" s="4">
        <f t="shared" si="14"/>
        <v>3.1117086860138501E-2</v>
      </c>
      <c r="AE91" s="4">
        <f t="shared" si="15"/>
        <v>3.9996078217033597E-2</v>
      </c>
      <c r="AG91" s="1">
        <v>39234</v>
      </c>
      <c r="AH91" s="4">
        <f t="shared" si="16"/>
        <v>1.6971357447945899E-2</v>
      </c>
      <c r="AI91" s="4">
        <f t="shared" si="17"/>
        <v>1.8963262446273301E-2</v>
      </c>
      <c r="AK91" s="1">
        <v>39234</v>
      </c>
      <c r="AL91" s="4">
        <f t="shared" si="18"/>
        <v>3.1117086860138501E-2</v>
      </c>
      <c r="AM91" s="4">
        <f t="shared" si="19"/>
        <v>3.4270939503012798E-2</v>
      </c>
      <c r="AO91" s="1">
        <v>39234</v>
      </c>
      <c r="AP91" s="4">
        <f t="shared" si="20"/>
        <v>8.1611430390836806E-2</v>
      </c>
      <c r="AQ91" s="4">
        <f t="shared" si="21"/>
        <v>1.1320100963851054E-2</v>
      </c>
    </row>
    <row r="92" spans="1:43" x14ac:dyDescent="0.25">
      <c r="A92" s="1">
        <v>39539</v>
      </c>
      <c r="B92" s="4">
        <v>4.8118945579615401E-2</v>
      </c>
      <c r="C92" s="4">
        <v>9.7028393143172003E-3</v>
      </c>
      <c r="D92" s="4">
        <v>4.3641882896469799E-4</v>
      </c>
      <c r="E92" s="4">
        <v>2.1805033850375499E-3</v>
      </c>
      <c r="F92" s="4">
        <v>-2.5590430310216501E-3</v>
      </c>
      <c r="G92" s="4">
        <v>8.3329504063514599E-3</v>
      </c>
      <c r="H92" s="4">
        <v>1.8093668903649201E-2</v>
      </c>
      <c r="I92" s="4">
        <v>0.94189110243476803</v>
      </c>
      <c r="J92" s="4">
        <v>5.2511225266025099E-2</v>
      </c>
      <c r="K92" s="4">
        <v>6.6234036925540201E-3</v>
      </c>
      <c r="L92" s="4">
        <v>3.70536900599468E-3</v>
      </c>
      <c r="M92" s="4">
        <v>1.00473110039934</v>
      </c>
      <c r="N92" s="4">
        <f t="shared" si="11"/>
        <v>6.148151408392466E-2</v>
      </c>
      <c r="P92" s="1">
        <v>39173</v>
      </c>
      <c r="Q92">
        <v>4.8422557755164297E-2</v>
      </c>
      <c r="R92">
        <v>4.0574068855492397E-2</v>
      </c>
      <c r="S92">
        <v>4.0574068855492397E-2</v>
      </c>
      <c r="T92">
        <v>-2.2564608614281299E-2</v>
      </c>
      <c r="U92">
        <v>0.92690633588175997</v>
      </c>
      <c r="V92">
        <v>7.8512387726817304E-2</v>
      </c>
      <c r="Y92" s="1">
        <v>39264</v>
      </c>
      <c r="Z92" s="4">
        <f t="shared" si="12"/>
        <v>4.7095722983708899E-2</v>
      </c>
      <c r="AA92" s="4">
        <f t="shared" si="13"/>
        <v>5.3718095410880497E-2</v>
      </c>
      <c r="AC92" s="1">
        <v>39264</v>
      </c>
      <c r="AD92" s="4">
        <f t="shared" si="14"/>
        <v>4.2120790530359997E-2</v>
      </c>
      <c r="AE92" s="4">
        <f t="shared" si="15"/>
        <v>3.6562539194989301E-2</v>
      </c>
      <c r="AG92" s="1">
        <v>39264</v>
      </c>
      <c r="AH92" s="4">
        <f t="shared" si="16"/>
        <v>2.17181140052067E-2</v>
      </c>
      <c r="AI92" s="4">
        <f t="shared" si="17"/>
        <v>1.6251158750466201E-2</v>
      </c>
      <c r="AK92" s="1">
        <v>39264</v>
      </c>
      <c r="AL92" s="4">
        <f t="shared" si="18"/>
        <v>4.2120790530359997E-2</v>
      </c>
      <c r="AM92" s="4">
        <f t="shared" si="19"/>
        <v>2.034098480104592E-2</v>
      </c>
      <c r="AO92" s="1">
        <v>39264</v>
      </c>
      <c r="AP92" s="4">
        <f t="shared" si="20"/>
        <v>6.5652891636468397E-2</v>
      </c>
      <c r="AQ92" s="4">
        <f t="shared" si="21"/>
        <v>2.1070467401766546E-2</v>
      </c>
    </row>
    <row r="93" spans="1:43" x14ac:dyDescent="0.25">
      <c r="A93" s="1">
        <v>39569</v>
      </c>
      <c r="B93" s="4">
        <v>4.5451587903440602E-2</v>
      </c>
      <c r="C93" s="4">
        <v>1.0894505954299701E-2</v>
      </c>
      <c r="D93" s="4">
        <v>2.8092917927922397E-4</v>
      </c>
      <c r="E93" s="4">
        <v>2.52458216012811E-3</v>
      </c>
      <c r="F93" s="4">
        <v>-2.9457799909142E-3</v>
      </c>
      <c r="G93" s="4">
        <v>6.9796620618741197E-3</v>
      </c>
      <c r="H93" s="4">
        <v>1.7733899364666902E-2</v>
      </c>
      <c r="I93" s="4">
        <v>0.901640875432831</v>
      </c>
      <c r="J93" s="4">
        <v>6.3491308455171397E-2</v>
      </c>
      <c r="K93" s="4">
        <v>4.1905403709830303E-3</v>
      </c>
      <c r="L93" s="4">
        <v>1.07369716955654E-2</v>
      </c>
      <c r="M93" s="4">
        <v>0.980059695954551</v>
      </c>
      <c r="N93" s="4">
        <f t="shared" si="11"/>
        <v>8.3125791313556463E-2</v>
      </c>
      <c r="P93" s="1">
        <v>39203</v>
      </c>
      <c r="Q93">
        <v>5.0699609516537E-2</v>
      </c>
      <c r="R93">
        <v>3.7179279560634701E-2</v>
      </c>
      <c r="S93">
        <v>3.7179279560634701E-2</v>
      </c>
      <c r="T93">
        <v>-1.89167717495996E-2</v>
      </c>
      <c r="U93">
        <v>0.93335198266174002</v>
      </c>
      <c r="V93">
        <v>6.8732014370868205E-2</v>
      </c>
      <c r="Y93" s="1">
        <v>39295</v>
      </c>
      <c r="Z93" s="4">
        <f t="shared" si="12"/>
        <v>4.9501682485314703E-2</v>
      </c>
      <c r="AA93" s="4">
        <f t="shared" si="13"/>
        <v>4.8408471283746E-2</v>
      </c>
      <c r="AC93" s="1">
        <v>39295</v>
      </c>
      <c r="AD93" s="4">
        <f t="shared" si="14"/>
        <v>4.2701419936054703E-2</v>
      </c>
      <c r="AE93" s="4">
        <f t="shared" si="15"/>
        <v>4.4086015542135898E-2</v>
      </c>
      <c r="AG93" s="1">
        <v>39295</v>
      </c>
      <c r="AH93" s="4">
        <f t="shared" si="16"/>
        <v>2.1933384370544699E-2</v>
      </c>
      <c r="AI93" s="4">
        <f t="shared" si="17"/>
        <v>1.6956667362402499E-2</v>
      </c>
      <c r="AK93" s="1">
        <v>39295</v>
      </c>
      <c r="AL93" s="4">
        <f t="shared" si="18"/>
        <v>4.2701419936054703E-2</v>
      </c>
      <c r="AM93" s="4">
        <f t="shared" si="19"/>
        <v>9.1203773526613297E-3</v>
      </c>
      <c r="AO93" s="1">
        <v>39295</v>
      </c>
      <c r="AP93" s="4">
        <f t="shared" si="20"/>
        <v>0.111083059330777</v>
      </c>
      <c r="AQ93" s="4">
        <f t="shared" si="21"/>
        <v>2.048818934019847E-2</v>
      </c>
    </row>
    <row r="94" spans="1:43" x14ac:dyDescent="0.25">
      <c r="A94" s="1">
        <v>39600</v>
      </c>
      <c r="B94" s="4">
        <v>4.5670919716252902E-2</v>
      </c>
      <c r="C94" s="4">
        <v>7.79730740115284E-3</v>
      </c>
      <c r="D94" s="4">
        <v>2.8551273130798002E-4</v>
      </c>
      <c r="E94" s="4">
        <v>2.2724073427257902E-3</v>
      </c>
      <c r="F94" s="4">
        <v>-2.18887836356403E-3</v>
      </c>
      <c r="G94" s="4">
        <v>4.9299673266201896E-3</v>
      </c>
      <c r="H94" s="4">
        <v>1.3096316438242699E-2</v>
      </c>
      <c r="I94" s="4">
        <v>0.903584319776083</v>
      </c>
      <c r="J94" s="4">
        <v>4.4904836699255997E-2</v>
      </c>
      <c r="K94" s="4">
        <v>9.3216267729667093E-3</v>
      </c>
      <c r="L94" s="4">
        <v>6.1634562333569504E-3</v>
      </c>
      <c r="M94" s="4">
        <v>0.96397423948166305</v>
      </c>
      <c r="N94" s="4">
        <f t="shared" si="11"/>
        <v>9.4792996672832475E-2</v>
      </c>
      <c r="P94" s="1">
        <v>39234</v>
      </c>
      <c r="Q94">
        <v>4.9509780124420498E-2</v>
      </c>
      <c r="R94">
        <v>3.1117086860138501E-2</v>
      </c>
      <c r="S94">
        <v>3.1117086860138501E-2</v>
      </c>
      <c r="T94">
        <v>-1.6971357447945899E-2</v>
      </c>
      <c r="U94">
        <v>0.93695405629670303</v>
      </c>
      <c r="V94">
        <v>8.1611430390836806E-2</v>
      </c>
      <c r="Y94" s="1">
        <v>39326</v>
      </c>
      <c r="Z94" s="4">
        <f t="shared" si="12"/>
        <v>4.8596018023404498E-2</v>
      </c>
      <c r="AA94" s="4">
        <f t="shared" si="13"/>
        <v>4.9110123166600197E-2</v>
      </c>
      <c r="AC94" s="1">
        <v>39326</v>
      </c>
      <c r="AD94" s="4">
        <f t="shared" si="14"/>
        <v>3.7374404646278003E-2</v>
      </c>
      <c r="AE94" s="4">
        <f t="shared" si="15"/>
        <v>3.1880271129714102E-2</v>
      </c>
      <c r="AG94" s="1">
        <v>39326</v>
      </c>
      <c r="AH94" s="4">
        <f t="shared" si="16"/>
        <v>1.8938701668139001E-2</v>
      </c>
      <c r="AI94" s="4">
        <f t="shared" si="17"/>
        <v>1.4820596378972199E-2</v>
      </c>
      <c r="AK94" s="1">
        <v>39326</v>
      </c>
      <c r="AL94" s="4">
        <f t="shared" si="18"/>
        <v>3.7374404646278003E-2</v>
      </c>
      <c r="AM94" s="4">
        <f t="shared" si="19"/>
        <v>8.9113833530676777E-3</v>
      </c>
      <c r="AO94" s="1">
        <v>39326</v>
      </c>
      <c r="AP94" s="4">
        <f t="shared" si="20"/>
        <v>6.9715894865517797E-2</v>
      </c>
      <c r="AQ94" s="4">
        <f t="shared" si="21"/>
        <v>2.6333113173882428E-2</v>
      </c>
    </row>
    <row r="95" spans="1:43" x14ac:dyDescent="0.25">
      <c r="A95" s="1">
        <v>39630</v>
      </c>
      <c r="B95" s="4">
        <v>4.2501424560505097E-2</v>
      </c>
      <c r="C95" s="4">
        <v>7.9975190331897893E-3</v>
      </c>
      <c r="D95" s="4">
        <v>2.0060708561971401E-4</v>
      </c>
      <c r="E95" s="4">
        <v>2.7009801772533001E-3</v>
      </c>
      <c r="F95" s="4">
        <v>-1.6880024908335501E-3</v>
      </c>
      <c r="G95" s="4">
        <v>5.3075298756839499E-3</v>
      </c>
      <c r="H95" s="4">
        <v>1.45186336809132E-2</v>
      </c>
      <c r="I95" s="4">
        <v>0.87450810021479997</v>
      </c>
      <c r="J95" s="4">
        <v>5.8702512090483501E-2</v>
      </c>
      <c r="K95" s="4">
        <v>5.7059753167579899E-3</v>
      </c>
      <c r="L95" s="4">
        <v>2.7960818633887899E-3</v>
      </c>
      <c r="M95" s="4">
        <v>0.94171266948543098</v>
      </c>
      <c r="N95" s="4">
        <f t="shared" si="11"/>
        <v>0.11530738875598723</v>
      </c>
      <c r="P95" s="1">
        <v>39264</v>
      </c>
      <c r="Q95">
        <v>4.7095722983708899E-2</v>
      </c>
      <c r="R95">
        <v>4.2120790530359997E-2</v>
      </c>
      <c r="S95">
        <v>4.2120790530359997E-2</v>
      </c>
      <c r="T95">
        <v>-2.17181140052067E-2</v>
      </c>
      <c r="U95">
        <v>0.94692637892639697</v>
      </c>
      <c r="V95">
        <v>6.5652891636468397E-2</v>
      </c>
      <c r="Y95" s="1">
        <v>39356</v>
      </c>
      <c r="Z95" s="4">
        <f t="shared" si="12"/>
        <v>4.70488349464976E-2</v>
      </c>
      <c r="AA95" s="4">
        <f t="shared" si="13"/>
        <v>4.8489871155853702E-2</v>
      </c>
      <c r="AC95" s="1">
        <v>39356</v>
      </c>
      <c r="AD95" s="4">
        <f t="shared" si="14"/>
        <v>4.8038752702643003E-2</v>
      </c>
      <c r="AE95" s="4">
        <f t="shared" si="15"/>
        <v>4.5178617392699599E-2</v>
      </c>
      <c r="AG95" s="1">
        <v>39356</v>
      </c>
      <c r="AH95" s="4">
        <f t="shared" si="16"/>
        <v>1.9509320026497402E-2</v>
      </c>
      <c r="AI95" s="4">
        <f t="shared" si="17"/>
        <v>2.0671499031544999E-2</v>
      </c>
      <c r="AK95" s="1">
        <v>39356</v>
      </c>
      <c r="AL95" s="4">
        <f t="shared" si="18"/>
        <v>4.8038752702643003E-2</v>
      </c>
      <c r="AM95" s="4">
        <f t="shared" si="19"/>
        <v>1.5014110087225781E-2</v>
      </c>
      <c r="AO95" s="1">
        <v>39356</v>
      </c>
      <c r="AP95" s="4">
        <f t="shared" si="20"/>
        <v>9.2468922012330895E-2</v>
      </c>
      <c r="AQ95" s="4">
        <f t="shared" si="21"/>
        <v>2.4499934129878831E-2</v>
      </c>
    </row>
    <row r="96" spans="1:43" x14ac:dyDescent="0.25">
      <c r="A96" s="1">
        <v>39661</v>
      </c>
      <c r="B96" s="4">
        <v>4.4065598996808099E-2</v>
      </c>
      <c r="C96" s="4">
        <v>9.2292098296321706E-3</v>
      </c>
      <c r="D96" s="4">
        <v>2.8753641158972402E-4</v>
      </c>
      <c r="E96" s="4">
        <v>2.9127220345608901E-3</v>
      </c>
      <c r="F96" s="4">
        <v>-2.4510654192502501E-3</v>
      </c>
      <c r="G96" s="4">
        <v>6.2558047750297602E-3</v>
      </c>
      <c r="H96" s="4">
        <v>1.6234207631562199E-2</v>
      </c>
      <c r="I96" s="4">
        <v>0.86336253905494997</v>
      </c>
      <c r="J96" s="4">
        <v>6.8395091442676498E-2</v>
      </c>
      <c r="K96" s="4">
        <v>1.3777101178861601E-2</v>
      </c>
      <c r="L96" s="4">
        <v>8.8825216321741108E-3</v>
      </c>
      <c r="M96" s="4">
        <v>0.95441725330866301</v>
      </c>
      <c r="N96" s="4">
        <f t="shared" si="11"/>
        <v>0.1058825533197072</v>
      </c>
      <c r="P96" s="1">
        <v>39295</v>
      </c>
      <c r="Q96">
        <v>4.9501682485314703E-2</v>
      </c>
      <c r="R96">
        <v>4.2701419936054703E-2</v>
      </c>
      <c r="S96">
        <v>4.2701419936054703E-2</v>
      </c>
      <c r="T96">
        <v>-2.1933384370544699E-2</v>
      </c>
      <c r="U96">
        <v>0.899645063196022</v>
      </c>
      <c r="V96">
        <v>0.111083059330777</v>
      </c>
      <c r="Y96" s="1">
        <v>39387</v>
      </c>
      <c r="Z96" s="4">
        <f t="shared" si="12"/>
        <v>4.4985736296871498E-2</v>
      </c>
      <c r="AA96" s="4">
        <f t="shared" si="13"/>
        <v>4.6621114721767901E-2</v>
      </c>
      <c r="AC96" s="1">
        <v>39387</v>
      </c>
      <c r="AD96" s="4">
        <f t="shared" si="14"/>
        <v>6.6181579531175899E-2</v>
      </c>
      <c r="AE96" s="4">
        <f t="shared" si="15"/>
        <v>3.9894559941386798E-2</v>
      </c>
      <c r="AG96" s="1">
        <v>39387</v>
      </c>
      <c r="AH96" s="4">
        <f t="shared" si="16"/>
        <v>2.04302958737324E-2</v>
      </c>
      <c r="AI96" s="4">
        <f t="shared" si="17"/>
        <v>1.7131348341344499E-2</v>
      </c>
      <c r="AK96" s="1">
        <v>39387</v>
      </c>
      <c r="AL96" s="4">
        <f t="shared" si="18"/>
        <v>6.6181579531175899E-2</v>
      </c>
      <c r="AM96" s="4">
        <f t="shared" si="19"/>
        <v>3.2077149689849149E-2</v>
      </c>
      <c r="AO96" s="1">
        <v>39387</v>
      </c>
      <c r="AP96" s="4">
        <f t="shared" si="20"/>
        <v>0.10324705317374</v>
      </c>
      <c r="AQ96" s="4">
        <f t="shared" si="21"/>
        <v>3.6988110265502305E-2</v>
      </c>
    </row>
    <row r="97" spans="1:43" x14ac:dyDescent="0.25">
      <c r="A97" s="1">
        <v>39692</v>
      </c>
      <c r="B97" s="4">
        <v>4.4460192304621497E-2</v>
      </c>
      <c r="C97" s="4">
        <v>7.6287249344595999E-3</v>
      </c>
      <c r="D97" s="4">
        <v>2.5264993897168803E-4</v>
      </c>
      <c r="E97" s="4">
        <v>3.2313894340130502E-3</v>
      </c>
      <c r="F97" s="4">
        <v>-1.47616412471718E-3</v>
      </c>
      <c r="G97" s="4">
        <v>5.0485451899879297E-3</v>
      </c>
      <c r="H97" s="4">
        <v>1.4685145372715E-2</v>
      </c>
      <c r="I97" s="4">
        <v>0.84727578897343403</v>
      </c>
      <c r="J97" s="4">
        <v>4.6104269787381802E-2</v>
      </c>
      <c r="K97" s="4">
        <v>1.9202326235052102E-2</v>
      </c>
      <c r="L97" s="4">
        <v>2.6766437617715701E-3</v>
      </c>
      <c r="M97" s="4">
        <v>0.91525902875763898</v>
      </c>
      <c r="N97" s="4">
        <f t="shared" si="11"/>
        <v>0.14388630891969756</v>
      </c>
      <c r="P97" s="1">
        <v>39326</v>
      </c>
      <c r="Q97">
        <v>4.8596018023404498E-2</v>
      </c>
      <c r="R97">
        <v>3.7374404646278003E-2</v>
      </c>
      <c r="S97">
        <v>3.7374404646278003E-2</v>
      </c>
      <c r="T97">
        <v>-1.8938701668139001E-2</v>
      </c>
      <c r="U97">
        <v>0.93381826234316501</v>
      </c>
      <c r="V97">
        <v>6.9715894865517797E-2</v>
      </c>
      <c r="Y97" s="1">
        <v>39417</v>
      </c>
      <c r="Z97" s="4">
        <f t="shared" si="12"/>
        <v>4.1499271497985199E-2</v>
      </c>
      <c r="AA97" s="4">
        <f t="shared" si="13"/>
        <v>4.7381765757137997E-2</v>
      </c>
      <c r="AC97" s="1">
        <v>39417</v>
      </c>
      <c r="AD97" s="4">
        <f t="shared" si="14"/>
        <v>5.3168838061067501E-2</v>
      </c>
      <c r="AE97" s="4">
        <f t="shared" si="15"/>
        <v>4.2086627774751702E-2</v>
      </c>
      <c r="AG97" s="1">
        <v>39417</v>
      </c>
      <c r="AH97" s="4">
        <f t="shared" si="16"/>
        <v>1.8150961659249999E-2</v>
      </c>
      <c r="AI97" s="4">
        <f t="shared" si="17"/>
        <v>1.7614056792066301E-2</v>
      </c>
      <c r="AK97" s="1">
        <v>39417</v>
      </c>
      <c r="AL97" s="4">
        <f t="shared" si="18"/>
        <v>5.3168838061067501E-2</v>
      </c>
      <c r="AM97" s="4">
        <f t="shared" si="19"/>
        <v>4.2902829335301103E-3</v>
      </c>
      <c r="AO97" s="1">
        <v>39417</v>
      </c>
      <c r="AP97" s="4">
        <f t="shared" si="20"/>
        <v>6.9513246900372097E-2</v>
      </c>
      <c r="AQ97" s="4">
        <f t="shared" si="21"/>
        <v>3.8549042486324181E-2</v>
      </c>
    </row>
    <row r="98" spans="1:43" x14ac:dyDescent="0.25">
      <c r="A98" s="1">
        <v>39722</v>
      </c>
      <c r="B98" s="4">
        <v>4.45010468925977E-2</v>
      </c>
      <c r="C98" s="4">
        <v>1.0571502770721299E-2</v>
      </c>
      <c r="D98" s="4">
        <v>2.0378045576838999E-4</v>
      </c>
      <c r="E98" s="4">
        <v>3.7884433658101199E-3</v>
      </c>
      <c r="F98" s="4">
        <v>-6.8784071459107804E-4</v>
      </c>
      <c r="G98" s="4">
        <v>5.7641068636860096E-3</v>
      </c>
      <c r="H98" s="4">
        <v>1.9639992741394701E-2</v>
      </c>
      <c r="I98" s="4">
        <v>0.81573361680231804</v>
      </c>
      <c r="J98" s="4">
        <v>8.6221951912018702E-2</v>
      </c>
      <c r="K98" s="4">
        <v>1.9725405284641201E-2</v>
      </c>
      <c r="L98" s="4">
        <v>2.40750114051588E-3</v>
      </c>
      <c r="M98" s="4">
        <v>0.92408847513949399</v>
      </c>
      <c r="N98" s="4">
        <f t="shared" si="11"/>
        <v>0.14005256449449832</v>
      </c>
      <c r="P98" s="1">
        <v>39356</v>
      </c>
      <c r="Q98">
        <v>4.70488349464976E-2</v>
      </c>
      <c r="R98">
        <v>4.8038752702643003E-2</v>
      </c>
      <c r="S98">
        <v>4.8038752702643003E-2</v>
      </c>
      <c r="T98">
        <v>-1.9509320026497402E-2</v>
      </c>
      <c r="U98">
        <v>0.88837085552037098</v>
      </c>
      <c r="V98">
        <v>9.2468922012330895E-2</v>
      </c>
      <c r="Y98" s="1">
        <v>39448</v>
      </c>
      <c r="Z98" s="4">
        <f t="shared" si="12"/>
        <v>4.1530848913462599E-2</v>
      </c>
      <c r="AA98" s="4">
        <f t="shared" si="13"/>
        <v>4.52560423290361E-2</v>
      </c>
      <c r="AC98" s="1">
        <v>39448</v>
      </c>
      <c r="AD98" s="4">
        <f t="shared" si="14"/>
        <v>5.0019943985484101E-2</v>
      </c>
      <c r="AE98" s="4">
        <f t="shared" si="15"/>
        <v>4.81451091936385E-2</v>
      </c>
      <c r="AG98" s="1">
        <v>39448</v>
      </c>
      <c r="AH98" s="4">
        <f t="shared" si="16"/>
        <v>1.8847682411505699E-2</v>
      </c>
      <c r="AI98" s="4">
        <f t="shared" si="17"/>
        <v>1.510330719145E-2</v>
      </c>
      <c r="AK98" s="1">
        <v>39448</v>
      </c>
      <c r="AL98" s="4">
        <f t="shared" si="18"/>
        <v>5.0019943985484101E-2</v>
      </c>
      <c r="AM98" s="4">
        <f t="shared" si="19"/>
        <v>4.8178502455569101E-3</v>
      </c>
      <c r="AO98" s="1">
        <v>39448</v>
      </c>
      <c r="AP98" s="4">
        <f t="shared" si="20"/>
        <v>8.0759026705233106E-2</v>
      </c>
      <c r="AQ98" s="4">
        <f t="shared" si="21"/>
        <v>4.6666678793776173E-2</v>
      </c>
    </row>
    <row r="99" spans="1:43" x14ac:dyDescent="0.25">
      <c r="A99" s="1">
        <v>39753</v>
      </c>
      <c r="B99" s="4">
        <v>4.4441358093439701E-2</v>
      </c>
      <c r="C99" s="4">
        <v>7.8387347999735006E-3</v>
      </c>
      <c r="D99" s="4">
        <v>3.2437221515782999E-4</v>
      </c>
      <c r="E99" s="4">
        <v>3.8183537711319899E-3</v>
      </c>
      <c r="F99" s="4">
        <v>-1.4984683925934499E-3</v>
      </c>
      <c r="G99" s="4">
        <v>7.1887404512223701E-3</v>
      </c>
      <c r="H99" s="4">
        <v>1.76717328448922E-2</v>
      </c>
      <c r="I99" s="4">
        <v>0.82080314732520598</v>
      </c>
      <c r="J99" s="4">
        <v>6.89526144068945E-2</v>
      </c>
      <c r="K99" s="4">
        <v>1.70354692177778E-2</v>
      </c>
      <c r="L99" s="4">
        <v>4.1421929328393997E-3</v>
      </c>
      <c r="M99" s="4">
        <v>0.91093342388271803</v>
      </c>
      <c r="N99" s="4">
        <f t="shared" si="11"/>
        <v>0.15117966705561381</v>
      </c>
      <c r="P99" s="1">
        <v>39387</v>
      </c>
      <c r="Q99">
        <v>4.4985736296871498E-2</v>
      </c>
      <c r="R99">
        <v>6.6181579531175899E-2</v>
      </c>
      <c r="S99">
        <v>6.6181579531175899E-2</v>
      </c>
      <c r="T99">
        <v>-2.04302958737324E-2</v>
      </c>
      <c r="U99">
        <v>0.877676256225846</v>
      </c>
      <c r="V99">
        <v>0.10324705317374</v>
      </c>
      <c r="Y99" s="1">
        <v>39479</v>
      </c>
      <c r="Z99" s="4">
        <f t="shared" si="12"/>
        <v>4.4688774741196501E-2</v>
      </c>
      <c r="AA99" s="4">
        <f t="shared" si="13"/>
        <v>4.6065049773506402E-2</v>
      </c>
      <c r="AC99" s="1">
        <v>39479</v>
      </c>
      <c r="AD99" s="4">
        <f t="shared" si="14"/>
        <v>6.8075644787378195E-2</v>
      </c>
      <c r="AE99" s="4">
        <f t="shared" si="15"/>
        <v>4.8836944992176702E-2</v>
      </c>
      <c r="AG99" s="1">
        <v>39479</v>
      </c>
      <c r="AH99" s="4">
        <f t="shared" si="16"/>
        <v>2.1024988826008499E-2</v>
      </c>
      <c r="AI99" s="4">
        <f t="shared" si="17"/>
        <v>1.9020545520422E-2</v>
      </c>
      <c r="AK99" s="1">
        <v>39479</v>
      </c>
      <c r="AL99" s="4">
        <f t="shared" si="18"/>
        <v>6.8075644787378195E-2</v>
      </c>
      <c r="AM99" s="4">
        <f t="shared" si="19"/>
        <v>2.5650341775403499E-3</v>
      </c>
      <c r="AO99" s="1">
        <v>39479</v>
      </c>
      <c r="AP99" s="4">
        <f t="shared" si="20"/>
        <v>8.4627503963327799E-2</v>
      </c>
      <c r="AQ99" s="4">
        <f t="shared" si="21"/>
        <v>4.6779683756078327E-2</v>
      </c>
    </row>
    <row r="100" spans="1:43" x14ac:dyDescent="0.25">
      <c r="A100" s="1">
        <v>39783</v>
      </c>
      <c r="B100" s="4">
        <v>4.3184843818385499E-2</v>
      </c>
      <c r="C100" s="4">
        <v>1.0008734562341399E-2</v>
      </c>
      <c r="D100" s="4">
        <v>3.1742598698928899E-4</v>
      </c>
      <c r="E100" s="4">
        <v>4.5487835670227602E-3</v>
      </c>
      <c r="F100" s="4">
        <v>-2.5011581477324399E-3</v>
      </c>
      <c r="G100" s="4">
        <v>8.5031445535745601E-3</v>
      </c>
      <c r="H100" s="4">
        <v>2.0876930522195601E-2</v>
      </c>
      <c r="I100" s="4">
        <v>0.78048450718985496</v>
      </c>
      <c r="J100" s="4">
        <v>8.2121967163654594E-2</v>
      </c>
      <c r="K100" s="4">
        <v>2.40353274177732E-2</v>
      </c>
      <c r="L100" s="4">
        <v>4.1772902668139799E-3</v>
      </c>
      <c r="M100" s="4">
        <v>0.89081909203809695</v>
      </c>
      <c r="N100" s="4">
        <f t="shared" si="11"/>
        <v>0.17324268230248419</v>
      </c>
      <c r="P100" s="1">
        <v>39417</v>
      </c>
      <c r="Q100">
        <v>4.1499271497985199E-2</v>
      </c>
      <c r="R100">
        <v>5.3168838061067501E-2</v>
      </c>
      <c r="S100">
        <v>5.3168838061067501E-2</v>
      </c>
      <c r="T100">
        <v>-1.8150961659249999E-2</v>
      </c>
      <c r="U100">
        <v>0.91425333444659795</v>
      </c>
      <c r="V100">
        <v>6.9513246900372097E-2</v>
      </c>
      <c r="Y100" s="1">
        <v>39508</v>
      </c>
      <c r="Z100" s="4">
        <f t="shared" si="12"/>
        <v>4.2215591254059201E-2</v>
      </c>
      <c r="AA100" s="4">
        <f t="shared" si="13"/>
        <v>4.6683047775331603E-2</v>
      </c>
      <c r="AC100" s="1">
        <v>39508</v>
      </c>
      <c r="AD100" s="4">
        <f t="shared" si="14"/>
        <v>5.3632429130615902E-2</v>
      </c>
      <c r="AE100" s="4">
        <f t="shared" si="15"/>
        <v>4.4140284770277601E-2</v>
      </c>
      <c r="AG100" s="1">
        <v>39508</v>
      </c>
      <c r="AH100" s="4">
        <f t="shared" si="16"/>
        <v>2.0340348443987102E-2</v>
      </c>
      <c r="AI100" s="4">
        <f t="shared" si="17"/>
        <v>2.1556005581764199E-2</v>
      </c>
      <c r="AK100" s="1">
        <v>39508</v>
      </c>
      <c r="AL100" s="4">
        <f t="shared" si="18"/>
        <v>5.3632429130615902E-2</v>
      </c>
      <c r="AM100" s="4">
        <f t="shared" si="19"/>
        <v>2.8899012504772059E-2</v>
      </c>
      <c r="AO100" s="1">
        <v>39508</v>
      </c>
      <c r="AP100" s="4">
        <f t="shared" si="20"/>
        <v>8.8259814956934204E-2</v>
      </c>
      <c r="AQ100" s="4">
        <f t="shared" si="21"/>
        <v>5.1910382141135747E-2</v>
      </c>
    </row>
    <row r="101" spans="1:43" x14ac:dyDescent="0.25">
      <c r="A101" s="1">
        <v>39814</v>
      </c>
      <c r="B101" s="4">
        <v>4.44162961618393E-2</v>
      </c>
      <c r="C101" s="4">
        <v>7.8243177737811007E-3</v>
      </c>
      <c r="D101" s="4">
        <v>1.94986365953848E-4</v>
      </c>
      <c r="E101" s="4">
        <v>4.7413290794179998E-3</v>
      </c>
      <c r="F101" s="4">
        <v>-1.3943818886926599E-3</v>
      </c>
      <c r="G101" s="4">
        <v>9.5972907222896392E-3</v>
      </c>
      <c r="H101" s="4">
        <v>2.09635420527499E-2</v>
      </c>
      <c r="I101" s="4">
        <v>0.75330637273342005</v>
      </c>
      <c r="J101" s="4">
        <v>7.8119049302224297E-2</v>
      </c>
      <c r="K101" s="4">
        <v>1.6115070111842301E-2</v>
      </c>
      <c r="L101" s="4">
        <v>3.8470185415048399E-3</v>
      </c>
      <c r="M101" s="4">
        <v>0.85138751068899099</v>
      </c>
      <c r="N101" s="4">
        <f t="shared" si="11"/>
        <v>0.21399232752559816</v>
      </c>
      <c r="P101" s="1">
        <v>39448</v>
      </c>
      <c r="Q101">
        <v>4.1530848913462599E-2</v>
      </c>
      <c r="R101">
        <v>5.0019943985484101E-2</v>
      </c>
      <c r="S101">
        <v>5.0019943985484101E-2</v>
      </c>
      <c r="T101">
        <v>-1.8847682411505699E-2</v>
      </c>
      <c r="U101">
        <v>0.90641244341654903</v>
      </c>
      <c r="V101">
        <v>8.0759026705233106E-2</v>
      </c>
      <c r="Y101" s="1">
        <v>39539</v>
      </c>
      <c r="Z101" s="4">
        <f t="shared" si="12"/>
        <v>4.1634799648207099E-2</v>
      </c>
      <c r="AA101" s="4">
        <f t="shared" si="13"/>
        <v>4.8118945579615401E-2</v>
      </c>
      <c r="AC101" s="1">
        <v>39539</v>
      </c>
      <c r="AD101" s="4">
        <f t="shared" si="14"/>
        <v>5.3929021289617497E-2</v>
      </c>
      <c r="AE101" s="4">
        <f t="shared" si="15"/>
        <v>5.2511225266025099E-2</v>
      </c>
      <c r="AG101" s="1">
        <v>39539</v>
      </c>
      <c r="AH101" s="4">
        <f t="shared" si="16"/>
        <v>1.9434039323456501E-2</v>
      </c>
      <c r="AI101" s="4">
        <f t="shared" si="17"/>
        <v>1.8093668903649201E-2</v>
      </c>
      <c r="AK101" s="1">
        <v>39539</v>
      </c>
      <c r="AL101" s="4">
        <f t="shared" si="18"/>
        <v>5.3929021289617497E-2</v>
      </c>
      <c r="AM101" s="4">
        <f t="shared" si="19"/>
        <v>1.03287726985487E-2</v>
      </c>
      <c r="AO101" s="1">
        <v>39539</v>
      </c>
      <c r="AP101" s="4">
        <f t="shared" si="20"/>
        <v>0.131074282585666</v>
      </c>
      <c r="AQ101" s="4">
        <f t="shared" si="21"/>
        <v>6.148151408392466E-2</v>
      </c>
    </row>
    <row r="102" spans="1:43" x14ac:dyDescent="0.25">
      <c r="A102" s="1">
        <v>39845</v>
      </c>
      <c r="B102" s="4">
        <v>4.52821839017159E-2</v>
      </c>
      <c r="C102" s="4">
        <v>7.8876817454583796E-3</v>
      </c>
      <c r="D102" s="4">
        <v>1.9783361967138399E-4</v>
      </c>
      <c r="E102" s="4">
        <v>3.8285866622227299E-3</v>
      </c>
      <c r="F102" s="4">
        <v>-1.33627571292018E-3</v>
      </c>
      <c r="G102" s="4">
        <v>7.6621070537155299E-3</v>
      </c>
      <c r="H102" s="4">
        <v>1.82399333681478E-2</v>
      </c>
      <c r="I102" s="4">
        <v>0.79421303561854795</v>
      </c>
      <c r="J102" s="4">
        <v>6.2819440978697905E-2</v>
      </c>
      <c r="K102" s="4">
        <v>3.8350400311025899E-2</v>
      </c>
      <c r="L102" s="4">
        <v>4.6548652027409302E-3</v>
      </c>
      <c r="M102" s="4">
        <v>0.90003774211101195</v>
      </c>
      <c r="N102" s="4">
        <f t="shared" si="11"/>
        <v>0.16348437515885172</v>
      </c>
      <c r="P102" s="1">
        <v>39479</v>
      </c>
      <c r="Q102">
        <v>4.4688774741196501E-2</v>
      </c>
      <c r="R102">
        <v>6.8075644787378195E-2</v>
      </c>
      <c r="S102">
        <v>6.8075644787378195E-2</v>
      </c>
      <c r="T102">
        <v>-2.1024988826008499E-2</v>
      </c>
      <c r="U102">
        <v>0.89176223457993598</v>
      </c>
      <c r="V102">
        <v>8.4627503963327799E-2</v>
      </c>
      <c r="Y102" s="1">
        <v>39569</v>
      </c>
      <c r="Z102" s="4">
        <f t="shared" si="12"/>
        <v>4.1255112519478901E-2</v>
      </c>
      <c r="AA102" s="4">
        <f t="shared" si="13"/>
        <v>4.5451587903440602E-2</v>
      </c>
      <c r="AC102" s="1">
        <v>39569</v>
      </c>
      <c r="AD102" s="4">
        <f t="shared" si="14"/>
        <v>5.3306068957800198E-2</v>
      </c>
      <c r="AE102" s="4">
        <f t="shared" si="15"/>
        <v>6.3491308455171397E-2</v>
      </c>
      <c r="AG102" s="1">
        <v>39569</v>
      </c>
      <c r="AH102" s="4">
        <f t="shared" si="16"/>
        <v>1.9154239674836801E-2</v>
      </c>
      <c r="AI102" s="4">
        <f t="shared" si="17"/>
        <v>1.7733899364666902E-2</v>
      </c>
      <c r="AK102" s="1">
        <v>39569</v>
      </c>
      <c r="AL102" s="4">
        <f t="shared" si="18"/>
        <v>5.3306068957800198E-2</v>
      </c>
      <c r="AM102" s="4">
        <f t="shared" si="19"/>
        <v>1.492751206654843E-2</v>
      </c>
      <c r="AO102" s="1">
        <v>39569</v>
      </c>
      <c r="AP102" s="4">
        <f t="shared" si="20"/>
        <v>0.12995317790080499</v>
      </c>
      <c r="AQ102" s="4">
        <f t="shared" si="21"/>
        <v>8.3125791313556463E-2</v>
      </c>
    </row>
    <row r="103" spans="1:43" x14ac:dyDescent="0.25">
      <c r="A103" s="1">
        <v>39873</v>
      </c>
      <c r="B103" s="4">
        <v>4.4289456339914698E-2</v>
      </c>
      <c r="C103" s="4">
        <v>8.2726890855094291E-3</v>
      </c>
      <c r="D103" s="4">
        <v>2.1834565172254301E-4</v>
      </c>
      <c r="E103" s="4">
        <v>4.5258946389112901E-3</v>
      </c>
      <c r="F103" s="4">
        <v>-1.36521312684437E-3</v>
      </c>
      <c r="G103" s="4">
        <v>8.2911503726751101E-3</v>
      </c>
      <c r="H103" s="4">
        <v>1.9942866621974E-2</v>
      </c>
      <c r="I103" s="4">
        <v>0.73267478803103403</v>
      </c>
      <c r="J103" s="4">
        <v>8.6205432072433294E-2</v>
      </c>
      <c r="K103" s="4">
        <v>4.1575006885566097E-2</v>
      </c>
      <c r="L103" s="4">
        <v>4.6639967345946196E-3</v>
      </c>
      <c r="M103" s="4">
        <v>0.86511922372362804</v>
      </c>
      <c r="N103" s="4">
        <f t="shared" si="11"/>
        <v>0.19911309923826059</v>
      </c>
      <c r="P103" s="1">
        <v>39508</v>
      </c>
      <c r="Q103">
        <v>4.2215591254059201E-2</v>
      </c>
      <c r="R103">
        <v>5.3632429130615902E-2</v>
      </c>
      <c r="S103">
        <v>5.3632429130615902E-2</v>
      </c>
      <c r="T103">
        <v>-2.0340348443987102E-2</v>
      </c>
      <c r="U103">
        <v>0.90264911098424105</v>
      </c>
      <c r="V103">
        <v>8.8259814956934204E-2</v>
      </c>
      <c r="Y103" s="1">
        <v>39600</v>
      </c>
      <c r="Z103" s="4">
        <f t="shared" si="12"/>
        <v>4.1209917928582897E-2</v>
      </c>
      <c r="AA103" s="4">
        <f t="shared" si="13"/>
        <v>4.5670919716252902E-2</v>
      </c>
      <c r="AC103" s="1">
        <v>39600</v>
      </c>
      <c r="AD103" s="4">
        <f t="shared" si="14"/>
        <v>5.2171843003739303E-2</v>
      </c>
      <c r="AE103" s="4">
        <f t="shared" si="15"/>
        <v>4.4904836699255997E-2</v>
      </c>
      <c r="AG103" s="1">
        <v>39600</v>
      </c>
      <c r="AH103" s="4">
        <f t="shared" si="16"/>
        <v>1.79244404403123E-2</v>
      </c>
      <c r="AI103" s="4">
        <f t="shared" si="17"/>
        <v>1.3096316438242699E-2</v>
      </c>
      <c r="AK103" s="1">
        <v>39600</v>
      </c>
      <c r="AL103" s="4">
        <f t="shared" si="18"/>
        <v>5.2171843003739303E-2</v>
      </c>
      <c r="AM103" s="4">
        <f t="shared" si="19"/>
        <v>1.5485083006323661E-2</v>
      </c>
      <c r="AO103" s="1">
        <v>39600</v>
      </c>
      <c r="AP103" s="4">
        <f t="shared" si="20"/>
        <v>0.134568866187772</v>
      </c>
      <c r="AQ103" s="4">
        <f t="shared" si="21"/>
        <v>9.4792996672832475E-2</v>
      </c>
    </row>
    <row r="104" spans="1:43" x14ac:dyDescent="0.25">
      <c r="A104" s="1">
        <v>39904</v>
      </c>
      <c r="B104" s="4">
        <v>4.5769897297467298E-2</v>
      </c>
      <c r="C104" s="4">
        <v>7.9853532244569606E-3</v>
      </c>
      <c r="D104" s="4">
        <v>2.64900802402422E-4</v>
      </c>
      <c r="E104" s="4">
        <v>4.1936344555670397E-3</v>
      </c>
      <c r="F104" s="4">
        <v>-8.2398298551435904E-4</v>
      </c>
      <c r="G104" s="4">
        <v>7.4230553585535198E-3</v>
      </c>
      <c r="H104" s="4">
        <v>1.9042960855465502E-2</v>
      </c>
      <c r="I104" s="4">
        <v>0.73776911854666305</v>
      </c>
      <c r="J104" s="4">
        <v>8.2069780824474803E-2</v>
      </c>
      <c r="K104" s="4">
        <v>3.8685619754190201E-2</v>
      </c>
      <c r="L104" s="4">
        <v>2.9326759084959499E-3</v>
      </c>
      <c r="M104" s="4">
        <v>0.86145719503382401</v>
      </c>
      <c r="N104" s="4">
        <f t="shared" si="11"/>
        <v>0.2033556631191088</v>
      </c>
      <c r="P104" s="1">
        <v>39539</v>
      </c>
      <c r="Q104">
        <v>4.1634799648207099E-2</v>
      </c>
      <c r="R104">
        <v>5.3929021289617497E-2</v>
      </c>
      <c r="S104">
        <v>5.3929021289617497E-2</v>
      </c>
      <c r="T104">
        <v>-1.9434039323456501E-2</v>
      </c>
      <c r="U104">
        <v>0.85369932357533596</v>
      </c>
      <c r="V104">
        <v>0.131074282585666</v>
      </c>
      <c r="Y104" s="1">
        <v>39630</v>
      </c>
      <c r="Z104" s="4">
        <f t="shared" si="12"/>
        <v>4.2496553667163497E-2</v>
      </c>
      <c r="AA104" s="4">
        <f t="shared" si="13"/>
        <v>4.2501424560505097E-2</v>
      </c>
      <c r="AC104" s="1">
        <v>39630</v>
      </c>
      <c r="AD104" s="4">
        <f t="shared" si="14"/>
        <v>5.2949515207471799E-2</v>
      </c>
      <c r="AE104" s="4">
        <f t="shared" si="15"/>
        <v>5.8702512090483501E-2</v>
      </c>
      <c r="AG104" s="1">
        <v>39630</v>
      </c>
      <c r="AH104" s="4">
        <f t="shared" si="16"/>
        <v>1.8757891615152299E-2</v>
      </c>
      <c r="AI104" s="4">
        <f t="shared" si="17"/>
        <v>1.45186336809132E-2</v>
      </c>
      <c r="AK104" s="1">
        <v>39630</v>
      </c>
      <c r="AL104" s="4">
        <f t="shared" si="18"/>
        <v>5.2949515207471799E-2</v>
      </c>
      <c r="AM104" s="4">
        <f t="shared" si="19"/>
        <v>8.5020571801467798E-3</v>
      </c>
      <c r="AO104" s="1">
        <v>39630</v>
      </c>
      <c r="AP104" s="4">
        <f t="shared" si="20"/>
        <v>0.145958865686657</v>
      </c>
      <c r="AQ104" s="4">
        <f t="shared" si="21"/>
        <v>0.11530738875598723</v>
      </c>
    </row>
    <row r="105" spans="1:43" x14ac:dyDescent="0.25">
      <c r="A105" s="1">
        <v>39934</v>
      </c>
      <c r="B105" s="4">
        <v>4.6023479698685199E-2</v>
      </c>
      <c r="C105" s="4">
        <v>9.3310682047728806E-3</v>
      </c>
      <c r="D105" s="4">
        <v>4.1830429153565698E-4</v>
      </c>
      <c r="E105" s="4">
        <v>4.36003598260481E-3</v>
      </c>
      <c r="F105" s="4">
        <v>-1.2524976621793699E-4</v>
      </c>
      <c r="G105" s="4">
        <v>8.3267161179894408E-3</v>
      </c>
      <c r="H105" s="4">
        <v>2.23108748306848E-2</v>
      </c>
      <c r="I105" s="4">
        <v>0.72490784354447102</v>
      </c>
      <c r="J105" s="4">
        <v>7.5334614730704005E-2</v>
      </c>
      <c r="K105" s="4">
        <v>5.6576324864077002E-2</v>
      </c>
      <c r="L105" s="4">
        <v>4.5896386770802001E-3</v>
      </c>
      <c r="M105" s="4">
        <v>0.86140842181633204</v>
      </c>
      <c r="N105" s="4">
        <f t="shared" si="11"/>
        <v>0.20692593271303794</v>
      </c>
      <c r="P105" s="1">
        <v>39569</v>
      </c>
      <c r="Q105">
        <v>4.1255112519478901E-2</v>
      </c>
      <c r="R105">
        <v>5.3306068957800198E-2</v>
      </c>
      <c r="S105">
        <v>5.3306068957800198E-2</v>
      </c>
      <c r="T105">
        <v>-1.9154239674836801E-2</v>
      </c>
      <c r="U105">
        <v>0.85370715197770897</v>
      </c>
      <c r="V105">
        <v>0.12995317790080499</v>
      </c>
      <c r="Y105" s="1">
        <v>39661</v>
      </c>
      <c r="Z105" s="4">
        <f t="shared" si="12"/>
        <v>4.0143179600334998E-2</v>
      </c>
      <c r="AA105" s="4">
        <f t="shared" si="13"/>
        <v>4.4065598996808099E-2</v>
      </c>
      <c r="AC105" s="1">
        <v>39661</v>
      </c>
      <c r="AD105" s="4">
        <f t="shared" si="14"/>
        <v>6.1018464212864297E-2</v>
      </c>
      <c r="AE105" s="4">
        <f t="shared" si="15"/>
        <v>6.8395091442676498E-2</v>
      </c>
      <c r="AG105" s="1">
        <v>39661</v>
      </c>
      <c r="AH105" s="4">
        <f t="shared" si="16"/>
        <v>1.8246885472528802E-2</v>
      </c>
      <c r="AI105" s="4">
        <f t="shared" si="17"/>
        <v>1.6234207631562199E-2</v>
      </c>
      <c r="AK105" s="1">
        <v>39661</v>
      </c>
      <c r="AL105" s="4">
        <f t="shared" si="18"/>
        <v>6.1018464212864297E-2</v>
      </c>
      <c r="AM105" s="4">
        <f t="shared" si="19"/>
        <v>2.2659622811035712E-2</v>
      </c>
      <c r="AO105" s="1">
        <v>39661</v>
      </c>
      <c r="AP105" s="4">
        <f t="shared" si="20"/>
        <v>0.149582049729797</v>
      </c>
      <c r="AQ105" s="4">
        <f t="shared" si="21"/>
        <v>0.1058825533197072</v>
      </c>
    </row>
    <row r="106" spans="1:43" x14ac:dyDescent="0.25">
      <c r="A106" s="1">
        <v>39965</v>
      </c>
      <c r="B106" s="4">
        <v>5.0251263307097102E-2</v>
      </c>
      <c r="C106" s="4">
        <v>9.6306612149957595E-3</v>
      </c>
      <c r="D106" s="4">
        <v>3.1560096295692202E-4</v>
      </c>
      <c r="E106" s="4">
        <v>4.22172295753753E-3</v>
      </c>
      <c r="F106" s="4">
        <v>-9.9410518329497806E-4</v>
      </c>
      <c r="G106" s="4">
        <v>7.2957037524276304E-3</v>
      </c>
      <c r="H106" s="4">
        <v>2.0469583704622801E-2</v>
      </c>
      <c r="I106" s="4">
        <v>0.72597844250771604</v>
      </c>
      <c r="J106" s="4">
        <v>6.8111164338119395E-2</v>
      </c>
      <c r="K106" s="4">
        <v>4.5350392796882098E-2</v>
      </c>
      <c r="L106" s="4">
        <v>2.7117527000158799E-3</v>
      </c>
      <c r="M106" s="4">
        <v>0.84215175234273298</v>
      </c>
      <c r="N106" s="4">
        <f t="shared" si="11"/>
        <v>0.22856909466898701</v>
      </c>
      <c r="P106" s="1">
        <v>39600</v>
      </c>
      <c r="Q106">
        <v>4.1209917928582897E-2</v>
      </c>
      <c r="R106">
        <v>5.2171843003739303E-2</v>
      </c>
      <c r="S106">
        <v>5.2171843003739303E-2</v>
      </c>
      <c r="T106">
        <v>-1.79244404403123E-2</v>
      </c>
      <c r="U106">
        <v>0.84798524307216805</v>
      </c>
      <c r="V106">
        <v>0.134568866187772</v>
      </c>
      <c r="Y106" s="1">
        <v>39692</v>
      </c>
      <c r="Z106" s="4">
        <f t="shared" si="12"/>
        <v>4.2169661427077301E-2</v>
      </c>
      <c r="AA106" s="4">
        <f t="shared" si="13"/>
        <v>4.4460192304621497E-2</v>
      </c>
      <c r="AC106" s="1">
        <v>39692</v>
      </c>
      <c r="AD106" s="4">
        <f t="shared" si="14"/>
        <v>5.06938927864014E-2</v>
      </c>
      <c r="AE106" s="4">
        <f t="shared" si="15"/>
        <v>4.6104269787381802E-2</v>
      </c>
      <c r="AG106" s="1">
        <v>39692</v>
      </c>
      <c r="AH106" s="4">
        <f t="shared" si="16"/>
        <v>1.78461286755296E-2</v>
      </c>
      <c r="AI106" s="4">
        <f t="shared" si="17"/>
        <v>1.4685145372715E-2</v>
      </c>
      <c r="AK106" s="1">
        <v>39692</v>
      </c>
      <c r="AL106" s="4">
        <f t="shared" si="18"/>
        <v>5.06938927864014E-2</v>
      </c>
      <c r="AM106" s="4">
        <f t="shared" si="19"/>
        <v>2.187896999682367E-2</v>
      </c>
      <c r="AO106" s="1">
        <v>39692</v>
      </c>
      <c r="AP106" s="4">
        <f t="shared" si="20"/>
        <v>0.152300656911321</v>
      </c>
      <c r="AQ106" s="4">
        <f t="shared" si="21"/>
        <v>0.14388630891969756</v>
      </c>
    </row>
    <row r="107" spans="1:43" x14ac:dyDescent="0.25">
      <c r="A107" s="1">
        <v>39995</v>
      </c>
      <c r="B107" s="4">
        <v>4.8718694085190799E-2</v>
      </c>
      <c r="C107" s="4">
        <v>9.1722113305510496E-3</v>
      </c>
      <c r="D107" s="4">
        <v>3.7658826985333799E-4</v>
      </c>
      <c r="E107" s="4">
        <v>4.3270717367151403E-3</v>
      </c>
      <c r="F107" s="4">
        <v>-5.6263598210820501E-4</v>
      </c>
      <c r="G107" s="4">
        <v>7.4176651417616601E-3</v>
      </c>
      <c r="H107" s="4">
        <v>2.0730900496772901E-2</v>
      </c>
      <c r="I107" s="4">
        <v>0.72149573058773997</v>
      </c>
      <c r="J107" s="4">
        <v>7.5448982429921901E-2</v>
      </c>
      <c r="K107" s="4">
        <v>4.7311254795505603E-2</v>
      </c>
      <c r="L107" s="4">
        <v>7.1588648636796703E-3</v>
      </c>
      <c r="M107" s="4">
        <v>0.85141483267684703</v>
      </c>
      <c r="N107" s="4">
        <f t="shared" si="11"/>
        <v>0.21803476190511673</v>
      </c>
      <c r="P107" s="1">
        <v>39630</v>
      </c>
      <c r="Q107">
        <v>4.2496553667163497E-2</v>
      </c>
      <c r="R107">
        <v>5.2949515207471799E-2</v>
      </c>
      <c r="S107">
        <v>5.2949515207471799E-2</v>
      </c>
      <c r="T107">
        <v>-1.8757891615152299E-2</v>
      </c>
      <c r="U107">
        <v>0.82078772267186495</v>
      </c>
      <c r="V107">
        <v>0.145958865686657</v>
      </c>
      <c r="Y107" s="1">
        <v>39722</v>
      </c>
      <c r="Z107" s="4">
        <f t="shared" si="12"/>
        <v>4.4142208630079498E-2</v>
      </c>
      <c r="AA107" s="4">
        <f t="shared" si="13"/>
        <v>4.45010468925977E-2</v>
      </c>
      <c r="AC107" s="1">
        <v>39722</v>
      </c>
      <c r="AD107" s="4">
        <f t="shared" si="14"/>
        <v>4.9911659400044703E-2</v>
      </c>
      <c r="AE107" s="4">
        <f t="shared" si="15"/>
        <v>8.6221951912018702E-2</v>
      </c>
      <c r="AG107" s="1">
        <v>39722</v>
      </c>
      <c r="AH107" s="4">
        <f t="shared" si="16"/>
        <v>1.9756934721441299E-2</v>
      </c>
      <c r="AI107" s="4">
        <f t="shared" si="17"/>
        <v>1.9639992741394701E-2</v>
      </c>
      <c r="AK107" s="1">
        <v>39722</v>
      </c>
      <c r="AL107" s="4">
        <f t="shared" si="18"/>
        <v>4.9911659400044703E-2</v>
      </c>
      <c r="AM107" s="4">
        <f t="shared" si="19"/>
        <v>2.213290642515708E-2</v>
      </c>
      <c r="AO107" s="1">
        <v>39722</v>
      </c>
      <c r="AP107" s="4">
        <f t="shared" si="20"/>
        <v>0.192621710138772</v>
      </c>
      <c r="AQ107" s="4">
        <f t="shared" si="21"/>
        <v>0.14005256449449832</v>
      </c>
    </row>
    <row r="108" spans="1:43" x14ac:dyDescent="0.25">
      <c r="A108" s="1">
        <v>40026</v>
      </c>
      <c r="B108" s="4">
        <v>4.9291058488356597E-2</v>
      </c>
      <c r="C108" s="4">
        <v>7.94506025663759E-3</v>
      </c>
      <c r="D108" s="4">
        <v>3.6183287948571697E-4</v>
      </c>
      <c r="E108" s="4">
        <v>4.5311148416743597E-3</v>
      </c>
      <c r="F108" s="4">
        <v>-4.0924708474687597E-4</v>
      </c>
      <c r="G108" s="4">
        <v>6.5575445256100297E-3</v>
      </c>
      <c r="H108" s="4">
        <v>1.8986305418660799E-2</v>
      </c>
      <c r="I108" s="4">
        <v>0.69363512204739597</v>
      </c>
      <c r="J108" s="4">
        <v>6.50134752737518E-2</v>
      </c>
      <c r="K108" s="4">
        <v>5.2042427501991402E-2</v>
      </c>
      <c r="L108" s="4">
        <v>2.9234518743857202E-3</v>
      </c>
      <c r="M108" s="4">
        <v>0.81361447669752496</v>
      </c>
      <c r="N108" s="4">
        <f t="shared" si="11"/>
        <v>0.25466288720949237</v>
      </c>
      <c r="P108" s="1">
        <v>39661</v>
      </c>
      <c r="Q108">
        <v>4.0143179600334998E-2</v>
      </c>
      <c r="R108">
        <v>6.1018464212864297E-2</v>
      </c>
      <c r="S108">
        <v>6.1018464212864297E-2</v>
      </c>
      <c r="T108">
        <v>-1.8246885472528802E-2</v>
      </c>
      <c r="U108">
        <v>0.80774412309972499</v>
      </c>
      <c r="V108">
        <v>0.149582049729797</v>
      </c>
      <c r="Y108" s="1">
        <v>39753</v>
      </c>
      <c r="Z108" s="4">
        <f t="shared" si="12"/>
        <v>4.0090808538034102E-2</v>
      </c>
      <c r="AA108" s="4">
        <f t="shared" si="13"/>
        <v>4.4441358093439701E-2</v>
      </c>
      <c r="AC108" s="1">
        <v>39753</v>
      </c>
      <c r="AD108" s="4">
        <f t="shared" si="14"/>
        <v>5.5494992826149198E-2</v>
      </c>
      <c r="AE108" s="4">
        <f t="shared" si="15"/>
        <v>6.89526144068945E-2</v>
      </c>
      <c r="AG108" s="1">
        <v>39753</v>
      </c>
      <c r="AH108" s="4">
        <f t="shared" si="16"/>
        <v>1.8456749626823001E-2</v>
      </c>
      <c r="AI108" s="4">
        <f t="shared" si="17"/>
        <v>1.76717328448922E-2</v>
      </c>
      <c r="AK108" s="1">
        <v>39753</v>
      </c>
      <c r="AL108" s="4">
        <f t="shared" si="18"/>
        <v>5.5494992826149198E-2</v>
      </c>
      <c r="AM108" s="4">
        <f t="shared" si="19"/>
        <v>2.1177662150617199E-2</v>
      </c>
      <c r="AO108" s="1">
        <v>39753</v>
      </c>
      <c r="AP108" s="4">
        <f t="shared" si="20"/>
        <v>0.17630849418441899</v>
      </c>
      <c r="AQ108" s="4">
        <f t="shared" si="21"/>
        <v>0.15117966705561381</v>
      </c>
    </row>
    <row r="109" spans="1:43" x14ac:dyDescent="0.25">
      <c r="A109" s="1">
        <v>40057</v>
      </c>
      <c r="B109" s="4">
        <v>5.2180833621466E-2</v>
      </c>
      <c r="C109" s="4">
        <v>1.0599653967340099E-2</v>
      </c>
      <c r="D109" s="4">
        <v>4.0251056450386999E-4</v>
      </c>
      <c r="E109" s="4">
        <v>4.5528199760451202E-3</v>
      </c>
      <c r="F109" s="4">
        <v>-6.0491980930741697E-4</v>
      </c>
      <c r="G109" s="4">
        <v>8.0567043775381895E-3</v>
      </c>
      <c r="H109" s="4">
        <v>2.3006769076119898E-2</v>
      </c>
      <c r="I109" s="4">
        <v>0.69637648636995497</v>
      </c>
      <c r="J109" s="4">
        <v>5.49085998345668E-2</v>
      </c>
      <c r="K109" s="4">
        <v>4.9200033697447902E-2</v>
      </c>
      <c r="L109" s="4">
        <v>4.3045143869981199E-3</v>
      </c>
      <c r="M109" s="4">
        <v>0.80478963428896799</v>
      </c>
      <c r="N109" s="4">
        <f t="shared" si="11"/>
        <v>0.27039796840861796</v>
      </c>
      <c r="P109" s="1">
        <v>39692</v>
      </c>
      <c r="Q109">
        <v>4.2169661427077301E-2</v>
      </c>
      <c r="R109">
        <v>5.06938927864014E-2</v>
      </c>
      <c r="S109">
        <v>5.06938927864014E-2</v>
      </c>
      <c r="T109">
        <v>-1.78461286755296E-2</v>
      </c>
      <c r="U109">
        <v>0.81224103013747995</v>
      </c>
      <c r="V109">
        <v>0.152300656911321</v>
      </c>
      <c r="Y109" s="1">
        <v>39783</v>
      </c>
      <c r="Z109" s="4">
        <f t="shared" si="12"/>
        <v>3.9501419141191402E-2</v>
      </c>
      <c r="AA109" s="4">
        <f t="shared" si="13"/>
        <v>4.3184843818385499E-2</v>
      </c>
      <c r="AC109" s="1">
        <v>39783</v>
      </c>
      <c r="AD109" s="4">
        <f t="shared" si="14"/>
        <v>6.8573012528974894E-2</v>
      </c>
      <c r="AE109" s="4">
        <f t="shared" si="15"/>
        <v>8.2121967163654594E-2</v>
      </c>
      <c r="AG109" s="1">
        <v>39783</v>
      </c>
      <c r="AH109" s="4">
        <f t="shared" si="16"/>
        <v>2.0540568514092E-2</v>
      </c>
      <c r="AI109" s="4">
        <f t="shared" si="17"/>
        <v>2.0876930522195601E-2</v>
      </c>
      <c r="AK109" s="1">
        <v>39783</v>
      </c>
      <c r="AL109" s="4">
        <f t="shared" si="18"/>
        <v>6.8573012528974894E-2</v>
      </c>
      <c r="AM109" s="4">
        <f t="shared" si="19"/>
        <v>2.8212617684587181E-2</v>
      </c>
      <c r="AO109" s="1">
        <v>39783</v>
      </c>
      <c r="AP109" s="4">
        <f t="shared" si="20"/>
        <v>0.20384956365676099</v>
      </c>
      <c r="AQ109" s="4">
        <f t="shared" si="21"/>
        <v>0.17324268230248419</v>
      </c>
    </row>
    <row r="110" spans="1:43" x14ac:dyDescent="0.25">
      <c r="A110" s="1">
        <v>40087</v>
      </c>
      <c r="B110" s="4">
        <v>5.1174762436180299E-2</v>
      </c>
      <c r="C110" s="4">
        <v>1.07638920289981E-2</v>
      </c>
      <c r="D110" s="4">
        <v>3.3499308244137302E-4</v>
      </c>
      <c r="E110" s="4">
        <v>4.5866828518209496E-3</v>
      </c>
      <c r="F110" s="4">
        <v>-1.3424974596973799E-4</v>
      </c>
      <c r="G110" s="4">
        <v>6.8764679781921096E-3</v>
      </c>
      <c r="H110" s="4">
        <v>2.2427786195482802E-2</v>
      </c>
      <c r="I110" s="4">
        <v>0.70340006802057498</v>
      </c>
      <c r="J110" s="4">
        <v>6.0629120014717999E-2</v>
      </c>
      <c r="K110" s="4">
        <v>4.9371565084035E-2</v>
      </c>
      <c r="L110" s="4">
        <v>3.4491792142100899E-3</v>
      </c>
      <c r="M110" s="4">
        <v>0.81684993233353798</v>
      </c>
      <c r="N110" s="4">
        <f t="shared" si="11"/>
        <v>0.25675261629812518</v>
      </c>
      <c r="P110" s="1">
        <v>39722</v>
      </c>
      <c r="Q110">
        <v>4.4142208630079498E-2</v>
      </c>
      <c r="R110">
        <v>4.9911659400044703E-2</v>
      </c>
      <c r="S110">
        <v>4.9911659400044703E-2</v>
      </c>
      <c r="T110">
        <v>-1.9756934721441299E-2</v>
      </c>
      <c r="U110">
        <v>0.77039703719842201</v>
      </c>
      <c r="V110">
        <v>0.192621710138772</v>
      </c>
      <c r="Y110" s="1">
        <v>39814</v>
      </c>
      <c r="Z110" s="4">
        <f t="shared" si="12"/>
        <v>3.8140372247214401E-2</v>
      </c>
      <c r="AA110" s="4">
        <f t="shared" si="13"/>
        <v>4.44162961618393E-2</v>
      </c>
      <c r="AC110" s="1">
        <v>39814</v>
      </c>
      <c r="AD110" s="4">
        <f t="shared" si="14"/>
        <v>5.9340065667545898E-2</v>
      </c>
      <c r="AE110" s="4">
        <f t="shared" si="15"/>
        <v>7.8119049302224297E-2</v>
      </c>
      <c r="AG110" s="1">
        <v>39814</v>
      </c>
      <c r="AH110" s="4">
        <f t="shared" si="16"/>
        <v>1.9258767619708801E-2</v>
      </c>
      <c r="AI110" s="4">
        <f t="shared" si="17"/>
        <v>2.09635420527499E-2</v>
      </c>
      <c r="AK110" s="1">
        <v>39814</v>
      </c>
      <c r="AL110" s="4">
        <f t="shared" si="18"/>
        <v>5.9340065667545898E-2</v>
      </c>
      <c r="AM110" s="4">
        <f t="shared" si="19"/>
        <v>1.9962088653347143E-2</v>
      </c>
      <c r="AO110" s="1">
        <v>39814</v>
      </c>
      <c r="AP110" s="4">
        <f t="shared" si="20"/>
        <v>0.22587089633398899</v>
      </c>
      <c r="AQ110" s="4">
        <f t="shared" si="21"/>
        <v>0.21399232752559816</v>
      </c>
    </row>
    <row r="111" spans="1:43" x14ac:dyDescent="0.25">
      <c r="A111" s="1">
        <v>40118</v>
      </c>
      <c r="B111" s="4">
        <v>5.5026808066195497E-2</v>
      </c>
      <c r="C111" s="4">
        <v>8.5913394666804893E-3</v>
      </c>
      <c r="D111" s="4">
        <v>4.2579329223927E-4</v>
      </c>
      <c r="E111" s="4">
        <v>4.49795250002109E-3</v>
      </c>
      <c r="F111" s="4">
        <v>-4.7673580362118598E-4</v>
      </c>
      <c r="G111" s="4">
        <v>8.6604067441127704E-3</v>
      </c>
      <c r="H111" s="4">
        <v>2.1698756199432401E-2</v>
      </c>
      <c r="I111" s="4">
        <v>0.68897481048285403</v>
      </c>
      <c r="J111" s="4">
        <v>6.3273671304735102E-2</v>
      </c>
      <c r="K111" s="4">
        <v>6.8060212412498003E-2</v>
      </c>
      <c r="L111" s="4">
        <v>3.1352351831494801E-3</v>
      </c>
      <c r="M111" s="4">
        <v>0.82344392938323696</v>
      </c>
      <c r="N111" s="4">
        <f t="shared" si="11"/>
        <v>0.25328163488239097</v>
      </c>
      <c r="P111" s="1">
        <v>39753</v>
      </c>
      <c r="Q111">
        <v>4.0090808538034102E-2</v>
      </c>
      <c r="R111">
        <v>5.5494992826149198E-2</v>
      </c>
      <c r="S111">
        <v>5.5494992826149198E-2</v>
      </c>
      <c r="T111">
        <v>-1.8456749626823001E-2</v>
      </c>
      <c r="U111">
        <v>0.78062355907432102</v>
      </c>
      <c r="V111">
        <v>0.17630849418441899</v>
      </c>
      <c r="Y111" s="1">
        <v>39845</v>
      </c>
      <c r="Z111" s="4">
        <f t="shared" si="12"/>
        <v>4.5920045975939801E-2</v>
      </c>
      <c r="AA111" s="4">
        <f t="shared" si="13"/>
        <v>4.52821839017159E-2</v>
      </c>
      <c r="AC111" s="1">
        <v>39845</v>
      </c>
      <c r="AD111" s="4">
        <f t="shared" si="14"/>
        <v>5.6181145800333801E-2</v>
      </c>
      <c r="AE111" s="4">
        <f t="shared" si="15"/>
        <v>6.2819440978697905E-2</v>
      </c>
      <c r="AG111" s="1">
        <v>39845</v>
      </c>
      <c r="AH111" s="4">
        <f t="shared" si="16"/>
        <v>2.0999595893867799E-2</v>
      </c>
      <c r="AI111" s="4">
        <f t="shared" si="17"/>
        <v>1.82399333681478E-2</v>
      </c>
      <c r="AK111" s="1">
        <v>39845</v>
      </c>
      <c r="AL111" s="4">
        <f t="shared" si="18"/>
        <v>5.6181145800333801E-2</v>
      </c>
      <c r="AM111" s="4">
        <f t="shared" si="19"/>
        <v>4.3005265513766829E-2</v>
      </c>
      <c r="AO111" s="1">
        <v>39845</v>
      </c>
      <c r="AP111" s="4">
        <f t="shared" si="20"/>
        <v>0.22827590135668099</v>
      </c>
      <c r="AQ111" s="4">
        <f t="shared" si="21"/>
        <v>0.16348437515885172</v>
      </c>
    </row>
    <row r="112" spans="1:43" x14ac:dyDescent="0.25">
      <c r="A112" s="1">
        <v>40148</v>
      </c>
      <c r="B112" s="4">
        <v>5.48994222536138E-2</v>
      </c>
      <c r="C112" s="4">
        <v>1.04996007212392E-2</v>
      </c>
      <c r="D112" s="4">
        <v>3.84306245224352E-4</v>
      </c>
      <c r="E112" s="4">
        <v>4.7045359316946296E-3</v>
      </c>
      <c r="F112" s="4">
        <v>-1.1516673097218199E-3</v>
      </c>
      <c r="G112" s="4">
        <v>1.03927259830492E-2</v>
      </c>
      <c r="H112" s="4">
        <v>2.4829501571485699E-2</v>
      </c>
      <c r="I112" s="4">
        <v>0.68618338077086705</v>
      </c>
      <c r="J112" s="4">
        <v>5.7438366685712498E-2</v>
      </c>
      <c r="K112" s="4">
        <v>5.1058967430703303E-2</v>
      </c>
      <c r="L112" s="4">
        <v>4.4190775268429204E-3</v>
      </c>
      <c r="M112" s="4">
        <v>0.79909979241412499</v>
      </c>
      <c r="N112" s="4">
        <f t="shared" si="11"/>
        <v>0.28062913141097456</v>
      </c>
      <c r="P112" s="1">
        <v>39783</v>
      </c>
      <c r="Q112">
        <v>3.9501419141191402E-2</v>
      </c>
      <c r="R112">
        <v>6.8573012528974894E-2</v>
      </c>
      <c r="S112">
        <v>6.8573012528974894E-2</v>
      </c>
      <c r="T112">
        <v>-2.0540568514092E-2</v>
      </c>
      <c r="U112">
        <v>0.73502151376345404</v>
      </c>
      <c r="V112">
        <v>0.20384956365676099</v>
      </c>
      <c r="Y112" s="1">
        <v>39873</v>
      </c>
      <c r="Z112" s="4">
        <f t="shared" si="12"/>
        <v>4.2095402049358098E-2</v>
      </c>
      <c r="AA112" s="4">
        <f t="shared" si="13"/>
        <v>4.4289456339914698E-2</v>
      </c>
      <c r="AC112" s="1">
        <v>39873</v>
      </c>
      <c r="AD112" s="4">
        <f t="shared" si="14"/>
        <v>5.6286658737469401E-2</v>
      </c>
      <c r="AE112" s="4">
        <f t="shared" si="15"/>
        <v>8.6205432072433294E-2</v>
      </c>
      <c r="AG112" s="1">
        <v>39873</v>
      </c>
      <c r="AH112" s="4">
        <f t="shared" si="16"/>
        <v>2.0831192433325998E-2</v>
      </c>
      <c r="AI112" s="4">
        <f t="shared" si="17"/>
        <v>1.9942866621974E-2</v>
      </c>
      <c r="AK112" s="1">
        <v>39873</v>
      </c>
      <c r="AL112" s="4">
        <f t="shared" si="18"/>
        <v>5.6286658737469401E-2</v>
      </c>
      <c r="AM112" s="4">
        <f t="shared" si="19"/>
        <v>4.6239003620160715E-2</v>
      </c>
      <c r="AO112" s="1">
        <v>39873</v>
      </c>
      <c r="AP112" s="4">
        <f t="shared" si="20"/>
        <v>0.23657501591817701</v>
      </c>
      <c r="AQ112" s="4">
        <f t="shared" si="21"/>
        <v>0.19911309923826059</v>
      </c>
    </row>
    <row r="113" spans="1:43" x14ac:dyDescent="0.25">
      <c r="A113" s="1">
        <v>40179</v>
      </c>
      <c r="B113" s="4">
        <v>5.7334786634082903E-2</v>
      </c>
      <c r="C113" s="4">
        <v>1.0686556149946E-2</v>
      </c>
      <c r="D113" s="4">
        <v>3.2409644369208498E-4</v>
      </c>
      <c r="E113" s="4">
        <v>4.6481864637121202E-3</v>
      </c>
      <c r="F113" s="4">
        <v>-5.71401293205314E-4</v>
      </c>
      <c r="G113" s="4">
        <v>1.05939844680383E-2</v>
      </c>
      <c r="H113" s="4">
        <v>2.5681422232183299E-2</v>
      </c>
      <c r="I113" s="4">
        <v>0.69224777189252895</v>
      </c>
      <c r="J113" s="4">
        <v>5.5750638062599903E-2</v>
      </c>
      <c r="K113" s="4">
        <v>5.4326996704600998E-2</v>
      </c>
      <c r="L113" s="4">
        <v>4.9416914823728203E-3</v>
      </c>
      <c r="M113" s="4">
        <v>0.80726709814210196</v>
      </c>
      <c r="N113" s="4">
        <f t="shared" si="11"/>
        <v>0.2757491107241643</v>
      </c>
      <c r="P113" s="1">
        <v>39814</v>
      </c>
      <c r="Q113">
        <v>3.8140372247214401E-2</v>
      </c>
      <c r="R113">
        <v>5.9340065667545898E-2</v>
      </c>
      <c r="S113">
        <v>5.9340065667545898E-2</v>
      </c>
      <c r="T113">
        <v>-1.9258767619708801E-2</v>
      </c>
      <c r="U113">
        <v>0.74214395528256405</v>
      </c>
      <c r="V113">
        <v>0.22587089633398899</v>
      </c>
      <c r="Y113" s="1">
        <v>39904</v>
      </c>
      <c r="Z113" s="4">
        <f t="shared" si="12"/>
        <v>4.46856094833036E-2</v>
      </c>
      <c r="AA113" s="4">
        <f t="shared" si="13"/>
        <v>4.5769897297467298E-2</v>
      </c>
      <c r="AC113" s="1">
        <v>39904</v>
      </c>
      <c r="AD113" s="4">
        <f t="shared" si="14"/>
        <v>5.0064358617000197E-2</v>
      </c>
      <c r="AE113" s="4">
        <f t="shared" si="15"/>
        <v>8.2069780824474803E-2</v>
      </c>
      <c r="AG113" s="1">
        <v>39904</v>
      </c>
      <c r="AH113" s="4">
        <f t="shared" si="16"/>
        <v>2.05029014863259E-2</v>
      </c>
      <c r="AI113" s="4">
        <f t="shared" si="17"/>
        <v>1.9042960855465502E-2</v>
      </c>
      <c r="AK113" s="1">
        <v>39904</v>
      </c>
      <c r="AL113" s="4">
        <f t="shared" si="18"/>
        <v>5.0064358617000197E-2</v>
      </c>
      <c r="AM113" s="4">
        <f t="shared" si="19"/>
        <v>4.1618295662686149E-2</v>
      </c>
      <c r="AO113" s="1">
        <v>39904</v>
      </c>
      <c r="AP113" s="4">
        <f t="shared" si="20"/>
        <v>0.25972453547930802</v>
      </c>
      <c r="AQ113" s="4">
        <f t="shared" si="21"/>
        <v>0.2033556631191088</v>
      </c>
    </row>
    <row r="114" spans="1:43" x14ac:dyDescent="0.25">
      <c r="A114" s="1">
        <v>40210</v>
      </c>
      <c r="B114" s="4">
        <v>5.7857484705399601E-2</v>
      </c>
      <c r="C114" s="4">
        <v>1.11247803674633E-2</v>
      </c>
      <c r="D114" s="4">
        <v>3.2948775821402601E-4</v>
      </c>
      <c r="E114" s="4">
        <v>4.8355721991950101E-3</v>
      </c>
      <c r="F114" s="4">
        <v>2.1151304224518099E-4</v>
      </c>
      <c r="G114" s="4">
        <v>1.05238754645397E-2</v>
      </c>
      <c r="H114" s="4">
        <v>2.70252288316572E-2</v>
      </c>
      <c r="I114" s="4">
        <v>0.67959039850962399</v>
      </c>
      <c r="J114" s="4">
        <v>6.4096332763885697E-2</v>
      </c>
      <c r="K114" s="4">
        <v>5.3602498830241901E-2</v>
      </c>
      <c r="L114" s="4">
        <v>4.5156334405734204E-3</v>
      </c>
      <c r="M114" s="4">
        <v>0.80180486354432501</v>
      </c>
      <c r="N114" s="4">
        <f t="shared" si="11"/>
        <v>0.28307784999273189</v>
      </c>
      <c r="P114" s="1">
        <v>39845</v>
      </c>
      <c r="Q114">
        <v>4.5920045975939801E-2</v>
      </c>
      <c r="R114">
        <v>5.6181145800333801E-2</v>
      </c>
      <c r="S114">
        <v>5.6181145800333801E-2</v>
      </c>
      <c r="T114">
        <v>-2.0999595893867799E-2</v>
      </c>
      <c r="U114">
        <v>0.73145312258713202</v>
      </c>
      <c r="V114">
        <v>0.22827590135668099</v>
      </c>
      <c r="Y114" s="1">
        <v>39934</v>
      </c>
      <c r="Z114" s="4">
        <f t="shared" si="12"/>
        <v>4.5598581086464002E-2</v>
      </c>
      <c r="AA114" s="4">
        <f t="shared" si="13"/>
        <v>4.6023479698685199E-2</v>
      </c>
      <c r="AC114" s="1">
        <v>39934</v>
      </c>
      <c r="AD114" s="4">
        <f t="shared" si="14"/>
        <v>5.8268176681348698E-2</v>
      </c>
      <c r="AE114" s="4">
        <f t="shared" si="15"/>
        <v>7.5334614730704005E-2</v>
      </c>
      <c r="AG114" s="1">
        <v>39934</v>
      </c>
      <c r="AH114" s="4">
        <f t="shared" si="16"/>
        <v>2.1095577587381099E-2</v>
      </c>
      <c r="AI114" s="4">
        <f t="shared" si="17"/>
        <v>2.23108748306848E-2</v>
      </c>
      <c r="AK114" s="1">
        <v>39934</v>
      </c>
      <c r="AL114" s="4">
        <f t="shared" si="18"/>
        <v>5.8268176681348698E-2</v>
      </c>
      <c r="AM114" s="4">
        <f t="shared" si="19"/>
        <v>6.1165963541157199E-2</v>
      </c>
      <c r="AO114" s="1">
        <v>39934</v>
      </c>
      <c r="AP114" s="4">
        <f t="shared" si="20"/>
        <v>0.27307715865376803</v>
      </c>
      <c r="AQ114" s="4">
        <f t="shared" si="21"/>
        <v>0.20692593271303794</v>
      </c>
    </row>
    <row r="115" spans="1:43" x14ac:dyDescent="0.25">
      <c r="A115" s="1">
        <v>40238</v>
      </c>
      <c r="B115" s="4">
        <v>5.7758388420909003E-2</v>
      </c>
      <c r="C115" s="4">
        <v>1.3763080196295701E-2</v>
      </c>
      <c r="D115" s="4">
        <v>3.5733805927997097E-4</v>
      </c>
      <c r="E115" s="4">
        <v>4.6163214881417697E-3</v>
      </c>
      <c r="F115" s="4">
        <v>-1.9143304218013E-5</v>
      </c>
      <c r="G115" s="4">
        <v>9.2794615480146902E-3</v>
      </c>
      <c r="H115" s="4">
        <v>2.7997057987514201E-2</v>
      </c>
      <c r="I115" s="4">
        <v>0.68644221783187098</v>
      </c>
      <c r="J115" s="4">
        <v>6.4532939044650295E-2</v>
      </c>
      <c r="K115" s="4">
        <v>5.8763860548172203E-2</v>
      </c>
      <c r="L115" s="4">
        <v>3.6081735210700301E-3</v>
      </c>
      <c r="M115" s="4">
        <v>0.81334719094576402</v>
      </c>
      <c r="N115" s="4">
        <f t="shared" si="11"/>
        <v>0.27240825546265912</v>
      </c>
      <c r="P115" s="1">
        <v>39873</v>
      </c>
      <c r="Q115">
        <v>4.2095402049358098E-2</v>
      </c>
      <c r="R115">
        <v>5.6286658737469401E-2</v>
      </c>
      <c r="S115">
        <v>5.6286658737469401E-2</v>
      </c>
      <c r="T115">
        <v>-2.0831192433325998E-2</v>
      </c>
      <c r="U115">
        <v>0.71914680244346096</v>
      </c>
      <c r="V115">
        <v>0.23657501591817701</v>
      </c>
      <c r="Y115" s="1">
        <v>39965</v>
      </c>
      <c r="Z115" s="4">
        <f t="shared" si="12"/>
        <v>4.6594172668589798E-2</v>
      </c>
      <c r="AA115" s="4">
        <f t="shared" si="13"/>
        <v>5.0251263307097102E-2</v>
      </c>
      <c r="AC115" s="1">
        <v>39965</v>
      </c>
      <c r="AD115" s="4">
        <f t="shared" si="14"/>
        <v>5.8703379260773902E-2</v>
      </c>
      <c r="AE115" s="4">
        <f t="shared" si="15"/>
        <v>6.8111164338119395E-2</v>
      </c>
      <c r="AG115" s="1">
        <v>39965</v>
      </c>
      <c r="AH115" s="4">
        <f t="shared" si="16"/>
        <v>2.1324769609300801E-2</v>
      </c>
      <c r="AI115" s="4">
        <f t="shared" si="17"/>
        <v>2.0469583704622801E-2</v>
      </c>
      <c r="AK115" s="1">
        <v>39965</v>
      </c>
      <c r="AL115" s="4">
        <f t="shared" si="18"/>
        <v>5.8703379260773902E-2</v>
      </c>
      <c r="AM115" s="4">
        <f t="shared" si="19"/>
        <v>4.8062145496897982E-2</v>
      </c>
      <c r="AO115" s="1">
        <v>39965</v>
      </c>
      <c r="AP115" s="4">
        <f t="shared" si="20"/>
        <v>0.27965799811758102</v>
      </c>
      <c r="AQ115" s="4">
        <f t="shared" si="21"/>
        <v>0.22856909466898701</v>
      </c>
    </row>
    <row r="116" spans="1:43" x14ac:dyDescent="0.25">
      <c r="A116" s="1">
        <v>40269</v>
      </c>
      <c r="B116" s="4">
        <v>5.9323793565829598E-2</v>
      </c>
      <c r="C116" s="4">
        <v>1.8421413540768102E-2</v>
      </c>
      <c r="D116" s="4">
        <v>3.7592376442975101E-4</v>
      </c>
      <c r="E116" s="4">
        <v>4.7690941403744098E-3</v>
      </c>
      <c r="F116" s="4">
        <v>2.1846696894977001E-4</v>
      </c>
      <c r="G116" s="4">
        <v>9.9622354358610294E-3</v>
      </c>
      <c r="H116" s="4">
        <v>3.3747133850383103E-2</v>
      </c>
      <c r="I116" s="4">
        <v>0.67198254626599896</v>
      </c>
      <c r="J116" s="4">
        <v>6.3434972266418602E-2</v>
      </c>
      <c r="K116" s="4">
        <v>6.4310365396554506E-2</v>
      </c>
      <c r="L116" s="4">
        <v>5.5176766257500499E-3</v>
      </c>
      <c r="M116" s="4">
        <v>0.80524556055472196</v>
      </c>
      <c r="N116" s="4">
        <f t="shared" si="11"/>
        <v>0.28782536686149074</v>
      </c>
      <c r="P116" s="1">
        <v>39904</v>
      </c>
      <c r="Q116">
        <v>4.46856094833036E-2</v>
      </c>
      <c r="R116">
        <v>5.0064358617000197E-2</v>
      </c>
      <c r="S116">
        <v>5.0064358617000197E-2</v>
      </c>
      <c r="T116">
        <v>-2.05029014863259E-2</v>
      </c>
      <c r="U116">
        <v>0.70343946225339005</v>
      </c>
      <c r="V116">
        <v>0.25972453547930802</v>
      </c>
      <c r="Y116" s="1">
        <v>39995</v>
      </c>
      <c r="Z116" s="4">
        <f t="shared" si="12"/>
        <v>4.62339446976354E-2</v>
      </c>
      <c r="AA116" s="4">
        <f t="shared" si="13"/>
        <v>4.8718694085190799E-2</v>
      </c>
      <c r="AC116" s="1">
        <v>39995</v>
      </c>
      <c r="AD116" s="4">
        <f t="shared" si="14"/>
        <v>5.0529133490624503E-2</v>
      </c>
      <c r="AE116" s="4">
        <f t="shared" si="15"/>
        <v>7.5448982429921901E-2</v>
      </c>
      <c r="AG116" s="1">
        <v>39995</v>
      </c>
      <c r="AH116" s="4">
        <f t="shared" si="16"/>
        <v>1.88474076151042E-2</v>
      </c>
      <c r="AI116" s="4">
        <f t="shared" si="17"/>
        <v>2.0730900496772901E-2</v>
      </c>
      <c r="AK116" s="1">
        <v>39995</v>
      </c>
      <c r="AL116" s="4">
        <f t="shared" si="18"/>
        <v>5.0529133490624503E-2</v>
      </c>
      <c r="AM116" s="4">
        <f t="shared" si="19"/>
        <v>5.4470119659185273E-2</v>
      </c>
      <c r="AO116" s="1">
        <v>39995</v>
      </c>
      <c r="AP116" s="4">
        <f t="shared" si="20"/>
        <v>0.28551292785028298</v>
      </c>
      <c r="AQ116" s="4">
        <f t="shared" si="21"/>
        <v>0.21803476190511673</v>
      </c>
    </row>
    <row r="117" spans="1:43" x14ac:dyDescent="0.25">
      <c r="A117" s="1">
        <v>40299</v>
      </c>
      <c r="B117" s="4">
        <v>5.89136610386954E-2</v>
      </c>
      <c r="C117" s="4">
        <v>1.6230748332085699E-2</v>
      </c>
      <c r="D117" s="4">
        <v>3.7872814824738301E-4</v>
      </c>
      <c r="E117" s="4">
        <v>4.74982095606494E-3</v>
      </c>
      <c r="F117" s="4">
        <v>1.5908160001595201E-4</v>
      </c>
      <c r="G117" s="4">
        <v>9.8985936425615498E-3</v>
      </c>
      <c r="H117" s="4">
        <v>3.1416972678975502E-2</v>
      </c>
      <c r="I117" s="4">
        <v>0.67945005307107298</v>
      </c>
      <c r="J117" s="4">
        <v>6.05558702581405E-2</v>
      </c>
      <c r="K117" s="4">
        <v>5.5320306135580401E-2</v>
      </c>
      <c r="L117" s="4">
        <v>3.6611123652347602E-3</v>
      </c>
      <c r="M117" s="4">
        <v>0.79898734183002895</v>
      </c>
      <c r="N117" s="4">
        <f t="shared" si="11"/>
        <v>0.29134329188764185</v>
      </c>
      <c r="P117" s="1">
        <v>39934</v>
      </c>
      <c r="Q117">
        <v>4.5598581086464002E-2</v>
      </c>
      <c r="R117">
        <v>5.8268176681348698E-2</v>
      </c>
      <c r="S117">
        <v>5.8268176681348698E-2</v>
      </c>
      <c r="T117">
        <v>-2.1095577587381099E-2</v>
      </c>
      <c r="U117">
        <v>0.693390299887093</v>
      </c>
      <c r="V117">
        <v>0.27307715865376803</v>
      </c>
      <c r="Y117" s="1">
        <v>40026</v>
      </c>
      <c r="Z117" s="4">
        <f t="shared" si="12"/>
        <v>4.6177506892223601E-2</v>
      </c>
      <c r="AA117" s="4">
        <f t="shared" si="13"/>
        <v>4.9291058488356597E-2</v>
      </c>
      <c r="AC117" s="1">
        <v>40026</v>
      </c>
      <c r="AD117" s="4">
        <f t="shared" si="14"/>
        <v>5.4398705357081099E-2</v>
      </c>
      <c r="AE117" s="4">
        <f t="shared" si="15"/>
        <v>6.50134752737518E-2</v>
      </c>
      <c r="AG117" s="1">
        <v>40026</v>
      </c>
      <c r="AH117" s="4">
        <f t="shared" si="16"/>
        <v>1.9087089486071501E-2</v>
      </c>
      <c r="AI117" s="4">
        <f t="shared" si="17"/>
        <v>1.8986305418660799E-2</v>
      </c>
      <c r="AK117" s="1">
        <v>40026</v>
      </c>
      <c r="AL117" s="4">
        <f t="shared" si="18"/>
        <v>5.4398705357081099E-2</v>
      </c>
      <c r="AM117" s="4">
        <f t="shared" si="19"/>
        <v>5.4965879376377119E-2</v>
      </c>
      <c r="AO117" s="1">
        <v>40026</v>
      </c>
      <c r="AP117" s="4">
        <f t="shared" si="20"/>
        <v>0.289906432270501</v>
      </c>
      <c r="AQ117" s="4">
        <f t="shared" si="21"/>
        <v>0.25466288720949237</v>
      </c>
    </row>
    <row r="118" spans="1:43" x14ac:dyDescent="0.25">
      <c r="A118" s="1">
        <v>40330</v>
      </c>
      <c r="B118" s="4">
        <v>6.1349623175040897E-2</v>
      </c>
      <c r="C118" s="4">
        <v>1.7217276595055401E-2</v>
      </c>
      <c r="D118" s="4">
        <v>4.7543598503561402E-4</v>
      </c>
      <c r="E118" s="4">
        <v>4.7734347241851797E-3</v>
      </c>
      <c r="F118" s="4">
        <v>3.4798531854980701E-4</v>
      </c>
      <c r="G118" s="4">
        <v>1.04512868448726E-2</v>
      </c>
      <c r="H118" s="4">
        <v>3.3265419467698697E-2</v>
      </c>
      <c r="I118" s="4">
        <v>0.68328599680145796</v>
      </c>
      <c r="J118" s="4">
        <v>6.1004965128879401E-2</v>
      </c>
      <c r="K118" s="4">
        <v>5.0898944864811099E-2</v>
      </c>
      <c r="L118" s="4">
        <v>4.0117270190397703E-3</v>
      </c>
      <c r="M118" s="4">
        <v>0.79920163381418796</v>
      </c>
      <c r="N118" s="4">
        <f t="shared" si="11"/>
        <v>0.29541340882855172</v>
      </c>
      <c r="P118" s="1">
        <v>39965</v>
      </c>
      <c r="Q118">
        <v>4.6594172668589798E-2</v>
      </c>
      <c r="R118">
        <v>5.8703379260773902E-2</v>
      </c>
      <c r="S118">
        <v>5.8703379260773902E-2</v>
      </c>
      <c r="T118">
        <v>-2.1324769609300801E-2</v>
      </c>
      <c r="U118">
        <v>0.69020872765380703</v>
      </c>
      <c r="V118">
        <v>0.27965799811758102</v>
      </c>
      <c r="Y118" s="1">
        <v>40057</v>
      </c>
      <c r="Z118" s="4">
        <f t="shared" si="12"/>
        <v>4.7734292455243597E-2</v>
      </c>
      <c r="AA118" s="4">
        <f t="shared" si="13"/>
        <v>5.2180833621466E-2</v>
      </c>
      <c r="AC118" s="1">
        <v>40057</v>
      </c>
      <c r="AD118" s="4">
        <f t="shared" si="14"/>
        <v>4.7912380771527603E-2</v>
      </c>
      <c r="AE118" s="4">
        <f t="shared" si="15"/>
        <v>5.49085998345668E-2</v>
      </c>
      <c r="AG118" s="1">
        <v>40057</v>
      </c>
      <c r="AH118" s="4">
        <f t="shared" si="16"/>
        <v>2.0218347741214698E-2</v>
      </c>
      <c r="AI118" s="4">
        <f t="shared" si="17"/>
        <v>2.3006769076119898E-2</v>
      </c>
      <c r="AK118" s="1">
        <v>40057</v>
      </c>
      <c r="AL118" s="4">
        <f t="shared" si="18"/>
        <v>4.7912380771527603E-2</v>
      </c>
      <c r="AM118" s="4">
        <f t="shared" si="19"/>
        <v>5.3504548084446019E-2</v>
      </c>
      <c r="AO118" s="1">
        <v>40057</v>
      </c>
      <c r="AP118" s="4">
        <f t="shared" si="20"/>
        <v>0.31408775840820402</v>
      </c>
      <c r="AQ118" s="4">
        <f t="shared" si="21"/>
        <v>0.27039796840861796</v>
      </c>
    </row>
    <row r="119" spans="1:43" x14ac:dyDescent="0.25">
      <c r="A119" s="1">
        <v>40360</v>
      </c>
      <c r="B119" s="4">
        <v>6.07944345863424E-2</v>
      </c>
      <c r="C119" s="4">
        <v>1.83374900812402E-2</v>
      </c>
      <c r="D119" s="4">
        <v>4.41457973331554E-4</v>
      </c>
      <c r="E119" s="4">
        <v>4.47256315811755E-3</v>
      </c>
      <c r="F119" s="4">
        <v>9.04318487785492E-4</v>
      </c>
      <c r="G119" s="4">
        <v>9.5616608108519303E-3</v>
      </c>
      <c r="H119" s="4">
        <v>3.3717490511326699E-2</v>
      </c>
      <c r="I119" s="4">
        <v>0.66619924627058802</v>
      </c>
      <c r="J119" s="4">
        <v>6.2212999714626301E-2</v>
      </c>
      <c r="K119" s="4">
        <v>5.4728725337650601E-2</v>
      </c>
      <c r="L119" s="4">
        <v>4.6248298109834701E-3</v>
      </c>
      <c r="M119" s="4">
        <v>0.78776580113384898</v>
      </c>
      <c r="N119" s="4">
        <f t="shared" si="11"/>
        <v>0.30674612396382017</v>
      </c>
      <c r="P119" s="1">
        <v>39995</v>
      </c>
      <c r="Q119">
        <v>4.62339446976354E-2</v>
      </c>
      <c r="R119">
        <v>5.0529133490624503E-2</v>
      </c>
      <c r="S119">
        <v>5.0529133490624503E-2</v>
      </c>
      <c r="T119">
        <v>-1.88474076151042E-2</v>
      </c>
      <c r="U119">
        <v>0.67815444637441702</v>
      </c>
      <c r="V119">
        <v>0.28551292785028298</v>
      </c>
      <c r="Y119" s="1">
        <v>40087</v>
      </c>
      <c r="Z119" s="4">
        <f t="shared" si="12"/>
        <v>5.0033906547869399E-2</v>
      </c>
      <c r="AA119" s="4">
        <f t="shared" si="13"/>
        <v>5.1174762436180299E-2</v>
      </c>
      <c r="AC119" s="1">
        <v>40087</v>
      </c>
      <c r="AD119" s="4">
        <f t="shared" si="14"/>
        <v>5.3361503944933997E-2</v>
      </c>
      <c r="AE119" s="4">
        <f t="shared" si="15"/>
        <v>6.0629120014717999E-2</v>
      </c>
      <c r="AG119" s="1">
        <v>40087</v>
      </c>
      <c r="AH119" s="4">
        <f t="shared" si="16"/>
        <v>2.2160189247848999E-2</v>
      </c>
      <c r="AI119" s="4">
        <f t="shared" si="17"/>
        <v>2.2427786195482802E-2</v>
      </c>
      <c r="AK119" s="1">
        <v>40087</v>
      </c>
      <c r="AL119" s="4">
        <f t="shared" si="18"/>
        <v>5.3361503944933997E-2</v>
      </c>
      <c r="AM119" s="4">
        <f t="shared" si="19"/>
        <v>5.2820744298245091E-2</v>
      </c>
      <c r="AO119" s="1">
        <v>40087</v>
      </c>
      <c r="AP119" s="4">
        <f t="shared" si="20"/>
        <v>0.30686721388976301</v>
      </c>
      <c r="AQ119" s="4">
        <f t="shared" si="21"/>
        <v>0.25675261629812518</v>
      </c>
    </row>
    <row r="120" spans="1:43" x14ac:dyDescent="0.25">
      <c r="A120" s="1">
        <v>40391</v>
      </c>
      <c r="B120" s="4">
        <v>6.3631343062384202E-2</v>
      </c>
      <c r="C120" s="4">
        <v>1.11686509038968E-2</v>
      </c>
      <c r="D120" s="4">
        <v>3.61230121694001E-4</v>
      </c>
      <c r="E120" s="4">
        <v>4.55126003145199E-3</v>
      </c>
      <c r="F120" s="4">
        <v>9.5895443762325505E-4</v>
      </c>
      <c r="G120" s="4">
        <v>9.9052737798764594E-3</v>
      </c>
      <c r="H120" s="4">
        <v>2.69453692745425E-2</v>
      </c>
      <c r="I120" s="4">
        <v>0.66328391854492996</v>
      </c>
      <c r="J120" s="4">
        <v>4.9696554488286103E-2</v>
      </c>
      <c r="K120" s="4">
        <v>5.1922562125487903E-2</v>
      </c>
      <c r="L120" s="4">
        <v>3.8300321088476602E-3</v>
      </c>
      <c r="M120" s="4">
        <v>0.76873306726755197</v>
      </c>
      <c r="N120" s="4">
        <f t="shared" si="11"/>
        <v>0.3218436450693748</v>
      </c>
      <c r="P120" s="1">
        <v>40026</v>
      </c>
      <c r="Q120">
        <v>4.6177506892223601E-2</v>
      </c>
      <c r="R120">
        <v>5.4398705357081099E-2</v>
      </c>
      <c r="S120">
        <v>5.4398705357081099E-2</v>
      </c>
      <c r="T120">
        <v>-1.9087089486071501E-2</v>
      </c>
      <c r="U120">
        <v>0.67346920117381603</v>
      </c>
      <c r="V120">
        <v>0.289906432270501</v>
      </c>
      <c r="Y120" s="1">
        <v>40118</v>
      </c>
      <c r="Z120" s="4">
        <f t="shared" si="12"/>
        <v>5.1765082441887399E-2</v>
      </c>
      <c r="AA120" s="4">
        <f t="shared" si="13"/>
        <v>5.5026808066195497E-2</v>
      </c>
      <c r="AC120" s="1">
        <v>40118</v>
      </c>
      <c r="AD120" s="4">
        <f t="shared" si="14"/>
        <v>5.6265308205376799E-2</v>
      </c>
      <c r="AE120" s="4">
        <f t="shared" si="15"/>
        <v>6.3273671304735102E-2</v>
      </c>
      <c r="AG120" s="1">
        <v>40118</v>
      </c>
      <c r="AH120" s="4">
        <f t="shared" si="16"/>
        <v>2.2444538014574199E-2</v>
      </c>
      <c r="AI120" s="4">
        <f t="shared" si="17"/>
        <v>2.1698756199432401E-2</v>
      </c>
      <c r="AK120" s="1">
        <v>40118</v>
      </c>
      <c r="AL120" s="4">
        <f t="shared" si="18"/>
        <v>5.6265308205376799E-2</v>
      </c>
      <c r="AM120" s="4">
        <f t="shared" si="19"/>
        <v>7.1195447595647485E-2</v>
      </c>
      <c r="AO120" s="1">
        <v>40118</v>
      </c>
      <c r="AP120" s="4">
        <f t="shared" si="20"/>
        <v>0.29229493563939901</v>
      </c>
      <c r="AQ120" s="4">
        <f t="shared" si="21"/>
        <v>0.25328163488239097</v>
      </c>
    </row>
    <row r="121" spans="1:43" x14ac:dyDescent="0.25">
      <c r="A121" s="1">
        <v>40422</v>
      </c>
      <c r="B121" s="4">
        <v>6.1864675257306802E-2</v>
      </c>
      <c r="C121" s="4">
        <v>1.02763535445479E-2</v>
      </c>
      <c r="D121" s="4">
        <v>4.2478760449614702E-4</v>
      </c>
      <c r="E121" s="4">
        <v>5.1324310466814198E-3</v>
      </c>
      <c r="F121" s="4">
        <v>7.0712155223136698E-4</v>
      </c>
      <c r="G121" s="4">
        <v>9.8495490433540295E-3</v>
      </c>
      <c r="H121" s="4">
        <v>2.6390242791310799E-2</v>
      </c>
      <c r="I121" s="4">
        <v>0.66394622856223395</v>
      </c>
      <c r="J121" s="4">
        <v>6.2796537953360196E-2</v>
      </c>
      <c r="K121" s="4">
        <v>4.7414352098580803E-2</v>
      </c>
      <c r="L121" s="4">
        <v>5.31517160748068E-3</v>
      </c>
      <c r="M121" s="4">
        <v>0.77947229022165598</v>
      </c>
      <c r="N121" s="4">
        <f t="shared" si="11"/>
        <v>0.30878262782696164</v>
      </c>
      <c r="P121" s="1">
        <v>40057</v>
      </c>
      <c r="Q121">
        <v>4.7734292455243597E-2</v>
      </c>
      <c r="R121">
        <v>4.7912380771527603E-2</v>
      </c>
      <c r="S121">
        <v>4.7912380771527603E-2</v>
      </c>
      <c r="T121">
        <v>-2.0218347741214698E-2</v>
      </c>
      <c r="U121">
        <v>0.66062757319087095</v>
      </c>
      <c r="V121">
        <v>0.31408775840820402</v>
      </c>
      <c r="Y121" s="1">
        <v>40148</v>
      </c>
      <c r="Z121" s="4">
        <f t="shared" si="12"/>
        <v>5.1265588036654403E-2</v>
      </c>
      <c r="AA121" s="4">
        <f t="shared" si="13"/>
        <v>5.48994222536138E-2</v>
      </c>
      <c r="AC121" s="1">
        <v>40148</v>
      </c>
      <c r="AD121" s="4">
        <f t="shared" si="14"/>
        <v>6.02640027816089E-2</v>
      </c>
      <c r="AE121" s="4">
        <f t="shared" si="15"/>
        <v>5.7438366685712498E-2</v>
      </c>
      <c r="AG121" s="1">
        <v>40148</v>
      </c>
      <c r="AH121" s="4">
        <f t="shared" si="16"/>
        <v>2.4348475733268999E-2</v>
      </c>
      <c r="AI121" s="4">
        <f t="shared" si="17"/>
        <v>2.4829501571485699E-2</v>
      </c>
      <c r="AK121" s="1">
        <v>40148</v>
      </c>
      <c r="AL121" s="4">
        <f t="shared" si="18"/>
        <v>6.02640027816089E-2</v>
      </c>
      <c r="AM121" s="4">
        <f t="shared" si="19"/>
        <v>5.5478044957546227E-2</v>
      </c>
      <c r="AO121" s="1">
        <v>40148</v>
      </c>
      <c r="AP121" s="4">
        <f t="shared" si="20"/>
        <v>0.30355012874596399</v>
      </c>
      <c r="AQ121" s="4">
        <f t="shared" si="21"/>
        <v>0.28062913141097456</v>
      </c>
    </row>
    <row r="122" spans="1:43" x14ac:dyDescent="0.25">
      <c r="A122" s="1">
        <v>40452</v>
      </c>
      <c r="B122" s="4">
        <v>6.1233550346855299E-2</v>
      </c>
      <c r="C122" s="4">
        <v>1.0708004321820499E-2</v>
      </c>
      <c r="D122" s="4">
        <v>3.5688695194503701E-4</v>
      </c>
      <c r="E122" s="4">
        <v>5.8057332885644601E-3</v>
      </c>
      <c r="F122" s="4">
        <v>8.0897883562009798E-4</v>
      </c>
      <c r="G122" s="4">
        <v>9.8332166564342894E-3</v>
      </c>
      <c r="H122" s="4">
        <v>2.75128200543844E-2</v>
      </c>
      <c r="I122" s="4">
        <v>0.66395582892945904</v>
      </c>
      <c r="J122" s="4">
        <v>6.3699342804171694E-2</v>
      </c>
      <c r="K122" s="4">
        <v>4.93099823999519E-2</v>
      </c>
      <c r="L122" s="4">
        <v>6.0608775904970602E-3</v>
      </c>
      <c r="M122" s="4">
        <v>0.78302603172408003</v>
      </c>
      <c r="N122" s="4">
        <f t="shared" si="11"/>
        <v>0.30572033867715964</v>
      </c>
      <c r="P122" s="1">
        <v>40087</v>
      </c>
      <c r="Q122">
        <v>5.0033906547869399E-2</v>
      </c>
      <c r="R122">
        <v>5.3361503944933997E-2</v>
      </c>
      <c r="S122">
        <v>5.3361503944933997E-2</v>
      </c>
      <c r="T122">
        <v>-2.2160189247848999E-2</v>
      </c>
      <c r="U122">
        <v>0.66521168121207397</v>
      </c>
      <c r="V122">
        <v>0.30686721388976301</v>
      </c>
      <c r="Y122" s="1">
        <v>40179</v>
      </c>
      <c r="Z122" s="4">
        <f t="shared" si="12"/>
        <v>5.2830328026614297E-2</v>
      </c>
      <c r="AA122" s="4">
        <f t="shared" si="13"/>
        <v>5.7334786634082903E-2</v>
      </c>
      <c r="AC122" s="1">
        <v>40179</v>
      </c>
      <c r="AD122" s="4">
        <f t="shared" si="14"/>
        <v>5.4088665391673701E-2</v>
      </c>
      <c r="AE122" s="4">
        <f t="shared" si="15"/>
        <v>5.5750638062599903E-2</v>
      </c>
      <c r="AG122" s="1">
        <v>40179</v>
      </c>
      <c r="AH122" s="4">
        <f t="shared" si="16"/>
        <v>2.4000377658821102E-2</v>
      </c>
      <c r="AI122" s="4">
        <f t="shared" si="17"/>
        <v>2.5681422232183299E-2</v>
      </c>
      <c r="AK122" s="1">
        <v>40179</v>
      </c>
      <c r="AL122" s="4">
        <f t="shared" si="18"/>
        <v>5.4088665391673701E-2</v>
      </c>
      <c r="AM122" s="4">
        <f t="shared" si="19"/>
        <v>5.9268688186973818E-2</v>
      </c>
      <c r="AO122" s="1">
        <v>40179</v>
      </c>
      <c r="AP122" s="4">
        <f t="shared" si="20"/>
        <v>0.331604304605505</v>
      </c>
      <c r="AQ122" s="4">
        <f t="shared" si="21"/>
        <v>0.2757491107241643</v>
      </c>
    </row>
    <row r="123" spans="1:43" x14ac:dyDescent="0.25">
      <c r="A123" s="1">
        <v>40483</v>
      </c>
      <c r="B123" s="4">
        <v>5.9246474521751302E-2</v>
      </c>
      <c r="C123" s="4">
        <v>1.0224417909991901E-2</v>
      </c>
      <c r="D123" s="4">
        <v>5.53428498847652E-4</v>
      </c>
      <c r="E123" s="4">
        <v>5.4744170870608096E-3</v>
      </c>
      <c r="F123" s="4">
        <v>5.0909305567656596E-4</v>
      </c>
      <c r="G123" s="4">
        <v>9.4762493837773406E-3</v>
      </c>
      <c r="H123" s="4">
        <v>2.6237605935354302E-2</v>
      </c>
      <c r="I123" s="4">
        <v>0.66592323285309996</v>
      </c>
      <c r="J123" s="4">
        <v>5.87047773848835E-2</v>
      </c>
      <c r="K123" s="4">
        <v>4.5600956247627403E-2</v>
      </c>
      <c r="L123" s="4">
        <v>5.7947161035941698E-3</v>
      </c>
      <c r="M123" s="4">
        <v>0.77602368258920496</v>
      </c>
      <c r="N123" s="4">
        <f t="shared" si="11"/>
        <v>0.30946039786790058</v>
      </c>
      <c r="P123" s="1">
        <v>40118</v>
      </c>
      <c r="Q123">
        <v>5.1765082441887399E-2</v>
      </c>
      <c r="R123">
        <v>5.6265308205376799E-2</v>
      </c>
      <c r="S123">
        <v>5.6265308205376799E-2</v>
      </c>
      <c r="T123">
        <v>-2.2444538014574199E-2</v>
      </c>
      <c r="U123">
        <v>0.68623916677390095</v>
      </c>
      <c r="V123">
        <v>0.29229493563939901</v>
      </c>
      <c r="Y123" s="1">
        <v>40210</v>
      </c>
      <c r="Z123" s="4">
        <f t="shared" si="12"/>
        <v>5.5121022151252398E-2</v>
      </c>
      <c r="AA123" s="4">
        <f t="shared" si="13"/>
        <v>5.7857484705399601E-2</v>
      </c>
      <c r="AC123" s="1">
        <v>40210</v>
      </c>
      <c r="AD123" s="4">
        <f t="shared" si="14"/>
        <v>5.8094224706763703E-2</v>
      </c>
      <c r="AE123" s="4">
        <f t="shared" si="15"/>
        <v>6.4096332763885697E-2</v>
      </c>
      <c r="AG123" s="1">
        <v>40210</v>
      </c>
      <c r="AH123" s="4">
        <f t="shared" si="16"/>
        <v>2.5827132296771499E-2</v>
      </c>
      <c r="AI123" s="4">
        <f t="shared" si="17"/>
        <v>2.70252288316572E-2</v>
      </c>
      <c r="AK123" s="1">
        <v>40210</v>
      </c>
      <c r="AL123" s="4">
        <f t="shared" si="18"/>
        <v>5.8094224706763703E-2</v>
      </c>
      <c r="AM123" s="4">
        <f t="shared" si="19"/>
        <v>5.8118132270815324E-2</v>
      </c>
      <c r="AO123" s="1">
        <v>40210</v>
      </c>
      <c r="AP123" s="4">
        <f t="shared" si="20"/>
        <v>0.34721329507061199</v>
      </c>
      <c r="AQ123" s="4">
        <f t="shared" si="21"/>
        <v>0.28307784999273189</v>
      </c>
    </row>
    <row r="124" spans="1:43" x14ac:dyDescent="0.25">
      <c r="A124" s="1">
        <v>40513</v>
      </c>
      <c r="B124" s="4">
        <v>6.0254680527658797E-2</v>
      </c>
      <c r="C124" s="4">
        <v>1.04949880961102E-2</v>
      </c>
      <c r="D124" s="4">
        <v>3.8093272575444803E-4</v>
      </c>
      <c r="E124" s="4">
        <v>5.7841487426725001E-3</v>
      </c>
      <c r="F124" s="4">
        <v>-7.4735226893964698E-5</v>
      </c>
      <c r="G124" s="4">
        <v>1.1303555695833901E-2</v>
      </c>
      <c r="H124" s="4">
        <v>2.7888890033477099E-2</v>
      </c>
      <c r="I124" s="4">
        <v>0.65599129539158796</v>
      </c>
      <c r="J124" s="4">
        <v>5.7370799332246203E-2</v>
      </c>
      <c r="K124" s="4">
        <v>4.32157746386879E-2</v>
      </c>
      <c r="L124" s="4">
        <v>4.82913476010238E-3</v>
      </c>
      <c r="M124" s="4">
        <v>0.76140700412262496</v>
      </c>
      <c r="N124" s="4">
        <f t="shared" si="11"/>
        <v>0.32673656643851101</v>
      </c>
      <c r="P124" s="1">
        <v>40148</v>
      </c>
      <c r="Q124">
        <v>5.1265588036654403E-2</v>
      </c>
      <c r="R124">
        <v>6.02640027816089E-2</v>
      </c>
      <c r="S124">
        <v>6.02640027816089E-2</v>
      </c>
      <c r="T124">
        <v>-2.4348475733268999E-2</v>
      </c>
      <c r="U124">
        <v>0.67141128843463704</v>
      </c>
      <c r="V124">
        <v>0.30355012874596399</v>
      </c>
      <c r="Y124" s="1">
        <v>40238</v>
      </c>
      <c r="Z124" s="4">
        <f t="shared" si="12"/>
        <v>5.6984415236776498E-2</v>
      </c>
      <c r="AA124" s="4">
        <f t="shared" si="13"/>
        <v>5.7758388420909003E-2</v>
      </c>
      <c r="AC124" s="1">
        <v>40238</v>
      </c>
      <c r="AD124" s="4">
        <f t="shared" si="14"/>
        <v>5.1781110786894499E-2</v>
      </c>
      <c r="AE124" s="4">
        <f t="shared" si="15"/>
        <v>6.4532939044650295E-2</v>
      </c>
      <c r="AG124" s="1">
        <v>40238</v>
      </c>
      <c r="AH124" s="4">
        <f t="shared" si="16"/>
        <v>2.5147824453796101E-2</v>
      </c>
      <c r="AI124" s="4">
        <f t="shared" si="17"/>
        <v>2.7997057987514201E-2</v>
      </c>
      <c r="AK124" s="1">
        <v>40238</v>
      </c>
      <c r="AL124" s="4">
        <f t="shared" si="18"/>
        <v>5.1781110786894499E-2</v>
      </c>
      <c r="AM124" s="4">
        <f t="shared" si="19"/>
        <v>6.237203406924223E-2</v>
      </c>
      <c r="AO124" s="1">
        <v>40238</v>
      </c>
      <c r="AP124" s="4">
        <f t="shared" si="20"/>
        <v>0.355004961983448</v>
      </c>
      <c r="AQ124" s="4">
        <f t="shared" si="21"/>
        <v>0.27240825546265912</v>
      </c>
    </row>
    <row r="125" spans="1:43" x14ac:dyDescent="0.25">
      <c r="A125" s="1">
        <v>40544</v>
      </c>
      <c r="B125" s="4">
        <v>6.2098552221481799E-2</v>
      </c>
      <c r="C125" s="4">
        <v>1.50923082300839E-2</v>
      </c>
      <c r="D125" s="4">
        <v>3.1282667660831098E-4</v>
      </c>
      <c r="E125" s="4">
        <v>5.2027470065312198E-3</v>
      </c>
      <c r="F125" s="4">
        <v>-6.4435131256883197E-4</v>
      </c>
      <c r="G125" s="4">
        <v>1.13197712328725E-2</v>
      </c>
      <c r="H125" s="4">
        <v>3.1283301833527101E-2</v>
      </c>
      <c r="I125" s="4">
        <v>0.66089224787831202</v>
      </c>
      <c r="J125" s="4">
        <v>5.3109852277582303E-2</v>
      </c>
      <c r="K125" s="4">
        <v>4.5345050474938101E-2</v>
      </c>
      <c r="L125" s="4">
        <v>5.0933623516496397E-3</v>
      </c>
      <c r="M125" s="4">
        <v>0.76444051298248195</v>
      </c>
      <c r="N125" s="4">
        <f t="shared" si="11"/>
        <v>0.32894134107252693</v>
      </c>
      <c r="P125" s="1">
        <v>40179</v>
      </c>
      <c r="Q125">
        <v>5.2830328026614297E-2</v>
      </c>
      <c r="R125">
        <v>5.4088665391673701E-2</v>
      </c>
      <c r="S125">
        <v>5.4088665391673701E-2</v>
      </c>
      <c r="T125">
        <v>-2.4000377658821102E-2</v>
      </c>
      <c r="U125">
        <v>0.66176709690683799</v>
      </c>
      <c r="V125">
        <v>0.331604304605505</v>
      </c>
      <c r="Y125" s="1">
        <v>40269</v>
      </c>
      <c r="Z125" s="4">
        <f t="shared" si="12"/>
        <v>5.8002966179190797E-2</v>
      </c>
      <c r="AA125" s="4">
        <f t="shared" si="13"/>
        <v>5.9323793565829598E-2</v>
      </c>
      <c r="AC125" s="1">
        <v>40269</v>
      </c>
      <c r="AD125" s="4">
        <f t="shared" si="14"/>
        <v>4.9767255224618001E-2</v>
      </c>
      <c r="AE125" s="4">
        <f t="shared" si="15"/>
        <v>6.3434972266418602E-2</v>
      </c>
      <c r="AG125" s="1">
        <v>40269</v>
      </c>
      <c r="AH125" s="4">
        <f t="shared" si="16"/>
        <v>2.4568267156849202E-2</v>
      </c>
      <c r="AI125" s="4">
        <f t="shared" si="17"/>
        <v>3.3747133850383103E-2</v>
      </c>
      <c r="AK125" s="1">
        <v>40269</v>
      </c>
      <c r="AL125" s="4">
        <f t="shared" si="18"/>
        <v>4.9767255224618001E-2</v>
      </c>
      <c r="AM125" s="4">
        <f t="shared" si="19"/>
        <v>6.9828042022304554E-2</v>
      </c>
      <c r="AO125" s="1">
        <v>40269</v>
      </c>
      <c r="AP125" s="4">
        <f t="shared" si="20"/>
        <v>0.35182800141558901</v>
      </c>
      <c r="AQ125" s="4">
        <f t="shared" si="21"/>
        <v>0.28782536686149074</v>
      </c>
    </row>
    <row r="126" spans="1:43" x14ac:dyDescent="0.25">
      <c r="A126" s="1">
        <v>40575</v>
      </c>
      <c r="B126" s="4">
        <v>6.2652974078872894E-2</v>
      </c>
      <c r="C126" s="4">
        <v>1.08165894729135E-2</v>
      </c>
      <c r="D126" s="4">
        <v>3.46281817464867E-4</v>
      </c>
      <c r="E126" s="4">
        <v>5.3327774421839599E-3</v>
      </c>
      <c r="F126" s="4">
        <v>7.3532273347588404E-4</v>
      </c>
      <c r="G126" s="4">
        <v>1.1121949183344301E-2</v>
      </c>
      <c r="H126" s="4">
        <v>2.8352920649382499E-2</v>
      </c>
      <c r="I126" s="4">
        <v>0.64968126176871599</v>
      </c>
      <c r="J126" s="4">
        <v>5.3273413740976799E-2</v>
      </c>
      <c r="K126" s="4">
        <v>4.0221898185255602E-2</v>
      </c>
      <c r="L126" s="4">
        <v>4.7209730667884904E-3</v>
      </c>
      <c r="M126" s="4">
        <v>0.74789754676173703</v>
      </c>
      <c r="N126" s="4">
        <f t="shared" si="11"/>
        <v>0.34310834796651846</v>
      </c>
      <c r="P126" s="1">
        <v>40210</v>
      </c>
      <c r="Q126">
        <v>5.5121022151252398E-2</v>
      </c>
      <c r="R126">
        <v>5.8094224706763703E-2</v>
      </c>
      <c r="S126">
        <v>5.8094224706763703E-2</v>
      </c>
      <c r="T126">
        <v>-2.5827132296771499E-2</v>
      </c>
      <c r="U126">
        <v>0.63536857357628596</v>
      </c>
      <c r="V126">
        <v>0.34721329507061199</v>
      </c>
      <c r="Y126" s="1">
        <v>40299</v>
      </c>
      <c r="Z126" s="4">
        <f t="shared" si="12"/>
        <v>5.8621564863786502E-2</v>
      </c>
      <c r="AA126" s="4">
        <f t="shared" si="13"/>
        <v>5.89136610386954E-2</v>
      </c>
      <c r="AC126" s="1">
        <v>40299</v>
      </c>
      <c r="AD126" s="4">
        <f t="shared" si="14"/>
        <v>4.7164393630541999E-2</v>
      </c>
      <c r="AE126" s="4">
        <f t="shared" si="15"/>
        <v>6.05558702581405E-2</v>
      </c>
      <c r="AG126" s="1">
        <v>40299</v>
      </c>
      <c r="AH126" s="4">
        <f t="shared" si="16"/>
        <v>2.2521961075942801E-2</v>
      </c>
      <c r="AI126" s="4">
        <f t="shared" si="17"/>
        <v>3.1416972678975502E-2</v>
      </c>
      <c r="AK126" s="1">
        <v>40299</v>
      </c>
      <c r="AL126" s="4">
        <f t="shared" si="18"/>
        <v>4.7164393630541999E-2</v>
      </c>
      <c r="AM126" s="4">
        <f t="shared" si="19"/>
        <v>5.8981418500815161E-2</v>
      </c>
      <c r="AO126" s="1">
        <v>40299</v>
      </c>
      <c r="AP126" s="4">
        <f t="shared" si="20"/>
        <v>0.33482564459994901</v>
      </c>
      <c r="AQ126" s="4">
        <f t="shared" si="21"/>
        <v>0.29134329188764185</v>
      </c>
    </row>
    <row r="127" spans="1:43" x14ac:dyDescent="0.25">
      <c r="A127" s="1">
        <v>40603</v>
      </c>
      <c r="B127" s="4">
        <v>6.7006952894538896E-2</v>
      </c>
      <c r="C127" s="4">
        <v>1.0596561221285199E-2</v>
      </c>
      <c r="D127" s="4">
        <v>2.8277974336787402E-4</v>
      </c>
      <c r="E127" s="4">
        <v>4.7795039140753502E-3</v>
      </c>
      <c r="F127" s="4">
        <v>1.3525340084385299E-3</v>
      </c>
      <c r="G127" s="4">
        <v>1.12368274522988E-2</v>
      </c>
      <c r="H127" s="4">
        <v>2.8248206339465801E-2</v>
      </c>
      <c r="I127" s="4">
        <v>0.62136202337581603</v>
      </c>
      <c r="J127" s="4">
        <v>4.0717467835727598E-2</v>
      </c>
      <c r="K127" s="4">
        <v>4.2612370571326101E-2</v>
      </c>
      <c r="L127" s="4">
        <v>5.4485859127615197E-3</v>
      </c>
      <c r="M127" s="4">
        <v>0.710140447695632</v>
      </c>
      <c r="N127" s="4">
        <f t="shared" si="11"/>
        <v>0.38511471153837273</v>
      </c>
      <c r="P127" s="1">
        <v>40238</v>
      </c>
      <c r="Q127">
        <v>5.6984415236776498E-2</v>
      </c>
      <c r="R127">
        <v>5.1781110786894499E-2</v>
      </c>
      <c r="S127">
        <v>5.1781110786894499E-2</v>
      </c>
      <c r="T127">
        <v>-2.5147824453796101E-2</v>
      </c>
      <c r="U127">
        <v>0.63963218635123897</v>
      </c>
      <c r="V127">
        <v>0.355004961983448</v>
      </c>
      <c r="Y127" s="1">
        <v>40330</v>
      </c>
      <c r="Z127" s="4">
        <f t="shared" si="12"/>
        <v>5.8569511303588402E-2</v>
      </c>
      <c r="AA127" s="4">
        <f t="shared" si="13"/>
        <v>6.1349623175040897E-2</v>
      </c>
      <c r="AC127" s="1">
        <v>40330</v>
      </c>
      <c r="AD127" s="4">
        <f t="shared" si="14"/>
        <v>5.1657901603118103E-2</v>
      </c>
      <c r="AE127" s="4">
        <f t="shared" si="15"/>
        <v>6.1004965128879401E-2</v>
      </c>
      <c r="AG127" s="1">
        <v>40330</v>
      </c>
      <c r="AH127" s="4">
        <f t="shared" si="16"/>
        <v>2.35098212486302E-2</v>
      </c>
      <c r="AI127" s="4">
        <f t="shared" si="17"/>
        <v>3.3265419467698697E-2</v>
      </c>
      <c r="AK127" s="1">
        <v>40330</v>
      </c>
      <c r="AL127" s="4">
        <f t="shared" si="18"/>
        <v>5.1657901603118103E-2</v>
      </c>
      <c r="AM127" s="4">
        <f t="shared" si="19"/>
        <v>5.4910671883850869E-2</v>
      </c>
      <c r="AO127" s="1">
        <v>40330</v>
      </c>
      <c r="AP127" s="4">
        <f t="shared" si="20"/>
        <v>0.35813350864024901</v>
      </c>
      <c r="AQ127" s="4">
        <f t="shared" si="21"/>
        <v>0.29541340882855172</v>
      </c>
    </row>
    <row r="128" spans="1:43" x14ac:dyDescent="0.25">
      <c r="A128" s="1">
        <v>40634</v>
      </c>
      <c r="B128" s="4">
        <v>6.2814696705435893E-2</v>
      </c>
      <c r="C128" s="4">
        <v>1.07646804658342E-2</v>
      </c>
      <c r="D128" s="4">
        <v>3.3488746739106999E-4</v>
      </c>
      <c r="E128" s="4">
        <v>5.3890521270844897E-3</v>
      </c>
      <c r="F128" s="4">
        <v>1.56755332813546E-3</v>
      </c>
      <c r="G128" s="4">
        <v>1.0212849291517299E-2</v>
      </c>
      <c r="H128" s="4">
        <v>2.8269022679962601E-2</v>
      </c>
      <c r="I128" s="4">
        <v>0.62097792165159305</v>
      </c>
      <c r="J128" s="4">
        <v>4.4644472363889298E-2</v>
      </c>
      <c r="K128" s="4">
        <v>4.7999558544201397E-2</v>
      </c>
      <c r="L128" s="4">
        <v>4.9201927304740496E-3</v>
      </c>
      <c r="M128" s="4">
        <v>0.71854214529015803</v>
      </c>
      <c r="N128" s="4">
        <f t="shared" si="11"/>
        <v>0.37254157409524058</v>
      </c>
      <c r="P128" s="1">
        <v>40269</v>
      </c>
      <c r="Q128">
        <v>5.8002966179190797E-2</v>
      </c>
      <c r="R128">
        <v>4.9767255224618001E-2</v>
      </c>
      <c r="S128">
        <v>4.9767255224618001E-2</v>
      </c>
      <c r="T128">
        <v>-2.4568267156849202E-2</v>
      </c>
      <c r="U128">
        <v>0.64174177145385802</v>
      </c>
      <c r="V128">
        <v>0.35182800141558901</v>
      </c>
      <c r="Y128" s="1">
        <v>40360</v>
      </c>
      <c r="Z128" s="4">
        <f t="shared" si="12"/>
        <v>6.16668724440411E-2</v>
      </c>
      <c r="AA128" s="4">
        <f t="shared" si="13"/>
        <v>6.07944345863424E-2</v>
      </c>
      <c r="AC128" s="1">
        <v>40360</v>
      </c>
      <c r="AD128" s="4">
        <f t="shared" si="14"/>
        <v>4.3483170003642303E-2</v>
      </c>
      <c r="AE128" s="4">
        <f t="shared" si="15"/>
        <v>6.2212999714626301E-2</v>
      </c>
      <c r="AG128" s="1">
        <v>40360</v>
      </c>
      <c r="AH128" s="4">
        <f t="shared" si="16"/>
        <v>2.5094123402172201E-2</v>
      </c>
      <c r="AI128" s="4">
        <f t="shared" si="17"/>
        <v>3.3717490511326699E-2</v>
      </c>
      <c r="AK128" s="1">
        <v>40360</v>
      </c>
      <c r="AL128" s="4">
        <f t="shared" si="18"/>
        <v>4.3483170003642303E-2</v>
      </c>
      <c r="AM128" s="4">
        <f t="shared" si="19"/>
        <v>5.9353555148634073E-2</v>
      </c>
      <c r="AO128" s="1">
        <v>40360</v>
      </c>
      <c r="AP128" s="4">
        <f t="shared" si="20"/>
        <v>0.388334296809978</v>
      </c>
      <c r="AQ128" s="4">
        <f t="shared" si="21"/>
        <v>0.30674612396382017</v>
      </c>
    </row>
    <row r="129" spans="1:43" x14ac:dyDescent="0.25">
      <c r="A129" s="1">
        <v>40664</v>
      </c>
      <c r="B129" s="4">
        <v>6.4281880904395503E-2</v>
      </c>
      <c r="C129" s="4">
        <v>1.0915321301513301E-2</v>
      </c>
      <c r="D129" s="4">
        <v>3.6615060731918998E-4</v>
      </c>
      <c r="E129" s="4">
        <v>5.2040306908567001E-3</v>
      </c>
      <c r="F129" s="4">
        <v>1.6977921842052E-3</v>
      </c>
      <c r="G129" s="4">
        <v>1.06521902209002E-2</v>
      </c>
      <c r="H129" s="4">
        <v>2.88354850047947E-2</v>
      </c>
      <c r="I129" s="4">
        <v>0.62526159071547904</v>
      </c>
      <c r="J129" s="4">
        <v>4.9461197428765501E-2</v>
      </c>
      <c r="K129" s="4">
        <v>5.4017346332611203E-2</v>
      </c>
      <c r="L129" s="4">
        <v>4.8542237172225101E-3</v>
      </c>
      <c r="M129" s="4">
        <v>0.73359435819407803</v>
      </c>
      <c r="N129" s="4">
        <f t="shared" si="11"/>
        <v>0.35952300771511214</v>
      </c>
      <c r="P129" s="1">
        <v>40299</v>
      </c>
      <c r="Q129">
        <v>5.8621564863786502E-2</v>
      </c>
      <c r="R129">
        <v>4.7164393630541999E-2</v>
      </c>
      <c r="S129">
        <v>4.7164393630541999E-2</v>
      </c>
      <c r="T129">
        <v>-2.2521961075942801E-2</v>
      </c>
      <c r="U129">
        <v>0.65870685225241998</v>
      </c>
      <c r="V129">
        <v>0.33482564459994901</v>
      </c>
      <c r="Y129" s="1">
        <v>40391</v>
      </c>
      <c r="Z129" s="4">
        <f t="shared" si="12"/>
        <v>6.1463943825821203E-2</v>
      </c>
      <c r="AA129" s="4">
        <f t="shared" si="13"/>
        <v>6.3631343062384202E-2</v>
      </c>
      <c r="AC129" s="1">
        <v>40391</v>
      </c>
      <c r="AD129" s="4">
        <f t="shared" si="14"/>
        <v>4.4138327489395897E-2</v>
      </c>
      <c r="AE129" s="4">
        <f t="shared" si="15"/>
        <v>4.9696554488286103E-2</v>
      </c>
      <c r="AG129" s="1">
        <v>40391</v>
      </c>
      <c r="AH129" s="4">
        <f t="shared" si="16"/>
        <v>2.5255268027544499E-2</v>
      </c>
      <c r="AI129" s="4">
        <f t="shared" si="17"/>
        <v>2.69453692745425E-2</v>
      </c>
      <c r="AK129" s="1">
        <v>40391</v>
      </c>
      <c r="AL129" s="4">
        <f t="shared" si="18"/>
        <v>4.4138327489395897E-2</v>
      </c>
      <c r="AM129" s="4">
        <f t="shared" si="19"/>
        <v>5.575259423433556E-2</v>
      </c>
      <c r="AO129" s="1">
        <v>40391</v>
      </c>
      <c r="AP129" s="4">
        <f t="shared" si="20"/>
        <v>0.37592246877894198</v>
      </c>
      <c r="AQ129" s="4">
        <f t="shared" si="21"/>
        <v>0.3218436450693748</v>
      </c>
    </row>
    <row r="130" spans="1:43" x14ac:dyDescent="0.25">
      <c r="A130" s="1">
        <v>40695</v>
      </c>
      <c r="B130" s="4">
        <v>6.2078479190444902E-2</v>
      </c>
      <c r="C130" s="4">
        <v>1.1097537085943399E-2</v>
      </c>
      <c r="D130" s="4">
        <v>4.1688212054394601E-4</v>
      </c>
      <c r="E130" s="4">
        <v>5.7212117384905998E-3</v>
      </c>
      <c r="F130" s="4">
        <v>2.0100495612062198E-3</v>
      </c>
      <c r="G130" s="4">
        <v>1.0710429463499E-2</v>
      </c>
      <c r="H130" s="4">
        <v>2.99561099696832E-2</v>
      </c>
      <c r="I130" s="4">
        <v>0.63376246983182505</v>
      </c>
      <c r="J130" s="4">
        <v>4.7824546352057802E-2</v>
      </c>
      <c r="K130" s="4">
        <v>5.62689904294989E-2</v>
      </c>
      <c r="L130" s="4">
        <v>6.0652451337347996E-3</v>
      </c>
      <c r="M130" s="4">
        <v>0.74392125174711599</v>
      </c>
      <c r="N130" s="4">
        <f t="shared" si="11"/>
        <v>0.3481133374130122</v>
      </c>
      <c r="P130" s="1">
        <v>40330</v>
      </c>
      <c r="Q130">
        <v>5.8569511303588402E-2</v>
      </c>
      <c r="R130">
        <v>5.1657901603118103E-2</v>
      </c>
      <c r="S130">
        <v>5.1657901603118103E-2</v>
      </c>
      <c r="T130">
        <v>-2.35098212486302E-2</v>
      </c>
      <c r="U130">
        <v>0.63833727092887604</v>
      </c>
      <c r="V130">
        <v>0.35813350864024901</v>
      </c>
      <c r="Y130" s="1">
        <v>40422</v>
      </c>
      <c r="Z130" s="4">
        <f t="shared" si="12"/>
        <v>6.1717311974114099E-2</v>
      </c>
      <c r="AA130" s="4">
        <f t="shared" si="13"/>
        <v>6.1864675257306802E-2</v>
      </c>
      <c r="AC130" s="1">
        <v>40422</v>
      </c>
      <c r="AD130" s="4">
        <f t="shared" si="14"/>
        <v>4.4804152742642898E-2</v>
      </c>
      <c r="AE130" s="4">
        <f t="shared" si="15"/>
        <v>6.2796537953360196E-2</v>
      </c>
      <c r="AG130" s="1">
        <v>40422</v>
      </c>
      <c r="AH130" s="4">
        <f t="shared" si="16"/>
        <v>2.5140959906178598E-2</v>
      </c>
      <c r="AI130" s="4">
        <f t="shared" si="17"/>
        <v>2.6390242791310799E-2</v>
      </c>
      <c r="AK130" s="1">
        <v>40422</v>
      </c>
      <c r="AL130" s="4">
        <f t="shared" si="18"/>
        <v>4.4804152742642898E-2</v>
      </c>
      <c r="AM130" s="4">
        <f t="shared" si="19"/>
        <v>5.272952370606148E-2</v>
      </c>
      <c r="AO130" s="1">
        <v>40422</v>
      </c>
      <c r="AP130" s="4">
        <f t="shared" si="20"/>
        <v>0.39107744563784702</v>
      </c>
      <c r="AQ130" s="4">
        <f t="shared" si="21"/>
        <v>0.30878262782696164</v>
      </c>
    </row>
    <row r="131" spans="1:43" x14ac:dyDescent="0.25">
      <c r="A131" s="1">
        <v>40725</v>
      </c>
      <c r="B131" s="4">
        <v>6.1432919064001397E-2</v>
      </c>
      <c r="C131" s="4">
        <v>1.3580722669691601E-2</v>
      </c>
      <c r="D131" s="4">
        <v>4.6707228391160702E-4</v>
      </c>
      <c r="E131" s="4">
        <v>6.0117734566267301E-3</v>
      </c>
      <c r="F131" s="4">
        <v>2.2387175496829501E-3</v>
      </c>
      <c r="G131" s="4">
        <v>9.9739897216344197E-3</v>
      </c>
      <c r="H131" s="4">
        <v>3.2272275681547301E-2</v>
      </c>
      <c r="I131" s="4">
        <v>0.62300649447860201</v>
      </c>
      <c r="J131" s="4">
        <v>4.7073241792945801E-2</v>
      </c>
      <c r="K131" s="4">
        <v>5.0406985273200401E-2</v>
      </c>
      <c r="L131" s="4">
        <v>5.5594194391929098E-3</v>
      </c>
      <c r="M131" s="4">
        <v>0.72604614098394105</v>
      </c>
      <c r="N131" s="4">
        <f t="shared" ref="N131:N170" si="22">B131+H131+1-M131</f>
        <v>0.36765905376160768</v>
      </c>
      <c r="P131" s="1">
        <v>40360</v>
      </c>
      <c r="Q131">
        <v>6.16668724440411E-2</v>
      </c>
      <c r="R131">
        <v>4.3483170003642303E-2</v>
      </c>
      <c r="S131">
        <v>4.3483170003642303E-2</v>
      </c>
      <c r="T131">
        <v>-2.5094123402172201E-2</v>
      </c>
      <c r="U131">
        <v>0.623863121819765</v>
      </c>
      <c r="V131">
        <v>0.388334296809978</v>
      </c>
      <c r="Y131" s="1">
        <v>40452</v>
      </c>
      <c r="Z131" s="4">
        <f t="shared" si="12"/>
        <v>5.91357388111175E-2</v>
      </c>
      <c r="AA131" s="4">
        <f t="shared" si="13"/>
        <v>6.1233550346855299E-2</v>
      </c>
      <c r="AC131" s="1">
        <v>40452</v>
      </c>
      <c r="AD131" s="4">
        <f t="shared" si="14"/>
        <v>4.7360095008865802E-2</v>
      </c>
      <c r="AE131" s="4">
        <f t="shared" si="15"/>
        <v>6.3699342804171694E-2</v>
      </c>
      <c r="AG131" s="1">
        <v>40452</v>
      </c>
      <c r="AH131" s="4">
        <f t="shared" si="16"/>
        <v>2.3702845415908301E-2</v>
      </c>
      <c r="AI131" s="4">
        <f t="shared" si="17"/>
        <v>2.75128200543844E-2</v>
      </c>
      <c r="AK131" s="1">
        <v>40452</v>
      </c>
      <c r="AL131" s="4">
        <f t="shared" si="18"/>
        <v>4.7360095008865802E-2</v>
      </c>
      <c r="AM131" s="4">
        <f t="shared" si="19"/>
        <v>5.537085999044896E-2</v>
      </c>
      <c r="AO131" s="1">
        <v>40452</v>
      </c>
      <c r="AP131" s="4">
        <f t="shared" si="20"/>
        <v>0.38717988711154699</v>
      </c>
      <c r="AQ131" s="4">
        <f t="shared" si="21"/>
        <v>0.30572033867715964</v>
      </c>
    </row>
    <row r="132" spans="1:43" x14ac:dyDescent="0.25">
      <c r="A132" s="1">
        <v>40756</v>
      </c>
      <c r="B132" s="4">
        <v>6.2028124332672199E-2</v>
      </c>
      <c r="C132" s="4">
        <v>1.47772155571213E-2</v>
      </c>
      <c r="D132" s="4">
        <v>5.4973130572686703E-4</v>
      </c>
      <c r="E132" s="4">
        <v>5.9410104367013297E-3</v>
      </c>
      <c r="F132" s="4">
        <v>2.94701830828604E-3</v>
      </c>
      <c r="G132" s="4">
        <v>1.0274659505833599E-2</v>
      </c>
      <c r="H132" s="4">
        <v>3.4489635113669197E-2</v>
      </c>
      <c r="I132" s="4">
        <v>0.62153930920459199</v>
      </c>
      <c r="J132" s="4">
        <v>4.8735261933981498E-2</v>
      </c>
      <c r="K132" s="4">
        <v>5.4150345720828601E-2</v>
      </c>
      <c r="L132" s="4">
        <v>7.00079304721281E-3</v>
      </c>
      <c r="M132" s="4">
        <v>0.73142570990661504</v>
      </c>
      <c r="N132" s="4">
        <f t="shared" si="22"/>
        <v>0.36509204953972629</v>
      </c>
      <c r="P132" s="1">
        <v>40391</v>
      </c>
      <c r="Q132">
        <v>6.1463943825821203E-2</v>
      </c>
      <c r="R132">
        <v>4.4138327489395897E-2</v>
      </c>
      <c r="S132">
        <v>4.4138327489395897E-2</v>
      </c>
      <c r="T132">
        <v>-2.5255268027544499E-2</v>
      </c>
      <c r="U132">
        <v>0.62977405433493605</v>
      </c>
      <c r="V132">
        <v>0.37592246877894198</v>
      </c>
      <c r="Y132" s="1">
        <v>40483</v>
      </c>
      <c r="Z132" s="4">
        <f t="shared" ref="Z132:Z178" si="23">VLOOKUP(Y132,P:V,2,0)</f>
        <v>5.8977434853278297E-2</v>
      </c>
      <c r="AA132" s="4">
        <f t="shared" ref="AA132:AA178" si="24">VLOOKUP(Y132,A:N,2,0)</f>
        <v>5.9246474521751302E-2</v>
      </c>
      <c r="AC132" s="1">
        <v>40483</v>
      </c>
      <c r="AD132" s="4">
        <f t="shared" ref="AD132:AD178" si="25">VLOOKUP(Y132,P:V,3,0)</f>
        <v>4.5026110737885101E-2</v>
      </c>
      <c r="AE132" s="4">
        <f t="shared" ref="AE132:AE178" si="26">VLOOKUP(Y132,A:N,10,0)</f>
        <v>5.87047773848835E-2</v>
      </c>
      <c r="AG132" s="1">
        <v>40483</v>
      </c>
      <c r="AH132" s="4">
        <f t="shared" ref="AH132:AH178" si="27">-VLOOKUP(Y132,P:V,5,0)</f>
        <v>2.4384491343820699E-2</v>
      </c>
      <c r="AI132" s="4">
        <f t="shared" ref="AI132:AI178" si="28">VLOOKUP(Y132,A:N,8,0)</f>
        <v>2.6237605935354302E-2</v>
      </c>
      <c r="AK132" s="1">
        <v>40483</v>
      </c>
      <c r="AL132" s="4">
        <f t="shared" ref="AL132:AL178" si="29">VLOOKUP(Y132,P:V,4,0)</f>
        <v>4.5026110737885101E-2</v>
      </c>
      <c r="AM132" s="4">
        <f t="shared" ref="AM132:AM178" si="30">VLOOKUP(Y132,A:N,11,0)+VLOOKUP(Y132,A:N,12,0)</f>
        <v>5.1395672351221569E-2</v>
      </c>
      <c r="AO132" s="1">
        <v>40483</v>
      </c>
      <c r="AP132" s="4">
        <f t="shared" ref="AP132:AP178" si="31">VLOOKUP(Y132,P:V,7,0)</f>
        <v>0.38966765988454299</v>
      </c>
      <c r="AQ132" s="4">
        <f t="shared" ref="AQ132:AQ178" si="32">VLOOKUP(Y132,A:N,14,0)</f>
        <v>0.30946039786790058</v>
      </c>
    </row>
    <row r="133" spans="1:43" x14ac:dyDescent="0.25">
      <c r="A133" s="1">
        <v>40787</v>
      </c>
      <c r="B133" s="4">
        <v>6.1242811646326598E-2</v>
      </c>
      <c r="C133" s="4">
        <v>1.4493551177389499E-2</v>
      </c>
      <c r="D133" s="4">
        <v>5.9448898037714199E-4</v>
      </c>
      <c r="E133" s="4">
        <v>6.2920650930209099E-3</v>
      </c>
      <c r="F133" s="4">
        <v>2.8068953185685702E-3</v>
      </c>
      <c r="G133" s="4">
        <v>9.5572268800530203E-3</v>
      </c>
      <c r="H133" s="4">
        <v>3.3744227449409199E-2</v>
      </c>
      <c r="I133" s="4">
        <v>0.62601019254041901</v>
      </c>
      <c r="J133" s="4">
        <v>5.2070328413241697E-2</v>
      </c>
      <c r="K133" s="4">
        <v>4.98274485562967E-2</v>
      </c>
      <c r="L133" s="4">
        <v>7.5561935395607599E-3</v>
      </c>
      <c r="M133" s="4">
        <v>0.735464163049518</v>
      </c>
      <c r="N133" s="4">
        <f t="shared" si="22"/>
        <v>0.35952287604621769</v>
      </c>
      <c r="P133" s="1">
        <v>40422</v>
      </c>
      <c r="Q133">
        <v>6.1717311974114099E-2</v>
      </c>
      <c r="R133">
        <v>4.4804152742642898E-2</v>
      </c>
      <c r="S133">
        <v>4.4804152742642898E-2</v>
      </c>
      <c r="T133">
        <v>-2.5140959906178598E-2</v>
      </c>
      <c r="U133">
        <v>0.61858957658819302</v>
      </c>
      <c r="V133">
        <v>0.39107744563784702</v>
      </c>
      <c r="Y133" s="1">
        <v>40513</v>
      </c>
      <c r="Z133" s="4">
        <f t="shared" si="23"/>
        <v>6.09398924483667E-2</v>
      </c>
      <c r="AA133" s="4">
        <f t="shared" si="24"/>
        <v>6.0254680527658797E-2</v>
      </c>
      <c r="AC133" s="1">
        <v>40513</v>
      </c>
      <c r="AD133" s="4">
        <f t="shared" si="25"/>
        <v>4.7339856103033401E-2</v>
      </c>
      <c r="AE133" s="4">
        <f t="shared" si="26"/>
        <v>5.7370799332246203E-2</v>
      </c>
      <c r="AG133" s="1">
        <v>40513</v>
      </c>
      <c r="AH133" s="4">
        <f t="shared" si="27"/>
        <v>2.6495638719396399E-2</v>
      </c>
      <c r="AI133" s="4">
        <f t="shared" si="28"/>
        <v>2.7888890033477099E-2</v>
      </c>
      <c r="AK133" s="1">
        <v>40513</v>
      </c>
      <c r="AL133" s="4">
        <f t="shared" si="29"/>
        <v>4.7339856103033401E-2</v>
      </c>
      <c r="AM133" s="4">
        <f t="shared" si="30"/>
        <v>4.8044909398790282E-2</v>
      </c>
      <c r="AO133" s="1">
        <v>40513</v>
      </c>
      <c r="AP133" s="4">
        <f t="shared" si="31"/>
        <v>0.39371592302130898</v>
      </c>
      <c r="AQ133" s="4">
        <f t="shared" si="32"/>
        <v>0.32673656643851101</v>
      </c>
    </row>
    <row r="134" spans="1:43" x14ac:dyDescent="0.25">
      <c r="A134" s="1">
        <v>40817</v>
      </c>
      <c r="B134" s="4">
        <v>6.4170523523436093E-2</v>
      </c>
      <c r="C134" s="4">
        <v>1.27137694234671E-2</v>
      </c>
      <c r="D134" s="4">
        <v>6.0546427460720102E-4</v>
      </c>
      <c r="E134" s="4">
        <v>6.7160483921220402E-3</v>
      </c>
      <c r="F134" s="4">
        <v>2.97084081278693E-3</v>
      </c>
      <c r="G134" s="4">
        <v>9.6510043783497104E-3</v>
      </c>
      <c r="H134" s="4">
        <v>3.2657127281333E-2</v>
      </c>
      <c r="I134" s="4">
        <v>0.62175420419775096</v>
      </c>
      <c r="J134" s="4">
        <v>5.6274080772813401E-2</v>
      </c>
      <c r="K134" s="4">
        <v>4.0633869431422602E-2</v>
      </c>
      <c r="L134" s="4">
        <v>6.7489730081996199E-3</v>
      </c>
      <c r="M134" s="4">
        <v>0.72541112741018698</v>
      </c>
      <c r="N134" s="4">
        <f t="shared" si="22"/>
        <v>0.3714165233945822</v>
      </c>
      <c r="P134" s="1">
        <v>40452</v>
      </c>
      <c r="Q134">
        <v>5.91357388111175E-2</v>
      </c>
      <c r="R134">
        <v>4.7360095008865802E-2</v>
      </c>
      <c r="S134">
        <v>4.7360095008865802E-2</v>
      </c>
      <c r="T134">
        <v>-2.3702845415908301E-2</v>
      </c>
      <c r="U134">
        <v>0.61212516865140298</v>
      </c>
      <c r="V134">
        <v>0.38717988711154699</v>
      </c>
      <c r="Y134" s="1">
        <v>40544</v>
      </c>
      <c r="Z134" s="4">
        <f t="shared" si="23"/>
        <v>6.4012327641363997E-2</v>
      </c>
      <c r="AA134" s="4">
        <f t="shared" si="24"/>
        <v>6.2098552221481799E-2</v>
      </c>
      <c r="AC134" s="1">
        <v>40544</v>
      </c>
      <c r="AD134" s="4">
        <f t="shared" si="25"/>
        <v>4.4812855375487598E-2</v>
      </c>
      <c r="AE134" s="4">
        <f t="shared" si="26"/>
        <v>5.3109852277582303E-2</v>
      </c>
      <c r="AG134" s="1">
        <v>40544</v>
      </c>
      <c r="AH134" s="4">
        <f t="shared" si="27"/>
        <v>2.6950294850670999E-2</v>
      </c>
      <c r="AI134" s="4">
        <f t="shared" si="28"/>
        <v>3.1283301833527101E-2</v>
      </c>
      <c r="AK134" s="1">
        <v>40544</v>
      </c>
      <c r="AL134" s="4">
        <f t="shared" si="29"/>
        <v>4.4812855375487598E-2</v>
      </c>
      <c r="AM134" s="4">
        <f t="shared" si="30"/>
        <v>5.0438412826587738E-2</v>
      </c>
      <c r="AO134" s="1">
        <v>40544</v>
      </c>
      <c r="AP134" s="4">
        <f t="shared" si="31"/>
        <v>0.40588451546651999</v>
      </c>
      <c r="AQ134" s="4">
        <f t="shared" si="32"/>
        <v>0.32894134107252693</v>
      </c>
    </row>
    <row r="135" spans="1:43" x14ac:dyDescent="0.25">
      <c r="A135" s="1">
        <v>40848</v>
      </c>
      <c r="B135" s="4">
        <v>6.1535119067748799E-2</v>
      </c>
      <c r="C135" s="4">
        <v>1.3390317542657701E-2</v>
      </c>
      <c r="D135" s="4">
        <v>5.8110809568393397E-4</v>
      </c>
      <c r="E135" s="4">
        <v>6.4288037960029999E-3</v>
      </c>
      <c r="F135" s="4">
        <v>2.6130732139684199E-3</v>
      </c>
      <c r="G135" s="4">
        <v>1.0680038923123599E-2</v>
      </c>
      <c r="H135" s="4">
        <v>3.3693341571436698E-2</v>
      </c>
      <c r="I135" s="4">
        <v>0.62639954011467303</v>
      </c>
      <c r="J135" s="4">
        <v>4.92164963629729E-2</v>
      </c>
      <c r="K135" s="4">
        <v>4.3279978843190799E-2</v>
      </c>
      <c r="L135" s="4">
        <v>6.2969942199294898E-3</v>
      </c>
      <c r="M135" s="4">
        <v>0.72519300954076704</v>
      </c>
      <c r="N135" s="4">
        <f t="shared" si="22"/>
        <v>0.37003545109841851</v>
      </c>
      <c r="P135" s="1">
        <v>40483</v>
      </c>
      <c r="Q135">
        <v>5.8977434853278297E-2</v>
      </c>
      <c r="R135">
        <v>4.5026110737885101E-2</v>
      </c>
      <c r="S135">
        <v>4.5026110737885101E-2</v>
      </c>
      <c r="T135">
        <v>-2.4384491343820699E-2</v>
      </c>
      <c r="U135">
        <v>0.61156292865987805</v>
      </c>
      <c r="V135">
        <v>0.38966765988454299</v>
      </c>
      <c r="Y135" s="1">
        <v>40575</v>
      </c>
      <c r="Z135" s="4">
        <f t="shared" si="23"/>
        <v>6.0799537302899997E-2</v>
      </c>
      <c r="AA135" s="4">
        <f t="shared" si="24"/>
        <v>6.2652974078872894E-2</v>
      </c>
      <c r="AC135" s="1">
        <v>40575</v>
      </c>
      <c r="AD135" s="4">
        <f t="shared" si="25"/>
        <v>4.6075977288705203E-2</v>
      </c>
      <c r="AE135" s="4">
        <f t="shared" si="26"/>
        <v>5.3273413740976799E-2</v>
      </c>
      <c r="AG135" s="1">
        <v>40575</v>
      </c>
      <c r="AH135" s="4">
        <f t="shared" si="27"/>
        <v>2.55967658694152E-2</v>
      </c>
      <c r="AI135" s="4">
        <f t="shared" si="28"/>
        <v>2.8352920649382499E-2</v>
      </c>
      <c r="AK135" s="1">
        <v>40575</v>
      </c>
      <c r="AL135" s="4">
        <f t="shared" si="29"/>
        <v>4.6075977288705203E-2</v>
      </c>
      <c r="AM135" s="4">
        <f t="shared" si="30"/>
        <v>4.4942871252044089E-2</v>
      </c>
      <c r="AO135" s="1">
        <v>40575</v>
      </c>
      <c r="AP135" s="4">
        <f t="shared" si="31"/>
        <v>0.39464018485483698</v>
      </c>
      <c r="AQ135" s="4">
        <f t="shared" si="32"/>
        <v>0.34310834796651846</v>
      </c>
    </row>
    <row r="136" spans="1:43" x14ac:dyDescent="0.25">
      <c r="A136" s="1">
        <v>40878</v>
      </c>
      <c r="B136" s="4">
        <v>6.1673603551295503E-2</v>
      </c>
      <c r="C136" s="4">
        <v>1.4095992141381001E-2</v>
      </c>
      <c r="D136" s="4">
        <v>5.4062594813099796E-4</v>
      </c>
      <c r="E136" s="4">
        <v>6.6042943876477699E-3</v>
      </c>
      <c r="F136" s="4">
        <v>2.5486579938084901E-3</v>
      </c>
      <c r="G136" s="4">
        <v>1.20685069077735E-2</v>
      </c>
      <c r="H136" s="4">
        <v>3.5858077378741797E-2</v>
      </c>
      <c r="I136" s="4">
        <v>0.62488901806500796</v>
      </c>
      <c r="J136" s="4">
        <v>5.6474166778123197E-2</v>
      </c>
      <c r="K136" s="4">
        <v>3.7221717008718298E-2</v>
      </c>
      <c r="L136" s="4">
        <v>6.3675032693678701E-3</v>
      </c>
      <c r="M136" s="4">
        <v>0.72495240512121795</v>
      </c>
      <c r="N136" s="4">
        <f t="shared" si="22"/>
        <v>0.37257927580881933</v>
      </c>
      <c r="P136" s="1">
        <v>40513</v>
      </c>
      <c r="Q136">
        <v>6.09398924483667E-2</v>
      </c>
      <c r="R136">
        <v>4.7339856103033401E-2</v>
      </c>
      <c r="S136">
        <v>4.7339856103033401E-2</v>
      </c>
      <c r="T136">
        <v>-2.6495638719396399E-2</v>
      </c>
      <c r="U136">
        <v>0.61243851767774904</v>
      </c>
      <c r="V136">
        <v>0.39371592302130898</v>
      </c>
      <c r="Y136" s="1">
        <v>40603</v>
      </c>
      <c r="Z136" s="4">
        <f t="shared" si="23"/>
        <v>6.5614900143929206E-2</v>
      </c>
      <c r="AA136" s="4">
        <f t="shared" si="24"/>
        <v>6.7006952894538896E-2</v>
      </c>
      <c r="AC136" s="1">
        <v>40603</v>
      </c>
      <c r="AD136" s="4">
        <f t="shared" si="25"/>
        <v>4.1315499437714502E-2</v>
      </c>
      <c r="AE136" s="4">
        <f t="shared" si="26"/>
        <v>4.0717467835727598E-2</v>
      </c>
      <c r="AG136" s="1">
        <v>40603</v>
      </c>
      <c r="AH136" s="4">
        <f t="shared" si="27"/>
        <v>2.7680390973536601E-2</v>
      </c>
      <c r="AI136" s="4">
        <f t="shared" si="28"/>
        <v>2.8248206339465801E-2</v>
      </c>
      <c r="AK136" s="1">
        <v>40603</v>
      </c>
      <c r="AL136" s="4">
        <f t="shared" si="29"/>
        <v>4.1315499437714502E-2</v>
      </c>
      <c r="AM136" s="4">
        <f t="shared" si="30"/>
        <v>4.8060956484087619E-2</v>
      </c>
      <c r="AO136" s="1">
        <v>40603</v>
      </c>
      <c r="AP136" s="4">
        <f t="shared" si="31"/>
        <v>0.424423798428471</v>
      </c>
      <c r="AQ136" s="4">
        <f t="shared" si="32"/>
        <v>0.38511471153837273</v>
      </c>
    </row>
    <row r="137" spans="1:43" x14ac:dyDescent="0.25">
      <c r="A137" s="1">
        <v>40909</v>
      </c>
      <c r="B137" s="4">
        <v>6.1553558000167603E-2</v>
      </c>
      <c r="C137" s="4">
        <v>1.51638127204966E-2</v>
      </c>
      <c r="D137" s="4">
        <v>5.4484182162479198E-4</v>
      </c>
      <c r="E137" s="4">
        <v>6.6330097163592701E-3</v>
      </c>
      <c r="F137" s="4">
        <v>3.0659433405404398E-3</v>
      </c>
      <c r="G137" s="4">
        <v>1.18279385638667E-2</v>
      </c>
      <c r="H137" s="4">
        <v>3.7235546162887899E-2</v>
      </c>
      <c r="I137" s="4">
        <v>0.62580159595753604</v>
      </c>
      <c r="J137" s="4">
        <v>6.1512600728375097E-2</v>
      </c>
      <c r="K137" s="4">
        <v>3.3804181990264699E-2</v>
      </c>
      <c r="L137" s="4">
        <v>6.1555755548062703E-3</v>
      </c>
      <c r="M137" s="4">
        <v>0.72727395423098196</v>
      </c>
      <c r="N137" s="4">
        <f t="shared" si="22"/>
        <v>0.37151514993207357</v>
      </c>
      <c r="P137" s="1">
        <v>40544</v>
      </c>
      <c r="Q137">
        <v>6.4012327641363997E-2</v>
      </c>
      <c r="R137">
        <v>4.4812855375487598E-2</v>
      </c>
      <c r="S137">
        <v>4.4812855375487598E-2</v>
      </c>
      <c r="T137">
        <v>-2.6950294850670999E-2</v>
      </c>
      <c r="U137">
        <v>0.60955008703223901</v>
      </c>
      <c r="V137">
        <v>0.40588451546651999</v>
      </c>
      <c r="Y137" s="1">
        <v>40634</v>
      </c>
      <c r="Z137" s="4">
        <f t="shared" si="23"/>
        <v>6.6619379563566894E-2</v>
      </c>
      <c r="AA137" s="4">
        <f t="shared" si="24"/>
        <v>6.2814696705435893E-2</v>
      </c>
      <c r="AC137" s="1">
        <v>40634</v>
      </c>
      <c r="AD137" s="4">
        <f t="shared" si="25"/>
        <v>4.1161451312565399E-2</v>
      </c>
      <c r="AE137" s="4">
        <f t="shared" si="26"/>
        <v>4.4644472363889298E-2</v>
      </c>
      <c r="AG137" s="1">
        <v>40634</v>
      </c>
      <c r="AH137" s="4">
        <f t="shared" si="27"/>
        <v>2.90377877593972E-2</v>
      </c>
      <c r="AI137" s="4">
        <f t="shared" si="28"/>
        <v>2.8269022679962601E-2</v>
      </c>
      <c r="AK137" s="1">
        <v>40634</v>
      </c>
      <c r="AL137" s="4">
        <f t="shared" si="29"/>
        <v>4.1161451312565399E-2</v>
      </c>
      <c r="AM137" s="4">
        <f t="shared" si="30"/>
        <v>5.291975127467545E-2</v>
      </c>
      <c r="AO137" s="1">
        <v>40634</v>
      </c>
      <c r="AP137" s="4">
        <f t="shared" si="31"/>
        <v>0.41549199964642303</v>
      </c>
      <c r="AQ137" s="4">
        <f t="shared" si="32"/>
        <v>0.37254157409524058</v>
      </c>
    </row>
    <row r="138" spans="1:43" x14ac:dyDescent="0.25">
      <c r="A138" s="1">
        <v>40940</v>
      </c>
      <c r="B138" s="4">
        <v>6.2427506489399598E-2</v>
      </c>
      <c r="C138" s="4">
        <v>1.5027315153198099E-2</v>
      </c>
      <c r="D138" s="4">
        <v>6.4535654166518095E-4</v>
      </c>
      <c r="E138" s="4">
        <v>6.7858630047821604E-3</v>
      </c>
      <c r="F138" s="4">
        <v>2.8036691914416498E-3</v>
      </c>
      <c r="G138" s="4">
        <v>1.21410927368969E-2</v>
      </c>
      <c r="H138" s="4">
        <v>3.7403296627984001E-2</v>
      </c>
      <c r="I138" s="4">
        <v>0.63310517739626204</v>
      </c>
      <c r="J138" s="4">
        <v>6.6335008922880703E-2</v>
      </c>
      <c r="K138" s="4">
        <v>2.82931734905E-2</v>
      </c>
      <c r="L138" s="4">
        <v>6.1435149462620697E-3</v>
      </c>
      <c r="M138" s="4">
        <v>0.73387687475590502</v>
      </c>
      <c r="N138" s="4">
        <f t="shared" si="22"/>
        <v>0.36595392836147855</v>
      </c>
      <c r="P138" s="1">
        <v>40575</v>
      </c>
      <c r="Q138">
        <v>6.0799537302899997E-2</v>
      </c>
      <c r="R138">
        <v>4.6075977288705203E-2</v>
      </c>
      <c r="S138">
        <v>4.6075977288705203E-2</v>
      </c>
      <c r="T138">
        <v>-2.55967658694152E-2</v>
      </c>
      <c r="U138">
        <v>0.614306376228274</v>
      </c>
      <c r="V138">
        <v>0.39464018485483698</v>
      </c>
      <c r="Y138" s="1">
        <v>40664</v>
      </c>
      <c r="Z138" s="4">
        <f t="shared" si="23"/>
        <v>6.4302527777889695E-2</v>
      </c>
      <c r="AA138" s="4">
        <f t="shared" si="24"/>
        <v>6.4281880904395503E-2</v>
      </c>
      <c r="AC138" s="1">
        <v>40664</v>
      </c>
      <c r="AD138" s="4">
        <f t="shared" si="25"/>
        <v>3.8364884983263799E-2</v>
      </c>
      <c r="AE138" s="4">
        <f t="shared" si="26"/>
        <v>4.9461197428765501E-2</v>
      </c>
      <c r="AG138" s="1">
        <v>40664</v>
      </c>
      <c r="AH138" s="4">
        <f t="shared" si="27"/>
        <v>2.8906929499556401E-2</v>
      </c>
      <c r="AI138" s="4">
        <f t="shared" si="28"/>
        <v>2.88354850047947E-2</v>
      </c>
      <c r="AK138" s="1">
        <v>40664</v>
      </c>
      <c r="AL138" s="4">
        <f t="shared" si="29"/>
        <v>3.8364884983263799E-2</v>
      </c>
      <c r="AM138" s="4">
        <f t="shared" si="30"/>
        <v>5.8871570049833712E-2</v>
      </c>
      <c r="AO138" s="1">
        <v>40664</v>
      </c>
      <c r="AP138" s="4">
        <f t="shared" si="31"/>
        <v>0.43044881167301102</v>
      </c>
      <c r="AQ138" s="4">
        <f t="shared" si="32"/>
        <v>0.35952300771511214</v>
      </c>
    </row>
    <row r="139" spans="1:43" x14ac:dyDescent="0.25">
      <c r="A139" s="1">
        <v>40969</v>
      </c>
      <c r="B139" s="4">
        <v>6.0901159716146597E-2</v>
      </c>
      <c r="C139" s="4">
        <v>1.39172080654658E-2</v>
      </c>
      <c r="D139" s="4">
        <v>5.7305569996543299E-4</v>
      </c>
      <c r="E139" s="4">
        <v>7.2398262538319203E-3</v>
      </c>
      <c r="F139" s="4">
        <v>2.2428794558155001E-3</v>
      </c>
      <c r="G139" s="4">
        <v>1.25285089788141E-2</v>
      </c>
      <c r="H139" s="4">
        <v>3.6501478453892802E-2</v>
      </c>
      <c r="I139" s="4">
        <v>0.63919027441262599</v>
      </c>
      <c r="J139" s="4">
        <v>6.7360417603658004E-2</v>
      </c>
      <c r="K139" s="4">
        <v>3.3287033829573098E-2</v>
      </c>
      <c r="L139" s="4">
        <v>6.9950764984552201E-3</v>
      </c>
      <c r="M139" s="4">
        <v>0.74683280234431204</v>
      </c>
      <c r="N139" s="4">
        <f t="shared" si="22"/>
        <v>0.35056983582572743</v>
      </c>
      <c r="P139" s="1">
        <v>40603</v>
      </c>
      <c r="Q139">
        <v>6.5614900143929206E-2</v>
      </c>
      <c r="R139">
        <v>4.1315499437714502E-2</v>
      </c>
      <c r="S139">
        <v>4.1315499437714502E-2</v>
      </c>
      <c r="T139">
        <v>-2.7680390973536601E-2</v>
      </c>
      <c r="U139">
        <v>0.59867745407679995</v>
      </c>
      <c r="V139">
        <v>0.424423798428471</v>
      </c>
      <c r="Y139" s="1">
        <v>40695</v>
      </c>
      <c r="Z139" s="4">
        <f t="shared" si="23"/>
        <v>6.6054241529827806E-2</v>
      </c>
      <c r="AA139" s="4">
        <f t="shared" si="24"/>
        <v>6.2078479190444902E-2</v>
      </c>
      <c r="AC139" s="1">
        <v>40695</v>
      </c>
      <c r="AD139" s="4">
        <f t="shared" si="25"/>
        <v>4.3166508617233403E-2</v>
      </c>
      <c r="AE139" s="4">
        <f t="shared" si="26"/>
        <v>4.7824546352057802E-2</v>
      </c>
      <c r="AG139" s="1">
        <v>40695</v>
      </c>
      <c r="AH139" s="4">
        <f t="shared" si="27"/>
        <v>2.9333854745632101E-2</v>
      </c>
      <c r="AI139" s="4">
        <f t="shared" si="28"/>
        <v>2.99561099696832E-2</v>
      </c>
      <c r="AK139" s="1">
        <v>40695</v>
      </c>
      <c r="AL139" s="4">
        <f t="shared" si="29"/>
        <v>4.3166508617233403E-2</v>
      </c>
      <c r="AM139" s="4">
        <f t="shared" si="30"/>
        <v>6.2334235563233698E-2</v>
      </c>
      <c r="AO139" s="1">
        <v>40695</v>
      </c>
      <c r="AP139" s="4">
        <f t="shared" si="31"/>
        <v>0.42442421088070997</v>
      </c>
      <c r="AQ139" s="4">
        <f t="shared" si="32"/>
        <v>0.3481133374130122</v>
      </c>
    </row>
    <row r="140" spans="1:43" x14ac:dyDescent="0.25">
      <c r="A140" s="1">
        <v>41000</v>
      </c>
      <c r="B140" s="4">
        <v>6.1775368019021497E-2</v>
      </c>
      <c r="C140" s="4">
        <v>1.4003564521925201E-2</v>
      </c>
      <c r="D140" s="4">
        <v>5.4504710819427797E-4</v>
      </c>
      <c r="E140" s="4">
        <v>7.10106548539344E-3</v>
      </c>
      <c r="F140" s="4">
        <v>2.4054868077573702E-3</v>
      </c>
      <c r="G140" s="4">
        <v>1.22098628607089E-2</v>
      </c>
      <c r="H140" s="4">
        <v>3.6265026783979297E-2</v>
      </c>
      <c r="I140" s="4">
        <v>0.64786084935493904</v>
      </c>
      <c r="J140" s="4">
        <v>6.5306078232101203E-2</v>
      </c>
      <c r="K140" s="4">
        <v>2.6930984923812601E-2</v>
      </c>
      <c r="L140" s="4">
        <v>7.0769594597643801E-3</v>
      </c>
      <c r="M140" s="4">
        <v>0.74717487197061805</v>
      </c>
      <c r="N140" s="4">
        <f t="shared" si="22"/>
        <v>0.35086552283238281</v>
      </c>
      <c r="P140" s="1">
        <v>40634</v>
      </c>
      <c r="Q140">
        <v>6.6619379563566894E-2</v>
      </c>
      <c r="R140">
        <v>4.1161451312565399E-2</v>
      </c>
      <c r="S140">
        <v>4.1161451312565399E-2</v>
      </c>
      <c r="T140">
        <v>-2.90377877593972E-2</v>
      </c>
      <c r="U140">
        <v>0.608435670498363</v>
      </c>
      <c r="V140">
        <v>0.41549199964642303</v>
      </c>
      <c r="Y140" s="1">
        <v>40725</v>
      </c>
      <c r="Z140" s="4">
        <f t="shared" si="23"/>
        <v>6.6274932302757397E-2</v>
      </c>
      <c r="AA140" s="4">
        <f t="shared" si="24"/>
        <v>6.1432919064001397E-2</v>
      </c>
      <c r="AC140" s="1">
        <v>40725</v>
      </c>
      <c r="AD140" s="4">
        <f t="shared" si="25"/>
        <v>3.8554844277549703E-2</v>
      </c>
      <c r="AE140" s="4">
        <f t="shared" si="26"/>
        <v>4.7073241792945801E-2</v>
      </c>
      <c r="AG140" s="1">
        <v>40725</v>
      </c>
      <c r="AH140" s="4">
        <f t="shared" si="27"/>
        <v>2.9382115782006599E-2</v>
      </c>
      <c r="AI140" s="4">
        <f t="shared" si="28"/>
        <v>3.2272275681547301E-2</v>
      </c>
      <c r="AK140" s="1">
        <v>40725</v>
      </c>
      <c r="AL140" s="4">
        <f t="shared" si="29"/>
        <v>3.8554844277549703E-2</v>
      </c>
      <c r="AM140" s="4">
        <f t="shared" si="30"/>
        <v>5.5966404712393308E-2</v>
      </c>
      <c r="AO140" s="1">
        <v>40725</v>
      </c>
      <c r="AP140" s="4">
        <f t="shared" si="31"/>
        <v>0.43380372693667701</v>
      </c>
      <c r="AQ140" s="4">
        <f t="shared" si="32"/>
        <v>0.36765905376160768</v>
      </c>
    </row>
    <row r="141" spans="1:43" x14ac:dyDescent="0.25">
      <c r="A141" s="1">
        <v>41030</v>
      </c>
      <c r="B141" s="4">
        <v>6.2077159943882597E-2</v>
      </c>
      <c r="C141" s="4">
        <v>1.37577821548019E-2</v>
      </c>
      <c r="D141" s="4">
        <v>5.9785588292258205E-4</v>
      </c>
      <c r="E141" s="4">
        <v>7.3680225875130297E-3</v>
      </c>
      <c r="F141" s="4">
        <v>2.4376345574934201E-3</v>
      </c>
      <c r="G141" s="4">
        <v>1.19892017737057E-2</v>
      </c>
      <c r="H141" s="4">
        <v>3.6150496956436698E-2</v>
      </c>
      <c r="I141" s="4">
        <v>0.64548679680508503</v>
      </c>
      <c r="J141" s="4">
        <v>5.9447984201087503E-2</v>
      </c>
      <c r="K141" s="4">
        <v>2.3074318593090001E-2</v>
      </c>
      <c r="L141" s="4">
        <v>6.2266145715340702E-3</v>
      </c>
      <c r="M141" s="4">
        <v>0.73423571417079603</v>
      </c>
      <c r="N141" s="4">
        <f t="shared" si="22"/>
        <v>0.36399194272952329</v>
      </c>
      <c r="P141" s="1">
        <v>40664</v>
      </c>
      <c r="Q141">
        <v>6.4302527777889695E-2</v>
      </c>
      <c r="R141">
        <v>3.8364884983263799E-2</v>
      </c>
      <c r="S141">
        <v>3.8364884983263799E-2</v>
      </c>
      <c r="T141">
        <v>-2.8906929499556401E-2</v>
      </c>
      <c r="U141">
        <v>0.59621501766783802</v>
      </c>
      <c r="V141">
        <v>0.43044881167301102</v>
      </c>
      <c r="Y141" s="1">
        <v>40756</v>
      </c>
      <c r="Z141" s="4">
        <f t="shared" si="23"/>
        <v>6.5387647906506793E-2</v>
      </c>
      <c r="AA141" s="4">
        <f t="shared" si="24"/>
        <v>6.2028124332672199E-2</v>
      </c>
      <c r="AC141" s="1">
        <v>40756</v>
      </c>
      <c r="AD141" s="4">
        <f t="shared" si="25"/>
        <v>3.8734725628807899E-2</v>
      </c>
      <c r="AE141" s="4">
        <f t="shared" si="26"/>
        <v>4.8735261933981498E-2</v>
      </c>
      <c r="AG141" s="1">
        <v>40756</v>
      </c>
      <c r="AH141" s="4">
        <f t="shared" si="27"/>
        <v>2.9637272030462299E-2</v>
      </c>
      <c r="AI141" s="4">
        <f t="shared" si="28"/>
        <v>3.4489635113669197E-2</v>
      </c>
      <c r="AK141" s="1">
        <v>40756</v>
      </c>
      <c r="AL141" s="4">
        <f t="shared" si="29"/>
        <v>3.8734725628807899E-2</v>
      </c>
      <c r="AM141" s="4">
        <f t="shared" si="30"/>
        <v>6.1151138768041409E-2</v>
      </c>
      <c r="AO141" s="1">
        <v>40756</v>
      </c>
      <c r="AP141" s="4">
        <f t="shared" si="31"/>
        <v>0.43297815276351398</v>
      </c>
      <c r="AQ141" s="4">
        <f t="shared" si="32"/>
        <v>0.36509204953972629</v>
      </c>
    </row>
    <row r="142" spans="1:43" x14ac:dyDescent="0.25">
      <c r="A142" s="1">
        <v>41061</v>
      </c>
      <c r="B142" s="4">
        <v>6.15251887904592E-2</v>
      </c>
      <c r="C142" s="4">
        <v>1.31107839673427E-2</v>
      </c>
      <c r="D142" s="4">
        <v>6.2556420728791405E-4</v>
      </c>
      <c r="E142" s="4">
        <v>7.8682323889723692E-3</v>
      </c>
      <c r="F142" s="4">
        <v>2.58699166573345E-3</v>
      </c>
      <c r="G142" s="4">
        <v>1.1987011743053499E-2</v>
      </c>
      <c r="H142" s="4">
        <v>3.6178583972390002E-2</v>
      </c>
      <c r="I142" s="4">
        <v>0.654202359170169</v>
      </c>
      <c r="J142" s="4">
        <v>6.0362826185447499E-2</v>
      </c>
      <c r="K142" s="4">
        <v>2.6008974722110001E-2</v>
      </c>
      <c r="L142" s="4">
        <v>6.5911059151071497E-3</v>
      </c>
      <c r="M142" s="4">
        <v>0.74716526599283395</v>
      </c>
      <c r="N142" s="4">
        <f t="shared" si="22"/>
        <v>0.35053850677001519</v>
      </c>
      <c r="P142" s="1">
        <v>40695</v>
      </c>
      <c r="Q142">
        <v>6.6054241529827806E-2</v>
      </c>
      <c r="R142">
        <v>4.3166508617233403E-2</v>
      </c>
      <c r="S142">
        <v>4.3166508617233403E-2</v>
      </c>
      <c r="T142">
        <v>-2.9333854745632101E-2</v>
      </c>
      <c r="U142">
        <v>0.59476437505943303</v>
      </c>
      <c r="V142">
        <v>0.42442421088070997</v>
      </c>
      <c r="Y142" s="1">
        <v>40787</v>
      </c>
      <c r="Z142" s="4">
        <f t="shared" si="23"/>
        <v>6.50007779582292E-2</v>
      </c>
      <c r="AA142" s="4">
        <f t="shared" si="24"/>
        <v>6.1242811646326598E-2</v>
      </c>
      <c r="AC142" s="1">
        <v>40787</v>
      </c>
      <c r="AD142" s="4">
        <f t="shared" si="25"/>
        <v>4.3870622835031098E-2</v>
      </c>
      <c r="AE142" s="4">
        <f t="shared" si="26"/>
        <v>5.2070328413241697E-2</v>
      </c>
      <c r="AG142" s="1">
        <v>40787</v>
      </c>
      <c r="AH142" s="4">
        <f t="shared" si="27"/>
        <v>2.8665927825960301E-2</v>
      </c>
      <c r="AI142" s="4">
        <f t="shared" si="28"/>
        <v>3.3744227449409199E-2</v>
      </c>
      <c r="AK142" s="1">
        <v>40787</v>
      </c>
      <c r="AL142" s="4">
        <f t="shared" si="29"/>
        <v>4.3870622835031098E-2</v>
      </c>
      <c r="AM142" s="4">
        <f t="shared" si="30"/>
        <v>5.7383642095857459E-2</v>
      </c>
      <c r="AO142" s="1">
        <v>40787</v>
      </c>
      <c r="AP142" s="4">
        <f t="shared" si="31"/>
        <v>0.42540655445851899</v>
      </c>
      <c r="AQ142" s="4">
        <f t="shared" si="32"/>
        <v>0.35952287604621769</v>
      </c>
    </row>
    <row r="143" spans="1:43" x14ac:dyDescent="0.25">
      <c r="A143" s="1">
        <v>41091</v>
      </c>
      <c r="B143" s="4">
        <v>6.03972710690888E-2</v>
      </c>
      <c r="C143" s="4">
        <v>1.4158596992121001E-2</v>
      </c>
      <c r="D143" s="4">
        <v>7.0434209860933397E-4</v>
      </c>
      <c r="E143" s="4">
        <v>7.7661350899594899E-3</v>
      </c>
      <c r="F143" s="4">
        <v>3.4052462385882102E-3</v>
      </c>
      <c r="G143" s="4">
        <v>1.0405824805258699E-2</v>
      </c>
      <c r="H143" s="4">
        <v>3.6440145224536799E-2</v>
      </c>
      <c r="I143" s="4">
        <v>0.65886064099193897</v>
      </c>
      <c r="J143" s="4">
        <v>5.9638159276675297E-2</v>
      </c>
      <c r="K143" s="4">
        <v>2.0228869860720901E-2</v>
      </c>
      <c r="L143" s="4">
        <v>6.0211170603855901E-3</v>
      </c>
      <c r="M143" s="4">
        <v>0.74474878718972104</v>
      </c>
      <c r="N143" s="4">
        <f t="shared" si="22"/>
        <v>0.35208862910390459</v>
      </c>
      <c r="P143" s="1">
        <v>40725</v>
      </c>
      <c r="Q143">
        <v>6.6274932302757397E-2</v>
      </c>
      <c r="R143">
        <v>3.8554844277549703E-2</v>
      </c>
      <c r="S143">
        <v>3.8554844277549703E-2</v>
      </c>
      <c r="T143">
        <v>-2.9382115782006599E-2</v>
      </c>
      <c r="U143">
        <v>0.59593008203928199</v>
      </c>
      <c r="V143">
        <v>0.43380372693667701</v>
      </c>
      <c r="Y143" s="1">
        <v>40817</v>
      </c>
      <c r="Z143" s="4">
        <f t="shared" si="23"/>
        <v>6.9039092511404998E-2</v>
      </c>
      <c r="AA143" s="4">
        <f t="shared" si="24"/>
        <v>6.4170523523436093E-2</v>
      </c>
      <c r="AC143" s="1">
        <v>40817</v>
      </c>
      <c r="AD143" s="4">
        <f t="shared" si="25"/>
        <v>4.34590731492841E-2</v>
      </c>
      <c r="AE143" s="4">
        <f t="shared" si="26"/>
        <v>5.6274080772813401E-2</v>
      </c>
      <c r="AG143" s="1">
        <v>40817</v>
      </c>
      <c r="AH143" s="4">
        <f t="shared" si="27"/>
        <v>3.0965204225572099E-2</v>
      </c>
      <c r="AI143" s="4">
        <f t="shared" si="28"/>
        <v>3.2657127281333E-2</v>
      </c>
      <c r="AK143" s="1">
        <v>40817</v>
      </c>
      <c r="AL143" s="4">
        <f t="shared" si="29"/>
        <v>4.34590731492841E-2</v>
      </c>
      <c r="AM143" s="4">
        <f t="shared" si="30"/>
        <v>4.7382842439622222E-2</v>
      </c>
      <c r="AO143" s="1">
        <v>40817</v>
      </c>
      <c r="AP143" s="4">
        <f t="shared" si="31"/>
        <v>0.43736744650576098</v>
      </c>
      <c r="AQ143" s="4">
        <f t="shared" si="32"/>
        <v>0.3714165233945822</v>
      </c>
    </row>
    <row r="144" spans="1:43" x14ac:dyDescent="0.25">
      <c r="A144" s="1">
        <v>41122</v>
      </c>
      <c r="B144" s="4">
        <v>6.1017028030291701E-2</v>
      </c>
      <c r="C144" s="4">
        <v>1.27768418786915E-2</v>
      </c>
      <c r="D144" s="4">
        <v>6.1948967106253603E-4</v>
      </c>
      <c r="E144" s="4">
        <v>8.1370872146290206E-3</v>
      </c>
      <c r="F144" s="4">
        <v>3.5797616127695902E-3</v>
      </c>
      <c r="G144" s="4">
        <v>1.06534457239345E-2</v>
      </c>
      <c r="H144" s="4">
        <v>3.5766626101087301E-2</v>
      </c>
      <c r="I144" s="4">
        <v>0.66398176533028297</v>
      </c>
      <c r="J144" s="4">
        <v>6.7848133165366697E-2</v>
      </c>
      <c r="K144" s="4">
        <v>2.1188811326421399E-2</v>
      </c>
      <c r="L144" s="4">
        <v>5.7668861789839897E-3</v>
      </c>
      <c r="M144" s="4">
        <v>0.758785596001055</v>
      </c>
      <c r="N144" s="4">
        <f t="shared" si="22"/>
        <v>0.33799805813032391</v>
      </c>
      <c r="P144" s="1">
        <v>40756</v>
      </c>
      <c r="Q144">
        <v>6.5387647906506793E-2</v>
      </c>
      <c r="R144">
        <v>3.8734725628807899E-2</v>
      </c>
      <c r="S144">
        <v>3.8734725628807899E-2</v>
      </c>
      <c r="T144">
        <v>-2.9637272030462299E-2</v>
      </c>
      <c r="U144">
        <v>0.591335418281693</v>
      </c>
      <c r="V144">
        <v>0.43297815276351398</v>
      </c>
      <c r="Y144" s="1">
        <v>40848</v>
      </c>
      <c r="Z144" s="4">
        <f t="shared" si="23"/>
        <v>6.9765244048934305E-2</v>
      </c>
      <c r="AA144" s="4">
        <f t="shared" si="24"/>
        <v>6.1535119067748799E-2</v>
      </c>
      <c r="AC144" s="1">
        <v>40848</v>
      </c>
      <c r="AD144" s="4">
        <f t="shared" si="25"/>
        <v>4.4875630525846699E-2</v>
      </c>
      <c r="AE144" s="4">
        <f t="shared" si="26"/>
        <v>4.92164963629729E-2</v>
      </c>
      <c r="AG144" s="1">
        <v>40848</v>
      </c>
      <c r="AH144" s="4">
        <f t="shared" si="27"/>
        <v>3.3171602457702697E-2</v>
      </c>
      <c r="AI144" s="4">
        <f t="shared" si="28"/>
        <v>3.3693341571436698E-2</v>
      </c>
      <c r="AK144" s="1">
        <v>40848</v>
      </c>
      <c r="AL144" s="4">
        <f t="shared" si="29"/>
        <v>4.4875630525846699E-2</v>
      </c>
      <c r="AM144" s="4">
        <f t="shared" si="30"/>
        <v>4.957697306312029E-2</v>
      </c>
      <c r="AO144" s="1">
        <v>40848</v>
      </c>
      <c r="AP144" s="4">
        <f t="shared" si="31"/>
        <v>0.44069568950673699</v>
      </c>
      <c r="AQ144" s="4">
        <f t="shared" si="32"/>
        <v>0.37003545109841851</v>
      </c>
    </row>
    <row r="145" spans="1:43" x14ac:dyDescent="0.25">
      <c r="A145" s="1">
        <v>41153</v>
      </c>
      <c r="B145" s="4">
        <v>6.3380032425792904E-2</v>
      </c>
      <c r="C145" s="4">
        <v>1.3865785653323101E-2</v>
      </c>
      <c r="D145" s="4">
        <v>7.0163553088749698E-4</v>
      </c>
      <c r="E145" s="4">
        <v>8.4120495998051392E-3</v>
      </c>
      <c r="F145" s="4">
        <v>3.7646348762937001E-3</v>
      </c>
      <c r="G145" s="4">
        <v>1.1344803221863301E-2</v>
      </c>
      <c r="H145" s="4">
        <v>3.8088908882172798E-2</v>
      </c>
      <c r="I145" s="4">
        <v>0.67425455363242404</v>
      </c>
      <c r="J145" s="4">
        <v>6.0455897800027698E-2</v>
      </c>
      <c r="K145" s="4">
        <v>1.7349969380620601E-2</v>
      </c>
      <c r="L145" s="4">
        <v>5.6651014094314398E-3</v>
      </c>
      <c r="M145" s="4">
        <v>0.757725522222504</v>
      </c>
      <c r="N145" s="4">
        <f t="shared" si="22"/>
        <v>0.34374341908546169</v>
      </c>
      <c r="P145" s="1">
        <v>40787</v>
      </c>
      <c r="Q145">
        <v>6.50007779582292E-2</v>
      </c>
      <c r="R145">
        <v>4.3870622835031098E-2</v>
      </c>
      <c r="S145">
        <v>4.3870622835031098E-2</v>
      </c>
      <c r="T145">
        <v>-2.8665927825960301E-2</v>
      </c>
      <c r="U145">
        <v>0.59342778293935095</v>
      </c>
      <c r="V145">
        <v>0.42540655445851899</v>
      </c>
      <c r="Y145" s="1">
        <v>40878</v>
      </c>
      <c r="Z145" s="4">
        <f t="shared" si="23"/>
        <v>6.9091486823178894E-2</v>
      </c>
      <c r="AA145" s="4">
        <f t="shared" si="24"/>
        <v>6.1673603551295503E-2</v>
      </c>
      <c r="AC145" s="1">
        <v>40878</v>
      </c>
      <c r="AD145" s="4">
        <f t="shared" si="25"/>
        <v>4.6228097832228802E-2</v>
      </c>
      <c r="AE145" s="4">
        <f t="shared" si="26"/>
        <v>5.6474166778123197E-2</v>
      </c>
      <c r="AG145" s="1">
        <v>40878</v>
      </c>
      <c r="AH145" s="4">
        <f t="shared" si="27"/>
        <v>3.3890745742614102E-2</v>
      </c>
      <c r="AI145" s="4">
        <f t="shared" si="28"/>
        <v>3.5858077378741797E-2</v>
      </c>
      <c r="AK145" s="1">
        <v>40878</v>
      </c>
      <c r="AL145" s="4">
        <f t="shared" si="29"/>
        <v>4.6228097832228802E-2</v>
      </c>
      <c r="AM145" s="4">
        <f t="shared" si="30"/>
        <v>4.358922027808617E-2</v>
      </c>
      <c r="AO145" s="1">
        <v>40878</v>
      </c>
      <c r="AP145" s="4">
        <f t="shared" si="31"/>
        <v>0.43373881978086698</v>
      </c>
      <c r="AQ145" s="4">
        <f t="shared" si="32"/>
        <v>0.37257927580881933</v>
      </c>
    </row>
    <row r="146" spans="1:43" x14ac:dyDescent="0.25">
      <c r="A146" s="1">
        <v>41183</v>
      </c>
      <c r="B146" s="4">
        <v>6.4854812140637805E-2</v>
      </c>
      <c r="C146" s="4">
        <v>1.41622513002592E-2</v>
      </c>
      <c r="D146" s="4">
        <v>7.3094225398479299E-4</v>
      </c>
      <c r="E146" s="4">
        <v>8.2895010074157793E-3</v>
      </c>
      <c r="F146" s="4">
        <v>3.61897147801257E-3</v>
      </c>
      <c r="G146" s="4">
        <v>1.19498578264011E-2</v>
      </c>
      <c r="H146" s="4">
        <v>3.8751523866073598E-2</v>
      </c>
      <c r="I146" s="4">
        <v>0.67992321380270704</v>
      </c>
      <c r="J146" s="4">
        <v>6.10579778241176E-2</v>
      </c>
      <c r="K146" s="4">
        <v>1.5732203591937E-2</v>
      </c>
      <c r="L146" s="4">
        <v>7.0586937432964899E-3</v>
      </c>
      <c r="M146" s="4">
        <v>0.76377208896205795</v>
      </c>
      <c r="N146" s="4">
        <f t="shared" si="22"/>
        <v>0.33983424704465348</v>
      </c>
      <c r="P146" s="1">
        <v>40817</v>
      </c>
      <c r="Q146">
        <v>6.9039092511404998E-2</v>
      </c>
      <c r="R146">
        <v>4.34590731492841E-2</v>
      </c>
      <c r="S146">
        <v>4.34590731492841E-2</v>
      </c>
      <c r="T146">
        <v>-3.0965204225572099E-2</v>
      </c>
      <c r="U146">
        <v>0.589959662731808</v>
      </c>
      <c r="V146">
        <v>0.43736744650576098</v>
      </c>
      <c r="Y146" s="1">
        <v>40909</v>
      </c>
      <c r="Z146" s="4">
        <f t="shared" si="23"/>
        <v>7.3786390562507506E-2</v>
      </c>
      <c r="AA146" s="4">
        <f t="shared" si="24"/>
        <v>6.1553558000167603E-2</v>
      </c>
      <c r="AC146" s="1">
        <v>40909</v>
      </c>
      <c r="AD146" s="4">
        <f t="shared" si="25"/>
        <v>4.1641488972096297E-2</v>
      </c>
      <c r="AE146" s="4">
        <f t="shared" si="26"/>
        <v>6.1512600728375097E-2</v>
      </c>
      <c r="AG146" s="1">
        <v>40909</v>
      </c>
      <c r="AH146" s="4">
        <f t="shared" si="27"/>
        <v>3.6019499971714303E-2</v>
      </c>
      <c r="AI146" s="4">
        <f t="shared" si="28"/>
        <v>3.7235546162887899E-2</v>
      </c>
      <c r="AK146" s="1">
        <v>40909</v>
      </c>
      <c r="AL146" s="4">
        <f t="shared" si="29"/>
        <v>4.1641488972096297E-2</v>
      </c>
      <c r="AM146" s="4">
        <f t="shared" si="30"/>
        <v>3.9959757545070973E-2</v>
      </c>
      <c r="AO146" s="1">
        <v>40909</v>
      </c>
      <c r="AP146" s="4">
        <f t="shared" si="31"/>
        <v>0.45326720068242199</v>
      </c>
      <c r="AQ146" s="4">
        <f t="shared" si="32"/>
        <v>0.37151514993207357</v>
      </c>
    </row>
    <row r="147" spans="1:43" x14ac:dyDescent="0.25">
      <c r="A147" s="1">
        <v>41214</v>
      </c>
      <c r="B147" s="4">
        <v>6.6830748724964001E-2</v>
      </c>
      <c r="C147" s="4">
        <v>1.5522793639592599E-2</v>
      </c>
      <c r="D147" s="4">
        <v>7.2475331186156703E-4</v>
      </c>
      <c r="E147" s="4">
        <v>8.3579775235489203E-3</v>
      </c>
      <c r="F147" s="4">
        <v>2.79668056079243E-3</v>
      </c>
      <c r="G147" s="4">
        <v>1.2395494038007099E-2</v>
      </c>
      <c r="H147" s="4">
        <v>3.9797699073802602E-2</v>
      </c>
      <c r="I147" s="4">
        <v>0.69580812771729506</v>
      </c>
      <c r="J147" s="4">
        <v>5.2022166629385899E-2</v>
      </c>
      <c r="K147" s="4">
        <v>9.9046693896182106E-3</v>
      </c>
      <c r="L147" s="4">
        <v>8.4969554077378492E-3</v>
      </c>
      <c r="M147" s="4">
        <v>0.76623191914403699</v>
      </c>
      <c r="N147" s="4">
        <f t="shared" si="22"/>
        <v>0.34039652865472969</v>
      </c>
      <c r="P147" s="1">
        <v>40848</v>
      </c>
      <c r="Q147">
        <v>6.9765244048934305E-2</v>
      </c>
      <c r="R147">
        <v>4.4875630525846699E-2</v>
      </c>
      <c r="S147">
        <v>4.4875630525846699E-2</v>
      </c>
      <c r="T147">
        <v>-3.3171602457702697E-2</v>
      </c>
      <c r="U147">
        <v>0.58890186109718501</v>
      </c>
      <c r="V147">
        <v>0.44069568950673699</v>
      </c>
      <c r="Y147" s="1">
        <v>40940</v>
      </c>
      <c r="Z147" s="4">
        <f t="shared" si="23"/>
        <v>7.2456715907244895E-2</v>
      </c>
      <c r="AA147" s="4">
        <f t="shared" si="24"/>
        <v>6.2427506489399598E-2</v>
      </c>
      <c r="AC147" s="1">
        <v>40940</v>
      </c>
      <c r="AD147" s="4">
        <f t="shared" si="25"/>
        <v>4.8177979062693999E-2</v>
      </c>
      <c r="AE147" s="4">
        <f t="shared" si="26"/>
        <v>6.6335008922880703E-2</v>
      </c>
      <c r="AG147" s="1">
        <v>40940</v>
      </c>
      <c r="AH147" s="4">
        <f t="shared" si="27"/>
        <v>3.4903650071791699E-2</v>
      </c>
      <c r="AI147" s="4">
        <f t="shared" si="28"/>
        <v>3.7403296627984001E-2</v>
      </c>
      <c r="AK147" s="1">
        <v>40940</v>
      </c>
      <c r="AL147" s="4">
        <f t="shared" si="29"/>
        <v>4.8177979062693999E-2</v>
      </c>
      <c r="AM147" s="4">
        <f t="shared" si="30"/>
        <v>3.4436688436762071E-2</v>
      </c>
      <c r="AO147" s="1">
        <v>40940</v>
      </c>
      <c r="AP147" s="4">
        <f t="shared" si="31"/>
        <v>0.43473352094697698</v>
      </c>
      <c r="AQ147" s="4">
        <f t="shared" si="32"/>
        <v>0.36595392836147855</v>
      </c>
    </row>
    <row r="148" spans="1:43" x14ac:dyDescent="0.25">
      <c r="A148" s="1">
        <v>41244</v>
      </c>
      <c r="B148" s="4">
        <v>6.3134221961840098E-2</v>
      </c>
      <c r="C148" s="4">
        <v>1.47458536831319E-2</v>
      </c>
      <c r="D148" s="4">
        <v>7.8667400176341299E-4</v>
      </c>
      <c r="E148" s="4">
        <v>8.8984062668313307E-3</v>
      </c>
      <c r="F148" s="4">
        <v>2.5272361345863499E-3</v>
      </c>
      <c r="G148" s="4">
        <v>1.3841718281171299E-2</v>
      </c>
      <c r="H148" s="4">
        <v>4.0799888367484299E-2</v>
      </c>
      <c r="I148" s="4">
        <v>0.69563663579072699</v>
      </c>
      <c r="J148" s="4">
        <v>6.3091262992029107E-2</v>
      </c>
      <c r="K148" s="4">
        <v>8.2906135765425798E-3</v>
      </c>
      <c r="L148" s="4">
        <v>6.9946088606303797E-3</v>
      </c>
      <c r="M148" s="4">
        <v>0.77401312121992905</v>
      </c>
      <c r="N148" s="4">
        <f t="shared" si="22"/>
        <v>0.32992098910939527</v>
      </c>
      <c r="P148" s="1">
        <v>40878</v>
      </c>
      <c r="Q148">
        <v>6.9091486823178894E-2</v>
      </c>
      <c r="R148">
        <v>4.6228097832228802E-2</v>
      </c>
      <c r="S148">
        <v>4.6228097832228802E-2</v>
      </c>
      <c r="T148">
        <v>-3.3890745742614102E-2</v>
      </c>
      <c r="U148">
        <v>0.59629987120307704</v>
      </c>
      <c r="V148">
        <v>0.43373881978086698</v>
      </c>
      <c r="Y148" s="1">
        <v>40969</v>
      </c>
      <c r="Z148" s="4">
        <f t="shared" si="23"/>
        <v>7.4069545390393399E-2</v>
      </c>
      <c r="AA148" s="4">
        <f t="shared" si="24"/>
        <v>6.0901159716146597E-2</v>
      </c>
      <c r="AC148" s="1">
        <v>40969</v>
      </c>
      <c r="AD148" s="4">
        <f t="shared" si="25"/>
        <v>4.2851804712961503E-2</v>
      </c>
      <c r="AE148" s="4">
        <f t="shared" si="26"/>
        <v>6.7360417603658004E-2</v>
      </c>
      <c r="AG148" s="1">
        <v>40969</v>
      </c>
      <c r="AH148" s="4">
        <f t="shared" si="27"/>
        <v>3.6409353227804198E-2</v>
      </c>
      <c r="AI148" s="4">
        <f t="shared" si="28"/>
        <v>3.6501478453892802E-2</v>
      </c>
      <c r="AK148" s="1">
        <v>40969</v>
      </c>
      <c r="AL148" s="4">
        <f t="shared" si="29"/>
        <v>4.2851804712961503E-2</v>
      </c>
      <c r="AM148" s="4">
        <f t="shared" si="30"/>
        <v>4.0282110328028316E-2</v>
      </c>
      <c r="AO148" s="1">
        <v>40969</v>
      </c>
      <c r="AP148" s="4">
        <f t="shared" si="31"/>
        <v>0.43596452014897802</v>
      </c>
      <c r="AQ148" s="4">
        <f t="shared" si="32"/>
        <v>0.35056983582572743</v>
      </c>
    </row>
    <row r="149" spans="1:43" x14ac:dyDescent="0.25">
      <c r="A149" s="1">
        <v>41275</v>
      </c>
      <c r="B149" s="4">
        <v>6.5022418972615195E-2</v>
      </c>
      <c r="C149" s="4">
        <v>1.515403474715E-2</v>
      </c>
      <c r="D149" s="4">
        <v>6.9949729203471302E-4</v>
      </c>
      <c r="E149" s="4">
        <v>9.3885795773186297E-3</v>
      </c>
      <c r="F149" s="4">
        <v>2.42441179839427E-3</v>
      </c>
      <c r="G149" s="4">
        <v>1.4134149417599899E-2</v>
      </c>
      <c r="H149" s="4">
        <v>4.1800672832497499E-2</v>
      </c>
      <c r="I149" s="4">
        <v>0.70986564990989798</v>
      </c>
      <c r="J149" s="4">
        <v>5.8750940046272397E-2</v>
      </c>
      <c r="K149" s="4">
        <v>1.0639038719853101E-2</v>
      </c>
      <c r="L149" s="4">
        <v>1.00814559489552E-2</v>
      </c>
      <c r="M149" s="4">
        <v>0.78933708462497898</v>
      </c>
      <c r="N149" s="4">
        <f t="shared" si="22"/>
        <v>0.31748600718013376</v>
      </c>
      <c r="P149" s="1">
        <v>40909</v>
      </c>
      <c r="Q149">
        <v>7.3786390562507506E-2</v>
      </c>
      <c r="R149">
        <v>4.1641488972096297E-2</v>
      </c>
      <c r="S149">
        <v>4.1641488972096297E-2</v>
      </c>
      <c r="T149">
        <v>-3.6019499971714303E-2</v>
      </c>
      <c r="U149">
        <v>0.58540191724466895</v>
      </c>
      <c r="V149">
        <v>0.45326720068242199</v>
      </c>
      <c r="Y149" s="1">
        <v>41000</v>
      </c>
      <c r="Z149" s="4">
        <f t="shared" si="23"/>
        <v>7.4130539117739994E-2</v>
      </c>
      <c r="AA149" s="4">
        <f t="shared" si="24"/>
        <v>6.1775368019021497E-2</v>
      </c>
      <c r="AC149" s="1">
        <v>41000</v>
      </c>
      <c r="AD149" s="4">
        <f t="shared" si="25"/>
        <v>4.9059848500521197E-2</v>
      </c>
      <c r="AE149" s="4">
        <f t="shared" si="26"/>
        <v>6.5306078232101203E-2</v>
      </c>
      <c r="AG149" s="1">
        <v>41000</v>
      </c>
      <c r="AH149" s="4">
        <f t="shared" si="27"/>
        <v>3.64906925828168E-2</v>
      </c>
      <c r="AI149" s="4">
        <f t="shared" si="28"/>
        <v>3.6265026783979297E-2</v>
      </c>
      <c r="AK149" s="1">
        <v>41000</v>
      </c>
      <c r="AL149" s="4">
        <f t="shared" si="29"/>
        <v>4.9059848500521197E-2</v>
      </c>
      <c r="AM149" s="4">
        <f t="shared" si="30"/>
        <v>3.4007944383576981E-2</v>
      </c>
      <c r="AO149" s="1">
        <v>41000</v>
      </c>
      <c r="AP149" s="4">
        <f t="shared" si="31"/>
        <v>0.41370080325904302</v>
      </c>
      <c r="AQ149" s="4">
        <f t="shared" si="32"/>
        <v>0.35086552283238281</v>
      </c>
    </row>
    <row r="150" spans="1:43" x14ac:dyDescent="0.25">
      <c r="A150" s="1">
        <v>41306</v>
      </c>
      <c r="B150" s="4">
        <v>7.0948490585060295E-2</v>
      </c>
      <c r="C150" s="4">
        <v>1.6196673654545E-2</v>
      </c>
      <c r="D150" s="4">
        <v>9.21659045201178E-4</v>
      </c>
      <c r="E150" s="4">
        <v>9.1877748673092098E-3</v>
      </c>
      <c r="F150" s="4">
        <v>3.3349817728357402E-3</v>
      </c>
      <c r="G150" s="4">
        <v>1.3825531557988E-2</v>
      </c>
      <c r="H150" s="4">
        <v>4.3466620897879199E-2</v>
      </c>
      <c r="I150" s="4">
        <v>0.71080454480743405</v>
      </c>
      <c r="J150" s="4">
        <v>5.9608262466273397E-2</v>
      </c>
      <c r="K150" s="4">
        <v>1.1145261969584E-2</v>
      </c>
      <c r="L150" s="4">
        <v>6.7559083810070199E-3</v>
      </c>
      <c r="M150" s="4">
        <v>0.788313977624299</v>
      </c>
      <c r="N150" s="4">
        <f t="shared" si="22"/>
        <v>0.32610113385864048</v>
      </c>
      <c r="P150" s="1">
        <v>40940</v>
      </c>
      <c r="Q150">
        <v>7.2456715907244895E-2</v>
      </c>
      <c r="R150">
        <v>4.8177979062693999E-2</v>
      </c>
      <c r="S150">
        <v>4.8177979062693999E-2</v>
      </c>
      <c r="T150">
        <v>-3.4903650071791699E-2</v>
      </c>
      <c r="U150">
        <v>0.59801876665504805</v>
      </c>
      <c r="V150">
        <v>0.43473352094697698</v>
      </c>
      <c r="Y150" s="1">
        <v>41030</v>
      </c>
      <c r="Z150" s="4">
        <f t="shared" si="23"/>
        <v>7.5042657178631594E-2</v>
      </c>
      <c r="AA150" s="4">
        <f t="shared" si="24"/>
        <v>6.2077159943882597E-2</v>
      </c>
      <c r="AC150" s="1">
        <v>41030</v>
      </c>
      <c r="AD150" s="4">
        <f t="shared" si="25"/>
        <v>4.6341835072754398E-2</v>
      </c>
      <c r="AE150" s="4">
        <f t="shared" si="26"/>
        <v>5.9447984201087503E-2</v>
      </c>
      <c r="AG150" s="1">
        <v>41030</v>
      </c>
      <c r="AH150" s="4">
        <f t="shared" si="27"/>
        <v>3.7329808534254702E-2</v>
      </c>
      <c r="AI150" s="4">
        <f t="shared" si="28"/>
        <v>3.6150496956436698E-2</v>
      </c>
      <c r="AK150" s="1">
        <v>41030</v>
      </c>
      <c r="AL150" s="4">
        <f t="shared" si="29"/>
        <v>4.6341835072754398E-2</v>
      </c>
      <c r="AM150" s="4">
        <f t="shared" si="30"/>
        <v>2.9300933164624073E-2</v>
      </c>
      <c r="AO150" s="1">
        <v>41030</v>
      </c>
      <c r="AP150" s="4">
        <f t="shared" si="31"/>
        <v>0.41334475849652902</v>
      </c>
      <c r="AQ150" s="4">
        <f t="shared" si="32"/>
        <v>0.36399194272952329</v>
      </c>
    </row>
    <row r="151" spans="1:43" x14ac:dyDescent="0.25">
      <c r="A151" s="1">
        <v>41334</v>
      </c>
      <c r="B151" s="4">
        <v>6.9779334765332296E-2</v>
      </c>
      <c r="C151" s="4">
        <v>1.66767025286799E-2</v>
      </c>
      <c r="D151" s="4">
        <v>8.1959629664197402E-4</v>
      </c>
      <c r="E151" s="4">
        <v>8.4907645266288998E-3</v>
      </c>
      <c r="F151" s="4">
        <v>3.4426614994217501E-3</v>
      </c>
      <c r="G151" s="4">
        <v>1.3513239984227401E-2</v>
      </c>
      <c r="H151" s="4">
        <v>4.2942964835599902E-2</v>
      </c>
      <c r="I151" s="4">
        <v>0.72067562448675904</v>
      </c>
      <c r="J151" s="4">
        <v>5.52877489183718E-2</v>
      </c>
      <c r="K151" s="4">
        <v>1.34344170733056E-2</v>
      </c>
      <c r="L151" s="4">
        <v>6.6199308177729999E-3</v>
      </c>
      <c r="M151" s="4">
        <v>0.79601772129620996</v>
      </c>
      <c r="N151" s="4">
        <f t="shared" si="22"/>
        <v>0.31670457830472232</v>
      </c>
      <c r="P151" s="1">
        <v>40969</v>
      </c>
      <c r="Q151">
        <v>7.4069545390393399E-2</v>
      </c>
      <c r="R151">
        <v>4.2851804712961503E-2</v>
      </c>
      <c r="S151">
        <v>4.2851804712961503E-2</v>
      </c>
      <c r="T151">
        <v>-3.6409353227804198E-2</v>
      </c>
      <c r="U151">
        <v>0.60678642400298299</v>
      </c>
      <c r="V151">
        <v>0.43596452014897802</v>
      </c>
      <c r="Y151" s="1">
        <v>41061</v>
      </c>
      <c r="Z151" s="4">
        <f t="shared" si="23"/>
        <v>7.6611440479390294E-2</v>
      </c>
      <c r="AA151" s="4">
        <f t="shared" si="24"/>
        <v>6.15251887904592E-2</v>
      </c>
      <c r="AC151" s="1">
        <v>41061</v>
      </c>
      <c r="AD151" s="4">
        <f t="shared" si="25"/>
        <v>4.6388164689219198E-2</v>
      </c>
      <c r="AE151" s="4">
        <f t="shared" si="26"/>
        <v>6.0362826185447499E-2</v>
      </c>
      <c r="AG151" s="1">
        <v>41061</v>
      </c>
      <c r="AH151" s="4">
        <f t="shared" si="27"/>
        <v>3.7930319373486003E-2</v>
      </c>
      <c r="AI151" s="4">
        <f t="shared" si="28"/>
        <v>3.6178583972390002E-2</v>
      </c>
      <c r="AK151" s="1">
        <v>41061</v>
      </c>
      <c r="AL151" s="4">
        <f t="shared" si="29"/>
        <v>4.6388164689219198E-2</v>
      </c>
      <c r="AM151" s="4">
        <f t="shared" si="30"/>
        <v>3.2600080637217151E-2</v>
      </c>
      <c r="AO151" s="1">
        <v>41061</v>
      </c>
      <c r="AP151" s="4">
        <f t="shared" si="31"/>
        <v>0.42104079441226899</v>
      </c>
      <c r="AQ151" s="4">
        <f t="shared" si="32"/>
        <v>0.35053850677001519</v>
      </c>
    </row>
    <row r="152" spans="1:43" x14ac:dyDescent="0.25">
      <c r="A152" s="1">
        <v>41365</v>
      </c>
      <c r="B152" s="4">
        <v>7.1112517033424499E-2</v>
      </c>
      <c r="C152" s="4">
        <v>1.61283486745913E-2</v>
      </c>
      <c r="D152" s="4">
        <v>8.0596919336874899E-4</v>
      </c>
      <c r="E152" s="4">
        <v>8.38464383486426E-3</v>
      </c>
      <c r="F152" s="4">
        <v>4.4832292235909002E-3</v>
      </c>
      <c r="G152" s="4">
        <v>1.40383652111012E-2</v>
      </c>
      <c r="H152" s="4">
        <v>4.3840556137516501E-2</v>
      </c>
      <c r="I152" s="4">
        <v>0.72790560952500305</v>
      </c>
      <c r="J152" s="4">
        <v>5.8333064859545598E-2</v>
      </c>
      <c r="K152" s="4">
        <v>7.6804282994592001E-3</v>
      </c>
      <c r="L152" s="4">
        <v>7.4271810957568197E-3</v>
      </c>
      <c r="M152" s="4">
        <v>0.80134628377976502</v>
      </c>
      <c r="N152" s="4">
        <f t="shared" si="22"/>
        <v>0.31360678939117592</v>
      </c>
      <c r="P152" s="1">
        <v>41000</v>
      </c>
      <c r="Q152">
        <v>7.4130539117739994E-2</v>
      </c>
      <c r="R152">
        <v>4.9059848500521197E-2</v>
      </c>
      <c r="S152">
        <v>4.9059848500521197E-2</v>
      </c>
      <c r="T152">
        <v>-3.64906925828168E-2</v>
      </c>
      <c r="U152">
        <v>0.61496849236602902</v>
      </c>
      <c r="V152">
        <v>0.41370080325904302</v>
      </c>
      <c r="Y152" s="1">
        <v>41091</v>
      </c>
      <c r="Z152" s="4">
        <f t="shared" si="23"/>
        <v>7.7444861077898802E-2</v>
      </c>
      <c r="AA152" s="4">
        <f t="shared" si="24"/>
        <v>6.03972710690888E-2</v>
      </c>
      <c r="AC152" s="1">
        <v>41091</v>
      </c>
      <c r="AD152" s="4">
        <f t="shared" si="25"/>
        <v>4.6695457638879397E-2</v>
      </c>
      <c r="AE152" s="4">
        <f t="shared" si="26"/>
        <v>5.9638159276675297E-2</v>
      </c>
      <c r="AG152" s="1">
        <v>41091</v>
      </c>
      <c r="AH152" s="4">
        <f t="shared" si="27"/>
        <v>3.89291436889641E-2</v>
      </c>
      <c r="AI152" s="4">
        <f t="shared" si="28"/>
        <v>3.6440145224536799E-2</v>
      </c>
      <c r="AK152" s="1">
        <v>41091</v>
      </c>
      <c r="AL152" s="4">
        <f t="shared" si="29"/>
        <v>4.6695457638879397E-2</v>
      </c>
      <c r="AM152" s="4">
        <f t="shared" si="30"/>
        <v>2.6249986921106493E-2</v>
      </c>
      <c r="AO152" s="1">
        <v>41091</v>
      </c>
      <c r="AP152" s="4">
        <f t="shared" si="31"/>
        <v>0.41775755492773098</v>
      </c>
      <c r="AQ152" s="4">
        <f t="shared" si="32"/>
        <v>0.35208862910390459</v>
      </c>
    </row>
    <row r="153" spans="1:43" x14ac:dyDescent="0.25">
      <c r="A153" s="1">
        <v>41395</v>
      </c>
      <c r="B153" s="4">
        <v>7.4472094770708597E-2</v>
      </c>
      <c r="C153" s="4">
        <v>1.5628048547952699E-2</v>
      </c>
      <c r="D153" s="4">
        <v>8.6825095033487903E-4</v>
      </c>
      <c r="E153" s="4">
        <v>8.3337225745821093E-3</v>
      </c>
      <c r="F153" s="4">
        <v>4.6650604745750402E-3</v>
      </c>
      <c r="G153" s="4">
        <v>1.4119776150772499E-2</v>
      </c>
      <c r="H153" s="4">
        <v>4.3614858698217303E-2</v>
      </c>
      <c r="I153" s="4">
        <v>0.72825909684732104</v>
      </c>
      <c r="J153" s="4">
        <v>6.2891844976797298E-2</v>
      </c>
      <c r="K153" s="4">
        <v>2.7519506912219E-3</v>
      </c>
      <c r="L153" s="4">
        <v>6.3578067533566502E-3</v>
      </c>
      <c r="M153" s="4">
        <v>0.80026069926869703</v>
      </c>
      <c r="N153" s="4">
        <f t="shared" si="22"/>
        <v>0.31782625420022892</v>
      </c>
      <c r="P153" s="1">
        <v>41030</v>
      </c>
      <c r="Q153">
        <v>7.5042657178631594E-2</v>
      </c>
      <c r="R153">
        <v>4.6341835072754398E-2</v>
      </c>
      <c r="S153">
        <v>4.6341835072754398E-2</v>
      </c>
      <c r="T153">
        <v>-3.7329808534254702E-2</v>
      </c>
      <c r="U153">
        <v>0.62744773383556496</v>
      </c>
      <c r="V153">
        <v>0.41334475849652902</v>
      </c>
      <c r="Y153" s="1">
        <v>41122</v>
      </c>
      <c r="Z153" s="4">
        <f t="shared" si="23"/>
        <v>7.5242604901924998E-2</v>
      </c>
      <c r="AA153" s="4">
        <f t="shared" si="24"/>
        <v>6.1017028030291701E-2</v>
      </c>
      <c r="AC153" s="1">
        <v>41122</v>
      </c>
      <c r="AD153" s="4">
        <f t="shared" si="25"/>
        <v>4.8967661285293798E-2</v>
      </c>
      <c r="AE153" s="4">
        <f t="shared" si="26"/>
        <v>6.7848133165366697E-2</v>
      </c>
      <c r="AG153" s="1">
        <v>41122</v>
      </c>
      <c r="AH153" s="4">
        <f t="shared" si="27"/>
        <v>3.8347017835614297E-2</v>
      </c>
      <c r="AI153" s="4">
        <f t="shared" si="28"/>
        <v>3.5766626101087301E-2</v>
      </c>
      <c r="AK153" s="1">
        <v>41122</v>
      </c>
      <c r="AL153" s="4">
        <f t="shared" si="29"/>
        <v>4.8967661285293798E-2</v>
      </c>
      <c r="AM153" s="4">
        <f t="shared" si="30"/>
        <v>2.6955697505405388E-2</v>
      </c>
      <c r="AO153" s="1">
        <v>41122</v>
      </c>
      <c r="AP153" s="4">
        <f t="shared" si="31"/>
        <v>0.410251330640719</v>
      </c>
      <c r="AQ153" s="4">
        <f t="shared" si="32"/>
        <v>0.33799805813032391</v>
      </c>
    </row>
    <row r="154" spans="1:43" x14ac:dyDescent="0.25">
      <c r="A154" s="1">
        <v>41426</v>
      </c>
      <c r="B154" s="4">
        <v>7.3464980712033404E-2</v>
      </c>
      <c r="C154" s="4">
        <v>1.5165101721845599E-2</v>
      </c>
      <c r="D154" s="4">
        <v>9.3239056930797095E-4</v>
      </c>
      <c r="E154" s="4">
        <v>8.3917824325398602E-3</v>
      </c>
      <c r="F154" s="4">
        <v>4.8238083056369001E-3</v>
      </c>
      <c r="G154" s="4">
        <v>1.48631483304883E-2</v>
      </c>
      <c r="H154" s="4">
        <v>4.4176231359818699E-2</v>
      </c>
      <c r="I154" s="4">
        <v>0.73095186251824595</v>
      </c>
      <c r="J154" s="4">
        <v>6.26882780295379E-2</v>
      </c>
      <c r="K154" s="4">
        <v>4.3597813875032596E-3</v>
      </c>
      <c r="L154" s="4">
        <v>7.4916588453205497E-3</v>
      </c>
      <c r="M154" s="4">
        <v>0.80549158078060801</v>
      </c>
      <c r="N154" s="4">
        <f t="shared" si="22"/>
        <v>0.31214963129124418</v>
      </c>
      <c r="P154" s="1">
        <v>41061</v>
      </c>
      <c r="Q154">
        <v>7.6611440479390294E-2</v>
      </c>
      <c r="R154">
        <v>4.6388164689219198E-2</v>
      </c>
      <c r="S154">
        <v>4.6388164689219198E-2</v>
      </c>
      <c r="T154">
        <v>-3.7930319373486003E-2</v>
      </c>
      <c r="U154">
        <v>0.62212088291617795</v>
      </c>
      <c r="V154">
        <v>0.42104079441226899</v>
      </c>
      <c r="Y154" s="1">
        <v>41153</v>
      </c>
      <c r="Z154" s="4">
        <f t="shared" si="23"/>
        <v>7.6916549555711505E-2</v>
      </c>
      <c r="AA154" s="4">
        <f t="shared" si="24"/>
        <v>6.3380032425792904E-2</v>
      </c>
      <c r="AC154" s="1">
        <v>41153</v>
      </c>
      <c r="AD154" s="4">
        <f t="shared" si="25"/>
        <v>4.5033292674570097E-2</v>
      </c>
      <c r="AE154" s="4">
        <f t="shared" si="26"/>
        <v>6.0455897800027698E-2</v>
      </c>
      <c r="AG154" s="1">
        <v>41153</v>
      </c>
      <c r="AH154" s="4">
        <f t="shared" si="27"/>
        <v>4.0366701455929098E-2</v>
      </c>
      <c r="AI154" s="4">
        <f t="shared" si="28"/>
        <v>3.8088908882172798E-2</v>
      </c>
      <c r="AK154" s="1">
        <v>41153</v>
      </c>
      <c r="AL154" s="4">
        <f t="shared" si="29"/>
        <v>4.5033292674570097E-2</v>
      </c>
      <c r="AM154" s="4">
        <f t="shared" si="30"/>
        <v>2.301507079005204E-2</v>
      </c>
      <c r="AO154" s="1">
        <v>41153</v>
      </c>
      <c r="AP154" s="4">
        <f t="shared" si="31"/>
        <v>0.401930936322968</v>
      </c>
      <c r="AQ154" s="4">
        <f t="shared" si="32"/>
        <v>0.34374341908546169</v>
      </c>
    </row>
    <row r="155" spans="1:43" x14ac:dyDescent="0.25">
      <c r="A155" s="1">
        <v>41456</v>
      </c>
      <c r="B155" s="4">
        <v>7.8604807192579201E-2</v>
      </c>
      <c r="C155" s="4">
        <v>1.5801516942659001E-2</v>
      </c>
      <c r="D155" s="4">
        <v>1.10130436986232E-3</v>
      </c>
      <c r="E155" s="4">
        <v>7.8099422579556502E-3</v>
      </c>
      <c r="F155" s="4">
        <v>5.0201855860476999E-3</v>
      </c>
      <c r="G155" s="4">
        <v>1.5560037828735799E-2</v>
      </c>
      <c r="H155" s="4">
        <v>4.5292986985260499E-2</v>
      </c>
      <c r="I155" s="4">
        <v>0.74140116219056995</v>
      </c>
      <c r="J155" s="4">
        <v>6.1024325062051903E-2</v>
      </c>
      <c r="K155" s="4">
        <v>4.3782508171813003E-3</v>
      </c>
      <c r="L155" s="4">
        <v>7.25975464292734E-3</v>
      </c>
      <c r="M155" s="4">
        <v>0.81406349271273004</v>
      </c>
      <c r="N155" s="4">
        <f t="shared" si="22"/>
        <v>0.3098343014651096</v>
      </c>
      <c r="P155" s="1">
        <v>41091</v>
      </c>
      <c r="Q155">
        <v>7.7444861077898802E-2</v>
      </c>
      <c r="R155">
        <v>4.6695457638879397E-2</v>
      </c>
      <c r="S155">
        <v>4.6695457638879397E-2</v>
      </c>
      <c r="T155">
        <v>-3.89291436889641E-2</v>
      </c>
      <c r="U155">
        <v>0.62588036343737796</v>
      </c>
      <c r="V155">
        <v>0.41775755492773098</v>
      </c>
      <c r="Y155" s="1">
        <v>41183</v>
      </c>
      <c r="Z155" s="4">
        <f t="shared" si="23"/>
        <v>7.8487971685423694E-2</v>
      </c>
      <c r="AA155" s="4">
        <f t="shared" si="24"/>
        <v>6.4854812140637805E-2</v>
      </c>
      <c r="AC155" s="1">
        <v>41183</v>
      </c>
      <c r="AD155" s="4">
        <f t="shared" si="25"/>
        <v>4.5821403885578198E-2</v>
      </c>
      <c r="AE155" s="4">
        <f t="shared" si="26"/>
        <v>6.10579778241176E-2</v>
      </c>
      <c r="AG155" s="1">
        <v>41183</v>
      </c>
      <c r="AH155" s="4">
        <f t="shared" si="27"/>
        <v>4.0431109030831303E-2</v>
      </c>
      <c r="AI155" s="4">
        <f t="shared" si="28"/>
        <v>3.8751523866073598E-2</v>
      </c>
      <c r="AK155" s="1">
        <v>41183</v>
      </c>
      <c r="AL155" s="4">
        <f t="shared" si="29"/>
        <v>4.5821403885578198E-2</v>
      </c>
      <c r="AM155" s="4">
        <f t="shared" si="30"/>
        <v>2.2790897335233491E-2</v>
      </c>
      <c r="AO155" s="1">
        <v>41183</v>
      </c>
      <c r="AP155" s="4">
        <f t="shared" si="31"/>
        <v>0.41249021650858603</v>
      </c>
      <c r="AQ155" s="4">
        <f t="shared" si="32"/>
        <v>0.33983424704465348</v>
      </c>
    </row>
    <row r="156" spans="1:43" x14ac:dyDescent="0.25">
      <c r="A156" s="1">
        <v>41487</v>
      </c>
      <c r="B156" s="4">
        <v>8.2281248652468095E-2</v>
      </c>
      <c r="C156" s="4">
        <v>1.62994981031119E-2</v>
      </c>
      <c r="D156" s="4">
        <v>1.0353074733090899E-3</v>
      </c>
      <c r="E156" s="4">
        <v>8.0104961721901898E-3</v>
      </c>
      <c r="F156" s="4">
        <v>7.7234174315003699E-3</v>
      </c>
      <c r="G156" s="4">
        <v>1.6879212285647201E-2</v>
      </c>
      <c r="H156" s="4">
        <v>4.9947931465758801E-2</v>
      </c>
      <c r="I156" s="4">
        <v>0.74032290326440398</v>
      </c>
      <c r="J156" s="4">
        <v>5.8175963308207901E-2</v>
      </c>
      <c r="K156" s="4">
        <v>3.4093040646820199E-3</v>
      </c>
      <c r="L156" s="4">
        <v>7.5839715851018898E-3</v>
      </c>
      <c r="M156" s="4">
        <v>0.80949214222239596</v>
      </c>
      <c r="N156" s="4">
        <f t="shared" si="22"/>
        <v>0.32273703789583097</v>
      </c>
      <c r="P156" s="1">
        <v>41122</v>
      </c>
      <c r="Q156">
        <v>7.5242604901924998E-2</v>
      </c>
      <c r="R156">
        <v>4.8967661285293798E-2</v>
      </c>
      <c r="S156">
        <v>4.8967661285293798E-2</v>
      </c>
      <c r="T156">
        <v>-3.8347017835614297E-2</v>
      </c>
      <c r="U156">
        <v>0.62626954207831698</v>
      </c>
      <c r="V156">
        <v>0.410251330640719</v>
      </c>
      <c r="Y156" s="1">
        <v>41214</v>
      </c>
      <c r="Z156" s="4">
        <f t="shared" si="23"/>
        <v>7.6110358642590401E-2</v>
      </c>
      <c r="AA156" s="4">
        <f t="shared" si="24"/>
        <v>6.6830748724964001E-2</v>
      </c>
      <c r="AC156" s="1">
        <v>41214</v>
      </c>
      <c r="AD156" s="4">
        <f t="shared" si="25"/>
        <v>5.0647935663588502E-2</v>
      </c>
      <c r="AE156" s="4">
        <f t="shared" si="26"/>
        <v>5.2022166629385899E-2</v>
      </c>
      <c r="AG156" s="1">
        <v>41214</v>
      </c>
      <c r="AH156" s="4">
        <f t="shared" si="27"/>
        <v>4.2674710458293297E-2</v>
      </c>
      <c r="AI156" s="4">
        <f t="shared" si="28"/>
        <v>3.9797699073802602E-2</v>
      </c>
      <c r="AK156" s="1">
        <v>41214</v>
      </c>
      <c r="AL156" s="4">
        <f t="shared" si="29"/>
        <v>5.0647935663588502E-2</v>
      </c>
      <c r="AM156" s="4">
        <f t="shared" si="30"/>
        <v>1.8401624797356061E-2</v>
      </c>
      <c r="AO156" s="1">
        <v>41214</v>
      </c>
      <c r="AP156" s="4">
        <f t="shared" si="31"/>
        <v>0.39299814730699401</v>
      </c>
      <c r="AQ156" s="4">
        <f t="shared" si="32"/>
        <v>0.34039652865472969</v>
      </c>
    </row>
    <row r="157" spans="1:43" x14ac:dyDescent="0.25">
      <c r="A157" s="1">
        <v>41518</v>
      </c>
      <c r="B157" s="4">
        <v>8.6609097497582305E-2</v>
      </c>
      <c r="C157" s="4">
        <v>1.7642895708513101E-2</v>
      </c>
      <c r="D157" s="4">
        <v>1.01806482793021E-3</v>
      </c>
      <c r="E157" s="4">
        <v>7.9702043312651506E-3</v>
      </c>
      <c r="F157" s="4">
        <v>7.4457155652748802E-3</v>
      </c>
      <c r="G157" s="4">
        <v>1.8036278809784499E-2</v>
      </c>
      <c r="H157" s="4">
        <v>5.2113159242767902E-2</v>
      </c>
      <c r="I157" s="4">
        <v>0.77111430567133998</v>
      </c>
      <c r="J157" s="4">
        <v>5.6069420908150203E-2</v>
      </c>
      <c r="K157" s="4">
        <v>2.6420166211817602E-3</v>
      </c>
      <c r="L157" s="4">
        <v>7.0156379299637396E-3</v>
      </c>
      <c r="M157" s="4">
        <v>0.836841381130636</v>
      </c>
      <c r="N157" s="4">
        <f t="shared" si="22"/>
        <v>0.30188087560971433</v>
      </c>
      <c r="P157" s="1">
        <v>41153</v>
      </c>
      <c r="Q157">
        <v>7.6916549555711505E-2</v>
      </c>
      <c r="R157">
        <v>4.5033292674570097E-2</v>
      </c>
      <c r="S157">
        <v>4.5033292674570097E-2</v>
      </c>
      <c r="T157">
        <v>-4.0366701455929098E-2</v>
      </c>
      <c r="U157">
        <v>0.64254180747185097</v>
      </c>
      <c r="V157">
        <v>0.401930936322968</v>
      </c>
      <c r="Y157" s="1">
        <v>41244</v>
      </c>
      <c r="Z157" s="4">
        <f t="shared" si="23"/>
        <v>7.5200746560360507E-2</v>
      </c>
      <c r="AA157" s="4">
        <f t="shared" si="24"/>
        <v>6.3134221961840098E-2</v>
      </c>
      <c r="AC157" s="1">
        <v>41244</v>
      </c>
      <c r="AD157" s="4">
        <f t="shared" si="25"/>
        <v>5.6703017966395902E-2</v>
      </c>
      <c r="AE157" s="4">
        <f t="shared" si="26"/>
        <v>6.3091262992029107E-2</v>
      </c>
      <c r="AG157" s="1">
        <v>41244</v>
      </c>
      <c r="AH157" s="4">
        <f t="shared" si="27"/>
        <v>4.1495193059213301E-2</v>
      </c>
      <c r="AI157" s="4">
        <f t="shared" si="28"/>
        <v>4.0799888367484299E-2</v>
      </c>
      <c r="AK157" s="1">
        <v>41244</v>
      </c>
      <c r="AL157" s="4">
        <f t="shared" si="29"/>
        <v>5.6703017966395902E-2</v>
      </c>
      <c r="AM157" s="4">
        <f t="shared" si="30"/>
        <v>1.5285222437172959E-2</v>
      </c>
      <c r="AO157" s="1">
        <v>41244</v>
      </c>
      <c r="AP157" s="4">
        <f t="shared" si="31"/>
        <v>0.38925488009903603</v>
      </c>
      <c r="AQ157" s="4">
        <f t="shared" si="32"/>
        <v>0.32992098910939527</v>
      </c>
    </row>
    <row r="158" spans="1:43" x14ac:dyDescent="0.25">
      <c r="A158" s="1">
        <v>41548</v>
      </c>
      <c r="B158" s="4">
        <v>9.3926693713456397E-2</v>
      </c>
      <c r="C158" s="4">
        <v>1.7814783163479099E-2</v>
      </c>
      <c r="D158" s="4">
        <v>1.43549130989892E-3</v>
      </c>
      <c r="E158" s="4">
        <v>7.6643852210794196E-3</v>
      </c>
      <c r="F158" s="4">
        <v>7.0965834208389601E-3</v>
      </c>
      <c r="G158" s="4">
        <v>1.8317360216182198E-2</v>
      </c>
      <c r="H158" s="4">
        <v>5.23286033314787E-2</v>
      </c>
      <c r="I158" s="4">
        <v>0.76204307518574499</v>
      </c>
      <c r="J158" s="4">
        <v>5.3030530270597002E-2</v>
      </c>
      <c r="K158" s="4">
        <v>8.92217708306262E-4</v>
      </c>
      <c r="L158" s="4">
        <v>7.5090713404237699E-3</v>
      </c>
      <c r="M158" s="4">
        <v>0.82347489450507205</v>
      </c>
      <c r="N158" s="4">
        <f t="shared" si="22"/>
        <v>0.32278040253986306</v>
      </c>
      <c r="P158" s="1">
        <v>41183</v>
      </c>
      <c r="Q158">
        <v>7.8487971685423694E-2</v>
      </c>
      <c r="R158">
        <v>4.5821403885578198E-2</v>
      </c>
      <c r="S158">
        <v>4.5821403885578198E-2</v>
      </c>
      <c r="T158">
        <v>-4.0431109030831303E-2</v>
      </c>
      <c r="U158">
        <v>0.638193629034701</v>
      </c>
      <c r="V158">
        <v>0.41249021650858603</v>
      </c>
      <c r="Y158" s="1">
        <v>41275</v>
      </c>
      <c r="Z158" s="4">
        <f t="shared" si="23"/>
        <v>8.6643770770508305E-2</v>
      </c>
      <c r="AA158" s="4">
        <f t="shared" si="24"/>
        <v>6.5022418972615195E-2</v>
      </c>
      <c r="AC158" s="1">
        <v>41275</v>
      </c>
      <c r="AD158" s="4">
        <f t="shared" si="25"/>
        <v>5.1064878076396703E-2</v>
      </c>
      <c r="AE158" s="4">
        <f t="shared" si="26"/>
        <v>5.8750940046272397E-2</v>
      </c>
      <c r="AG158" s="1">
        <v>41275</v>
      </c>
      <c r="AH158" s="4">
        <f t="shared" si="27"/>
        <v>4.9682607574798497E-2</v>
      </c>
      <c r="AI158" s="4">
        <f t="shared" si="28"/>
        <v>4.1800672832497499E-2</v>
      </c>
      <c r="AK158" s="1">
        <v>41275</v>
      </c>
      <c r="AL158" s="4">
        <f t="shared" si="29"/>
        <v>5.1064878076396703E-2</v>
      </c>
      <c r="AM158" s="4">
        <f t="shared" si="30"/>
        <v>2.0720494668808299E-2</v>
      </c>
      <c r="AO158" s="1">
        <v>41275</v>
      </c>
      <c r="AP158" s="4">
        <f t="shared" si="31"/>
        <v>0.40409607655721203</v>
      </c>
      <c r="AQ158" s="4">
        <f t="shared" si="32"/>
        <v>0.31748600718013376</v>
      </c>
    </row>
    <row r="159" spans="1:43" x14ac:dyDescent="0.25">
      <c r="A159" s="1">
        <v>41579</v>
      </c>
      <c r="B159" s="4">
        <v>9.3732177924402194E-2</v>
      </c>
      <c r="C159" s="4">
        <v>1.86009937004337E-2</v>
      </c>
      <c r="D159" s="4">
        <v>1.3497097503926199E-3</v>
      </c>
      <c r="E159" s="4">
        <v>7.8222480752439798E-3</v>
      </c>
      <c r="F159" s="4">
        <v>7.7340910658898797E-3</v>
      </c>
      <c r="G159" s="4">
        <v>2.00659798123809E-2</v>
      </c>
      <c r="H159" s="4">
        <v>5.5573022404341199E-2</v>
      </c>
      <c r="I159" s="4">
        <v>0.76900883730648895</v>
      </c>
      <c r="J159" s="4">
        <v>5.6419080320786998E-2</v>
      </c>
      <c r="K159" s="4">
        <v>4.2978027125495999E-3</v>
      </c>
      <c r="L159" s="4">
        <v>7.9455879006602795E-3</v>
      </c>
      <c r="M159" s="4">
        <v>0.83767130824048597</v>
      </c>
      <c r="N159" s="4">
        <f t="shared" si="22"/>
        <v>0.31163389208825742</v>
      </c>
      <c r="P159" s="1">
        <v>41214</v>
      </c>
      <c r="Q159">
        <v>7.6110358642590401E-2</v>
      </c>
      <c r="R159">
        <v>5.0647935663588502E-2</v>
      </c>
      <c r="S159">
        <v>5.0647935663588502E-2</v>
      </c>
      <c r="T159">
        <v>-4.2674710458293297E-2</v>
      </c>
      <c r="U159">
        <v>0.64714716455462395</v>
      </c>
      <c r="V159">
        <v>0.39299814730699401</v>
      </c>
      <c r="Y159" s="1">
        <v>41306</v>
      </c>
      <c r="Z159" s="4">
        <f t="shared" si="23"/>
        <v>8.38302089440017E-2</v>
      </c>
      <c r="AA159" s="4">
        <f t="shared" si="24"/>
        <v>7.0948490585060295E-2</v>
      </c>
      <c r="AC159" s="1">
        <v>41306</v>
      </c>
      <c r="AD159" s="4">
        <f t="shared" si="25"/>
        <v>5.1888923808848499E-2</v>
      </c>
      <c r="AE159" s="4">
        <f t="shared" si="26"/>
        <v>5.9608262466273397E-2</v>
      </c>
      <c r="AG159" s="1">
        <v>41306</v>
      </c>
      <c r="AH159" s="4">
        <f t="shared" si="27"/>
        <v>4.6386376349622102E-2</v>
      </c>
      <c r="AI159" s="4">
        <f t="shared" si="28"/>
        <v>4.3466620897879199E-2</v>
      </c>
      <c r="AK159" s="1">
        <v>41306</v>
      </c>
      <c r="AL159" s="4">
        <f t="shared" si="29"/>
        <v>5.1888923808848499E-2</v>
      </c>
      <c r="AM159" s="4">
        <f t="shared" si="30"/>
        <v>1.7901170350591019E-2</v>
      </c>
      <c r="AO159" s="1">
        <v>41306</v>
      </c>
      <c r="AP159" s="4">
        <f t="shared" si="31"/>
        <v>0.38943933312122903</v>
      </c>
      <c r="AQ159" s="4">
        <f t="shared" si="32"/>
        <v>0.32610113385864048</v>
      </c>
    </row>
    <row r="160" spans="1:43" x14ac:dyDescent="0.25">
      <c r="A160" s="1">
        <v>41609</v>
      </c>
      <c r="B160" s="4">
        <v>8.8617894724277502E-2</v>
      </c>
      <c r="C160" s="4">
        <v>1.8223411142323401E-2</v>
      </c>
      <c r="D160" s="4">
        <v>1.34229832081995E-3</v>
      </c>
      <c r="E160" s="4">
        <v>7.4119377311485102E-3</v>
      </c>
      <c r="F160" s="4">
        <v>7.96870513644817E-3</v>
      </c>
      <c r="G160" s="4">
        <v>2.1168571951966701E-2</v>
      </c>
      <c r="H160" s="4">
        <v>5.6114924282706799E-2</v>
      </c>
      <c r="I160" s="4">
        <v>0.79085317549919898</v>
      </c>
      <c r="J160" s="4">
        <v>5.4206570763887997E-2</v>
      </c>
      <c r="K160" s="4">
        <v>3.1641538178385198E-3</v>
      </c>
      <c r="L160" s="4">
        <v>6.6193988067349699E-3</v>
      </c>
      <c r="M160" s="4">
        <v>0.85484329888766097</v>
      </c>
      <c r="N160" s="4">
        <f t="shared" si="22"/>
        <v>0.28988952011932334</v>
      </c>
      <c r="P160" s="1">
        <v>41244</v>
      </c>
      <c r="Q160">
        <v>7.5200746560360507E-2</v>
      </c>
      <c r="R160">
        <v>5.6703017966395902E-2</v>
      </c>
      <c r="S160">
        <v>5.6703017966395902E-2</v>
      </c>
      <c r="T160">
        <v>-4.1495193059213301E-2</v>
      </c>
      <c r="U160">
        <v>0.65003815156475497</v>
      </c>
      <c r="V160">
        <v>0.38925488009903603</v>
      </c>
      <c r="Y160" s="1">
        <v>41334</v>
      </c>
      <c r="Z160" s="4">
        <f t="shared" si="23"/>
        <v>8.6822217059312798E-2</v>
      </c>
      <c r="AA160" s="4">
        <f t="shared" si="24"/>
        <v>6.9779334765332296E-2</v>
      </c>
      <c r="AC160" s="1">
        <v>41334</v>
      </c>
      <c r="AD160" s="4">
        <f t="shared" si="25"/>
        <v>5.2687074042412803E-2</v>
      </c>
      <c r="AE160" s="4">
        <f t="shared" si="26"/>
        <v>5.52877489183718E-2</v>
      </c>
      <c r="AG160" s="1">
        <v>41334</v>
      </c>
      <c r="AH160" s="4">
        <f t="shared" si="27"/>
        <v>4.6743445631551403E-2</v>
      </c>
      <c r="AI160" s="4">
        <f t="shared" si="28"/>
        <v>4.2942964835599902E-2</v>
      </c>
      <c r="AK160" s="1">
        <v>41334</v>
      </c>
      <c r="AL160" s="4">
        <f t="shared" si="29"/>
        <v>5.2687074042412803E-2</v>
      </c>
      <c r="AM160" s="4">
        <f t="shared" si="30"/>
        <v>2.00543478910786E-2</v>
      </c>
      <c r="AO160" s="1">
        <v>41334</v>
      </c>
      <c r="AP160" s="4">
        <f t="shared" si="31"/>
        <v>0.38630741224956</v>
      </c>
      <c r="AQ160" s="4">
        <f t="shared" si="32"/>
        <v>0.31670457830472232</v>
      </c>
    </row>
    <row r="161" spans="1:43" x14ac:dyDescent="0.25">
      <c r="A161" s="1">
        <v>41640</v>
      </c>
      <c r="B161" s="4">
        <v>9.0893837505477304E-2</v>
      </c>
      <c r="C161" s="4">
        <v>2.0031124716462099E-2</v>
      </c>
      <c r="D161" s="4">
        <v>1.1514995874974401E-3</v>
      </c>
      <c r="E161" s="4">
        <v>6.7617553685594099E-3</v>
      </c>
      <c r="F161" s="4">
        <v>7.8536104988776202E-3</v>
      </c>
      <c r="G161" s="4">
        <v>2.1213887351250401E-2</v>
      </c>
      <c r="H161" s="4">
        <v>5.7011877522647102E-2</v>
      </c>
      <c r="I161" s="4">
        <v>0.80171354697791497</v>
      </c>
      <c r="J161" s="4">
        <v>5.3468061593307699E-2</v>
      </c>
      <c r="K161" s="4">
        <v>2.0746633924230199E-3</v>
      </c>
      <c r="L161" s="4">
        <v>8.3089363937249201E-3</v>
      </c>
      <c r="M161" s="4">
        <v>0.86556520835737105</v>
      </c>
      <c r="N161" s="4">
        <f t="shared" si="22"/>
        <v>0.28234050667075339</v>
      </c>
      <c r="P161" s="1">
        <v>41275</v>
      </c>
      <c r="Q161">
        <v>8.6643770770508305E-2</v>
      </c>
      <c r="R161">
        <v>5.1064878076396703E-2</v>
      </c>
      <c r="S161">
        <v>5.1064878076396703E-2</v>
      </c>
      <c r="T161">
        <v>-4.9682607574798497E-2</v>
      </c>
      <c r="U161">
        <v>0.66155196297839602</v>
      </c>
      <c r="V161">
        <v>0.40409607655721203</v>
      </c>
      <c r="Y161" s="1">
        <v>41365</v>
      </c>
      <c r="Z161" s="4">
        <f t="shared" si="23"/>
        <v>9.3252287377803098E-2</v>
      </c>
      <c r="AA161" s="4">
        <f t="shared" si="24"/>
        <v>7.1112517033424499E-2</v>
      </c>
      <c r="AC161" s="1">
        <v>41365</v>
      </c>
      <c r="AD161" s="4">
        <f t="shared" si="25"/>
        <v>5.7031076228400097E-2</v>
      </c>
      <c r="AE161" s="4">
        <f t="shared" si="26"/>
        <v>5.8333064859545598E-2</v>
      </c>
      <c r="AG161" s="1">
        <v>41365</v>
      </c>
      <c r="AH161" s="4">
        <f t="shared" si="27"/>
        <v>5.1001195013812201E-2</v>
      </c>
      <c r="AI161" s="4">
        <f t="shared" si="28"/>
        <v>4.3840556137516501E-2</v>
      </c>
      <c r="AK161" s="1">
        <v>41365</v>
      </c>
      <c r="AL161" s="4">
        <f t="shared" si="29"/>
        <v>5.7031076228400097E-2</v>
      </c>
      <c r="AM161" s="4">
        <f t="shared" si="30"/>
        <v>1.5107609395216021E-2</v>
      </c>
      <c r="AO161" s="1">
        <v>41365</v>
      </c>
      <c r="AP161" s="4">
        <f t="shared" si="31"/>
        <v>0.38709003182354701</v>
      </c>
      <c r="AQ161" s="4">
        <f t="shared" si="32"/>
        <v>0.31360678939117592</v>
      </c>
    </row>
    <row r="162" spans="1:43" x14ac:dyDescent="0.25">
      <c r="A162" s="1">
        <v>41671</v>
      </c>
      <c r="B162" s="4">
        <v>0.10153614648525899</v>
      </c>
      <c r="C162" s="4">
        <v>1.9274756355289802E-2</v>
      </c>
      <c r="D162" s="4">
        <v>1.58626496759926E-3</v>
      </c>
      <c r="E162" s="4">
        <v>6.8628517246043901E-3</v>
      </c>
      <c r="F162" s="4">
        <v>9.06052774221415E-3</v>
      </c>
      <c r="G162" s="4">
        <v>2.1511047145362099E-2</v>
      </c>
      <c r="H162" s="4">
        <v>5.82954479350698E-2</v>
      </c>
      <c r="I162" s="4">
        <v>0.79715820359335499</v>
      </c>
      <c r="J162" s="4">
        <v>5.8522048228137398E-2</v>
      </c>
      <c r="K162" s="4">
        <v>4.3628165334522497E-3</v>
      </c>
      <c r="L162" s="4">
        <v>6.6765649394070203E-3</v>
      </c>
      <c r="M162" s="4">
        <v>0.86671963329435198</v>
      </c>
      <c r="N162" s="4">
        <f t="shared" si="22"/>
        <v>0.29311196112597682</v>
      </c>
      <c r="P162" s="1">
        <v>41306</v>
      </c>
      <c r="Q162">
        <v>8.38302089440017E-2</v>
      </c>
      <c r="R162">
        <v>5.1888923808848499E-2</v>
      </c>
      <c r="S162">
        <v>5.1888923808848499E-2</v>
      </c>
      <c r="T162">
        <v>-4.6386376349622102E-2</v>
      </c>
      <c r="U162">
        <v>0.67243803213866504</v>
      </c>
      <c r="V162">
        <v>0.38943933312122903</v>
      </c>
      <c r="Y162" s="1">
        <v>41395</v>
      </c>
      <c r="Z162" s="4">
        <f t="shared" si="23"/>
        <v>9.4062001069131901E-2</v>
      </c>
      <c r="AA162" s="4">
        <f t="shared" si="24"/>
        <v>7.4472094770708597E-2</v>
      </c>
      <c r="AC162" s="1">
        <v>41395</v>
      </c>
      <c r="AD162" s="4">
        <f t="shared" si="25"/>
        <v>6.1735771770670897E-2</v>
      </c>
      <c r="AE162" s="4">
        <f t="shared" si="26"/>
        <v>6.2891844976797298E-2</v>
      </c>
      <c r="AG162" s="1">
        <v>41395</v>
      </c>
      <c r="AH162" s="4">
        <f t="shared" si="27"/>
        <v>5.3046651852236101E-2</v>
      </c>
      <c r="AI162" s="4">
        <f t="shared" si="28"/>
        <v>4.3614858698217303E-2</v>
      </c>
      <c r="AK162" s="1">
        <v>41395</v>
      </c>
      <c r="AL162" s="4">
        <f t="shared" si="29"/>
        <v>6.1735771770670897E-2</v>
      </c>
      <c r="AM162" s="4">
        <f t="shared" si="30"/>
        <v>9.1097574445785506E-3</v>
      </c>
      <c r="AO162" s="1">
        <v>41395</v>
      </c>
      <c r="AP162" s="4">
        <f t="shared" si="31"/>
        <v>0.38635670243409997</v>
      </c>
      <c r="AQ162" s="4">
        <f t="shared" si="32"/>
        <v>0.31782625420022892</v>
      </c>
    </row>
    <row r="163" spans="1:43" x14ac:dyDescent="0.25">
      <c r="A163" s="1">
        <v>41699</v>
      </c>
      <c r="B163" s="4">
        <v>9.7234264014659996E-2</v>
      </c>
      <c r="C163" s="4">
        <v>2.13463217855791E-2</v>
      </c>
      <c r="D163" s="4">
        <v>1.43928577661961E-3</v>
      </c>
      <c r="E163" s="4">
        <v>5.4745874887345402E-3</v>
      </c>
      <c r="F163" s="4">
        <v>8.5735738081673101E-3</v>
      </c>
      <c r="G163" s="4">
        <v>2.5491775192370801E-2</v>
      </c>
      <c r="H163" s="4">
        <v>6.23255440514714E-2</v>
      </c>
      <c r="I163" s="4">
        <v>0.80476361090658899</v>
      </c>
      <c r="J163" s="4">
        <v>5.2480299185635203E-2</v>
      </c>
      <c r="K163" s="4">
        <v>3.0713797133789401E-3</v>
      </c>
      <c r="L163" s="4">
        <v>9.2591279583401995E-3</v>
      </c>
      <c r="M163" s="4">
        <v>0.86957441776394395</v>
      </c>
      <c r="N163" s="4">
        <f t="shared" si="22"/>
        <v>0.2899853903021874</v>
      </c>
      <c r="P163" s="1">
        <v>41334</v>
      </c>
      <c r="Q163">
        <v>8.6822217059312798E-2</v>
      </c>
      <c r="R163">
        <v>5.2687074042412803E-2</v>
      </c>
      <c r="S163">
        <v>5.2687074042412803E-2</v>
      </c>
      <c r="T163">
        <v>-4.6743445631551403E-2</v>
      </c>
      <c r="U163">
        <v>0.67694005130588097</v>
      </c>
      <c r="V163">
        <v>0.38630741224956</v>
      </c>
      <c r="Y163" s="1">
        <v>41426</v>
      </c>
      <c r="Z163" s="4">
        <f t="shared" si="23"/>
        <v>9.4211372052085601E-2</v>
      </c>
      <c r="AA163" s="4">
        <f t="shared" si="24"/>
        <v>7.3464980712033404E-2</v>
      </c>
      <c r="AC163" s="1">
        <v>41426</v>
      </c>
      <c r="AD163" s="4">
        <f t="shared" si="25"/>
        <v>5.3900349577421201E-2</v>
      </c>
      <c r="AE163" s="4">
        <f t="shared" si="26"/>
        <v>6.26882780295379E-2</v>
      </c>
      <c r="AG163" s="1">
        <v>41426</v>
      </c>
      <c r="AH163" s="4">
        <f t="shared" si="27"/>
        <v>5.2338327757363003E-2</v>
      </c>
      <c r="AI163" s="4">
        <f t="shared" si="28"/>
        <v>4.4176231359818699E-2</v>
      </c>
      <c r="AK163" s="1">
        <v>41426</v>
      </c>
      <c r="AL163" s="4">
        <f t="shared" si="29"/>
        <v>5.3900349577421201E-2</v>
      </c>
      <c r="AM163" s="4">
        <f t="shared" si="30"/>
        <v>1.185144023282381E-2</v>
      </c>
      <c r="AO163" s="1">
        <v>41426</v>
      </c>
      <c r="AP163" s="4">
        <f t="shared" si="31"/>
        <v>0.38859887077194399</v>
      </c>
      <c r="AQ163" s="4">
        <f t="shared" si="32"/>
        <v>0.31214963129124418</v>
      </c>
    </row>
    <row r="164" spans="1:43" x14ac:dyDescent="0.25">
      <c r="A164" s="1">
        <v>41730</v>
      </c>
      <c r="B164" s="4">
        <v>9.5751158614092002E-2</v>
      </c>
      <c r="C164" s="4">
        <v>2.0975310985793302E-2</v>
      </c>
      <c r="D164" s="4">
        <v>1.54130830030765E-3</v>
      </c>
      <c r="E164" s="4">
        <v>5.4721406974845999E-3</v>
      </c>
      <c r="F164" s="4">
        <v>9.4453549048625299E-3</v>
      </c>
      <c r="G164" s="4">
        <v>2.2624988780528401E-2</v>
      </c>
      <c r="H164" s="4">
        <v>6.0059103668976502E-2</v>
      </c>
      <c r="I164" s="4">
        <v>0.79939280271027202</v>
      </c>
      <c r="J164" s="4">
        <v>5.0936760696596202E-2</v>
      </c>
      <c r="K164" s="4">
        <v>1.7013402410716099E-3</v>
      </c>
      <c r="L164" s="4">
        <v>7.5574931972183998E-3</v>
      </c>
      <c r="M164" s="4">
        <v>0.85958839684515898</v>
      </c>
      <c r="N164" s="4">
        <f t="shared" si="22"/>
        <v>0.2962218654379094</v>
      </c>
      <c r="P164" s="1">
        <v>41365</v>
      </c>
      <c r="Q164">
        <v>9.3252287377803098E-2</v>
      </c>
      <c r="R164">
        <v>5.7031076228400097E-2</v>
      </c>
      <c r="S164">
        <v>5.7031076228400097E-2</v>
      </c>
      <c r="T164">
        <v>-5.1001195013812201E-2</v>
      </c>
      <c r="U164">
        <v>0.68353878063096996</v>
      </c>
      <c r="V164">
        <v>0.38709003182354701</v>
      </c>
      <c r="Y164" s="1">
        <v>41456</v>
      </c>
      <c r="Z164" s="4">
        <f t="shared" si="23"/>
        <v>9.4522042517451499E-2</v>
      </c>
      <c r="AA164" s="4">
        <f t="shared" si="24"/>
        <v>7.8604807192579201E-2</v>
      </c>
      <c r="AC164" s="1">
        <v>41456</v>
      </c>
      <c r="AD164" s="4">
        <f t="shared" si="25"/>
        <v>5.6575613322713797E-2</v>
      </c>
      <c r="AE164" s="4">
        <f t="shared" si="26"/>
        <v>6.1024325062051903E-2</v>
      </c>
      <c r="AG164" s="1">
        <v>41456</v>
      </c>
      <c r="AH164" s="4">
        <f t="shared" si="27"/>
        <v>4.94854662796727E-2</v>
      </c>
      <c r="AI164" s="4">
        <f t="shared" si="28"/>
        <v>4.5292986985260499E-2</v>
      </c>
      <c r="AK164" s="1">
        <v>41456</v>
      </c>
      <c r="AL164" s="4">
        <f t="shared" si="29"/>
        <v>5.6575613322713797E-2</v>
      </c>
      <c r="AM164" s="4">
        <f t="shared" si="30"/>
        <v>1.163800546010864E-2</v>
      </c>
      <c r="AO164" s="1">
        <v>41456</v>
      </c>
      <c r="AP164" s="4">
        <f t="shared" si="31"/>
        <v>0.37094896122328502</v>
      </c>
      <c r="AQ164" s="4">
        <f t="shared" si="32"/>
        <v>0.3098343014651096</v>
      </c>
    </row>
    <row r="165" spans="1:43" x14ac:dyDescent="0.25">
      <c r="A165" s="1">
        <v>41760</v>
      </c>
      <c r="B165" s="4">
        <v>8.9671336358849094E-2</v>
      </c>
      <c r="C165" s="4">
        <v>2.22446902902225E-2</v>
      </c>
      <c r="D165" s="4">
        <v>1.65626254593706E-3</v>
      </c>
      <c r="E165" s="4">
        <v>5.3274338128171802E-3</v>
      </c>
      <c r="F165" s="4">
        <v>8.1196837869208296E-3</v>
      </c>
      <c r="G165" s="4">
        <v>2.2578538581233099E-2</v>
      </c>
      <c r="H165" s="4">
        <v>5.9926609017130698E-2</v>
      </c>
      <c r="I165" s="4">
        <v>0.81880746762822398</v>
      </c>
      <c r="J165" s="4">
        <v>5.0093887678346903E-2</v>
      </c>
      <c r="K165" s="4">
        <v>7.38665339428458E-4</v>
      </c>
      <c r="L165" s="4">
        <v>8.2906608387364605E-3</v>
      </c>
      <c r="M165" s="4">
        <v>0.87793068148473596</v>
      </c>
      <c r="N165" s="4">
        <f t="shared" si="22"/>
        <v>0.27166726389124374</v>
      </c>
      <c r="P165" s="1">
        <v>41395</v>
      </c>
      <c r="Q165">
        <v>9.4062001069131901E-2</v>
      </c>
      <c r="R165">
        <v>6.1735771770670897E-2</v>
      </c>
      <c r="S165">
        <v>6.1735771770670897E-2</v>
      </c>
      <c r="T165">
        <v>-5.3046651852236101E-2</v>
      </c>
      <c r="U165">
        <v>0.68044491764727799</v>
      </c>
      <c r="V165">
        <v>0.38635670243409997</v>
      </c>
      <c r="Y165" s="1">
        <v>41487</v>
      </c>
      <c r="Z165" s="4">
        <f t="shared" si="23"/>
        <v>0.100029896531128</v>
      </c>
      <c r="AA165" s="4">
        <f t="shared" si="24"/>
        <v>8.2281248652468095E-2</v>
      </c>
      <c r="AC165" s="1">
        <v>41487</v>
      </c>
      <c r="AD165" s="4">
        <f t="shared" si="25"/>
        <v>5.5403708775639299E-2</v>
      </c>
      <c r="AE165" s="4">
        <f t="shared" si="26"/>
        <v>5.8175963308207901E-2</v>
      </c>
      <c r="AG165" s="1">
        <v>41487</v>
      </c>
      <c r="AH165" s="4">
        <f t="shared" si="27"/>
        <v>5.4487917777158001E-2</v>
      </c>
      <c r="AI165" s="4">
        <f t="shared" si="28"/>
        <v>4.9947931465758801E-2</v>
      </c>
      <c r="AK165" s="1">
        <v>41487</v>
      </c>
      <c r="AL165" s="4">
        <f t="shared" si="29"/>
        <v>5.5403708775639299E-2</v>
      </c>
      <c r="AM165" s="4">
        <f t="shared" si="30"/>
        <v>1.0993275649783909E-2</v>
      </c>
      <c r="AO165" s="1">
        <v>41487</v>
      </c>
      <c r="AP165" s="4">
        <f t="shared" si="31"/>
        <v>0.37730312643430203</v>
      </c>
      <c r="AQ165" s="4">
        <f t="shared" si="32"/>
        <v>0.32273703789583097</v>
      </c>
    </row>
    <row r="166" spans="1:43" x14ac:dyDescent="0.25">
      <c r="A166" s="1">
        <v>41791</v>
      </c>
      <c r="B166" s="4">
        <v>9.7921127283926102E-2</v>
      </c>
      <c r="C166" s="4">
        <v>2.36574117376546E-2</v>
      </c>
      <c r="D166" s="4">
        <v>1.9834931332483202E-3</v>
      </c>
      <c r="E166" s="4">
        <v>4.9559888388270804E-3</v>
      </c>
      <c r="F166" s="4">
        <v>8.8295787560343803E-3</v>
      </c>
      <c r="G166" s="4">
        <v>2.63604430142843E-2</v>
      </c>
      <c r="H166" s="4">
        <v>6.5786915480048697E-2</v>
      </c>
      <c r="I166" s="4">
        <v>0.82652364892441599</v>
      </c>
      <c r="J166" s="4">
        <v>5.7657428116996402E-2</v>
      </c>
      <c r="K166" s="4">
        <v>1.5071105880302899E-3</v>
      </c>
      <c r="L166" s="4">
        <v>1.2064651674350099E-2</v>
      </c>
      <c r="M166" s="4">
        <v>0.89775283930379302</v>
      </c>
      <c r="N166" s="4">
        <f t="shared" si="22"/>
        <v>0.26595520346018175</v>
      </c>
      <c r="P166" s="1">
        <v>41426</v>
      </c>
      <c r="Q166">
        <v>9.4211372052085601E-2</v>
      </c>
      <c r="R166">
        <v>5.3900349577421201E-2</v>
      </c>
      <c r="S166">
        <v>5.3900349577421201E-2</v>
      </c>
      <c r="T166">
        <v>-5.2338327757363003E-2</v>
      </c>
      <c r="U166">
        <v>0.68762508828062496</v>
      </c>
      <c r="V166">
        <v>0.38859887077194399</v>
      </c>
      <c r="Y166" s="1">
        <v>41518</v>
      </c>
      <c r="Z166" s="4">
        <f t="shared" si="23"/>
        <v>9.77607272437125E-2</v>
      </c>
      <c r="AA166" s="4">
        <f t="shared" si="24"/>
        <v>8.6609097497582305E-2</v>
      </c>
      <c r="AC166" s="1">
        <v>41518</v>
      </c>
      <c r="AD166" s="4">
        <f t="shared" si="25"/>
        <v>5.78632513480523E-2</v>
      </c>
      <c r="AE166" s="4">
        <f t="shared" si="26"/>
        <v>5.6069420908150203E-2</v>
      </c>
      <c r="AG166" s="1">
        <v>41518</v>
      </c>
      <c r="AH166" s="4">
        <f t="shared" si="27"/>
        <v>5.4477936275759503E-2</v>
      </c>
      <c r="AI166" s="4">
        <f t="shared" si="28"/>
        <v>5.2113159242767902E-2</v>
      </c>
      <c r="AK166" s="1">
        <v>41518</v>
      </c>
      <c r="AL166" s="4">
        <f t="shared" si="29"/>
        <v>5.78632513480523E-2</v>
      </c>
      <c r="AM166" s="4">
        <f t="shared" si="30"/>
        <v>9.6576545511454989E-3</v>
      </c>
      <c r="AO166" s="1">
        <v>41518</v>
      </c>
      <c r="AP166" s="4">
        <f t="shared" si="31"/>
        <v>0.37143204983649603</v>
      </c>
      <c r="AQ166" s="4">
        <f t="shared" si="32"/>
        <v>0.30188087560971433</v>
      </c>
    </row>
    <row r="167" spans="1:43" x14ac:dyDescent="0.25">
      <c r="A167" s="1">
        <v>41821</v>
      </c>
      <c r="B167" s="4">
        <v>0.104909047910465</v>
      </c>
      <c r="C167" s="4">
        <v>2.4483729626612799E-2</v>
      </c>
      <c r="D167" s="4">
        <v>1.6798264342279699E-3</v>
      </c>
      <c r="E167" s="4">
        <v>4.9466950551928504E-3</v>
      </c>
      <c r="F167" s="4">
        <v>9.7481055811747194E-3</v>
      </c>
      <c r="G167" s="4">
        <v>2.7097033643447999E-2</v>
      </c>
      <c r="H167" s="4">
        <v>6.7955390340656396E-2</v>
      </c>
      <c r="I167" s="4">
        <v>0.82745079883295403</v>
      </c>
      <c r="J167" s="4">
        <v>5.15357736988937E-2</v>
      </c>
      <c r="K167" s="4">
        <v>1.9175964423334601E-4</v>
      </c>
      <c r="L167" s="4">
        <v>1.1659942428896401E-2</v>
      </c>
      <c r="M167" s="4">
        <v>0.890838274604977</v>
      </c>
      <c r="N167" s="4">
        <f t="shared" si="22"/>
        <v>0.2820261636461443</v>
      </c>
      <c r="P167" s="1">
        <v>41456</v>
      </c>
      <c r="Q167">
        <v>9.4522042517451499E-2</v>
      </c>
      <c r="R167">
        <v>5.6575613322713797E-2</v>
      </c>
      <c r="S167">
        <v>5.6575613322713797E-2</v>
      </c>
      <c r="T167">
        <v>-4.94854662796727E-2</v>
      </c>
      <c r="U167">
        <v>0.69824316003836395</v>
      </c>
      <c r="V167">
        <v>0.37094896122328502</v>
      </c>
      <c r="Y167" s="1">
        <v>41548</v>
      </c>
      <c r="Z167" s="4">
        <f t="shared" si="23"/>
        <v>0.102145458753505</v>
      </c>
      <c r="AA167" s="4">
        <f t="shared" si="24"/>
        <v>9.3926693713456397E-2</v>
      </c>
      <c r="AC167" s="1">
        <v>41548</v>
      </c>
      <c r="AD167" s="4">
        <f t="shared" si="25"/>
        <v>5.3812091381034197E-2</v>
      </c>
      <c r="AE167" s="4">
        <f t="shared" si="26"/>
        <v>5.3030530270597002E-2</v>
      </c>
      <c r="AG167" s="1">
        <v>41548</v>
      </c>
      <c r="AH167" s="4">
        <f t="shared" si="27"/>
        <v>5.7509739653633797E-2</v>
      </c>
      <c r="AI167" s="4">
        <f t="shared" si="28"/>
        <v>5.23286033314787E-2</v>
      </c>
      <c r="AK167" s="1">
        <v>41548</v>
      </c>
      <c r="AL167" s="4">
        <f t="shared" si="29"/>
        <v>5.3812091381034197E-2</v>
      </c>
      <c r="AM167" s="4">
        <f t="shared" si="30"/>
        <v>8.4012890487300314E-3</v>
      </c>
      <c r="AO167" s="1">
        <v>41548</v>
      </c>
      <c r="AP167" s="4">
        <f t="shared" si="31"/>
        <v>0.38517327684701202</v>
      </c>
      <c r="AQ167" s="4">
        <f t="shared" si="32"/>
        <v>0.32278040253986306</v>
      </c>
    </row>
    <row r="168" spans="1:43" x14ac:dyDescent="0.25">
      <c r="A168" s="1">
        <v>41852</v>
      </c>
      <c r="B168" s="4">
        <v>0.103722234371903</v>
      </c>
      <c r="C168" s="4">
        <v>2.2287267538558201E-2</v>
      </c>
      <c r="D168" s="4">
        <v>2.36192064671041E-3</v>
      </c>
      <c r="E168" s="4">
        <v>4.9685297019374198E-3</v>
      </c>
      <c r="F168" s="4">
        <v>1.0987042804021701E-2</v>
      </c>
      <c r="G168" s="4">
        <v>2.59348994502119E-2</v>
      </c>
      <c r="H168" s="4">
        <v>6.6539660141439805E-2</v>
      </c>
      <c r="I168" s="4">
        <v>0.82132765103824801</v>
      </c>
      <c r="J168" s="4">
        <v>5.8715470720815899E-2</v>
      </c>
      <c r="K168" s="4">
        <v>0</v>
      </c>
      <c r="L168" s="4">
        <v>1.14849430650815E-2</v>
      </c>
      <c r="M168" s="4">
        <v>0.89152806482414504</v>
      </c>
      <c r="N168" s="4">
        <f t="shared" si="22"/>
        <v>0.27873382968919769</v>
      </c>
      <c r="P168" s="1">
        <v>41487</v>
      </c>
      <c r="Q168">
        <v>0.100029896531128</v>
      </c>
      <c r="R168">
        <v>5.5403708775639299E-2</v>
      </c>
      <c r="S168">
        <v>5.5403708775639299E-2</v>
      </c>
      <c r="T168">
        <v>-5.4487917777158001E-2</v>
      </c>
      <c r="U168">
        <v>0.70575050910559101</v>
      </c>
      <c r="V168">
        <v>0.37730312643430203</v>
      </c>
      <c r="Y168" s="1">
        <v>41579</v>
      </c>
      <c r="Z168" s="4">
        <f t="shared" si="23"/>
        <v>9.9495114592577205E-2</v>
      </c>
      <c r="AA168" s="4">
        <f t="shared" si="24"/>
        <v>9.3732177924402194E-2</v>
      </c>
      <c r="AC168" s="1">
        <v>41579</v>
      </c>
      <c r="AD168" s="4">
        <f t="shared" si="25"/>
        <v>5.8232831243128301E-2</v>
      </c>
      <c r="AE168" s="4">
        <f t="shared" si="26"/>
        <v>5.6419080320786998E-2</v>
      </c>
      <c r="AG168" s="1">
        <v>41579</v>
      </c>
      <c r="AH168" s="4">
        <f t="shared" si="27"/>
        <v>5.5389497672561197E-2</v>
      </c>
      <c r="AI168" s="4">
        <f t="shared" si="28"/>
        <v>5.5573022404341199E-2</v>
      </c>
      <c r="AK168" s="1">
        <v>41579</v>
      </c>
      <c r="AL168" s="4">
        <f t="shared" si="29"/>
        <v>5.8232831243128301E-2</v>
      </c>
      <c r="AM168" s="4">
        <f t="shared" si="30"/>
        <v>1.2243390613209879E-2</v>
      </c>
      <c r="AO168" s="1">
        <v>41579</v>
      </c>
      <c r="AP168" s="4">
        <f t="shared" si="31"/>
        <v>0.369477119114965</v>
      </c>
      <c r="AQ168" s="4">
        <f t="shared" si="32"/>
        <v>0.31163389208825742</v>
      </c>
    </row>
    <row r="169" spans="1:43" x14ac:dyDescent="0.25">
      <c r="A169" s="1">
        <v>41883</v>
      </c>
      <c r="B169" s="4">
        <v>0.10462629298912</v>
      </c>
      <c r="C169" s="4">
        <v>2.5505098807265002E-2</v>
      </c>
      <c r="D169" s="4">
        <v>2.2916247070514698E-3</v>
      </c>
      <c r="E169" s="4">
        <v>5.3291072174857304E-3</v>
      </c>
      <c r="F169" s="4">
        <v>1.30828183568135E-2</v>
      </c>
      <c r="G169" s="4">
        <v>2.7544911596547601E-2</v>
      </c>
      <c r="H169" s="4">
        <v>7.3753560685163394E-2</v>
      </c>
      <c r="I169" s="4">
        <v>0.824824243464232</v>
      </c>
      <c r="J169" s="4">
        <v>5.3078964666657798E-2</v>
      </c>
      <c r="K169" s="4">
        <v>0</v>
      </c>
      <c r="L169" s="4">
        <v>1.1111103188485599E-2</v>
      </c>
      <c r="M169" s="4">
        <v>0.88901431131937603</v>
      </c>
      <c r="N169" s="4">
        <f t="shared" si="22"/>
        <v>0.2893655423549073</v>
      </c>
      <c r="P169" s="1">
        <v>41518</v>
      </c>
      <c r="Q169">
        <v>9.77607272437125E-2</v>
      </c>
      <c r="R169">
        <v>5.78632513480523E-2</v>
      </c>
      <c r="S169">
        <v>5.78632513480523E-2</v>
      </c>
      <c r="T169">
        <v>-5.4477936275759503E-2</v>
      </c>
      <c r="U169">
        <v>0.70675505476029699</v>
      </c>
      <c r="V169">
        <v>0.37143204983649603</v>
      </c>
      <c r="Y169" s="1">
        <v>41609</v>
      </c>
      <c r="Z169" s="4">
        <f t="shared" si="23"/>
        <v>0.105014609376821</v>
      </c>
      <c r="AA169" s="4">
        <f t="shared" si="24"/>
        <v>8.8617894724277502E-2</v>
      </c>
      <c r="AC169" s="1">
        <v>41609</v>
      </c>
      <c r="AD169" s="4">
        <f t="shared" si="25"/>
        <v>5.1825807577201899E-2</v>
      </c>
      <c r="AE169" s="4">
        <f t="shared" si="26"/>
        <v>5.4206570763887997E-2</v>
      </c>
      <c r="AG169" s="1">
        <v>41609</v>
      </c>
      <c r="AH169" s="4">
        <f t="shared" si="27"/>
        <v>6.0758015716592499E-2</v>
      </c>
      <c r="AI169" s="4">
        <f t="shared" si="28"/>
        <v>5.6114924282706799E-2</v>
      </c>
      <c r="AK169" s="1">
        <v>41609</v>
      </c>
      <c r="AL169" s="4">
        <f t="shared" si="29"/>
        <v>5.1825807577201899E-2</v>
      </c>
      <c r="AM169" s="4">
        <f t="shared" si="30"/>
        <v>9.7835526245734893E-3</v>
      </c>
      <c r="AO169" s="1">
        <v>41609</v>
      </c>
      <c r="AP169" s="4">
        <f t="shared" si="31"/>
        <v>0.38833396451042301</v>
      </c>
      <c r="AQ169" s="4">
        <f t="shared" si="32"/>
        <v>0.28988952011932334</v>
      </c>
    </row>
    <row r="170" spans="1:43" x14ac:dyDescent="0.25">
      <c r="A170" s="1">
        <v>41913</v>
      </c>
      <c r="B170" s="4">
        <v>0.110541766477756</v>
      </c>
      <c r="C170" s="4">
        <v>2.33111818040737E-2</v>
      </c>
      <c r="D170" s="4">
        <v>2.0870435239863198E-3</v>
      </c>
      <c r="E170" s="4">
        <v>5.0207714210354698E-3</v>
      </c>
      <c r="F170" s="4">
        <v>1.16546695859105E-2</v>
      </c>
      <c r="G170" s="4">
        <v>2.7690665731021701E-2</v>
      </c>
      <c r="H170" s="4">
        <v>6.9764332066027904E-2</v>
      </c>
      <c r="I170" s="4">
        <v>0.81138886549820999</v>
      </c>
      <c r="J170" s="4">
        <v>4.7937210395830702E-2</v>
      </c>
      <c r="K170" s="4">
        <v>0</v>
      </c>
      <c r="L170" s="4">
        <v>1.08782728833556E-2</v>
      </c>
      <c r="M170" s="4">
        <v>0.87020434877739705</v>
      </c>
      <c r="N170" s="4">
        <f t="shared" si="22"/>
        <v>0.31010174976638682</v>
      </c>
      <c r="P170" s="1">
        <v>41548</v>
      </c>
      <c r="Q170">
        <v>0.102145458753505</v>
      </c>
      <c r="R170">
        <v>5.3812091381034197E-2</v>
      </c>
      <c r="S170">
        <v>5.3812091381034197E-2</v>
      </c>
      <c r="T170">
        <v>-5.7509739653633797E-2</v>
      </c>
      <c r="U170">
        <v>0.70355492914246098</v>
      </c>
      <c r="V170">
        <v>0.38517327684701202</v>
      </c>
      <c r="Y170" s="1">
        <v>41640</v>
      </c>
      <c r="Z170" s="4">
        <f t="shared" si="23"/>
        <v>0.12078379423586801</v>
      </c>
      <c r="AA170" s="4">
        <f t="shared" si="24"/>
        <v>9.0893837505477304E-2</v>
      </c>
      <c r="AC170" s="1">
        <v>41640</v>
      </c>
      <c r="AD170" s="4">
        <f t="shared" si="25"/>
        <v>3.4665691849701502E-2</v>
      </c>
      <c r="AE170" s="4">
        <f t="shared" si="26"/>
        <v>5.3468061593307699E-2</v>
      </c>
      <c r="AG170" s="1">
        <v>41640</v>
      </c>
      <c r="AH170" s="4">
        <f t="shared" si="27"/>
        <v>7.3187065875081503E-2</v>
      </c>
      <c r="AI170" s="4">
        <f t="shared" si="28"/>
        <v>5.7011877522647102E-2</v>
      </c>
      <c r="AK170" s="1">
        <v>41640</v>
      </c>
      <c r="AL170" s="4">
        <f t="shared" si="29"/>
        <v>3.4665691849701502E-2</v>
      </c>
      <c r="AM170" s="4">
        <f t="shared" si="30"/>
        <v>1.038359978614794E-2</v>
      </c>
      <c r="AO170" s="1">
        <v>41640</v>
      </c>
      <c r="AP170" s="4">
        <f t="shared" si="31"/>
        <v>0.418490854553693</v>
      </c>
      <c r="AQ170" s="4">
        <f t="shared" si="32"/>
        <v>0.28234050667075339</v>
      </c>
    </row>
    <row r="171" spans="1:43" x14ac:dyDescent="0.25">
      <c r="A171" s="1">
        <v>41944</v>
      </c>
      <c r="B171" s="4">
        <v>0.11006132202663101</v>
      </c>
      <c r="C171" s="4">
        <v>2.2451084828545801E-2</v>
      </c>
      <c r="D171" s="4">
        <v>1.8644582836708399E-3</v>
      </c>
      <c r="E171" s="4">
        <v>5.3875550368101396E-3</v>
      </c>
      <c r="F171" s="4">
        <v>1.4015354265779999E-2</v>
      </c>
      <c r="G171" s="4">
        <v>2.9031976331742999E-2</v>
      </c>
      <c r="H171" s="4">
        <v>7.2750428746549897E-2</v>
      </c>
      <c r="I171" s="4">
        <v>0.80264365249167102</v>
      </c>
      <c r="J171" s="4">
        <v>3.4985433875411698E-2</v>
      </c>
      <c r="K171" s="4">
        <v>0</v>
      </c>
      <c r="L171" s="4">
        <v>8.4276509408797301E-3</v>
      </c>
      <c r="M171" s="4">
        <v>0.84605673730796205</v>
      </c>
      <c r="P171" s="1">
        <v>41579</v>
      </c>
      <c r="Q171">
        <v>9.9495114592577205E-2</v>
      </c>
      <c r="R171">
        <v>5.8232831243128301E-2</v>
      </c>
      <c r="S171">
        <v>5.8232831243128301E-2</v>
      </c>
      <c r="T171">
        <v>-5.5389497672561197E-2</v>
      </c>
      <c r="U171">
        <v>0.70500681413046695</v>
      </c>
      <c r="V171">
        <v>0.369477119114965</v>
      </c>
      <c r="Y171" s="1">
        <v>41671</v>
      </c>
      <c r="Z171" s="4">
        <f t="shared" si="23"/>
        <v>0.116581088597731</v>
      </c>
      <c r="AA171" s="4">
        <f t="shared" si="24"/>
        <v>0.10153614648525899</v>
      </c>
      <c r="AC171" s="1">
        <v>41671</v>
      </c>
      <c r="AD171" s="4">
        <f t="shared" si="25"/>
        <v>4.07504767326652E-2</v>
      </c>
      <c r="AE171" s="4">
        <f t="shared" si="26"/>
        <v>5.8522048228137398E-2</v>
      </c>
      <c r="AG171" s="1">
        <v>41671</v>
      </c>
      <c r="AH171" s="4">
        <f t="shared" si="27"/>
        <v>7.0689842415726095E-2</v>
      </c>
      <c r="AI171" s="4">
        <f t="shared" si="28"/>
        <v>5.82954479350698E-2</v>
      </c>
      <c r="AK171" s="1">
        <v>41671</v>
      </c>
      <c r="AL171" s="4">
        <f t="shared" si="29"/>
        <v>4.07504767326652E-2</v>
      </c>
      <c r="AM171" s="4">
        <f t="shared" si="30"/>
        <v>1.103938147285927E-2</v>
      </c>
      <c r="AO171" s="1">
        <v>41671</v>
      </c>
      <c r="AP171" s="4">
        <f t="shared" si="31"/>
        <v>0.41837057234213498</v>
      </c>
      <c r="AQ171" s="4">
        <f t="shared" si="32"/>
        <v>0.29311196112597682</v>
      </c>
    </row>
    <row r="172" spans="1:43" x14ac:dyDescent="0.25">
      <c r="A172" s="1">
        <v>41974</v>
      </c>
      <c r="B172" s="4">
        <v>0.11034187743634</v>
      </c>
      <c r="C172" s="4">
        <v>2.1829243293617798E-2</v>
      </c>
      <c r="D172" s="4">
        <v>1.3785190020821601E-3</v>
      </c>
      <c r="E172" s="4">
        <v>5.2728246819301198E-3</v>
      </c>
      <c r="F172" s="4">
        <v>9.7011051106596097E-3</v>
      </c>
      <c r="G172" s="4">
        <v>2.8876844920688802E-2</v>
      </c>
      <c r="H172" s="4">
        <v>6.70585370089785E-2</v>
      </c>
      <c r="I172" s="4">
        <v>0.79559221232240296</v>
      </c>
      <c r="J172" s="4">
        <v>4.2019178658983997E-2</v>
      </c>
      <c r="K172" s="4">
        <v>0</v>
      </c>
      <c r="L172" s="4">
        <v>9.3022815095252197E-3</v>
      </c>
      <c r="M172" s="4">
        <v>0.84691367249091198</v>
      </c>
      <c r="P172" s="1">
        <v>41609</v>
      </c>
      <c r="Q172">
        <v>0.105014609376821</v>
      </c>
      <c r="R172">
        <v>5.1825807577201899E-2</v>
      </c>
      <c r="S172">
        <v>5.1825807577201899E-2</v>
      </c>
      <c r="T172">
        <v>-6.0758015716592499E-2</v>
      </c>
      <c r="U172">
        <v>0.70730130255769197</v>
      </c>
      <c r="V172">
        <v>0.38833396451042301</v>
      </c>
      <c r="Y172" s="1">
        <v>41699</v>
      </c>
      <c r="Z172" s="4">
        <f t="shared" si="23"/>
        <v>0.11483861135885801</v>
      </c>
      <c r="AA172" s="4">
        <f t="shared" si="24"/>
        <v>9.7234264014659996E-2</v>
      </c>
      <c r="AC172" s="1">
        <v>41699</v>
      </c>
      <c r="AD172" s="4">
        <f t="shared" si="25"/>
        <v>3.4148413684032E-2</v>
      </c>
      <c r="AE172" s="4">
        <f t="shared" si="26"/>
        <v>5.2480299185635203E-2</v>
      </c>
      <c r="AG172" s="1">
        <v>41699</v>
      </c>
      <c r="AH172" s="4">
        <f t="shared" si="27"/>
        <v>7.0824396490645702E-2</v>
      </c>
      <c r="AI172" s="4">
        <f t="shared" si="28"/>
        <v>6.23255440514714E-2</v>
      </c>
      <c r="AK172" s="1">
        <v>41699</v>
      </c>
      <c r="AL172" s="4">
        <f t="shared" si="29"/>
        <v>3.4148413684032E-2</v>
      </c>
      <c r="AM172" s="4">
        <f t="shared" si="30"/>
        <v>1.233050767171914E-2</v>
      </c>
      <c r="AO172" s="1">
        <v>41699</v>
      </c>
      <c r="AP172" s="4">
        <f t="shared" si="31"/>
        <v>0.40934538423910299</v>
      </c>
      <c r="AQ172" s="4">
        <f t="shared" si="32"/>
        <v>0.2899853903021874</v>
      </c>
    </row>
    <row r="173" spans="1:43" x14ac:dyDescent="0.25">
      <c r="P173" s="1">
        <v>41640</v>
      </c>
      <c r="Q173">
        <v>0.12078379423586801</v>
      </c>
      <c r="R173">
        <v>3.4665691849701502E-2</v>
      </c>
      <c r="S173">
        <v>3.4665691849701502E-2</v>
      </c>
      <c r="T173">
        <v>-7.3187065875081503E-2</v>
      </c>
      <c r="U173">
        <v>0.71986499617035904</v>
      </c>
      <c r="V173">
        <v>0.418490854553693</v>
      </c>
      <c r="Y173" s="1">
        <v>41730</v>
      </c>
      <c r="Z173" s="4">
        <f t="shared" si="23"/>
        <v>0.122293851488305</v>
      </c>
      <c r="AA173" s="4">
        <f t="shared" si="24"/>
        <v>9.5751158614092002E-2</v>
      </c>
      <c r="AC173" s="1">
        <v>41730</v>
      </c>
      <c r="AD173" s="4">
        <f t="shared" si="25"/>
        <v>3.7077895134962402E-2</v>
      </c>
      <c r="AE173" s="4">
        <f t="shared" si="26"/>
        <v>5.0936760696596202E-2</v>
      </c>
      <c r="AG173" s="1">
        <v>41730</v>
      </c>
      <c r="AH173" s="4">
        <f t="shared" si="27"/>
        <v>7.0142064571467905E-2</v>
      </c>
      <c r="AI173" s="4">
        <f t="shared" si="28"/>
        <v>6.0059103668976502E-2</v>
      </c>
      <c r="AK173" s="1">
        <v>41730</v>
      </c>
      <c r="AL173" s="4">
        <f t="shared" si="29"/>
        <v>3.7077895134962402E-2</v>
      </c>
      <c r="AM173" s="4">
        <f t="shared" si="30"/>
        <v>9.2588334382900095E-3</v>
      </c>
      <c r="AO173" s="1">
        <v>41730</v>
      </c>
      <c r="AP173" s="4">
        <f t="shared" si="31"/>
        <v>0.44820743833253901</v>
      </c>
      <c r="AQ173" s="4">
        <f t="shared" si="32"/>
        <v>0.2962218654379094</v>
      </c>
    </row>
    <row r="174" spans="1:43" x14ac:dyDescent="0.25">
      <c r="P174" s="1">
        <v>41671</v>
      </c>
      <c r="Q174">
        <v>0.116581088597731</v>
      </c>
      <c r="R174">
        <v>4.07504767326652E-2</v>
      </c>
      <c r="S174">
        <v>4.07504767326652E-2</v>
      </c>
      <c r="T174">
        <v>-7.0689842415726095E-2</v>
      </c>
      <c r="U174">
        <v>0.711358428113818</v>
      </c>
      <c r="V174">
        <v>0.41837057234213498</v>
      </c>
      <c r="Y174" s="1">
        <v>41760</v>
      </c>
      <c r="Z174" s="4">
        <f t="shared" si="23"/>
        <v>0.12464585152198</v>
      </c>
      <c r="AA174" s="4">
        <f t="shared" si="24"/>
        <v>8.9671336358849094E-2</v>
      </c>
      <c r="AC174" s="1">
        <v>41760</v>
      </c>
      <c r="AD174" s="4">
        <f t="shared" si="25"/>
        <v>3.2512436084436297E-2</v>
      </c>
      <c r="AE174" s="4">
        <f t="shared" si="26"/>
        <v>5.0093887678346903E-2</v>
      </c>
      <c r="AG174" s="1">
        <v>41760</v>
      </c>
      <c r="AH174" s="4">
        <f t="shared" si="27"/>
        <v>6.6364093606689295E-2</v>
      </c>
      <c r="AI174" s="4">
        <f t="shared" si="28"/>
        <v>5.9926609017130698E-2</v>
      </c>
      <c r="AK174" s="1">
        <v>41760</v>
      </c>
      <c r="AL174" s="4">
        <f t="shared" si="29"/>
        <v>3.2512436084436297E-2</v>
      </c>
      <c r="AM174" s="4">
        <f t="shared" si="30"/>
        <v>9.0293261781649193E-3</v>
      </c>
      <c r="AO174" s="1">
        <v>41760</v>
      </c>
      <c r="AP174" s="4">
        <f t="shared" si="31"/>
        <v>0.47595752637365801</v>
      </c>
      <c r="AQ174" s="4">
        <f t="shared" si="32"/>
        <v>0.27166726389124374</v>
      </c>
    </row>
    <row r="175" spans="1:43" x14ac:dyDescent="0.25">
      <c r="P175" s="1">
        <v>41699</v>
      </c>
      <c r="Q175">
        <v>0.11483861135885801</v>
      </c>
      <c r="R175">
        <v>3.4148413684032E-2</v>
      </c>
      <c r="S175">
        <v>3.4148413684032E-2</v>
      </c>
      <c r="T175">
        <v>-7.0824396490645702E-2</v>
      </c>
      <c r="U175">
        <v>0.72116469124057603</v>
      </c>
      <c r="V175">
        <v>0.40934538423910299</v>
      </c>
      <c r="Y175" s="1">
        <v>41791</v>
      </c>
      <c r="Z175" s="4">
        <f t="shared" si="23"/>
        <v>0.13125442780722399</v>
      </c>
      <c r="AA175" s="4">
        <f t="shared" si="24"/>
        <v>9.7921127283926102E-2</v>
      </c>
      <c r="AC175" s="1">
        <v>41791</v>
      </c>
      <c r="AD175" s="4">
        <f t="shared" si="25"/>
        <v>2.4337516546101199E-2</v>
      </c>
      <c r="AE175" s="4">
        <f t="shared" si="26"/>
        <v>5.7657428116996402E-2</v>
      </c>
      <c r="AG175" s="1">
        <v>41791</v>
      </c>
      <c r="AH175" s="4">
        <f t="shared" si="27"/>
        <v>5.7733084248658702E-2</v>
      </c>
      <c r="AI175" s="4">
        <f t="shared" si="28"/>
        <v>6.5786915480048697E-2</v>
      </c>
      <c r="AK175" s="1">
        <v>41791</v>
      </c>
      <c r="AL175" s="4">
        <f t="shared" si="29"/>
        <v>2.4337516546101199E-2</v>
      </c>
      <c r="AM175" s="4">
        <f t="shared" si="30"/>
        <v>1.3571762262380389E-2</v>
      </c>
      <c r="AO175" s="1">
        <v>41791</v>
      </c>
      <c r="AP175" s="4">
        <f t="shared" si="31"/>
        <v>0.55013773478321604</v>
      </c>
      <c r="AQ175" s="4">
        <f t="shared" si="32"/>
        <v>0.26595520346018175</v>
      </c>
    </row>
    <row r="176" spans="1:43" x14ac:dyDescent="0.25">
      <c r="P176" s="1">
        <v>41730</v>
      </c>
      <c r="Q176">
        <v>0.122293851488305</v>
      </c>
      <c r="R176">
        <v>3.7077895134962402E-2</v>
      </c>
      <c r="S176">
        <v>3.7077895134962402E-2</v>
      </c>
      <c r="T176">
        <v>-7.0142064571467905E-2</v>
      </c>
      <c r="U176">
        <v>0.68967411131547496</v>
      </c>
      <c r="V176">
        <v>0.44820743833253901</v>
      </c>
      <c r="Y176" s="1">
        <v>41821</v>
      </c>
      <c r="Z176" s="4">
        <f t="shared" si="23"/>
        <v>0.13640862260932701</v>
      </c>
      <c r="AA176" s="4">
        <f t="shared" si="24"/>
        <v>0.104909047910465</v>
      </c>
      <c r="AC176" s="1">
        <v>41821</v>
      </c>
      <c r="AD176" s="4">
        <f t="shared" si="25"/>
        <v>8.9674926754150005E-3</v>
      </c>
      <c r="AE176" s="4">
        <f t="shared" si="26"/>
        <v>5.15357736988937E-2</v>
      </c>
      <c r="AG176" s="1">
        <v>41821</v>
      </c>
      <c r="AH176" s="4">
        <f t="shared" si="27"/>
        <v>4.0988347003953103E-2</v>
      </c>
      <c r="AI176" s="4">
        <f t="shared" si="28"/>
        <v>6.7955390340656396E-2</v>
      </c>
      <c r="AK176" s="1">
        <v>41821</v>
      </c>
      <c r="AL176" s="4">
        <f t="shared" si="29"/>
        <v>8.9674926754150005E-3</v>
      </c>
      <c r="AM176" s="4">
        <f t="shared" si="30"/>
        <v>1.1851702073129746E-2</v>
      </c>
      <c r="AO176" s="1">
        <v>41821</v>
      </c>
      <c r="AP176" s="4">
        <f t="shared" si="31"/>
        <v>0.64508191797084702</v>
      </c>
      <c r="AQ176" s="4">
        <f t="shared" si="32"/>
        <v>0.2820261636461443</v>
      </c>
    </row>
    <row r="177" spans="16:43" x14ac:dyDescent="0.25">
      <c r="P177" s="1">
        <v>41760</v>
      </c>
      <c r="Q177">
        <v>0.12464585152198</v>
      </c>
      <c r="R177">
        <v>3.2512436084436297E-2</v>
      </c>
      <c r="S177">
        <v>3.2512436084436297E-2</v>
      </c>
      <c r="T177">
        <v>-6.6364093606689295E-2</v>
      </c>
      <c r="U177">
        <v>0.66948002416934405</v>
      </c>
      <c r="V177">
        <v>0.47595752637365801</v>
      </c>
      <c r="Y177" s="1">
        <v>41852</v>
      </c>
      <c r="Z177" s="4">
        <f t="shared" si="23"/>
        <v>0.176287038448353</v>
      </c>
      <c r="AA177" s="4">
        <f t="shared" si="24"/>
        <v>0.103722234371903</v>
      </c>
      <c r="AC177" s="1">
        <v>41852</v>
      </c>
      <c r="AD177" s="4">
        <f t="shared" si="25"/>
        <v>2.3777292459265598E-3</v>
      </c>
      <c r="AE177" s="4">
        <f t="shared" si="26"/>
        <v>5.8715470720815899E-2</v>
      </c>
      <c r="AG177" s="1">
        <v>41852</v>
      </c>
      <c r="AH177" s="4">
        <f t="shared" si="27"/>
        <v>6.49361735050243E-2</v>
      </c>
      <c r="AI177" s="4">
        <f t="shared" si="28"/>
        <v>6.6539660141439805E-2</v>
      </c>
      <c r="AK177" s="1">
        <v>41852</v>
      </c>
      <c r="AL177" s="4">
        <f t="shared" si="29"/>
        <v>2.3777292459265598E-3</v>
      </c>
      <c r="AM177" s="4">
        <f t="shared" si="30"/>
        <v>1.14849430650815E-2</v>
      </c>
      <c r="AO177" s="1">
        <v>41852</v>
      </c>
      <c r="AP177" s="4">
        <f t="shared" si="31"/>
        <v>0.61238160281795795</v>
      </c>
      <c r="AQ177" s="4">
        <f t="shared" si="32"/>
        <v>0.27873382968919769</v>
      </c>
    </row>
    <row r="178" spans="16:43" x14ac:dyDescent="0.25">
      <c r="P178" s="1">
        <v>41791</v>
      </c>
      <c r="Q178">
        <v>0.13125442780722399</v>
      </c>
      <c r="R178">
        <v>2.4337516546101199E-2</v>
      </c>
      <c r="S178">
        <v>2.4337516546101199E-2</v>
      </c>
      <c r="T178">
        <v>-5.7733084248658702E-2</v>
      </c>
      <c r="U178">
        <v>0.60227768755012301</v>
      </c>
      <c r="V178">
        <v>0.55013773478321604</v>
      </c>
      <c r="Y178" s="1">
        <v>41883</v>
      </c>
      <c r="Z178" s="4">
        <f t="shared" si="23"/>
        <v>0.13317227938099199</v>
      </c>
      <c r="AA178" s="4">
        <f t="shared" si="24"/>
        <v>0.10462629298912</v>
      </c>
      <c r="AC178" s="1">
        <v>41883</v>
      </c>
      <c r="AD178" s="4">
        <f t="shared" si="25"/>
        <v>3.5302767248016598E-3</v>
      </c>
      <c r="AE178" s="4">
        <f t="shared" si="26"/>
        <v>5.3078964666657798E-2</v>
      </c>
      <c r="AG178" s="1">
        <v>41883</v>
      </c>
      <c r="AH178" s="4">
        <f t="shared" si="27"/>
        <v>5.2285781088741799E-3</v>
      </c>
      <c r="AI178" s="4">
        <f t="shared" si="28"/>
        <v>7.3753560685163394E-2</v>
      </c>
      <c r="AK178" s="1">
        <v>41883</v>
      </c>
      <c r="AL178" s="4">
        <f t="shared" si="29"/>
        <v>3.5302767248016598E-3</v>
      </c>
      <c r="AM178" s="4">
        <f t="shared" si="30"/>
        <v>1.1111103188485599E-2</v>
      </c>
      <c r="AO178" s="1">
        <v>41883</v>
      </c>
      <c r="AP178" s="4">
        <f t="shared" si="31"/>
        <v>0.90807762411415505</v>
      </c>
      <c r="AQ178" s="4">
        <f t="shared" si="32"/>
        <v>0.2893655423549073</v>
      </c>
    </row>
    <row r="179" spans="16:43" x14ac:dyDescent="0.25">
      <c r="P179" s="1">
        <v>41821</v>
      </c>
      <c r="Q179">
        <v>0.13640862260932701</v>
      </c>
      <c r="R179">
        <v>8.9674926754150005E-3</v>
      </c>
      <c r="S179">
        <v>8.9674926754150005E-3</v>
      </c>
      <c r="T179">
        <v>-4.0988347003953103E-2</v>
      </c>
      <c r="U179">
        <v>0.51482431316799704</v>
      </c>
      <c r="V179">
        <v>0.64508191797084702</v>
      </c>
    </row>
    <row r="180" spans="16:43" x14ac:dyDescent="0.25">
      <c r="P180" s="1">
        <v>41852</v>
      </c>
      <c r="Q180">
        <v>0.176287038448353</v>
      </c>
      <c r="R180">
        <v>2.3777292459265598E-3</v>
      </c>
      <c r="S180">
        <v>2.3777292459265598E-3</v>
      </c>
      <c r="T180">
        <v>-6.49361735050243E-2</v>
      </c>
      <c r="U180">
        <v>0.62452831302599898</v>
      </c>
      <c r="V180">
        <v>0.61238160281795795</v>
      </c>
    </row>
    <row r="181" spans="16:43" x14ac:dyDescent="0.25">
      <c r="P181" s="1">
        <v>41883</v>
      </c>
      <c r="Q181">
        <v>0.13317227938099199</v>
      </c>
      <c r="R181">
        <v>3.5302767248016598E-3</v>
      </c>
      <c r="S181">
        <v>3.5302767248016598E-3</v>
      </c>
      <c r="T181">
        <v>-5.2285781088741799E-3</v>
      </c>
      <c r="U181">
        <v>0.222847060819064</v>
      </c>
      <c r="V181">
        <v>0.90807762411415505</v>
      </c>
    </row>
  </sheetData>
  <pageMargins left="0.7" right="0.7" top="0.75" bottom="0.75" header="0.3" footer="0.3"/>
  <pageSetup scale="15" orientation="portrait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BF178"/>
  <sheetViews>
    <sheetView topLeftCell="Z34" workbookViewId="0">
      <selection activeCell="AS56" sqref="AS56:BC96"/>
    </sheetView>
  </sheetViews>
  <sheetFormatPr defaultRowHeight="15" x14ac:dyDescent="0.25"/>
  <cols>
    <col min="16" max="16" width="10.28515625" customWidth="1"/>
    <col min="26" max="27" width="9.140625" style="4"/>
    <col min="30" max="31" width="9.140625" style="4"/>
    <col min="34" max="35" width="9.140625" style="4"/>
    <col min="38" max="39" width="9.140625" style="4"/>
    <col min="42" max="43" width="9.140625" style="4"/>
  </cols>
  <sheetData>
    <row r="1" spans="1:43" x14ac:dyDescent="0.25">
      <c r="B1" t="s">
        <v>59</v>
      </c>
      <c r="C1" t="s">
        <v>48</v>
      </c>
      <c r="D1" t="s">
        <v>49</v>
      </c>
      <c r="E1" t="s">
        <v>50</v>
      </c>
      <c r="F1" t="s">
        <v>51</v>
      </c>
      <c r="G1" t="s">
        <v>52</v>
      </c>
      <c r="H1" t="s">
        <v>43</v>
      </c>
      <c r="I1" t="s">
        <v>53</v>
      </c>
      <c r="J1" t="s">
        <v>54</v>
      </c>
      <c r="K1" t="s">
        <v>55</v>
      </c>
      <c r="L1" t="s">
        <v>56</v>
      </c>
      <c r="M1" t="s">
        <v>57</v>
      </c>
      <c r="N1" t="s">
        <v>60</v>
      </c>
      <c r="P1" t="s">
        <v>68</v>
      </c>
      <c r="Q1" t="s">
        <v>74</v>
      </c>
      <c r="R1" t="s">
        <v>69</v>
      </c>
      <c r="S1" t="s">
        <v>70</v>
      </c>
      <c r="T1" t="s">
        <v>71</v>
      </c>
      <c r="U1" t="s">
        <v>72</v>
      </c>
      <c r="V1" t="s">
        <v>73</v>
      </c>
      <c r="Z1" s="4" t="s">
        <v>59</v>
      </c>
      <c r="AD1" s="4" t="s">
        <v>75</v>
      </c>
      <c r="AH1" s="4" t="s">
        <v>71</v>
      </c>
      <c r="AL1" s="4" t="s">
        <v>76</v>
      </c>
      <c r="AP1" s="4" t="s">
        <v>61</v>
      </c>
    </row>
    <row r="2" spans="1:43" x14ac:dyDescent="0.25">
      <c r="A2" s="1">
        <v>36831</v>
      </c>
      <c r="B2" s="4">
        <v>6.2337872890772597E-2</v>
      </c>
      <c r="C2" s="4">
        <v>4.0350194552529098E-2</v>
      </c>
      <c r="D2" s="4">
        <v>3.4341300722623598E-2</v>
      </c>
      <c r="E2" s="4">
        <v>1.7576431350750401E-2</v>
      </c>
      <c r="F2" s="4">
        <v>7.55975541967759E-3</v>
      </c>
      <c r="G2" s="4">
        <v>1.4219010561423001E-2</v>
      </c>
      <c r="H2" s="4">
        <v>0.11404669260700299</v>
      </c>
      <c r="I2" s="4">
        <v>0.97906058921623096</v>
      </c>
      <c r="J2" s="4">
        <v>0.23514730405780901</v>
      </c>
      <c r="K2" s="4">
        <v>0</v>
      </c>
      <c r="L2" s="4">
        <v>1.0778210116731499E-2</v>
      </c>
      <c r="M2" s="4">
        <v>1.2249861033907701</v>
      </c>
      <c r="N2" s="4">
        <f>B2+H2+1-M2</f>
        <v>-4.8601537892994484E-2</v>
      </c>
      <c r="P2" s="1">
        <v>36557</v>
      </c>
      <c r="Q2" s="4">
        <v>4.8750000000000002E-2</v>
      </c>
      <c r="R2" s="4">
        <v>0.128357544830768</v>
      </c>
      <c r="S2" s="4">
        <v>0.128357544830768</v>
      </c>
      <c r="T2" s="4">
        <v>-3.1992065212852201E-2</v>
      </c>
      <c r="U2" s="4">
        <v>0.87529912934868503</v>
      </c>
      <c r="V2" s="4">
        <v>6.4115156630178596E-2</v>
      </c>
      <c r="Z2" s="4" t="s">
        <v>65</v>
      </c>
      <c r="AA2" s="4" t="s">
        <v>64</v>
      </c>
      <c r="AD2" s="4" t="s">
        <v>65</v>
      </c>
      <c r="AE2" s="4" t="s">
        <v>64</v>
      </c>
      <c r="AH2" s="4" t="s">
        <v>65</v>
      </c>
      <c r="AI2" s="4" t="s">
        <v>64</v>
      </c>
      <c r="AL2" s="4" t="s">
        <v>65</v>
      </c>
      <c r="AM2" s="4" t="s">
        <v>64</v>
      </c>
      <c r="AP2" s="4" t="s">
        <v>65</v>
      </c>
      <c r="AQ2" s="4" t="s">
        <v>64</v>
      </c>
    </row>
    <row r="3" spans="1:43" x14ac:dyDescent="0.25">
      <c r="A3" s="1">
        <v>36892</v>
      </c>
      <c r="B3" s="4">
        <v>6.9067199612212804E-2</v>
      </c>
      <c r="C3" s="4">
        <v>1.8069260307129999E-2</v>
      </c>
      <c r="D3" s="4">
        <v>9.4697341184215092E-3</v>
      </c>
      <c r="E3" s="4">
        <v>6.8401927655930804E-3</v>
      </c>
      <c r="F3" s="4">
        <v>6.7505832533800705E-4</v>
      </c>
      <c r="G3" s="4">
        <v>8.3486195545120802E-3</v>
      </c>
      <c r="H3" s="4">
        <v>4.3402865070994702E-2</v>
      </c>
      <c r="I3" s="4">
        <v>0.81398692175056397</v>
      </c>
      <c r="J3" s="4">
        <v>0.18930805983995699</v>
      </c>
      <c r="K3" s="4">
        <v>5.7961423821868301E-2</v>
      </c>
      <c r="L3" s="4">
        <v>7.8358540124043004E-4</v>
      </c>
      <c r="M3" s="4">
        <v>1.06203999081363</v>
      </c>
      <c r="N3" s="4">
        <f t="shared" ref="N3:N66" si="0">B3+H3+1-M3</f>
        <v>5.0430073869577541E-2</v>
      </c>
      <c r="P3" s="1">
        <v>36586</v>
      </c>
      <c r="Q3" s="4">
        <v>6.3750000000000001E-2</v>
      </c>
      <c r="R3" s="4">
        <v>0.321505121450256</v>
      </c>
      <c r="S3" s="4">
        <v>0.321505121450256</v>
      </c>
      <c r="T3" s="4">
        <v>-4.3225825368261798E-2</v>
      </c>
      <c r="U3" s="4">
        <v>0</v>
      </c>
      <c r="V3" s="4">
        <v>-2.93296437571781E-2</v>
      </c>
      <c r="Y3" s="1">
        <v>36557</v>
      </c>
      <c r="Z3" s="4">
        <f>VLOOKUP(Y3,P:V,2,0)</f>
        <v>4.8750000000000002E-2</v>
      </c>
      <c r="AA3" s="4" t="e">
        <f>VLOOKUP(Y3,A:N,2,0)</f>
        <v>#N/A</v>
      </c>
      <c r="AC3" s="1">
        <v>36557</v>
      </c>
      <c r="AD3" s="4">
        <f>VLOOKUP(Y3,P:V,3,0)</f>
        <v>0.128357544830768</v>
      </c>
      <c r="AE3" s="4" t="e">
        <f>VLOOKUP(Y3,A:N,10,0)</f>
        <v>#N/A</v>
      </c>
      <c r="AG3" s="1">
        <v>36557</v>
      </c>
      <c r="AH3" s="4">
        <f>-VLOOKUP(Y3,P:V,5,0)</f>
        <v>3.1992065212852201E-2</v>
      </c>
      <c r="AI3" s="4" t="e">
        <f>VLOOKUP(Y3,A:N,8,0)</f>
        <v>#N/A</v>
      </c>
      <c r="AK3" s="1">
        <v>36557</v>
      </c>
      <c r="AL3" s="4">
        <f>VLOOKUP(Y3,P:V,4,0)</f>
        <v>0.128357544830768</v>
      </c>
      <c r="AM3" s="4" t="e">
        <f>VLOOKUP(Y3,A:N,11,0)+VLOOKUP(Y3,A:N,12,0)</f>
        <v>#N/A</v>
      </c>
      <c r="AO3" s="1">
        <v>36557</v>
      </c>
      <c r="AP3" s="4">
        <f>VLOOKUP(Y3,P:V,7,0)</f>
        <v>6.4115156630178596E-2</v>
      </c>
      <c r="AQ3" s="4" t="e">
        <f>VLOOKUP(Y3,A:N,14,0)</f>
        <v>#N/A</v>
      </c>
    </row>
    <row r="4" spans="1:43" x14ac:dyDescent="0.25">
      <c r="A4" s="1">
        <v>36923</v>
      </c>
      <c r="B4" s="4">
        <v>7.2999391095521005E-2</v>
      </c>
      <c r="C4" s="4">
        <v>2.1332143888184E-2</v>
      </c>
      <c r="D4" s="4">
        <v>2.8671528075461399E-2</v>
      </c>
      <c r="E4" s="4">
        <v>2.5259657122415698E-3</v>
      </c>
      <c r="F4" s="4">
        <v>8.4728885851268702E-4</v>
      </c>
      <c r="G4" s="4">
        <v>1.66300314562235E-2</v>
      </c>
      <c r="H4" s="4">
        <v>7.00069579906233E-2</v>
      </c>
      <c r="I4" s="4">
        <v>0.80614878206088203</v>
      </c>
      <c r="J4" s="4">
        <v>0.13212254468239101</v>
      </c>
      <c r="K4" s="4">
        <v>0.171102375277773</v>
      </c>
      <c r="L4" s="4">
        <v>2.4101165653671801E-3</v>
      </c>
      <c r="M4" s="4">
        <v>1.11178381858641</v>
      </c>
      <c r="N4" s="4">
        <f t="shared" si="0"/>
        <v>3.1222530499734225E-2</v>
      </c>
      <c r="P4" s="1">
        <v>36617</v>
      </c>
      <c r="Q4" s="4">
        <v>6.9298966752534594E-2</v>
      </c>
      <c r="R4" s="4">
        <v>0.42094215861961898</v>
      </c>
      <c r="S4" s="4">
        <v>0.42094215861961898</v>
      </c>
      <c r="T4" s="4">
        <v>-5.8803569877551198E-2</v>
      </c>
      <c r="U4" s="4">
        <v>0.40582228852229801</v>
      </c>
      <c r="V4" s="4">
        <v>-2.0734916458571701E-2</v>
      </c>
      <c r="Y4" s="1">
        <v>36586</v>
      </c>
      <c r="Z4" s="4">
        <f t="shared" ref="Z4:Z67" si="1">VLOOKUP(Y4,P:V,2,0)</f>
        <v>6.3750000000000001E-2</v>
      </c>
      <c r="AA4" s="4" t="e">
        <f t="shared" ref="AA4:AA67" si="2">VLOOKUP(Y4,A:N,2,0)</f>
        <v>#N/A</v>
      </c>
      <c r="AC4" s="1">
        <v>36586</v>
      </c>
      <c r="AD4" s="4">
        <f t="shared" ref="AD4:AD67" si="3">VLOOKUP(Y4,P:V,3,0)</f>
        <v>0.321505121450256</v>
      </c>
      <c r="AE4" s="4" t="e">
        <f t="shared" ref="AE4:AE67" si="4">VLOOKUP(Y4,A:N,10,0)</f>
        <v>#N/A</v>
      </c>
      <c r="AG4" s="1">
        <v>36586</v>
      </c>
      <c r="AH4" s="4">
        <f t="shared" ref="AH4:AH67" si="5">-VLOOKUP(Y4,P:V,5,0)</f>
        <v>4.3225825368261798E-2</v>
      </c>
      <c r="AI4" s="4" t="e">
        <f t="shared" ref="AI4:AI67" si="6">VLOOKUP(Y4,A:N,8,0)</f>
        <v>#N/A</v>
      </c>
      <c r="AK4" s="1">
        <v>36586</v>
      </c>
      <c r="AL4" s="4">
        <f t="shared" ref="AL4:AL67" si="7">VLOOKUP(Y4,P:V,4,0)</f>
        <v>0.321505121450256</v>
      </c>
      <c r="AM4" s="4" t="e">
        <f t="shared" ref="AM4:AM67" si="8">VLOOKUP(Y4,A:N,11,0)+VLOOKUP(Y4,A:N,12,0)</f>
        <v>#N/A</v>
      </c>
      <c r="AO4" s="1">
        <v>36586</v>
      </c>
      <c r="AP4" s="4">
        <f t="shared" ref="AP4:AP67" si="9">VLOOKUP(Y4,P:V,7,0)</f>
        <v>-2.93296437571781E-2</v>
      </c>
      <c r="AQ4" s="4" t="e">
        <f t="shared" ref="AQ4:AQ67" si="10">VLOOKUP(Y4,A:N,14,0)</f>
        <v>#N/A</v>
      </c>
    </row>
    <row r="5" spans="1:43" x14ac:dyDescent="0.25">
      <c r="A5" s="1">
        <v>36951</v>
      </c>
      <c r="B5" s="4">
        <v>8.23589606067366E-2</v>
      </c>
      <c r="C5" s="4">
        <v>2.3102964401405E-2</v>
      </c>
      <c r="D5" s="4">
        <v>2.4923110020367598E-2</v>
      </c>
      <c r="E5" s="4">
        <v>1.66633867093164E-3</v>
      </c>
      <c r="F5" s="4">
        <v>4.1870314079069503E-3</v>
      </c>
      <c r="G5" s="4">
        <v>1.0392706458272999E-2</v>
      </c>
      <c r="H5" s="4">
        <v>6.4272150958884403E-2</v>
      </c>
      <c r="I5" s="4">
        <v>0.70266326945618496</v>
      </c>
      <c r="J5" s="4">
        <v>0.20907297667815899</v>
      </c>
      <c r="K5" s="4">
        <v>0.166828882695195</v>
      </c>
      <c r="L5" s="4">
        <v>4.8601834770628301E-2</v>
      </c>
      <c r="M5" s="4">
        <v>1.12716696360016</v>
      </c>
      <c r="N5" s="4">
        <f t="shared" si="0"/>
        <v>1.9464147965460921E-2</v>
      </c>
      <c r="P5" s="1">
        <v>36647</v>
      </c>
      <c r="Q5" s="4">
        <v>5.2799457429652398E-2</v>
      </c>
      <c r="R5" s="4">
        <v>0.855621075526936</v>
      </c>
      <c r="S5" s="4">
        <v>0.855621075526936</v>
      </c>
      <c r="T5" s="4">
        <v>-8.4116315109908898E-2</v>
      </c>
      <c r="U5" s="4">
        <v>0.20357422326566699</v>
      </c>
      <c r="V5" s="4">
        <v>7.47914976775228E-2</v>
      </c>
      <c r="Y5" s="1">
        <v>36617</v>
      </c>
      <c r="Z5" s="4">
        <f t="shared" si="1"/>
        <v>6.9298966752534594E-2</v>
      </c>
      <c r="AA5" s="4" t="e">
        <f t="shared" si="2"/>
        <v>#N/A</v>
      </c>
      <c r="AC5" s="1">
        <v>36617</v>
      </c>
      <c r="AD5" s="4">
        <f t="shared" si="3"/>
        <v>0.42094215861961898</v>
      </c>
      <c r="AE5" s="4" t="e">
        <f t="shared" si="4"/>
        <v>#N/A</v>
      </c>
      <c r="AG5" s="1">
        <v>36617</v>
      </c>
      <c r="AH5" s="4">
        <f t="shared" si="5"/>
        <v>5.8803569877551198E-2</v>
      </c>
      <c r="AI5" s="4" t="e">
        <f t="shared" si="6"/>
        <v>#N/A</v>
      </c>
      <c r="AK5" s="1">
        <v>36617</v>
      </c>
      <c r="AL5" s="4">
        <f t="shared" si="7"/>
        <v>0.42094215861961898</v>
      </c>
      <c r="AM5" s="4" t="e">
        <f t="shared" si="8"/>
        <v>#N/A</v>
      </c>
      <c r="AO5" s="1">
        <v>36617</v>
      </c>
      <c r="AP5" s="4">
        <f t="shared" si="9"/>
        <v>-2.0734916458571701E-2</v>
      </c>
      <c r="AQ5" s="4" t="e">
        <f t="shared" si="10"/>
        <v>#N/A</v>
      </c>
    </row>
    <row r="6" spans="1:43" x14ac:dyDescent="0.25">
      <c r="A6" s="1">
        <v>36982</v>
      </c>
      <c r="B6" s="4">
        <v>7.9712160766359494E-2</v>
      </c>
      <c r="C6" s="4">
        <v>2.47345219608247E-2</v>
      </c>
      <c r="D6" s="4">
        <v>1.3641396808874299E-2</v>
      </c>
      <c r="E6" s="4">
        <v>4.6450206466131299E-3</v>
      </c>
      <c r="F6" s="4">
        <v>5.9835523271723802E-4</v>
      </c>
      <c r="G6" s="4">
        <v>1.01033834562916E-2</v>
      </c>
      <c r="H6" s="4">
        <v>5.3722678105320998E-2</v>
      </c>
      <c r="I6" s="4">
        <v>0.56663789516790197</v>
      </c>
      <c r="J6" s="4">
        <v>0.271818650215432</v>
      </c>
      <c r="K6" s="4">
        <v>0.28906721701182603</v>
      </c>
      <c r="L6" s="4">
        <v>4.81640882884872E-3</v>
      </c>
      <c r="M6" s="4">
        <v>1.13234017122401</v>
      </c>
      <c r="N6" s="4">
        <f t="shared" si="0"/>
        <v>1.0946676476704109E-3</v>
      </c>
      <c r="P6" s="1">
        <v>36678</v>
      </c>
      <c r="Q6" s="4">
        <v>6.4524492522910801E-2</v>
      </c>
      <c r="R6" s="4">
        <v>0.302185898790925</v>
      </c>
      <c r="S6" s="4">
        <v>0.302185898790925</v>
      </c>
      <c r="T6" s="4">
        <v>-0.11830932726959199</v>
      </c>
      <c r="U6" s="4">
        <v>0.65296690416102099</v>
      </c>
      <c r="V6" s="4">
        <v>-1.2513950164664099E-2</v>
      </c>
      <c r="Y6" s="1">
        <v>36647</v>
      </c>
      <c r="Z6" s="4">
        <f t="shared" si="1"/>
        <v>5.2799457429652398E-2</v>
      </c>
      <c r="AA6" s="4" t="e">
        <f t="shared" si="2"/>
        <v>#N/A</v>
      </c>
      <c r="AC6" s="1">
        <v>36647</v>
      </c>
      <c r="AD6" s="4">
        <f t="shared" si="3"/>
        <v>0.855621075526936</v>
      </c>
      <c r="AE6" s="4" t="e">
        <f t="shared" si="4"/>
        <v>#N/A</v>
      </c>
      <c r="AG6" s="1">
        <v>36647</v>
      </c>
      <c r="AH6" s="4">
        <f t="shared" si="5"/>
        <v>8.4116315109908898E-2</v>
      </c>
      <c r="AI6" s="4" t="e">
        <f t="shared" si="6"/>
        <v>#N/A</v>
      </c>
      <c r="AK6" s="1">
        <v>36647</v>
      </c>
      <c r="AL6" s="4">
        <f t="shared" si="7"/>
        <v>0.855621075526936</v>
      </c>
      <c r="AM6" s="4" t="e">
        <f t="shared" si="8"/>
        <v>#N/A</v>
      </c>
      <c r="AO6" s="1">
        <v>36647</v>
      </c>
      <c r="AP6" s="4">
        <f t="shared" si="9"/>
        <v>7.47914976775228E-2</v>
      </c>
      <c r="AQ6" s="4" t="e">
        <f t="shared" si="10"/>
        <v>#N/A</v>
      </c>
    </row>
    <row r="7" spans="1:43" x14ac:dyDescent="0.25">
      <c r="A7" s="1">
        <v>37012</v>
      </c>
      <c r="B7" s="4">
        <v>7.9575096475967499E-2</v>
      </c>
      <c r="C7" s="4">
        <v>2.4054272905408899E-2</v>
      </c>
      <c r="D7" s="4">
        <v>3.7070107351606901E-2</v>
      </c>
      <c r="E7" s="4">
        <v>2.0382626470190801E-3</v>
      </c>
      <c r="F7" s="4">
        <v>3.13578868772166E-3</v>
      </c>
      <c r="G7" s="4">
        <v>7.60370971968676E-3</v>
      </c>
      <c r="H7" s="4">
        <v>7.3902141311443306E-2</v>
      </c>
      <c r="I7" s="4">
        <v>0.78683140410547403</v>
      </c>
      <c r="J7" s="4">
        <v>0.17744364943426399</v>
      </c>
      <c r="K7" s="4">
        <v>0.16459885800739699</v>
      </c>
      <c r="L7" s="4">
        <v>1.54489599193737E-2</v>
      </c>
      <c r="M7" s="4">
        <v>1.1443228714665099</v>
      </c>
      <c r="N7" s="4">
        <f t="shared" si="0"/>
        <v>9.1543663209008308E-3</v>
      </c>
      <c r="P7" s="1">
        <v>36708</v>
      </c>
      <c r="Q7" s="4">
        <v>7.0398775528060398E-2</v>
      </c>
      <c r="R7" s="4">
        <v>0.30766610956810198</v>
      </c>
      <c r="S7" s="4">
        <v>0.30766610956810198</v>
      </c>
      <c r="T7" s="4">
        <v>-5.4116055732923399E-2</v>
      </c>
      <c r="U7" s="4">
        <v>0.75598428713735899</v>
      </c>
      <c r="V7" s="4">
        <v>2.8489967046087101E-2</v>
      </c>
      <c r="Y7" s="1">
        <v>36678</v>
      </c>
      <c r="Z7" s="4">
        <f t="shared" si="1"/>
        <v>6.4524492522910801E-2</v>
      </c>
      <c r="AA7" s="4" t="e">
        <f t="shared" si="2"/>
        <v>#N/A</v>
      </c>
      <c r="AC7" s="1">
        <v>36678</v>
      </c>
      <c r="AD7" s="4">
        <f t="shared" si="3"/>
        <v>0.302185898790925</v>
      </c>
      <c r="AE7" s="4" t="e">
        <f t="shared" si="4"/>
        <v>#N/A</v>
      </c>
      <c r="AG7" s="1">
        <v>36678</v>
      </c>
      <c r="AH7" s="4">
        <f t="shared" si="5"/>
        <v>0.11830932726959199</v>
      </c>
      <c r="AI7" s="4" t="e">
        <f t="shared" si="6"/>
        <v>#N/A</v>
      </c>
      <c r="AK7" s="1">
        <v>36678</v>
      </c>
      <c r="AL7" s="4">
        <f t="shared" si="7"/>
        <v>0.302185898790925</v>
      </c>
      <c r="AM7" s="4" t="e">
        <f t="shared" si="8"/>
        <v>#N/A</v>
      </c>
      <c r="AO7" s="1">
        <v>36678</v>
      </c>
      <c r="AP7" s="4">
        <f t="shared" si="9"/>
        <v>-1.2513950164664099E-2</v>
      </c>
      <c r="AQ7" s="4" t="e">
        <f t="shared" si="10"/>
        <v>#N/A</v>
      </c>
    </row>
    <row r="8" spans="1:43" x14ac:dyDescent="0.25">
      <c r="A8" s="1">
        <v>37043</v>
      </c>
      <c r="B8" s="4">
        <v>7.9033857581908604E-2</v>
      </c>
      <c r="C8" s="4">
        <v>2.5605497199325498E-2</v>
      </c>
      <c r="D8" s="4">
        <v>1.65958219004777E-2</v>
      </c>
      <c r="E8" s="4">
        <v>3.3727719481236799E-3</v>
      </c>
      <c r="F8" s="4">
        <v>3.7502773431454098E-4</v>
      </c>
      <c r="G8" s="4">
        <v>7.0099778662685496E-3</v>
      </c>
      <c r="H8" s="4">
        <v>5.295909664851E-2</v>
      </c>
      <c r="I8" s="4">
        <v>0.74245400557944397</v>
      </c>
      <c r="J8" s="4">
        <v>0.161506087955851</v>
      </c>
      <c r="K8" s="4">
        <v>0.198403861690987</v>
      </c>
      <c r="L8" s="4">
        <v>8.0312245613929495E-3</v>
      </c>
      <c r="M8" s="4">
        <v>1.1103951797876701</v>
      </c>
      <c r="N8" s="4">
        <f t="shared" si="0"/>
        <v>2.1597774442748463E-2</v>
      </c>
      <c r="P8" s="1">
        <v>36739</v>
      </c>
      <c r="Q8" s="4">
        <v>7.1546122361224596E-2</v>
      </c>
      <c r="R8" s="4">
        <v>0.16560304651001201</v>
      </c>
      <c r="S8" s="4">
        <v>0.16560304651001201</v>
      </c>
      <c r="T8" s="4">
        <v>-5.0254483587166901E-2</v>
      </c>
      <c r="U8" s="4">
        <v>0.46366626514625298</v>
      </c>
      <c r="V8" s="4">
        <v>-1.47570603716778E-2</v>
      </c>
      <c r="Y8" s="1">
        <v>36708</v>
      </c>
      <c r="Z8" s="4">
        <f t="shared" si="1"/>
        <v>7.0398775528060398E-2</v>
      </c>
      <c r="AA8" s="4" t="e">
        <f t="shared" si="2"/>
        <v>#N/A</v>
      </c>
      <c r="AC8" s="1">
        <v>36708</v>
      </c>
      <c r="AD8" s="4">
        <f t="shared" si="3"/>
        <v>0.30766610956810198</v>
      </c>
      <c r="AE8" s="4" t="e">
        <f t="shared" si="4"/>
        <v>#N/A</v>
      </c>
      <c r="AG8" s="1">
        <v>36708</v>
      </c>
      <c r="AH8" s="4">
        <f t="shared" si="5"/>
        <v>5.4116055732923399E-2</v>
      </c>
      <c r="AI8" s="4" t="e">
        <f t="shared" si="6"/>
        <v>#N/A</v>
      </c>
      <c r="AK8" s="1">
        <v>36708</v>
      </c>
      <c r="AL8" s="4">
        <f t="shared" si="7"/>
        <v>0.30766610956810198</v>
      </c>
      <c r="AM8" s="4" t="e">
        <f t="shared" si="8"/>
        <v>#N/A</v>
      </c>
      <c r="AO8" s="1">
        <v>36708</v>
      </c>
      <c r="AP8" s="4">
        <f t="shared" si="9"/>
        <v>2.8489967046087101E-2</v>
      </c>
      <c r="AQ8" s="4" t="e">
        <f t="shared" si="10"/>
        <v>#N/A</v>
      </c>
    </row>
    <row r="9" spans="1:43" x14ac:dyDescent="0.25">
      <c r="A9" s="1">
        <v>37073</v>
      </c>
      <c r="B9" s="4">
        <v>8.5281662348587098E-2</v>
      </c>
      <c r="C9" s="4">
        <v>2.3057794784606501E-2</v>
      </c>
      <c r="D9" s="4">
        <v>2.1572820365376999E-2</v>
      </c>
      <c r="E9" s="4">
        <v>4.1610703592597801E-3</v>
      </c>
      <c r="F9" s="4">
        <v>1.49373077203111E-3</v>
      </c>
      <c r="G9" s="4">
        <v>8.1936283641672394E-3</v>
      </c>
      <c r="H9" s="4">
        <v>5.8479044645441701E-2</v>
      </c>
      <c r="I9" s="4">
        <v>0.65811356941681198</v>
      </c>
      <c r="J9" s="4">
        <v>0.258154793295642</v>
      </c>
      <c r="K9" s="4">
        <v>0.183975865616789</v>
      </c>
      <c r="L9" s="4">
        <v>1.20659966207637E-2</v>
      </c>
      <c r="M9" s="4">
        <v>1.1123102249500001</v>
      </c>
      <c r="N9" s="4">
        <f t="shared" si="0"/>
        <v>3.1450482044028671E-2</v>
      </c>
      <c r="P9" s="1">
        <v>36770</v>
      </c>
      <c r="Q9" s="4">
        <v>6.9357313392486505E-2</v>
      </c>
      <c r="R9" s="4">
        <v>0.30551443729690902</v>
      </c>
      <c r="S9" s="4">
        <v>0.30551443729690902</v>
      </c>
      <c r="T9" s="4">
        <v>-6.3405957083641898E-2</v>
      </c>
      <c r="U9" s="4">
        <v>0.56078821261183998</v>
      </c>
      <c r="V9" s="4">
        <v>1.95822733045132E-2</v>
      </c>
      <c r="Y9" s="1">
        <v>36739</v>
      </c>
      <c r="Z9" s="4">
        <f t="shared" si="1"/>
        <v>7.1546122361224596E-2</v>
      </c>
      <c r="AA9" s="4" t="e">
        <f t="shared" si="2"/>
        <v>#N/A</v>
      </c>
      <c r="AC9" s="1">
        <v>36739</v>
      </c>
      <c r="AD9" s="4">
        <f t="shared" si="3"/>
        <v>0.16560304651001201</v>
      </c>
      <c r="AE9" s="4" t="e">
        <f t="shared" si="4"/>
        <v>#N/A</v>
      </c>
      <c r="AG9" s="1">
        <v>36739</v>
      </c>
      <c r="AH9" s="4">
        <f t="shared" si="5"/>
        <v>5.0254483587166901E-2</v>
      </c>
      <c r="AI9" s="4" t="e">
        <f t="shared" si="6"/>
        <v>#N/A</v>
      </c>
      <c r="AK9" s="1">
        <v>36739</v>
      </c>
      <c r="AL9" s="4">
        <f t="shared" si="7"/>
        <v>0.16560304651001201</v>
      </c>
      <c r="AM9" s="4" t="e">
        <f t="shared" si="8"/>
        <v>#N/A</v>
      </c>
      <c r="AO9" s="1">
        <v>36739</v>
      </c>
      <c r="AP9" s="4">
        <f t="shared" si="9"/>
        <v>-1.47570603716778E-2</v>
      </c>
      <c r="AQ9" s="4" t="e">
        <f t="shared" si="10"/>
        <v>#N/A</v>
      </c>
    </row>
    <row r="10" spans="1:43" x14ac:dyDescent="0.25">
      <c r="A10" s="1">
        <v>37104</v>
      </c>
      <c r="B10" s="4">
        <v>7.8236842788917099E-2</v>
      </c>
      <c r="C10" s="4">
        <v>3.7359427932483202E-2</v>
      </c>
      <c r="D10" s="4">
        <v>1.8405147702252E-2</v>
      </c>
      <c r="E10" s="4">
        <v>4.7668219216115901E-3</v>
      </c>
      <c r="F10" s="4">
        <v>1.84076589790568E-3</v>
      </c>
      <c r="G10" s="4">
        <v>6.9321703465354302E-3</v>
      </c>
      <c r="H10" s="4">
        <v>6.9304333800787904E-2</v>
      </c>
      <c r="I10" s="4">
        <v>0.65038972002478002</v>
      </c>
      <c r="J10" s="4">
        <v>0.195924584482465</v>
      </c>
      <c r="K10" s="4">
        <v>0.158151632969461</v>
      </c>
      <c r="L10" s="4">
        <v>0.111647809098496</v>
      </c>
      <c r="M10" s="4">
        <v>1.1161137465752</v>
      </c>
      <c r="N10" s="4">
        <f t="shared" si="0"/>
        <v>3.1427430014504987E-2</v>
      </c>
      <c r="P10" s="1">
        <v>36800</v>
      </c>
      <c r="Q10" s="4">
        <v>7.5878094265818305E-2</v>
      </c>
      <c r="R10" s="4">
        <v>0.24335547959720299</v>
      </c>
      <c r="S10" s="4">
        <v>0.24335547959720299</v>
      </c>
      <c r="T10" s="4">
        <v>-6.2116451322851998E-2</v>
      </c>
      <c r="U10" s="4">
        <v>0.52078368346934101</v>
      </c>
      <c r="V10" s="4">
        <v>3.1258204668355501E-2</v>
      </c>
      <c r="Y10" s="1">
        <v>36770</v>
      </c>
      <c r="Z10" s="4">
        <f t="shared" si="1"/>
        <v>6.9357313392486505E-2</v>
      </c>
      <c r="AA10" s="4" t="e">
        <f t="shared" si="2"/>
        <v>#N/A</v>
      </c>
      <c r="AC10" s="1">
        <v>36770</v>
      </c>
      <c r="AD10" s="4">
        <f t="shared" si="3"/>
        <v>0.30551443729690902</v>
      </c>
      <c r="AE10" s="4" t="e">
        <f t="shared" si="4"/>
        <v>#N/A</v>
      </c>
      <c r="AG10" s="1">
        <v>36770</v>
      </c>
      <c r="AH10" s="4">
        <f t="shared" si="5"/>
        <v>6.3405957083641898E-2</v>
      </c>
      <c r="AI10" s="4" t="e">
        <f t="shared" si="6"/>
        <v>#N/A</v>
      </c>
      <c r="AK10" s="1">
        <v>36770</v>
      </c>
      <c r="AL10" s="4">
        <f t="shared" si="7"/>
        <v>0.30551443729690902</v>
      </c>
      <c r="AM10" s="4" t="e">
        <f t="shared" si="8"/>
        <v>#N/A</v>
      </c>
      <c r="AO10" s="1">
        <v>36770</v>
      </c>
      <c r="AP10" s="4">
        <f t="shared" si="9"/>
        <v>1.95822733045132E-2</v>
      </c>
      <c r="AQ10" s="4" t="e">
        <f t="shared" si="10"/>
        <v>#N/A</v>
      </c>
    </row>
    <row r="11" spans="1:43" x14ac:dyDescent="0.25">
      <c r="A11" s="1">
        <v>37135</v>
      </c>
      <c r="B11" s="4">
        <v>9.1358307330051694E-2</v>
      </c>
      <c r="C11" s="4">
        <v>2.5101771333858498E-2</v>
      </c>
      <c r="D11" s="4">
        <v>1.7087096410602701E-2</v>
      </c>
      <c r="E11" s="4">
        <v>5.4699513052974E-3</v>
      </c>
      <c r="F11" s="4">
        <v>2.27809702545716E-3</v>
      </c>
      <c r="G11" s="4">
        <v>9.0676765924769601E-3</v>
      </c>
      <c r="H11" s="4">
        <v>5.9004592667692701E-2</v>
      </c>
      <c r="I11" s="4">
        <v>0.72684343572975796</v>
      </c>
      <c r="J11" s="4">
        <v>0.155896623384258</v>
      </c>
      <c r="K11" s="4">
        <v>0.185202736564827</v>
      </c>
      <c r="L11" s="4">
        <v>4.6311086410729403E-2</v>
      </c>
      <c r="M11" s="4">
        <v>1.11425388208957</v>
      </c>
      <c r="N11" s="4">
        <f t="shared" si="0"/>
        <v>3.6109017908174446E-2</v>
      </c>
      <c r="P11" s="1">
        <v>36831</v>
      </c>
      <c r="Q11" s="4">
        <v>7.4752986672943403E-2</v>
      </c>
      <c r="R11" s="4">
        <v>0.25182566146492402</v>
      </c>
      <c r="S11" s="4">
        <v>0.25182566146492402</v>
      </c>
      <c r="T11" s="4">
        <v>-6.14913594492148E-2</v>
      </c>
      <c r="U11" s="4">
        <v>0.62072967608970597</v>
      </c>
      <c r="V11" s="4">
        <v>3.3229806999887701E-2</v>
      </c>
      <c r="Y11" s="1">
        <v>36800</v>
      </c>
      <c r="Z11" s="4">
        <f t="shared" si="1"/>
        <v>7.5878094265818305E-2</v>
      </c>
      <c r="AA11" s="4" t="e">
        <f t="shared" si="2"/>
        <v>#N/A</v>
      </c>
      <c r="AC11" s="1">
        <v>36800</v>
      </c>
      <c r="AD11" s="4">
        <f t="shared" si="3"/>
        <v>0.24335547959720299</v>
      </c>
      <c r="AE11" s="4" t="e">
        <f t="shared" si="4"/>
        <v>#N/A</v>
      </c>
      <c r="AG11" s="1">
        <v>36800</v>
      </c>
      <c r="AH11" s="4">
        <f t="shared" si="5"/>
        <v>6.2116451322851998E-2</v>
      </c>
      <c r="AI11" s="4" t="e">
        <f t="shared" si="6"/>
        <v>#N/A</v>
      </c>
      <c r="AK11" s="1">
        <v>36800</v>
      </c>
      <c r="AL11" s="4">
        <f t="shared" si="7"/>
        <v>0.24335547959720299</v>
      </c>
      <c r="AM11" s="4" t="e">
        <f t="shared" si="8"/>
        <v>#N/A</v>
      </c>
      <c r="AO11" s="1">
        <v>36800</v>
      </c>
      <c r="AP11" s="4">
        <f t="shared" si="9"/>
        <v>3.1258204668355501E-2</v>
      </c>
      <c r="AQ11" s="4" t="e">
        <f t="shared" si="10"/>
        <v>#N/A</v>
      </c>
    </row>
    <row r="12" spans="1:43" x14ac:dyDescent="0.25">
      <c r="A12" s="1">
        <v>37165</v>
      </c>
      <c r="B12" s="4">
        <v>9.0941628024028207E-2</v>
      </c>
      <c r="C12" s="4">
        <v>3.0466387797204699E-2</v>
      </c>
      <c r="D12" s="4">
        <v>2.17102044042119E-2</v>
      </c>
      <c r="E12" s="4">
        <v>6.7955389595945404E-3</v>
      </c>
      <c r="F12" s="4">
        <v>3.2322381408119499E-3</v>
      </c>
      <c r="G12" s="4">
        <v>7.4688058479675402E-3</v>
      </c>
      <c r="H12" s="4">
        <v>6.9673175149790698E-2</v>
      </c>
      <c r="I12" s="4">
        <v>0.66035040371508502</v>
      </c>
      <c r="J12" s="4">
        <v>0.18243383950796199</v>
      </c>
      <c r="K12" s="4">
        <v>0.25237295242591501</v>
      </c>
      <c r="L12" s="4">
        <v>4.3013742874666701E-2</v>
      </c>
      <c r="M12" s="4">
        <v>1.13817093852363</v>
      </c>
      <c r="N12" s="4">
        <f t="shared" si="0"/>
        <v>2.2443864650188772E-2</v>
      </c>
      <c r="P12" s="1">
        <v>36861</v>
      </c>
      <c r="Q12" s="4">
        <v>7.5288062303914799E-2</v>
      </c>
      <c r="R12" s="4">
        <v>0.14859923639761699</v>
      </c>
      <c r="S12" s="4">
        <v>0.14859923639761699</v>
      </c>
      <c r="T12" s="4">
        <v>-6.16779140774582E-2</v>
      </c>
      <c r="U12" s="4">
        <v>0.62828728781767496</v>
      </c>
      <c r="V12" s="4">
        <v>7.5490456085961694E-2</v>
      </c>
      <c r="Y12" s="1">
        <v>36831</v>
      </c>
      <c r="Z12" s="4">
        <f t="shared" si="1"/>
        <v>7.4752986672943403E-2</v>
      </c>
      <c r="AA12" s="4">
        <f t="shared" si="2"/>
        <v>6.2337872890772597E-2</v>
      </c>
      <c r="AC12" s="1">
        <v>36831</v>
      </c>
      <c r="AD12" s="4">
        <f t="shared" si="3"/>
        <v>0.25182566146492402</v>
      </c>
      <c r="AE12" s="4">
        <f t="shared" si="4"/>
        <v>0.23514730405780901</v>
      </c>
      <c r="AG12" s="1">
        <v>36831</v>
      </c>
      <c r="AH12" s="4">
        <f t="shared" si="5"/>
        <v>6.14913594492148E-2</v>
      </c>
      <c r="AI12" s="4">
        <f t="shared" si="6"/>
        <v>0.11404669260700299</v>
      </c>
      <c r="AK12" s="1">
        <v>36831</v>
      </c>
      <c r="AL12" s="4">
        <f t="shared" si="7"/>
        <v>0.25182566146492402</v>
      </c>
      <c r="AM12" s="4">
        <f t="shared" si="8"/>
        <v>1.0778210116731499E-2</v>
      </c>
      <c r="AO12" s="1">
        <v>36831</v>
      </c>
      <c r="AP12" s="4">
        <f t="shared" si="9"/>
        <v>3.3229806999887701E-2</v>
      </c>
      <c r="AQ12" s="4">
        <f t="shared" si="10"/>
        <v>-4.8601537892994484E-2</v>
      </c>
    </row>
    <row r="13" spans="1:43" x14ac:dyDescent="0.25">
      <c r="A13" s="1">
        <v>37196</v>
      </c>
      <c r="B13" s="4">
        <v>9.1738938681914003E-2</v>
      </c>
      <c r="C13" s="4">
        <v>3.3511278193431901E-2</v>
      </c>
      <c r="D13" s="4">
        <v>1.8271743430747799E-2</v>
      </c>
      <c r="E13" s="4">
        <v>4.9105811053185696E-3</v>
      </c>
      <c r="F13" s="4">
        <v>2.69421499216577E-3</v>
      </c>
      <c r="G13" s="4">
        <v>8.5649297914681503E-3</v>
      </c>
      <c r="H13" s="4">
        <v>6.7952747513132294E-2</v>
      </c>
      <c r="I13" s="4">
        <v>0.65963723117818296</v>
      </c>
      <c r="J13" s="4">
        <v>0.209707270540683</v>
      </c>
      <c r="K13" s="4">
        <v>0.215022630802154</v>
      </c>
      <c r="L13" s="4">
        <v>5.6024146061195802E-2</v>
      </c>
      <c r="M13" s="4">
        <v>1.1403912785822099</v>
      </c>
      <c r="N13" s="4">
        <f t="shared" si="0"/>
        <v>1.9300407612836468E-2</v>
      </c>
      <c r="P13" s="1">
        <v>36892</v>
      </c>
      <c r="Q13" s="4">
        <v>7.5700017511479104E-2</v>
      </c>
      <c r="R13" s="4">
        <v>0.220589794790717</v>
      </c>
      <c r="S13" s="4">
        <v>0.220589794790717</v>
      </c>
      <c r="T13" s="4">
        <v>-6.1639485258078899E-2</v>
      </c>
      <c r="U13" s="4">
        <v>0.50933132843943796</v>
      </c>
      <c r="V13" s="4">
        <v>3.7187628226619703E-2</v>
      </c>
      <c r="Y13" s="1">
        <v>36861</v>
      </c>
      <c r="Z13" s="4">
        <f t="shared" si="1"/>
        <v>7.5288062303914799E-2</v>
      </c>
      <c r="AA13" s="4" t="e">
        <f t="shared" si="2"/>
        <v>#N/A</v>
      </c>
      <c r="AC13" s="1">
        <v>36861</v>
      </c>
      <c r="AD13" s="4">
        <f t="shared" si="3"/>
        <v>0.14859923639761699</v>
      </c>
      <c r="AE13" s="4" t="e">
        <f t="shared" si="4"/>
        <v>#N/A</v>
      </c>
      <c r="AG13" s="1">
        <v>36861</v>
      </c>
      <c r="AH13" s="4">
        <f t="shared" si="5"/>
        <v>6.16779140774582E-2</v>
      </c>
      <c r="AI13" s="4" t="e">
        <f t="shared" si="6"/>
        <v>#N/A</v>
      </c>
      <c r="AK13" s="1">
        <v>36861</v>
      </c>
      <c r="AL13" s="4">
        <f t="shared" si="7"/>
        <v>0.14859923639761699</v>
      </c>
      <c r="AM13" s="4" t="e">
        <f t="shared" si="8"/>
        <v>#N/A</v>
      </c>
      <c r="AO13" s="1">
        <v>36861</v>
      </c>
      <c r="AP13" s="4">
        <f t="shared" si="9"/>
        <v>7.5490456085961694E-2</v>
      </c>
      <c r="AQ13" s="4" t="e">
        <f t="shared" si="10"/>
        <v>#N/A</v>
      </c>
    </row>
    <row r="14" spans="1:43" x14ac:dyDescent="0.25">
      <c r="A14" s="1">
        <v>37226</v>
      </c>
      <c r="B14" s="4">
        <v>8.9358634298590797E-2</v>
      </c>
      <c r="C14" s="4">
        <v>3.0112926327102999E-2</v>
      </c>
      <c r="D14" s="4">
        <v>4.7920529108266802E-2</v>
      </c>
      <c r="E14" s="4">
        <v>6.6452823400108604E-3</v>
      </c>
      <c r="F14" s="4">
        <v>3.0917820850820598E-3</v>
      </c>
      <c r="G14" s="4">
        <v>1.0000588610794E-2</v>
      </c>
      <c r="H14" s="4">
        <v>9.7771108471256807E-2</v>
      </c>
      <c r="I14" s="4">
        <v>0.71839513347859096</v>
      </c>
      <c r="J14" s="4">
        <v>0.17706225291329999</v>
      </c>
      <c r="K14" s="4">
        <v>0.198601058504383</v>
      </c>
      <c r="L14" s="4">
        <v>4.4415062525982499E-2</v>
      </c>
      <c r="M14" s="4">
        <v>1.1384735074222501</v>
      </c>
      <c r="N14" s="4">
        <f t="shared" si="0"/>
        <v>4.8656235347597443E-2</v>
      </c>
      <c r="P14" s="1">
        <v>36923</v>
      </c>
      <c r="Q14" s="4">
        <v>8.6374846427859905E-2</v>
      </c>
      <c r="R14" s="4">
        <v>0.22455963646868099</v>
      </c>
      <c r="S14" s="4">
        <v>0.22455963646868099</v>
      </c>
      <c r="T14" s="4">
        <v>-7.4335462192824497E-2</v>
      </c>
      <c r="U14" s="4">
        <v>0.54453254181831501</v>
      </c>
      <c r="V14" s="4">
        <v>3.1464120541300301E-2</v>
      </c>
      <c r="Y14" s="1">
        <v>36892</v>
      </c>
      <c r="Z14" s="4">
        <f t="shared" si="1"/>
        <v>7.5700017511479104E-2</v>
      </c>
      <c r="AA14" s="4">
        <f t="shared" si="2"/>
        <v>6.9067199612212804E-2</v>
      </c>
      <c r="AC14" s="1">
        <v>36892</v>
      </c>
      <c r="AD14" s="4">
        <f t="shared" si="3"/>
        <v>0.220589794790717</v>
      </c>
      <c r="AE14" s="4">
        <f t="shared" si="4"/>
        <v>0.18930805983995699</v>
      </c>
      <c r="AG14" s="1">
        <v>36892</v>
      </c>
      <c r="AH14" s="4">
        <f t="shared" si="5"/>
        <v>6.1639485258078899E-2</v>
      </c>
      <c r="AI14" s="4">
        <f t="shared" si="6"/>
        <v>4.3402865070994702E-2</v>
      </c>
      <c r="AK14" s="1">
        <v>36892</v>
      </c>
      <c r="AL14" s="4">
        <f t="shared" si="7"/>
        <v>0.220589794790717</v>
      </c>
      <c r="AM14" s="4">
        <f t="shared" si="8"/>
        <v>5.8745009223108734E-2</v>
      </c>
      <c r="AO14" s="1">
        <v>36892</v>
      </c>
      <c r="AP14" s="4">
        <f t="shared" si="9"/>
        <v>3.7187628226619703E-2</v>
      </c>
      <c r="AQ14" s="4">
        <f t="shared" si="10"/>
        <v>5.0430073869577541E-2</v>
      </c>
    </row>
    <row r="15" spans="1:43" x14ac:dyDescent="0.25">
      <c r="A15" s="1">
        <v>37257</v>
      </c>
      <c r="B15" s="4">
        <v>9.7383211014932899E-2</v>
      </c>
      <c r="C15" s="4">
        <v>4.4015036514305599E-2</v>
      </c>
      <c r="D15" s="4">
        <v>2.2649201916016701E-2</v>
      </c>
      <c r="E15" s="4">
        <v>6.1225277198818798E-3</v>
      </c>
      <c r="F15" s="4">
        <v>3.5995576842011699E-3</v>
      </c>
      <c r="G15" s="4">
        <v>1.1825259377056601E-2</v>
      </c>
      <c r="H15" s="4">
        <v>8.8211583211461997E-2</v>
      </c>
      <c r="I15" s="4">
        <v>0.62157086819975305</v>
      </c>
      <c r="J15" s="4">
        <v>0.20667945149983999</v>
      </c>
      <c r="K15" s="4">
        <v>0.291340618113335</v>
      </c>
      <c r="L15" s="4">
        <v>3.2363115060682297E-2</v>
      </c>
      <c r="M15" s="4">
        <v>1.1519540528736101</v>
      </c>
      <c r="N15" s="4">
        <f t="shared" si="0"/>
        <v>3.3640741352784831E-2</v>
      </c>
      <c r="P15" s="1">
        <v>36951</v>
      </c>
      <c r="Q15" s="4">
        <v>8.1985100886095494E-2</v>
      </c>
      <c r="R15" s="4">
        <v>0.25896350844649002</v>
      </c>
      <c r="S15" s="4">
        <v>0.25896350844649002</v>
      </c>
      <c r="T15" s="4">
        <v>-6.0105048473401597E-2</v>
      </c>
      <c r="U15" s="4">
        <v>0.63189253151362101</v>
      </c>
      <c r="V15" s="4">
        <v>5.4301361588383501E-2</v>
      </c>
      <c r="Y15" s="1">
        <v>36923</v>
      </c>
      <c r="Z15" s="4">
        <f t="shared" si="1"/>
        <v>8.6374846427859905E-2</v>
      </c>
      <c r="AA15" s="4">
        <f t="shared" si="2"/>
        <v>7.2999391095521005E-2</v>
      </c>
      <c r="AC15" s="1">
        <v>36923</v>
      </c>
      <c r="AD15" s="4">
        <f t="shared" si="3"/>
        <v>0.22455963646868099</v>
      </c>
      <c r="AE15" s="4">
        <f t="shared" si="4"/>
        <v>0.13212254468239101</v>
      </c>
      <c r="AG15" s="1">
        <v>36923</v>
      </c>
      <c r="AH15" s="4">
        <f t="shared" si="5"/>
        <v>7.4335462192824497E-2</v>
      </c>
      <c r="AI15" s="4">
        <f t="shared" si="6"/>
        <v>7.00069579906233E-2</v>
      </c>
      <c r="AK15" s="1">
        <v>36923</v>
      </c>
      <c r="AL15" s="4">
        <f t="shared" si="7"/>
        <v>0.22455963646868099</v>
      </c>
      <c r="AM15" s="4">
        <f t="shared" si="8"/>
        <v>0.17351249184314019</v>
      </c>
      <c r="AO15" s="1">
        <v>36923</v>
      </c>
      <c r="AP15" s="4">
        <f t="shared" si="9"/>
        <v>3.1464120541300301E-2</v>
      </c>
      <c r="AQ15" s="4">
        <f t="shared" si="10"/>
        <v>3.1222530499734225E-2</v>
      </c>
    </row>
    <row r="16" spans="1:43" x14ac:dyDescent="0.25">
      <c r="A16" s="1">
        <v>37288</v>
      </c>
      <c r="B16" s="4">
        <v>9.6002163569224697E-2</v>
      </c>
      <c r="C16" s="4">
        <v>4.3502622508285002E-2</v>
      </c>
      <c r="D16" s="4">
        <v>2.0925802809456901E-2</v>
      </c>
      <c r="E16" s="4">
        <v>1.8642906171372101E-2</v>
      </c>
      <c r="F16" s="4">
        <v>1.922383315236E-3</v>
      </c>
      <c r="G16" s="4">
        <v>1.32392138496976E-2</v>
      </c>
      <c r="H16" s="4">
        <v>9.8232928654047799E-2</v>
      </c>
      <c r="I16" s="4">
        <v>0.73775256643917997</v>
      </c>
      <c r="J16" s="4">
        <v>0.24000651037335</v>
      </c>
      <c r="K16" s="4">
        <v>0.138682147261417</v>
      </c>
      <c r="L16" s="4">
        <v>2.8865438098820102E-2</v>
      </c>
      <c r="M16" s="4">
        <v>1.1453066621727599</v>
      </c>
      <c r="N16" s="4">
        <f t="shared" si="0"/>
        <v>4.8928430050512617E-2</v>
      </c>
      <c r="P16" s="1">
        <v>36982</v>
      </c>
      <c r="Q16" s="4">
        <v>8.7250728435210007E-2</v>
      </c>
      <c r="R16" s="4">
        <v>0.20564434286387401</v>
      </c>
      <c r="S16" s="4">
        <v>0.20564434286387401</v>
      </c>
      <c r="T16" s="4">
        <v>-7.2819264117704299E-2</v>
      </c>
      <c r="U16" s="4">
        <v>0.67484687200223603</v>
      </c>
      <c r="V16" s="4">
        <v>3.0395022229202699E-2</v>
      </c>
      <c r="Y16" s="1">
        <v>36951</v>
      </c>
      <c r="Z16" s="4">
        <f t="shared" si="1"/>
        <v>8.1985100886095494E-2</v>
      </c>
      <c r="AA16" s="4">
        <f t="shared" si="2"/>
        <v>8.23589606067366E-2</v>
      </c>
      <c r="AC16" s="1">
        <v>36951</v>
      </c>
      <c r="AD16" s="4">
        <f t="shared" si="3"/>
        <v>0.25896350844649002</v>
      </c>
      <c r="AE16" s="4">
        <f t="shared" si="4"/>
        <v>0.20907297667815899</v>
      </c>
      <c r="AG16" s="1">
        <v>36951</v>
      </c>
      <c r="AH16" s="4">
        <f t="shared" si="5"/>
        <v>6.0105048473401597E-2</v>
      </c>
      <c r="AI16" s="4">
        <f t="shared" si="6"/>
        <v>6.4272150958884403E-2</v>
      </c>
      <c r="AK16" s="1">
        <v>36951</v>
      </c>
      <c r="AL16" s="4">
        <f t="shared" si="7"/>
        <v>0.25896350844649002</v>
      </c>
      <c r="AM16" s="4">
        <f t="shared" si="8"/>
        <v>0.21543071746582329</v>
      </c>
      <c r="AO16" s="1">
        <v>36951</v>
      </c>
      <c r="AP16" s="4">
        <f t="shared" si="9"/>
        <v>5.4301361588383501E-2</v>
      </c>
      <c r="AQ16" s="4">
        <f t="shared" si="10"/>
        <v>1.9464147965460921E-2</v>
      </c>
    </row>
    <row r="17" spans="1:58" x14ac:dyDescent="0.25">
      <c r="A17" s="1">
        <v>37316</v>
      </c>
      <c r="B17" s="4">
        <v>9.5026824275996694E-2</v>
      </c>
      <c r="C17" s="4">
        <v>2.6011109520781998E-2</v>
      </c>
      <c r="D17" s="4">
        <v>1.9767033232732802E-2</v>
      </c>
      <c r="E17" s="4">
        <v>4.4580940892103198E-3</v>
      </c>
      <c r="F17" s="4">
        <v>3.10044584621988E-3</v>
      </c>
      <c r="G17" s="4">
        <v>1.18995023127542E-2</v>
      </c>
      <c r="H17" s="4">
        <v>6.5236185001699296E-2</v>
      </c>
      <c r="I17" s="4">
        <v>0.74000817362125204</v>
      </c>
      <c r="J17" s="4">
        <v>0.170796961709273</v>
      </c>
      <c r="K17" s="4">
        <v>0.172173860916572</v>
      </c>
      <c r="L17" s="4">
        <v>5.3682094416778403E-2</v>
      </c>
      <c r="M17" s="4">
        <v>1.1366610906638701</v>
      </c>
      <c r="N17" s="4">
        <f t="shared" si="0"/>
        <v>2.3601918613825879E-2</v>
      </c>
      <c r="P17" s="1">
        <v>37012</v>
      </c>
      <c r="Q17" s="4">
        <v>8.23832173811061E-2</v>
      </c>
      <c r="R17" s="4">
        <v>0.249259398011588</v>
      </c>
      <c r="S17" s="4">
        <v>0.249259398011588</v>
      </c>
      <c r="T17" s="4">
        <v>-6.14338520603274E-2</v>
      </c>
      <c r="U17" s="4">
        <v>0.57216531079303201</v>
      </c>
      <c r="V17" s="4">
        <v>1.45419719086949E-2</v>
      </c>
      <c r="Y17" s="1">
        <v>36982</v>
      </c>
      <c r="Z17" s="4">
        <f t="shared" si="1"/>
        <v>8.7250728435210007E-2</v>
      </c>
      <c r="AA17" s="4">
        <f t="shared" si="2"/>
        <v>7.9712160766359494E-2</v>
      </c>
      <c r="AC17" s="1">
        <v>36982</v>
      </c>
      <c r="AD17" s="4">
        <f t="shared" si="3"/>
        <v>0.20564434286387401</v>
      </c>
      <c r="AE17" s="4">
        <f t="shared" si="4"/>
        <v>0.271818650215432</v>
      </c>
      <c r="AG17" s="1">
        <v>36982</v>
      </c>
      <c r="AH17" s="4">
        <f t="shared" si="5"/>
        <v>7.2819264117704299E-2</v>
      </c>
      <c r="AI17" s="4">
        <f t="shared" si="6"/>
        <v>5.3722678105320998E-2</v>
      </c>
      <c r="AK17" s="1">
        <v>36982</v>
      </c>
      <c r="AL17" s="4">
        <f t="shared" si="7"/>
        <v>0.20564434286387401</v>
      </c>
      <c r="AM17" s="4">
        <f t="shared" si="8"/>
        <v>0.29388362584067473</v>
      </c>
      <c r="AO17" s="1">
        <v>36982</v>
      </c>
      <c r="AP17" s="4">
        <f t="shared" si="9"/>
        <v>3.0395022229202699E-2</v>
      </c>
      <c r="AQ17" s="4">
        <f t="shared" si="10"/>
        <v>1.0946676476704109E-3</v>
      </c>
    </row>
    <row r="18" spans="1:58" x14ac:dyDescent="0.25">
      <c r="A18" s="1">
        <v>37347</v>
      </c>
      <c r="B18" s="4">
        <v>9.6828909396165994E-2</v>
      </c>
      <c r="C18" s="4">
        <v>2.8369122286507401E-2</v>
      </c>
      <c r="D18" s="4">
        <v>1.75228440747183E-2</v>
      </c>
      <c r="E18" s="4">
        <v>5.7637693941403603E-3</v>
      </c>
      <c r="F18" s="4">
        <v>2.7257124532666902E-3</v>
      </c>
      <c r="G18" s="4">
        <v>1.3077589494166399E-2</v>
      </c>
      <c r="H18" s="4">
        <v>6.7459037702799193E-2</v>
      </c>
      <c r="I18" s="4">
        <v>0.72230318945008498</v>
      </c>
      <c r="J18" s="4">
        <v>0.19422415689702099</v>
      </c>
      <c r="K18" s="4">
        <v>0.147996335047065</v>
      </c>
      <c r="L18" s="4">
        <v>7.0026316165123503E-2</v>
      </c>
      <c r="M18" s="4">
        <v>1.1345499975592901</v>
      </c>
      <c r="N18" s="4">
        <f t="shared" si="0"/>
        <v>2.9737949539675013E-2</v>
      </c>
      <c r="P18" s="1">
        <v>37043</v>
      </c>
      <c r="Q18" s="4">
        <v>8.14673973711382E-2</v>
      </c>
      <c r="R18" s="4">
        <v>0.19244136764394401</v>
      </c>
      <c r="S18" s="4">
        <v>0.19244136764394401</v>
      </c>
      <c r="T18" s="4">
        <v>-6.43457594765387E-2</v>
      </c>
      <c r="U18" s="4">
        <v>0.67404180669119895</v>
      </c>
      <c r="V18" s="4">
        <v>2.4460191094069599E-2</v>
      </c>
      <c r="Y18" s="1">
        <v>37012</v>
      </c>
      <c r="Z18" s="4">
        <f t="shared" si="1"/>
        <v>8.23832173811061E-2</v>
      </c>
      <c r="AA18" s="4">
        <f t="shared" si="2"/>
        <v>7.9575096475967499E-2</v>
      </c>
      <c r="AC18" s="1">
        <v>37012</v>
      </c>
      <c r="AD18" s="4">
        <f t="shared" si="3"/>
        <v>0.249259398011588</v>
      </c>
      <c r="AE18" s="4">
        <f t="shared" si="4"/>
        <v>0.17744364943426399</v>
      </c>
      <c r="AG18" s="1">
        <v>37012</v>
      </c>
      <c r="AH18" s="4">
        <f t="shared" si="5"/>
        <v>6.14338520603274E-2</v>
      </c>
      <c r="AI18" s="4">
        <f t="shared" si="6"/>
        <v>7.3902141311443306E-2</v>
      </c>
      <c r="AK18" s="1">
        <v>37012</v>
      </c>
      <c r="AL18" s="4">
        <f t="shared" si="7"/>
        <v>0.249259398011588</v>
      </c>
      <c r="AM18" s="4">
        <f t="shared" si="8"/>
        <v>0.18004781792677069</v>
      </c>
      <c r="AO18" s="1">
        <v>37012</v>
      </c>
      <c r="AP18" s="4">
        <f t="shared" si="9"/>
        <v>1.45419719086949E-2</v>
      </c>
      <c r="AQ18" s="4">
        <f t="shared" si="10"/>
        <v>9.1543663209008308E-3</v>
      </c>
    </row>
    <row r="19" spans="1:58" x14ac:dyDescent="0.25">
      <c r="A19" s="1">
        <v>37377</v>
      </c>
      <c r="B19" s="4">
        <v>9.1497060863771101E-2</v>
      </c>
      <c r="C19" s="4">
        <v>3.1864932559203897E-2</v>
      </c>
      <c r="D19" s="4">
        <v>1.7264152341909901E-2</v>
      </c>
      <c r="E19" s="4">
        <v>5.07254441800686E-3</v>
      </c>
      <c r="F19" s="4">
        <v>2.6038108626596202E-3</v>
      </c>
      <c r="G19" s="4">
        <v>1.0780539473022399E-2</v>
      </c>
      <c r="H19" s="4">
        <v>6.7585979654802703E-2</v>
      </c>
      <c r="I19" s="4">
        <v>0.75302716198608199</v>
      </c>
      <c r="J19" s="4">
        <v>0.18867196968755501</v>
      </c>
      <c r="K19" s="4">
        <v>0.136856461425687</v>
      </c>
      <c r="L19" s="4">
        <v>3.7568620801522602E-2</v>
      </c>
      <c r="M19" s="4">
        <v>1.11612421390084</v>
      </c>
      <c r="N19" s="4">
        <f t="shared" si="0"/>
        <v>4.2958826617733648E-2</v>
      </c>
      <c r="P19" s="1">
        <v>37073</v>
      </c>
      <c r="Q19" s="4">
        <v>8.7820517967433703E-2</v>
      </c>
      <c r="R19" s="4">
        <v>0.18535141835621799</v>
      </c>
      <c r="S19" s="4">
        <v>0.18535141835621799</v>
      </c>
      <c r="T19" s="4">
        <v>-7.3745315542554493E-2</v>
      </c>
      <c r="U19" s="4">
        <v>0.67774111861066999</v>
      </c>
      <c r="V19" s="4">
        <v>7.0477432195572204E-2</v>
      </c>
      <c r="Y19" s="1">
        <v>37043</v>
      </c>
      <c r="Z19" s="4">
        <f t="shared" si="1"/>
        <v>8.14673973711382E-2</v>
      </c>
      <c r="AA19" s="4">
        <f t="shared" si="2"/>
        <v>7.9033857581908604E-2</v>
      </c>
      <c r="AC19" s="1">
        <v>37043</v>
      </c>
      <c r="AD19" s="4">
        <f t="shared" si="3"/>
        <v>0.19244136764394401</v>
      </c>
      <c r="AE19" s="4">
        <f t="shared" si="4"/>
        <v>0.161506087955851</v>
      </c>
      <c r="AG19" s="1">
        <v>37043</v>
      </c>
      <c r="AH19" s="4">
        <f t="shared" si="5"/>
        <v>6.43457594765387E-2</v>
      </c>
      <c r="AI19" s="4">
        <f t="shared" si="6"/>
        <v>5.295909664851E-2</v>
      </c>
      <c r="AK19" s="1">
        <v>37043</v>
      </c>
      <c r="AL19" s="4">
        <f t="shared" si="7"/>
        <v>0.19244136764394401</v>
      </c>
      <c r="AM19" s="4">
        <f t="shared" si="8"/>
        <v>0.20643508625237994</v>
      </c>
      <c r="AO19" s="1">
        <v>37043</v>
      </c>
      <c r="AP19" s="4">
        <f t="shared" si="9"/>
        <v>2.4460191094069599E-2</v>
      </c>
      <c r="AQ19" s="4">
        <f t="shared" si="10"/>
        <v>2.1597774442748463E-2</v>
      </c>
    </row>
    <row r="20" spans="1:58" x14ac:dyDescent="0.25">
      <c r="A20" s="1">
        <v>37408</v>
      </c>
      <c r="B20" s="4">
        <v>9.2552909427932303E-2</v>
      </c>
      <c r="C20" s="4">
        <v>3.1662507726124701E-2</v>
      </c>
      <c r="D20" s="4">
        <v>1.98609732420519E-2</v>
      </c>
      <c r="E20" s="4">
        <v>5.3383625182552999E-3</v>
      </c>
      <c r="F20" s="4">
        <v>4.3824455701811302E-3</v>
      </c>
      <c r="G20" s="4">
        <v>1.1492719430308799E-2</v>
      </c>
      <c r="H20" s="4">
        <v>7.2737008486921995E-2</v>
      </c>
      <c r="I20" s="4">
        <v>0.74750218942527902</v>
      </c>
      <c r="J20" s="4">
        <v>0.18321222935132001</v>
      </c>
      <c r="K20" s="4">
        <v>0.15170460818266801</v>
      </c>
      <c r="L20" s="4">
        <v>6.0435457310686197E-2</v>
      </c>
      <c r="M20" s="4">
        <v>1.14285448426995</v>
      </c>
      <c r="N20" s="4">
        <f t="shared" si="0"/>
        <v>2.2435433644904412E-2</v>
      </c>
      <c r="P20" s="1">
        <v>37104</v>
      </c>
      <c r="Q20" s="4">
        <v>8.8578591792627101E-2</v>
      </c>
      <c r="R20" s="4">
        <v>0.1828264503491</v>
      </c>
      <c r="S20" s="4">
        <v>0.1828264503491</v>
      </c>
      <c r="T20" s="4">
        <v>-6.9704039352657607E-2</v>
      </c>
      <c r="U20" s="4">
        <v>0.60633784328292295</v>
      </c>
      <c r="V20" s="4">
        <v>6.7996269675420398E-2</v>
      </c>
      <c r="Y20" s="1">
        <v>37073</v>
      </c>
      <c r="Z20" s="4">
        <f t="shared" si="1"/>
        <v>8.7820517967433703E-2</v>
      </c>
      <c r="AA20" s="4">
        <f t="shared" si="2"/>
        <v>8.5281662348587098E-2</v>
      </c>
      <c r="AC20" s="1">
        <v>37073</v>
      </c>
      <c r="AD20" s="4">
        <f t="shared" si="3"/>
        <v>0.18535141835621799</v>
      </c>
      <c r="AE20" s="4">
        <f t="shared" si="4"/>
        <v>0.258154793295642</v>
      </c>
      <c r="AG20" s="1">
        <v>37073</v>
      </c>
      <c r="AH20" s="4">
        <f t="shared" si="5"/>
        <v>7.3745315542554493E-2</v>
      </c>
      <c r="AI20" s="4">
        <f t="shared" si="6"/>
        <v>5.8479044645441701E-2</v>
      </c>
      <c r="AK20" s="1">
        <v>37073</v>
      </c>
      <c r="AL20" s="4">
        <f t="shared" si="7"/>
        <v>0.18535141835621799</v>
      </c>
      <c r="AM20" s="4">
        <f t="shared" si="8"/>
        <v>0.19604186223755271</v>
      </c>
      <c r="AO20" s="1">
        <v>37073</v>
      </c>
      <c r="AP20" s="4">
        <f t="shared" si="9"/>
        <v>7.0477432195572204E-2</v>
      </c>
      <c r="AQ20" s="4">
        <f t="shared" si="10"/>
        <v>3.1450482044028671E-2</v>
      </c>
    </row>
    <row r="21" spans="1:58" x14ac:dyDescent="0.25">
      <c r="A21" s="1">
        <v>37438</v>
      </c>
      <c r="B21" s="4">
        <v>9.5463533251856997E-2</v>
      </c>
      <c r="C21" s="4">
        <v>3.1989794088440798E-2</v>
      </c>
      <c r="D21" s="4">
        <v>1.8801180564427301E-2</v>
      </c>
      <c r="E21" s="4">
        <v>4.9962927931638196E-3</v>
      </c>
      <c r="F21" s="4">
        <v>5.0302700584445303E-3</v>
      </c>
      <c r="G21" s="4">
        <v>1.1742878677134E-2</v>
      </c>
      <c r="H21" s="4">
        <v>7.2560416181610604E-2</v>
      </c>
      <c r="I21" s="4">
        <v>0.735584375966441</v>
      </c>
      <c r="J21" s="4">
        <v>0.19516214217861499</v>
      </c>
      <c r="K21" s="4">
        <v>0.13641514122236301</v>
      </c>
      <c r="L21" s="4">
        <v>6.0055722149509001E-2</v>
      </c>
      <c r="M21" s="4">
        <v>1.12721738151692</v>
      </c>
      <c r="N21" s="4">
        <f t="shared" si="0"/>
        <v>4.0806567916547687E-2</v>
      </c>
      <c r="P21" s="1">
        <v>37135</v>
      </c>
      <c r="Q21" s="4">
        <v>8.8688619545653699E-2</v>
      </c>
      <c r="R21" s="4">
        <v>0.14490042510248599</v>
      </c>
      <c r="S21" s="4">
        <v>0.14490042510248599</v>
      </c>
      <c r="T21" s="4">
        <v>-6.9209024525890603E-2</v>
      </c>
      <c r="U21" s="4">
        <v>0.57709573222122601</v>
      </c>
      <c r="V21" s="4">
        <v>6.2718683210381404E-2</v>
      </c>
      <c r="Y21" s="1">
        <v>37104</v>
      </c>
      <c r="Z21" s="4">
        <f t="shared" si="1"/>
        <v>8.8578591792627101E-2</v>
      </c>
      <c r="AA21" s="4">
        <f t="shared" si="2"/>
        <v>7.8236842788917099E-2</v>
      </c>
      <c r="AC21" s="1">
        <v>37104</v>
      </c>
      <c r="AD21" s="4">
        <f t="shared" si="3"/>
        <v>0.1828264503491</v>
      </c>
      <c r="AE21" s="4">
        <f t="shared" si="4"/>
        <v>0.195924584482465</v>
      </c>
      <c r="AG21" s="1">
        <v>37104</v>
      </c>
      <c r="AH21" s="4">
        <f t="shared" si="5"/>
        <v>6.9704039352657607E-2</v>
      </c>
      <c r="AI21" s="4">
        <f t="shared" si="6"/>
        <v>6.9304333800787904E-2</v>
      </c>
      <c r="AK21" s="1">
        <v>37104</v>
      </c>
      <c r="AL21" s="4">
        <f t="shared" si="7"/>
        <v>0.1828264503491</v>
      </c>
      <c r="AM21" s="4">
        <f t="shared" si="8"/>
        <v>0.26979944206795703</v>
      </c>
      <c r="AO21" s="1">
        <v>37104</v>
      </c>
      <c r="AP21" s="4">
        <f t="shared" si="9"/>
        <v>6.7996269675420398E-2</v>
      </c>
      <c r="AQ21" s="4">
        <f t="shared" si="10"/>
        <v>3.1427430014504987E-2</v>
      </c>
    </row>
    <row r="22" spans="1:58" x14ac:dyDescent="0.25">
      <c r="A22" s="1">
        <v>37469</v>
      </c>
      <c r="B22" s="4">
        <v>9.8718605148476399E-2</v>
      </c>
      <c r="C22" s="4">
        <v>3.5089266444439701E-2</v>
      </c>
      <c r="D22" s="4">
        <v>1.7679235655002901E-2</v>
      </c>
      <c r="E22" s="4">
        <v>5.0559290801212697E-3</v>
      </c>
      <c r="F22" s="4">
        <v>5.7621729649934197E-3</v>
      </c>
      <c r="G22" s="4">
        <v>1.10514820782447E-2</v>
      </c>
      <c r="H22" s="4">
        <v>7.4638086222802102E-2</v>
      </c>
      <c r="I22" s="4">
        <v>0.74615027477648399</v>
      </c>
      <c r="J22" s="4">
        <v>0.20135426858720901</v>
      </c>
      <c r="K22" s="4">
        <v>0.13382047004300099</v>
      </c>
      <c r="L22" s="4">
        <v>4.9718284907466402E-2</v>
      </c>
      <c r="M22" s="4">
        <v>1.1310432983141601</v>
      </c>
      <c r="N22" s="4">
        <f t="shared" si="0"/>
        <v>4.2313393057118454E-2</v>
      </c>
      <c r="P22" s="1">
        <v>37165</v>
      </c>
      <c r="Q22" s="4">
        <v>9.0651096701887202E-2</v>
      </c>
      <c r="R22" s="4">
        <v>0.164752639041226</v>
      </c>
      <c r="S22" s="4">
        <v>0.164752639041226</v>
      </c>
      <c r="T22" s="4">
        <v>-7.0374898068193303E-2</v>
      </c>
      <c r="U22" s="4">
        <v>0.56519145019943895</v>
      </c>
      <c r="V22" s="4">
        <v>7.0812167660270903E-2</v>
      </c>
      <c r="Y22" s="1">
        <v>37135</v>
      </c>
      <c r="Z22" s="4">
        <f t="shared" si="1"/>
        <v>8.8688619545653699E-2</v>
      </c>
      <c r="AA22" s="4">
        <f t="shared" si="2"/>
        <v>9.1358307330051694E-2</v>
      </c>
      <c r="AC22" s="1">
        <v>37135</v>
      </c>
      <c r="AD22" s="4">
        <f t="shared" si="3"/>
        <v>0.14490042510248599</v>
      </c>
      <c r="AE22" s="4">
        <f t="shared" si="4"/>
        <v>0.155896623384258</v>
      </c>
      <c r="AG22" s="1">
        <v>37135</v>
      </c>
      <c r="AH22" s="4">
        <f t="shared" si="5"/>
        <v>6.9209024525890603E-2</v>
      </c>
      <c r="AI22" s="4">
        <f t="shared" si="6"/>
        <v>5.9004592667692701E-2</v>
      </c>
      <c r="AK22" s="1">
        <v>37135</v>
      </c>
      <c r="AL22" s="4">
        <f t="shared" si="7"/>
        <v>0.14490042510248599</v>
      </c>
      <c r="AM22" s="4">
        <f t="shared" si="8"/>
        <v>0.23151382297555639</v>
      </c>
      <c r="AO22" s="1">
        <v>37135</v>
      </c>
      <c r="AP22" s="4">
        <f t="shared" si="9"/>
        <v>6.2718683210381404E-2</v>
      </c>
      <c r="AQ22" s="4">
        <f t="shared" si="10"/>
        <v>3.6109017908174446E-2</v>
      </c>
    </row>
    <row r="23" spans="1:58" x14ac:dyDescent="0.25">
      <c r="A23" s="1">
        <v>37500</v>
      </c>
      <c r="B23" s="4">
        <v>9.6303580016304999E-2</v>
      </c>
      <c r="C23" s="4">
        <v>3.4690348041167697E-2</v>
      </c>
      <c r="D23" s="4">
        <v>1.9622107188678899E-2</v>
      </c>
      <c r="E23" s="4">
        <v>4.6654788234412698E-3</v>
      </c>
      <c r="F23" s="4">
        <v>4.7863994676246597E-3</v>
      </c>
      <c r="G23" s="4">
        <v>1.15977500476776E-2</v>
      </c>
      <c r="H23" s="4">
        <v>7.5362083568590199E-2</v>
      </c>
      <c r="I23" s="4">
        <v>0.74305471123289801</v>
      </c>
      <c r="J23" s="4">
        <v>0.18792899848906799</v>
      </c>
      <c r="K23" s="4">
        <v>0.147891669363932</v>
      </c>
      <c r="L23" s="4">
        <v>3.2899979562617802E-2</v>
      </c>
      <c r="M23" s="4">
        <v>1.11177535864851</v>
      </c>
      <c r="N23" s="4">
        <f t="shared" si="0"/>
        <v>5.9890304936385252E-2</v>
      </c>
      <c r="P23" s="1">
        <v>37196</v>
      </c>
      <c r="Q23" s="4">
        <v>9.7345432879190605E-2</v>
      </c>
      <c r="R23" s="4">
        <v>0.143461065646002</v>
      </c>
      <c r="S23" s="4">
        <v>0.143461065646002</v>
      </c>
      <c r="T23" s="4">
        <v>-8.4835535188494099E-2</v>
      </c>
      <c r="U23" s="4">
        <v>0.734571068176197</v>
      </c>
      <c r="V23" s="4">
        <v>8.9220673236263703E-2</v>
      </c>
      <c r="Y23" s="1">
        <v>37165</v>
      </c>
      <c r="Z23" s="4">
        <f t="shared" si="1"/>
        <v>9.0651096701887202E-2</v>
      </c>
      <c r="AA23" s="4">
        <f t="shared" si="2"/>
        <v>9.0941628024028207E-2</v>
      </c>
      <c r="AC23" s="1">
        <v>37165</v>
      </c>
      <c r="AD23" s="4">
        <f t="shared" si="3"/>
        <v>0.164752639041226</v>
      </c>
      <c r="AE23" s="4">
        <f t="shared" si="4"/>
        <v>0.18243383950796199</v>
      </c>
      <c r="AG23" s="1">
        <v>37165</v>
      </c>
      <c r="AH23" s="4">
        <f t="shared" si="5"/>
        <v>7.0374898068193303E-2</v>
      </c>
      <c r="AI23" s="4">
        <f t="shared" si="6"/>
        <v>6.9673175149790698E-2</v>
      </c>
      <c r="AK23" s="1">
        <v>37165</v>
      </c>
      <c r="AL23" s="4">
        <f t="shared" si="7"/>
        <v>0.164752639041226</v>
      </c>
      <c r="AM23" s="4">
        <f t="shared" si="8"/>
        <v>0.2953866953005817</v>
      </c>
      <c r="AO23" s="1">
        <v>37165</v>
      </c>
      <c r="AP23" s="4">
        <f t="shared" si="9"/>
        <v>7.0812167660270903E-2</v>
      </c>
      <c r="AQ23" s="4">
        <f t="shared" si="10"/>
        <v>2.2443864650188772E-2</v>
      </c>
    </row>
    <row r="24" spans="1:58" x14ac:dyDescent="0.25">
      <c r="A24" s="1">
        <v>37530</v>
      </c>
      <c r="B24" s="4">
        <v>9.8699430722717099E-2</v>
      </c>
      <c r="C24" s="4">
        <v>3.6775376514218999E-2</v>
      </c>
      <c r="D24" s="4">
        <v>1.8052108597281302E-2</v>
      </c>
      <c r="E24" s="4">
        <v>5.55821216324887E-3</v>
      </c>
      <c r="F24" s="4">
        <v>4.99457724499398E-3</v>
      </c>
      <c r="G24" s="4">
        <v>1.2039129153150301E-2</v>
      </c>
      <c r="H24" s="4">
        <v>7.7419403672893503E-2</v>
      </c>
      <c r="I24" s="4">
        <v>0.74938174910715605</v>
      </c>
      <c r="J24" s="4">
        <v>0.19858797016577701</v>
      </c>
      <c r="K24" s="4">
        <v>0.155908612892212</v>
      </c>
      <c r="L24" s="4">
        <v>3.53402763073348E-2</v>
      </c>
      <c r="M24" s="4">
        <v>1.13921860847248</v>
      </c>
      <c r="N24" s="4">
        <f t="shared" si="0"/>
        <v>3.6900225923130581E-2</v>
      </c>
      <c r="P24" s="1">
        <v>37226</v>
      </c>
      <c r="Q24" s="4">
        <v>9.4388605889181604E-2</v>
      </c>
      <c r="R24" s="4">
        <v>0.16248995689316001</v>
      </c>
      <c r="S24" s="4">
        <v>0.16248995689316001</v>
      </c>
      <c r="T24" s="4">
        <v>-7.4646347790155498E-2</v>
      </c>
      <c r="U24" s="4">
        <v>0.60175961979098802</v>
      </c>
      <c r="V24" s="4">
        <v>8.5889212557405906E-2</v>
      </c>
      <c r="Y24" s="1">
        <v>37196</v>
      </c>
      <c r="Z24" s="4">
        <f t="shared" si="1"/>
        <v>9.7345432879190605E-2</v>
      </c>
      <c r="AA24" s="4">
        <f t="shared" si="2"/>
        <v>9.1738938681914003E-2</v>
      </c>
      <c r="AC24" s="1">
        <v>37196</v>
      </c>
      <c r="AD24" s="4">
        <f t="shared" si="3"/>
        <v>0.143461065646002</v>
      </c>
      <c r="AE24" s="4">
        <f t="shared" si="4"/>
        <v>0.209707270540683</v>
      </c>
      <c r="AG24" s="1">
        <v>37196</v>
      </c>
      <c r="AH24" s="4">
        <f t="shared" si="5"/>
        <v>8.4835535188494099E-2</v>
      </c>
      <c r="AI24" s="4">
        <f t="shared" si="6"/>
        <v>6.7952747513132294E-2</v>
      </c>
      <c r="AK24" s="1">
        <v>37196</v>
      </c>
      <c r="AL24" s="4">
        <f t="shared" si="7"/>
        <v>0.143461065646002</v>
      </c>
      <c r="AM24" s="4">
        <f t="shared" si="8"/>
        <v>0.27104677686334983</v>
      </c>
      <c r="AO24" s="1">
        <v>37196</v>
      </c>
      <c r="AP24" s="4">
        <f t="shared" si="9"/>
        <v>8.9220673236263703E-2</v>
      </c>
      <c r="AQ24" s="4">
        <f t="shared" si="10"/>
        <v>1.9300407612836468E-2</v>
      </c>
      <c r="BF24">
        <v>1</v>
      </c>
    </row>
    <row r="25" spans="1:58" x14ac:dyDescent="0.25">
      <c r="A25" s="1">
        <v>37561</v>
      </c>
      <c r="B25" s="4">
        <v>9.4732215749978102E-2</v>
      </c>
      <c r="C25" s="4">
        <v>3.4537619106076299E-2</v>
      </c>
      <c r="D25" s="4">
        <v>1.8652767623401199E-2</v>
      </c>
      <c r="E25" s="4">
        <v>4.5379710726409896E-3</v>
      </c>
      <c r="F25" s="4">
        <v>3.5223485252254502E-3</v>
      </c>
      <c r="G25" s="4">
        <v>1.4148417440278799E-2</v>
      </c>
      <c r="H25" s="4">
        <v>7.5399123767622797E-2</v>
      </c>
      <c r="I25" s="4">
        <v>0.71598954625342504</v>
      </c>
      <c r="J25" s="4">
        <v>0.19963007648433101</v>
      </c>
      <c r="K25" s="4">
        <v>0.15074669550465</v>
      </c>
      <c r="L25" s="4">
        <v>6.6792889221261004E-2</v>
      </c>
      <c r="M25" s="4">
        <v>1.1331592074636601</v>
      </c>
      <c r="N25" s="4">
        <f t="shared" si="0"/>
        <v>3.6972132053940898E-2</v>
      </c>
      <c r="P25" s="1">
        <v>37257</v>
      </c>
      <c r="Q25" s="4">
        <v>9.2143357526124098E-2</v>
      </c>
      <c r="R25" s="4">
        <v>0.131990340279421</v>
      </c>
      <c r="S25" s="4">
        <v>0.131990340279421</v>
      </c>
      <c r="T25" s="4">
        <v>-7.8982393139086393E-2</v>
      </c>
      <c r="U25" s="4">
        <v>0.71399767219735999</v>
      </c>
      <c r="V25" s="4">
        <v>9.2632647918505798E-2</v>
      </c>
      <c r="Y25" s="1">
        <v>37226</v>
      </c>
      <c r="Z25" s="4">
        <f t="shared" si="1"/>
        <v>9.4388605889181604E-2</v>
      </c>
      <c r="AA25" s="4">
        <f t="shared" si="2"/>
        <v>8.9358634298590797E-2</v>
      </c>
      <c r="AC25" s="1">
        <v>37226</v>
      </c>
      <c r="AD25" s="4">
        <f t="shared" si="3"/>
        <v>0.16248995689316001</v>
      </c>
      <c r="AE25" s="4">
        <f t="shared" si="4"/>
        <v>0.17706225291329999</v>
      </c>
      <c r="AG25" s="1">
        <v>37226</v>
      </c>
      <c r="AH25" s="4">
        <f t="shared" si="5"/>
        <v>7.4646347790155498E-2</v>
      </c>
      <c r="AI25" s="4">
        <f t="shared" si="6"/>
        <v>9.7771108471256807E-2</v>
      </c>
      <c r="AK25" s="1">
        <v>37226</v>
      </c>
      <c r="AL25" s="4">
        <f t="shared" si="7"/>
        <v>0.16248995689316001</v>
      </c>
      <c r="AM25" s="4">
        <f t="shared" si="8"/>
        <v>0.24301612103036552</v>
      </c>
      <c r="AO25" s="1">
        <v>37226</v>
      </c>
      <c r="AP25" s="4">
        <f t="shared" si="9"/>
        <v>8.5889212557405906E-2</v>
      </c>
      <c r="AQ25" s="4">
        <f t="shared" si="10"/>
        <v>4.8656235347597443E-2</v>
      </c>
    </row>
    <row r="26" spans="1:58" x14ac:dyDescent="0.25">
      <c r="A26" s="1">
        <v>37591</v>
      </c>
      <c r="B26" s="4">
        <v>9.3027142095450904E-2</v>
      </c>
      <c r="C26" s="4">
        <v>3.2424421291603299E-2</v>
      </c>
      <c r="D26" s="4">
        <v>1.7573942350250799E-2</v>
      </c>
      <c r="E26" s="4">
        <v>5.1661686322183702E-3</v>
      </c>
      <c r="F26" s="4">
        <v>4.3045752961040204E-3</v>
      </c>
      <c r="G26" s="4">
        <v>1.35220857574297E-2</v>
      </c>
      <c r="H26" s="4">
        <v>7.2991193327606299E-2</v>
      </c>
      <c r="I26" s="4">
        <v>0.77050414069557405</v>
      </c>
      <c r="J26" s="4">
        <v>0.18220515855067401</v>
      </c>
      <c r="K26" s="4">
        <v>0.141643473591372</v>
      </c>
      <c r="L26" s="4">
        <v>2.9594280673063598E-2</v>
      </c>
      <c r="M26" s="4">
        <v>1.1239470535106799</v>
      </c>
      <c r="N26" s="4">
        <f t="shared" si="0"/>
        <v>4.207128191237719E-2</v>
      </c>
      <c r="P26" s="1">
        <v>37288</v>
      </c>
      <c r="Q26" s="4">
        <v>9.18756117926742E-2</v>
      </c>
      <c r="R26" s="4">
        <v>0.17381646382938801</v>
      </c>
      <c r="S26" s="4">
        <v>0.17381646382938801</v>
      </c>
      <c r="T26" s="4">
        <v>-7.69453844228664E-2</v>
      </c>
      <c r="U26" s="4">
        <v>0.71297671542160701</v>
      </c>
      <c r="V26" s="4">
        <v>8.4698029421116899E-2</v>
      </c>
      <c r="Y26" s="1">
        <v>37257</v>
      </c>
      <c r="Z26" s="4">
        <f t="shared" si="1"/>
        <v>9.2143357526124098E-2</v>
      </c>
      <c r="AA26" s="4">
        <f t="shared" si="2"/>
        <v>9.7383211014932899E-2</v>
      </c>
      <c r="AC26" s="1">
        <v>37257</v>
      </c>
      <c r="AD26" s="4">
        <f t="shared" si="3"/>
        <v>0.131990340279421</v>
      </c>
      <c r="AE26" s="4">
        <f t="shared" si="4"/>
        <v>0.20667945149983999</v>
      </c>
      <c r="AG26" s="1">
        <v>37257</v>
      </c>
      <c r="AH26" s="4">
        <f t="shared" si="5"/>
        <v>7.8982393139086393E-2</v>
      </c>
      <c r="AI26" s="4">
        <f t="shared" si="6"/>
        <v>8.8211583211461997E-2</v>
      </c>
      <c r="AK26" s="1">
        <v>37257</v>
      </c>
      <c r="AL26" s="4">
        <f t="shared" si="7"/>
        <v>0.131990340279421</v>
      </c>
      <c r="AM26" s="4">
        <f t="shared" si="8"/>
        <v>0.32370373317401729</v>
      </c>
      <c r="AO26" s="1">
        <v>37257</v>
      </c>
      <c r="AP26" s="4">
        <f t="shared" si="9"/>
        <v>9.2632647918505798E-2</v>
      </c>
      <c r="AQ26" s="4">
        <f t="shared" si="10"/>
        <v>3.3640741352784831E-2</v>
      </c>
    </row>
    <row r="27" spans="1:58" x14ac:dyDescent="0.25">
      <c r="A27" s="1">
        <v>37622</v>
      </c>
      <c r="B27" s="4">
        <v>9.7419911388664598E-2</v>
      </c>
      <c r="C27" s="4">
        <v>4.0749156065553502E-2</v>
      </c>
      <c r="D27" s="4">
        <v>1.6961006965708899E-2</v>
      </c>
      <c r="E27" s="4">
        <v>5.1932994492749898E-3</v>
      </c>
      <c r="F27" s="4">
        <v>5.6919152863421797E-3</v>
      </c>
      <c r="G27" s="4">
        <v>1.3334124786477899E-2</v>
      </c>
      <c r="H27" s="4">
        <v>8.19295025533575E-2</v>
      </c>
      <c r="I27" s="4">
        <v>0.692902006711547</v>
      </c>
      <c r="J27" s="4">
        <v>0.20000193448350201</v>
      </c>
      <c r="K27" s="4">
        <v>0.17011005002080901</v>
      </c>
      <c r="L27" s="4">
        <v>6.21613082995877E-2</v>
      </c>
      <c r="M27" s="4">
        <v>1.12517529951544</v>
      </c>
      <c r="N27" s="4">
        <f t="shared" si="0"/>
        <v>5.4174114426582154E-2</v>
      </c>
      <c r="P27" s="1">
        <v>37316</v>
      </c>
      <c r="Q27" s="4">
        <v>9.4031959477401297E-2</v>
      </c>
      <c r="R27" s="4">
        <v>0.22046987602780799</v>
      </c>
      <c r="S27" s="4">
        <v>0.22046987602780799</v>
      </c>
      <c r="T27" s="4">
        <v>-8.0547162083314305E-2</v>
      </c>
      <c r="U27" s="4">
        <v>0.66114729988826304</v>
      </c>
      <c r="V27" s="4">
        <v>9.1376147538219099E-2</v>
      </c>
      <c r="Y27" s="1">
        <v>37288</v>
      </c>
      <c r="Z27" s="4">
        <f t="shared" si="1"/>
        <v>9.18756117926742E-2</v>
      </c>
      <c r="AA27" s="4">
        <f t="shared" si="2"/>
        <v>9.6002163569224697E-2</v>
      </c>
      <c r="AC27" s="1">
        <v>37288</v>
      </c>
      <c r="AD27" s="4">
        <f t="shared" si="3"/>
        <v>0.17381646382938801</v>
      </c>
      <c r="AE27" s="4">
        <f t="shared" si="4"/>
        <v>0.24000651037335</v>
      </c>
      <c r="AG27" s="1">
        <v>37288</v>
      </c>
      <c r="AH27" s="4">
        <f t="shared" si="5"/>
        <v>7.69453844228664E-2</v>
      </c>
      <c r="AI27" s="4">
        <f t="shared" si="6"/>
        <v>9.8232928654047799E-2</v>
      </c>
      <c r="AK27" s="1">
        <v>37288</v>
      </c>
      <c r="AL27" s="4">
        <f t="shared" si="7"/>
        <v>0.17381646382938801</v>
      </c>
      <c r="AM27" s="4">
        <f t="shared" si="8"/>
        <v>0.16754758536023712</v>
      </c>
      <c r="AO27" s="1">
        <v>37288</v>
      </c>
      <c r="AP27" s="4">
        <f t="shared" si="9"/>
        <v>8.4698029421116899E-2</v>
      </c>
      <c r="AQ27" s="4">
        <f t="shared" si="10"/>
        <v>4.8928430050512617E-2</v>
      </c>
    </row>
    <row r="28" spans="1:58" x14ac:dyDescent="0.25">
      <c r="A28" s="1">
        <v>37653</v>
      </c>
      <c r="B28" s="4">
        <v>9.4840673370351194E-2</v>
      </c>
      <c r="C28" s="4">
        <v>3.67063903088223E-2</v>
      </c>
      <c r="D28" s="4">
        <v>1.8004198493808E-2</v>
      </c>
      <c r="E28" s="4">
        <v>8.9939149479873401E-3</v>
      </c>
      <c r="F28" s="4">
        <v>4.7706995792626402E-3</v>
      </c>
      <c r="G28" s="4">
        <v>1.6304792511951001E-2</v>
      </c>
      <c r="H28" s="4">
        <v>8.4779995841831504E-2</v>
      </c>
      <c r="I28" s="4">
        <v>0.73339625576558598</v>
      </c>
      <c r="J28" s="4">
        <v>0.220723104173384</v>
      </c>
      <c r="K28" s="4">
        <v>0.13296835725124301</v>
      </c>
      <c r="L28" s="4">
        <v>2.9665989915139301E-2</v>
      </c>
      <c r="M28" s="4">
        <v>1.1167537071053499</v>
      </c>
      <c r="N28" s="4">
        <f t="shared" si="0"/>
        <v>6.2866962106832736E-2</v>
      </c>
      <c r="P28" s="1">
        <v>37347</v>
      </c>
      <c r="Q28" s="4">
        <v>9.6647519931679901E-2</v>
      </c>
      <c r="R28" s="4">
        <v>0.19003674248900199</v>
      </c>
      <c r="S28" s="4">
        <v>0.19003674248900199</v>
      </c>
      <c r="T28" s="4">
        <v>-8.395408015545E-2</v>
      </c>
      <c r="U28" s="4">
        <v>0.68603333296615598</v>
      </c>
      <c r="V28" s="4">
        <v>8.1119427301117403E-2</v>
      </c>
      <c r="Y28" s="1">
        <v>37316</v>
      </c>
      <c r="Z28" s="4">
        <f t="shared" si="1"/>
        <v>9.4031959477401297E-2</v>
      </c>
      <c r="AA28" s="4">
        <f t="shared" si="2"/>
        <v>9.5026824275996694E-2</v>
      </c>
      <c r="AC28" s="1">
        <v>37316</v>
      </c>
      <c r="AD28" s="4">
        <f t="shared" si="3"/>
        <v>0.22046987602780799</v>
      </c>
      <c r="AE28" s="4">
        <f t="shared" si="4"/>
        <v>0.170796961709273</v>
      </c>
      <c r="AG28" s="1">
        <v>37316</v>
      </c>
      <c r="AH28" s="4">
        <f t="shared" si="5"/>
        <v>8.0547162083314305E-2</v>
      </c>
      <c r="AI28" s="4">
        <f t="shared" si="6"/>
        <v>6.5236185001699296E-2</v>
      </c>
      <c r="AK28" s="1">
        <v>37316</v>
      </c>
      <c r="AL28" s="4">
        <f t="shared" si="7"/>
        <v>0.22046987602780799</v>
      </c>
      <c r="AM28" s="4">
        <f t="shared" si="8"/>
        <v>0.2258559553333504</v>
      </c>
      <c r="AO28" s="1">
        <v>37316</v>
      </c>
      <c r="AP28" s="4">
        <f t="shared" si="9"/>
        <v>9.1376147538219099E-2</v>
      </c>
      <c r="AQ28" s="4">
        <f t="shared" si="10"/>
        <v>2.3601918613825879E-2</v>
      </c>
    </row>
    <row r="29" spans="1:58" x14ac:dyDescent="0.25">
      <c r="A29" s="1">
        <v>37681</v>
      </c>
      <c r="B29" s="4">
        <v>9.5779156814831803E-2</v>
      </c>
      <c r="C29" s="4">
        <v>3.3905945925487499E-2</v>
      </c>
      <c r="D29" s="4">
        <v>1.6528034015940701E-2</v>
      </c>
      <c r="E29" s="4">
        <v>5.1958094882398904E-3</v>
      </c>
      <c r="F29" s="4">
        <v>4.3609833898270601E-3</v>
      </c>
      <c r="G29" s="4">
        <v>1.55622178048406E-2</v>
      </c>
      <c r="H29" s="4">
        <v>7.5552990624335903E-2</v>
      </c>
      <c r="I29" s="4">
        <v>0.75517787854353402</v>
      </c>
      <c r="J29" s="4">
        <v>0.18441207144706401</v>
      </c>
      <c r="K29" s="4">
        <v>0.14475221477599801</v>
      </c>
      <c r="L29" s="4">
        <v>3.6337249677038899E-2</v>
      </c>
      <c r="M29" s="4">
        <v>1.1206794144436301</v>
      </c>
      <c r="N29" s="4">
        <f t="shared" si="0"/>
        <v>5.0652732995537519E-2</v>
      </c>
      <c r="P29" s="1">
        <v>37377</v>
      </c>
      <c r="Q29" s="4">
        <v>9.5342702779090002E-2</v>
      </c>
      <c r="R29" s="4">
        <v>0.23520290086679699</v>
      </c>
      <c r="S29" s="4">
        <v>0.23520290086679699</v>
      </c>
      <c r="T29" s="4">
        <v>-8.8447897788827806E-2</v>
      </c>
      <c r="U29" s="4">
        <v>0.71224781709774998</v>
      </c>
      <c r="V29" s="4">
        <v>0.103707105083335</v>
      </c>
      <c r="Y29" s="1">
        <v>37347</v>
      </c>
      <c r="Z29" s="4">
        <f t="shared" si="1"/>
        <v>9.6647519931679901E-2</v>
      </c>
      <c r="AA29" s="4">
        <f t="shared" si="2"/>
        <v>9.6828909396165994E-2</v>
      </c>
      <c r="AC29" s="1">
        <v>37347</v>
      </c>
      <c r="AD29" s="4">
        <f t="shared" si="3"/>
        <v>0.19003674248900199</v>
      </c>
      <c r="AE29" s="4">
        <f t="shared" si="4"/>
        <v>0.19422415689702099</v>
      </c>
      <c r="AG29" s="1">
        <v>37347</v>
      </c>
      <c r="AH29" s="4">
        <f t="shared" si="5"/>
        <v>8.395408015545E-2</v>
      </c>
      <c r="AI29" s="4">
        <f t="shared" si="6"/>
        <v>6.7459037702799193E-2</v>
      </c>
      <c r="AK29" s="1">
        <v>37347</v>
      </c>
      <c r="AL29" s="4">
        <f t="shared" si="7"/>
        <v>0.19003674248900199</v>
      </c>
      <c r="AM29" s="4">
        <f t="shared" si="8"/>
        <v>0.2180226512121885</v>
      </c>
      <c r="AO29" s="1">
        <v>37347</v>
      </c>
      <c r="AP29" s="4">
        <f t="shared" si="9"/>
        <v>8.1119427301117403E-2</v>
      </c>
      <c r="AQ29" s="4">
        <f t="shared" si="10"/>
        <v>2.9737949539675013E-2</v>
      </c>
    </row>
    <row r="30" spans="1:58" x14ac:dyDescent="0.25">
      <c r="A30" s="1">
        <v>37712</v>
      </c>
      <c r="B30" s="4">
        <v>9.76036845904793E-2</v>
      </c>
      <c r="C30" s="4">
        <v>4.0477915421583903E-2</v>
      </c>
      <c r="D30" s="4">
        <v>1.7183457863263699E-2</v>
      </c>
      <c r="E30" s="4">
        <v>5.3458086934982203E-3</v>
      </c>
      <c r="F30" s="4">
        <v>3.09934562509208E-3</v>
      </c>
      <c r="G30" s="4">
        <v>1.4707748457351601E-2</v>
      </c>
      <c r="H30" s="4">
        <v>8.08142760607896E-2</v>
      </c>
      <c r="I30" s="4">
        <v>0.705881058133215</v>
      </c>
      <c r="J30" s="4">
        <v>0.205491277166862</v>
      </c>
      <c r="K30" s="4">
        <v>0.14768224089860801</v>
      </c>
      <c r="L30" s="4">
        <v>4.6156943139911602E-2</v>
      </c>
      <c r="M30" s="4">
        <v>1.1052115193385901</v>
      </c>
      <c r="N30" s="4">
        <f t="shared" si="0"/>
        <v>7.3206441312678727E-2</v>
      </c>
      <c r="P30" s="1">
        <v>37408</v>
      </c>
      <c r="Q30" s="4">
        <v>9.3979781476172503E-2</v>
      </c>
      <c r="R30" s="4">
        <v>0.15296661596684899</v>
      </c>
      <c r="S30" s="4">
        <v>0.15296661596684899</v>
      </c>
      <c r="T30" s="4">
        <v>-8.5630486235625899E-2</v>
      </c>
      <c r="U30" s="4">
        <v>0.70025461973554604</v>
      </c>
      <c r="V30" s="4">
        <v>6.2473369869056702E-2</v>
      </c>
      <c r="Y30" s="1">
        <v>37377</v>
      </c>
      <c r="Z30" s="4">
        <f t="shared" si="1"/>
        <v>9.5342702779090002E-2</v>
      </c>
      <c r="AA30" s="4">
        <f t="shared" si="2"/>
        <v>9.1497060863771101E-2</v>
      </c>
      <c r="AC30" s="1">
        <v>37377</v>
      </c>
      <c r="AD30" s="4">
        <f t="shared" si="3"/>
        <v>0.23520290086679699</v>
      </c>
      <c r="AE30" s="4">
        <f t="shared" si="4"/>
        <v>0.18867196968755501</v>
      </c>
      <c r="AG30" s="1">
        <v>37377</v>
      </c>
      <c r="AH30" s="4">
        <f t="shared" si="5"/>
        <v>8.8447897788827806E-2</v>
      </c>
      <c r="AI30" s="4">
        <f t="shared" si="6"/>
        <v>6.7585979654802703E-2</v>
      </c>
      <c r="AK30" s="1">
        <v>37377</v>
      </c>
      <c r="AL30" s="4">
        <f t="shared" si="7"/>
        <v>0.23520290086679699</v>
      </c>
      <c r="AM30" s="4">
        <f t="shared" si="8"/>
        <v>0.17442508222720959</v>
      </c>
      <c r="AO30" s="1">
        <v>37377</v>
      </c>
      <c r="AP30" s="4">
        <f t="shared" si="9"/>
        <v>0.103707105083335</v>
      </c>
      <c r="AQ30" s="4">
        <f t="shared" si="10"/>
        <v>4.2958826617733648E-2</v>
      </c>
    </row>
    <row r="31" spans="1:58" x14ac:dyDescent="0.25">
      <c r="A31" s="1">
        <v>37742</v>
      </c>
      <c r="B31" s="4">
        <v>9.6424702075097707E-2</v>
      </c>
      <c r="C31" s="4">
        <v>4.1009359547703697E-2</v>
      </c>
      <c r="D31" s="4">
        <v>1.8251176946613299E-2</v>
      </c>
      <c r="E31" s="4">
        <v>4.9562576405324799E-3</v>
      </c>
      <c r="F31" s="4">
        <v>4.3691886190598203E-3</v>
      </c>
      <c r="G31" s="4">
        <v>1.4582712157128501E-2</v>
      </c>
      <c r="H31" s="4">
        <v>8.3168694911037899E-2</v>
      </c>
      <c r="I31" s="4">
        <v>0.74958191161213505</v>
      </c>
      <c r="J31" s="4">
        <v>0.19094667605465601</v>
      </c>
      <c r="K31" s="4">
        <v>0.135835655827719</v>
      </c>
      <c r="L31" s="4">
        <v>4.4426775717395603E-2</v>
      </c>
      <c r="M31" s="4">
        <v>1.1207910192118999</v>
      </c>
      <c r="N31" s="4">
        <f t="shared" si="0"/>
        <v>5.8802377774235692E-2</v>
      </c>
      <c r="P31" s="1">
        <v>37438</v>
      </c>
      <c r="Q31" s="4">
        <v>9.7684253034284296E-2</v>
      </c>
      <c r="R31" s="4">
        <v>0.18526928318591701</v>
      </c>
      <c r="S31" s="4">
        <v>0.18526928318591701</v>
      </c>
      <c r="T31" s="4">
        <v>-8.3421637383344197E-2</v>
      </c>
      <c r="U31" s="4">
        <v>0.70460338082815299</v>
      </c>
      <c r="V31" s="4">
        <v>9.2500240499364894E-2</v>
      </c>
      <c r="Y31" s="1">
        <v>37408</v>
      </c>
      <c r="Z31" s="4">
        <f t="shared" si="1"/>
        <v>9.3979781476172503E-2</v>
      </c>
      <c r="AA31" s="4">
        <f t="shared" si="2"/>
        <v>9.2552909427932303E-2</v>
      </c>
      <c r="AC31" s="1">
        <v>37408</v>
      </c>
      <c r="AD31" s="4">
        <f t="shared" si="3"/>
        <v>0.15296661596684899</v>
      </c>
      <c r="AE31" s="4">
        <f t="shared" si="4"/>
        <v>0.18321222935132001</v>
      </c>
      <c r="AG31" s="1">
        <v>37408</v>
      </c>
      <c r="AH31" s="4">
        <f t="shared" si="5"/>
        <v>8.5630486235625899E-2</v>
      </c>
      <c r="AI31" s="4">
        <f t="shared" si="6"/>
        <v>7.2737008486921995E-2</v>
      </c>
      <c r="AK31" s="1">
        <v>37408</v>
      </c>
      <c r="AL31" s="4">
        <f t="shared" si="7"/>
        <v>0.15296661596684899</v>
      </c>
      <c r="AM31" s="4">
        <f t="shared" si="8"/>
        <v>0.21214006549335421</v>
      </c>
      <c r="AO31" s="1">
        <v>37408</v>
      </c>
      <c r="AP31" s="4">
        <f t="shared" si="9"/>
        <v>6.2473369869056702E-2</v>
      </c>
      <c r="AQ31" s="4">
        <f t="shared" si="10"/>
        <v>2.2435433644904412E-2</v>
      </c>
    </row>
    <row r="32" spans="1:58" x14ac:dyDescent="0.25">
      <c r="A32" s="1">
        <v>37773</v>
      </c>
      <c r="B32" s="4">
        <v>9.5980528404044294E-2</v>
      </c>
      <c r="C32" s="4">
        <v>3.2698867085352502E-2</v>
      </c>
      <c r="D32" s="4">
        <v>1.58053990569848E-2</v>
      </c>
      <c r="E32" s="4">
        <v>4.6463331600630304E-3</v>
      </c>
      <c r="F32" s="4">
        <v>3.7641613364670502E-3</v>
      </c>
      <c r="G32" s="4">
        <v>1.33999895695711E-2</v>
      </c>
      <c r="H32" s="4">
        <v>7.0314750208438595E-2</v>
      </c>
      <c r="I32" s="4">
        <v>0.72490965452359102</v>
      </c>
      <c r="J32" s="4">
        <v>0.173044230542586</v>
      </c>
      <c r="K32" s="4">
        <v>0.168605635033999</v>
      </c>
      <c r="L32" s="4">
        <v>4.5979702446040799E-2</v>
      </c>
      <c r="M32" s="4">
        <v>1.1125392225462101</v>
      </c>
      <c r="N32" s="4">
        <f t="shared" si="0"/>
        <v>5.3756056066272873E-2</v>
      </c>
      <c r="P32" s="1">
        <v>37469</v>
      </c>
      <c r="Q32" s="4">
        <v>9.9353926338060505E-2</v>
      </c>
      <c r="R32" s="4">
        <v>0.19273438086209799</v>
      </c>
      <c r="S32" s="4">
        <v>0.19273438086209799</v>
      </c>
      <c r="T32" s="4">
        <v>-8.4097464503161801E-2</v>
      </c>
      <c r="U32" s="4">
        <v>0.65810317774783</v>
      </c>
      <c r="V32" s="4">
        <v>0.103988197821491</v>
      </c>
      <c r="Y32" s="1">
        <v>37438</v>
      </c>
      <c r="Z32" s="4">
        <f t="shared" si="1"/>
        <v>9.7684253034284296E-2</v>
      </c>
      <c r="AA32" s="4">
        <f t="shared" si="2"/>
        <v>9.5463533251856997E-2</v>
      </c>
      <c r="AC32" s="1">
        <v>37438</v>
      </c>
      <c r="AD32" s="4">
        <f t="shared" si="3"/>
        <v>0.18526928318591701</v>
      </c>
      <c r="AE32" s="4">
        <f t="shared" si="4"/>
        <v>0.19516214217861499</v>
      </c>
      <c r="AG32" s="1">
        <v>37438</v>
      </c>
      <c r="AH32" s="4">
        <f t="shared" si="5"/>
        <v>8.3421637383344197E-2</v>
      </c>
      <c r="AI32" s="4">
        <f t="shared" si="6"/>
        <v>7.2560416181610604E-2</v>
      </c>
      <c r="AK32" s="1">
        <v>37438</v>
      </c>
      <c r="AL32" s="4">
        <f t="shared" si="7"/>
        <v>0.18526928318591701</v>
      </c>
      <c r="AM32" s="4">
        <f t="shared" si="8"/>
        <v>0.196470863371872</v>
      </c>
      <c r="AO32" s="1">
        <v>37438</v>
      </c>
      <c r="AP32" s="4">
        <f t="shared" si="9"/>
        <v>9.2500240499364894E-2</v>
      </c>
      <c r="AQ32" s="4">
        <f t="shared" si="10"/>
        <v>4.0806567916547687E-2</v>
      </c>
    </row>
    <row r="33" spans="1:43" x14ac:dyDescent="0.25">
      <c r="A33" s="1">
        <v>37803</v>
      </c>
      <c r="B33" s="4">
        <v>9.7198067873665805E-2</v>
      </c>
      <c r="C33" s="4">
        <v>3.3626600332443399E-2</v>
      </c>
      <c r="D33" s="4">
        <v>2.1742753615201602E-2</v>
      </c>
      <c r="E33" s="4">
        <v>4.3583763803912799E-3</v>
      </c>
      <c r="F33" s="4">
        <v>4.3488271481831996E-3</v>
      </c>
      <c r="G33" s="4">
        <v>1.34072476679371E-2</v>
      </c>
      <c r="H33" s="4">
        <v>7.7483805144156703E-2</v>
      </c>
      <c r="I33" s="4">
        <v>0.72461604777355804</v>
      </c>
      <c r="J33" s="4">
        <v>0.18606159089704399</v>
      </c>
      <c r="K33" s="4">
        <v>0.144217860543573</v>
      </c>
      <c r="L33" s="4">
        <v>4.0687739253176002E-2</v>
      </c>
      <c r="M33" s="4">
        <v>1.0955832384673501</v>
      </c>
      <c r="N33" s="4">
        <f t="shared" si="0"/>
        <v>7.9098634550472502E-2</v>
      </c>
      <c r="P33" s="1">
        <v>37500</v>
      </c>
      <c r="Q33" s="4">
        <v>9.8950252859810003E-2</v>
      </c>
      <c r="R33" s="4">
        <v>0.20414717483164399</v>
      </c>
      <c r="S33" s="4">
        <v>0.20414717483164399</v>
      </c>
      <c r="T33" s="4">
        <v>-9.2322012751045096E-2</v>
      </c>
      <c r="U33" s="4">
        <v>0.69162983497586705</v>
      </c>
      <c r="V33" s="4">
        <v>9.3244375322675502E-2</v>
      </c>
      <c r="Y33" s="1">
        <v>37469</v>
      </c>
      <c r="Z33" s="4">
        <f t="shared" si="1"/>
        <v>9.9353926338060505E-2</v>
      </c>
      <c r="AA33" s="4">
        <f t="shared" si="2"/>
        <v>9.8718605148476399E-2</v>
      </c>
      <c r="AC33" s="1">
        <v>37469</v>
      </c>
      <c r="AD33" s="4">
        <f t="shared" si="3"/>
        <v>0.19273438086209799</v>
      </c>
      <c r="AE33" s="4">
        <f t="shared" si="4"/>
        <v>0.20135426858720901</v>
      </c>
      <c r="AG33" s="1">
        <v>37469</v>
      </c>
      <c r="AH33" s="4">
        <f t="shared" si="5"/>
        <v>8.4097464503161801E-2</v>
      </c>
      <c r="AI33" s="4">
        <f t="shared" si="6"/>
        <v>7.4638086222802102E-2</v>
      </c>
      <c r="AK33" s="1">
        <v>37469</v>
      </c>
      <c r="AL33" s="4">
        <f t="shared" si="7"/>
        <v>0.19273438086209799</v>
      </c>
      <c r="AM33" s="4">
        <f t="shared" si="8"/>
        <v>0.1835387549504674</v>
      </c>
      <c r="AO33" s="1">
        <v>37469</v>
      </c>
      <c r="AP33" s="4">
        <f t="shared" si="9"/>
        <v>0.103988197821491</v>
      </c>
      <c r="AQ33" s="4">
        <f t="shared" si="10"/>
        <v>4.2313393057118454E-2</v>
      </c>
    </row>
    <row r="34" spans="1:43" x14ac:dyDescent="0.25">
      <c r="A34" s="1">
        <v>37834</v>
      </c>
      <c r="B34" s="4">
        <v>9.5584102869898005E-2</v>
      </c>
      <c r="C34" s="4">
        <v>3.5686587281966498E-2</v>
      </c>
      <c r="D34" s="4">
        <v>1.8510365927939001E-2</v>
      </c>
      <c r="E34" s="4">
        <v>4.2111559573693403E-3</v>
      </c>
      <c r="F34" s="4">
        <v>3.4909986628973298E-3</v>
      </c>
      <c r="G34" s="4">
        <v>1.41131746211231E-2</v>
      </c>
      <c r="H34" s="4">
        <v>7.6012282451295404E-2</v>
      </c>
      <c r="I34" s="4">
        <v>0.71882159323754002</v>
      </c>
      <c r="J34" s="4">
        <v>0.17079296173048999</v>
      </c>
      <c r="K34" s="4">
        <v>0.17107177693152001</v>
      </c>
      <c r="L34" s="4">
        <v>3.5384047421047303E-2</v>
      </c>
      <c r="M34" s="4">
        <v>1.0960703793205899</v>
      </c>
      <c r="N34" s="4">
        <f t="shared" si="0"/>
        <v>7.5526006000603552E-2</v>
      </c>
      <c r="P34" s="1">
        <v>37530</v>
      </c>
      <c r="Q34" s="4">
        <v>9.8997578297052996E-2</v>
      </c>
      <c r="R34" s="4">
        <v>0.168585365761171</v>
      </c>
      <c r="S34" s="4">
        <v>0.168585365761171</v>
      </c>
      <c r="T34" s="4">
        <v>-8.7021884831570903E-2</v>
      </c>
      <c r="U34" s="4">
        <v>0.70123050637805495</v>
      </c>
      <c r="V34" s="4">
        <v>0.112769983553759</v>
      </c>
      <c r="Y34" s="1">
        <v>37500</v>
      </c>
      <c r="Z34" s="4">
        <f t="shared" si="1"/>
        <v>9.8950252859810003E-2</v>
      </c>
      <c r="AA34" s="4">
        <f t="shared" si="2"/>
        <v>9.6303580016304999E-2</v>
      </c>
      <c r="AC34" s="1">
        <v>37500</v>
      </c>
      <c r="AD34" s="4">
        <f t="shared" si="3"/>
        <v>0.20414717483164399</v>
      </c>
      <c r="AE34" s="4">
        <f t="shared" si="4"/>
        <v>0.18792899848906799</v>
      </c>
      <c r="AG34" s="1">
        <v>37500</v>
      </c>
      <c r="AH34" s="4">
        <f t="shared" si="5"/>
        <v>9.2322012751045096E-2</v>
      </c>
      <c r="AI34" s="4">
        <f t="shared" si="6"/>
        <v>7.5362083568590199E-2</v>
      </c>
      <c r="AK34" s="1">
        <v>37500</v>
      </c>
      <c r="AL34" s="4">
        <f t="shared" si="7"/>
        <v>0.20414717483164399</v>
      </c>
      <c r="AM34" s="4">
        <f t="shared" si="8"/>
        <v>0.18079164892654981</v>
      </c>
      <c r="AO34" s="1">
        <v>37500</v>
      </c>
      <c r="AP34" s="4">
        <f t="shared" si="9"/>
        <v>9.3244375322675502E-2</v>
      </c>
      <c r="AQ34" s="4">
        <f t="shared" si="10"/>
        <v>5.9890304936385252E-2</v>
      </c>
    </row>
    <row r="35" spans="1:43" x14ac:dyDescent="0.25">
      <c r="A35" s="1">
        <v>37865</v>
      </c>
      <c r="B35" s="4">
        <v>9.4151907658589704E-2</v>
      </c>
      <c r="C35" s="4">
        <v>3.3980107547880702E-2</v>
      </c>
      <c r="D35" s="4">
        <v>1.7790739699231999E-2</v>
      </c>
      <c r="E35" s="4">
        <v>7.3414592525447896E-3</v>
      </c>
      <c r="F35" s="4">
        <v>4.4333640842741801E-3</v>
      </c>
      <c r="G35" s="4">
        <v>1.30394014148066E-2</v>
      </c>
      <c r="H35" s="4">
        <v>7.6585071998738499E-2</v>
      </c>
      <c r="I35" s="4">
        <v>0.69091415712514104</v>
      </c>
      <c r="J35" s="4">
        <v>0.18859349775516701</v>
      </c>
      <c r="K35" s="4">
        <v>0.16523007354876901</v>
      </c>
      <c r="L35" s="4">
        <v>5.9247518795577103E-2</v>
      </c>
      <c r="M35" s="4">
        <v>1.1039852472246501</v>
      </c>
      <c r="N35" s="4">
        <f t="shared" si="0"/>
        <v>6.6751732432678068E-2</v>
      </c>
      <c r="P35" s="1">
        <v>37561</v>
      </c>
      <c r="Q35" s="4">
        <v>9.7595287119505103E-2</v>
      </c>
      <c r="R35" s="4">
        <v>0.19821837712767301</v>
      </c>
      <c r="S35" s="4">
        <v>0.19821837712767301</v>
      </c>
      <c r="T35" s="4">
        <v>-8.7093979055283904E-2</v>
      </c>
      <c r="U35" s="4">
        <v>0.62580363255245797</v>
      </c>
      <c r="V35" s="4">
        <v>9.9507747824836401E-2</v>
      </c>
      <c r="Y35" s="1">
        <v>37530</v>
      </c>
      <c r="Z35" s="4">
        <f t="shared" si="1"/>
        <v>9.8997578297052996E-2</v>
      </c>
      <c r="AA35" s="4">
        <f t="shared" si="2"/>
        <v>9.8699430722717099E-2</v>
      </c>
      <c r="AC35" s="1">
        <v>37530</v>
      </c>
      <c r="AD35" s="4">
        <f t="shared" si="3"/>
        <v>0.168585365761171</v>
      </c>
      <c r="AE35" s="4">
        <f t="shared" si="4"/>
        <v>0.19858797016577701</v>
      </c>
      <c r="AG35" s="1">
        <v>37530</v>
      </c>
      <c r="AH35" s="4">
        <f t="shared" si="5"/>
        <v>8.7021884831570903E-2</v>
      </c>
      <c r="AI35" s="4">
        <f t="shared" si="6"/>
        <v>7.7419403672893503E-2</v>
      </c>
      <c r="AK35" s="1">
        <v>37530</v>
      </c>
      <c r="AL35" s="4">
        <f t="shared" si="7"/>
        <v>0.168585365761171</v>
      </c>
      <c r="AM35" s="4">
        <f t="shared" si="8"/>
        <v>0.1912488891995468</v>
      </c>
      <c r="AO35" s="1">
        <v>37530</v>
      </c>
      <c r="AP35" s="4">
        <f t="shared" si="9"/>
        <v>0.112769983553759</v>
      </c>
      <c r="AQ35" s="4">
        <f t="shared" si="10"/>
        <v>3.6900225923130581E-2</v>
      </c>
    </row>
    <row r="36" spans="1:43" x14ac:dyDescent="0.25">
      <c r="A36" s="1">
        <v>37895</v>
      </c>
      <c r="B36" s="4">
        <v>9.4983665870652101E-2</v>
      </c>
      <c r="C36" s="4">
        <v>3.1747142513009197E-2</v>
      </c>
      <c r="D36" s="4">
        <v>1.8446292383014502E-2</v>
      </c>
      <c r="E36" s="4">
        <v>3.5254289076425901E-3</v>
      </c>
      <c r="F36" s="4">
        <v>4.5889813418173598E-3</v>
      </c>
      <c r="G36" s="4">
        <v>1.3080276117496599E-2</v>
      </c>
      <c r="H36" s="4">
        <v>7.1388121262980303E-2</v>
      </c>
      <c r="I36" s="4">
        <v>0.68347489300702702</v>
      </c>
      <c r="J36" s="4">
        <v>0.166906212199532</v>
      </c>
      <c r="K36" s="4">
        <v>0.175645398621746</v>
      </c>
      <c r="L36" s="4">
        <v>4.73051068611419E-2</v>
      </c>
      <c r="M36" s="4">
        <v>1.0733316106894399</v>
      </c>
      <c r="N36" s="4">
        <f t="shared" si="0"/>
        <v>9.304017644419238E-2</v>
      </c>
      <c r="P36" s="1">
        <v>37591</v>
      </c>
      <c r="Q36" s="4">
        <v>9.8142375763494993E-2</v>
      </c>
      <c r="R36" s="4">
        <v>0.19051084055951201</v>
      </c>
      <c r="S36" s="4">
        <v>0.19051084055951201</v>
      </c>
      <c r="T36" s="4">
        <v>-8.4176588435900396E-2</v>
      </c>
      <c r="U36" s="4">
        <v>0.67300195989673395</v>
      </c>
      <c r="V36" s="4">
        <v>0.10785837321651399</v>
      </c>
      <c r="Y36" s="1">
        <v>37561</v>
      </c>
      <c r="Z36" s="4">
        <f t="shared" si="1"/>
        <v>9.7595287119505103E-2</v>
      </c>
      <c r="AA36" s="4">
        <f t="shared" si="2"/>
        <v>9.4732215749978102E-2</v>
      </c>
      <c r="AC36" s="1">
        <v>37561</v>
      </c>
      <c r="AD36" s="4">
        <f t="shared" si="3"/>
        <v>0.19821837712767301</v>
      </c>
      <c r="AE36" s="4">
        <f t="shared" si="4"/>
        <v>0.19963007648433101</v>
      </c>
      <c r="AG36" s="1">
        <v>37561</v>
      </c>
      <c r="AH36" s="4">
        <f t="shared" si="5"/>
        <v>8.7093979055283904E-2</v>
      </c>
      <c r="AI36" s="4">
        <f t="shared" si="6"/>
        <v>7.5399123767622797E-2</v>
      </c>
      <c r="AK36" s="1">
        <v>37561</v>
      </c>
      <c r="AL36" s="4">
        <f t="shared" si="7"/>
        <v>0.19821837712767301</v>
      </c>
      <c r="AM36" s="4">
        <f t="shared" si="8"/>
        <v>0.21753958472591101</v>
      </c>
      <c r="AO36" s="1">
        <v>37561</v>
      </c>
      <c r="AP36" s="4">
        <f t="shared" si="9"/>
        <v>9.9507747824836401E-2</v>
      </c>
      <c r="AQ36" s="4">
        <f t="shared" si="10"/>
        <v>3.6972132053940898E-2</v>
      </c>
    </row>
    <row r="37" spans="1:43" x14ac:dyDescent="0.25">
      <c r="A37" s="1">
        <v>37926</v>
      </c>
      <c r="B37" s="4">
        <v>9.5532340805721705E-2</v>
      </c>
      <c r="C37" s="4">
        <v>3.48162881649429E-2</v>
      </c>
      <c r="D37" s="4">
        <v>1.9033524125198299E-2</v>
      </c>
      <c r="E37" s="4">
        <v>4.5248637440313101E-3</v>
      </c>
      <c r="F37" s="4">
        <v>4.7678427891326303E-3</v>
      </c>
      <c r="G37" s="4">
        <v>1.45232141010424E-2</v>
      </c>
      <c r="H37" s="4">
        <v>7.76657329243476E-2</v>
      </c>
      <c r="I37" s="4">
        <v>0.72859325537416098</v>
      </c>
      <c r="J37" s="4">
        <v>0.17951054871160099</v>
      </c>
      <c r="K37" s="4">
        <v>0.14749311935036599</v>
      </c>
      <c r="L37" s="4">
        <v>4.5554412750818798E-2</v>
      </c>
      <c r="M37" s="4">
        <v>1.1011513361869401</v>
      </c>
      <c r="N37" s="4">
        <f t="shared" si="0"/>
        <v>7.2046737543129291E-2</v>
      </c>
      <c r="P37" s="1">
        <v>37622</v>
      </c>
      <c r="Q37" s="4">
        <v>0.100100382458135</v>
      </c>
      <c r="R37" s="4">
        <v>0.16754748703255201</v>
      </c>
      <c r="S37" s="4">
        <v>0.16754748703255201</v>
      </c>
      <c r="T37" s="4">
        <v>-8.5576627750437798E-2</v>
      </c>
      <c r="U37" s="4">
        <v>0.68694589648803395</v>
      </c>
      <c r="V37" s="4">
        <v>0.123559471032437</v>
      </c>
      <c r="Y37" s="1">
        <v>37591</v>
      </c>
      <c r="Z37" s="4">
        <f t="shared" si="1"/>
        <v>9.8142375763494993E-2</v>
      </c>
      <c r="AA37" s="4">
        <f t="shared" si="2"/>
        <v>9.3027142095450904E-2</v>
      </c>
      <c r="AC37" s="1">
        <v>37591</v>
      </c>
      <c r="AD37" s="4">
        <f t="shared" si="3"/>
        <v>0.19051084055951201</v>
      </c>
      <c r="AE37" s="4">
        <f t="shared" si="4"/>
        <v>0.18220515855067401</v>
      </c>
      <c r="AG37" s="1">
        <v>37591</v>
      </c>
      <c r="AH37" s="4">
        <f t="shared" si="5"/>
        <v>8.4176588435900396E-2</v>
      </c>
      <c r="AI37" s="4">
        <f t="shared" si="6"/>
        <v>7.2991193327606299E-2</v>
      </c>
      <c r="AK37" s="1">
        <v>37591</v>
      </c>
      <c r="AL37" s="4">
        <f t="shared" si="7"/>
        <v>0.19051084055951201</v>
      </c>
      <c r="AM37" s="4">
        <f t="shared" si="8"/>
        <v>0.1712377542644356</v>
      </c>
      <c r="AO37" s="1">
        <v>37591</v>
      </c>
      <c r="AP37" s="4">
        <f t="shared" si="9"/>
        <v>0.10785837321651399</v>
      </c>
      <c r="AQ37" s="4">
        <f t="shared" si="10"/>
        <v>4.207128191237719E-2</v>
      </c>
    </row>
    <row r="38" spans="1:43" x14ac:dyDescent="0.25">
      <c r="A38" s="1">
        <v>37956</v>
      </c>
      <c r="B38" s="4">
        <v>9.5588896004576304E-2</v>
      </c>
      <c r="C38" s="4">
        <v>4.1360798684781097E-2</v>
      </c>
      <c r="D38" s="4">
        <v>1.7072211279380401E-2</v>
      </c>
      <c r="E38" s="4">
        <v>4.3395716703591497E-3</v>
      </c>
      <c r="F38" s="4">
        <v>5.28197890615454E-3</v>
      </c>
      <c r="G38" s="4">
        <v>1.6894971228037198E-2</v>
      </c>
      <c r="H38" s="4">
        <v>8.4949531768712505E-2</v>
      </c>
      <c r="I38" s="4">
        <v>0.70798272778385196</v>
      </c>
      <c r="J38" s="4">
        <v>0.175284167250495</v>
      </c>
      <c r="K38" s="4">
        <v>0.13577347815913601</v>
      </c>
      <c r="L38" s="4">
        <v>8.9038585689724906E-2</v>
      </c>
      <c r="M38" s="4">
        <v>1.1080789588832001</v>
      </c>
      <c r="N38" s="4">
        <f t="shared" si="0"/>
        <v>7.2459468890088807E-2</v>
      </c>
      <c r="P38" s="1">
        <v>37653</v>
      </c>
      <c r="Q38" s="4">
        <v>9.8364066523214194E-2</v>
      </c>
      <c r="R38" s="4">
        <v>0.19749440190617901</v>
      </c>
      <c r="S38" s="4">
        <v>0.19749440190617901</v>
      </c>
      <c r="T38" s="4">
        <v>-8.3559682185534806E-2</v>
      </c>
      <c r="U38" s="4">
        <v>0.70386541944582104</v>
      </c>
      <c r="V38" s="4">
        <v>9.0048881202091202E-2</v>
      </c>
      <c r="Y38" s="1">
        <v>37622</v>
      </c>
      <c r="Z38" s="4">
        <f t="shared" si="1"/>
        <v>0.100100382458135</v>
      </c>
      <c r="AA38" s="4">
        <f t="shared" si="2"/>
        <v>9.7419911388664598E-2</v>
      </c>
      <c r="AC38" s="1">
        <v>37622</v>
      </c>
      <c r="AD38" s="4">
        <f t="shared" si="3"/>
        <v>0.16754748703255201</v>
      </c>
      <c r="AE38" s="4">
        <f t="shared" si="4"/>
        <v>0.20000193448350201</v>
      </c>
      <c r="AG38" s="1">
        <v>37622</v>
      </c>
      <c r="AH38" s="4">
        <f t="shared" si="5"/>
        <v>8.5576627750437798E-2</v>
      </c>
      <c r="AI38" s="4">
        <f t="shared" si="6"/>
        <v>8.19295025533575E-2</v>
      </c>
      <c r="AK38" s="1">
        <v>37622</v>
      </c>
      <c r="AL38" s="4">
        <f t="shared" si="7"/>
        <v>0.16754748703255201</v>
      </c>
      <c r="AM38" s="4">
        <f t="shared" si="8"/>
        <v>0.23227135832039669</v>
      </c>
      <c r="AO38" s="1">
        <v>37622</v>
      </c>
      <c r="AP38" s="4">
        <f t="shared" si="9"/>
        <v>0.123559471032437</v>
      </c>
      <c r="AQ38" s="4">
        <f t="shared" si="10"/>
        <v>5.4174114426582154E-2</v>
      </c>
    </row>
    <row r="39" spans="1:43" x14ac:dyDescent="0.25">
      <c r="A39" s="1">
        <v>37987</v>
      </c>
      <c r="B39" s="4">
        <v>9.4361525513885797E-2</v>
      </c>
      <c r="C39" s="4">
        <v>3.4173974958398697E-2</v>
      </c>
      <c r="D39" s="4">
        <v>1.67999678679569E-2</v>
      </c>
      <c r="E39" s="4">
        <v>3.8495865250681798E-3</v>
      </c>
      <c r="F39" s="4">
        <v>4.5749791490197903E-3</v>
      </c>
      <c r="G39" s="4">
        <v>1.59390469971155E-2</v>
      </c>
      <c r="H39" s="4">
        <v>7.5337555497559203E-2</v>
      </c>
      <c r="I39" s="4">
        <v>0.68683698019394701</v>
      </c>
      <c r="J39" s="4">
        <v>0.16198696394857401</v>
      </c>
      <c r="K39" s="4">
        <v>0.17649280379256199</v>
      </c>
      <c r="L39" s="4">
        <v>5.79733843493467E-2</v>
      </c>
      <c r="M39" s="4">
        <v>1.0832901322844299</v>
      </c>
      <c r="N39" s="4">
        <f t="shared" si="0"/>
        <v>8.6408948727014989E-2</v>
      </c>
      <c r="P39" s="1">
        <v>37681</v>
      </c>
      <c r="Q39" s="4">
        <v>9.9827343641933394E-2</v>
      </c>
      <c r="R39" s="4">
        <v>0.17468906806866</v>
      </c>
      <c r="S39" s="4">
        <v>0.17468906806866</v>
      </c>
      <c r="T39" s="4">
        <v>-8.7326357530199197E-2</v>
      </c>
      <c r="U39" s="4">
        <v>0.71369989692749802</v>
      </c>
      <c r="V39" s="4">
        <v>9.0047058287661394E-2</v>
      </c>
      <c r="Y39" s="1">
        <v>37653</v>
      </c>
      <c r="Z39" s="4">
        <f t="shared" si="1"/>
        <v>9.8364066523214194E-2</v>
      </c>
      <c r="AA39" s="4">
        <f t="shared" si="2"/>
        <v>9.4840673370351194E-2</v>
      </c>
      <c r="AC39" s="1">
        <v>37653</v>
      </c>
      <c r="AD39" s="4">
        <f t="shared" si="3"/>
        <v>0.19749440190617901</v>
      </c>
      <c r="AE39" s="4">
        <f t="shared" si="4"/>
        <v>0.220723104173384</v>
      </c>
      <c r="AG39" s="1">
        <v>37653</v>
      </c>
      <c r="AH39" s="4">
        <f t="shared" si="5"/>
        <v>8.3559682185534806E-2</v>
      </c>
      <c r="AI39" s="4">
        <f t="shared" si="6"/>
        <v>8.4779995841831504E-2</v>
      </c>
      <c r="AK39" s="1">
        <v>37653</v>
      </c>
      <c r="AL39" s="4">
        <f t="shared" si="7"/>
        <v>0.19749440190617901</v>
      </c>
      <c r="AM39" s="4">
        <f t="shared" si="8"/>
        <v>0.16263434716638231</v>
      </c>
      <c r="AO39" s="1">
        <v>37653</v>
      </c>
      <c r="AP39" s="4">
        <f t="shared" si="9"/>
        <v>9.0048881202091202E-2</v>
      </c>
      <c r="AQ39" s="4">
        <f t="shared" si="10"/>
        <v>6.2866962106832736E-2</v>
      </c>
    </row>
    <row r="40" spans="1:43" x14ac:dyDescent="0.25">
      <c r="A40" s="1">
        <v>38018</v>
      </c>
      <c r="B40" s="4">
        <v>9.63743355166089E-2</v>
      </c>
      <c r="C40" s="4">
        <v>3.2968007369039501E-2</v>
      </c>
      <c r="D40" s="4">
        <v>1.78841976452336E-2</v>
      </c>
      <c r="E40" s="4">
        <v>4.8154972214113903E-3</v>
      </c>
      <c r="F40" s="4">
        <v>4.5045543041448196E-3</v>
      </c>
      <c r="G40" s="4">
        <v>1.6485871147922E-2</v>
      </c>
      <c r="H40" s="4">
        <v>7.6658127687751501E-2</v>
      </c>
      <c r="I40" s="4">
        <v>0.71590970277386601</v>
      </c>
      <c r="J40" s="4">
        <v>0.18768268500920801</v>
      </c>
      <c r="K40" s="4">
        <v>0.15828328391298399</v>
      </c>
      <c r="L40" s="4">
        <v>3.5643323126191999E-2</v>
      </c>
      <c r="M40" s="4">
        <v>1.0975189948222499</v>
      </c>
      <c r="N40" s="4">
        <f t="shared" si="0"/>
        <v>7.5513468382110371E-2</v>
      </c>
      <c r="P40" s="1">
        <v>37712</v>
      </c>
      <c r="Q40" s="4">
        <v>0.100642391449035</v>
      </c>
      <c r="R40" s="4">
        <v>0.15566510007402501</v>
      </c>
      <c r="S40" s="4">
        <v>0.15566510007402501</v>
      </c>
      <c r="T40" s="4">
        <v>-8.1448378186817202E-2</v>
      </c>
      <c r="U40" s="4">
        <v>0.66043826732557698</v>
      </c>
      <c r="V40" s="4">
        <v>9.7070314103542998E-2</v>
      </c>
      <c r="Y40" s="1">
        <v>37681</v>
      </c>
      <c r="Z40" s="4">
        <f t="shared" si="1"/>
        <v>9.9827343641933394E-2</v>
      </c>
      <c r="AA40" s="4">
        <f t="shared" si="2"/>
        <v>9.5779156814831803E-2</v>
      </c>
      <c r="AC40" s="1">
        <v>37681</v>
      </c>
      <c r="AD40" s="4">
        <f t="shared" si="3"/>
        <v>0.17468906806866</v>
      </c>
      <c r="AE40" s="4">
        <f t="shared" si="4"/>
        <v>0.18441207144706401</v>
      </c>
      <c r="AG40" s="1">
        <v>37681</v>
      </c>
      <c r="AH40" s="4">
        <f t="shared" si="5"/>
        <v>8.7326357530199197E-2</v>
      </c>
      <c r="AI40" s="4">
        <f t="shared" si="6"/>
        <v>7.5552990624335903E-2</v>
      </c>
      <c r="AK40" s="1">
        <v>37681</v>
      </c>
      <c r="AL40" s="4">
        <f t="shared" si="7"/>
        <v>0.17468906806866</v>
      </c>
      <c r="AM40" s="4">
        <f t="shared" si="8"/>
        <v>0.18108946445303692</v>
      </c>
      <c r="AO40" s="1">
        <v>37681</v>
      </c>
      <c r="AP40" s="4">
        <f t="shared" si="9"/>
        <v>9.0047058287661394E-2</v>
      </c>
      <c r="AQ40" s="4">
        <f t="shared" si="10"/>
        <v>5.0652732995537519E-2</v>
      </c>
    </row>
    <row r="41" spans="1:43" x14ac:dyDescent="0.25">
      <c r="A41" s="1">
        <v>38047</v>
      </c>
      <c r="B41" s="4">
        <v>9.5967381208651906E-2</v>
      </c>
      <c r="C41" s="4">
        <v>3.6615015570504998E-2</v>
      </c>
      <c r="D41" s="4">
        <v>1.8434683899004201E-2</v>
      </c>
      <c r="E41" s="4">
        <v>3.2130328927319801E-3</v>
      </c>
      <c r="F41" s="4">
        <v>4.6996039543356202E-3</v>
      </c>
      <c r="G41" s="4">
        <v>1.5638921342061698E-2</v>
      </c>
      <c r="H41" s="4">
        <v>7.8601257658638596E-2</v>
      </c>
      <c r="I41" s="4">
        <v>0.72307052449304698</v>
      </c>
      <c r="J41" s="4">
        <v>0.174320144601464</v>
      </c>
      <c r="K41" s="4">
        <v>0.12809121858526501</v>
      </c>
      <c r="L41" s="4">
        <v>6.2266122115582301E-2</v>
      </c>
      <c r="M41" s="4">
        <v>1.08774800979536</v>
      </c>
      <c r="N41" s="4">
        <f t="shared" si="0"/>
        <v>8.6820629071930444E-2</v>
      </c>
      <c r="P41" s="1">
        <v>37742</v>
      </c>
      <c r="Q41" s="4">
        <v>9.78646848516566E-2</v>
      </c>
      <c r="R41" s="4">
        <v>0.18631301973584999</v>
      </c>
      <c r="S41" s="4">
        <v>0.18631301973584999</v>
      </c>
      <c r="T41" s="4">
        <v>-8.2622913639009601E-2</v>
      </c>
      <c r="U41" s="4">
        <v>0.62084058410094001</v>
      </c>
      <c r="V41" s="4">
        <v>9.0463487100615594E-2</v>
      </c>
      <c r="Y41" s="1">
        <v>37712</v>
      </c>
      <c r="Z41" s="4">
        <f t="shared" si="1"/>
        <v>0.100642391449035</v>
      </c>
      <c r="AA41" s="4">
        <f t="shared" si="2"/>
        <v>9.76036845904793E-2</v>
      </c>
      <c r="AC41" s="1">
        <v>37712</v>
      </c>
      <c r="AD41" s="4">
        <f t="shared" si="3"/>
        <v>0.15566510007402501</v>
      </c>
      <c r="AE41" s="4">
        <f t="shared" si="4"/>
        <v>0.205491277166862</v>
      </c>
      <c r="AG41" s="1">
        <v>37712</v>
      </c>
      <c r="AH41" s="4">
        <f t="shared" si="5"/>
        <v>8.1448378186817202E-2</v>
      </c>
      <c r="AI41" s="4">
        <f t="shared" si="6"/>
        <v>8.08142760607896E-2</v>
      </c>
      <c r="AK41" s="1">
        <v>37712</v>
      </c>
      <c r="AL41" s="4">
        <f t="shared" si="7"/>
        <v>0.15566510007402501</v>
      </c>
      <c r="AM41" s="4">
        <f t="shared" si="8"/>
        <v>0.19383918403851963</v>
      </c>
      <c r="AO41" s="1">
        <v>37712</v>
      </c>
      <c r="AP41" s="4">
        <f t="shared" si="9"/>
        <v>9.7070314103542998E-2</v>
      </c>
      <c r="AQ41" s="4">
        <f t="shared" si="10"/>
        <v>7.3206441312678727E-2</v>
      </c>
    </row>
    <row r="42" spans="1:43" x14ac:dyDescent="0.25">
      <c r="A42" s="1">
        <v>38078</v>
      </c>
      <c r="B42" s="4">
        <v>9.4610349806685604E-2</v>
      </c>
      <c r="C42" s="4">
        <v>3.2455034578238597E-2</v>
      </c>
      <c r="D42" s="4">
        <v>1.89811135920127E-2</v>
      </c>
      <c r="E42" s="4">
        <v>3.7058763328330999E-3</v>
      </c>
      <c r="F42" s="4">
        <v>4.5145692282871899E-3</v>
      </c>
      <c r="G42" s="4">
        <v>1.68878132457147E-2</v>
      </c>
      <c r="H42" s="4">
        <v>7.6544406977086504E-2</v>
      </c>
      <c r="I42" s="4">
        <v>0.73620605948701001</v>
      </c>
      <c r="J42" s="4">
        <v>0.18038464304625701</v>
      </c>
      <c r="K42" s="4">
        <v>0.12972478839477999</v>
      </c>
      <c r="L42" s="4">
        <v>5.4870905182969901E-2</v>
      </c>
      <c r="M42" s="4">
        <v>1.10118639611101</v>
      </c>
      <c r="N42" s="4">
        <f t="shared" si="0"/>
        <v>6.9968360672762131E-2</v>
      </c>
      <c r="P42" s="1">
        <v>37773</v>
      </c>
      <c r="Q42" s="4">
        <v>9.6155197260453795E-2</v>
      </c>
      <c r="R42" s="4">
        <v>0.14509551237408899</v>
      </c>
      <c r="S42" s="4">
        <v>0.14509551237408899</v>
      </c>
      <c r="T42" s="4">
        <v>-7.9324099263602704E-2</v>
      </c>
      <c r="U42" s="4">
        <v>0.70258350333074604</v>
      </c>
      <c r="V42" s="4">
        <v>7.8448301915961999E-2</v>
      </c>
      <c r="Y42" s="1">
        <v>37742</v>
      </c>
      <c r="Z42" s="4">
        <f t="shared" si="1"/>
        <v>9.78646848516566E-2</v>
      </c>
      <c r="AA42" s="4">
        <f t="shared" si="2"/>
        <v>9.6424702075097707E-2</v>
      </c>
      <c r="AC42" s="1">
        <v>37742</v>
      </c>
      <c r="AD42" s="4">
        <f t="shared" si="3"/>
        <v>0.18631301973584999</v>
      </c>
      <c r="AE42" s="4">
        <f t="shared" si="4"/>
        <v>0.19094667605465601</v>
      </c>
      <c r="AG42" s="1">
        <v>37742</v>
      </c>
      <c r="AH42" s="4">
        <f t="shared" si="5"/>
        <v>8.2622913639009601E-2</v>
      </c>
      <c r="AI42" s="4">
        <f t="shared" si="6"/>
        <v>8.3168694911037899E-2</v>
      </c>
      <c r="AK42" s="1">
        <v>37742</v>
      </c>
      <c r="AL42" s="4">
        <f t="shared" si="7"/>
        <v>0.18631301973584999</v>
      </c>
      <c r="AM42" s="4">
        <f t="shared" si="8"/>
        <v>0.18026243154511462</v>
      </c>
      <c r="AO42" s="1">
        <v>37742</v>
      </c>
      <c r="AP42" s="4">
        <f t="shared" si="9"/>
        <v>9.0463487100615594E-2</v>
      </c>
      <c r="AQ42" s="4">
        <f t="shared" si="10"/>
        <v>5.8802377774235692E-2</v>
      </c>
    </row>
    <row r="43" spans="1:43" x14ac:dyDescent="0.25">
      <c r="A43" s="1">
        <v>38108</v>
      </c>
      <c r="B43" s="4">
        <v>9.5717192768817794E-2</v>
      </c>
      <c r="C43" s="4">
        <v>3.65046435699376E-2</v>
      </c>
      <c r="D43" s="4">
        <v>1.74815813910657E-2</v>
      </c>
      <c r="E43" s="4">
        <v>3.76925941833155E-3</v>
      </c>
      <c r="F43" s="4">
        <v>4.4855064831901504E-3</v>
      </c>
      <c r="G43" s="4">
        <v>1.6120403104106801E-2</v>
      </c>
      <c r="H43" s="4">
        <v>7.8361393966631998E-2</v>
      </c>
      <c r="I43" s="4">
        <v>0.74739569460761002</v>
      </c>
      <c r="J43" s="4">
        <v>0.16141665863888199</v>
      </c>
      <c r="K43" s="4">
        <v>0.118792144291472</v>
      </c>
      <c r="L43" s="4">
        <v>6.3733937807314095E-2</v>
      </c>
      <c r="M43" s="4">
        <v>1.09133843534528</v>
      </c>
      <c r="N43" s="4">
        <f t="shared" si="0"/>
        <v>8.2740151390169769E-2</v>
      </c>
      <c r="P43" s="1">
        <v>37803</v>
      </c>
      <c r="Q43" s="4">
        <v>9.6283177647796703E-2</v>
      </c>
      <c r="R43" s="4">
        <v>0.17229613512823699</v>
      </c>
      <c r="S43" s="4">
        <v>0.17229613512823699</v>
      </c>
      <c r="T43" s="4">
        <v>-8.0580643143668002E-2</v>
      </c>
      <c r="U43" s="4">
        <v>0.69826156290852204</v>
      </c>
      <c r="V43" s="4">
        <v>9.1519983228726204E-2</v>
      </c>
      <c r="Y43" s="1">
        <v>37773</v>
      </c>
      <c r="Z43" s="4">
        <f t="shared" si="1"/>
        <v>9.6155197260453795E-2</v>
      </c>
      <c r="AA43" s="4">
        <f t="shared" si="2"/>
        <v>9.5980528404044294E-2</v>
      </c>
      <c r="AC43" s="1">
        <v>37773</v>
      </c>
      <c r="AD43" s="4">
        <f t="shared" si="3"/>
        <v>0.14509551237408899</v>
      </c>
      <c r="AE43" s="4">
        <f t="shared" si="4"/>
        <v>0.173044230542586</v>
      </c>
      <c r="AG43" s="1">
        <v>37773</v>
      </c>
      <c r="AH43" s="4">
        <f t="shared" si="5"/>
        <v>7.9324099263602704E-2</v>
      </c>
      <c r="AI43" s="4">
        <f t="shared" si="6"/>
        <v>7.0314750208438595E-2</v>
      </c>
      <c r="AK43" s="1">
        <v>37773</v>
      </c>
      <c r="AL43" s="4">
        <f t="shared" si="7"/>
        <v>0.14509551237408899</v>
      </c>
      <c r="AM43" s="4">
        <f t="shared" si="8"/>
        <v>0.2145853374800398</v>
      </c>
      <c r="AO43" s="1">
        <v>37773</v>
      </c>
      <c r="AP43" s="4">
        <f t="shared" si="9"/>
        <v>7.8448301915961999E-2</v>
      </c>
      <c r="AQ43" s="4">
        <f t="shared" si="10"/>
        <v>5.3756056066272873E-2</v>
      </c>
    </row>
    <row r="44" spans="1:43" x14ac:dyDescent="0.25">
      <c r="A44" s="1">
        <v>38139</v>
      </c>
      <c r="B44" s="4">
        <v>9.5154607352040801E-2</v>
      </c>
      <c r="C44" s="4">
        <v>3.5652469267436197E-2</v>
      </c>
      <c r="D44" s="4">
        <v>1.8725836499137199E-2</v>
      </c>
      <c r="E44" s="4">
        <v>3.8648953730507402E-3</v>
      </c>
      <c r="F44" s="4">
        <v>4.5604090783685804E-3</v>
      </c>
      <c r="G44" s="4">
        <v>1.5579445152420299E-2</v>
      </c>
      <c r="H44" s="4">
        <v>7.8383055370413096E-2</v>
      </c>
      <c r="I44" s="4">
        <v>0.72202525625133696</v>
      </c>
      <c r="J44" s="4">
        <v>0.175335748644048</v>
      </c>
      <c r="K44" s="4">
        <v>0.124684063303741</v>
      </c>
      <c r="L44" s="4">
        <v>7.8008609288390499E-2</v>
      </c>
      <c r="M44" s="4">
        <v>1.10005367748751</v>
      </c>
      <c r="N44" s="4">
        <f t="shared" si="0"/>
        <v>7.3483985234943816E-2</v>
      </c>
      <c r="P44" s="1">
        <v>37834</v>
      </c>
      <c r="Q44" s="4">
        <v>9.6528255301381802E-2</v>
      </c>
      <c r="R44" s="4">
        <v>0.15358277399549899</v>
      </c>
      <c r="S44" s="4">
        <v>0.15358277399549899</v>
      </c>
      <c r="T44" s="4">
        <v>-8.5679527329612398E-2</v>
      </c>
      <c r="U44" s="4">
        <v>0.718774728316246</v>
      </c>
      <c r="V44" s="4">
        <v>0.10215546689945899</v>
      </c>
      <c r="Y44" s="1">
        <v>37803</v>
      </c>
      <c r="Z44" s="4">
        <f t="shared" si="1"/>
        <v>9.6283177647796703E-2</v>
      </c>
      <c r="AA44" s="4">
        <f t="shared" si="2"/>
        <v>9.7198067873665805E-2</v>
      </c>
      <c r="AC44" s="1">
        <v>37803</v>
      </c>
      <c r="AD44" s="4">
        <f t="shared" si="3"/>
        <v>0.17229613512823699</v>
      </c>
      <c r="AE44" s="4">
        <f t="shared" si="4"/>
        <v>0.18606159089704399</v>
      </c>
      <c r="AG44" s="1">
        <v>37803</v>
      </c>
      <c r="AH44" s="4">
        <f t="shared" si="5"/>
        <v>8.0580643143668002E-2</v>
      </c>
      <c r="AI44" s="4">
        <f t="shared" si="6"/>
        <v>7.7483805144156703E-2</v>
      </c>
      <c r="AK44" s="1">
        <v>37803</v>
      </c>
      <c r="AL44" s="4">
        <f t="shared" si="7"/>
        <v>0.17229613512823699</v>
      </c>
      <c r="AM44" s="4">
        <f t="shared" si="8"/>
        <v>0.184905599796749</v>
      </c>
      <c r="AO44" s="1">
        <v>37803</v>
      </c>
      <c r="AP44" s="4">
        <f t="shared" si="9"/>
        <v>9.1519983228726204E-2</v>
      </c>
      <c r="AQ44" s="4">
        <f t="shared" si="10"/>
        <v>7.9098634550472502E-2</v>
      </c>
    </row>
    <row r="45" spans="1:43" x14ac:dyDescent="0.25">
      <c r="A45" s="1">
        <v>38169</v>
      </c>
      <c r="B45" s="4">
        <v>9.4327637427874103E-2</v>
      </c>
      <c r="C45" s="4">
        <v>3.6974368563984603E-2</v>
      </c>
      <c r="D45" s="4">
        <v>2.0632695358690299E-2</v>
      </c>
      <c r="E45" s="4">
        <v>4.0739279691566002E-3</v>
      </c>
      <c r="F45" s="4">
        <v>4.8057773394813404E-3</v>
      </c>
      <c r="G45" s="4">
        <v>1.4787782666505701E-2</v>
      </c>
      <c r="H45" s="4">
        <v>8.1274551897818695E-2</v>
      </c>
      <c r="I45" s="4">
        <v>0.73165586494455104</v>
      </c>
      <c r="J45" s="4">
        <v>0.19334286654324301</v>
      </c>
      <c r="K45" s="4">
        <v>0.11197939760169399</v>
      </c>
      <c r="L45" s="4">
        <v>4.59471426394263E-2</v>
      </c>
      <c r="M45" s="4">
        <v>1.08292527172891</v>
      </c>
      <c r="N45" s="4">
        <f t="shared" si="0"/>
        <v>9.267691759678276E-2</v>
      </c>
      <c r="P45" s="1">
        <v>37865</v>
      </c>
      <c r="Q45" s="4">
        <v>9.6381179856145097E-2</v>
      </c>
      <c r="R45" s="4">
        <v>0.17675318384482999</v>
      </c>
      <c r="S45" s="4">
        <v>0.17675318384482999</v>
      </c>
      <c r="T45" s="4">
        <v>-8.4798896307087201E-2</v>
      </c>
      <c r="U45" s="4">
        <v>0.648458531234123</v>
      </c>
      <c r="V45" s="4">
        <v>0.12049805075394</v>
      </c>
      <c r="Y45" s="1">
        <v>37834</v>
      </c>
      <c r="Z45" s="4">
        <f t="shared" si="1"/>
        <v>9.6528255301381802E-2</v>
      </c>
      <c r="AA45" s="4">
        <f t="shared" si="2"/>
        <v>9.5584102869898005E-2</v>
      </c>
      <c r="AC45" s="1">
        <v>37834</v>
      </c>
      <c r="AD45" s="4">
        <f t="shared" si="3"/>
        <v>0.15358277399549899</v>
      </c>
      <c r="AE45" s="4">
        <f t="shared" si="4"/>
        <v>0.17079296173048999</v>
      </c>
      <c r="AG45" s="1">
        <v>37834</v>
      </c>
      <c r="AH45" s="4">
        <f t="shared" si="5"/>
        <v>8.5679527329612398E-2</v>
      </c>
      <c r="AI45" s="4">
        <f t="shared" si="6"/>
        <v>7.6012282451295404E-2</v>
      </c>
      <c r="AK45" s="1">
        <v>37834</v>
      </c>
      <c r="AL45" s="4">
        <f t="shared" si="7"/>
        <v>0.15358277399549899</v>
      </c>
      <c r="AM45" s="4">
        <f t="shared" si="8"/>
        <v>0.20645582435256732</v>
      </c>
      <c r="AO45" s="1">
        <v>37834</v>
      </c>
      <c r="AP45" s="4">
        <f t="shared" si="9"/>
        <v>0.10215546689945899</v>
      </c>
      <c r="AQ45" s="4">
        <f t="shared" si="10"/>
        <v>7.5526006000603552E-2</v>
      </c>
    </row>
    <row r="46" spans="1:43" x14ac:dyDescent="0.25">
      <c r="A46" s="1">
        <v>38200</v>
      </c>
      <c r="B46" s="4">
        <v>9.5599466988136705E-2</v>
      </c>
      <c r="C46" s="4">
        <v>3.2722459741709203E-2</v>
      </c>
      <c r="D46" s="4">
        <v>1.9998350678005501E-2</v>
      </c>
      <c r="E46" s="4">
        <v>3.9603488554400702E-3</v>
      </c>
      <c r="F46" s="4">
        <v>4.3632858286677999E-3</v>
      </c>
      <c r="G46" s="4">
        <v>1.4928714200100101E-2</v>
      </c>
      <c r="H46" s="4">
        <v>7.5973159303922802E-2</v>
      </c>
      <c r="I46" s="4">
        <v>0.726040791259148</v>
      </c>
      <c r="J46" s="4">
        <v>0.18654139514252799</v>
      </c>
      <c r="K46" s="4">
        <v>0.10201246553443299</v>
      </c>
      <c r="L46" s="4">
        <v>6.8499492865172595E-2</v>
      </c>
      <c r="M46" s="4">
        <v>1.0830941448012801</v>
      </c>
      <c r="N46" s="4">
        <f t="shared" si="0"/>
        <v>8.8478481490779304E-2</v>
      </c>
      <c r="P46" s="1">
        <v>37895</v>
      </c>
      <c r="Q46" s="4">
        <v>9.7694518496988098E-2</v>
      </c>
      <c r="R46" s="4">
        <v>0.164472255594104</v>
      </c>
      <c r="S46" s="4">
        <v>0.164472255594104</v>
      </c>
      <c r="T46" s="4">
        <v>-9.3085720493189195E-2</v>
      </c>
      <c r="U46" s="4">
        <v>0.69044466147566796</v>
      </c>
      <c r="V46" s="4">
        <v>0.12565783778316</v>
      </c>
      <c r="Y46" s="1">
        <v>37865</v>
      </c>
      <c r="Z46" s="4">
        <f t="shared" si="1"/>
        <v>9.6381179856145097E-2</v>
      </c>
      <c r="AA46" s="4">
        <f t="shared" si="2"/>
        <v>9.4151907658589704E-2</v>
      </c>
      <c r="AC46" s="1">
        <v>37865</v>
      </c>
      <c r="AD46" s="4">
        <f t="shared" si="3"/>
        <v>0.17675318384482999</v>
      </c>
      <c r="AE46" s="4">
        <f t="shared" si="4"/>
        <v>0.18859349775516701</v>
      </c>
      <c r="AG46" s="1">
        <v>37865</v>
      </c>
      <c r="AH46" s="4">
        <f t="shared" si="5"/>
        <v>8.4798896307087201E-2</v>
      </c>
      <c r="AI46" s="4">
        <f t="shared" si="6"/>
        <v>7.6585071998738499E-2</v>
      </c>
      <c r="AK46" s="1">
        <v>37865</v>
      </c>
      <c r="AL46" s="4">
        <f t="shared" si="7"/>
        <v>0.17675318384482999</v>
      </c>
      <c r="AM46" s="4">
        <f t="shared" si="8"/>
        <v>0.22447759234434611</v>
      </c>
      <c r="AO46" s="1">
        <v>37865</v>
      </c>
      <c r="AP46" s="4">
        <f t="shared" si="9"/>
        <v>0.12049805075394</v>
      </c>
      <c r="AQ46" s="4">
        <f t="shared" si="10"/>
        <v>6.6751732432678068E-2</v>
      </c>
    </row>
    <row r="47" spans="1:43" x14ac:dyDescent="0.25">
      <c r="A47" s="1">
        <v>38231</v>
      </c>
      <c r="B47" s="4">
        <v>9.6184036041423296E-2</v>
      </c>
      <c r="C47" s="4">
        <v>3.0515895940879199E-2</v>
      </c>
      <c r="D47" s="4">
        <v>2.08210514659866E-2</v>
      </c>
      <c r="E47" s="4">
        <v>4.0645226017166696E-3</v>
      </c>
      <c r="F47" s="4">
        <v>4.5444197453489103E-3</v>
      </c>
      <c r="G47" s="4">
        <v>1.50127280884418E-2</v>
      </c>
      <c r="H47" s="4">
        <v>7.4958617842373301E-2</v>
      </c>
      <c r="I47" s="4">
        <v>0.721424454502122</v>
      </c>
      <c r="J47" s="4">
        <v>0.16531945366656001</v>
      </c>
      <c r="K47" s="4">
        <v>0.13692044740426901</v>
      </c>
      <c r="L47" s="4">
        <v>6.3494007414122394E-2</v>
      </c>
      <c r="M47" s="4">
        <v>1.08715836298707</v>
      </c>
      <c r="N47" s="4">
        <f t="shared" si="0"/>
        <v>8.3984290896726543E-2</v>
      </c>
      <c r="P47" s="1">
        <v>37926</v>
      </c>
      <c r="Q47" s="4">
        <v>9.9638285406874097E-2</v>
      </c>
      <c r="R47" s="4">
        <v>0.169916796849225</v>
      </c>
      <c r="S47" s="4">
        <v>0.169916796849225</v>
      </c>
      <c r="T47" s="4">
        <v>-9.0488515711674503E-2</v>
      </c>
      <c r="U47" s="4">
        <v>0.68229977396943797</v>
      </c>
      <c r="V47" s="4">
        <v>0.135227670047186</v>
      </c>
      <c r="Y47" s="1">
        <v>37895</v>
      </c>
      <c r="Z47" s="4">
        <f t="shared" si="1"/>
        <v>9.7694518496988098E-2</v>
      </c>
      <c r="AA47" s="4">
        <f t="shared" si="2"/>
        <v>9.4983665870652101E-2</v>
      </c>
      <c r="AC47" s="1">
        <v>37895</v>
      </c>
      <c r="AD47" s="4">
        <f t="shared" si="3"/>
        <v>0.164472255594104</v>
      </c>
      <c r="AE47" s="4">
        <f t="shared" si="4"/>
        <v>0.166906212199532</v>
      </c>
      <c r="AG47" s="1">
        <v>37895</v>
      </c>
      <c r="AH47" s="4">
        <f t="shared" si="5"/>
        <v>9.3085720493189195E-2</v>
      </c>
      <c r="AI47" s="4">
        <f t="shared" si="6"/>
        <v>7.1388121262980303E-2</v>
      </c>
      <c r="AK47" s="1">
        <v>37895</v>
      </c>
      <c r="AL47" s="4">
        <f t="shared" si="7"/>
        <v>0.164472255594104</v>
      </c>
      <c r="AM47" s="4">
        <f t="shared" si="8"/>
        <v>0.22295050548288789</v>
      </c>
      <c r="AO47" s="1">
        <v>37895</v>
      </c>
      <c r="AP47" s="4">
        <f t="shared" si="9"/>
        <v>0.12565783778316</v>
      </c>
      <c r="AQ47" s="4">
        <f t="shared" si="10"/>
        <v>9.304017644419238E-2</v>
      </c>
    </row>
    <row r="48" spans="1:43" x14ac:dyDescent="0.25">
      <c r="A48" s="1">
        <v>38261</v>
      </c>
      <c r="B48" s="4">
        <v>9.7084341916287703E-2</v>
      </c>
      <c r="C48" s="4">
        <v>3.6930354869417502E-2</v>
      </c>
      <c r="D48" s="4">
        <v>2.2047940074381399E-2</v>
      </c>
      <c r="E48" s="4">
        <v>4.4150833117872299E-3</v>
      </c>
      <c r="F48" s="4">
        <v>4.0807652359330796E-3</v>
      </c>
      <c r="G48" s="4">
        <v>1.4849212305607E-2</v>
      </c>
      <c r="H48" s="4">
        <v>8.2323355797126296E-2</v>
      </c>
      <c r="I48" s="4">
        <v>0.71852098109078899</v>
      </c>
      <c r="J48" s="4">
        <v>0.18591932003289599</v>
      </c>
      <c r="K48" s="4">
        <v>0.120108692141929</v>
      </c>
      <c r="L48" s="4">
        <v>6.8423117614878098E-2</v>
      </c>
      <c r="M48" s="4">
        <v>1.09297211088049</v>
      </c>
      <c r="N48" s="4">
        <f t="shared" si="0"/>
        <v>8.6435586832924072E-2</v>
      </c>
      <c r="P48" s="1">
        <v>37956</v>
      </c>
      <c r="Q48" s="4">
        <v>9.6972969853862195E-2</v>
      </c>
      <c r="R48" s="4">
        <v>0.163265569781081</v>
      </c>
      <c r="S48" s="4">
        <v>0.163265569781081</v>
      </c>
      <c r="T48" s="4">
        <v>-8.8916969047203295E-2</v>
      </c>
      <c r="U48" s="4">
        <v>0.63419123530839205</v>
      </c>
      <c r="V48" s="4">
        <v>0.116426932864892</v>
      </c>
      <c r="Y48" s="1">
        <v>37926</v>
      </c>
      <c r="Z48" s="4">
        <f t="shared" si="1"/>
        <v>9.9638285406874097E-2</v>
      </c>
      <c r="AA48" s="4">
        <f t="shared" si="2"/>
        <v>9.5532340805721705E-2</v>
      </c>
      <c r="AC48" s="1">
        <v>37926</v>
      </c>
      <c r="AD48" s="4">
        <f t="shared" si="3"/>
        <v>0.169916796849225</v>
      </c>
      <c r="AE48" s="4">
        <f t="shared" si="4"/>
        <v>0.17951054871160099</v>
      </c>
      <c r="AG48" s="1">
        <v>37926</v>
      </c>
      <c r="AH48" s="4">
        <f t="shared" si="5"/>
        <v>9.0488515711674503E-2</v>
      </c>
      <c r="AI48" s="4">
        <f t="shared" si="6"/>
        <v>7.76657329243476E-2</v>
      </c>
      <c r="AK48" s="1">
        <v>37926</v>
      </c>
      <c r="AL48" s="4">
        <f t="shared" si="7"/>
        <v>0.169916796849225</v>
      </c>
      <c r="AM48" s="4">
        <f t="shared" si="8"/>
        <v>0.1930475321011848</v>
      </c>
      <c r="AO48" s="1">
        <v>37926</v>
      </c>
      <c r="AP48" s="4">
        <f t="shared" si="9"/>
        <v>0.135227670047186</v>
      </c>
      <c r="AQ48" s="4">
        <f t="shared" si="10"/>
        <v>7.2046737543129291E-2</v>
      </c>
    </row>
    <row r="49" spans="1:43" x14ac:dyDescent="0.25">
      <c r="A49" s="1">
        <v>38292</v>
      </c>
      <c r="B49" s="4">
        <v>9.9813726296657995E-2</v>
      </c>
      <c r="C49" s="4">
        <v>3.4109274589644099E-2</v>
      </c>
      <c r="D49" s="4">
        <v>2.3873028644806699E-2</v>
      </c>
      <c r="E49" s="4">
        <v>4.49415388602078E-3</v>
      </c>
      <c r="F49" s="4">
        <v>5.3442264941804696E-3</v>
      </c>
      <c r="G49" s="4">
        <v>1.57456043014539E-2</v>
      </c>
      <c r="H49" s="4">
        <v>8.3566287916106E-2</v>
      </c>
      <c r="I49" s="4">
        <v>0.73291705980597499</v>
      </c>
      <c r="J49" s="4">
        <v>0.17735906466940701</v>
      </c>
      <c r="K49" s="4">
        <v>0.10905071725681301</v>
      </c>
      <c r="L49" s="4">
        <v>6.60772677470505E-2</v>
      </c>
      <c r="M49" s="4">
        <v>1.0854041094792399</v>
      </c>
      <c r="N49" s="4">
        <f t="shared" si="0"/>
        <v>9.7975904733524022E-2</v>
      </c>
      <c r="P49" s="1">
        <v>37987</v>
      </c>
      <c r="Q49" s="4">
        <v>9.94455737800434E-2</v>
      </c>
      <c r="R49" s="4">
        <v>0.15778321580955099</v>
      </c>
      <c r="S49" s="4">
        <v>0.15778321580955099</v>
      </c>
      <c r="T49" s="4">
        <v>-8.2151118429909395E-2</v>
      </c>
      <c r="U49" s="4">
        <v>0.56227689978217299</v>
      </c>
      <c r="V49" s="4">
        <v>0.135470977538245</v>
      </c>
      <c r="Y49" s="1">
        <v>37956</v>
      </c>
      <c r="Z49" s="4">
        <f t="shared" si="1"/>
        <v>9.6972969853862195E-2</v>
      </c>
      <c r="AA49" s="4">
        <f t="shared" si="2"/>
        <v>9.5588896004576304E-2</v>
      </c>
      <c r="AC49" s="1">
        <v>37956</v>
      </c>
      <c r="AD49" s="4">
        <f t="shared" si="3"/>
        <v>0.163265569781081</v>
      </c>
      <c r="AE49" s="4">
        <f t="shared" si="4"/>
        <v>0.175284167250495</v>
      </c>
      <c r="AG49" s="1">
        <v>37956</v>
      </c>
      <c r="AH49" s="4">
        <f t="shared" si="5"/>
        <v>8.8916969047203295E-2</v>
      </c>
      <c r="AI49" s="4">
        <f t="shared" si="6"/>
        <v>8.4949531768712505E-2</v>
      </c>
      <c r="AK49" s="1">
        <v>37956</v>
      </c>
      <c r="AL49" s="4">
        <f t="shared" si="7"/>
        <v>0.163265569781081</v>
      </c>
      <c r="AM49" s="4">
        <f t="shared" si="8"/>
        <v>0.22481206384886093</v>
      </c>
      <c r="AO49" s="1">
        <v>37956</v>
      </c>
      <c r="AP49" s="4">
        <f t="shared" si="9"/>
        <v>0.116426932864892</v>
      </c>
      <c r="AQ49" s="4">
        <f t="shared" si="10"/>
        <v>7.2459468890088807E-2</v>
      </c>
    </row>
    <row r="50" spans="1:43" x14ac:dyDescent="0.25">
      <c r="A50" s="1">
        <v>38322</v>
      </c>
      <c r="B50" s="4">
        <v>9.7566846810769894E-2</v>
      </c>
      <c r="C50" s="4">
        <v>3.5933962983371703E-2</v>
      </c>
      <c r="D50" s="4">
        <v>2.4655689605368701E-2</v>
      </c>
      <c r="E50" s="4">
        <v>4.7826422398373498E-3</v>
      </c>
      <c r="F50" s="4">
        <v>3.9835935870733401E-3</v>
      </c>
      <c r="G50" s="4">
        <v>1.7828225086134599E-2</v>
      </c>
      <c r="H50" s="4">
        <v>8.7184113501785801E-2</v>
      </c>
      <c r="I50" s="4">
        <v>0.74946646113035698</v>
      </c>
      <c r="J50" s="4">
        <v>0.17289896928586301</v>
      </c>
      <c r="K50" s="4">
        <v>0.1059070288979</v>
      </c>
      <c r="L50" s="4">
        <v>5.7100233911512401E-2</v>
      </c>
      <c r="M50" s="4">
        <v>1.08537269322563</v>
      </c>
      <c r="N50" s="4">
        <f t="shared" si="0"/>
        <v>9.9378267086925653E-2</v>
      </c>
      <c r="P50" s="1">
        <v>38018</v>
      </c>
      <c r="Q50" s="4">
        <v>9.9099974881294406E-2</v>
      </c>
      <c r="R50" s="4">
        <v>0.18170999485622599</v>
      </c>
      <c r="S50" s="4">
        <v>0.18170999485622599</v>
      </c>
      <c r="T50" s="4">
        <v>-8.8416296925072399E-2</v>
      </c>
      <c r="U50" s="4">
        <v>0.61885562224956903</v>
      </c>
      <c r="V50" s="4">
        <v>0.124868599482193</v>
      </c>
      <c r="Y50" s="1">
        <v>37987</v>
      </c>
      <c r="Z50" s="4">
        <f t="shared" si="1"/>
        <v>9.94455737800434E-2</v>
      </c>
      <c r="AA50" s="4">
        <f t="shared" si="2"/>
        <v>9.4361525513885797E-2</v>
      </c>
      <c r="AC50" s="1">
        <v>37987</v>
      </c>
      <c r="AD50" s="4">
        <f t="shared" si="3"/>
        <v>0.15778321580955099</v>
      </c>
      <c r="AE50" s="4">
        <f t="shared" si="4"/>
        <v>0.16198696394857401</v>
      </c>
      <c r="AG50" s="1">
        <v>37987</v>
      </c>
      <c r="AH50" s="4">
        <f t="shared" si="5"/>
        <v>8.2151118429909395E-2</v>
      </c>
      <c r="AI50" s="4">
        <f t="shared" si="6"/>
        <v>7.5337555497559203E-2</v>
      </c>
      <c r="AK50" s="1">
        <v>37987</v>
      </c>
      <c r="AL50" s="4">
        <f t="shared" si="7"/>
        <v>0.15778321580955099</v>
      </c>
      <c r="AM50" s="4">
        <f t="shared" si="8"/>
        <v>0.2344661881419087</v>
      </c>
      <c r="AO50" s="1">
        <v>37987</v>
      </c>
      <c r="AP50" s="4">
        <f t="shared" si="9"/>
        <v>0.135470977538245</v>
      </c>
      <c r="AQ50" s="4">
        <f t="shared" si="10"/>
        <v>8.6408948727014989E-2</v>
      </c>
    </row>
    <row r="51" spans="1:43" x14ac:dyDescent="0.25">
      <c r="A51" s="1">
        <v>38353</v>
      </c>
      <c r="B51" s="4">
        <v>9.6371033369157602E-2</v>
      </c>
      <c r="C51" s="4">
        <v>4.1450077638639102E-2</v>
      </c>
      <c r="D51" s="4">
        <v>2.3474350151468201E-2</v>
      </c>
      <c r="E51" s="4">
        <v>4.6275712155363097E-3</v>
      </c>
      <c r="F51" s="4">
        <v>4.7627857332777496E-3</v>
      </c>
      <c r="G51" s="4">
        <v>1.8575137214191201E-2</v>
      </c>
      <c r="H51" s="4">
        <v>9.2889921953112603E-2</v>
      </c>
      <c r="I51" s="4">
        <v>0.73908432027863702</v>
      </c>
      <c r="J51" s="4">
        <v>0.190834597037433</v>
      </c>
      <c r="K51" s="4">
        <v>9.9627264085605696E-2</v>
      </c>
      <c r="L51" s="4">
        <v>6.4516029330058303E-2</v>
      </c>
      <c r="M51" s="4">
        <v>1.0940622107317299</v>
      </c>
      <c r="N51" s="4">
        <f t="shared" si="0"/>
        <v>9.519874459054023E-2</v>
      </c>
      <c r="P51" s="1">
        <v>38047</v>
      </c>
      <c r="Q51" s="4">
        <v>9.7643374009448503E-2</v>
      </c>
      <c r="R51" s="4">
        <v>0.15547555599264801</v>
      </c>
      <c r="S51" s="4">
        <v>0.15547555599264801</v>
      </c>
      <c r="T51" s="4">
        <v>-8.3152660828704303E-2</v>
      </c>
      <c r="U51" s="4">
        <v>0.592995311318957</v>
      </c>
      <c r="V51" s="4">
        <v>0.10802913912744699</v>
      </c>
      <c r="Y51" s="1">
        <v>38018</v>
      </c>
      <c r="Z51" s="4">
        <f t="shared" si="1"/>
        <v>9.9099974881294406E-2</v>
      </c>
      <c r="AA51" s="4">
        <f t="shared" si="2"/>
        <v>9.63743355166089E-2</v>
      </c>
      <c r="AC51" s="1">
        <v>38018</v>
      </c>
      <c r="AD51" s="4">
        <f t="shared" si="3"/>
        <v>0.18170999485622599</v>
      </c>
      <c r="AE51" s="4">
        <f t="shared" si="4"/>
        <v>0.18768268500920801</v>
      </c>
      <c r="AG51" s="1">
        <v>38018</v>
      </c>
      <c r="AH51" s="4">
        <f t="shared" si="5"/>
        <v>8.8416296925072399E-2</v>
      </c>
      <c r="AI51" s="4">
        <f t="shared" si="6"/>
        <v>7.6658127687751501E-2</v>
      </c>
      <c r="AK51" s="1">
        <v>38018</v>
      </c>
      <c r="AL51" s="4">
        <f t="shared" si="7"/>
        <v>0.18170999485622599</v>
      </c>
      <c r="AM51" s="4">
        <f t="shared" si="8"/>
        <v>0.193926607039176</v>
      </c>
      <c r="AO51" s="1">
        <v>38018</v>
      </c>
      <c r="AP51" s="4">
        <f t="shared" si="9"/>
        <v>0.124868599482193</v>
      </c>
      <c r="AQ51" s="4">
        <f t="shared" si="10"/>
        <v>7.5513468382110371E-2</v>
      </c>
    </row>
    <row r="52" spans="1:43" x14ac:dyDescent="0.25">
      <c r="A52" s="1">
        <v>38384</v>
      </c>
      <c r="B52" s="4">
        <v>0.102093354385993</v>
      </c>
      <c r="C52" s="4">
        <v>4.4673143441652803E-2</v>
      </c>
      <c r="D52" s="4">
        <v>2.44958696165372E-2</v>
      </c>
      <c r="E52" s="4">
        <v>5.07379325785433E-3</v>
      </c>
      <c r="F52" s="4">
        <v>5.3351563160447101E-3</v>
      </c>
      <c r="G52" s="4">
        <v>1.92332912835806E-2</v>
      </c>
      <c r="H52" s="4">
        <v>9.8811253915669695E-2</v>
      </c>
      <c r="I52" s="4">
        <v>0.69664649339484397</v>
      </c>
      <c r="J52" s="4">
        <v>0.19856033930877501</v>
      </c>
      <c r="K52" s="4">
        <v>0.12878178781133301</v>
      </c>
      <c r="L52" s="4">
        <v>4.6781837973603801E-2</v>
      </c>
      <c r="M52" s="4">
        <v>1.07077045848855</v>
      </c>
      <c r="N52" s="4">
        <f t="shared" si="0"/>
        <v>0.13013414981311278</v>
      </c>
      <c r="P52" s="1">
        <v>38078</v>
      </c>
      <c r="Q52" s="4">
        <v>9.78389216732755E-2</v>
      </c>
      <c r="R52" s="4">
        <v>0.15813882876194299</v>
      </c>
      <c r="S52" s="4">
        <v>0.15813882876194299</v>
      </c>
      <c r="T52" s="4">
        <v>-9.1846613978288805E-2</v>
      </c>
      <c r="U52" s="4">
        <v>0.67109024011291596</v>
      </c>
      <c r="V52" s="4">
        <v>0.13912021982039099</v>
      </c>
      <c r="Y52" s="1">
        <v>38047</v>
      </c>
      <c r="Z52" s="4">
        <f t="shared" si="1"/>
        <v>9.7643374009448503E-2</v>
      </c>
      <c r="AA52" s="4">
        <f t="shared" si="2"/>
        <v>9.5967381208651906E-2</v>
      </c>
      <c r="AC52" s="1">
        <v>38047</v>
      </c>
      <c r="AD52" s="4">
        <f t="shared" si="3"/>
        <v>0.15547555599264801</v>
      </c>
      <c r="AE52" s="4">
        <f t="shared" si="4"/>
        <v>0.174320144601464</v>
      </c>
      <c r="AG52" s="1">
        <v>38047</v>
      </c>
      <c r="AH52" s="4">
        <f t="shared" si="5"/>
        <v>8.3152660828704303E-2</v>
      </c>
      <c r="AI52" s="4">
        <f t="shared" si="6"/>
        <v>7.8601257658638596E-2</v>
      </c>
      <c r="AK52" s="1">
        <v>38047</v>
      </c>
      <c r="AL52" s="4">
        <f t="shared" si="7"/>
        <v>0.15547555599264801</v>
      </c>
      <c r="AM52" s="4">
        <f t="shared" si="8"/>
        <v>0.19035734070084731</v>
      </c>
      <c r="AO52" s="1">
        <v>38047</v>
      </c>
      <c r="AP52" s="4">
        <f t="shared" si="9"/>
        <v>0.10802913912744699</v>
      </c>
      <c r="AQ52" s="4">
        <f t="shared" si="10"/>
        <v>8.6820629071930444E-2</v>
      </c>
    </row>
    <row r="53" spans="1:43" x14ac:dyDescent="0.25">
      <c r="A53" s="1">
        <v>38412</v>
      </c>
      <c r="B53" s="4">
        <v>9.8489532018637499E-2</v>
      </c>
      <c r="C53" s="4">
        <v>3.81583510171482E-2</v>
      </c>
      <c r="D53" s="4">
        <v>2.5066891771445301E-2</v>
      </c>
      <c r="E53" s="4">
        <v>5.5889478177211203E-3</v>
      </c>
      <c r="F53" s="4">
        <v>4.3932521409545096E-3</v>
      </c>
      <c r="G53" s="4">
        <v>2.0060746655776798E-2</v>
      </c>
      <c r="H53" s="4">
        <v>9.3268189403046001E-2</v>
      </c>
      <c r="I53" s="4">
        <v>0.757619704980103</v>
      </c>
      <c r="J53" s="4">
        <v>0.16786223366067299</v>
      </c>
      <c r="K53" s="4">
        <v>9.4110996033912694E-2</v>
      </c>
      <c r="L53" s="4">
        <v>5.3231841643254098E-2</v>
      </c>
      <c r="M53" s="4">
        <v>1.0728247763179399</v>
      </c>
      <c r="N53" s="4">
        <f t="shared" si="0"/>
        <v>0.11893294510374353</v>
      </c>
      <c r="P53" s="1">
        <v>38108</v>
      </c>
      <c r="Q53" s="4">
        <v>9.9934612847631901E-2</v>
      </c>
      <c r="R53" s="4">
        <v>0.17972826206617501</v>
      </c>
      <c r="S53" s="4">
        <v>0.17972826206617501</v>
      </c>
      <c r="T53" s="4">
        <v>-9.1719753728750103E-2</v>
      </c>
      <c r="U53" s="4">
        <v>0.69722418912054596</v>
      </c>
      <c r="V53" s="4">
        <v>0.13505899345941499</v>
      </c>
      <c r="Y53" s="1">
        <v>38078</v>
      </c>
      <c r="Z53" s="4">
        <f t="shared" si="1"/>
        <v>9.78389216732755E-2</v>
      </c>
      <c r="AA53" s="4">
        <f t="shared" si="2"/>
        <v>9.4610349806685604E-2</v>
      </c>
      <c r="AC53" s="1">
        <v>38078</v>
      </c>
      <c r="AD53" s="4">
        <f t="shared" si="3"/>
        <v>0.15813882876194299</v>
      </c>
      <c r="AE53" s="4">
        <f t="shared" si="4"/>
        <v>0.18038464304625701</v>
      </c>
      <c r="AG53" s="1">
        <v>38078</v>
      </c>
      <c r="AH53" s="4">
        <f t="shared" si="5"/>
        <v>9.1846613978288805E-2</v>
      </c>
      <c r="AI53" s="4">
        <f t="shared" si="6"/>
        <v>7.6544406977086504E-2</v>
      </c>
      <c r="AK53" s="1">
        <v>38078</v>
      </c>
      <c r="AL53" s="4">
        <f t="shared" si="7"/>
        <v>0.15813882876194299</v>
      </c>
      <c r="AM53" s="4">
        <f t="shared" si="8"/>
        <v>0.18459569357774991</v>
      </c>
      <c r="AO53" s="1">
        <v>38078</v>
      </c>
      <c r="AP53" s="4">
        <f t="shared" si="9"/>
        <v>0.13912021982039099</v>
      </c>
      <c r="AQ53" s="4">
        <f t="shared" si="10"/>
        <v>6.9968360672762131E-2</v>
      </c>
    </row>
    <row r="54" spans="1:43" x14ac:dyDescent="0.25">
      <c r="A54" s="1">
        <v>38443</v>
      </c>
      <c r="B54" s="4">
        <v>9.8130972783853201E-2</v>
      </c>
      <c r="C54" s="4">
        <v>3.6651687399057199E-2</v>
      </c>
      <c r="D54" s="4">
        <v>2.57806307494346E-2</v>
      </c>
      <c r="E54" s="4">
        <v>5.3710935194900798E-3</v>
      </c>
      <c r="F54" s="4">
        <v>5.3946202086552503E-3</v>
      </c>
      <c r="G54" s="4">
        <v>1.78273383780524E-2</v>
      </c>
      <c r="H54" s="4">
        <v>9.1025370254689597E-2</v>
      </c>
      <c r="I54" s="4">
        <v>0.77637122220438104</v>
      </c>
      <c r="J54" s="4">
        <v>0.16358298208421401</v>
      </c>
      <c r="K54" s="4">
        <v>9.2586132467804602E-2</v>
      </c>
      <c r="L54" s="4">
        <v>5.3904761622201397E-2</v>
      </c>
      <c r="M54" s="4">
        <v>1.0864450983786</v>
      </c>
      <c r="N54" s="4">
        <f t="shared" si="0"/>
        <v>0.10271124465994275</v>
      </c>
      <c r="P54" s="1">
        <v>38139</v>
      </c>
      <c r="Q54" s="4">
        <v>9.8709021643497596E-2</v>
      </c>
      <c r="R54" s="4">
        <v>0.18027098786596499</v>
      </c>
      <c r="S54" s="4">
        <v>0.18027098786596499</v>
      </c>
      <c r="T54" s="4">
        <v>-9.2016176259924906E-2</v>
      </c>
      <c r="U54" s="4">
        <v>0.674825553327836</v>
      </c>
      <c r="V54" s="4">
        <v>0.13714727218758499</v>
      </c>
      <c r="Y54" s="1">
        <v>38108</v>
      </c>
      <c r="Z54" s="4">
        <f t="shared" si="1"/>
        <v>9.9934612847631901E-2</v>
      </c>
      <c r="AA54" s="4">
        <f t="shared" si="2"/>
        <v>9.5717192768817794E-2</v>
      </c>
      <c r="AC54" s="1">
        <v>38108</v>
      </c>
      <c r="AD54" s="4">
        <f t="shared" si="3"/>
        <v>0.17972826206617501</v>
      </c>
      <c r="AE54" s="4">
        <f t="shared" si="4"/>
        <v>0.16141665863888199</v>
      </c>
      <c r="AG54" s="1">
        <v>38108</v>
      </c>
      <c r="AH54" s="4">
        <f t="shared" si="5"/>
        <v>9.1719753728750103E-2</v>
      </c>
      <c r="AI54" s="4">
        <f t="shared" si="6"/>
        <v>7.8361393966631998E-2</v>
      </c>
      <c r="AK54" s="1">
        <v>38108</v>
      </c>
      <c r="AL54" s="4">
        <f t="shared" si="7"/>
        <v>0.17972826206617501</v>
      </c>
      <c r="AM54" s="4">
        <f t="shared" si="8"/>
        <v>0.1825260820987861</v>
      </c>
      <c r="AO54" s="1">
        <v>38108</v>
      </c>
      <c r="AP54" s="4">
        <f t="shared" si="9"/>
        <v>0.13505899345941499</v>
      </c>
      <c r="AQ54" s="4">
        <f t="shared" si="10"/>
        <v>8.2740151390169769E-2</v>
      </c>
    </row>
    <row r="55" spans="1:43" x14ac:dyDescent="0.25">
      <c r="A55" s="1">
        <v>38473</v>
      </c>
      <c r="B55" s="4">
        <v>9.78513516670452E-2</v>
      </c>
      <c r="C55" s="4">
        <v>3.68339765103598E-2</v>
      </c>
      <c r="D55" s="4">
        <v>2.65083883796716E-2</v>
      </c>
      <c r="E55" s="4">
        <v>6.3363083699572199E-3</v>
      </c>
      <c r="F55" s="4">
        <v>4.9023290311185899E-3</v>
      </c>
      <c r="G55" s="4">
        <v>1.8253760626023099E-2</v>
      </c>
      <c r="H55" s="4">
        <v>9.2834762917130498E-2</v>
      </c>
      <c r="I55" s="4">
        <v>0.75525514320639997</v>
      </c>
      <c r="J55" s="4">
        <v>0.18158533341677499</v>
      </c>
      <c r="K55" s="4">
        <v>9.4455048401602501E-2</v>
      </c>
      <c r="L55" s="4">
        <v>6.1437924078985198E-2</v>
      </c>
      <c r="M55" s="4">
        <v>1.0927334491037599</v>
      </c>
      <c r="N55" s="4">
        <f t="shared" si="0"/>
        <v>9.7952665480415702E-2</v>
      </c>
      <c r="P55" s="1">
        <v>38169</v>
      </c>
      <c r="Q55" s="4">
        <v>9.3860838657326306E-2</v>
      </c>
      <c r="R55" s="4">
        <v>0.146253078821273</v>
      </c>
      <c r="S55" s="4">
        <v>0.146253078821273</v>
      </c>
      <c r="T55" s="4">
        <v>-9.1647810379431704E-2</v>
      </c>
      <c r="U55" s="4">
        <v>0.71817916045563401</v>
      </c>
      <c r="V55" s="4">
        <v>0.13404759852298301</v>
      </c>
      <c r="Y55" s="1">
        <v>38139</v>
      </c>
      <c r="Z55" s="4">
        <f t="shared" si="1"/>
        <v>9.8709021643497596E-2</v>
      </c>
      <c r="AA55" s="4">
        <f t="shared" si="2"/>
        <v>9.5154607352040801E-2</v>
      </c>
      <c r="AC55" s="1">
        <v>38139</v>
      </c>
      <c r="AD55" s="4">
        <f t="shared" si="3"/>
        <v>0.18027098786596499</v>
      </c>
      <c r="AE55" s="4">
        <f t="shared" si="4"/>
        <v>0.175335748644048</v>
      </c>
      <c r="AG55" s="1">
        <v>38139</v>
      </c>
      <c r="AH55" s="4">
        <f t="shared" si="5"/>
        <v>9.2016176259924906E-2</v>
      </c>
      <c r="AI55" s="4">
        <f t="shared" si="6"/>
        <v>7.8383055370413096E-2</v>
      </c>
      <c r="AK55" s="1">
        <v>38139</v>
      </c>
      <c r="AL55" s="4">
        <f t="shared" si="7"/>
        <v>0.18027098786596499</v>
      </c>
      <c r="AM55" s="4">
        <f t="shared" si="8"/>
        <v>0.2026926725921315</v>
      </c>
      <c r="AO55" s="1">
        <v>38139</v>
      </c>
      <c r="AP55" s="4">
        <f t="shared" si="9"/>
        <v>0.13714727218758499</v>
      </c>
      <c r="AQ55" s="4">
        <f t="shared" si="10"/>
        <v>7.3483985234943816E-2</v>
      </c>
    </row>
    <row r="56" spans="1:43" x14ac:dyDescent="0.25">
      <c r="A56" s="1">
        <v>38504</v>
      </c>
      <c r="B56" s="4">
        <v>9.6308489719037896E-2</v>
      </c>
      <c r="C56" s="4">
        <v>4.1473255892936101E-2</v>
      </c>
      <c r="D56" s="4">
        <v>2.9682524922574501E-2</v>
      </c>
      <c r="E56" s="4">
        <v>6.1079523992538702E-3</v>
      </c>
      <c r="F56" s="4">
        <v>4.2971300951162696E-3</v>
      </c>
      <c r="G56" s="4">
        <v>1.8269099002254801E-2</v>
      </c>
      <c r="H56" s="4">
        <v>9.9829962312135603E-2</v>
      </c>
      <c r="I56" s="4">
        <v>0.75872845094902697</v>
      </c>
      <c r="J56" s="4">
        <v>0.17397936780041301</v>
      </c>
      <c r="K56" s="4">
        <v>0.10029598877257</v>
      </c>
      <c r="L56" s="4">
        <v>6.1060964040306101E-2</v>
      </c>
      <c r="M56" s="4">
        <v>1.09406477156231</v>
      </c>
      <c r="N56" s="4">
        <f t="shared" si="0"/>
        <v>0.10207368046886356</v>
      </c>
      <c r="P56" s="1">
        <v>38200</v>
      </c>
      <c r="Q56" s="4">
        <v>0.100067155523113</v>
      </c>
      <c r="R56" s="4">
        <v>0.16831472576754</v>
      </c>
      <c r="S56" s="4">
        <v>0.16831472576754</v>
      </c>
      <c r="T56" s="4">
        <v>-9.2752146255862603E-2</v>
      </c>
      <c r="U56" s="4">
        <v>0.68021465014382299</v>
      </c>
      <c r="V56" s="4">
        <v>0.14241183489366999</v>
      </c>
      <c r="Y56" s="1">
        <v>38169</v>
      </c>
      <c r="Z56" s="4">
        <f t="shared" si="1"/>
        <v>9.3860838657326306E-2</v>
      </c>
      <c r="AA56" s="4">
        <f t="shared" si="2"/>
        <v>9.4327637427874103E-2</v>
      </c>
      <c r="AC56" s="1">
        <v>38169</v>
      </c>
      <c r="AD56" s="4">
        <f t="shared" si="3"/>
        <v>0.146253078821273</v>
      </c>
      <c r="AE56" s="4">
        <f t="shared" si="4"/>
        <v>0.19334286654324301</v>
      </c>
      <c r="AG56" s="1">
        <v>38169</v>
      </c>
      <c r="AH56" s="4">
        <f t="shared" si="5"/>
        <v>9.1647810379431704E-2</v>
      </c>
      <c r="AI56" s="4">
        <f t="shared" si="6"/>
        <v>8.1274551897818695E-2</v>
      </c>
      <c r="AK56" s="1">
        <v>38169</v>
      </c>
      <c r="AL56" s="4">
        <f t="shared" si="7"/>
        <v>0.146253078821273</v>
      </c>
      <c r="AM56" s="4">
        <f t="shared" si="8"/>
        <v>0.15792654024112029</v>
      </c>
      <c r="AO56" s="1">
        <v>38169</v>
      </c>
      <c r="AP56" s="4">
        <f t="shared" si="9"/>
        <v>0.13404759852298301</v>
      </c>
      <c r="AQ56" s="4">
        <f t="shared" si="10"/>
        <v>9.267691759678276E-2</v>
      </c>
    </row>
    <row r="57" spans="1:43" x14ac:dyDescent="0.25">
      <c r="A57" s="1">
        <v>38534</v>
      </c>
      <c r="B57" s="4">
        <v>0.100447238189278</v>
      </c>
      <c r="C57" s="4">
        <v>4.2435613978608198E-2</v>
      </c>
      <c r="D57" s="4">
        <v>3.12164198420888E-2</v>
      </c>
      <c r="E57" s="4">
        <v>6.9837417273708197E-3</v>
      </c>
      <c r="F57" s="4">
        <v>5.3813924280885503E-3</v>
      </c>
      <c r="G57" s="4">
        <v>1.8585927955149899E-2</v>
      </c>
      <c r="H57" s="4">
        <v>0.104603095931306</v>
      </c>
      <c r="I57" s="4">
        <v>0.75742569132272997</v>
      </c>
      <c r="J57" s="4">
        <v>0.17568250555609399</v>
      </c>
      <c r="K57" s="4">
        <v>8.2177221951861196E-2</v>
      </c>
      <c r="L57" s="4">
        <v>6.3556746340298606E-2</v>
      </c>
      <c r="M57" s="4">
        <v>1.0788421651709801</v>
      </c>
      <c r="N57" s="4">
        <f t="shared" si="0"/>
        <v>0.12620816894960396</v>
      </c>
      <c r="P57" s="1">
        <v>38231</v>
      </c>
      <c r="Q57" s="4">
        <v>9.6812926875504302E-2</v>
      </c>
      <c r="R57" s="4">
        <v>0.184598067821762</v>
      </c>
      <c r="S57" s="4">
        <v>0.184598067821762</v>
      </c>
      <c r="T57" s="4">
        <v>-9.7759606817525005E-2</v>
      </c>
      <c r="U57" s="4">
        <v>0.69077996206987302</v>
      </c>
      <c r="V57" s="4">
        <v>0.145158871641418</v>
      </c>
      <c r="Y57" s="1">
        <v>38200</v>
      </c>
      <c r="Z57" s="4">
        <f t="shared" si="1"/>
        <v>0.100067155523113</v>
      </c>
      <c r="AA57" s="4">
        <f t="shared" si="2"/>
        <v>9.5599466988136705E-2</v>
      </c>
      <c r="AC57" s="1">
        <v>38200</v>
      </c>
      <c r="AD57" s="4">
        <f t="shared" si="3"/>
        <v>0.16831472576754</v>
      </c>
      <c r="AE57" s="4">
        <f t="shared" si="4"/>
        <v>0.18654139514252799</v>
      </c>
      <c r="AG57" s="1">
        <v>38200</v>
      </c>
      <c r="AH57" s="4">
        <f t="shared" si="5"/>
        <v>9.2752146255862603E-2</v>
      </c>
      <c r="AI57" s="4">
        <f t="shared" si="6"/>
        <v>7.5973159303922802E-2</v>
      </c>
      <c r="AK57" s="1">
        <v>38200</v>
      </c>
      <c r="AL57" s="4">
        <f t="shared" si="7"/>
        <v>0.16831472576754</v>
      </c>
      <c r="AM57" s="4">
        <f t="shared" si="8"/>
        <v>0.17051195839960559</v>
      </c>
      <c r="AO57" s="1">
        <v>38200</v>
      </c>
      <c r="AP57" s="4">
        <f t="shared" si="9"/>
        <v>0.14241183489366999</v>
      </c>
      <c r="AQ57" s="4">
        <f t="shared" si="10"/>
        <v>8.8478481490779304E-2</v>
      </c>
    </row>
    <row r="58" spans="1:43" x14ac:dyDescent="0.25">
      <c r="A58" s="1">
        <v>38565</v>
      </c>
      <c r="B58" s="4">
        <v>9.9657236916579905E-2</v>
      </c>
      <c r="C58" s="4">
        <v>4.0933408891283503E-2</v>
      </c>
      <c r="D58" s="4">
        <v>3.2161782277639703E-2</v>
      </c>
      <c r="E58" s="4">
        <v>6.4069151053245902E-3</v>
      </c>
      <c r="F58" s="4">
        <v>4.5495285099467599E-3</v>
      </c>
      <c r="G58" s="4">
        <v>1.7497846794697E-2</v>
      </c>
      <c r="H58" s="4">
        <v>0.101549481578891</v>
      </c>
      <c r="I58" s="4">
        <v>0.748021255166334</v>
      </c>
      <c r="J58" s="4">
        <v>0.18256239874520599</v>
      </c>
      <c r="K58" s="4">
        <v>8.0848565483899501E-2</v>
      </c>
      <c r="L58" s="4">
        <v>7.5013947097499506E-2</v>
      </c>
      <c r="M58" s="4">
        <v>1.0864461664929399</v>
      </c>
      <c r="N58" s="4">
        <f t="shared" si="0"/>
        <v>0.11476055200253099</v>
      </c>
      <c r="P58" s="1">
        <v>38261</v>
      </c>
      <c r="Q58" s="4">
        <v>9.6881128017634002E-2</v>
      </c>
      <c r="R58" s="4">
        <v>0.164669316254384</v>
      </c>
      <c r="S58" s="4">
        <v>0.164669316254384</v>
      </c>
      <c r="T58" s="4">
        <v>-9.5227096518718496E-2</v>
      </c>
      <c r="U58" s="4">
        <v>0.60309406767942497</v>
      </c>
      <c r="V58" s="4">
        <v>0.132206293877354</v>
      </c>
      <c r="Y58" s="1">
        <v>38231</v>
      </c>
      <c r="Z58" s="4">
        <f t="shared" si="1"/>
        <v>9.6812926875504302E-2</v>
      </c>
      <c r="AA58" s="4">
        <f t="shared" si="2"/>
        <v>9.6184036041423296E-2</v>
      </c>
      <c r="AC58" s="1">
        <v>38231</v>
      </c>
      <c r="AD58" s="4">
        <f t="shared" si="3"/>
        <v>0.184598067821762</v>
      </c>
      <c r="AE58" s="4">
        <f t="shared" si="4"/>
        <v>0.16531945366656001</v>
      </c>
      <c r="AG58" s="1">
        <v>38231</v>
      </c>
      <c r="AH58" s="4">
        <f t="shared" si="5"/>
        <v>9.7759606817525005E-2</v>
      </c>
      <c r="AI58" s="4">
        <f t="shared" si="6"/>
        <v>7.4958617842373301E-2</v>
      </c>
      <c r="AK58" s="1">
        <v>38231</v>
      </c>
      <c r="AL58" s="4">
        <f t="shared" si="7"/>
        <v>0.184598067821762</v>
      </c>
      <c r="AM58" s="4">
        <f t="shared" si="8"/>
        <v>0.2004144548183914</v>
      </c>
      <c r="AO58" s="1">
        <v>38231</v>
      </c>
      <c r="AP58" s="4">
        <f t="shared" si="9"/>
        <v>0.145158871641418</v>
      </c>
      <c r="AQ58" s="4">
        <f t="shared" si="10"/>
        <v>8.3984290896726543E-2</v>
      </c>
    </row>
    <row r="59" spans="1:43" x14ac:dyDescent="0.25">
      <c r="A59" s="1">
        <v>38596</v>
      </c>
      <c r="B59" s="4">
        <v>0.101000564643782</v>
      </c>
      <c r="C59" s="4">
        <v>4.5593550596194202E-2</v>
      </c>
      <c r="D59" s="4">
        <v>3.17516063428002E-2</v>
      </c>
      <c r="E59" s="4">
        <v>6.1890252223792902E-3</v>
      </c>
      <c r="F59" s="4">
        <v>4.9076174688207101E-3</v>
      </c>
      <c r="G59" s="4">
        <v>1.7321666623683101E-2</v>
      </c>
      <c r="H59" s="4">
        <v>0.105763466253877</v>
      </c>
      <c r="I59" s="4">
        <v>0.75012198714121803</v>
      </c>
      <c r="J59" s="4">
        <v>0.16583086681117201</v>
      </c>
      <c r="K59" s="4">
        <v>8.6001104445882201E-2</v>
      </c>
      <c r="L59" s="4">
        <v>6.7618511317571295E-2</v>
      </c>
      <c r="M59" s="4">
        <v>1.06957246971584</v>
      </c>
      <c r="N59" s="4">
        <f t="shared" si="0"/>
        <v>0.13719156118181908</v>
      </c>
      <c r="P59" s="1">
        <v>38292</v>
      </c>
      <c r="Q59" s="4">
        <v>9.3759805285781594E-2</v>
      </c>
      <c r="R59" s="4">
        <v>0.179612819090504</v>
      </c>
      <c r="S59" s="4">
        <v>0.179612819090504</v>
      </c>
      <c r="T59" s="4">
        <v>-9.7153356889465498E-2</v>
      </c>
      <c r="U59" s="4">
        <v>0.67183027912920501</v>
      </c>
      <c r="V59" s="4">
        <v>0.117918059985288</v>
      </c>
      <c r="Y59" s="1">
        <v>38261</v>
      </c>
      <c r="Z59" s="4">
        <f t="shared" si="1"/>
        <v>9.6881128017634002E-2</v>
      </c>
      <c r="AA59" s="4">
        <f t="shared" si="2"/>
        <v>9.7084341916287703E-2</v>
      </c>
      <c r="AC59" s="1">
        <v>38261</v>
      </c>
      <c r="AD59" s="4">
        <f t="shared" si="3"/>
        <v>0.164669316254384</v>
      </c>
      <c r="AE59" s="4">
        <f t="shared" si="4"/>
        <v>0.18591932003289599</v>
      </c>
      <c r="AG59" s="1">
        <v>38261</v>
      </c>
      <c r="AH59" s="4">
        <f t="shared" si="5"/>
        <v>9.5227096518718496E-2</v>
      </c>
      <c r="AI59" s="4">
        <f t="shared" si="6"/>
        <v>8.2323355797126296E-2</v>
      </c>
      <c r="AK59" s="1">
        <v>38261</v>
      </c>
      <c r="AL59" s="4">
        <f t="shared" si="7"/>
        <v>0.164669316254384</v>
      </c>
      <c r="AM59" s="4">
        <f t="shared" si="8"/>
        <v>0.18853180975680711</v>
      </c>
      <c r="AO59" s="1">
        <v>38261</v>
      </c>
      <c r="AP59" s="4">
        <f t="shared" si="9"/>
        <v>0.132206293877354</v>
      </c>
      <c r="AQ59" s="4">
        <f t="shared" si="10"/>
        <v>8.6435586832924072E-2</v>
      </c>
    </row>
    <row r="60" spans="1:43" x14ac:dyDescent="0.25">
      <c r="A60" s="1">
        <v>38626</v>
      </c>
      <c r="B60" s="4">
        <v>0.100460385578901</v>
      </c>
      <c r="C60" s="4">
        <v>4.0330436981230303E-2</v>
      </c>
      <c r="D60" s="4">
        <v>3.2011581499099002E-2</v>
      </c>
      <c r="E60" s="4">
        <v>5.8865174706226302E-3</v>
      </c>
      <c r="F60" s="4">
        <v>5.1112415601944601E-3</v>
      </c>
      <c r="G60" s="4">
        <v>1.7483306136764701E-2</v>
      </c>
      <c r="H60" s="4">
        <v>0.100823083647911</v>
      </c>
      <c r="I60" s="4">
        <v>0.739967688516735</v>
      </c>
      <c r="J60" s="4">
        <v>0.165718401815029</v>
      </c>
      <c r="K60" s="4">
        <v>0.10782300128972901</v>
      </c>
      <c r="L60" s="4">
        <v>6.3490739631339596E-2</v>
      </c>
      <c r="M60" s="4">
        <v>1.0769998312528299</v>
      </c>
      <c r="N60" s="4">
        <f t="shared" si="0"/>
        <v>0.12428363797398201</v>
      </c>
      <c r="P60" s="1">
        <v>38322</v>
      </c>
      <c r="Q60" s="4">
        <v>0.10046273596212101</v>
      </c>
      <c r="R60" s="4">
        <v>0.17613068962922199</v>
      </c>
      <c r="S60" s="4">
        <v>0.17613068962922199</v>
      </c>
      <c r="T60" s="4">
        <v>-0.100053229672437</v>
      </c>
      <c r="U60" s="4">
        <v>0.69457873888237098</v>
      </c>
      <c r="V60" s="4">
        <v>0.134609339336689</v>
      </c>
      <c r="Y60" s="1">
        <v>38292</v>
      </c>
      <c r="Z60" s="4">
        <f t="shared" si="1"/>
        <v>9.3759805285781594E-2</v>
      </c>
      <c r="AA60" s="4">
        <f t="shared" si="2"/>
        <v>9.9813726296657995E-2</v>
      </c>
      <c r="AC60" s="1">
        <v>38292</v>
      </c>
      <c r="AD60" s="4">
        <f t="shared" si="3"/>
        <v>0.179612819090504</v>
      </c>
      <c r="AE60" s="4">
        <f t="shared" si="4"/>
        <v>0.17735906466940701</v>
      </c>
      <c r="AG60" s="1">
        <v>38292</v>
      </c>
      <c r="AH60" s="4">
        <f t="shared" si="5"/>
        <v>9.7153356889465498E-2</v>
      </c>
      <c r="AI60" s="4">
        <f t="shared" si="6"/>
        <v>8.3566287916106E-2</v>
      </c>
      <c r="AK60" s="1">
        <v>38292</v>
      </c>
      <c r="AL60" s="4">
        <f t="shared" si="7"/>
        <v>0.179612819090504</v>
      </c>
      <c r="AM60" s="4">
        <f t="shared" si="8"/>
        <v>0.17512798500386351</v>
      </c>
      <c r="AO60" s="1">
        <v>38292</v>
      </c>
      <c r="AP60" s="4">
        <f t="shared" si="9"/>
        <v>0.117918059985288</v>
      </c>
      <c r="AQ60" s="4">
        <f t="shared" si="10"/>
        <v>9.7975904733524022E-2</v>
      </c>
    </row>
    <row r="61" spans="1:43" x14ac:dyDescent="0.25">
      <c r="A61" s="1">
        <v>38657</v>
      </c>
      <c r="B61" s="4">
        <v>0.10424958456232999</v>
      </c>
      <c r="C61" s="4">
        <v>4.35660686171064E-2</v>
      </c>
      <c r="D61" s="4">
        <v>3.3685616420496702E-2</v>
      </c>
      <c r="E61" s="4">
        <v>6.2187990928527304E-3</v>
      </c>
      <c r="F61" s="4">
        <v>4.5534715271298197E-3</v>
      </c>
      <c r="G61" s="4">
        <v>1.98083333970599E-2</v>
      </c>
      <c r="H61" s="4">
        <v>0.10783228905464499</v>
      </c>
      <c r="I61" s="4">
        <v>0.719342906743485</v>
      </c>
      <c r="J61" s="4">
        <v>0.18430504084586</v>
      </c>
      <c r="K61" s="4">
        <v>8.3287420619164595E-2</v>
      </c>
      <c r="L61" s="4">
        <v>6.3428754727279102E-2</v>
      </c>
      <c r="M61" s="4">
        <v>1.0503641229357801</v>
      </c>
      <c r="N61" s="4">
        <f t="shared" si="0"/>
        <v>0.16171775068119487</v>
      </c>
      <c r="P61" s="1">
        <v>38353</v>
      </c>
      <c r="Q61" s="4">
        <v>9.8037070424389194E-2</v>
      </c>
      <c r="R61" s="4">
        <v>0.13546348761938701</v>
      </c>
      <c r="S61" s="4">
        <v>0.13546348761938701</v>
      </c>
      <c r="T61" s="4">
        <v>-0.10366617768679</v>
      </c>
      <c r="U61" s="4">
        <v>0.74648634048556395</v>
      </c>
      <c r="V61" s="4">
        <v>0.15896288350649901</v>
      </c>
      <c r="Y61" s="1">
        <v>38322</v>
      </c>
      <c r="Z61" s="4">
        <f t="shared" si="1"/>
        <v>0.10046273596212101</v>
      </c>
      <c r="AA61" s="4">
        <f t="shared" si="2"/>
        <v>9.7566846810769894E-2</v>
      </c>
      <c r="AC61" s="1">
        <v>38322</v>
      </c>
      <c r="AD61" s="4">
        <f t="shared" si="3"/>
        <v>0.17613068962922199</v>
      </c>
      <c r="AE61" s="4">
        <f t="shared" si="4"/>
        <v>0.17289896928586301</v>
      </c>
      <c r="AG61" s="1">
        <v>38322</v>
      </c>
      <c r="AH61" s="4">
        <f t="shared" si="5"/>
        <v>0.100053229672437</v>
      </c>
      <c r="AI61" s="4">
        <f t="shared" si="6"/>
        <v>8.7184113501785801E-2</v>
      </c>
      <c r="AK61" s="1">
        <v>38322</v>
      </c>
      <c r="AL61" s="4">
        <f t="shared" si="7"/>
        <v>0.17613068962922199</v>
      </c>
      <c r="AM61" s="4">
        <f t="shared" si="8"/>
        <v>0.16300726280941241</v>
      </c>
      <c r="AO61" s="1">
        <v>38322</v>
      </c>
      <c r="AP61" s="4">
        <f t="shared" si="9"/>
        <v>0.134609339336689</v>
      </c>
      <c r="AQ61" s="4">
        <f t="shared" si="10"/>
        <v>9.9378267086925653E-2</v>
      </c>
    </row>
    <row r="62" spans="1:43" x14ac:dyDescent="0.25">
      <c r="A62" s="1">
        <v>38687</v>
      </c>
      <c r="B62" s="4">
        <v>0.103254673325802</v>
      </c>
      <c r="C62" s="4">
        <v>5.07499967817336E-2</v>
      </c>
      <c r="D62" s="4">
        <v>3.3592501761149002E-2</v>
      </c>
      <c r="E62" s="4">
        <v>6.6770139598995703E-3</v>
      </c>
      <c r="F62" s="4">
        <v>5.5547170775483504E-3</v>
      </c>
      <c r="G62" s="4">
        <v>2.1154815046992501E-2</v>
      </c>
      <c r="H62" s="4">
        <v>0.117729044627323</v>
      </c>
      <c r="I62" s="4">
        <v>0.73093499751844904</v>
      </c>
      <c r="J62" s="4">
        <v>0.17271856965656501</v>
      </c>
      <c r="K62" s="4">
        <v>8.98452949575443E-2</v>
      </c>
      <c r="L62" s="4">
        <v>6.5597607246946896E-2</v>
      </c>
      <c r="M62" s="4">
        <v>1.0590964693795</v>
      </c>
      <c r="N62" s="4">
        <f t="shared" si="0"/>
        <v>0.16188724857362491</v>
      </c>
      <c r="P62" s="1">
        <v>38384</v>
      </c>
      <c r="Q62" s="4">
        <v>0.100266698698994</v>
      </c>
      <c r="R62" s="4">
        <v>0.15252337618393799</v>
      </c>
      <c r="S62" s="4">
        <v>0.15252337618393799</v>
      </c>
      <c r="T62" s="4">
        <v>-0.106013467488197</v>
      </c>
      <c r="U62" s="4">
        <v>0.71856835598648305</v>
      </c>
      <c r="V62" s="4">
        <v>0.168771828796419</v>
      </c>
      <c r="Y62" s="1">
        <v>38353</v>
      </c>
      <c r="Z62" s="4">
        <f t="shared" si="1"/>
        <v>9.8037070424389194E-2</v>
      </c>
      <c r="AA62" s="4">
        <f t="shared" si="2"/>
        <v>9.6371033369157602E-2</v>
      </c>
      <c r="AC62" s="1">
        <v>38353</v>
      </c>
      <c r="AD62" s="4">
        <f t="shared" si="3"/>
        <v>0.13546348761938701</v>
      </c>
      <c r="AE62" s="4">
        <f t="shared" si="4"/>
        <v>0.190834597037433</v>
      </c>
      <c r="AG62" s="1">
        <v>38353</v>
      </c>
      <c r="AH62" s="4">
        <f t="shared" si="5"/>
        <v>0.10366617768679</v>
      </c>
      <c r="AI62" s="4">
        <f t="shared" si="6"/>
        <v>9.2889921953112603E-2</v>
      </c>
      <c r="AK62" s="1">
        <v>38353</v>
      </c>
      <c r="AL62" s="4">
        <f t="shared" si="7"/>
        <v>0.13546348761938701</v>
      </c>
      <c r="AM62" s="4">
        <f t="shared" si="8"/>
        <v>0.164143293415664</v>
      </c>
      <c r="AO62" s="1">
        <v>38353</v>
      </c>
      <c r="AP62" s="4">
        <f t="shared" si="9"/>
        <v>0.15896288350649901</v>
      </c>
      <c r="AQ62" s="4">
        <f t="shared" si="10"/>
        <v>9.519874459054023E-2</v>
      </c>
    </row>
    <row r="63" spans="1:43" x14ac:dyDescent="0.25">
      <c r="A63" s="1">
        <v>38718</v>
      </c>
      <c r="B63" s="4">
        <v>0.105446579368695</v>
      </c>
      <c r="C63" s="4">
        <v>4.5184533357455002E-2</v>
      </c>
      <c r="D63" s="4">
        <v>3.2008180085452399E-2</v>
      </c>
      <c r="E63" s="4">
        <v>6.4421633757963601E-3</v>
      </c>
      <c r="F63" s="4">
        <v>4.7304745446523303E-3</v>
      </c>
      <c r="G63" s="4">
        <v>2.22046205746072E-2</v>
      </c>
      <c r="H63" s="4">
        <v>0.110569971937963</v>
      </c>
      <c r="I63" s="4">
        <v>0.64598518891390699</v>
      </c>
      <c r="J63" s="4">
        <v>0.20010862885634301</v>
      </c>
      <c r="K63" s="4">
        <v>0.12720503709839601</v>
      </c>
      <c r="L63" s="4">
        <v>9.0198466920498294E-2</v>
      </c>
      <c r="M63" s="4">
        <v>1.0634973217891399</v>
      </c>
      <c r="N63" s="4">
        <f t="shared" si="0"/>
        <v>0.15251922951751817</v>
      </c>
      <c r="P63" s="1">
        <v>38412</v>
      </c>
      <c r="Q63" s="4">
        <v>9.9555447075165698E-2</v>
      </c>
      <c r="R63" s="4">
        <v>0.14515425108885599</v>
      </c>
      <c r="S63" s="4">
        <v>0.14515425108885599</v>
      </c>
      <c r="T63" s="4">
        <v>-0.103111160150289</v>
      </c>
      <c r="U63" s="4">
        <v>0.70680457373481598</v>
      </c>
      <c r="V63" s="4">
        <v>0.177869540392641</v>
      </c>
      <c r="Y63" s="1">
        <v>38384</v>
      </c>
      <c r="Z63" s="4">
        <f t="shared" si="1"/>
        <v>0.100266698698994</v>
      </c>
      <c r="AA63" s="4">
        <f t="shared" si="2"/>
        <v>0.102093354385993</v>
      </c>
      <c r="AC63" s="1">
        <v>38384</v>
      </c>
      <c r="AD63" s="4">
        <f t="shared" si="3"/>
        <v>0.15252337618393799</v>
      </c>
      <c r="AE63" s="4">
        <f t="shared" si="4"/>
        <v>0.19856033930877501</v>
      </c>
      <c r="AG63" s="1">
        <v>38384</v>
      </c>
      <c r="AH63" s="4">
        <f t="shared" si="5"/>
        <v>0.106013467488197</v>
      </c>
      <c r="AI63" s="4">
        <f t="shared" si="6"/>
        <v>9.8811253915669695E-2</v>
      </c>
      <c r="AK63" s="1">
        <v>38384</v>
      </c>
      <c r="AL63" s="4">
        <f t="shared" si="7"/>
        <v>0.15252337618393799</v>
      </c>
      <c r="AM63" s="4">
        <f t="shared" si="8"/>
        <v>0.17556362578493681</v>
      </c>
      <c r="AO63" s="1">
        <v>38384</v>
      </c>
      <c r="AP63" s="4">
        <f t="shared" si="9"/>
        <v>0.168771828796419</v>
      </c>
      <c r="AQ63" s="4">
        <f t="shared" si="10"/>
        <v>0.13013414981311278</v>
      </c>
    </row>
    <row r="64" spans="1:43" x14ac:dyDescent="0.25">
      <c r="A64" s="1">
        <v>38749</v>
      </c>
      <c r="B64" s="4">
        <v>0.106619376366937</v>
      </c>
      <c r="C64" s="4">
        <v>4.9838954157359401E-2</v>
      </c>
      <c r="D64" s="4">
        <v>3.2073677922400998E-2</v>
      </c>
      <c r="E64" s="4">
        <v>6.3980304422701197E-3</v>
      </c>
      <c r="F64" s="4">
        <v>4.5893984511112202E-3</v>
      </c>
      <c r="G64" s="4">
        <v>2.4074526637283301E-2</v>
      </c>
      <c r="H64" s="4">
        <v>0.11697458761042499</v>
      </c>
      <c r="I64" s="4">
        <v>0.74421058721920397</v>
      </c>
      <c r="J64" s="4">
        <v>0.17524876053952701</v>
      </c>
      <c r="K64" s="4">
        <v>8.8389965257868602E-2</v>
      </c>
      <c r="L64" s="4">
        <v>5.2846562678559403E-2</v>
      </c>
      <c r="M64" s="4">
        <v>1.0606958756951601</v>
      </c>
      <c r="N64" s="4">
        <f t="shared" si="0"/>
        <v>0.16289808828220198</v>
      </c>
      <c r="P64" s="1">
        <v>38443</v>
      </c>
      <c r="Q64" s="4">
        <v>9.7831472716673099E-2</v>
      </c>
      <c r="R64" s="4">
        <v>0.14813281398390299</v>
      </c>
      <c r="S64" s="4">
        <v>0.14813281398390299</v>
      </c>
      <c r="T64" s="4">
        <v>-0.10950480211767701</v>
      </c>
      <c r="U64" s="4">
        <v>0.72932768853104402</v>
      </c>
      <c r="V64" s="4">
        <v>0.17224751551269299</v>
      </c>
      <c r="Y64" s="1">
        <v>38412</v>
      </c>
      <c r="Z64" s="4">
        <f t="shared" si="1"/>
        <v>9.9555447075165698E-2</v>
      </c>
      <c r="AA64" s="4">
        <f t="shared" si="2"/>
        <v>9.8489532018637499E-2</v>
      </c>
      <c r="AC64" s="1">
        <v>38412</v>
      </c>
      <c r="AD64" s="4">
        <f t="shared" si="3"/>
        <v>0.14515425108885599</v>
      </c>
      <c r="AE64" s="4">
        <f t="shared" si="4"/>
        <v>0.16786223366067299</v>
      </c>
      <c r="AG64" s="1">
        <v>38412</v>
      </c>
      <c r="AH64" s="4">
        <f t="shared" si="5"/>
        <v>0.103111160150289</v>
      </c>
      <c r="AI64" s="4">
        <f t="shared" si="6"/>
        <v>9.3268189403046001E-2</v>
      </c>
      <c r="AK64" s="1">
        <v>38412</v>
      </c>
      <c r="AL64" s="4">
        <f t="shared" si="7"/>
        <v>0.14515425108885599</v>
      </c>
      <c r="AM64" s="4">
        <f t="shared" si="8"/>
        <v>0.1473428376771668</v>
      </c>
      <c r="AO64" s="1">
        <v>38412</v>
      </c>
      <c r="AP64" s="4">
        <f t="shared" si="9"/>
        <v>0.177869540392641</v>
      </c>
      <c r="AQ64" s="4">
        <f t="shared" si="10"/>
        <v>0.11893294510374353</v>
      </c>
    </row>
    <row r="65" spans="1:43" x14ac:dyDescent="0.25">
      <c r="A65" s="1">
        <v>38777</v>
      </c>
      <c r="B65" s="4">
        <v>0.103141221924823</v>
      </c>
      <c r="C65" s="4">
        <v>4.8259685057199103E-2</v>
      </c>
      <c r="D65" s="4">
        <v>3.4685372725792099E-2</v>
      </c>
      <c r="E65" s="4">
        <v>6.5490603732965896E-3</v>
      </c>
      <c r="F65" s="4">
        <v>5.3761018485732701E-3</v>
      </c>
      <c r="G65" s="4">
        <v>2.2458468307575599E-2</v>
      </c>
      <c r="H65" s="4">
        <v>0.11732868831243599</v>
      </c>
      <c r="I65" s="4">
        <v>0.73046372615438104</v>
      </c>
      <c r="J65" s="4">
        <v>0.18109737579677199</v>
      </c>
      <c r="K65" s="4">
        <v>7.6677211214034299E-2</v>
      </c>
      <c r="L65" s="4">
        <v>7.2465079977746996E-2</v>
      </c>
      <c r="M65" s="4">
        <v>1.0607033931429299</v>
      </c>
      <c r="N65" s="4">
        <f t="shared" si="0"/>
        <v>0.15976651709432899</v>
      </c>
      <c r="P65" s="1">
        <v>38473</v>
      </c>
      <c r="Q65" s="4">
        <v>9.6918968728734997E-2</v>
      </c>
      <c r="R65" s="4">
        <v>0.149855026527177</v>
      </c>
      <c r="S65" s="4">
        <v>0.149855026527177</v>
      </c>
      <c r="T65" s="4">
        <v>-0.110388445780571</v>
      </c>
      <c r="U65" s="4">
        <v>0.75501270373794405</v>
      </c>
      <c r="V65" s="4">
        <v>0.16662384664347801</v>
      </c>
      <c r="Y65" s="1">
        <v>38443</v>
      </c>
      <c r="Z65" s="4">
        <f t="shared" si="1"/>
        <v>9.7831472716673099E-2</v>
      </c>
      <c r="AA65" s="4">
        <f t="shared" si="2"/>
        <v>9.8130972783853201E-2</v>
      </c>
      <c r="AC65" s="1">
        <v>38443</v>
      </c>
      <c r="AD65" s="4">
        <f t="shared" si="3"/>
        <v>0.14813281398390299</v>
      </c>
      <c r="AE65" s="4">
        <f t="shared" si="4"/>
        <v>0.16358298208421401</v>
      </c>
      <c r="AG65" s="1">
        <v>38443</v>
      </c>
      <c r="AH65" s="4">
        <f t="shared" si="5"/>
        <v>0.10950480211767701</v>
      </c>
      <c r="AI65" s="4">
        <f t="shared" si="6"/>
        <v>9.1025370254689597E-2</v>
      </c>
      <c r="AK65" s="1">
        <v>38443</v>
      </c>
      <c r="AL65" s="4">
        <f t="shared" si="7"/>
        <v>0.14813281398390299</v>
      </c>
      <c r="AM65" s="4">
        <f t="shared" si="8"/>
        <v>0.14649089409000599</v>
      </c>
      <c r="AO65" s="1">
        <v>38443</v>
      </c>
      <c r="AP65" s="4">
        <f t="shared" si="9"/>
        <v>0.17224751551269299</v>
      </c>
      <c r="AQ65" s="4">
        <f t="shared" si="10"/>
        <v>0.10271124465994275</v>
      </c>
    </row>
    <row r="66" spans="1:43" x14ac:dyDescent="0.25">
      <c r="A66" s="1">
        <v>38808</v>
      </c>
      <c r="B66" s="4">
        <v>0.101919190328511</v>
      </c>
      <c r="C66" s="4">
        <v>5.0294872247448198E-2</v>
      </c>
      <c r="D66" s="4">
        <v>3.4932583081006698E-2</v>
      </c>
      <c r="E66" s="4">
        <v>7.16815065330922E-3</v>
      </c>
      <c r="F66" s="4">
        <v>5.1320965987005501E-3</v>
      </c>
      <c r="G66" s="4">
        <v>2.19714874676924E-2</v>
      </c>
      <c r="H66" s="4">
        <v>0.119499190048157</v>
      </c>
      <c r="I66" s="4">
        <v>0.76053875010171401</v>
      </c>
      <c r="J66" s="4">
        <v>0.20177133023430099</v>
      </c>
      <c r="K66" s="4">
        <v>6.1189698376993E-2</v>
      </c>
      <c r="L66" s="4">
        <v>4.0036158326294403E-2</v>
      </c>
      <c r="M66" s="4">
        <v>1.0635359370393</v>
      </c>
      <c r="N66" s="4">
        <f t="shared" si="0"/>
        <v>0.15788244333736801</v>
      </c>
      <c r="P66" s="1">
        <v>38504</v>
      </c>
      <c r="Q66" s="4">
        <v>9.8148846298179104E-2</v>
      </c>
      <c r="R66" s="4">
        <v>0.13117533045794799</v>
      </c>
      <c r="S66" s="4">
        <v>0.13117533045794799</v>
      </c>
      <c r="T66" s="4">
        <v>-0.11361479529702</v>
      </c>
      <c r="U66" s="4">
        <v>0.76820427588498597</v>
      </c>
      <c r="V66" s="4">
        <v>0.17612729379418299</v>
      </c>
      <c r="Y66" s="1">
        <v>38473</v>
      </c>
      <c r="Z66" s="4">
        <f t="shared" si="1"/>
        <v>9.6918968728734997E-2</v>
      </c>
      <c r="AA66" s="4">
        <f t="shared" si="2"/>
        <v>9.78513516670452E-2</v>
      </c>
      <c r="AC66" s="1">
        <v>38473</v>
      </c>
      <c r="AD66" s="4">
        <f t="shared" si="3"/>
        <v>0.149855026527177</v>
      </c>
      <c r="AE66" s="4">
        <f t="shared" si="4"/>
        <v>0.18158533341677499</v>
      </c>
      <c r="AG66" s="1">
        <v>38473</v>
      </c>
      <c r="AH66" s="4">
        <f t="shared" si="5"/>
        <v>0.110388445780571</v>
      </c>
      <c r="AI66" s="4">
        <f t="shared" si="6"/>
        <v>9.2834762917130498E-2</v>
      </c>
      <c r="AK66" s="1">
        <v>38473</v>
      </c>
      <c r="AL66" s="4">
        <f t="shared" si="7"/>
        <v>0.149855026527177</v>
      </c>
      <c r="AM66" s="4">
        <f t="shared" si="8"/>
        <v>0.1558929724805877</v>
      </c>
      <c r="AO66" s="1">
        <v>38473</v>
      </c>
      <c r="AP66" s="4">
        <f t="shared" si="9"/>
        <v>0.16662384664347801</v>
      </c>
      <c r="AQ66" s="4">
        <f t="shared" si="10"/>
        <v>9.7952665480415702E-2</v>
      </c>
    </row>
    <row r="67" spans="1:43" x14ac:dyDescent="0.25">
      <c r="A67" s="1">
        <v>38838</v>
      </c>
      <c r="B67" s="4">
        <v>0.103001512941442</v>
      </c>
      <c r="C67" s="4">
        <v>4.6820619087943098E-2</v>
      </c>
      <c r="D67" s="4">
        <v>3.3924569172995703E-2</v>
      </c>
      <c r="E67" s="4">
        <v>7.3688843718995303E-3</v>
      </c>
      <c r="F67" s="4">
        <v>4.7471852358267003E-3</v>
      </c>
      <c r="G67" s="4">
        <v>2.30368701890852E-2</v>
      </c>
      <c r="H67" s="4">
        <v>0.11589812805775</v>
      </c>
      <c r="I67" s="4">
        <v>0.77210491339834197</v>
      </c>
      <c r="J67" s="4">
        <v>0.18497283869887099</v>
      </c>
      <c r="K67" s="4">
        <v>4.6567800853961797E-2</v>
      </c>
      <c r="L67" s="4">
        <v>6.8589128862075299E-2</v>
      </c>
      <c r="M67" s="4">
        <v>1.07223468181325</v>
      </c>
      <c r="N67" s="4">
        <f t="shared" ref="N67:N130" si="11">B67+H67+1-M67</f>
        <v>0.14666495918594191</v>
      </c>
      <c r="P67" s="1">
        <v>38534</v>
      </c>
      <c r="Q67" s="4">
        <v>9.7096481445724095E-2</v>
      </c>
      <c r="R67" s="4">
        <v>0.14862676978526901</v>
      </c>
      <c r="S67" s="4">
        <v>0.14862676978526901</v>
      </c>
      <c r="T67" s="4">
        <v>-0.114512149620216</v>
      </c>
      <c r="U67" s="4">
        <v>0.78165074862931705</v>
      </c>
      <c r="V67" s="4">
        <v>0.188807801796366</v>
      </c>
      <c r="Y67" s="1">
        <v>38504</v>
      </c>
      <c r="Z67" s="4">
        <f t="shared" si="1"/>
        <v>9.8148846298179104E-2</v>
      </c>
      <c r="AA67" s="4">
        <f t="shared" si="2"/>
        <v>9.6308489719037896E-2</v>
      </c>
      <c r="AC67" s="1">
        <v>38504</v>
      </c>
      <c r="AD67" s="4">
        <f t="shared" si="3"/>
        <v>0.13117533045794799</v>
      </c>
      <c r="AE67" s="4">
        <f t="shared" si="4"/>
        <v>0.17397936780041301</v>
      </c>
      <c r="AG67" s="1">
        <v>38504</v>
      </c>
      <c r="AH67" s="4">
        <f t="shared" si="5"/>
        <v>0.11361479529702</v>
      </c>
      <c r="AI67" s="4">
        <f t="shared" si="6"/>
        <v>9.9829962312135603E-2</v>
      </c>
      <c r="AK67" s="1">
        <v>38504</v>
      </c>
      <c r="AL67" s="4">
        <f t="shared" si="7"/>
        <v>0.13117533045794799</v>
      </c>
      <c r="AM67" s="4">
        <f t="shared" si="8"/>
        <v>0.1613569528128761</v>
      </c>
      <c r="AO67" s="1">
        <v>38504</v>
      </c>
      <c r="AP67" s="4">
        <f t="shared" si="9"/>
        <v>0.17612729379418299</v>
      </c>
      <c r="AQ67" s="4">
        <f t="shared" si="10"/>
        <v>0.10207368046886356</v>
      </c>
    </row>
    <row r="68" spans="1:43" x14ac:dyDescent="0.25">
      <c r="A68" s="1">
        <v>38869</v>
      </c>
      <c r="B68" s="4">
        <v>0.107729186091801</v>
      </c>
      <c r="C68" s="4">
        <v>4.5433394231934397E-2</v>
      </c>
      <c r="D68" s="4">
        <v>3.2917581090531597E-2</v>
      </c>
      <c r="E68" s="4">
        <v>6.1979176097088102E-3</v>
      </c>
      <c r="F68" s="4">
        <v>4.5861575331724502E-3</v>
      </c>
      <c r="G68" s="4">
        <v>2.1941951553594699E-2</v>
      </c>
      <c r="H68" s="4">
        <v>0.11107700201894199</v>
      </c>
      <c r="I68" s="4">
        <v>0.73750298526550995</v>
      </c>
      <c r="J68" s="4">
        <v>0.19425368043742999</v>
      </c>
      <c r="K68" s="4">
        <v>5.7828338555204403E-2</v>
      </c>
      <c r="L68" s="4">
        <v>6.1510025496825202E-2</v>
      </c>
      <c r="M68" s="4">
        <v>1.0510950297549699</v>
      </c>
      <c r="N68" s="4">
        <f t="shared" si="11"/>
        <v>0.1677111583557731</v>
      </c>
      <c r="P68" s="1">
        <v>38565</v>
      </c>
      <c r="Q68" s="4">
        <v>9.7185093983783402E-2</v>
      </c>
      <c r="R68" s="4">
        <v>0.14515036366511599</v>
      </c>
      <c r="S68" s="4">
        <v>0.14515036366511599</v>
      </c>
      <c r="T68" s="4">
        <v>-0.11587377415462501</v>
      </c>
      <c r="U68" s="4">
        <v>0.80684865570504205</v>
      </c>
      <c r="V68" s="4">
        <v>0.17575288854461499</v>
      </c>
      <c r="Y68" s="1">
        <v>38534</v>
      </c>
      <c r="Z68" s="4">
        <f t="shared" ref="Z68:Z131" si="12">VLOOKUP(Y68,P:V,2,0)</f>
        <v>9.7096481445724095E-2</v>
      </c>
      <c r="AA68" s="4">
        <f t="shared" ref="AA68:AA131" si="13">VLOOKUP(Y68,A:N,2,0)</f>
        <v>0.100447238189278</v>
      </c>
      <c r="AC68" s="1">
        <v>38534</v>
      </c>
      <c r="AD68" s="4">
        <f t="shared" ref="AD68:AD131" si="14">VLOOKUP(Y68,P:V,3,0)</f>
        <v>0.14862676978526901</v>
      </c>
      <c r="AE68" s="4">
        <f t="shared" ref="AE68:AE131" si="15">VLOOKUP(Y68,A:N,10,0)</f>
        <v>0.17568250555609399</v>
      </c>
      <c r="AG68" s="1">
        <v>38534</v>
      </c>
      <c r="AH68" s="4">
        <f t="shared" ref="AH68:AH131" si="16">-VLOOKUP(Y68,P:V,5,0)</f>
        <v>0.114512149620216</v>
      </c>
      <c r="AI68" s="4">
        <f t="shared" ref="AI68:AI131" si="17">VLOOKUP(Y68,A:N,8,0)</f>
        <v>0.104603095931306</v>
      </c>
      <c r="AK68" s="1">
        <v>38534</v>
      </c>
      <c r="AL68" s="4">
        <f t="shared" ref="AL68:AL131" si="18">VLOOKUP(Y68,P:V,4,0)</f>
        <v>0.14862676978526901</v>
      </c>
      <c r="AM68" s="4">
        <f t="shared" ref="AM68:AM131" si="19">VLOOKUP(Y68,A:N,11,0)+VLOOKUP(Y68,A:N,12,0)</f>
        <v>0.14573396829215979</v>
      </c>
      <c r="AO68" s="1">
        <v>38534</v>
      </c>
      <c r="AP68" s="4">
        <f t="shared" ref="AP68:AP131" si="20">VLOOKUP(Y68,P:V,7,0)</f>
        <v>0.188807801796366</v>
      </c>
      <c r="AQ68" s="4">
        <f t="shared" ref="AQ68:AQ131" si="21">VLOOKUP(Y68,A:N,14,0)</f>
        <v>0.12620816894960396</v>
      </c>
    </row>
    <row r="69" spans="1:43" x14ac:dyDescent="0.25">
      <c r="A69" s="1">
        <v>38899</v>
      </c>
      <c r="B69" s="4">
        <v>0.10588107095568999</v>
      </c>
      <c r="C69" s="4">
        <v>4.7298032961714503E-2</v>
      </c>
      <c r="D69" s="4">
        <v>3.0640134871952301E-2</v>
      </c>
      <c r="E69" s="4">
        <v>5.2233694189920202E-3</v>
      </c>
      <c r="F69" s="4">
        <v>5.57957166576214E-3</v>
      </c>
      <c r="G69" s="4">
        <v>2.2208969707623E-2</v>
      </c>
      <c r="H69" s="4">
        <v>0.110950078626044</v>
      </c>
      <c r="I69" s="4">
        <v>0.71721406657785902</v>
      </c>
      <c r="J69" s="4">
        <v>0.19068869519593501</v>
      </c>
      <c r="K69" s="4">
        <v>3.7176274795969799E-2</v>
      </c>
      <c r="L69" s="4">
        <v>8.3461582109841601E-2</v>
      </c>
      <c r="M69" s="4">
        <v>1.0285406186796</v>
      </c>
      <c r="N69" s="4">
        <f t="shared" si="11"/>
        <v>0.1882905309021341</v>
      </c>
      <c r="P69" s="1">
        <v>38596</v>
      </c>
      <c r="Q69" s="4">
        <v>9.7031520864617596E-2</v>
      </c>
      <c r="R69" s="4">
        <v>0.141993825355028</v>
      </c>
      <c r="S69" s="4">
        <v>0.141993825355028</v>
      </c>
      <c r="T69" s="4">
        <v>-0.11414670395667099</v>
      </c>
      <c r="U69" s="4">
        <v>0.79780273292952397</v>
      </c>
      <c r="V69" s="4">
        <v>0.192004742850199</v>
      </c>
      <c r="Y69" s="1">
        <v>38565</v>
      </c>
      <c r="Z69" s="4">
        <f t="shared" si="12"/>
        <v>9.7185093983783402E-2</v>
      </c>
      <c r="AA69" s="4">
        <f t="shared" si="13"/>
        <v>9.9657236916579905E-2</v>
      </c>
      <c r="AC69" s="1">
        <v>38565</v>
      </c>
      <c r="AD69" s="4">
        <f t="shared" si="14"/>
        <v>0.14515036366511599</v>
      </c>
      <c r="AE69" s="4">
        <f t="shared" si="15"/>
        <v>0.18256239874520599</v>
      </c>
      <c r="AG69" s="1">
        <v>38565</v>
      </c>
      <c r="AH69" s="4">
        <f t="shared" si="16"/>
        <v>0.11587377415462501</v>
      </c>
      <c r="AI69" s="4">
        <f t="shared" si="17"/>
        <v>0.101549481578891</v>
      </c>
      <c r="AK69" s="1">
        <v>38565</v>
      </c>
      <c r="AL69" s="4">
        <f t="shared" si="18"/>
        <v>0.14515036366511599</v>
      </c>
      <c r="AM69" s="4">
        <f t="shared" si="19"/>
        <v>0.15586251258139899</v>
      </c>
      <c r="AO69" s="1">
        <v>38565</v>
      </c>
      <c r="AP69" s="4">
        <f t="shared" si="20"/>
        <v>0.17575288854461499</v>
      </c>
      <c r="AQ69" s="4">
        <f t="shared" si="21"/>
        <v>0.11476055200253099</v>
      </c>
    </row>
    <row r="70" spans="1:43" x14ac:dyDescent="0.25">
      <c r="A70" s="1">
        <v>38930</v>
      </c>
      <c r="B70" s="4">
        <v>0.105299828156556</v>
      </c>
      <c r="C70" s="4">
        <v>4.5317656691428697E-2</v>
      </c>
      <c r="D70" s="4">
        <v>3.4068569262388999E-2</v>
      </c>
      <c r="E70" s="4">
        <v>5.3016703005286103E-3</v>
      </c>
      <c r="F70" s="4">
        <v>4.9988215845159396E-3</v>
      </c>
      <c r="G70" s="4">
        <v>2.1836038872732E-2</v>
      </c>
      <c r="H70" s="4">
        <v>0.11152275671159401</v>
      </c>
      <c r="I70" s="4">
        <v>0.74966641845767101</v>
      </c>
      <c r="J70" s="4">
        <v>0.173963412239097</v>
      </c>
      <c r="K70" s="4">
        <v>4.9362575544044003E-2</v>
      </c>
      <c r="L70" s="4">
        <v>5.1292825502952499E-2</v>
      </c>
      <c r="M70" s="4">
        <v>1.0242852317437601</v>
      </c>
      <c r="N70" s="4">
        <f t="shared" si="11"/>
        <v>0.19253735312438991</v>
      </c>
      <c r="P70" s="1">
        <v>38626</v>
      </c>
      <c r="Q70" s="4">
        <v>9.65836220156953E-2</v>
      </c>
      <c r="R70" s="4">
        <v>0.143485487226794</v>
      </c>
      <c r="S70" s="4">
        <v>0.143485487226794</v>
      </c>
      <c r="T70" s="4">
        <v>-0.11840892869833899</v>
      </c>
      <c r="U70" s="4">
        <v>0.81351533976936996</v>
      </c>
      <c r="V70" s="4">
        <v>0.19763878076840799</v>
      </c>
      <c r="Y70" s="1">
        <v>38596</v>
      </c>
      <c r="Z70" s="4">
        <f t="shared" si="12"/>
        <v>9.7031520864617596E-2</v>
      </c>
      <c r="AA70" s="4">
        <f t="shared" si="13"/>
        <v>0.101000564643782</v>
      </c>
      <c r="AC70" s="1">
        <v>38596</v>
      </c>
      <c r="AD70" s="4">
        <f t="shared" si="14"/>
        <v>0.141993825355028</v>
      </c>
      <c r="AE70" s="4">
        <f t="shared" si="15"/>
        <v>0.16583086681117201</v>
      </c>
      <c r="AG70" s="1">
        <v>38596</v>
      </c>
      <c r="AH70" s="4">
        <f t="shared" si="16"/>
        <v>0.11414670395667099</v>
      </c>
      <c r="AI70" s="4">
        <f t="shared" si="17"/>
        <v>0.105763466253877</v>
      </c>
      <c r="AK70" s="1">
        <v>38596</v>
      </c>
      <c r="AL70" s="4">
        <f t="shared" si="18"/>
        <v>0.141993825355028</v>
      </c>
      <c r="AM70" s="4">
        <f t="shared" si="19"/>
        <v>0.15361961576345351</v>
      </c>
      <c r="AO70" s="1">
        <v>38596</v>
      </c>
      <c r="AP70" s="4">
        <f t="shared" si="20"/>
        <v>0.192004742850199</v>
      </c>
      <c r="AQ70" s="4">
        <f t="shared" si="21"/>
        <v>0.13719156118181908</v>
      </c>
    </row>
    <row r="71" spans="1:43" x14ac:dyDescent="0.25">
      <c r="A71" s="1">
        <v>38961</v>
      </c>
      <c r="B71" s="4">
        <v>0.10134914452398899</v>
      </c>
      <c r="C71" s="4">
        <v>4.9166250477903198E-2</v>
      </c>
      <c r="D71" s="4">
        <v>3.14599300864606E-2</v>
      </c>
      <c r="E71" s="4">
        <v>4.7701805887506799E-3</v>
      </c>
      <c r="F71" s="4">
        <v>5.1139109942387297E-3</v>
      </c>
      <c r="G71" s="4">
        <v>2.0648169537587899E-2</v>
      </c>
      <c r="H71" s="4">
        <v>0.111158441684941</v>
      </c>
      <c r="I71" s="4">
        <v>0.71168963154863996</v>
      </c>
      <c r="J71" s="4">
        <v>0.194346616858104</v>
      </c>
      <c r="K71" s="4">
        <v>4.3722639854761103E-2</v>
      </c>
      <c r="L71" s="4">
        <v>6.8101421241467203E-2</v>
      </c>
      <c r="M71" s="4">
        <v>1.0178603095029699</v>
      </c>
      <c r="N71" s="4">
        <f t="shared" si="11"/>
        <v>0.19464727670596016</v>
      </c>
      <c r="P71" s="1">
        <v>38657</v>
      </c>
      <c r="Q71" s="4">
        <v>9.3356631902209997E-2</v>
      </c>
      <c r="R71" s="4">
        <v>0.14731770096840999</v>
      </c>
      <c r="S71" s="4">
        <v>0.14731770096840999</v>
      </c>
      <c r="T71" s="4">
        <v>-0.117621334782762</v>
      </c>
      <c r="U71" s="4">
        <v>0.79264144919815105</v>
      </c>
      <c r="V71" s="4">
        <v>0.198492355131726</v>
      </c>
      <c r="Y71" s="1">
        <v>38626</v>
      </c>
      <c r="Z71" s="4">
        <f t="shared" si="12"/>
        <v>9.65836220156953E-2</v>
      </c>
      <c r="AA71" s="4">
        <f t="shared" si="13"/>
        <v>0.100460385578901</v>
      </c>
      <c r="AC71" s="1">
        <v>38626</v>
      </c>
      <c r="AD71" s="4">
        <f t="shared" si="14"/>
        <v>0.143485487226794</v>
      </c>
      <c r="AE71" s="4">
        <f t="shared" si="15"/>
        <v>0.165718401815029</v>
      </c>
      <c r="AG71" s="1">
        <v>38626</v>
      </c>
      <c r="AH71" s="4">
        <f t="shared" si="16"/>
        <v>0.11840892869833899</v>
      </c>
      <c r="AI71" s="4">
        <f t="shared" si="17"/>
        <v>0.100823083647911</v>
      </c>
      <c r="AK71" s="1">
        <v>38626</v>
      </c>
      <c r="AL71" s="4">
        <f t="shared" si="18"/>
        <v>0.143485487226794</v>
      </c>
      <c r="AM71" s="4">
        <f t="shared" si="19"/>
        <v>0.1713137409210686</v>
      </c>
      <c r="AO71" s="1">
        <v>38626</v>
      </c>
      <c r="AP71" s="4">
        <f t="shared" si="20"/>
        <v>0.19763878076840799</v>
      </c>
      <c r="AQ71" s="4">
        <f t="shared" si="21"/>
        <v>0.12428363797398201</v>
      </c>
    </row>
    <row r="72" spans="1:43" x14ac:dyDescent="0.25">
      <c r="A72" s="1">
        <v>38991</v>
      </c>
      <c r="B72" s="4">
        <v>0.108495126713007</v>
      </c>
      <c r="C72" s="4">
        <v>4.7047355977514901E-2</v>
      </c>
      <c r="D72" s="4">
        <v>3.6438731770549203E-2</v>
      </c>
      <c r="E72" s="4">
        <v>5.8785284794455103E-3</v>
      </c>
      <c r="F72" s="4">
        <v>5.9459535477282199E-3</v>
      </c>
      <c r="G72" s="4">
        <v>2.3898726666891999E-2</v>
      </c>
      <c r="H72" s="4">
        <v>0.11920929644212901</v>
      </c>
      <c r="I72" s="4">
        <v>0.68579962821292395</v>
      </c>
      <c r="J72" s="4">
        <v>0.19913065582218301</v>
      </c>
      <c r="K72" s="4">
        <v>4.3610387929632899E-2</v>
      </c>
      <c r="L72" s="4">
        <v>7.0619259080467206E-2</v>
      </c>
      <c r="M72" s="4">
        <v>0.99915993104520695</v>
      </c>
      <c r="N72" s="4">
        <f t="shared" si="11"/>
        <v>0.228544492109929</v>
      </c>
      <c r="P72" s="1">
        <v>38687</v>
      </c>
      <c r="Q72" s="4">
        <v>9.6227184955481396E-2</v>
      </c>
      <c r="R72" s="4">
        <v>0.13961679762406701</v>
      </c>
      <c r="S72" s="4">
        <v>0.13961679762406701</v>
      </c>
      <c r="T72" s="4">
        <v>-0.122098013937622</v>
      </c>
      <c r="U72" s="4">
        <v>0.78327252476556797</v>
      </c>
      <c r="V72" s="4">
        <v>0.209409708324097</v>
      </c>
      <c r="Y72" s="1">
        <v>38657</v>
      </c>
      <c r="Z72" s="4">
        <f t="shared" si="12"/>
        <v>9.3356631902209997E-2</v>
      </c>
      <c r="AA72" s="4">
        <f t="shared" si="13"/>
        <v>0.10424958456232999</v>
      </c>
      <c r="AC72" s="1">
        <v>38657</v>
      </c>
      <c r="AD72" s="4">
        <f t="shared" si="14"/>
        <v>0.14731770096840999</v>
      </c>
      <c r="AE72" s="4">
        <f t="shared" si="15"/>
        <v>0.18430504084586</v>
      </c>
      <c r="AG72" s="1">
        <v>38657</v>
      </c>
      <c r="AH72" s="4">
        <f t="shared" si="16"/>
        <v>0.117621334782762</v>
      </c>
      <c r="AI72" s="4">
        <f t="shared" si="17"/>
        <v>0.10783228905464499</v>
      </c>
      <c r="AK72" s="1">
        <v>38657</v>
      </c>
      <c r="AL72" s="4">
        <f t="shared" si="18"/>
        <v>0.14731770096840999</v>
      </c>
      <c r="AM72" s="4">
        <f t="shared" si="19"/>
        <v>0.14671617534644371</v>
      </c>
      <c r="AO72" s="1">
        <v>38657</v>
      </c>
      <c r="AP72" s="4">
        <f t="shared" si="20"/>
        <v>0.198492355131726</v>
      </c>
      <c r="AQ72" s="4">
        <f t="shared" si="21"/>
        <v>0.16171775068119487</v>
      </c>
    </row>
    <row r="73" spans="1:43" x14ac:dyDescent="0.25">
      <c r="A73" s="1">
        <v>39022</v>
      </c>
      <c r="B73" s="4">
        <v>0.106480870170734</v>
      </c>
      <c r="C73" s="4">
        <v>5.1012603463783203E-2</v>
      </c>
      <c r="D73" s="4">
        <v>3.4164518690558102E-2</v>
      </c>
      <c r="E73" s="4">
        <v>5.2870053560984598E-3</v>
      </c>
      <c r="F73" s="4">
        <v>6.5058487928690203E-3</v>
      </c>
      <c r="G73" s="4">
        <v>2.4711469407750299E-2</v>
      </c>
      <c r="H73" s="4">
        <v>0.121681445711059</v>
      </c>
      <c r="I73" s="4">
        <v>0.71779894828222202</v>
      </c>
      <c r="J73" s="4">
        <v>0.203227465370243</v>
      </c>
      <c r="K73" s="4">
        <v>4.9159585858341702E-2</v>
      </c>
      <c r="L73" s="4">
        <v>3.7497634468977803E-2</v>
      </c>
      <c r="M73" s="4">
        <v>1.0076836339797799</v>
      </c>
      <c r="N73" s="4">
        <f t="shared" si="11"/>
        <v>0.22047868190201303</v>
      </c>
      <c r="P73" s="1">
        <v>38718</v>
      </c>
      <c r="Q73" s="4">
        <v>9.5880931242496498E-2</v>
      </c>
      <c r="R73" s="4">
        <v>0.14642254393523799</v>
      </c>
      <c r="S73" s="4">
        <v>0.14642254393523799</v>
      </c>
      <c r="T73" s="4">
        <v>-0.11836543721296799</v>
      </c>
      <c r="U73" s="4">
        <v>0.79401709401768905</v>
      </c>
      <c r="V73" s="4">
        <v>0.21020538780563899</v>
      </c>
      <c r="Y73" s="1">
        <v>38687</v>
      </c>
      <c r="Z73" s="4">
        <f t="shared" si="12"/>
        <v>9.6227184955481396E-2</v>
      </c>
      <c r="AA73" s="4">
        <f t="shared" si="13"/>
        <v>0.103254673325802</v>
      </c>
      <c r="AC73" s="1">
        <v>38687</v>
      </c>
      <c r="AD73" s="4">
        <f t="shared" si="14"/>
        <v>0.13961679762406701</v>
      </c>
      <c r="AE73" s="4">
        <f t="shared" si="15"/>
        <v>0.17271856965656501</v>
      </c>
      <c r="AG73" s="1">
        <v>38687</v>
      </c>
      <c r="AH73" s="4">
        <f t="shared" si="16"/>
        <v>0.122098013937622</v>
      </c>
      <c r="AI73" s="4">
        <f t="shared" si="17"/>
        <v>0.117729044627323</v>
      </c>
      <c r="AK73" s="1">
        <v>38687</v>
      </c>
      <c r="AL73" s="4">
        <f t="shared" si="18"/>
        <v>0.13961679762406701</v>
      </c>
      <c r="AM73" s="4">
        <f t="shared" si="19"/>
        <v>0.1554429022044912</v>
      </c>
      <c r="AO73" s="1">
        <v>38687</v>
      </c>
      <c r="AP73" s="4">
        <f t="shared" si="20"/>
        <v>0.209409708324097</v>
      </c>
      <c r="AQ73" s="4">
        <f t="shared" si="21"/>
        <v>0.16188724857362491</v>
      </c>
    </row>
    <row r="74" spans="1:43" x14ac:dyDescent="0.25">
      <c r="A74" s="1">
        <v>39052</v>
      </c>
      <c r="B74" s="4">
        <v>0.107905136505157</v>
      </c>
      <c r="C74" s="4">
        <v>4.7508729644597597E-2</v>
      </c>
      <c r="D74" s="4">
        <v>3.5400515904738902E-2</v>
      </c>
      <c r="E74" s="4">
        <v>6.4042262608002901E-3</v>
      </c>
      <c r="F74" s="4">
        <v>5.8296406992734201E-3</v>
      </c>
      <c r="G74" s="4">
        <v>2.6328382692168199E-2</v>
      </c>
      <c r="H74" s="4">
        <v>0.121471495201578</v>
      </c>
      <c r="I74" s="4">
        <v>0.71418334828777197</v>
      </c>
      <c r="J74" s="4">
        <v>0.194670261845165</v>
      </c>
      <c r="K74" s="4">
        <v>3.5159240244829103E-2</v>
      </c>
      <c r="L74" s="4">
        <v>6.5440421621244693E-2</v>
      </c>
      <c r="M74" s="4">
        <v>1.0094532719990099</v>
      </c>
      <c r="N74" s="4">
        <f t="shared" si="11"/>
        <v>0.21992335970772503</v>
      </c>
      <c r="P74" s="1">
        <v>38749</v>
      </c>
      <c r="Q74" s="4">
        <v>0.10018214193970899</v>
      </c>
      <c r="R74" s="4">
        <v>0.14863649475398999</v>
      </c>
      <c r="S74" s="4">
        <v>0.14863649475398999</v>
      </c>
      <c r="T74" s="4">
        <v>-0.12175613193360001</v>
      </c>
      <c r="U74" s="4">
        <v>0.78118645718579904</v>
      </c>
      <c r="V74" s="4">
        <v>0.222851758136448</v>
      </c>
      <c r="Y74" s="1">
        <v>38718</v>
      </c>
      <c r="Z74" s="4">
        <f t="shared" si="12"/>
        <v>9.5880931242496498E-2</v>
      </c>
      <c r="AA74" s="4">
        <f t="shared" si="13"/>
        <v>0.105446579368695</v>
      </c>
      <c r="AC74" s="1">
        <v>38718</v>
      </c>
      <c r="AD74" s="4">
        <f t="shared" si="14"/>
        <v>0.14642254393523799</v>
      </c>
      <c r="AE74" s="4">
        <f t="shared" si="15"/>
        <v>0.20010862885634301</v>
      </c>
      <c r="AG74" s="1">
        <v>38718</v>
      </c>
      <c r="AH74" s="4">
        <f t="shared" si="16"/>
        <v>0.11836543721296799</v>
      </c>
      <c r="AI74" s="4">
        <f t="shared" si="17"/>
        <v>0.110569971937963</v>
      </c>
      <c r="AK74" s="1">
        <v>38718</v>
      </c>
      <c r="AL74" s="4">
        <f t="shared" si="18"/>
        <v>0.14642254393523799</v>
      </c>
      <c r="AM74" s="4">
        <f t="shared" si="19"/>
        <v>0.2174035040188943</v>
      </c>
      <c r="AO74" s="1">
        <v>38718</v>
      </c>
      <c r="AP74" s="4">
        <f t="shared" si="20"/>
        <v>0.21020538780563899</v>
      </c>
      <c r="AQ74" s="4">
        <f t="shared" si="21"/>
        <v>0.15251922951751817</v>
      </c>
    </row>
    <row r="75" spans="1:43" x14ac:dyDescent="0.25">
      <c r="A75" s="1">
        <v>39083</v>
      </c>
      <c r="B75" s="4">
        <v>0.106195435416477</v>
      </c>
      <c r="C75" s="4">
        <v>4.78652751369271E-2</v>
      </c>
      <c r="D75" s="4">
        <v>3.1895802441836797E-2</v>
      </c>
      <c r="E75" s="4">
        <v>5.4897227897826402E-3</v>
      </c>
      <c r="F75" s="4">
        <v>6.1317032387948099E-3</v>
      </c>
      <c r="G75" s="4">
        <v>2.6378454787455801E-2</v>
      </c>
      <c r="H75" s="4">
        <v>0.117760958394797</v>
      </c>
      <c r="I75" s="4">
        <v>0.73180272969784499</v>
      </c>
      <c r="J75" s="4">
        <v>0.20632533786101301</v>
      </c>
      <c r="K75" s="4">
        <v>2.7873394736124501E-2</v>
      </c>
      <c r="L75" s="4">
        <v>3.8477864550705898E-2</v>
      </c>
      <c r="M75" s="4">
        <v>1.00447932684568</v>
      </c>
      <c r="N75" s="4">
        <f t="shared" si="11"/>
        <v>0.2194770669655941</v>
      </c>
      <c r="P75" s="1">
        <v>38777</v>
      </c>
      <c r="Q75" s="4">
        <v>9.8423367371630405E-2</v>
      </c>
      <c r="R75" s="4">
        <v>0.152348428457072</v>
      </c>
      <c r="S75" s="4">
        <v>0.152348428457072</v>
      </c>
      <c r="T75" s="4">
        <v>-0.119971978793385</v>
      </c>
      <c r="U75" s="4">
        <v>0.78554574817600198</v>
      </c>
      <c r="V75" s="4">
        <v>0.20802008463629401</v>
      </c>
      <c r="Y75" s="1">
        <v>38749</v>
      </c>
      <c r="Z75" s="4">
        <f t="shared" si="12"/>
        <v>0.10018214193970899</v>
      </c>
      <c r="AA75" s="4">
        <f t="shared" si="13"/>
        <v>0.106619376366937</v>
      </c>
      <c r="AC75" s="1">
        <v>38749</v>
      </c>
      <c r="AD75" s="4">
        <f t="shared" si="14"/>
        <v>0.14863649475398999</v>
      </c>
      <c r="AE75" s="4">
        <f t="shared" si="15"/>
        <v>0.17524876053952701</v>
      </c>
      <c r="AG75" s="1">
        <v>38749</v>
      </c>
      <c r="AH75" s="4">
        <f t="shared" si="16"/>
        <v>0.12175613193360001</v>
      </c>
      <c r="AI75" s="4">
        <f t="shared" si="17"/>
        <v>0.11697458761042499</v>
      </c>
      <c r="AK75" s="1">
        <v>38749</v>
      </c>
      <c r="AL75" s="4">
        <f t="shared" si="18"/>
        <v>0.14863649475398999</v>
      </c>
      <c r="AM75" s="4">
        <f t="shared" si="19"/>
        <v>0.14123652793642799</v>
      </c>
      <c r="AO75" s="1">
        <v>38749</v>
      </c>
      <c r="AP75" s="4">
        <f t="shared" si="20"/>
        <v>0.222851758136448</v>
      </c>
      <c r="AQ75" s="4">
        <f t="shared" si="21"/>
        <v>0.16289808828220198</v>
      </c>
    </row>
    <row r="76" spans="1:43" x14ac:dyDescent="0.25">
      <c r="A76" s="1">
        <v>39114</v>
      </c>
      <c r="B76" s="4">
        <v>0.103818992682782</v>
      </c>
      <c r="C76" s="4">
        <v>4.7809078411104697E-2</v>
      </c>
      <c r="D76" s="4">
        <v>3.1773128611818101E-2</v>
      </c>
      <c r="E76" s="4">
        <v>5.1085542303098697E-3</v>
      </c>
      <c r="F76" s="4">
        <v>5.6119729639710703E-3</v>
      </c>
      <c r="G76" s="4">
        <v>2.5340959532526901E-2</v>
      </c>
      <c r="H76" s="4">
        <v>0.11564369374973001</v>
      </c>
      <c r="I76" s="4">
        <v>0.72496579596885302</v>
      </c>
      <c r="J76" s="4">
        <v>0.18721323606989801</v>
      </c>
      <c r="K76" s="4">
        <v>3.5143715743661097E-2</v>
      </c>
      <c r="L76" s="4">
        <v>4.9854457634899797E-2</v>
      </c>
      <c r="M76" s="4">
        <v>0.99717720541731303</v>
      </c>
      <c r="N76" s="4">
        <f t="shared" si="11"/>
        <v>0.22228548101519896</v>
      </c>
      <c r="P76" s="1">
        <v>38808</v>
      </c>
      <c r="Q76" s="4">
        <v>9.7923011109540506E-2</v>
      </c>
      <c r="R76" s="4">
        <v>0.13745531671687899</v>
      </c>
      <c r="S76" s="4">
        <v>0.13745531671687899</v>
      </c>
      <c r="T76" s="4">
        <v>-0.117899354495534</v>
      </c>
      <c r="U76" s="4">
        <v>0.83327447884831096</v>
      </c>
      <c r="V76" s="4">
        <v>0.18552734187162401</v>
      </c>
      <c r="Y76" s="1">
        <v>38777</v>
      </c>
      <c r="Z76" s="4">
        <f t="shared" si="12"/>
        <v>9.8423367371630405E-2</v>
      </c>
      <c r="AA76" s="4">
        <f t="shared" si="13"/>
        <v>0.103141221924823</v>
      </c>
      <c r="AC76" s="1">
        <v>38777</v>
      </c>
      <c r="AD76" s="4">
        <f t="shared" si="14"/>
        <v>0.152348428457072</v>
      </c>
      <c r="AE76" s="4">
        <f t="shared" si="15"/>
        <v>0.18109737579677199</v>
      </c>
      <c r="AG76" s="1">
        <v>38777</v>
      </c>
      <c r="AH76" s="4">
        <f t="shared" si="16"/>
        <v>0.119971978793385</v>
      </c>
      <c r="AI76" s="4">
        <f t="shared" si="17"/>
        <v>0.11732868831243599</v>
      </c>
      <c r="AK76" s="1">
        <v>38777</v>
      </c>
      <c r="AL76" s="4">
        <f t="shared" si="18"/>
        <v>0.152348428457072</v>
      </c>
      <c r="AM76" s="4">
        <f t="shared" si="19"/>
        <v>0.1491422911917813</v>
      </c>
      <c r="AO76" s="1">
        <v>38777</v>
      </c>
      <c r="AP76" s="4">
        <f t="shared" si="20"/>
        <v>0.20802008463629401</v>
      </c>
      <c r="AQ76" s="4">
        <f t="shared" si="21"/>
        <v>0.15976651709432899</v>
      </c>
    </row>
    <row r="77" spans="1:43" x14ac:dyDescent="0.25">
      <c r="A77" s="1">
        <v>39142</v>
      </c>
      <c r="B77" s="4">
        <v>9.9386963311766593E-2</v>
      </c>
      <c r="C77" s="4">
        <v>4.4907823176567198E-2</v>
      </c>
      <c r="D77" s="4">
        <v>2.7388320306143299E-2</v>
      </c>
      <c r="E77" s="4">
        <v>4.9954658482110796E-3</v>
      </c>
      <c r="F77" s="4">
        <v>4.4190371514628698E-3</v>
      </c>
      <c r="G77" s="4">
        <v>2.51177591826088E-2</v>
      </c>
      <c r="H77" s="4">
        <v>0.10682840566499301</v>
      </c>
      <c r="I77" s="4">
        <v>0.74324449589729202</v>
      </c>
      <c r="J77" s="4">
        <v>0.17053212273423199</v>
      </c>
      <c r="K77" s="4">
        <v>3.5664344305090398E-2</v>
      </c>
      <c r="L77" s="4">
        <v>4.9336970894954001E-2</v>
      </c>
      <c r="M77" s="4">
        <v>0.99877793383156899</v>
      </c>
      <c r="N77" s="4">
        <f t="shared" si="11"/>
        <v>0.20743743514519064</v>
      </c>
      <c r="P77" s="1">
        <v>38838</v>
      </c>
      <c r="Q77" s="4">
        <v>9.5834604710294494E-2</v>
      </c>
      <c r="R77" s="4">
        <v>0.143110585069982</v>
      </c>
      <c r="S77" s="4">
        <v>0.143110585069982</v>
      </c>
      <c r="T77" s="4">
        <v>-0.117033703977868</v>
      </c>
      <c r="U77" s="4">
        <v>0.80295271856999995</v>
      </c>
      <c r="V77" s="4">
        <v>0.21744039018661099</v>
      </c>
      <c r="Y77" s="1">
        <v>38808</v>
      </c>
      <c r="Z77" s="4">
        <f t="shared" si="12"/>
        <v>9.7923011109540506E-2</v>
      </c>
      <c r="AA77" s="4">
        <f t="shared" si="13"/>
        <v>0.101919190328511</v>
      </c>
      <c r="AC77" s="1">
        <v>38808</v>
      </c>
      <c r="AD77" s="4">
        <f t="shared" si="14"/>
        <v>0.13745531671687899</v>
      </c>
      <c r="AE77" s="4">
        <f t="shared" si="15"/>
        <v>0.20177133023430099</v>
      </c>
      <c r="AG77" s="1">
        <v>38808</v>
      </c>
      <c r="AH77" s="4">
        <f t="shared" si="16"/>
        <v>0.117899354495534</v>
      </c>
      <c r="AI77" s="4">
        <f t="shared" si="17"/>
        <v>0.119499190048157</v>
      </c>
      <c r="AK77" s="1">
        <v>38808</v>
      </c>
      <c r="AL77" s="4">
        <f t="shared" si="18"/>
        <v>0.13745531671687899</v>
      </c>
      <c r="AM77" s="4">
        <f t="shared" si="19"/>
        <v>0.1012258567032874</v>
      </c>
      <c r="AO77" s="1">
        <v>38808</v>
      </c>
      <c r="AP77" s="4">
        <f t="shared" si="20"/>
        <v>0.18552734187162401</v>
      </c>
      <c r="AQ77" s="4">
        <f t="shared" si="21"/>
        <v>0.15788244333736801</v>
      </c>
    </row>
    <row r="78" spans="1:43" x14ac:dyDescent="0.25">
      <c r="A78" s="1">
        <v>39173</v>
      </c>
      <c r="B78" s="4">
        <v>0.100105975533078</v>
      </c>
      <c r="C78" s="4">
        <v>4.7883386204427197E-2</v>
      </c>
      <c r="D78" s="4">
        <v>2.69102972678801E-2</v>
      </c>
      <c r="E78" s="4">
        <v>4.8797713046022703E-3</v>
      </c>
      <c r="F78" s="4">
        <v>5.6260522559692903E-3</v>
      </c>
      <c r="G78" s="4">
        <v>2.3739130221736199E-2</v>
      </c>
      <c r="H78" s="4">
        <v>0.109038637254615</v>
      </c>
      <c r="I78" s="4">
        <v>0.73015956252925196</v>
      </c>
      <c r="J78" s="4">
        <v>0.164743487646903</v>
      </c>
      <c r="K78" s="4">
        <v>4.7457784352586602E-2</v>
      </c>
      <c r="L78" s="4">
        <v>5.5219112602548297E-2</v>
      </c>
      <c r="M78" s="4">
        <v>0.99757994713128995</v>
      </c>
      <c r="N78" s="4">
        <f t="shared" si="11"/>
        <v>0.21156466565640308</v>
      </c>
      <c r="P78" s="1">
        <v>38869</v>
      </c>
      <c r="Q78" s="4">
        <v>9.3843548647878305E-2</v>
      </c>
      <c r="R78" s="4">
        <v>0.143974307943561</v>
      </c>
      <c r="S78" s="4">
        <v>0.143974307943561</v>
      </c>
      <c r="T78" s="4">
        <v>-0.11995895617752</v>
      </c>
      <c r="U78" s="4">
        <v>0.83257803566028799</v>
      </c>
      <c r="V78" s="4">
        <v>0.18592550327259899</v>
      </c>
      <c r="Y78" s="1">
        <v>38838</v>
      </c>
      <c r="Z78" s="4">
        <f t="shared" si="12"/>
        <v>9.5834604710294494E-2</v>
      </c>
      <c r="AA78" s="4">
        <f t="shared" si="13"/>
        <v>0.103001512941442</v>
      </c>
      <c r="AC78" s="1">
        <v>38838</v>
      </c>
      <c r="AD78" s="4">
        <f t="shared" si="14"/>
        <v>0.143110585069982</v>
      </c>
      <c r="AE78" s="4">
        <f t="shared" si="15"/>
        <v>0.18497283869887099</v>
      </c>
      <c r="AG78" s="1">
        <v>38838</v>
      </c>
      <c r="AH78" s="4">
        <f t="shared" si="16"/>
        <v>0.117033703977868</v>
      </c>
      <c r="AI78" s="4">
        <f t="shared" si="17"/>
        <v>0.11589812805775</v>
      </c>
      <c r="AK78" s="1">
        <v>38838</v>
      </c>
      <c r="AL78" s="4">
        <f t="shared" si="18"/>
        <v>0.143110585069982</v>
      </c>
      <c r="AM78" s="4">
        <f t="shared" si="19"/>
        <v>0.1151569297160371</v>
      </c>
      <c r="AO78" s="1">
        <v>38838</v>
      </c>
      <c r="AP78" s="4">
        <f t="shared" si="20"/>
        <v>0.21744039018661099</v>
      </c>
      <c r="AQ78" s="4">
        <f t="shared" si="21"/>
        <v>0.14666495918594191</v>
      </c>
    </row>
    <row r="79" spans="1:43" x14ac:dyDescent="0.25">
      <c r="A79" s="1">
        <v>39203</v>
      </c>
      <c r="B79" s="4">
        <v>0.102235293497526</v>
      </c>
      <c r="C79" s="4">
        <v>4.42614181896041E-2</v>
      </c>
      <c r="D79" s="4">
        <v>2.9522439359192899E-2</v>
      </c>
      <c r="E79" s="4">
        <v>4.5298863350882396E-3</v>
      </c>
      <c r="F79" s="4">
        <v>5.8391274432759597E-3</v>
      </c>
      <c r="G79" s="4">
        <v>2.4557717818646199E-2</v>
      </c>
      <c r="H79" s="4">
        <v>0.108710589145807</v>
      </c>
      <c r="I79" s="4">
        <v>0.72643498976807996</v>
      </c>
      <c r="J79" s="4">
        <v>0.17159614327184899</v>
      </c>
      <c r="K79" s="4">
        <v>4.0148946835038397E-2</v>
      </c>
      <c r="L79" s="4">
        <v>7.6150071071016595E-2</v>
      </c>
      <c r="M79" s="4">
        <v>1.0143301509459799</v>
      </c>
      <c r="N79" s="4">
        <f t="shared" si="11"/>
        <v>0.19661573169735314</v>
      </c>
      <c r="P79" s="1">
        <v>38899</v>
      </c>
      <c r="Q79" s="4">
        <v>0.10012666346438701</v>
      </c>
      <c r="R79" s="4">
        <v>0.13386147107533</v>
      </c>
      <c r="S79" s="4">
        <v>0.13386147107533</v>
      </c>
      <c r="T79" s="4">
        <v>-0.12666339044425501</v>
      </c>
      <c r="U79" s="4">
        <v>0.80483207023380898</v>
      </c>
      <c r="V79" s="4">
        <v>0.23378024337731801</v>
      </c>
      <c r="Y79" s="1">
        <v>38869</v>
      </c>
      <c r="Z79" s="4">
        <f t="shared" si="12"/>
        <v>9.3843548647878305E-2</v>
      </c>
      <c r="AA79" s="4">
        <f t="shared" si="13"/>
        <v>0.107729186091801</v>
      </c>
      <c r="AC79" s="1">
        <v>38869</v>
      </c>
      <c r="AD79" s="4">
        <f t="shared" si="14"/>
        <v>0.143974307943561</v>
      </c>
      <c r="AE79" s="4">
        <f t="shared" si="15"/>
        <v>0.19425368043742999</v>
      </c>
      <c r="AG79" s="1">
        <v>38869</v>
      </c>
      <c r="AH79" s="4">
        <f t="shared" si="16"/>
        <v>0.11995895617752</v>
      </c>
      <c r="AI79" s="4">
        <f t="shared" si="17"/>
        <v>0.11107700201894199</v>
      </c>
      <c r="AK79" s="1">
        <v>38869</v>
      </c>
      <c r="AL79" s="4">
        <f t="shared" si="18"/>
        <v>0.143974307943561</v>
      </c>
      <c r="AM79" s="4">
        <f t="shared" si="19"/>
        <v>0.11933836405202961</v>
      </c>
      <c r="AO79" s="1">
        <v>38869</v>
      </c>
      <c r="AP79" s="4">
        <f t="shared" si="20"/>
        <v>0.18592550327259899</v>
      </c>
      <c r="AQ79" s="4">
        <f t="shared" si="21"/>
        <v>0.1677111583557731</v>
      </c>
    </row>
    <row r="80" spans="1:43" x14ac:dyDescent="0.25">
      <c r="A80" s="1">
        <v>39234</v>
      </c>
      <c r="B80" s="4">
        <v>9.8993397137887296E-2</v>
      </c>
      <c r="C80" s="4">
        <v>4.4695138369838197E-2</v>
      </c>
      <c r="D80" s="4">
        <v>2.9813773011675999E-2</v>
      </c>
      <c r="E80" s="4">
        <v>5.7545036224644604E-3</v>
      </c>
      <c r="F80" s="4">
        <v>5.1816648186525502E-3</v>
      </c>
      <c r="G80" s="4">
        <v>2.3206034808411002E-2</v>
      </c>
      <c r="H80" s="4">
        <v>0.108651114631042</v>
      </c>
      <c r="I80" s="4">
        <v>0.74062744059782903</v>
      </c>
      <c r="J80" s="4">
        <v>0.15013450176845999</v>
      </c>
      <c r="K80" s="4">
        <v>3.7312977980866302E-2</v>
      </c>
      <c r="L80" s="4">
        <v>4.5834287081375602E-2</v>
      </c>
      <c r="M80" s="4">
        <v>0.97390920742853104</v>
      </c>
      <c r="N80" s="4">
        <f t="shared" si="11"/>
        <v>0.23373530434039813</v>
      </c>
      <c r="P80" s="1">
        <v>38930</v>
      </c>
      <c r="Q80" s="4">
        <v>9.2644453099378896E-2</v>
      </c>
      <c r="R80" s="4">
        <v>0.13954794704508999</v>
      </c>
      <c r="S80" s="4">
        <v>0.13954794704508999</v>
      </c>
      <c r="T80" s="4">
        <v>-0.12119449917976199</v>
      </c>
      <c r="U80" s="4">
        <v>0.790104560635838</v>
      </c>
      <c r="V80" s="4">
        <v>0.204499801154019</v>
      </c>
      <c r="Y80" s="1">
        <v>38899</v>
      </c>
      <c r="Z80" s="4">
        <f t="shared" si="12"/>
        <v>0.10012666346438701</v>
      </c>
      <c r="AA80" s="4">
        <f t="shared" si="13"/>
        <v>0.10588107095568999</v>
      </c>
      <c r="AC80" s="1">
        <v>38899</v>
      </c>
      <c r="AD80" s="4">
        <f t="shared" si="14"/>
        <v>0.13386147107533</v>
      </c>
      <c r="AE80" s="4">
        <f t="shared" si="15"/>
        <v>0.19068869519593501</v>
      </c>
      <c r="AG80" s="1">
        <v>38899</v>
      </c>
      <c r="AH80" s="4">
        <f t="shared" si="16"/>
        <v>0.12666339044425501</v>
      </c>
      <c r="AI80" s="4">
        <f t="shared" si="17"/>
        <v>0.110950078626044</v>
      </c>
      <c r="AK80" s="1">
        <v>38899</v>
      </c>
      <c r="AL80" s="4">
        <f t="shared" si="18"/>
        <v>0.13386147107533</v>
      </c>
      <c r="AM80" s="4">
        <f t="shared" si="19"/>
        <v>0.1206378569058114</v>
      </c>
      <c r="AO80" s="1">
        <v>38899</v>
      </c>
      <c r="AP80" s="4">
        <f t="shared" si="20"/>
        <v>0.23378024337731801</v>
      </c>
      <c r="AQ80" s="4">
        <f t="shared" si="21"/>
        <v>0.1882905309021341</v>
      </c>
    </row>
    <row r="81" spans="1:43" x14ac:dyDescent="0.25">
      <c r="A81" s="1">
        <v>39264</v>
      </c>
      <c r="B81" s="4">
        <v>9.9261065057450498E-2</v>
      </c>
      <c r="C81" s="4">
        <v>4.3736733348428598E-2</v>
      </c>
      <c r="D81" s="4">
        <v>2.9060976139902099E-2</v>
      </c>
      <c r="E81" s="4">
        <v>5.0274584076546603E-3</v>
      </c>
      <c r="F81" s="4">
        <v>5.0206181046080498E-3</v>
      </c>
      <c r="G81" s="4">
        <v>2.44158043984605E-2</v>
      </c>
      <c r="H81" s="4">
        <v>0.107261590399054</v>
      </c>
      <c r="I81" s="4">
        <v>0.71638321258976401</v>
      </c>
      <c r="J81" s="4">
        <v>0.16782841694030601</v>
      </c>
      <c r="K81" s="4">
        <v>3.2149311341095402E-2</v>
      </c>
      <c r="L81" s="4">
        <v>5.8762866079675999E-2</v>
      </c>
      <c r="M81" s="4">
        <v>0.975123806950842</v>
      </c>
      <c r="N81" s="4">
        <f t="shared" si="11"/>
        <v>0.2313988485056625</v>
      </c>
      <c r="P81" s="1">
        <v>38961</v>
      </c>
      <c r="Q81" s="4">
        <v>9.7319911747742696E-2</v>
      </c>
      <c r="R81" s="4">
        <v>0.13808616484914399</v>
      </c>
      <c r="S81" s="4">
        <v>0.13808616484914399</v>
      </c>
      <c r="T81" s="4">
        <v>-0.12285276127384701</v>
      </c>
      <c r="U81" s="4">
        <v>0.77623330440537996</v>
      </c>
      <c r="V81" s="4">
        <v>0.242039596848142</v>
      </c>
      <c r="Y81" s="1">
        <v>38930</v>
      </c>
      <c r="Z81" s="4">
        <f t="shared" si="12"/>
        <v>9.2644453099378896E-2</v>
      </c>
      <c r="AA81" s="4">
        <f t="shared" si="13"/>
        <v>0.105299828156556</v>
      </c>
      <c r="AC81" s="1">
        <v>38930</v>
      </c>
      <c r="AD81" s="4">
        <f t="shared" si="14"/>
        <v>0.13954794704508999</v>
      </c>
      <c r="AE81" s="4">
        <f t="shared" si="15"/>
        <v>0.173963412239097</v>
      </c>
      <c r="AG81" s="1">
        <v>38930</v>
      </c>
      <c r="AH81" s="4">
        <f t="shared" si="16"/>
        <v>0.12119449917976199</v>
      </c>
      <c r="AI81" s="4">
        <f t="shared" si="17"/>
        <v>0.11152275671159401</v>
      </c>
      <c r="AK81" s="1">
        <v>38930</v>
      </c>
      <c r="AL81" s="4">
        <f t="shared" si="18"/>
        <v>0.13954794704508999</v>
      </c>
      <c r="AM81" s="4">
        <f t="shared" si="19"/>
        <v>0.1006554010469965</v>
      </c>
      <c r="AO81" s="1">
        <v>38930</v>
      </c>
      <c r="AP81" s="4">
        <f t="shared" si="20"/>
        <v>0.204499801154019</v>
      </c>
      <c r="AQ81" s="4">
        <f t="shared" si="21"/>
        <v>0.19253735312438991</v>
      </c>
    </row>
    <row r="82" spans="1:43" x14ac:dyDescent="0.25">
      <c r="A82" s="1">
        <v>39295</v>
      </c>
      <c r="B82" s="4">
        <v>9.5384209090191005E-2</v>
      </c>
      <c r="C82" s="4">
        <v>4.5072822694624697E-2</v>
      </c>
      <c r="D82" s="4">
        <v>2.79035283366698E-2</v>
      </c>
      <c r="E82" s="4">
        <v>4.8257282473874201E-3</v>
      </c>
      <c r="F82" s="4">
        <v>4.31692388403706E-3</v>
      </c>
      <c r="G82" s="4">
        <v>2.39460451835968E-2</v>
      </c>
      <c r="H82" s="4">
        <v>0.106065048346315</v>
      </c>
      <c r="I82" s="4">
        <v>0.71250120162870101</v>
      </c>
      <c r="J82" s="4">
        <v>0.16306496869512799</v>
      </c>
      <c r="K82" s="4">
        <v>4.0717765569480799E-2</v>
      </c>
      <c r="L82" s="4">
        <v>5.1998116974073701E-2</v>
      </c>
      <c r="M82" s="4">
        <v>0.968282052867384</v>
      </c>
      <c r="N82" s="4">
        <f t="shared" si="11"/>
        <v>0.2331672045691221</v>
      </c>
      <c r="P82" s="1">
        <v>38991</v>
      </c>
      <c r="Q82" s="4">
        <v>9.6160026195756795E-2</v>
      </c>
      <c r="R82" s="4">
        <v>0.157849186201378</v>
      </c>
      <c r="S82" s="4">
        <v>0.157849186201378</v>
      </c>
      <c r="T82" s="4">
        <v>-0.123144882263031</v>
      </c>
      <c r="U82" s="4">
        <v>0.76205290205913701</v>
      </c>
      <c r="V82" s="4">
        <v>0.23218432356205701</v>
      </c>
      <c r="Y82" s="1">
        <v>38961</v>
      </c>
      <c r="Z82" s="4">
        <f t="shared" si="12"/>
        <v>9.7319911747742696E-2</v>
      </c>
      <c r="AA82" s="4">
        <f t="shared" si="13"/>
        <v>0.10134914452398899</v>
      </c>
      <c r="AC82" s="1">
        <v>38961</v>
      </c>
      <c r="AD82" s="4">
        <f t="shared" si="14"/>
        <v>0.13808616484914399</v>
      </c>
      <c r="AE82" s="4">
        <f t="shared" si="15"/>
        <v>0.194346616858104</v>
      </c>
      <c r="AG82" s="1">
        <v>38961</v>
      </c>
      <c r="AH82" s="4">
        <f t="shared" si="16"/>
        <v>0.12285276127384701</v>
      </c>
      <c r="AI82" s="4">
        <f t="shared" si="17"/>
        <v>0.111158441684941</v>
      </c>
      <c r="AK82" s="1">
        <v>38961</v>
      </c>
      <c r="AL82" s="4">
        <f t="shared" si="18"/>
        <v>0.13808616484914399</v>
      </c>
      <c r="AM82" s="4">
        <f t="shared" si="19"/>
        <v>0.11182406109622831</v>
      </c>
      <c r="AO82" s="1">
        <v>38961</v>
      </c>
      <c r="AP82" s="4">
        <f t="shared" si="20"/>
        <v>0.242039596848142</v>
      </c>
      <c r="AQ82" s="4">
        <f t="shared" si="21"/>
        <v>0.19464727670596016</v>
      </c>
    </row>
    <row r="83" spans="1:43" x14ac:dyDescent="0.25">
      <c r="A83" s="1">
        <v>39326</v>
      </c>
      <c r="B83" s="4">
        <v>9.5118972684488406E-2</v>
      </c>
      <c r="C83" s="4">
        <v>4.21716356164255E-2</v>
      </c>
      <c r="D83" s="4">
        <v>2.49058545688568E-2</v>
      </c>
      <c r="E83" s="4">
        <v>3.83808461983706E-3</v>
      </c>
      <c r="F83" s="4">
        <v>5.1474303663723402E-3</v>
      </c>
      <c r="G83" s="4">
        <v>2.4816194995866299E-2</v>
      </c>
      <c r="H83" s="4">
        <v>0.100879200167358</v>
      </c>
      <c r="I83" s="4">
        <v>0.69466873848462396</v>
      </c>
      <c r="J83" s="4">
        <v>0.138708290246877</v>
      </c>
      <c r="K83" s="4">
        <v>5.4351360485925898E-2</v>
      </c>
      <c r="L83" s="4">
        <v>7.7175780235620106E-2</v>
      </c>
      <c r="M83" s="4">
        <v>0.96490416945304802</v>
      </c>
      <c r="N83" s="4">
        <f t="shared" si="11"/>
        <v>0.23109400339879849</v>
      </c>
      <c r="P83" s="1">
        <v>39022</v>
      </c>
      <c r="Q83" s="4">
        <v>9.6271397317960097E-2</v>
      </c>
      <c r="R83" s="4">
        <v>0.14225268838418301</v>
      </c>
      <c r="S83" s="4">
        <v>0.14225268838418301</v>
      </c>
      <c r="T83" s="4">
        <v>-0.12292943363459199</v>
      </c>
      <c r="U83" s="4">
        <v>0.736216061159229</v>
      </c>
      <c r="V83" s="4">
        <v>0.25508205516018201</v>
      </c>
      <c r="Y83" s="1">
        <v>38991</v>
      </c>
      <c r="Z83" s="4">
        <f t="shared" si="12"/>
        <v>9.6160026195756795E-2</v>
      </c>
      <c r="AA83" s="4">
        <f t="shared" si="13"/>
        <v>0.108495126713007</v>
      </c>
      <c r="AC83" s="1">
        <v>38991</v>
      </c>
      <c r="AD83" s="4">
        <f t="shared" si="14"/>
        <v>0.157849186201378</v>
      </c>
      <c r="AE83" s="4">
        <f t="shared" si="15"/>
        <v>0.19913065582218301</v>
      </c>
      <c r="AG83" s="1">
        <v>38991</v>
      </c>
      <c r="AH83" s="4">
        <f t="shared" si="16"/>
        <v>0.123144882263031</v>
      </c>
      <c r="AI83" s="4">
        <f t="shared" si="17"/>
        <v>0.11920929644212901</v>
      </c>
      <c r="AK83" s="1">
        <v>38991</v>
      </c>
      <c r="AL83" s="4">
        <f t="shared" si="18"/>
        <v>0.157849186201378</v>
      </c>
      <c r="AM83" s="4">
        <f t="shared" si="19"/>
        <v>0.1142296470101001</v>
      </c>
      <c r="AO83" s="1">
        <v>38991</v>
      </c>
      <c r="AP83" s="4">
        <f t="shared" si="20"/>
        <v>0.23218432356205701</v>
      </c>
      <c r="AQ83" s="4">
        <f t="shared" si="21"/>
        <v>0.228544492109929</v>
      </c>
    </row>
    <row r="84" spans="1:43" x14ac:dyDescent="0.25">
      <c r="A84" s="1">
        <v>39356</v>
      </c>
      <c r="B84" s="4">
        <v>9.4821685670900505E-2</v>
      </c>
      <c r="C84" s="4">
        <v>4.0115264704287397E-2</v>
      </c>
      <c r="D84" s="4">
        <v>3.1322423925316499E-2</v>
      </c>
      <c r="E84" s="4">
        <v>4.8677234886442596E-3</v>
      </c>
      <c r="F84" s="4">
        <v>3.6442012974157302E-3</v>
      </c>
      <c r="G84" s="4">
        <v>2.30943857186276E-2</v>
      </c>
      <c r="H84" s="4">
        <v>0.10304399913429101</v>
      </c>
      <c r="I84" s="4">
        <v>0.69774971044544098</v>
      </c>
      <c r="J84" s="4">
        <v>0.163547487577856</v>
      </c>
      <c r="K84" s="4">
        <v>4.0807030776168901E-2</v>
      </c>
      <c r="L84" s="4">
        <v>4.5258914446307801E-2</v>
      </c>
      <c r="M84" s="4">
        <v>0.94736314324577398</v>
      </c>
      <c r="N84" s="4">
        <f t="shared" si="11"/>
        <v>0.25050254155941742</v>
      </c>
      <c r="P84" s="1">
        <v>39052</v>
      </c>
      <c r="Q84" s="4">
        <v>9.4514168079291194E-2</v>
      </c>
      <c r="R84" s="4">
        <v>0.139085856441197</v>
      </c>
      <c r="S84" s="4">
        <v>0.139085856441197</v>
      </c>
      <c r="T84" s="4">
        <v>-0.121681013457725</v>
      </c>
      <c r="U84" s="4">
        <v>0.78622166977500696</v>
      </c>
      <c r="V84" s="4">
        <v>0.198248492391216</v>
      </c>
      <c r="Y84" s="1">
        <v>39022</v>
      </c>
      <c r="Z84" s="4">
        <f t="shared" si="12"/>
        <v>9.6271397317960097E-2</v>
      </c>
      <c r="AA84" s="4">
        <f t="shared" si="13"/>
        <v>0.106480870170734</v>
      </c>
      <c r="AC84" s="1">
        <v>39022</v>
      </c>
      <c r="AD84" s="4">
        <f t="shared" si="14"/>
        <v>0.14225268838418301</v>
      </c>
      <c r="AE84" s="4">
        <f t="shared" si="15"/>
        <v>0.203227465370243</v>
      </c>
      <c r="AG84" s="1">
        <v>39022</v>
      </c>
      <c r="AH84" s="4">
        <f t="shared" si="16"/>
        <v>0.12292943363459199</v>
      </c>
      <c r="AI84" s="4">
        <f t="shared" si="17"/>
        <v>0.121681445711059</v>
      </c>
      <c r="AK84" s="1">
        <v>39022</v>
      </c>
      <c r="AL84" s="4">
        <f t="shared" si="18"/>
        <v>0.14225268838418301</v>
      </c>
      <c r="AM84" s="4">
        <f t="shared" si="19"/>
        <v>8.6657220327319512E-2</v>
      </c>
      <c r="AO84" s="1">
        <v>39022</v>
      </c>
      <c r="AP84" s="4">
        <f t="shared" si="20"/>
        <v>0.25508205516018201</v>
      </c>
      <c r="AQ84" s="4">
        <f t="shared" si="21"/>
        <v>0.22047868190201303</v>
      </c>
    </row>
    <row r="85" spans="1:43" x14ac:dyDescent="0.25">
      <c r="A85" s="1">
        <v>39387</v>
      </c>
      <c r="B85" s="4">
        <v>9.4081715092770996E-2</v>
      </c>
      <c r="C85" s="4">
        <v>4.1300088180711902E-2</v>
      </c>
      <c r="D85" s="4">
        <v>2.6388876040700102E-2</v>
      </c>
      <c r="E85" s="4">
        <v>4.8668125271325796E-3</v>
      </c>
      <c r="F85" s="4">
        <v>3.7651071231281502E-3</v>
      </c>
      <c r="G85" s="4">
        <v>2.4643574537237301E-2</v>
      </c>
      <c r="H85" s="4">
        <v>0.10096445840891</v>
      </c>
      <c r="I85" s="4">
        <v>0.693678177792175</v>
      </c>
      <c r="J85" s="4">
        <v>0.147812327388786</v>
      </c>
      <c r="K85" s="4">
        <v>5.2402198265059603E-2</v>
      </c>
      <c r="L85" s="4">
        <v>2.61760440555876E-2</v>
      </c>
      <c r="M85" s="4">
        <v>0.92006874750160905</v>
      </c>
      <c r="N85" s="4">
        <f t="shared" si="11"/>
        <v>0.27497742600007202</v>
      </c>
      <c r="P85" s="1">
        <v>39083</v>
      </c>
      <c r="Q85" s="4">
        <v>9.3795417677357107E-2</v>
      </c>
      <c r="R85" s="4">
        <v>0.12888322230128299</v>
      </c>
      <c r="S85" s="4">
        <v>0.12888322230128299</v>
      </c>
      <c r="T85" s="4">
        <v>-0.1148253752748</v>
      </c>
      <c r="U85" s="4">
        <v>0.75968297151075004</v>
      </c>
      <c r="V85" s="4">
        <v>0.21741772993663899</v>
      </c>
      <c r="Y85" s="1">
        <v>39052</v>
      </c>
      <c r="Z85" s="4">
        <f t="shared" si="12"/>
        <v>9.4514168079291194E-2</v>
      </c>
      <c r="AA85" s="4">
        <f t="shared" si="13"/>
        <v>0.107905136505157</v>
      </c>
      <c r="AC85" s="1">
        <v>39052</v>
      </c>
      <c r="AD85" s="4">
        <f t="shared" si="14"/>
        <v>0.139085856441197</v>
      </c>
      <c r="AE85" s="4">
        <f t="shared" si="15"/>
        <v>0.194670261845165</v>
      </c>
      <c r="AG85" s="1">
        <v>39052</v>
      </c>
      <c r="AH85" s="4">
        <f t="shared" si="16"/>
        <v>0.121681013457725</v>
      </c>
      <c r="AI85" s="4">
        <f t="shared" si="17"/>
        <v>0.121471495201578</v>
      </c>
      <c r="AK85" s="1">
        <v>39052</v>
      </c>
      <c r="AL85" s="4">
        <f t="shared" si="18"/>
        <v>0.139085856441197</v>
      </c>
      <c r="AM85" s="4">
        <f t="shared" si="19"/>
        <v>0.1005996618660738</v>
      </c>
      <c r="AO85" s="1">
        <v>39052</v>
      </c>
      <c r="AP85" s="4">
        <f t="shared" si="20"/>
        <v>0.198248492391216</v>
      </c>
      <c r="AQ85" s="4">
        <f t="shared" si="21"/>
        <v>0.21992335970772503</v>
      </c>
    </row>
    <row r="86" spans="1:43" x14ac:dyDescent="0.25">
      <c r="A86" s="1">
        <v>39417</v>
      </c>
      <c r="B86" s="4">
        <v>9.3096304099396399E-2</v>
      </c>
      <c r="C86" s="4">
        <v>4.44441413043868E-2</v>
      </c>
      <c r="D86" s="4">
        <v>2.8010747666010999E-2</v>
      </c>
      <c r="E86" s="4">
        <v>4.4462626905880202E-3</v>
      </c>
      <c r="F86" s="4">
        <v>3.25409990474763E-3</v>
      </c>
      <c r="G86" s="4">
        <v>2.6303731909424501E-2</v>
      </c>
      <c r="H86" s="4">
        <v>0.106458983475158</v>
      </c>
      <c r="I86" s="4">
        <v>0.63759473010845902</v>
      </c>
      <c r="J86" s="4">
        <v>0.16289449724914201</v>
      </c>
      <c r="K86" s="4">
        <v>5.0394635654754001E-2</v>
      </c>
      <c r="L86" s="4">
        <v>5.0441456371014097E-2</v>
      </c>
      <c r="M86" s="4">
        <v>0.90132531938337002</v>
      </c>
      <c r="N86" s="4">
        <f t="shared" si="11"/>
        <v>0.2982299681911843</v>
      </c>
      <c r="P86" s="1">
        <v>39114</v>
      </c>
      <c r="Q86" s="4">
        <v>9.1416468608112603E-2</v>
      </c>
      <c r="R86" s="4">
        <v>0.128011941668491</v>
      </c>
      <c r="S86" s="4">
        <v>0.128011941668491</v>
      </c>
      <c r="T86" s="4">
        <v>-0.11990035480146299</v>
      </c>
      <c r="U86" s="4">
        <v>0.78270736996864099</v>
      </c>
      <c r="V86" s="4">
        <v>0.23586699132132199</v>
      </c>
      <c r="Y86" s="1">
        <v>39083</v>
      </c>
      <c r="Z86" s="4">
        <f t="shared" si="12"/>
        <v>9.3795417677357107E-2</v>
      </c>
      <c r="AA86" s="4">
        <f t="shared" si="13"/>
        <v>0.106195435416477</v>
      </c>
      <c r="AC86" s="1">
        <v>39083</v>
      </c>
      <c r="AD86" s="4">
        <f t="shared" si="14"/>
        <v>0.12888322230128299</v>
      </c>
      <c r="AE86" s="4">
        <f t="shared" si="15"/>
        <v>0.20632533786101301</v>
      </c>
      <c r="AG86" s="1">
        <v>39083</v>
      </c>
      <c r="AH86" s="4">
        <f t="shared" si="16"/>
        <v>0.1148253752748</v>
      </c>
      <c r="AI86" s="4">
        <f t="shared" si="17"/>
        <v>0.117760958394797</v>
      </c>
      <c r="AK86" s="1">
        <v>39083</v>
      </c>
      <c r="AL86" s="4">
        <f t="shared" si="18"/>
        <v>0.12888322230128299</v>
      </c>
      <c r="AM86" s="4">
        <f t="shared" si="19"/>
        <v>6.6351259286830402E-2</v>
      </c>
      <c r="AO86" s="1">
        <v>39083</v>
      </c>
      <c r="AP86" s="4">
        <f t="shared" si="20"/>
        <v>0.21741772993663899</v>
      </c>
      <c r="AQ86" s="4">
        <f t="shared" si="21"/>
        <v>0.2194770669655941</v>
      </c>
    </row>
    <row r="87" spans="1:43" x14ac:dyDescent="0.25">
      <c r="A87" s="1">
        <v>39448</v>
      </c>
      <c r="B87" s="4">
        <v>9.9870774316353703E-2</v>
      </c>
      <c r="C87" s="4">
        <v>4.5769564456803698E-2</v>
      </c>
      <c r="D87" s="4">
        <v>2.60511275199816E-2</v>
      </c>
      <c r="E87" s="4">
        <v>4.3800479802455902E-3</v>
      </c>
      <c r="F87" s="4">
        <v>3.87421241637299E-3</v>
      </c>
      <c r="G87" s="4">
        <v>2.7325427406735998E-2</v>
      </c>
      <c r="H87" s="4">
        <v>0.10740037978014</v>
      </c>
      <c r="I87" s="4">
        <v>0.69293348842621405</v>
      </c>
      <c r="J87" s="4">
        <v>0.15794978998809001</v>
      </c>
      <c r="K87" s="4">
        <v>4.0934993668795203E-2</v>
      </c>
      <c r="L87" s="4">
        <v>4.9399191132940799E-2</v>
      </c>
      <c r="M87" s="4">
        <v>0.94121746321604005</v>
      </c>
      <c r="N87" s="4">
        <f t="shared" si="11"/>
        <v>0.26605369088045372</v>
      </c>
      <c r="P87" s="1">
        <v>39142</v>
      </c>
      <c r="Q87" s="4">
        <v>9.3842257642494098E-2</v>
      </c>
      <c r="R87" s="4">
        <v>0.134410027812815</v>
      </c>
      <c r="S87" s="4">
        <v>0.134410027812815</v>
      </c>
      <c r="T87" s="4">
        <v>-0.11958509545207401</v>
      </c>
      <c r="U87" s="4">
        <v>0.77434171969363197</v>
      </c>
      <c r="V87" s="4">
        <v>0.23380247323740699</v>
      </c>
      <c r="Y87" s="1">
        <v>39114</v>
      </c>
      <c r="Z87" s="4">
        <f t="shared" si="12"/>
        <v>9.1416468608112603E-2</v>
      </c>
      <c r="AA87" s="4">
        <f t="shared" si="13"/>
        <v>0.103818992682782</v>
      </c>
      <c r="AC87" s="1">
        <v>39114</v>
      </c>
      <c r="AD87" s="4">
        <f t="shared" si="14"/>
        <v>0.128011941668491</v>
      </c>
      <c r="AE87" s="4">
        <f t="shared" si="15"/>
        <v>0.18721323606989801</v>
      </c>
      <c r="AG87" s="1">
        <v>39114</v>
      </c>
      <c r="AH87" s="4">
        <f t="shared" si="16"/>
        <v>0.11990035480146299</v>
      </c>
      <c r="AI87" s="4">
        <f t="shared" si="17"/>
        <v>0.11564369374973001</v>
      </c>
      <c r="AK87" s="1">
        <v>39114</v>
      </c>
      <c r="AL87" s="4">
        <f t="shared" si="18"/>
        <v>0.128011941668491</v>
      </c>
      <c r="AM87" s="4">
        <f t="shared" si="19"/>
        <v>8.4998173378560887E-2</v>
      </c>
      <c r="AO87" s="1">
        <v>39114</v>
      </c>
      <c r="AP87" s="4">
        <f t="shared" si="20"/>
        <v>0.23586699132132199</v>
      </c>
      <c r="AQ87" s="4">
        <f t="shared" si="21"/>
        <v>0.22228548101519896</v>
      </c>
    </row>
    <row r="88" spans="1:43" x14ac:dyDescent="0.25">
      <c r="A88" s="1">
        <v>39479</v>
      </c>
      <c r="B88" s="4">
        <v>9.3825635530286E-2</v>
      </c>
      <c r="C88" s="4">
        <v>4.1428529874540897E-2</v>
      </c>
      <c r="D88" s="4">
        <v>2.3519079686875499E-2</v>
      </c>
      <c r="E88" s="4">
        <v>4.40363651077527E-3</v>
      </c>
      <c r="F88" s="4">
        <v>3.23159543159521E-3</v>
      </c>
      <c r="G88" s="4">
        <v>2.40082782910278E-2</v>
      </c>
      <c r="H88" s="4">
        <v>9.6591119794814898E-2</v>
      </c>
      <c r="I88" s="4">
        <v>0.709222402795471</v>
      </c>
      <c r="J88" s="4">
        <v>0.151786437635409</v>
      </c>
      <c r="K88" s="4">
        <v>5.2091811196887099E-2</v>
      </c>
      <c r="L88" s="4">
        <v>2.32448841118406E-2</v>
      </c>
      <c r="M88" s="4">
        <v>0.93634553573960899</v>
      </c>
      <c r="N88" s="4">
        <f t="shared" si="11"/>
        <v>0.25407121958549184</v>
      </c>
      <c r="P88" s="1">
        <v>39173</v>
      </c>
      <c r="Q88" s="4">
        <v>9.27127088006513E-2</v>
      </c>
      <c r="R88" s="4">
        <v>0.134931287875388</v>
      </c>
      <c r="S88" s="4">
        <v>0.134931287875388</v>
      </c>
      <c r="T88" s="4">
        <v>-0.11147443381452</v>
      </c>
      <c r="U88" s="4">
        <v>0.77757688989808105</v>
      </c>
      <c r="V88" s="4">
        <v>0.23414812071293001</v>
      </c>
      <c r="Y88" s="1">
        <v>39142</v>
      </c>
      <c r="Z88" s="4">
        <f t="shared" si="12"/>
        <v>9.3842257642494098E-2</v>
      </c>
      <c r="AA88" s="4">
        <f t="shared" si="13"/>
        <v>9.9386963311766593E-2</v>
      </c>
      <c r="AC88" s="1">
        <v>39142</v>
      </c>
      <c r="AD88" s="4">
        <f t="shared" si="14"/>
        <v>0.134410027812815</v>
      </c>
      <c r="AE88" s="4">
        <f t="shared" si="15"/>
        <v>0.17053212273423199</v>
      </c>
      <c r="AG88" s="1">
        <v>39142</v>
      </c>
      <c r="AH88" s="4">
        <f t="shared" si="16"/>
        <v>0.11958509545207401</v>
      </c>
      <c r="AI88" s="4">
        <f t="shared" si="17"/>
        <v>0.10682840566499301</v>
      </c>
      <c r="AK88" s="1">
        <v>39142</v>
      </c>
      <c r="AL88" s="4">
        <f t="shared" si="18"/>
        <v>0.134410027812815</v>
      </c>
      <c r="AM88" s="4">
        <f t="shared" si="19"/>
        <v>8.5001315200044392E-2</v>
      </c>
      <c r="AO88" s="1">
        <v>39142</v>
      </c>
      <c r="AP88" s="4">
        <f t="shared" si="20"/>
        <v>0.23380247323740699</v>
      </c>
      <c r="AQ88" s="4">
        <f t="shared" si="21"/>
        <v>0.20743743514519064</v>
      </c>
    </row>
    <row r="89" spans="1:43" x14ac:dyDescent="0.25">
      <c r="A89" s="1">
        <v>39508</v>
      </c>
      <c r="B89" s="4">
        <v>9.6483578068520495E-2</v>
      </c>
      <c r="C89" s="4">
        <v>3.8190919238705601E-2</v>
      </c>
      <c r="D89" s="4">
        <v>2.29921981963748E-2</v>
      </c>
      <c r="E89" s="4">
        <v>4.4763475928960503E-3</v>
      </c>
      <c r="F89" s="4">
        <v>3.8246789152401998E-3</v>
      </c>
      <c r="G89" s="4">
        <v>2.6134923433207499E-2</v>
      </c>
      <c r="H89" s="4">
        <v>9.5619067376424297E-2</v>
      </c>
      <c r="I89" s="4">
        <v>0.70711800865478802</v>
      </c>
      <c r="J89" s="4">
        <v>0.15372771607371799</v>
      </c>
      <c r="K89" s="4">
        <v>3.4280596505985798E-2</v>
      </c>
      <c r="L89" s="4">
        <v>2.5444331213884099E-2</v>
      </c>
      <c r="M89" s="4">
        <v>0.92057065244837699</v>
      </c>
      <c r="N89" s="4">
        <f t="shared" si="11"/>
        <v>0.27153199299656783</v>
      </c>
      <c r="P89" s="1">
        <v>39203</v>
      </c>
      <c r="Q89" s="4">
        <v>8.7413165599974502E-2</v>
      </c>
      <c r="R89" s="4">
        <v>0.120041097197602</v>
      </c>
      <c r="S89" s="4">
        <v>0.120041097197602</v>
      </c>
      <c r="T89" s="4">
        <v>-0.11436975022854499</v>
      </c>
      <c r="U89" s="4">
        <v>0.81185137785892103</v>
      </c>
      <c r="V89" s="4">
        <v>0.20090140445965901</v>
      </c>
      <c r="Y89" s="1">
        <v>39173</v>
      </c>
      <c r="Z89" s="4">
        <f t="shared" si="12"/>
        <v>9.27127088006513E-2</v>
      </c>
      <c r="AA89" s="4">
        <f t="shared" si="13"/>
        <v>0.100105975533078</v>
      </c>
      <c r="AC89" s="1">
        <v>39173</v>
      </c>
      <c r="AD89" s="4">
        <f t="shared" si="14"/>
        <v>0.134931287875388</v>
      </c>
      <c r="AE89" s="4">
        <f t="shared" si="15"/>
        <v>0.164743487646903</v>
      </c>
      <c r="AG89" s="1">
        <v>39173</v>
      </c>
      <c r="AH89" s="4">
        <f t="shared" si="16"/>
        <v>0.11147443381452</v>
      </c>
      <c r="AI89" s="4">
        <f t="shared" si="17"/>
        <v>0.109038637254615</v>
      </c>
      <c r="AK89" s="1">
        <v>39173</v>
      </c>
      <c r="AL89" s="4">
        <f t="shared" si="18"/>
        <v>0.134931287875388</v>
      </c>
      <c r="AM89" s="4">
        <f t="shared" si="19"/>
        <v>0.10267689695513491</v>
      </c>
      <c r="AO89" s="1">
        <v>39173</v>
      </c>
      <c r="AP89" s="4">
        <f t="shared" si="20"/>
        <v>0.23414812071293001</v>
      </c>
      <c r="AQ89" s="4">
        <f t="shared" si="21"/>
        <v>0.21156466565640308</v>
      </c>
    </row>
    <row r="90" spans="1:43" x14ac:dyDescent="0.25">
      <c r="A90" s="1">
        <v>39539</v>
      </c>
      <c r="B90" s="4">
        <v>9.3186788767482001E-2</v>
      </c>
      <c r="C90" s="4">
        <v>3.5464901212357597E-2</v>
      </c>
      <c r="D90" s="4">
        <v>2.3106711194570299E-2</v>
      </c>
      <c r="E90" s="4">
        <v>3.8070167804408902E-3</v>
      </c>
      <c r="F90" s="4">
        <v>3.50020521275925E-3</v>
      </c>
      <c r="G90" s="4">
        <v>2.3416061171620699E-2</v>
      </c>
      <c r="H90" s="4">
        <v>8.9294895571748897E-2</v>
      </c>
      <c r="I90" s="4">
        <v>0.70363848190877798</v>
      </c>
      <c r="J90" s="4">
        <v>0.122715873293285</v>
      </c>
      <c r="K90" s="4">
        <v>3.9982924590528199E-2</v>
      </c>
      <c r="L90" s="4">
        <v>2.7622168166209798E-2</v>
      </c>
      <c r="M90" s="4">
        <v>0.893959447958802</v>
      </c>
      <c r="N90" s="4">
        <f t="shared" si="11"/>
        <v>0.28852223638042895</v>
      </c>
      <c r="P90" s="1">
        <v>39234</v>
      </c>
      <c r="Q90" s="4">
        <v>8.9702686451428898E-2</v>
      </c>
      <c r="R90" s="4">
        <v>0.13795001639604701</v>
      </c>
      <c r="S90" s="4">
        <v>0.13795001639604701</v>
      </c>
      <c r="T90" s="4">
        <v>-0.111038849537341</v>
      </c>
      <c r="U90" s="4">
        <v>0.795827454719648</v>
      </c>
      <c r="V90" s="4">
        <v>0.210351434333507</v>
      </c>
      <c r="Y90" s="1">
        <v>39203</v>
      </c>
      <c r="Z90" s="4">
        <f t="shared" si="12"/>
        <v>8.7413165599974502E-2</v>
      </c>
      <c r="AA90" s="4">
        <f t="shared" si="13"/>
        <v>0.102235293497526</v>
      </c>
      <c r="AC90" s="1">
        <v>39203</v>
      </c>
      <c r="AD90" s="4">
        <f t="shared" si="14"/>
        <v>0.120041097197602</v>
      </c>
      <c r="AE90" s="4">
        <f t="shared" si="15"/>
        <v>0.17159614327184899</v>
      </c>
      <c r="AG90" s="1">
        <v>39203</v>
      </c>
      <c r="AH90" s="4">
        <f t="shared" si="16"/>
        <v>0.11436975022854499</v>
      </c>
      <c r="AI90" s="4">
        <f t="shared" si="17"/>
        <v>0.108710589145807</v>
      </c>
      <c r="AK90" s="1">
        <v>39203</v>
      </c>
      <c r="AL90" s="4">
        <f t="shared" si="18"/>
        <v>0.120041097197602</v>
      </c>
      <c r="AM90" s="4">
        <f t="shared" si="19"/>
        <v>0.11629901790605499</v>
      </c>
      <c r="AO90" s="1">
        <v>39203</v>
      </c>
      <c r="AP90" s="4">
        <f t="shared" si="20"/>
        <v>0.20090140445965901</v>
      </c>
      <c r="AQ90" s="4">
        <f t="shared" si="21"/>
        <v>0.19661573169735314</v>
      </c>
    </row>
    <row r="91" spans="1:43" x14ac:dyDescent="0.25">
      <c r="A91" s="1">
        <v>39569</v>
      </c>
      <c r="B91" s="4">
        <v>9.4615871821540604E-2</v>
      </c>
      <c r="C91" s="4">
        <v>4.08508450178941E-2</v>
      </c>
      <c r="D91" s="4">
        <v>2.39915711277763E-2</v>
      </c>
      <c r="E91" s="4">
        <v>4.39871186003304E-3</v>
      </c>
      <c r="F91" s="4">
        <v>3.2001414711833498E-3</v>
      </c>
      <c r="G91" s="4">
        <v>2.39009483558358E-2</v>
      </c>
      <c r="H91" s="4">
        <v>9.6342217832722704E-2</v>
      </c>
      <c r="I91" s="4">
        <v>0.70923401975244105</v>
      </c>
      <c r="J91" s="4">
        <v>0.124681539549638</v>
      </c>
      <c r="K91" s="4">
        <v>5.78725833359542E-2</v>
      </c>
      <c r="L91" s="4">
        <v>2.4091679486331799E-2</v>
      </c>
      <c r="M91" s="4">
        <v>0.91587982212436503</v>
      </c>
      <c r="N91" s="4">
        <f t="shared" si="11"/>
        <v>0.27507826752989828</v>
      </c>
      <c r="P91" s="1">
        <v>39264</v>
      </c>
      <c r="Q91" s="4">
        <v>8.5729789013118701E-2</v>
      </c>
      <c r="R91" s="4">
        <v>0.13375930327010799</v>
      </c>
      <c r="S91" s="4">
        <v>0.13375930327010799</v>
      </c>
      <c r="T91" s="4">
        <v>-0.111972202797664</v>
      </c>
      <c r="U91" s="4">
        <v>0.79898776029181995</v>
      </c>
      <c r="V91" s="4">
        <v>0.217415867911286</v>
      </c>
      <c r="Y91" s="1">
        <v>39234</v>
      </c>
      <c r="Z91" s="4">
        <f t="shared" si="12"/>
        <v>8.9702686451428898E-2</v>
      </c>
      <c r="AA91" s="4">
        <f t="shared" si="13"/>
        <v>9.8993397137887296E-2</v>
      </c>
      <c r="AC91" s="1">
        <v>39234</v>
      </c>
      <c r="AD91" s="4">
        <f t="shared" si="14"/>
        <v>0.13795001639604701</v>
      </c>
      <c r="AE91" s="4">
        <f t="shared" si="15"/>
        <v>0.15013450176845999</v>
      </c>
      <c r="AG91" s="1">
        <v>39234</v>
      </c>
      <c r="AH91" s="4">
        <f t="shared" si="16"/>
        <v>0.111038849537341</v>
      </c>
      <c r="AI91" s="4">
        <f t="shared" si="17"/>
        <v>0.108651114631042</v>
      </c>
      <c r="AK91" s="1">
        <v>39234</v>
      </c>
      <c r="AL91" s="4">
        <f t="shared" si="18"/>
        <v>0.13795001639604701</v>
      </c>
      <c r="AM91" s="4">
        <f t="shared" si="19"/>
        <v>8.3147265062241904E-2</v>
      </c>
      <c r="AO91" s="1">
        <v>39234</v>
      </c>
      <c r="AP91" s="4">
        <f t="shared" si="20"/>
        <v>0.210351434333507</v>
      </c>
      <c r="AQ91" s="4">
        <f t="shared" si="21"/>
        <v>0.23373530434039813</v>
      </c>
    </row>
    <row r="92" spans="1:43" x14ac:dyDescent="0.25">
      <c r="A92" s="1">
        <v>39600</v>
      </c>
      <c r="B92" s="4">
        <v>9.6376138813791395E-2</v>
      </c>
      <c r="C92" s="4">
        <v>3.7013328328982201E-2</v>
      </c>
      <c r="D92" s="4">
        <v>2.4354901610259799E-2</v>
      </c>
      <c r="E92" s="4">
        <v>4.7275708755286101E-3</v>
      </c>
      <c r="F92" s="4">
        <v>3.79802877842843E-3</v>
      </c>
      <c r="G92" s="4">
        <v>2.3460683592581001E-2</v>
      </c>
      <c r="H92" s="4">
        <v>9.3354513185780294E-2</v>
      </c>
      <c r="I92" s="4">
        <v>0.68807327678573105</v>
      </c>
      <c r="J92" s="4">
        <v>0.13440429655084299</v>
      </c>
      <c r="K92" s="4">
        <v>5.8416851222755799E-2</v>
      </c>
      <c r="L92" s="4">
        <v>3.7078283130452097E-2</v>
      </c>
      <c r="M92" s="4">
        <v>0.91797270768978201</v>
      </c>
      <c r="N92" s="4">
        <f t="shared" si="11"/>
        <v>0.27175794430978961</v>
      </c>
      <c r="P92" s="1">
        <v>39295</v>
      </c>
      <c r="Q92" s="4">
        <v>8.5693621366200998E-2</v>
      </c>
      <c r="R92" s="4">
        <v>0.12669758525101199</v>
      </c>
      <c r="S92" s="4">
        <v>0.12669758525101199</v>
      </c>
      <c r="T92" s="4">
        <v>-0.103488899058495</v>
      </c>
      <c r="U92" s="4">
        <v>0.75485485679573205</v>
      </c>
      <c r="V92" s="4">
        <v>0.226138096897292</v>
      </c>
      <c r="Y92" s="1">
        <v>39264</v>
      </c>
      <c r="Z92" s="4">
        <f t="shared" si="12"/>
        <v>8.5729789013118701E-2</v>
      </c>
      <c r="AA92" s="4">
        <f t="shared" si="13"/>
        <v>9.9261065057450498E-2</v>
      </c>
      <c r="AC92" s="1">
        <v>39264</v>
      </c>
      <c r="AD92" s="4">
        <f t="shared" si="14"/>
        <v>0.13375930327010799</v>
      </c>
      <c r="AE92" s="4">
        <f t="shared" si="15"/>
        <v>0.16782841694030601</v>
      </c>
      <c r="AG92" s="1">
        <v>39264</v>
      </c>
      <c r="AH92" s="4">
        <f t="shared" si="16"/>
        <v>0.111972202797664</v>
      </c>
      <c r="AI92" s="4">
        <f t="shared" si="17"/>
        <v>0.107261590399054</v>
      </c>
      <c r="AK92" s="1">
        <v>39264</v>
      </c>
      <c r="AL92" s="4">
        <f t="shared" si="18"/>
        <v>0.13375930327010799</v>
      </c>
      <c r="AM92" s="4">
        <f t="shared" si="19"/>
        <v>9.0912177420771401E-2</v>
      </c>
      <c r="AO92" s="1">
        <v>39264</v>
      </c>
      <c r="AP92" s="4">
        <f t="shared" si="20"/>
        <v>0.217415867911286</v>
      </c>
      <c r="AQ92" s="4">
        <f t="shared" si="21"/>
        <v>0.2313988485056625</v>
      </c>
    </row>
    <row r="93" spans="1:43" x14ac:dyDescent="0.25">
      <c r="A93" s="1">
        <v>39630</v>
      </c>
      <c r="B93" s="4">
        <v>9.3718349335604301E-2</v>
      </c>
      <c r="C93" s="4">
        <v>3.5417845323460199E-2</v>
      </c>
      <c r="D93" s="4">
        <v>2.3980452445950401E-2</v>
      </c>
      <c r="E93" s="4">
        <v>4.8816823775241101E-3</v>
      </c>
      <c r="F93" s="4">
        <v>3.92780140086874E-3</v>
      </c>
      <c r="G93" s="4">
        <v>2.1999129094124902E-2</v>
      </c>
      <c r="H93" s="4">
        <v>9.0206910641928595E-2</v>
      </c>
      <c r="I93" s="4">
        <v>0.69390400255884099</v>
      </c>
      <c r="J93" s="4">
        <v>0.12234591668469801</v>
      </c>
      <c r="K93" s="4">
        <v>5.5371423667966803E-2</v>
      </c>
      <c r="L93" s="4">
        <v>2.2883662446869599E-2</v>
      </c>
      <c r="M93" s="4">
        <v>0.89450500535837696</v>
      </c>
      <c r="N93" s="4">
        <f t="shared" si="11"/>
        <v>0.28942025461915599</v>
      </c>
      <c r="P93" s="1">
        <v>39326</v>
      </c>
      <c r="Q93" s="4">
        <v>8.8230985432445896E-2</v>
      </c>
      <c r="R93" s="4">
        <v>0.137700905673241</v>
      </c>
      <c r="S93" s="4">
        <v>0.137700905673241</v>
      </c>
      <c r="T93" s="4">
        <v>-0.117742978536075</v>
      </c>
      <c r="U93" s="4">
        <v>0.72658819116726503</v>
      </c>
      <c r="V93" s="4">
        <v>0.26942085652584802</v>
      </c>
      <c r="Y93" s="1">
        <v>39295</v>
      </c>
      <c r="Z93" s="4">
        <f t="shared" si="12"/>
        <v>8.5693621366200998E-2</v>
      </c>
      <c r="AA93" s="4">
        <f t="shared" si="13"/>
        <v>9.5384209090191005E-2</v>
      </c>
      <c r="AC93" s="1">
        <v>39295</v>
      </c>
      <c r="AD93" s="4">
        <f t="shared" si="14"/>
        <v>0.12669758525101199</v>
      </c>
      <c r="AE93" s="4">
        <f t="shared" si="15"/>
        <v>0.16306496869512799</v>
      </c>
      <c r="AG93" s="1">
        <v>39295</v>
      </c>
      <c r="AH93" s="4">
        <f t="shared" si="16"/>
        <v>0.103488899058495</v>
      </c>
      <c r="AI93" s="4">
        <f t="shared" si="17"/>
        <v>0.106065048346315</v>
      </c>
      <c r="AK93" s="1">
        <v>39295</v>
      </c>
      <c r="AL93" s="4">
        <f t="shared" si="18"/>
        <v>0.12669758525101199</v>
      </c>
      <c r="AM93" s="4">
        <f t="shared" si="19"/>
        <v>9.2715882543554506E-2</v>
      </c>
      <c r="AO93" s="1">
        <v>39295</v>
      </c>
      <c r="AP93" s="4">
        <f t="shared" si="20"/>
        <v>0.226138096897292</v>
      </c>
      <c r="AQ93" s="4">
        <f t="shared" si="21"/>
        <v>0.2331672045691221</v>
      </c>
    </row>
    <row r="94" spans="1:43" x14ac:dyDescent="0.25">
      <c r="A94" s="1">
        <v>39661</v>
      </c>
      <c r="B94" s="4">
        <v>9.2649651995466403E-2</v>
      </c>
      <c r="C94" s="4">
        <v>3.5739127690137498E-2</v>
      </c>
      <c r="D94" s="4">
        <v>2.3506750654526801E-2</v>
      </c>
      <c r="E94" s="4">
        <v>4.7415168861267704E-3</v>
      </c>
      <c r="F94" s="4">
        <v>4.1029750549324102E-3</v>
      </c>
      <c r="G94" s="4">
        <v>2.2947978884755998E-2</v>
      </c>
      <c r="H94" s="4">
        <v>9.1038349170479704E-2</v>
      </c>
      <c r="I94" s="4">
        <v>0.68417872693415205</v>
      </c>
      <c r="J94" s="4">
        <v>0.124194140931916</v>
      </c>
      <c r="K94" s="4">
        <v>5.1384892892620201E-2</v>
      </c>
      <c r="L94" s="4">
        <v>2.43495738849707E-2</v>
      </c>
      <c r="M94" s="4">
        <v>0.88410733464365898</v>
      </c>
      <c r="N94" s="4">
        <f t="shared" si="11"/>
        <v>0.2995806665222871</v>
      </c>
      <c r="P94" s="1">
        <v>39356</v>
      </c>
      <c r="Q94" s="4">
        <v>8.7441987361647294E-2</v>
      </c>
      <c r="R94" s="4">
        <v>0.13040278270380201</v>
      </c>
      <c r="S94" s="4">
        <v>0.13040278270380201</v>
      </c>
      <c r="T94" s="4">
        <v>-0.105738092083522</v>
      </c>
      <c r="U94" s="4">
        <v>0.67354513719678499</v>
      </c>
      <c r="V94" s="4">
        <v>0.24436959672231201</v>
      </c>
      <c r="Y94" s="1">
        <v>39326</v>
      </c>
      <c r="Z94" s="4">
        <f t="shared" si="12"/>
        <v>8.8230985432445896E-2</v>
      </c>
      <c r="AA94" s="4">
        <f t="shared" si="13"/>
        <v>9.5118972684488406E-2</v>
      </c>
      <c r="AC94" s="1">
        <v>39326</v>
      </c>
      <c r="AD94" s="4">
        <f t="shared" si="14"/>
        <v>0.137700905673241</v>
      </c>
      <c r="AE94" s="4">
        <f t="shared" si="15"/>
        <v>0.138708290246877</v>
      </c>
      <c r="AG94" s="1">
        <v>39326</v>
      </c>
      <c r="AH94" s="4">
        <f t="shared" si="16"/>
        <v>0.117742978536075</v>
      </c>
      <c r="AI94" s="4">
        <f t="shared" si="17"/>
        <v>0.100879200167358</v>
      </c>
      <c r="AK94" s="1">
        <v>39326</v>
      </c>
      <c r="AL94" s="4">
        <f t="shared" si="18"/>
        <v>0.137700905673241</v>
      </c>
      <c r="AM94" s="4">
        <f t="shared" si="19"/>
        <v>0.131527140721546</v>
      </c>
      <c r="AO94" s="1">
        <v>39326</v>
      </c>
      <c r="AP94" s="4">
        <f t="shared" si="20"/>
        <v>0.26942085652584802</v>
      </c>
      <c r="AQ94" s="4">
        <f t="shared" si="21"/>
        <v>0.23109400339879849</v>
      </c>
    </row>
    <row r="95" spans="1:43" x14ac:dyDescent="0.25">
      <c r="A95" s="1">
        <v>39692</v>
      </c>
      <c r="B95" s="4">
        <v>9.0161870995519006E-2</v>
      </c>
      <c r="C95" s="4">
        <v>3.3550665717489103E-2</v>
      </c>
      <c r="D95" s="4">
        <v>2.1946808283583599E-2</v>
      </c>
      <c r="E95" s="4">
        <v>4.5823527129635897E-3</v>
      </c>
      <c r="F95" s="4">
        <v>3.1947884239971499E-3</v>
      </c>
      <c r="G95" s="4">
        <v>2.0266938454392199E-2</v>
      </c>
      <c r="H95" s="4">
        <v>8.3541553592425599E-2</v>
      </c>
      <c r="I95" s="4">
        <v>0.67205294917514702</v>
      </c>
      <c r="J95" s="4">
        <v>0.12010018192291699</v>
      </c>
      <c r="K95" s="4">
        <v>5.4468249130468799E-2</v>
      </c>
      <c r="L95" s="4">
        <v>1.9152545961408699E-2</v>
      </c>
      <c r="M95" s="4">
        <v>0.86577392618994198</v>
      </c>
      <c r="N95" s="4">
        <f t="shared" si="11"/>
        <v>0.30792949839800254</v>
      </c>
      <c r="P95" s="1">
        <v>39387</v>
      </c>
      <c r="Q95" s="4">
        <v>8.6619039762730304E-2</v>
      </c>
      <c r="R95" s="4">
        <v>0.1199502739689</v>
      </c>
      <c r="S95" s="4">
        <v>0.1199502739689</v>
      </c>
      <c r="T95" s="4">
        <v>-0.10582405421171499</v>
      </c>
      <c r="U95" s="4">
        <v>0.71565761453529897</v>
      </c>
      <c r="V95" s="4">
        <v>0.27115327041942699</v>
      </c>
      <c r="Y95" s="1">
        <v>39356</v>
      </c>
      <c r="Z95" s="4">
        <f t="shared" si="12"/>
        <v>8.7441987361647294E-2</v>
      </c>
      <c r="AA95" s="4">
        <f t="shared" si="13"/>
        <v>9.4821685670900505E-2</v>
      </c>
      <c r="AC95" s="1">
        <v>39356</v>
      </c>
      <c r="AD95" s="4">
        <f t="shared" si="14"/>
        <v>0.13040278270380201</v>
      </c>
      <c r="AE95" s="4">
        <f t="shared" si="15"/>
        <v>0.163547487577856</v>
      </c>
      <c r="AG95" s="1">
        <v>39356</v>
      </c>
      <c r="AH95" s="4">
        <f t="shared" si="16"/>
        <v>0.105738092083522</v>
      </c>
      <c r="AI95" s="4">
        <f t="shared" si="17"/>
        <v>0.10304399913429101</v>
      </c>
      <c r="AK95" s="1">
        <v>39356</v>
      </c>
      <c r="AL95" s="4">
        <f t="shared" si="18"/>
        <v>0.13040278270380201</v>
      </c>
      <c r="AM95" s="4">
        <f t="shared" si="19"/>
        <v>8.6065945222476709E-2</v>
      </c>
      <c r="AO95" s="1">
        <v>39356</v>
      </c>
      <c r="AP95" s="4">
        <f t="shared" si="20"/>
        <v>0.24436959672231201</v>
      </c>
      <c r="AQ95" s="4">
        <f t="shared" si="21"/>
        <v>0.25050254155941742</v>
      </c>
    </row>
    <row r="96" spans="1:43" x14ac:dyDescent="0.25">
      <c r="A96" s="1">
        <v>39722</v>
      </c>
      <c r="B96" s="4">
        <v>9.1146478379446505E-2</v>
      </c>
      <c r="C96" s="4">
        <v>3.5312606521729198E-2</v>
      </c>
      <c r="D96" s="4">
        <v>2.2097508036450799E-2</v>
      </c>
      <c r="E96" s="4">
        <v>4.0249595706089098E-3</v>
      </c>
      <c r="F96" s="4">
        <v>2.94474821842601E-3</v>
      </c>
      <c r="G96" s="4">
        <v>2.2368672354410798E-2</v>
      </c>
      <c r="H96" s="4">
        <v>8.6748494701625795E-2</v>
      </c>
      <c r="I96" s="4">
        <v>0.59986582010338896</v>
      </c>
      <c r="J96" s="4">
        <v>0.107312546658225</v>
      </c>
      <c r="K96" s="4">
        <v>4.8124818250390597E-2</v>
      </c>
      <c r="L96" s="4">
        <v>1.54464398149945E-2</v>
      </c>
      <c r="M96" s="4">
        <v>0.77074962482700005</v>
      </c>
      <c r="N96" s="4">
        <f t="shared" si="11"/>
        <v>0.40714534825407234</v>
      </c>
      <c r="P96" s="1">
        <v>39417</v>
      </c>
      <c r="Q96" s="4">
        <v>8.50229863714735E-2</v>
      </c>
      <c r="R96" s="4">
        <v>0.11774212117116301</v>
      </c>
      <c r="S96" s="4">
        <v>0.11774212117116301</v>
      </c>
      <c r="T96" s="4">
        <v>-9.9315481116307294E-2</v>
      </c>
      <c r="U96" s="4">
        <v>0.72026406598266102</v>
      </c>
      <c r="V96" s="4">
        <v>0.26388457692262601</v>
      </c>
      <c r="Y96" s="1">
        <v>39387</v>
      </c>
      <c r="Z96" s="4">
        <f t="shared" si="12"/>
        <v>8.6619039762730304E-2</v>
      </c>
      <c r="AA96" s="4">
        <f t="shared" si="13"/>
        <v>9.4081715092770996E-2</v>
      </c>
      <c r="AC96" s="1">
        <v>39387</v>
      </c>
      <c r="AD96" s="4">
        <f t="shared" si="14"/>
        <v>0.1199502739689</v>
      </c>
      <c r="AE96" s="4">
        <f t="shared" si="15"/>
        <v>0.147812327388786</v>
      </c>
      <c r="AG96" s="1">
        <v>39387</v>
      </c>
      <c r="AH96" s="4">
        <f t="shared" si="16"/>
        <v>0.10582405421171499</v>
      </c>
      <c r="AI96" s="4">
        <f t="shared" si="17"/>
        <v>0.10096445840891</v>
      </c>
      <c r="AK96" s="1">
        <v>39387</v>
      </c>
      <c r="AL96" s="4">
        <f t="shared" si="18"/>
        <v>0.1199502739689</v>
      </c>
      <c r="AM96" s="4">
        <f t="shared" si="19"/>
        <v>7.8578242320647196E-2</v>
      </c>
      <c r="AO96" s="1">
        <v>39387</v>
      </c>
      <c r="AP96" s="4">
        <f t="shared" si="20"/>
        <v>0.27115327041942699</v>
      </c>
      <c r="AQ96" s="4">
        <f t="shared" si="21"/>
        <v>0.27497742600007202</v>
      </c>
    </row>
    <row r="97" spans="1:43" x14ac:dyDescent="0.25">
      <c r="A97" s="1">
        <v>39753</v>
      </c>
      <c r="B97" s="4">
        <v>8.9666512443340493E-2</v>
      </c>
      <c r="C97" s="4">
        <v>3.2856595535395501E-2</v>
      </c>
      <c r="D97" s="4">
        <v>2.19764109084888E-2</v>
      </c>
      <c r="E97" s="4">
        <v>3.9433376933365599E-3</v>
      </c>
      <c r="F97" s="4">
        <v>3.0393530506908299E-3</v>
      </c>
      <c r="G97" s="4">
        <v>2.1482891409834799E-2</v>
      </c>
      <c r="H97" s="4">
        <v>8.3298588597746595E-2</v>
      </c>
      <c r="I97" s="4">
        <v>0.61840591911144804</v>
      </c>
      <c r="J97" s="4">
        <v>0.12359795796896</v>
      </c>
      <c r="K97" s="4">
        <v>6.8903935445161296E-2</v>
      </c>
      <c r="L97" s="4">
        <v>1.68363800135382E-2</v>
      </c>
      <c r="M97" s="4">
        <v>0.82774419253910703</v>
      </c>
      <c r="N97" s="4">
        <f t="shared" si="11"/>
        <v>0.34522090850198006</v>
      </c>
      <c r="P97" s="1">
        <v>39448</v>
      </c>
      <c r="Q97" s="4">
        <v>8.3406168218983598E-2</v>
      </c>
      <c r="R97" s="4">
        <v>0.122252869363162</v>
      </c>
      <c r="S97" s="4">
        <v>0.122252869363162</v>
      </c>
      <c r="T97" s="4">
        <v>-9.8505022930931593E-2</v>
      </c>
      <c r="U97" s="4">
        <v>0.70688666202272399</v>
      </c>
      <c r="V97" s="4">
        <v>0.26536175679440599</v>
      </c>
      <c r="Y97" s="1">
        <v>39417</v>
      </c>
      <c r="Z97" s="4">
        <f t="shared" si="12"/>
        <v>8.50229863714735E-2</v>
      </c>
      <c r="AA97" s="4">
        <f t="shared" si="13"/>
        <v>9.3096304099396399E-2</v>
      </c>
      <c r="AC97" s="1">
        <v>39417</v>
      </c>
      <c r="AD97" s="4">
        <f t="shared" si="14"/>
        <v>0.11774212117116301</v>
      </c>
      <c r="AE97" s="4">
        <f t="shared" si="15"/>
        <v>0.16289449724914201</v>
      </c>
      <c r="AG97" s="1">
        <v>39417</v>
      </c>
      <c r="AH97" s="4">
        <f t="shared" si="16"/>
        <v>9.9315481116307294E-2</v>
      </c>
      <c r="AI97" s="4">
        <f t="shared" si="17"/>
        <v>0.106458983475158</v>
      </c>
      <c r="AK97" s="1">
        <v>39417</v>
      </c>
      <c r="AL97" s="4">
        <f t="shared" si="18"/>
        <v>0.11774212117116301</v>
      </c>
      <c r="AM97" s="4">
        <f t="shared" si="19"/>
        <v>0.1008360920257681</v>
      </c>
      <c r="AO97" s="1">
        <v>39417</v>
      </c>
      <c r="AP97" s="4">
        <f t="shared" si="20"/>
        <v>0.26388457692262601</v>
      </c>
      <c r="AQ97" s="4">
        <f t="shared" si="21"/>
        <v>0.2982299681911843</v>
      </c>
    </row>
    <row r="98" spans="1:43" x14ac:dyDescent="0.25">
      <c r="A98" s="1">
        <v>39783</v>
      </c>
      <c r="B98" s="4">
        <v>9.0977568446467205E-2</v>
      </c>
      <c r="C98" s="4">
        <v>3.2903600648598E-2</v>
      </c>
      <c r="D98" s="4">
        <v>1.9958555430878499E-2</v>
      </c>
      <c r="E98" s="4">
        <v>3.80665160003015E-3</v>
      </c>
      <c r="F98" s="4">
        <v>3.6176244299640698E-3</v>
      </c>
      <c r="G98" s="4">
        <v>2.2740236310914E-2</v>
      </c>
      <c r="H98" s="4">
        <v>8.3026668420384794E-2</v>
      </c>
      <c r="I98" s="4">
        <v>0.62560480514765304</v>
      </c>
      <c r="J98" s="4">
        <v>0.123193212629475</v>
      </c>
      <c r="K98" s="4">
        <v>5.8036553321488001E-2</v>
      </c>
      <c r="L98" s="4">
        <v>1.4040689116481099E-2</v>
      </c>
      <c r="M98" s="4">
        <v>0.82087526021509805</v>
      </c>
      <c r="N98" s="4">
        <f t="shared" si="11"/>
        <v>0.35312897665175391</v>
      </c>
      <c r="P98" s="1">
        <v>39479</v>
      </c>
      <c r="Q98" s="4">
        <v>8.1811172557411799E-2</v>
      </c>
      <c r="R98" s="4">
        <v>0.134025751029687</v>
      </c>
      <c r="S98" s="4">
        <v>0.134025751029687</v>
      </c>
      <c r="T98" s="4">
        <v>-9.2699050879200898E-2</v>
      </c>
      <c r="U98" s="4">
        <v>0.69595928241387195</v>
      </c>
      <c r="V98" s="4">
        <v>0.24999283116588999</v>
      </c>
      <c r="Y98" s="1">
        <v>39448</v>
      </c>
      <c r="Z98" s="4">
        <f t="shared" si="12"/>
        <v>8.3406168218983598E-2</v>
      </c>
      <c r="AA98" s="4">
        <f t="shared" si="13"/>
        <v>9.9870774316353703E-2</v>
      </c>
      <c r="AC98" s="1">
        <v>39448</v>
      </c>
      <c r="AD98" s="4">
        <f t="shared" si="14"/>
        <v>0.122252869363162</v>
      </c>
      <c r="AE98" s="4">
        <f t="shared" si="15"/>
        <v>0.15794978998809001</v>
      </c>
      <c r="AG98" s="1">
        <v>39448</v>
      </c>
      <c r="AH98" s="4">
        <f t="shared" si="16"/>
        <v>9.8505022930931593E-2</v>
      </c>
      <c r="AI98" s="4">
        <f t="shared" si="17"/>
        <v>0.10740037978014</v>
      </c>
      <c r="AK98" s="1">
        <v>39448</v>
      </c>
      <c r="AL98" s="4">
        <f t="shared" si="18"/>
        <v>0.122252869363162</v>
      </c>
      <c r="AM98" s="4">
        <f t="shared" si="19"/>
        <v>9.0334184801735995E-2</v>
      </c>
      <c r="AO98" s="1">
        <v>39448</v>
      </c>
      <c r="AP98" s="4">
        <f t="shared" si="20"/>
        <v>0.26536175679440599</v>
      </c>
      <c r="AQ98" s="4">
        <f t="shared" si="21"/>
        <v>0.26605369088045372</v>
      </c>
    </row>
    <row r="99" spans="1:43" x14ac:dyDescent="0.25">
      <c r="A99" s="1">
        <v>39814</v>
      </c>
      <c r="B99" s="4">
        <v>8.8996262431863205E-2</v>
      </c>
      <c r="C99" s="4">
        <v>3.2316336168262301E-2</v>
      </c>
      <c r="D99" s="4">
        <v>1.86384345734124E-2</v>
      </c>
      <c r="E99" s="4">
        <v>3.88622390496753E-3</v>
      </c>
      <c r="F99" s="4">
        <v>3.4465617872250802E-3</v>
      </c>
      <c r="G99" s="4">
        <v>2.2671447859105302E-2</v>
      </c>
      <c r="H99" s="4">
        <v>8.0959004292972703E-2</v>
      </c>
      <c r="I99" s="4">
        <v>0.60177405478407897</v>
      </c>
      <c r="J99" s="4">
        <v>0.117905528323258</v>
      </c>
      <c r="K99" s="4">
        <v>8.6898649832597805E-2</v>
      </c>
      <c r="L99" s="4">
        <v>1.2541212873746301E-2</v>
      </c>
      <c r="M99" s="4">
        <v>0.81911944581368201</v>
      </c>
      <c r="N99" s="4">
        <f t="shared" si="11"/>
        <v>0.35083582091115384</v>
      </c>
      <c r="P99" s="1">
        <v>39508</v>
      </c>
      <c r="Q99" s="4">
        <v>8.4842762524916598E-2</v>
      </c>
      <c r="R99" s="4">
        <v>0.13025027315418899</v>
      </c>
      <c r="S99" s="4">
        <v>0.13025027315418899</v>
      </c>
      <c r="T99" s="4">
        <v>-9.4481034786294493E-2</v>
      </c>
      <c r="U99" s="4">
        <v>0.69444114340723995</v>
      </c>
      <c r="V99" s="4">
        <v>0.265449667959682</v>
      </c>
      <c r="Y99" s="1">
        <v>39479</v>
      </c>
      <c r="Z99" s="4">
        <f t="shared" si="12"/>
        <v>8.1811172557411799E-2</v>
      </c>
      <c r="AA99" s="4">
        <f t="shared" si="13"/>
        <v>9.3825635530286E-2</v>
      </c>
      <c r="AC99" s="1">
        <v>39479</v>
      </c>
      <c r="AD99" s="4">
        <f t="shared" si="14"/>
        <v>0.134025751029687</v>
      </c>
      <c r="AE99" s="4">
        <f t="shared" si="15"/>
        <v>0.151786437635409</v>
      </c>
      <c r="AG99" s="1">
        <v>39479</v>
      </c>
      <c r="AH99" s="4">
        <f t="shared" si="16"/>
        <v>9.2699050879200898E-2</v>
      </c>
      <c r="AI99" s="4">
        <f t="shared" si="17"/>
        <v>9.6591119794814898E-2</v>
      </c>
      <c r="AK99" s="1">
        <v>39479</v>
      </c>
      <c r="AL99" s="4">
        <f t="shared" si="18"/>
        <v>0.134025751029687</v>
      </c>
      <c r="AM99" s="4">
        <f t="shared" si="19"/>
        <v>7.5336695308727691E-2</v>
      </c>
      <c r="AO99" s="1">
        <v>39479</v>
      </c>
      <c r="AP99" s="4">
        <f t="shared" si="20"/>
        <v>0.24999283116588999</v>
      </c>
      <c r="AQ99" s="4">
        <f t="shared" si="21"/>
        <v>0.25407121958549184</v>
      </c>
    </row>
    <row r="100" spans="1:43" x14ac:dyDescent="0.25">
      <c r="A100" s="1">
        <v>39845</v>
      </c>
      <c r="B100" s="4">
        <v>9.0742845761389898E-2</v>
      </c>
      <c r="C100" s="4">
        <v>3.0375569391068499E-2</v>
      </c>
      <c r="D100" s="4">
        <v>1.96395949545243E-2</v>
      </c>
      <c r="E100" s="4">
        <v>3.9864317700946898E-3</v>
      </c>
      <c r="F100" s="4">
        <v>3.5698317735941201E-3</v>
      </c>
      <c r="G100" s="4">
        <v>2.2395822886657299E-2</v>
      </c>
      <c r="H100" s="4">
        <v>7.99672507759389E-2</v>
      </c>
      <c r="I100" s="4">
        <v>0.59835756285543096</v>
      </c>
      <c r="J100" s="4">
        <v>0.122191863148253</v>
      </c>
      <c r="K100" s="4">
        <v>7.2994772333137004E-2</v>
      </c>
      <c r="L100" s="4">
        <v>1.0657143753636E-2</v>
      </c>
      <c r="M100" s="4">
        <v>0.80420134209045802</v>
      </c>
      <c r="N100" s="4">
        <f t="shared" si="11"/>
        <v>0.3665087544468707</v>
      </c>
      <c r="P100" s="1">
        <v>39539</v>
      </c>
      <c r="Q100" s="4">
        <v>8.1095203921321496E-2</v>
      </c>
      <c r="R100" s="4">
        <v>0.12418721326583</v>
      </c>
      <c r="S100" s="4">
        <v>0.12418721326583</v>
      </c>
      <c r="T100" s="4">
        <v>-9.3584041774502094E-2</v>
      </c>
      <c r="U100" s="4">
        <v>0.68403449935695604</v>
      </c>
      <c r="V100" s="4">
        <v>0.28656401575677298</v>
      </c>
      <c r="Y100" s="1">
        <v>39508</v>
      </c>
      <c r="Z100" s="4">
        <f t="shared" si="12"/>
        <v>8.4842762524916598E-2</v>
      </c>
      <c r="AA100" s="4">
        <f t="shared" si="13"/>
        <v>9.6483578068520495E-2</v>
      </c>
      <c r="AC100" s="1">
        <v>39508</v>
      </c>
      <c r="AD100" s="4">
        <f t="shared" si="14"/>
        <v>0.13025027315418899</v>
      </c>
      <c r="AE100" s="4">
        <f t="shared" si="15"/>
        <v>0.15372771607371799</v>
      </c>
      <c r="AG100" s="1">
        <v>39508</v>
      </c>
      <c r="AH100" s="4">
        <f t="shared" si="16"/>
        <v>9.4481034786294493E-2</v>
      </c>
      <c r="AI100" s="4">
        <f t="shared" si="17"/>
        <v>9.5619067376424297E-2</v>
      </c>
      <c r="AK100" s="1">
        <v>39508</v>
      </c>
      <c r="AL100" s="4">
        <f t="shared" si="18"/>
        <v>0.13025027315418899</v>
      </c>
      <c r="AM100" s="4">
        <f t="shared" si="19"/>
        <v>5.9724927719869897E-2</v>
      </c>
      <c r="AO100" s="1">
        <v>39508</v>
      </c>
      <c r="AP100" s="4">
        <f t="shared" si="20"/>
        <v>0.265449667959682</v>
      </c>
      <c r="AQ100" s="4">
        <f t="shared" si="21"/>
        <v>0.27153199299656783</v>
      </c>
    </row>
    <row r="101" spans="1:43" x14ac:dyDescent="0.25">
      <c r="A101" s="1">
        <v>39873</v>
      </c>
      <c r="B101" s="4">
        <v>9.2634966340590694E-2</v>
      </c>
      <c r="C101" s="4">
        <v>2.9851014022214101E-2</v>
      </c>
      <c r="D101" s="4">
        <v>2.09183021905213E-2</v>
      </c>
      <c r="E101" s="4">
        <v>4.0856592654024502E-3</v>
      </c>
      <c r="F101" s="4">
        <v>3.6495839951501598E-3</v>
      </c>
      <c r="G101" s="4">
        <v>2.2669801919216501E-2</v>
      </c>
      <c r="H101" s="4">
        <v>8.1174361392504599E-2</v>
      </c>
      <c r="I101" s="4">
        <v>0.57488799862406903</v>
      </c>
      <c r="J101" s="4">
        <v>0.116294864540058</v>
      </c>
      <c r="K101" s="4">
        <v>7.3106344641281601E-2</v>
      </c>
      <c r="L101" s="4">
        <v>1.3830388038378501E-2</v>
      </c>
      <c r="M101" s="4">
        <v>0.77811959584378798</v>
      </c>
      <c r="N101" s="4">
        <f t="shared" si="11"/>
        <v>0.39568973188930723</v>
      </c>
      <c r="P101" s="1">
        <v>39569</v>
      </c>
      <c r="Q101" s="4">
        <v>7.8229503396076802E-2</v>
      </c>
      <c r="R101" s="4">
        <v>0.118453620525107</v>
      </c>
      <c r="S101" s="4">
        <v>0.118453620525107</v>
      </c>
      <c r="T101" s="4">
        <v>-8.6993266942116496E-2</v>
      </c>
      <c r="U101" s="4">
        <v>0.69038976155622001</v>
      </c>
      <c r="V101" s="4">
        <v>0.27836032317742299</v>
      </c>
      <c r="Y101" s="1">
        <v>39539</v>
      </c>
      <c r="Z101" s="4">
        <f t="shared" si="12"/>
        <v>8.1095203921321496E-2</v>
      </c>
      <c r="AA101" s="4">
        <f t="shared" si="13"/>
        <v>9.3186788767482001E-2</v>
      </c>
      <c r="AC101" s="1">
        <v>39539</v>
      </c>
      <c r="AD101" s="4">
        <f t="shared" si="14"/>
        <v>0.12418721326583</v>
      </c>
      <c r="AE101" s="4">
        <f t="shared" si="15"/>
        <v>0.122715873293285</v>
      </c>
      <c r="AG101" s="1">
        <v>39539</v>
      </c>
      <c r="AH101" s="4">
        <f t="shared" si="16"/>
        <v>9.3584041774502094E-2</v>
      </c>
      <c r="AI101" s="4">
        <f t="shared" si="17"/>
        <v>8.9294895571748897E-2</v>
      </c>
      <c r="AK101" s="1">
        <v>39539</v>
      </c>
      <c r="AL101" s="4">
        <f t="shared" si="18"/>
        <v>0.12418721326583</v>
      </c>
      <c r="AM101" s="4">
        <f t="shared" si="19"/>
        <v>6.7605092756737997E-2</v>
      </c>
      <c r="AO101" s="1">
        <v>39539</v>
      </c>
      <c r="AP101" s="4">
        <f t="shared" si="20"/>
        <v>0.28656401575677298</v>
      </c>
      <c r="AQ101" s="4">
        <f t="shared" si="21"/>
        <v>0.28852223638042895</v>
      </c>
    </row>
    <row r="102" spans="1:43" x14ac:dyDescent="0.25">
      <c r="A102" s="1">
        <v>39904</v>
      </c>
      <c r="B102" s="4">
        <v>9.0776032675321805E-2</v>
      </c>
      <c r="C102" s="4">
        <v>2.94040479059017E-2</v>
      </c>
      <c r="D102" s="4">
        <v>1.9795174745787E-2</v>
      </c>
      <c r="E102" s="4">
        <v>4.1116373457922399E-3</v>
      </c>
      <c r="F102" s="4">
        <v>3.47672709431825E-3</v>
      </c>
      <c r="G102" s="4">
        <v>2.15325276714179E-2</v>
      </c>
      <c r="H102" s="4">
        <v>7.8320114763217194E-2</v>
      </c>
      <c r="I102" s="4">
        <v>0.575794108768518</v>
      </c>
      <c r="J102" s="4">
        <v>0.118227101431449</v>
      </c>
      <c r="K102" s="4">
        <v>7.2440500478290398E-2</v>
      </c>
      <c r="L102" s="4">
        <v>1.15531526613204E-2</v>
      </c>
      <c r="M102" s="4">
        <v>0.77801486333957903</v>
      </c>
      <c r="N102" s="4">
        <f t="shared" si="11"/>
        <v>0.39108128409896004</v>
      </c>
      <c r="P102" s="1">
        <v>39600</v>
      </c>
      <c r="Q102" s="4">
        <v>7.91701188048093E-2</v>
      </c>
      <c r="R102" s="4">
        <v>0.115517055938627</v>
      </c>
      <c r="S102" s="4">
        <v>0.115517055938627</v>
      </c>
      <c r="T102" s="4">
        <v>-8.3591694274663106E-2</v>
      </c>
      <c r="U102" s="4">
        <v>0.68208253245554895</v>
      </c>
      <c r="V102" s="4">
        <v>0.28045416877317397</v>
      </c>
      <c r="Y102" s="1">
        <v>39569</v>
      </c>
      <c r="Z102" s="4">
        <f t="shared" si="12"/>
        <v>7.8229503396076802E-2</v>
      </c>
      <c r="AA102" s="4">
        <f t="shared" si="13"/>
        <v>9.4615871821540604E-2</v>
      </c>
      <c r="AC102" s="1">
        <v>39569</v>
      </c>
      <c r="AD102" s="4">
        <f t="shared" si="14"/>
        <v>0.118453620525107</v>
      </c>
      <c r="AE102" s="4">
        <f t="shared" si="15"/>
        <v>0.124681539549638</v>
      </c>
      <c r="AG102" s="1">
        <v>39569</v>
      </c>
      <c r="AH102" s="4">
        <f t="shared" si="16"/>
        <v>8.6993266942116496E-2</v>
      </c>
      <c r="AI102" s="4">
        <f t="shared" si="17"/>
        <v>9.6342217832722704E-2</v>
      </c>
      <c r="AK102" s="1">
        <v>39569</v>
      </c>
      <c r="AL102" s="4">
        <f t="shared" si="18"/>
        <v>0.118453620525107</v>
      </c>
      <c r="AM102" s="4">
        <f t="shared" si="19"/>
        <v>8.1964262822285999E-2</v>
      </c>
      <c r="AO102" s="1">
        <v>39569</v>
      </c>
      <c r="AP102" s="4">
        <f t="shared" si="20"/>
        <v>0.27836032317742299</v>
      </c>
      <c r="AQ102" s="4">
        <f t="shared" si="21"/>
        <v>0.27507826752989828</v>
      </c>
    </row>
    <row r="103" spans="1:43" x14ac:dyDescent="0.25">
      <c r="A103" s="1">
        <v>39934</v>
      </c>
      <c r="B103" s="4">
        <v>8.9505483468103095E-2</v>
      </c>
      <c r="C103" s="4">
        <v>2.7913683690915701E-2</v>
      </c>
      <c r="D103" s="4">
        <v>1.8779712789154902E-2</v>
      </c>
      <c r="E103" s="4">
        <v>3.63219468491781E-3</v>
      </c>
      <c r="F103" s="4">
        <v>3.8512841725821599E-3</v>
      </c>
      <c r="G103" s="4">
        <v>1.96115080418637E-2</v>
      </c>
      <c r="H103" s="4">
        <v>7.3788383379434302E-2</v>
      </c>
      <c r="I103" s="4">
        <v>0.58243696514680499</v>
      </c>
      <c r="J103" s="4">
        <v>0.11517108433777</v>
      </c>
      <c r="K103" s="4">
        <v>8.7949370363831103E-2</v>
      </c>
      <c r="L103" s="4">
        <v>9.6343980041396198E-3</v>
      </c>
      <c r="M103" s="4">
        <v>0.795191817852547</v>
      </c>
      <c r="N103" s="4">
        <f t="shared" si="11"/>
        <v>0.36810204899499044</v>
      </c>
      <c r="P103" s="1">
        <v>39630</v>
      </c>
      <c r="Q103" s="4">
        <v>7.7310182903525898E-2</v>
      </c>
      <c r="R103" s="4">
        <v>0.11622194571972</v>
      </c>
      <c r="S103" s="4">
        <v>0.11622194571972</v>
      </c>
      <c r="T103" s="4">
        <v>-8.7081342314737201E-2</v>
      </c>
      <c r="U103" s="4">
        <v>0.67672846139269804</v>
      </c>
      <c r="V103" s="4">
        <v>0.27434844234538103</v>
      </c>
      <c r="Y103" s="1">
        <v>39600</v>
      </c>
      <c r="Z103" s="4">
        <f t="shared" si="12"/>
        <v>7.91701188048093E-2</v>
      </c>
      <c r="AA103" s="4">
        <f t="shared" si="13"/>
        <v>9.6376138813791395E-2</v>
      </c>
      <c r="AC103" s="1">
        <v>39600</v>
      </c>
      <c r="AD103" s="4">
        <f t="shared" si="14"/>
        <v>0.115517055938627</v>
      </c>
      <c r="AE103" s="4">
        <f t="shared" si="15"/>
        <v>0.13440429655084299</v>
      </c>
      <c r="AG103" s="1">
        <v>39600</v>
      </c>
      <c r="AH103" s="4">
        <f t="shared" si="16"/>
        <v>8.3591694274663106E-2</v>
      </c>
      <c r="AI103" s="4">
        <f t="shared" si="17"/>
        <v>9.3354513185780294E-2</v>
      </c>
      <c r="AK103" s="1">
        <v>39600</v>
      </c>
      <c r="AL103" s="4">
        <f t="shared" si="18"/>
        <v>0.115517055938627</v>
      </c>
      <c r="AM103" s="4">
        <f t="shared" si="19"/>
        <v>9.5495134353207889E-2</v>
      </c>
      <c r="AO103" s="1">
        <v>39600</v>
      </c>
      <c r="AP103" s="4">
        <f t="shared" si="20"/>
        <v>0.28045416877317397</v>
      </c>
      <c r="AQ103" s="4">
        <f t="shared" si="21"/>
        <v>0.27175794430978961</v>
      </c>
    </row>
    <row r="104" spans="1:43" x14ac:dyDescent="0.25">
      <c r="A104" s="1">
        <v>39965</v>
      </c>
      <c r="B104" s="4">
        <v>8.7854259001761803E-2</v>
      </c>
      <c r="C104" s="4">
        <v>2.7648620161855399E-2</v>
      </c>
      <c r="D104" s="4">
        <v>1.8732464295499199E-2</v>
      </c>
      <c r="E104" s="4">
        <v>3.5185327529209998E-3</v>
      </c>
      <c r="F104" s="4">
        <v>3.9501694145474102E-3</v>
      </c>
      <c r="G104" s="4">
        <v>1.84110039119946E-2</v>
      </c>
      <c r="H104" s="4">
        <v>7.2260790536817596E-2</v>
      </c>
      <c r="I104" s="4">
        <v>0.57894307199851702</v>
      </c>
      <c r="J104" s="4">
        <v>0.116991973284208</v>
      </c>
      <c r="K104" s="4">
        <v>8.8751675157067403E-2</v>
      </c>
      <c r="L104" s="4">
        <v>9.60697808239022E-3</v>
      </c>
      <c r="M104" s="4">
        <v>0.79429369852218301</v>
      </c>
      <c r="N104" s="4">
        <f t="shared" si="11"/>
        <v>0.36582135101639646</v>
      </c>
      <c r="P104" s="1">
        <v>39661</v>
      </c>
      <c r="Q104" s="4">
        <v>7.8460081845182703E-2</v>
      </c>
      <c r="R104" s="4">
        <v>0.11551699012887399</v>
      </c>
      <c r="S104" s="4">
        <v>0.11551699012887399</v>
      </c>
      <c r="T104" s="4">
        <v>-8.87410576933787E-2</v>
      </c>
      <c r="U104" s="4">
        <v>0.67392015099946301</v>
      </c>
      <c r="V104" s="4">
        <v>0.29206150181176799</v>
      </c>
      <c r="Y104" s="1">
        <v>39630</v>
      </c>
      <c r="Z104" s="4">
        <f t="shared" si="12"/>
        <v>7.7310182903525898E-2</v>
      </c>
      <c r="AA104" s="4">
        <f t="shared" si="13"/>
        <v>9.3718349335604301E-2</v>
      </c>
      <c r="AC104" s="1">
        <v>39630</v>
      </c>
      <c r="AD104" s="4">
        <f t="shared" si="14"/>
        <v>0.11622194571972</v>
      </c>
      <c r="AE104" s="4">
        <f t="shared" si="15"/>
        <v>0.12234591668469801</v>
      </c>
      <c r="AG104" s="1">
        <v>39630</v>
      </c>
      <c r="AH104" s="4">
        <f t="shared" si="16"/>
        <v>8.7081342314737201E-2</v>
      </c>
      <c r="AI104" s="4">
        <f t="shared" si="17"/>
        <v>9.0206910641928595E-2</v>
      </c>
      <c r="AK104" s="1">
        <v>39630</v>
      </c>
      <c r="AL104" s="4">
        <f t="shared" si="18"/>
        <v>0.11622194571972</v>
      </c>
      <c r="AM104" s="4">
        <f t="shared" si="19"/>
        <v>7.8255086114836406E-2</v>
      </c>
      <c r="AO104" s="1">
        <v>39630</v>
      </c>
      <c r="AP104" s="4">
        <f t="shared" si="20"/>
        <v>0.27434844234538103</v>
      </c>
      <c r="AQ104" s="4">
        <f t="shared" si="21"/>
        <v>0.28942025461915599</v>
      </c>
    </row>
    <row r="105" spans="1:43" x14ac:dyDescent="0.25">
      <c r="A105" s="1">
        <v>39995</v>
      </c>
      <c r="B105" s="4">
        <v>8.6071684312795702E-2</v>
      </c>
      <c r="C105" s="4">
        <v>2.68545759807567E-2</v>
      </c>
      <c r="D105" s="4">
        <v>1.8081841678860001E-2</v>
      </c>
      <c r="E105" s="4">
        <v>3.67627983033679E-3</v>
      </c>
      <c r="F105" s="4">
        <v>3.5738757575056201E-3</v>
      </c>
      <c r="G105" s="4">
        <v>1.7045314579542298E-2</v>
      </c>
      <c r="H105" s="4">
        <v>6.9231887827001501E-2</v>
      </c>
      <c r="I105" s="4">
        <v>0.58599429271931602</v>
      </c>
      <c r="J105" s="4">
        <v>0.107081660015453</v>
      </c>
      <c r="K105" s="4">
        <v>9.2822432102888403E-2</v>
      </c>
      <c r="L105" s="4">
        <v>7.6667142486778802E-3</v>
      </c>
      <c r="M105" s="4">
        <v>0.79356509908633599</v>
      </c>
      <c r="N105" s="4">
        <f t="shared" si="11"/>
        <v>0.3617384730534613</v>
      </c>
      <c r="P105" s="1">
        <v>39692</v>
      </c>
      <c r="Q105" s="4">
        <v>8.0211305165266603E-2</v>
      </c>
      <c r="R105" s="4">
        <v>0.105646389333339</v>
      </c>
      <c r="S105" s="4">
        <v>0.105646389333339</v>
      </c>
      <c r="T105" s="4">
        <v>-8.6781149395721999E-2</v>
      </c>
      <c r="U105" s="4">
        <v>0.65433437537248995</v>
      </c>
      <c r="V105" s="4">
        <v>0.29837489167477699</v>
      </c>
      <c r="Y105" s="1">
        <v>39661</v>
      </c>
      <c r="Z105" s="4">
        <f t="shared" si="12"/>
        <v>7.8460081845182703E-2</v>
      </c>
      <c r="AA105" s="4">
        <f t="shared" si="13"/>
        <v>9.2649651995466403E-2</v>
      </c>
      <c r="AC105" s="1">
        <v>39661</v>
      </c>
      <c r="AD105" s="4">
        <f t="shared" si="14"/>
        <v>0.11551699012887399</v>
      </c>
      <c r="AE105" s="4">
        <f t="shared" si="15"/>
        <v>0.124194140931916</v>
      </c>
      <c r="AG105" s="1">
        <v>39661</v>
      </c>
      <c r="AH105" s="4">
        <f t="shared" si="16"/>
        <v>8.87410576933787E-2</v>
      </c>
      <c r="AI105" s="4">
        <f t="shared" si="17"/>
        <v>9.1038349170479704E-2</v>
      </c>
      <c r="AK105" s="1">
        <v>39661</v>
      </c>
      <c r="AL105" s="4">
        <f t="shared" si="18"/>
        <v>0.11551699012887399</v>
      </c>
      <c r="AM105" s="4">
        <f t="shared" si="19"/>
        <v>7.5734466777590909E-2</v>
      </c>
      <c r="AO105" s="1">
        <v>39661</v>
      </c>
      <c r="AP105" s="4">
        <f t="shared" si="20"/>
        <v>0.29206150181176799</v>
      </c>
      <c r="AQ105" s="4">
        <f t="shared" si="21"/>
        <v>0.2995806665222871</v>
      </c>
    </row>
    <row r="106" spans="1:43" x14ac:dyDescent="0.25">
      <c r="A106" s="1">
        <v>40026</v>
      </c>
      <c r="B106" s="4">
        <v>8.5882769001684206E-2</v>
      </c>
      <c r="C106" s="4">
        <v>2.7041041623273199E-2</v>
      </c>
      <c r="D106" s="4">
        <v>1.76265203773525E-2</v>
      </c>
      <c r="E106" s="4">
        <v>3.6500456730287701E-3</v>
      </c>
      <c r="F106" s="4">
        <v>4.0976801084336503E-3</v>
      </c>
      <c r="G106" s="4">
        <v>1.8078625802436101E-2</v>
      </c>
      <c r="H106" s="4">
        <v>7.0493913584524295E-2</v>
      </c>
      <c r="I106" s="4">
        <v>0.578575324601314</v>
      </c>
      <c r="J106" s="4">
        <v>0.113163669200777</v>
      </c>
      <c r="K106" s="4">
        <v>8.4078603446042302E-2</v>
      </c>
      <c r="L106" s="4">
        <v>8.0049768694475699E-3</v>
      </c>
      <c r="M106" s="4">
        <v>0.78382257411758205</v>
      </c>
      <c r="N106" s="4">
        <f t="shared" si="11"/>
        <v>0.37255410846862647</v>
      </c>
      <c r="P106" s="1">
        <v>39722</v>
      </c>
      <c r="Q106" s="4">
        <v>7.9239198038002306E-2</v>
      </c>
      <c r="R106" s="4">
        <v>0.10170223771817601</v>
      </c>
      <c r="S106" s="4">
        <v>0.10170223771817601</v>
      </c>
      <c r="T106" s="4">
        <v>-8.3571366401511193E-2</v>
      </c>
      <c r="U106" s="4">
        <v>0.63295533998336295</v>
      </c>
      <c r="V106" s="4">
        <v>0.29416906837184598</v>
      </c>
      <c r="Y106" s="1">
        <v>39692</v>
      </c>
      <c r="Z106" s="4">
        <f t="shared" si="12"/>
        <v>8.0211305165266603E-2</v>
      </c>
      <c r="AA106" s="4">
        <f t="shared" si="13"/>
        <v>9.0161870995519006E-2</v>
      </c>
      <c r="AC106" s="1">
        <v>39692</v>
      </c>
      <c r="AD106" s="4">
        <f t="shared" si="14"/>
        <v>0.105646389333339</v>
      </c>
      <c r="AE106" s="4">
        <f t="shared" si="15"/>
        <v>0.12010018192291699</v>
      </c>
      <c r="AG106" s="1">
        <v>39692</v>
      </c>
      <c r="AH106" s="4">
        <f t="shared" si="16"/>
        <v>8.6781149395721999E-2</v>
      </c>
      <c r="AI106" s="4">
        <f t="shared" si="17"/>
        <v>8.3541553592425599E-2</v>
      </c>
      <c r="AK106" s="1">
        <v>39692</v>
      </c>
      <c r="AL106" s="4">
        <f t="shared" si="18"/>
        <v>0.105646389333339</v>
      </c>
      <c r="AM106" s="4">
        <f t="shared" si="19"/>
        <v>7.3620795091877494E-2</v>
      </c>
      <c r="AO106" s="1">
        <v>39692</v>
      </c>
      <c r="AP106" s="4">
        <f t="shared" si="20"/>
        <v>0.29837489167477699</v>
      </c>
      <c r="AQ106" s="4">
        <f t="shared" si="21"/>
        <v>0.30792949839800254</v>
      </c>
    </row>
    <row r="107" spans="1:43" x14ac:dyDescent="0.25">
      <c r="A107" s="1">
        <v>40057</v>
      </c>
      <c r="B107" s="4">
        <v>8.7696310405306899E-2</v>
      </c>
      <c r="C107" s="4">
        <v>2.7433745235035199E-2</v>
      </c>
      <c r="D107" s="4">
        <v>1.80900672202177E-2</v>
      </c>
      <c r="E107" s="4">
        <v>4.0626669739375898E-3</v>
      </c>
      <c r="F107" s="4">
        <v>4.2414719142213802E-3</v>
      </c>
      <c r="G107" s="4">
        <v>1.7460789383716702E-2</v>
      </c>
      <c r="H107" s="4">
        <v>7.1288740727128694E-2</v>
      </c>
      <c r="I107" s="4">
        <v>0.59238302374527496</v>
      </c>
      <c r="J107" s="4">
        <v>9.9046025107514604E-2</v>
      </c>
      <c r="K107" s="4">
        <v>0.102448733431864</v>
      </c>
      <c r="L107" s="4">
        <v>7.9768600668078306E-3</v>
      </c>
      <c r="M107" s="4">
        <v>0.80185464235146198</v>
      </c>
      <c r="N107" s="4">
        <f t="shared" si="11"/>
        <v>0.35713040878097357</v>
      </c>
      <c r="P107" s="1">
        <v>39753</v>
      </c>
      <c r="Q107" s="4">
        <v>7.7945848668359893E-2</v>
      </c>
      <c r="R107" s="4">
        <v>0.10799391861063599</v>
      </c>
      <c r="S107" s="4">
        <v>0.10799391861063599</v>
      </c>
      <c r="T107" s="4">
        <v>-8.5727331469954704E-2</v>
      </c>
      <c r="U107" s="4">
        <v>0.61600902156916104</v>
      </c>
      <c r="V107" s="4">
        <v>0.32330071348020001</v>
      </c>
      <c r="Y107" s="1">
        <v>39722</v>
      </c>
      <c r="Z107" s="4">
        <f t="shared" si="12"/>
        <v>7.9239198038002306E-2</v>
      </c>
      <c r="AA107" s="4">
        <f t="shared" si="13"/>
        <v>9.1146478379446505E-2</v>
      </c>
      <c r="AC107" s="1">
        <v>39722</v>
      </c>
      <c r="AD107" s="4">
        <f t="shared" si="14"/>
        <v>0.10170223771817601</v>
      </c>
      <c r="AE107" s="4">
        <f t="shared" si="15"/>
        <v>0.107312546658225</v>
      </c>
      <c r="AG107" s="1">
        <v>39722</v>
      </c>
      <c r="AH107" s="4">
        <f t="shared" si="16"/>
        <v>8.3571366401511193E-2</v>
      </c>
      <c r="AI107" s="4">
        <f t="shared" si="17"/>
        <v>8.6748494701625795E-2</v>
      </c>
      <c r="AK107" s="1">
        <v>39722</v>
      </c>
      <c r="AL107" s="4">
        <f t="shared" si="18"/>
        <v>0.10170223771817601</v>
      </c>
      <c r="AM107" s="4">
        <f t="shared" si="19"/>
        <v>6.3571258065385092E-2</v>
      </c>
      <c r="AO107" s="1">
        <v>39722</v>
      </c>
      <c r="AP107" s="4">
        <f t="shared" si="20"/>
        <v>0.29416906837184598</v>
      </c>
      <c r="AQ107" s="4">
        <f t="shared" si="21"/>
        <v>0.40714534825407234</v>
      </c>
    </row>
    <row r="108" spans="1:43" x14ac:dyDescent="0.25">
      <c r="A108" s="1">
        <v>40087</v>
      </c>
      <c r="B108" s="4">
        <v>8.8583852928332193E-2</v>
      </c>
      <c r="C108" s="4">
        <v>2.85330253123212E-2</v>
      </c>
      <c r="D108" s="4">
        <v>1.8965821725907401E-2</v>
      </c>
      <c r="E108" s="4">
        <v>4.3488429971629003E-3</v>
      </c>
      <c r="F108" s="4">
        <v>4.6726776596562403E-3</v>
      </c>
      <c r="G108" s="4">
        <v>1.85422116439313E-2</v>
      </c>
      <c r="H108" s="4">
        <v>7.5062579338979099E-2</v>
      </c>
      <c r="I108" s="4">
        <v>0.59382763084631596</v>
      </c>
      <c r="J108" s="4">
        <v>0.102523732913921</v>
      </c>
      <c r="K108" s="4">
        <v>0.108062649822076</v>
      </c>
      <c r="L108" s="4">
        <v>9.5540227684929105E-3</v>
      </c>
      <c r="M108" s="4">
        <v>0.81396803635080595</v>
      </c>
      <c r="N108" s="4">
        <f t="shared" si="11"/>
        <v>0.34967839591650529</v>
      </c>
      <c r="P108" s="1">
        <v>39783</v>
      </c>
      <c r="Q108" s="4">
        <v>7.9051845477373595E-2</v>
      </c>
      <c r="R108" s="4">
        <v>9.97839212145466E-2</v>
      </c>
      <c r="S108" s="4">
        <v>9.97839212145466E-2</v>
      </c>
      <c r="T108" s="4">
        <v>-8.4771688114541596E-2</v>
      </c>
      <c r="U108" s="4">
        <v>0.60166211849038598</v>
      </c>
      <c r="V108" s="4">
        <v>0.33982035464765897</v>
      </c>
      <c r="Y108" s="1">
        <v>39753</v>
      </c>
      <c r="Z108" s="4">
        <f t="shared" si="12"/>
        <v>7.7945848668359893E-2</v>
      </c>
      <c r="AA108" s="4">
        <f t="shared" si="13"/>
        <v>8.9666512443340493E-2</v>
      </c>
      <c r="AC108" s="1">
        <v>39753</v>
      </c>
      <c r="AD108" s="4">
        <f t="shared" si="14"/>
        <v>0.10799391861063599</v>
      </c>
      <c r="AE108" s="4">
        <f t="shared" si="15"/>
        <v>0.12359795796896</v>
      </c>
      <c r="AG108" s="1">
        <v>39753</v>
      </c>
      <c r="AH108" s="4">
        <f t="shared" si="16"/>
        <v>8.5727331469954704E-2</v>
      </c>
      <c r="AI108" s="4">
        <f t="shared" si="17"/>
        <v>8.3298588597746595E-2</v>
      </c>
      <c r="AK108" s="1">
        <v>39753</v>
      </c>
      <c r="AL108" s="4">
        <f t="shared" si="18"/>
        <v>0.10799391861063599</v>
      </c>
      <c r="AM108" s="4">
        <f t="shared" si="19"/>
        <v>8.5740315458699493E-2</v>
      </c>
      <c r="AO108" s="1">
        <v>39753</v>
      </c>
      <c r="AP108" s="4">
        <f t="shared" si="20"/>
        <v>0.32330071348020001</v>
      </c>
      <c r="AQ108" s="4">
        <f t="shared" si="21"/>
        <v>0.34522090850198006</v>
      </c>
    </row>
    <row r="109" spans="1:43" x14ac:dyDescent="0.25">
      <c r="A109" s="1">
        <v>40118</v>
      </c>
      <c r="B109" s="4">
        <v>8.7887045424018206E-2</v>
      </c>
      <c r="C109" s="4">
        <v>2.6961748675613299E-2</v>
      </c>
      <c r="D109" s="4">
        <v>1.73692603026405E-2</v>
      </c>
      <c r="E109" s="4">
        <v>4.2461649563601397E-3</v>
      </c>
      <c r="F109" s="4">
        <v>4.70038847761684E-3</v>
      </c>
      <c r="G109" s="4">
        <v>1.8650259403897401E-2</v>
      </c>
      <c r="H109" s="4">
        <v>7.1927821816128307E-2</v>
      </c>
      <c r="I109" s="4">
        <v>0.60121751207748197</v>
      </c>
      <c r="J109" s="4">
        <v>0.10150706312857199</v>
      </c>
      <c r="K109" s="4">
        <v>0.11232751654331601</v>
      </c>
      <c r="L109" s="4">
        <v>1.0057777399122701E-2</v>
      </c>
      <c r="M109" s="4">
        <v>0.82510986914849405</v>
      </c>
      <c r="N109" s="4">
        <f t="shared" si="11"/>
        <v>0.33470499809165244</v>
      </c>
      <c r="P109" s="1">
        <v>39814</v>
      </c>
      <c r="Q109" s="4">
        <v>8.0047522199269402E-2</v>
      </c>
      <c r="R109" s="4">
        <v>0.10061494428109199</v>
      </c>
      <c r="S109" s="4">
        <v>0.10061494428109199</v>
      </c>
      <c r="T109" s="4">
        <v>-8.2875146048610002E-2</v>
      </c>
      <c r="U109" s="4">
        <v>0.587326612857347</v>
      </c>
      <c r="V109" s="4">
        <v>0.33375343831285598</v>
      </c>
      <c r="Y109" s="1">
        <v>39783</v>
      </c>
      <c r="Z109" s="4">
        <f t="shared" si="12"/>
        <v>7.9051845477373595E-2</v>
      </c>
      <c r="AA109" s="4">
        <f t="shared" si="13"/>
        <v>9.0977568446467205E-2</v>
      </c>
      <c r="AC109" s="1">
        <v>39783</v>
      </c>
      <c r="AD109" s="4">
        <f t="shared" si="14"/>
        <v>9.97839212145466E-2</v>
      </c>
      <c r="AE109" s="4">
        <f t="shared" si="15"/>
        <v>0.123193212629475</v>
      </c>
      <c r="AG109" s="1">
        <v>39783</v>
      </c>
      <c r="AH109" s="4">
        <f t="shared" si="16"/>
        <v>8.4771688114541596E-2</v>
      </c>
      <c r="AI109" s="4">
        <f t="shared" si="17"/>
        <v>8.3026668420384794E-2</v>
      </c>
      <c r="AK109" s="1">
        <v>39783</v>
      </c>
      <c r="AL109" s="4">
        <f t="shared" si="18"/>
        <v>9.97839212145466E-2</v>
      </c>
      <c r="AM109" s="4">
        <f t="shared" si="19"/>
        <v>7.2077242437969105E-2</v>
      </c>
      <c r="AO109" s="1">
        <v>39783</v>
      </c>
      <c r="AP109" s="4">
        <f t="shared" si="20"/>
        <v>0.33982035464765897</v>
      </c>
      <c r="AQ109" s="4">
        <f t="shared" si="21"/>
        <v>0.35312897665175391</v>
      </c>
    </row>
    <row r="110" spans="1:43" x14ac:dyDescent="0.25">
      <c r="A110" s="1">
        <v>40148</v>
      </c>
      <c r="B110" s="4">
        <v>9.0867589632959003E-2</v>
      </c>
      <c r="C110" s="4">
        <v>2.8727562956222401E-2</v>
      </c>
      <c r="D110" s="4">
        <v>1.82908265086602E-2</v>
      </c>
      <c r="E110" s="4">
        <v>4.4712054005311402E-3</v>
      </c>
      <c r="F110" s="4">
        <v>4.6865743192795201E-3</v>
      </c>
      <c r="G110" s="4">
        <v>2.02626062174278E-2</v>
      </c>
      <c r="H110" s="4">
        <v>7.6438775402121198E-2</v>
      </c>
      <c r="I110" s="4">
        <v>0.58814806852089696</v>
      </c>
      <c r="J110" s="4">
        <v>9.6361856644978303E-2</v>
      </c>
      <c r="K110" s="4">
        <v>0.12380209525276099</v>
      </c>
      <c r="L110" s="4">
        <v>9.0426069162873601E-3</v>
      </c>
      <c r="M110" s="4">
        <v>0.81735462733492403</v>
      </c>
      <c r="N110" s="4">
        <f t="shared" si="11"/>
        <v>0.34995173770015608</v>
      </c>
      <c r="P110" s="1">
        <v>39845</v>
      </c>
      <c r="Q110" s="4">
        <v>8.21323724371881E-2</v>
      </c>
      <c r="R110" s="4">
        <v>9.6370519172242403E-2</v>
      </c>
      <c r="S110" s="4">
        <v>9.6370519172242403E-2</v>
      </c>
      <c r="T110" s="4">
        <v>-8.5091599274761398E-2</v>
      </c>
      <c r="U110" s="4">
        <v>0.57518899222829301</v>
      </c>
      <c r="V110" s="4">
        <v>0.36311175951811903</v>
      </c>
      <c r="Y110" s="1">
        <v>39814</v>
      </c>
      <c r="Z110" s="4">
        <f t="shared" si="12"/>
        <v>8.0047522199269402E-2</v>
      </c>
      <c r="AA110" s="4">
        <f t="shared" si="13"/>
        <v>8.8996262431863205E-2</v>
      </c>
      <c r="AC110" s="1">
        <v>39814</v>
      </c>
      <c r="AD110" s="4">
        <f t="shared" si="14"/>
        <v>0.10061494428109199</v>
      </c>
      <c r="AE110" s="4">
        <f t="shared" si="15"/>
        <v>0.117905528323258</v>
      </c>
      <c r="AG110" s="1">
        <v>39814</v>
      </c>
      <c r="AH110" s="4">
        <f t="shared" si="16"/>
        <v>8.2875146048610002E-2</v>
      </c>
      <c r="AI110" s="4">
        <f t="shared" si="17"/>
        <v>8.0959004292972703E-2</v>
      </c>
      <c r="AK110" s="1">
        <v>39814</v>
      </c>
      <c r="AL110" s="4">
        <f t="shared" si="18"/>
        <v>0.10061494428109199</v>
      </c>
      <c r="AM110" s="4">
        <f t="shared" si="19"/>
        <v>9.9439862706344112E-2</v>
      </c>
      <c r="AO110" s="1">
        <v>39814</v>
      </c>
      <c r="AP110" s="4">
        <f t="shared" si="20"/>
        <v>0.33375343831285598</v>
      </c>
      <c r="AQ110" s="4">
        <f t="shared" si="21"/>
        <v>0.35083582091115384</v>
      </c>
    </row>
    <row r="111" spans="1:43" x14ac:dyDescent="0.25">
      <c r="A111" s="1">
        <v>40179</v>
      </c>
      <c r="B111" s="4">
        <v>9.1877758204817001E-2</v>
      </c>
      <c r="C111" s="4">
        <v>2.92829313786016E-2</v>
      </c>
      <c r="D111" s="4">
        <v>1.95854844882042E-2</v>
      </c>
      <c r="E111" s="4">
        <v>4.3620333704945998E-3</v>
      </c>
      <c r="F111" s="4">
        <v>4.6644138313138399E-3</v>
      </c>
      <c r="G111" s="4">
        <v>2.1843410290809901E-2</v>
      </c>
      <c r="H111" s="4">
        <v>7.9738273359424294E-2</v>
      </c>
      <c r="I111" s="4">
        <v>0.58194936761925997</v>
      </c>
      <c r="J111" s="4">
        <v>9.3058350733900203E-2</v>
      </c>
      <c r="K111" s="4">
        <v>0.110469212259137</v>
      </c>
      <c r="L111" s="4">
        <v>9.0435635081229596E-3</v>
      </c>
      <c r="M111" s="4">
        <v>0.79452049412042103</v>
      </c>
      <c r="N111" s="4">
        <f t="shared" si="11"/>
        <v>0.37709553744382018</v>
      </c>
      <c r="P111" s="1">
        <v>39873</v>
      </c>
      <c r="Q111" s="4">
        <v>8.3854938290140499E-2</v>
      </c>
      <c r="R111" s="4">
        <v>9.16794457717095E-2</v>
      </c>
      <c r="S111" s="4">
        <v>9.16794457717095E-2</v>
      </c>
      <c r="T111" s="4">
        <v>-8.3991257773110603E-2</v>
      </c>
      <c r="U111" s="4">
        <v>0.57342265693057803</v>
      </c>
      <c r="V111" s="4">
        <v>0.37744108105747198</v>
      </c>
      <c r="Y111" s="1">
        <v>39845</v>
      </c>
      <c r="Z111" s="4">
        <f t="shared" si="12"/>
        <v>8.21323724371881E-2</v>
      </c>
      <c r="AA111" s="4">
        <f t="shared" si="13"/>
        <v>9.0742845761389898E-2</v>
      </c>
      <c r="AC111" s="1">
        <v>39845</v>
      </c>
      <c r="AD111" s="4">
        <f t="shared" si="14"/>
        <v>9.6370519172242403E-2</v>
      </c>
      <c r="AE111" s="4">
        <f t="shared" si="15"/>
        <v>0.122191863148253</v>
      </c>
      <c r="AG111" s="1">
        <v>39845</v>
      </c>
      <c r="AH111" s="4">
        <f t="shared" si="16"/>
        <v>8.5091599274761398E-2</v>
      </c>
      <c r="AI111" s="4">
        <f t="shared" si="17"/>
        <v>7.99672507759389E-2</v>
      </c>
      <c r="AK111" s="1">
        <v>39845</v>
      </c>
      <c r="AL111" s="4">
        <f t="shared" si="18"/>
        <v>9.6370519172242403E-2</v>
      </c>
      <c r="AM111" s="4">
        <f t="shared" si="19"/>
        <v>8.3651916086772998E-2</v>
      </c>
      <c r="AO111" s="1">
        <v>39845</v>
      </c>
      <c r="AP111" s="4">
        <f t="shared" si="20"/>
        <v>0.36311175951811903</v>
      </c>
      <c r="AQ111" s="4">
        <f t="shared" si="21"/>
        <v>0.3665087544468707</v>
      </c>
    </row>
    <row r="112" spans="1:43" x14ac:dyDescent="0.25">
      <c r="A112" s="1">
        <v>40210</v>
      </c>
      <c r="B112" s="4">
        <v>9.3559173124210193E-2</v>
      </c>
      <c r="C112" s="4">
        <v>3.1234480544077601E-2</v>
      </c>
      <c r="D112" s="4">
        <v>2.07134961356241E-2</v>
      </c>
      <c r="E112" s="4">
        <v>4.5167028223635297E-3</v>
      </c>
      <c r="F112" s="4">
        <v>4.8210313261228301E-3</v>
      </c>
      <c r="G112" s="4">
        <v>2.1119204736573999E-2</v>
      </c>
      <c r="H112" s="4">
        <v>8.2404915564762204E-2</v>
      </c>
      <c r="I112" s="4">
        <v>0.57456505773268596</v>
      </c>
      <c r="J112" s="4">
        <v>9.1705717710475407E-2</v>
      </c>
      <c r="K112" s="4">
        <v>0.119850901964294</v>
      </c>
      <c r="L112" s="4">
        <v>7.6421915210244402E-3</v>
      </c>
      <c r="M112" s="4">
        <v>0.79376386892848005</v>
      </c>
      <c r="N112" s="4">
        <f t="shared" si="11"/>
        <v>0.38220021976049234</v>
      </c>
      <c r="P112" s="1">
        <v>39904</v>
      </c>
      <c r="Q112" s="4">
        <v>8.2996169750501295E-2</v>
      </c>
      <c r="R112" s="4">
        <v>8.8184287507963505E-2</v>
      </c>
      <c r="S112" s="4">
        <v>8.8184287507963505E-2</v>
      </c>
      <c r="T112" s="4">
        <v>-8.3682289187508099E-2</v>
      </c>
      <c r="U112" s="4">
        <v>0.567707374148118</v>
      </c>
      <c r="V112" s="4">
        <v>0.37739481160691601</v>
      </c>
      <c r="Y112" s="1">
        <v>39873</v>
      </c>
      <c r="Z112" s="4">
        <f t="shared" si="12"/>
        <v>8.3854938290140499E-2</v>
      </c>
      <c r="AA112" s="4">
        <f t="shared" si="13"/>
        <v>9.2634966340590694E-2</v>
      </c>
      <c r="AC112" s="1">
        <v>39873</v>
      </c>
      <c r="AD112" s="4">
        <f t="shared" si="14"/>
        <v>9.16794457717095E-2</v>
      </c>
      <c r="AE112" s="4">
        <f t="shared" si="15"/>
        <v>0.116294864540058</v>
      </c>
      <c r="AG112" s="1">
        <v>39873</v>
      </c>
      <c r="AH112" s="4">
        <f t="shared" si="16"/>
        <v>8.3991257773110603E-2</v>
      </c>
      <c r="AI112" s="4">
        <f t="shared" si="17"/>
        <v>8.1174361392504599E-2</v>
      </c>
      <c r="AK112" s="1">
        <v>39873</v>
      </c>
      <c r="AL112" s="4">
        <f t="shared" si="18"/>
        <v>9.16794457717095E-2</v>
      </c>
      <c r="AM112" s="4">
        <f t="shared" si="19"/>
        <v>8.6936732679660095E-2</v>
      </c>
      <c r="AO112" s="1">
        <v>39873</v>
      </c>
      <c r="AP112" s="4">
        <f t="shared" si="20"/>
        <v>0.37744108105747198</v>
      </c>
      <c r="AQ112" s="4">
        <f t="shared" si="21"/>
        <v>0.39568973188930723</v>
      </c>
    </row>
    <row r="113" spans="1:43" x14ac:dyDescent="0.25">
      <c r="A113" s="1">
        <v>40238</v>
      </c>
      <c r="B113" s="4">
        <v>9.4245917674741997E-2</v>
      </c>
      <c r="C113" s="4">
        <v>3.1324752553051102E-2</v>
      </c>
      <c r="D113" s="4">
        <v>1.99580247646012E-2</v>
      </c>
      <c r="E113" s="4">
        <v>4.6360047781143802E-3</v>
      </c>
      <c r="F113" s="4">
        <v>4.8133187791674402E-3</v>
      </c>
      <c r="G113" s="4">
        <v>2.0535074044694301E-2</v>
      </c>
      <c r="H113" s="4">
        <v>8.1267174919628496E-2</v>
      </c>
      <c r="I113" s="4">
        <v>0.58975603022507905</v>
      </c>
      <c r="J113" s="4">
        <v>9.94480987936954E-2</v>
      </c>
      <c r="K113" s="4">
        <v>0.110803966472576</v>
      </c>
      <c r="L113" s="4">
        <v>8.1064902052831699E-3</v>
      </c>
      <c r="M113" s="4">
        <v>0.80811458569663397</v>
      </c>
      <c r="N113" s="4">
        <f t="shared" si="11"/>
        <v>0.36739850689773645</v>
      </c>
      <c r="P113" s="1">
        <v>39934</v>
      </c>
      <c r="Q113" s="4">
        <v>8.3295319289522093E-2</v>
      </c>
      <c r="R113" s="4">
        <v>8.94278411008535E-2</v>
      </c>
      <c r="S113" s="4">
        <v>8.94278411008535E-2</v>
      </c>
      <c r="T113" s="4">
        <v>-8.1875320752664904E-2</v>
      </c>
      <c r="U113" s="4">
        <v>0.57629603671100604</v>
      </c>
      <c r="V113" s="4">
        <v>0.37695463032952597</v>
      </c>
      <c r="Y113" s="1">
        <v>39904</v>
      </c>
      <c r="Z113" s="4">
        <f t="shared" si="12"/>
        <v>8.2996169750501295E-2</v>
      </c>
      <c r="AA113" s="4">
        <f t="shared" si="13"/>
        <v>9.0776032675321805E-2</v>
      </c>
      <c r="AC113" s="1">
        <v>39904</v>
      </c>
      <c r="AD113" s="4">
        <f t="shared" si="14"/>
        <v>8.8184287507963505E-2</v>
      </c>
      <c r="AE113" s="4">
        <f t="shared" si="15"/>
        <v>0.118227101431449</v>
      </c>
      <c r="AG113" s="1">
        <v>39904</v>
      </c>
      <c r="AH113" s="4">
        <f t="shared" si="16"/>
        <v>8.3682289187508099E-2</v>
      </c>
      <c r="AI113" s="4">
        <f t="shared" si="17"/>
        <v>7.8320114763217194E-2</v>
      </c>
      <c r="AK113" s="1">
        <v>39904</v>
      </c>
      <c r="AL113" s="4">
        <f t="shared" si="18"/>
        <v>8.8184287507963505E-2</v>
      </c>
      <c r="AM113" s="4">
        <f t="shared" si="19"/>
        <v>8.3993653139610797E-2</v>
      </c>
      <c r="AO113" s="1">
        <v>39904</v>
      </c>
      <c r="AP113" s="4">
        <f t="shared" si="20"/>
        <v>0.37739481160691601</v>
      </c>
      <c r="AQ113" s="4">
        <f t="shared" si="21"/>
        <v>0.39108128409896004</v>
      </c>
    </row>
    <row r="114" spans="1:43" x14ac:dyDescent="0.25">
      <c r="A114" s="1">
        <v>40269</v>
      </c>
      <c r="B114" s="4">
        <v>9.4631756047540094E-2</v>
      </c>
      <c r="C114" s="4">
        <v>3.0819233871916998E-2</v>
      </c>
      <c r="D114" s="4">
        <v>1.9447844958884401E-2</v>
      </c>
      <c r="E114" s="4">
        <v>4.8322193765359097E-3</v>
      </c>
      <c r="F114" s="4">
        <v>5.1290208770342601E-3</v>
      </c>
      <c r="G114" s="4">
        <v>2.0850653095835701E-2</v>
      </c>
      <c r="H114" s="4">
        <v>8.1078972180207404E-2</v>
      </c>
      <c r="I114" s="4">
        <v>0.61235365103941597</v>
      </c>
      <c r="J114" s="4">
        <v>9.5274756797308305E-2</v>
      </c>
      <c r="K114" s="4">
        <v>0.10428848592156</v>
      </c>
      <c r="L114" s="4">
        <v>9.6375416720238805E-3</v>
      </c>
      <c r="M114" s="4">
        <v>0.82155443543030904</v>
      </c>
      <c r="N114" s="4">
        <f t="shared" si="11"/>
        <v>0.35415629279743843</v>
      </c>
      <c r="P114" s="1">
        <v>39965</v>
      </c>
      <c r="Q114" s="4">
        <v>8.40753384734374E-2</v>
      </c>
      <c r="R114" s="4">
        <v>8.6647898186982195E-2</v>
      </c>
      <c r="S114" s="4">
        <v>8.6647898186982195E-2</v>
      </c>
      <c r="T114" s="4">
        <v>-8.3266885995347706E-2</v>
      </c>
      <c r="U114" s="4">
        <v>0.56429690582583303</v>
      </c>
      <c r="V114" s="4">
        <v>0.400930813785914</v>
      </c>
      <c r="Y114" s="1">
        <v>39934</v>
      </c>
      <c r="Z114" s="4">
        <f t="shared" si="12"/>
        <v>8.3295319289522093E-2</v>
      </c>
      <c r="AA114" s="4">
        <f t="shared" si="13"/>
        <v>8.9505483468103095E-2</v>
      </c>
      <c r="AC114" s="1">
        <v>39934</v>
      </c>
      <c r="AD114" s="4">
        <f t="shared" si="14"/>
        <v>8.94278411008535E-2</v>
      </c>
      <c r="AE114" s="4">
        <f t="shared" si="15"/>
        <v>0.11517108433777</v>
      </c>
      <c r="AG114" s="1">
        <v>39934</v>
      </c>
      <c r="AH114" s="4">
        <f t="shared" si="16"/>
        <v>8.1875320752664904E-2</v>
      </c>
      <c r="AI114" s="4">
        <f t="shared" si="17"/>
        <v>7.3788383379434302E-2</v>
      </c>
      <c r="AK114" s="1">
        <v>39934</v>
      </c>
      <c r="AL114" s="4">
        <f t="shared" si="18"/>
        <v>8.94278411008535E-2</v>
      </c>
      <c r="AM114" s="4">
        <f t="shared" si="19"/>
        <v>9.7583768367970725E-2</v>
      </c>
      <c r="AO114" s="1">
        <v>39934</v>
      </c>
      <c r="AP114" s="4">
        <f t="shared" si="20"/>
        <v>0.37695463032952597</v>
      </c>
      <c r="AQ114" s="4">
        <f t="shared" si="21"/>
        <v>0.36810204899499044</v>
      </c>
    </row>
    <row r="115" spans="1:43" x14ac:dyDescent="0.25">
      <c r="A115" s="1">
        <v>40299</v>
      </c>
      <c r="B115" s="4">
        <v>9.4038895258377497E-2</v>
      </c>
      <c r="C115" s="4">
        <v>3.07365848068256E-2</v>
      </c>
      <c r="D115" s="4">
        <v>1.9682878378724501E-2</v>
      </c>
      <c r="E115" s="4">
        <v>4.7605298074042896E-3</v>
      </c>
      <c r="F115" s="4">
        <v>5.1252959011983497E-3</v>
      </c>
      <c r="G115" s="4">
        <v>2.0136955635994901E-2</v>
      </c>
      <c r="H115" s="4">
        <v>8.04422445301477E-2</v>
      </c>
      <c r="I115" s="4">
        <v>0.59788476989730199</v>
      </c>
      <c r="J115" s="4">
        <v>9.6411872271719698E-2</v>
      </c>
      <c r="K115" s="4">
        <v>0.115252720442954</v>
      </c>
      <c r="L115" s="4">
        <v>7.4120228981993498E-3</v>
      </c>
      <c r="M115" s="4">
        <v>0.81696138551017505</v>
      </c>
      <c r="N115" s="4">
        <f t="shared" si="11"/>
        <v>0.35751975427835025</v>
      </c>
      <c r="P115" s="1">
        <v>39995</v>
      </c>
      <c r="Q115" s="4">
        <v>8.2840195412398607E-2</v>
      </c>
      <c r="R115" s="4">
        <v>8.2991984372119298E-2</v>
      </c>
      <c r="S115" s="4">
        <v>8.2991984372119298E-2</v>
      </c>
      <c r="T115" s="4">
        <v>-8.13270526911644E-2</v>
      </c>
      <c r="U115" s="4">
        <v>0.58476288573916002</v>
      </c>
      <c r="V115" s="4">
        <v>0.368946071162778</v>
      </c>
      <c r="Y115" s="1">
        <v>39965</v>
      </c>
      <c r="Z115" s="4">
        <f t="shared" si="12"/>
        <v>8.40753384734374E-2</v>
      </c>
      <c r="AA115" s="4">
        <f t="shared" si="13"/>
        <v>8.7854259001761803E-2</v>
      </c>
      <c r="AC115" s="1">
        <v>39965</v>
      </c>
      <c r="AD115" s="4">
        <f t="shared" si="14"/>
        <v>8.6647898186982195E-2</v>
      </c>
      <c r="AE115" s="4">
        <f t="shared" si="15"/>
        <v>0.116991973284208</v>
      </c>
      <c r="AG115" s="1">
        <v>39965</v>
      </c>
      <c r="AH115" s="4">
        <f t="shared" si="16"/>
        <v>8.3266885995347706E-2</v>
      </c>
      <c r="AI115" s="4">
        <f t="shared" si="17"/>
        <v>7.2260790536817596E-2</v>
      </c>
      <c r="AK115" s="1">
        <v>39965</v>
      </c>
      <c r="AL115" s="4">
        <f t="shared" si="18"/>
        <v>8.6647898186982195E-2</v>
      </c>
      <c r="AM115" s="4">
        <f t="shared" si="19"/>
        <v>9.8358653239457625E-2</v>
      </c>
      <c r="AO115" s="1">
        <v>39965</v>
      </c>
      <c r="AP115" s="4">
        <f t="shared" si="20"/>
        <v>0.400930813785914</v>
      </c>
      <c r="AQ115" s="4">
        <f t="shared" si="21"/>
        <v>0.36582135101639646</v>
      </c>
    </row>
    <row r="116" spans="1:43" x14ac:dyDescent="0.25">
      <c r="A116" s="1">
        <v>40330</v>
      </c>
      <c r="B116" s="4">
        <v>9.6386427542306599E-2</v>
      </c>
      <c r="C116" s="4">
        <v>3.1011322898284802E-2</v>
      </c>
      <c r="D116" s="4">
        <v>2.0044311279278498E-2</v>
      </c>
      <c r="E116" s="4">
        <v>4.9438389922415596E-3</v>
      </c>
      <c r="F116" s="4">
        <v>5.3219661256841497E-3</v>
      </c>
      <c r="G116" s="4">
        <v>1.9896582023387899E-2</v>
      </c>
      <c r="H116" s="4">
        <v>8.1218021318876996E-2</v>
      </c>
      <c r="I116" s="4">
        <v>0.59700497247927997</v>
      </c>
      <c r="J116" s="4">
        <v>9.1527801206123902E-2</v>
      </c>
      <c r="K116" s="4">
        <v>0.118436887084024</v>
      </c>
      <c r="L116" s="4">
        <v>1.1861403037362E-2</v>
      </c>
      <c r="M116" s="4">
        <v>0.81883106380679105</v>
      </c>
      <c r="N116" s="4">
        <f t="shared" si="11"/>
        <v>0.3587733850543926</v>
      </c>
      <c r="P116" s="1">
        <v>40026</v>
      </c>
      <c r="Q116" s="4">
        <v>8.4768509022816393E-2</v>
      </c>
      <c r="R116" s="4">
        <v>8.7835085473888894E-2</v>
      </c>
      <c r="S116" s="4">
        <v>8.7835085473888894E-2</v>
      </c>
      <c r="T116" s="4">
        <v>-8.7900625802578805E-2</v>
      </c>
      <c r="U116" s="4">
        <v>0.58780381440062002</v>
      </c>
      <c r="V116" s="4">
        <v>0.387757717282596</v>
      </c>
      <c r="Y116" s="1">
        <v>39995</v>
      </c>
      <c r="Z116" s="4">
        <f t="shared" si="12"/>
        <v>8.2840195412398607E-2</v>
      </c>
      <c r="AA116" s="4">
        <f t="shared" si="13"/>
        <v>8.6071684312795702E-2</v>
      </c>
      <c r="AC116" s="1">
        <v>39995</v>
      </c>
      <c r="AD116" s="4">
        <f t="shared" si="14"/>
        <v>8.2991984372119298E-2</v>
      </c>
      <c r="AE116" s="4">
        <f t="shared" si="15"/>
        <v>0.107081660015453</v>
      </c>
      <c r="AG116" s="1">
        <v>39995</v>
      </c>
      <c r="AH116" s="4">
        <f t="shared" si="16"/>
        <v>8.13270526911644E-2</v>
      </c>
      <c r="AI116" s="4">
        <f t="shared" si="17"/>
        <v>6.9231887827001501E-2</v>
      </c>
      <c r="AK116" s="1">
        <v>39995</v>
      </c>
      <c r="AL116" s="4">
        <f t="shared" si="18"/>
        <v>8.2991984372119298E-2</v>
      </c>
      <c r="AM116" s="4">
        <f t="shared" si="19"/>
        <v>0.10048914635156628</v>
      </c>
      <c r="AO116" s="1">
        <v>39995</v>
      </c>
      <c r="AP116" s="4">
        <f t="shared" si="20"/>
        <v>0.368946071162778</v>
      </c>
      <c r="AQ116" s="4">
        <f t="shared" si="21"/>
        <v>0.3617384730534613</v>
      </c>
    </row>
    <row r="117" spans="1:43" x14ac:dyDescent="0.25">
      <c r="A117" s="1">
        <v>40360</v>
      </c>
      <c r="B117" s="4">
        <v>9.6208191531939102E-2</v>
      </c>
      <c r="C117" s="4">
        <v>3.0268770335774801E-2</v>
      </c>
      <c r="D117" s="4">
        <v>1.9848937069829601E-2</v>
      </c>
      <c r="E117" s="4">
        <v>5.2480225321947004E-3</v>
      </c>
      <c r="F117" s="4">
        <v>4.8308856634765003E-3</v>
      </c>
      <c r="G117" s="4">
        <v>1.9581732369591098E-2</v>
      </c>
      <c r="H117" s="4">
        <v>7.9778347970866803E-2</v>
      </c>
      <c r="I117" s="4">
        <v>0.60477988755901702</v>
      </c>
      <c r="J117" s="4">
        <v>8.4134124216273795E-2</v>
      </c>
      <c r="K117" s="4">
        <v>9.7554151516855994E-2</v>
      </c>
      <c r="L117" s="4">
        <v>1.08123189454185E-2</v>
      </c>
      <c r="M117" s="4">
        <v>0.79728048223756598</v>
      </c>
      <c r="N117" s="4">
        <f t="shared" si="11"/>
        <v>0.37870605726523998</v>
      </c>
      <c r="P117" s="1">
        <v>40057</v>
      </c>
      <c r="Q117" s="4">
        <v>8.3091997337019705E-2</v>
      </c>
      <c r="R117" s="4">
        <v>8.8079633350379202E-2</v>
      </c>
      <c r="S117" s="4">
        <v>8.8079633350379202E-2</v>
      </c>
      <c r="T117" s="4">
        <v>-8.5322725714557998E-2</v>
      </c>
      <c r="U117" s="4">
        <v>0.56435085575663602</v>
      </c>
      <c r="V117" s="4">
        <v>0.40183427535065003</v>
      </c>
      <c r="Y117" s="1">
        <v>40026</v>
      </c>
      <c r="Z117" s="4">
        <f t="shared" si="12"/>
        <v>8.4768509022816393E-2</v>
      </c>
      <c r="AA117" s="4">
        <f t="shared" si="13"/>
        <v>8.5882769001684206E-2</v>
      </c>
      <c r="AC117" s="1">
        <v>40026</v>
      </c>
      <c r="AD117" s="4">
        <f t="shared" si="14"/>
        <v>8.7835085473888894E-2</v>
      </c>
      <c r="AE117" s="4">
        <f t="shared" si="15"/>
        <v>0.113163669200777</v>
      </c>
      <c r="AG117" s="1">
        <v>40026</v>
      </c>
      <c r="AH117" s="4">
        <f t="shared" si="16"/>
        <v>8.7900625802578805E-2</v>
      </c>
      <c r="AI117" s="4">
        <f t="shared" si="17"/>
        <v>7.0493913584524295E-2</v>
      </c>
      <c r="AK117" s="1">
        <v>40026</v>
      </c>
      <c r="AL117" s="4">
        <f t="shared" si="18"/>
        <v>8.7835085473888894E-2</v>
      </c>
      <c r="AM117" s="4">
        <f t="shared" si="19"/>
        <v>9.2083580315489869E-2</v>
      </c>
      <c r="AO117" s="1">
        <v>40026</v>
      </c>
      <c r="AP117" s="4">
        <f t="shared" si="20"/>
        <v>0.387757717282596</v>
      </c>
      <c r="AQ117" s="4">
        <f t="shared" si="21"/>
        <v>0.37255410846862647</v>
      </c>
    </row>
    <row r="118" spans="1:43" x14ac:dyDescent="0.25">
      <c r="A118" s="1">
        <v>40391</v>
      </c>
      <c r="B118" s="4">
        <v>9.8230307920017301E-2</v>
      </c>
      <c r="C118" s="4">
        <v>3.23026537319459E-2</v>
      </c>
      <c r="D118" s="4">
        <v>2.0925912004370599E-2</v>
      </c>
      <c r="E118" s="4">
        <v>5.6891699548863401E-3</v>
      </c>
      <c r="F118" s="4">
        <v>5.1465053436651398E-3</v>
      </c>
      <c r="G118" s="4">
        <v>2.0043522032005399E-2</v>
      </c>
      <c r="H118" s="4">
        <v>8.4107763066873495E-2</v>
      </c>
      <c r="I118" s="4">
        <v>0.58236804760342797</v>
      </c>
      <c r="J118" s="4">
        <v>9.7090589994050597E-2</v>
      </c>
      <c r="K118" s="4">
        <v>0.107462843442459</v>
      </c>
      <c r="L118" s="4">
        <v>1.49876366078339E-2</v>
      </c>
      <c r="M118" s="4">
        <v>0.80190911764777195</v>
      </c>
      <c r="N118" s="4">
        <f t="shared" si="11"/>
        <v>0.38042895333911875</v>
      </c>
      <c r="P118" s="1">
        <v>40087</v>
      </c>
      <c r="Q118" s="4">
        <v>8.30712630880171E-2</v>
      </c>
      <c r="R118" s="4">
        <v>8.1417764455446795E-2</v>
      </c>
      <c r="S118" s="4">
        <v>8.1417764455446795E-2</v>
      </c>
      <c r="T118" s="4">
        <v>-8.6646665695185907E-2</v>
      </c>
      <c r="U118" s="4">
        <v>0.58881335308687499</v>
      </c>
      <c r="V118" s="4">
        <v>0.40593601869052898</v>
      </c>
      <c r="Y118" s="1">
        <v>40057</v>
      </c>
      <c r="Z118" s="4">
        <f t="shared" si="12"/>
        <v>8.3091997337019705E-2</v>
      </c>
      <c r="AA118" s="4">
        <f t="shared" si="13"/>
        <v>8.7696310405306899E-2</v>
      </c>
      <c r="AC118" s="1">
        <v>40057</v>
      </c>
      <c r="AD118" s="4">
        <f t="shared" si="14"/>
        <v>8.8079633350379202E-2</v>
      </c>
      <c r="AE118" s="4">
        <f t="shared" si="15"/>
        <v>9.9046025107514604E-2</v>
      </c>
      <c r="AG118" s="1">
        <v>40057</v>
      </c>
      <c r="AH118" s="4">
        <f t="shared" si="16"/>
        <v>8.5322725714557998E-2</v>
      </c>
      <c r="AI118" s="4">
        <f t="shared" si="17"/>
        <v>7.1288740727128694E-2</v>
      </c>
      <c r="AK118" s="1">
        <v>40057</v>
      </c>
      <c r="AL118" s="4">
        <f t="shared" si="18"/>
        <v>8.8079633350379202E-2</v>
      </c>
      <c r="AM118" s="4">
        <f t="shared" si="19"/>
        <v>0.11042559349867183</v>
      </c>
      <c r="AO118" s="1">
        <v>40057</v>
      </c>
      <c r="AP118" s="4">
        <f t="shared" si="20"/>
        <v>0.40183427535065003</v>
      </c>
      <c r="AQ118" s="4">
        <f t="shared" si="21"/>
        <v>0.35713040878097357</v>
      </c>
    </row>
    <row r="119" spans="1:43" x14ac:dyDescent="0.25">
      <c r="A119" s="1">
        <v>40422</v>
      </c>
      <c r="B119" s="4">
        <v>0.10024678450164801</v>
      </c>
      <c r="C119" s="4">
        <v>3.13745531411493E-2</v>
      </c>
      <c r="D119" s="4">
        <v>2.1115844393680298E-2</v>
      </c>
      <c r="E119" s="4">
        <v>5.7921597607095698E-3</v>
      </c>
      <c r="F119" s="4">
        <v>5.5335051927690102E-3</v>
      </c>
      <c r="G119" s="4">
        <v>1.9731131461924199E-2</v>
      </c>
      <c r="H119" s="4">
        <v>8.3547193950232398E-2</v>
      </c>
      <c r="I119" s="4">
        <v>0.57649505237597398</v>
      </c>
      <c r="J119" s="4">
        <v>8.9199891045052895E-2</v>
      </c>
      <c r="K119" s="4">
        <v>0.110305646596431</v>
      </c>
      <c r="L119" s="4">
        <v>1.1242974309339E-2</v>
      </c>
      <c r="M119" s="4">
        <v>0.78724356432679699</v>
      </c>
      <c r="N119" s="4">
        <f t="shared" si="11"/>
        <v>0.39655041412508352</v>
      </c>
      <c r="P119" s="1">
        <v>40118</v>
      </c>
      <c r="Q119" s="4">
        <v>8.5261142934000195E-2</v>
      </c>
      <c r="R119" s="4">
        <v>8.8397669930545195E-2</v>
      </c>
      <c r="S119" s="4">
        <v>8.8397669930545195E-2</v>
      </c>
      <c r="T119" s="4">
        <v>-8.8053968253258605E-2</v>
      </c>
      <c r="U119" s="4">
        <v>0.57899543349612004</v>
      </c>
      <c r="V119" s="4">
        <v>0.38411488562944301</v>
      </c>
      <c r="Y119" s="1">
        <v>40087</v>
      </c>
      <c r="Z119" s="4">
        <f t="shared" si="12"/>
        <v>8.30712630880171E-2</v>
      </c>
      <c r="AA119" s="4">
        <f t="shared" si="13"/>
        <v>8.8583852928332193E-2</v>
      </c>
      <c r="AC119" s="1">
        <v>40087</v>
      </c>
      <c r="AD119" s="4">
        <f t="shared" si="14"/>
        <v>8.1417764455446795E-2</v>
      </c>
      <c r="AE119" s="4">
        <f t="shared" si="15"/>
        <v>0.102523732913921</v>
      </c>
      <c r="AG119" s="1">
        <v>40087</v>
      </c>
      <c r="AH119" s="4">
        <f t="shared" si="16"/>
        <v>8.6646665695185907E-2</v>
      </c>
      <c r="AI119" s="4">
        <f t="shared" si="17"/>
        <v>7.5062579338979099E-2</v>
      </c>
      <c r="AK119" s="1">
        <v>40087</v>
      </c>
      <c r="AL119" s="4">
        <f t="shared" si="18"/>
        <v>8.1417764455446795E-2</v>
      </c>
      <c r="AM119" s="4">
        <f t="shared" si="19"/>
        <v>0.1176166725905689</v>
      </c>
      <c r="AO119" s="1">
        <v>40087</v>
      </c>
      <c r="AP119" s="4">
        <f t="shared" si="20"/>
        <v>0.40593601869052898</v>
      </c>
      <c r="AQ119" s="4">
        <f t="shared" si="21"/>
        <v>0.34967839591650529</v>
      </c>
    </row>
    <row r="120" spans="1:43" x14ac:dyDescent="0.25">
      <c r="A120" s="1">
        <v>40452</v>
      </c>
      <c r="B120" s="4">
        <v>9.8588393400362004E-2</v>
      </c>
      <c r="C120" s="4">
        <v>2.8840281088379102E-2</v>
      </c>
      <c r="D120" s="4">
        <v>2.0582651829825702E-2</v>
      </c>
      <c r="E120" s="4">
        <v>5.9116263708159401E-3</v>
      </c>
      <c r="F120" s="4">
        <v>4.6136425823259499E-3</v>
      </c>
      <c r="G120" s="4">
        <v>1.82538676345037E-2</v>
      </c>
      <c r="H120" s="4">
        <v>7.8202069505850597E-2</v>
      </c>
      <c r="I120" s="4">
        <v>0.573854849248703</v>
      </c>
      <c r="J120" s="4">
        <v>8.6173690036323997E-2</v>
      </c>
      <c r="K120" s="4">
        <v>0.108547237377906</v>
      </c>
      <c r="L120" s="4">
        <v>1.46054724792384E-2</v>
      </c>
      <c r="M120" s="4">
        <v>0.78318124914217202</v>
      </c>
      <c r="N120" s="4">
        <f t="shared" si="11"/>
        <v>0.39360921376404046</v>
      </c>
      <c r="P120" s="1">
        <v>40148</v>
      </c>
      <c r="Q120" s="4">
        <v>8.6701423275640399E-2</v>
      </c>
      <c r="R120" s="4">
        <v>7.98923304313129E-2</v>
      </c>
      <c r="S120" s="4">
        <v>7.98923304313129E-2</v>
      </c>
      <c r="T120" s="4">
        <v>-8.7228170131216407E-2</v>
      </c>
      <c r="U120" s="4">
        <v>0.57401011976209804</v>
      </c>
      <c r="V120" s="4">
        <v>0.40208013904701501</v>
      </c>
      <c r="Y120" s="1">
        <v>40118</v>
      </c>
      <c r="Z120" s="4">
        <f t="shared" si="12"/>
        <v>8.5261142934000195E-2</v>
      </c>
      <c r="AA120" s="4">
        <f t="shared" si="13"/>
        <v>8.7887045424018206E-2</v>
      </c>
      <c r="AC120" s="1">
        <v>40118</v>
      </c>
      <c r="AD120" s="4">
        <f t="shared" si="14"/>
        <v>8.8397669930545195E-2</v>
      </c>
      <c r="AE120" s="4">
        <f t="shared" si="15"/>
        <v>0.10150706312857199</v>
      </c>
      <c r="AG120" s="1">
        <v>40118</v>
      </c>
      <c r="AH120" s="4">
        <f t="shared" si="16"/>
        <v>8.8053968253258605E-2</v>
      </c>
      <c r="AI120" s="4">
        <f t="shared" si="17"/>
        <v>7.1927821816128307E-2</v>
      </c>
      <c r="AK120" s="1">
        <v>40118</v>
      </c>
      <c r="AL120" s="4">
        <f t="shared" si="18"/>
        <v>8.8397669930545195E-2</v>
      </c>
      <c r="AM120" s="4">
        <f t="shared" si="19"/>
        <v>0.1223852939424387</v>
      </c>
      <c r="AO120" s="1">
        <v>40118</v>
      </c>
      <c r="AP120" s="4">
        <f t="shared" si="20"/>
        <v>0.38411488562944301</v>
      </c>
      <c r="AQ120" s="4">
        <f t="shared" si="21"/>
        <v>0.33470499809165244</v>
      </c>
    </row>
    <row r="121" spans="1:43" x14ac:dyDescent="0.25">
      <c r="A121" s="1">
        <v>40483</v>
      </c>
      <c r="B121" s="4">
        <v>9.7682272237059803E-2</v>
      </c>
      <c r="C121" s="4">
        <v>2.8989402572533299E-2</v>
      </c>
      <c r="D121" s="4">
        <v>1.9360367503919101E-2</v>
      </c>
      <c r="E121" s="4">
        <v>6.41456367234441E-3</v>
      </c>
      <c r="F121" s="4">
        <v>4.3804006913290301E-3</v>
      </c>
      <c r="G121" s="4">
        <v>1.8797280535573901E-2</v>
      </c>
      <c r="H121" s="4">
        <v>7.7942014975699803E-2</v>
      </c>
      <c r="I121" s="4">
        <v>0.54645413987954705</v>
      </c>
      <c r="J121" s="4">
        <v>9.0094465654317099E-2</v>
      </c>
      <c r="K121" s="4">
        <v>0.110769962441845</v>
      </c>
      <c r="L121" s="4">
        <v>1.10047192831831E-2</v>
      </c>
      <c r="M121" s="4">
        <v>0.75832328725889198</v>
      </c>
      <c r="N121" s="4">
        <f t="shared" si="11"/>
        <v>0.4173009999538676</v>
      </c>
      <c r="P121" s="1">
        <v>40179</v>
      </c>
      <c r="Q121" s="4">
        <v>8.7766539899518603E-2</v>
      </c>
      <c r="R121" s="4">
        <v>7.8180496100107799E-2</v>
      </c>
      <c r="S121" s="4">
        <v>7.8180496100107799E-2</v>
      </c>
      <c r="T121" s="4">
        <v>-8.7854936546355206E-2</v>
      </c>
      <c r="U121" s="4">
        <v>0.56468910757271595</v>
      </c>
      <c r="V121" s="4">
        <v>0.41567097854373303</v>
      </c>
      <c r="Y121" s="1">
        <v>40148</v>
      </c>
      <c r="Z121" s="4">
        <f t="shared" si="12"/>
        <v>8.6701423275640399E-2</v>
      </c>
      <c r="AA121" s="4">
        <f t="shared" si="13"/>
        <v>9.0867589632959003E-2</v>
      </c>
      <c r="AC121" s="1">
        <v>40148</v>
      </c>
      <c r="AD121" s="4">
        <f t="shared" si="14"/>
        <v>7.98923304313129E-2</v>
      </c>
      <c r="AE121" s="4">
        <f t="shared" si="15"/>
        <v>9.6361856644978303E-2</v>
      </c>
      <c r="AG121" s="1">
        <v>40148</v>
      </c>
      <c r="AH121" s="4">
        <f t="shared" si="16"/>
        <v>8.7228170131216407E-2</v>
      </c>
      <c r="AI121" s="4">
        <f t="shared" si="17"/>
        <v>7.6438775402121198E-2</v>
      </c>
      <c r="AK121" s="1">
        <v>40148</v>
      </c>
      <c r="AL121" s="4">
        <f t="shared" si="18"/>
        <v>7.98923304313129E-2</v>
      </c>
      <c r="AM121" s="4">
        <f t="shared" si="19"/>
        <v>0.13284470216904837</v>
      </c>
      <c r="AO121" s="1">
        <v>40148</v>
      </c>
      <c r="AP121" s="4">
        <f t="shared" si="20"/>
        <v>0.40208013904701501</v>
      </c>
      <c r="AQ121" s="4">
        <f t="shared" si="21"/>
        <v>0.34995173770015608</v>
      </c>
    </row>
    <row r="122" spans="1:43" x14ac:dyDescent="0.25">
      <c r="A122" s="1">
        <v>40513</v>
      </c>
      <c r="B122" s="4">
        <v>0.10175319125200601</v>
      </c>
      <c r="C122" s="4">
        <v>2.85487320777289E-2</v>
      </c>
      <c r="D122" s="4">
        <v>1.9811264054093801E-2</v>
      </c>
      <c r="E122" s="4">
        <v>6.1952249878359199E-3</v>
      </c>
      <c r="F122" s="4">
        <v>5.2510550566289803E-3</v>
      </c>
      <c r="G122" s="4">
        <v>2.1240029830577701E-2</v>
      </c>
      <c r="H122" s="4">
        <v>8.1046306006865396E-2</v>
      </c>
      <c r="I122" s="4">
        <v>0.57951899540629004</v>
      </c>
      <c r="J122" s="4">
        <v>8.8947655051484595E-2</v>
      </c>
      <c r="K122" s="4">
        <v>0.104459724060651</v>
      </c>
      <c r="L122" s="4">
        <v>1.0744288457596099E-2</v>
      </c>
      <c r="M122" s="4">
        <v>0.78367066297602295</v>
      </c>
      <c r="N122" s="4">
        <f t="shared" si="11"/>
        <v>0.3991288342828484</v>
      </c>
      <c r="P122" s="1">
        <v>40210</v>
      </c>
      <c r="Q122" s="4">
        <v>8.9559017451881801E-2</v>
      </c>
      <c r="R122" s="4">
        <v>8.2604733815412598E-2</v>
      </c>
      <c r="S122" s="4">
        <v>8.2604733815412598E-2</v>
      </c>
      <c r="T122" s="4">
        <v>-8.8628022981457805E-2</v>
      </c>
      <c r="U122" s="4">
        <v>0.56502119045961496</v>
      </c>
      <c r="V122" s="4">
        <v>0.406325117403947</v>
      </c>
      <c r="Y122" s="1">
        <v>40179</v>
      </c>
      <c r="Z122" s="4">
        <f t="shared" si="12"/>
        <v>8.7766539899518603E-2</v>
      </c>
      <c r="AA122" s="4">
        <f t="shared" si="13"/>
        <v>9.1877758204817001E-2</v>
      </c>
      <c r="AC122" s="1">
        <v>40179</v>
      </c>
      <c r="AD122" s="4">
        <f t="shared" si="14"/>
        <v>7.8180496100107799E-2</v>
      </c>
      <c r="AE122" s="4">
        <f t="shared" si="15"/>
        <v>9.3058350733900203E-2</v>
      </c>
      <c r="AG122" s="1">
        <v>40179</v>
      </c>
      <c r="AH122" s="4">
        <f t="shared" si="16"/>
        <v>8.7854936546355206E-2</v>
      </c>
      <c r="AI122" s="4">
        <f t="shared" si="17"/>
        <v>7.9738273359424294E-2</v>
      </c>
      <c r="AK122" s="1">
        <v>40179</v>
      </c>
      <c r="AL122" s="4">
        <f t="shared" si="18"/>
        <v>7.8180496100107799E-2</v>
      </c>
      <c r="AM122" s="4">
        <f t="shared" si="19"/>
        <v>0.11951277576725997</v>
      </c>
      <c r="AO122" s="1">
        <v>40179</v>
      </c>
      <c r="AP122" s="4">
        <f t="shared" si="20"/>
        <v>0.41567097854373303</v>
      </c>
      <c r="AQ122" s="4">
        <f t="shared" si="21"/>
        <v>0.37709553744382018</v>
      </c>
    </row>
    <row r="123" spans="1:43" x14ac:dyDescent="0.25">
      <c r="A123" s="1">
        <v>40544</v>
      </c>
      <c r="B123" s="4">
        <v>0.106138616392865</v>
      </c>
      <c r="C123" s="4">
        <v>3.2900254438524103E-2</v>
      </c>
      <c r="D123" s="4">
        <v>2.1320630165395999E-2</v>
      </c>
      <c r="E123" s="4">
        <v>6.6680937752043902E-3</v>
      </c>
      <c r="F123" s="4">
        <v>5.8599335015825996E-3</v>
      </c>
      <c r="G123" s="4">
        <v>2.2760869585338201E-2</v>
      </c>
      <c r="H123" s="4">
        <v>8.9509781466045296E-2</v>
      </c>
      <c r="I123" s="4">
        <v>0.54877758752907502</v>
      </c>
      <c r="J123" s="4">
        <v>8.77327528263879E-2</v>
      </c>
      <c r="K123" s="4">
        <v>0.11344975647540299</v>
      </c>
      <c r="L123" s="4">
        <v>1.2717200968618701E-2</v>
      </c>
      <c r="M123" s="4">
        <v>0.76267729779948501</v>
      </c>
      <c r="N123" s="4">
        <f t="shared" si="11"/>
        <v>0.4329711000594253</v>
      </c>
      <c r="P123" s="1">
        <v>40238</v>
      </c>
      <c r="Q123" s="4">
        <v>9.0773952799962004E-2</v>
      </c>
      <c r="R123" s="4">
        <v>8.1844806631045902E-2</v>
      </c>
      <c r="S123" s="4">
        <v>8.1844806631045902E-2</v>
      </c>
      <c r="T123" s="4">
        <v>-9.0492519075963396E-2</v>
      </c>
      <c r="U123" s="4">
        <v>0.592497430569353</v>
      </c>
      <c r="V123" s="4">
        <v>0.41406851140316098</v>
      </c>
      <c r="Y123" s="1">
        <v>40210</v>
      </c>
      <c r="Z123" s="4">
        <f t="shared" si="12"/>
        <v>8.9559017451881801E-2</v>
      </c>
      <c r="AA123" s="4">
        <f t="shared" si="13"/>
        <v>9.3559173124210193E-2</v>
      </c>
      <c r="AC123" s="1">
        <v>40210</v>
      </c>
      <c r="AD123" s="4">
        <f t="shared" si="14"/>
        <v>8.2604733815412598E-2</v>
      </c>
      <c r="AE123" s="4">
        <f t="shared" si="15"/>
        <v>9.1705717710475407E-2</v>
      </c>
      <c r="AG123" s="1">
        <v>40210</v>
      </c>
      <c r="AH123" s="4">
        <f t="shared" si="16"/>
        <v>8.8628022981457805E-2</v>
      </c>
      <c r="AI123" s="4">
        <f t="shared" si="17"/>
        <v>8.2404915564762204E-2</v>
      </c>
      <c r="AK123" s="1">
        <v>40210</v>
      </c>
      <c r="AL123" s="4">
        <f t="shared" si="18"/>
        <v>8.2604733815412598E-2</v>
      </c>
      <c r="AM123" s="4">
        <f t="shared" si="19"/>
        <v>0.12749309348531845</v>
      </c>
      <c r="AO123" s="1">
        <v>40210</v>
      </c>
      <c r="AP123" s="4">
        <f t="shared" si="20"/>
        <v>0.406325117403947</v>
      </c>
      <c r="AQ123" s="4">
        <f t="shared" si="21"/>
        <v>0.38220021976049234</v>
      </c>
    </row>
    <row r="124" spans="1:43" x14ac:dyDescent="0.25">
      <c r="A124" s="1">
        <v>40575</v>
      </c>
      <c r="B124" s="4">
        <v>0.106691606960435</v>
      </c>
      <c r="C124" s="4">
        <v>3.1955063787521103E-2</v>
      </c>
      <c r="D124" s="4">
        <v>2.0959172057937299E-2</v>
      </c>
      <c r="E124" s="4">
        <v>6.7404720093454896E-3</v>
      </c>
      <c r="F124" s="4">
        <v>6.2768217813665697E-3</v>
      </c>
      <c r="G124" s="4">
        <v>2.1654883774070099E-2</v>
      </c>
      <c r="H124" s="4">
        <v>8.7586413410240593E-2</v>
      </c>
      <c r="I124" s="4">
        <v>0.555045974996208</v>
      </c>
      <c r="J124" s="4">
        <v>8.9874266437537403E-2</v>
      </c>
      <c r="K124" s="4">
        <v>0.100271491543168</v>
      </c>
      <c r="L124" s="4">
        <v>1.46559356283036E-2</v>
      </c>
      <c r="M124" s="4">
        <v>0.75984766860521802</v>
      </c>
      <c r="N124" s="4">
        <f t="shared" si="11"/>
        <v>0.43443035176545752</v>
      </c>
      <c r="P124" s="1">
        <v>40269</v>
      </c>
      <c r="Q124" s="4">
        <v>9.1121701092776494E-2</v>
      </c>
      <c r="R124" s="4">
        <v>8.4015293569577196E-2</v>
      </c>
      <c r="S124" s="4">
        <v>8.4015293569577196E-2</v>
      </c>
      <c r="T124" s="4">
        <v>-9.1568459261251803E-2</v>
      </c>
      <c r="U124" s="4">
        <v>0.58312894379411395</v>
      </c>
      <c r="V124" s="4">
        <v>0.43018008521142898</v>
      </c>
      <c r="Y124" s="1">
        <v>40238</v>
      </c>
      <c r="Z124" s="4">
        <f t="shared" si="12"/>
        <v>9.0773952799962004E-2</v>
      </c>
      <c r="AA124" s="4">
        <f t="shared" si="13"/>
        <v>9.4245917674741997E-2</v>
      </c>
      <c r="AC124" s="1">
        <v>40238</v>
      </c>
      <c r="AD124" s="4">
        <f t="shared" si="14"/>
        <v>8.1844806631045902E-2</v>
      </c>
      <c r="AE124" s="4">
        <f t="shared" si="15"/>
        <v>9.94480987936954E-2</v>
      </c>
      <c r="AG124" s="1">
        <v>40238</v>
      </c>
      <c r="AH124" s="4">
        <f t="shared" si="16"/>
        <v>9.0492519075963396E-2</v>
      </c>
      <c r="AI124" s="4">
        <f t="shared" si="17"/>
        <v>8.1267174919628496E-2</v>
      </c>
      <c r="AK124" s="1">
        <v>40238</v>
      </c>
      <c r="AL124" s="4">
        <f t="shared" si="18"/>
        <v>8.1844806631045902E-2</v>
      </c>
      <c r="AM124" s="4">
        <f t="shared" si="19"/>
        <v>0.11891045667785917</v>
      </c>
      <c r="AO124" s="1">
        <v>40238</v>
      </c>
      <c r="AP124" s="4">
        <f t="shared" si="20"/>
        <v>0.41406851140316098</v>
      </c>
      <c r="AQ124" s="4">
        <f t="shared" si="21"/>
        <v>0.36739850689773645</v>
      </c>
    </row>
    <row r="125" spans="1:43" x14ac:dyDescent="0.25">
      <c r="A125" s="1">
        <v>40603</v>
      </c>
      <c r="B125" s="4">
        <v>0.108303380890397</v>
      </c>
      <c r="C125" s="4">
        <v>3.1471563619279101E-2</v>
      </c>
      <c r="D125" s="4">
        <v>2.1546657370487401E-2</v>
      </c>
      <c r="E125" s="4">
        <v>6.7569486639451901E-3</v>
      </c>
      <c r="F125" s="4">
        <v>6.3512030791326203E-3</v>
      </c>
      <c r="G125" s="4">
        <v>2.21893979238664E-2</v>
      </c>
      <c r="H125" s="4">
        <v>8.8315770656710799E-2</v>
      </c>
      <c r="I125" s="4">
        <v>0.56124249273318805</v>
      </c>
      <c r="J125" s="4">
        <v>8.1537914990097896E-2</v>
      </c>
      <c r="K125" s="4">
        <v>0.10249808839588199</v>
      </c>
      <c r="L125" s="4">
        <v>1.2810990894587501E-2</v>
      </c>
      <c r="M125" s="4">
        <v>0.758089487013756</v>
      </c>
      <c r="N125" s="4">
        <f t="shared" si="11"/>
        <v>0.43852966453335185</v>
      </c>
      <c r="P125" s="1">
        <v>40299</v>
      </c>
      <c r="Q125" s="4">
        <v>9.2771040229938304E-2</v>
      </c>
      <c r="R125" s="4">
        <v>8.3777502222571798E-2</v>
      </c>
      <c r="S125" s="4">
        <v>8.3777502222571798E-2</v>
      </c>
      <c r="T125" s="4">
        <v>-9.2217703794483699E-2</v>
      </c>
      <c r="U125" s="4">
        <v>0.57955050742686298</v>
      </c>
      <c r="V125" s="4">
        <v>0.426514341217333</v>
      </c>
      <c r="Y125" s="1">
        <v>40269</v>
      </c>
      <c r="Z125" s="4">
        <f t="shared" si="12"/>
        <v>9.1121701092776494E-2</v>
      </c>
      <c r="AA125" s="4">
        <f t="shared" si="13"/>
        <v>9.4631756047540094E-2</v>
      </c>
      <c r="AC125" s="1">
        <v>40269</v>
      </c>
      <c r="AD125" s="4">
        <f t="shared" si="14"/>
        <v>8.4015293569577196E-2</v>
      </c>
      <c r="AE125" s="4">
        <f t="shared" si="15"/>
        <v>9.5274756797308305E-2</v>
      </c>
      <c r="AG125" s="1">
        <v>40269</v>
      </c>
      <c r="AH125" s="4">
        <f t="shared" si="16"/>
        <v>9.1568459261251803E-2</v>
      </c>
      <c r="AI125" s="4">
        <f t="shared" si="17"/>
        <v>8.1078972180207404E-2</v>
      </c>
      <c r="AK125" s="1">
        <v>40269</v>
      </c>
      <c r="AL125" s="4">
        <f t="shared" si="18"/>
        <v>8.4015293569577196E-2</v>
      </c>
      <c r="AM125" s="4">
        <f t="shared" si="19"/>
        <v>0.11392602759358388</v>
      </c>
      <c r="AO125" s="1">
        <v>40269</v>
      </c>
      <c r="AP125" s="4">
        <f t="shared" si="20"/>
        <v>0.43018008521142898</v>
      </c>
      <c r="AQ125" s="4">
        <f t="shared" si="21"/>
        <v>0.35415629279743843</v>
      </c>
    </row>
    <row r="126" spans="1:43" x14ac:dyDescent="0.25">
      <c r="A126" s="1">
        <v>40634</v>
      </c>
      <c r="B126" s="4">
        <v>0.108596656176419</v>
      </c>
      <c r="C126" s="4">
        <v>3.0661460057336599E-2</v>
      </c>
      <c r="D126" s="4">
        <v>2.1769514327026101E-2</v>
      </c>
      <c r="E126" s="4">
        <v>6.9545545524040903E-3</v>
      </c>
      <c r="F126" s="4">
        <v>6.8901823248833996E-3</v>
      </c>
      <c r="G126" s="4">
        <v>2.2331976651044399E-2</v>
      </c>
      <c r="H126" s="4">
        <v>8.8607687912694702E-2</v>
      </c>
      <c r="I126" s="4">
        <v>0.57696983830286297</v>
      </c>
      <c r="J126" s="4">
        <v>8.4816304136765497E-2</v>
      </c>
      <c r="K126" s="4">
        <v>8.8113445363041998E-2</v>
      </c>
      <c r="L126" s="4">
        <v>1.4453111738637401E-2</v>
      </c>
      <c r="M126" s="4">
        <v>0.76435269954130802</v>
      </c>
      <c r="N126" s="4">
        <f t="shared" si="11"/>
        <v>0.43285164454780578</v>
      </c>
      <c r="P126" s="1">
        <v>40330</v>
      </c>
      <c r="Q126" s="4">
        <v>9.5046865161455898E-2</v>
      </c>
      <c r="R126" s="4">
        <v>8.2113144484105102E-2</v>
      </c>
      <c r="S126" s="4">
        <v>8.2113144484105102E-2</v>
      </c>
      <c r="T126" s="4">
        <v>-9.3829778211737297E-2</v>
      </c>
      <c r="U126" s="4">
        <v>0.56886325127448001</v>
      </c>
      <c r="V126" s="4">
        <v>0.441546790113444</v>
      </c>
      <c r="Y126" s="1">
        <v>40299</v>
      </c>
      <c r="Z126" s="4">
        <f t="shared" si="12"/>
        <v>9.2771040229938304E-2</v>
      </c>
      <c r="AA126" s="4">
        <f t="shared" si="13"/>
        <v>9.4038895258377497E-2</v>
      </c>
      <c r="AC126" s="1">
        <v>40299</v>
      </c>
      <c r="AD126" s="4">
        <f t="shared" si="14"/>
        <v>8.3777502222571798E-2</v>
      </c>
      <c r="AE126" s="4">
        <f t="shared" si="15"/>
        <v>9.6411872271719698E-2</v>
      </c>
      <c r="AG126" s="1">
        <v>40299</v>
      </c>
      <c r="AH126" s="4">
        <f t="shared" si="16"/>
        <v>9.2217703794483699E-2</v>
      </c>
      <c r="AI126" s="4">
        <f t="shared" si="17"/>
        <v>8.04422445301477E-2</v>
      </c>
      <c r="AK126" s="1">
        <v>40299</v>
      </c>
      <c r="AL126" s="4">
        <f t="shared" si="18"/>
        <v>8.3777502222571798E-2</v>
      </c>
      <c r="AM126" s="4">
        <f t="shared" si="19"/>
        <v>0.12266474334115335</v>
      </c>
      <c r="AO126" s="1">
        <v>40299</v>
      </c>
      <c r="AP126" s="4">
        <f t="shared" si="20"/>
        <v>0.426514341217333</v>
      </c>
      <c r="AQ126" s="4">
        <f t="shared" si="21"/>
        <v>0.35751975427835025</v>
      </c>
    </row>
    <row r="127" spans="1:43" x14ac:dyDescent="0.25">
      <c r="A127" s="1">
        <v>40664</v>
      </c>
      <c r="B127" s="4">
        <v>0.108004844907496</v>
      </c>
      <c r="C127" s="4">
        <v>3.0819288354618401E-2</v>
      </c>
      <c r="D127" s="4">
        <v>2.20189262543442E-2</v>
      </c>
      <c r="E127" s="4">
        <v>6.9659211879457804E-3</v>
      </c>
      <c r="F127" s="4">
        <v>6.4997952390613602E-3</v>
      </c>
      <c r="G127" s="4">
        <v>2.1738379267167301E-2</v>
      </c>
      <c r="H127" s="4">
        <v>8.8042310303137195E-2</v>
      </c>
      <c r="I127" s="4">
        <v>0.57098289118432799</v>
      </c>
      <c r="J127" s="4">
        <v>8.1990369115300596E-2</v>
      </c>
      <c r="K127" s="4">
        <v>9.1369869940756201E-2</v>
      </c>
      <c r="L127" s="4">
        <v>1.37006864023521E-2</v>
      </c>
      <c r="M127" s="4">
        <v>0.75804381664273701</v>
      </c>
      <c r="N127" s="4">
        <f t="shared" si="11"/>
        <v>0.43800333856789631</v>
      </c>
      <c r="P127" s="1">
        <v>40360</v>
      </c>
      <c r="Q127" s="4">
        <v>9.5848206095561106E-2</v>
      </c>
      <c r="R127" s="4">
        <v>8.0632786427548994E-2</v>
      </c>
      <c r="S127" s="4">
        <v>8.0632786427548994E-2</v>
      </c>
      <c r="T127" s="4">
        <v>-9.5723193132993906E-2</v>
      </c>
      <c r="U127" s="4">
        <v>0.55864265268550295</v>
      </c>
      <c r="V127" s="4">
        <v>0.449892918995213</v>
      </c>
      <c r="Y127" s="1">
        <v>40330</v>
      </c>
      <c r="Z127" s="4">
        <f t="shared" si="12"/>
        <v>9.5046865161455898E-2</v>
      </c>
      <c r="AA127" s="4">
        <f t="shared" si="13"/>
        <v>9.6386427542306599E-2</v>
      </c>
      <c r="AC127" s="1">
        <v>40330</v>
      </c>
      <c r="AD127" s="4">
        <f t="shared" si="14"/>
        <v>8.2113144484105102E-2</v>
      </c>
      <c r="AE127" s="4">
        <f t="shared" si="15"/>
        <v>9.1527801206123902E-2</v>
      </c>
      <c r="AG127" s="1">
        <v>40330</v>
      </c>
      <c r="AH127" s="4">
        <f t="shared" si="16"/>
        <v>9.3829778211737297E-2</v>
      </c>
      <c r="AI127" s="4">
        <f t="shared" si="17"/>
        <v>8.1218021318876996E-2</v>
      </c>
      <c r="AK127" s="1">
        <v>40330</v>
      </c>
      <c r="AL127" s="4">
        <f t="shared" si="18"/>
        <v>8.2113144484105102E-2</v>
      </c>
      <c r="AM127" s="4">
        <f t="shared" si="19"/>
        <v>0.130298290121386</v>
      </c>
      <c r="AO127" s="1">
        <v>40330</v>
      </c>
      <c r="AP127" s="4">
        <f t="shared" si="20"/>
        <v>0.441546790113444</v>
      </c>
      <c r="AQ127" s="4">
        <f t="shared" si="21"/>
        <v>0.3587733850543926</v>
      </c>
    </row>
    <row r="128" spans="1:43" x14ac:dyDescent="0.25">
      <c r="A128" s="1">
        <v>40695</v>
      </c>
      <c r="B128" s="4">
        <v>0.108004990031236</v>
      </c>
      <c r="C128" s="4">
        <v>2.9936861353325898E-2</v>
      </c>
      <c r="D128" s="4">
        <v>2.16378904157664E-2</v>
      </c>
      <c r="E128" s="4">
        <v>7.1675025359525697E-3</v>
      </c>
      <c r="F128" s="4">
        <v>6.3586642666074297E-3</v>
      </c>
      <c r="G128" s="4">
        <v>2.1636989203735701E-2</v>
      </c>
      <c r="H128" s="4">
        <v>8.6737907775388104E-2</v>
      </c>
      <c r="I128" s="4">
        <v>0.57617694660922303</v>
      </c>
      <c r="J128" s="4">
        <v>8.3110686946176501E-2</v>
      </c>
      <c r="K128" s="4">
        <v>9.1660410930407998E-2</v>
      </c>
      <c r="L128" s="4">
        <v>1.4078544663598201E-2</v>
      </c>
      <c r="M128" s="4">
        <v>0.76502658914940602</v>
      </c>
      <c r="N128" s="4">
        <f t="shared" si="11"/>
        <v>0.4297163086572181</v>
      </c>
      <c r="P128" s="1">
        <v>40391</v>
      </c>
      <c r="Q128" s="4">
        <v>9.7468791704989802E-2</v>
      </c>
      <c r="R128" s="4">
        <v>8.1863449137842006E-2</v>
      </c>
      <c r="S128" s="4">
        <v>8.1863449137842006E-2</v>
      </c>
      <c r="T128" s="4">
        <v>-9.7673595230095098E-2</v>
      </c>
      <c r="U128" s="4">
        <v>0.54602021718372395</v>
      </c>
      <c r="V128" s="4">
        <v>0.462743414770873</v>
      </c>
      <c r="Y128" s="1">
        <v>40360</v>
      </c>
      <c r="Z128" s="4">
        <f t="shared" si="12"/>
        <v>9.5848206095561106E-2</v>
      </c>
      <c r="AA128" s="4">
        <f t="shared" si="13"/>
        <v>9.6208191531939102E-2</v>
      </c>
      <c r="AC128" s="1">
        <v>40360</v>
      </c>
      <c r="AD128" s="4">
        <f t="shared" si="14"/>
        <v>8.0632786427548994E-2</v>
      </c>
      <c r="AE128" s="4">
        <f t="shared" si="15"/>
        <v>8.4134124216273795E-2</v>
      </c>
      <c r="AG128" s="1">
        <v>40360</v>
      </c>
      <c r="AH128" s="4">
        <f t="shared" si="16"/>
        <v>9.5723193132993906E-2</v>
      </c>
      <c r="AI128" s="4">
        <f t="shared" si="17"/>
        <v>7.9778347970866803E-2</v>
      </c>
      <c r="AK128" s="1">
        <v>40360</v>
      </c>
      <c r="AL128" s="4">
        <f t="shared" si="18"/>
        <v>8.0632786427548994E-2</v>
      </c>
      <c r="AM128" s="4">
        <f t="shared" si="19"/>
        <v>0.10836647046227449</v>
      </c>
      <c r="AO128" s="1">
        <v>40360</v>
      </c>
      <c r="AP128" s="4">
        <f t="shared" si="20"/>
        <v>0.449892918995213</v>
      </c>
      <c r="AQ128" s="4">
        <f t="shared" si="21"/>
        <v>0.37870605726523998</v>
      </c>
    </row>
    <row r="129" spans="1:43" x14ac:dyDescent="0.25">
      <c r="A129" s="1">
        <v>40725</v>
      </c>
      <c r="B129" s="4">
        <v>0.109921145809225</v>
      </c>
      <c r="C129" s="4">
        <v>3.1562525783873599E-2</v>
      </c>
      <c r="D129" s="4">
        <v>2.4803548540852399E-2</v>
      </c>
      <c r="E129" s="4">
        <v>7.4122444890121096E-3</v>
      </c>
      <c r="F129" s="4">
        <v>6.7477737866660902E-3</v>
      </c>
      <c r="G129" s="4">
        <v>2.1426100458976801E-2</v>
      </c>
      <c r="H129" s="4">
        <v>9.1952193059381002E-2</v>
      </c>
      <c r="I129" s="4">
        <v>0.56616086880301097</v>
      </c>
      <c r="J129" s="4">
        <v>8.2213855491534302E-2</v>
      </c>
      <c r="K129" s="4">
        <v>9.6532140841050801E-2</v>
      </c>
      <c r="L129" s="4">
        <v>1.60563593568833E-2</v>
      </c>
      <c r="M129" s="4">
        <v>0.760963224492479</v>
      </c>
      <c r="N129" s="4">
        <f t="shared" si="11"/>
        <v>0.44091011437612704</v>
      </c>
      <c r="P129" s="1">
        <v>40422</v>
      </c>
      <c r="Q129" s="4">
        <v>9.7402732731791994E-2</v>
      </c>
      <c r="R129" s="4">
        <v>7.7170387099568E-2</v>
      </c>
      <c r="S129" s="4">
        <v>7.7170387099568E-2</v>
      </c>
      <c r="T129" s="4">
        <v>-9.7988073939977993E-2</v>
      </c>
      <c r="U129" s="4">
        <v>0.53562327225221595</v>
      </c>
      <c r="V129" s="4">
        <v>0.47221211917839501</v>
      </c>
      <c r="Y129" s="1">
        <v>40391</v>
      </c>
      <c r="Z129" s="4">
        <f t="shared" si="12"/>
        <v>9.7468791704989802E-2</v>
      </c>
      <c r="AA129" s="4">
        <f t="shared" si="13"/>
        <v>9.8230307920017301E-2</v>
      </c>
      <c r="AC129" s="1">
        <v>40391</v>
      </c>
      <c r="AD129" s="4">
        <f t="shared" si="14"/>
        <v>8.1863449137842006E-2</v>
      </c>
      <c r="AE129" s="4">
        <f t="shared" si="15"/>
        <v>9.7090589994050597E-2</v>
      </c>
      <c r="AG129" s="1">
        <v>40391</v>
      </c>
      <c r="AH129" s="4">
        <f t="shared" si="16"/>
        <v>9.7673595230095098E-2</v>
      </c>
      <c r="AI129" s="4">
        <f t="shared" si="17"/>
        <v>8.4107763066873495E-2</v>
      </c>
      <c r="AK129" s="1">
        <v>40391</v>
      </c>
      <c r="AL129" s="4">
        <f t="shared" si="18"/>
        <v>8.1863449137842006E-2</v>
      </c>
      <c r="AM129" s="4">
        <f t="shared" si="19"/>
        <v>0.12245048005029291</v>
      </c>
      <c r="AO129" s="1">
        <v>40391</v>
      </c>
      <c r="AP129" s="4">
        <f t="shared" si="20"/>
        <v>0.462743414770873</v>
      </c>
      <c r="AQ129" s="4">
        <f t="shared" si="21"/>
        <v>0.38042895333911875</v>
      </c>
    </row>
    <row r="130" spans="1:43" x14ac:dyDescent="0.25">
      <c r="A130" s="1">
        <v>40756</v>
      </c>
      <c r="B130" s="4">
        <v>0.11061890620463501</v>
      </c>
      <c r="C130" s="4">
        <v>3.2763107105249101E-2</v>
      </c>
      <c r="D130" s="4">
        <v>2.5332166037078201E-2</v>
      </c>
      <c r="E130" s="4">
        <v>7.3469227472030899E-3</v>
      </c>
      <c r="F130" s="4">
        <v>7.51251559248922E-3</v>
      </c>
      <c r="G130" s="4">
        <v>2.1507593533936699E-2</v>
      </c>
      <c r="H130" s="4">
        <v>9.4462305015956399E-2</v>
      </c>
      <c r="I130" s="4">
        <v>0.56257276372994103</v>
      </c>
      <c r="J130" s="4">
        <v>8.37619967627454E-2</v>
      </c>
      <c r="K130" s="4">
        <v>9.7546103083191907E-2</v>
      </c>
      <c r="L130" s="4">
        <v>1.8965795628256999E-2</v>
      </c>
      <c r="M130" s="4">
        <v>0.76284665920413497</v>
      </c>
      <c r="N130" s="4">
        <f t="shared" si="11"/>
        <v>0.44223455201645656</v>
      </c>
      <c r="P130" s="1">
        <v>40452</v>
      </c>
      <c r="Q130" s="4">
        <v>9.6708241013600704E-2</v>
      </c>
      <c r="R130" s="4">
        <v>7.8892000136369503E-2</v>
      </c>
      <c r="S130" s="4">
        <v>7.8892000136369503E-2</v>
      </c>
      <c r="T130" s="4">
        <v>-9.6825006096081495E-2</v>
      </c>
      <c r="U130" s="4">
        <v>0.55219145007421799</v>
      </c>
      <c r="V130" s="4">
        <v>0.45161364171636498</v>
      </c>
      <c r="Y130" s="1">
        <v>40422</v>
      </c>
      <c r="Z130" s="4">
        <f t="shared" si="12"/>
        <v>9.7402732731791994E-2</v>
      </c>
      <c r="AA130" s="4">
        <f t="shared" si="13"/>
        <v>0.10024678450164801</v>
      </c>
      <c r="AC130" s="1">
        <v>40422</v>
      </c>
      <c r="AD130" s="4">
        <f t="shared" si="14"/>
        <v>7.7170387099568E-2</v>
      </c>
      <c r="AE130" s="4">
        <f t="shared" si="15"/>
        <v>8.9199891045052895E-2</v>
      </c>
      <c r="AG130" s="1">
        <v>40422</v>
      </c>
      <c r="AH130" s="4">
        <f t="shared" si="16"/>
        <v>9.7988073939977993E-2</v>
      </c>
      <c r="AI130" s="4">
        <f t="shared" si="17"/>
        <v>8.3547193950232398E-2</v>
      </c>
      <c r="AK130" s="1">
        <v>40422</v>
      </c>
      <c r="AL130" s="4">
        <f t="shared" si="18"/>
        <v>7.7170387099568E-2</v>
      </c>
      <c r="AM130" s="4">
        <f t="shared" si="19"/>
        <v>0.12154862090577</v>
      </c>
      <c r="AO130" s="1">
        <v>40422</v>
      </c>
      <c r="AP130" s="4">
        <f t="shared" si="20"/>
        <v>0.47221211917839501</v>
      </c>
      <c r="AQ130" s="4">
        <f t="shared" si="21"/>
        <v>0.39655041412508352</v>
      </c>
    </row>
    <row r="131" spans="1:43" x14ac:dyDescent="0.25">
      <c r="A131" s="1">
        <v>40787</v>
      </c>
      <c r="B131" s="4">
        <v>0.109934557693772</v>
      </c>
      <c r="C131" s="4">
        <v>3.0271158789368501E-2</v>
      </c>
      <c r="D131" s="4">
        <v>2.4543667906563999E-2</v>
      </c>
      <c r="E131" s="4">
        <v>7.3063300984680998E-3</v>
      </c>
      <c r="F131" s="4">
        <v>7.2079129703499804E-3</v>
      </c>
      <c r="G131" s="4">
        <v>2.0825894140871298E-2</v>
      </c>
      <c r="H131" s="4">
        <v>9.0154963905621999E-2</v>
      </c>
      <c r="I131" s="4">
        <v>0.56225843229594397</v>
      </c>
      <c r="J131" s="4">
        <v>7.56186597444026E-2</v>
      </c>
      <c r="K131" s="4">
        <v>0.100726734707796</v>
      </c>
      <c r="L131" s="4">
        <v>2.08889972644387E-2</v>
      </c>
      <c r="M131" s="4">
        <v>0.759492824012581</v>
      </c>
      <c r="N131" s="4">
        <f t="shared" ref="N131:N170" si="22">B131+H131+1-M131</f>
        <v>0.44059669758681308</v>
      </c>
      <c r="P131" s="1">
        <v>40483</v>
      </c>
      <c r="Q131" s="4">
        <v>9.8016810102534505E-2</v>
      </c>
      <c r="R131" s="4">
        <v>8.0484678350618594E-2</v>
      </c>
      <c r="S131" s="4">
        <v>8.0484678350618594E-2</v>
      </c>
      <c r="T131" s="4">
        <v>-9.6978752094984397E-2</v>
      </c>
      <c r="U131" s="4">
        <v>0.53104871883641502</v>
      </c>
      <c r="V131" s="4">
        <v>0.468138488565709</v>
      </c>
      <c r="Y131" s="1">
        <v>40452</v>
      </c>
      <c r="Z131" s="4">
        <f t="shared" si="12"/>
        <v>9.6708241013600704E-2</v>
      </c>
      <c r="AA131" s="4">
        <f t="shared" si="13"/>
        <v>9.8588393400362004E-2</v>
      </c>
      <c r="AC131" s="1">
        <v>40452</v>
      </c>
      <c r="AD131" s="4">
        <f t="shared" si="14"/>
        <v>7.8892000136369503E-2</v>
      </c>
      <c r="AE131" s="4">
        <f t="shared" si="15"/>
        <v>8.6173690036323997E-2</v>
      </c>
      <c r="AG131" s="1">
        <v>40452</v>
      </c>
      <c r="AH131" s="4">
        <f t="shared" si="16"/>
        <v>9.6825006096081495E-2</v>
      </c>
      <c r="AI131" s="4">
        <f t="shared" si="17"/>
        <v>7.8202069505850597E-2</v>
      </c>
      <c r="AK131" s="1">
        <v>40452</v>
      </c>
      <c r="AL131" s="4">
        <f t="shared" si="18"/>
        <v>7.8892000136369503E-2</v>
      </c>
      <c r="AM131" s="4">
        <f t="shared" si="19"/>
        <v>0.12315270985714441</v>
      </c>
      <c r="AO131" s="1">
        <v>40452</v>
      </c>
      <c r="AP131" s="4">
        <f t="shared" si="20"/>
        <v>0.45161364171636498</v>
      </c>
      <c r="AQ131" s="4">
        <f t="shared" si="21"/>
        <v>0.39360921376404046</v>
      </c>
    </row>
    <row r="132" spans="1:43" x14ac:dyDescent="0.25">
      <c r="A132" s="1">
        <v>40817</v>
      </c>
      <c r="B132" s="4">
        <v>0.11070247902234701</v>
      </c>
      <c r="C132" s="4">
        <v>3.1643654672275402E-2</v>
      </c>
      <c r="D132" s="4">
        <v>2.5614298667918999E-2</v>
      </c>
      <c r="E132" s="4">
        <v>7.7445180713539303E-3</v>
      </c>
      <c r="F132" s="4">
        <v>7.3744313485861104E-3</v>
      </c>
      <c r="G132" s="4">
        <v>2.2049366681757099E-2</v>
      </c>
      <c r="H132" s="4">
        <v>9.44262694418916E-2</v>
      </c>
      <c r="I132" s="4">
        <v>0.57208792124752805</v>
      </c>
      <c r="J132" s="4">
        <v>7.6139725004689907E-2</v>
      </c>
      <c r="K132" s="4">
        <v>9.4199271766957304E-2</v>
      </c>
      <c r="L132" s="4">
        <v>1.9711341846017701E-2</v>
      </c>
      <c r="M132" s="4">
        <v>0.76213825986519301</v>
      </c>
      <c r="N132" s="4">
        <f t="shared" si="22"/>
        <v>0.44299048859904555</v>
      </c>
      <c r="P132" s="1">
        <v>40513</v>
      </c>
      <c r="Q132" s="4">
        <v>0.100693029543902</v>
      </c>
      <c r="R132" s="4">
        <v>8.6675482535144496E-2</v>
      </c>
      <c r="S132" s="4">
        <v>8.6675482535144496E-2</v>
      </c>
      <c r="T132" s="4">
        <v>-0.101427461367207</v>
      </c>
      <c r="U132" s="4">
        <v>0.55679528796382904</v>
      </c>
      <c r="V132" s="4">
        <v>0.47658169281798202</v>
      </c>
      <c r="Y132" s="1">
        <v>40483</v>
      </c>
      <c r="Z132" s="4">
        <f t="shared" ref="Z132:Z178" si="23">VLOOKUP(Y132,P:V,2,0)</f>
        <v>9.8016810102534505E-2</v>
      </c>
      <c r="AA132" s="4">
        <f t="shared" ref="AA132:AA178" si="24">VLOOKUP(Y132,A:N,2,0)</f>
        <v>9.7682272237059803E-2</v>
      </c>
      <c r="AC132" s="1">
        <v>40483</v>
      </c>
      <c r="AD132" s="4">
        <f t="shared" ref="AD132:AD178" si="25">VLOOKUP(Y132,P:V,3,0)</f>
        <v>8.0484678350618594E-2</v>
      </c>
      <c r="AE132" s="4">
        <f t="shared" ref="AE132:AE178" si="26">VLOOKUP(Y132,A:N,10,0)</f>
        <v>9.0094465654317099E-2</v>
      </c>
      <c r="AG132" s="1">
        <v>40483</v>
      </c>
      <c r="AH132" s="4">
        <f t="shared" ref="AH132:AH178" si="27">-VLOOKUP(Y132,P:V,5,0)</f>
        <v>9.6978752094984397E-2</v>
      </c>
      <c r="AI132" s="4">
        <f t="shared" ref="AI132:AI178" si="28">VLOOKUP(Y132,A:N,8,0)</f>
        <v>7.7942014975699803E-2</v>
      </c>
      <c r="AK132" s="1">
        <v>40483</v>
      </c>
      <c r="AL132" s="4">
        <f t="shared" ref="AL132:AL178" si="29">VLOOKUP(Y132,P:V,4,0)</f>
        <v>8.0484678350618594E-2</v>
      </c>
      <c r="AM132" s="4">
        <f t="shared" ref="AM132:AM178" si="30">VLOOKUP(Y132,A:N,11,0)+VLOOKUP(Y132,A:N,12,0)</f>
        <v>0.1217746817250281</v>
      </c>
      <c r="AO132" s="1">
        <v>40483</v>
      </c>
      <c r="AP132" s="4">
        <f t="shared" ref="AP132:AP178" si="31">VLOOKUP(Y132,P:V,7,0)</f>
        <v>0.468138488565709</v>
      </c>
      <c r="AQ132" s="4">
        <f t="shared" ref="AQ132:AQ178" si="32">VLOOKUP(Y132,A:N,14,0)</f>
        <v>0.4173009999538676</v>
      </c>
    </row>
    <row r="133" spans="1:43" x14ac:dyDescent="0.25">
      <c r="A133" s="1">
        <v>40848</v>
      </c>
      <c r="B133" s="4">
        <v>0.11273886485981501</v>
      </c>
      <c r="C133" s="4">
        <v>3.2024523901594201E-2</v>
      </c>
      <c r="D133" s="4">
        <v>2.5676877669875201E-2</v>
      </c>
      <c r="E133" s="4">
        <v>7.2261008957037699E-3</v>
      </c>
      <c r="F133" s="4">
        <v>7.4978475942692104E-3</v>
      </c>
      <c r="G133" s="4">
        <v>2.3301307957314499E-2</v>
      </c>
      <c r="H133" s="4">
        <v>9.5726658018756905E-2</v>
      </c>
      <c r="I133" s="4">
        <v>0.56531247154694997</v>
      </c>
      <c r="J133" s="4">
        <v>7.4007818677175499E-2</v>
      </c>
      <c r="K133" s="4">
        <v>9.5189049200139805E-2</v>
      </c>
      <c r="L133" s="4">
        <v>2.0945246344703999E-2</v>
      </c>
      <c r="M133" s="4">
        <v>0.75545458576896896</v>
      </c>
      <c r="N133" s="4">
        <f t="shared" si="22"/>
        <v>0.45301093710960294</v>
      </c>
      <c r="P133" s="1">
        <v>40544</v>
      </c>
      <c r="Q133" s="4">
        <v>0.10362269452782299</v>
      </c>
      <c r="R133" s="4">
        <v>8.4233221079681495E-2</v>
      </c>
      <c r="S133" s="4">
        <v>8.4233221079681495E-2</v>
      </c>
      <c r="T133" s="4">
        <v>-0.10447682228107399</v>
      </c>
      <c r="U133" s="4">
        <v>0.535809016331522</v>
      </c>
      <c r="V133" s="4">
        <v>0.49892675259247099</v>
      </c>
      <c r="Y133" s="1">
        <v>40513</v>
      </c>
      <c r="Z133" s="4">
        <f t="shared" si="23"/>
        <v>0.100693029543902</v>
      </c>
      <c r="AA133" s="4">
        <f t="shared" si="24"/>
        <v>0.10175319125200601</v>
      </c>
      <c r="AC133" s="1">
        <v>40513</v>
      </c>
      <c r="AD133" s="4">
        <f t="shared" si="25"/>
        <v>8.6675482535144496E-2</v>
      </c>
      <c r="AE133" s="4">
        <f t="shared" si="26"/>
        <v>8.8947655051484595E-2</v>
      </c>
      <c r="AG133" s="1">
        <v>40513</v>
      </c>
      <c r="AH133" s="4">
        <f t="shared" si="27"/>
        <v>0.101427461367207</v>
      </c>
      <c r="AI133" s="4">
        <f t="shared" si="28"/>
        <v>8.1046306006865396E-2</v>
      </c>
      <c r="AK133" s="1">
        <v>40513</v>
      </c>
      <c r="AL133" s="4">
        <f t="shared" si="29"/>
        <v>8.6675482535144496E-2</v>
      </c>
      <c r="AM133" s="4">
        <f t="shared" si="30"/>
        <v>0.11520401251824711</v>
      </c>
      <c r="AO133" s="1">
        <v>40513</v>
      </c>
      <c r="AP133" s="4">
        <f t="shared" si="31"/>
        <v>0.47658169281798202</v>
      </c>
      <c r="AQ133" s="4">
        <f t="shared" si="32"/>
        <v>0.3991288342828484</v>
      </c>
    </row>
    <row r="134" spans="1:43" x14ac:dyDescent="0.25">
      <c r="A134" s="1">
        <v>40878</v>
      </c>
      <c r="B134" s="4">
        <v>0.11439861420752701</v>
      </c>
      <c r="C134" s="4">
        <v>3.3018745869909202E-2</v>
      </c>
      <c r="D134" s="4">
        <v>2.6349933895911899E-2</v>
      </c>
      <c r="E134" s="4">
        <v>7.7234669360574E-3</v>
      </c>
      <c r="F134" s="4">
        <v>8.1451182526413209E-3</v>
      </c>
      <c r="G134" s="4">
        <v>2.60745454183786E-2</v>
      </c>
      <c r="H134" s="4">
        <v>0.10131181037289801</v>
      </c>
      <c r="I134" s="4">
        <v>0.57680094917664404</v>
      </c>
      <c r="J134" s="4">
        <v>7.6785688180167497E-2</v>
      </c>
      <c r="K134" s="4">
        <v>8.4509823657503605E-2</v>
      </c>
      <c r="L134" s="4">
        <v>1.8981270626683599E-2</v>
      </c>
      <c r="M134" s="4">
        <v>0.75707773164099901</v>
      </c>
      <c r="N134" s="4">
        <f t="shared" si="22"/>
        <v>0.4586326929394261</v>
      </c>
      <c r="P134" s="1">
        <v>40575</v>
      </c>
      <c r="Q134" s="4">
        <v>0.106435032510514</v>
      </c>
      <c r="R134" s="4">
        <v>8.6164253504358204E-2</v>
      </c>
      <c r="S134" s="4">
        <v>8.6164253504358204E-2</v>
      </c>
      <c r="T134" s="4">
        <v>-0.108401643887564</v>
      </c>
      <c r="U134" s="4">
        <v>0.54573019876343498</v>
      </c>
      <c r="V134" s="4">
        <v>0.51210394417595595</v>
      </c>
      <c r="Y134" s="1">
        <v>40544</v>
      </c>
      <c r="Z134" s="4">
        <f t="shared" si="23"/>
        <v>0.10362269452782299</v>
      </c>
      <c r="AA134" s="4">
        <f t="shared" si="24"/>
        <v>0.106138616392865</v>
      </c>
      <c r="AC134" s="1">
        <v>40544</v>
      </c>
      <c r="AD134" s="4">
        <f t="shared" si="25"/>
        <v>8.4233221079681495E-2</v>
      </c>
      <c r="AE134" s="4">
        <f t="shared" si="26"/>
        <v>8.77327528263879E-2</v>
      </c>
      <c r="AG134" s="1">
        <v>40544</v>
      </c>
      <c r="AH134" s="4">
        <f t="shared" si="27"/>
        <v>0.10447682228107399</v>
      </c>
      <c r="AI134" s="4">
        <f t="shared" si="28"/>
        <v>8.9509781466045296E-2</v>
      </c>
      <c r="AK134" s="1">
        <v>40544</v>
      </c>
      <c r="AL134" s="4">
        <f t="shared" si="29"/>
        <v>8.4233221079681495E-2</v>
      </c>
      <c r="AM134" s="4">
        <f t="shared" si="30"/>
        <v>0.1261669574440217</v>
      </c>
      <c r="AO134" s="1">
        <v>40544</v>
      </c>
      <c r="AP134" s="4">
        <f t="shared" si="31"/>
        <v>0.49892675259247099</v>
      </c>
      <c r="AQ134" s="4">
        <f t="shared" si="32"/>
        <v>0.4329711000594253</v>
      </c>
    </row>
    <row r="135" spans="1:43" x14ac:dyDescent="0.25">
      <c r="A135" s="1">
        <v>40909</v>
      </c>
      <c r="B135" s="4">
        <v>0.115202813565561</v>
      </c>
      <c r="C135" s="4">
        <v>3.3628700779871602E-2</v>
      </c>
      <c r="D135" s="4">
        <v>2.6762736867574799E-2</v>
      </c>
      <c r="E135" s="4">
        <v>7.5980479871759999E-3</v>
      </c>
      <c r="F135" s="4">
        <v>8.2528605694109306E-3</v>
      </c>
      <c r="G135" s="4">
        <v>2.6263502405963798E-2</v>
      </c>
      <c r="H135" s="4">
        <v>0.10250584860999699</v>
      </c>
      <c r="I135" s="4">
        <v>0.57081741311938705</v>
      </c>
      <c r="J135" s="4">
        <v>7.54390955010599E-2</v>
      </c>
      <c r="K135" s="4">
        <v>8.4919877129574203E-2</v>
      </c>
      <c r="L135" s="4">
        <v>1.9343080066628202E-2</v>
      </c>
      <c r="M135" s="4">
        <v>0.75051946581664997</v>
      </c>
      <c r="N135" s="4">
        <f t="shared" si="22"/>
        <v>0.46718919635890799</v>
      </c>
      <c r="P135" s="1">
        <v>40603</v>
      </c>
      <c r="Q135" s="4">
        <v>0.10777830644841201</v>
      </c>
      <c r="R135" s="4">
        <v>8.7002649727805303E-2</v>
      </c>
      <c r="S135" s="4">
        <v>8.7002649727805303E-2</v>
      </c>
      <c r="T135" s="4">
        <v>-0.10970206938284099</v>
      </c>
      <c r="U135" s="4">
        <v>0.561108178991095</v>
      </c>
      <c r="V135" s="4">
        <v>0.50589306753790997</v>
      </c>
      <c r="Y135" s="1">
        <v>40575</v>
      </c>
      <c r="Z135" s="4">
        <f t="shared" si="23"/>
        <v>0.106435032510514</v>
      </c>
      <c r="AA135" s="4">
        <f t="shared" si="24"/>
        <v>0.106691606960435</v>
      </c>
      <c r="AC135" s="1">
        <v>40575</v>
      </c>
      <c r="AD135" s="4">
        <f t="shared" si="25"/>
        <v>8.6164253504358204E-2</v>
      </c>
      <c r="AE135" s="4">
        <f t="shared" si="26"/>
        <v>8.9874266437537403E-2</v>
      </c>
      <c r="AG135" s="1">
        <v>40575</v>
      </c>
      <c r="AH135" s="4">
        <f t="shared" si="27"/>
        <v>0.108401643887564</v>
      </c>
      <c r="AI135" s="4">
        <f t="shared" si="28"/>
        <v>8.7586413410240593E-2</v>
      </c>
      <c r="AK135" s="1">
        <v>40575</v>
      </c>
      <c r="AL135" s="4">
        <f t="shared" si="29"/>
        <v>8.6164253504358204E-2</v>
      </c>
      <c r="AM135" s="4">
        <f t="shared" si="30"/>
        <v>0.1149274271714716</v>
      </c>
      <c r="AO135" s="1">
        <v>40575</v>
      </c>
      <c r="AP135" s="4">
        <f t="shared" si="31"/>
        <v>0.51210394417595595</v>
      </c>
      <c r="AQ135" s="4">
        <f t="shared" si="32"/>
        <v>0.43443035176545752</v>
      </c>
    </row>
    <row r="136" spans="1:43" x14ac:dyDescent="0.25">
      <c r="A136" s="1">
        <v>40940</v>
      </c>
      <c r="B136" s="4">
        <v>0.114336715289105</v>
      </c>
      <c r="C136" s="4">
        <v>3.4982936090406702E-2</v>
      </c>
      <c r="D136" s="4">
        <v>2.6836661587666E-2</v>
      </c>
      <c r="E136" s="4">
        <v>7.9277759068497201E-3</v>
      </c>
      <c r="F136" s="4">
        <v>9.2237499505053496E-3</v>
      </c>
      <c r="G136" s="4">
        <v>2.64863032885801E-2</v>
      </c>
      <c r="H136" s="4">
        <v>0.10545742682400699</v>
      </c>
      <c r="I136" s="4">
        <v>0.59690436062025998</v>
      </c>
      <c r="J136" s="4">
        <v>7.7395134381344197E-2</v>
      </c>
      <c r="K136" s="4">
        <v>6.85894342076597E-2</v>
      </c>
      <c r="L136" s="4">
        <v>1.7910060879705699E-2</v>
      </c>
      <c r="M136" s="4">
        <v>0.76079899008897001</v>
      </c>
      <c r="N136" s="4">
        <f t="shared" si="22"/>
        <v>0.45899515202414198</v>
      </c>
      <c r="P136" s="1">
        <v>40634</v>
      </c>
      <c r="Q136" s="4">
        <v>0.10802219652358</v>
      </c>
      <c r="R136" s="4">
        <v>8.3106124386944105E-2</v>
      </c>
      <c r="S136" s="4">
        <v>8.3106124386944105E-2</v>
      </c>
      <c r="T136" s="4">
        <v>-0.109643073121519</v>
      </c>
      <c r="U136" s="4">
        <v>0.57224650101015395</v>
      </c>
      <c r="V136" s="4">
        <v>0.50448889590377899</v>
      </c>
      <c r="Y136" s="1">
        <v>40603</v>
      </c>
      <c r="Z136" s="4">
        <f t="shared" si="23"/>
        <v>0.10777830644841201</v>
      </c>
      <c r="AA136" s="4">
        <f t="shared" si="24"/>
        <v>0.108303380890397</v>
      </c>
      <c r="AC136" s="1">
        <v>40603</v>
      </c>
      <c r="AD136" s="4">
        <f t="shared" si="25"/>
        <v>8.7002649727805303E-2</v>
      </c>
      <c r="AE136" s="4">
        <f t="shared" si="26"/>
        <v>8.1537914990097896E-2</v>
      </c>
      <c r="AG136" s="1">
        <v>40603</v>
      </c>
      <c r="AH136" s="4">
        <f t="shared" si="27"/>
        <v>0.10970206938284099</v>
      </c>
      <c r="AI136" s="4">
        <f t="shared" si="28"/>
        <v>8.8315770656710799E-2</v>
      </c>
      <c r="AK136" s="1">
        <v>40603</v>
      </c>
      <c r="AL136" s="4">
        <f t="shared" si="29"/>
        <v>8.7002649727805303E-2</v>
      </c>
      <c r="AM136" s="4">
        <f t="shared" si="30"/>
        <v>0.11530907929046949</v>
      </c>
      <c r="AO136" s="1">
        <v>40603</v>
      </c>
      <c r="AP136" s="4">
        <f t="shared" si="31"/>
        <v>0.50589306753790997</v>
      </c>
      <c r="AQ136" s="4">
        <f t="shared" si="32"/>
        <v>0.43852966453335185</v>
      </c>
    </row>
    <row r="137" spans="1:43" x14ac:dyDescent="0.25">
      <c r="A137" s="1">
        <v>40969</v>
      </c>
      <c r="B137" s="4">
        <v>0.115604779364188</v>
      </c>
      <c r="C137" s="4">
        <v>3.6073574784581001E-2</v>
      </c>
      <c r="D137" s="4">
        <v>2.8438786650955498E-2</v>
      </c>
      <c r="E137" s="4">
        <v>8.0383559164778802E-3</v>
      </c>
      <c r="F137" s="4">
        <v>9.4731325707806298E-3</v>
      </c>
      <c r="G137" s="4">
        <v>2.67253794093124E-2</v>
      </c>
      <c r="H137" s="4">
        <v>0.108749229332107</v>
      </c>
      <c r="I137" s="4">
        <v>0.60892848856508397</v>
      </c>
      <c r="J137" s="4">
        <v>7.5182393227896993E-2</v>
      </c>
      <c r="K137" s="4">
        <v>6.9623292618594096E-2</v>
      </c>
      <c r="L137" s="4">
        <v>1.9135987833142E-2</v>
      </c>
      <c r="M137" s="4">
        <v>0.77287016224471705</v>
      </c>
      <c r="N137" s="4">
        <f t="shared" si="22"/>
        <v>0.45148384645157791</v>
      </c>
      <c r="P137" s="1">
        <v>40664</v>
      </c>
      <c r="Q137" s="4">
        <v>0.107334654917545</v>
      </c>
      <c r="R137" s="4">
        <v>8.1626266880609602E-2</v>
      </c>
      <c r="S137" s="4">
        <v>8.1626266880609602E-2</v>
      </c>
      <c r="T137" s="4">
        <v>-0.109931782776251</v>
      </c>
      <c r="U137" s="4">
        <v>0.57539684459705998</v>
      </c>
      <c r="V137" s="4">
        <v>0.49672654233344699</v>
      </c>
      <c r="Y137" s="1">
        <v>40634</v>
      </c>
      <c r="Z137" s="4">
        <f t="shared" si="23"/>
        <v>0.10802219652358</v>
      </c>
      <c r="AA137" s="4">
        <f t="shared" si="24"/>
        <v>0.108596656176419</v>
      </c>
      <c r="AC137" s="1">
        <v>40634</v>
      </c>
      <c r="AD137" s="4">
        <f t="shared" si="25"/>
        <v>8.3106124386944105E-2</v>
      </c>
      <c r="AE137" s="4">
        <f t="shared" si="26"/>
        <v>8.4816304136765497E-2</v>
      </c>
      <c r="AG137" s="1">
        <v>40634</v>
      </c>
      <c r="AH137" s="4">
        <f t="shared" si="27"/>
        <v>0.109643073121519</v>
      </c>
      <c r="AI137" s="4">
        <f t="shared" si="28"/>
        <v>8.8607687912694702E-2</v>
      </c>
      <c r="AK137" s="1">
        <v>40634</v>
      </c>
      <c r="AL137" s="4">
        <f t="shared" si="29"/>
        <v>8.3106124386944105E-2</v>
      </c>
      <c r="AM137" s="4">
        <f t="shared" si="30"/>
        <v>0.1025665571016794</v>
      </c>
      <c r="AO137" s="1">
        <v>40634</v>
      </c>
      <c r="AP137" s="4">
        <f t="shared" si="31"/>
        <v>0.50448889590377899</v>
      </c>
      <c r="AQ137" s="4">
        <f t="shared" si="32"/>
        <v>0.43285164454780578</v>
      </c>
    </row>
    <row r="138" spans="1:43" x14ac:dyDescent="0.25">
      <c r="A138" s="1">
        <v>41000</v>
      </c>
      <c r="B138" s="4">
        <v>0.118665886740266</v>
      </c>
      <c r="C138" s="4">
        <v>3.5213116506366202E-2</v>
      </c>
      <c r="D138" s="4">
        <v>2.8026357528959898E-2</v>
      </c>
      <c r="E138" s="4">
        <v>7.8803470130845901E-3</v>
      </c>
      <c r="F138" s="4">
        <v>1.0075359256255601E-2</v>
      </c>
      <c r="G138" s="4">
        <v>2.7198599334885901E-2</v>
      </c>
      <c r="H138" s="4">
        <v>0.108393779639552</v>
      </c>
      <c r="I138" s="4">
        <v>0.61018106728365795</v>
      </c>
      <c r="J138" s="4">
        <v>7.4188712389584605E-2</v>
      </c>
      <c r="K138" s="4">
        <v>7.3109081304583906E-2</v>
      </c>
      <c r="L138" s="4">
        <v>1.7311819074009801E-2</v>
      </c>
      <c r="M138" s="4">
        <v>0.77479068005183604</v>
      </c>
      <c r="N138" s="4">
        <f t="shared" si="22"/>
        <v>0.45226898632798207</v>
      </c>
      <c r="P138" s="1">
        <v>40695</v>
      </c>
      <c r="Q138" s="4">
        <v>0.10612887606831301</v>
      </c>
      <c r="R138" s="4">
        <v>8.14342294486088E-2</v>
      </c>
      <c r="S138" s="4">
        <v>8.14342294486088E-2</v>
      </c>
      <c r="T138" s="4">
        <v>-0.109552621686706</v>
      </c>
      <c r="U138" s="4">
        <v>0.57466701284935096</v>
      </c>
      <c r="V138" s="4">
        <v>0.50021660187307804</v>
      </c>
      <c r="Y138" s="1">
        <v>40664</v>
      </c>
      <c r="Z138" s="4">
        <f t="shared" si="23"/>
        <v>0.107334654917545</v>
      </c>
      <c r="AA138" s="4">
        <f t="shared" si="24"/>
        <v>0.108004844907496</v>
      </c>
      <c r="AC138" s="1">
        <v>40664</v>
      </c>
      <c r="AD138" s="4">
        <f t="shared" si="25"/>
        <v>8.1626266880609602E-2</v>
      </c>
      <c r="AE138" s="4">
        <f t="shared" si="26"/>
        <v>8.1990369115300596E-2</v>
      </c>
      <c r="AG138" s="1">
        <v>40664</v>
      </c>
      <c r="AH138" s="4">
        <f t="shared" si="27"/>
        <v>0.109931782776251</v>
      </c>
      <c r="AI138" s="4">
        <f t="shared" si="28"/>
        <v>8.8042310303137195E-2</v>
      </c>
      <c r="AK138" s="1">
        <v>40664</v>
      </c>
      <c r="AL138" s="4">
        <f t="shared" si="29"/>
        <v>8.1626266880609602E-2</v>
      </c>
      <c r="AM138" s="4">
        <f t="shared" si="30"/>
        <v>0.1050705563431083</v>
      </c>
      <c r="AO138" s="1">
        <v>40664</v>
      </c>
      <c r="AP138" s="4">
        <f t="shared" si="31"/>
        <v>0.49672654233344699</v>
      </c>
      <c r="AQ138" s="4">
        <f t="shared" si="32"/>
        <v>0.43800333856789631</v>
      </c>
    </row>
    <row r="139" spans="1:43" x14ac:dyDescent="0.25">
      <c r="A139" s="1">
        <v>41030</v>
      </c>
      <c r="B139" s="4">
        <v>0.119256881862394</v>
      </c>
      <c r="C139" s="4">
        <v>3.5610746587973599E-2</v>
      </c>
      <c r="D139" s="4">
        <v>2.79914128141753E-2</v>
      </c>
      <c r="E139" s="4">
        <v>7.8294167317948093E-3</v>
      </c>
      <c r="F139" s="4">
        <v>1.15458513187617E-2</v>
      </c>
      <c r="G139" s="4">
        <v>2.7191712167062801E-2</v>
      </c>
      <c r="H139" s="4">
        <v>0.110169139619768</v>
      </c>
      <c r="I139" s="4">
        <v>0.61637484412310395</v>
      </c>
      <c r="J139" s="4">
        <v>7.93232892826507E-2</v>
      </c>
      <c r="K139" s="4">
        <v>6.5940214766522995E-2</v>
      </c>
      <c r="L139" s="4">
        <v>2.0454375575655302E-2</v>
      </c>
      <c r="M139" s="4">
        <v>0.78209272374793304</v>
      </c>
      <c r="N139" s="4">
        <f t="shared" si="22"/>
        <v>0.44733329773422892</v>
      </c>
      <c r="P139" s="1">
        <v>40725</v>
      </c>
      <c r="Q139" s="4">
        <v>0.109098447470591</v>
      </c>
      <c r="R139" s="4">
        <v>8.0767051643768198E-2</v>
      </c>
      <c r="S139" s="4">
        <v>8.0767051643768198E-2</v>
      </c>
      <c r="T139" s="4">
        <v>-0.11202030250742601</v>
      </c>
      <c r="U139" s="4">
        <v>0.56860691733674595</v>
      </c>
      <c r="V139" s="4">
        <v>0.51134651343230897</v>
      </c>
      <c r="Y139" s="1">
        <v>40695</v>
      </c>
      <c r="Z139" s="4">
        <f t="shared" si="23"/>
        <v>0.10612887606831301</v>
      </c>
      <c r="AA139" s="4">
        <f t="shared" si="24"/>
        <v>0.108004990031236</v>
      </c>
      <c r="AC139" s="1">
        <v>40695</v>
      </c>
      <c r="AD139" s="4">
        <f t="shared" si="25"/>
        <v>8.14342294486088E-2</v>
      </c>
      <c r="AE139" s="4">
        <f t="shared" si="26"/>
        <v>8.3110686946176501E-2</v>
      </c>
      <c r="AG139" s="1">
        <v>40695</v>
      </c>
      <c r="AH139" s="4">
        <f t="shared" si="27"/>
        <v>0.109552621686706</v>
      </c>
      <c r="AI139" s="4">
        <f t="shared" si="28"/>
        <v>8.6737907775388104E-2</v>
      </c>
      <c r="AK139" s="1">
        <v>40695</v>
      </c>
      <c r="AL139" s="4">
        <f t="shared" si="29"/>
        <v>8.14342294486088E-2</v>
      </c>
      <c r="AM139" s="4">
        <f t="shared" si="30"/>
        <v>0.1057389555940062</v>
      </c>
      <c r="AO139" s="1">
        <v>40695</v>
      </c>
      <c r="AP139" s="4">
        <f t="shared" si="31"/>
        <v>0.50021660187307804</v>
      </c>
      <c r="AQ139" s="4">
        <f t="shared" si="32"/>
        <v>0.4297163086572181</v>
      </c>
    </row>
    <row r="140" spans="1:43" x14ac:dyDescent="0.25">
      <c r="A140" s="1">
        <v>41061</v>
      </c>
      <c r="B140" s="4">
        <v>0.119975754464839</v>
      </c>
      <c r="C140" s="4">
        <v>3.5898396241789601E-2</v>
      </c>
      <c r="D140" s="4">
        <v>2.8553566013513301E-2</v>
      </c>
      <c r="E140" s="4">
        <v>8.3172502506250502E-3</v>
      </c>
      <c r="F140" s="4">
        <v>1.10639592950892E-2</v>
      </c>
      <c r="G140" s="4">
        <v>2.7547464323381999E-2</v>
      </c>
      <c r="H140" s="4">
        <v>0.111380636124399</v>
      </c>
      <c r="I140" s="4">
        <v>0.63383600835208298</v>
      </c>
      <c r="J140" s="4">
        <v>7.2148709908243597E-2</v>
      </c>
      <c r="K140" s="4">
        <v>6.6874962627984993E-2</v>
      </c>
      <c r="L140" s="4">
        <v>1.9945524050231402E-2</v>
      </c>
      <c r="M140" s="4">
        <v>0.79280520493854301</v>
      </c>
      <c r="N140" s="4">
        <f t="shared" si="22"/>
        <v>0.43855118565069495</v>
      </c>
      <c r="P140" s="1">
        <v>40756</v>
      </c>
      <c r="Q140" s="4">
        <v>0.109470178303298</v>
      </c>
      <c r="R140" s="4">
        <v>8.0344099234700705E-2</v>
      </c>
      <c r="S140" s="4">
        <v>8.0344099234700705E-2</v>
      </c>
      <c r="T140" s="4">
        <v>-0.11560224524688401</v>
      </c>
      <c r="U140" s="4">
        <v>0.56714453355517402</v>
      </c>
      <c r="V140" s="4">
        <v>0.51741907488295902</v>
      </c>
      <c r="Y140" s="1">
        <v>40725</v>
      </c>
      <c r="Z140" s="4">
        <f t="shared" si="23"/>
        <v>0.109098447470591</v>
      </c>
      <c r="AA140" s="4">
        <f t="shared" si="24"/>
        <v>0.109921145809225</v>
      </c>
      <c r="AC140" s="1">
        <v>40725</v>
      </c>
      <c r="AD140" s="4">
        <f t="shared" si="25"/>
        <v>8.0767051643768198E-2</v>
      </c>
      <c r="AE140" s="4">
        <f t="shared" si="26"/>
        <v>8.2213855491534302E-2</v>
      </c>
      <c r="AG140" s="1">
        <v>40725</v>
      </c>
      <c r="AH140" s="4">
        <f t="shared" si="27"/>
        <v>0.11202030250742601</v>
      </c>
      <c r="AI140" s="4">
        <f t="shared" si="28"/>
        <v>9.1952193059381002E-2</v>
      </c>
      <c r="AK140" s="1">
        <v>40725</v>
      </c>
      <c r="AL140" s="4">
        <f t="shared" si="29"/>
        <v>8.0767051643768198E-2</v>
      </c>
      <c r="AM140" s="4">
        <f t="shared" si="30"/>
        <v>0.11258850019793409</v>
      </c>
      <c r="AO140" s="1">
        <v>40725</v>
      </c>
      <c r="AP140" s="4">
        <f t="shared" si="31"/>
        <v>0.51134651343230897</v>
      </c>
      <c r="AQ140" s="4">
        <f t="shared" si="32"/>
        <v>0.44091011437612704</v>
      </c>
    </row>
    <row r="141" spans="1:43" x14ac:dyDescent="0.25">
      <c r="A141" s="1">
        <v>41091</v>
      </c>
      <c r="B141" s="4">
        <v>0.12168338808309601</v>
      </c>
      <c r="C141" s="4">
        <v>3.6340041210594802E-2</v>
      </c>
      <c r="D141" s="4">
        <v>2.8797712105279E-2</v>
      </c>
      <c r="E141" s="4">
        <v>8.0091766870150401E-3</v>
      </c>
      <c r="F141" s="4">
        <v>1.1822638788301899E-2</v>
      </c>
      <c r="G141" s="4">
        <v>2.79841825542376E-2</v>
      </c>
      <c r="H141" s="4">
        <v>0.112953751345428</v>
      </c>
      <c r="I141" s="4">
        <v>0.63843976552665505</v>
      </c>
      <c r="J141" s="4">
        <v>7.5588148474725197E-2</v>
      </c>
      <c r="K141" s="4">
        <v>5.8111158700476701E-2</v>
      </c>
      <c r="L141" s="4">
        <v>1.6651045831759699E-2</v>
      </c>
      <c r="M141" s="4">
        <v>0.78879011853361602</v>
      </c>
      <c r="N141" s="4">
        <f t="shared" si="22"/>
        <v>0.44584702089490802</v>
      </c>
      <c r="P141" s="1">
        <v>40787</v>
      </c>
      <c r="Q141" s="4">
        <v>0.11254974462723299</v>
      </c>
      <c r="R141" s="4">
        <v>8.1220008384630102E-2</v>
      </c>
      <c r="S141" s="4">
        <v>8.1220008384630102E-2</v>
      </c>
      <c r="T141" s="4">
        <v>-0.119546252282243</v>
      </c>
      <c r="U141" s="4">
        <v>0.57239508370346104</v>
      </c>
      <c r="V141" s="4">
        <v>0.520485636010525</v>
      </c>
      <c r="Y141" s="1">
        <v>40756</v>
      </c>
      <c r="Z141" s="4">
        <f t="shared" si="23"/>
        <v>0.109470178303298</v>
      </c>
      <c r="AA141" s="4">
        <f t="shared" si="24"/>
        <v>0.11061890620463501</v>
      </c>
      <c r="AC141" s="1">
        <v>40756</v>
      </c>
      <c r="AD141" s="4">
        <f t="shared" si="25"/>
        <v>8.0344099234700705E-2</v>
      </c>
      <c r="AE141" s="4">
        <f t="shared" si="26"/>
        <v>8.37619967627454E-2</v>
      </c>
      <c r="AG141" s="1">
        <v>40756</v>
      </c>
      <c r="AH141" s="4">
        <f t="shared" si="27"/>
        <v>0.11560224524688401</v>
      </c>
      <c r="AI141" s="4">
        <f t="shared" si="28"/>
        <v>9.4462305015956399E-2</v>
      </c>
      <c r="AK141" s="1">
        <v>40756</v>
      </c>
      <c r="AL141" s="4">
        <f t="shared" si="29"/>
        <v>8.0344099234700705E-2</v>
      </c>
      <c r="AM141" s="4">
        <f t="shared" si="30"/>
        <v>0.1165118987114489</v>
      </c>
      <c r="AO141" s="1">
        <v>40756</v>
      </c>
      <c r="AP141" s="4">
        <f t="shared" si="31"/>
        <v>0.51741907488295902</v>
      </c>
      <c r="AQ141" s="4">
        <f t="shared" si="32"/>
        <v>0.44223455201645656</v>
      </c>
    </row>
    <row r="142" spans="1:43" x14ac:dyDescent="0.25">
      <c r="A142" s="1">
        <v>41122</v>
      </c>
      <c r="B142" s="4">
        <v>0.121970695757994</v>
      </c>
      <c r="C142" s="4">
        <v>3.6983000543232197E-2</v>
      </c>
      <c r="D142" s="4">
        <v>2.91105519931949E-2</v>
      </c>
      <c r="E142" s="4">
        <v>8.1534619236417697E-3</v>
      </c>
      <c r="F142" s="4">
        <v>1.1873131114812E-2</v>
      </c>
      <c r="G142" s="4">
        <v>2.8855958654380301E-2</v>
      </c>
      <c r="H142" s="4">
        <v>0.11497610422926099</v>
      </c>
      <c r="I142" s="4">
        <v>0.642285428903142</v>
      </c>
      <c r="J142" s="4">
        <v>7.3581793664630704E-2</v>
      </c>
      <c r="K142" s="4">
        <v>6.3055784959853603E-2</v>
      </c>
      <c r="L142" s="4">
        <v>1.6515522984269899E-2</v>
      </c>
      <c r="M142" s="4">
        <v>0.79543853051189595</v>
      </c>
      <c r="N142" s="4">
        <f t="shared" si="22"/>
        <v>0.44150826947535904</v>
      </c>
      <c r="P142" s="1">
        <v>40817</v>
      </c>
      <c r="Q142" s="4">
        <v>0.112633822929773</v>
      </c>
      <c r="R142" s="4">
        <v>8.0214503102033902E-2</v>
      </c>
      <c r="S142" s="4">
        <v>8.0214503102033902E-2</v>
      </c>
      <c r="T142" s="4">
        <v>-0.12166017890299401</v>
      </c>
      <c r="U142" s="4">
        <v>0.57612127571555805</v>
      </c>
      <c r="V142" s="4">
        <v>0.51576325089974295</v>
      </c>
      <c r="Y142" s="1">
        <v>40787</v>
      </c>
      <c r="Z142" s="4">
        <f t="shared" si="23"/>
        <v>0.11254974462723299</v>
      </c>
      <c r="AA142" s="4">
        <f t="shared" si="24"/>
        <v>0.109934557693772</v>
      </c>
      <c r="AC142" s="1">
        <v>40787</v>
      </c>
      <c r="AD142" s="4">
        <f t="shared" si="25"/>
        <v>8.1220008384630102E-2</v>
      </c>
      <c r="AE142" s="4">
        <f t="shared" si="26"/>
        <v>7.56186597444026E-2</v>
      </c>
      <c r="AG142" s="1">
        <v>40787</v>
      </c>
      <c r="AH142" s="4">
        <f t="shared" si="27"/>
        <v>0.119546252282243</v>
      </c>
      <c r="AI142" s="4">
        <f t="shared" si="28"/>
        <v>9.0154963905621999E-2</v>
      </c>
      <c r="AK142" s="1">
        <v>40787</v>
      </c>
      <c r="AL142" s="4">
        <f t="shared" si="29"/>
        <v>8.1220008384630102E-2</v>
      </c>
      <c r="AM142" s="4">
        <f t="shared" si="30"/>
        <v>0.1216157319722347</v>
      </c>
      <c r="AO142" s="1">
        <v>40787</v>
      </c>
      <c r="AP142" s="4">
        <f t="shared" si="31"/>
        <v>0.520485636010525</v>
      </c>
      <c r="AQ142" s="4">
        <f t="shared" si="32"/>
        <v>0.44059669758681308</v>
      </c>
    </row>
    <row r="143" spans="1:43" x14ac:dyDescent="0.25">
      <c r="A143" s="1">
        <v>41153</v>
      </c>
      <c r="B143" s="4">
        <v>0.12516407016389799</v>
      </c>
      <c r="C143" s="4">
        <v>3.80998631913817E-2</v>
      </c>
      <c r="D143" s="4">
        <v>3.0317857408564099E-2</v>
      </c>
      <c r="E143" s="4">
        <v>8.3064975836021505E-3</v>
      </c>
      <c r="F143" s="4">
        <v>1.2518906098695199E-2</v>
      </c>
      <c r="G143" s="4">
        <v>2.8698251710187701E-2</v>
      </c>
      <c r="H143" s="4">
        <v>0.11794137599243</v>
      </c>
      <c r="I143" s="4">
        <v>0.64219804694909599</v>
      </c>
      <c r="J143" s="4">
        <v>7.5966695289768599E-2</v>
      </c>
      <c r="K143" s="4">
        <v>6.6567903056678798E-2</v>
      </c>
      <c r="L143" s="4">
        <v>1.7164545469286498E-2</v>
      </c>
      <c r="M143" s="4">
        <v>0.80189719076483001</v>
      </c>
      <c r="N143" s="4">
        <f t="shared" si="22"/>
        <v>0.44120825539149799</v>
      </c>
      <c r="P143" s="1">
        <v>40848</v>
      </c>
      <c r="Q143" s="4">
        <v>0.11448627803303001</v>
      </c>
      <c r="R143" s="4">
        <v>7.6573169973957994E-2</v>
      </c>
      <c r="S143" s="4">
        <v>7.6573169973957994E-2</v>
      </c>
      <c r="T143" s="4">
        <v>-0.124308796550124</v>
      </c>
      <c r="U143" s="4">
        <v>0.57795416146172596</v>
      </c>
      <c r="V143" s="4">
        <v>0.52509202280946499</v>
      </c>
      <c r="Y143" s="1">
        <v>40817</v>
      </c>
      <c r="Z143" s="4">
        <f t="shared" si="23"/>
        <v>0.112633822929773</v>
      </c>
      <c r="AA143" s="4">
        <f t="shared" si="24"/>
        <v>0.11070247902234701</v>
      </c>
      <c r="AC143" s="1">
        <v>40817</v>
      </c>
      <c r="AD143" s="4">
        <f t="shared" si="25"/>
        <v>8.0214503102033902E-2</v>
      </c>
      <c r="AE143" s="4">
        <f t="shared" si="26"/>
        <v>7.6139725004689907E-2</v>
      </c>
      <c r="AG143" s="1">
        <v>40817</v>
      </c>
      <c r="AH143" s="4">
        <f t="shared" si="27"/>
        <v>0.12166017890299401</v>
      </c>
      <c r="AI143" s="4">
        <f t="shared" si="28"/>
        <v>9.44262694418916E-2</v>
      </c>
      <c r="AK143" s="1">
        <v>40817</v>
      </c>
      <c r="AL143" s="4">
        <f t="shared" si="29"/>
        <v>8.0214503102033902E-2</v>
      </c>
      <c r="AM143" s="4">
        <f t="shared" si="30"/>
        <v>0.113910613612975</v>
      </c>
      <c r="AO143" s="1">
        <v>40817</v>
      </c>
      <c r="AP143" s="4">
        <f t="shared" si="31"/>
        <v>0.51576325089974295</v>
      </c>
      <c r="AQ143" s="4">
        <f t="shared" si="32"/>
        <v>0.44299048859904555</v>
      </c>
    </row>
    <row r="144" spans="1:43" x14ac:dyDescent="0.25">
      <c r="A144" s="1">
        <v>41183</v>
      </c>
      <c r="B144" s="4">
        <v>0.124463181161149</v>
      </c>
      <c r="C144" s="4">
        <v>3.8478479967414297E-2</v>
      </c>
      <c r="D144" s="4">
        <v>3.0348006948694099E-2</v>
      </c>
      <c r="E144" s="4">
        <v>8.7603395175129498E-3</v>
      </c>
      <c r="F144" s="4">
        <v>1.3180237909053399E-2</v>
      </c>
      <c r="G144" s="4">
        <v>2.9240696101774499E-2</v>
      </c>
      <c r="H144" s="4">
        <v>0.120007760444449</v>
      </c>
      <c r="I144" s="4">
        <v>0.63834543409427602</v>
      </c>
      <c r="J144" s="4">
        <v>7.5547419017648706E-2</v>
      </c>
      <c r="K144" s="4">
        <v>6.3500101500657102E-2</v>
      </c>
      <c r="L144" s="4">
        <v>1.8073196931991199E-2</v>
      </c>
      <c r="M144" s="4">
        <v>0.79546615154457401</v>
      </c>
      <c r="N144" s="4">
        <f t="shared" si="22"/>
        <v>0.44900479006102412</v>
      </c>
      <c r="P144" s="1">
        <v>40878</v>
      </c>
      <c r="Q144" s="4">
        <v>0.114368178306418</v>
      </c>
      <c r="R144" s="4">
        <v>7.7723912072640303E-2</v>
      </c>
      <c r="S144" s="4">
        <v>7.7723912072640303E-2</v>
      </c>
      <c r="T144" s="4">
        <v>-0.12570157349335601</v>
      </c>
      <c r="U144" s="4">
        <v>0.57932385885772997</v>
      </c>
      <c r="V144" s="4">
        <v>0.51497756963153296</v>
      </c>
      <c r="Y144" s="1">
        <v>40848</v>
      </c>
      <c r="Z144" s="4">
        <f t="shared" si="23"/>
        <v>0.11448627803303001</v>
      </c>
      <c r="AA144" s="4">
        <f t="shared" si="24"/>
        <v>0.11273886485981501</v>
      </c>
      <c r="AC144" s="1">
        <v>40848</v>
      </c>
      <c r="AD144" s="4">
        <f t="shared" si="25"/>
        <v>7.6573169973957994E-2</v>
      </c>
      <c r="AE144" s="4">
        <f t="shared" si="26"/>
        <v>7.4007818677175499E-2</v>
      </c>
      <c r="AG144" s="1">
        <v>40848</v>
      </c>
      <c r="AH144" s="4">
        <f t="shared" si="27"/>
        <v>0.124308796550124</v>
      </c>
      <c r="AI144" s="4">
        <f t="shared" si="28"/>
        <v>9.5726658018756905E-2</v>
      </c>
      <c r="AK144" s="1">
        <v>40848</v>
      </c>
      <c r="AL144" s="4">
        <f t="shared" si="29"/>
        <v>7.6573169973957994E-2</v>
      </c>
      <c r="AM144" s="4">
        <f t="shared" si="30"/>
        <v>0.11613429554484381</v>
      </c>
      <c r="AO144" s="1">
        <v>40848</v>
      </c>
      <c r="AP144" s="4">
        <f t="shared" si="31"/>
        <v>0.52509202280946499</v>
      </c>
      <c r="AQ144" s="4">
        <f t="shared" si="32"/>
        <v>0.45301093710960294</v>
      </c>
    </row>
    <row r="145" spans="1:43" x14ac:dyDescent="0.25">
      <c r="A145" s="1">
        <v>41214</v>
      </c>
      <c r="B145" s="4">
        <v>0.13061007139398501</v>
      </c>
      <c r="C145" s="4">
        <v>3.90965991125585E-2</v>
      </c>
      <c r="D145" s="4">
        <v>3.1197373113654302E-2</v>
      </c>
      <c r="E145" s="4">
        <v>8.6395048031475408E-3</v>
      </c>
      <c r="F145" s="4">
        <v>1.36652107818084E-2</v>
      </c>
      <c r="G145" s="4">
        <v>3.2468780896197903E-2</v>
      </c>
      <c r="H145" s="4">
        <v>0.12506746870736599</v>
      </c>
      <c r="I145" s="4">
        <v>0.65718706297738905</v>
      </c>
      <c r="J145" s="4">
        <v>7.6429862595935094E-2</v>
      </c>
      <c r="K145" s="4">
        <v>5.3515462608111103E-2</v>
      </c>
      <c r="L145" s="4">
        <v>1.8659336215398101E-2</v>
      </c>
      <c r="M145" s="4">
        <v>0.805791724396833</v>
      </c>
      <c r="N145" s="4">
        <f t="shared" si="22"/>
        <v>0.44988581570451813</v>
      </c>
      <c r="P145" s="1">
        <v>40909</v>
      </c>
      <c r="Q145" s="4">
        <v>0.11762468025463201</v>
      </c>
      <c r="R145" s="4">
        <v>7.8124859991862305E-2</v>
      </c>
      <c r="S145" s="4">
        <v>7.8124859991862305E-2</v>
      </c>
      <c r="T145" s="4">
        <v>-0.12883450793441101</v>
      </c>
      <c r="U145" s="4">
        <v>0.57271074560070401</v>
      </c>
      <c r="V145" s="4">
        <v>0.53599786852350795</v>
      </c>
      <c r="Y145" s="1">
        <v>40878</v>
      </c>
      <c r="Z145" s="4">
        <f t="shared" si="23"/>
        <v>0.114368178306418</v>
      </c>
      <c r="AA145" s="4">
        <f t="shared" si="24"/>
        <v>0.11439861420752701</v>
      </c>
      <c r="AC145" s="1">
        <v>40878</v>
      </c>
      <c r="AD145" s="4">
        <f t="shared" si="25"/>
        <v>7.7723912072640303E-2</v>
      </c>
      <c r="AE145" s="4">
        <f t="shared" si="26"/>
        <v>7.6785688180167497E-2</v>
      </c>
      <c r="AG145" s="1">
        <v>40878</v>
      </c>
      <c r="AH145" s="4">
        <f t="shared" si="27"/>
        <v>0.12570157349335601</v>
      </c>
      <c r="AI145" s="4">
        <f t="shared" si="28"/>
        <v>0.10131181037289801</v>
      </c>
      <c r="AK145" s="1">
        <v>40878</v>
      </c>
      <c r="AL145" s="4">
        <f t="shared" si="29"/>
        <v>7.7723912072640303E-2</v>
      </c>
      <c r="AM145" s="4">
        <f t="shared" si="30"/>
        <v>0.10349109428418721</v>
      </c>
      <c r="AO145" s="1">
        <v>40878</v>
      </c>
      <c r="AP145" s="4">
        <f t="shared" si="31"/>
        <v>0.51497756963153296</v>
      </c>
      <c r="AQ145" s="4">
        <f t="shared" si="32"/>
        <v>0.4586326929394261</v>
      </c>
    </row>
    <row r="146" spans="1:43" x14ac:dyDescent="0.25">
      <c r="A146" s="1">
        <v>41244</v>
      </c>
      <c r="B146" s="4">
        <v>0.13003941392107099</v>
      </c>
      <c r="C146" s="4">
        <v>3.9841509298937899E-2</v>
      </c>
      <c r="D146" s="4">
        <v>3.1605074212443303E-2</v>
      </c>
      <c r="E146" s="4">
        <v>8.7010079361701399E-3</v>
      </c>
      <c r="F146" s="4">
        <v>1.33794828296249E-2</v>
      </c>
      <c r="G146" s="4">
        <v>3.3123087535838001E-2</v>
      </c>
      <c r="H146" s="4">
        <v>0.126650161813014</v>
      </c>
      <c r="I146" s="4">
        <v>0.66047803816176898</v>
      </c>
      <c r="J146" s="4">
        <v>7.4180912826475195E-2</v>
      </c>
      <c r="K146" s="4">
        <v>5.1643021028309803E-2</v>
      </c>
      <c r="L146" s="4">
        <v>1.69145503049891E-2</v>
      </c>
      <c r="M146" s="4">
        <v>0.80321652232154295</v>
      </c>
      <c r="N146" s="4">
        <f t="shared" si="22"/>
        <v>0.45347305341254207</v>
      </c>
      <c r="P146" s="1">
        <v>40940</v>
      </c>
      <c r="Q146" s="4">
        <v>0.118274242034744</v>
      </c>
      <c r="R146" s="4">
        <v>8.1630232657190202E-2</v>
      </c>
      <c r="S146" s="4">
        <v>8.1630232657190202E-2</v>
      </c>
      <c r="T146" s="4">
        <v>-0.13261747920671299</v>
      </c>
      <c r="U146" s="4">
        <v>0.579606534192877</v>
      </c>
      <c r="V146" s="4">
        <v>0.53181463575945198</v>
      </c>
      <c r="Y146" s="1">
        <v>40909</v>
      </c>
      <c r="Z146" s="4">
        <f t="shared" si="23"/>
        <v>0.11762468025463201</v>
      </c>
      <c r="AA146" s="4">
        <f t="shared" si="24"/>
        <v>0.115202813565561</v>
      </c>
      <c r="AC146" s="1">
        <v>40909</v>
      </c>
      <c r="AD146" s="4">
        <f t="shared" si="25"/>
        <v>7.8124859991862305E-2</v>
      </c>
      <c r="AE146" s="4">
        <f t="shared" si="26"/>
        <v>7.54390955010599E-2</v>
      </c>
      <c r="AG146" s="1">
        <v>40909</v>
      </c>
      <c r="AH146" s="4">
        <f t="shared" si="27"/>
        <v>0.12883450793441101</v>
      </c>
      <c r="AI146" s="4">
        <f t="shared" si="28"/>
        <v>0.10250584860999699</v>
      </c>
      <c r="AK146" s="1">
        <v>40909</v>
      </c>
      <c r="AL146" s="4">
        <f t="shared" si="29"/>
        <v>7.8124859991862305E-2</v>
      </c>
      <c r="AM146" s="4">
        <f t="shared" si="30"/>
        <v>0.1042629571962024</v>
      </c>
      <c r="AO146" s="1">
        <v>40909</v>
      </c>
      <c r="AP146" s="4">
        <f t="shared" si="31"/>
        <v>0.53599786852350795</v>
      </c>
      <c r="AQ146" s="4">
        <f t="shared" si="32"/>
        <v>0.46718919635890799</v>
      </c>
    </row>
    <row r="147" spans="1:43" x14ac:dyDescent="0.25">
      <c r="A147" s="1">
        <v>41275</v>
      </c>
      <c r="B147" s="4">
        <v>0.12985077041423199</v>
      </c>
      <c r="C147" s="4">
        <v>4.0634596731971798E-2</v>
      </c>
      <c r="D147" s="4">
        <v>3.1927371021991002E-2</v>
      </c>
      <c r="E147" s="4">
        <v>8.8662897405557793E-3</v>
      </c>
      <c r="F147" s="4">
        <v>1.3295530373766001E-2</v>
      </c>
      <c r="G147" s="4">
        <v>3.3668668667070002E-2</v>
      </c>
      <c r="H147" s="4">
        <v>0.128392456535354</v>
      </c>
      <c r="I147" s="4">
        <v>0.65789402924963303</v>
      </c>
      <c r="J147" s="4">
        <v>7.0325746735397501E-2</v>
      </c>
      <c r="K147" s="4">
        <v>5.1273831068818998E-2</v>
      </c>
      <c r="L147" s="4">
        <v>2.09547699135261E-2</v>
      </c>
      <c r="M147" s="4">
        <v>0.80044837696737603</v>
      </c>
      <c r="N147" s="4">
        <f t="shared" si="22"/>
        <v>0.45779484998220998</v>
      </c>
      <c r="P147" s="1">
        <v>40969</v>
      </c>
      <c r="Q147" s="4">
        <v>0.117222922233471</v>
      </c>
      <c r="R147" s="4">
        <v>8.0760597339346596E-2</v>
      </c>
      <c r="S147" s="4">
        <v>8.0760597339346596E-2</v>
      </c>
      <c r="T147" s="4">
        <v>-0.134205207797993</v>
      </c>
      <c r="U147" s="4">
        <v>0.60007470818888897</v>
      </c>
      <c r="V147" s="4">
        <v>0.51919413382518398</v>
      </c>
      <c r="Y147" s="1">
        <v>40940</v>
      </c>
      <c r="Z147" s="4">
        <f t="shared" si="23"/>
        <v>0.118274242034744</v>
      </c>
      <c r="AA147" s="4">
        <f t="shared" si="24"/>
        <v>0.114336715289105</v>
      </c>
      <c r="AC147" s="1">
        <v>40940</v>
      </c>
      <c r="AD147" s="4">
        <f t="shared" si="25"/>
        <v>8.1630232657190202E-2</v>
      </c>
      <c r="AE147" s="4">
        <f t="shared" si="26"/>
        <v>7.7395134381344197E-2</v>
      </c>
      <c r="AG147" s="1">
        <v>40940</v>
      </c>
      <c r="AH147" s="4">
        <f t="shared" si="27"/>
        <v>0.13261747920671299</v>
      </c>
      <c r="AI147" s="4">
        <f t="shared" si="28"/>
        <v>0.10545742682400699</v>
      </c>
      <c r="AK147" s="1">
        <v>40940</v>
      </c>
      <c r="AL147" s="4">
        <f t="shared" si="29"/>
        <v>8.1630232657190202E-2</v>
      </c>
      <c r="AM147" s="4">
        <f t="shared" si="30"/>
        <v>8.6499495087365402E-2</v>
      </c>
      <c r="AO147" s="1">
        <v>40940</v>
      </c>
      <c r="AP147" s="4">
        <f t="shared" si="31"/>
        <v>0.53181463575945198</v>
      </c>
      <c r="AQ147" s="4">
        <f t="shared" si="32"/>
        <v>0.45899515202414198</v>
      </c>
    </row>
    <row r="148" spans="1:43" x14ac:dyDescent="0.25">
      <c r="A148" s="1">
        <v>41306</v>
      </c>
      <c r="B148" s="4">
        <v>0.13217154950235599</v>
      </c>
      <c r="C148" s="4">
        <v>4.1278491741843601E-2</v>
      </c>
      <c r="D148" s="4">
        <v>3.1112535816474499E-2</v>
      </c>
      <c r="E148" s="4">
        <v>8.8625440707914595E-3</v>
      </c>
      <c r="F148" s="4">
        <v>1.41472368326833E-2</v>
      </c>
      <c r="G148" s="4">
        <v>3.3885139927050098E-2</v>
      </c>
      <c r="H148" s="4">
        <v>0.129285948388843</v>
      </c>
      <c r="I148" s="4">
        <v>0.65254747301252403</v>
      </c>
      <c r="J148" s="4">
        <v>7.4386137499957594E-2</v>
      </c>
      <c r="K148" s="4">
        <v>4.5388745222498701E-2</v>
      </c>
      <c r="L148" s="4">
        <v>1.83850158958948E-2</v>
      </c>
      <c r="M148" s="4">
        <v>0.79070737163087501</v>
      </c>
      <c r="N148" s="4">
        <f t="shared" si="22"/>
        <v>0.47075012626032398</v>
      </c>
      <c r="P148" s="1">
        <v>41000</v>
      </c>
      <c r="Q148" s="4">
        <v>0.119457641163652</v>
      </c>
      <c r="R148" s="4">
        <v>8.1798337455285003E-2</v>
      </c>
      <c r="S148" s="4">
        <v>8.1798337455285003E-2</v>
      </c>
      <c r="T148" s="4">
        <v>-0.13553165806768699</v>
      </c>
      <c r="U148" s="4">
        <v>0.60154437386527604</v>
      </c>
      <c r="V148" s="4">
        <v>0.518030194487484</v>
      </c>
      <c r="Y148" s="1">
        <v>40969</v>
      </c>
      <c r="Z148" s="4">
        <f t="shared" si="23"/>
        <v>0.117222922233471</v>
      </c>
      <c r="AA148" s="4">
        <f t="shared" si="24"/>
        <v>0.115604779364188</v>
      </c>
      <c r="AC148" s="1">
        <v>40969</v>
      </c>
      <c r="AD148" s="4">
        <f t="shared" si="25"/>
        <v>8.0760597339346596E-2</v>
      </c>
      <c r="AE148" s="4">
        <f t="shared" si="26"/>
        <v>7.5182393227896993E-2</v>
      </c>
      <c r="AG148" s="1">
        <v>40969</v>
      </c>
      <c r="AH148" s="4">
        <f t="shared" si="27"/>
        <v>0.134205207797993</v>
      </c>
      <c r="AI148" s="4">
        <f t="shared" si="28"/>
        <v>0.108749229332107</v>
      </c>
      <c r="AK148" s="1">
        <v>40969</v>
      </c>
      <c r="AL148" s="4">
        <f t="shared" si="29"/>
        <v>8.0760597339346596E-2</v>
      </c>
      <c r="AM148" s="4">
        <f t="shared" si="30"/>
        <v>8.8759280451736089E-2</v>
      </c>
      <c r="AO148" s="1">
        <v>40969</v>
      </c>
      <c r="AP148" s="4">
        <f t="shared" si="31"/>
        <v>0.51919413382518398</v>
      </c>
      <c r="AQ148" s="4">
        <f t="shared" si="32"/>
        <v>0.45148384645157791</v>
      </c>
    </row>
    <row r="149" spans="1:43" x14ac:dyDescent="0.25">
      <c r="A149" s="1">
        <v>41334</v>
      </c>
      <c r="B149" s="4">
        <v>0.13274900686008201</v>
      </c>
      <c r="C149" s="4">
        <v>4.0929396114565697E-2</v>
      </c>
      <c r="D149" s="4">
        <v>3.2953101349832301E-2</v>
      </c>
      <c r="E149" s="4">
        <v>9.1424030394033004E-3</v>
      </c>
      <c r="F149" s="4">
        <v>1.41487176040519E-2</v>
      </c>
      <c r="G149" s="4">
        <v>3.4472736081306597E-2</v>
      </c>
      <c r="H149" s="4">
        <v>0.13164635418915999</v>
      </c>
      <c r="I149" s="4">
        <v>0.69895372022901203</v>
      </c>
      <c r="J149" s="4">
        <v>7.1599837434190294E-2</v>
      </c>
      <c r="K149" s="4">
        <v>4.5849493561451099E-2</v>
      </c>
      <c r="L149" s="4">
        <v>1.5462268390551001E-2</v>
      </c>
      <c r="M149" s="4">
        <v>0.83186531961520505</v>
      </c>
      <c r="N149" s="4">
        <f t="shared" si="22"/>
        <v>0.43253004143403695</v>
      </c>
      <c r="P149" s="1">
        <v>41030</v>
      </c>
      <c r="Q149" s="4">
        <v>0.120793082975736</v>
      </c>
      <c r="R149" s="4">
        <v>7.3800283799929201E-2</v>
      </c>
      <c r="S149" s="4">
        <v>7.3800283799929201E-2</v>
      </c>
      <c r="T149" s="4">
        <v>-0.13789460203683601</v>
      </c>
      <c r="U149" s="4">
        <v>0.62204205883244301</v>
      </c>
      <c r="V149" s="4">
        <v>0.50826940296998602</v>
      </c>
      <c r="Y149" s="1">
        <v>41000</v>
      </c>
      <c r="Z149" s="4">
        <f t="shared" si="23"/>
        <v>0.119457641163652</v>
      </c>
      <c r="AA149" s="4">
        <f t="shared" si="24"/>
        <v>0.118665886740266</v>
      </c>
      <c r="AC149" s="1">
        <v>41000</v>
      </c>
      <c r="AD149" s="4">
        <f t="shared" si="25"/>
        <v>8.1798337455285003E-2</v>
      </c>
      <c r="AE149" s="4">
        <f t="shared" si="26"/>
        <v>7.4188712389584605E-2</v>
      </c>
      <c r="AG149" s="1">
        <v>41000</v>
      </c>
      <c r="AH149" s="4">
        <f t="shared" si="27"/>
        <v>0.13553165806768699</v>
      </c>
      <c r="AI149" s="4">
        <f t="shared" si="28"/>
        <v>0.108393779639552</v>
      </c>
      <c r="AK149" s="1">
        <v>41000</v>
      </c>
      <c r="AL149" s="4">
        <f t="shared" si="29"/>
        <v>8.1798337455285003E-2</v>
      </c>
      <c r="AM149" s="4">
        <f t="shared" si="30"/>
        <v>9.042090037859371E-2</v>
      </c>
      <c r="AO149" s="1">
        <v>41000</v>
      </c>
      <c r="AP149" s="4">
        <f t="shared" si="31"/>
        <v>0.518030194487484</v>
      </c>
      <c r="AQ149" s="4">
        <f t="shared" si="32"/>
        <v>0.45226898632798207</v>
      </c>
    </row>
    <row r="150" spans="1:43" x14ac:dyDescent="0.25">
      <c r="A150" s="1">
        <v>41365</v>
      </c>
      <c r="B150" s="4">
        <v>0.13286588874447799</v>
      </c>
      <c r="C150" s="4">
        <v>4.1529745287102598E-2</v>
      </c>
      <c r="D150" s="4">
        <v>3.18505408621216E-2</v>
      </c>
      <c r="E150" s="4">
        <v>9.2759638728246406E-3</v>
      </c>
      <c r="F150" s="4">
        <v>1.3689938796472199E-2</v>
      </c>
      <c r="G150" s="4">
        <v>3.3178153638101601E-2</v>
      </c>
      <c r="H150" s="4">
        <v>0.129524342456622</v>
      </c>
      <c r="I150" s="4">
        <v>0.69087032975356599</v>
      </c>
      <c r="J150" s="4">
        <v>7.4764052355933003E-2</v>
      </c>
      <c r="K150" s="4">
        <v>4.5263679395243103E-2</v>
      </c>
      <c r="L150" s="4">
        <v>1.9304952084114101E-2</v>
      </c>
      <c r="M150" s="4">
        <v>0.83020301358885695</v>
      </c>
      <c r="N150" s="4">
        <f t="shared" si="22"/>
        <v>0.43218721761224299</v>
      </c>
      <c r="P150" s="1">
        <v>41061</v>
      </c>
      <c r="Q150" s="4">
        <v>0.124339586143352</v>
      </c>
      <c r="R150" s="4">
        <v>7.4166598014152499E-2</v>
      </c>
      <c r="S150" s="4">
        <v>7.4166598014152499E-2</v>
      </c>
      <c r="T150" s="4">
        <v>-0.14117176446118099</v>
      </c>
      <c r="U150" s="4">
        <v>0.62504991467456195</v>
      </c>
      <c r="V150" s="4">
        <v>0.51539922018774798</v>
      </c>
      <c r="Y150" s="1">
        <v>41030</v>
      </c>
      <c r="Z150" s="4">
        <f t="shared" si="23"/>
        <v>0.120793082975736</v>
      </c>
      <c r="AA150" s="4">
        <f t="shared" si="24"/>
        <v>0.119256881862394</v>
      </c>
      <c r="AC150" s="1">
        <v>41030</v>
      </c>
      <c r="AD150" s="4">
        <f t="shared" si="25"/>
        <v>7.3800283799929201E-2</v>
      </c>
      <c r="AE150" s="4">
        <f t="shared" si="26"/>
        <v>7.93232892826507E-2</v>
      </c>
      <c r="AG150" s="1">
        <v>41030</v>
      </c>
      <c r="AH150" s="4">
        <f t="shared" si="27"/>
        <v>0.13789460203683601</v>
      </c>
      <c r="AI150" s="4">
        <f t="shared" si="28"/>
        <v>0.110169139619768</v>
      </c>
      <c r="AK150" s="1">
        <v>41030</v>
      </c>
      <c r="AL150" s="4">
        <f t="shared" si="29"/>
        <v>7.3800283799929201E-2</v>
      </c>
      <c r="AM150" s="4">
        <f t="shared" si="30"/>
        <v>8.6394590342178293E-2</v>
      </c>
      <c r="AO150" s="1">
        <v>41030</v>
      </c>
      <c r="AP150" s="4">
        <f t="shared" si="31"/>
        <v>0.50826940296998602</v>
      </c>
      <c r="AQ150" s="4">
        <f t="shared" si="32"/>
        <v>0.44733329773422892</v>
      </c>
    </row>
    <row r="151" spans="1:43" x14ac:dyDescent="0.25">
      <c r="A151" s="1">
        <v>41395</v>
      </c>
      <c r="B151" s="4">
        <v>0.13463222740240699</v>
      </c>
      <c r="C151" s="4">
        <v>4.2095509455257703E-2</v>
      </c>
      <c r="D151" s="4">
        <v>3.2434737217009603E-2</v>
      </c>
      <c r="E151" s="4">
        <v>9.2723693403389592E-3</v>
      </c>
      <c r="F151" s="4">
        <v>1.4862814999744499E-2</v>
      </c>
      <c r="G151" s="4">
        <v>3.3926792241192001E-2</v>
      </c>
      <c r="H151" s="4">
        <v>0.132592223253542</v>
      </c>
      <c r="I151" s="4">
        <v>0.72475006567467604</v>
      </c>
      <c r="J151" s="4">
        <v>7.2766831217682001E-2</v>
      </c>
      <c r="K151" s="4">
        <v>3.3663216642959702E-2</v>
      </c>
      <c r="L151" s="4">
        <v>1.8528093869188699E-2</v>
      </c>
      <c r="M151" s="4">
        <v>0.84970820740450703</v>
      </c>
      <c r="N151" s="4">
        <f t="shared" si="22"/>
        <v>0.4175162432514421</v>
      </c>
      <c r="P151" s="1">
        <v>41091</v>
      </c>
      <c r="Q151" s="4">
        <v>0.12595648924608199</v>
      </c>
      <c r="R151" s="4">
        <v>7.7089045420285496E-2</v>
      </c>
      <c r="S151" s="4">
        <v>7.7089045420285496E-2</v>
      </c>
      <c r="T151" s="4">
        <v>-0.14351322138304001</v>
      </c>
      <c r="U151" s="4">
        <v>0.62215358709764101</v>
      </c>
      <c r="V151" s="4">
        <v>0.51225086505541895</v>
      </c>
      <c r="Y151" s="1">
        <v>41061</v>
      </c>
      <c r="Z151" s="4">
        <f t="shared" si="23"/>
        <v>0.124339586143352</v>
      </c>
      <c r="AA151" s="4">
        <f t="shared" si="24"/>
        <v>0.119975754464839</v>
      </c>
      <c r="AC151" s="1">
        <v>41061</v>
      </c>
      <c r="AD151" s="4">
        <f t="shared" si="25"/>
        <v>7.4166598014152499E-2</v>
      </c>
      <c r="AE151" s="4">
        <f t="shared" si="26"/>
        <v>7.2148709908243597E-2</v>
      </c>
      <c r="AG151" s="1">
        <v>41061</v>
      </c>
      <c r="AH151" s="4">
        <f t="shared" si="27"/>
        <v>0.14117176446118099</v>
      </c>
      <c r="AI151" s="4">
        <f t="shared" si="28"/>
        <v>0.111380636124399</v>
      </c>
      <c r="AK151" s="1">
        <v>41061</v>
      </c>
      <c r="AL151" s="4">
        <f t="shared" si="29"/>
        <v>7.4166598014152499E-2</v>
      </c>
      <c r="AM151" s="4">
        <f t="shared" si="30"/>
        <v>8.6820486678216402E-2</v>
      </c>
      <c r="AO151" s="1">
        <v>41061</v>
      </c>
      <c r="AP151" s="4">
        <f t="shared" si="31"/>
        <v>0.51539922018774798</v>
      </c>
      <c r="AQ151" s="4">
        <f t="shared" si="32"/>
        <v>0.43855118565069495</v>
      </c>
    </row>
    <row r="152" spans="1:43" x14ac:dyDescent="0.25">
      <c r="A152" s="1">
        <v>41426</v>
      </c>
      <c r="B152" s="4">
        <v>0.14027567692611001</v>
      </c>
      <c r="C152" s="4">
        <v>4.3450304134168602E-2</v>
      </c>
      <c r="D152" s="4">
        <v>3.33547133812548E-2</v>
      </c>
      <c r="E152" s="4">
        <v>9.5113826564301E-3</v>
      </c>
      <c r="F152" s="4">
        <v>1.65518079869829E-2</v>
      </c>
      <c r="G152" s="4">
        <v>3.2921704947019403E-2</v>
      </c>
      <c r="H152" s="4">
        <v>0.135789913105856</v>
      </c>
      <c r="I152" s="4">
        <v>0.71882440119424595</v>
      </c>
      <c r="J152" s="4">
        <v>7.3209064689230399E-2</v>
      </c>
      <c r="K152" s="4">
        <v>3.8475063053071398E-2</v>
      </c>
      <c r="L152" s="4">
        <v>1.9354730607533299E-2</v>
      </c>
      <c r="M152" s="4">
        <v>0.84986325954408104</v>
      </c>
      <c r="N152" s="4">
        <f t="shared" si="22"/>
        <v>0.42620233048788492</v>
      </c>
      <c r="P152" s="1">
        <v>41122</v>
      </c>
      <c r="Q152" s="4">
        <v>0.127399179250932</v>
      </c>
      <c r="R152" s="4">
        <v>8.0353296819379597E-2</v>
      </c>
      <c r="S152" s="4">
        <v>8.0353296819379597E-2</v>
      </c>
      <c r="T152" s="4">
        <v>-0.14804847641034</v>
      </c>
      <c r="U152" s="4">
        <v>0.62771890270215702</v>
      </c>
      <c r="V152" s="4">
        <v>0.510074257516132</v>
      </c>
      <c r="Y152" s="1">
        <v>41091</v>
      </c>
      <c r="Z152" s="4">
        <f t="shared" si="23"/>
        <v>0.12595648924608199</v>
      </c>
      <c r="AA152" s="4">
        <f t="shared" si="24"/>
        <v>0.12168338808309601</v>
      </c>
      <c r="AC152" s="1">
        <v>41091</v>
      </c>
      <c r="AD152" s="4">
        <f t="shared" si="25"/>
        <v>7.7089045420285496E-2</v>
      </c>
      <c r="AE152" s="4">
        <f t="shared" si="26"/>
        <v>7.5588148474725197E-2</v>
      </c>
      <c r="AG152" s="1">
        <v>41091</v>
      </c>
      <c r="AH152" s="4">
        <f t="shared" si="27"/>
        <v>0.14351322138304001</v>
      </c>
      <c r="AI152" s="4">
        <f t="shared" si="28"/>
        <v>0.112953751345428</v>
      </c>
      <c r="AK152" s="1">
        <v>41091</v>
      </c>
      <c r="AL152" s="4">
        <f t="shared" si="29"/>
        <v>7.7089045420285496E-2</v>
      </c>
      <c r="AM152" s="4">
        <f t="shared" si="30"/>
        <v>7.4762204532236393E-2</v>
      </c>
      <c r="AO152" s="1">
        <v>41091</v>
      </c>
      <c r="AP152" s="4">
        <f t="shared" si="31"/>
        <v>0.51225086505541895</v>
      </c>
      <c r="AQ152" s="4">
        <f t="shared" si="32"/>
        <v>0.44584702089490802</v>
      </c>
    </row>
    <row r="153" spans="1:43" x14ac:dyDescent="0.25">
      <c r="A153" s="1">
        <v>41456</v>
      </c>
      <c r="B153" s="4">
        <v>0.14660202921142501</v>
      </c>
      <c r="C153" s="4">
        <v>4.4139732596132103E-2</v>
      </c>
      <c r="D153" s="4">
        <v>3.4451296209888002E-2</v>
      </c>
      <c r="E153" s="4">
        <v>9.4699619267822593E-3</v>
      </c>
      <c r="F153" s="4">
        <v>1.7413091950651199E-2</v>
      </c>
      <c r="G153" s="4">
        <v>3.5248136981763899E-2</v>
      </c>
      <c r="H153" s="4">
        <v>0.140722219665217</v>
      </c>
      <c r="I153" s="4">
        <v>0.71691117479073896</v>
      </c>
      <c r="J153" s="4">
        <v>7.2082704658598298E-2</v>
      </c>
      <c r="K153" s="4">
        <v>3.4763444521992003E-2</v>
      </c>
      <c r="L153" s="4">
        <v>1.84069875092371E-2</v>
      </c>
      <c r="M153" s="4">
        <v>0.84216431148056703</v>
      </c>
      <c r="N153" s="4">
        <f t="shared" si="22"/>
        <v>0.44515993739607485</v>
      </c>
      <c r="P153" s="1">
        <v>41153</v>
      </c>
      <c r="Q153" s="4">
        <v>0.12785568391393901</v>
      </c>
      <c r="R153" s="4">
        <v>8.3059799209001597E-2</v>
      </c>
      <c r="S153" s="4">
        <v>8.3059799209001597E-2</v>
      </c>
      <c r="T153" s="4">
        <v>-0.14739567111253299</v>
      </c>
      <c r="U153" s="4">
        <v>0.61858305581821105</v>
      </c>
      <c r="V153" s="4">
        <v>0.51277572378523895</v>
      </c>
      <c r="Y153" s="1">
        <v>41122</v>
      </c>
      <c r="Z153" s="4">
        <f t="shared" si="23"/>
        <v>0.127399179250932</v>
      </c>
      <c r="AA153" s="4">
        <f t="shared" si="24"/>
        <v>0.121970695757994</v>
      </c>
      <c r="AC153" s="1">
        <v>41122</v>
      </c>
      <c r="AD153" s="4">
        <f t="shared" si="25"/>
        <v>8.0353296819379597E-2</v>
      </c>
      <c r="AE153" s="4">
        <f t="shared" si="26"/>
        <v>7.3581793664630704E-2</v>
      </c>
      <c r="AG153" s="1">
        <v>41122</v>
      </c>
      <c r="AH153" s="4">
        <f t="shared" si="27"/>
        <v>0.14804847641034</v>
      </c>
      <c r="AI153" s="4">
        <f t="shared" si="28"/>
        <v>0.11497610422926099</v>
      </c>
      <c r="AK153" s="1">
        <v>41122</v>
      </c>
      <c r="AL153" s="4">
        <f t="shared" si="29"/>
        <v>8.0353296819379597E-2</v>
      </c>
      <c r="AM153" s="4">
        <f t="shared" si="30"/>
        <v>7.9571307944123509E-2</v>
      </c>
      <c r="AO153" s="1">
        <v>41122</v>
      </c>
      <c r="AP153" s="4">
        <f t="shared" si="31"/>
        <v>0.510074257516132</v>
      </c>
      <c r="AQ153" s="4">
        <f t="shared" si="32"/>
        <v>0.44150826947535904</v>
      </c>
    </row>
    <row r="154" spans="1:43" x14ac:dyDescent="0.25">
      <c r="A154" s="1">
        <v>41487</v>
      </c>
      <c r="B154" s="4">
        <v>0.145987666045686</v>
      </c>
      <c r="C154" s="4">
        <v>4.4134465262733402E-2</v>
      </c>
      <c r="D154" s="4">
        <v>3.6033930523184599E-2</v>
      </c>
      <c r="E154" s="4">
        <v>9.3429615200547392E-3</v>
      </c>
      <c r="F154" s="4">
        <v>1.6481232052017802E-2</v>
      </c>
      <c r="G154" s="4">
        <v>3.47031899094929E-2</v>
      </c>
      <c r="H154" s="4">
        <v>0.140695779267483</v>
      </c>
      <c r="I154" s="4">
        <v>0.71639041035685502</v>
      </c>
      <c r="J154" s="4">
        <v>7.0279302943788105E-2</v>
      </c>
      <c r="K154" s="4">
        <v>3.1630149032787797E-2</v>
      </c>
      <c r="L154" s="4">
        <v>2.1413187751333301E-2</v>
      </c>
      <c r="M154" s="4">
        <v>0.83971305008476405</v>
      </c>
      <c r="N154" s="4">
        <f t="shared" si="22"/>
        <v>0.44697039522840498</v>
      </c>
      <c r="P154" s="1">
        <v>41183</v>
      </c>
      <c r="Q154" s="4">
        <v>0.130026853299473</v>
      </c>
      <c r="R154" s="4">
        <v>8.2213365976416097E-2</v>
      </c>
      <c r="S154" s="4">
        <v>8.2213365976416097E-2</v>
      </c>
      <c r="T154" s="4">
        <v>-0.15346433644768701</v>
      </c>
      <c r="U154" s="4">
        <v>0.62634323898563604</v>
      </c>
      <c r="V154" s="4">
        <v>0.518395522623597</v>
      </c>
      <c r="Y154" s="1">
        <v>41153</v>
      </c>
      <c r="Z154" s="4">
        <f t="shared" si="23"/>
        <v>0.12785568391393901</v>
      </c>
      <c r="AA154" s="4">
        <f t="shared" si="24"/>
        <v>0.12516407016389799</v>
      </c>
      <c r="AC154" s="1">
        <v>41153</v>
      </c>
      <c r="AD154" s="4">
        <f t="shared" si="25"/>
        <v>8.3059799209001597E-2</v>
      </c>
      <c r="AE154" s="4">
        <f t="shared" si="26"/>
        <v>7.5966695289768599E-2</v>
      </c>
      <c r="AG154" s="1">
        <v>41153</v>
      </c>
      <c r="AH154" s="4">
        <f t="shared" si="27"/>
        <v>0.14739567111253299</v>
      </c>
      <c r="AI154" s="4">
        <f t="shared" si="28"/>
        <v>0.11794137599243</v>
      </c>
      <c r="AK154" s="1">
        <v>41153</v>
      </c>
      <c r="AL154" s="4">
        <f t="shared" si="29"/>
        <v>8.3059799209001597E-2</v>
      </c>
      <c r="AM154" s="4">
        <f t="shared" si="30"/>
        <v>8.37324485259653E-2</v>
      </c>
      <c r="AO154" s="1">
        <v>41153</v>
      </c>
      <c r="AP154" s="4">
        <f t="shared" si="31"/>
        <v>0.51277572378523895</v>
      </c>
      <c r="AQ154" s="4">
        <f t="shared" si="32"/>
        <v>0.44120825539149799</v>
      </c>
    </row>
    <row r="155" spans="1:43" x14ac:dyDescent="0.25">
      <c r="A155" s="1">
        <v>41518</v>
      </c>
      <c r="B155" s="4">
        <v>0.14875100027759899</v>
      </c>
      <c r="C155" s="4">
        <v>4.6319609713919699E-2</v>
      </c>
      <c r="D155" s="4">
        <v>3.6792506790287498E-2</v>
      </c>
      <c r="E155" s="4">
        <v>9.8654873666948507E-3</v>
      </c>
      <c r="F155" s="4">
        <v>1.7265067568384699E-2</v>
      </c>
      <c r="G155" s="4">
        <v>3.6377316404140603E-2</v>
      </c>
      <c r="H155" s="4">
        <v>0.146619987843427</v>
      </c>
      <c r="I155" s="4">
        <v>0.713486077265441</v>
      </c>
      <c r="J155" s="4">
        <v>7.7178366578793206E-2</v>
      </c>
      <c r="K155" s="4">
        <v>2.7462260393798898E-2</v>
      </c>
      <c r="L155" s="4">
        <v>2.56521486779639E-2</v>
      </c>
      <c r="M155" s="4">
        <v>0.84377885291599697</v>
      </c>
      <c r="N155" s="4">
        <f t="shared" si="22"/>
        <v>0.45159213520502905</v>
      </c>
      <c r="P155" s="1">
        <v>41214</v>
      </c>
      <c r="Q155" s="4">
        <v>0.128946320209405</v>
      </c>
      <c r="R155" s="4">
        <v>7.9770394447163495E-2</v>
      </c>
      <c r="S155" s="4">
        <v>7.9770394447163495E-2</v>
      </c>
      <c r="T155" s="4">
        <v>-0.156394662618384</v>
      </c>
      <c r="U155" s="4">
        <v>0.63630020803536202</v>
      </c>
      <c r="V155" s="4">
        <v>0.51257861796936599</v>
      </c>
      <c r="Y155" s="1">
        <v>41183</v>
      </c>
      <c r="Z155" s="4">
        <f t="shared" si="23"/>
        <v>0.130026853299473</v>
      </c>
      <c r="AA155" s="4">
        <f t="shared" si="24"/>
        <v>0.124463181161149</v>
      </c>
      <c r="AC155" s="1">
        <v>41183</v>
      </c>
      <c r="AD155" s="4">
        <f t="shared" si="25"/>
        <v>8.2213365976416097E-2</v>
      </c>
      <c r="AE155" s="4">
        <f t="shared" si="26"/>
        <v>7.5547419017648706E-2</v>
      </c>
      <c r="AG155" s="1">
        <v>41183</v>
      </c>
      <c r="AH155" s="4">
        <f t="shared" si="27"/>
        <v>0.15346433644768701</v>
      </c>
      <c r="AI155" s="4">
        <f t="shared" si="28"/>
        <v>0.120007760444449</v>
      </c>
      <c r="AK155" s="1">
        <v>41183</v>
      </c>
      <c r="AL155" s="4">
        <f t="shared" si="29"/>
        <v>8.2213365976416097E-2</v>
      </c>
      <c r="AM155" s="4">
        <f t="shared" si="30"/>
        <v>8.1573298432648295E-2</v>
      </c>
      <c r="AO155" s="1">
        <v>41183</v>
      </c>
      <c r="AP155" s="4">
        <f t="shared" si="31"/>
        <v>0.518395522623597</v>
      </c>
      <c r="AQ155" s="4">
        <f t="shared" si="32"/>
        <v>0.44900479006102412</v>
      </c>
    </row>
    <row r="156" spans="1:43" x14ac:dyDescent="0.25">
      <c r="A156" s="1">
        <v>41548</v>
      </c>
      <c r="B156" s="4">
        <v>0.152357935178144</v>
      </c>
      <c r="C156" s="4">
        <v>4.46698060221212E-2</v>
      </c>
      <c r="D156" s="4">
        <v>3.5379372343759298E-2</v>
      </c>
      <c r="E156" s="4">
        <v>9.5655181651393192E-3</v>
      </c>
      <c r="F156" s="4">
        <v>1.7821793248972199E-2</v>
      </c>
      <c r="G156" s="4">
        <v>3.5487764353095502E-2</v>
      </c>
      <c r="H156" s="4">
        <v>0.14292425413308699</v>
      </c>
      <c r="I156" s="4">
        <v>0.71275119426189204</v>
      </c>
      <c r="J156" s="4">
        <v>7.4474879302808106E-2</v>
      </c>
      <c r="K156" s="4">
        <v>2.4435508177676701E-2</v>
      </c>
      <c r="L156" s="4">
        <v>2.0219410825648602E-2</v>
      </c>
      <c r="M156" s="4">
        <v>0.83188099256802595</v>
      </c>
      <c r="N156" s="4">
        <f t="shared" si="22"/>
        <v>0.46340119674320501</v>
      </c>
      <c r="P156" s="1">
        <v>41244</v>
      </c>
      <c r="Q156" s="4">
        <v>0.133462946499223</v>
      </c>
      <c r="R156" s="4">
        <v>8.0565787892815002E-2</v>
      </c>
      <c r="S156" s="4">
        <v>8.0565787892815002E-2</v>
      </c>
      <c r="T156" s="4">
        <v>-0.160218821136139</v>
      </c>
      <c r="U156" s="4">
        <v>0.63346109876297396</v>
      </c>
      <c r="V156" s="4">
        <v>0.51454043147897999</v>
      </c>
      <c r="Y156" s="1">
        <v>41214</v>
      </c>
      <c r="Z156" s="4">
        <f t="shared" si="23"/>
        <v>0.128946320209405</v>
      </c>
      <c r="AA156" s="4">
        <f t="shared" si="24"/>
        <v>0.13061007139398501</v>
      </c>
      <c r="AC156" s="1">
        <v>41214</v>
      </c>
      <c r="AD156" s="4">
        <f t="shared" si="25"/>
        <v>7.9770394447163495E-2</v>
      </c>
      <c r="AE156" s="4">
        <f t="shared" si="26"/>
        <v>7.6429862595935094E-2</v>
      </c>
      <c r="AG156" s="1">
        <v>41214</v>
      </c>
      <c r="AH156" s="4">
        <f t="shared" si="27"/>
        <v>0.156394662618384</v>
      </c>
      <c r="AI156" s="4">
        <f t="shared" si="28"/>
        <v>0.12506746870736599</v>
      </c>
      <c r="AK156" s="1">
        <v>41214</v>
      </c>
      <c r="AL156" s="4">
        <f t="shared" si="29"/>
        <v>7.9770394447163495E-2</v>
      </c>
      <c r="AM156" s="4">
        <f t="shared" si="30"/>
        <v>7.2174798823509204E-2</v>
      </c>
      <c r="AO156" s="1">
        <v>41214</v>
      </c>
      <c r="AP156" s="4">
        <f t="shared" si="31"/>
        <v>0.51257861796936599</v>
      </c>
      <c r="AQ156" s="4">
        <f t="shared" si="32"/>
        <v>0.44988581570451813</v>
      </c>
    </row>
    <row r="157" spans="1:43" x14ac:dyDescent="0.25">
      <c r="A157" s="1">
        <v>41579</v>
      </c>
      <c r="B157" s="4">
        <v>0.15612976040061999</v>
      </c>
      <c r="C157" s="4">
        <v>4.4384484856079397E-2</v>
      </c>
      <c r="D157" s="4">
        <v>3.5220301726062601E-2</v>
      </c>
      <c r="E157" s="4">
        <v>9.6946382891107893E-3</v>
      </c>
      <c r="F157" s="4">
        <v>1.74692431828791E-2</v>
      </c>
      <c r="G157" s="4">
        <v>3.7912936497041701E-2</v>
      </c>
      <c r="H157" s="4">
        <v>0.14468160455117299</v>
      </c>
      <c r="I157" s="4">
        <v>0.71445144079940304</v>
      </c>
      <c r="J157" s="4">
        <v>7.2511315447045394E-2</v>
      </c>
      <c r="K157" s="4">
        <v>2.3211262649698298E-2</v>
      </c>
      <c r="L157" s="4">
        <v>2.11369793118176E-2</v>
      </c>
      <c r="M157" s="4">
        <v>0.83131099820796395</v>
      </c>
      <c r="N157" s="4">
        <f t="shared" si="22"/>
        <v>0.469500366743829</v>
      </c>
      <c r="P157" s="1">
        <v>41275</v>
      </c>
      <c r="Q157" s="4">
        <v>0.13255785570862499</v>
      </c>
      <c r="R157" s="4">
        <v>8.2889700470322195E-2</v>
      </c>
      <c r="S157" s="4">
        <v>8.2889700470322195E-2</v>
      </c>
      <c r="T157" s="4">
        <v>-0.16140373497256799</v>
      </c>
      <c r="U157" s="4">
        <v>0.62455847156071498</v>
      </c>
      <c r="V157" s="4">
        <v>0.53135940378982605</v>
      </c>
      <c r="Y157" s="1">
        <v>41244</v>
      </c>
      <c r="Z157" s="4">
        <f t="shared" si="23"/>
        <v>0.133462946499223</v>
      </c>
      <c r="AA157" s="4">
        <f t="shared" si="24"/>
        <v>0.13003941392107099</v>
      </c>
      <c r="AC157" s="1">
        <v>41244</v>
      </c>
      <c r="AD157" s="4">
        <f t="shared" si="25"/>
        <v>8.0565787892815002E-2</v>
      </c>
      <c r="AE157" s="4">
        <f t="shared" si="26"/>
        <v>7.4180912826475195E-2</v>
      </c>
      <c r="AG157" s="1">
        <v>41244</v>
      </c>
      <c r="AH157" s="4">
        <f t="shared" si="27"/>
        <v>0.160218821136139</v>
      </c>
      <c r="AI157" s="4">
        <f t="shared" si="28"/>
        <v>0.126650161813014</v>
      </c>
      <c r="AK157" s="1">
        <v>41244</v>
      </c>
      <c r="AL157" s="4">
        <f t="shared" si="29"/>
        <v>8.0565787892815002E-2</v>
      </c>
      <c r="AM157" s="4">
        <f t="shared" si="30"/>
        <v>6.85575713332989E-2</v>
      </c>
      <c r="AO157" s="1">
        <v>41244</v>
      </c>
      <c r="AP157" s="4">
        <f t="shared" si="31"/>
        <v>0.51454043147897999</v>
      </c>
      <c r="AQ157" s="4">
        <f t="shared" si="32"/>
        <v>0.45347305341254207</v>
      </c>
    </row>
    <row r="158" spans="1:43" x14ac:dyDescent="0.25">
      <c r="A158" s="1">
        <v>41609</v>
      </c>
      <c r="B158" s="4">
        <v>0.15276589937299201</v>
      </c>
      <c r="C158" s="4">
        <v>4.5336093374533398E-2</v>
      </c>
      <c r="D158" s="4">
        <v>3.8170318309376998E-2</v>
      </c>
      <c r="E158" s="4">
        <v>9.9736025631614808E-3</v>
      </c>
      <c r="F158" s="4">
        <v>1.7929400622628499E-2</v>
      </c>
      <c r="G158" s="4">
        <v>3.7444086235858001E-2</v>
      </c>
      <c r="H158" s="4">
        <v>0.14885350110555801</v>
      </c>
      <c r="I158" s="4">
        <v>0.71527266194711803</v>
      </c>
      <c r="J158" s="4">
        <v>7.6860186016386806E-2</v>
      </c>
      <c r="K158" s="4">
        <v>1.0799241518832201E-2</v>
      </c>
      <c r="L158" s="4">
        <v>1.8919916637506501E-2</v>
      </c>
      <c r="M158" s="4">
        <v>0.82185200611984399</v>
      </c>
      <c r="N158" s="4">
        <f t="shared" si="22"/>
        <v>0.47976739435870597</v>
      </c>
      <c r="P158" s="1">
        <v>41306</v>
      </c>
      <c r="Q158" s="4">
        <v>0.132899200173002</v>
      </c>
      <c r="R158" s="4">
        <v>8.3697780765032898E-2</v>
      </c>
      <c r="S158" s="4">
        <v>8.3697780765032898E-2</v>
      </c>
      <c r="T158" s="4">
        <v>-0.16578643359022099</v>
      </c>
      <c r="U158" s="4">
        <v>0.62902662605009296</v>
      </c>
      <c r="V158" s="4">
        <v>0.53079333259940098</v>
      </c>
      <c r="Y158" s="1">
        <v>41275</v>
      </c>
      <c r="Z158" s="4">
        <f t="shared" si="23"/>
        <v>0.13255785570862499</v>
      </c>
      <c r="AA158" s="4">
        <f t="shared" si="24"/>
        <v>0.12985077041423199</v>
      </c>
      <c r="AC158" s="1">
        <v>41275</v>
      </c>
      <c r="AD158" s="4">
        <f t="shared" si="25"/>
        <v>8.2889700470322195E-2</v>
      </c>
      <c r="AE158" s="4">
        <f t="shared" si="26"/>
        <v>7.0325746735397501E-2</v>
      </c>
      <c r="AG158" s="1">
        <v>41275</v>
      </c>
      <c r="AH158" s="4">
        <f t="shared" si="27"/>
        <v>0.16140373497256799</v>
      </c>
      <c r="AI158" s="4">
        <f t="shared" si="28"/>
        <v>0.128392456535354</v>
      </c>
      <c r="AK158" s="1">
        <v>41275</v>
      </c>
      <c r="AL158" s="4">
        <f t="shared" si="29"/>
        <v>8.2889700470322195E-2</v>
      </c>
      <c r="AM158" s="4">
        <f t="shared" si="30"/>
        <v>7.2228600982345098E-2</v>
      </c>
      <c r="AO158" s="1">
        <v>41275</v>
      </c>
      <c r="AP158" s="4">
        <f t="shared" si="31"/>
        <v>0.53135940378982605</v>
      </c>
      <c r="AQ158" s="4">
        <f t="shared" si="32"/>
        <v>0.45779484998220998</v>
      </c>
    </row>
    <row r="159" spans="1:43" x14ac:dyDescent="0.25">
      <c r="A159" s="1">
        <v>41640</v>
      </c>
      <c r="B159" s="4">
        <v>0.15472477936637799</v>
      </c>
      <c r="C159" s="4">
        <v>4.6212012842008397E-2</v>
      </c>
      <c r="D159" s="4">
        <v>3.61396641489539E-2</v>
      </c>
      <c r="E159" s="4">
        <v>9.4289335194472305E-3</v>
      </c>
      <c r="F159" s="4">
        <v>1.7475342648986501E-2</v>
      </c>
      <c r="G159" s="4">
        <v>3.5974793172287398E-2</v>
      </c>
      <c r="H159" s="4">
        <v>0.14523074633168301</v>
      </c>
      <c r="I159" s="4">
        <v>0.70351454782698497</v>
      </c>
      <c r="J159" s="4">
        <v>7.13193139769909E-2</v>
      </c>
      <c r="K159" s="4">
        <v>1.30758652993904E-2</v>
      </c>
      <c r="L159" s="4">
        <v>2.2078260230404601E-2</v>
      </c>
      <c r="M159" s="4">
        <v>0.80998798733377098</v>
      </c>
      <c r="N159" s="4">
        <f t="shared" si="22"/>
        <v>0.48996753836429008</v>
      </c>
      <c r="P159" s="1">
        <v>41334</v>
      </c>
      <c r="Q159" s="4">
        <v>0.13605841600933299</v>
      </c>
      <c r="R159" s="4">
        <v>8.1926993783664095E-2</v>
      </c>
      <c r="S159" s="4">
        <v>8.1926993783664095E-2</v>
      </c>
      <c r="T159" s="4">
        <v>-0.16910047269917</v>
      </c>
      <c r="U159" s="4">
        <v>0.65471448026924495</v>
      </c>
      <c r="V159" s="4">
        <v>0.52081130123879604</v>
      </c>
      <c r="Y159" s="1">
        <v>41306</v>
      </c>
      <c r="Z159" s="4">
        <f t="shared" si="23"/>
        <v>0.132899200173002</v>
      </c>
      <c r="AA159" s="4">
        <f t="shared" si="24"/>
        <v>0.13217154950235599</v>
      </c>
      <c r="AC159" s="1">
        <v>41306</v>
      </c>
      <c r="AD159" s="4">
        <f t="shared" si="25"/>
        <v>8.3697780765032898E-2</v>
      </c>
      <c r="AE159" s="4">
        <f t="shared" si="26"/>
        <v>7.4386137499957594E-2</v>
      </c>
      <c r="AG159" s="1">
        <v>41306</v>
      </c>
      <c r="AH159" s="4">
        <f t="shared" si="27"/>
        <v>0.16578643359022099</v>
      </c>
      <c r="AI159" s="4">
        <f t="shared" si="28"/>
        <v>0.129285948388843</v>
      </c>
      <c r="AK159" s="1">
        <v>41306</v>
      </c>
      <c r="AL159" s="4">
        <f t="shared" si="29"/>
        <v>8.3697780765032898E-2</v>
      </c>
      <c r="AM159" s="4">
        <f t="shared" si="30"/>
        <v>6.3773761118393502E-2</v>
      </c>
      <c r="AO159" s="1">
        <v>41306</v>
      </c>
      <c r="AP159" s="4">
        <f t="shared" si="31"/>
        <v>0.53079333259940098</v>
      </c>
      <c r="AQ159" s="4">
        <f t="shared" si="32"/>
        <v>0.47075012626032398</v>
      </c>
    </row>
    <row r="160" spans="1:43" x14ac:dyDescent="0.25">
      <c r="A160" s="1">
        <v>41671</v>
      </c>
      <c r="B160" s="4">
        <v>0.154130060206119</v>
      </c>
      <c r="C160" s="4">
        <v>4.4832965980576303E-2</v>
      </c>
      <c r="D160" s="4">
        <v>3.4622746541609899E-2</v>
      </c>
      <c r="E160" s="4">
        <v>9.3122236955348707E-3</v>
      </c>
      <c r="F160" s="4">
        <v>1.7267940059596198E-2</v>
      </c>
      <c r="G160" s="4">
        <v>3.7127348893416998E-2</v>
      </c>
      <c r="H160" s="4">
        <v>0.14316322517073399</v>
      </c>
      <c r="I160" s="4">
        <v>0.71993059312096097</v>
      </c>
      <c r="J160" s="4">
        <v>7.3936662694178201E-2</v>
      </c>
      <c r="K160" s="4">
        <v>1.28342622771847E-2</v>
      </c>
      <c r="L160" s="4">
        <v>1.93188878851639E-2</v>
      </c>
      <c r="M160" s="4">
        <v>0.82602040597748805</v>
      </c>
      <c r="N160" s="4">
        <f t="shared" si="22"/>
        <v>0.47127287939936502</v>
      </c>
      <c r="P160" s="1">
        <v>41365</v>
      </c>
      <c r="Q160" s="4">
        <v>0.135085417582614</v>
      </c>
      <c r="R160" s="4">
        <v>8.1574958503187397E-2</v>
      </c>
      <c r="S160" s="4">
        <v>8.1574958503187397E-2</v>
      </c>
      <c r="T160" s="4">
        <v>-0.172290365396567</v>
      </c>
      <c r="U160" s="4">
        <v>0.66118252771461805</v>
      </c>
      <c r="V160" s="4">
        <v>0.52137318982234304</v>
      </c>
      <c r="Y160" s="1">
        <v>41334</v>
      </c>
      <c r="Z160" s="4">
        <f t="shared" si="23"/>
        <v>0.13605841600933299</v>
      </c>
      <c r="AA160" s="4">
        <f t="shared" si="24"/>
        <v>0.13274900686008201</v>
      </c>
      <c r="AC160" s="1">
        <v>41334</v>
      </c>
      <c r="AD160" s="4">
        <f t="shared" si="25"/>
        <v>8.1926993783664095E-2</v>
      </c>
      <c r="AE160" s="4">
        <f t="shared" si="26"/>
        <v>7.1599837434190294E-2</v>
      </c>
      <c r="AG160" s="1">
        <v>41334</v>
      </c>
      <c r="AH160" s="4">
        <f t="shared" si="27"/>
        <v>0.16910047269917</v>
      </c>
      <c r="AI160" s="4">
        <f t="shared" si="28"/>
        <v>0.13164635418915999</v>
      </c>
      <c r="AK160" s="1">
        <v>41334</v>
      </c>
      <c r="AL160" s="4">
        <f t="shared" si="29"/>
        <v>8.1926993783664095E-2</v>
      </c>
      <c r="AM160" s="4">
        <f t="shared" si="30"/>
        <v>6.1311761952002101E-2</v>
      </c>
      <c r="AO160" s="1">
        <v>41334</v>
      </c>
      <c r="AP160" s="4">
        <f t="shared" si="31"/>
        <v>0.52081130123879604</v>
      </c>
      <c r="AQ160" s="4">
        <f t="shared" si="32"/>
        <v>0.43253004143403695</v>
      </c>
    </row>
    <row r="161" spans="1:43" x14ac:dyDescent="0.25">
      <c r="A161" s="1">
        <v>41699</v>
      </c>
      <c r="B161" s="4">
        <v>0.15678632662502501</v>
      </c>
      <c r="C161" s="4">
        <v>4.5828508450378898E-2</v>
      </c>
      <c r="D161" s="4">
        <v>3.6697640487821703E-2</v>
      </c>
      <c r="E161" s="4">
        <v>9.85822887773803E-3</v>
      </c>
      <c r="F161" s="4">
        <v>1.73054937424225E-2</v>
      </c>
      <c r="G161" s="4">
        <v>3.7345660465064601E-2</v>
      </c>
      <c r="H161" s="4">
        <v>0.14703553202342501</v>
      </c>
      <c r="I161" s="4">
        <v>0.71744225822632801</v>
      </c>
      <c r="J161" s="4">
        <v>7.0560538165555797E-2</v>
      </c>
      <c r="K161" s="4">
        <v>1.4453812534257199E-2</v>
      </c>
      <c r="L161" s="4">
        <v>2.0993854183772E-2</v>
      </c>
      <c r="M161" s="4">
        <v>0.82345046310991299</v>
      </c>
      <c r="N161" s="4">
        <f t="shared" si="22"/>
        <v>0.48037139553853703</v>
      </c>
      <c r="P161" s="1">
        <v>41395</v>
      </c>
      <c r="Q161" s="4">
        <v>0.138395991655169</v>
      </c>
      <c r="R161" s="4">
        <v>7.3897665546376098E-2</v>
      </c>
      <c r="S161" s="4">
        <v>7.3897665546376098E-2</v>
      </c>
      <c r="T161" s="4">
        <v>-0.17858429673437601</v>
      </c>
      <c r="U161" s="4">
        <v>0.68100560596389703</v>
      </c>
      <c r="V161" s="4">
        <v>0.51949360702957603</v>
      </c>
      <c r="Y161" s="1">
        <v>41365</v>
      </c>
      <c r="Z161" s="4">
        <f t="shared" si="23"/>
        <v>0.135085417582614</v>
      </c>
      <c r="AA161" s="4">
        <f t="shared" si="24"/>
        <v>0.13286588874447799</v>
      </c>
      <c r="AC161" s="1">
        <v>41365</v>
      </c>
      <c r="AD161" s="4">
        <f t="shared" si="25"/>
        <v>8.1574958503187397E-2</v>
      </c>
      <c r="AE161" s="4">
        <f t="shared" si="26"/>
        <v>7.4764052355933003E-2</v>
      </c>
      <c r="AG161" s="1">
        <v>41365</v>
      </c>
      <c r="AH161" s="4">
        <f t="shared" si="27"/>
        <v>0.172290365396567</v>
      </c>
      <c r="AI161" s="4">
        <f t="shared" si="28"/>
        <v>0.129524342456622</v>
      </c>
      <c r="AK161" s="1">
        <v>41365</v>
      </c>
      <c r="AL161" s="4">
        <f t="shared" si="29"/>
        <v>8.1574958503187397E-2</v>
      </c>
      <c r="AM161" s="4">
        <f t="shared" si="30"/>
        <v>6.4568631479357208E-2</v>
      </c>
      <c r="AO161" s="1">
        <v>41365</v>
      </c>
      <c r="AP161" s="4">
        <f t="shared" si="31"/>
        <v>0.52137318982234304</v>
      </c>
      <c r="AQ161" s="4">
        <f t="shared" si="32"/>
        <v>0.43218721761224299</v>
      </c>
    </row>
    <row r="162" spans="1:43" x14ac:dyDescent="0.25">
      <c r="A162" s="1">
        <v>41730</v>
      </c>
      <c r="B162" s="4">
        <v>0.158261729588309</v>
      </c>
      <c r="C162" s="4">
        <v>4.6719550774849801E-2</v>
      </c>
      <c r="D162" s="4">
        <v>3.7418562657035602E-2</v>
      </c>
      <c r="E162" s="4">
        <v>1.0084553731010901E-2</v>
      </c>
      <c r="F162" s="4">
        <v>1.87748486584173E-2</v>
      </c>
      <c r="G162" s="4">
        <v>3.74641135225596E-2</v>
      </c>
      <c r="H162" s="4">
        <v>0.150461629343873</v>
      </c>
      <c r="I162" s="4">
        <v>0.72352303940720297</v>
      </c>
      <c r="J162" s="4">
        <v>7.2297018973661295E-2</v>
      </c>
      <c r="K162" s="4">
        <v>1.24736437351224E-2</v>
      </c>
      <c r="L162" s="4">
        <v>2.1659467232517798E-2</v>
      </c>
      <c r="M162" s="4">
        <v>0.82995316934850505</v>
      </c>
      <c r="N162" s="4">
        <f t="shared" si="22"/>
        <v>0.47877018958367701</v>
      </c>
      <c r="P162" s="1">
        <v>41426</v>
      </c>
      <c r="Q162" s="4">
        <v>0.13935048312840301</v>
      </c>
      <c r="R162" s="4">
        <v>7.3889556882788004E-2</v>
      </c>
      <c r="S162" s="4">
        <v>7.3889556882788004E-2</v>
      </c>
      <c r="T162" s="4">
        <v>-0.18226429347298601</v>
      </c>
      <c r="U162" s="4">
        <v>0.70735791490274602</v>
      </c>
      <c r="V162" s="4">
        <v>0.50448248435329301</v>
      </c>
      <c r="Y162" s="1">
        <v>41395</v>
      </c>
      <c r="Z162" s="4">
        <f t="shared" si="23"/>
        <v>0.138395991655169</v>
      </c>
      <c r="AA162" s="4">
        <f t="shared" si="24"/>
        <v>0.13463222740240699</v>
      </c>
      <c r="AC162" s="1">
        <v>41395</v>
      </c>
      <c r="AD162" s="4">
        <f t="shared" si="25"/>
        <v>7.3897665546376098E-2</v>
      </c>
      <c r="AE162" s="4">
        <f t="shared" si="26"/>
        <v>7.2766831217682001E-2</v>
      </c>
      <c r="AG162" s="1">
        <v>41395</v>
      </c>
      <c r="AH162" s="4">
        <f t="shared" si="27"/>
        <v>0.17858429673437601</v>
      </c>
      <c r="AI162" s="4">
        <f t="shared" si="28"/>
        <v>0.132592223253542</v>
      </c>
      <c r="AK162" s="1">
        <v>41395</v>
      </c>
      <c r="AL162" s="4">
        <f t="shared" si="29"/>
        <v>7.3897665546376098E-2</v>
      </c>
      <c r="AM162" s="4">
        <f t="shared" si="30"/>
        <v>5.2191310512148398E-2</v>
      </c>
      <c r="AO162" s="1">
        <v>41395</v>
      </c>
      <c r="AP162" s="4">
        <f t="shared" si="31"/>
        <v>0.51949360702957603</v>
      </c>
      <c r="AQ162" s="4">
        <f t="shared" si="32"/>
        <v>0.4175162432514421</v>
      </c>
    </row>
    <row r="163" spans="1:43" x14ac:dyDescent="0.25">
      <c r="A163" s="1">
        <v>41760</v>
      </c>
      <c r="B163" s="4">
        <v>0.162971885308444</v>
      </c>
      <c r="C163" s="4">
        <v>4.8499384288854003E-2</v>
      </c>
      <c r="D163" s="4">
        <v>3.87777910019136E-2</v>
      </c>
      <c r="E163" s="4">
        <v>1.03337796547917E-2</v>
      </c>
      <c r="F163" s="4">
        <v>1.9095888225570099E-2</v>
      </c>
      <c r="G163" s="4">
        <v>3.7862515823992297E-2</v>
      </c>
      <c r="H163" s="4">
        <v>0.154569358995122</v>
      </c>
      <c r="I163" s="4">
        <v>0.73757518000107003</v>
      </c>
      <c r="J163" s="4">
        <v>6.8493537254697798E-2</v>
      </c>
      <c r="K163" s="4">
        <v>7.8804085380610508E-3</v>
      </c>
      <c r="L163" s="4">
        <v>2.0043535268749298E-2</v>
      </c>
      <c r="M163" s="4">
        <v>0.83399266106257797</v>
      </c>
      <c r="N163" s="4">
        <f t="shared" si="22"/>
        <v>0.48354858324098815</v>
      </c>
      <c r="P163" s="1">
        <v>41456</v>
      </c>
      <c r="Q163" s="4">
        <v>0.14495797013721501</v>
      </c>
      <c r="R163" s="4">
        <v>7.1459428432611105E-2</v>
      </c>
      <c r="S163" s="4">
        <v>7.1459428432611105E-2</v>
      </c>
      <c r="T163" s="4">
        <v>-0.18782584275101699</v>
      </c>
      <c r="U163" s="4">
        <v>0.69576048313671401</v>
      </c>
      <c r="V163" s="4">
        <v>0.51830061534278105</v>
      </c>
      <c r="Y163" s="1">
        <v>41426</v>
      </c>
      <c r="Z163" s="4">
        <f t="shared" si="23"/>
        <v>0.13935048312840301</v>
      </c>
      <c r="AA163" s="4">
        <f t="shared" si="24"/>
        <v>0.14027567692611001</v>
      </c>
      <c r="AC163" s="1">
        <v>41426</v>
      </c>
      <c r="AD163" s="4">
        <f t="shared" si="25"/>
        <v>7.3889556882788004E-2</v>
      </c>
      <c r="AE163" s="4">
        <f t="shared" si="26"/>
        <v>7.3209064689230399E-2</v>
      </c>
      <c r="AG163" s="1">
        <v>41426</v>
      </c>
      <c r="AH163" s="4">
        <f t="shared" si="27"/>
        <v>0.18226429347298601</v>
      </c>
      <c r="AI163" s="4">
        <f t="shared" si="28"/>
        <v>0.135789913105856</v>
      </c>
      <c r="AK163" s="1">
        <v>41426</v>
      </c>
      <c r="AL163" s="4">
        <f t="shared" si="29"/>
        <v>7.3889556882788004E-2</v>
      </c>
      <c r="AM163" s="4">
        <f t="shared" si="30"/>
        <v>5.78297936606047E-2</v>
      </c>
      <c r="AO163" s="1">
        <v>41426</v>
      </c>
      <c r="AP163" s="4">
        <f t="shared" si="31"/>
        <v>0.50448248435329301</v>
      </c>
      <c r="AQ163" s="4">
        <f t="shared" si="32"/>
        <v>0.42620233048788492</v>
      </c>
    </row>
    <row r="164" spans="1:43" x14ac:dyDescent="0.25">
      <c r="A164" s="1">
        <v>41791</v>
      </c>
      <c r="B164" s="4">
        <v>0.164074186133186</v>
      </c>
      <c r="C164" s="4">
        <v>5.0414324356554803E-2</v>
      </c>
      <c r="D164" s="4">
        <v>4.0275790274928398E-2</v>
      </c>
      <c r="E164" s="4">
        <v>1.0503247239347899E-2</v>
      </c>
      <c r="F164" s="4">
        <v>1.96886485332072E-2</v>
      </c>
      <c r="G164" s="4">
        <v>3.8333027407629901E-2</v>
      </c>
      <c r="H164" s="4">
        <v>0.15921503781166799</v>
      </c>
      <c r="I164" s="4">
        <v>0.74325425856341498</v>
      </c>
      <c r="J164" s="4">
        <v>7.1034060855144202E-2</v>
      </c>
      <c r="K164" s="4">
        <v>9.3263138929859692E-3</v>
      </c>
      <c r="L164" s="4">
        <v>1.69852452073577E-2</v>
      </c>
      <c r="M164" s="4">
        <v>0.84059987851890305</v>
      </c>
      <c r="N164" s="4">
        <f t="shared" si="22"/>
        <v>0.48268934542595088</v>
      </c>
      <c r="P164" s="1">
        <v>41487</v>
      </c>
      <c r="Q164" s="4">
        <v>0.14682611947086599</v>
      </c>
      <c r="R164" s="4">
        <v>7.3938043541409301E-2</v>
      </c>
      <c r="S164" s="4">
        <v>7.3938043541409301E-2</v>
      </c>
      <c r="T164" s="4">
        <v>-0.19531211511006999</v>
      </c>
      <c r="U164" s="4">
        <v>0.69701707711720295</v>
      </c>
      <c r="V164" s="4">
        <v>0.52324840658954797</v>
      </c>
      <c r="Y164" s="1">
        <v>41456</v>
      </c>
      <c r="Z164" s="4">
        <f t="shared" si="23"/>
        <v>0.14495797013721501</v>
      </c>
      <c r="AA164" s="4">
        <f t="shared" si="24"/>
        <v>0.14660202921142501</v>
      </c>
      <c r="AC164" s="1">
        <v>41456</v>
      </c>
      <c r="AD164" s="4">
        <f t="shared" si="25"/>
        <v>7.1459428432611105E-2</v>
      </c>
      <c r="AE164" s="4">
        <f t="shared" si="26"/>
        <v>7.2082704658598298E-2</v>
      </c>
      <c r="AG164" s="1">
        <v>41456</v>
      </c>
      <c r="AH164" s="4">
        <f t="shared" si="27"/>
        <v>0.18782584275101699</v>
      </c>
      <c r="AI164" s="4">
        <f t="shared" si="28"/>
        <v>0.140722219665217</v>
      </c>
      <c r="AK164" s="1">
        <v>41456</v>
      </c>
      <c r="AL164" s="4">
        <f t="shared" si="29"/>
        <v>7.1459428432611105E-2</v>
      </c>
      <c r="AM164" s="4">
        <f t="shared" si="30"/>
        <v>5.3170432031229106E-2</v>
      </c>
      <c r="AO164" s="1">
        <v>41456</v>
      </c>
      <c r="AP164" s="4">
        <f t="shared" si="31"/>
        <v>0.51830061534278105</v>
      </c>
      <c r="AQ164" s="4">
        <f t="shared" si="32"/>
        <v>0.44515993739607485</v>
      </c>
    </row>
    <row r="165" spans="1:43" x14ac:dyDescent="0.25">
      <c r="A165" s="1">
        <v>41821</v>
      </c>
      <c r="B165" s="4">
        <v>0.16641119955282299</v>
      </c>
      <c r="C165" s="4">
        <v>5.1797701853710298E-2</v>
      </c>
      <c r="D165" s="4">
        <v>4.1995640378668E-2</v>
      </c>
      <c r="E165" s="4">
        <v>1.0738523959948801E-2</v>
      </c>
      <c r="F165" s="4">
        <v>2.04522797975395E-2</v>
      </c>
      <c r="G165" s="4">
        <v>3.8996597155409797E-2</v>
      </c>
      <c r="H165" s="4">
        <v>0.163980743145276</v>
      </c>
      <c r="I165" s="4">
        <v>0.74173570339699102</v>
      </c>
      <c r="J165" s="4">
        <v>7.1561413492854303E-2</v>
      </c>
      <c r="K165" s="4">
        <v>9.4445693732511399E-3</v>
      </c>
      <c r="L165" s="4">
        <v>1.9970899491913201E-2</v>
      </c>
      <c r="M165" s="4">
        <v>0.84271258575500996</v>
      </c>
      <c r="N165" s="4">
        <f t="shared" si="22"/>
        <v>0.48767935694308906</v>
      </c>
      <c r="P165" s="1">
        <v>41518</v>
      </c>
      <c r="Q165" s="4">
        <v>0.14935218786685101</v>
      </c>
      <c r="R165" s="4">
        <v>7.8319265293374796E-2</v>
      </c>
      <c r="S165" s="4">
        <v>7.8319265293374796E-2</v>
      </c>
      <c r="T165" s="4">
        <v>-0.20247745941252601</v>
      </c>
      <c r="U165" s="4">
        <v>0.69994152393730202</v>
      </c>
      <c r="V165" s="4">
        <v>0.53831356037820399</v>
      </c>
      <c r="Y165" s="1">
        <v>41487</v>
      </c>
      <c r="Z165" s="4">
        <f t="shared" si="23"/>
        <v>0.14682611947086599</v>
      </c>
      <c r="AA165" s="4">
        <f t="shared" si="24"/>
        <v>0.145987666045686</v>
      </c>
      <c r="AC165" s="1">
        <v>41487</v>
      </c>
      <c r="AD165" s="4">
        <f t="shared" si="25"/>
        <v>7.3938043541409301E-2</v>
      </c>
      <c r="AE165" s="4">
        <f t="shared" si="26"/>
        <v>7.0279302943788105E-2</v>
      </c>
      <c r="AG165" s="1">
        <v>41487</v>
      </c>
      <c r="AH165" s="4">
        <f t="shared" si="27"/>
        <v>0.19531211511006999</v>
      </c>
      <c r="AI165" s="4">
        <f t="shared" si="28"/>
        <v>0.140695779267483</v>
      </c>
      <c r="AK165" s="1">
        <v>41487</v>
      </c>
      <c r="AL165" s="4">
        <f t="shared" si="29"/>
        <v>7.3938043541409301E-2</v>
      </c>
      <c r="AM165" s="4">
        <f t="shared" si="30"/>
        <v>5.3043336784121098E-2</v>
      </c>
      <c r="AO165" s="1">
        <v>41487</v>
      </c>
      <c r="AP165" s="4">
        <f t="shared" si="31"/>
        <v>0.52324840658954797</v>
      </c>
      <c r="AQ165" s="4">
        <f t="shared" si="32"/>
        <v>0.44697039522840498</v>
      </c>
    </row>
    <row r="166" spans="1:43" x14ac:dyDescent="0.25">
      <c r="A166" s="1">
        <v>41852</v>
      </c>
      <c r="B166" s="4">
        <v>0.17421959532214101</v>
      </c>
      <c r="C166" s="4">
        <v>5.2344788412998902E-2</v>
      </c>
      <c r="D166" s="4">
        <v>4.40537698407166E-2</v>
      </c>
      <c r="E166" s="4">
        <v>1.0882916072218101E-2</v>
      </c>
      <c r="F166" s="4">
        <v>2.3270605755600901E-2</v>
      </c>
      <c r="G166" s="4">
        <v>4.10065639876806E-2</v>
      </c>
      <c r="H166" s="4">
        <v>0.171558644069215</v>
      </c>
      <c r="I166" s="4">
        <v>0.72616532090879904</v>
      </c>
      <c r="J166" s="4">
        <v>7.5334090909576906E-2</v>
      </c>
      <c r="K166" s="4">
        <v>1.2124785223099E-2</v>
      </c>
      <c r="L166" s="4">
        <v>2.2238474577767599E-2</v>
      </c>
      <c r="M166" s="4">
        <v>0.83586267161924299</v>
      </c>
      <c r="N166" s="4">
        <f t="shared" si="22"/>
        <v>0.509915567772113</v>
      </c>
      <c r="P166" s="1">
        <v>41548</v>
      </c>
      <c r="Q166" s="4">
        <v>0.15648480982466501</v>
      </c>
      <c r="R166" s="4">
        <v>7.8035837753673898E-2</v>
      </c>
      <c r="S166" s="4">
        <v>7.8035837753673898E-2</v>
      </c>
      <c r="T166" s="4">
        <v>-0.21615246213134401</v>
      </c>
      <c r="U166" s="4">
        <v>0.69457093481607501</v>
      </c>
      <c r="V166" s="4">
        <v>0.56508298605442797</v>
      </c>
      <c r="Y166" s="1">
        <v>41518</v>
      </c>
      <c r="Z166" s="4">
        <f t="shared" si="23"/>
        <v>0.14935218786685101</v>
      </c>
      <c r="AA166" s="4">
        <f t="shared" si="24"/>
        <v>0.14875100027759899</v>
      </c>
      <c r="AC166" s="1">
        <v>41518</v>
      </c>
      <c r="AD166" s="4">
        <f t="shared" si="25"/>
        <v>7.8319265293374796E-2</v>
      </c>
      <c r="AE166" s="4">
        <f t="shared" si="26"/>
        <v>7.7178366578793206E-2</v>
      </c>
      <c r="AG166" s="1">
        <v>41518</v>
      </c>
      <c r="AH166" s="4">
        <f t="shared" si="27"/>
        <v>0.20247745941252601</v>
      </c>
      <c r="AI166" s="4">
        <f t="shared" si="28"/>
        <v>0.146619987843427</v>
      </c>
      <c r="AK166" s="1">
        <v>41518</v>
      </c>
      <c r="AL166" s="4">
        <f t="shared" si="29"/>
        <v>7.8319265293374796E-2</v>
      </c>
      <c r="AM166" s="4">
        <f t="shared" si="30"/>
        <v>5.3114409071762798E-2</v>
      </c>
      <c r="AO166" s="1">
        <v>41518</v>
      </c>
      <c r="AP166" s="4">
        <f t="shared" si="31"/>
        <v>0.53831356037820399</v>
      </c>
      <c r="AQ166" s="4">
        <f t="shared" si="32"/>
        <v>0.45159213520502905</v>
      </c>
    </row>
    <row r="167" spans="1:43" x14ac:dyDescent="0.25">
      <c r="A167" s="1">
        <v>41883</v>
      </c>
      <c r="B167" s="4">
        <v>0.17287536255627201</v>
      </c>
      <c r="C167" s="4">
        <v>5.2228264993732301E-2</v>
      </c>
      <c r="D167" s="4">
        <v>4.3988109216253998E-2</v>
      </c>
      <c r="E167" s="4">
        <v>1.06665288630662E-2</v>
      </c>
      <c r="F167" s="4">
        <v>2.28915837633712E-2</v>
      </c>
      <c r="G167" s="4">
        <v>3.8992467397157303E-2</v>
      </c>
      <c r="H167" s="4">
        <v>0.16876695423358101</v>
      </c>
      <c r="I167" s="4">
        <v>0.72118981927724102</v>
      </c>
      <c r="J167" s="4">
        <v>7.55743331663878E-2</v>
      </c>
      <c r="K167" s="4">
        <v>6.1183916749591796E-3</v>
      </c>
      <c r="L167" s="4">
        <v>2.0562000663075699E-2</v>
      </c>
      <c r="M167" s="4">
        <v>0.82344454478166396</v>
      </c>
      <c r="N167" s="4">
        <f t="shared" si="22"/>
        <v>0.51819777200818906</v>
      </c>
      <c r="P167" s="1">
        <v>41579</v>
      </c>
      <c r="Q167" s="4">
        <v>0.153420060802133</v>
      </c>
      <c r="R167" s="4">
        <v>7.9826857854852301E-2</v>
      </c>
      <c r="S167" s="4">
        <v>7.9826857854852301E-2</v>
      </c>
      <c r="T167" s="4">
        <v>-0.212856879132791</v>
      </c>
      <c r="U167" s="4">
        <v>0.69004116516037495</v>
      </c>
      <c r="V167" s="4">
        <v>0.55780441464707298</v>
      </c>
      <c r="Y167" s="1">
        <v>41548</v>
      </c>
      <c r="Z167" s="4">
        <f t="shared" si="23"/>
        <v>0.15648480982466501</v>
      </c>
      <c r="AA167" s="4">
        <f t="shared" si="24"/>
        <v>0.152357935178144</v>
      </c>
      <c r="AC167" s="1">
        <v>41548</v>
      </c>
      <c r="AD167" s="4">
        <f t="shared" si="25"/>
        <v>7.8035837753673898E-2</v>
      </c>
      <c r="AE167" s="4">
        <f t="shared" si="26"/>
        <v>7.4474879302808106E-2</v>
      </c>
      <c r="AG167" s="1">
        <v>41548</v>
      </c>
      <c r="AH167" s="4">
        <f t="shared" si="27"/>
        <v>0.21615246213134401</v>
      </c>
      <c r="AI167" s="4">
        <f t="shared" si="28"/>
        <v>0.14292425413308699</v>
      </c>
      <c r="AK167" s="1">
        <v>41548</v>
      </c>
      <c r="AL167" s="4">
        <f t="shared" si="29"/>
        <v>7.8035837753673898E-2</v>
      </c>
      <c r="AM167" s="4">
        <f t="shared" si="30"/>
        <v>4.46549190033253E-2</v>
      </c>
      <c r="AO167" s="1">
        <v>41548</v>
      </c>
      <c r="AP167" s="4">
        <f t="shared" si="31"/>
        <v>0.56508298605442797</v>
      </c>
      <c r="AQ167" s="4">
        <f t="shared" si="32"/>
        <v>0.46340119674320501</v>
      </c>
    </row>
    <row r="168" spans="1:43" x14ac:dyDescent="0.25">
      <c r="A168" s="1">
        <v>41913</v>
      </c>
      <c r="B168" s="4">
        <v>0.18074686998675499</v>
      </c>
      <c r="C168" s="4">
        <v>5.3692481477525603E-2</v>
      </c>
      <c r="D168" s="4">
        <v>4.50629957245764E-2</v>
      </c>
      <c r="E168" s="4">
        <v>1.0887859806417601E-2</v>
      </c>
      <c r="F168" s="4">
        <v>2.3888746907327601E-2</v>
      </c>
      <c r="G168" s="4">
        <v>4.3465246423701399E-2</v>
      </c>
      <c r="H168" s="4">
        <v>0.17699733033954801</v>
      </c>
      <c r="I168" s="4">
        <v>0.71871885327033203</v>
      </c>
      <c r="J168" s="4">
        <v>7.7603412271380096E-2</v>
      </c>
      <c r="K168" s="4">
        <v>1.3088693611760901E-2</v>
      </c>
      <c r="L168" s="4">
        <v>2.00580648261535E-2</v>
      </c>
      <c r="M168" s="4">
        <v>0.82946902397962696</v>
      </c>
      <c r="N168" s="4">
        <f t="shared" si="22"/>
        <v>0.52827517634667598</v>
      </c>
      <c r="P168" s="1">
        <v>41609</v>
      </c>
      <c r="Q168" s="4">
        <v>0.157007574906918</v>
      </c>
      <c r="R168" s="4">
        <v>7.5117850848440901E-2</v>
      </c>
      <c r="S168" s="4">
        <v>7.5117850848440901E-2</v>
      </c>
      <c r="T168" s="4">
        <v>-0.21588476630391201</v>
      </c>
      <c r="U168" s="4">
        <v>0.69343605599712199</v>
      </c>
      <c r="V168" s="4">
        <v>0.56269517571427696</v>
      </c>
      <c r="Y168" s="1">
        <v>41579</v>
      </c>
      <c r="Z168" s="4">
        <f t="shared" si="23"/>
        <v>0.153420060802133</v>
      </c>
      <c r="AA168" s="4">
        <f t="shared" si="24"/>
        <v>0.15612976040061999</v>
      </c>
      <c r="AC168" s="1">
        <v>41579</v>
      </c>
      <c r="AD168" s="4">
        <f t="shared" si="25"/>
        <v>7.9826857854852301E-2</v>
      </c>
      <c r="AE168" s="4">
        <f t="shared" si="26"/>
        <v>7.2511315447045394E-2</v>
      </c>
      <c r="AG168" s="1">
        <v>41579</v>
      </c>
      <c r="AH168" s="4">
        <f t="shared" si="27"/>
        <v>0.212856879132791</v>
      </c>
      <c r="AI168" s="4">
        <f t="shared" si="28"/>
        <v>0.14468160455117299</v>
      </c>
      <c r="AK168" s="1">
        <v>41579</v>
      </c>
      <c r="AL168" s="4">
        <f t="shared" si="29"/>
        <v>7.9826857854852301E-2</v>
      </c>
      <c r="AM168" s="4">
        <f t="shared" si="30"/>
        <v>4.4348241961515898E-2</v>
      </c>
      <c r="AO168" s="1">
        <v>41579</v>
      </c>
      <c r="AP168" s="4">
        <f t="shared" si="31"/>
        <v>0.55780441464707298</v>
      </c>
      <c r="AQ168" s="4">
        <f t="shared" si="32"/>
        <v>0.469500366743829</v>
      </c>
    </row>
    <row r="169" spans="1:43" x14ac:dyDescent="0.25">
      <c r="A169" s="1">
        <v>41944</v>
      </c>
      <c r="B169" s="4">
        <v>0.17610279795720901</v>
      </c>
      <c r="C169" s="4">
        <v>5.4581409900003902E-2</v>
      </c>
      <c r="D169" s="4">
        <v>4.9031668450569499E-2</v>
      </c>
      <c r="E169" s="4">
        <v>1.14409802501294E-2</v>
      </c>
      <c r="F169" s="4">
        <v>2.24900736239988E-2</v>
      </c>
      <c r="G169" s="4">
        <v>4.1188783439829998E-2</v>
      </c>
      <c r="H169" s="4">
        <v>0.17873291566453101</v>
      </c>
      <c r="I169" s="4">
        <v>0.72590734098093102</v>
      </c>
      <c r="J169" s="4">
        <v>7.3547931395596094E-2</v>
      </c>
      <c r="K169" s="4">
        <v>6.8701754650380299E-3</v>
      </c>
      <c r="L169" s="4">
        <v>2.0841906867050002E-2</v>
      </c>
      <c r="M169" s="4">
        <v>0.82716735470861502</v>
      </c>
      <c r="N169" s="4">
        <f t="shared" si="22"/>
        <v>0.52766835891312491</v>
      </c>
      <c r="P169" s="1">
        <v>41640</v>
      </c>
      <c r="Q169" s="4">
        <v>0.16187093097063801</v>
      </c>
      <c r="R169" s="4">
        <v>7.3360751851900594E-2</v>
      </c>
      <c r="S169" s="4">
        <v>7.3360751851900594E-2</v>
      </c>
      <c r="T169" s="4">
        <v>-0.221960459931065</v>
      </c>
      <c r="U169" s="4">
        <v>0.69357243425103599</v>
      </c>
      <c r="V169" s="4">
        <v>0.57761247387687098</v>
      </c>
      <c r="Y169" s="1">
        <v>41609</v>
      </c>
      <c r="Z169" s="4">
        <f t="shared" si="23"/>
        <v>0.157007574906918</v>
      </c>
      <c r="AA169" s="4">
        <f t="shared" si="24"/>
        <v>0.15276589937299201</v>
      </c>
      <c r="AC169" s="1">
        <v>41609</v>
      </c>
      <c r="AD169" s="4">
        <f t="shared" si="25"/>
        <v>7.5117850848440901E-2</v>
      </c>
      <c r="AE169" s="4">
        <f t="shared" si="26"/>
        <v>7.6860186016386806E-2</v>
      </c>
      <c r="AG169" s="1">
        <v>41609</v>
      </c>
      <c r="AH169" s="4">
        <f t="shared" si="27"/>
        <v>0.21588476630391201</v>
      </c>
      <c r="AI169" s="4">
        <f t="shared" si="28"/>
        <v>0.14885350110555801</v>
      </c>
      <c r="AK169" s="1">
        <v>41609</v>
      </c>
      <c r="AL169" s="4">
        <f t="shared" si="29"/>
        <v>7.5117850848440901E-2</v>
      </c>
      <c r="AM169" s="4">
        <f t="shared" si="30"/>
        <v>2.9719158156338701E-2</v>
      </c>
      <c r="AO169" s="1">
        <v>41609</v>
      </c>
      <c r="AP169" s="4">
        <f t="shared" si="31"/>
        <v>0.56269517571427696</v>
      </c>
      <c r="AQ169" s="4">
        <f t="shared" si="32"/>
        <v>0.47976739435870597</v>
      </c>
    </row>
    <row r="170" spans="1:43" x14ac:dyDescent="0.25">
      <c r="A170" s="1">
        <v>41974</v>
      </c>
      <c r="B170" s="4">
        <v>0.17856827175199699</v>
      </c>
      <c r="C170" s="4">
        <v>5.3661798605906197E-2</v>
      </c>
      <c r="D170" s="4">
        <v>4.9719012674505299E-2</v>
      </c>
      <c r="E170" s="4">
        <v>1.10850113546762E-2</v>
      </c>
      <c r="F170" s="4">
        <v>2.3108635478013E-2</v>
      </c>
      <c r="G170" s="4">
        <v>4.2712561887544E-2</v>
      </c>
      <c r="H170" s="4">
        <v>0.180287020000645</v>
      </c>
      <c r="I170" s="4">
        <v>0.74388424185721003</v>
      </c>
      <c r="J170" s="4">
        <v>6.8752463749280401E-2</v>
      </c>
      <c r="K170" s="4">
        <v>5.4059490110891697E-3</v>
      </c>
      <c r="L170" s="4">
        <v>2.03447280937917E-2</v>
      </c>
      <c r="M170" s="4">
        <v>0.83838738271137203</v>
      </c>
      <c r="N170" s="4">
        <f t="shared" si="22"/>
        <v>0.52046790904126994</v>
      </c>
      <c r="P170" s="1">
        <v>41671</v>
      </c>
      <c r="Q170" s="4">
        <v>0.16121224444721999</v>
      </c>
      <c r="R170" s="4">
        <v>7.5422176481996894E-2</v>
      </c>
      <c r="S170" s="4">
        <v>7.5422176481996894E-2</v>
      </c>
      <c r="T170" s="4">
        <v>-0.220583139244688</v>
      </c>
      <c r="U170" s="4">
        <v>0.68249205643420796</v>
      </c>
      <c r="V170" s="4">
        <v>0.58537785105624796</v>
      </c>
      <c r="Y170" s="1">
        <v>41640</v>
      </c>
      <c r="Z170" s="4">
        <f t="shared" si="23"/>
        <v>0.16187093097063801</v>
      </c>
      <c r="AA170" s="4">
        <f t="shared" si="24"/>
        <v>0.15472477936637799</v>
      </c>
      <c r="AC170" s="1">
        <v>41640</v>
      </c>
      <c r="AD170" s="4">
        <f t="shared" si="25"/>
        <v>7.3360751851900594E-2</v>
      </c>
      <c r="AE170" s="4">
        <f t="shared" si="26"/>
        <v>7.13193139769909E-2</v>
      </c>
      <c r="AG170" s="1">
        <v>41640</v>
      </c>
      <c r="AH170" s="4">
        <f t="shared" si="27"/>
        <v>0.221960459931065</v>
      </c>
      <c r="AI170" s="4">
        <f t="shared" si="28"/>
        <v>0.14523074633168301</v>
      </c>
      <c r="AK170" s="1">
        <v>41640</v>
      </c>
      <c r="AL170" s="4">
        <f t="shared" si="29"/>
        <v>7.3360751851900594E-2</v>
      </c>
      <c r="AM170" s="4">
        <f t="shared" si="30"/>
        <v>3.5154125529795001E-2</v>
      </c>
      <c r="AO170" s="1">
        <v>41640</v>
      </c>
      <c r="AP170" s="4">
        <f t="shared" si="31"/>
        <v>0.57761247387687098</v>
      </c>
      <c r="AQ170" s="4">
        <f t="shared" si="32"/>
        <v>0.48996753836429008</v>
      </c>
    </row>
    <row r="171" spans="1:43" x14ac:dyDescent="0.25">
      <c r="P171" s="1">
        <v>41699</v>
      </c>
      <c r="Q171" s="4">
        <v>0.160666962065103</v>
      </c>
      <c r="R171" s="4">
        <v>7.2687428103371102E-2</v>
      </c>
      <c r="S171" s="4">
        <v>7.2687428103371102E-2</v>
      </c>
      <c r="T171" s="4">
        <v>-0.22502422321212701</v>
      </c>
      <c r="U171" s="4">
        <v>0.71423242405645304</v>
      </c>
      <c r="V171" s="4">
        <v>0.56670827334778895</v>
      </c>
      <c r="Y171" s="1">
        <v>41671</v>
      </c>
      <c r="Z171" s="4">
        <f t="shared" si="23"/>
        <v>0.16121224444721999</v>
      </c>
      <c r="AA171" s="4">
        <f t="shared" si="24"/>
        <v>0.154130060206119</v>
      </c>
      <c r="AC171" s="1">
        <v>41671</v>
      </c>
      <c r="AD171" s="4">
        <f t="shared" si="25"/>
        <v>7.5422176481996894E-2</v>
      </c>
      <c r="AE171" s="4">
        <f t="shared" si="26"/>
        <v>7.3936662694178201E-2</v>
      </c>
      <c r="AG171" s="1">
        <v>41671</v>
      </c>
      <c r="AH171" s="4">
        <f t="shared" si="27"/>
        <v>0.220583139244688</v>
      </c>
      <c r="AI171" s="4">
        <f t="shared" si="28"/>
        <v>0.14316322517073399</v>
      </c>
      <c r="AK171" s="1">
        <v>41671</v>
      </c>
      <c r="AL171" s="4">
        <f t="shared" si="29"/>
        <v>7.5422176481996894E-2</v>
      </c>
      <c r="AM171" s="4">
        <f t="shared" si="30"/>
        <v>3.2153150162348598E-2</v>
      </c>
      <c r="AO171" s="1">
        <v>41671</v>
      </c>
      <c r="AP171" s="4">
        <f t="shared" si="31"/>
        <v>0.58537785105624796</v>
      </c>
      <c r="AQ171" s="4">
        <f t="shared" si="32"/>
        <v>0.47127287939936502</v>
      </c>
    </row>
    <row r="172" spans="1:43" x14ac:dyDescent="0.25">
      <c r="P172" s="1">
        <v>41730</v>
      </c>
      <c r="Q172" s="4">
        <v>0.165256421388838</v>
      </c>
      <c r="R172" s="4">
        <v>7.2536125308773097E-2</v>
      </c>
      <c r="S172" s="4">
        <v>7.2536125308773097E-2</v>
      </c>
      <c r="T172" s="4">
        <v>-0.225187581941692</v>
      </c>
      <c r="U172" s="4">
        <v>0.71643671893158101</v>
      </c>
      <c r="V172" s="4">
        <v>0.56344111627890903</v>
      </c>
      <c r="Y172" s="1">
        <v>41699</v>
      </c>
      <c r="Z172" s="4">
        <f t="shared" si="23"/>
        <v>0.160666962065103</v>
      </c>
      <c r="AA172" s="4">
        <f t="shared" si="24"/>
        <v>0.15678632662502501</v>
      </c>
      <c r="AC172" s="1">
        <v>41699</v>
      </c>
      <c r="AD172" s="4">
        <f t="shared" si="25"/>
        <v>7.2687428103371102E-2</v>
      </c>
      <c r="AE172" s="4">
        <f t="shared" si="26"/>
        <v>7.0560538165555797E-2</v>
      </c>
      <c r="AG172" s="1">
        <v>41699</v>
      </c>
      <c r="AH172" s="4">
        <f t="shared" si="27"/>
        <v>0.22502422321212701</v>
      </c>
      <c r="AI172" s="4">
        <f t="shared" si="28"/>
        <v>0.14703553202342501</v>
      </c>
      <c r="AK172" s="1">
        <v>41699</v>
      </c>
      <c r="AL172" s="4">
        <f t="shared" si="29"/>
        <v>7.2687428103371102E-2</v>
      </c>
      <c r="AM172" s="4">
        <f t="shared" si="30"/>
        <v>3.5447666718029201E-2</v>
      </c>
      <c r="AO172" s="1">
        <v>41699</v>
      </c>
      <c r="AP172" s="4">
        <f t="shared" si="31"/>
        <v>0.56670827334778895</v>
      </c>
      <c r="AQ172" s="4">
        <f t="shared" si="32"/>
        <v>0.48037139553853703</v>
      </c>
    </row>
    <row r="173" spans="1:43" x14ac:dyDescent="0.25">
      <c r="P173" s="1">
        <v>41760</v>
      </c>
      <c r="Q173" s="4">
        <v>0.168787807354702</v>
      </c>
      <c r="R173" s="4">
        <v>6.6614756789563703E-2</v>
      </c>
      <c r="S173" s="4">
        <v>6.6614756789563703E-2</v>
      </c>
      <c r="T173" s="4">
        <v>-0.22042268492865999</v>
      </c>
      <c r="U173" s="4">
        <v>0.72916131071087897</v>
      </c>
      <c r="V173" s="4">
        <v>0.562728383736672</v>
      </c>
      <c r="Y173" s="1">
        <v>41730</v>
      </c>
      <c r="Z173" s="4">
        <f t="shared" si="23"/>
        <v>0.165256421388838</v>
      </c>
      <c r="AA173" s="4">
        <f t="shared" si="24"/>
        <v>0.158261729588309</v>
      </c>
      <c r="AC173" s="1">
        <v>41730</v>
      </c>
      <c r="AD173" s="4">
        <f t="shared" si="25"/>
        <v>7.2536125308773097E-2</v>
      </c>
      <c r="AE173" s="4">
        <f t="shared" si="26"/>
        <v>7.2297018973661295E-2</v>
      </c>
      <c r="AG173" s="1">
        <v>41730</v>
      </c>
      <c r="AH173" s="4">
        <f t="shared" si="27"/>
        <v>0.225187581941692</v>
      </c>
      <c r="AI173" s="4">
        <f t="shared" si="28"/>
        <v>0.150461629343873</v>
      </c>
      <c r="AK173" s="1">
        <v>41730</v>
      </c>
      <c r="AL173" s="4">
        <f t="shared" si="29"/>
        <v>7.2536125308773097E-2</v>
      </c>
      <c r="AM173" s="4">
        <f t="shared" si="30"/>
        <v>3.4133110967640198E-2</v>
      </c>
      <c r="AO173" s="1">
        <v>41730</v>
      </c>
      <c r="AP173" s="4">
        <f t="shared" si="31"/>
        <v>0.56344111627890903</v>
      </c>
      <c r="AQ173" s="4">
        <f t="shared" si="32"/>
        <v>0.47877018958367701</v>
      </c>
    </row>
    <row r="174" spans="1:43" x14ac:dyDescent="0.25">
      <c r="P174" s="1">
        <v>41791</v>
      </c>
      <c r="Q174" s="4">
        <v>0.172706171158025</v>
      </c>
      <c r="R174" s="4">
        <v>7.6060427060029204E-2</v>
      </c>
      <c r="S174" s="4">
        <v>7.6060427060029204E-2</v>
      </c>
      <c r="T174" s="4">
        <v>-0.21882030404087399</v>
      </c>
      <c r="U174" s="4">
        <v>0.72100151053384198</v>
      </c>
      <c r="V174" s="4">
        <v>0.56506477622768303</v>
      </c>
      <c r="Y174" s="1">
        <v>41760</v>
      </c>
      <c r="Z174" s="4">
        <f t="shared" si="23"/>
        <v>0.168787807354702</v>
      </c>
      <c r="AA174" s="4">
        <f t="shared" si="24"/>
        <v>0.162971885308444</v>
      </c>
      <c r="AC174" s="1">
        <v>41760</v>
      </c>
      <c r="AD174" s="4">
        <f t="shared" si="25"/>
        <v>6.6614756789563703E-2</v>
      </c>
      <c r="AE174" s="4">
        <f t="shared" si="26"/>
        <v>6.8493537254697798E-2</v>
      </c>
      <c r="AG174" s="1">
        <v>41760</v>
      </c>
      <c r="AH174" s="4">
        <f t="shared" si="27"/>
        <v>0.22042268492865999</v>
      </c>
      <c r="AI174" s="4">
        <f t="shared" si="28"/>
        <v>0.154569358995122</v>
      </c>
      <c r="AK174" s="1">
        <v>41760</v>
      </c>
      <c r="AL174" s="4">
        <f t="shared" si="29"/>
        <v>6.6614756789563703E-2</v>
      </c>
      <c r="AM174" s="4">
        <f t="shared" si="30"/>
        <v>2.7923943806810347E-2</v>
      </c>
      <c r="AO174" s="1">
        <v>41760</v>
      </c>
      <c r="AP174" s="4">
        <f t="shared" si="31"/>
        <v>0.562728383736672</v>
      </c>
      <c r="AQ174" s="4">
        <f t="shared" si="32"/>
        <v>0.48354858324098815</v>
      </c>
    </row>
    <row r="175" spans="1:43" x14ac:dyDescent="0.25">
      <c r="P175" s="1">
        <v>41821</v>
      </c>
      <c r="Q175" s="4">
        <v>0.17332229898104901</v>
      </c>
      <c r="R175" s="4">
        <v>6.2567599633531895E-2</v>
      </c>
      <c r="S175" s="4">
        <v>6.2567599633531895E-2</v>
      </c>
      <c r="T175" s="4">
        <v>-0.217387197802419</v>
      </c>
      <c r="U175" s="4">
        <v>0.72410905081607702</v>
      </c>
      <c r="V175" s="4">
        <v>0.57082081907189397</v>
      </c>
      <c r="Y175" s="1">
        <v>41791</v>
      </c>
      <c r="Z175" s="4">
        <f t="shared" si="23"/>
        <v>0.172706171158025</v>
      </c>
      <c r="AA175" s="4">
        <f t="shared" si="24"/>
        <v>0.164074186133186</v>
      </c>
      <c r="AC175" s="1">
        <v>41791</v>
      </c>
      <c r="AD175" s="4">
        <f t="shared" si="25"/>
        <v>7.6060427060029204E-2</v>
      </c>
      <c r="AE175" s="4">
        <f t="shared" si="26"/>
        <v>7.1034060855144202E-2</v>
      </c>
      <c r="AG175" s="1">
        <v>41791</v>
      </c>
      <c r="AH175" s="4">
        <f t="shared" si="27"/>
        <v>0.21882030404087399</v>
      </c>
      <c r="AI175" s="4">
        <f t="shared" si="28"/>
        <v>0.15921503781166799</v>
      </c>
      <c r="AK175" s="1">
        <v>41791</v>
      </c>
      <c r="AL175" s="4">
        <f t="shared" si="29"/>
        <v>7.6060427060029204E-2</v>
      </c>
      <c r="AM175" s="4">
        <f t="shared" si="30"/>
        <v>2.6311559100343669E-2</v>
      </c>
      <c r="AO175" s="1">
        <v>41791</v>
      </c>
      <c r="AP175" s="4">
        <f t="shared" si="31"/>
        <v>0.56506477622768303</v>
      </c>
      <c r="AQ175" s="4">
        <f t="shared" si="32"/>
        <v>0.48268934542595088</v>
      </c>
    </row>
    <row r="176" spans="1:43" x14ac:dyDescent="0.25">
      <c r="P176" s="1">
        <v>41852</v>
      </c>
      <c r="Q176" s="4">
        <v>0.17256507263540399</v>
      </c>
      <c r="R176" s="4">
        <v>6.93390555360031E-2</v>
      </c>
      <c r="S176" s="4">
        <v>6.93390555360031E-2</v>
      </c>
      <c r="T176" s="4">
        <v>-0.200062295162731</v>
      </c>
      <c r="U176" s="4">
        <v>0.70249780321996702</v>
      </c>
      <c r="V176" s="4">
        <v>0.57369000973026796</v>
      </c>
      <c r="Y176" s="1">
        <v>41821</v>
      </c>
      <c r="Z176" s="4">
        <f t="shared" si="23"/>
        <v>0.17332229898104901</v>
      </c>
      <c r="AA176" s="4">
        <f t="shared" si="24"/>
        <v>0.16641119955282299</v>
      </c>
      <c r="AC176" s="1">
        <v>41821</v>
      </c>
      <c r="AD176" s="4">
        <f t="shared" si="25"/>
        <v>6.2567599633531895E-2</v>
      </c>
      <c r="AE176" s="4">
        <f t="shared" si="26"/>
        <v>7.1561413492854303E-2</v>
      </c>
      <c r="AG176" s="1">
        <v>41821</v>
      </c>
      <c r="AH176" s="4">
        <f t="shared" si="27"/>
        <v>0.217387197802419</v>
      </c>
      <c r="AI176" s="4">
        <f t="shared" si="28"/>
        <v>0.163980743145276</v>
      </c>
      <c r="AK176" s="1">
        <v>41821</v>
      </c>
      <c r="AL176" s="4">
        <f t="shared" si="29"/>
        <v>6.2567599633531895E-2</v>
      </c>
      <c r="AM176" s="4">
        <f t="shared" si="30"/>
        <v>2.9415468865164343E-2</v>
      </c>
      <c r="AO176" s="1">
        <v>41821</v>
      </c>
      <c r="AP176" s="4">
        <f t="shared" si="31"/>
        <v>0.57082081907189397</v>
      </c>
      <c r="AQ176" s="4">
        <f t="shared" si="32"/>
        <v>0.48767935694308906</v>
      </c>
    </row>
    <row r="177" spans="16:43" x14ac:dyDescent="0.25">
      <c r="P177" s="1">
        <v>41883</v>
      </c>
      <c r="Q177" s="4">
        <v>0.18397047750050499</v>
      </c>
      <c r="R177" s="4">
        <v>6.4881066362492398E-2</v>
      </c>
      <c r="S177" s="4">
        <v>6.4881066362492398E-2</v>
      </c>
      <c r="T177" s="4">
        <v>-0.193678464032117</v>
      </c>
      <c r="U177" s="4">
        <v>0.66393778028606898</v>
      </c>
      <c r="V177" s="4">
        <v>0.62654977931787004</v>
      </c>
      <c r="Y177" s="1">
        <v>41852</v>
      </c>
      <c r="Z177" s="4">
        <f t="shared" si="23"/>
        <v>0.17256507263540399</v>
      </c>
      <c r="AA177" s="4">
        <f t="shared" si="24"/>
        <v>0.17421959532214101</v>
      </c>
      <c r="AC177" s="1">
        <v>41852</v>
      </c>
      <c r="AD177" s="4">
        <f t="shared" si="25"/>
        <v>6.93390555360031E-2</v>
      </c>
      <c r="AE177" s="4">
        <f t="shared" si="26"/>
        <v>7.5334090909576906E-2</v>
      </c>
      <c r="AG177" s="1">
        <v>41852</v>
      </c>
      <c r="AH177" s="4">
        <f t="shared" si="27"/>
        <v>0.200062295162731</v>
      </c>
      <c r="AI177" s="4">
        <f t="shared" si="28"/>
        <v>0.171558644069215</v>
      </c>
      <c r="AK177" s="1">
        <v>41852</v>
      </c>
      <c r="AL177" s="4">
        <f t="shared" si="29"/>
        <v>6.93390555360031E-2</v>
      </c>
      <c r="AM177" s="4">
        <f t="shared" si="30"/>
        <v>3.4363259800866602E-2</v>
      </c>
      <c r="AO177" s="1">
        <v>41852</v>
      </c>
      <c r="AP177" s="4">
        <f t="shared" si="31"/>
        <v>0.57369000973026796</v>
      </c>
      <c r="AQ177" s="4">
        <f t="shared" si="32"/>
        <v>0.509915567772113</v>
      </c>
    </row>
    <row r="178" spans="16:43" x14ac:dyDescent="0.25">
      <c r="Y178" s="1">
        <v>41883</v>
      </c>
      <c r="Z178" s="4">
        <f t="shared" si="23"/>
        <v>0.18397047750050499</v>
      </c>
      <c r="AA178" s="4">
        <f t="shared" si="24"/>
        <v>0.17287536255627201</v>
      </c>
      <c r="AC178" s="1">
        <v>41883</v>
      </c>
      <c r="AD178" s="4">
        <f t="shared" si="25"/>
        <v>6.4881066362492398E-2</v>
      </c>
      <c r="AE178" s="4">
        <f t="shared" si="26"/>
        <v>7.55743331663878E-2</v>
      </c>
      <c r="AG178" s="1">
        <v>41883</v>
      </c>
      <c r="AH178" s="4">
        <f t="shared" si="27"/>
        <v>0.193678464032117</v>
      </c>
      <c r="AI178" s="4">
        <f t="shared" si="28"/>
        <v>0.16876695423358101</v>
      </c>
      <c r="AK178" s="1">
        <v>41883</v>
      </c>
      <c r="AL178" s="4">
        <f t="shared" si="29"/>
        <v>6.4881066362492398E-2</v>
      </c>
      <c r="AM178" s="4">
        <f t="shared" si="30"/>
        <v>2.6680392338034879E-2</v>
      </c>
      <c r="AO178" s="1">
        <v>41883</v>
      </c>
      <c r="AP178" s="4">
        <f t="shared" si="31"/>
        <v>0.62654977931787004</v>
      </c>
      <c r="AQ178" s="4">
        <f t="shared" si="32"/>
        <v>0.51819777200818906</v>
      </c>
    </row>
  </sheetData>
  <pageMargins left="0.7" right="0.7" top="0.75" bottom="0.75" header="0.3" footer="0.3"/>
  <pageSetup scale="17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Sheet1</vt:lpstr>
      <vt:lpstr>Statistical</vt:lpstr>
      <vt:lpstr>Total</vt:lpstr>
      <vt:lpstr>Combined</vt:lpstr>
      <vt:lpstr>FC</vt:lpstr>
      <vt:lpstr>REO</vt:lpstr>
    </vt:vector>
  </TitlesOfParts>
  <Company>Hewlett-Packard Company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Lien Chen</dc:creator>
  <cp:lastModifiedBy>Lien Chen</cp:lastModifiedBy>
  <cp:lastPrinted>2015-09-22T17:56:06Z</cp:lastPrinted>
  <dcterms:created xsi:type="dcterms:W3CDTF">2015-09-21T14:16:29Z</dcterms:created>
  <dcterms:modified xsi:type="dcterms:W3CDTF">2015-10-06T19:20:01Z</dcterms:modified>
</cp:coreProperties>
</file>