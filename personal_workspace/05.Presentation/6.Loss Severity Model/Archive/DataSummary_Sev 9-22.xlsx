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37440" windowHeight="19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1" l="1"/>
  <c r="Q11" i="1"/>
  <c r="Q10" i="1"/>
  <c r="Q9" i="1"/>
  <c r="Q8" i="1"/>
  <c r="Q7" i="1"/>
  <c r="Q6" i="1"/>
  <c r="Q19" i="1"/>
  <c r="Q20" i="1"/>
  <c r="Q22" i="1"/>
  <c r="Q23" i="1"/>
  <c r="Q24" i="1"/>
  <c r="Q25" i="1"/>
  <c r="Q21" i="1"/>
  <c r="V25" i="1" l="1"/>
  <c r="V24" i="1"/>
  <c r="V23" i="1"/>
  <c r="V22" i="1"/>
  <c r="V21" i="1"/>
  <c r="V20" i="1"/>
  <c r="V19" i="1"/>
  <c r="V12" i="1"/>
  <c r="V11" i="1"/>
  <c r="V10" i="1"/>
  <c r="V9" i="1"/>
  <c r="V8" i="1"/>
  <c r="V7" i="1"/>
  <c r="V6" i="1"/>
  <c r="N25" i="1"/>
  <c r="N24" i="1"/>
  <c r="N23" i="1"/>
  <c r="N22" i="1"/>
  <c r="N21" i="1"/>
  <c r="N20" i="1"/>
  <c r="N19" i="1"/>
  <c r="N7" i="1"/>
  <c r="N8" i="1"/>
  <c r="N9" i="1"/>
  <c r="N10" i="1"/>
  <c r="N11" i="1"/>
  <c r="N12" i="1"/>
  <c r="N6" i="1"/>
</calcChain>
</file>

<file path=xl/sharedStrings.xml><?xml version="1.0" encoding="utf-8"?>
<sst xmlns="http://schemas.openxmlformats.org/spreadsheetml/2006/main" count="75" uniqueCount="23">
  <si>
    <t>Status</t>
  </si>
  <si>
    <t>t0</t>
  </si>
  <si>
    <t>AC</t>
  </si>
  <si>
    <t>C</t>
  </si>
  <si>
    <t>ED</t>
  </si>
  <si>
    <t>LD</t>
  </si>
  <si>
    <t>FC</t>
  </si>
  <si>
    <t>REO</t>
  </si>
  <si>
    <t>X</t>
  </si>
  <si>
    <t>v.beg</t>
  </si>
  <si>
    <t>ex) C</t>
  </si>
  <si>
    <t>ex) FC</t>
  </si>
  <si>
    <t>trk.beg</t>
  </si>
  <si>
    <t>m</t>
  </si>
  <si>
    <t>v.end</t>
  </si>
  <si>
    <t>denom</t>
  </si>
  <si>
    <t>val</t>
  </si>
  <si>
    <t>tr.end</t>
  </si>
  <si>
    <t>1/v.end</t>
  </si>
  <si>
    <t>t1</t>
  </si>
  <si>
    <t>t2</t>
  </si>
  <si>
    <t>t3</t>
  </si>
  <si>
    <t>ageSinceCurrent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</si>
</sst>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10" fontId="0" fillId="0" borderId="0" xfId="1" applyNumberFormat="1" applyFont="1"/>
    <xf numFmtId="9" fontId="0" fillId="0" borderId="1" xfId="1" applyFont="1" applyBorder="1"/>
    <xf numFmtId="9" fontId="0" fillId="0" borderId="2" xfId="1" applyFont="1" applyBorder="1"/>
    <xf numFmtId="9" fontId="0" fillId="0" borderId="3" xfId="1" applyFont="1" applyBorder="1"/>
    <xf numFmtId="9" fontId="3" fillId="0" borderId="0" xfId="1" applyFont="1" applyAlignment="1">
      <alignment vertical="center"/>
    </xf>
    <xf numFmtId="9" fontId="0" fillId="0" borderId="4" xfId="1" applyFont="1" applyBorder="1"/>
    <xf numFmtId="9" fontId="0" fillId="0" borderId="0" xfId="1" applyFont="1" applyBorder="1"/>
    <xf numFmtId="9" fontId="0" fillId="0" borderId="5" xfId="1" applyFont="1" applyBorder="1"/>
    <xf numFmtId="9" fontId="0" fillId="0" borderId="0" xfId="1" applyFont="1"/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2" fontId="0" fillId="0" borderId="0" xfId="0" applyNumberFormat="1"/>
    <xf numFmtId="2" fontId="3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tabSelected="1" workbookViewId="0">
      <selection activeCell="AL29" sqref="AL29"/>
    </sheetView>
  </sheetViews>
  <sheetFormatPr defaultRowHeight="15" x14ac:dyDescent="0.25"/>
  <cols>
    <col min="14" max="16" width="0" hidden="1" customWidth="1"/>
    <col min="21" max="21" width="9.140625" style="21"/>
    <col min="22" max="24" width="0" hidden="1" customWidth="1"/>
    <col min="25" max="28" width="9.140625" style="25"/>
  </cols>
  <sheetData>
    <row r="1" spans="1:29" x14ac:dyDescent="0.25">
      <c r="A1" t="s">
        <v>10</v>
      </c>
    </row>
    <row r="3" spans="1:29" x14ac:dyDescent="0.25">
      <c r="B3" t="s">
        <v>1</v>
      </c>
      <c r="D3" t="s">
        <v>22</v>
      </c>
      <c r="S3" t="s">
        <v>19</v>
      </c>
      <c r="AA3" s="25" t="s">
        <v>20</v>
      </c>
      <c r="AB3" s="25" t="s">
        <v>21</v>
      </c>
    </row>
    <row r="5" spans="1:29" x14ac:dyDescent="0.25">
      <c r="B5" s="1" t="s">
        <v>0</v>
      </c>
      <c r="C5" t="s">
        <v>9</v>
      </c>
      <c r="D5" t="s">
        <v>12</v>
      </c>
      <c r="E5" t="s">
        <v>13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7</v>
      </c>
      <c r="L5" t="s">
        <v>8</v>
      </c>
      <c r="M5" t="s">
        <v>14</v>
      </c>
      <c r="N5" t="s">
        <v>18</v>
      </c>
      <c r="O5" t="s">
        <v>15</v>
      </c>
      <c r="P5" t="s">
        <v>16</v>
      </c>
      <c r="Q5" t="s">
        <v>17</v>
      </c>
      <c r="S5" t="s">
        <v>9</v>
      </c>
      <c r="T5" t="s">
        <v>12</v>
      </c>
      <c r="U5" s="21" t="s">
        <v>14</v>
      </c>
      <c r="V5" t="s">
        <v>18</v>
      </c>
      <c r="W5" t="s">
        <v>15</v>
      </c>
      <c r="X5" t="s">
        <v>16</v>
      </c>
      <c r="Y5" s="25" t="s">
        <v>17</v>
      </c>
      <c r="AA5" s="25" t="s">
        <v>17</v>
      </c>
      <c r="AB5" s="25" t="s">
        <v>17</v>
      </c>
    </row>
    <row r="6" spans="1:29" x14ac:dyDescent="0.25">
      <c r="B6" t="s">
        <v>2</v>
      </c>
      <c r="C6">
        <v>0</v>
      </c>
      <c r="D6">
        <v>0</v>
      </c>
      <c r="F6" s="14">
        <v>0.94748270000000001</v>
      </c>
      <c r="G6" s="15">
        <v>0</v>
      </c>
      <c r="H6" s="15">
        <v>4.1936609999999996E-3</v>
      </c>
      <c r="I6" s="15">
        <v>0</v>
      </c>
      <c r="J6" s="15">
        <v>0</v>
      </c>
      <c r="K6" s="15">
        <v>0</v>
      </c>
      <c r="L6" s="16">
        <v>4.8323629E-2</v>
      </c>
      <c r="M6" s="17">
        <v>0</v>
      </c>
      <c r="N6" s="11">
        <f>IFERROR(1/M6,0)</f>
        <v>0</v>
      </c>
      <c r="O6" s="11">
        <v>0</v>
      </c>
      <c r="P6" s="17">
        <v>0</v>
      </c>
      <c r="Q6" s="12">
        <f t="shared" ref="Q6:Q12" si="0">N6*O6*P6</f>
        <v>0</v>
      </c>
      <c r="S6" s="11">
        <v>0</v>
      </c>
      <c r="T6" s="12">
        <v>0</v>
      </c>
      <c r="U6" s="17">
        <v>0</v>
      </c>
      <c r="V6" s="11">
        <f>IFERROR(1/U6,0)</f>
        <v>0</v>
      </c>
      <c r="W6" s="11">
        <v>0</v>
      </c>
      <c r="X6" s="11">
        <v>0</v>
      </c>
      <c r="Y6" s="26">
        <v>0</v>
      </c>
      <c r="AA6" s="26">
        <v>0</v>
      </c>
      <c r="AB6" s="26">
        <v>0</v>
      </c>
    </row>
    <row r="7" spans="1:29" x14ac:dyDescent="0.25">
      <c r="B7" t="s">
        <v>3</v>
      </c>
      <c r="C7">
        <v>1</v>
      </c>
      <c r="D7">
        <v>0</v>
      </c>
      <c r="F7" s="18">
        <v>0</v>
      </c>
      <c r="G7" s="19">
        <v>0.90659160999999999</v>
      </c>
      <c r="H7" s="19">
        <v>7.1568270000000003E-2</v>
      </c>
      <c r="I7" s="19">
        <v>0</v>
      </c>
      <c r="J7" s="19">
        <v>0</v>
      </c>
      <c r="K7" s="19">
        <v>0</v>
      </c>
      <c r="L7" s="20">
        <v>2.1840117999999999E-2</v>
      </c>
      <c r="M7" s="21">
        <v>0.90659160999999999</v>
      </c>
      <c r="N7" s="11">
        <f t="shared" ref="N7:N12" si="1">IFERROR(1/M7,0)</f>
        <v>1.1030324889064438</v>
      </c>
      <c r="O7">
        <v>0</v>
      </c>
      <c r="P7" s="21">
        <v>0.90659160999999999</v>
      </c>
      <c r="Q7">
        <f t="shared" si="0"/>
        <v>0</v>
      </c>
      <c r="S7">
        <v>0.90659160999999999</v>
      </c>
      <c r="T7">
        <v>0</v>
      </c>
      <c r="U7" s="21">
        <v>0.85705529800000002</v>
      </c>
      <c r="V7" s="11">
        <f t="shared" ref="V7:V12" si="2">IFERROR(1/U7,0)</f>
        <v>1.1667858565644151</v>
      </c>
      <c r="W7">
        <v>0</v>
      </c>
      <c r="X7">
        <v>0.89218302000000005</v>
      </c>
      <c r="Y7" s="25">
        <v>0</v>
      </c>
      <c r="AA7" s="25">
        <v>0</v>
      </c>
      <c r="AB7" s="25">
        <v>0</v>
      </c>
    </row>
    <row r="8" spans="1:29" x14ac:dyDescent="0.25">
      <c r="B8" t="s">
        <v>4</v>
      </c>
      <c r="C8">
        <v>0</v>
      </c>
      <c r="D8">
        <v>0</v>
      </c>
      <c r="F8" s="18">
        <v>0</v>
      </c>
      <c r="G8" s="19">
        <v>0.49042714999999998</v>
      </c>
      <c r="H8" s="19">
        <v>0.36033819099999997</v>
      </c>
      <c r="I8" s="19">
        <v>0.13387901999999999</v>
      </c>
      <c r="J8" s="19">
        <v>0</v>
      </c>
      <c r="K8" s="19">
        <v>0</v>
      </c>
      <c r="L8" s="20">
        <v>1.5355641E-2</v>
      </c>
      <c r="M8" s="21">
        <v>7.1568270000000003E-2</v>
      </c>
      <c r="N8" s="11">
        <f t="shared" si="1"/>
        <v>13.97267252652607</v>
      </c>
      <c r="O8">
        <v>1</v>
      </c>
      <c r="P8" s="21">
        <v>7.1568270000000003E-2</v>
      </c>
      <c r="Q8">
        <f t="shared" si="0"/>
        <v>1</v>
      </c>
      <c r="R8" s="11"/>
      <c r="S8">
        <v>7.1568270000000003E-2</v>
      </c>
      <c r="T8">
        <v>1</v>
      </c>
      <c r="U8" s="21">
        <v>9.0610995E-2</v>
      </c>
      <c r="V8" s="11">
        <f t="shared" si="2"/>
        <v>11.036188268322183</v>
      </c>
      <c r="W8">
        <v>1</v>
      </c>
      <c r="X8">
        <v>0.11638305</v>
      </c>
      <c r="Y8" s="25">
        <v>1.2844249999999999</v>
      </c>
      <c r="Z8" s="26"/>
      <c r="AA8" s="25">
        <v>1.468699</v>
      </c>
      <c r="AB8" s="25">
        <v>1.5966530000000001</v>
      </c>
      <c r="AC8" s="11"/>
    </row>
    <row r="9" spans="1:29" x14ac:dyDescent="0.25">
      <c r="B9" t="s">
        <v>5</v>
      </c>
      <c r="C9">
        <v>0</v>
      </c>
      <c r="D9">
        <v>0</v>
      </c>
      <c r="F9" s="18">
        <v>0</v>
      </c>
      <c r="G9" s="19">
        <v>0.10881105000000001</v>
      </c>
      <c r="H9" s="19">
        <v>0.143644405</v>
      </c>
      <c r="I9" s="19">
        <v>0.67464939000000002</v>
      </c>
      <c r="J9" s="19">
        <v>6.3410530000000007E-2</v>
      </c>
      <c r="K9" s="19">
        <v>4.0455339999999999E-3</v>
      </c>
      <c r="L9" s="20">
        <v>5.4390840000000003E-3</v>
      </c>
      <c r="M9" s="21">
        <v>0</v>
      </c>
      <c r="N9" s="11">
        <f t="shared" si="1"/>
        <v>0</v>
      </c>
      <c r="O9">
        <v>1</v>
      </c>
      <c r="P9" s="21">
        <v>0</v>
      </c>
      <c r="Q9">
        <f t="shared" si="0"/>
        <v>0</v>
      </c>
      <c r="S9">
        <v>0</v>
      </c>
      <c r="T9">
        <v>0</v>
      </c>
      <c r="U9" s="21">
        <v>9.5656730000000002E-3</v>
      </c>
      <c r="V9" s="11">
        <f t="shared" si="2"/>
        <v>104.5404750925523</v>
      </c>
      <c r="W9">
        <v>1</v>
      </c>
      <c r="X9">
        <v>1.9131349999999998E-2</v>
      </c>
      <c r="Y9" s="25">
        <v>2</v>
      </c>
      <c r="AA9" s="25">
        <v>2.5333359999999998</v>
      </c>
      <c r="AB9" s="25">
        <v>2.9974080000000001</v>
      </c>
    </row>
    <row r="10" spans="1:29" x14ac:dyDescent="0.25">
      <c r="B10" t="s">
        <v>6</v>
      </c>
      <c r="C10">
        <v>0</v>
      </c>
      <c r="D10">
        <v>0</v>
      </c>
      <c r="F10" s="18">
        <v>0</v>
      </c>
      <c r="G10" s="19">
        <v>3.1987549999999997E-2</v>
      </c>
      <c r="H10" s="19">
        <v>2.22309E-3</v>
      </c>
      <c r="I10" s="19">
        <v>1.908118E-2</v>
      </c>
      <c r="J10" s="19">
        <v>0.91869473999999995</v>
      </c>
      <c r="K10" s="19">
        <v>1.8569434999999999E-2</v>
      </c>
      <c r="L10" s="20">
        <v>9.444002E-3</v>
      </c>
      <c r="M10" s="21">
        <v>0</v>
      </c>
      <c r="N10" s="11">
        <f t="shared" si="1"/>
        <v>0</v>
      </c>
      <c r="O10">
        <v>1</v>
      </c>
      <c r="P10" s="21">
        <v>0</v>
      </c>
      <c r="Q10">
        <f t="shared" si="0"/>
        <v>0</v>
      </c>
      <c r="S10">
        <v>0</v>
      </c>
      <c r="T10">
        <v>0</v>
      </c>
      <c r="U10" s="21">
        <v>0</v>
      </c>
      <c r="V10" s="11">
        <f t="shared" si="2"/>
        <v>0</v>
      </c>
      <c r="W10">
        <v>1</v>
      </c>
      <c r="X10">
        <v>0</v>
      </c>
      <c r="Y10" s="25">
        <v>0</v>
      </c>
      <c r="AA10" s="25">
        <v>3</v>
      </c>
      <c r="AB10" s="25">
        <v>3.6835460000000002</v>
      </c>
    </row>
    <row r="11" spans="1:29" x14ac:dyDescent="0.25">
      <c r="B11" t="s">
        <v>7</v>
      </c>
      <c r="C11">
        <v>0</v>
      </c>
      <c r="D11">
        <v>0</v>
      </c>
      <c r="F11" s="18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0.89103898500000001</v>
      </c>
      <c r="L11" s="20">
        <v>0.10896101499999999</v>
      </c>
      <c r="M11" s="21">
        <v>0</v>
      </c>
      <c r="N11" s="11">
        <f t="shared" si="1"/>
        <v>0</v>
      </c>
      <c r="O11">
        <v>1</v>
      </c>
      <c r="P11" s="21">
        <v>0</v>
      </c>
      <c r="Q11">
        <f t="shared" si="0"/>
        <v>0</v>
      </c>
      <c r="S11">
        <v>0</v>
      </c>
      <c r="T11">
        <v>0</v>
      </c>
      <c r="U11" s="21">
        <v>0</v>
      </c>
      <c r="V11" s="11">
        <f t="shared" si="2"/>
        <v>0</v>
      </c>
      <c r="W11">
        <v>1</v>
      </c>
      <c r="X11">
        <v>0</v>
      </c>
      <c r="Y11" s="25">
        <v>0</v>
      </c>
      <c r="AA11" s="25">
        <v>3</v>
      </c>
      <c r="AB11" s="25">
        <v>3.7100110000000002</v>
      </c>
    </row>
    <row r="12" spans="1:29" x14ac:dyDescent="0.25">
      <c r="B12" t="s">
        <v>8</v>
      </c>
      <c r="C12">
        <v>0</v>
      </c>
      <c r="D12">
        <v>0</v>
      </c>
      <c r="F12" s="22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1</v>
      </c>
      <c r="M12" s="21">
        <v>2.1840120000000001E-2</v>
      </c>
      <c r="N12" s="11">
        <f t="shared" si="1"/>
        <v>45.787294209006177</v>
      </c>
      <c r="O12">
        <v>0</v>
      </c>
      <c r="P12" s="21">
        <v>2.1840120000000001E-2</v>
      </c>
      <c r="Q12">
        <f t="shared" si="0"/>
        <v>0</v>
      </c>
      <c r="S12">
        <v>2.1840120000000001E-2</v>
      </c>
      <c r="T12">
        <v>0</v>
      </c>
      <c r="U12" s="21">
        <v>4.2768035000000003E-2</v>
      </c>
      <c r="V12" s="11">
        <f t="shared" si="2"/>
        <v>23.381948691353248</v>
      </c>
      <c r="W12">
        <v>0</v>
      </c>
      <c r="X12">
        <v>4.3870850000000003E-2</v>
      </c>
      <c r="Y12" s="25">
        <v>0</v>
      </c>
      <c r="AA12" s="25">
        <v>0</v>
      </c>
      <c r="AB12" s="25">
        <v>0</v>
      </c>
    </row>
    <row r="14" spans="1:29" x14ac:dyDescent="0.25">
      <c r="A14" t="s">
        <v>11</v>
      </c>
    </row>
    <row r="16" spans="1:29" x14ac:dyDescent="0.25">
      <c r="B16" t="s">
        <v>1</v>
      </c>
      <c r="S16" t="s">
        <v>19</v>
      </c>
      <c r="AA16" s="25" t="s">
        <v>20</v>
      </c>
      <c r="AB16" s="25" t="s">
        <v>21</v>
      </c>
    </row>
    <row r="18" spans="2:29" x14ac:dyDescent="0.25">
      <c r="B18" s="1" t="s">
        <v>0</v>
      </c>
      <c r="C18" t="s">
        <v>9</v>
      </c>
      <c r="D18" t="s">
        <v>12</v>
      </c>
      <c r="E18" t="s">
        <v>13</v>
      </c>
      <c r="F18" t="s">
        <v>2</v>
      </c>
      <c r="G18" t="s">
        <v>3</v>
      </c>
      <c r="H18" t="s">
        <v>4</v>
      </c>
      <c r="I18" t="s">
        <v>5</v>
      </c>
      <c r="J18" t="s">
        <v>6</v>
      </c>
      <c r="K18" t="s">
        <v>7</v>
      </c>
      <c r="L18" t="s">
        <v>8</v>
      </c>
      <c r="M18" t="s">
        <v>14</v>
      </c>
      <c r="N18" t="s">
        <v>18</v>
      </c>
      <c r="O18" t="s">
        <v>15</v>
      </c>
      <c r="P18" t="s">
        <v>16</v>
      </c>
      <c r="Q18" t="s">
        <v>17</v>
      </c>
      <c r="S18" t="s">
        <v>9</v>
      </c>
      <c r="T18" t="s">
        <v>12</v>
      </c>
      <c r="U18" s="21" t="s">
        <v>14</v>
      </c>
      <c r="V18" t="s">
        <v>18</v>
      </c>
      <c r="W18" t="s">
        <v>15</v>
      </c>
      <c r="X18" t="s">
        <v>16</v>
      </c>
      <c r="Y18" s="25" t="s">
        <v>17</v>
      </c>
      <c r="AA18" s="25" t="s">
        <v>17</v>
      </c>
      <c r="AB18" s="25" t="s">
        <v>17</v>
      </c>
    </row>
    <row r="19" spans="2:29" x14ac:dyDescent="0.25">
      <c r="B19" t="s">
        <v>2</v>
      </c>
      <c r="C19">
        <v>0</v>
      </c>
      <c r="D19">
        <v>0</v>
      </c>
      <c r="F19" s="2">
        <v>0.94590600000000002</v>
      </c>
      <c r="G19" s="3">
        <v>0</v>
      </c>
      <c r="H19" s="3">
        <v>3.9575260000000003E-3</v>
      </c>
      <c r="I19" s="3">
        <v>0</v>
      </c>
      <c r="J19" s="3">
        <v>0</v>
      </c>
      <c r="K19" s="3">
        <v>0</v>
      </c>
      <c r="L19" s="4">
        <v>5.0136433000000001E-2</v>
      </c>
      <c r="M19" s="11">
        <v>0</v>
      </c>
      <c r="N19" s="11">
        <f>IFERROR(1/M19,0)</f>
        <v>0</v>
      </c>
      <c r="O19">
        <v>0</v>
      </c>
      <c r="P19" s="11">
        <v>0</v>
      </c>
      <c r="Q19">
        <f t="shared" ref="Q19:Q20" si="3">N19*O19*P19</f>
        <v>0</v>
      </c>
      <c r="S19" s="11">
        <v>0</v>
      </c>
      <c r="T19" s="12">
        <v>0</v>
      </c>
      <c r="U19" s="17">
        <v>0</v>
      </c>
      <c r="V19" s="11">
        <f>IFERROR(1/U19,0)</f>
        <v>0</v>
      </c>
      <c r="W19" s="11">
        <v>0</v>
      </c>
      <c r="X19" s="11">
        <v>0</v>
      </c>
      <c r="Y19" s="26">
        <v>0</v>
      </c>
      <c r="AA19" s="26">
        <v>0</v>
      </c>
      <c r="AB19" s="26">
        <v>0</v>
      </c>
    </row>
    <row r="20" spans="2:29" x14ac:dyDescent="0.25">
      <c r="B20" t="s">
        <v>3</v>
      </c>
      <c r="C20">
        <v>0</v>
      </c>
      <c r="D20">
        <v>0</v>
      </c>
      <c r="F20" s="5">
        <v>0</v>
      </c>
      <c r="G20" s="6">
        <v>0.92093495000000003</v>
      </c>
      <c r="H20" s="6">
        <v>5.5347686E-2</v>
      </c>
      <c r="I20" s="6">
        <v>0</v>
      </c>
      <c r="J20" s="6">
        <v>0</v>
      </c>
      <c r="K20" s="6">
        <v>0</v>
      </c>
      <c r="L20" s="7">
        <v>2.371736E-2</v>
      </c>
      <c r="M20">
        <v>2.9818885E-2</v>
      </c>
      <c r="N20" s="11">
        <f t="shared" ref="N20:N25" si="4">IFERROR(1/M20,0)</f>
        <v>33.535794514114123</v>
      </c>
      <c r="O20">
        <v>0</v>
      </c>
      <c r="P20">
        <v>0.92438544</v>
      </c>
      <c r="Q20">
        <f t="shared" si="3"/>
        <v>0</v>
      </c>
      <c r="R20" s="11"/>
      <c r="S20">
        <v>2.9818885E-2</v>
      </c>
      <c r="T20">
        <v>0</v>
      </c>
      <c r="U20" s="21">
        <v>5.5890122E-2</v>
      </c>
      <c r="V20" s="11">
        <f t="shared" ref="V20:V25" si="5">IFERROR(1/U20,0)</f>
        <v>17.892249367428469</v>
      </c>
      <c r="W20">
        <v>0</v>
      </c>
      <c r="X20">
        <v>0.93717530000000004</v>
      </c>
      <c r="Y20" s="25">
        <v>0</v>
      </c>
      <c r="AA20" s="25">
        <v>0</v>
      </c>
      <c r="AB20" s="25">
        <v>0</v>
      </c>
      <c r="AC20" s="11"/>
    </row>
    <row r="21" spans="2:29" x14ac:dyDescent="0.25">
      <c r="B21" t="s">
        <v>4</v>
      </c>
      <c r="C21">
        <v>0</v>
      </c>
      <c r="D21">
        <v>0</v>
      </c>
      <c r="F21" s="5">
        <v>0</v>
      </c>
      <c r="G21" s="6">
        <v>0.20512633999999999</v>
      </c>
      <c r="H21" s="6">
        <v>0.63643235099999995</v>
      </c>
      <c r="I21" s="6">
        <v>0.15578782999999999</v>
      </c>
      <c r="J21" s="6">
        <v>0</v>
      </c>
      <c r="K21" s="6">
        <v>0</v>
      </c>
      <c r="L21" s="7">
        <v>2.6534760000000001E-3</v>
      </c>
      <c r="M21">
        <v>1.644382E-3</v>
      </c>
      <c r="N21" s="11">
        <f t="shared" si="4"/>
        <v>608.13120065775468</v>
      </c>
      <c r="O21">
        <v>1</v>
      </c>
      <c r="P21">
        <v>5.0975840000000001E-2</v>
      </c>
      <c r="Q21">
        <f>N21*O21*P21</f>
        <v>30.999998783737599</v>
      </c>
      <c r="R21" s="11"/>
      <c r="S21">
        <v>1.644382E-3</v>
      </c>
      <c r="T21">
        <v>31</v>
      </c>
      <c r="U21" s="21">
        <v>4.8999350000000002E-3</v>
      </c>
      <c r="V21" s="11">
        <f t="shared" si="5"/>
        <v>204.08433989430472</v>
      </c>
      <c r="W21">
        <v>1</v>
      </c>
      <c r="X21">
        <v>0.1056776</v>
      </c>
      <c r="Y21" s="25">
        <v>21.567139999999998</v>
      </c>
      <c r="Z21" s="26"/>
      <c r="AA21" s="25">
        <v>18.021090000000001</v>
      </c>
      <c r="AB21" s="25">
        <v>16.099879999999999</v>
      </c>
    </row>
    <row r="22" spans="2:29" x14ac:dyDescent="0.25">
      <c r="B22" t="s">
        <v>5</v>
      </c>
      <c r="C22">
        <v>0</v>
      </c>
      <c r="D22">
        <v>0</v>
      </c>
      <c r="F22" s="5">
        <v>0</v>
      </c>
      <c r="G22" s="6">
        <v>8.2218669999999994E-2</v>
      </c>
      <c r="H22" s="6">
        <v>9.4007125999999996E-2</v>
      </c>
      <c r="I22" s="6">
        <v>0.72783366000000005</v>
      </c>
      <c r="J22" s="6">
        <v>8.3707409999999996E-2</v>
      </c>
      <c r="K22" s="6">
        <v>4.0848409999999996E-3</v>
      </c>
      <c r="L22" s="7">
        <v>8.1482789999999996E-3</v>
      </c>
      <c r="M22">
        <v>7.28496E-3</v>
      </c>
      <c r="N22" s="11">
        <f t="shared" si="4"/>
        <v>137.26911335134304</v>
      </c>
      <c r="O22">
        <v>1</v>
      </c>
      <c r="P22">
        <v>0.22583375</v>
      </c>
      <c r="Q22">
        <f t="shared" ref="Q22:Q25" si="6">N22*O22*P22</f>
        <v>30.999998627308866</v>
      </c>
      <c r="S22">
        <v>7.28496E-3</v>
      </c>
      <c r="T22">
        <v>31</v>
      </c>
      <c r="U22" s="21">
        <v>1.2293226000000001E-2</v>
      </c>
      <c r="V22" s="11">
        <f t="shared" si="5"/>
        <v>81.345612616248971</v>
      </c>
      <c r="W22">
        <v>1</v>
      </c>
      <c r="X22">
        <v>0.39338319999999999</v>
      </c>
      <c r="Y22" s="25">
        <v>32</v>
      </c>
      <c r="AA22" s="25">
        <v>32.5017</v>
      </c>
      <c r="AB22" s="25">
        <v>32.603200000000001</v>
      </c>
    </row>
    <row r="23" spans="2:29" x14ac:dyDescent="0.25">
      <c r="B23" t="s">
        <v>6</v>
      </c>
      <c r="C23">
        <v>1</v>
      </c>
      <c r="D23">
        <v>30</v>
      </c>
      <c r="F23" s="5">
        <v>0</v>
      </c>
      <c r="G23" s="6">
        <v>2.9818890000000001E-2</v>
      </c>
      <c r="H23" s="6">
        <v>1.644382E-3</v>
      </c>
      <c r="I23" s="6">
        <v>7.28496E-3</v>
      </c>
      <c r="J23" s="6">
        <v>0.92238297000000002</v>
      </c>
      <c r="K23" s="6">
        <v>2.3192323000000001E-2</v>
      </c>
      <c r="L23" s="7">
        <v>1.5676480999999999E-2</v>
      </c>
      <c r="M23">
        <v>0.92238297000000002</v>
      </c>
      <c r="N23" s="11">
        <f t="shared" si="4"/>
        <v>1.0841483771106486</v>
      </c>
      <c r="O23">
        <v>1</v>
      </c>
      <c r="P23">
        <v>28.59387207</v>
      </c>
      <c r="Q23">
        <f t="shared" si="6"/>
        <v>31.000000000000004</v>
      </c>
      <c r="S23">
        <v>0.92238297000000002</v>
      </c>
      <c r="T23">
        <v>31</v>
      </c>
      <c r="U23" s="21">
        <v>0.851424297</v>
      </c>
      <c r="V23" s="11">
        <f t="shared" si="5"/>
        <v>1.1745025406527716</v>
      </c>
      <c r="W23">
        <v>1</v>
      </c>
      <c r="X23">
        <v>27.2455775</v>
      </c>
      <c r="Y23" s="25">
        <v>32</v>
      </c>
      <c r="AA23" s="25">
        <v>33</v>
      </c>
      <c r="AB23" s="25">
        <v>33.999090000000002</v>
      </c>
    </row>
    <row r="24" spans="2:29" x14ac:dyDescent="0.25">
      <c r="B24" t="s">
        <v>7</v>
      </c>
      <c r="C24">
        <v>0</v>
      </c>
      <c r="D24">
        <v>0</v>
      </c>
      <c r="F24" s="5">
        <v>0</v>
      </c>
      <c r="G24" s="6">
        <v>0</v>
      </c>
      <c r="H24" s="6">
        <v>0</v>
      </c>
      <c r="I24" s="6">
        <v>0</v>
      </c>
      <c r="J24" s="6">
        <v>0</v>
      </c>
      <c r="K24" s="6">
        <v>0.88714705500000002</v>
      </c>
      <c r="L24" s="7">
        <v>0.112852945</v>
      </c>
      <c r="M24">
        <v>2.3192323000000001E-2</v>
      </c>
      <c r="N24" s="11">
        <f t="shared" si="4"/>
        <v>43.117716151159158</v>
      </c>
      <c r="O24">
        <v>1</v>
      </c>
      <c r="P24">
        <v>0.71896201000000004</v>
      </c>
      <c r="Q24">
        <f t="shared" si="6"/>
        <v>30.999999870646853</v>
      </c>
      <c r="S24">
        <v>2.3192323000000001E-2</v>
      </c>
      <c r="T24">
        <v>31</v>
      </c>
      <c r="U24" s="21">
        <v>4.1987964000000003E-2</v>
      </c>
      <c r="V24" s="11">
        <f t="shared" si="5"/>
        <v>23.816348894649902</v>
      </c>
      <c r="W24">
        <v>1</v>
      </c>
      <c r="X24">
        <v>1.3436148999999999</v>
      </c>
      <c r="Y24" s="25">
        <v>32</v>
      </c>
      <c r="AA24" s="25">
        <v>33</v>
      </c>
      <c r="AB24" s="25">
        <v>33.99953</v>
      </c>
    </row>
    <row r="25" spans="2:29" x14ac:dyDescent="0.25">
      <c r="B25" t="s">
        <v>8</v>
      </c>
      <c r="C25">
        <v>0</v>
      </c>
      <c r="D25">
        <v>0</v>
      </c>
      <c r="F25" s="8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10">
        <v>1</v>
      </c>
      <c r="M25">
        <v>1.5676480999999999E-2</v>
      </c>
      <c r="N25" s="11">
        <f t="shared" si="4"/>
        <v>63.789826300940888</v>
      </c>
      <c r="O25">
        <v>0</v>
      </c>
      <c r="P25">
        <v>0.48597089999999998</v>
      </c>
      <c r="Q25">
        <f t="shared" si="6"/>
        <v>0</v>
      </c>
      <c r="S25">
        <v>1.5676480999999999E-2</v>
      </c>
      <c r="T25">
        <v>0</v>
      </c>
      <c r="U25" s="21">
        <v>3.3504456000000002E-2</v>
      </c>
      <c r="V25" s="11">
        <f t="shared" si="5"/>
        <v>29.846776201947584</v>
      </c>
      <c r="W25">
        <v>0</v>
      </c>
      <c r="X25">
        <v>0.56421520000000003</v>
      </c>
      <c r="Y25" s="25">
        <v>0</v>
      </c>
      <c r="AA25" s="25">
        <v>0</v>
      </c>
      <c r="AB25" s="25">
        <v>0</v>
      </c>
    </row>
    <row r="28" spans="2:29" x14ac:dyDescent="0.25">
      <c r="M28" s="13"/>
    </row>
    <row r="29" spans="2:29" x14ac:dyDescent="0.25">
      <c r="M2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Lien Chen</cp:lastModifiedBy>
  <dcterms:created xsi:type="dcterms:W3CDTF">2015-10-15T22:06:06Z</dcterms:created>
  <dcterms:modified xsi:type="dcterms:W3CDTF">2015-10-23T18:26:46Z</dcterms:modified>
</cp:coreProperties>
</file>