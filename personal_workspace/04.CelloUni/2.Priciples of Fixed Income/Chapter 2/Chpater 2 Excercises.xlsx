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Sheet1!$A$1:$T$48</definedName>
  </definedNames>
  <calcPr calcId="145621"/>
</workbook>
</file>

<file path=xl/calcChain.xml><?xml version="1.0" encoding="utf-8"?>
<calcChain xmlns="http://schemas.openxmlformats.org/spreadsheetml/2006/main">
  <c r="I47" i="1" l="1"/>
  <c r="F47" i="1"/>
  <c r="G47" i="1"/>
  <c r="H47" i="1"/>
  <c r="E47" i="1"/>
  <c r="D47" i="1"/>
  <c r="E45" i="1"/>
  <c r="F45" i="1"/>
  <c r="G45" i="1"/>
  <c r="H45" i="1"/>
  <c r="D45" i="1"/>
  <c r="I45" i="1" s="1"/>
  <c r="E40" i="1"/>
  <c r="F40" i="1"/>
  <c r="G40" i="1"/>
  <c r="H40" i="1"/>
  <c r="I40" i="1"/>
  <c r="D40" i="1"/>
  <c r="E38" i="1"/>
  <c r="F38" i="1"/>
  <c r="G38" i="1"/>
  <c r="H38" i="1"/>
  <c r="I38" i="1"/>
  <c r="D38" i="1"/>
  <c r="J38" i="1" l="1"/>
  <c r="J40" i="1" l="1"/>
  <c r="C33" i="1"/>
  <c r="C29" i="1"/>
  <c r="Q24" i="1"/>
  <c r="F24" i="1"/>
  <c r="G24" i="1"/>
  <c r="H24" i="1"/>
  <c r="I24" i="1"/>
  <c r="J24" i="1"/>
  <c r="K24" i="1"/>
  <c r="L24" i="1"/>
  <c r="M24" i="1"/>
  <c r="N24" i="1"/>
  <c r="E24" i="1"/>
  <c r="Q20" i="1"/>
  <c r="N20" i="1"/>
  <c r="F20" i="1"/>
  <c r="G20" i="1"/>
  <c r="H20" i="1"/>
  <c r="I20" i="1"/>
  <c r="J20" i="1"/>
  <c r="K20" i="1"/>
  <c r="L20" i="1"/>
  <c r="M20" i="1"/>
  <c r="E20" i="1"/>
  <c r="Q16" i="1"/>
  <c r="Q13" i="1"/>
  <c r="L16" i="1"/>
  <c r="F16" i="1"/>
  <c r="G16" i="1"/>
  <c r="H16" i="1"/>
  <c r="I16" i="1"/>
  <c r="J16" i="1"/>
  <c r="K16" i="1" s="1"/>
  <c r="E16" i="1"/>
  <c r="O12" i="1"/>
  <c r="F12" i="1"/>
  <c r="G12" i="1"/>
  <c r="H12" i="1"/>
  <c r="I12" i="1"/>
  <c r="J12" i="1"/>
  <c r="K12" i="1" s="1"/>
  <c r="L12" i="1" s="1"/>
  <c r="M12" i="1" s="1"/>
  <c r="N12" i="1" s="1"/>
  <c r="E12" i="1"/>
  <c r="C5" i="1"/>
  <c r="C7" i="1"/>
</calcChain>
</file>

<file path=xl/sharedStrings.xml><?xml version="1.0" encoding="utf-8"?>
<sst xmlns="http://schemas.openxmlformats.org/spreadsheetml/2006/main" count="48" uniqueCount="38">
  <si>
    <t>Problem 1</t>
  </si>
  <si>
    <t>1)</t>
  </si>
  <si>
    <t>2)</t>
  </si>
  <si>
    <t>Problem 2</t>
  </si>
  <si>
    <t>Simple</t>
  </si>
  <si>
    <t>7% interest rate</t>
  </si>
  <si>
    <t>year</t>
  </si>
  <si>
    <t>balance</t>
  </si>
  <si>
    <t>10% interest rate</t>
  </si>
  <si>
    <t>3)</t>
  </si>
  <si>
    <t>monthly compound</t>
  </si>
  <si>
    <t>Double balance in how many years</t>
  </si>
  <si>
    <t>4)</t>
  </si>
  <si>
    <t>continuous</t>
  </si>
  <si>
    <t>Problem 3</t>
  </si>
  <si>
    <t>effective interest rate</t>
  </si>
  <si>
    <t>Problem 4</t>
  </si>
  <si>
    <t>100 * exp(0.06*1/12) - 100</t>
  </si>
  <si>
    <t>exp(0.05)-1</t>
  </si>
  <si>
    <t>log(2)/log(1.07)</t>
  </si>
  <si>
    <t>log2/log1.0725</t>
  </si>
  <si>
    <t>log2/log1.072</t>
  </si>
  <si>
    <t>log2/log1.1</t>
  </si>
  <si>
    <t>Compound</t>
  </si>
  <si>
    <t>1000*1.1^2</t>
  </si>
  <si>
    <t>1000*(1+0.1*2)</t>
  </si>
  <si>
    <t>Problem 6</t>
  </si>
  <si>
    <t>DCF</t>
  </si>
  <si>
    <t>term</t>
  </si>
  <si>
    <t>DCF1</t>
  </si>
  <si>
    <t>total</t>
  </si>
  <si>
    <t>Cash Flow1</t>
  </si>
  <si>
    <t>Cash Flow2</t>
  </si>
  <si>
    <t>DCF2</t>
  </si>
  <si>
    <t>&gt; DCF1, not to switch</t>
  </si>
  <si>
    <t>Problem 12</t>
  </si>
  <si>
    <t>Saving</t>
  </si>
  <si>
    <t>total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</si>
</sst>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0" fillId="0" borderId="0" xfId="0" quotePrefix="1"/>
    <xf numFmtId="0" fontId="0" fillId="0" borderId="0" xfId="0" applyAlignment="1">
      <alignment horizontal="center"/>
    </xf>
    <xf numFmtId="1" fontId="0" fillId="0" borderId="0" xfId="0" applyNumberFormat="1"/>
    <xf numFmtId="1" fontId="2" fillId="0" borderId="0" xfId="0" applyNumberFormat="1" applyFont="1"/>
    <xf numFmtId="1" fontId="0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Q47"/>
  <sheetViews>
    <sheetView tabSelected="1" zoomScaleNormal="100" workbookViewId="0">
      <selection activeCell="T25" sqref="T25"/>
    </sheetView>
  </sheetViews>
  <sheetFormatPr defaultRowHeight="15" x14ac:dyDescent="0.25"/>
  <sheetData>
    <row r="3" spans="2:17" x14ac:dyDescent="0.25">
      <c r="B3" s="2" t="s">
        <v>0</v>
      </c>
    </row>
    <row r="4" spans="2:17" x14ac:dyDescent="0.25">
      <c r="B4" t="s">
        <v>1</v>
      </c>
      <c r="C4" t="s">
        <v>4</v>
      </c>
      <c r="D4" s="4" t="s">
        <v>25</v>
      </c>
    </row>
    <row r="5" spans="2:17" x14ac:dyDescent="0.25">
      <c r="C5">
        <f>1000*(1+0.2)</f>
        <v>1200</v>
      </c>
    </row>
    <row r="6" spans="2:17" x14ac:dyDescent="0.25">
      <c r="B6" t="s">
        <v>2</v>
      </c>
      <c r="C6" t="s">
        <v>23</v>
      </c>
      <c r="D6" s="4" t="s">
        <v>24</v>
      </c>
    </row>
    <row r="7" spans="2:17" x14ac:dyDescent="0.25">
      <c r="C7">
        <f>1000*1.1^2</f>
        <v>1210.0000000000002</v>
      </c>
    </row>
    <row r="9" spans="2:17" x14ac:dyDescent="0.25">
      <c r="B9" s="2" t="s">
        <v>3</v>
      </c>
    </row>
    <row r="10" spans="2:17" x14ac:dyDescent="0.25">
      <c r="B10" t="s">
        <v>1</v>
      </c>
      <c r="C10" t="s">
        <v>5</v>
      </c>
    </row>
    <row r="11" spans="2:17" x14ac:dyDescent="0.25">
      <c r="C11" t="s">
        <v>6</v>
      </c>
      <c r="D11">
        <v>0</v>
      </c>
      <c r="E11">
        <v>1</v>
      </c>
      <c r="F11">
        <v>2</v>
      </c>
      <c r="G11">
        <v>3</v>
      </c>
      <c r="H11">
        <v>4</v>
      </c>
      <c r="I11">
        <v>5</v>
      </c>
      <c r="J11">
        <v>6</v>
      </c>
      <c r="K11">
        <v>7</v>
      </c>
      <c r="L11">
        <v>8</v>
      </c>
      <c r="M11">
        <v>9</v>
      </c>
      <c r="N11">
        <v>10</v>
      </c>
      <c r="Q11" t="s">
        <v>11</v>
      </c>
    </row>
    <row r="12" spans="2:17" x14ac:dyDescent="0.25">
      <c r="C12" t="s">
        <v>7</v>
      </c>
      <c r="D12">
        <v>1</v>
      </c>
      <c r="E12">
        <f>D12*1.07</f>
        <v>1.07</v>
      </c>
      <c r="F12">
        <f t="shared" ref="F12:N12" si="0">E12*1.07</f>
        <v>1.1449</v>
      </c>
      <c r="G12">
        <f t="shared" si="0"/>
        <v>1.2250430000000001</v>
      </c>
      <c r="H12">
        <f t="shared" si="0"/>
        <v>1.3107960100000002</v>
      </c>
      <c r="I12">
        <f t="shared" si="0"/>
        <v>1.4025517307000004</v>
      </c>
      <c r="J12">
        <f t="shared" si="0"/>
        <v>1.5007303518490005</v>
      </c>
      <c r="K12">
        <f t="shared" si="0"/>
        <v>1.6057814764784306</v>
      </c>
      <c r="L12">
        <f t="shared" si="0"/>
        <v>1.7181861798319209</v>
      </c>
      <c r="M12">
        <f t="shared" si="0"/>
        <v>1.8384592124201555</v>
      </c>
      <c r="N12">
        <f t="shared" si="0"/>
        <v>1.9671513572895665</v>
      </c>
      <c r="O12">
        <f>N12*1.07</f>
        <v>2.1048519522998363</v>
      </c>
      <c r="Q12" s="4" t="s">
        <v>19</v>
      </c>
    </row>
    <row r="13" spans="2:17" x14ac:dyDescent="0.25">
      <c r="Q13">
        <f>LOG(2,1.07)</f>
        <v>10.244768351058712</v>
      </c>
    </row>
    <row r="14" spans="2:17" x14ac:dyDescent="0.25">
      <c r="B14" t="s">
        <v>2</v>
      </c>
      <c r="C14" t="s">
        <v>8</v>
      </c>
    </row>
    <row r="15" spans="2:17" x14ac:dyDescent="0.25">
      <c r="C15" t="s">
        <v>6</v>
      </c>
      <c r="D15">
        <v>0</v>
      </c>
      <c r="E15">
        <v>1</v>
      </c>
      <c r="F15">
        <v>2</v>
      </c>
      <c r="G15">
        <v>3</v>
      </c>
      <c r="H15">
        <v>4</v>
      </c>
      <c r="I15">
        <v>5</v>
      </c>
      <c r="J15">
        <v>6</v>
      </c>
      <c r="K15">
        <v>7</v>
      </c>
      <c r="Q15" s="4" t="s">
        <v>22</v>
      </c>
    </row>
    <row r="16" spans="2:17" x14ac:dyDescent="0.25">
      <c r="C16" t="s">
        <v>7</v>
      </c>
      <c r="D16">
        <v>1</v>
      </c>
      <c r="E16">
        <f>D16*1.1</f>
        <v>1.1000000000000001</v>
      </c>
      <c r="F16">
        <f t="shared" ref="F16:L16" si="1">E16*1.1</f>
        <v>1.2100000000000002</v>
      </c>
      <c r="G16">
        <f t="shared" si="1"/>
        <v>1.3310000000000004</v>
      </c>
      <c r="H16">
        <f t="shared" si="1"/>
        <v>1.4641000000000006</v>
      </c>
      <c r="I16">
        <f t="shared" si="1"/>
        <v>1.6105100000000008</v>
      </c>
      <c r="J16">
        <f t="shared" si="1"/>
        <v>1.7715610000000011</v>
      </c>
      <c r="K16">
        <f t="shared" si="1"/>
        <v>1.9487171000000014</v>
      </c>
      <c r="L16">
        <f t="shared" si="1"/>
        <v>2.1435888100000016</v>
      </c>
      <c r="Q16">
        <f>LOG(2,1.1)</f>
        <v>7.2725408973417132</v>
      </c>
    </row>
    <row r="18" spans="2:17" x14ac:dyDescent="0.25">
      <c r="B18" t="s">
        <v>9</v>
      </c>
      <c r="C18" t="s">
        <v>10</v>
      </c>
      <c r="E18" s="1">
        <v>7.0000000000000007E-2</v>
      </c>
    </row>
    <row r="19" spans="2:17" x14ac:dyDescent="0.25">
      <c r="C19" t="s">
        <v>6</v>
      </c>
      <c r="D19">
        <v>0</v>
      </c>
      <c r="E19">
        <v>1</v>
      </c>
      <c r="F19">
        <v>2</v>
      </c>
      <c r="G19">
        <v>3</v>
      </c>
      <c r="H19">
        <v>4</v>
      </c>
      <c r="I19">
        <v>5</v>
      </c>
      <c r="J19">
        <v>6</v>
      </c>
      <c r="K19">
        <v>7</v>
      </c>
      <c r="L19">
        <v>8</v>
      </c>
      <c r="M19">
        <v>9</v>
      </c>
      <c r="N19">
        <v>10</v>
      </c>
      <c r="Q19" s="4" t="s">
        <v>21</v>
      </c>
    </row>
    <row r="20" spans="2:17" x14ac:dyDescent="0.25">
      <c r="C20" t="s">
        <v>7</v>
      </c>
      <c r="D20">
        <v>1</v>
      </c>
      <c r="E20">
        <f>(1+$E$18/12)^(12*E19)</f>
        <v>1.0722900808562359</v>
      </c>
      <c r="F20">
        <f t="shared" ref="F20:M20" si="2">(1+$E$18/12)^(12*F19)</f>
        <v>1.149806017502673</v>
      </c>
      <c r="G20">
        <f t="shared" si="2"/>
        <v>1.2329255874769278</v>
      </c>
      <c r="H20">
        <f t="shared" si="2"/>
        <v>1.322053877885357</v>
      </c>
      <c r="I20">
        <f t="shared" si="2"/>
        <v>1.4176252596139898</v>
      </c>
      <c r="J20">
        <f t="shared" si="2"/>
        <v>1.5201055042553275</v>
      </c>
      <c r="K20">
        <f t="shared" si="2"/>
        <v>1.6299940540679543</v>
      </c>
      <c r="L20">
        <f t="shared" si="2"/>
        <v>1.7478264560317105</v>
      </c>
      <c r="M20">
        <f t="shared" si="2"/>
        <v>1.8741769718609109</v>
      </c>
      <c r="N20">
        <f>(1+$E$18/12)^(12*N19)</f>
        <v>2.0096613766956315</v>
      </c>
      <c r="Q20">
        <f>LOG(2,E20)</f>
        <v>9.9309557146676628</v>
      </c>
    </row>
    <row r="22" spans="2:17" x14ac:dyDescent="0.25">
      <c r="B22" t="s">
        <v>12</v>
      </c>
      <c r="C22" t="s">
        <v>13</v>
      </c>
    </row>
    <row r="23" spans="2:17" x14ac:dyDescent="0.25">
      <c r="C23" t="s">
        <v>6</v>
      </c>
      <c r="D23">
        <v>0</v>
      </c>
      <c r="E23">
        <v>1</v>
      </c>
      <c r="F23">
        <v>2</v>
      </c>
      <c r="G23">
        <v>3</v>
      </c>
      <c r="H23">
        <v>4</v>
      </c>
      <c r="I23">
        <v>5</v>
      </c>
      <c r="J23">
        <v>6</v>
      </c>
      <c r="K23">
        <v>7</v>
      </c>
      <c r="L23">
        <v>8</v>
      </c>
      <c r="M23">
        <v>9</v>
      </c>
      <c r="N23">
        <v>10</v>
      </c>
      <c r="Q23" s="4" t="s">
        <v>20</v>
      </c>
    </row>
    <row r="24" spans="2:17" x14ac:dyDescent="0.25">
      <c r="C24" t="s">
        <v>7</v>
      </c>
      <c r="D24">
        <v>1</v>
      </c>
      <c r="E24">
        <f>EXP($E$18*E23)</f>
        <v>1.0725081812542165</v>
      </c>
      <c r="F24">
        <f t="shared" ref="F24:N24" si="3">EXP($E$18*F23)</f>
        <v>1.1502737988572274</v>
      </c>
      <c r="G24">
        <f t="shared" si="3"/>
        <v>1.2336780599567432</v>
      </c>
      <c r="H24">
        <f t="shared" si="3"/>
        <v>1.3231298123374369</v>
      </c>
      <c r="I24">
        <f t="shared" si="3"/>
        <v>1.4190675485932573</v>
      </c>
      <c r="J24">
        <f t="shared" si="3"/>
        <v>1.5219615556186339</v>
      </c>
      <c r="K24">
        <f t="shared" si="3"/>
        <v>1.6323162199553791</v>
      </c>
      <c r="L24">
        <f t="shared" si="3"/>
        <v>1.7506725002961012</v>
      </c>
      <c r="M24">
        <f t="shared" si="3"/>
        <v>1.8776105792643434</v>
      </c>
      <c r="N24">
        <f t="shared" si="3"/>
        <v>2.0137527074704766</v>
      </c>
      <c r="Q24">
        <f>LOG(2,E24)</f>
        <v>9.9021025794277815</v>
      </c>
    </row>
    <row r="26" spans="2:17" x14ac:dyDescent="0.25">
      <c r="B26" s="2" t="s">
        <v>14</v>
      </c>
    </row>
    <row r="27" spans="2:17" x14ac:dyDescent="0.25">
      <c r="C27" t="s">
        <v>15</v>
      </c>
    </row>
    <row r="28" spans="2:17" x14ac:dyDescent="0.25">
      <c r="C28" s="4" t="s">
        <v>18</v>
      </c>
    </row>
    <row r="29" spans="2:17" x14ac:dyDescent="0.25">
      <c r="C29" s="3">
        <f>EXP(0.05)-1</f>
        <v>5.1271096376024117E-2</v>
      </c>
    </row>
    <row r="31" spans="2:17" x14ac:dyDescent="0.25">
      <c r="B31" s="2" t="s">
        <v>16</v>
      </c>
    </row>
    <row r="32" spans="2:17" x14ac:dyDescent="0.25">
      <c r="C32" s="4" t="s">
        <v>17</v>
      </c>
    </row>
    <row r="33" spans="2:11" x14ac:dyDescent="0.25">
      <c r="C33">
        <f>100 * EXP(0.06*1/12)-100</f>
        <v>0.50125208594009507</v>
      </c>
    </row>
    <row r="35" spans="2:11" x14ac:dyDescent="0.25">
      <c r="B35" s="2" t="s">
        <v>26</v>
      </c>
    </row>
    <row r="36" spans="2:11" x14ac:dyDescent="0.25">
      <c r="C36" t="s">
        <v>28</v>
      </c>
      <c r="D36" s="5">
        <v>0</v>
      </c>
      <c r="E36" s="5">
        <v>1</v>
      </c>
      <c r="F36" s="5">
        <v>2</v>
      </c>
      <c r="G36" s="5">
        <v>3</v>
      </c>
      <c r="H36" s="5">
        <v>4</v>
      </c>
      <c r="I36" s="5">
        <v>5</v>
      </c>
      <c r="J36" s="5" t="s">
        <v>30</v>
      </c>
    </row>
    <row r="37" spans="2:11" x14ac:dyDescent="0.25">
      <c r="C37" t="s">
        <v>31</v>
      </c>
      <c r="D37" s="6">
        <v>1000</v>
      </c>
      <c r="E37" s="6">
        <v>1000</v>
      </c>
      <c r="F37" s="6">
        <v>1000</v>
      </c>
      <c r="G37" s="6">
        <v>1000</v>
      </c>
      <c r="H37" s="6">
        <v>1000</v>
      </c>
      <c r="I37" s="6">
        <v>1000</v>
      </c>
      <c r="J37" s="6"/>
    </row>
    <row r="38" spans="2:11" x14ac:dyDescent="0.25">
      <c r="C38" s="2" t="s">
        <v>29</v>
      </c>
      <c r="D38" s="7">
        <f>D37*(1+0.12)^((D36)/12)</f>
        <v>1000</v>
      </c>
      <c r="E38" s="7">
        <f t="shared" ref="E38:I38" si="4">E37*(1+0.12)^((E36)/12)</f>
        <v>1009.488792934583</v>
      </c>
      <c r="F38" s="7">
        <f t="shared" si="4"/>
        <v>1019.0676230605213</v>
      </c>
      <c r="G38" s="7">
        <f t="shared" si="4"/>
        <v>1028.7373447220803</v>
      </c>
      <c r="H38" s="7">
        <f t="shared" si="4"/>
        <v>1038.4988203702208</v>
      </c>
      <c r="I38" s="7">
        <f t="shared" si="4"/>
        <v>1048.3529206395226</v>
      </c>
      <c r="J38" s="7">
        <f>SUM(D38:I38)</f>
        <v>6144.1455017269282</v>
      </c>
    </row>
    <row r="39" spans="2:11" x14ac:dyDescent="0.25">
      <c r="C39" t="s">
        <v>32</v>
      </c>
      <c r="D39" s="6">
        <v>1900</v>
      </c>
      <c r="E39" s="6">
        <v>900</v>
      </c>
      <c r="F39" s="6">
        <v>900</v>
      </c>
      <c r="G39" s="6">
        <v>900</v>
      </c>
      <c r="H39" s="6">
        <v>900</v>
      </c>
      <c r="I39" s="6">
        <v>900</v>
      </c>
      <c r="J39" s="6"/>
    </row>
    <row r="40" spans="2:11" x14ac:dyDescent="0.25">
      <c r="C40" s="2" t="s">
        <v>33</v>
      </c>
      <c r="D40" s="7">
        <f>D39*(1+0.12)^((D36)/12)</f>
        <v>1900</v>
      </c>
      <c r="E40" s="7">
        <f t="shared" ref="E40:I40" si="5">E39*(1+0.12)^((E36)/12)</f>
        <v>908.53991364112471</v>
      </c>
      <c r="F40" s="7">
        <f t="shared" si="5"/>
        <v>917.16086075446924</v>
      </c>
      <c r="G40" s="7">
        <f t="shared" si="5"/>
        <v>925.86361024987218</v>
      </c>
      <c r="H40" s="7">
        <f t="shared" si="5"/>
        <v>934.64893833319866</v>
      </c>
      <c r="I40" s="7">
        <f t="shared" si="5"/>
        <v>943.51762857557026</v>
      </c>
      <c r="J40" s="7">
        <f>SUM(D40:I40)</f>
        <v>6529.7309515542356</v>
      </c>
      <c r="K40" t="s">
        <v>34</v>
      </c>
    </row>
    <row r="42" spans="2:11" x14ac:dyDescent="0.25">
      <c r="B42" s="2" t="s">
        <v>35</v>
      </c>
    </row>
    <row r="43" spans="2:11" x14ac:dyDescent="0.25">
      <c r="C43" t="s">
        <v>28</v>
      </c>
      <c r="D43" s="5">
        <v>0</v>
      </c>
      <c r="E43" s="5">
        <v>1</v>
      </c>
      <c r="F43" s="5">
        <v>2</v>
      </c>
      <c r="G43" s="5">
        <v>3</v>
      </c>
      <c r="H43" s="5">
        <v>4</v>
      </c>
      <c r="I43" s="9" t="s">
        <v>37</v>
      </c>
    </row>
    <row r="44" spans="2:11" x14ac:dyDescent="0.25">
      <c r="C44" t="s">
        <v>31</v>
      </c>
      <c r="D44" s="6">
        <v>-1000</v>
      </c>
      <c r="E44" s="6">
        <v>-1200</v>
      </c>
      <c r="F44" s="6">
        <v>800</v>
      </c>
      <c r="G44" s="6">
        <v>900</v>
      </c>
      <c r="H44" s="6">
        <v>800</v>
      </c>
    </row>
    <row r="45" spans="2:11" x14ac:dyDescent="0.25">
      <c r="C45" t="s">
        <v>27</v>
      </c>
      <c r="D45" s="8">
        <f>D44*(1+0.06)^((D43)/12)</f>
        <v>-1000</v>
      </c>
      <c r="E45" s="8">
        <f t="shared" ref="E45:H45" si="6">E44*(1+0.06)^((E43)/12)</f>
        <v>-1205.8410606784116</v>
      </c>
      <c r="F45" s="8">
        <f t="shared" si="6"/>
        <v>807.80703534335385</v>
      </c>
      <c r="G45" s="8">
        <f t="shared" si="6"/>
        <v>913.20646155179338</v>
      </c>
      <c r="H45" s="8">
        <f t="shared" si="6"/>
        <v>815.69025793777303</v>
      </c>
      <c r="I45" s="7">
        <f>SUM(D45:H45)</f>
        <v>330.8626941545084</v>
      </c>
    </row>
    <row r="46" spans="2:11" x14ac:dyDescent="0.25">
      <c r="D46">
        <v>1000</v>
      </c>
      <c r="E46">
        <v>1200</v>
      </c>
      <c r="I46" s="2"/>
    </row>
    <row r="47" spans="2:11" x14ac:dyDescent="0.25">
      <c r="C47" t="s">
        <v>36</v>
      </c>
      <c r="D47">
        <f>1000</f>
        <v>1000</v>
      </c>
      <c r="E47">
        <f>$D$46*(1+0.06)^E43+$E$46*(1+0.06)^D43</f>
        <v>2260</v>
      </c>
      <c r="F47" s="6">
        <f t="shared" ref="F47:H47" si="7">$D$46*(1+0.06)^F43+$E$46*(1+0.06)^E43</f>
        <v>2395.6000000000004</v>
      </c>
      <c r="G47" s="6">
        <f t="shared" si="7"/>
        <v>2539.3360000000002</v>
      </c>
      <c r="H47" s="6">
        <f t="shared" si="7"/>
        <v>2691.6961600000009</v>
      </c>
      <c r="I47" s="7">
        <f>H47/(1+0.06)^G43</f>
        <v>2260</v>
      </c>
      <c r="J47" s="6"/>
    </row>
  </sheetData>
  <pageMargins left="0.7" right="0.7" top="0.75" bottom="0.75" header="0.3" footer="0.3"/>
  <pageSetup scale="5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2015-04-20T22:29:49Z</cp:lastPrinted>
  <dcterms:created xsi:type="dcterms:W3CDTF">2015-04-13T13:24:19Z</dcterms:created>
  <dcterms:modified xsi:type="dcterms:W3CDTF">2015-04-20T22:31:39Z</dcterms:modified>
</cp:coreProperties>
</file>