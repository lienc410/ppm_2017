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30435" windowHeight="17400" activeTab="4"/>
  </bookViews>
  <sheets>
    <sheet name="P1" sheetId="1" r:id="rId1"/>
    <sheet name="P2" sheetId="2" r:id="rId2"/>
    <sheet name="P3" sheetId="3" r:id="rId3"/>
    <sheet name="Sheet4" sheetId="4" r:id="rId4"/>
    <sheet name="Sheet5" sheetId="5" r:id="rId5"/>
  </sheets>
  <definedNames>
    <definedName name="solver_adj" localSheetId="1" hidden="1">'P2'!$G$10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'P2'!$G$8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3</definedName>
  </definedNames>
  <calcPr calcId="145621"/>
</workbook>
</file>

<file path=xl/calcChain.xml><?xml version="1.0" encoding="utf-8"?>
<calcChain xmlns="http://schemas.openxmlformats.org/spreadsheetml/2006/main">
  <c r="G6" i="4" l="1"/>
  <c r="F5" i="4"/>
  <c r="F6" i="4"/>
  <c r="F4" i="4"/>
  <c r="E5" i="4"/>
  <c r="E6" i="4"/>
  <c r="E7" i="4"/>
  <c r="E4" i="4"/>
  <c r="D5" i="4"/>
  <c r="D6" i="4"/>
  <c r="D7" i="4"/>
  <c r="D8" i="4"/>
  <c r="D4" i="4"/>
  <c r="D42" i="3"/>
  <c r="E42" i="3"/>
  <c r="E43" i="3" s="1"/>
  <c r="E44" i="3" s="1"/>
  <c r="E45" i="3" s="1"/>
  <c r="D41" i="3"/>
  <c r="B46" i="3"/>
  <c r="B45" i="3"/>
  <c r="B44" i="3"/>
  <c r="B43" i="3"/>
  <c r="B42" i="3"/>
  <c r="W3" i="3"/>
  <c r="H29" i="3"/>
  <c r="I29" i="3"/>
  <c r="J29" i="3"/>
  <c r="K29" i="3" s="1"/>
  <c r="I30" i="3" s="1"/>
  <c r="J30" i="3" s="1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I10" i="3"/>
  <c r="I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9" i="3"/>
  <c r="X9" i="3"/>
  <c r="X17" i="3"/>
  <c r="X25" i="3"/>
  <c r="X73" i="3"/>
  <c r="X81" i="3"/>
  <c r="X88" i="3"/>
  <c r="X113" i="3"/>
  <c r="X121" i="3"/>
  <c r="X129" i="3"/>
  <c r="X153" i="3"/>
  <c r="X160" i="3"/>
  <c r="X161" i="3"/>
  <c r="X185" i="3"/>
  <c r="X192" i="3"/>
  <c r="X193" i="3"/>
  <c r="X217" i="3"/>
  <c r="X224" i="3"/>
  <c r="X225" i="3"/>
  <c r="X6" i="3"/>
  <c r="X24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7" i="3"/>
  <c r="U126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7" i="3"/>
  <c r="T6" i="3"/>
  <c r="T5" i="3"/>
  <c r="S5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7" i="3"/>
  <c r="J9" i="3"/>
  <c r="K9" i="3" s="1"/>
  <c r="K8" i="3"/>
  <c r="X10" i="3" l="1"/>
  <c r="X18" i="3"/>
  <c r="X26" i="3"/>
  <c r="X34" i="3"/>
  <c r="X42" i="3"/>
  <c r="X50" i="3"/>
  <c r="X58" i="3"/>
  <c r="X66" i="3"/>
  <c r="X74" i="3"/>
  <c r="X82" i="3"/>
  <c r="X90" i="3"/>
  <c r="X98" i="3"/>
  <c r="X106" i="3"/>
  <c r="X114" i="3"/>
  <c r="X122" i="3"/>
  <c r="X130" i="3"/>
  <c r="X138" i="3"/>
  <c r="X146" i="3"/>
  <c r="X154" i="3"/>
  <c r="X162" i="3"/>
  <c r="X170" i="3"/>
  <c r="X178" i="3"/>
  <c r="X186" i="3"/>
  <c r="X194" i="3"/>
  <c r="X202" i="3"/>
  <c r="X210" i="3"/>
  <c r="X218" i="3"/>
  <c r="X226" i="3"/>
  <c r="X234" i="3"/>
  <c r="X242" i="3"/>
  <c r="X31" i="3"/>
  <c r="X103" i="3"/>
  <c r="X159" i="3"/>
  <c r="X199" i="3"/>
  <c r="X231" i="3"/>
  <c r="X11" i="3"/>
  <c r="X19" i="3"/>
  <c r="X27" i="3"/>
  <c r="X35" i="3"/>
  <c r="X43" i="3"/>
  <c r="X51" i="3"/>
  <c r="X59" i="3"/>
  <c r="X67" i="3"/>
  <c r="X75" i="3"/>
  <c r="X83" i="3"/>
  <c r="X91" i="3"/>
  <c r="X99" i="3"/>
  <c r="X107" i="3"/>
  <c r="X115" i="3"/>
  <c r="X123" i="3"/>
  <c r="X131" i="3"/>
  <c r="X139" i="3"/>
  <c r="X147" i="3"/>
  <c r="X155" i="3"/>
  <c r="X163" i="3"/>
  <c r="X171" i="3"/>
  <c r="X179" i="3"/>
  <c r="X187" i="3"/>
  <c r="X195" i="3"/>
  <c r="X203" i="3"/>
  <c r="X211" i="3"/>
  <c r="X219" i="3"/>
  <c r="X227" i="3"/>
  <c r="X235" i="3"/>
  <c r="X243" i="3"/>
  <c r="X15" i="3"/>
  <c r="X79" i="3"/>
  <c r="X119" i="3"/>
  <c r="X143" i="3"/>
  <c r="X175" i="3"/>
  <c r="X207" i="3"/>
  <c r="X239" i="3"/>
  <c r="X12" i="3"/>
  <c r="X20" i="3"/>
  <c r="X28" i="3"/>
  <c r="X36" i="3"/>
  <c r="X44" i="3"/>
  <c r="X52" i="3"/>
  <c r="X60" i="3"/>
  <c r="X68" i="3"/>
  <c r="X76" i="3"/>
  <c r="X84" i="3"/>
  <c r="X92" i="3"/>
  <c r="X100" i="3"/>
  <c r="X108" i="3"/>
  <c r="X116" i="3"/>
  <c r="X124" i="3"/>
  <c r="X132" i="3"/>
  <c r="X140" i="3"/>
  <c r="X148" i="3"/>
  <c r="X156" i="3"/>
  <c r="X164" i="3"/>
  <c r="X172" i="3"/>
  <c r="X180" i="3"/>
  <c r="X188" i="3"/>
  <c r="X196" i="3"/>
  <c r="X204" i="3"/>
  <c r="X212" i="3"/>
  <c r="X220" i="3"/>
  <c r="X228" i="3"/>
  <c r="X236" i="3"/>
  <c r="X244" i="3"/>
  <c r="X198" i="3"/>
  <c r="X23" i="3"/>
  <c r="X95" i="3"/>
  <c r="X135" i="3"/>
  <c r="X183" i="3"/>
  <c r="X215" i="3"/>
  <c r="X7" i="3"/>
  <c r="X13" i="3"/>
  <c r="X21" i="3"/>
  <c r="X29" i="3"/>
  <c r="X37" i="3"/>
  <c r="X45" i="3"/>
  <c r="X53" i="3"/>
  <c r="X61" i="3"/>
  <c r="X69" i="3"/>
  <c r="X77" i="3"/>
  <c r="X85" i="3"/>
  <c r="X93" i="3"/>
  <c r="X101" i="3"/>
  <c r="X109" i="3"/>
  <c r="X117" i="3"/>
  <c r="X125" i="3"/>
  <c r="X133" i="3"/>
  <c r="X141" i="3"/>
  <c r="X149" i="3"/>
  <c r="X157" i="3"/>
  <c r="X165" i="3"/>
  <c r="X173" i="3"/>
  <c r="X181" i="3"/>
  <c r="X189" i="3"/>
  <c r="X197" i="3"/>
  <c r="X205" i="3"/>
  <c r="X213" i="3"/>
  <c r="X221" i="3"/>
  <c r="X229" i="3"/>
  <c r="X237" i="3"/>
  <c r="X245" i="3"/>
  <c r="X14" i="3"/>
  <c r="X22" i="3"/>
  <c r="X30" i="3"/>
  <c r="X38" i="3"/>
  <c r="X46" i="3"/>
  <c r="X54" i="3"/>
  <c r="X62" i="3"/>
  <c r="X70" i="3"/>
  <c r="X78" i="3"/>
  <c r="X86" i="3"/>
  <c r="X94" i="3"/>
  <c r="X102" i="3"/>
  <c r="X110" i="3"/>
  <c r="X118" i="3"/>
  <c r="X126" i="3"/>
  <c r="X134" i="3"/>
  <c r="X142" i="3"/>
  <c r="X150" i="3"/>
  <c r="X158" i="3"/>
  <c r="X166" i="3"/>
  <c r="X174" i="3"/>
  <c r="X182" i="3"/>
  <c r="X190" i="3"/>
  <c r="X206" i="3"/>
  <c r="X214" i="3"/>
  <c r="X222" i="3"/>
  <c r="X230" i="3"/>
  <c r="X238" i="3"/>
  <c r="X246" i="3"/>
  <c r="X39" i="3"/>
  <c r="X47" i="3"/>
  <c r="X55" i="3"/>
  <c r="X63" i="3"/>
  <c r="X71" i="3"/>
  <c r="X87" i="3"/>
  <c r="X111" i="3"/>
  <c r="X127" i="3"/>
  <c r="X151" i="3"/>
  <c r="X167" i="3"/>
  <c r="X191" i="3"/>
  <c r="X223" i="3"/>
  <c r="X8" i="3"/>
  <c r="X16" i="3"/>
  <c r="X24" i="3"/>
  <c r="X32" i="3"/>
  <c r="X40" i="3"/>
  <c r="X48" i="3"/>
  <c r="X56" i="3"/>
  <c r="X64" i="3"/>
  <c r="X72" i="3"/>
  <c r="X80" i="3"/>
  <c r="X112" i="3"/>
  <c r="X120" i="3"/>
  <c r="X128" i="3"/>
  <c r="X216" i="3"/>
  <c r="X184" i="3"/>
  <c r="X152" i="3"/>
  <c r="X105" i="3"/>
  <c r="X65" i="3"/>
  <c r="X241" i="3"/>
  <c r="X209" i="3"/>
  <c r="X177" i="3"/>
  <c r="X145" i="3"/>
  <c r="X104" i="3"/>
  <c r="X57" i="3"/>
  <c r="X240" i="3"/>
  <c r="X208" i="3"/>
  <c r="X176" i="3"/>
  <c r="X144" i="3"/>
  <c r="X97" i="3"/>
  <c r="X49" i="3"/>
  <c r="X233" i="3"/>
  <c r="X201" i="3"/>
  <c r="X169" i="3"/>
  <c r="X137" i="3"/>
  <c r="X96" i="3"/>
  <c r="X41" i="3"/>
  <c r="X232" i="3"/>
  <c r="X200" i="3"/>
  <c r="X168" i="3"/>
  <c r="X136" i="3"/>
  <c r="X89" i="3"/>
  <c r="X33" i="3"/>
  <c r="K30" i="3"/>
  <c r="Y246" i="3" l="1"/>
  <c r="I31" i="3"/>
  <c r="J31" i="3" s="1"/>
  <c r="K31" i="3" s="1"/>
  <c r="J10" i="3"/>
  <c r="K10" i="3" s="1"/>
  <c r="I11" i="3" s="1"/>
  <c r="I32" i="3" l="1"/>
  <c r="J32" i="3" s="1"/>
  <c r="K32" i="3"/>
  <c r="J11" i="3"/>
  <c r="I33" i="3" l="1"/>
  <c r="J33" i="3" s="1"/>
  <c r="K33" i="3"/>
  <c r="K11" i="3"/>
  <c r="I34" i="3" l="1"/>
  <c r="J34" i="3" s="1"/>
  <c r="K34" i="3"/>
  <c r="I12" i="3"/>
  <c r="J12" i="3" s="1"/>
  <c r="K12" i="3" s="1"/>
  <c r="I13" i="3" s="1"/>
  <c r="I35" i="3" l="1"/>
  <c r="J35" i="3" s="1"/>
  <c r="K35" i="3"/>
  <c r="J13" i="3"/>
  <c r="I36" i="3" l="1"/>
  <c r="J36" i="3" s="1"/>
  <c r="K36" i="3" s="1"/>
  <c r="K13" i="3"/>
  <c r="I14" i="3" s="1"/>
  <c r="I37" i="3" l="1"/>
  <c r="J37" i="3" s="1"/>
  <c r="K37" i="3" s="1"/>
  <c r="J14" i="3"/>
  <c r="K14" i="3" s="1"/>
  <c r="I15" i="3" s="1"/>
  <c r="I38" i="3" l="1"/>
  <c r="J38" i="3" s="1"/>
  <c r="K38" i="3" s="1"/>
  <c r="J15" i="3"/>
  <c r="K15" i="3" s="1"/>
  <c r="I16" i="3" s="1"/>
  <c r="I39" i="3" l="1"/>
  <c r="J39" i="3" s="1"/>
  <c r="K39" i="3"/>
  <c r="J16" i="3"/>
  <c r="K16" i="3" s="1"/>
  <c r="I40" i="3" l="1"/>
  <c r="J40" i="3" s="1"/>
  <c r="K40" i="3"/>
  <c r="I17" i="3"/>
  <c r="J17" i="3" s="1"/>
  <c r="K17" i="3" s="1"/>
  <c r="I41" i="3" l="1"/>
  <c r="J41" i="3" s="1"/>
  <c r="K41" i="3"/>
  <c r="I18" i="3"/>
  <c r="J18" i="3" s="1"/>
  <c r="K18" i="3" s="1"/>
  <c r="I19" i="3" s="1"/>
  <c r="J19" i="3" s="1"/>
  <c r="K19" i="3" s="1"/>
  <c r="I20" i="3" s="1"/>
  <c r="J20" i="3" s="1"/>
  <c r="K20" i="3" s="1"/>
  <c r="I21" i="3" s="1"/>
  <c r="I42" i="3" l="1"/>
  <c r="J42" i="3" s="1"/>
  <c r="K42" i="3"/>
  <c r="J21" i="3"/>
  <c r="K21" i="3" s="1"/>
  <c r="I43" i="3" l="1"/>
  <c r="J43" i="3" s="1"/>
  <c r="K43" i="3"/>
  <c r="I22" i="3"/>
  <c r="J22" i="3" s="1"/>
  <c r="K22" i="3" s="1"/>
  <c r="I44" i="3" l="1"/>
  <c r="J44" i="3" s="1"/>
  <c r="K44" i="3" s="1"/>
  <c r="I23" i="3"/>
  <c r="J23" i="3" s="1"/>
  <c r="K23" i="3" s="1"/>
  <c r="I45" i="3" l="1"/>
  <c r="J45" i="3" s="1"/>
  <c r="K45" i="3"/>
  <c r="I24" i="3"/>
  <c r="J24" i="3" s="1"/>
  <c r="K24" i="3" s="1"/>
  <c r="I46" i="3" l="1"/>
  <c r="J46" i="3" s="1"/>
  <c r="K46" i="3" s="1"/>
  <c r="I25" i="3"/>
  <c r="J25" i="3" s="1"/>
  <c r="K25" i="3" s="1"/>
  <c r="I47" i="3" l="1"/>
  <c r="J47" i="3" s="1"/>
  <c r="K47" i="3" s="1"/>
  <c r="I26" i="3"/>
  <c r="J26" i="3" s="1"/>
  <c r="K26" i="3" s="1"/>
  <c r="I27" i="3" s="1"/>
  <c r="J27" i="3" s="1"/>
  <c r="K27" i="3" s="1"/>
  <c r="I28" i="3" s="1"/>
  <c r="J28" i="3" s="1"/>
  <c r="K28" i="3" s="1"/>
  <c r="I48" i="3" l="1"/>
  <c r="J48" i="3" s="1"/>
  <c r="K48" i="3"/>
  <c r="I49" i="3" l="1"/>
  <c r="J49" i="3" s="1"/>
  <c r="K49" i="3"/>
  <c r="I50" i="3" l="1"/>
  <c r="J50" i="3" s="1"/>
  <c r="K50" i="3"/>
  <c r="I51" i="3" l="1"/>
  <c r="J51" i="3" s="1"/>
  <c r="K51" i="3"/>
  <c r="I52" i="3" l="1"/>
  <c r="J52" i="3" s="1"/>
  <c r="K52" i="3" s="1"/>
  <c r="I53" i="3" l="1"/>
  <c r="J53" i="3" s="1"/>
  <c r="K53" i="3"/>
  <c r="I54" i="3" l="1"/>
  <c r="J54" i="3" s="1"/>
  <c r="K54" i="3" s="1"/>
  <c r="I55" i="3" l="1"/>
  <c r="J55" i="3" s="1"/>
  <c r="K55" i="3"/>
  <c r="I56" i="3" l="1"/>
  <c r="J56" i="3" s="1"/>
  <c r="K56" i="3"/>
  <c r="I57" i="3" l="1"/>
  <c r="J57" i="3" s="1"/>
  <c r="K57" i="3"/>
  <c r="G16" i="2"/>
  <c r="G17" i="2"/>
  <c r="G18" i="2"/>
  <c r="G19" i="2"/>
  <c r="G15" i="2"/>
  <c r="G20" i="2" s="1"/>
  <c r="C16" i="2"/>
  <c r="C17" i="2"/>
  <c r="C18" i="2"/>
  <c r="C19" i="2"/>
  <c r="C15" i="2"/>
  <c r="G4" i="2"/>
  <c r="G5" i="2"/>
  <c r="G6" i="2"/>
  <c r="G7" i="2"/>
  <c r="G3" i="2"/>
  <c r="C4" i="2"/>
  <c r="C5" i="2"/>
  <c r="C6" i="2"/>
  <c r="C7" i="2"/>
  <c r="C3" i="2"/>
  <c r="B10" i="1"/>
  <c r="B9" i="1"/>
  <c r="B8" i="1"/>
  <c r="B5" i="1"/>
  <c r="B4" i="1"/>
  <c r="B3" i="1"/>
  <c r="I58" i="3" l="1"/>
  <c r="J58" i="3" s="1"/>
  <c r="K58" i="3"/>
  <c r="C20" i="2"/>
  <c r="G8" i="2"/>
  <c r="C8" i="2"/>
  <c r="I59" i="3" l="1"/>
  <c r="J59" i="3" s="1"/>
  <c r="K59" i="3"/>
  <c r="I60" i="3" l="1"/>
  <c r="J60" i="3" s="1"/>
  <c r="K60" i="3" s="1"/>
  <c r="I61" i="3" l="1"/>
  <c r="J61" i="3" s="1"/>
  <c r="K61" i="3"/>
  <c r="I62" i="3" l="1"/>
  <c r="J62" i="3" s="1"/>
  <c r="K62" i="3" s="1"/>
  <c r="I63" i="3" l="1"/>
  <c r="J63" i="3" s="1"/>
  <c r="K63" i="3"/>
  <c r="I64" i="3" l="1"/>
  <c r="J64" i="3" s="1"/>
  <c r="K64" i="3"/>
  <c r="I65" i="3" l="1"/>
  <c r="J65" i="3" s="1"/>
  <c r="K65" i="3"/>
  <c r="I66" i="3" l="1"/>
  <c r="J66" i="3" s="1"/>
  <c r="K66" i="3"/>
  <c r="I67" i="3" l="1"/>
  <c r="J67" i="3" s="1"/>
  <c r="K67" i="3"/>
  <c r="I68" i="3" l="1"/>
  <c r="J68" i="3" s="1"/>
  <c r="K68" i="3" s="1"/>
  <c r="I69" i="3" l="1"/>
  <c r="J69" i="3" s="1"/>
  <c r="K69" i="3"/>
  <c r="I70" i="3" l="1"/>
  <c r="J70" i="3" s="1"/>
  <c r="K70" i="3" s="1"/>
  <c r="I71" i="3" l="1"/>
  <c r="J71" i="3" s="1"/>
  <c r="K71" i="3"/>
  <c r="I72" i="3" l="1"/>
  <c r="J72" i="3" s="1"/>
  <c r="K72" i="3"/>
  <c r="I73" i="3" l="1"/>
  <c r="J73" i="3" s="1"/>
  <c r="K73" i="3"/>
  <c r="I74" i="3" l="1"/>
  <c r="J74" i="3" s="1"/>
  <c r="K74" i="3"/>
  <c r="I75" i="3" l="1"/>
  <c r="J75" i="3" s="1"/>
  <c r="K75" i="3"/>
  <c r="I76" i="3" l="1"/>
  <c r="J76" i="3" s="1"/>
  <c r="K76" i="3" s="1"/>
  <c r="I77" i="3" l="1"/>
  <c r="J77" i="3" s="1"/>
  <c r="K77" i="3"/>
  <c r="I78" i="3" l="1"/>
  <c r="J78" i="3" s="1"/>
  <c r="K78" i="3" s="1"/>
  <c r="I79" i="3" l="1"/>
  <c r="J79" i="3" s="1"/>
  <c r="K79" i="3"/>
  <c r="I80" i="3" l="1"/>
  <c r="J80" i="3" s="1"/>
  <c r="K80" i="3"/>
  <c r="I81" i="3" l="1"/>
  <c r="J81" i="3" s="1"/>
  <c r="K81" i="3"/>
  <c r="I82" i="3" l="1"/>
  <c r="J82" i="3" s="1"/>
  <c r="K82" i="3"/>
  <c r="I83" i="3" l="1"/>
  <c r="J83" i="3" s="1"/>
  <c r="K83" i="3"/>
  <c r="I84" i="3" l="1"/>
  <c r="J84" i="3" s="1"/>
  <c r="K84" i="3" s="1"/>
  <c r="I85" i="3" l="1"/>
  <c r="J85" i="3" s="1"/>
  <c r="K85" i="3"/>
  <c r="I86" i="3" l="1"/>
  <c r="J86" i="3" s="1"/>
  <c r="K86" i="3" s="1"/>
  <c r="I87" i="3" l="1"/>
  <c r="J87" i="3" s="1"/>
  <c r="K87" i="3"/>
  <c r="I88" i="3" l="1"/>
  <c r="J88" i="3" s="1"/>
  <c r="K88" i="3"/>
  <c r="I89" i="3" l="1"/>
  <c r="J89" i="3" s="1"/>
  <c r="K89" i="3"/>
  <c r="I90" i="3" l="1"/>
  <c r="J90" i="3" s="1"/>
  <c r="K90" i="3"/>
  <c r="I91" i="3" l="1"/>
  <c r="J91" i="3" s="1"/>
  <c r="K91" i="3"/>
  <c r="I92" i="3" l="1"/>
  <c r="J92" i="3" s="1"/>
  <c r="K92" i="3" s="1"/>
  <c r="I93" i="3" l="1"/>
  <c r="J93" i="3" s="1"/>
  <c r="K93" i="3"/>
  <c r="I94" i="3" l="1"/>
  <c r="J94" i="3" s="1"/>
  <c r="K94" i="3" s="1"/>
  <c r="I95" i="3" l="1"/>
  <c r="J95" i="3" s="1"/>
  <c r="K95" i="3"/>
  <c r="I96" i="3" l="1"/>
  <c r="J96" i="3" s="1"/>
  <c r="K96" i="3"/>
  <c r="I97" i="3" l="1"/>
  <c r="J97" i="3" s="1"/>
  <c r="K97" i="3"/>
  <c r="I98" i="3" l="1"/>
  <c r="J98" i="3" s="1"/>
  <c r="K98" i="3"/>
  <c r="I99" i="3" l="1"/>
  <c r="J99" i="3" s="1"/>
  <c r="K99" i="3"/>
  <c r="I100" i="3" l="1"/>
  <c r="J100" i="3" s="1"/>
  <c r="K100" i="3" s="1"/>
  <c r="I101" i="3" l="1"/>
  <c r="J101" i="3" s="1"/>
  <c r="K101" i="3"/>
  <c r="I102" i="3" l="1"/>
  <c r="J102" i="3" s="1"/>
  <c r="K102" i="3" s="1"/>
  <c r="I103" i="3" l="1"/>
  <c r="J103" i="3" s="1"/>
  <c r="K103" i="3"/>
  <c r="I104" i="3" l="1"/>
  <c r="J104" i="3" s="1"/>
  <c r="K104" i="3"/>
  <c r="I105" i="3" l="1"/>
  <c r="J105" i="3" s="1"/>
  <c r="K105" i="3"/>
  <c r="I106" i="3" l="1"/>
  <c r="J106" i="3" s="1"/>
  <c r="K106" i="3"/>
  <c r="I107" i="3" l="1"/>
  <c r="J107" i="3" s="1"/>
  <c r="K107" i="3"/>
  <c r="I108" i="3" l="1"/>
  <c r="J108" i="3" s="1"/>
  <c r="K108" i="3" s="1"/>
  <c r="I109" i="3" l="1"/>
  <c r="J109" i="3" s="1"/>
  <c r="K109" i="3"/>
  <c r="I110" i="3" l="1"/>
  <c r="J110" i="3" s="1"/>
  <c r="K110" i="3" s="1"/>
  <c r="I111" i="3" l="1"/>
  <c r="J111" i="3" s="1"/>
  <c r="K111" i="3"/>
  <c r="I112" i="3" l="1"/>
  <c r="J112" i="3" s="1"/>
  <c r="K112" i="3"/>
  <c r="I113" i="3" l="1"/>
  <c r="J113" i="3" s="1"/>
  <c r="K113" i="3"/>
  <c r="I114" i="3" l="1"/>
  <c r="J114" i="3" s="1"/>
  <c r="K114" i="3"/>
  <c r="I115" i="3" l="1"/>
  <c r="J115" i="3" s="1"/>
  <c r="K115" i="3"/>
  <c r="I116" i="3" l="1"/>
  <c r="J116" i="3" s="1"/>
  <c r="K116" i="3" s="1"/>
  <c r="I117" i="3" l="1"/>
  <c r="J117" i="3" s="1"/>
  <c r="K117" i="3"/>
  <c r="I118" i="3" l="1"/>
  <c r="J118" i="3" s="1"/>
  <c r="K118" i="3" s="1"/>
  <c r="I119" i="3" l="1"/>
  <c r="J119" i="3" s="1"/>
  <c r="K119" i="3"/>
  <c r="I120" i="3" l="1"/>
  <c r="J120" i="3" s="1"/>
  <c r="K120" i="3"/>
  <c r="I121" i="3" l="1"/>
  <c r="J121" i="3" s="1"/>
  <c r="K121" i="3"/>
  <c r="I122" i="3" l="1"/>
  <c r="J122" i="3" s="1"/>
  <c r="K122" i="3"/>
  <c r="I123" i="3" l="1"/>
  <c r="J123" i="3" s="1"/>
  <c r="K123" i="3"/>
  <c r="I124" i="3" l="1"/>
  <c r="J124" i="3" s="1"/>
  <c r="K124" i="3" s="1"/>
  <c r="I125" i="3" l="1"/>
  <c r="J125" i="3" s="1"/>
  <c r="K125" i="3"/>
  <c r="I126" i="3" l="1"/>
  <c r="J126" i="3" s="1"/>
  <c r="K126" i="3" s="1"/>
  <c r="I127" i="3" l="1"/>
  <c r="J127" i="3" s="1"/>
  <c r="K127" i="3"/>
  <c r="I128" i="3" l="1"/>
  <c r="J128" i="3" s="1"/>
  <c r="K128" i="3"/>
  <c r="I129" i="3" l="1"/>
  <c r="J129" i="3" s="1"/>
  <c r="K129" i="3"/>
  <c r="I130" i="3" l="1"/>
  <c r="J130" i="3" s="1"/>
  <c r="K130" i="3"/>
  <c r="I131" i="3" l="1"/>
  <c r="J131" i="3" s="1"/>
  <c r="K131" i="3"/>
  <c r="I132" i="3" l="1"/>
  <c r="J132" i="3" s="1"/>
  <c r="K132" i="3" s="1"/>
  <c r="I133" i="3" l="1"/>
  <c r="J133" i="3" s="1"/>
  <c r="K133" i="3"/>
  <c r="I134" i="3" l="1"/>
  <c r="J134" i="3" s="1"/>
  <c r="K134" i="3" s="1"/>
  <c r="I135" i="3" l="1"/>
  <c r="J135" i="3" s="1"/>
  <c r="K135" i="3"/>
  <c r="I136" i="3" l="1"/>
  <c r="J136" i="3" s="1"/>
  <c r="K136" i="3"/>
  <c r="I137" i="3" l="1"/>
  <c r="J137" i="3" s="1"/>
  <c r="K137" i="3"/>
  <c r="I138" i="3" l="1"/>
  <c r="J138" i="3" s="1"/>
  <c r="K138" i="3"/>
  <c r="I139" i="3" l="1"/>
  <c r="J139" i="3" s="1"/>
  <c r="K139" i="3"/>
  <c r="I140" i="3" l="1"/>
  <c r="J140" i="3" s="1"/>
  <c r="K140" i="3" s="1"/>
  <c r="I141" i="3" l="1"/>
  <c r="J141" i="3" s="1"/>
  <c r="K141" i="3"/>
  <c r="I142" i="3" l="1"/>
  <c r="J142" i="3" s="1"/>
  <c r="K142" i="3" s="1"/>
  <c r="I143" i="3" l="1"/>
  <c r="J143" i="3" s="1"/>
  <c r="K143" i="3"/>
  <c r="I144" i="3" l="1"/>
  <c r="J144" i="3" s="1"/>
  <c r="K144" i="3"/>
  <c r="I145" i="3" l="1"/>
  <c r="J145" i="3" s="1"/>
  <c r="K145" i="3"/>
  <c r="I146" i="3" l="1"/>
  <c r="J146" i="3" s="1"/>
  <c r="K146" i="3"/>
  <c r="I147" i="3" l="1"/>
  <c r="J147" i="3" s="1"/>
  <c r="K147" i="3"/>
  <c r="I148" i="3" l="1"/>
  <c r="J148" i="3" s="1"/>
  <c r="K148" i="3" s="1"/>
  <c r="I149" i="3" l="1"/>
  <c r="J149" i="3" s="1"/>
  <c r="K149" i="3"/>
  <c r="I150" i="3" l="1"/>
  <c r="J150" i="3" s="1"/>
  <c r="K150" i="3" s="1"/>
  <c r="I151" i="3" l="1"/>
  <c r="J151" i="3" s="1"/>
  <c r="K151" i="3"/>
  <c r="I152" i="3" l="1"/>
  <c r="J152" i="3" s="1"/>
  <c r="K152" i="3"/>
  <c r="I153" i="3" l="1"/>
  <c r="J153" i="3" s="1"/>
  <c r="K153" i="3"/>
  <c r="I154" i="3" l="1"/>
  <c r="J154" i="3" s="1"/>
  <c r="K154" i="3"/>
  <c r="I155" i="3" l="1"/>
  <c r="J155" i="3" s="1"/>
  <c r="K155" i="3"/>
  <c r="I156" i="3" l="1"/>
  <c r="J156" i="3" s="1"/>
  <c r="K156" i="3" s="1"/>
  <c r="I157" i="3" l="1"/>
  <c r="J157" i="3" s="1"/>
  <c r="K157" i="3"/>
  <c r="I158" i="3" l="1"/>
  <c r="J158" i="3" s="1"/>
  <c r="K158" i="3" s="1"/>
  <c r="I159" i="3" l="1"/>
  <c r="J159" i="3" s="1"/>
  <c r="K159" i="3"/>
  <c r="I160" i="3" l="1"/>
  <c r="J160" i="3" s="1"/>
  <c r="K160" i="3"/>
  <c r="I161" i="3" l="1"/>
  <c r="J161" i="3" s="1"/>
  <c r="K161" i="3"/>
  <c r="I162" i="3" l="1"/>
  <c r="J162" i="3" s="1"/>
  <c r="K162" i="3"/>
  <c r="I163" i="3" l="1"/>
  <c r="J163" i="3" s="1"/>
  <c r="K163" i="3"/>
  <c r="I164" i="3" l="1"/>
  <c r="J164" i="3" s="1"/>
  <c r="K164" i="3" s="1"/>
  <c r="I165" i="3" l="1"/>
  <c r="J165" i="3" s="1"/>
  <c r="K165" i="3"/>
  <c r="I166" i="3" l="1"/>
  <c r="J166" i="3" s="1"/>
  <c r="K166" i="3" s="1"/>
  <c r="I167" i="3" l="1"/>
  <c r="J167" i="3" s="1"/>
  <c r="K167" i="3"/>
  <c r="I168" i="3" l="1"/>
  <c r="J168" i="3" s="1"/>
  <c r="K168" i="3"/>
  <c r="I169" i="3" l="1"/>
  <c r="J169" i="3" s="1"/>
  <c r="K169" i="3"/>
  <c r="I170" i="3" l="1"/>
  <c r="J170" i="3" s="1"/>
  <c r="K170" i="3"/>
  <c r="I171" i="3" l="1"/>
  <c r="J171" i="3" s="1"/>
  <c r="K171" i="3"/>
  <c r="I172" i="3" l="1"/>
  <c r="J172" i="3" s="1"/>
  <c r="K172" i="3" s="1"/>
  <c r="I173" i="3" l="1"/>
  <c r="J173" i="3" s="1"/>
  <c r="K173" i="3"/>
  <c r="I174" i="3" l="1"/>
  <c r="J174" i="3" s="1"/>
  <c r="K174" i="3" s="1"/>
  <c r="I175" i="3" l="1"/>
  <c r="J175" i="3" s="1"/>
  <c r="K175" i="3"/>
  <c r="I176" i="3" l="1"/>
  <c r="J176" i="3" s="1"/>
  <c r="K176" i="3"/>
  <c r="I177" i="3" l="1"/>
  <c r="J177" i="3" s="1"/>
  <c r="K177" i="3"/>
  <c r="I178" i="3" l="1"/>
  <c r="J178" i="3" s="1"/>
  <c r="K178" i="3"/>
  <c r="I179" i="3" l="1"/>
  <c r="J179" i="3" s="1"/>
  <c r="K179" i="3"/>
  <c r="I180" i="3" l="1"/>
  <c r="J180" i="3" s="1"/>
  <c r="K180" i="3" s="1"/>
  <c r="I181" i="3" l="1"/>
  <c r="J181" i="3" s="1"/>
  <c r="K181" i="3"/>
  <c r="I182" i="3" l="1"/>
  <c r="J182" i="3" s="1"/>
  <c r="K182" i="3" s="1"/>
  <c r="I183" i="3" l="1"/>
  <c r="J183" i="3" s="1"/>
  <c r="K183" i="3"/>
  <c r="I184" i="3" l="1"/>
  <c r="J184" i="3" s="1"/>
  <c r="K184" i="3"/>
  <c r="I185" i="3" l="1"/>
  <c r="J185" i="3" s="1"/>
  <c r="K185" i="3"/>
  <c r="I186" i="3" l="1"/>
  <c r="J186" i="3" s="1"/>
  <c r="K186" i="3"/>
  <c r="I187" i="3" l="1"/>
  <c r="J187" i="3" s="1"/>
  <c r="K187" i="3"/>
  <c r="I188" i="3" l="1"/>
  <c r="J188" i="3" s="1"/>
  <c r="K188" i="3" s="1"/>
  <c r="I189" i="3" l="1"/>
  <c r="J189" i="3" s="1"/>
  <c r="K189" i="3"/>
  <c r="I190" i="3" l="1"/>
  <c r="J190" i="3" s="1"/>
  <c r="K190" i="3" s="1"/>
  <c r="I191" i="3" l="1"/>
  <c r="J191" i="3" s="1"/>
  <c r="K191" i="3"/>
  <c r="I192" i="3" l="1"/>
  <c r="J192" i="3" s="1"/>
  <c r="K192" i="3"/>
  <c r="I193" i="3" l="1"/>
  <c r="J193" i="3" s="1"/>
  <c r="K193" i="3"/>
  <c r="I194" i="3" l="1"/>
  <c r="J194" i="3" s="1"/>
  <c r="K194" i="3"/>
  <c r="I195" i="3" l="1"/>
  <c r="J195" i="3" s="1"/>
  <c r="K195" i="3"/>
  <c r="I196" i="3" l="1"/>
  <c r="J196" i="3" s="1"/>
  <c r="K196" i="3" s="1"/>
  <c r="I197" i="3" l="1"/>
  <c r="J197" i="3" s="1"/>
  <c r="K197" i="3"/>
  <c r="I198" i="3" l="1"/>
  <c r="J198" i="3" s="1"/>
  <c r="K198" i="3" s="1"/>
  <c r="I199" i="3" l="1"/>
  <c r="J199" i="3" s="1"/>
  <c r="K199" i="3"/>
  <c r="I200" i="3" l="1"/>
  <c r="J200" i="3" s="1"/>
  <c r="K200" i="3"/>
  <c r="I201" i="3" l="1"/>
  <c r="J201" i="3" s="1"/>
  <c r="K201" i="3" s="1"/>
  <c r="I202" i="3" l="1"/>
  <c r="J202" i="3" s="1"/>
  <c r="K202" i="3"/>
  <c r="I203" i="3" l="1"/>
  <c r="J203" i="3" s="1"/>
  <c r="K203" i="3" s="1"/>
  <c r="I204" i="3" l="1"/>
  <c r="J204" i="3" s="1"/>
  <c r="K204" i="3"/>
  <c r="I205" i="3" l="1"/>
  <c r="J205" i="3" s="1"/>
  <c r="K205" i="3" s="1"/>
  <c r="I206" i="3" l="1"/>
  <c r="J206" i="3" s="1"/>
  <c r="K206" i="3"/>
  <c r="I207" i="3" l="1"/>
  <c r="J207" i="3" s="1"/>
  <c r="K207" i="3" s="1"/>
  <c r="I208" i="3" l="1"/>
  <c r="J208" i="3" s="1"/>
  <c r="K208" i="3"/>
  <c r="I209" i="3" l="1"/>
  <c r="J209" i="3" s="1"/>
  <c r="K209" i="3" s="1"/>
  <c r="I210" i="3" l="1"/>
  <c r="J210" i="3" s="1"/>
  <c r="K210" i="3"/>
  <c r="I211" i="3" l="1"/>
  <c r="J211" i="3" s="1"/>
  <c r="K211" i="3" s="1"/>
  <c r="I212" i="3" l="1"/>
  <c r="J212" i="3" s="1"/>
  <c r="K212" i="3"/>
  <c r="I213" i="3" l="1"/>
  <c r="J213" i="3" s="1"/>
  <c r="K213" i="3" s="1"/>
  <c r="I214" i="3" l="1"/>
  <c r="J214" i="3" s="1"/>
  <c r="K214" i="3"/>
  <c r="I215" i="3" l="1"/>
  <c r="J215" i="3" s="1"/>
  <c r="K215" i="3" s="1"/>
  <c r="I216" i="3" l="1"/>
  <c r="J216" i="3" s="1"/>
  <c r="K216" i="3"/>
  <c r="I217" i="3" l="1"/>
  <c r="J217" i="3" s="1"/>
  <c r="K217" i="3" s="1"/>
  <c r="I218" i="3" l="1"/>
  <c r="J218" i="3" s="1"/>
  <c r="K218" i="3"/>
  <c r="I219" i="3" l="1"/>
  <c r="J219" i="3" s="1"/>
  <c r="K219" i="3" s="1"/>
  <c r="I220" i="3" l="1"/>
  <c r="J220" i="3" s="1"/>
  <c r="K220" i="3"/>
  <c r="I221" i="3" l="1"/>
  <c r="J221" i="3" s="1"/>
  <c r="K221" i="3" s="1"/>
  <c r="I222" i="3" l="1"/>
  <c r="J222" i="3" s="1"/>
  <c r="K222" i="3"/>
  <c r="I223" i="3" l="1"/>
  <c r="J223" i="3" s="1"/>
  <c r="K223" i="3" s="1"/>
  <c r="I224" i="3" l="1"/>
  <c r="J224" i="3" s="1"/>
  <c r="K224" i="3"/>
  <c r="I225" i="3" l="1"/>
  <c r="J225" i="3" s="1"/>
  <c r="K225" i="3" s="1"/>
  <c r="I226" i="3" l="1"/>
  <c r="J226" i="3" s="1"/>
  <c r="K226" i="3"/>
  <c r="I227" i="3" l="1"/>
  <c r="J227" i="3" s="1"/>
  <c r="K227" i="3" s="1"/>
  <c r="I228" i="3" l="1"/>
  <c r="J228" i="3" s="1"/>
  <c r="K228" i="3"/>
  <c r="I229" i="3" l="1"/>
  <c r="J229" i="3" s="1"/>
  <c r="K229" i="3" s="1"/>
  <c r="I230" i="3" l="1"/>
  <c r="J230" i="3" s="1"/>
  <c r="K230" i="3"/>
  <c r="I231" i="3" l="1"/>
  <c r="J231" i="3" s="1"/>
  <c r="K231" i="3" s="1"/>
  <c r="I232" i="3" l="1"/>
  <c r="J232" i="3" s="1"/>
  <c r="K232" i="3"/>
  <c r="I233" i="3" l="1"/>
  <c r="J233" i="3" s="1"/>
  <c r="K233" i="3" s="1"/>
  <c r="I234" i="3" l="1"/>
  <c r="J234" i="3" s="1"/>
  <c r="K234" i="3"/>
  <c r="I235" i="3" l="1"/>
  <c r="J235" i="3" s="1"/>
  <c r="K235" i="3" s="1"/>
  <c r="I236" i="3" l="1"/>
  <c r="J236" i="3" s="1"/>
  <c r="K236" i="3"/>
  <c r="I237" i="3" l="1"/>
  <c r="J237" i="3" s="1"/>
  <c r="K237" i="3" s="1"/>
  <c r="I238" i="3" l="1"/>
  <c r="J238" i="3" s="1"/>
  <c r="K238" i="3"/>
  <c r="I239" i="3" l="1"/>
  <c r="J239" i="3" s="1"/>
  <c r="K239" i="3" s="1"/>
  <c r="I240" i="3" l="1"/>
  <c r="J240" i="3" s="1"/>
  <c r="K240" i="3"/>
  <c r="I241" i="3" l="1"/>
  <c r="J241" i="3" s="1"/>
  <c r="K241" i="3" s="1"/>
  <c r="I242" i="3" l="1"/>
  <c r="J242" i="3" s="1"/>
  <c r="K242" i="3"/>
  <c r="I243" i="3" l="1"/>
  <c r="J243" i="3" s="1"/>
  <c r="K243" i="3" s="1"/>
  <c r="I244" i="3" l="1"/>
  <c r="J244" i="3" s="1"/>
  <c r="K244" i="3"/>
  <c r="I245" i="3" l="1"/>
  <c r="J245" i="3" s="1"/>
  <c r="K245" i="3" s="1"/>
  <c r="I246" i="3" l="1"/>
  <c r="J246" i="3" s="1"/>
  <c r="K246" i="3"/>
  <c r="I247" i="3" l="1"/>
  <c r="J247" i="3" s="1"/>
  <c r="K247" i="3" s="1"/>
  <c r="I248" i="3" l="1"/>
  <c r="J248" i="3" s="1"/>
  <c r="K248" i="3"/>
</calcChain>
</file>

<file path=xl/sharedStrings.xml><?xml version="1.0" encoding="utf-8"?>
<sst xmlns="http://schemas.openxmlformats.org/spreadsheetml/2006/main" count="43" uniqueCount="15">
  <si>
    <t>r</t>
  </si>
  <si>
    <t>total</t>
  </si>
  <si>
    <t>Project 1</t>
  </si>
  <si>
    <t>IRR</t>
  </si>
  <si>
    <t>NPV</t>
  </si>
  <si>
    <t>Interest</t>
  </si>
  <si>
    <t>Principle</t>
  </si>
  <si>
    <t>Principal</t>
  </si>
  <si>
    <t>Annual Interest</t>
  </si>
  <si>
    <t xml:space="preserve">Term </t>
  </si>
  <si>
    <t>Remaining Balance</t>
  </si>
  <si>
    <t>Monthly Payment</t>
  </si>
  <si>
    <t>Month</t>
  </si>
  <si>
    <t>Maturity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</si>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</sst>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8" fontId="0" fillId="0" borderId="0" xfId="0" applyNumberFormat="1"/>
    <xf numFmtId="9" fontId="0" fillId="0" borderId="0" xfId="0" applyNumberFormat="1"/>
    <xf numFmtId="0" fontId="0" fillId="0" borderId="1" xfId="0" applyBorder="1"/>
    <xf numFmtId="8" fontId="0" fillId="0" borderId="1" xfId="0" applyNumberFormat="1" applyBorder="1"/>
    <xf numFmtId="8" fontId="2" fillId="0" borderId="1" xfId="0" applyNumberFormat="1" applyFont="1" applyBorder="1"/>
    <xf numFmtId="0" fontId="0" fillId="0" borderId="1" xfId="0" applyBorder="1" applyAlignment="1">
      <alignment horizontal="center"/>
    </xf>
    <xf numFmtId="9" fontId="0" fillId="0" borderId="0" xfId="1" applyFont="1"/>
    <xf numFmtId="10" fontId="0" fillId="0" borderId="0" xfId="1" applyNumberFormat="1" applyFont="1"/>
    <xf numFmtId="10" fontId="0" fillId="0" borderId="0" xfId="0" applyNumberFormat="1"/>
    <xf numFmtId="2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10"/>
  <sheetViews>
    <sheetView workbookViewId="0">
      <selection activeCell="B11" sqref="B11"/>
    </sheetView>
  </sheetViews>
  <sheetFormatPr defaultRowHeight="15" x14ac:dyDescent="0.25"/>
  <sheetData>
    <row r="3" spans="2:2" x14ac:dyDescent="0.25">
      <c r="B3">
        <f>1/1.05^20</f>
        <v>0.37688948287300061</v>
      </c>
    </row>
    <row r="4" spans="2:2" x14ac:dyDescent="0.25">
      <c r="B4">
        <f>1/(1-B3)</f>
        <v>1.6048517438138263</v>
      </c>
    </row>
    <row r="5" spans="2:2" x14ac:dyDescent="0.25">
      <c r="B5">
        <f>B4*20000</f>
        <v>32097.034876276528</v>
      </c>
    </row>
    <row r="7" spans="2:2" x14ac:dyDescent="0.25">
      <c r="B7">
        <v>20000</v>
      </c>
    </row>
    <row r="8" spans="2:2" x14ac:dyDescent="0.25">
      <c r="B8">
        <f>B7/(1.05^5)</f>
        <v>15670.523329369178</v>
      </c>
    </row>
    <row r="9" spans="2:2" x14ac:dyDescent="0.25">
      <c r="B9">
        <f>B8*B4</f>
        <v>25148.866691613373</v>
      </c>
    </row>
    <row r="10" spans="2:2" x14ac:dyDescent="0.25">
      <c r="B10">
        <f>B5-B9</f>
        <v>6948.1681846631545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G23" sqref="G23"/>
    </sheetView>
  </sheetViews>
  <sheetFormatPr defaultRowHeight="15" x14ac:dyDescent="0.25"/>
  <sheetData>
    <row r="1" spans="1:7" x14ac:dyDescent="0.25">
      <c r="B1" t="s">
        <v>2</v>
      </c>
      <c r="F1" t="s">
        <v>2</v>
      </c>
    </row>
    <row r="2" spans="1:7" x14ac:dyDescent="0.25">
      <c r="A2" t="s">
        <v>3</v>
      </c>
      <c r="B2">
        <v>0</v>
      </c>
      <c r="C2">
        <v>-100</v>
      </c>
      <c r="F2">
        <v>0</v>
      </c>
      <c r="G2">
        <v>-150</v>
      </c>
    </row>
    <row r="3" spans="1:7" x14ac:dyDescent="0.25">
      <c r="B3">
        <v>1</v>
      </c>
      <c r="C3">
        <f>30/(1+$C$10)^B3</f>
        <v>26.033024796192482</v>
      </c>
      <c r="F3">
        <v>1</v>
      </c>
      <c r="G3">
        <f>42/(1+$G$10)^F3</f>
        <v>37.374447738105616</v>
      </c>
    </row>
    <row r="4" spans="1:7" x14ac:dyDescent="0.25">
      <c r="B4">
        <v>2</v>
      </c>
      <c r="C4">
        <f t="shared" ref="C4:C7" si="0">30/(1+$C$10)^B4</f>
        <v>22.590612667972419</v>
      </c>
      <c r="F4">
        <v>2</v>
      </c>
      <c r="G4">
        <f t="shared" ref="G4:G7" si="1">42/(1+$G$10)^F4</f>
        <v>33.258317707818755</v>
      </c>
    </row>
    <row r="5" spans="1:7" x14ac:dyDescent="0.25">
      <c r="B5">
        <v>3</v>
      </c>
      <c r="C5">
        <f t="shared" si="0"/>
        <v>19.603399324883533</v>
      </c>
      <c r="F5">
        <v>3</v>
      </c>
      <c r="G5">
        <f t="shared" si="1"/>
        <v>29.595506119718682</v>
      </c>
    </row>
    <row r="6" spans="1:7" x14ac:dyDescent="0.25">
      <c r="B6">
        <v>4</v>
      </c>
      <c r="C6">
        <f t="shared" si="0"/>
        <v>17.011192690478531</v>
      </c>
      <c r="F6">
        <v>4</v>
      </c>
      <c r="G6">
        <f t="shared" si="1"/>
        <v>26.336088017957398</v>
      </c>
    </row>
    <row r="7" spans="1:7" x14ac:dyDescent="0.25">
      <c r="B7">
        <v>5</v>
      </c>
      <c r="C7">
        <f t="shared" si="0"/>
        <v>14.761760037467862</v>
      </c>
      <c r="F7">
        <v>5</v>
      </c>
      <c r="G7">
        <f t="shared" si="1"/>
        <v>23.435636791745196</v>
      </c>
    </row>
    <row r="8" spans="1:7" x14ac:dyDescent="0.25">
      <c r="B8" t="s">
        <v>1</v>
      </c>
      <c r="C8">
        <f>SUM(C2:C7)</f>
        <v>-1.0483005173256288E-5</v>
      </c>
      <c r="F8" t="s">
        <v>1</v>
      </c>
      <c r="G8">
        <f>SUM(G2:G7)</f>
        <v>-3.624654350886658E-6</v>
      </c>
    </row>
    <row r="10" spans="1:7" x14ac:dyDescent="0.25">
      <c r="B10" t="s">
        <v>0</v>
      </c>
      <c r="C10">
        <v>0.1523824155995778</v>
      </c>
      <c r="F10" t="s">
        <v>0</v>
      </c>
      <c r="G10">
        <v>0.12376242437900553</v>
      </c>
    </row>
    <row r="14" spans="1:7" x14ac:dyDescent="0.25">
      <c r="A14" t="s">
        <v>4</v>
      </c>
      <c r="B14">
        <v>0</v>
      </c>
      <c r="C14">
        <v>-100</v>
      </c>
      <c r="F14">
        <v>0</v>
      </c>
      <c r="G14">
        <v>-150</v>
      </c>
    </row>
    <row r="15" spans="1:7" x14ac:dyDescent="0.25">
      <c r="B15">
        <v>1</v>
      </c>
      <c r="C15">
        <f>30/(1+$C$22)^B15</f>
        <v>28.571428571428569</v>
      </c>
      <c r="F15">
        <v>1</v>
      </c>
      <c r="G15">
        <f>42/(1+$G$22)^F15</f>
        <v>40</v>
      </c>
    </row>
    <row r="16" spans="1:7" x14ac:dyDescent="0.25">
      <c r="B16">
        <v>2</v>
      </c>
      <c r="C16">
        <f t="shared" ref="C16:C19" si="2">30/(1+$C$22)^B16</f>
        <v>27.210884353741495</v>
      </c>
      <c r="F16">
        <v>2</v>
      </c>
      <c r="G16">
        <f t="shared" ref="G16:G19" si="3">42/(1+$G$22)^F16</f>
        <v>38.095238095238095</v>
      </c>
    </row>
    <row r="17" spans="2:7" x14ac:dyDescent="0.25">
      <c r="B17">
        <v>3</v>
      </c>
      <c r="C17">
        <f t="shared" si="2"/>
        <v>25.915127955944278</v>
      </c>
      <c r="F17">
        <v>3</v>
      </c>
      <c r="G17">
        <f t="shared" si="3"/>
        <v>36.281179138321988</v>
      </c>
    </row>
    <row r="18" spans="2:7" x14ac:dyDescent="0.25">
      <c r="B18">
        <v>4</v>
      </c>
      <c r="C18">
        <f t="shared" si="2"/>
        <v>24.681074243756459</v>
      </c>
      <c r="F18">
        <v>4</v>
      </c>
      <c r="G18">
        <f t="shared" si="3"/>
        <v>34.553503941259045</v>
      </c>
    </row>
    <row r="19" spans="2:7" x14ac:dyDescent="0.25">
      <c r="B19">
        <v>5</v>
      </c>
      <c r="C19">
        <f t="shared" si="2"/>
        <v>23.505784994053769</v>
      </c>
      <c r="F19">
        <v>5</v>
      </c>
      <c r="G19">
        <f t="shared" si="3"/>
        <v>32.908098991675274</v>
      </c>
    </row>
    <row r="20" spans="2:7" x14ac:dyDescent="0.25">
      <c r="B20" t="s">
        <v>1</v>
      </c>
      <c r="C20">
        <f>SUM(C14:C19)</f>
        <v>29.884300118924568</v>
      </c>
      <c r="F20" t="s">
        <v>1</v>
      </c>
      <c r="G20">
        <f>SUM(G14:G19)</f>
        <v>31.83802016649441</v>
      </c>
    </row>
    <row r="22" spans="2:7" x14ac:dyDescent="0.25">
      <c r="B22" t="s">
        <v>0</v>
      </c>
      <c r="C22">
        <v>0.05</v>
      </c>
      <c r="F22" t="s">
        <v>0</v>
      </c>
      <c r="G22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Y366"/>
  <sheetViews>
    <sheetView topLeftCell="A207" workbookViewId="0">
      <selection activeCell="G1" sqref="G1:K248"/>
    </sheetView>
  </sheetViews>
  <sheetFormatPr defaultRowHeight="15" x14ac:dyDescent="0.25"/>
  <cols>
    <col min="7" max="7" width="6.85546875" customWidth="1"/>
    <col min="8" max="8" width="16.7109375" customWidth="1"/>
    <col min="9" max="10" width="14.5703125" customWidth="1"/>
    <col min="11" max="11" width="18" bestFit="1" customWidth="1"/>
    <col min="19" max="19" width="10.85546875" bestFit="1" customWidth="1"/>
    <col min="20" max="21" width="11.85546875" bestFit="1" customWidth="1"/>
    <col min="23" max="23" width="12" bestFit="1" customWidth="1"/>
    <col min="24" max="24" width="9.85546875" bestFit="1" customWidth="1"/>
  </cols>
  <sheetData>
    <row r="3" spans="7:24" x14ac:dyDescent="0.25">
      <c r="H3" t="s">
        <v>7</v>
      </c>
      <c r="I3" s="1">
        <v>200000</v>
      </c>
      <c r="V3" t="s">
        <v>7</v>
      </c>
      <c r="W3" s="1">
        <f>K248</f>
        <v>143389.66994755718</v>
      </c>
    </row>
    <row r="4" spans="7:24" x14ac:dyDescent="0.25">
      <c r="H4" t="s">
        <v>8</v>
      </c>
      <c r="I4" s="2">
        <v>0.12</v>
      </c>
      <c r="V4" t="s">
        <v>8</v>
      </c>
      <c r="W4" s="2">
        <v>0.09</v>
      </c>
    </row>
    <row r="5" spans="7:24" x14ac:dyDescent="0.25">
      <c r="H5" t="s">
        <v>9</v>
      </c>
      <c r="I5">
        <v>30</v>
      </c>
      <c r="S5">
        <f>SUM(S7:S366)</f>
        <v>97.218331079064455</v>
      </c>
      <c r="T5" s="1">
        <f>I3/S5</f>
        <v>2057.2251938510094</v>
      </c>
      <c r="V5" t="s">
        <v>9</v>
      </c>
      <c r="W5">
        <v>30</v>
      </c>
    </row>
    <row r="6" spans="7:24" x14ac:dyDescent="0.25">
      <c r="T6" s="1">
        <f>T5*120</f>
        <v>246867.02326212113</v>
      </c>
      <c r="X6" s="1">
        <f>W3/X247</f>
        <v>1290.114078526077</v>
      </c>
    </row>
    <row r="7" spans="7:24" x14ac:dyDescent="0.25">
      <c r="G7" s="6" t="s">
        <v>12</v>
      </c>
      <c r="H7" s="6" t="s">
        <v>11</v>
      </c>
      <c r="I7" s="6" t="s">
        <v>5</v>
      </c>
      <c r="J7" s="6" t="s">
        <v>6</v>
      </c>
      <c r="K7" s="6" t="s">
        <v>10</v>
      </c>
      <c r="R7">
        <v>1</v>
      </c>
      <c r="S7">
        <f>1/(1+$I$4/12)^(R7)</f>
        <v>0.99009900990099009</v>
      </c>
      <c r="T7" s="1">
        <f>$T$5/(1+0.05/12)^R7</f>
        <v>2048.6889897271462</v>
      </c>
      <c r="V7">
        <v>1</v>
      </c>
      <c r="W7">
        <f>1/(1+$W$4/12)^(V7)</f>
        <v>0.99255583126550861</v>
      </c>
      <c r="X7">
        <f>$X$6/(1+0.05/12)^V7</f>
        <v>1284.7609080757613</v>
      </c>
    </row>
    <row r="8" spans="7:24" x14ac:dyDescent="0.25">
      <c r="G8" s="3">
        <v>0</v>
      </c>
      <c r="H8" s="4"/>
      <c r="I8" s="4"/>
      <c r="J8" s="4"/>
      <c r="K8" s="4">
        <f>I3</f>
        <v>200000</v>
      </c>
      <c r="R8">
        <v>2</v>
      </c>
      <c r="S8">
        <f t="shared" ref="S8:S71" si="0">1/(1+$I$4/12)^(R8)</f>
        <v>0.98029604940692083</v>
      </c>
      <c r="T8" s="1">
        <f t="shared" ref="T8:T71" si="1">$T$5/(1+0.05/12)^R8</f>
        <v>2040.1882055374072</v>
      </c>
      <c r="V8">
        <v>2</v>
      </c>
      <c r="W8">
        <f t="shared" ref="W8:W71" si="2">1/(1+$W$4/12)^(V8)</f>
        <v>0.98516707817916471</v>
      </c>
      <c r="X8">
        <f t="shared" ref="X8:X71" si="3">$X$6/(1+0.05/12)^V8</f>
        <v>1279.4299499509657</v>
      </c>
    </row>
    <row r="9" spans="7:24" x14ac:dyDescent="0.25">
      <c r="G9" s="3">
        <v>1</v>
      </c>
      <c r="H9" s="4">
        <f>$T$5</f>
        <v>2057.2251938510094</v>
      </c>
      <c r="I9" s="4">
        <f>K8*$I$4/12</f>
        <v>2000</v>
      </c>
      <c r="J9" s="4">
        <f>H9-I9</f>
        <v>57.225193851009408</v>
      </c>
      <c r="K9" s="4">
        <f>K8-J9</f>
        <v>199942.77480614898</v>
      </c>
      <c r="R9">
        <v>3</v>
      </c>
      <c r="S9">
        <f t="shared" si="0"/>
        <v>0.97059014792764453</v>
      </c>
      <c r="T9" s="1">
        <f t="shared" si="1"/>
        <v>2031.7226943111107</v>
      </c>
      <c r="V9">
        <v>3</v>
      </c>
      <c r="W9">
        <f t="shared" si="2"/>
        <v>0.97783332821753322</v>
      </c>
      <c r="X9">
        <f t="shared" si="3"/>
        <v>1274.121111984364</v>
      </c>
    </row>
    <row r="10" spans="7:24" x14ac:dyDescent="0.25">
      <c r="G10" s="3">
        <v>2</v>
      </c>
      <c r="H10" s="4">
        <f t="shared" ref="H10:H73" si="4">$T$5</f>
        <v>2057.2251938510094</v>
      </c>
      <c r="I10" s="4">
        <f t="shared" ref="I10:I28" si="5">K9*$I$4/12</f>
        <v>1999.4277480614899</v>
      </c>
      <c r="J10" s="4">
        <f t="shared" ref="J10:J28" si="6">H10-I10</f>
        <v>57.797445789519543</v>
      </c>
      <c r="K10" s="4">
        <f t="shared" ref="K10:K28" si="7">K9-J10</f>
        <v>199884.97736035945</v>
      </c>
      <c r="R10">
        <v>4</v>
      </c>
      <c r="S10">
        <f t="shared" si="0"/>
        <v>0.96098034448281622</v>
      </c>
      <c r="T10" s="1">
        <f t="shared" si="1"/>
        <v>2023.2923096874131</v>
      </c>
      <c r="V10">
        <v>4</v>
      </c>
      <c r="W10">
        <f t="shared" si="2"/>
        <v>0.97055417192807258</v>
      </c>
      <c r="X10">
        <f t="shared" si="3"/>
        <v>1268.8343023910679</v>
      </c>
    </row>
    <row r="11" spans="7:24" x14ac:dyDescent="0.25">
      <c r="G11" s="3">
        <v>3</v>
      </c>
      <c r="H11" s="4">
        <f t="shared" si="4"/>
        <v>2057.2251938510094</v>
      </c>
      <c r="I11" s="4">
        <f t="shared" si="5"/>
        <v>1998.8497736035945</v>
      </c>
      <c r="J11" s="4">
        <f t="shared" si="6"/>
        <v>58.375420247414922</v>
      </c>
      <c r="K11" s="4">
        <f t="shared" si="7"/>
        <v>199826.60194011204</v>
      </c>
      <c r="R11">
        <v>5</v>
      </c>
      <c r="S11">
        <f t="shared" si="0"/>
        <v>0.95146568760674888</v>
      </c>
      <c r="T11" s="1">
        <f t="shared" si="1"/>
        <v>2014.8969059127767</v>
      </c>
      <c r="V11">
        <v>5</v>
      </c>
      <c r="W11">
        <f t="shared" si="2"/>
        <v>0.96332920290627555</v>
      </c>
      <c r="X11">
        <f t="shared" si="3"/>
        <v>1263.5694297670386</v>
      </c>
    </row>
    <row r="12" spans="7:24" x14ac:dyDescent="0.25">
      <c r="G12" s="3">
        <v>4</v>
      </c>
      <c r="H12" s="4">
        <f t="shared" si="4"/>
        <v>2057.2251938510094</v>
      </c>
      <c r="I12" s="4">
        <f t="shared" si="5"/>
        <v>1998.2660194011205</v>
      </c>
      <c r="J12" s="4">
        <f t="shared" si="6"/>
        <v>58.959174449888906</v>
      </c>
      <c r="K12" s="4">
        <f t="shared" si="7"/>
        <v>199767.64276566217</v>
      </c>
      <c r="R12">
        <v>6</v>
      </c>
      <c r="S12">
        <f t="shared" si="0"/>
        <v>0.94204523525420658</v>
      </c>
      <c r="T12" s="1">
        <f t="shared" si="1"/>
        <v>2006.5363378384498</v>
      </c>
      <c r="V12">
        <v>6</v>
      </c>
      <c r="W12">
        <f t="shared" si="2"/>
        <v>0.95615801777297793</v>
      </c>
      <c r="X12">
        <f t="shared" si="3"/>
        <v>1258.3264030875075</v>
      </c>
    </row>
    <row r="13" spans="7:24" x14ac:dyDescent="0.25">
      <c r="G13" s="3">
        <v>5</v>
      </c>
      <c r="H13" s="4">
        <f t="shared" si="4"/>
        <v>2057.2251938510094</v>
      </c>
      <c r="I13" s="4">
        <f t="shared" si="5"/>
        <v>1997.6764276566216</v>
      </c>
      <c r="J13" s="4">
        <f t="shared" si="6"/>
        <v>59.548766194387781</v>
      </c>
      <c r="K13" s="4">
        <f t="shared" si="7"/>
        <v>199708.09399946779</v>
      </c>
      <c r="R13">
        <v>7</v>
      </c>
      <c r="S13">
        <f t="shared" si="0"/>
        <v>0.93271805470713554</v>
      </c>
      <c r="T13" s="1">
        <f t="shared" si="1"/>
        <v>1998.2104609179578</v>
      </c>
      <c r="V13">
        <v>7</v>
      </c>
      <c r="W13">
        <f t="shared" si="2"/>
        <v>0.94904021615183898</v>
      </c>
      <c r="X13">
        <f t="shared" si="3"/>
        <v>1253.1051317054012</v>
      </c>
    </row>
    <row r="14" spans="7:24" x14ac:dyDescent="0.25">
      <c r="G14" s="3">
        <v>6</v>
      </c>
      <c r="H14" s="4">
        <f t="shared" si="4"/>
        <v>2057.2251938510094</v>
      </c>
      <c r="I14" s="4">
        <f t="shared" si="5"/>
        <v>1997.0809399946777</v>
      </c>
      <c r="J14" s="4">
        <f t="shared" si="6"/>
        <v>60.144253856331716</v>
      </c>
      <c r="K14" s="4">
        <f t="shared" si="7"/>
        <v>199647.94974561146</v>
      </c>
      <c r="R14">
        <v>8</v>
      </c>
      <c r="S14">
        <f t="shared" si="0"/>
        <v>0.92348322248231218</v>
      </c>
      <c r="T14" s="1">
        <f t="shared" si="1"/>
        <v>1989.9191312046055</v>
      </c>
      <c r="V14">
        <v>8</v>
      </c>
      <c r="W14">
        <f t="shared" si="2"/>
        <v>0.94197540064698659</v>
      </c>
      <c r="X14">
        <f t="shared" si="3"/>
        <v>1247.9055253497775</v>
      </c>
    </row>
    <row r="15" spans="7:24" x14ac:dyDescent="0.25">
      <c r="G15" s="3">
        <v>7</v>
      </c>
      <c r="H15" s="4">
        <f t="shared" si="4"/>
        <v>2057.2251938510094</v>
      </c>
      <c r="I15" s="4">
        <f t="shared" si="5"/>
        <v>1996.4794974561146</v>
      </c>
      <c r="J15" s="4">
        <f t="shared" si="6"/>
        <v>60.745696394894821</v>
      </c>
      <c r="K15" s="4">
        <f t="shared" si="7"/>
        <v>199587.20404921655</v>
      </c>
      <c r="R15">
        <v>9</v>
      </c>
      <c r="S15">
        <f t="shared" si="0"/>
        <v>0.91433982423991289</v>
      </c>
      <c r="T15" s="1">
        <f t="shared" si="1"/>
        <v>1981.6622053489848</v>
      </c>
      <c r="V15">
        <v>9</v>
      </c>
      <c r="W15">
        <f t="shared" si="2"/>
        <v>0.93496317682083041</v>
      </c>
      <c r="X15">
        <f t="shared" si="3"/>
        <v>1242.7274941242597</v>
      </c>
    </row>
    <row r="16" spans="7:24" x14ac:dyDescent="0.25">
      <c r="G16" s="3">
        <v>8</v>
      </c>
      <c r="H16" s="4">
        <f t="shared" si="4"/>
        <v>2057.2251938510094</v>
      </c>
      <c r="I16" s="4">
        <f t="shared" si="5"/>
        <v>1995.8720404921653</v>
      </c>
      <c r="J16" s="4">
        <f t="shared" si="6"/>
        <v>61.353153358844111</v>
      </c>
      <c r="K16" s="4">
        <f t="shared" si="7"/>
        <v>199525.8508958577</v>
      </c>
      <c r="R16">
        <v>10</v>
      </c>
      <c r="S16">
        <f t="shared" si="0"/>
        <v>0.90528695469298315</v>
      </c>
      <c r="T16" s="1">
        <f t="shared" si="1"/>
        <v>1973.4395405964992</v>
      </c>
      <c r="V16">
        <v>10</v>
      </c>
      <c r="W16">
        <f t="shared" si="2"/>
        <v>0.92800315317203996</v>
      </c>
      <c r="X16">
        <f t="shared" si="3"/>
        <v>1237.5709485054867</v>
      </c>
    </row>
    <row r="17" spans="7:24" x14ac:dyDescent="0.25">
      <c r="G17" s="3">
        <v>9</v>
      </c>
      <c r="H17" s="4">
        <f t="shared" si="4"/>
        <v>2057.2251938510094</v>
      </c>
      <c r="I17" s="4">
        <f t="shared" si="5"/>
        <v>1995.2585089585771</v>
      </c>
      <c r="J17" s="4">
        <f t="shared" si="6"/>
        <v>61.96668489243234</v>
      </c>
      <c r="K17" s="4">
        <f t="shared" si="7"/>
        <v>199463.88421096528</v>
      </c>
      <c r="R17">
        <v>11</v>
      </c>
      <c r="S17">
        <f t="shared" si="0"/>
        <v>0.89632371751780526</v>
      </c>
      <c r="T17" s="1">
        <f t="shared" si="1"/>
        <v>1965.2509947848955</v>
      </c>
      <c r="V17">
        <v>11</v>
      </c>
      <c r="W17">
        <f t="shared" si="2"/>
        <v>0.92109494111368717</v>
      </c>
      <c r="X17">
        <f t="shared" si="3"/>
        <v>1232.4357993415636</v>
      </c>
    </row>
    <row r="18" spans="7:24" x14ac:dyDescent="0.25">
      <c r="G18" s="3">
        <v>10</v>
      </c>
      <c r="H18" s="4">
        <f t="shared" si="4"/>
        <v>2057.2251938510094</v>
      </c>
      <c r="I18" s="4">
        <f t="shared" si="5"/>
        <v>1994.6388421096526</v>
      </c>
      <c r="J18" s="4">
        <f t="shared" si="6"/>
        <v>62.586351741356793</v>
      </c>
      <c r="K18" s="4">
        <f t="shared" si="7"/>
        <v>199401.29785922391</v>
      </c>
      <c r="R18">
        <v>12</v>
      </c>
      <c r="S18">
        <f t="shared" si="0"/>
        <v>0.88744922526515368</v>
      </c>
      <c r="T18" s="1">
        <f t="shared" si="1"/>
        <v>1957.0964263418045</v>
      </c>
      <c r="V18">
        <v>12</v>
      </c>
      <c r="W18">
        <f t="shared" si="2"/>
        <v>0.91423815495155047</v>
      </c>
      <c r="X18">
        <f t="shared" si="3"/>
        <v>1227.3219578505195</v>
      </c>
    </row>
    <row r="19" spans="7:24" x14ac:dyDescent="0.25">
      <c r="G19" s="3">
        <v>11</v>
      </c>
      <c r="H19" s="4">
        <f t="shared" si="4"/>
        <v>2057.2251938510094</v>
      </c>
      <c r="I19" s="4">
        <f t="shared" si="5"/>
        <v>1994.0129785922391</v>
      </c>
      <c r="J19" s="4">
        <f t="shared" si="6"/>
        <v>63.212215258770357</v>
      </c>
      <c r="K19" s="4">
        <f t="shared" si="7"/>
        <v>199338.08564396514</v>
      </c>
      <c r="R19">
        <v>13</v>
      </c>
      <c r="S19">
        <f t="shared" si="0"/>
        <v>0.87866259927242929</v>
      </c>
      <c r="T19" s="1">
        <f t="shared" si="1"/>
        <v>1948.9756942822953</v>
      </c>
      <c r="V19">
        <v>13</v>
      </c>
      <c r="W19">
        <f t="shared" si="2"/>
        <v>0.90743241186258117</v>
      </c>
      <c r="X19">
        <f t="shared" si="3"/>
        <v>1222.2293356187749</v>
      </c>
    </row>
    <row r="20" spans="7:24" x14ac:dyDescent="0.25">
      <c r="G20" s="3">
        <v>12</v>
      </c>
      <c r="H20" s="4">
        <f t="shared" si="4"/>
        <v>2057.2251938510094</v>
      </c>
      <c r="I20" s="4">
        <f t="shared" si="5"/>
        <v>1993.3808564396513</v>
      </c>
      <c r="J20" s="4">
        <f t="shared" si="6"/>
        <v>63.844337411358083</v>
      </c>
      <c r="K20" s="4">
        <f t="shared" si="7"/>
        <v>199274.24130655377</v>
      </c>
      <c r="R20">
        <v>14</v>
      </c>
      <c r="S20">
        <f t="shared" si="0"/>
        <v>0.86996296957666264</v>
      </c>
      <c r="T20" s="1">
        <f t="shared" si="1"/>
        <v>1940.8886582064351</v>
      </c>
      <c r="V20">
        <v>14</v>
      </c>
      <c r="W20">
        <f t="shared" si="2"/>
        <v>0.90067733187352939</v>
      </c>
      <c r="X20">
        <f t="shared" si="3"/>
        <v>1217.1578445996099</v>
      </c>
    </row>
    <row r="21" spans="7:24" x14ac:dyDescent="0.25">
      <c r="G21" s="3">
        <v>13</v>
      </c>
      <c r="H21" s="4">
        <f t="shared" si="4"/>
        <v>2057.2251938510094</v>
      </c>
      <c r="I21" s="4">
        <f t="shared" si="5"/>
        <v>1992.7424130655374</v>
      </c>
      <c r="J21" s="4">
        <f t="shared" si="6"/>
        <v>64.482780785471959</v>
      </c>
      <c r="K21" s="4">
        <f t="shared" si="7"/>
        <v>199209.75852576829</v>
      </c>
      <c r="R21">
        <v>15</v>
      </c>
      <c r="S21">
        <f t="shared" si="0"/>
        <v>0.86134947482837909</v>
      </c>
      <c r="T21" s="1">
        <f t="shared" si="1"/>
        <v>1932.8351782968641</v>
      </c>
      <c r="V21">
        <v>15</v>
      </c>
      <c r="W21">
        <f t="shared" si="2"/>
        <v>0.8939725378397313</v>
      </c>
      <c r="X21">
        <f t="shared" si="3"/>
        <v>1212.1073971116441</v>
      </c>
    </row>
    <row r="22" spans="7:24" x14ac:dyDescent="0.25">
      <c r="G22" s="3">
        <v>14</v>
      </c>
      <c r="H22" s="4">
        <f t="shared" si="4"/>
        <v>2057.2251938510094</v>
      </c>
      <c r="I22" s="4">
        <f t="shared" si="5"/>
        <v>1992.097585257683</v>
      </c>
      <c r="J22" s="4">
        <f t="shared" si="6"/>
        <v>65.127608593326386</v>
      </c>
      <c r="K22" s="4">
        <f t="shared" si="7"/>
        <v>199144.63091717497</v>
      </c>
      <c r="R22">
        <v>16</v>
      </c>
      <c r="S22">
        <f t="shared" si="0"/>
        <v>0.8528212622063156</v>
      </c>
      <c r="T22" s="1">
        <f t="shared" si="1"/>
        <v>1924.8151153163797</v>
      </c>
      <c r="V22">
        <v>16</v>
      </c>
      <c r="W22">
        <f t="shared" si="2"/>
        <v>0.88731765542405105</v>
      </c>
      <c r="X22">
        <f t="shared" si="3"/>
        <v>1207.0779058373223</v>
      </c>
    </row>
    <row r="23" spans="7:24" x14ac:dyDescent="0.25">
      <c r="G23" s="3">
        <v>15</v>
      </c>
      <c r="H23" s="4">
        <f t="shared" si="4"/>
        <v>2057.2251938510094</v>
      </c>
      <c r="I23" s="4">
        <f t="shared" si="5"/>
        <v>1991.4463091717498</v>
      </c>
      <c r="J23" s="4">
        <f t="shared" si="6"/>
        <v>65.77888467925959</v>
      </c>
      <c r="K23" s="4">
        <f t="shared" si="7"/>
        <v>199078.85203249572</v>
      </c>
      <c r="R23">
        <v>17</v>
      </c>
      <c r="S23">
        <f t="shared" si="0"/>
        <v>0.84437748733298568</v>
      </c>
      <c r="T23" s="1">
        <f t="shared" si="1"/>
        <v>1916.8283306055232</v>
      </c>
      <c r="V23">
        <v>17</v>
      </c>
      <c r="W23">
        <f t="shared" si="2"/>
        <v>0.88071231307598108</v>
      </c>
      <c r="X23">
        <f t="shared" si="3"/>
        <v>1202.0692838213997</v>
      </c>
    </row>
    <row r="24" spans="7:24" x14ac:dyDescent="0.25">
      <c r="G24" s="3">
        <v>16</v>
      </c>
      <c r="H24" s="4">
        <f t="shared" si="4"/>
        <v>2057.2251938510094</v>
      </c>
      <c r="I24" s="4">
        <f t="shared" si="5"/>
        <v>1990.7885203249571</v>
      </c>
      <c r="J24" s="4">
        <f t="shared" si="6"/>
        <v>66.436673526052346</v>
      </c>
      <c r="K24" s="4">
        <f t="shared" si="7"/>
        <v>199012.41535896968</v>
      </c>
      <c r="R24">
        <v>18</v>
      </c>
      <c r="S24">
        <f t="shared" si="0"/>
        <v>0.83601731419107495</v>
      </c>
      <c r="T24" s="1">
        <f t="shared" si="1"/>
        <v>1908.8746860801891</v>
      </c>
      <c r="V24">
        <v>18</v>
      </c>
      <c r="W24">
        <f t="shared" si="2"/>
        <v>0.8741561420108992</v>
      </c>
      <c r="X24">
        <f t="shared" si="3"/>
        <v>1197.0814444694438</v>
      </c>
    </row>
    <row r="25" spans="7:24" x14ac:dyDescent="0.25">
      <c r="G25" s="3">
        <v>17</v>
      </c>
      <c r="H25" s="4">
        <f t="shared" si="4"/>
        <v>2057.2251938510094</v>
      </c>
      <c r="I25" s="4">
        <f t="shared" si="5"/>
        <v>1990.1241535896968</v>
      </c>
      <c r="J25" s="4">
        <f t="shared" si="6"/>
        <v>67.101040261312619</v>
      </c>
      <c r="K25" s="4">
        <f t="shared" si="7"/>
        <v>198945.31431870838</v>
      </c>
      <c r="R25">
        <v>19</v>
      </c>
      <c r="S25">
        <f t="shared" si="0"/>
        <v>0.82773991504066846</v>
      </c>
      <c r="T25" s="1">
        <f t="shared" si="1"/>
        <v>1900.9540442292339</v>
      </c>
      <c r="V25">
        <v>19</v>
      </c>
      <c r="W25">
        <f t="shared" si="2"/>
        <v>0.86764877618947811</v>
      </c>
      <c r="X25">
        <f t="shared" si="3"/>
        <v>1192.114301546334</v>
      </c>
    </row>
    <row r="26" spans="7:24" x14ac:dyDescent="0.25">
      <c r="G26" s="3">
        <v>18</v>
      </c>
      <c r="H26" s="4">
        <f t="shared" si="4"/>
        <v>2057.2251938510094</v>
      </c>
      <c r="I26" s="4">
        <f t="shared" si="5"/>
        <v>1989.4531431870837</v>
      </c>
      <c r="J26" s="4">
        <f t="shared" si="6"/>
        <v>67.772050663925711</v>
      </c>
      <c r="K26" s="4">
        <f t="shared" si="7"/>
        <v>198877.54226804446</v>
      </c>
      <c r="R26">
        <v>20</v>
      </c>
      <c r="S26">
        <f t="shared" si="0"/>
        <v>0.81954447033729538</v>
      </c>
      <c r="T26" s="1">
        <f t="shared" si="1"/>
        <v>1893.0662681121</v>
      </c>
      <c r="V26">
        <v>20</v>
      </c>
      <c r="W26">
        <f t="shared" si="2"/>
        <v>0.86118985229724865</v>
      </c>
      <c r="X26">
        <f t="shared" si="3"/>
        <v>1187.1677691747723</v>
      </c>
    </row>
    <row r="27" spans="7:24" x14ac:dyDescent="0.25">
      <c r="G27" s="3">
        <v>19</v>
      </c>
      <c r="H27" s="4">
        <f t="shared" si="4"/>
        <v>2057.2251938510094</v>
      </c>
      <c r="I27" s="4">
        <f t="shared" si="5"/>
        <v>1988.7754226804445</v>
      </c>
      <c r="J27" s="4">
        <f t="shared" si="6"/>
        <v>68.449771170564873</v>
      </c>
      <c r="K27" s="4">
        <f t="shared" si="7"/>
        <v>198809.0924968739</v>
      </c>
      <c r="R27">
        <v>21</v>
      </c>
      <c r="S27">
        <f t="shared" si="0"/>
        <v>0.81143016865078765</v>
      </c>
      <c r="T27" s="1">
        <f t="shared" si="1"/>
        <v>1885.2112213564483</v>
      </c>
      <c r="V27">
        <v>21</v>
      </c>
      <c r="W27">
        <f t="shared" si="2"/>
        <v>0.8547790097243162</v>
      </c>
      <c r="X27">
        <f t="shared" si="3"/>
        <v>1182.2417618337981</v>
      </c>
    </row>
    <row r="28" spans="7:24" x14ac:dyDescent="0.25">
      <c r="G28" s="3">
        <v>20</v>
      </c>
      <c r="H28" s="4">
        <f t="shared" si="4"/>
        <v>2057.2251938510094</v>
      </c>
      <c r="I28" s="4">
        <f t="shared" si="5"/>
        <v>1988.090924968739</v>
      </c>
      <c r="J28" s="4">
        <f t="shared" si="6"/>
        <v>69.134268882270362</v>
      </c>
      <c r="K28" s="5">
        <f t="shared" si="7"/>
        <v>198739.95822799162</v>
      </c>
      <c r="R28">
        <v>22</v>
      </c>
      <c r="S28">
        <f t="shared" si="0"/>
        <v>0.80339620658493804</v>
      </c>
      <c r="T28" s="1">
        <f t="shared" si="1"/>
        <v>1877.3887681557992</v>
      </c>
      <c r="V28">
        <v>22</v>
      </c>
      <c r="W28">
        <f t="shared" si="2"/>
        <v>0.84841589054522681</v>
      </c>
      <c r="X28">
        <f t="shared" si="3"/>
        <v>1177.3361943573095</v>
      </c>
    </row>
    <row r="29" spans="7:24" x14ac:dyDescent="0.25">
      <c r="G29" s="3">
        <v>21</v>
      </c>
      <c r="H29" s="4">
        <f t="shared" si="4"/>
        <v>2057.2251938510094</v>
      </c>
      <c r="I29" s="4">
        <f t="shared" ref="I29:I92" si="8">K28*$I$4/12</f>
        <v>1987.3995822799161</v>
      </c>
      <c r="J29" s="4">
        <f t="shared" ref="J29:J92" si="9">H29-I29</f>
        <v>69.825611571093305</v>
      </c>
      <c r="K29" s="5">
        <f t="shared" ref="K29:K92" si="10">K28-J29</f>
        <v>198670.13261642054</v>
      </c>
      <c r="R29">
        <v>23</v>
      </c>
      <c r="S29">
        <f t="shared" si="0"/>
        <v>0.79544178869795856</v>
      </c>
      <c r="T29" s="1">
        <f t="shared" si="1"/>
        <v>1869.5987732671854</v>
      </c>
      <c r="V29">
        <v>23</v>
      </c>
      <c r="W29">
        <f t="shared" si="2"/>
        <v>0.84210013949898443</v>
      </c>
      <c r="X29">
        <f t="shared" si="3"/>
        <v>1172.4509819325901</v>
      </c>
    </row>
    <row r="30" spans="7:24" x14ac:dyDescent="0.25">
      <c r="G30" s="3">
        <v>22</v>
      </c>
      <c r="H30" s="4">
        <f t="shared" si="4"/>
        <v>2057.2251938510094</v>
      </c>
      <c r="I30" s="4">
        <f t="shared" si="8"/>
        <v>1986.7013261642053</v>
      </c>
      <c r="J30" s="4">
        <f t="shared" si="9"/>
        <v>70.523867686804124</v>
      </c>
      <c r="K30" s="5">
        <f t="shared" si="10"/>
        <v>198599.60874873374</v>
      </c>
      <c r="R30">
        <v>24</v>
      </c>
      <c r="S30">
        <f t="shared" si="0"/>
        <v>0.78756612742372123</v>
      </c>
      <c r="T30" s="1">
        <f t="shared" si="1"/>
        <v>1861.8411020088156</v>
      </c>
      <c r="V30">
        <v>24</v>
      </c>
      <c r="W30">
        <f t="shared" si="2"/>
        <v>0.83583140396921529</v>
      </c>
      <c r="X30">
        <f t="shared" si="3"/>
        <v>1167.5860400988449</v>
      </c>
    </row>
    <row r="31" spans="7:24" x14ac:dyDescent="0.25">
      <c r="G31" s="3">
        <v>23</v>
      </c>
      <c r="H31" s="4">
        <f t="shared" si="4"/>
        <v>2057.2251938510094</v>
      </c>
      <c r="I31" s="4">
        <f t="shared" si="8"/>
        <v>1985.9960874873375</v>
      </c>
      <c r="J31" s="4">
        <f t="shared" si="9"/>
        <v>71.229106363671917</v>
      </c>
      <c r="K31" s="5">
        <f t="shared" si="10"/>
        <v>198528.37964237007</v>
      </c>
      <c r="R31">
        <v>25</v>
      </c>
      <c r="S31">
        <f t="shared" si="0"/>
        <v>0.77976844299378323</v>
      </c>
      <c r="T31" s="1">
        <f t="shared" si="1"/>
        <v>1854.115620257742</v>
      </c>
      <c r="V31">
        <v>25</v>
      </c>
      <c r="W31">
        <f t="shared" si="2"/>
        <v>0.82960933396448167</v>
      </c>
      <c r="X31">
        <f t="shared" si="3"/>
        <v>1162.7412847457379</v>
      </c>
    </row>
    <row r="32" spans="7:24" x14ac:dyDescent="0.25">
      <c r="G32" s="3">
        <v>24</v>
      </c>
      <c r="H32" s="4">
        <f t="shared" si="4"/>
        <v>2057.2251938510094</v>
      </c>
      <c r="I32" s="4">
        <f t="shared" si="8"/>
        <v>1985.2837964237006</v>
      </c>
      <c r="J32" s="4">
        <f t="shared" si="9"/>
        <v>71.941397427308857</v>
      </c>
      <c r="K32" s="5">
        <f t="shared" si="10"/>
        <v>198456.43824494275</v>
      </c>
      <c r="R32">
        <v>26</v>
      </c>
      <c r="S32">
        <f t="shared" si="0"/>
        <v>0.77204796336018144</v>
      </c>
      <c r="T32" s="1">
        <f t="shared" si="1"/>
        <v>1846.4221944475432</v>
      </c>
      <c r="V32">
        <v>26</v>
      </c>
      <c r="W32">
        <f t="shared" si="2"/>
        <v>0.82343358209874096</v>
      </c>
      <c r="X32">
        <f t="shared" si="3"/>
        <v>1157.9166321119378</v>
      </c>
    </row>
    <row r="33" spans="2:24" x14ac:dyDescent="0.25">
      <c r="G33" s="3">
        <v>25</v>
      </c>
      <c r="H33" s="4">
        <f t="shared" si="4"/>
        <v>2057.2251938510094</v>
      </c>
      <c r="I33" s="4">
        <f t="shared" si="8"/>
        <v>1984.5643824494273</v>
      </c>
      <c r="J33" s="4">
        <f t="shared" si="9"/>
        <v>72.660811401582123</v>
      </c>
      <c r="K33" s="5">
        <f t="shared" si="10"/>
        <v>198383.77743354117</v>
      </c>
      <c r="R33">
        <v>27</v>
      </c>
      <c r="S33">
        <f t="shared" si="0"/>
        <v>0.76440392411899183</v>
      </c>
      <c r="T33" s="1">
        <f t="shared" si="1"/>
        <v>1838.7606915660185</v>
      </c>
      <c r="V33">
        <v>27</v>
      </c>
      <c r="W33">
        <f t="shared" si="2"/>
        <v>0.81730380357195132</v>
      </c>
      <c r="X33">
        <f t="shared" si="3"/>
        <v>1153.1119987836728</v>
      </c>
    </row>
    <row r="34" spans="2:24" x14ac:dyDescent="0.25">
      <c r="G34" s="3">
        <v>26</v>
      </c>
      <c r="H34" s="4">
        <f t="shared" si="4"/>
        <v>2057.2251938510094</v>
      </c>
      <c r="I34" s="4">
        <f t="shared" si="8"/>
        <v>1983.8377743354115</v>
      </c>
      <c r="J34" s="4">
        <f t="shared" si="9"/>
        <v>73.387419515597912</v>
      </c>
      <c r="K34" s="5">
        <f t="shared" si="10"/>
        <v>198310.39001402556</v>
      </c>
      <c r="R34">
        <v>28</v>
      </c>
      <c r="S34">
        <f t="shared" si="0"/>
        <v>0.75683556843464528</v>
      </c>
      <c r="T34" s="1">
        <f t="shared" si="1"/>
        <v>1831.1309791528815</v>
      </c>
      <c r="V34">
        <v>28</v>
      </c>
      <c r="W34">
        <f t="shared" si="2"/>
        <v>0.81121965615081992</v>
      </c>
      <c r="X34">
        <f t="shared" si="3"/>
        <v>1148.327301693284</v>
      </c>
    </row>
    <row r="35" spans="2:24" x14ac:dyDescent="0.25">
      <c r="G35" s="3">
        <v>27</v>
      </c>
      <c r="H35" s="4">
        <f t="shared" si="4"/>
        <v>2057.2251938510094</v>
      </c>
      <c r="I35" s="4">
        <f t="shared" si="8"/>
        <v>1983.1039001402553</v>
      </c>
      <c r="J35" s="4">
        <f t="shared" si="9"/>
        <v>74.121293710754117</v>
      </c>
      <c r="K35" s="5">
        <f t="shared" si="10"/>
        <v>198236.26872031481</v>
      </c>
      <c r="R35">
        <v>29</v>
      </c>
      <c r="S35">
        <f t="shared" si="0"/>
        <v>0.74934214696499535</v>
      </c>
      <c r="T35" s="1">
        <f t="shared" si="1"/>
        <v>1823.5329252974755</v>
      </c>
      <c r="V35">
        <v>29</v>
      </c>
      <c r="W35">
        <f t="shared" si="2"/>
        <v>0.80518080014969728</v>
      </c>
      <c r="X35">
        <f t="shared" si="3"/>
        <v>1143.5624581177933</v>
      </c>
    </row>
    <row r="36" spans="2:24" x14ac:dyDescent="0.25">
      <c r="G36" s="3">
        <v>28</v>
      </c>
      <c r="H36" s="4">
        <f t="shared" si="4"/>
        <v>2057.2251938510094</v>
      </c>
      <c r="I36" s="4">
        <f t="shared" si="8"/>
        <v>1982.362687203148</v>
      </c>
      <c r="J36" s="4">
        <f t="shared" si="9"/>
        <v>74.862506647861437</v>
      </c>
      <c r="K36" s="5">
        <f t="shared" si="10"/>
        <v>198161.40621366695</v>
      </c>
      <c r="R36">
        <v>30</v>
      </c>
      <c r="S36">
        <f t="shared" si="0"/>
        <v>0.74192291778712394</v>
      </c>
      <c r="T36" s="1">
        <f t="shared" si="1"/>
        <v>1815.9663986364901</v>
      </c>
      <c r="V36">
        <v>30</v>
      </c>
      <c r="W36">
        <f t="shared" si="2"/>
        <v>0.79918689841161006</v>
      </c>
      <c r="X36">
        <f t="shared" si="3"/>
        <v>1138.8173856774706</v>
      </c>
    </row>
    <row r="37" spans="2:24" x14ac:dyDescent="0.25">
      <c r="G37" s="3">
        <v>29</v>
      </c>
      <c r="H37" s="4">
        <f t="shared" si="4"/>
        <v>2057.2251938510094</v>
      </c>
      <c r="I37" s="4">
        <f t="shared" si="8"/>
        <v>1981.6140621366694</v>
      </c>
      <c r="J37" s="4">
        <f t="shared" si="9"/>
        <v>75.61113171433999</v>
      </c>
      <c r="K37" s="5">
        <f t="shared" si="10"/>
        <v>198085.79508195262</v>
      </c>
      <c r="R37">
        <v>31</v>
      </c>
      <c r="S37">
        <f t="shared" si="0"/>
        <v>0.73457714632388538</v>
      </c>
      <c r="T37" s="1">
        <f t="shared" si="1"/>
        <v>1808.4312683516905</v>
      </c>
      <c r="V37">
        <v>31</v>
      </c>
      <c r="W37">
        <f t="shared" si="2"/>
        <v>0.79323761628943912</v>
      </c>
      <c r="X37">
        <f t="shared" si="3"/>
        <v>1134.0920023344099</v>
      </c>
    </row>
    <row r="38" spans="2:24" x14ac:dyDescent="0.25">
      <c r="G38" s="3">
        <v>30</v>
      </c>
      <c r="H38" s="4">
        <f t="shared" si="4"/>
        <v>2057.2251938510094</v>
      </c>
      <c r="I38" s="4">
        <f t="shared" si="8"/>
        <v>1980.8579508195262</v>
      </c>
      <c r="J38" s="4">
        <f t="shared" si="9"/>
        <v>76.367243031483213</v>
      </c>
      <c r="K38" s="5">
        <f t="shared" si="10"/>
        <v>198009.42783892114</v>
      </c>
      <c r="R38">
        <v>32</v>
      </c>
      <c r="S38">
        <f t="shared" si="0"/>
        <v>0.7273041052711734</v>
      </c>
      <c r="T38" s="1">
        <f t="shared" si="1"/>
        <v>1800.9274041676592</v>
      </c>
      <c r="V38">
        <v>32</v>
      </c>
      <c r="W38">
        <f t="shared" si="2"/>
        <v>0.78733262162723494</v>
      </c>
      <c r="X38">
        <f t="shared" si="3"/>
        <v>1129.386226391114</v>
      </c>
    </row>
    <row r="39" spans="2:24" x14ac:dyDescent="0.25">
      <c r="G39" s="3">
        <v>31</v>
      </c>
      <c r="H39" s="4">
        <f t="shared" si="4"/>
        <v>2057.2251938510094</v>
      </c>
      <c r="I39" s="4">
        <f t="shared" si="8"/>
        <v>1980.0942783892115</v>
      </c>
      <c r="J39" s="4">
        <f t="shared" si="9"/>
        <v>77.13091546179794</v>
      </c>
      <c r="K39" s="5">
        <f t="shared" si="10"/>
        <v>197932.29692345933</v>
      </c>
      <c r="R39">
        <v>33</v>
      </c>
      <c r="S39">
        <f t="shared" si="0"/>
        <v>0.72010307452591427</v>
      </c>
      <c r="T39" s="1">
        <f t="shared" si="1"/>
        <v>1793.4546763495359</v>
      </c>
      <c r="V39">
        <v>33</v>
      </c>
      <c r="W39">
        <f t="shared" si="2"/>
        <v>0.78147158474167244</v>
      </c>
      <c r="X39">
        <f t="shared" si="3"/>
        <v>1124.6999764890761</v>
      </c>
    </row>
    <row r="40" spans="2:24" x14ac:dyDescent="0.25">
      <c r="G40" s="3">
        <v>32</v>
      </c>
      <c r="H40" s="4">
        <f t="shared" si="4"/>
        <v>2057.2251938510094</v>
      </c>
      <c r="I40" s="4">
        <f t="shared" si="8"/>
        <v>1979.3229692345933</v>
      </c>
      <c r="J40" s="4">
        <f t="shared" si="9"/>
        <v>77.902224616416106</v>
      </c>
      <c r="K40" s="5">
        <f t="shared" si="10"/>
        <v>197854.39469884292</v>
      </c>
      <c r="R40">
        <v>34</v>
      </c>
      <c r="S40">
        <f t="shared" si="0"/>
        <v>0.71297334111476662</v>
      </c>
      <c r="T40" s="1">
        <f t="shared" si="1"/>
        <v>1786.0129557007829</v>
      </c>
      <c r="V40">
        <v>34</v>
      </c>
      <c r="W40">
        <f t="shared" si="2"/>
        <v>0.77565417840364492</v>
      </c>
      <c r="X40">
        <f t="shared" si="3"/>
        <v>1120.0331716073788</v>
      </c>
    </row>
    <row r="41" spans="2:24" x14ac:dyDescent="0.25">
      <c r="B41">
        <v>7.5</v>
      </c>
      <c r="D41">
        <f>137/0.05</f>
        <v>2740</v>
      </c>
      <c r="E41">
        <v>20.5</v>
      </c>
      <c r="G41" s="3">
        <v>33</v>
      </c>
      <c r="H41" s="4">
        <f t="shared" si="4"/>
        <v>2057.2251938510094</v>
      </c>
      <c r="I41" s="4">
        <f t="shared" si="8"/>
        <v>1978.5439469884293</v>
      </c>
      <c r="J41" s="4">
        <f t="shared" si="9"/>
        <v>78.68124686258011</v>
      </c>
      <c r="K41" s="5">
        <f t="shared" si="10"/>
        <v>197775.71345198035</v>
      </c>
      <c r="R41">
        <v>35</v>
      </c>
      <c r="S41">
        <f t="shared" si="0"/>
        <v>0.70591419912353137</v>
      </c>
      <c r="T41" s="1">
        <f t="shared" si="1"/>
        <v>1778.6021135609453</v>
      </c>
      <c r="V41">
        <v>35</v>
      </c>
      <c r="W41">
        <f t="shared" si="2"/>
        <v>0.7698800778199949</v>
      </c>
      <c r="X41">
        <f t="shared" si="3"/>
        <v>1115.3857310612898</v>
      </c>
    </row>
    <row r="42" spans="2:24" x14ac:dyDescent="0.25">
      <c r="B42">
        <f>7.5-1.6</f>
        <v>5.9</v>
      </c>
      <c r="D42">
        <f>D41*1.1</f>
        <v>3014.0000000000005</v>
      </c>
      <c r="E42">
        <f>E41-1.6</f>
        <v>18.899999999999999</v>
      </c>
      <c r="G42" s="3">
        <v>34</v>
      </c>
      <c r="H42" s="4">
        <f t="shared" si="4"/>
        <v>2057.2251938510094</v>
      </c>
      <c r="I42" s="4">
        <f t="shared" si="8"/>
        <v>1977.7571345198032</v>
      </c>
      <c r="J42" s="4">
        <f t="shared" si="9"/>
        <v>79.468059331206177</v>
      </c>
      <c r="K42" s="5">
        <f t="shared" si="10"/>
        <v>197696.24539264914</v>
      </c>
      <c r="R42">
        <v>36</v>
      </c>
      <c r="S42">
        <f t="shared" si="0"/>
        <v>0.69892494962725871</v>
      </c>
      <c r="T42" s="1">
        <f t="shared" si="1"/>
        <v>1771.2220218034313</v>
      </c>
      <c r="V42">
        <v>36</v>
      </c>
      <c r="W42">
        <f t="shared" si="2"/>
        <v>0.76414896061537951</v>
      </c>
      <c r="X42">
        <f t="shared" si="3"/>
        <v>1110.7575745008699</v>
      </c>
    </row>
    <row r="43" spans="2:24" x14ac:dyDescent="0.25">
      <c r="B43">
        <f>B41/B42</f>
        <v>1.271186440677966</v>
      </c>
      <c r="E43">
        <f>E41/E42</f>
        <v>1.0846560846560847</v>
      </c>
      <c r="G43" s="3">
        <v>35</v>
      </c>
      <c r="H43" s="4">
        <f t="shared" si="4"/>
        <v>2057.2251938510094</v>
      </c>
      <c r="I43" s="4">
        <f t="shared" si="8"/>
        <v>1976.9624539264914</v>
      </c>
      <c r="J43" s="4">
        <f t="shared" si="9"/>
        <v>80.262739924517973</v>
      </c>
      <c r="K43" s="5">
        <f t="shared" si="10"/>
        <v>197615.98265272463</v>
      </c>
      <c r="R43">
        <v>37</v>
      </c>
      <c r="S43">
        <f t="shared" si="0"/>
        <v>0.69200490062104825</v>
      </c>
      <c r="T43" s="1">
        <f t="shared" si="1"/>
        <v>1763.8725528332925</v>
      </c>
      <c r="V43">
        <v>37</v>
      </c>
      <c r="W43">
        <f t="shared" si="2"/>
        <v>0.75846050681427246</v>
      </c>
      <c r="X43">
        <f t="shared" si="3"/>
        <v>1106.1486219095798</v>
      </c>
    </row>
    <row r="44" spans="2:24" x14ac:dyDescent="0.25">
      <c r="B44">
        <f>LN(B43)</f>
        <v>0.23995066963059095</v>
      </c>
      <c r="E44">
        <f>LN(E43)</f>
        <v>8.1262964078765793E-2</v>
      </c>
      <c r="G44" s="3">
        <v>36</v>
      </c>
      <c r="H44" s="4">
        <f t="shared" si="4"/>
        <v>2057.2251938510094</v>
      </c>
      <c r="I44" s="4">
        <f t="shared" si="8"/>
        <v>1976.1598265272462</v>
      </c>
      <c r="J44" s="4">
        <f t="shared" si="9"/>
        <v>81.065367323763212</v>
      </c>
      <c r="K44" s="5">
        <f t="shared" si="10"/>
        <v>197534.91728540088</v>
      </c>
      <c r="R44">
        <v>38</v>
      </c>
      <c r="S44">
        <f t="shared" si="0"/>
        <v>0.68515336695153284</v>
      </c>
      <c r="T44" s="1">
        <f t="shared" si="1"/>
        <v>1756.5535795850215</v>
      </c>
      <c r="V44">
        <v>38</v>
      </c>
      <c r="W44">
        <f t="shared" si="2"/>
        <v>0.75281439882309908</v>
      </c>
      <c r="X44">
        <f t="shared" si="3"/>
        <v>1101.558793602901</v>
      </c>
    </row>
    <row r="45" spans="2:24" x14ac:dyDescent="0.25">
      <c r="B45">
        <f>B44/0.027</f>
        <v>8.8870618381700357</v>
      </c>
      <c r="E45">
        <f>E44/0.027</f>
        <v>3.0097394103246589</v>
      </c>
      <c r="G45" s="3">
        <v>37</v>
      </c>
      <c r="H45" s="4">
        <f t="shared" si="4"/>
        <v>2057.2251938510094</v>
      </c>
      <c r="I45" s="4">
        <f t="shared" si="8"/>
        <v>1975.3491728540087</v>
      </c>
      <c r="J45" s="4">
        <f t="shared" si="9"/>
        <v>81.876020997000751</v>
      </c>
      <c r="K45" s="5">
        <f t="shared" si="10"/>
        <v>197453.04126440387</v>
      </c>
      <c r="R45">
        <v>39</v>
      </c>
      <c r="S45">
        <f t="shared" si="0"/>
        <v>0.6783696702490426</v>
      </c>
      <c r="T45" s="1">
        <f t="shared" si="1"/>
        <v>1749.2649755203531</v>
      </c>
      <c r="V45">
        <v>39</v>
      </c>
      <c r="W45">
        <f t="shared" si="2"/>
        <v>0.74721032141250521</v>
      </c>
      <c r="X45">
        <f t="shared" si="3"/>
        <v>1096.9880102269553</v>
      </c>
    </row>
    <row r="46" spans="2:24" x14ac:dyDescent="0.25">
      <c r="B46">
        <f>B45*7.5/20.5</f>
        <v>3.2513640871353786</v>
      </c>
      <c r="G46" s="3">
        <v>38</v>
      </c>
      <c r="H46" s="4">
        <f t="shared" si="4"/>
        <v>2057.2251938510094</v>
      </c>
      <c r="I46" s="4">
        <f t="shared" si="8"/>
        <v>1974.5304126440387</v>
      </c>
      <c r="J46" s="4">
        <f t="shared" si="9"/>
        <v>82.694781206970674</v>
      </c>
      <c r="K46" s="5">
        <f t="shared" si="10"/>
        <v>197370.34648319689</v>
      </c>
      <c r="R46">
        <v>40</v>
      </c>
      <c r="S46">
        <f t="shared" si="0"/>
        <v>0.67165313886043809</v>
      </c>
      <c r="T46" s="1">
        <f t="shared" si="1"/>
        <v>1742.0066146260781</v>
      </c>
      <c r="V46">
        <v>40</v>
      </c>
      <c r="W46">
        <f t="shared" si="2"/>
        <v>0.741647961699757</v>
      </c>
      <c r="X46">
        <f t="shared" si="3"/>
        <v>1092.436192757134</v>
      </c>
    </row>
    <row r="47" spans="2:24" x14ac:dyDescent="0.25">
      <c r="G47" s="3">
        <v>39</v>
      </c>
      <c r="H47" s="4">
        <f t="shared" si="4"/>
        <v>2057.2251938510094</v>
      </c>
      <c r="I47" s="4">
        <f t="shared" si="8"/>
        <v>1973.7034648319689</v>
      </c>
      <c r="J47" s="4">
        <f t="shared" si="9"/>
        <v>83.521729019040549</v>
      </c>
      <c r="K47" s="5">
        <f t="shared" si="10"/>
        <v>197286.82475417785</v>
      </c>
      <c r="R47">
        <v>41</v>
      </c>
      <c r="S47">
        <f t="shared" si="0"/>
        <v>0.66500310778261185</v>
      </c>
      <c r="T47" s="1">
        <f t="shared" si="1"/>
        <v>1734.7783714118621</v>
      </c>
      <c r="V47">
        <v>41</v>
      </c>
      <c r="W47">
        <f t="shared" si="2"/>
        <v>0.73612700913127238</v>
      </c>
      <c r="X47">
        <f t="shared" si="3"/>
        <v>1087.903262496731</v>
      </c>
    </row>
    <row r="48" spans="2:24" x14ac:dyDescent="0.25">
      <c r="G48" s="3">
        <v>40</v>
      </c>
      <c r="H48" s="4">
        <f t="shared" si="4"/>
        <v>2057.2251938510094</v>
      </c>
      <c r="I48" s="4">
        <f t="shared" si="8"/>
        <v>1972.8682475417784</v>
      </c>
      <c r="J48" s="4">
        <f t="shared" si="9"/>
        <v>84.356946309231034</v>
      </c>
      <c r="K48" s="5">
        <f t="shared" si="10"/>
        <v>197202.46780786861</v>
      </c>
      <c r="R48">
        <v>42</v>
      </c>
      <c r="S48">
        <f t="shared" si="0"/>
        <v>0.65841891859664536</v>
      </c>
      <c r="T48" s="1">
        <f t="shared" si="1"/>
        <v>1727.580120908078</v>
      </c>
      <c r="V48">
        <v>42</v>
      </c>
      <c r="W48">
        <f t="shared" si="2"/>
        <v>0.73064715546528269</v>
      </c>
      <c r="X48">
        <f t="shared" si="3"/>
        <v>1083.3891410755825</v>
      </c>
    </row>
    <row r="49" spans="7:24" x14ac:dyDescent="0.25">
      <c r="G49" s="3">
        <v>41</v>
      </c>
      <c r="H49" s="4">
        <f t="shared" si="4"/>
        <v>2057.2251938510094</v>
      </c>
      <c r="I49" s="4">
        <f t="shared" si="8"/>
        <v>1972.0246780786858</v>
      </c>
      <c r="J49" s="4">
        <f t="shared" si="9"/>
        <v>85.20051577232357</v>
      </c>
      <c r="K49" s="5">
        <f t="shared" si="10"/>
        <v>197117.26729209628</v>
      </c>
      <c r="R49">
        <v>43</v>
      </c>
      <c r="S49">
        <f t="shared" si="0"/>
        <v>0.65189991940261938</v>
      </c>
      <c r="T49" s="1">
        <f t="shared" si="1"/>
        <v>1720.4117386636465</v>
      </c>
      <c r="V49">
        <v>43</v>
      </c>
      <c r="W49">
        <f t="shared" si="2"/>
        <v>0.725208094754623</v>
      </c>
      <c r="X49">
        <f t="shared" si="3"/>
        <v>1078.893750448713</v>
      </c>
    </row>
    <row r="50" spans="7:24" x14ac:dyDescent="0.25">
      <c r="G50" s="3">
        <v>42</v>
      </c>
      <c r="H50" s="4">
        <f t="shared" si="4"/>
        <v>2057.2251938510094</v>
      </c>
      <c r="I50" s="4">
        <f t="shared" si="8"/>
        <v>1971.1726729209629</v>
      </c>
      <c r="J50" s="4">
        <f t="shared" si="9"/>
        <v>86.052520930046512</v>
      </c>
      <c r="K50" s="5">
        <f t="shared" si="10"/>
        <v>197031.21477116624</v>
      </c>
      <c r="R50">
        <v>44</v>
      </c>
      <c r="S50">
        <f t="shared" si="0"/>
        <v>0.64544546475506859</v>
      </c>
      <c r="T50" s="1">
        <f t="shared" si="1"/>
        <v>1713.2731007438801</v>
      </c>
      <c r="V50">
        <v>44</v>
      </c>
      <c r="W50">
        <f t="shared" si="2"/>
        <v>0.71980952332965054</v>
      </c>
      <c r="X50">
        <f t="shared" si="3"/>
        <v>1074.4170128949838</v>
      </c>
    </row>
    <row r="51" spans="7:24" x14ac:dyDescent="0.25">
      <c r="G51" s="3">
        <v>43</v>
      </c>
      <c r="H51" s="4">
        <f t="shared" si="4"/>
        <v>2057.2251938510094</v>
      </c>
      <c r="I51" s="4">
        <f t="shared" si="8"/>
        <v>1970.3121477116622</v>
      </c>
      <c r="J51" s="4">
        <f t="shared" si="9"/>
        <v>86.913046139347216</v>
      </c>
      <c r="K51" s="5">
        <f t="shared" si="10"/>
        <v>196944.30172502689</v>
      </c>
      <c r="R51">
        <v>45</v>
      </c>
      <c r="S51">
        <f t="shared" si="0"/>
        <v>0.63905491559907779</v>
      </c>
      <c r="T51" s="1">
        <f t="shared" si="1"/>
        <v>1706.1640837283455</v>
      </c>
      <c r="V51">
        <v>45</v>
      </c>
      <c r="W51">
        <f t="shared" si="2"/>
        <v>0.71445113978129082</v>
      </c>
      <c r="X51">
        <f t="shared" si="3"/>
        <v>1069.9588510157516</v>
      </c>
    </row>
    <row r="52" spans="7:24" x14ac:dyDescent="0.25">
      <c r="G52" s="3">
        <v>44</v>
      </c>
      <c r="H52" s="4">
        <f t="shared" si="4"/>
        <v>2057.2251938510094</v>
      </c>
      <c r="I52" s="4">
        <f t="shared" si="8"/>
        <v>1969.4430172502689</v>
      </c>
      <c r="J52" s="4">
        <f t="shared" si="9"/>
        <v>87.782176600740513</v>
      </c>
      <c r="K52" s="5">
        <f t="shared" si="10"/>
        <v>196856.51954842615</v>
      </c>
      <c r="R52">
        <v>46</v>
      </c>
      <c r="S52">
        <f t="shared" si="0"/>
        <v>0.63272763920700759</v>
      </c>
      <c r="T52" s="1">
        <f t="shared" si="1"/>
        <v>1699.0845647087258</v>
      </c>
      <c r="V52">
        <v>46</v>
      </c>
      <c r="W52">
        <f t="shared" si="2"/>
        <v>0.70913264494420902</v>
      </c>
      <c r="X52">
        <f t="shared" si="3"/>
        <v>1065.5191877335287</v>
      </c>
    </row>
    <row r="53" spans="7:24" x14ac:dyDescent="0.25">
      <c r="G53" s="3">
        <v>45</v>
      </c>
      <c r="H53" s="4">
        <f t="shared" si="4"/>
        <v>2057.2251938510094</v>
      </c>
      <c r="I53" s="4">
        <f t="shared" si="8"/>
        <v>1968.5651954842615</v>
      </c>
      <c r="J53" s="4">
        <f t="shared" si="9"/>
        <v>88.659998366747914</v>
      </c>
      <c r="K53" s="5">
        <f t="shared" si="10"/>
        <v>196767.85955005939</v>
      </c>
      <c r="R53">
        <v>47</v>
      </c>
      <c r="S53">
        <f t="shared" si="0"/>
        <v>0.6264630091158494</v>
      </c>
      <c r="T53" s="1">
        <f t="shared" si="1"/>
        <v>1692.0344212866974</v>
      </c>
      <c r="V53">
        <v>47</v>
      </c>
      <c r="W53">
        <f t="shared" si="2"/>
        <v>0.70385374188010819</v>
      </c>
      <c r="X53">
        <f t="shared" si="3"/>
        <v>1061.0979462906505</v>
      </c>
    </row>
    <row r="54" spans="7:24" x14ac:dyDescent="0.25">
      <c r="G54" s="3">
        <v>46</v>
      </c>
      <c r="H54" s="4">
        <f t="shared" si="4"/>
        <v>2057.2251938510094</v>
      </c>
      <c r="I54" s="4">
        <f t="shared" si="8"/>
        <v>1967.6785955005937</v>
      </c>
      <c r="J54" s="4">
        <f t="shared" si="9"/>
        <v>89.546598350415707</v>
      </c>
      <c r="K54" s="5">
        <f t="shared" si="10"/>
        <v>196678.31295170897</v>
      </c>
      <c r="R54">
        <v>48</v>
      </c>
      <c r="S54">
        <f t="shared" si="0"/>
        <v>0.6202604050651972</v>
      </c>
      <c r="T54" s="1">
        <f t="shared" si="1"/>
        <v>1685.0135315718151</v>
      </c>
      <c r="V54">
        <v>48</v>
      </c>
      <c r="W54">
        <f t="shared" si="2"/>
        <v>0.69861413586114962</v>
      </c>
      <c r="X54">
        <f t="shared" si="3"/>
        <v>1056.695050247951</v>
      </c>
    </row>
    <row r="55" spans="7:24" x14ac:dyDescent="0.25">
      <c r="G55" s="3">
        <v>47</v>
      </c>
      <c r="H55" s="4">
        <f t="shared" si="4"/>
        <v>2057.2251938510094</v>
      </c>
      <c r="I55" s="4">
        <f t="shared" si="8"/>
        <v>1966.7831295170897</v>
      </c>
      <c r="J55" s="4">
        <f t="shared" si="9"/>
        <v>90.442064333919689</v>
      </c>
      <c r="K55" s="5">
        <f t="shared" si="10"/>
        <v>196587.87088737506</v>
      </c>
      <c r="R55">
        <v>49</v>
      </c>
      <c r="S55">
        <f t="shared" si="0"/>
        <v>0.61411921293583871</v>
      </c>
      <c r="T55" s="1">
        <f t="shared" si="1"/>
        <v>1678.0217741794008</v>
      </c>
      <c r="V55">
        <v>49</v>
      </c>
      <c r="W55">
        <f t="shared" si="2"/>
        <v>0.6934135343534984</v>
      </c>
      <c r="X55">
        <f t="shared" si="3"/>
        <v>1052.3104234834366</v>
      </c>
    </row>
    <row r="56" spans="7:24" x14ac:dyDescent="0.25">
      <c r="G56" s="3">
        <v>48</v>
      </c>
      <c r="H56" s="4">
        <f t="shared" si="4"/>
        <v>2057.2251938510094</v>
      </c>
      <c r="I56" s="4">
        <f t="shared" si="8"/>
        <v>1965.8787088737506</v>
      </c>
      <c r="J56" s="4">
        <f t="shared" si="9"/>
        <v>91.346484977258797</v>
      </c>
      <c r="K56" s="5">
        <f t="shared" si="10"/>
        <v>196496.5244023978</v>
      </c>
      <c r="R56">
        <v>50</v>
      </c>
      <c r="S56">
        <f t="shared" si="0"/>
        <v>0.60803882468894921</v>
      </c>
      <c r="T56" s="1">
        <f t="shared" si="1"/>
        <v>1671.0590282284493</v>
      </c>
      <c r="V56">
        <v>50</v>
      </c>
      <c r="W56">
        <f t="shared" si="2"/>
        <v>0.68825164700099073</v>
      </c>
      <c r="X56">
        <f t="shared" si="3"/>
        <v>1047.9439901909743</v>
      </c>
    </row>
    <row r="57" spans="7:24" x14ac:dyDescent="0.25">
      <c r="G57" s="3">
        <v>49</v>
      </c>
      <c r="H57" s="4">
        <f t="shared" si="4"/>
        <v>2057.2251938510094</v>
      </c>
      <c r="I57" s="4">
        <f t="shared" si="8"/>
        <v>1964.9652440239779</v>
      </c>
      <c r="J57" s="4">
        <f t="shared" si="9"/>
        <v>92.259949827031505</v>
      </c>
      <c r="K57" s="5">
        <f t="shared" si="10"/>
        <v>196404.26445257076</v>
      </c>
      <c r="R57">
        <v>51</v>
      </c>
      <c r="S57">
        <f t="shared" si="0"/>
        <v>0.60201863830589042</v>
      </c>
      <c r="T57" s="1">
        <f t="shared" si="1"/>
        <v>1664.1251733395343</v>
      </c>
      <c r="V57">
        <v>51</v>
      </c>
      <c r="W57">
        <f t="shared" si="2"/>
        <v>0.68312818560892385</v>
      </c>
      <c r="X57">
        <f t="shared" si="3"/>
        <v>1043.5956748789786</v>
      </c>
    </row>
    <row r="58" spans="7:24" x14ac:dyDescent="0.25">
      <c r="G58" s="3">
        <v>50</v>
      </c>
      <c r="H58" s="4">
        <f t="shared" si="4"/>
        <v>2057.2251938510094</v>
      </c>
      <c r="I58" s="4">
        <f t="shared" si="8"/>
        <v>1964.0426445257074</v>
      </c>
      <c r="J58" s="4">
        <f t="shared" si="9"/>
        <v>93.182549325302034</v>
      </c>
      <c r="K58" s="5">
        <f t="shared" si="10"/>
        <v>196311.08190324545</v>
      </c>
      <c r="R58">
        <v>52</v>
      </c>
      <c r="S58">
        <f t="shared" si="0"/>
        <v>0.59605805772860432</v>
      </c>
      <c r="T58" s="1">
        <f t="shared" si="1"/>
        <v>1657.2200896327308</v>
      </c>
      <c r="V58">
        <v>52</v>
      </c>
      <c r="W58">
        <f t="shared" si="2"/>
        <v>0.678042864127964</v>
      </c>
      <c r="X58">
        <f t="shared" si="3"/>
        <v>1039.2654023691071</v>
      </c>
    </row>
    <row r="59" spans="7:24" x14ac:dyDescent="0.25">
      <c r="G59" s="3">
        <v>51</v>
      </c>
      <c r="H59" s="4">
        <f t="shared" si="4"/>
        <v>2057.2251938510094</v>
      </c>
      <c r="I59" s="4">
        <f t="shared" si="8"/>
        <v>1963.1108190324542</v>
      </c>
      <c r="J59" s="4">
        <f t="shared" si="9"/>
        <v>94.114374818555234</v>
      </c>
      <c r="K59" s="5">
        <f t="shared" si="10"/>
        <v>196216.9675284269</v>
      </c>
      <c r="R59">
        <v>53</v>
      </c>
      <c r="S59">
        <f t="shared" si="0"/>
        <v>0.59015649280059845</v>
      </c>
      <c r="T59" s="1">
        <f t="shared" si="1"/>
        <v>1650.3436577255413</v>
      </c>
      <c r="V59">
        <v>53</v>
      </c>
      <c r="W59">
        <f t="shared" si="2"/>
        <v>0.6729953986381777</v>
      </c>
      <c r="X59">
        <f t="shared" si="3"/>
        <v>1034.9530977949614</v>
      </c>
    </row>
    <row r="60" spans="7:24" x14ac:dyDescent="0.25">
      <c r="G60" s="3">
        <v>52</v>
      </c>
      <c r="H60" s="4">
        <f t="shared" si="4"/>
        <v>2057.2251938510094</v>
      </c>
      <c r="I60" s="4">
        <f t="shared" si="8"/>
        <v>1962.169675284269</v>
      </c>
      <c r="J60" s="4">
        <f t="shared" si="9"/>
        <v>95.055518566740375</v>
      </c>
      <c r="K60" s="5">
        <f t="shared" si="10"/>
        <v>196121.91200986016</v>
      </c>
      <c r="R60">
        <v>54</v>
      </c>
      <c r="S60">
        <f t="shared" si="0"/>
        <v>0.58431335920851313</v>
      </c>
      <c r="T60" s="1">
        <f t="shared" si="1"/>
        <v>1643.4957587308295</v>
      </c>
      <c r="V60">
        <v>54</v>
      </c>
      <c r="W60">
        <f t="shared" si="2"/>
        <v>0.66798550733317863</v>
      </c>
      <c r="X60">
        <f t="shared" si="3"/>
        <v>1030.6586866007915</v>
      </c>
    </row>
    <row r="61" spans="7:24" x14ac:dyDescent="0.25">
      <c r="G61" s="3">
        <v>53</v>
      </c>
      <c r="H61" s="4">
        <f t="shared" si="4"/>
        <v>2057.2251938510094</v>
      </c>
      <c r="I61" s="4">
        <f t="shared" si="8"/>
        <v>1961.2191200986015</v>
      </c>
      <c r="J61" s="4">
        <f t="shared" si="9"/>
        <v>96.006073752407929</v>
      </c>
      <c r="K61" s="5">
        <f t="shared" si="10"/>
        <v>196025.90593610774</v>
      </c>
      <c r="R61">
        <v>55</v>
      </c>
      <c r="S61">
        <f t="shared" si="0"/>
        <v>0.57852807842427056</v>
      </c>
      <c r="T61" s="1">
        <f t="shared" si="1"/>
        <v>1636.6762742547676</v>
      </c>
      <c r="V61">
        <v>55</v>
      </c>
      <c r="W61">
        <f t="shared" si="2"/>
        <v>0.6630129105043957</v>
      </c>
      <c r="X61">
        <f t="shared" si="3"/>
        <v>1026.3820945402069</v>
      </c>
    </row>
    <row r="62" spans="7:24" x14ac:dyDescent="0.25">
      <c r="G62" s="3">
        <v>54</v>
      </c>
      <c r="H62" s="4">
        <f t="shared" si="4"/>
        <v>2057.2251938510094</v>
      </c>
      <c r="I62" s="4">
        <f t="shared" si="8"/>
        <v>1960.2590593610773</v>
      </c>
      <c r="J62" s="4">
        <f t="shared" si="9"/>
        <v>96.966134489932074</v>
      </c>
      <c r="K62" s="5">
        <f t="shared" si="10"/>
        <v>195928.93980161782</v>
      </c>
      <c r="R62">
        <v>56</v>
      </c>
      <c r="S62">
        <f t="shared" si="0"/>
        <v>0.5728000776477925</v>
      </c>
      <c r="T62" s="1">
        <f t="shared" si="1"/>
        <v>1629.8850863947896</v>
      </c>
      <c r="V62">
        <v>56</v>
      </c>
      <c r="W62">
        <f t="shared" si="2"/>
        <v>0.65807733052545481</v>
      </c>
      <c r="X62">
        <f t="shared" si="3"/>
        <v>1022.1232476748952</v>
      </c>
    </row>
    <row r="63" spans="7:24" x14ac:dyDescent="0.25">
      <c r="G63" s="3">
        <v>55</v>
      </c>
      <c r="H63" s="4">
        <f t="shared" si="4"/>
        <v>2057.2251938510094</v>
      </c>
      <c r="I63" s="4">
        <f t="shared" si="8"/>
        <v>1959.289398016178</v>
      </c>
      <c r="J63" s="4">
        <f t="shared" si="9"/>
        <v>97.935795834831424</v>
      </c>
      <c r="K63" s="5">
        <f t="shared" si="10"/>
        <v>195831.00400578298</v>
      </c>
      <c r="R63">
        <v>57</v>
      </c>
      <c r="S63">
        <f t="shared" si="0"/>
        <v>0.56712878975028957</v>
      </c>
      <c r="T63" s="1">
        <f t="shared" si="1"/>
        <v>1623.1220777375502</v>
      </c>
      <c r="V63">
        <v>57</v>
      </c>
      <c r="W63">
        <f t="shared" si="2"/>
        <v>0.65317849183667964</v>
      </c>
      <c r="X63">
        <f t="shared" si="3"/>
        <v>1017.8820723733397</v>
      </c>
    </row>
    <row r="64" spans="7:24" x14ac:dyDescent="0.25">
      <c r="G64" s="3">
        <v>56</v>
      </c>
      <c r="H64" s="4">
        <f t="shared" si="4"/>
        <v>2057.2251938510094</v>
      </c>
      <c r="I64" s="4">
        <f t="shared" si="8"/>
        <v>1958.3100400578296</v>
      </c>
      <c r="J64" s="4">
        <f t="shared" si="9"/>
        <v>98.915153793179798</v>
      </c>
      <c r="K64" s="5">
        <f t="shared" si="10"/>
        <v>195732.0888519898</v>
      </c>
      <c r="R64">
        <v>58</v>
      </c>
      <c r="S64">
        <f t="shared" si="0"/>
        <v>0.56151365321810853</v>
      </c>
      <c r="T64" s="1">
        <f t="shared" si="1"/>
        <v>1616.3871313568959</v>
      </c>
      <c r="V64">
        <v>58</v>
      </c>
      <c r="W64">
        <f t="shared" si="2"/>
        <v>0.6483161209297067</v>
      </c>
      <c r="X64">
        <f t="shared" si="3"/>
        <v>1013.6584953095497</v>
      </c>
    </row>
    <row r="65" spans="7:24" x14ac:dyDescent="0.25">
      <c r="G65" s="3">
        <v>57</v>
      </c>
      <c r="H65" s="4">
        <f t="shared" si="4"/>
        <v>2057.2251938510094</v>
      </c>
      <c r="I65" s="4">
        <f t="shared" si="8"/>
        <v>1957.3208885198981</v>
      </c>
      <c r="J65" s="4">
        <f t="shared" si="9"/>
        <v>99.904305331111345</v>
      </c>
      <c r="K65" s="5">
        <f t="shared" si="10"/>
        <v>195632.18454665868</v>
      </c>
      <c r="R65">
        <v>59</v>
      </c>
      <c r="S65">
        <f t="shared" si="0"/>
        <v>0.5559541120971373</v>
      </c>
      <c r="T65" s="1">
        <f t="shared" si="1"/>
        <v>1609.680130811847</v>
      </c>
      <c r="V65">
        <v>59</v>
      </c>
      <c r="W65">
        <f t="shared" si="2"/>
        <v>0.64348994633221512</v>
      </c>
      <c r="X65">
        <f t="shared" si="3"/>
        <v>1009.4524434617924</v>
      </c>
    </row>
    <row r="66" spans="7:24" x14ac:dyDescent="0.25">
      <c r="G66" s="3">
        <v>58</v>
      </c>
      <c r="H66" s="4">
        <f t="shared" si="4"/>
        <v>2057.2251938510094</v>
      </c>
      <c r="I66" s="4">
        <f t="shared" si="8"/>
        <v>1956.3218454665866</v>
      </c>
      <c r="J66" s="4">
        <f t="shared" si="9"/>
        <v>100.90334838442277</v>
      </c>
      <c r="K66" s="5">
        <f t="shared" si="10"/>
        <v>195531.28119827426</v>
      </c>
      <c r="R66">
        <v>60</v>
      </c>
      <c r="S66">
        <f t="shared" si="0"/>
        <v>0.55044961593775965</v>
      </c>
      <c r="T66" s="1">
        <f t="shared" si="1"/>
        <v>1603.0009601445777</v>
      </c>
      <c r="V66">
        <v>60</v>
      </c>
      <c r="W66">
        <f t="shared" si="2"/>
        <v>0.6386996985927692</v>
      </c>
      <c r="X66">
        <f t="shared" si="3"/>
        <v>1005.2638441113285</v>
      </c>
    </row>
    <row r="67" spans="7:24" x14ac:dyDescent="0.25">
      <c r="G67" s="3">
        <v>59</v>
      </c>
      <c r="H67" s="4">
        <f t="shared" si="4"/>
        <v>2057.2251938510094</v>
      </c>
      <c r="I67" s="4">
        <f t="shared" si="8"/>
        <v>1955.3128119827425</v>
      </c>
      <c r="J67" s="4">
        <f t="shared" si="9"/>
        <v>101.91238186826695</v>
      </c>
      <c r="K67" s="5">
        <f t="shared" si="10"/>
        <v>195429.368816406</v>
      </c>
      <c r="R67">
        <v>61</v>
      </c>
      <c r="S67">
        <f t="shared" si="0"/>
        <v>0.54499961974035604</v>
      </c>
      <c r="T67" s="1">
        <f t="shared" si="1"/>
        <v>1596.3495038784176</v>
      </c>
      <c r="V67">
        <v>61</v>
      </c>
      <c r="W67">
        <f t="shared" si="2"/>
        <v>0.63394511026577594</v>
      </c>
      <c r="X67">
        <f t="shared" si="3"/>
        <v>1001.092624841157</v>
      </c>
    </row>
    <row r="68" spans="7:24" x14ac:dyDescent="0.25">
      <c r="G68" s="3">
        <v>60</v>
      </c>
      <c r="H68" s="4">
        <f t="shared" si="4"/>
        <v>2057.2251938510094</v>
      </c>
      <c r="I68" s="4">
        <f t="shared" si="8"/>
        <v>1954.2936881640599</v>
      </c>
      <c r="J68" s="4">
        <f t="shared" si="9"/>
        <v>102.93150568694955</v>
      </c>
      <c r="K68" s="5">
        <f t="shared" si="10"/>
        <v>195326.43731071905</v>
      </c>
      <c r="R68">
        <v>62</v>
      </c>
      <c r="S68">
        <f t="shared" si="0"/>
        <v>0.53960358390134255</v>
      </c>
      <c r="T68" s="1">
        <f t="shared" si="1"/>
        <v>1589.7256470158518</v>
      </c>
      <c r="V68">
        <v>62</v>
      </c>
      <c r="W68">
        <f t="shared" si="2"/>
        <v>0.62922591589655164</v>
      </c>
      <c r="X68">
        <f t="shared" si="3"/>
        <v>996.93871353476231</v>
      </c>
    </row>
    <row r="69" spans="7:24" x14ac:dyDescent="0.25">
      <c r="G69" s="3">
        <v>61</v>
      </c>
      <c r="H69" s="4">
        <f t="shared" si="4"/>
        <v>2057.2251938510094</v>
      </c>
      <c r="I69" s="4">
        <f t="shared" si="8"/>
        <v>1953.2643731071903</v>
      </c>
      <c r="J69" s="4">
        <f t="shared" si="9"/>
        <v>103.96082074381911</v>
      </c>
      <c r="K69" s="5">
        <f t="shared" si="10"/>
        <v>195222.47648997523</v>
      </c>
      <c r="R69">
        <v>63</v>
      </c>
      <c r="S69">
        <f t="shared" si="0"/>
        <v>0.53426097415974527</v>
      </c>
      <c r="T69" s="1">
        <f t="shared" si="1"/>
        <v>1583.1292750365319</v>
      </c>
      <c r="V69">
        <v>63</v>
      </c>
      <c r="W69">
        <f t="shared" si="2"/>
        <v>0.6245418520065027</v>
      </c>
      <c r="X69">
        <f t="shared" si="3"/>
        <v>992.80203837486636</v>
      </c>
    </row>
    <row r="70" spans="7:24" x14ac:dyDescent="0.25">
      <c r="G70" s="3">
        <v>62</v>
      </c>
      <c r="H70" s="4">
        <f t="shared" si="4"/>
        <v>2057.2251938510094</v>
      </c>
      <c r="I70" s="4">
        <f t="shared" si="8"/>
        <v>1952.2247648997525</v>
      </c>
      <c r="J70" s="4">
        <f t="shared" si="9"/>
        <v>105.00042895125694</v>
      </c>
      <c r="K70" s="5">
        <f t="shared" si="10"/>
        <v>195117.47606102398</v>
      </c>
      <c r="R70">
        <v>64</v>
      </c>
      <c r="S70">
        <f t="shared" si="0"/>
        <v>0.52897126154430207</v>
      </c>
      <c r="T70" s="1">
        <f t="shared" si="1"/>
        <v>1576.5602738953021</v>
      </c>
      <c r="V70">
        <v>64</v>
      </c>
      <c r="W70">
        <f t="shared" si="2"/>
        <v>0.61989265707841479</v>
      </c>
      <c r="X70">
        <f t="shared" si="3"/>
        <v>988.68252784219101</v>
      </c>
    </row>
    <row r="71" spans="7:24" x14ac:dyDescent="0.25">
      <c r="G71" s="3">
        <v>63</v>
      </c>
      <c r="H71" s="4">
        <f t="shared" si="4"/>
        <v>2057.2251938510094</v>
      </c>
      <c r="I71" s="4">
        <f t="shared" si="8"/>
        <v>1951.1747606102397</v>
      </c>
      <c r="J71" s="4">
        <f t="shared" si="9"/>
        <v>106.05043324076973</v>
      </c>
      <c r="K71" s="5">
        <f t="shared" si="10"/>
        <v>195011.4256277832</v>
      </c>
      <c r="R71">
        <v>65</v>
      </c>
      <c r="S71">
        <f t="shared" si="0"/>
        <v>0.52373392232109117</v>
      </c>
      <c r="T71" s="1">
        <f t="shared" si="1"/>
        <v>1570.0185300202179</v>
      </c>
      <c r="V71">
        <v>65</v>
      </c>
      <c r="W71">
        <f t="shared" si="2"/>
        <v>0.61527807154185088</v>
      </c>
      <c r="X71">
        <f t="shared" si="3"/>
        <v>984.58011071421504</v>
      </c>
    </row>
    <row r="72" spans="7:24" x14ac:dyDescent="0.25">
      <c r="G72" s="3">
        <v>64</v>
      </c>
      <c r="H72" s="4">
        <f t="shared" si="4"/>
        <v>2057.2251938510094</v>
      </c>
      <c r="I72" s="4">
        <f t="shared" si="8"/>
        <v>1950.1142562778321</v>
      </c>
      <c r="J72" s="4">
        <f t="shared" si="9"/>
        <v>107.11093757317735</v>
      </c>
      <c r="K72" s="5">
        <f t="shared" si="10"/>
        <v>194904.31469021001</v>
      </c>
      <c r="R72">
        <v>66</v>
      </c>
      <c r="S72">
        <f t="shared" ref="S72:S135" si="11">1/(1+$I$4/12)^(R72)</f>
        <v>0.51854843794167449</v>
      </c>
      <c r="T72" s="1">
        <f t="shared" ref="T72:T126" si="12">$T$5/(1+0.05/12)^R72</f>
        <v>1563.5039303105902</v>
      </c>
      <c r="V72">
        <v>66</v>
      </c>
      <c r="W72">
        <f t="shared" ref="W72:W135" si="13">1/(1+$W$4/12)^(V72)</f>
        <v>0.61069783775866082</v>
      </c>
      <c r="X72">
        <f t="shared" ref="X72:X135" si="14">$X$6/(1+0.05/12)^V72</f>
        <v>980.49471606394854</v>
      </c>
    </row>
    <row r="73" spans="7:24" x14ac:dyDescent="0.25">
      <c r="G73" s="3">
        <v>65</v>
      </c>
      <c r="H73" s="4">
        <f t="shared" si="4"/>
        <v>2057.2251938510094</v>
      </c>
      <c r="I73" s="4">
        <f t="shared" si="8"/>
        <v>1949.0431469021003</v>
      </c>
      <c r="J73" s="4">
        <f t="shared" si="9"/>
        <v>108.18204694890915</v>
      </c>
      <c r="K73" s="5">
        <f t="shared" si="10"/>
        <v>194796.13264326111</v>
      </c>
      <c r="R73">
        <v>67</v>
      </c>
      <c r="S73">
        <f t="shared" si="11"/>
        <v>0.51341429499175695</v>
      </c>
      <c r="T73" s="1">
        <f t="shared" si="12"/>
        <v>1557.0163621350275</v>
      </c>
      <c r="V73">
        <v>67</v>
      </c>
      <c r="W73">
        <f t="shared" si="13"/>
        <v>0.60615170000859619</v>
      </c>
      <c r="X73">
        <f t="shared" si="14"/>
        <v>976.42627325870387</v>
      </c>
    </row>
    <row r="74" spans="7:24" x14ac:dyDescent="0.25">
      <c r="G74" s="3">
        <v>66</v>
      </c>
      <c r="H74" s="4">
        <f t="shared" ref="H74:H137" si="15">$T$5</f>
        <v>2057.2251938510094</v>
      </c>
      <c r="I74" s="4">
        <f t="shared" si="8"/>
        <v>1947.961326432611</v>
      </c>
      <c r="J74" s="4">
        <f t="shared" si="9"/>
        <v>109.26386741839838</v>
      </c>
      <c r="K74" s="5">
        <f t="shared" si="10"/>
        <v>194686.86877584271</v>
      </c>
      <c r="R74">
        <v>68</v>
      </c>
      <c r="S74">
        <f t="shared" si="11"/>
        <v>0.50833098514035335</v>
      </c>
      <c r="T74" s="1">
        <f t="shared" si="12"/>
        <v>1550.5557133294881</v>
      </c>
      <c r="V74">
        <v>68</v>
      </c>
      <c r="W74">
        <f t="shared" si="13"/>
        <v>0.6016394044750335</v>
      </c>
      <c r="X74">
        <f t="shared" si="14"/>
        <v>972.3747119588752</v>
      </c>
    </row>
    <row r="75" spans="7:24" x14ac:dyDescent="0.25">
      <c r="G75" s="3">
        <v>67</v>
      </c>
      <c r="H75" s="4">
        <f t="shared" si="15"/>
        <v>2057.2251938510094</v>
      </c>
      <c r="I75" s="4">
        <f t="shared" si="8"/>
        <v>1946.8686877584271</v>
      </c>
      <c r="J75" s="4">
        <f t="shared" si="9"/>
        <v>110.35650609258232</v>
      </c>
      <c r="K75" s="5">
        <f t="shared" si="10"/>
        <v>194576.51226975012</v>
      </c>
      <c r="R75">
        <v>69</v>
      </c>
      <c r="S75">
        <f t="shared" si="11"/>
        <v>0.50329800508945877</v>
      </c>
      <c r="T75" s="1">
        <f t="shared" si="12"/>
        <v>1544.121872195341</v>
      </c>
      <c r="V75">
        <v>69</v>
      </c>
      <c r="W75">
        <f t="shared" si="13"/>
        <v>0.59716069923080251</v>
      </c>
      <c r="X75">
        <f t="shared" si="14"/>
        <v>968.3399621167224</v>
      </c>
    </row>
    <row r="76" spans="7:24" x14ac:dyDescent="0.25">
      <c r="G76" s="3">
        <v>68</v>
      </c>
      <c r="H76" s="4">
        <f t="shared" si="15"/>
        <v>2057.2251938510094</v>
      </c>
      <c r="I76" s="4">
        <f t="shared" si="8"/>
        <v>1945.7651226975013</v>
      </c>
      <c r="J76" s="4">
        <f t="shared" si="9"/>
        <v>111.46007115350812</v>
      </c>
      <c r="K76" s="5">
        <f t="shared" si="10"/>
        <v>194465.05219859662</v>
      </c>
      <c r="R76">
        <v>70</v>
      </c>
      <c r="S76">
        <f t="shared" si="11"/>
        <v>0.49831485652421648</v>
      </c>
      <c r="T76" s="1">
        <f t="shared" si="12"/>
        <v>1537.714727497435</v>
      </c>
      <c r="V76">
        <v>70</v>
      </c>
      <c r="W76">
        <f t="shared" si="13"/>
        <v>0.59271533422412137</v>
      </c>
      <c r="X76">
        <f t="shared" si="14"/>
        <v>964.32195397515909</v>
      </c>
    </row>
    <row r="77" spans="7:24" x14ac:dyDescent="0.25">
      <c r="G77" s="3">
        <v>69</v>
      </c>
      <c r="H77" s="4">
        <f t="shared" si="15"/>
        <v>2057.2251938510094</v>
      </c>
      <c r="I77" s="4">
        <f t="shared" si="8"/>
        <v>1944.6505219859662</v>
      </c>
      <c r="J77" s="4">
        <f t="shared" si="9"/>
        <v>112.57467186504323</v>
      </c>
      <c r="K77" s="5">
        <f t="shared" si="10"/>
        <v>194352.47752673159</v>
      </c>
      <c r="R77">
        <v>71</v>
      </c>
      <c r="S77">
        <f t="shared" si="11"/>
        <v>0.49338104606358091</v>
      </c>
      <c r="T77" s="1">
        <f t="shared" si="12"/>
        <v>1531.3341684621755</v>
      </c>
      <c r="V77">
        <v>71</v>
      </c>
      <c r="W77">
        <f t="shared" si="13"/>
        <v>0.5883030612646365</v>
      </c>
      <c r="X77">
        <f t="shared" si="14"/>
        <v>960.32061806654838</v>
      </c>
    </row>
    <row r="78" spans="7:24" x14ac:dyDescent="0.25">
      <c r="G78" s="3">
        <v>70</v>
      </c>
      <c r="H78" s="4">
        <f t="shared" si="15"/>
        <v>2057.2251938510094</v>
      </c>
      <c r="I78" s="4">
        <f t="shared" si="8"/>
        <v>1943.5247752673158</v>
      </c>
      <c r="J78" s="4">
        <f t="shared" si="9"/>
        <v>113.70041858369359</v>
      </c>
      <c r="K78" s="5">
        <f t="shared" si="10"/>
        <v>194238.77710814789</v>
      </c>
      <c r="R78">
        <v>72</v>
      </c>
      <c r="S78">
        <f t="shared" si="11"/>
        <v>0.48849608521146609</v>
      </c>
      <c r="T78" s="1">
        <f t="shared" si="12"/>
        <v>1524.9800847756107</v>
      </c>
      <c r="V78">
        <v>72</v>
      </c>
      <c r="W78">
        <f t="shared" si="13"/>
        <v>0.58392363400956482</v>
      </c>
      <c r="X78">
        <f t="shared" si="14"/>
        <v>956.33588521150057</v>
      </c>
    </row>
    <row r="79" spans="7:24" x14ac:dyDescent="0.25">
      <c r="G79" s="3">
        <v>71</v>
      </c>
      <c r="H79" s="4">
        <f t="shared" si="15"/>
        <v>2057.2251938510094</v>
      </c>
      <c r="I79" s="4">
        <f t="shared" si="8"/>
        <v>1942.3877710814788</v>
      </c>
      <c r="J79" s="4">
        <f t="shared" si="9"/>
        <v>114.83742276953058</v>
      </c>
      <c r="K79" s="5">
        <f t="shared" si="10"/>
        <v>194123.93968537837</v>
      </c>
      <c r="R79">
        <v>73</v>
      </c>
      <c r="S79">
        <f t="shared" si="11"/>
        <v>0.48365949030838223</v>
      </c>
      <c r="T79" s="1">
        <f t="shared" si="12"/>
        <v>1518.6523665815209</v>
      </c>
      <c r="V79">
        <v>73</v>
      </c>
      <c r="W79">
        <f t="shared" si="13"/>
        <v>0.57957680794994026</v>
      </c>
      <c r="X79">
        <f t="shared" si="14"/>
        <v>952.36768651767682</v>
      </c>
    </row>
    <row r="80" spans="7:24" x14ac:dyDescent="0.25">
      <c r="G80" s="3">
        <v>72</v>
      </c>
      <c r="H80" s="4">
        <f t="shared" si="15"/>
        <v>2057.2251938510094</v>
      </c>
      <c r="I80" s="4">
        <f t="shared" si="8"/>
        <v>1941.2393968537835</v>
      </c>
      <c r="J80" s="4">
        <f t="shared" si="9"/>
        <v>115.98579699722586</v>
      </c>
      <c r="K80" s="5">
        <f t="shared" si="10"/>
        <v>194007.95388838113</v>
      </c>
      <c r="R80">
        <v>74</v>
      </c>
      <c r="S80">
        <f t="shared" si="11"/>
        <v>0.47887078248354675</v>
      </c>
      <c r="T80" s="1">
        <f t="shared" si="12"/>
        <v>1512.3509044795228</v>
      </c>
      <c r="V80">
        <v>74</v>
      </c>
      <c r="W80">
        <f t="shared" si="13"/>
        <v>0.57526234039696289</v>
      </c>
      <c r="X80">
        <f t="shared" si="14"/>
        <v>948.41595337859928</v>
      </c>
    </row>
    <row r="81" spans="7:24" x14ac:dyDescent="0.25">
      <c r="G81" s="3">
        <v>73</v>
      </c>
      <c r="H81" s="4">
        <f t="shared" si="15"/>
        <v>2057.2251938510094</v>
      </c>
      <c r="I81" s="4">
        <f t="shared" si="8"/>
        <v>1940.0795388838112</v>
      </c>
      <c r="J81" s="4">
        <f t="shared" si="9"/>
        <v>117.1456549671982</v>
      </c>
      <c r="K81" s="5">
        <f t="shared" si="10"/>
        <v>193890.80823341393</v>
      </c>
      <c r="R81">
        <v>75</v>
      </c>
      <c r="S81">
        <f t="shared" si="11"/>
        <v>0.47412948760747214</v>
      </c>
      <c r="T81" s="1">
        <f t="shared" si="12"/>
        <v>1506.0755895231766</v>
      </c>
      <c r="V81">
        <v>75</v>
      </c>
      <c r="W81">
        <f t="shared" si="13"/>
        <v>0.57097999046844949</v>
      </c>
      <c r="X81">
        <f t="shared" si="14"/>
        <v>944.48061747246413</v>
      </c>
    </row>
    <row r="82" spans="7:24" x14ac:dyDescent="0.25">
      <c r="G82" s="3">
        <v>74</v>
      </c>
      <c r="H82" s="4">
        <f t="shared" si="15"/>
        <v>2057.2251938510094</v>
      </c>
      <c r="I82" s="4">
        <f t="shared" si="8"/>
        <v>1938.9080823341392</v>
      </c>
      <c r="J82" s="4">
        <f t="shared" si="9"/>
        <v>118.31711151687023</v>
      </c>
      <c r="K82" s="5">
        <f t="shared" si="10"/>
        <v>193772.49112189707</v>
      </c>
      <c r="R82">
        <v>76</v>
      </c>
      <c r="S82">
        <f t="shared" si="11"/>
        <v>0.46943513624502187</v>
      </c>
      <c r="T82" s="1">
        <f t="shared" si="12"/>
        <v>1499.8263132181009</v>
      </c>
      <c r="V82">
        <v>76</v>
      </c>
      <c r="W82">
        <f t="shared" si="13"/>
        <v>0.56672951907538405</v>
      </c>
      <c r="X82">
        <f t="shared" si="14"/>
        <v>940.56161076096009</v>
      </c>
    </row>
    <row r="83" spans="7:24" x14ac:dyDescent="0.25">
      <c r="G83" s="3">
        <v>75</v>
      </c>
      <c r="H83" s="4">
        <f t="shared" si="15"/>
        <v>2057.2251938510094</v>
      </c>
      <c r="I83" s="4">
        <f t="shared" si="8"/>
        <v>1937.7249112189704</v>
      </c>
      <c r="J83" s="4">
        <f t="shared" si="9"/>
        <v>119.50028263203899</v>
      </c>
      <c r="K83" s="5">
        <f t="shared" si="10"/>
        <v>193652.99083926502</v>
      </c>
      <c r="R83">
        <v>77</v>
      </c>
      <c r="S83">
        <f t="shared" si="11"/>
        <v>0.46478726360893258</v>
      </c>
      <c r="T83" s="1">
        <f t="shared" si="12"/>
        <v>1493.6029675201007</v>
      </c>
      <c r="V83">
        <v>77</v>
      </c>
      <c r="W83">
        <f t="shared" si="13"/>
        <v>0.56251068890856981</v>
      </c>
      <c r="X83">
        <f t="shared" si="14"/>
        <v>936.65886548809317</v>
      </c>
    </row>
    <row r="84" spans="7:24" x14ac:dyDescent="0.25">
      <c r="G84" s="3">
        <v>76</v>
      </c>
      <c r="H84" s="4">
        <f t="shared" si="15"/>
        <v>2057.2251938510094</v>
      </c>
      <c r="I84" s="4">
        <f t="shared" si="8"/>
        <v>1936.5299083926502</v>
      </c>
      <c r="J84" s="4">
        <f t="shared" si="9"/>
        <v>120.69528545835919</v>
      </c>
      <c r="K84" s="5">
        <f t="shared" si="10"/>
        <v>193532.29555380667</v>
      </c>
      <c r="R84">
        <v>78</v>
      </c>
      <c r="S84">
        <f t="shared" si="11"/>
        <v>0.46018540951379455</v>
      </c>
      <c r="T84" s="1">
        <f t="shared" si="12"/>
        <v>1487.4054448332952</v>
      </c>
      <c r="V84">
        <v>78</v>
      </c>
      <c r="W84">
        <f t="shared" si="13"/>
        <v>0.55832326442537927</v>
      </c>
      <c r="X84">
        <f t="shared" si="14"/>
        <v>932.77231417901385</v>
      </c>
    </row>
    <row r="85" spans="7:24" x14ac:dyDescent="0.25">
      <c r="G85" s="3">
        <v>77</v>
      </c>
      <c r="H85" s="4">
        <f t="shared" si="15"/>
        <v>2057.2251938510094</v>
      </c>
      <c r="I85" s="4">
        <f t="shared" si="8"/>
        <v>1935.3229555380667</v>
      </c>
      <c r="J85" s="4">
        <f t="shared" si="9"/>
        <v>121.9022383129427</v>
      </c>
      <c r="K85" s="5">
        <f t="shared" si="10"/>
        <v>193410.39331549374</v>
      </c>
      <c r="R85">
        <v>79</v>
      </c>
      <c r="S85">
        <f t="shared" si="11"/>
        <v>0.4556291183304898</v>
      </c>
      <c r="T85" s="1">
        <f t="shared" si="12"/>
        <v>1481.2336380082604</v>
      </c>
      <c r="V85">
        <v>79</v>
      </c>
      <c r="W85">
        <f t="shared" si="13"/>
        <v>0.55416701183660477</v>
      </c>
      <c r="X85">
        <f t="shared" si="14"/>
        <v>928.90188963885169</v>
      </c>
    </row>
    <row r="86" spans="7:24" x14ac:dyDescent="0.25">
      <c r="G86" s="3">
        <v>78</v>
      </c>
      <c r="H86" s="4">
        <f t="shared" si="15"/>
        <v>2057.2251938510094</v>
      </c>
      <c r="I86" s="4">
        <f t="shared" si="8"/>
        <v>1934.1039331549373</v>
      </c>
      <c r="J86" s="4">
        <f t="shared" si="9"/>
        <v>123.12126069607211</v>
      </c>
      <c r="K86" s="5">
        <f t="shared" si="10"/>
        <v>193287.27205479768</v>
      </c>
      <c r="R86">
        <v>80</v>
      </c>
      <c r="S86">
        <f t="shared" si="11"/>
        <v>0.45111793894107888</v>
      </c>
      <c r="T86" s="1">
        <f t="shared" si="12"/>
        <v>1475.0874403401765</v>
      </c>
      <c r="V86">
        <v>80</v>
      </c>
      <c r="W86">
        <f t="shared" si="13"/>
        <v>0.55004169909340428</v>
      </c>
      <c r="X86">
        <f t="shared" si="14"/>
        <v>925.04752495155367</v>
      </c>
    </row>
    <row r="87" spans="7:24" x14ac:dyDescent="0.25">
      <c r="G87" s="3">
        <v>79</v>
      </c>
      <c r="H87" s="4">
        <f t="shared" si="15"/>
        <v>2057.2251938510094</v>
      </c>
      <c r="I87" s="4">
        <f t="shared" si="8"/>
        <v>1932.8727205479765</v>
      </c>
      <c r="J87" s="4">
        <f t="shared" si="9"/>
        <v>124.35247330303287</v>
      </c>
      <c r="K87" s="5">
        <f t="shared" si="10"/>
        <v>193162.91958149464</v>
      </c>
      <c r="R87">
        <v>81</v>
      </c>
      <c r="S87">
        <f t="shared" si="11"/>
        <v>0.44665142469413749</v>
      </c>
      <c r="T87" s="1">
        <f t="shared" si="12"/>
        <v>1468.9667455669808</v>
      </c>
      <c r="V87">
        <v>81</v>
      </c>
      <c r="W87">
        <f t="shared" si="13"/>
        <v>0.54594709587434653</v>
      </c>
      <c r="X87">
        <f t="shared" si="14"/>
        <v>921.20915347872574</v>
      </c>
    </row>
    <row r="88" spans="7:24" x14ac:dyDescent="0.25">
      <c r="G88" s="3">
        <v>80</v>
      </c>
      <c r="H88" s="4">
        <f t="shared" si="15"/>
        <v>2057.2251938510094</v>
      </c>
      <c r="I88" s="4">
        <f t="shared" si="8"/>
        <v>1931.6291958149466</v>
      </c>
      <c r="J88" s="4">
        <f t="shared" si="9"/>
        <v>125.59599803606284</v>
      </c>
      <c r="K88" s="5">
        <f t="shared" si="10"/>
        <v>193037.32358345858</v>
      </c>
      <c r="R88">
        <v>82</v>
      </c>
      <c r="S88">
        <f t="shared" si="11"/>
        <v>0.44222913336053205</v>
      </c>
      <c r="T88" s="1">
        <f t="shared" si="12"/>
        <v>1462.8714478675329</v>
      </c>
      <c r="V88">
        <v>82</v>
      </c>
      <c r="W88">
        <f t="shared" si="13"/>
        <v>0.54188297357255233</v>
      </c>
      <c r="X88">
        <f t="shared" si="14"/>
        <v>917.38670885848205</v>
      </c>
    </row>
    <row r="89" spans="7:24" x14ac:dyDescent="0.25">
      <c r="G89" s="3">
        <v>81</v>
      </c>
      <c r="H89" s="4">
        <f t="shared" si="15"/>
        <v>2057.2251938510094</v>
      </c>
      <c r="I89" s="4">
        <f t="shared" si="8"/>
        <v>1930.3732358345858</v>
      </c>
      <c r="J89" s="4">
        <f t="shared" si="9"/>
        <v>126.85195801642362</v>
      </c>
      <c r="K89" s="5">
        <f t="shared" si="10"/>
        <v>192910.47162544215</v>
      </c>
      <c r="R89">
        <v>83</v>
      </c>
      <c r="S89">
        <f t="shared" si="11"/>
        <v>0.43785062708963579</v>
      </c>
      <c r="T89" s="1">
        <f t="shared" si="12"/>
        <v>1456.8014418597836</v>
      </c>
      <c r="V89">
        <v>83</v>
      </c>
      <c r="W89">
        <f t="shared" si="13"/>
        <v>0.5378491052829304</v>
      </c>
      <c r="X89">
        <f t="shared" si="14"/>
        <v>913.58012500429732</v>
      </c>
    </row>
    <row r="90" spans="7:24" x14ac:dyDescent="0.25">
      <c r="G90" s="3">
        <v>82</v>
      </c>
      <c r="H90" s="4">
        <f t="shared" si="15"/>
        <v>2057.2251938510094</v>
      </c>
      <c r="I90" s="4">
        <f t="shared" si="8"/>
        <v>1929.1047162544216</v>
      </c>
      <c r="J90" s="4">
        <f t="shared" si="9"/>
        <v>128.12047759658776</v>
      </c>
      <c r="K90" s="5">
        <f t="shared" si="10"/>
        <v>192782.35114784556</v>
      </c>
      <c r="R90">
        <v>84</v>
      </c>
      <c r="S90">
        <f t="shared" si="11"/>
        <v>0.43351547236597604</v>
      </c>
      <c r="T90" s="1">
        <f t="shared" si="12"/>
        <v>1450.7566225989547</v>
      </c>
      <c r="V90">
        <v>84</v>
      </c>
      <c r="W90">
        <f t="shared" si="13"/>
        <v>0.53384526578950897</v>
      </c>
      <c r="X90">
        <f t="shared" si="14"/>
        <v>909.78933610386457</v>
      </c>
    </row>
    <row r="91" spans="7:24" x14ac:dyDescent="0.25">
      <c r="G91" s="3">
        <v>83</v>
      </c>
      <c r="H91" s="4">
        <f t="shared" si="15"/>
        <v>2057.2251938510094</v>
      </c>
      <c r="I91" s="4">
        <f t="shared" si="8"/>
        <v>1927.8235114784557</v>
      </c>
      <c r="J91" s="4">
        <f t="shared" si="9"/>
        <v>129.40168237255375</v>
      </c>
      <c r="K91" s="5">
        <f t="shared" si="10"/>
        <v>192652.94946547301</v>
      </c>
      <c r="R91">
        <v>85</v>
      </c>
      <c r="S91">
        <f t="shared" si="11"/>
        <v>0.42922323996631301</v>
      </c>
      <c r="T91" s="1">
        <f t="shared" si="12"/>
        <v>1444.7368855757222</v>
      </c>
      <c r="V91">
        <v>85</v>
      </c>
      <c r="W91">
        <f t="shared" si="13"/>
        <v>0.52987123155286253</v>
      </c>
      <c r="X91">
        <f t="shared" si="14"/>
        <v>906.0142766179564</v>
      </c>
    </row>
    <row r="92" spans="7:24" x14ac:dyDescent="0.25">
      <c r="G92" s="3">
        <v>84</v>
      </c>
      <c r="H92" s="4">
        <f t="shared" si="15"/>
        <v>2057.2251938510094</v>
      </c>
      <c r="I92" s="4">
        <f t="shared" si="8"/>
        <v>1926.5294946547301</v>
      </c>
      <c r="J92" s="4">
        <f t="shared" si="9"/>
        <v>130.69569919627929</v>
      </c>
      <c r="K92" s="5">
        <f t="shared" si="10"/>
        <v>192522.25376627673</v>
      </c>
      <c r="R92">
        <v>86</v>
      </c>
      <c r="S92">
        <f t="shared" si="11"/>
        <v>0.42497350491714148</v>
      </c>
      <c r="T92" s="1">
        <f t="shared" si="12"/>
        <v>1438.7421267144125</v>
      </c>
      <c r="V92">
        <v>86</v>
      </c>
      <c r="W92">
        <f t="shared" si="13"/>
        <v>0.5259267806976301</v>
      </c>
      <c r="X92">
        <f t="shared" si="14"/>
        <v>902.25488127929282</v>
      </c>
    </row>
    <row r="93" spans="7:24" x14ac:dyDescent="0.25">
      <c r="G93" s="3">
        <v>85</v>
      </c>
      <c r="H93" s="4">
        <f t="shared" si="15"/>
        <v>2057.2251938510094</v>
      </c>
      <c r="I93" s="4">
        <f t="shared" ref="I93:I156" si="16">K92*$I$4/12</f>
        <v>1925.2225376627673</v>
      </c>
      <c r="J93" s="4">
        <f t="shared" ref="J93:J156" si="17">H93-I93</f>
        <v>132.0026561882421</v>
      </c>
      <c r="K93" s="5">
        <f t="shared" ref="K93:K156" si="18">K92-J93</f>
        <v>192390.25111008849</v>
      </c>
      <c r="R93">
        <v>87</v>
      </c>
      <c r="S93">
        <f t="shared" si="11"/>
        <v>0.42076584645261539</v>
      </c>
      <c r="T93" s="1">
        <f t="shared" si="12"/>
        <v>1432.7722423711987</v>
      </c>
      <c r="V93">
        <v>87</v>
      </c>
      <c r="W93">
        <f t="shared" si="13"/>
        <v>0.52201169300012917</v>
      </c>
      <c r="X93">
        <f t="shared" si="14"/>
        <v>898.51108509141159</v>
      </c>
    </row>
    <row r="94" spans="7:24" x14ac:dyDescent="0.25">
      <c r="G94" s="3">
        <v>86</v>
      </c>
      <c r="H94" s="4">
        <f t="shared" si="15"/>
        <v>2057.2251938510094</v>
      </c>
      <c r="I94" s="4">
        <f t="shared" si="16"/>
        <v>1923.9025111008848</v>
      </c>
      <c r="J94" s="4">
        <f t="shared" si="17"/>
        <v>133.32268275012461</v>
      </c>
      <c r="K94" s="5">
        <f t="shared" si="18"/>
        <v>192256.92842733837</v>
      </c>
      <c r="R94">
        <v>88</v>
      </c>
      <c r="S94">
        <f t="shared" si="11"/>
        <v>0.41659984797288641</v>
      </c>
      <c r="T94" s="1">
        <f t="shared" si="12"/>
        <v>1426.8271293323141</v>
      </c>
      <c r="V94">
        <v>88</v>
      </c>
      <c r="W94">
        <f t="shared" si="13"/>
        <v>0.51812574987605875</v>
      </c>
      <c r="X94">
        <f t="shared" si="14"/>
        <v>894.78282332754691</v>
      </c>
    </row>
    <row r="95" spans="7:24" x14ac:dyDescent="0.25">
      <c r="G95" s="3">
        <v>87</v>
      </c>
      <c r="H95" s="4">
        <f t="shared" si="15"/>
        <v>2057.2251938510094</v>
      </c>
      <c r="I95" s="4">
        <f t="shared" si="16"/>
        <v>1922.5692842733836</v>
      </c>
      <c r="J95" s="4">
        <f t="shared" si="17"/>
        <v>134.65590957762583</v>
      </c>
      <c r="K95" s="5">
        <f t="shared" si="18"/>
        <v>192122.27251776075</v>
      </c>
      <c r="R95">
        <v>89</v>
      </c>
      <c r="S95">
        <f t="shared" si="11"/>
        <v>0.41247509700285773</v>
      </c>
      <c r="T95" s="1">
        <f t="shared" si="12"/>
        <v>1420.9066848122634</v>
      </c>
      <c r="V95">
        <v>89</v>
      </c>
      <c r="W95">
        <f t="shared" si="13"/>
        <v>0.51426873436829645</v>
      </c>
      <c r="X95">
        <f t="shared" si="14"/>
        <v>891.07003152950745</v>
      </c>
    </row>
    <row r="96" spans="7:24" x14ac:dyDescent="0.25">
      <c r="G96" s="3">
        <v>88</v>
      </c>
      <c r="H96" s="4">
        <f t="shared" si="15"/>
        <v>2057.2251938510094</v>
      </c>
      <c r="I96" s="4">
        <f t="shared" si="16"/>
        <v>1921.2227251776076</v>
      </c>
      <c r="J96" s="4">
        <f t="shared" si="17"/>
        <v>136.00246867340184</v>
      </c>
      <c r="K96" s="5">
        <f t="shared" si="18"/>
        <v>191986.27004908735</v>
      </c>
      <c r="R96">
        <v>90</v>
      </c>
      <c r="S96">
        <f t="shared" si="11"/>
        <v>0.40839118515134432</v>
      </c>
      <c r="T96" s="1">
        <f t="shared" si="12"/>
        <v>1415.0108064520462</v>
      </c>
      <c r="V96">
        <v>90</v>
      </c>
      <c r="W96">
        <f t="shared" si="13"/>
        <v>0.51044043113478543</v>
      </c>
      <c r="X96">
        <f t="shared" si="14"/>
        <v>887.37264550656323</v>
      </c>
    </row>
    <row r="97" spans="7:24" x14ac:dyDescent="0.25">
      <c r="G97" s="3">
        <v>89</v>
      </c>
      <c r="H97" s="4">
        <f t="shared" si="15"/>
        <v>2057.2251938510094</v>
      </c>
      <c r="I97" s="4">
        <f t="shared" si="16"/>
        <v>1919.8627004908733</v>
      </c>
      <c r="J97" s="4">
        <f t="shared" si="17"/>
        <v>137.36249336013611</v>
      </c>
      <c r="K97" s="5">
        <f t="shared" si="18"/>
        <v>191848.90755572723</v>
      </c>
      <c r="R97">
        <v>91</v>
      </c>
      <c r="S97">
        <f t="shared" si="11"/>
        <v>0.40434770807063808</v>
      </c>
      <c r="T97" s="1">
        <f t="shared" si="12"/>
        <v>1409.1393923173907</v>
      </c>
      <c r="V97">
        <v>91</v>
      </c>
      <c r="W97">
        <f t="shared" si="13"/>
        <v>0.50664062643651164</v>
      </c>
      <c r="X97">
        <f t="shared" si="14"/>
        <v>883.69060133433709</v>
      </c>
    </row>
    <row r="98" spans="7:24" x14ac:dyDescent="0.25">
      <c r="G98" s="3">
        <v>90</v>
      </c>
      <c r="H98" s="4">
        <f t="shared" si="15"/>
        <v>2057.2251938510094</v>
      </c>
      <c r="I98" s="4">
        <f t="shared" si="16"/>
        <v>1918.4890755572724</v>
      </c>
      <c r="J98" s="4">
        <f t="shared" si="17"/>
        <v>138.73611829373704</v>
      </c>
      <c r="K98" s="5">
        <f t="shared" si="18"/>
        <v>191710.17143743348</v>
      </c>
      <c r="R98">
        <v>92</v>
      </c>
      <c r="S98">
        <f t="shared" si="11"/>
        <v>0.40034426541647333</v>
      </c>
      <c r="T98" s="1">
        <f t="shared" si="12"/>
        <v>1403.2923408969866</v>
      </c>
      <c r="V98">
        <v>92</v>
      </c>
      <c r="W98">
        <f t="shared" si="13"/>
        <v>0.50286910812556973</v>
      </c>
      <c r="X98">
        <f t="shared" si="14"/>
        <v>880.02383535369665</v>
      </c>
    </row>
    <row r="99" spans="7:24" x14ac:dyDescent="0.25">
      <c r="G99" s="3">
        <v>91</v>
      </c>
      <c r="H99" s="4">
        <f t="shared" si="15"/>
        <v>2057.2251938510094</v>
      </c>
      <c r="I99" s="4">
        <f t="shared" si="16"/>
        <v>1917.1017143743347</v>
      </c>
      <c r="J99" s="4">
        <f t="shared" si="17"/>
        <v>140.12347947667467</v>
      </c>
      <c r="K99" s="5">
        <f t="shared" si="18"/>
        <v>191570.04795795682</v>
      </c>
      <c r="R99">
        <v>93</v>
      </c>
      <c r="S99">
        <f t="shared" si="11"/>
        <v>0.39638046080838946</v>
      </c>
      <c r="T99" s="1">
        <f t="shared" si="12"/>
        <v>1397.4695511007335</v>
      </c>
      <c r="V99">
        <v>93</v>
      </c>
      <c r="W99">
        <f t="shared" si="13"/>
        <v>0.49912566563331989</v>
      </c>
      <c r="X99">
        <f t="shared" si="14"/>
        <v>876.37228416965638</v>
      </c>
    </row>
    <row r="100" spans="7:24" x14ac:dyDescent="0.25">
      <c r="G100" s="3">
        <v>92</v>
      </c>
      <c r="H100" s="4">
        <f t="shared" si="15"/>
        <v>2057.2251938510094</v>
      </c>
      <c r="I100" s="4">
        <f t="shared" si="16"/>
        <v>1915.7004795795681</v>
      </c>
      <c r="J100" s="4">
        <f t="shared" si="17"/>
        <v>141.52471427144133</v>
      </c>
      <c r="K100" s="5">
        <f t="shared" si="18"/>
        <v>191428.52324368537</v>
      </c>
      <c r="R100">
        <v>94</v>
      </c>
      <c r="S100">
        <f t="shared" si="11"/>
        <v>0.39245590179048445</v>
      </c>
      <c r="T100" s="1">
        <f t="shared" si="12"/>
        <v>1391.6709222579918</v>
      </c>
      <c r="V100">
        <v>94</v>
      </c>
      <c r="W100">
        <f t="shared" si="13"/>
        <v>0.49541008995863001</v>
      </c>
      <c r="X100">
        <f t="shared" si="14"/>
        <v>872.73588465028035</v>
      </c>
    </row>
    <row r="101" spans="7:24" x14ac:dyDescent="0.25">
      <c r="G101" s="3">
        <v>93</v>
      </c>
      <c r="H101" s="4">
        <f t="shared" si="15"/>
        <v>2057.2251938510094</v>
      </c>
      <c r="I101" s="4">
        <f t="shared" si="16"/>
        <v>1914.2852324368534</v>
      </c>
      <c r="J101" s="4">
        <f t="shared" si="17"/>
        <v>142.93996141415596</v>
      </c>
      <c r="K101" s="5">
        <f t="shared" si="18"/>
        <v>191285.58328227123</v>
      </c>
      <c r="R101">
        <v>95</v>
      </c>
      <c r="S101">
        <f t="shared" si="11"/>
        <v>0.38857019979255902</v>
      </c>
      <c r="T101" s="1">
        <f t="shared" si="12"/>
        <v>1385.8963541158419</v>
      </c>
      <c r="V101">
        <v>95</v>
      </c>
      <c r="W101">
        <f t="shared" si="13"/>
        <v>0.49172217365620841</v>
      </c>
      <c r="X101">
        <f t="shared" si="14"/>
        <v>869.11457392558987</v>
      </c>
    </row>
    <row r="102" spans="7:24" x14ac:dyDescent="0.25">
      <c r="G102" s="3">
        <v>94</v>
      </c>
      <c r="H102" s="4">
        <f t="shared" si="15"/>
        <v>2057.2251938510094</v>
      </c>
      <c r="I102" s="4">
        <f t="shared" si="16"/>
        <v>1912.855832822712</v>
      </c>
      <c r="J102" s="4">
        <f t="shared" si="17"/>
        <v>144.36936102829736</v>
      </c>
      <c r="K102" s="5">
        <f t="shared" si="18"/>
        <v>191141.21392124292</v>
      </c>
      <c r="R102">
        <v>96</v>
      </c>
      <c r="S102">
        <f t="shared" si="11"/>
        <v>0.38472297009164252</v>
      </c>
      <c r="T102" s="1">
        <f t="shared" si="12"/>
        <v>1380.1457468373533</v>
      </c>
      <c r="V102">
        <v>96</v>
      </c>
      <c r="W102">
        <f t="shared" si="13"/>
        <v>0.48806171082502087</v>
      </c>
      <c r="X102">
        <f t="shared" si="14"/>
        <v>865.50828938647976</v>
      </c>
    </row>
    <row r="103" spans="7:24" x14ac:dyDescent="0.25">
      <c r="G103" s="3">
        <v>95</v>
      </c>
      <c r="H103" s="4">
        <f t="shared" si="15"/>
        <v>2057.2251938510094</v>
      </c>
      <c r="I103" s="4">
        <f t="shared" si="16"/>
        <v>1911.4121392124291</v>
      </c>
      <c r="J103" s="4">
        <f t="shared" si="17"/>
        <v>145.8130546385803</v>
      </c>
      <c r="K103" s="5">
        <f t="shared" si="18"/>
        <v>190995.40086660432</v>
      </c>
      <c r="R103">
        <v>97</v>
      </c>
      <c r="S103">
        <f t="shared" si="11"/>
        <v>0.38091383177390342</v>
      </c>
      <c r="T103" s="1">
        <f t="shared" si="12"/>
        <v>1374.4190009998538</v>
      </c>
      <c r="V103">
        <v>97</v>
      </c>
      <c r="W103">
        <f t="shared" si="13"/>
        <v>0.48442849709679486</v>
      </c>
      <c r="X103">
        <f t="shared" si="14"/>
        <v>861.91696868363124</v>
      </c>
    </row>
    <row r="104" spans="7:24" x14ac:dyDescent="0.25">
      <c r="G104" s="3">
        <v>96</v>
      </c>
      <c r="H104" s="4">
        <f t="shared" si="15"/>
        <v>2057.2251938510094</v>
      </c>
      <c r="I104" s="4">
        <f t="shared" si="16"/>
        <v>1909.9540086660434</v>
      </c>
      <c r="J104" s="4">
        <f t="shared" si="17"/>
        <v>147.27118518496604</v>
      </c>
      <c r="K104" s="5">
        <f t="shared" si="18"/>
        <v>190848.12968141935</v>
      </c>
      <c r="R104">
        <v>98</v>
      </c>
      <c r="S104">
        <f t="shared" si="11"/>
        <v>0.37714240769693413</v>
      </c>
      <c r="T104" s="1">
        <f t="shared" si="12"/>
        <v>1368.7160175932154</v>
      </c>
      <c r="V104">
        <v>98</v>
      </c>
      <c r="W104">
        <f t="shared" si="13"/>
        <v>0.48082232962461013</v>
      </c>
      <c r="X104">
        <f t="shared" si="14"/>
        <v>858.34054972643787</v>
      </c>
    </row>
    <row r="105" spans="7:24" x14ac:dyDescent="0.25">
      <c r="G105" s="3">
        <v>97</v>
      </c>
      <c r="H105" s="4">
        <f t="shared" si="15"/>
        <v>2057.2251938510094</v>
      </c>
      <c r="I105" s="4">
        <f t="shared" si="16"/>
        <v>1908.4812968141935</v>
      </c>
      <c r="J105" s="4">
        <f t="shared" si="17"/>
        <v>148.74389703681595</v>
      </c>
      <c r="K105" s="5">
        <f t="shared" si="18"/>
        <v>190699.38578438252</v>
      </c>
      <c r="R105">
        <v>99</v>
      </c>
      <c r="S105">
        <f t="shared" si="11"/>
        <v>0.37340832445241012</v>
      </c>
      <c r="T105" s="1">
        <f t="shared" si="12"/>
        <v>1363.0366980181395</v>
      </c>
      <c r="V105">
        <v>99</v>
      </c>
      <c r="W105">
        <f t="shared" si="13"/>
        <v>0.4772430070715733</v>
      </c>
      <c r="X105">
        <f t="shared" si="14"/>
        <v>854.77897068192965</v>
      </c>
    </row>
    <row r="106" spans="7:24" x14ac:dyDescent="0.25">
      <c r="G106" s="3">
        <v>98</v>
      </c>
      <c r="H106" s="4">
        <f t="shared" si="15"/>
        <v>2057.2251938510094</v>
      </c>
      <c r="I106" s="4">
        <f t="shared" si="16"/>
        <v>1906.993857843825</v>
      </c>
      <c r="J106" s="4">
        <f t="shared" si="17"/>
        <v>150.23133600718438</v>
      </c>
      <c r="K106" s="5">
        <f t="shared" si="18"/>
        <v>190549.15444837534</v>
      </c>
      <c r="R106">
        <v>100</v>
      </c>
      <c r="S106">
        <f t="shared" si="11"/>
        <v>0.36971121232911885</v>
      </c>
      <c r="T106" s="1">
        <f t="shared" si="12"/>
        <v>1357.3809440844548</v>
      </c>
      <c r="V106">
        <v>100</v>
      </c>
      <c r="W106">
        <f t="shared" si="13"/>
        <v>0.47369032959957652</v>
      </c>
      <c r="X106">
        <f t="shared" si="14"/>
        <v>851.23216997370605</v>
      </c>
    </row>
    <row r="107" spans="7:24" x14ac:dyDescent="0.25">
      <c r="G107" s="3">
        <v>99</v>
      </c>
      <c r="H107" s="4">
        <f t="shared" si="15"/>
        <v>2057.2251938510094</v>
      </c>
      <c r="I107" s="4">
        <f t="shared" si="16"/>
        <v>1905.4915444837534</v>
      </c>
      <c r="J107" s="4">
        <f t="shared" si="17"/>
        <v>151.73364936725602</v>
      </c>
      <c r="K107" s="5">
        <f t="shared" si="18"/>
        <v>190397.42079900808</v>
      </c>
      <c r="R107">
        <v>101</v>
      </c>
      <c r="S107">
        <f t="shared" si="11"/>
        <v>0.3660507052763553</v>
      </c>
      <c r="T107" s="1">
        <f t="shared" si="12"/>
        <v>1351.7486580094155</v>
      </c>
      <c r="V107">
        <v>101</v>
      </c>
      <c r="W107">
        <f t="shared" si="13"/>
        <v>0.47016409885814042</v>
      </c>
      <c r="X107">
        <f t="shared" si="14"/>
        <v>847.70008628086907</v>
      </c>
    </row>
    <row r="108" spans="7:24" x14ac:dyDescent="0.25">
      <c r="G108" s="3">
        <v>100</v>
      </c>
      <c r="H108" s="4">
        <f t="shared" si="15"/>
        <v>2057.2251938510094</v>
      </c>
      <c r="I108" s="4">
        <f t="shared" si="16"/>
        <v>1903.9742079900807</v>
      </c>
      <c r="J108" s="4">
        <f t="shared" si="17"/>
        <v>153.25098586092872</v>
      </c>
      <c r="K108" s="5">
        <f t="shared" si="18"/>
        <v>190244.16981314713</v>
      </c>
      <c r="R108">
        <v>102</v>
      </c>
      <c r="S108">
        <f t="shared" si="11"/>
        <v>0.3624264408676785</v>
      </c>
      <c r="T108" s="1">
        <f t="shared" si="12"/>
        <v>1346.1397424160152</v>
      </c>
      <c r="V108">
        <v>102</v>
      </c>
      <c r="W108">
        <f t="shared" si="13"/>
        <v>0.46666411797334029</v>
      </c>
      <c r="X108">
        <f t="shared" si="14"/>
        <v>844.18265853696494</v>
      </c>
    </row>
    <row r="109" spans="7:24" x14ac:dyDescent="0.25">
      <c r="G109" s="3">
        <v>101</v>
      </c>
      <c r="H109" s="4">
        <f t="shared" si="15"/>
        <v>2057.2251938510094</v>
      </c>
      <c r="I109" s="4">
        <f t="shared" si="16"/>
        <v>1902.4416981314714</v>
      </c>
      <c r="J109" s="4">
        <f t="shared" si="17"/>
        <v>154.783495719538</v>
      </c>
      <c r="K109" s="5">
        <f t="shared" si="18"/>
        <v>190089.38631742759</v>
      </c>
      <c r="R109">
        <v>103</v>
      </c>
      <c r="S109">
        <f t="shared" si="11"/>
        <v>0.35883806026502829</v>
      </c>
      <c r="T109" s="1">
        <f t="shared" si="12"/>
        <v>1340.5541003313012</v>
      </c>
      <c r="V109">
        <v>103</v>
      </c>
      <c r="W109">
        <f t="shared" si="13"/>
        <v>0.46319019153681418</v>
      </c>
      <c r="X109">
        <f t="shared" si="14"/>
        <v>840.6798259289277</v>
      </c>
    </row>
    <row r="110" spans="7:24" x14ac:dyDescent="0.25">
      <c r="G110" s="3">
        <v>102</v>
      </c>
      <c r="H110" s="4">
        <f t="shared" si="15"/>
        <v>2057.2251938510094</v>
      </c>
      <c r="I110" s="4">
        <f t="shared" si="16"/>
        <v>1900.8938631742758</v>
      </c>
      <c r="J110" s="4">
        <f t="shared" si="17"/>
        <v>156.33133067673361</v>
      </c>
      <c r="K110" s="5">
        <f t="shared" si="18"/>
        <v>189933.05498675085</v>
      </c>
      <c r="R110">
        <v>104</v>
      </c>
      <c r="S110">
        <f t="shared" si="11"/>
        <v>0.35528520818319625</v>
      </c>
      <c r="T110" s="1">
        <f t="shared" si="12"/>
        <v>1334.9916351846987</v>
      </c>
      <c r="V110">
        <v>104</v>
      </c>
      <c r="W110">
        <f t="shared" si="13"/>
        <v>0.45974212559485278</v>
      </c>
      <c r="X110">
        <f t="shared" si="14"/>
        <v>837.19152789602765</v>
      </c>
    </row>
    <row r="111" spans="7:24" x14ac:dyDescent="0.25">
      <c r="G111" s="3">
        <v>103</v>
      </c>
      <c r="H111" s="4">
        <f t="shared" si="15"/>
        <v>2057.2251938510094</v>
      </c>
      <c r="I111" s="4">
        <f t="shared" si="16"/>
        <v>1899.3305498675084</v>
      </c>
      <c r="J111" s="4">
        <f t="shared" si="17"/>
        <v>157.89464398350106</v>
      </c>
      <c r="K111" s="5">
        <f t="shared" si="18"/>
        <v>189775.16034276734</v>
      </c>
      <c r="R111">
        <v>105</v>
      </c>
      <c r="S111">
        <f t="shared" si="11"/>
        <v>0.35176753285464973</v>
      </c>
      <c r="T111" s="1">
        <f t="shared" si="12"/>
        <v>1329.452250806339</v>
      </c>
      <c r="V111">
        <v>105</v>
      </c>
      <c r="W111">
        <f t="shared" si="13"/>
        <v>0.45631972763757095</v>
      </c>
      <c r="X111">
        <f t="shared" si="14"/>
        <v>833.71770412882427</v>
      </c>
    </row>
    <row r="112" spans="7:24" x14ac:dyDescent="0.25">
      <c r="G112" s="3">
        <v>104</v>
      </c>
      <c r="H112" s="4">
        <f t="shared" si="15"/>
        <v>2057.2251938510094</v>
      </c>
      <c r="I112" s="4">
        <f t="shared" si="16"/>
        <v>1897.7516034276732</v>
      </c>
      <c r="J112" s="4">
        <f t="shared" si="17"/>
        <v>159.47359042333619</v>
      </c>
      <c r="K112" s="5">
        <f t="shared" si="18"/>
        <v>189615.68675234402</v>
      </c>
      <c r="R112">
        <v>106</v>
      </c>
      <c r="S112">
        <f t="shared" si="11"/>
        <v>0.34828468599470264</v>
      </c>
      <c r="T112" s="1">
        <f t="shared" si="12"/>
        <v>1323.9358514253993</v>
      </c>
      <c r="V112">
        <v>106</v>
      </c>
      <c r="W112">
        <f t="shared" si="13"/>
        <v>0.4529228065881597</v>
      </c>
      <c r="X112">
        <f t="shared" si="14"/>
        <v>830.25829456812346</v>
      </c>
    </row>
    <row r="113" spans="7:24" x14ac:dyDescent="0.25">
      <c r="G113" s="3">
        <v>105</v>
      </c>
      <c r="H113" s="4">
        <f t="shared" si="15"/>
        <v>2057.2251938510094</v>
      </c>
      <c r="I113" s="4">
        <f t="shared" si="16"/>
        <v>1896.15686752344</v>
      </c>
      <c r="J113" s="4">
        <f t="shared" si="17"/>
        <v>161.06832632756937</v>
      </c>
      <c r="K113" s="5">
        <f t="shared" si="18"/>
        <v>189454.61842601644</v>
      </c>
      <c r="R113">
        <v>107</v>
      </c>
      <c r="S113">
        <f t="shared" si="11"/>
        <v>0.34483632276703241</v>
      </c>
      <c r="T113" s="1">
        <f t="shared" si="12"/>
        <v>1318.4423416684479</v>
      </c>
      <c r="V113">
        <v>107</v>
      </c>
      <c r="W113">
        <f t="shared" si="13"/>
        <v>0.44955117279221801</v>
      </c>
      <c r="X113">
        <f t="shared" si="14"/>
        <v>826.81323940394054</v>
      </c>
    </row>
    <row r="114" spans="7:24" x14ac:dyDescent="0.25">
      <c r="G114" s="3">
        <v>106</v>
      </c>
      <c r="H114" s="4">
        <f t="shared" si="15"/>
        <v>2057.2251938510094</v>
      </c>
      <c r="I114" s="4">
        <f t="shared" si="16"/>
        <v>1894.5461842601644</v>
      </c>
      <c r="J114" s="4">
        <f t="shared" si="17"/>
        <v>162.679009590845</v>
      </c>
      <c r="K114" s="5">
        <f t="shared" si="18"/>
        <v>189291.93941642559</v>
      </c>
      <c r="R114">
        <v>108</v>
      </c>
      <c r="S114">
        <f t="shared" si="11"/>
        <v>0.34142210174953702</v>
      </c>
      <c r="T114" s="1">
        <f t="shared" si="12"/>
        <v>1312.9716265577904</v>
      </c>
      <c r="V114">
        <v>108</v>
      </c>
      <c r="W114">
        <f t="shared" si="13"/>
        <v>0.4462046380071642</v>
      </c>
      <c r="X114">
        <f t="shared" si="14"/>
        <v>823.38247907446362</v>
      </c>
    </row>
    <row r="115" spans="7:24" x14ac:dyDescent="0.25">
      <c r="G115" s="3">
        <v>107</v>
      </c>
      <c r="H115" s="4">
        <f t="shared" si="15"/>
        <v>2057.2251938510094</v>
      </c>
      <c r="I115" s="4">
        <f t="shared" si="16"/>
        <v>1892.9193941642559</v>
      </c>
      <c r="J115" s="4">
        <f t="shared" si="17"/>
        <v>164.30579968675352</v>
      </c>
      <c r="K115" s="5">
        <f t="shared" si="18"/>
        <v>189127.63361673884</v>
      </c>
      <c r="R115">
        <v>109</v>
      </c>
      <c r="S115">
        <f t="shared" si="11"/>
        <v>0.33804168490053166</v>
      </c>
      <c r="T115" s="1">
        <f t="shared" si="12"/>
        <v>1307.5236115098328</v>
      </c>
      <c r="V115">
        <v>109</v>
      </c>
      <c r="W115">
        <f t="shared" si="13"/>
        <v>0.44288301539172625</v>
      </c>
      <c r="X115">
        <f t="shared" si="14"/>
        <v>819.96595426502608</v>
      </c>
    </row>
    <row r="116" spans="7:24" x14ac:dyDescent="0.25">
      <c r="G116" s="3">
        <v>108</v>
      </c>
      <c r="H116" s="4">
        <f t="shared" si="15"/>
        <v>2057.2251938510094</v>
      </c>
      <c r="I116" s="4">
        <f t="shared" si="16"/>
        <v>1891.2763361673881</v>
      </c>
      <c r="J116" s="4">
        <f t="shared" si="17"/>
        <v>165.94885768362133</v>
      </c>
      <c r="K116" s="5">
        <f t="shared" si="18"/>
        <v>188961.68475905521</v>
      </c>
      <c r="R116">
        <v>110</v>
      </c>
      <c r="S116">
        <f t="shared" si="11"/>
        <v>0.33469473752527884</v>
      </c>
      <c r="T116" s="1">
        <f t="shared" si="12"/>
        <v>1302.0982023334434</v>
      </c>
      <c r="V116">
        <v>110</v>
      </c>
      <c r="W116">
        <f t="shared" si="13"/>
        <v>0.43958611949550985</v>
      </c>
      <c r="X116">
        <f t="shared" si="14"/>
        <v>816.56360590707993</v>
      </c>
    </row>
    <row r="117" spans="7:24" x14ac:dyDescent="0.25">
      <c r="G117" s="3">
        <v>109</v>
      </c>
      <c r="H117" s="4">
        <f t="shared" si="15"/>
        <v>2057.2251938510094</v>
      </c>
      <c r="I117" s="4">
        <f t="shared" si="16"/>
        <v>1889.6168475905522</v>
      </c>
      <c r="J117" s="4">
        <f t="shared" si="17"/>
        <v>167.60834626045721</v>
      </c>
      <c r="K117" s="5">
        <f t="shared" si="18"/>
        <v>188794.07641279476</v>
      </c>
      <c r="R117">
        <v>111</v>
      </c>
      <c r="S117">
        <f t="shared" si="11"/>
        <v>0.33138092824285048</v>
      </c>
      <c r="T117" s="1">
        <f t="shared" si="12"/>
        <v>1296.695305228325</v>
      </c>
      <c r="V117">
        <v>111</v>
      </c>
      <c r="W117">
        <f t="shared" si="13"/>
        <v>0.43631376624864499</v>
      </c>
      <c r="X117">
        <f t="shared" si="14"/>
        <v>813.17537517717483</v>
      </c>
    </row>
    <row r="118" spans="7:24" x14ac:dyDescent="0.25">
      <c r="G118" s="3">
        <v>110</v>
      </c>
      <c r="H118" s="4">
        <f t="shared" si="15"/>
        <v>2057.2251938510094</v>
      </c>
      <c r="I118" s="4">
        <f t="shared" si="16"/>
        <v>1887.9407641279477</v>
      </c>
      <c r="J118" s="4">
        <f t="shared" si="17"/>
        <v>169.28442972306175</v>
      </c>
      <c r="K118" s="5">
        <f t="shared" si="18"/>
        <v>188624.79198307171</v>
      </c>
      <c r="R118">
        <v>112</v>
      </c>
      <c r="S118">
        <f t="shared" si="11"/>
        <v>0.32809992895331719</v>
      </c>
      <c r="T118" s="1">
        <f t="shared" si="12"/>
        <v>1291.3148267833942</v>
      </c>
      <c r="V118">
        <v>112</v>
      </c>
      <c r="W118">
        <f t="shared" si="13"/>
        <v>0.43306577295150867</v>
      </c>
      <c r="X118">
        <f t="shared" si="14"/>
        <v>809.80120349594176</v>
      </c>
    </row>
    <row r="119" spans="7:24" x14ac:dyDescent="0.25">
      <c r="G119" s="3">
        <v>111</v>
      </c>
      <c r="H119" s="4">
        <f t="shared" si="15"/>
        <v>2057.2251938510094</v>
      </c>
      <c r="I119" s="4">
        <f t="shared" si="16"/>
        <v>1886.2479198307171</v>
      </c>
      <c r="J119" s="4">
        <f t="shared" si="17"/>
        <v>170.97727402029227</v>
      </c>
      <c r="K119" s="5">
        <f t="shared" si="18"/>
        <v>188453.81470905142</v>
      </c>
      <c r="R119">
        <v>113</v>
      </c>
      <c r="S119">
        <f t="shared" si="11"/>
        <v>0.32485141480526453</v>
      </c>
      <c r="T119" s="1">
        <f t="shared" si="12"/>
        <v>1285.9566739751644</v>
      </c>
      <c r="V119">
        <v>113</v>
      </c>
      <c r="W119">
        <f t="shared" si="13"/>
        <v>0.4298419582645247</v>
      </c>
      <c r="X119">
        <f t="shared" si="14"/>
        <v>806.44103252707896</v>
      </c>
    </row>
    <row r="120" spans="7:24" x14ac:dyDescent="0.25">
      <c r="G120" s="3">
        <v>112</v>
      </c>
      <c r="H120" s="4">
        <f t="shared" si="15"/>
        <v>2057.2251938510094</v>
      </c>
      <c r="I120" s="4">
        <f t="shared" si="16"/>
        <v>1884.538147090514</v>
      </c>
      <c r="J120" s="4">
        <f t="shared" si="17"/>
        <v>172.68704676049538</v>
      </c>
      <c r="K120" s="5">
        <f t="shared" si="18"/>
        <v>188281.12766229094</v>
      </c>
      <c r="R120">
        <v>114</v>
      </c>
      <c r="S120">
        <f t="shared" si="11"/>
        <v>0.32163506416362825</v>
      </c>
      <c r="T120" s="1">
        <f t="shared" si="12"/>
        <v>1280.620754166139</v>
      </c>
      <c r="V120">
        <v>114</v>
      </c>
      <c r="W120">
        <f t="shared" si="13"/>
        <v>0.42664214219803931</v>
      </c>
      <c r="X120">
        <f t="shared" si="14"/>
        <v>803.09480417634427</v>
      </c>
    </row>
    <row r="121" spans="7:24" x14ac:dyDescent="0.25">
      <c r="G121" s="3">
        <v>113</v>
      </c>
      <c r="H121" s="4">
        <f t="shared" si="15"/>
        <v>2057.2251938510094</v>
      </c>
      <c r="I121" s="4">
        <f t="shared" si="16"/>
        <v>1882.8112766229094</v>
      </c>
      <c r="J121" s="4">
        <f t="shared" si="17"/>
        <v>174.41391722809999</v>
      </c>
      <c r="K121" s="5">
        <f t="shared" si="18"/>
        <v>188106.71374506282</v>
      </c>
      <c r="R121">
        <v>115</v>
      </c>
      <c r="S121">
        <f t="shared" si="11"/>
        <v>0.31845055857784976</v>
      </c>
      <c r="T121" s="1">
        <f t="shared" si="12"/>
        <v>1275.306975103209</v>
      </c>
      <c r="V121">
        <v>115</v>
      </c>
      <c r="W121">
        <f t="shared" si="13"/>
        <v>0.42346614610227234</v>
      </c>
      <c r="X121">
        <f t="shared" si="14"/>
        <v>799.76246059055029</v>
      </c>
    </row>
    <row r="122" spans="7:24" x14ac:dyDescent="0.25">
      <c r="G122" s="3">
        <v>114</v>
      </c>
      <c r="H122" s="4">
        <f t="shared" si="15"/>
        <v>2057.2251938510094</v>
      </c>
      <c r="I122" s="4">
        <f t="shared" si="16"/>
        <v>1881.0671374506283</v>
      </c>
      <c r="J122" s="4">
        <f t="shared" si="17"/>
        <v>176.15805640038116</v>
      </c>
      <c r="K122" s="5">
        <f t="shared" si="18"/>
        <v>187930.55568866245</v>
      </c>
      <c r="R122">
        <v>116</v>
      </c>
      <c r="S122">
        <f t="shared" si="11"/>
        <v>0.31529758275034631</v>
      </c>
      <c r="T122" s="1">
        <f t="shared" si="12"/>
        <v>1270.0152449160585</v>
      </c>
      <c r="V122">
        <v>116</v>
      </c>
      <c r="W122">
        <f t="shared" si="13"/>
        <v>0.42031379265734209</v>
      </c>
      <c r="X122">
        <f t="shared" si="14"/>
        <v>796.44394415656438</v>
      </c>
    </row>
    <row r="123" spans="7:24" x14ac:dyDescent="0.25">
      <c r="G123" s="3">
        <v>115</v>
      </c>
      <c r="H123" s="4">
        <f t="shared" si="15"/>
        <v>2057.2251938510094</v>
      </c>
      <c r="I123" s="4">
        <f t="shared" si="16"/>
        <v>1879.3055568866246</v>
      </c>
      <c r="J123" s="4">
        <f t="shared" si="17"/>
        <v>177.91963696438484</v>
      </c>
      <c r="K123" s="5">
        <f t="shared" si="18"/>
        <v>187752.63605169806</v>
      </c>
      <c r="R123">
        <v>117</v>
      </c>
      <c r="S123">
        <f t="shared" si="11"/>
        <v>0.31217582450529341</v>
      </c>
      <c r="T123" s="1">
        <f t="shared" si="12"/>
        <v>1264.7454721155768</v>
      </c>
      <c r="V123">
        <v>117</v>
      </c>
      <c r="W123">
        <f t="shared" si="13"/>
        <v>0.41718490586336687</v>
      </c>
      <c r="X123">
        <f t="shared" si="14"/>
        <v>793.13919750031312</v>
      </c>
    </row>
    <row r="124" spans="7:24" x14ac:dyDescent="0.25">
      <c r="G124" s="3">
        <v>116</v>
      </c>
      <c r="H124" s="4">
        <f t="shared" si="15"/>
        <v>2057.2251938510094</v>
      </c>
      <c r="I124" s="4">
        <f t="shared" si="16"/>
        <v>1877.5263605169805</v>
      </c>
      <c r="J124" s="4">
        <f t="shared" si="17"/>
        <v>179.6988333340289</v>
      </c>
      <c r="K124" s="5">
        <f t="shared" si="18"/>
        <v>187572.93721836404</v>
      </c>
      <c r="R124">
        <v>118</v>
      </c>
      <c r="S124">
        <f t="shared" si="11"/>
        <v>0.30908497475771612</v>
      </c>
      <c r="T124" s="1">
        <f t="shared" si="12"/>
        <v>1259.4975655922758</v>
      </c>
      <c r="V124">
        <v>118</v>
      </c>
      <c r="W124">
        <f t="shared" si="13"/>
        <v>0.414079311030637</v>
      </c>
      <c r="X124">
        <f t="shared" si="14"/>
        <v>789.84816348578897</v>
      </c>
    </row>
    <row r="125" spans="7:24" x14ac:dyDescent="0.25">
      <c r="G125" s="3">
        <v>117</v>
      </c>
      <c r="H125" s="4">
        <f t="shared" si="15"/>
        <v>2057.2251938510094</v>
      </c>
      <c r="I125" s="4">
        <f t="shared" si="16"/>
        <v>1875.7293721836404</v>
      </c>
      <c r="J125" s="4">
        <f t="shared" si="17"/>
        <v>181.495821667369</v>
      </c>
      <c r="K125" s="5">
        <f t="shared" si="18"/>
        <v>187391.44139669667</v>
      </c>
      <c r="R125">
        <v>119</v>
      </c>
      <c r="S125">
        <f t="shared" si="11"/>
        <v>0.30602472748288734</v>
      </c>
      <c r="T125" s="1">
        <f t="shared" si="12"/>
        <v>1254.2714346147143</v>
      </c>
      <c r="V125">
        <v>119</v>
      </c>
      <c r="W125">
        <f t="shared" si="13"/>
        <v>0.41099683476986298</v>
      </c>
      <c r="X125">
        <f t="shared" si="14"/>
        <v>786.57078521406356</v>
      </c>
    </row>
    <row r="126" spans="7:24" x14ac:dyDescent="0.25">
      <c r="G126" s="3">
        <v>118</v>
      </c>
      <c r="H126" s="4">
        <f t="shared" si="15"/>
        <v>2057.2251938510094</v>
      </c>
      <c r="I126" s="4">
        <f t="shared" si="16"/>
        <v>1873.9144139669668</v>
      </c>
      <c r="J126" s="4">
        <f t="shared" si="17"/>
        <v>183.31077988404263</v>
      </c>
      <c r="K126" s="5">
        <f t="shared" si="18"/>
        <v>187208.13061681262</v>
      </c>
      <c r="R126">
        <v>120</v>
      </c>
      <c r="S126">
        <f t="shared" si="11"/>
        <v>0.302994779686027</v>
      </c>
      <c r="T126" s="1">
        <f t="shared" si="12"/>
        <v>1249.0669888279315</v>
      </c>
      <c r="U126" s="1">
        <f>SUM(T7:T126)</f>
        <v>193957.96920553807</v>
      </c>
      <c r="V126">
        <v>120</v>
      </c>
      <c r="W126">
        <f t="shared" si="13"/>
        <v>0.40793730498249431</v>
      </c>
      <c r="X126">
        <f t="shared" si="14"/>
        <v>783.30700602230411</v>
      </c>
    </row>
    <row r="127" spans="7:24" x14ac:dyDescent="0.25">
      <c r="G127" s="3">
        <v>119</v>
      </c>
      <c r="H127" s="4">
        <f t="shared" si="15"/>
        <v>2057.2251938510094</v>
      </c>
      <c r="I127" s="4">
        <f t="shared" si="16"/>
        <v>1872.0813061681263</v>
      </c>
      <c r="J127" s="4">
        <f t="shared" si="17"/>
        <v>185.14388768288313</v>
      </c>
      <c r="K127" s="5">
        <f t="shared" si="18"/>
        <v>187022.98672912974</v>
      </c>
      <c r="R127">
        <v>121</v>
      </c>
      <c r="S127">
        <f t="shared" si="11"/>
        <v>0.29999483137230398</v>
      </c>
      <c r="V127">
        <v>121</v>
      </c>
      <c r="W127">
        <f t="shared" si="13"/>
        <v>0.40490055085111093</v>
      </c>
      <c r="X127">
        <f t="shared" si="14"/>
        <v>780.05676948279267</v>
      </c>
    </row>
    <row r="128" spans="7:24" x14ac:dyDescent="0.25">
      <c r="G128" s="3">
        <v>120</v>
      </c>
      <c r="H128" s="4">
        <f t="shared" si="15"/>
        <v>2057.2251938510094</v>
      </c>
      <c r="I128" s="4">
        <f t="shared" si="16"/>
        <v>1870.2298672912973</v>
      </c>
      <c r="J128" s="4">
        <f t="shared" si="17"/>
        <v>186.99532655971211</v>
      </c>
      <c r="K128" s="5">
        <f t="shared" si="18"/>
        <v>186835.99140257004</v>
      </c>
      <c r="R128">
        <v>122</v>
      </c>
      <c r="S128">
        <f t="shared" si="11"/>
        <v>0.29702458551713262</v>
      </c>
      <c r="V128">
        <v>122</v>
      </c>
      <c r="W128">
        <f t="shared" si="13"/>
        <v>0.40188640282988675</v>
      </c>
      <c r="X128">
        <f t="shared" si="14"/>
        <v>776.82001940195096</v>
      </c>
    </row>
    <row r="129" spans="7:24" x14ac:dyDescent="0.25">
      <c r="G129" s="3">
        <v>121</v>
      </c>
      <c r="H129" s="4">
        <f t="shared" si="15"/>
        <v>2057.2251938510094</v>
      </c>
      <c r="I129" s="4">
        <f t="shared" si="16"/>
        <v>1868.3599140257004</v>
      </c>
      <c r="J129" s="4">
        <f t="shared" si="17"/>
        <v>188.86527982530902</v>
      </c>
      <c r="K129" s="5">
        <f t="shared" si="18"/>
        <v>186647.12612274472</v>
      </c>
      <c r="R129">
        <v>123</v>
      </c>
      <c r="S129">
        <f t="shared" si="11"/>
        <v>0.29408374803676507</v>
      </c>
      <c r="V129">
        <v>123</v>
      </c>
      <c r="W129">
        <f t="shared" si="13"/>
        <v>0.39889469263512328</v>
      </c>
      <c r="X129">
        <f t="shared" si="14"/>
        <v>773.59669981937043</v>
      </c>
    </row>
    <row r="130" spans="7:24" x14ac:dyDescent="0.25">
      <c r="G130" s="3">
        <v>122</v>
      </c>
      <c r="H130" s="4">
        <f t="shared" si="15"/>
        <v>2057.2251938510094</v>
      </c>
      <c r="I130" s="4">
        <f t="shared" si="16"/>
        <v>1866.471261227447</v>
      </c>
      <c r="J130" s="4">
        <f t="shared" si="17"/>
        <v>190.75393262356238</v>
      </c>
      <c r="K130" s="5">
        <f t="shared" si="18"/>
        <v>186456.37219012115</v>
      </c>
      <c r="R130">
        <v>124</v>
      </c>
      <c r="S130">
        <f t="shared" si="11"/>
        <v>0.29117202775917334</v>
      </c>
      <c r="V130">
        <v>124</v>
      </c>
      <c r="W130">
        <f t="shared" si="13"/>
        <v>0.39592525323585426</v>
      </c>
      <c r="X130">
        <f t="shared" si="14"/>
        <v>770.3867550068419</v>
      </c>
    </row>
    <row r="131" spans="7:24" x14ac:dyDescent="0.25">
      <c r="G131" s="3">
        <v>123</v>
      </c>
      <c r="H131" s="4">
        <f t="shared" si="15"/>
        <v>2057.2251938510094</v>
      </c>
      <c r="I131" s="4">
        <f t="shared" si="16"/>
        <v>1864.5637219012115</v>
      </c>
      <c r="J131" s="4">
        <f t="shared" si="17"/>
        <v>192.66147194979794</v>
      </c>
      <c r="K131" s="5">
        <f t="shared" si="18"/>
        <v>186263.71071817135</v>
      </c>
      <c r="R131">
        <v>125</v>
      </c>
      <c r="S131">
        <f t="shared" si="11"/>
        <v>0.28828913639522108</v>
      </c>
      <c r="V131">
        <v>125</v>
      </c>
      <c r="W131">
        <f t="shared" si="13"/>
        <v>0.39297791884452049</v>
      </c>
      <c r="X131">
        <f t="shared" si="14"/>
        <v>767.1901294673944</v>
      </c>
    </row>
    <row r="132" spans="7:24" x14ac:dyDescent="0.25">
      <c r="G132" s="3">
        <v>124</v>
      </c>
      <c r="H132" s="4">
        <f t="shared" si="15"/>
        <v>2057.2251938510094</v>
      </c>
      <c r="I132" s="4">
        <f t="shared" si="16"/>
        <v>1862.6371071817136</v>
      </c>
      <c r="J132" s="4">
        <f t="shared" si="17"/>
        <v>194.58808666929576</v>
      </c>
      <c r="K132" s="5">
        <f t="shared" si="18"/>
        <v>186069.12263150205</v>
      </c>
      <c r="R132">
        <v>126</v>
      </c>
      <c r="S132">
        <f t="shared" si="11"/>
        <v>0.28543478851011983</v>
      </c>
      <c r="V132">
        <v>126</v>
      </c>
      <c r="W132">
        <f t="shared" si="13"/>
        <v>0.39005252490771253</v>
      </c>
      <c r="X132">
        <f t="shared" si="14"/>
        <v>764.00676793433479</v>
      </c>
    </row>
    <row r="133" spans="7:24" x14ac:dyDescent="0.25">
      <c r="G133" s="3">
        <v>125</v>
      </c>
      <c r="H133" s="4">
        <f t="shared" si="15"/>
        <v>2057.2251938510094</v>
      </c>
      <c r="I133" s="4">
        <f t="shared" si="16"/>
        <v>1860.6912263150205</v>
      </c>
      <c r="J133" s="4">
        <f t="shared" si="17"/>
        <v>196.53396753598895</v>
      </c>
      <c r="K133" s="5">
        <f t="shared" si="18"/>
        <v>185872.58866396605</v>
      </c>
      <c r="R133">
        <v>127</v>
      </c>
      <c r="S133">
        <f t="shared" si="11"/>
        <v>0.28260870149516826</v>
      </c>
      <c r="V133">
        <v>127</v>
      </c>
      <c r="W133">
        <f t="shared" si="13"/>
        <v>0.38714890809698499</v>
      </c>
      <c r="X133">
        <f t="shared" si="14"/>
        <v>760.83661537029138</v>
      </c>
    </row>
    <row r="134" spans="7:24" x14ac:dyDescent="0.25">
      <c r="G134" s="3">
        <v>126</v>
      </c>
      <c r="H134" s="4">
        <f t="shared" si="15"/>
        <v>2057.2251938510094</v>
      </c>
      <c r="I134" s="4">
        <f t="shared" si="16"/>
        <v>1858.7258866396605</v>
      </c>
      <c r="J134" s="4">
        <f t="shared" si="17"/>
        <v>198.49930721134888</v>
      </c>
      <c r="K134" s="5">
        <f t="shared" si="18"/>
        <v>185674.0893567547</v>
      </c>
      <c r="R134">
        <v>128</v>
      </c>
      <c r="S134">
        <f t="shared" si="11"/>
        <v>0.2798105955397705</v>
      </c>
      <c r="V134">
        <v>128</v>
      </c>
      <c r="W134">
        <f t="shared" si="13"/>
        <v>0.38426690629973709</v>
      </c>
      <c r="X134">
        <f t="shared" si="14"/>
        <v>757.6796169662656</v>
      </c>
    </row>
    <row r="135" spans="7:24" x14ac:dyDescent="0.25">
      <c r="G135" s="3">
        <v>127</v>
      </c>
      <c r="H135" s="4">
        <f t="shared" si="15"/>
        <v>2057.2251938510094</v>
      </c>
      <c r="I135" s="4">
        <f t="shared" si="16"/>
        <v>1856.7408935675469</v>
      </c>
      <c r="J135" s="4">
        <f t="shared" si="17"/>
        <v>200.48430028346252</v>
      </c>
      <c r="K135" s="5">
        <f t="shared" si="18"/>
        <v>185473.60505647125</v>
      </c>
      <c r="R135">
        <v>129</v>
      </c>
      <c r="S135">
        <f t="shared" si="11"/>
        <v>0.27704019360373316</v>
      </c>
      <c r="V135">
        <v>129</v>
      </c>
      <c r="W135">
        <f t="shared" si="13"/>
        <v>0.38140635861016087</v>
      </c>
      <c r="X135">
        <f t="shared" si="14"/>
        <v>754.53571814067948</v>
      </c>
    </row>
    <row r="136" spans="7:24" x14ac:dyDescent="0.25">
      <c r="G136" s="3">
        <v>128</v>
      </c>
      <c r="H136" s="4">
        <f t="shared" si="15"/>
        <v>2057.2251938510094</v>
      </c>
      <c r="I136" s="4">
        <f t="shared" si="16"/>
        <v>1854.7360505647123</v>
      </c>
      <c r="J136" s="4">
        <f t="shared" si="17"/>
        <v>202.48914328629712</v>
      </c>
      <c r="K136" s="5">
        <f t="shared" si="18"/>
        <v>185271.11591318494</v>
      </c>
      <c r="R136">
        <v>130</v>
      </c>
      <c r="S136">
        <f t="shared" ref="S136:S199" si="19">1/(1+$I$4/12)^(R136)</f>
        <v>0.27429722138983481</v>
      </c>
      <c r="V136">
        <v>130</v>
      </c>
      <c r="W136">
        <f t="shared" ref="W136:W199" si="20">1/(1+$W$4/12)^(V136)</f>
        <v>0.37856710532025883</v>
      </c>
      <c r="X136">
        <f t="shared" ref="X136:X199" si="21">$X$6/(1+0.05/12)^V136</f>
        <v>751.40486453843596</v>
      </c>
    </row>
    <row r="137" spans="7:24" x14ac:dyDescent="0.25">
      <c r="G137" s="3">
        <v>129</v>
      </c>
      <c r="H137" s="4">
        <f t="shared" si="15"/>
        <v>2057.2251938510094</v>
      </c>
      <c r="I137" s="4">
        <f t="shared" si="16"/>
        <v>1852.7111591318492</v>
      </c>
      <c r="J137" s="4">
        <f t="shared" si="17"/>
        <v>204.51403471916024</v>
      </c>
      <c r="K137" s="5">
        <f t="shared" si="18"/>
        <v>185066.60187846579</v>
      </c>
      <c r="R137">
        <v>131</v>
      </c>
      <c r="S137">
        <f t="shared" si="19"/>
        <v>0.27158140731666813</v>
      </c>
      <c r="V137">
        <v>131</v>
      </c>
      <c r="W137">
        <f t="shared" si="20"/>
        <v>0.37574898791092687</v>
      </c>
      <c r="X137">
        <f t="shared" si="21"/>
        <v>748.28700202997766</v>
      </c>
    </row>
    <row r="138" spans="7:24" x14ac:dyDescent="0.25">
      <c r="G138" s="3">
        <v>130</v>
      </c>
      <c r="H138" s="4">
        <f t="shared" ref="H138:H201" si="22">$T$5</f>
        <v>2057.2251938510094</v>
      </c>
      <c r="I138" s="4">
        <f t="shared" si="16"/>
        <v>1850.666018784658</v>
      </c>
      <c r="J138" s="4">
        <f t="shared" si="17"/>
        <v>206.55917506635137</v>
      </c>
      <c r="K138" s="5">
        <f t="shared" si="18"/>
        <v>184860.04270339943</v>
      </c>
      <c r="R138">
        <v>132</v>
      </c>
      <c r="S138">
        <f t="shared" si="19"/>
        <v>0.26889248249175057</v>
      </c>
      <c r="V138">
        <v>132</v>
      </c>
      <c r="W138">
        <f t="shared" si="20"/>
        <v>0.37295184904310358</v>
      </c>
      <c r="X138">
        <f t="shared" si="21"/>
        <v>745.18207671035123</v>
      </c>
    </row>
    <row r="139" spans="7:24" x14ac:dyDescent="0.25">
      <c r="G139" s="3">
        <v>131</v>
      </c>
      <c r="H139" s="4">
        <f t="shared" si="22"/>
        <v>2057.2251938510094</v>
      </c>
      <c r="I139" s="4">
        <f t="shared" si="16"/>
        <v>1848.6004270339943</v>
      </c>
      <c r="J139" s="4">
        <f t="shared" si="17"/>
        <v>208.62476681701514</v>
      </c>
      <c r="K139" s="5">
        <f t="shared" si="18"/>
        <v>184651.41793658241</v>
      </c>
      <c r="R139">
        <v>133</v>
      </c>
      <c r="S139">
        <f t="shared" si="19"/>
        <v>0.26623018068490162</v>
      </c>
      <c r="V139">
        <v>133</v>
      </c>
      <c r="W139">
        <f t="shared" si="20"/>
        <v>0.37017553254898616</v>
      </c>
      <c r="X139">
        <f t="shared" si="21"/>
        <v>742.09003489827501</v>
      </c>
    </row>
    <row r="140" spans="7:24" x14ac:dyDescent="0.25">
      <c r="G140" s="3">
        <v>132</v>
      </c>
      <c r="H140" s="4">
        <f t="shared" si="22"/>
        <v>2057.2251938510094</v>
      </c>
      <c r="I140" s="4">
        <f t="shared" si="16"/>
        <v>1846.514179365824</v>
      </c>
      <c r="J140" s="4">
        <f t="shared" si="17"/>
        <v>210.71101448518539</v>
      </c>
      <c r="K140" s="5">
        <f t="shared" si="18"/>
        <v>184440.70692209722</v>
      </c>
      <c r="R140">
        <v>134</v>
      </c>
      <c r="S140">
        <f t="shared" si="19"/>
        <v>0.26359423830188278</v>
      </c>
      <c r="V140">
        <v>134</v>
      </c>
      <c r="W140">
        <f t="shared" si="20"/>
        <v>0.36741988342331128</v>
      </c>
      <c r="X140">
        <f t="shared" si="21"/>
        <v>739.01082313521169</v>
      </c>
    </row>
    <row r="141" spans="7:24" x14ac:dyDescent="0.25">
      <c r="G141" s="3">
        <v>133</v>
      </c>
      <c r="H141" s="4">
        <f t="shared" si="22"/>
        <v>2057.2251938510094</v>
      </c>
      <c r="I141" s="4">
        <f t="shared" si="16"/>
        <v>1844.4070692209723</v>
      </c>
      <c r="J141" s="4">
        <f t="shared" si="17"/>
        <v>212.81812463003712</v>
      </c>
      <c r="K141" s="5">
        <f t="shared" si="18"/>
        <v>184227.8887974672</v>
      </c>
      <c r="R141">
        <v>135</v>
      </c>
      <c r="S141">
        <f t="shared" si="19"/>
        <v>0.26098439435829979</v>
      </c>
      <c r="V141">
        <v>135</v>
      </c>
      <c r="W141">
        <f t="shared" si="20"/>
        <v>0.364684747814701</v>
      </c>
      <c r="X141">
        <f t="shared" si="21"/>
        <v>735.94438818444291</v>
      </c>
    </row>
    <row r="142" spans="7:24" x14ac:dyDescent="0.25">
      <c r="G142" s="3">
        <v>134</v>
      </c>
      <c r="H142" s="4">
        <f t="shared" si="22"/>
        <v>2057.2251938510094</v>
      </c>
      <c r="I142" s="4">
        <f t="shared" si="16"/>
        <v>1842.278887974672</v>
      </c>
      <c r="J142" s="4">
        <f t="shared" si="17"/>
        <v>214.94630587633742</v>
      </c>
      <c r="K142" s="5">
        <f t="shared" si="18"/>
        <v>184012.94249159086</v>
      </c>
      <c r="R142">
        <v>136</v>
      </c>
      <c r="S142">
        <f t="shared" si="19"/>
        <v>0.25840039045376212</v>
      </c>
      <c r="V142">
        <v>136</v>
      </c>
      <c r="W142">
        <f t="shared" si="20"/>
        <v>0.36196997301707295</v>
      </c>
      <c r="X142">
        <f t="shared" si="21"/>
        <v>732.89067703015075</v>
      </c>
    </row>
    <row r="143" spans="7:24" x14ac:dyDescent="0.25">
      <c r="G143" s="3">
        <v>135</v>
      </c>
      <c r="H143" s="4">
        <f t="shared" si="22"/>
        <v>2057.2251938510094</v>
      </c>
      <c r="I143" s="4">
        <f t="shared" si="16"/>
        <v>1840.1294249159084</v>
      </c>
      <c r="J143" s="4">
        <f t="shared" si="17"/>
        <v>217.09576893510098</v>
      </c>
      <c r="K143" s="5">
        <f t="shared" si="18"/>
        <v>183795.84672265576</v>
      </c>
      <c r="R143">
        <v>137</v>
      </c>
      <c r="S143">
        <f t="shared" si="19"/>
        <v>0.25584197074629911</v>
      </c>
      <c r="V143">
        <v>137</v>
      </c>
      <c r="W143">
        <f t="shared" si="20"/>
        <v>0.35927540746111453</v>
      </c>
      <c r="X143">
        <f t="shared" si="21"/>
        <v>729.84963687649872</v>
      </c>
    </row>
    <row r="144" spans="7:24" x14ac:dyDescent="0.25">
      <c r="G144" s="3">
        <v>136</v>
      </c>
      <c r="H144" s="4">
        <f t="shared" si="22"/>
        <v>2057.2251938510094</v>
      </c>
      <c r="I144" s="4">
        <f t="shared" si="16"/>
        <v>1837.9584672265573</v>
      </c>
      <c r="J144" s="4">
        <f t="shared" si="17"/>
        <v>219.26672662445208</v>
      </c>
      <c r="K144" s="5">
        <f t="shared" si="18"/>
        <v>183576.5799960313</v>
      </c>
      <c r="R144">
        <v>138</v>
      </c>
      <c r="S144">
        <f t="shared" si="19"/>
        <v>0.25330888192702883</v>
      </c>
      <c r="V144">
        <v>138</v>
      </c>
      <c r="W144">
        <f t="shared" si="20"/>
        <v>0.35660090070582084</v>
      </c>
      <c r="X144">
        <f t="shared" si="21"/>
        <v>726.82121514672065</v>
      </c>
    </row>
    <row r="145" spans="7:24" x14ac:dyDescent="0.25">
      <c r="G145" s="3">
        <v>137</v>
      </c>
      <c r="H145" s="4">
        <f t="shared" si="22"/>
        <v>2057.2251938510094</v>
      </c>
      <c r="I145" s="4">
        <f t="shared" si="16"/>
        <v>1835.7657999603127</v>
      </c>
      <c r="J145" s="4">
        <f t="shared" si="17"/>
        <v>221.45939389069667</v>
      </c>
      <c r="K145" s="5">
        <f t="shared" si="18"/>
        <v>183355.12060214061</v>
      </c>
      <c r="R145">
        <v>139</v>
      </c>
      <c r="S145">
        <f t="shared" si="19"/>
        <v>0.2508008731950781</v>
      </c>
      <c r="V145">
        <v>139</v>
      </c>
      <c r="W145">
        <f t="shared" si="20"/>
        <v>0.35394630343009509</v>
      </c>
      <c r="X145">
        <f t="shared" si="21"/>
        <v>723.80535948221154</v>
      </c>
    </row>
    <row r="146" spans="7:24" x14ac:dyDescent="0.25">
      <c r="G146" s="3">
        <v>138</v>
      </c>
      <c r="H146" s="4">
        <f t="shared" si="22"/>
        <v>2057.2251938510094</v>
      </c>
      <c r="I146" s="4">
        <f t="shared" si="16"/>
        <v>1833.551206021406</v>
      </c>
      <c r="J146" s="4">
        <f t="shared" si="17"/>
        <v>223.67398782960345</v>
      </c>
      <c r="K146" s="5">
        <f t="shared" si="18"/>
        <v>183131.44661431102</v>
      </c>
      <c r="R146">
        <v>140</v>
      </c>
      <c r="S146">
        <f t="shared" si="19"/>
        <v>0.24831769623275057</v>
      </c>
      <c r="V146">
        <v>140</v>
      </c>
      <c r="W146">
        <f t="shared" si="20"/>
        <v>0.35131146742441194</v>
      </c>
      <c r="X146">
        <f t="shared" si="21"/>
        <v>720.80201774162128</v>
      </c>
    </row>
    <row r="147" spans="7:24" x14ac:dyDescent="0.25">
      <c r="G147" s="3">
        <v>139</v>
      </c>
      <c r="H147" s="4">
        <f t="shared" si="22"/>
        <v>2057.2251938510094</v>
      </c>
      <c r="I147" s="4">
        <f t="shared" si="16"/>
        <v>1831.3144661431099</v>
      </c>
      <c r="J147" s="4">
        <f t="shared" si="17"/>
        <v>225.91072770789947</v>
      </c>
      <c r="K147" s="5">
        <f t="shared" si="18"/>
        <v>182905.53588660312</v>
      </c>
      <c r="R147">
        <v>141</v>
      </c>
      <c r="S147">
        <f t="shared" si="19"/>
        <v>0.24585910518094115</v>
      </c>
      <c r="V147">
        <v>141</v>
      </c>
      <c r="W147">
        <f t="shared" si="20"/>
        <v>0.34869624558254286</v>
      </c>
      <c r="X147">
        <f t="shared" si="21"/>
        <v>717.81113799995501</v>
      </c>
    </row>
    <row r="148" spans="7:24" x14ac:dyDescent="0.25">
      <c r="G148" s="3">
        <v>140</v>
      </c>
      <c r="H148" s="4">
        <f t="shared" si="22"/>
        <v>2057.2251938510094</v>
      </c>
      <c r="I148" s="4">
        <f t="shared" si="16"/>
        <v>1829.0553588660312</v>
      </c>
      <c r="J148" s="4">
        <f t="shared" si="17"/>
        <v>228.16983498497825</v>
      </c>
      <c r="K148" s="5">
        <f t="shared" si="18"/>
        <v>182677.36605161813</v>
      </c>
      <c r="R148">
        <v>142</v>
      </c>
      <c r="S148">
        <f t="shared" si="19"/>
        <v>0.24342485661479321</v>
      </c>
      <c r="V148">
        <v>142</v>
      </c>
      <c r="W148">
        <f t="shared" si="20"/>
        <v>0.34610049189334274</v>
      </c>
      <c r="X148">
        <f t="shared" si="21"/>
        <v>714.83266854767294</v>
      </c>
    </row>
    <row r="149" spans="7:24" x14ac:dyDescent="0.25">
      <c r="G149" s="3">
        <v>141</v>
      </c>
      <c r="H149" s="4">
        <f t="shared" si="22"/>
        <v>2057.2251938510094</v>
      </c>
      <c r="I149" s="4">
        <f t="shared" si="16"/>
        <v>1826.7736605161811</v>
      </c>
      <c r="J149" s="4">
        <f t="shared" si="17"/>
        <v>230.45153333482835</v>
      </c>
      <c r="K149" s="5">
        <f t="shared" si="18"/>
        <v>182446.9145182833</v>
      </c>
      <c r="R149">
        <v>143</v>
      </c>
      <c r="S149">
        <f t="shared" si="19"/>
        <v>0.24101470951959728</v>
      </c>
      <c r="V149">
        <v>143</v>
      </c>
      <c r="W149">
        <f t="shared" si="20"/>
        <v>0.34352406143259823</v>
      </c>
      <c r="X149">
        <f t="shared" si="21"/>
        <v>711.86655788979863</v>
      </c>
    </row>
    <row r="150" spans="7:24" x14ac:dyDescent="0.25">
      <c r="G150" s="3">
        <v>142</v>
      </c>
      <c r="H150" s="4">
        <f t="shared" si="22"/>
        <v>2057.2251938510094</v>
      </c>
      <c r="I150" s="4">
        <f t="shared" si="16"/>
        <v>1824.469145182833</v>
      </c>
      <c r="J150" s="4">
        <f t="shared" si="17"/>
        <v>232.75604866817639</v>
      </c>
      <c r="K150" s="5">
        <f t="shared" si="18"/>
        <v>182214.15846961513</v>
      </c>
      <c r="R150">
        <v>144</v>
      </c>
      <c r="S150">
        <f t="shared" si="19"/>
        <v>0.23862842526692793</v>
      </c>
      <c r="V150">
        <v>144</v>
      </c>
      <c r="W150">
        <f t="shared" si="20"/>
        <v>0.3409668103549362</v>
      </c>
      <c r="X150">
        <f t="shared" si="21"/>
        <v>708.91275474502777</v>
      </c>
    </row>
    <row r="151" spans="7:24" x14ac:dyDescent="0.25">
      <c r="G151" s="3">
        <v>143</v>
      </c>
      <c r="H151" s="4">
        <f t="shared" si="22"/>
        <v>2057.2251938510094</v>
      </c>
      <c r="I151" s="4">
        <f t="shared" si="16"/>
        <v>1822.1415846961511</v>
      </c>
      <c r="J151" s="4">
        <f t="shared" si="17"/>
        <v>235.08360915485832</v>
      </c>
      <c r="K151" s="5">
        <f t="shared" si="18"/>
        <v>181979.07486046027</v>
      </c>
      <c r="R151">
        <v>145</v>
      </c>
      <c r="S151">
        <f t="shared" si="19"/>
        <v>0.23626576759101772</v>
      </c>
      <c r="V151">
        <v>145</v>
      </c>
      <c r="W151">
        <f t="shared" si="20"/>
        <v>0.33842859588579277</v>
      </c>
      <c r="X151">
        <f t="shared" si="21"/>
        <v>705.97120804484086</v>
      </c>
    </row>
    <row r="152" spans="7:24" x14ac:dyDescent="0.25">
      <c r="G152" s="3">
        <v>144</v>
      </c>
      <c r="H152" s="4">
        <f t="shared" si="22"/>
        <v>2057.2251938510094</v>
      </c>
      <c r="I152" s="4">
        <f t="shared" si="16"/>
        <v>1819.7907486046026</v>
      </c>
      <c r="J152" s="4">
        <f t="shared" si="17"/>
        <v>237.43444524640677</v>
      </c>
      <c r="K152" s="5">
        <f t="shared" si="18"/>
        <v>181741.64041521386</v>
      </c>
      <c r="R152">
        <v>146</v>
      </c>
      <c r="S152">
        <f t="shared" si="19"/>
        <v>0.2339265025653641</v>
      </c>
      <c r="V152">
        <v>146</v>
      </c>
      <c r="W152">
        <f t="shared" si="20"/>
        <v>0.33590927631344186</v>
      </c>
      <c r="X152">
        <f t="shared" si="21"/>
        <v>703.0418669326217</v>
      </c>
    </row>
    <row r="153" spans="7:24" x14ac:dyDescent="0.25">
      <c r="G153" s="3">
        <v>145</v>
      </c>
      <c r="H153" s="4">
        <f t="shared" si="22"/>
        <v>2057.2251938510094</v>
      </c>
      <c r="I153" s="4">
        <f t="shared" si="16"/>
        <v>1817.4164041521383</v>
      </c>
      <c r="J153" s="4">
        <f t="shared" si="17"/>
        <v>239.80878969887112</v>
      </c>
      <c r="K153" s="5">
        <f t="shared" si="18"/>
        <v>181501.83162551498</v>
      </c>
      <c r="R153">
        <v>147</v>
      </c>
      <c r="S153">
        <f t="shared" si="19"/>
        <v>0.23161039857956847</v>
      </c>
      <c r="V153">
        <v>147</v>
      </c>
      <c r="W153">
        <f t="shared" si="20"/>
        <v>0.33340871098108377</v>
      </c>
      <c r="X153">
        <f t="shared" si="21"/>
        <v>700.12468076277673</v>
      </c>
    </row>
    <row r="154" spans="7:24" x14ac:dyDescent="0.25">
      <c r="G154" s="3">
        <v>146</v>
      </c>
      <c r="H154" s="4">
        <f t="shared" si="22"/>
        <v>2057.2251938510094</v>
      </c>
      <c r="I154" s="4">
        <f t="shared" si="16"/>
        <v>1815.0183162551496</v>
      </c>
      <c r="J154" s="4">
        <f t="shared" si="17"/>
        <v>242.20687759585985</v>
      </c>
      <c r="K154" s="5">
        <f t="shared" si="18"/>
        <v>181259.62474791912</v>
      </c>
      <c r="R154">
        <v>148</v>
      </c>
      <c r="S154">
        <f t="shared" si="19"/>
        <v>0.22931722631640439</v>
      </c>
      <c r="V154">
        <v>148</v>
      </c>
      <c r="W154">
        <f t="shared" si="20"/>
        <v>0.33092676027899121</v>
      </c>
      <c r="X154">
        <f t="shared" si="21"/>
        <v>697.2195990998606</v>
      </c>
    </row>
    <row r="155" spans="7:24" x14ac:dyDescent="0.25">
      <c r="G155" s="3">
        <v>147</v>
      </c>
      <c r="H155" s="4">
        <f t="shared" si="22"/>
        <v>2057.2251938510094</v>
      </c>
      <c r="I155" s="4">
        <f t="shared" si="16"/>
        <v>1812.5962474791911</v>
      </c>
      <c r="J155" s="4">
        <f t="shared" si="17"/>
        <v>244.6289463718183</v>
      </c>
      <c r="K155" s="5">
        <f t="shared" si="18"/>
        <v>181014.99580154731</v>
      </c>
      <c r="R155">
        <v>149</v>
      </c>
      <c r="S155">
        <f t="shared" si="19"/>
        <v>0.22704675872911331</v>
      </c>
      <c r="V155">
        <v>149</v>
      </c>
      <c r="W155">
        <f t="shared" si="20"/>
        <v>0.3284632856367159</v>
      </c>
      <c r="X155">
        <f t="shared" si="21"/>
        <v>694.32657171770347</v>
      </c>
    </row>
    <row r="156" spans="7:24" x14ac:dyDescent="0.25">
      <c r="G156" s="3">
        <v>148</v>
      </c>
      <c r="H156" s="4">
        <f t="shared" si="22"/>
        <v>2057.2251938510094</v>
      </c>
      <c r="I156" s="4">
        <f t="shared" si="16"/>
        <v>1810.149958015473</v>
      </c>
      <c r="J156" s="4">
        <f t="shared" si="17"/>
        <v>247.07523583553643</v>
      </c>
      <c r="K156" s="5">
        <f t="shared" si="18"/>
        <v>180767.92056571177</v>
      </c>
      <c r="R156">
        <v>150</v>
      </c>
      <c r="S156">
        <f t="shared" si="19"/>
        <v>0.22479877101892401</v>
      </c>
      <c r="V156">
        <v>150</v>
      </c>
      <c r="W156">
        <f t="shared" si="20"/>
        <v>0.32601814951535063</v>
      </c>
      <c r="X156">
        <f t="shared" si="21"/>
        <v>691.44554859854304</v>
      </c>
    </row>
    <row r="157" spans="7:24" x14ac:dyDescent="0.25">
      <c r="G157" s="3">
        <v>149</v>
      </c>
      <c r="H157" s="4">
        <f t="shared" si="22"/>
        <v>2057.2251938510094</v>
      </c>
      <c r="I157" s="4">
        <f t="shared" ref="I157:I220" si="23">K156*$I$4/12</f>
        <v>1807.6792056571176</v>
      </c>
      <c r="J157" s="4">
        <f t="shared" ref="J157:J220" si="24">H157-I157</f>
        <v>249.54598819389184</v>
      </c>
      <c r="K157" s="5">
        <f t="shared" ref="K157:K220" si="25">K156-J157</f>
        <v>180518.37457751788</v>
      </c>
      <c r="R157">
        <v>151</v>
      </c>
      <c r="S157">
        <f t="shared" si="19"/>
        <v>0.22257304061279606</v>
      </c>
      <c r="V157">
        <v>151</v>
      </c>
      <c r="W157">
        <f t="shared" si="20"/>
        <v>0.32359121539985181</v>
      </c>
      <c r="X157">
        <f t="shared" si="21"/>
        <v>688.5764799321588</v>
      </c>
    </row>
    <row r="158" spans="7:24" x14ac:dyDescent="0.25">
      <c r="G158" s="3">
        <v>150</v>
      </c>
      <c r="H158" s="4">
        <f t="shared" si="22"/>
        <v>2057.2251938510094</v>
      </c>
      <c r="I158" s="4">
        <f t="shared" si="23"/>
        <v>1805.1837457751787</v>
      </c>
      <c r="J158" s="4">
        <f t="shared" si="24"/>
        <v>252.04144807583066</v>
      </c>
      <c r="K158" s="5">
        <f t="shared" si="25"/>
        <v>180266.33312944206</v>
      </c>
      <c r="R158">
        <v>152</v>
      </c>
      <c r="S158">
        <f t="shared" si="19"/>
        <v>0.2203693471413822</v>
      </c>
      <c r="V158">
        <v>152</v>
      </c>
      <c r="W158">
        <f t="shared" si="20"/>
        <v>0.32118234779141619</v>
      </c>
      <c r="X158">
        <f t="shared" si="21"/>
        <v>685.71931611501304</v>
      </c>
    </row>
    <row r="159" spans="7:24" x14ac:dyDescent="0.25">
      <c r="G159" s="3">
        <v>151</v>
      </c>
      <c r="H159" s="4">
        <f t="shared" si="22"/>
        <v>2057.2251938510094</v>
      </c>
      <c r="I159" s="4">
        <f t="shared" si="23"/>
        <v>1802.6633312944205</v>
      </c>
      <c r="J159" s="4">
        <f t="shared" si="24"/>
        <v>254.56186255658895</v>
      </c>
      <c r="K159" s="5">
        <f t="shared" si="25"/>
        <v>180011.77126688548</v>
      </c>
      <c r="R159">
        <v>153</v>
      </c>
      <c r="S159">
        <f t="shared" si="19"/>
        <v>0.21818747241721007</v>
      </c>
      <c r="V159">
        <v>153</v>
      </c>
      <c r="W159">
        <f t="shared" si="20"/>
        <v>0.31879141219991675</v>
      </c>
      <c r="X159">
        <f t="shared" si="21"/>
        <v>682.87400774939067</v>
      </c>
    </row>
    <row r="160" spans="7:24" x14ac:dyDescent="0.25">
      <c r="G160" s="3">
        <v>152</v>
      </c>
      <c r="H160" s="4">
        <f t="shared" si="22"/>
        <v>2057.2251938510094</v>
      </c>
      <c r="I160" s="4">
        <f t="shared" si="23"/>
        <v>1800.1177126688547</v>
      </c>
      <c r="J160" s="4">
        <f t="shared" si="24"/>
        <v>257.10748118215474</v>
      </c>
      <c r="K160" s="5">
        <f t="shared" si="25"/>
        <v>179754.66378570333</v>
      </c>
      <c r="R160">
        <v>154</v>
      </c>
      <c r="S160">
        <f t="shared" si="19"/>
        <v>0.21602720041307927</v>
      </c>
      <c r="V160">
        <v>154</v>
      </c>
      <c r="W160">
        <f t="shared" si="20"/>
        <v>0.31641827513639376</v>
      </c>
      <c r="X160">
        <f t="shared" si="21"/>
        <v>680.04050564254646</v>
      </c>
    </row>
    <row r="161" spans="7:24" x14ac:dyDescent="0.25">
      <c r="G161" s="3">
        <v>153</v>
      </c>
      <c r="H161" s="4">
        <f t="shared" si="22"/>
        <v>2057.2251938510094</v>
      </c>
      <c r="I161" s="4">
        <f t="shared" si="23"/>
        <v>1797.5466378570334</v>
      </c>
      <c r="J161" s="4">
        <f t="shared" si="24"/>
        <v>259.67855599397603</v>
      </c>
      <c r="K161" s="5">
        <f t="shared" si="25"/>
        <v>179494.98522970936</v>
      </c>
      <c r="R161">
        <v>155</v>
      </c>
      <c r="S161">
        <f t="shared" si="19"/>
        <v>0.21388831724067262</v>
      </c>
      <c r="V161">
        <v>155</v>
      </c>
      <c r="W161">
        <f t="shared" si="20"/>
        <v>0.31406280410560172</v>
      </c>
      <c r="X161">
        <f t="shared" si="21"/>
        <v>677.2187608058556</v>
      </c>
    </row>
    <row r="162" spans="7:24" x14ac:dyDescent="0.25">
      <c r="G162" s="3">
        <v>154</v>
      </c>
      <c r="H162" s="4">
        <f t="shared" si="22"/>
        <v>2057.2251938510094</v>
      </c>
      <c r="I162" s="4">
        <f t="shared" si="23"/>
        <v>1794.9498522970935</v>
      </c>
      <c r="J162" s="4">
        <f t="shared" si="24"/>
        <v>262.27534155391595</v>
      </c>
      <c r="K162" s="5">
        <f t="shared" si="25"/>
        <v>179232.70988815546</v>
      </c>
      <c r="R162">
        <v>156</v>
      </c>
      <c r="S162">
        <f t="shared" si="19"/>
        <v>0.21177061112937884</v>
      </c>
      <c r="V162">
        <v>156</v>
      </c>
      <c r="W162">
        <f t="shared" si="20"/>
        <v>0.31172486759861207</v>
      </c>
      <c r="X162">
        <f t="shared" si="21"/>
        <v>674.40872445396406</v>
      </c>
    </row>
    <row r="163" spans="7:24" x14ac:dyDescent="0.25">
      <c r="G163" s="3">
        <v>155</v>
      </c>
      <c r="H163" s="4">
        <f t="shared" si="22"/>
        <v>2057.2251938510094</v>
      </c>
      <c r="I163" s="4">
        <f t="shared" si="23"/>
        <v>1792.3270988815545</v>
      </c>
      <c r="J163" s="4">
        <f t="shared" si="24"/>
        <v>264.89809496945486</v>
      </c>
      <c r="K163" s="5">
        <f t="shared" si="25"/>
        <v>178967.811793186</v>
      </c>
      <c r="R163">
        <v>157</v>
      </c>
      <c r="S163">
        <f t="shared" si="19"/>
        <v>0.20967387240532556</v>
      </c>
      <c r="V163">
        <v>157</v>
      </c>
      <c r="W163">
        <f t="shared" si="20"/>
        <v>0.3094043350854711</v>
      </c>
      <c r="X163">
        <f t="shared" si="21"/>
        <v>671.61034800394759</v>
      </c>
    </row>
    <row r="164" spans="7:24" x14ac:dyDescent="0.25">
      <c r="G164" s="3">
        <v>156</v>
      </c>
      <c r="H164" s="4">
        <f t="shared" si="22"/>
        <v>2057.2251938510094</v>
      </c>
      <c r="I164" s="4">
        <f t="shared" si="23"/>
        <v>1789.6781179318598</v>
      </c>
      <c r="J164" s="4">
        <f t="shared" si="24"/>
        <v>267.54707591914962</v>
      </c>
      <c r="K164" s="5">
        <f t="shared" si="25"/>
        <v>178700.26471726687</v>
      </c>
      <c r="R164">
        <v>158</v>
      </c>
      <c r="S164">
        <f t="shared" si="19"/>
        <v>0.20759789347061933</v>
      </c>
      <c r="V164">
        <v>158</v>
      </c>
      <c r="W164">
        <f t="shared" si="20"/>
        <v>0.30710107700791162</v>
      </c>
      <c r="X164">
        <f t="shared" si="21"/>
        <v>668.82358307447066</v>
      </c>
    </row>
    <row r="165" spans="7:24" x14ac:dyDescent="0.25">
      <c r="G165" s="3">
        <v>157</v>
      </c>
      <c r="H165" s="4">
        <f t="shared" si="22"/>
        <v>2057.2251938510094</v>
      </c>
      <c r="I165" s="4">
        <f t="shared" si="23"/>
        <v>1787.0026471726687</v>
      </c>
      <c r="J165" s="4">
        <f t="shared" si="24"/>
        <v>270.22254667834068</v>
      </c>
      <c r="K165" s="5">
        <f t="shared" si="25"/>
        <v>178430.04217058854</v>
      </c>
      <c r="R165">
        <v>159</v>
      </c>
      <c r="S165">
        <f t="shared" si="19"/>
        <v>0.20554246878279148</v>
      </c>
      <c r="V165">
        <v>159</v>
      </c>
      <c r="W165">
        <f t="shared" si="20"/>
        <v>0.30481496477212067</v>
      </c>
      <c r="X165">
        <f t="shared" si="21"/>
        <v>666.04838148494969</v>
      </c>
    </row>
    <row r="166" spans="7:24" x14ac:dyDescent="0.25">
      <c r="G166" s="3">
        <v>158</v>
      </c>
      <c r="H166" s="4">
        <f t="shared" si="22"/>
        <v>2057.2251938510094</v>
      </c>
      <c r="I166" s="4">
        <f t="shared" si="23"/>
        <v>1784.3004217058854</v>
      </c>
      <c r="J166" s="4">
        <f t="shared" si="24"/>
        <v>272.92477214512405</v>
      </c>
      <c r="K166" s="5">
        <f t="shared" si="25"/>
        <v>178157.11739844343</v>
      </c>
      <c r="R166">
        <v>160</v>
      </c>
      <c r="S166">
        <f t="shared" si="19"/>
        <v>0.20350739483444696</v>
      </c>
      <c r="V166">
        <v>160</v>
      </c>
      <c r="W166">
        <f t="shared" si="20"/>
        <v>0.30254587074155903</v>
      </c>
      <c r="X166">
        <f t="shared" si="21"/>
        <v>663.2846952547219</v>
      </c>
    </row>
    <row r="167" spans="7:24" x14ac:dyDescent="0.25">
      <c r="G167" s="3">
        <v>159</v>
      </c>
      <c r="H167" s="4">
        <f t="shared" si="22"/>
        <v>2057.2251938510094</v>
      </c>
      <c r="I167" s="4">
        <f t="shared" si="23"/>
        <v>1781.5711739844344</v>
      </c>
      <c r="J167" s="4">
        <f t="shared" si="24"/>
        <v>275.65401986657503</v>
      </c>
      <c r="K167" s="5">
        <f t="shared" si="25"/>
        <v>177881.46337857685</v>
      </c>
      <c r="R167">
        <v>161</v>
      </c>
      <c r="S167">
        <f t="shared" si="19"/>
        <v>0.2014924701331158</v>
      </c>
      <c r="V167">
        <v>161</v>
      </c>
      <c r="W167">
        <f t="shared" si="20"/>
        <v>0.30029366822983528</v>
      </c>
      <c r="X167">
        <f t="shared" si="21"/>
        <v>660.53247660221268</v>
      </c>
    </row>
    <row r="168" spans="7:24" x14ac:dyDescent="0.25">
      <c r="G168" s="3">
        <v>160</v>
      </c>
      <c r="H168" s="4">
        <f t="shared" si="22"/>
        <v>2057.2251938510094</v>
      </c>
      <c r="I168" s="4">
        <f t="shared" si="23"/>
        <v>1778.8146337857686</v>
      </c>
      <c r="J168" s="4">
        <f t="shared" si="24"/>
        <v>278.41056006524082</v>
      </c>
      <c r="K168" s="5">
        <f t="shared" si="25"/>
        <v>177603.05281851161</v>
      </c>
      <c r="R168">
        <v>162</v>
      </c>
      <c r="S168">
        <f t="shared" si="19"/>
        <v>0.19949749518130278</v>
      </c>
      <c r="V168">
        <v>162</v>
      </c>
      <c r="W168">
        <f t="shared" si="20"/>
        <v>0.29805823149363297</v>
      </c>
      <c r="X168">
        <f t="shared" si="21"/>
        <v>657.79167794411217</v>
      </c>
    </row>
    <row r="169" spans="7:24" x14ac:dyDescent="0.25">
      <c r="G169" s="3">
        <v>161</v>
      </c>
      <c r="H169" s="4">
        <f t="shared" si="22"/>
        <v>2057.2251938510094</v>
      </c>
      <c r="I169" s="4">
        <f t="shared" si="23"/>
        <v>1776.0305281851161</v>
      </c>
      <c r="J169" s="4">
        <f t="shared" si="24"/>
        <v>281.19466566589335</v>
      </c>
      <c r="K169" s="5">
        <f t="shared" si="25"/>
        <v>177321.85815284573</v>
      </c>
      <c r="R169">
        <v>163</v>
      </c>
      <c r="S169">
        <f t="shared" si="19"/>
        <v>0.19752227245673545</v>
      </c>
      <c r="V169">
        <v>163</v>
      </c>
      <c r="W169">
        <f t="shared" si="20"/>
        <v>0.29583943572569027</v>
      </c>
      <c r="X169">
        <f t="shared" si="21"/>
        <v>655.06225189455154</v>
      </c>
    </row>
    <row r="170" spans="7:24" x14ac:dyDescent="0.25">
      <c r="G170" s="3">
        <v>162</v>
      </c>
      <c r="H170" s="4">
        <f t="shared" si="22"/>
        <v>2057.2251938510094</v>
      </c>
      <c r="I170" s="4">
        <f t="shared" si="23"/>
        <v>1773.2185815284572</v>
      </c>
      <c r="J170" s="4">
        <f t="shared" si="24"/>
        <v>284.0066123225522</v>
      </c>
      <c r="K170" s="5">
        <f t="shared" si="25"/>
        <v>177037.85154052317</v>
      </c>
      <c r="R170">
        <v>164</v>
      </c>
      <c r="S170">
        <f t="shared" si="19"/>
        <v>0.19556660639280735</v>
      </c>
      <c r="V170">
        <v>164</v>
      </c>
      <c r="W170">
        <f t="shared" si="20"/>
        <v>0.29363715704783155</v>
      </c>
      <c r="X170">
        <f t="shared" si="21"/>
        <v>652.34415126428371</v>
      </c>
    </row>
    <row r="171" spans="7:24" x14ac:dyDescent="0.25">
      <c r="G171" s="3">
        <v>163</v>
      </c>
      <c r="H171" s="4">
        <f t="shared" si="22"/>
        <v>2057.2251938510094</v>
      </c>
      <c r="I171" s="4">
        <f t="shared" si="23"/>
        <v>1770.3785154052318</v>
      </c>
      <c r="J171" s="4">
        <f t="shared" si="24"/>
        <v>286.84667844577757</v>
      </c>
      <c r="K171" s="5">
        <f t="shared" si="25"/>
        <v>176751.00486207739</v>
      </c>
      <c r="R171">
        <v>165</v>
      </c>
      <c r="S171">
        <f t="shared" si="19"/>
        <v>0.19363030335921519</v>
      </c>
      <c r="V171">
        <v>165</v>
      </c>
      <c r="W171">
        <f t="shared" si="20"/>
        <v>0.29145127250405112</v>
      </c>
      <c r="X171">
        <f t="shared" si="21"/>
        <v>649.63732905986762</v>
      </c>
    </row>
    <row r="172" spans="7:24" x14ac:dyDescent="0.25">
      <c r="G172" s="3">
        <v>164</v>
      </c>
      <c r="H172" s="4">
        <f t="shared" si="22"/>
        <v>2057.2251938510094</v>
      </c>
      <c r="I172" s="4">
        <f t="shared" si="23"/>
        <v>1767.5100486207739</v>
      </c>
      <c r="J172" s="4">
        <f t="shared" si="24"/>
        <v>289.71514523023552</v>
      </c>
      <c r="K172" s="5">
        <f t="shared" si="25"/>
        <v>176461.28971684715</v>
      </c>
      <c r="R172">
        <v>166</v>
      </c>
      <c r="S172">
        <f t="shared" si="19"/>
        <v>0.19171317164278731</v>
      </c>
      <c r="V172">
        <v>166</v>
      </c>
      <c r="W172">
        <f t="shared" si="20"/>
        <v>0.28928166005364875</v>
      </c>
      <c r="X172">
        <f t="shared" si="21"/>
        <v>646.94173848285573</v>
      </c>
    </row>
    <row r="173" spans="7:24" x14ac:dyDescent="0.25">
      <c r="G173" s="3">
        <v>165</v>
      </c>
      <c r="H173" s="4">
        <f t="shared" si="22"/>
        <v>2057.2251938510094</v>
      </c>
      <c r="I173" s="4">
        <f t="shared" si="23"/>
        <v>1764.6128971684714</v>
      </c>
      <c r="J173" s="4">
        <f t="shared" si="24"/>
        <v>292.61229668253804</v>
      </c>
      <c r="K173" s="5">
        <f t="shared" si="25"/>
        <v>176168.6774201646</v>
      </c>
      <c r="R173">
        <v>167</v>
      </c>
      <c r="S173">
        <f t="shared" si="19"/>
        <v>0.18981502142850232</v>
      </c>
      <c r="V173">
        <v>167</v>
      </c>
      <c r="W173">
        <f t="shared" si="20"/>
        <v>0.28712819856441557</v>
      </c>
      <c r="X173">
        <f t="shared" si="21"/>
        <v>644.25733292898485</v>
      </c>
    </row>
    <row r="174" spans="7:24" x14ac:dyDescent="0.25">
      <c r="G174" s="3">
        <v>166</v>
      </c>
      <c r="H174" s="4">
        <f t="shared" si="22"/>
        <v>2057.2251938510094</v>
      </c>
      <c r="I174" s="4">
        <f t="shared" si="23"/>
        <v>1761.6867742016459</v>
      </c>
      <c r="J174" s="4">
        <f t="shared" si="24"/>
        <v>295.5384196493635</v>
      </c>
      <c r="K174" s="5">
        <f t="shared" si="25"/>
        <v>175873.13900051525</v>
      </c>
      <c r="R174">
        <v>168</v>
      </c>
      <c r="S174">
        <f t="shared" si="19"/>
        <v>0.18793566478069532</v>
      </c>
      <c r="V174">
        <v>168</v>
      </c>
      <c r="W174">
        <f t="shared" si="20"/>
        <v>0.28499076780587157</v>
      </c>
      <c r="X174">
        <f t="shared" si="21"/>
        <v>641.58406598737088</v>
      </c>
    </row>
    <row r="175" spans="7:24" x14ac:dyDescent="0.25">
      <c r="G175" s="3">
        <v>167</v>
      </c>
      <c r="H175" s="4">
        <f t="shared" si="22"/>
        <v>2057.2251938510094</v>
      </c>
      <c r="I175" s="4">
        <f t="shared" si="23"/>
        <v>1758.7313900051524</v>
      </c>
      <c r="J175" s="4">
        <f t="shared" si="24"/>
        <v>298.49380384585697</v>
      </c>
      <c r="K175" s="5">
        <f t="shared" si="25"/>
        <v>175574.64519666939</v>
      </c>
      <c r="R175">
        <v>169</v>
      </c>
      <c r="S175">
        <f t="shared" si="19"/>
        <v>0.1860749156244508</v>
      </c>
      <c r="V175">
        <v>169</v>
      </c>
      <c r="W175">
        <f t="shared" si="20"/>
        <v>0.28286924844255235</v>
      </c>
      <c r="X175">
        <f t="shared" si="21"/>
        <v>638.9218914397054</v>
      </c>
    </row>
    <row r="176" spans="7:24" x14ac:dyDescent="0.25">
      <c r="G176" s="3">
        <v>168</v>
      </c>
      <c r="H176" s="4">
        <f t="shared" si="22"/>
        <v>2057.2251938510094</v>
      </c>
      <c r="I176" s="4">
        <f t="shared" si="23"/>
        <v>1755.7464519666937</v>
      </c>
      <c r="J176" s="4">
        <f t="shared" si="24"/>
        <v>301.4787418843157</v>
      </c>
      <c r="K176" s="5">
        <f t="shared" si="25"/>
        <v>175273.16645478507</v>
      </c>
      <c r="R176">
        <v>170</v>
      </c>
      <c r="S176">
        <f t="shared" si="19"/>
        <v>0.18423258972717899</v>
      </c>
      <c r="V176">
        <v>170</v>
      </c>
      <c r="W176">
        <f t="shared" si="20"/>
        <v>0.28076352202734722</v>
      </c>
      <c r="X176">
        <f t="shared" si="21"/>
        <v>636.27076325945757</v>
      </c>
    </row>
    <row r="177" spans="7:24" x14ac:dyDescent="0.25">
      <c r="G177" s="3">
        <v>169</v>
      </c>
      <c r="H177" s="4">
        <f t="shared" si="22"/>
        <v>2057.2251938510094</v>
      </c>
      <c r="I177" s="4">
        <f t="shared" si="23"/>
        <v>1752.7316645478506</v>
      </c>
      <c r="J177" s="4">
        <f t="shared" si="24"/>
        <v>304.49352930315877</v>
      </c>
      <c r="K177" s="5">
        <f t="shared" si="25"/>
        <v>174968.67292548192</v>
      </c>
      <c r="R177">
        <v>171</v>
      </c>
      <c r="S177">
        <f t="shared" si="19"/>
        <v>0.18240850468037528</v>
      </c>
      <c r="V177">
        <v>171</v>
      </c>
      <c r="W177">
        <f t="shared" si="20"/>
        <v>0.27867347099488554</v>
      </c>
      <c r="X177">
        <f t="shared" si="21"/>
        <v>633.63063561107811</v>
      </c>
    </row>
    <row r="178" spans="7:24" x14ac:dyDescent="0.25">
      <c r="G178" s="3">
        <v>170</v>
      </c>
      <c r="H178" s="4">
        <f t="shared" si="22"/>
        <v>2057.2251938510094</v>
      </c>
      <c r="I178" s="4">
        <f t="shared" si="23"/>
        <v>1749.6867292548193</v>
      </c>
      <c r="J178" s="4">
        <f t="shared" si="24"/>
        <v>307.53846459619012</v>
      </c>
      <c r="K178" s="5">
        <f t="shared" si="25"/>
        <v>174661.13446088572</v>
      </c>
      <c r="R178">
        <v>172</v>
      </c>
      <c r="S178">
        <f t="shared" si="19"/>
        <v>0.18060247988155967</v>
      </c>
      <c r="V178">
        <v>172</v>
      </c>
      <c r="W178">
        <f t="shared" si="20"/>
        <v>0.27659897865497324</v>
      </c>
      <c r="X178">
        <f t="shared" si="21"/>
        <v>631.00146284920652</v>
      </c>
    </row>
    <row r="179" spans="7:24" x14ac:dyDescent="0.25">
      <c r="G179" s="3">
        <v>171</v>
      </c>
      <c r="H179" s="4">
        <f t="shared" si="22"/>
        <v>2057.2251938510094</v>
      </c>
      <c r="I179" s="4">
        <f t="shared" si="23"/>
        <v>1746.6113446088573</v>
      </c>
      <c r="J179" s="4">
        <f t="shared" si="24"/>
        <v>310.61384924215213</v>
      </c>
      <c r="K179" s="5">
        <f t="shared" si="25"/>
        <v>174350.52061164356</v>
      </c>
      <c r="R179">
        <v>173</v>
      </c>
      <c r="S179">
        <f t="shared" si="19"/>
        <v>0.17881433651639572</v>
      </c>
      <c r="V179">
        <v>173</v>
      </c>
      <c r="W179">
        <f t="shared" si="20"/>
        <v>0.27453992918607767</v>
      </c>
      <c r="X179">
        <f t="shared" si="21"/>
        <v>628.38319951788208</v>
      </c>
    </row>
    <row r="180" spans="7:24" x14ac:dyDescent="0.25">
      <c r="G180" s="3">
        <v>172</v>
      </c>
      <c r="H180" s="4">
        <f t="shared" si="22"/>
        <v>2057.2251938510094</v>
      </c>
      <c r="I180" s="4">
        <f t="shared" si="23"/>
        <v>1743.5052061164354</v>
      </c>
      <c r="J180" s="4">
        <f t="shared" si="24"/>
        <v>313.71998773457403</v>
      </c>
      <c r="K180" s="5">
        <f t="shared" si="25"/>
        <v>174036.80062390899</v>
      </c>
      <c r="R180">
        <v>174</v>
      </c>
      <c r="S180">
        <f t="shared" si="19"/>
        <v>0.17704389754098585</v>
      </c>
      <c r="V180">
        <v>174</v>
      </c>
      <c r="W180">
        <f t="shared" si="20"/>
        <v>0.27249620762886112</v>
      </c>
      <c r="X180">
        <f t="shared" si="21"/>
        <v>625.77580034975801</v>
      </c>
    </row>
    <row r="181" spans="7:24" x14ac:dyDescent="0.25">
      <c r="G181" s="3">
        <v>173</v>
      </c>
      <c r="H181" s="4">
        <f t="shared" si="22"/>
        <v>2057.2251938510094</v>
      </c>
      <c r="I181" s="4">
        <f t="shared" si="23"/>
        <v>1740.3680062390897</v>
      </c>
      <c r="J181" s="4">
        <f t="shared" si="24"/>
        <v>316.8571876119197</v>
      </c>
      <c r="K181" s="5">
        <f t="shared" si="25"/>
        <v>173719.94343629706</v>
      </c>
      <c r="R181">
        <v>175</v>
      </c>
      <c r="S181">
        <f t="shared" si="19"/>
        <v>0.17529098766434248</v>
      </c>
      <c r="V181">
        <v>175</v>
      </c>
      <c r="W181">
        <f t="shared" si="20"/>
        <v>0.27046769987976288</v>
      </c>
      <c r="X181">
        <f t="shared" si="21"/>
        <v>623.17922026531892</v>
      </c>
    </row>
    <row r="182" spans="7:24" x14ac:dyDescent="0.25">
      <c r="G182" s="3">
        <v>174</v>
      </c>
      <c r="H182" s="4">
        <f t="shared" si="22"/>
        <v>2057.2251938510094</v>
      </c>
      <c r="I182" s="4">
        <f t="shared" si="23"/>
        <v>1737.1994343629706</v>
      </c>
      <c r="J182" s="4">
        <f t="shared" si="24"/>
        <v>320.02575948803883</v>
      </c>
      <c r="K182" s="5">
        <f t="shared" si="25"/>
        <v>173399.91767680901</v>
      </c>
      <c r="R182">
        <v>176</v>
      </c>
      <c r="S182">
        <f t="shared" si="19"/>
        <v>0.1735554333310321</v>
      </c>
      <c r="V182">
        <v>176</v>
      </c>
      <c r="W182">
        <f t="shared" si="20"/>
        <v>0.26845429268462817</v>
      </c>
      <c r="X182">
        <f t="shared" si="21"/>
        <v>620.59341437210196</v>
      </c>
    </row>
    <row r="183" spans="7:24" x14ac:dyDescent="0.25">
      <c r="G183" s="3">
        <v>175</v>
      </c>
      <c r="H183" s="4">
        <f t="shared" si="22"/>
        <v>2057.2251938510094</v>
      </c>
      <c r="I183" s="4">
        <f t="shared" si="23"/>
        <v>1733.9991767680901</v>
      </c>
      <c r="J183" s="4">
        <f t="shared" si="24"/>
        <v>323.22601708291927</v>
      </c>
      <c r="K183" s="5">
        <f t="shared" si="25"/>
        <v>173076.69165972609</v>
      </c>
      <c r="R183">
        <v>177</v>
      </c>
      <c r="S183">
        <f t="shared" si="19"/>
        <v>0.17183706270399218</v>
      </c>
      <c r="V183">
        <v>177</v>
      </c>
      <c r="W183">
        <f t="shared" si="20"/>
        <v>0.26645587363238532</v>
      </c>
      <c r="X183">
        <f t="shared" si="21"/>
        <v>618.01833796391895</v>
      </c>
    </row>
    <row r="184" spans="7:24" x14ac:dyDescent="0.25">
      <c r="G184" s="3">
        <v>176</v>
      </c>
      <c r="H184" s="4">
        <f t="shared" si="22"/>
        <v>2057.2251938510094</v>
      </c>
      <c r="I184" s="4">
        <f t="shared" si="23"/>
        <v>1730.7669165972609</v>
      </c>
      <c r="J184" s="4">
        <f t="shared" si="24"/>
        <v>326.45827725374852</v>
      </c>
      <c r="K184" s="5">
        <f t="shared" si="25"/>
        <v>172750.23338247233</v>
      </c>
      <c r="R184">
        <v>178</v>
      </c>
      <c r="S184">
        <f t="shared" si="19"/>
        <v>0.17013570564751698</v>
      </c>
      <c r="V184">
        <v>178</v>
      </c>
      <c r="W184">
        <f t="shared" si="20"/>
        <v>0.26447233114876945</v>
      </c>
      <c r="X184">
        <f t="shared" si="21"/>
        <v>615.45394652008531</v>
      </c>
    </row>
    <row r="185" spans="7:24" x14ac:dyDescent="0.25">
      <c r="G185" s="3">
        <v>177</v>
      </c>
      <c r="H185" s="4">
        <f t="shared" si="22"/>
        <v>2057.2251938510094</v>
      </c>
      <c r="I185" s="4">
        <f t="shared" si="23"/>
        <v>1727.5023338247231</v>
      </c>
      <c r="J185" s="4">
        <f t="shared" si="24"/>
        <v>329.7228600262863</v>
      </c>
      <c r="K185" s="5">
        <f t="shared" si="25"/>
        <v>172420.51052244604</v>
      </c>
      <c r="R185">
        <v>179</v>
      </c>
      <c r="S185">
        <f t="shared" si="19"/>
        <v>0.16845119371041289</v>
      </c>
      <c r="V185">
        <v>179</v>
      </c>
      <c r="W185">
        <f t="shared" si="20"/>
        <v>0.26250355449009377</v>
      </c>
      <c r="X185">
        <f t="shared" si="21"/>
        <v>612.90019570464926</v>
      </c>
    </row>
    <row r="186" spans="7:24" x14ac:dyDescent="0.25">
      <c r="G186" s="3">
        <v>178</v>
      </c>
      <c r="H186" s="4">
        <f t="shared" si="22"/>
        <v>2057.2251938510094</v>
      </c>
      <c r="I186" s="4">
        <f t="shared" si="23"/>
        <v>1724.2051052244603</v>
      </c>
      <c r="J186" s="4">
        <f t="shared" si="24"/>
        <v>333.02008862654907</v>
      </c>
      <c r="K186" s="5">
        <f t="shared" si="25"/>
        <v>172087.4904338195</v>
      </c>
      <c r="R186">
        <v>180</v>
      </c>
      <c r="S186">
        <f t="shared" si="19"/>
        <v>0.16678336010931968</v>
      </c>
      <c r="V186">
        <v>180</v>
      </c>
      <c r="W186">
        <f t="shared" si="20"/>
        <v>0.26054943373706568</v>
      </c>
      <c r="X186">
        <f t="shared" si="21"/>
        <v>610.35704136562572</v>
      </c>
    </row>
    <row r="187" spans="7:24" x14ac:dyDescent="0.25">
      <c r="G187" s="3">
        <v>179</v>
      </c>
      <c r="H187" s="4">
        <f t="shared" si="22"/>
        <v>2057.2251938510094</v>
      </c>
      <c r="I187" s="4">
        <f t="shared" si="23"/>
        <v>1720.8749043381949</v>
      </c>
      <c r="J187" s="4">
        <f t="shared" si="24"/>
        <v>336.35028951281447</v>
      </c>
      <c r="K187" s="5">
        <f t="shared" si="25"/>
        <v>171751.1401443067</v>
      </c>
      <c r="R187">
        <v>181</v>
      </c>
      <c r="S187">
        <f t="shared" si="19"/>
        <v>0.16513203971219773</v>
      </c>
      <c r="V187">
        <v>181</v>
      </c>
      <c r="W187">
        <f t="shared" si="20"/>
        <v>0.25860985978865081</v>
      </c>
      <c r="X187">
        <f t="shared" si="21"/>
        <v>607.82443953423308</v>
      </c>
    </row>
    <row r="188" spans="7:24" x14ac:dyDescent="0.25">
      <c r="G188" s="3">
        <v>180</v>
      </c>
      <c r="H188" s="4">
        <f t="shared" si="22"/>
        <v>2057.2251938510094</v>
      </c>
      <c r="I188" s="4">
        <f t="shared" si="23"/>
        <v>1717.5114014430671</v>
      </c>
      <c r="J188" s="4">
        <f t="shared" si="24"/>
        <v>339.71379240794226</v>
      </c>
      <c r="K188" s="5">
        <f t="shared" si="25"/>
        <v>171411.42635189876</v>
      </c>
      <c r="R188">
        <v>182</v>
      </c>
      <c r="S188">
        <f t="shared" si="19"/>
        <v>0.16349706902197791</v>
      </c>
      <c r="V188">
        <v>182</v>
      </c>
      <c r="W188">
        <f t="shared" si="20"/>
        <v>0.25668472435598089</v>
      </c>
      <c r="X188">
        <f t="shared" si="21"/>
        <v>605.30234642413257</v>
      </c>
    </row>
    <row r="189" spans="7:24" x14ac:dyDescent="0.25">
      <c r="G189" s="3">
        <v>181</v>
      </c>
      <c r="H189" s="4">
        <f t="shared" si="22"/>
        <v>2057.2251938510094</v>
      </c>
      <c r="I189" s="4">
        <f t="shared" si="23"/>
        <v>1714.1142635189874</v>
      </c>
      <c r="J189" s="4">
        <f t="shared" si="24"/>
        <v>343.11093033202201</v>
      </c>
      <c r="K189" s="5">
        <f t="shared" si="25"/>
        <v>171068.31542156675</v>
      </c>
      <c r="R189">
        <v>183</v>
      </c>
      <c r="S189">
        <f t="shared" si="19"/>
        <v>0.1618782861603742</v>
      </c>
      <c r="V189">
        <v>183</v>
      </c>
      <c r="W189">
        <f t="shared" si="20"/>
        <v>0.2547739199563086</v>
      </c>
      <c r="X189">
        <f t="shared" si="21"/>
        <v>602.79071843067118</v>
      </c>
    </row>
    <row r="190" spans="7:24" x14ac:dyDescent="0.25">
      <c r="G190" s="3">
        <v>182</v>
      </c>
      <c r="H190" s="4">
        <f t="shared" si="22"/>
        <v>2057.2251938510094</v>
      </c>
      <c r="I190" s="4">
        <f t="shared" si="23"/>
        <v>1710.6831542156672</v>
      </c>
      <c r="J190" s="4">
        <f t="shared" si="24"/>
        <v>346.54203963534223</v>
      </c>
      <c r="K190" s="5">
        <f t="shared" si="25"/>
        <v>170721.77338193142</v>
      </c>
      <c r="R190">
        <v>184</v>
      </c>
      <c r="S190">
        <f t="shared" si="19"/>
        <v>0.16027553085185559</v>
      </c>
      <c r="V190">
        <v>184</v>
      </c>
      <c r="W190">
        <f t="shared" si="20"/>
        <v>0.252877339907006</v>
      </c>
      <c r="X190">
        <f t="shared" si="21"/>
        <v>600.2895121301292</v>
      </c>
    </row>
    <row r="191" spans="7:24" x14ac:dyDescent="0.25">
      <c r="G191" s="3">
        <v>183</v>
      </c>
      <c r="H191" s="4">
        <f t="shared" si="22"/>
        <v>2057.2251938510094</v>
      </c>
      <c r="I191" s="4">
        <f t="shared" si="23"/>
        <v>1707.2177338193142</v>
      </c>
      <c r="J191" s="4">
        <f t="shared" si="24"/>
        <v>350.00746003169525</v>
      </c>
      <c r="K191" s="5">
        <f t="shared" si="25"/>
        <v>170371.76592189973</v>
      </c>
      <c r="R191">
        <v>185</v>
      </c>
      <c r="S191">
        <f t="shared" si="19"/>
        <v>0.1586886444077778</v>
      </c>
      <c r="V191">
        <v>185</v>
      </c>
      <c r="W191">
        <f t="shared" si="20"/>
        <v>0.25099487831960898</v>
      </c>
      <c r="X191">
        <f t="shared" si="21"/>
        <v>597.7986842789669</v>
      </c>
    </row>
    <row r="192" spans="7:24" x14ac:dyDescent="0.25">
      <c r="G192" s="3">
        <v>184</v>
      </c>
      <c r="H192" s="4">
        <f t="shared" si="22"/>
        <v>2057.2251938510094</v>
      </c>
      <c r="I192" s="4">
        <f t="shared" si="23"/>
        <v>1703.7176592189971</v>
      </c>
      <c r="J192" s="4">
        <f t="shared" si="24"/>
        <v>353.50753463201227</v>
      </c>
      <c r="K192" s="5">
        <f t="shared" si="25"/>
        <v>170018.25838726771</v>
      </c>
      <c r="R192">
        <v>186</v>
      </c>
      <c r="S192">
        <f t="shared" si="19"/>
        <v>0.15711746971067109</v>
      </c>
      <c r="V192">
        <v>186</v>
      </c>
      <c r="W192">
        <f t="shared" si="20"/>
        <v>0.24912643009390464</v>
      </c>
      <c r="X192">
        <f t="shared" si="21"/>
        <v>595.3181918130789</v>
      </c>
    </row>
    <row r="193" spans="7:24" x14ac:dyDescent="0.25">
      <c r="G193" s="3">
        <v>185</v>
      </c>
      <c r="H193" s="4">
        <f t="shared" si="22"/>
        <v>2057.2251938510094</v>
      </c>
      <c r="I193" s="4">
        <f t="shared" si="23"/>
        <v>1700.182583872677</v>
      </c>
      <c r="J193" s="4">
        <f t="shared" si="24"/>
        <v>357.04260997833239</v>
      </c>
      <c r="K193" s="5">
        <f t="shared" si="25"/>
        <v>169661.21577728938</v>
      </c>
      <c r="R193">
        <v>187</v>
      </c>
      <c r="S193">
        <f t="shared" si="19"/>
        <v>0.15556185119868429</v>
      </c>
      <c r="V193">
        <v>187</v>
      </c>
      <c r="W193">
        <f t="shared" si="20"/>
        <v>0.24727189091206411</v>
      </c>
      <c r="X193">
        <f t="shared" si="21"/>
        <v>592.84799184704968</v>
      </c>
    </row>
    <row r="194" spans="7:24" x14ac:dyDescent="0.25">
      <c r="G194" s="3">
        <v>186</v>
      </c>
      <c r="H194" s="4">
        <f t="shared" si="22"/>
        <v>2057.2251938510094</v>
      </c>
      <c r="I194" s="4">
        <f t="shared" si="23"/>
        <v>1696.6121577728939</v>
      </c>
      <c r="J194" s="4">
        <f t="shared" si="24"/>
        <v>360.61303607811556</v>
      </c>
      <c r="K194" s="5">
        <f t="shared" si="25"/>
        <v>169300.60274121127</v>
      </c>
      <c r="R194">
        <v>188</v>
      </c>
      <c r="S194">
        <f t="shared" si="19"/>
        <v>0.15402163485018247</v>
      </c>
      <c r="V194">
        <v>188</v>
      </c>
      <c r="W194">
        <f t="shared" si="20"/>
        <v>0.24543115723281794</v>
      </c>
      <c r="X194">
        <f t="shared" si="21"/>
        <v>590.38804167341038</v>
      </c>
    </row>
    <row r="195" spans="7:24" x14ac:dyDescent="0.25">
      <c r="G195" s="3">
        <v>187</v>
      </c>
      <c r="H195" s="4">
        <f t="shared" si="22"/>
        <v>2057.2251938510094</v>
      </c>
      <c r="I195" s="4">
        <f t="shared" si="23"/>
        <v>1693.0060274121126</v>
      </c>
      <c r="J195" s="4">
        <f t="shared" si="24"/>
        <v>364.21916643889676</v>
      </c>
      <c r="K195" s="5">
        <f t="shared" si="25"/>
        <v>168936.38357477236</v>
      </c>
      <c r="R195">
        <v>189</v>
      </c>
      <c r="S195">
        <f t="shared" si="19"/>
        <v>0.1524966681684975</v>
      </c>
      <c r="V195">
        <v>189</v>
      </c>
      <c r="W195">
        <f t="shared" si="20"/>
        <v>0.2436041262856754</v>
      </c>
      <c r="X195">
        <f t="shared" si="21"/>
        <v>587.9382987619025</v>
      </c>
    </row>
    <row r="196" spans="7:24" x14ac:dyDescent="0.25">
      <c r="G196" s="3">
        <v>188</v>
      </c>
      <c r="H196" s="4">
        <f t="shared" si="22"/>
        <v>2057.2251938510094</v>
      </c>
      <c r="I196" s="4">
        <f t="shared" si="23"/>
        <v>1689.3638357477237</v>
      </c>
      <c r="J196" s="4">
        <f t="shared" si="24"/>
        <v>367.86135810328574</v>
      </c>
      <c r="K196" s="5">
        <f t="shared" si="25"/>
        <v>168568.52221666908</v>
      </c>
      <c r="R196">
        <v>190</v>
      </c>
      <c r="S196">
        <f t="shared" si="19"/>
        <v>0.15098680016682917</v>
      </c>
      <c r="V196">
        <v>190</v>
      </c>
      <c r="W196">
        <f t="shared" si="20"/>
        <v>0.24179069606518647</v>
      </c>
      <c r="X196">
        <f t="shared" si="21"/>
        <v>585.49872075874111</v>
      </c>
    </row>
    <row r="197" spans="7:24" x14ac:dyDescent="0.25">
      <c r="G197" s="3">
        <v>189</v>
      </c>
      <c r="H197" s="4">
        <f t="shared" si="22"/>
        <v>2057.2251938510094</v>
      </c>
      <c r="I197" s="4">
        <f t="shared" si="23"/>
        <v>1685.6852221666907</v>
      </c>
      <c r="J197" s="4">
        <f t="shared" si="24"/>
        <v>371.53997168431874</v>
      </c>
      <c r="K197" s="5">
        <f t="shared" si="25"/>
        <v>168196.98224498477</v>
      </c>
      <c r="R197">
        <v>191</v>
      </c>
      <c r="S197">
        <f t="shared" si="19"/>
        <v>0.14949188135329625</v>
      </c>
      <c r="V197">
        <v>191</v>
      </c>
      <c r="W197">
        <f t="shared" si="20"/>
        <v>0.23999076532524705</v>
      </c>
      <c r="X197">
        <f t="shared" si="21"/>
        <v>583.06926548588297</v>
      </c>
    </row>
    <row r="198" spans="7:24" x14ac:dyDescent="0.25">
      <c r="G198" s="3">
        <v>190</v>
      </c>
      <c r="H198" s="4">
        <f t="shared" si="22"/>
        <v>2057.2251938510094</v>
      </c>
      <c r="I198" s="4">
        <f t="shared" si="23"/>
        <v>1681.9698224498477</v>
      </c>
      <c r="J198" s="4">
        <f t="shared" si="24"/>
        <v>375.25537140116171</v>
      </c>
      <c r="K198" s="5">
        <f t="shared" si="25"/>
        <v>167821.7268735836</v>
      </c>
      <c r="R198">
        <v>192</v>
      </c>
      <c r="S198">
        <f t="shared" si="19"/>
        <v>0.14801176371613486</v>
      </c>
      <c r="V198">
        <v>192</v>
      </c>
      <c r="W198">
        <f t="shared" si="20"/>
        <v>0.23820423357344625</v>
      </c>
      <c r="X198">
        <f t="shared" si="21"/>
        <v>580.64989094029863</v>
      </c>
    </row>
    <row r="199" spans="7:24" x14ac:dyDescent="0.25">
      <c r="G199" s="3">
        <v>191</v>
      </c>
      <c r="H199" s="4">
        <f t="shared" si="22"/>
        <v>2057.2251938510094</v>
      </c>
      <c r="I199" s="4">
        <f t="shared" si="23"/>
        <v>1678.2172687358359</v>
      </c>
      <c r="J199" s="4">
        <f t="shared" si="24"/>
        <v>379.00792511517352</v>
      </c>
      <c r="K199" s="5">
        <f t="shared" si="25"/>
        <v>167442.71894846842</v>
      </c>
      <c r="R199">
        <v>193</v>
      </c>
      <c r="S199">
        <f t="shared" si="19"/>
        <v>0.14654630070904442</v>
      </c>
      <c r="V199">
        <v>193</v>
      </c>
      <c r="W199">
        <f t="shared" si="20"/>
        <v>0.23643100106545534</v>
      </c>
      <c r="X199">
        <f t="shared" si="21"/>
        <v>578.24055529324346</v>
      </c>
    </row>
    <row r="200" spans="7:24" x14ac:dyDescent="0.25">
      <c r="G200" s="3">
        <v>192</v>
      </c>
      <c r="H200" s="4">
        <f t="shared" si="22"/>
        <v>2057.2251938510094</v>
      </c>
      <c r="I200" s="4">
        <f t="shared" si="23"/>
        <v>1674.4271894846843</v>
      </c>
      <c r="J200" s="4">
        <f t="shared" si="24"/>
        <v>382.79800436632513</v>
      </c>
      <c r="K200" s="5">
        <f t="shared" si="25"/>
        <v>167059.92094410211</v>
      </c>
      <c r="R200">
        <v>194</v>
      </c>
      <c r="S200">
        <f t="shared" ref="S200:S263" si="26">1/(1+$I$4/12)^(R200)</f>
        <v>0.14509534723667764</v>
      </c>
      <c r="V200">
        <v>194</v>
      </c>
      <c r="W200">
        <f t="shared" ref="W200:W263" si="27">1/(1+$W$4/12)^(V200)</f>
        <v>0.23467096879945937</v>
      </c>
      <c r="X200">
        <f t="shared" ref="X200:X246" si="28">$X$6/(1+0.05/12)^V200</f>
        <v>575.84121688953701</v>
      </c>
    </row>
    <row r="201" spans="7:24" x14ac:dyDescent="0.25">
      <c r="G201" s="3">
        <v>193</v>
      </c>
      <c r="H201" s="4">
        <f t="shared" si="22"/>
        <v>2057.2251938510094</v>
      </c>
      <c r="I201" s="4">
        <f t="shared" si="23"/>
        <v>1670.599209441021</v>
      </c>
      <c r="J201" s="4">
        <f t="shared" si="24"/>
        <v>386.6259844099884</v>
      </c>
      <c r="K201" s="5">
        <f t="shared" si="25"/>
        <v>166673.29495969211</v>
      </c>
      <c r="R201">
        <v>195</v>
      </c>
      <c r="S201">
        <f t="shared" si="26"/>
        <v>0.14365875964027491</v>
      </c>
      <c r="V201">
        <v>195</v>
      </c>
      <c r="W201">
        <f t="shared" si="27"/>
        <v>0.23292403851062962</v>
      </c>
      <c r="X201">
        <f t="shared" si="28"/>
        <v>573.45183424684171</v>
      </c>
    </row>
    <row r="202" spans="7:24" x14ac:dyDescent="0.25">
      <c r="G202" s="3">
        <v>194</v>
      </c>
      <c r="H202" s="4">
        <f t="shared" ref="H202:H248" si="29">$T$5</f>
        <v>2057.2251938510094</v>
      </c>
      <c r="I202" s="4">
        <f t="shared" si="23"/>
        <v>1666.7329495969209</v>
      </c>
      <c r="J202" s="4">
        <f t="shared" si="24"/>
        <v>390.49224425408852</v>
      </c>
      <c r="K202" s="5">
        <f t="shared" si="25"/>
        <v>166282.80271543801</v>
      </c>
      <c r="R202">
        <v>196</v>
      </c>
      <c r="S202">
        <f t="shared" si="26"/>
        <v>0.14223639568344049</v>
      </c>
      <c r="V202">
        <v>196</v>
      </c>
      <c r="W202">
        <f t="shared" si="27"/>
        <v>0.23119011266563733</v>
      </c>
      <c r="X202">
        <f t="shared" si="28"/>
        <v>571.0723660549462</v>
      </c>
    </row>
    <row r="203" spans="7:24" x14ac:dyDescent="0.25">
      <c r="G203" s="3">
        <v>195</v>
      </c>
      <c r="H203" s="4">
        <f t="shared" si="29"/>
        <v>2057.2251938510094</v>
      </c>
      <c r="I203" s="4">
        <f t="shared" si="23"/>
        <v>1662.8280271543799</v>
      </c>
      <c r="J203" s="4">
        <f t="shared" si="24"/>
        <v>394.39716669662948</v>
      </c>
      <c r="K203" s="5">
        <f t="shared" si="25"/>
        <v>165888.40554874137</v>
      </c>
      <c r="R203">
        <v>197</v>
      </c>
      <c r="S203">
        <f t="shared" si="26"/>
        <v>0.14082811453805991</v>
      </c>
      <c r="V203">
        <v>197</v>
      </c>
      <c r="W203">
        <f t="shared" si="27"/>
        <v>0.22946909445720823</v>
      </c>
      <c r="X203">
        <f t="shared" si="28"/>
        <v>568.7027711750502</v>
      </c>
    </row>
    <row r="204" spans="7:24" x14ac:dyDescent="0.25">
      <c r="G204" s="3">
        <v>196</v>
      </c>
      <c r="H204" s="4">
        <f t="shared" si="29"/>
        <v>2057.2251938510094</v>
      </c>
      <c r="I204" s="4">
        <f t="shared" si="23"/>
        <v>1658.8840554874134</v>
      </c>
      <c r="J204" s="4">
        <f t="shared" si="24"/>
        <v>398.34113836359597</v>
      </c>
      <c r="K204" s="5">
        <f t="shared" si="25"/>
        <v>165490.06441037779</v>
      </c>
      <c r="R204">
        <v>198</v>
      </c>
      <c r="S204">
        <f t="shared" si="26"/>
        <v>0.13943377677035629</v>
      </c>
      <c r="V204">
        <v>198</v>
      </c>
      <c r="W204">
        <f t="shared" si="27"/>
        <v>0.22776088779871781</v>
      </c>
      <c r="X204">
        <f t="shared" si="28"/>
        <v>566.34300863905412</v>
      </c>
    </row>
    <row r="205" spans="7:24" x14ac:dyDescent="0.25">
      <c r="G205" s="3">
        <v>197</v>
      </c>
      <c r="H205" s="4">
        <f t="shared" si="29"/>
        <v>2057.2251938510094</v>
      </c>
      <c r="I205" s="4">
        <f t="shared" si="23"/>
        <v>1654.9006441037779</v>
      </c>
      <c r="J205" s="4">
        <f t="shared" si="24"/>
        <v>402.32454974723146</v>
      </c>
      <c r="K205" s="5">
        <f t="shared" si="25"/>
        <v>165087.73986063057</v>
      </c>
      <c r="R205">
        <v>199</v>
      </c>
      <c r="S205">
        <f t="shared" si="26"/>
        <v>0.13805324432708552</v>
      </c>
      <c r="V205">
        <v>199</v>
      </c>
      <c r="W205">
        <f t="shared" si="27"/>
        <v>0.22606539731882658</v>
      </c>
      <c r="X205">
        <f t="shared" si="28"/>
        <v>563.99303764885042</v>
      </c>
    </row>
    <row r="206" spans="7:24" x14ac:dyDescent="0.25">
      <c r="G206" s="3">
        <v>198</v>
      </c>
      <c r="H206" s="4">
        <f t="shared" si="29"/>
        <v>2057.2251938510094</v>
      </c>
      <c r="I206" s="4">
        <f t="shared" si="23"/>
        <v>1650.8773986063054</v>
      </c>
      <c r="J206" s="4">
        <f t="shared" si="24"/>
        <v>406.347795244704</v>
      </c>
      <c r="K206" s="5">
        <f t="shared" si="25"/>
        <v>164681.39206538585</v>
      </c>
      <c r="R206">
        <v>200</v>
      </c>
      <c r="S206">
        <f t="shared" si="26"/>
        <v>0.1366863805218668</v>
      </c>
      <c r="V206">
        <v>200</v>
      </c>
      <c r="W206">
        <f t="shared" si="27"/>
        <v>0.22438252835615541</v>
      </c>
      <c r="X206">
        <f t="shared" si="28"/>
        <v>561.65281757561877</v>
      </c>
    </row>
    <row r="207" spans="7:24" x14ac:dyDescent="0.25">
      <c r="G207" s="3">
        <v>199</v>
      </c>
      <c r="H207" s="4">
        <f t="shared" si="29"/>
        <v>2057.2251938510094</v>
      </c>
      <c r="I207" s="4">
        <f t="shared" si="23"/>
        <v>1646.8139206538583</v>
      </c>
      <c r="J207" s="4">
        <f t="shared" si="24"/>
        <v>410.4112731971511</v>
      </c>
      <c r="K207" s="5">
        <f t="shared" si="25"/>
        <v>164270.9807921887</v>
      </c>
      <c r="R207">
        <v>201</v>
      </c>
      <c r="S207">
        <f t="shared" si="26"/>
        <v>0.1353330500216503</v>
      </c>
      <c r="V207">
        <v>201</v>
      </c>
      <c r="W207">
        <f t="shared" si="27"/>
        <v>0.22271218695400044</v>
      </c>
      <c r="X207">
        <f t="shared" si="28"/>
        <v>559.32230795912244</v>
      </c>
    </row>
    <row r="208" spans="7:24" x14ac:dyDescent="0.25">
      <c r="G208" s="3">
        <v>200</v>
      </c>
      <c r="H208" s="4">
        <f t="shared" si="29"/>
        <v>2057.2251938510094</v>
      </c>
      <c r="I208" s="4">
        <f t="shared" si="23"/>
        <v>1642.709807921887</v>
      </c>
      <c r="J208" s="4">
        <f t="shared" si="24"/>
        <v>414.51538592912243</v>
      </c>
      <c r="K208" s="5">
        <f t="shared" si="25"/>
        <v>163856.46540625958</v>
      </c>
      <c r="R208">
        <v>202</v>
      </c>
      <c r="S208">
        <f t="shared" si="26"/>
        <v>0.1339931188333171</v>
      </c>
      <c r="V208">
        <v>202</v>
      </c>
      <c r="W208">
        <f t="shared" si="27"/>
        <v>0.22105427985508724</v>
      </c>
      <c r="X208">
        <f t="shared" si="28"/>
        <v>557.0014685070098</v>
      </c>
    </row>
    <row r="209" spans="7:24" x14ac:dyDescent="0.25">
      <c r="G209" s="3">
        <v>201</v>
      </c>
      <c r="H209" s="4">
        <f t="shared" si="29"/>
        <v>2057.2251938510094</v>
      </c>
      <c r="I209" s="4">
        <f t="shared" si="23"/>
        <v>1638.5646540625958</v>
      </c>
      <c r="J209" s="4">
        <f t="shared" si="24"/>
        <v>418.66053978841364</v>
      </c>
      <c r="K209" s="5">
        <f t="shared" si="25"/>
        <v>163437.80486647115</v>
      </c>
      <c r="R209">
        <v>203</v>
      </c>
      <c r="S209">
        <f t="shared" si="26"/>
        <v>0.13266645429041299</v>
      </c>
      <c r="V209">
        <v>203</v>
      </c>
      <c r="W209">
        <f t="shared" si="27"/>
        <v>0.21940871449636445</v>
      </c>
      <c r="X209">
        <f t="shared" si="28"/>
        <v>554.69025909411778</v>
      </c>
    </row>
    <row r="210" spans="7:24" x14ac:dyDescent="0.25">
      <c r="G210" s="3">
        <v>202</v>
      </c>
      <c r="H210" s="4">
        <f t="shared" si="29"/>
        <v>2057.2251938510094</v>
      </c>
      <c r="I210" s="4">
        <f t="shared" si="23"/>
        <v>1634.3780486647113</v>
      </c>
      <c r="J210" s="4">
        <f t="shared" si="24"/>
        <v>422.84714518629812</v>
      </c>
      <c r="K210" s="5">
        <f t="shared" si="25"/>
        <v>163014.95772128485</v>
      </c>
      <c r="R210">
        <v>204</v>
      </c>
      <c r="S210">
        <f t="shared" si="26"/>
        <v>0.13135292504001286</v>
      </c>
      <c r="V210">
        <v>204</v>
      </c>
      <c r="W210">
        <f t="shared" si="27"/>
        <v>0.21777539900383569</v>
      </c>
      <c r="X210">
        <f t="shared" si="28"/>
        <v>552.38863976177697</v>
      </c>
    </row>
    <row r="211" spans="7:24" x14ac:dyDescent="0.25">
      <c r="G211" s="3">
        <v>203</v>
      </c>
      <c r="H211" s="4">
        <f t="shared" si="29"/>
        <v>2057.2251938510094</v>
      </c>
      <c r="I211" s="4">
        <f t="shared" si="23"/>
        <v>1630.1495772128485</v>
      </c>
      <c r="J211" s="4">
        <f t="shared" si="24"/>
        <v>427.07561663816091</v>
      </c>
      <c r="K211" s="5">
        <f t="shared" si="25"/>
        <v>162587.88210464671</v>
      </c>
      <c r="R211">
        <v>205</v>
      </c>
      <c r="S211">
        <f t="shared" si="26"/>
        <v>0.13005240102971571</v>
      </c>
      <c r="V211">
        <v>205</v>
      </c>
      <c r="W211">
        <f t="shared" si="27"/>
        <v>0.21615424218742998</v>
      </c>
      <c r="X211">
        <f t="shared" si="28"/>
        <v>550.0965707171224</v>
      </c>
    </row>
    <row r="212" spans="7:24" x14ac:dyDescent="0.25">
      <c r="G212" s="3">
        <v>204</v>
      </c>
      <c r="H212" s="4">
        <f t="shared" si="29"/>
        <v>2057.2251938510094</v>
      </c>
      <c r="I212" s="4">
        <f t="shared" si="23"/>
        <v>1625.878821046467</v>
      </c>
      <c r="J212" s="4">
        <f t="shared" si="24"/>
        <v>431.3463728045424</v>
      </c>
      <c r="K212" s="5">
        <f t="shared" si="25"/>
        <v>162156.53573184216</v>
      </c>
      <c r="R212">
        <v>206</v>
      </c>
      <c r="S212">
        <f t="shared" si="26"/>
        <v>0.12876475349476801</v>
      </c>
      <c r="V212">
        <v>206</v>
      </c>
      <c r="W212">
        <f t="shared" si="27"/>
        <v>0.21454515353591055</v>
      </c>
      <c r="X212">
        <f t="shared" si="28"/>
        <v>547.81401233240399</v>
      </c>
    </row>
    <row r="213" spans="7:24" x14ac:dyDescent="0.25">
      <c r="G213" s="3">
        <v>205</v>
      </c>
      <c r="H213" s="4">
        <f t="shared" si="29"/>
        <v>2057.2251938510094</v>
      </c>
      <c r="I213" s="4">
        <f t="shared" si="23"/>
        <v>1621.5653573184215</v>
      </c>
      <c r="J213" s="4">
        <f t="shared" si="24"/>
        <v>435.65983653258786</v>
      </c>
      <c r="K213" s="5">
        <f t="shared" si="25"/>
        <v>161720.87589530958</v>
      </c>
      <c r="R213">
        <v>207</v>
      </c>
      <c r="S213">
        <f t="shared" si="26"/>
        <v>0.1274898549453149</v>
      </c>
      <c r="V213">
        <v>207</v>
      </c>
      <c r="W213">
        <f t="shared" si="27"/>
        <v>0.21294804321182187</v>
      </c>
      <c r="X213">
        <f t="shared" si="28"/>
        <v>545.54092514430261</v>
      </c>
    </row>
    <row r="214" spans="7:24" x14ac:dyDescent="0.25">
      <c r="G214" s="3">
        <v>206</v>
      </c>
      <c r="H214" s="4">
        <f t="shared" si="29"/>
        <v>2057.2251938510094</v>
      </c>
      <c r="I214" s="4">
        <f t="shared" si="23"/>
        <v>1617.2087589530956</v>
      </c>
      <c r="J214" s="4">
        <f t="shared" si="24"/>
        <v>440.01643489791377</v>
      </c>
      <c r="K214" s="5">
        <f t="shared" si="25"/>
        <v>161280.85946041168</v>
      </c>
      <c r="R214">
        <v>208</v>
      </c>
      <c r="S214">
        <f t="shared" si="26"/>
        <v>0.12622757915377708</v>
      </c>
      <c r="V214">
        <v>208</v>
      </c>
      <c r="W214">
        <f t="shared" si="27"/>
        <v>0.21136282204647336</v>
      </c>
      <c r="X214">
        <f t="shared" si="28"/>
        <v>543.27726985324739</v>
      </c>
    </row>
    <row r="215" spans="7:24" x14ac:dyDescent="0.25">
      <c r="G215" s="3">
        <v>207</v>
      </c>
      <c r="H215" s="4">
        <f t="shared" si="29"/>
        <v>2057.2251938510094</v>
      </c>
      <c r="I215" s="4">
        <f t="shared" si="23"/>
        <v>1612.8085946041167</v>
      </c>
      <c r="J215" s="4">
        <f t="shared" si="24"/>
        <v>444.4165992468927</v>
      </c>
      <c r="K215" s="5">
        <f t="shared" si="25"/>
        <v>160836.44286116477</v>
      </c>
      <c r="R215">
        <v>209</v>
      </c>
      <c r="S215">
        <f t="shared" si="26"/>
        <v>0.12497780114235356</v>
      </c>
      <c r="V215">
        <v>209</v>
      </c>
      <c r="W215">
        <f t="shared" si="27"/>
        <v>0.20978940153496115</v>
      </c>
      <c r="X215">
        <f t="shared" si="28"/>
        <v>541.02300732273602</v>
      </c>
    </row>
    <row r="216" spans="7:24" x14ac:dyDescent="0.25">
      <c r="G216" s="3">
        <v>208</v>
      </c>
      <c r="H216" s="4">
        <f t="shared" si="29"/>
        <v>2057.2251938510094</v>
      </c>
      <c r="I216" s="4">
        <f t="shared" si="23"/>
        <v>1608.3644286116478</v>
      </c>
      <c r="J216" s="4">
        <f t="shared" si="24"/>
        <v>448.86076523936163</v>
      </c>
      <c r="K216" s="5">
        <f t="shared" si="25"/>
        <v>160387.58209592541</v>
      </c>
      <c r="R216">
        <v>210</v>
      </c>
      <c r="S216">
        <f t="shared" si="26"/>
        <v>0.12374039717064705</v>
      </c>
      <c r="V216">
        <v>210</v>
      </c>
      <c r="W216">
        <f t="shared" si="27"/>
        <v>0.20822769383122691</v>
      </c>
      <c r="X216">
        <f t="shared" si="28"/>
        <v>538.77809857865839</v>
      </c>
    </row>
    <row r="217" spans="7:24" x14ac:dyDescent="0.25">
      <c r="G217" s="3">
        <v>209</v>
      </c>
      <c r="H217" s="4">
        <f t="shared" si="29"/>
        <v>2057.2251938510094</v>
      </c>
      <c r="I217" s="4">
        <f t="shared" si="23"/>
        <v>1603.875820959254</v>
      </c>
      <c r="J217" s="4">
        <f t="shared" si="24"/>
        <v>453.34937289175537</v>
      </c>
      <c r="K217" s="5">
        <f t="shared" si="25"/>
        <v>159934.23272303364</v>
      </c>
      <c r="R217">
        <v>211</v>
      </c>
      <c r="S217">
        <f t="shared" si="26"/>
        <v>0.12251524472341296</v>
      </c>
      <c r="V217">
        <v>211</v>
      </c>
      <c r="W217">
        <f t="shared" si="27"/>
        <v>0.20667761174315324</v>
      </c>
      <c r="X217">
        <f t="shared" si="28"/>
        <v>536.54250480862231</v>
      </c>
    </row>
    <row r="218" spans="7:24" x14ac:dyDescent="0.25">
      <c r="G218" s="3">
        <v>210</v>
      </c>
      <c r="H218" s="4">
        <f t="shared" si="29"/>
        <v>2057.2251938510094</v>
      </c>
      <c r="I218" s="4">
        <f t="shared" si="23"/>
        <v>1599.3423272303362</v>
      </c>
      <c r="J218" s="4">
        <f t="shared" si="24"/>
        <v>457.88286662067321</v>
      </c>
      <c r="K218" s="5">
        <f t="shared" si="25"/>
        <v>159476.34985641297</v>
      </c>
      <c r="R218">
        <v>212</v>
      </c>
      <c r="S218">
        <f t="shared" si="26"/>
        <v>0.12130222249842865</v>
      </c>
      <c r="V218">
        <v>212</v>
      </c>
      <c r="W218">
        <f t="shared" si="27"/>
        <v>0.20513906872769549</v>
      </c>
      <c r="X218">
        <f t="shared" si="28"/>
        <v>534.3161873612836</v>
      </c>
    </row>
    <row r="219" spans="7:24" x14ac:dyDescent="0.25">
      <c r="G219" s="3">
        <v>211</v>
      </c>
      <c r="H219" s="4">
        <f t="shared" si="29"/>
        <v>2057.2251938510094</v>
      </c>
      <c r="I219" s="4">
        <f t="shared" si="23"/>
        <v>1594.7634985641296</v>
      </c>
      <c r="J219" s="4">
        <f t="shared" si="24"/>
        <v>462.46169528687983</v>
      </c>
      <c r="K219" s="5">
        <f t="shared" si="25"/>
        <v>159013.88816112609</v>
      </c>
      <c r="R219">
        <v>213</v>
      </c>
      <c r="S219">
        <f t="shared" si="26"/>
        <v>0.12010121039448386</v>
      </c>
      <c r="V219">
        <v>213</v>
      </c>
      <c r="W219">
        <f t="shared" si="27"/>
        <v>0.20361197888605012</v>
      </c>
      <c r="X219">
        <f t="shared" si="28"/>
        <v>532.09910774567663</v>
      </c>
    </row>
    <row r="220" spans="7:24" x14ac:dyDescent="0.25">
      <c r="G220" s="3">
        <v>212</v>
      </c>
      <c r="H220" s="4">
        <f t="shared" si="29"/>
        <v>2057.2251938510094</v>
      </c>
      <c r="I220" s="4">
        <f t="shared" si="23"/>
        <v>1590.138881611261</v>
      </c>
      <c r="J220" s="4">
        <f t="shared" si="24"/>
        <v>467.08631223974839</v>
      </c>
      <c r="K220" s="5">
        <f t="shared" si="25"/>
        <v>158546.80184888633</v>
      </c>
      <c r="R220">
        <v>214</v>
      </c>
      <c r="S220">
        <f t="shared" si="26"/>
        <v>0.11891208949948892</v>
      </c>
      <c r="V220">
        <v>214</v>
      </c>
      <c r="W220">
        <f t="shared" si="27"/>
        <v>0.20209625695885861</v>
      </c>
      <c r="X220">
        <f t="shared" si="28"/>
        <v>529.89122763054945</v>
      </c>
    </row>
    <row r="221" spans="7:24" x14ac:dyDescent="0.25">
      <c r="G221" s="3">
        <v>213</v>
      </c>
      <c r="H221" s="4">
        <f t="shared" si="29"/>
        <v>2057.2251938510094</v>
      </c>
      <c r="I221" s="4">
        <f t="shared" ref="I221:I248" si="30">K220*$I$4/12</f>
        <v>1585.4680184888632</v>
      </c>
      <c r="J221" s="4">
        <f t="shared" ref="J221:J248" si="31">H221-I221</f>
        <v>471.7571753621462</v>
      </c>
      <c r="K221" s="5">
        <f t="shared" ref="K221:K248" si="32">K220-J221</f>
        <v>158075.04467352419</v>
      </c>
      <c r="R221">
        <v>215</v>
      </c>
      <c r="S221">
        <f t="shared" si="26"/>
        <v>0.11773474207870194</v>
      </c>
      <c r="V221">
        <v>215</v>
      </c>
      <c r="W221">
        <f t="shared" si="27"/>
        <v>0.20059181832144776</v>
      </c>
      <c r="X221">
        <f t="shared" si="28"/>
        <v>527.69250884370047</v>
      </c>
    </row>
    <row r="222" spans="7:24" x14ac:dyDescent="0.25">
      <c r="G222" s="3">
        <v>214</v>
      </c>
      <c r="H222" s="4">
        <f t="shared" si="29"/>
        <v>2057.2251938510094</v>
      </c>
      <c r="I222" s="4">
        <f t="shared" si="30"/>
        <v>1580.7504467352419</v>
      </c>
      <c r="J222" s="4">
        <f t="shared" si="31"/>
        <v>476.47474711576751</v>
      </c>
      <c r="K222" s="5">
        <f t="shared" si="32"/>
        <v>157598.56992640841</v>
      </c>
      <c r="R222">
        <v>216</v>
      </c>
      <c r="S222">
        <f t="shared" si="26"/>
        <v>0.11656905156307119</v>
      </c>
      <c r="V222">
        <v>216</v>
      </c>
      <c r="W222">
        <f t="shared" si="27"/>
        <v>0.19909857897910449</v>
      </c>
      <c r="X222">
        <f t="shared" si="28"/>
        <v>525.50291337132001</v>
      </c>
    </row>
    <row r="223" spans="7:24" x14ac:dyDescent="0.25">
      <c r="G223" s="3">
        <v>215</v>
      </c>
      <c r="H223" s="4">
        <f t="shared" si="29"/>
        <v>2057.2251938510094</v>
      </c>
      <c r="I223" s="4">
        <f t="shared" si="30"/>
        <v>1575.9856992640841</v>
      </c>
      <c r="J223" s="4">
        <f t="shared" si="31"/>
        <v>481.23949458692528</v>
      </c>
      <c r="K223" s="5">
        <f t="shared" si="32"/>
        <v>157117.33043182149</v>
      </c>
      <c r="R223">
        <v>217</v>
      </c>
      <c r="S223">
        <f t="shared" si="26"/>
        <v>0.11541490253769424</v>
      </c>
      <c r="V223">
        <v>217</v>
      </c>
      <c r="W223">
        <f t="shared" si="27"/>
        <v>0.19761645556238655</v>
      </c>
      <c r="X223">
        <f t="shared" si="28"/>
        <v>523.32240335733127</v>
      </c>
    </row>
    <row r="224" spans="7:24" x14ac:dyDescent="0.25">
      <c r="G224" s="3">
        <v>216</v>
      </c>
      <c r="H224" s="4">
        <f t="shared" si="29"/>
        <v>2057.2251938510094</v>
      </c>
      <c r="I224" s="4">
        <f t="shared" si="30"/>
        <v>1571.1733043182148</v>
      </c>
      <c r="J224" s="4">
        <f t="shared" si="31"/>
        <v>486.05188953279458</v>
      </c>
      <c r="K224" s="5">
        <f t="shared" si="32"/>
        <v>156631.2785422887</v>
      </c>
      <c r="R224">
        <v>218</v>
      </c>
      <c r="S224">
        <f t="shared" si="26"/>
        <v>0.11427218073039032</v>
      </c>
      <c r="V224">
        <v>218</v>
      </c>
      <c r="W224">
        <f t="shared" si="27"/>
        <v>0.19614536532246801</v>
      </c>
      <c r="X224">
        <f t="shared" si="28"/>
        <v>521.1509411027364</v>
      </c>
    </row>
    <row r="225" spans="7:24" x14ac:dyDescent="0.25">
      <c r="G225" s="3">
        <v>217</v>
      </c>
      <c r="H225" s="4">
        <f t="shared" si="29"/>
        <v>2057.2251938510094</v>
      </c>
      <c r="I225" s="4">
        <f t="shared" si="30"/>
        <v>1566.3127854228869</v>
      </c>
      <c r="J225" s="4">
        <f t="shared" si="31"/>
        <v>490.91240842812249</v>
      </c>
      <c r="K225" s="5">
        <f t="shared" si="32"/>
        <v>156140.36613386057</v>
      </c>
      <c r="R225">
        <v>219</v>
      </c>
      <c r="S225">
        <f t="shared" si="26"/>
        <v>0.1131407730003865</v>
      </c>
      <c r="V225">
        <v>219</v>
      </c>
      <c r="W225">
        <f t="shared" si="27"/>
        <v>0.19468522612651912</v>
      </c>
      <c r="X225">
        <f t="shared" si="28"/>
        <v>518.98848906496585</v>
      </c>
    </row>
    <row r="226" spans="7:24" x14ac:dyDescent="0.25">
      <c r="G226" s="3">
        <v>218</v>
      </c>
      <c r="H226" s="4">
        <f t="shared" si="29"/>
        <v>2057.2251938510094</v>
      </c>
      <c r="I226" s="4">
        <f t="shared" si="30"/>
        <v>1561.4036613386058</v>
      </c>
      <c r="J226" s="4">
        <f t="shared" si="31"/>
        <v>495.82153251240356</v>
      </c>
      <c r="K226" s="5">
        <f t="shared" si="32"/>
        <v>155644.54460134817</v>
      </c>
      <c r="R226">
        <v>220</v>
      </c>
      <c r="S226">
        <f t="shared" si="26"/>
        <v>0.11202056732711534</v>
      </c>
      <c r="V226">
        <v>220</v>
      </c>
      <c r="W226">
        <f t="shared" si="27"/>
        <v>0.19323595645312067</v>
      </c>
      <c r="X226">
        <f t="shared" si="28"/>
        <v>516.83500985722742</v>
      </c>
    </row>
    <row r="227" spans="7:24" x14ac:dyDescent="0.25">
      <c r="G227" s="3">
        <v>219</v>
      </c>
      <c r="H227" s="4">
        <f t="shared" si="29"/>
        <v>2057.2251938510094</v>
      </c>
      <c r="I227" s="4">
        <f t="shared" si="30"/>
        <v>1556.4454460134818</v>
      </c>
      <c r="J227" s="4">
        <f t="shared" si="31"/>
        <v>500.77974783752757</v>
      </c>
      <c r="K227" s="5">
        <f t="shared" si="32"/>
        <v>155143.76485351066</v>
      </c>
      <c r="R227">
        <v>221</v>
      </c>
      <c r="S227">
        <f t="shared" si="26"/>
        <v>0.11091145279912409</v>
      </c>
      <c r="V227">
        <v>221</v>
      </c>
      <c r="W227">
        <f t="shared" si="27"/>
        <v>0.19179747538771283</v>
      </c>
      <c r="X227">
        <f t="shared" si="28"/>
        <v>514.69046624786131</v>
      </c>
    </row>
    <row r="228" spans="7:24" x14ac:dyDescent="0.25">
      <c r="G228" s="3">
        <v>220</v>
      </c>
      <c r="H228" s="4">
        <f t="shared" si="29"/>
        <v>2057.2251938510094</v>
      </c>
      <c r="I228" s="4">
        <f t="shared" si="30"/>
        <v>1551.4376485351065</v>
      </c>
      <c r="J228" s="4">
        <f t="shared" si="31"/>
        <v>505.78754531590289</v>
      </c>
      <c r="K228" s="5">
        <f t="shared" si="32"/>
        <v>154637.97730819476</v>
      </c>
      <c r="R228">
        <v>222</v>
      </c>
      <c r="S228">
        <f t="shared" si="26"/>
        <v>0.10981331960309315</v>
      </c>
      <c r="V228">
        <v>222</v>
      </c>
      <c r="W228">
        <f t="shared" si="27"/>
        <v>0.1903697026180772</v>
      </c>
      <c r="X228">
        <f t="shared" si="28"/>
        <v>512.55482115969596</v>
      </c>
    </row>
    <row r="229" spans="7:24" x14ac:dyDescent="0.25">
      <c r="G229" s="3">
        <v>221</v>
      </c>
      <c r="H229" s="4">
        <f t="shared" si="29"/>
        <v>2057.2251938510094</v>
      </c>
      <c r="I229" s="4">
        <f t="shared" si="30"/>
        <v>1546.3797730819476</v>
      </c>
      <c r="J229" s="4">
        <f t="shared" si="31"/>
        <v>510.84542076906177</v>
      </c>
      <c r="K229" s="5">
        <f t="shared" si="32"/>
        <v>154127.1318874257</v>
      </c>
      <c r="R229">
        <v>223</v>
      </c>
      <c r="S229">
        <f t="shared" si="26"/>
        <v>0.10872605901296353</v>
      </c>
      <c r="V229">
        <v>223</v>
      </c>
      <c r="W229">
        <f t="shared" si="27"/>
        <v>0.18895255842985328</v>
      </c>
      <c r="X229">
        <f t="shared" si="28"/>
        <v>510.42803766940636</v>
      </c>
    </row>
    <row r="230" spans="7:24" x14ac:dyDescent="0.25">
      <c r="G230" s="3">
        <v>222</v>
      </c>
      <c r="H230" s="4">
        <f t="shared" si="29"/>
        <v>2057.2251938510094</v>
      </c>
      <c r="I230" s="4">
        <f t="shared" si="30"/>
        <v>1541.2713188742571</v>
      </c>
      <c r="J230" s="4">
        <f t="shared" si="31"/>
        <v>515.95387497675233</v>
      </c>
      <c r="K230" s="5">
        <f t="shared" si="32"/>
        <v>153611.17801244895</v>
      </c>
      <c r="R230">
        <v>224</v>
      </c>
      <c r="S230">
        <f t="shared" si="26"/>
        <v>0.10764956337917179</v>
      </c>
      <c r="V230">
        <v>224</v>
      </c>
      <c r="W230">
        <f t="shared" si="27"/>
        <v>0.18754596370208768</v>
      </c>
      <c r="X230">
        <f t="shared" si="28"/>
        <v>508.31007900687791</v>
      </c>
    </row>
    <row r="231" spans="7:24" x14ac:dyDescent="0.25">
      <c r="G231" s="3">
        <v>223</v>
      </c>
      <c r="H231" s="4">
        <f t="shared" si="29"/>
        <v>2057.2251938510094</v>
      </c>
      <c r="I231" s="4">
        <f t="shared" si="30"/>
        <v>1536.1117801244893</v>
      </c>
      <c r="J231" s="4">
        <f t="shared" si="31"/>
        <v>521.11341372652009</v>
      </c>
      <c r="K231" s="5">
        <f t="shared" si="32"/>
        <v>153090.06459872241</v>
      </c>
      <c r="R231">
        <v>225</v>
      </c>
      <c r="S231">
        <f t="shared" si="26"/>
        <v>0.10658372611799187</v>
      </c>
      <c r="V231">
        <v>225</v>
      </c>
      <c r="W231">
        <f t="shared" si="27"/>
        <v>0.18614983990281653</v>
      </c>
      <c r="X231">
        <f t="shared" si="28"/>
        <v>506.20090855456726</v>
      </c>
    </row>
    <row r="232" spans="7:24" x14ac:dyDescent="0.25">
      <c r="G232" s="3">
        <v>224</v>
      </c>
      <c r="H232" s="4">
        <f t="shared" si="29"/>
        <v>2057.2251938510094</v>
      </c>
      <c r="I232" s="4">
        <f t="shared" si="30"/>
        <v>1530.9006459872242</v>
      </c>
      <c r="J232" s="4">
        <f t="shared" si="31"/>
        <v>526.32454786378526</v>
      </c>
      <c r="K232" s="5">
        <f t="shared" si="32"/>
        <v>152563.74005085861</v>
      </c>
      <c r="R232">
        <v>226</v>
      </c>
      <c r="S232">
        <f t="shared" si="26"/>
        <v>0.10552844170098206</v>
      </c>
      <c r="V232">
        <v>226</v>
      </c>
      <c r="W232">
        <f t="shared" si="27"/>
        <v>0.18476410908468138</v>
      </c>
      <c r="X232">
        <f t="shared" si="28"/>
        <v>504.10048984687194</v>
      </c>
    </row>
    <row r="233" spans="7:24" x14ac:dyDescent="0.25">
      <c r="G233" s="3">
        <v>225</v>
      </c>
      <c r="H233" s="4">
        <f t="shared" si="29"/>
        <v>2057.2251938510094</v>
      </c>
      <c r="I233" s="4">
        <f t="shared" si="30"/>
        <v>1525.6374005085861</v>
      </c>
      <c r="J233" s="4">
        <f t="shared" si="31"/>
        <v>531.58779334242331</v>
      </c>
      <c r="K233" s="5">
        <f t="shared" si="32"/>
        <v>152032.15225751619</v>
      </c>
      <c r="R233">
        <v>227</v>
      </c>
      <c r="S233">
        <f t="shared" si="26"/>
        <v>0.10448360564453671</v>
      </c>
      <c r="V233">
        <v>227</v>
      </c>
      <c r="W233">
        <f t="shared" si="27"/>
        <v>0.18338869388057705</v>
      </c>
      <c r="X233">
        <f t="shared" si="28"/>
        <v>502.00878656949897</v>
      </c>
    </row>
    <row r="234" spans="7:24" x14ac:dyDescent="0.25">
      <c r="G234" s="3">
        <v>226</v>
      </c>
      <c r="H234" s="4">
        <f t="shared" si="29"/>
        <v>2057.2251938510094</v>
      </c>
      <c r="I234" s="4">
        <f t="shared" si="30"/>
        <v>1520.3215225751619</v>
      </c>
      <c r="J234" s="4">
        <f t="shared" si="31"/>
        <v>536.9036712758475</v>
      </c>
      <c r="K234" s="5">
        <f t="shared" si="32"/>
        <v>151495.24858624034</v>
      </c>
      <c r="R234">
        <v>228</v>
      </c>
      <c r="S234">
        <f t="shared" si="26"/>
        <v>0.10344911449954129</v>
      </c>
      <c r="V234">
        <v>228</v>
      </c>
      <c r="W234">
        <f t="shared" si="27"/>
        <v>0.18202351749933204</v>
      </c>
      <c r="X234">
        <f t="shared" si="28"/>
        <v>499.92576255883722</v>
      </c>
    </row>
    <row r="235" spans="7:24" x14ac:dyDescent="0.25">
      <c r="G235" s="3">
        <v>227</v>
      </c>
      <c r="H235" s="4">
        <f t="shared" si="29"/>
        <v>2057.2251938510094</v>
      </c>
      <c r="I235" s="4">
        <f t="shared" si="30"/>
        <v>1514.9524858624034</v>
      </c>
      <c r="J235" s="4">
        <f t="shared" si="31"/>
        <v>542.27270798860604</v>
      </c>
      <c r="K235" s="5">
        <f t="shared" si="32"/>
        <v>150952.97587825175</v>
      </c>
      <c r="R235">
        <v>229</v>
      </c>
      <c r="S235">
        <f t="shared" si="26"/>
        <v>0.10242486584112999</v>
      </c>
      <c r="V235">
        <v>229</v>
      </c>
      <c r="W235">
        <f t="shared" si="27"/>
        <v>0.18066850372142138</v>
      </c>
      <c r="X235">
        <f t="shared" si="28"/>
        <v>497.85138180133168</v>
      </c>
    </row>
    <row r="236" spans="7:24" x14ac:dyDescent="0.25">
      <c r="G236" s="3">
        <v>228</v>
      </c>
      <c r="H236" s="4">
        <f t="shared" si="29"/>
        <v>2057.2251938510094</v>
      </c>
      <c r="I236" s="4">
        <f t="shared" si="30"/>
        <v>1509.5297587825173</v>
      </c>
      <c r="J236" s="4">
        <f t="shared" si="31"/>
        <v>547.69543506849209</v>
      </c>
      <c r="K236" s="5">
        <f t="shared" si="32"/>
        <v>150405.28044318326</v>
      </c>
      <c r="R236">
        <v>230</v>
      </c>
      <c r="S236">
        <f t="shared" si="26"/>
        <v>0.10141075825854452</v>
      </c>
      <c r="V236">
        <v>230</v>
      </c>
      <c r="W236">
        <f t="shared" si="27"/>
        <v>0.17932357689471101</v>
      </c>
      <c r="X236">
        <f t="shared" si="28"/>
        <v>495.78560843286141</v>
      </c>
    </row>
    <row r="237" spans="7:24" x14ac:dyDescent="0.25">
      <c r="G237" s="3">
        <v>229</v>
      </c>
      <c r="H237" s="4">
        <f t="shared" si="29"/>
        <v>2057.2251938510094</v>
      </c>
      <c r="I237" s="4">
        <f t="shared" si="30"/>
        <v>1504.0528044318326</v>
      </c>
      <c r="J237" s="4">
        <f t="shared" si="31"/>
        <v>553.17238941917685</v>
      </c>
      <c r="K237" s="5">
        <f t="shared" si="32"/>
        <v>149852.1080537641</v>
      </c>
      <c r="R237">
        <v>231</v>
      </c>
      <c r="S237">
        <f t="shared" si="26"/>
        <v>0.10040669134509363</v>
      </c>
      <c r="V237">
        <v>231</v>
      </c>
      <c r="W237">
        <f t="shared" si="27"/>
        <v>0.17798866193023427</v>
      </c>
      <c r="X237">
        <f t="shared" si="28"/>
        <v>493.72840673811908</v>
      </c>
    </row>
    <row r="238" spans="7:24" x14ac:dyDescent="0.25">
      <c r="G238" s="3">
        <v>230</v>
      </c>
      <c r="H238" s="4">
        <f t="shared" si="29"/>
        <v>2057.2251938510094</v>
      </c>
      <c r="I238" s="4">
        <f t="shared" si="30"/>
        <v>1498.521080537641</v>
      </c>
      <c r="J238" s="4">
        <f t="shared" si="31"/>
        <v>558.70411331336845</v>
      </c>
      <c r="K238" s="5">
        <f t="shared" si="32"/>
        <v>149293.40394045072</v>
      </c>
      <c r="R238">
        <v>232</v>
      </c>
      <c r="S238">
        <f t="shared" si="26"/>
        <v>9.9412565688211482E-2</v>
      </c>
      <c r="V238">
        <v>232</v>
      </c>
      <c r="W238">
        <f t="shared" si="27"/>
        <v>0.17666368429799925</v>
      </c>
      <c r="X238">
        <f t="shared" si="28"/>
        <v>491.67974114999419</v>
      </c>
    </row>
    <row r="239" spans="7:24" x14ac:dyDescent="0.25">
      <c r="G239" s="3">
        <v>231</v>
      </c>
      <c r="H239" s="4">
        <f t="shared" si="29"/>
        <v>2057.2251938510094</v>
      </c>
      <c r="I239" s="4">
        <f t="shared" si="30"/>
        <v>1492.9340394045073</v>
      </c>
      <c r="J239" s="4">
        <f t="shared" si="31"/>
        <v>564.29115444650211</v>
      </c>
      <c r="K239" s="5">
        <f t="shared" si="32"/>
        <v>148729.11278600423</v>
      </c>
      <c r="R239">
        <v>233</v>
      </c>
      <c r="S239">
        <f t="shared" si="26"/>
        <v>9.8428282859615329E-2</v>
      </c>
      <c r="V239">
        <v>233</v>
      </c>
      <c r="W239">
        <f t="shared" si="27"/>
        <v>0.17534857002282803</v>
      </c>
      <c r="X239">
        <f t="shared" si="28"/>
        <v>489.63957624895698</v>
      </c>
    </row>
    <row r="240" spans="7:24" x14ac:dyDescent="0.25">
      <c r="G240" s="3">
        <v>232</v>
      </c>
      <c r="H240" s="4">
        <f t="shared" si="29"/>
        <v>2057.2251938510094</v>
      </c>
      <c r="I240" s="4">
        <f t="shared" si="30"/>
        <v>1487.2911278600423</v>
      </c>
      <c r="J240" s="4">
        <f t="shared" si="31"/>
        <v>569.93406599096716</v>
      </c>
      <c r="K240" s="5">
        <f t="shared" si="32"/>
        <v>148159.17872001327</v>
      </c>
      <c r="R240">
        <v>234</v>
      </c>
      <c r="S240">
        <f t="shared" si="26"/>
        <v>9.7453745405559705E-2</v>
      </c>
      <c r="V240">
        <v>234</v>
      </c>
      <c r="W240">
        <f t="shared" si="27"/>
        <v>0.17404324568022631</v>
      </c>
      <c r="X240">
        <f t="shared" si="28"/>
        <v>487.60787676244655</v>
      </c>
    </row>
    <row r="241" spans="7:25" x14ac:dyDescent="0.25">
      <c r="G241" s="3">
        <v>233</v>
      </c>
      <c r="H241" s="4">
        <f t="shared" si="29"/>
        <v>2057.2251938510094</v>
      </c>
      <c r="I241" s="4">
        <f t="shared" si="30"/>
        <v>1481.5917872001326</v>
      </c>
      <c r="J241" s="4">
        <f t="shared" si="31"/>
        <v>575.63340665087685</v>
      </c>
      <c r="K241" s="5">
        <f t="shared" si="32"/>
        <v>147583.54531336238</v>
      </c>
      <c r="R241">
        <v>235</v>
      </c>
      <c r="S241">
        <f t="shared" si="26"/>
        <v>9.6488856837187872E-2</v>
      </c>
      <c r="V241">
        <v>235</v>
      </c>
      <c r="W241">
        <f t="shared" si="27"/>
        <v>0.17274763839228416</v>
      </c>
      <c r="X241">
        <f t="shared" si="28"/>
        <v>485.58460756426223</v>
      </c>
    </row>
    <row r="242" spans="7:25" x14ac:dyDescent="0.25">
      <c r="G242" s="3">
        <v>234</v>
      </c>
      <c r="H242" s="4">
        <f t="shared" si="29"/>
        <v>2057.2251938510094</v>
      </c>
      <c r="I242" s="4">
        <f t="shared" si="30"/>
        <v>1475.8354531336238</v>
      </c>
      <c r="J242" s="4">
        <f t="shared" si="31"/>
        <v>581.38974071738562</v>
      </c>
      <c r="K242" s="5">
        <f t="shared" si="32"/>
        <v>147002.15557264499</v>
      </c>
      <c r="R242">
        <v>236</v>
      </c>
      <c r="S242">
        <f t="shared" si="26"/>
        <v>9.5533521620978071E-2</v>
      </c>
      <c r="V242">
        <v>236</v>
      </c>
      <c r="W242">
        <f t="shared" si="27"/>
        <v>0.17146167582360708</v>
      </c>
      <c r="X242">
        <f t="shared" si="28"/>
        <v>483.56973367395409</v>
      </c>
    </row>
    <row r="243" spans="7:25" x14ac:dyDescent="0.25">
      <c r="G243" s="3">
        <v>235</v>
      </c>
      <c r="H243" s="4">
        <f t="shared" si="29"/>
        <v>2057.2251938510094</v>
      </c>
      <c r="I243" s="4">
        <f t="shared" si="30"/>
        <v>1470.0215557264498</v>
      </c>
      <c r="J243" s="4">
        <f t="shared" si="31"/>
        <v>587.20363812455957</v>
      </c>
      <c r="K243" s="5">
        <f t="shared" si="32"/>
        <v>146414.95193452042</v>
      </c>
      <c r="R243">
        <v>237</v>
      </c>
      <c r="S243">
        <f t="shared" si="26"/>
        <v>9.4587645169285195E-2</v>
      </c>
      <c r="V243">
        <v>237</v>
      </c>
      <c r="W243">
        <f t="shared" si="27"/>
        <v>0.17018528617727749</v>
      </c>
      <c r="X243">
        <f t="shared" si="28"/>
        <v>481.56322025621995</v>
      </c>
    </row>
    <row r="244" spans="7:25" x14ac:dyDescent="0.25">
      <c r="G244" s="3">
        <v>236</v>
      </c>
      <c r="H244" s="4">
        <f t="shared" si="29"/>
        <v>2057.2251938510094</v>
      </c>
      <c r="I244" s="4">
        <f t="shared" si="30"/>
        <v>1464.149519345204</v>
      </c>
      <c r="J244" s="4">
        <f t="shared" si="31"/>
        <v>593.07567450580541</v>
      </c>
      <c r="K244" s="5">
        <f t="shared" si="32"/>
        <v>145821.8762600146</v>
      </c>
      <c r="R244">
        <v>238</v>
      </c>
      <c r="S244">
        <f t="shared" si="26"/>
        <v>9.3651133830975439E-2</v>
      </c>
      <c r="V244">
        <v>238</v>
      </c>
      <c r="W244">
        <f t="shared" si="27"/>
        <v>0.16891839819084611</v>
      </c>
      <c r="X244">
        <f t="shared" si="28"/>
        <v>479.56503262030196</v>
      </c>
    </row>
    <row r="245" spans="7:25" x14ac:dyDescent="0.25">
      <c r="G245" s="3">
        <v>237</v>
      </c>
      <c r="H245" s="4">
        <f t="shared" si="29"/>
        <v>2057.2251938510094</v>
      </c>
      <c r="I245" s="4">
        <f t="shared" si="30"/>
        <v>1458.218762600146</v>
      </c>
      <c r="J245" s="4">
        <f t="shared" si="31"/>
        <v>599.00643125086344</v>
      </c>
      <c r="K245" s="5">
        <f t="shared" si="32"/>
        <v>145222.86982876374</v>
      </c>
      <c r="R245">
        <v>239</v>
      </c>
      <c r="S245">
        <f t="shared" si="26"/>
        <v>9.2723894882153934E-2</v>
      </c>
      <c r="V245">
        <v>239</v>
      </c>
      <c r="W245">
        <f t="shared" si="27"/>
        <v>0.16766094113235344</v>
      </c>
      <c r="X245">
        <f t="shared" si="28"/>
        <v>477.57513621938773</v>
      </c>
    </row>
    <row r="246" spans="7:25" x14ac:dyDescent="0.25">
      <c r="G246" s="3">
        <v>238</v>
      </c>
      <c r="H246" s="4">
        <f t="shared" si="29"/>
        <v>2057.2251938510094</v>
      </c>
      <c r="I246" s="4">
        <f t="shared" si="30"/>
        <v>1452.2286982876374</v>
      </c>
      <c r="J246" s="4">
        <f t="shared" si="31"/>
        <v>604.99649556337204</v>
      </c>
      <c r="K246" s="5">
        <f t="shared" si="32"/>
        <v>144617.87333320038</v>
      </c>
      <c r="R246">
        <v>240</v>
      </c>
      <c r="S246">
        <f t="shared" si="26"/>
        <v>9.1805836516984068E-2</v>
      </c>
      <c r="V246">
        <v>240</v>
      </c>
      <c r="W246">
        <f t="shared" si="27"/>
        <v>0.1664128447963806</v>
      </c>
      <c r="X246">
        <f t="shared" si="28"/>
        <v>475.59349665001275</v>
      </c>
      <c r="Y246">
        <f>SUM(X7:X246)</f>
        <v>195484.93965025464</v>
      </c>
    </row>
    <row r="247" spans="7:25" x14ac:dyDescent="0.25">
      <c r="G247" s="3">
        <v>239</v>
      </c>
      <c r="H247" s="4">
        <f t="shared" si="29"/>
        <v>2057.2251938510094</v>
      </c>
      <c r="I247" s="4">
        <f t="shared" si="30"/>
        <v>1446.1787333320037</v>
      </c>
      <c r="J247" s="4">
        <f t="shared" si="31"/>
        <v>611.04646051900568</v>
      </c>
      <c r="K247" s="5">
        <f t="shared" si="32"/>
        <v>144006.82687268138</v>
      </c>
      <c r="R247">
        <v>241</v>
      </c>
      <c r="S247">
        <f t="shared" si="26"/>
        <v>9.0896867838598072E-2</v>
      </c>
      <c r="X247">
        <f>SUM(W7:W246)</f>
        <v>111.14495402714796</v>
      </c>
    </row>
    <row r="248" spans="7:25" x14ac:dyDescent="0.25">
      <c r="G248" s="3">
        <v>240</v>
      </c>
      <c r="H248" s="4">
        <f t="shared" si="29"/>
        <v>2057.2251938510094</v>
      </c>
      <c r="I248" s="4">
        <f t="shared" si="30"/>
        <v>1440.0682687268138</v>
      </c>
      <c r="J248" s="4">
        <f t="shared" si="31"/>
        <v>617.1569251241956</v>
      </c>
      <c r="K248" s="5">
        <f t="shared" si="32"/>
        <v>143389.66994755718</v>
      </c>
      <c r="R248">
        <v>242</v>
      </c>
      <c r="S248">
        <f t="shared" si="26"/>
        <v>8.9996898850097096E-2</v>
      </c>
    </row>
    <row r="249" spans="7:25" x14ac:dyDescent="0.25">
      <c r="R249">
        <v>243</v>
      </c>
      <c r="S249">
        <f t="shared" si="26"/>
        <v>8.910584044564071E-2</v>
      </c>
    </row>
    <row r="250" spans="7:25" x14ac:dyDescent="0.25">
      <c r="R250">
        <v>244</v>
      </c>
      <c r="S250">
        <f t="shared" si="26"/>
        <v>8.8223604401624467E-2</v>
      </c>
    </row>
    <row r="251" spans="7:25" x14ac:dyDescent="0.25">
      <c r="R251">
        <v>245</v>
      </c>
      <c r="S251">
        <f t="shared" si="26"/>
        <v>8.735010336794502E-2</v>
      </c>
    </row>
    <row r="252" spans="7:25" x14ac:dyDescent="0.25">
      <c r="R252">
        <v>246</v>
      </c>
      <c r="S252">
        <f t="shared" si="26"/>
        <v>8.6485250859351478E-2</v>
      </c>
    </row>
    <row r="253" spans="7:25" x14ac:dyDescent="0.25">
      <c r="R253">
        <v>247</v>
      </c>
      <c r="S253">
        <f t="shared" si="26"/>
        <v>8.5628961246882684E-2</v>
      </c>
    </row>
    <row r="254" spans="7:25" x14ac:dyDescent="0.25">
      <c r="R254">
        <v>248</v>
      </c>
      <c r="S254">
        <f t="shared" si="26"/>
        <v>8.4781149749388773E-2</v>
      </c>
    </row>
    <row r="255" spans="7:25" x14ac:dyDescent="0.25">
      <c r="R255">
        <v>249</v>
      </c>
      <c r="S255">
        <f t="shared" si="26"/>
        <v>8.3941732425137389E-2</v>
      </c>
    </row>
    <row r="256" spans="7:25" x14ac:dyDescent="0.25">
      <c r="R256">
        <v>250</v>
      </c>
      <c r="S256">
        <f t="shared" si="26"/>
        <v>8.3110626163502371E-2</v>
      </c>
    </row>
    <row r="257" spans="18:19" x14ac:dyDescent="0.25">
      <c r="R257">
        <v>251</v>
      </c>
      <c r="S257">
        <f t="shared" si="26"/>
        <v>8.2287748676735037E-2</v>
      </c>
    </row>
    <row r="258" spans="18:19" x14ac:dyDescent="0.25">
      <c r="R258">
        <v>252</v>
      </c>
      <c r="S258">
        <f t="shared" si="26"/>
        <v>8.1473018491816859E-2</v>
      </c>
    </row>
    <row r="259" spans="18:19" x14ac:dyDescent="0.25">
      <c r="R259">
        <v>253</v>
      </c>
      <c r="S259">
        <f t="shared" si="26"/>
        <v>8.0666354942392937E-2</v>
      </c>
    </row>
    <row r="260" spans="18:19" x14ac:dyDescent="0.25">
      <c r="R260">
        <v>254</v>
      </c>
      <c r="S260">
        <f t="shared" si="26"/>
        <v>7.9867678160785077E-2</v>
      </c>
    </row>
    <row r="261" spans="18:19" x14ac:dyDescent="0.25">
      <c r="R261">
        <v>255</v>
      </c>
      <c r="S261">
        <f t="shared" si="26"/>
        <v>7.9076909070084245E-2</v>
      </c>
    </row>
    <row r="262" spans="18:19" x14ac:dyDescent="0.25">
      <c r="R262">
        <v>256</v>
      </c>
      <c r="S262">
        <f t="shared" si="26"/>
        <v>7.8293969376321021E-2</v>
      </c>
    </row>
    <row r="263" spans="18:19" x14ac:dyDescent="0.25">
      <c r="R263">
        <v>257</v>
      </c>
      <c r="S263">
        <f t="shared" si="26"/>
        <v>7.7518781560713873E-2</v>
      </c>
    </row>
    <row r="264" spans="18:19" x14ac:dyDescent="0.25">
      <c r="R264">
        <v>258</v>
      </c>
      <c r="S264">
        <f t="shared" ref="S264:S327" si="33">1/(1+$I$4/12)^(R264)</f>
        <v>7.6751268871993947E-2</v>
      </c>
    </row>
    <row r="265" spans="18:19" x14ac:dyDescent="0.25">
      <c r="R265">
        <v>259</v>
      </c>
      <c r="S265">
        <f t="shared" si="33"/>
        <v>7.5991355318805895E-2</v>
      </c>
    </row>
    <row r="266" spans="18:19" x14ac:dyDescent="0.25">
      <c r="R266">
        <v>260</v>
      </c>
      <c r="S266">
        <f t="shared" si="33"/>
        <v>7.5238965662184049E-2</v>
      </c>
    </row>
    <row r="267" spans="18:19" x14ac:dyDescent="0.25">
      <c r="R267">
        <v>261</v>
      </c>
      <c r="S267">
        <f t="shared" si="33"/>
        <v>7.4494025408103015E-2</v>
      </c>
    </row>
    <row r="268" spans="18:19" x14ac:dyDescent="0.25">
      <c r="R268">
        <v>262</v>
      </c>
      <c r="S268">
        <f t="shared" si="33"/>
        <v>7.3756460800101981E-2</v>
      </c>
    </row>
    <row r="269" spans="18:19" x14ac:dyDescent="0.25">
      <c r="R269">
        <v>263</v>
      </c>
      <c r="S269">
        <f t="shared" si="33"/>
        <v>7.302619881198219E-2</v>
      </c>
    </row>
    <row r="270" spans="18:19" x14ac:dyDescent="0.25">
      <c r="R270">
        <v>264</v>
      </c>
      <c r="S270">
        <f t="shared" si="33"/>
        <v>7.2303167140576399E-2</v>
      </c>
    </row>
    <row r="271" spans="18:19" x14ac:dyDescent="0.25">
      <c r="R271">
        <v>265</v>
      </c>
      <c r="S271">
        <f t="shared" si="33"/>
        <v>7.1587294198590487E-2</v>
      </c>
    </row>
    <row r="272" spans="18:19" x14ac:dyDescent="0.25">
      <c r="R272">
        <v>266</v>
      </c>
      <c r="S272">
        <f t="shared" si="33"/>
        <v>7.0878509107515336E-2</v>
      </c>
    </row>
    <row r="273" spans="18:19" x14ac:dyDescent="0.25">
      <c r="R273">
        <v>267</v>
      </c>
      <c r="S273">
        <f t="shared" si="33"/>
        <v>7.0176741690609265E-2</v>
      </c>
    </row>
    <row r="274" spans="18:19" x14ac:dyDescent="0.25">
      <c r="R274">
        <v>268</v>
      </c>
      <c r="S274">
        <f t="shared" si="33"/>
        <v>6.9481922465949753E-2</v>
      </c>
    </row>
    <row r="275" spans="18:19" x14ac:dyDescent="0.25">
      <c r="R275">
        <v>269</v>
      </c>
      <c r="S275">
        <f t="shared" si="33"/>
        <v>6.8793982639554205E-2</v>
      </c>
    </row>
    <row r="276" spans="18:19" x14ac:dyDescent="0.25">
      <c r="R276">
        <v>270</v>
      </c>
      <c r="S276">
        <f t="shared" si="33"/>
        <v>6.8112854098568515E-2</v>
      </c>
    </row>
    <row r="277" spans="18:19" x14ac:dyDescent="0.25">
      <c r="R277">
        <v>271</v>
      </c>
      <c r="S277">
        <f t="shared" si="33"/>
        <v>6.7438469404523305E-2</v>
      </c>
    </row>
    <row r="278" spans="18:19" x14ac:dyDescent="0.25">
      <c r="R278">
        <v>272</v>
      </c>
      <c r="S278">
        <f t="shared" si="33"/>
        <v>6.677076178665671E-2</v>
      </c>
    </row>
    <row r="279" spans="18:19" x14ac:dyDescent="0.25">
      <c r="R279">
        <v>273</v>
      </c>
      <c r="S279">
        <f t="shared" si="33"/>
        <v>6.6109665135303683E-2</v>
      </c>
    </row>
    <row r="280" spans="18:19" x14ac:dyDescent="0.25">
      <c r="R280">
        <v>274</v>
      </c>
      <c r="S280">
        <f t="shared" si="33"/>
        <v>6.5455113995350173E-2</v>
      </c>
    </row>
    <row r="281" spans="18:19" x14ac:dyDescent="0.25">
      <c r="R281">
        <v>275</v>
      </c>
      <c r="S281">
        <f t="shared" si="33"/>
        <v>6.480704355975267E-2</v>
      </c>
    </row>
    <row r="282" spans="18:19" x14ac:dyDescent="0.25">
      <c r="R282">
        <v>276</v>
      </c>
      <c r="S282">
        <f t="shared" si="33"/>
        <v>6.4165389663121436E-2</v>
      </c>
    </row>
    <row r="283" spans="18:19" x14ac:dyDescent="0.25">
      <c r="R283">
        <v>277</v>
      </c>
      <c r="S283">
        <f t="shared" si="33"/>
        <v>6.3530088775367768E-2</v>
      </c>
    </row>
    <row r="284" spans="18:19" x14ac:dyDescent="0.25">
      <c r="R284">
        <v>278</v>
      </c>
      <c r="S284">
        <f t="shared" si="33"/>
        <v>6.2901077995413626E-2</v>
      </c>
    </row>
    <row r="285" spans="18:19" x14ac:dyDescent="0.25">
      <c r="R285">
        <v>279</v>
      </c>
      <c r="S285">
        <f t="shared" si="33"/>
        <v>6.2278295044963988E-2</v>
      </c>
    </row>
    <row r="286" spans="18:19" x14ac:dyDescent="0.25">
      <c r="R286">
        <v>280</v>
      </c>
      <c r="S286">
        <f t="shared" si="33"/>
        <v>6.1661678262340563E-2</v>
      </c>
    </row>
    <row r="287" spans="18:19" x14ac:dyDescent="0.25">
      <c r="R287">
        <v>281</v>
      </c>
      <c r="S287">
        <f t="shared" si="33"/>
        <v>6.1051166596376792E-2</v>
      </c>
    </row>
    <row r="288" spans="18:19" x14ac:dyDescent="0.25">
      <c r="R288">
        <v>282</v>
      </c>
      <c r="S288">
        <f t="shared" si="33"/>
        <v>6.0446699600373063E-2</v>
      </c>
    </row>
    <row r="289" spans="18:19" x14ac:dyDescent="0.25">
      <c r="R289">
        <v>283</v>
      </c>
      <c r="S289">
        <f t="shared" si="33"/>
        <v>5.984821742611196E-2</v>
      </c>
    </row>
    <row r="290" spans="18:19" x14ac:dyDescent="0.25">
      <c r="R290">
        <v>284</v>
      </c>
      <c r="S290">
        <f t="shared" si="33"/>
        <v>5.9255660817932633E-2</v>
      </c>
    </row>
    <row r="291" spans="18:19" x14ac:dyDescent="0.25">
      <c r="R291">
        <v>285</v>
      </c>
      <c r="S291">
        <f t="shared" si="33"/>
        <v>5.866897110686399E-2</v>
      </c>
    </row>
    <row r="292" spans="18:19" x14ac:dyDescent="0.25">
      <c r="R292">
        <v>286</v>
      </c>
      <c r="S292">
        <f t="shared" si="33"/>
        <v>5.8088090204815819E-2</v>
      </c>
    </row>
    <row r="293" spans="18:19" x14ac:dyDescent="0.25">
      <c r="R293">
        <v>287</v>
      </c>
      <c r="S293">
        <f t="shared" si="33"/>
        <v>5.7512960598827566E-2</v>
      </c>
    </row>
    <row r="294" spans="18:19" x14ac:dyDescent="0.25">
      <c r="R294">
        <v>288</v>
      </c>
      <c r="S294">
        <f t="shared" si="33"/>
        <v>5.6943525345373815E-2</v>
      </c>
    </row>
    <row r="295" spans="18:19" x14ac:dyDescent="0.25">
      <c r="R295">
        <v>289</v>
      </c>
      <c r="S295">
        <f t="shared" si="33"/>
        <v>5.6379728064726548E-2</v>
      </c>
    </row>
    <row r="296" spans="18:19" x14ac:dyDescent="0.25">
      <c r="R296">
        <v>290</v>
      </c>
      <c r="S296">
        <f t="shared" si="33"/>
        <v>5.5821512935372818E-2</v>
      </c>
    </row>
    <row r="297" spans="18:19" x14ac:dyDescent="0.25">
      <c r="R297">
        <v>291</v>
      </c>
      <c r="S297">
        <f t="shared" si="33"/>
        <v>5.5268824688487948E-2</v>
      </c>
    </row>
    <row r="298" spans="18:19" x14ac:dyDescent="0.25">
      <c r="R298">
        <v>292</v>
      </c>
      <c r="S298">
        <f t="shared" si="33"/>
        <v>5.4721608602463313E-2</v>
      </c>
    </row>
    <row r="299" spans="18:19" x14ac:dyDescent="0.25">
      <c r="R299">
        <v>293</v>
      </c>
      <c r="S299">
        <f t="shared" si="33"/>
        <v>5.417981049748842E-2</v>
      </c>
    </row>
    <row r="300" spans="18:19" x14ac:dyDescent="0.25">
      <c r="R300">
        <v>294</v>
      </c>
      <c r="S300">
        <f t="shared" si="33"/>
        <v>5.364337673018655E-2</v>
      </c>
    </row>
    <row r="301" spans="18:19" x14ac:dyDescent="0.25">
      <c r="R301">
        <v>295</v>
      </c>
      <c r="S301">
        <f t="shared" si="33"/>
        <v>5.3112254188303537E-2</v>
      </c>
    </row>
    <row r="302" spans="18:19" x14ac:dyDescent="0.25">
      <c r="R302">
        <v>296</v>
      </c>
      <c r="S302">
        <f t="shared" si="33"/>
        <v>5.2586390285449029E-2</v>
      </c>
    </row>
    <row r="303" spans="18:19" x14ac:dyDescent="0.25">
      <c r="R303">
        <v>297</v>
      </c>
      <c r="S303">
        <f t="shared" si="33"/>
        <v>5.2065732955890121E-2</v>
      </c>
    </row>
    <row r="304" spans="18:19" x14ac:dyDescent="0.25">
      <c r="R304">
        <v>298</v>
      </c>
      <c r="S304">
        <f t="shared" si="33"/>
        <v>5.1550230649396157E-2</v>
      </c>
    </row>
    <row r="305" spans="18:19" x14ac:dyDescent="0.25">
      <c r="R305">
        <v>299</v>
      </c>
      <c r="S305">
        <f t="shared" si="33"/>
        <v>5.1039832326134821E-2</v>
      </c>
    </row>
    <row r="306" spans="18:19" x14ac:dyDescent="0.25">
      <c r="R306">
        <v>300</v>
      </c>
      <c r="S306">
        <f t="shared" si="33"/>
        <v>5.0534487451618627E-2</v>
      </c>
    </row>
    <row r="307" spans="18:19" x14ac:dyDescent="0.25">
      <c r="R307">
        <v>301</v>
      </c>
      <c r="S307">
        <f t="shared" si="33"/>
        <v>5.0034145991701612E-2</v>
      </c>
    </row>
    <row r="308" spans="18:19" x14ac:dyDescent="0.25">
      <c r="R308">
        <v>302</v>
      </c>
      <c r="S308">
        <f t="shared" si="33"/>
        <v>4.9538758407625352E-2</v>
      </c>
    </row>
    <row r="309" spans="18:19" x14ac:dyDescent="0.25">
      <c r="R309">
        <v>303</v>
      </c>
      <c r="S309">
        <f t="shared" si="33"/>
        <v>4.9048275651114227E-2</v>
      </c>
    </row>
    <row r="310" spans="18:19" x14ac:dyDescent="0.25">
      <c r="R310">
        <v>304</v>
      </c>
      <c r="S310">
        <f t="shared" si="33"/>
        <v>4.8562649159519022E-2</v>
      </c>
    </row>
    <row r="311" spans="18:19" x14ac:dyDescent="0.25">
      <c r="R311">
        <v>305</v>
      </c>
      <c r="S311">
        <f t="shared" si="33"/>
        <v>4.8081830851008929E-2</v>
      </c>
    </row>
    <row r="312" spans="18:19" x14ac:dyDescent="0.25">
      <c r="R312">
        <v>306</v>
      </c>
      <c r="S312">
        <f t="shared" si="33"/>
        <v>4.7605773119810818E-2</v>
      </c>
    </row>
    <row r="313" spans="18:19" x14ac:dyDescent="0.25">
      <c r="R313">
        <v>307</v>
      </c>
      <c r="S313">
        <f t="shared" si="33"/>
        <v>4.7134428831495864E-2</v>
      </c>
    </row>
    <row r="314" spans="18:19" x14ac:dyDescent="0.25">
      <c r="R314">
        <v>308</v>
      </c>
      <c r="S314">
        <f t="shared" si="33"/>
        <v>4.6667751318312738E-2</v>
      </c>
    </row>
    <row r="315" spans="18:19" x14ac:dyDescent="0.25">
      <c r="R315">
        <v>309</v>
      </c>
      <c r="S315">
        <f t="shared" si="33"/>
        <v>4.620569437456707E-2</v>
      </c>
    </row>
    <row r="316" spans="18:19" x14ac:dyDescent="0.25">
      <c r="R316">
        <v>310</v>
      </c>
      <c r="S316">
        <f t="shared" si="33"/>
        <v>4.5748212252046595E-2</v>
      </c>
    </row>
    <row r="317" spans="18:19" x14ac:dyDescent="0.25">
      <c r="R317">
        <v>311</v>
      </c>
      <c r="S317">
        <f t="shared" si="33"/>
        <v>4.5295259655491686E-2</v>
      </c>
    </row>
    <row r="318" spans="18:19" x14ac:dyDescent="0.25">
      <c r="R318">
        <v>312</v>
      </c>
      <c r="S318">
        <f t="shared" si="33"/>
        <v>4.484679173811057E-2</v>
      </c>
    </row>
    <row r="319" spans="18:19" x14ac:dyDescent="0.25">
      <c r="R319">
        <v>313</v>
      </c>
      <c r="S319">
        <f t="shared" si="33"/>
        <v>4.4402764097139169E-2</v>
      </c>
    </row>
    <row r="320" spans="18:19" x14ac:dyDescent="0.25">
      <c r="R320">
        <v>314</v>
      </c>
      <c r="S320">
        <f t="shared" si="33"/>
        <v>4.3963132769444732E-2</v>
      </c>
    </row>
    <row r="321" spans="18:19" x14ac:dyDescent="0.25">
      <c r="R321">
        <v>315</v>
      </c>
      <c r="S321">
        <f t="shared" si="33"/>
        <v>4.3527854227173014E-2</v>
      </c>
    </row>
    <row r="322" spans="18:19" x14ac:dyDescent="0.25">
      <c r="R322">
        <v>316</v>
      </c>
      <c r="S322">
        <f t="shared" si="33"/>
        <v>4.3096885373438622E-2</v>
      </c>
    </row>
    <row r="323" spans="18:19" x14ac:dyDescent="0.25">
      <c r="R323">
        <v>317</v>
      </c>
      <c r="S323">
        <f t="shared" si="33"/>
        <v>4.2670183538058043E-2</v>
      </c>
    </row>
    <row r="324" spans="18:19" x14ac:dyDescent="0.25">
      <c r="R324">
        <v>318</v>
      </c>
      <c r="S324">
        <f t="shared" si="33"/>
        <v>4.2247706473324785E-2</v>
      </c>
    </row>
    <row r="325" spans="18:19" x14ac:dyDescent="0.25">
      <c r="R325">
        <v>319</v>
      </c>
      <c r="S325">
        <f t="shared" si="33"/>
        <v>4.1829412349826532E-2</v>
      </c>
    </row>
    <row r="326" spans="18:19" x14ac:dyDescent="0.25">
      <c r="R326">
        <v>320</v>
      </c>
      <c r="S326">
        <f t="shared" si="33"/>
        <v>4.1415259752303486E-2</v>
      </c>
    </row>
    <row r="327" spans="18:19" x14ac:dyDescent="0.25">
      <c r="R327">
        <v>321</v>
      </c>
      <c r="S327">
        <f t="shared" si="33"/>
        <v>4.1005207675548008E-2</v>
      </c>
    </row>
    <row r="328" spans="18:19" x14ac:dyDescent="0.25">
      <c r="R328">
        <v>322</v>
      </c>
      <c r="S328">
        <f t="shared" ref="S328:S366" si="34">1/(1+$I$4/12)^(R328)</f>
        <v>4.059921552034456E-2</v>
      </c>
    </row>
    <row r="329" spans="18:19" x14ac:dyDescent="0.25">
      <c r="R329">
        <v>323</v>
      </c>
      <c r="S329">
        <f t="shared" si="34"/>
        <v>4.0197243089450066E-2</v>
      </c>
    </row>
    <row r="330" spans="18:19" x14ac:dyDescent="0.25">
      <c r="R330">
        <v>324</v>
      </c>
      <c r="S330">
        <f t="shared" si="34"/>
        <v>3.9799250583613922E-2</v>
      </c>
    </row>
    <row r="331" spans="18:19" x14ac:dyDescent="0.25">
      <c r="R331">
        <v>325</v>
      </c>
      <c r="S331">
        <f t="shared" si="34"/>
        <v>3.9405198597637546E-2</v>
      </c>
    </row>
    <row r="332" spans="18:19" x14ac:dyDescent="0.25">
      <c r="R332">
        <v>326</v>
      </c>
      <c r="S332">
        <f t="shared" si="34"/>
        <v>3.9015048116472807E-2</v>
      </c>
    </row>
    <row r="333" spans="18:19" x14ac:dyDescent="0.25">
      <c r="R333">
        <v>327</v>
      </c>
      <c r="S333">
        <f t="shared" si="34"/>
        <v>3.8628760511359238E-2</v>
      </c>
    </row>
    <row r="334" spans="18:19" x14ac:dyDescent="0.25">
      <c r="R334">
        <v>328</v>
      </c>
      <c r="S334">
        <f t="shared" si="34"/>
        <v>3.824629753599923E-2</v>
      </c>
    </row>
    <row r="335" spans="18:19" x14ac:dyDescent="0.25">
      <c r="R335">
        <v>329</v>
      </c>
      <c r="S335">
        <f t="shared" si="34"/>
        <v>3.7867621322771508E-2</v>
      </c>
    </row>
    <row r="336" spans="18:19" x14ac:dyDescent="0.25">
      <c r="R336">
        <v>330</v>
      </c>
      <c r="S336">
        <f t="shared" si="34"/>
        <v>3.7492694378981693E-2</v>
      </c>
    </row>
    <row r="337" spans="18:19" x14ac:dyDescent="0.25">
      <c r="R337">
        <v>331</v>
      </c>
      <c r="S337">
        <f t="shared" si="34"/>
        <v>3.7121479583150201E-2</v>
      </c>
    </row>
    <row r="338" spans="18:19" x14ac:dyDescent="0.25">
      <c r="R338">
        <v>332</v>
      </c>
      <c r="S338">
        <f t="shared" si="34"/>
        <v>3.6753940181336826E-2</v>
      </c>
    </row>
    <row r="339" spans="18:19" x14ac:dyDescent="0.25">
      <c r="R339">
        <v>333</v>
      </c>
      <c r="S339">
        <f t="shared" si="34"/>
        <v>3.6390039783501811E-2</v>
      </c>
    </row>
    <row r="340" spans="18:19" x14ac:dyDescent="0.25">
      <c r="R340">
        <v>334</v>
      </c>
      <c r="S340">
        <f t="shared" si="34"/>
        <v>3.6029742359902778E-2</v>
      </c>
    </row>
    <row r="341" spans="18:19" x14ac:dyDescent="0.25">
      <c r="R341">
        <v>335</v>
      </c>
      <c r="S341">
        <f t="shared" si="34"/>
        <v>3.5673012237527515E-2</v>
      </c>
    </row>
    <row r="342" spans="18:19" x14ac:dyDescent="0.25">
      <c r="R342">
        <v>336</v>
      </c>
      <c r="S342">
        <f t="shared" si="34"/>
        <v>3.5319814096561888E-2</v>
      </c>
    </row>
    <row r="343" spans="18:19" x14ac:dyDescent="0.25">
      <c r="R343">
        <v>337</v>
      </c>
      <c r="S343">
        <f t="shared" si="34"/>
        <v>3.4970112966892959E-2</v>
      </c>
    </row>
    <row r="344" spans="18:19" x14ac:dyDescent="0.25">
      <c r="R344">
        <v>338</v>
      </c>
      <c r="S344">
        <f t="shared" si="34"/>
        <v>3.4623874224646481E-2</v>
      </c>
    </row>
    <row r="345" spans="18:19" x14ac:dyDescent="0.25">
      <c r="R345">
        <v>339</v>
      </c>
      <c r="S345">
        <f t="shared" si="34"/>
        <v>3.4281063588758903E-2</v>
      </c>
    </row>
    <row r="346" spans="18:19" x14ac:dyDescent="0.25">
      <c r="R346">
        <v>340</v>
      </c>
      <c r="S346">
        <f t="shared" si="34"/>
        <v>3.3941647117583067E-2</v>
      </c>
    </row>
    <row r="347" spans="18:19" x14ac:dyDescent="0.25">
      <c r="R347">
        <v>341</v>
      </c>
      <c r="S347">
        <f t="shared" si="34"/>
        <v>3.36055912055278E-2</v>
      </c>
    </row>
    <row r="348" spans="18:19" x14ac:dyDescent="0.25">
      <c r="R348">
        <v>342</v>
      </c>
      <c r="S348">
        <f t="shared" si="34"/>
        <v>3.3272862579730479E-2</v>
      </c>
    </row>
    <row r="349" spans="18:19" x14ac:dyDescent="0.25">
      <c r="R349">
        <v>343</v>
      </c>
      <c r="S349">
        <f t="shared" si="34"/>
        <v>3.2943428296762861E-2</v>
      </c>
    </row>
    <row r="350" spans="18:19" x14ac:dyDescent="0.25">
      <c r="R350">
        <v>344</v>
      </c>
      <c r="S350">
        <f t="shared" si="34"/>
        <v>3.2617255739369161E-2</v>
      </c>
    </row>
    <row r="351" spans="18:19" x14ac:dyDescent="0.25">
      <c r="R351">
        <v>345</v>
      </c>
      <c r="S351">
        <f t="shared" si="34"/>
        <v>3.2294312613236786E-2</v>
      </c>
    </row>
    <row r="352" spans="18:19" x14ac:dyDescent="0.25">
      <c r="R352">
        <v>346</v>
      </c>
      <c r="S352">
        <f t="shared" si="34"/>
        <v>3.1974566943798799E-2</v>
      </c>
    </row>
    <row r="353" spans="18:19" x14ac:dyDescent="0.25">
      <c r="R353">
        <v>347</v>
      </c>
      <c r="S353">
        <f t="shared" si="34"/>
        <v>3.1657987073068133E-2</v>
      </c>
    </row>
    <row r="354" spans="18:19" x14ac:dyDescent="0.25">
      <c r="R354">
        <v>348</v>
      </c>
      <c r="S354">
        <f t="shared" si="34"/>
        <v>3.1344541656503098E-2</v>
      </c>
    </row>
    <row r="355" spans="18:19" x14ac:dyDescent="0.25">
      <c r="R355">
        <v>349</v>
      </c>
      <c r="S355">
        <f t="shared" si="34"/>
        <v>3.1034199659904057E-2</v>
      </c>
    </row>
    <row r="356" spans="18:19" x14ac:dyDescent="0.25">
      <c r="R356">
        <v>350</v>
      </c>
      <c r="S356">
        <f t="shared" si="34"/>
        <v>3.0726930356340641E-2</v>
      </c>
    </row>
    <row r="357" spans="18:19" x14ac:dyDescent="0.25">
      <c r="R357">
        <v>351</v>
      </c>
      <c r="S357">
        <f t="shared" si="34"/>
        <v>3.0422703323109552E-2</v>
      </c>
    </row>
    <row r="358" spans="18:19" x14ac:dyDescent="0.25">
      <c r="R358">
        <v>352</v>
      </c>
      <c r="S358">
        <f t="shared" si="34"/>
        <v>3.0121488438722328E-2</v>
      </c>
    </row>
    <row r="359" spans="18:19" x14ac:dyDescent="0.25">
      <c r="R359">
        <v>353</v>
      </c>
      <c r="S359">
        <f t="shared" si="34"/>
        <v>2.9823255879923093E-2</v>
      </c>
    </row>
    <row r="360" spans="18:19" x14ac:dyDescent="0.25">
      <c r="R360">
        <v>354</v>
      </c>
      <c r="S360">
        <f t="shared" si="34"/>
        <v>2.9527976118735737E-2</v>
      </c>
    </row>
    <row r="361" spans="18:19" x14ac:dyDescent="0.25">
      <c r="R361">
        <v>355</v>
      </c>
      <c r="S361">
        <f t="shared" si="34"/>
        <v>2.9235619919540341E-2</v>
      </c>
    </row>
    <row r="362" spans="18:19" x14ac:dyDescent="0.25">
      <c r="R362">
        <v>356</v>
      </c>
      <c r="S362">
        <f t="shared" si="34"/>
        <v>2.894615833617855E-2</v>
      </c>
    </row>
    <row r="363" spans="18:19" x14ac:dyDescent="0.25">
      <c r="R363">
        <v>357</v>
      </c>
      <c r="S363">
        <f t="shared" si="34"/>
        <v>2.8659562709087677E-2</v>
      </c>
    </row>
    <row r="364" spans="18:19" x14ac:dyDescent="0.25">
      <c r="R364">
        <v>358</v>
      </c>
      <c r="S364">
        <f t="shared" si="34"/>
        <v>2.837580466246304E-2</v>
      </c>
    </row>
    <row r="365" spans="18:19" x14ac:dyDescent="0.25">
      <c r="R365">
        <v>359</v>
      </c>
      <c r="S365">
        <f t="shared" si="34"/>
        <v>2.8094856101448566E-2</v>
      </c>
    </row>
    <row r="366" spans="18:19" x14ac:dyDescent="0.25">
      <c r="R366">
        <v>360</v>
      </c>
      <c r="S366">
        <f t="shared" si="34"/>
        <v>2.7816689209355008E-2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8"/>
  <sheetViews>
    <sheetView workbookViewId="0">
      <selection activeCell="G7" sqref="G7"/>
    </sheetView>
  </sheetViews>
  <sheetFormatPr defaultRowHeight="15" x14ac:dyDescent="0.25"/>
  <cols>
    <col min="5" max="5" width="11.42578125" customWidth="1"/>
  </cols>
  <sheetData>
    <row r="3" spans="2:7" x14ac:dyDescent="0.25">
      <c r="B3" t="s">
        <v>13</v>
      </c>
      <c r="C3" t="s">
        <v>14</v>
      </c>
    </row>
    <row r="4" spans="2:7" x14ac:dyDescent="0.25">
      <c r="B4">
        <v>1</v>
      </c>
      <c r="C4">
        <v>950</v>
      </c>
      <c r="D4" s="8">
        <f>POWER(1000/C4,1/B4)-1</f>
        <v>5.2631578947368363E-2</v>
      </c>
      <c r="E4" s="8">
        <f>(1+D5)^B5/(1+D4)^B4-1</f>
        <v>6.7415730337079038E-2</v>
      </c>
      <c r="F4" s="9">
        <f>1+E4</f>
        <v>1.067415730337079</v>
      </c>
    </row>
    <row r="5" spans="2:7" x14ac:dyDescent="0.25">
      <c r="B5">
        <v>2</v>
      </c>
      <c r="C5">
        <v>890</v>
      </c>
      <c r="D5" s="8">
        <f t="shared" ref="D5:D8" si="0">POWER(1000/C5,1/B5)-1</f>
        <v>5.9997880006360083E-2</v>
      </c>
      <c r="E5" s="8">
        <f>(1+D6)^B6/(1+D5)^B5-1</f>
        <v>7.2289156626505591E-2</v>
      </c>
      <c r="F5" s="9">
        <f t="shared" ref="F5:F6" si="1">1+E5</f>
        <v>1.0722891566265056</v>
      </c>
    </row>
    <row r="6" spans="2:7" x14ac:dyDescent="0.25">
      <c r="B6">
        <v>3</v>
      </c>
      <c r="C6">
        <v>830</v>
      </c>
      <c r="D6" s="8">
        <f t="shared" si="0"/>
        <v>6.4079237410593404E-2</v>
      </c>
      <c r="E6" s="8">
        <f t="shared" ref="E5:E7" si="2">(1+D7)^B7/(1+D6)^B6-1</f>
        <v>7.7922077922077948E-2</v>
      </c>
      <c r="F6" s="9">
        <f t="shared" si="1"/>
        <v>1.0779220779220779</v>
      </c>
      <c r="G6">
        <f>1000/(F4*F5*F6*(1+D4))</f>
        <v>770</v>
      </c>
    </row>
    <row r="7" spans="2:7" x14ac:dyDescent="0.25">
      <c r="B7">
        <v>4</v>
      </c>
      <c r="C7">
        <v>770</v>
      </c>
      <c r="D7" s="8">
        <f t="shared" si="0"/>
        <v>6.7523191596500887E-2</v>
      </c>
      <c r="E7" s="8">
        <f t="shared" si="2"/>
        <v>6.9444444444445086E-2</v>
      </c>
    </row>
    <row r="8" spans="2:7" x14ac:dyDescent="0.25">
      <c r="B8">
        <v>5</v>
      </c>
      <c r="C8">
        <v>720</v>
      </c>
      <c r="D8" s="8">
        <f t="shared" si="0"/>
        <v>6.790716584560208E-2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T89"/>
  <sheetViews>
    <sheetView tabSelected="1" workbookViewId="0">
      <selection activeCell="I8" sqref="I8:T88"/>
    </sheetView>
  </sheetViews>
  <sheetFormatPr defaultRowHeight="15" x14ac:dyDescent="0.25"/>
  <cols>
    <col min="2" max="2" width="6.85546875" bestFit="1" customWidth="1"/>
    <col min="3" max="3" width="16.85546875" bestFit="1" customWidth="1"/>
    <col min="4" max="5" width="12" bestFit="1" customWidth="1"/>
    <col min="6" max="6" width="18" bestFit="1" customWidth="1"/>
    <col min="13" max="13" width="10.140625" customWidth="1"/>
    <col min="20" max="20" width="12.140625" customWidth="1"/>
  </cols>
  <sheetData>
    <row r="4" spans="2:20" x14ac:dyDescent="0.25">
      <c r="C4" t="s">
        <v>7</v>
      </c>
      <c r="D4">
        <v>200000</v>
      </c>
    </row>
    <row r="5" spans="2:20" x14ac:dyDescent="0.25">
      <c r="C5" t="s">
        <v>8</v>
      </c>
      <c r="D5" s="7">
        <v>0.12</v>
      </c>
    </row>
    <row r="6" spans="2:20" x14ac:dyDescent="0.25">
      <c r="C6" t="s">
        <v>9</v>
      </c>
      <c r="D6">
        <v>30</v>
      </c>
    </row>
    <row r="8" spans="2:20" x14ac:dyDescent="0.25">
      <c r="B8" s="3" t="s">
        <v>12</v>
      </c>
      <c r="C8" s="3" t="s">
        <v>11</v>
      </c>
      <c r="D8" s="3" t="s">
        <v>5</v>
      </c>
      <c r="E8" s="3" t="s">
        <v>6</v>
      </c>
      <c r="F8" s="3" t="s">
        <v>10</v>
      </c>
      <c r="I8" s="3" t="s">
        <v>12</v>
      </c>
      <c r="J8" s="3" t="s">
        <v>11</v>
      </c>
      <c r="K8" s="3" t="s">
        <v>5</v>
      </c>
      <c r="L8" s="3" t="s">
        <v>6</v>
      </c>
      <c r="M8" s="3" t="s">
        <v>10</v>
      </c>
      <c r="P8" s="3" t="s">
        <v>12</v>
      </c>
      <c r="Q8" s="3" t="s">
        <v>11</v>
      </c>
      <c r="R8" s="3" t="s">
        <v>5</v>
      </c>
      <c r="S8" s="3" t="s">
        <v>6</v>
      </c>
      <c r="T8" s="3" t="s">
        <v>10</v>
      </c>
    </row>
    <row r="9" spans="2:20" x14ac:dyDescent="0.25">
      <c r="B9" s="3">
        <v>0</v>
      </c>
      <c r="C9" s="10"/>
      <c r="D9" s="10"/>
      <c r="E9" s="10"/>
      <c r="F9" s="10">
        <v>200000</v>
      </c>
      <c r="I9" s="3">
        <v>81</v>
      </c>
      <c r="J9" s="10">
        <v>2057.2251938510094</v>
      </c>
      <c r="K9" s="10">
        <v>1930.3732358345858</v>
      </c>
      <c r="L9" s="10">
        <v>126.85195801642362</v>
      </c>
      <c r="M9" s="10">
        <v>192910.47162544215</v>
      </c>
      <c r="P9" s="3">
        <v>161</v>
      </c>
      <c r="Q9" s="10">
        <v>2057.2251938510094</v>
      </c>
      <c r="R9" s="10">
        <v>1776.0305281851161</v>
      </c>
      <c r="S9" s="10">
        <v>281.19466566589335</v>
      </c>
      <c r="T9" s="10">
        <v>177321.85815284573</v>
      </c>
    </row>
    <row r="10" spans="2:20" x14ac:dyDescent="0.25">
      <c r="B10" s="3">
        <v>1</v>
      </c>
      <c r="C10" s="10">
        <v>2057.2251938510094</v>
      </c>
      <c r="D10" s="10">
        <v>2000</v>
      </c>
      <c r="E10" s="10">
        <v>57.225193851009408</v>
      </c>
      <c r="F10" s="10">
        <v>199942.77480614898</v>
      </c>
      <c r="I10" s="3">
        <v>82</v>
      </c>
      <c r="J10" s="10">
        <v>2057.2251938510094</v>
      </c>
      <c r="K10" s="10">
        <v>1929.1047162544216</v>
      </c>
      <c r="L10" s="10">
        <v>128.12047759658776</v>
      </c>
      <c r="M10" s="10">
        <v>192782.35114784556</v>
      </c>
      <c r="P10" s="3">
        <v>162</v>
      </c>
      <c r="Q10" s="10">
        <v>2057.2251938510094</v>
      </c>
      <c r="R10" s="10">
        <v>1773.2185815284572</v>
      </c>
      <c r="S10" s="10">
        <v>284.0066123225522</v>
      </c>
      <c r="T10" s="10">
        <v>177037.85154052317</v>
      </c>
    </row>
    <row r="11" spans="2:20" x14ac:dyDescent="0.25">
      <c r="B11" s="3">
        <v>2</v>
      </c>
      <c r="C11" s="10">
        <v>2057.2251938510094</v>
      </c>
      <c r="D11" s="10">
        <v>1999.4277480614899</v>
      </c>
      <c r="E11" s="10">
        <v>57.797445789519543</v>
      </c>
      <c r="F11" s="10">
        <v>199884.97736035945</v>
      </c>
      <c r="I11" s="3">
        <v>83</v>
      </c>
      <c r="J11" s="10">
        <v>2057.2251938510094</v>
      </c>
      <c r="K11" s="10">
        <v>1927.8235114784557</v>
      </c>
      <c r="L11" s="10">
        <v>129.40168237255375</v>
      </c>
      <c r="M11" s="10">
        <v>192652.94946547301</v>
      </c>
      <c r="P11" s="3">
        <v>163</v>
      </c>
      <c r="Q11" s="10">
        <v>2057.2251938510094</v>
      </c>
      <c r="R11" s="10">
        <v>1770.3785154052318</v>
      </c>
      <c r="S11" s="10">
        <v>286.84667844577757</v>
      </c>
      <c r="T11" s="10">
        <v>176751.00486207739</v>
      </c>
    </row>
    <row r="12" spans="2:20" x14ac:dyDescent="0.25">
      <c r="B12" s="3">
        <v>3</v>
      </c>
      <c r="C12" s="10">
        <v>2057.2251938510094</v>
      </c>
      <c r="D12" s="10">
        <v>1998.8497736035945</v>
      </c>
      <c r="E12" s="10">
        <v>58.375420247414922</v>
      </c>
      <c r="F12" s="10">
        <v>199826.60194011204</v>
      </c>
      <c r="I12" s="3">
        <v>84</v>
      </c>
      <c r="J12" s="10">
        <v>2057.2251938510094</v>
      </c>
      <c r="K12" s="10">
        <v>1926.5294946547301</v>
      </c>
      <c r="L12" s="10">
        <v>130.69569919627929</v>
      </c>
      <c r="M12" s="10">
        <v>192522.25376627673</v>
      </c>
      <c r="P12" s="3">
        <v>164</v>
      </c>
      <c r="Q12" s="10">
        <v>2057.2251938510094</v>
      </c>
      <c r="R12" s="10">
        <v>1767.5100486207739</v>
      </c>
      <c r="S12" s="10">
        <v>289.71514523023552</v>
      </c>
      <c r="T12" s="10">
        <v>176461.28971684715</v>
      </c>
    </row>
    <row r="13" spans="2:20" x14ac:dyDescent="0.25">
      <c r="B13" s="3">
        <v>4</v>
      </c>
      <c r="C13" s="10">
        <v>2057.2251938510094</v>
      </c>
      <c r="D13" s="10">
        <v>1998.2660194011205</v>
      </c>
      <c r="E13" s="10">
        <v>58.959174449888906</v>
      </c>
      <c r="F13" s="10">
        <v>199767.64276566217</v>
      </c>
      <c r="I13" s="3">
        <v>85</v>
      </c>
      <c r="J13" s="10">
        <v>2057.2251938510094</v>
      </c>
      <c r="K13" s="10">
        <v>1925.2225376627673</v>
      </c>
      <c r="L13" s="10">
        <v>132.0026561882421</v>
      </c>
      <c r="M13" s="10">
        <v>192390.25111008849</v>
      </c>
      <c r="P13" s="3">
        <v>165</v>
      </c>
      <c r="Q13" s="10">
        <v>2057.2251938510094</v>
      </c>
      <c r="R13" s="10">
        <v>1764.6128971684714</v>
      </c>
      <c r="S13" s="10">
        <v>292.61229668253804</v>
      </c>
      <c r="T13" s="10">
        <v>176168.6774201646</v>
      </c>
    </row>
    <row r="14" spans="2:20" x14ac:dyDescent="0.25">
      <c r="B14" s="3">
        <v>5</v>
      </c>
      <c r="C14" s="10">
        <v>2057.2251938510094</v>
      </c>
      <c r="D14" s="10">
        <v>1997.6764276566216</v>
      </c>
      <c r="E14" s="10">
        <v>59.548766194387781</v>
      </c>
      <c r="F14" s="10">
        <v>199708.09399946779</v>
      </c>
      <c r="I14" s="3">
        <v>86</v>
      </c>
      <c r="J14" s="10">
        <v>2057.2251938510094</v>
      </c>
      <c r="K14" s="10">
        <v>1923.9025111008848</v>
      </c>
      <c r="L14" s="10">
        <v>133.32268275012461</v>
      </c>
      <c r="M14" s="10">
        <v>192256.92842733837</v>
      </c>
      <c r="P14" s="3">
        <v>166</v>
      </c>
      <c r="Q14" s="10">
        <v>2057.2251938510094</v>
      </c>
      <c r="R14" s="10">
        <v>1761.6867742016459</v>
      </c>
      <c r="S14" s="10">
        <v>295.5384196493635</v>
      </c>
      <c r="T14" s="10">
        <v>175873.13900051525</v>
      </c>
    </row>
    <row r="15" spans="2:20" x14ac:dyDescent="0.25">
      <c r="B15" s="3">
        <v>6</v>
      </c>
      <c r="C15" s="10">
        <v>2057.2251938510094</v>
      </c>
      <c r="D15" s="10">
        <v>1997.0809399946777</v>
      </c>
      <c r="E15" s="10">
        <v>60.144253856331716</v>
      </c>
      <c r="F15" s="10">
        <v>199647.94974561146</v>
      </c>
      <c r="I15" s="3">
        <v>87</v>
      </c>
      <c r="J15" s="10">
        <v>2057.2251938510094</v>
      </c>
      <c r="K15" s="10">
        <v>1922.5692842733836</v>
      </c>
      <c r="L15" s="10">
        <v>134.65590957762583</v>
      </c>
      <c r="M15" s="10">
        <v>192122.27251776075</v>
      </c>
      <c r="P15" s="3">
        <v>167</v>
      </c>
      <c r="Q15" s="10">
        <v>2057.2251938510094</v>
      </c>
      <c r="R15" s="10">
        <v>1758.7313900051524</v>
      </c>
      <c r="S15" s="10">
        <v>298.49380384585697</v>
      </c>
      <c r="T15" s="10">
        <v>175574.64519666939</v>
      </c>
    </row>
    <row r="16" spans="2:20" x14ac:dyDescent="0.25">
      <c r="B16" s="3">
        <v>7</v>
      </c>
      <c r="C16" s="10">
        <v>2057.2251938510094</v>
      </c>
      <c r="D16" s="10">
        <v>1996.4794974561146</v>
      </c>
      <c r="E16" s="10">
        <v>60.745696394894821</v>
      </c>
      <c r="F16" s="10">
        <v>199587.20404921655</v>
      </c>
      <c r="I16" s="3">
        <v>88</v>
      </c>
      <c r="J16" s="10">
        <v>2057.2251938510094</v>
      </c>
      <c r="K16" s="10">
        <v>1921.2227251776076</v>
      </c>
      <c r="L16" s="10">
        <v>136.00246867340184</v>
      </c>
      <c r="M16" s="10">
        <v>191986.27004908735</v>
      </c>
      <c r="P16" s="3">
        <v>168</v>
      </c>
      <c r="Q16" s="10">
        <v>2057.2251938510094</v>
      </c>
      <c r="R16" s="10">
        <v>1755.7464519666937</v>
      </c>
      <c r="S16" s="10">
        <v>301.4787418843157</v>
      </c>
      <c r="T16" s="10">
        <v>175273.16645478507</v>
      </c>
    </row>
    <row r="17" spans="2:20" x14ac:dyDescent="0.25">
      <c r="B17" s="3">
        <v>8</v>
      </c>
      <c r="C17" s="10">
        <v>2057.2251938510094</v>
      </c>
      <c r="D17" s="10">
        <v>1995.8720404921653</v>
      </c>
      <c r="E17" s="10">
        <v>61.353153358844111</v>
      </c>
      <c r="F17" s="10">
        <v>199525.8508958577</v>
      </c>
      <c r="I17" s="3">
        <v>89</v>
      </c>
      <c r="J17" s="10">
        <v>2057.2251938510094</v>
      </c>
      <c r="K17" s="10">
        <v>1919.8627004908733</v>
      </c>
      <c r="L17" s="10">
        <v>137.36249336013611</v>
      </c>
      <c r="M17" s="10">
        <v>191848.90755572723</v>
      </c>
      <c r="P17" s="3">
        <v>169</v>
      </c>
      <c r="Q17" s="10">
        <v>2057.2251938510094</v>
      </c>
      <c r="R17" s="10">
        <v>1752.7316645478506</v>
      </c>
      <c r="S17" s="10">
        <v>304.49352930315877</v>
      </c>
      <c r="T17" s="10">
        <v>174968.67292548192</v>
      </c>
    </row>
    <row r="18" spans="2:20" x14ac:dyDescent="0.25">
      <c r="B18" s="3">
        <v>9</v>
      </c>
      <c r="C18" s="10">
        <v>2057.2251938510094</v>
      </c>
      <c r="D18" s="10">
        <v>1995.2585089585771</v>
      </c>
      <c r="E18" s="10">
        <v>61.96668489243234</v>
      </c>
      <c r="F18" s="10">
        <v>199463.88421096528</v>
      </c>
      <c r="I18" s="3">
        <v>90</v>
      </c>
      <c r="J18" s="10">
        <v>2057.2251938510094</v>
      </c>
      <c r="K18" s="10">
        <v>1918.4890755572724</v>
      </c>
      <c r="L18" s="10">
        <v>138.73611829373704</v>
      </c>
      <c r="M18" s="10">
        <v>191710.17143743348</v>
      </c>
      <c r="P18" s="3">
        <v>170</v>
      </c>
      <c r="Q18" s="10">
        <v>2057.2251938510094</v>
      </c>
      <c r="R18" s="10">
        <v>1749.6867292548193</v>
      </c>
      <c r="S18" s="10">
        <v>307.53846459619012</v>
      </c>
      <c r="T18" s="10">
        <v>174661.13446088572</v>
      </c>
    </row>
    <row r="19" spans="2:20" x14ac:dyDescent="0.25">
      <c r="B19" s="3">
        <v>10</v>
      </c>
      <c r="C19" s="10">
        <v>2057.2251938510094</v>
      </c>
      <c r="D19" s="10">
        <v>1994.6388421096526</v>
      </c>
      <c r="E19" s="10">
        <v>62.586351741356793</v>
      </c>
      <c r="F19" s="10">
        <v>199401.29785922391</v>
      </c>
      <c r="I19" s="3">
        <v>91</v>
      </c>
      <c r="J19" s="10">
        <v>2057.2251938510094</v>
      </c>
      <c r="K19" s="10">
        <v>1917.1017143743347</v>
      </c>
      <c r="L19" s="10">
        <v>140.12347947667467</v>
      </c>
      <c r="M19" s="10">
        <v>191570.04795795682</v>
      </c>
      <c r="P19" s="3">
        <v>171</v>
      </c>
      <c r="Q19" s="10">
        <v>2057.2251938510094</v>
      </c>
      <c r="R19" s="10">
        <v>1746.6113446088573</v>
      </c>
      <c r="S19" s="10">
        <v>310.61384924215213</v>
      </c>
      <c r="T19" s="10">
        <v>174350.52061164356</v>
      </c>
    </row>
    <row r="20" spans="2:20" x14ac:dyDescent="0.25">
      <c r="B20" s="3">
        <v>11</v>
      </c>
      <c r="C20" s="10">
        <v>2057.2251938510094</v>
      </c>
      <c r="D20" s="10">
        <v>1994.0129785922391</v>
      </c>
      <c r="E20" s="10">
        <v>63.212215258770357</v>
      </c>
      <c r="F20" s="10">
        <v>199338.08564396514</v>
      </c>
      <c r="I20" s="3">
        <v>92</v>
      </c>
      <c r="J20" s="10">
        <v>2057.2251938510094</v>
      </c>
      <c r="K20" s="10">
        <v>1915.7004795795681</v>
      </c>
      <c r="L20" s="10">
        <v>141.52471427144133</v>
      </c>
      <c r="M20" s="10">
        <v>191428.52324368537</v>
      </c>
      <c r="P20" s="3">
        <v>172</v>
      </c>
      <c r="Q20" s="10">
        <v>2057.2251938510094</v>
      </c>
      <c r="R20" s="10">
        <v>1743.5052061164354</v>
      </c>
      <c r="S20" s="10">
        <v>313.71998773457403</v>
      </c>
      <c r="T20" s="10">
        <v>174036.80062390899</v>
      </c>
    </row>
    <row r="21" spans="2:20" x14ac:dyDescent="0.25">
      <c r="B21" s="3">
        <v>12</v>
      </c>
      <c r="C21" s="10">
        <v>2057.2251938510094</v>
      </c>
      <c r="D21" s="10">
        <v>1993.3808564396513</v>
      </c>
      <c r="E21" s="10">
        <v>63.844337411358083</v>
      </c>
      <c r="F21" s="10">
        <v>199274.24130655377</v>
      </c>
      <c r="I21" s="3">
        <v>93</v>
      </c>
      <c r="J21" s="10">
        <v>2057.2251938510094</v>
      </c>
      <c r="K21" s="10">
        <v>1914.2852324368534</v>
      </c>
      <c r="L21" s="10">
        <v>142.93996141415596</v>
      </c>
      <c r="M21" s="10">
        <v>191285.58328227123</v>
      </c>
      <c r="P21" s="3">
        <v>173</v>
      </c>
      <c r="Q21" s="10">
        <v>2057.2251938510094</v>
      </c>
      <c r="R21" s="10">
        <v>1740.3680062390897</v>
      </c>
      <c r="S21" s="10">
        <v>316.8571876119197</v>
      </c>
      <c r="T21" s="10">
        <v>173719.94343629706</v>
      </c>
    </row>
    <row r="22" spans="2:20" x14ac:dyDescent="0.25">
      <c r="B22" s="3">
        <v>13</v>
      </c>
      <c r="C22" s="10">
        <v>2057.2251938510094</v>
      </c>
      <c r="D22" s="10">
        <v>1992.7424130655374</v>
      </c>
      <c r="E22" s="10">
        <v>64.482780785471959</v>
      </c>
      <c r="F22" s="10">
        <v>199209.75852576829</v>
      </c>
      <c r="I22" s="3">
        <v>94</v>
      </c>
      <c r="J22" s="10">
        <v>2057.2251938510094</v>
      </c>
      <c r="K22" s="10">
        <v>1912.855832822712</v>
      </c>
      <c r="L22" s="10">
        <v>144.36936102829736</v>
      </c>
      <c r="M22" s="10">
        <v>191141.21392124292</v>
      </c>
      <c r="P22" s="3">
        <v>174</v>
      </c>
      <c r="Q22" s="10">
        <v>2057.2251938510094</v>
      </c>
      <c r="R22" s="10">
        <v>1737.1994343629706</v>
      </c>
      <c r="S22" s="10">
        <v>320.02575948803883</v>
      </c>
      <c r="T22" s="10">
        <v>173399.91767680901</v>
      </c>
    </row>
    <row r="23" spans="2:20" x14ac:dyDescent="0.25">
      <c r="B23" s="3">
        <v>14</v>
      </c>
      <c r="C23" s="10">
        <v>2057.2251938510094</v>
      </c>
      <c r="D23" s="10">
        <v>1992.097585257683</v>
      </c>
      <c r="E23" s="10">
        <v>65.127608593326386</v>
      </c>
      <c r="F23" s="10">
        <v>199144.63091717497</v>
      </c>
      <c r="I23" s="3">
        <v>95</v>
      </c>
      <c r="J23" s="10">
        <v>2057.2251938510094</v>
      </c>
      <c r="K23" s="10">
        <v>1911.4121392124291</v>
      </c>
      <c r="L23" s="10">
        <v>145.8130546385803</v>
      </c>
      <c r="M23" s="10">
        <v>190995.40086660432</v>
      </c>
      <c r="P23" s="3">
        <v>175</v>
      </c>
      <c r="Q23" s="10">
        <v>2057.2251938510094</v>
      </c>
      <c r="R23" s="10">
        <v>1733.9991767680901</v>
      </c>
      <c r="S23" s="10">
        <v>323.22601708291927</v>
      </c>
      <c r="T23" s="10">
        <v>173076.69165972609</v>
      </c>
    </row>
    <row r="24" spans="2:20" x14ac:dyDescent="0.25">
      <c r="B24" s="3">
        <v>15</v>
      </c>
      <c r="C24" s="10">
        <v>2057.2251938510094</v>
      </c>
      <c r="D24" s="10">
        <v>1991.4463091717498</v>
      </c>
      <c r="E24" s="10">
        <v>65.77888467925959</v>
      </c>
      <c r="F24" s="10">
        <v>199078.85203249572</v>
      </c>
      <c r="I24" s="3">
        <v>96</v>
      </c>
      <c r="J24" s="10">
        <v>2057.2251938510094</v>
      </c>
      <c r="K24" s="10">
        <v>1909.9540086660434</v>
      </c>
      <c r="L24" s="10">
        <v>147.27118518496604</v>
      </c>
      <c r="M24" s="10">
        <v>190848.12968141935</v>
      </c>
      <c r="P24" s="3">
        <v>176</v>
      </c>
      <c r="Q24" s="10">
        <v>2057.2251938510094</v>
      </c>
      <c r="R24" s="10">
        <v>1730.7669165972609</v>
      </c>
      <c r="S24" s="10">
        <v>326.45827725374852</v>
      </c>
      <c r="T24" s="10">
        <v>172750.23338247233</v>
      </c>
    </row>
    <row r="25" spans="2:20" x14ac:dyDescent="0.25">
      <c r="B25" s="3">
        <v>16</v>
      </c>
      <c r="C25" s="10">
        <v>2057.2251938510094</v>
      </c>
      <c r="D25" s="10">
        <v>1990.7885203249571</v>
      </c>
      <c r="E25" s="10">
        <v>66.436673526052346</v>
      </c>
      <c r="F25" s="10">
        <v>199012.41535896968</v>
      </c>
      <c r="I25" s="3">
        <v>97</v>
      </c>
      <c r="J25" s="10">
        <v>2057.2251938510094</v>
      </c>
      <c r="K25" s="10">
        <v>1908.4812968141935</v>
      </c>
      <c r="L25" s="10">
        <v>148.74389703681595</v>
      </c>
      <c r="M25" s="10">
        <v>190699.38578438252</v>
      </c>
      <c r="P25" s="3">
        <v>177</v>
      </c>
      <c r="Q25" s="10">
        <v>2057.2251938510094</v>
      </c>
      <c r="R25" s="10">
        <v>1727.5023338247231</v>
      </c>
      <c r="S25" s="10">
        <v>329.7228600262863</v>
      </c>
      <c r="T25" s="10">
        <v>172420.51052244604</v>
      </c>
    </row>
    <row r="26" spans="2:20" x14ac:dyDescent="0.25">
      <c r="B26" s="3">
        <v>17</v>
      </c>
      <c r="C26" s="10">
        <v>2057.2251938510094</v>
      </c>
      <c r="D26" s="10">
        <v>1990.1241535896968</v>
      </c>
      <c r="E26" s="10">
        <v>67.101040261312619</v>
      </c>
      <c r="F26" s="10">
        <v>198945.31431870838</v>
      </c>
      <c r="I26" s="3">
        <v>98</v>
      </c>
      <c r="J26" s="10">
        <v>2057.2251938510094</v>
      </c>
      <c r="K26" s="10">
        <v>1906.993857843825</v>
      </c>
      <c r="L26" s="10">
        <v>150.23133600718438</v>
      </c>
      <c r="M26" s="10">
        <v>190549.15444837534</v>
      </c>
      <c r="P26" s="3">
        <v>178</v>
      </c>
      <c r="Q26" s="10">
        <v>2057.2251938510094</v>
      </c>
      <c r="R26" s="10">
        <v>1724.2051052244603</v>
      </c>
      <c r="S26" s="10">
        <v>333.02008862654907</v>
      </c>
      <c r="T26" s="10">
        <v>172087.4904338195</v>
      </c>
    </row>
    <row r="27" spans="2:20" x14ac:dyDescent="0.25">
      <c r="B27" s="3">
        <v>18</v>
      </c>
      <c r="C27" s="10">
        <v>2057.2251938510094</v>
      </c>
      <c r="D27" s="10">
        <v>1989.4531431870837</v>
      </c>
      <c r="E27" s="10">
        <v>67.772050663925711</v>
      </c>
      <c r="F27" s="10">
        <v>198877.54226804446</v>
      </c>
      <c r="I27" s="3">
        <v>99</v>
      </c>
      <c r="J27" s="10">
        <v>2057.2251938510094</v>
      </c>
      <c r="K27" s="10">
        <v>1905.4915444837534</v>
      </c>
      <c r="L27" s="10">
        <v>151.73364936725602</v>
      </c>
      <c r="M27" s="10">
        <v>190397.42079900808</v>
      </c>
      <c r="P27" s="3">
        <v>179</v>
      </c>
      <c r="Q27" s="10">
        <v>2057.2251938510094</v>
      </c>
      <c r="R27" s="10">
        <v>1720.8749043381949</v>
      </c>
      <c r="S27" s="10">
        <v>336.35028951281447</v>
      </c>
      <c r="T27" s="10">
        <v>171751.1401443067</v>
      </c>
    </row>
    <row r="28" spans="2:20" x14ac:dyDescent="0.25">
      <c r="B28" s="3">
        <v>19</v>
      </c>
      <c r="C28" s="10">
        <v>2057.2251938510094</v>
      </c>
      <c r="D28" s="10">
        <v>1988.7754226804445</v>
      </c>
      <c r="E28" s="10">
        <v>68.449771170564873</v>
      </c>
      <c r="F28" s="10">
        <v>198809.0924968739</v>
      </c>
      <c r="I28" s="3">
        <v>100</v>
      </c>
      <c r="J28" s="10">
        <v>2057.2251938510094</v>
      </c>
      <c r="K28" s="10">
        <v>1903.9742079900807</v>
      </c>
      <c r="L28" s="10">
        <v>153.25098586092872</v>
      </c>
      <c r="M28" s="10">
        <v>190244.16981314713</v>
      </c>
      <c r="P28" s="3">
        <v>180</v>
      </c>
      <c r="Q28" s="10">
        <v>2057.2251938510094</v>
      </c>
      <c r="R28" s="10">
        <v>1717.5114014430671</v>
      </c>
      <c r="S28" s="10">
        <v>339.71379240794226</v>
      </c>
      <c r="T28" s="10">
        <v>171411.42635189876</v>
      </c>
    </row>
    <row r="29" spans="2:20" x14ac:dyDescent="0.25">
      <c r="B29" s="3">
        <v>20</v>
      </c>
      <c r="C29" s="10">
        <v>2057.2251938510094</v>
      </c>
      <c r="D29" s="10">
        <v>1988.090924968739</v>
      </c>
      <c r="E29" s="10">
        <v>69.134268882270362</v>
      </c>
      <c r="F29" s="10">
        <v>198739.95822799162</v>
      </c>
      <c r="I29" s="3">
        <v>101</v>
      </c>
      <c r="J29" s="10">
        <v>2057.2251938510094</v>
      </c>
      <c r="K29" s="10">
        <v>1902.4416981314714</v>
      </c>
      <c r="L29" s="10">
        <v>154.783495719538</v>
      </c>
      <c r="M29" s="10">
        <v>190089.38631742759</v>
      </c>
      <c r="P29" s="3">
        <v>181</v>
      </c>
      <c r="Q29" s="10">
        <v>2057.2251938510094</v>
      </c>
      <c r="R29" s="10">
        <v>1714.1142635189874</v>
      </c>
      <c r="S29" s="10">
        <v>343.11093033202201</v>
      </c>
      <c r="T29" s="10">
        <v>171068.31542156675</v>
      </c>
    </row>
    <row r="30" spans="2:20" x14ac:dyDescent="0.25">
      <c r="B30" s="3">
        <v>21</v>
      </c>
      <c r="C30" s="10">
        <v>2057.2251938510094</v>
      </c>
      <c r="D30" s="10">
        <v>1987.3995822799161</v>
      </c>
      <c r="E30" s="10">
        <v>69.825611571093305</v>
      </c>
      <c r="F30" s="10">
        <v>198670.13261642054</v>
      </c>
      <c r="I30" s="3">
        <v>102</v>
      </c>
      <c r="J30" s="10">
        <v>2057.2251938510094</v>
      </c>
      <c r="K30" s="10">
        <v>1900.8938631742758</v>
      </c>
      <c r="L30" s="10">
        <v>156.33133067673361</v>
      </c>
      <c r="M30" s="10">
        <v>189933.05498675085</v>
      </c>
      <c r="P30" s="3">
        <v>182</v>
      </c>
      <c r="Q30" s="10">
        <v>2057.2251938510094</v>
      </c>
      <c r="R30" s="10">
        <v>1710.6831542156672</v>
      </c>
      <c r="S30" s="10">
        <v>346.54203963534223</v>
      </c>
      <c r="T30" s="10">
        <v>170721.77338193142</v>
      </c>
    </row>
    <row r="31" spans="2:20" x14ac:dyDescent="0.25">
      <c r="B31" s="3">
        <v>22</v>
      </c>
      <c r="C31" s="10">
        <v>2057.2251938510094</v>
      </c>
      <c r="D31" s="10">
        <v>1986.7013261642053</v>
      </c>
      <c r="E31" s="10">
        <v>70.523867686804124</v>
      </c>
      <c r="F31" s="10">
        <v>198599.60874873374</v>
      </c>
      <c r="I31" s="3">
        <v>103</v>
      </c>
      <c r="J31" s="10">
        <v>2057.2251938510094</v>
      </c>
      <c r="K31" s="10">
        <v>1899.3305498675084</v>
      </c>
      <c r="L31" s="10">
        <v>157.89464398350106</v>
      </c>
      <c r="M31" s="10">
        <v>189775.16034276734</v>
      </c>
      <c r="P31" s="3">
        <v>183</v>
      </c>
      <c r="Q31" s="10">
        <v>2057.2251938510094</v>
      </c>
      <c r="R31" s="10">
        <v>1707.2177338193142</v>
      </c>
      <c r="S31" s="10">
        <v>350.00746003169525</v>
      </c>
      <c r="T31" s="10">
        <v>170371.76592189973</v>
      </c>
    </row>
    <row r="32" spans="2:20" x14ac:dyDescent="0.25">
      <c r="B32" s="3">
        <v>23</v>
      </c>
      <c r="C32" s="10">
        <v>2057.2251938510094</v>
      </c>
      <c r="D32" s="10">
        <v>1985.9960874873375</v>
      </c>
      <c r="E32" s="10">
        <v>71.229106363671917</v>
      </c>
      <c r="F32" s="10">
        <v>198528.37964237007</v>
      </c>
      <c r="I32" s="3">
        <v>104</v>
      </c>
      <c r="J32" s="10">
        <v>2057.2251938510094</v>
      </c>
      <c r="K32" s="10">
        <v>1897.7516034276732</v>
      </c>
      <c r="L32" s="10">
        <v>159.47359042333619</v>
      </c>
      <c r="M32" s="10">
        <v>189615.68675234402</v>
      </c>
      <c r="P32" s="3">
        <v>184</v>
      </c>
      <c r="Q32" s="10">
        <v>2057.2251938510094</v>
      </c>
      <c r="R32" s="10">
        <v>1703.7176592189971</v>
      </c>
      <c r="S32" s="10">
        <v>353.50753463201227</v>
      </c>
      <c r="T32" s="10">
        <v>170018.25838726771</v>
      </c>
    </row>
    <row r="33" spans="2:20" x14ac:dyDescent="0.25">
      <c r="B33" s="3">
        <v>24</v>
      </c>
      <c r="C33" s="10">
        <v>2057.2251938510094</v>
      </c>
      <c r="D33" s="10">
        <v>1985.2837964237006</v>
      </c>
      <c r="E33" s="10">
        <v>71.941397427308857</v>
      </c>
      <c r="F33" s="10">
        <v>198456.43824494275</v>
      </c>
      <c r="I33" s="3">
        <v>105</v>
      </c>
      <c r="J33" s="10">
        <v>2057.2251938510094</v>
      </c>
      <c r="K33" s="10">
        <v>1896.15686752344</v>
      </c>
      <c r="L33" s="10">
        <v>161.06832632756937</v>
      </c>
      <c r="M33" s="10">
        <v>189454.61842601644</v>
      </c>
      <c r="P33" s="3">
        <v>185</v>
      </c>
      <c r="Q33" s="10">
        <v>2057.2251938510094</v>
      </c>
      <c r="R33" s="10">
        <v>1700.182583872677</v>
      </c>
      <c r="S33" s="10">
        <v>357.04260997833239</v>
      </c>
      <c r="T33" s="10">
        <v>169661.21577728938</v>
      </c>
    </row>
    <row r="34" spans="2:20" x14ac:dyDescent="0.25">
      <c r="B34" s="3">
        <v>25</v>
      </c>
      <c r="C34" s="10">
        <v>2057.2251938510094</v>
      </c>
      <c r="D34" s="10">
        <v>1984.5643824494273</v>
      </c>
      <c r="E34" s="10">
        <v>72.660811401582123</v>
      </c>
      <c r="F34" s="10">
        <v>198383.77743354117</v>
      </c>
      <c r="I34" s="3">
        <v>106</v>
      </c>
      <c r="J34" s="10">
        <v>2057.2251938510094</v>
      </c>
      <c r="K34" s="10">
        <v>1894.5461842601644</v>
      </c>
      <c r="L34" s="10">
        <v>162.679009590845</v>
      </c>
      <c r="M34" s="10">
        <v>189291.93941642559</v>
      </c>
      <c r="P34" s="3">
        <v>186</v>
      </c>
      <c r="Q34" s="10">
        <v>2057.2251938510094</v>
      </c>
      <c r="R34" s="10">
        <v>1696.6121577728939</v>
      </c>
      <c r="S34" s="10">
        <v>360.61303607811556</v>
      </c>
      <c r="T34" s="10">
        <v>169300.60274121127</v>
      </c>
    </row>
    <row r="35" spans="2:20" x14ac:dyDescent="0.25">
      <c r="B35" s="3">
        <v>26</v>
      </c>
      <c r="C35" s="10">
        <v>2057.2251938510094</v>
      </c>
      <c r="D35" s="10">
        <v>1983.8377743354115</v>
      </c>
      <c r="E35" s="10">
        <v>73.387419515597912</v>
      </c>
      <c r="F35" s="10">
        <v>198310.39001402556</v>
      </c>
      <c r="I35" s="3">
        <v>107</v>
      </c>
      <c r="J35" s="10">
        <v>2057.2251938510094</v>
      </c>
      <c r="K35" s="10">
        <v>1892.9193941642559</v>
      </c>
      <c r="L35" s="10">
        <v>164.30579968675352</v>
      </c>
      <c r="M35" s="10">
        <v>189127.63361673884</v>
      </c>
      <c r="P35" s="3">
        <v>187</v>
      </c>
      <c r="Q35" s="10">
        <v>2057.2251938510094</v>
      </c>
      <c r="R35" s="10">
        <v>1693.0060274121126</v>
      </c>
      <c r="S35" s="10">
        <v>364.21916643889676</v>
      </c>
      <c r="T35" s="10">
        <v>168936.38357477236</v>
      </c>
    </row>
    <row r="36" spans="2:20" x14ac:dyDescent="0.25">
      <c r="B36" s="3">
        <v>27</v>
      </c>
      <c r="C36" s="10">
        <v>2057.2251938510094</v>
      </c>
      <c r="D36" s="10">
        <v>1983.1039001402553</v>
      </c>
      <c r="E36" s="10">
        <v>74.121293710754117</v>
      </c>
      <c r="F36" s="10">
        <v>198236.26872031481</v>
      </c>
      <c r="I36" s="3">
        <v>108</v>
      </c>
      <c r="J36" s="10">
        <v>2057.2251938510094</v>
      </c>
      <c r="K36" s="10">
        <v>1891.2763361673881</v>
      </c>
      <c r="L36" s="10">
        <v>165.94885768362133</v>
      </c>
      <c r="M36" s="10">
        <v>188961.68475905521</v>
      </c>
      <c r="P36" s="3">
        <v>188</v>
      </c>
      <c r="Q36" s="10">
        <v>2057.2251938510094</v>
      </c>
      <c r="R36" s="10">
        <v>1689.3638357477237</v>
      </c>
      <c r="S36" s="10">
        <v>367.86135810328574</v>
      </c>
      <c r="T36" s="10">
        <v>168568.52221666908</v>
      </c>
    </row>
    <row r="37" spans="2:20" x14ac:dyDescent="0.25">
      <c r="B37" s="3">
        <v>28</v>
      </c>
      <c r="C37" s="10">
        <v>2057.2251938510094</v>
      </c>
      <c r="D37" s="10">
        <v>1982.362687203148</v>
      </c>
      <c r="E37" s="10">
        <v>74.862506647861437</v>
      </c>
      <c r="F37" s="10">
        <v>198161.40621366695</v>
      </c>
      <c r="I37" s="3">
        <v>109</v>
      </c>
      <c r="J37" s="10">
        <v>2057.2251938510094</v>
      </c>
      <c r="K37" s="10">
        <v>1889.6168475905522</v>
      </c>
      <c r="L37" s="10">
        <v>167.60834626045721</v>
      </c>
      <c r="M37" s="10">
        <v>188794.07641279476</v>
      </c>
      <c r="P37" s="3">
        <v>189</v>
      </c>
      <c r="Q37" s="10">
        <v>2057.2251938510094</v>
      </c>
      <c r="R37" s="10">
        <v>1685.6852221666907</v>
      </c>
      <c r="S37" s="10">
        <v>371.53997168431874</v>
      </c>
      <c r="T37" s="10">
        <v>168196.98224498477</v>
      </c>
    </row>
    <row r="38" spans="2:20" x14ac:dyDescent="0.25">
      <c r="B38" s="3">
        <v>29</v>
      </c>
      <c r="C38" s="10">
        <v>2057.2251938510094</v>
      </c>
      <c r="D38" s="10">
        <v>1981.6140621366694</v>
      </c>
      <c r="E38" s="10">
        <v>75.61113171433999</v>
      </c>
      <c r="F38" s="10">
        <v>198085.79508195262</v>
      </c>
      <c r="I38" s="3">
        <v>110</v>
      </c>
      <c r="J38" s="10">
        <v>2057.2251938510094</v>
      </c>
      <c r="K38" s="10">
        <v>1887.9407641279477</v>
      </c>
      <c r="L38" s="10">
        <v>169.28442972306175</v>
      </c>
      <c r="M38" s="10">
        <v>188624.79198307171</v>
      </c>
      <c r="P38" s="3">
        <v>190</v>
      </c>
      <c r="Q38" s="10">
        <v>2057.2251938510094</v>
      </c>
      <c r="R38" s="10">
        <v>1681.9698224498477</v>
      </c>
      <c r="S38" s="10">
        <v>375.25537140116171</v>
      </c>
      <c r="T38" s="10">
        <v>167821.7268735836</v>
      </c>
    </row>
    <row r="39" spans="2:20" x14ac:dyDescent="0.25">
      <c r="B39" s="3">
        <v>30</v>
      </c>
      <c r="C39" s="10">
        <v>2057.2251938510094</v>
      </c>
      <c r="D39" s="10">
        <v>1980.8579508195262</v>
      </c>
      <c r="E39" s="10">
        <v>76.367243031483213</v>
      </c>
      <c r="F39" s="10">
        <v>198009.42783892114</v>
      </c>
      <c r="I39" s="3">
        <v>111</v>
      </c>
      <c r="J39" s="10">
        <v>2057.2251938510094</v>
      </c>
      <c r="K39" s="10">
        <v>1886.2479198307171</v>
      </c>
      <c r="L39" s="10">
        <v>170.97727402029227</v>
      </c>
      <c r="M39" s="10">
        <v>188453.81470905142</v>
      </c>
      <c r="P39" s="3">
        <v>191</v>
      </c>
      <c r="Q39" s="10">
        <v>2057.2251938510094</v>
      </c>
      <c r="R39" s="10">
        <v>1678.2172687358359</v>
      </c>
      <c r="S39" s="10">
        <v>379.00792511517352</v>
      </c>
      <c r="T39" s="10">
        <v>167442.71894846842</v>
      </c>
    </row>
    <row r="40" spans="2:20" x14ac:dyDescent="0.25">
      <c r="B40" s="3">
        <v>31</v>
      </c>
      <c r="C40" s="10">
        <v>2057.2251938510094</v>
      </c>
      <c r="D40" s="10">
        <v>1980.0942783892115</v>
      </c>
      <c r="E40" s="10">
        <v>77.13091546179794</v>
      </c>
      <c r="F40" s="10">
        <v>197932.29692345933</v>
      </c>
      <c r="I40" s="3">
        <v>112</v>
      </c>
      <c r="J40" s="10">
        <v>2057.2251938510094</v>
      </c>
      <c r="K40" s="10">
        <v>1884.538147090514</v>
      </c>
      <c r="L40" s="10">
        <v>172.68704676049538</v>
      </c>
      <c r="M40" s="10">
        <v>188281.12766229094</v>
      </c>
      <c r="P40" s="3">
        <v>192</v>
      </c>
      <c r="Q40" s="10">
        <v>2057.2251938510094</v>
      </c>
      <c r="R40" s="10">
        <v>1674.4271894846843</v>
      </c>
      <c r="S40" s="10">
        <v>382.79800436632513</v>
      </c>
      <c r="T40" s="10">
        <v>167059.92094410211</v>
      </c>
    </row>
    <row r="41" spans="2:20" x14ac:dyDescent="0.25">
      <c r="B41" s="3">
        <v>32</v>
      </c>
      <c r="C41" s="10">
        <v>2057.2251938510094</v>
      </c>
      <c r="D41" s="10">
        <v>1979.3229692345933</v>
      </c>
      <c r="E41" s="10">
        <v>77.902224616416106</v>
      </c>
      <c r="F41" s="10">
        <v>197854.39469884292</v>
      </c>
      <c r="I41" s="3">
        <v>113</v>
      </c>
      <c r="J41" s="10">
        <v>2057.2251938510094</v>
      </c>
      <c r="K41" s="10">
        <v>1882.8112766229094</v>
      </c>
      <c r="L41" s="10">
        <v>174.41391722809999</v>
      </c>
      <c r="M41" s="10">
        <v>188106.71374506282</v>
      </c>
      <c r="P41" s="3">
        <v>193</v>
      </c>
      <c r="Q41" s="10">
        <v>2057.2251938510094</v>
      </c>
      <c r="R41" s="10">
        <v>1670.599209441021</v>
      </c>
      <c r="S41" s="10">
        <v>386.6259844099884</v>
      </c>
      <c r="T41" s="10">
        <v>166673.29495969211</v>
      </c>
    </row>
    <row r="42" spans="2:20" x14ac:dyDescent="0.25">
      <c r="B42" s="3">
        <v>33</v>
      </c>
      <c r="C42" s="10">
        <v>2057.2251938510094</v>
      </c>
      <c r="D42" s="10">
        <v>1978.5439469884293</v>
      </c>
      <c r="E42" s="10">
        <v>78.68124686258011</v>
      </c>
      <c r="F42" s="10">
        <v>197775.71345198035</v>
      </c>
      <c r="I42" s="3">
        <v>114</v>
      </c>
      <c r="J42" s="10">
        <v>2057.2251938510094</v>
      </c>
      <c r="K42" s="10">
        <v>1881.0671374506283</v>
      </c>
      <c r="L42" s="10">
        <v>176.15805640038116</v>
      </c>
      <c r="M42" s="10">
        <v>187930.55568866245</v>
      </c>
      <c r="P42" s="3">
        <v>194</v>
      </c>
      <c r="Q42" s="10">
        <v>2057.2251938510094</v>
      </c>
      <c r="R42" s="10">
        <v>1666.7329495969209</v>
      </c>
      <c r="S42" s="10">
        <v>390.49224425408852</v>
      </c>
      <c r="T42" s="10">
        <v>166282.80271543801</v>
      </c>
    </row>
    <row r="43" spans="2:20" x14ac:dyDescent="0.25">
      <c r="B43" s="3">
        <v>34</v>
      </c>
      <c r="C43" s="10">
        <v>2057.2251938510094</v>
      </c>
      <c r="D43" s="10">
        <v>1977.7571345198032</v>
      </c>
      <c r="E43" s="10">
        <v>79.468059331206177</v>
      </c>
      <c r="F43" s="10">
        <v>197696.24539264914</v>
      </c>
      <c r="I43" s="3">
        <v>115</v>
      </c>
      <c r="J43" s="10">
        <v>2057.2251938510094</v>
      </c>
      <c r="K43" s="10">
        <v>1879.3055568866246</v>
      </c>
      <c r="L43" s="10">
        <v>177.91963696438484</v>
      </c>
      <c r="M43" s="10">
        <v>187752.63605169806</v>
      </c>
      <c r="P43" s="3">
        <v>195</v>
      </c>
      <c r="Q43" s="10">
        <v>2057.2251938510094</v>
      </c>
      <c r="R43" s="10">
        <v>1662.8280271543799</v>
      </c>
      <c r="S43" s="10">
        <v>394.39716669662948</v>
      </c>
      <c r="T43" s="10">
        <v>165888.40554874137</v>
      </c>
    </row>
    <row r="44" spans="2:20" x14ac:dyDescent="0.25">
      <c r="B44" s="3">
        <v>35</v>
      </c>
      <c r="C44" s="10">
        <v>2057.2251938510094</v>
      </c>
      <c r="D44" s="10">
        <v>1976.9624539264914</v>
      </c>
      <c r="E44" s="10">
        <v>80.262739924517973</v>
      </c>
      <c r="F44" s="10">
        <v>197615.98265272463</v>
      </c>
      <c r="I44" s="3">
        <v>116</v>
      </c>
      <c r="J44" s="10">
        <v>2057.2251938510094</v>
      </c>
      <c r="K44" s="10">
        <v>1877.5263605169805</v>
      </c>
      <c r="L44" s="10">
        <v>179.6988333340289</v>
      </c>
      <c r="M44" s="10">
        <v>187572.93721836404</v>
      </c>
      <c r="P44" s="3">
        <v>196</v>
      </c>
      <c r="Q44" s="10">
        <v>2057.2251938510094</v>
      </c>
      <c r="R44" s="10">
        <v>1658.8840554874134</v>
      </c>
      <c r="S44" s="10">
        <v>398.34113836359597</v>
      </c>
      <c r="T44" s="10">
        <v>165490.06441037779</v>
      </c>
    </row>
    <row r="45" spans="2:20" x14ac:dyDescent="0.25">
      <c r="B45" s="3">
        <v>36</v>
      </c>
      <c r="C45" s="10">
        <v>2057.2251938510094</v>
      </c>
      <c r="D45" s="10">
        <v>1976.1598265272462</v>
      </c>
      <c r="E45" s="10">
        <v>81.065367323763212</v>
      </c>
      <c r="F45" s="10">
        <v>197534.91728540088</v>
      </c>
      <c r="I45" s="3">
        <v>117</v>
      </c>
      <c r="J45" s="10">
        <v>2057.2251938510094</v>
      </c>
      <c r="K45" s="10">
        <v>1875.7293721836404</v>
      </c>
      <c r="L45" s="10">
        <v>181.495821667369</v>
      </c>
      <c r="M45" s="10">
        <v>187391.44139669667</v>
      </c>
      <c r="P45" s="3">
        <v>197</v>
      </c>
      <c r="Q45" s="10">
        <v>2057.2251938510094</v>
      </c>
      <c r="R45" s="10">
        <v>1654.9006441037779</v>
      </c>
      <c r="S45" s="10">
        <v>402.32454974723146</v>
      </c>
      <c r="T45" s="10">
        <v>165087.73986063057</v>
      </c>
    </row>
    <row r="46" spans="2:20" x14ac:dyDescent="0.25">
      <c r="B46" s="3">
        <v>37</v>
      </c>
      <c r="C46" s="10">
        <v>2057.2251938510094</v>
      </c>
      <c r="D46" s="10">
        <v>1975.3491728540087</v>
      </c>
      <c r="E46" s="10">
        <v>81.876020997000751</v>
      </c>
      <c r="F46" s="10">
        <v>197453.04126440387</v>
      </c>
      <c r="I46" s="3">
        <v>118</v>
      </c>
      <c r="J46" s="10">
        <v>2057.2251938510094</v>
      </c>
      <c r="K46" s="10">
        <v>1873.9144139669668</v>
      </c>
      <c r="L46" s="10">
        <v>183.31077988404263</v>
      </c>
      <c r="M46" s="10">
        <v>187208.13061681262</v>
      </c>
      <c r="P46" s="3">
        <v>198</v>
      </c>
      <c r="Q46" s="10">
        <v>2057.2251938510094</v>
      </c>
      <c r="R46" s="10">
        <v>1650.8773986063054</v>
      </c>
      <c r="S46" s="10">
        <v>406.347795244704</v>
      </c>
      <c r="T46" s="10">
        <v>164681.39206538585</v>
      </c>
    </row>
    <row r="47" spans="2:20" x14ac:dyDescent="0.25">
      <c r="B47" s="3">
        <v>38</v>
      </c>
      <c r="C47" s="10">
        <v>2057.2251938510094</v>
      </c>
      <c r="D47" s="10">
        <v>1974.5304126440387</v>
      </c>
      <c r="E47" s="10">
        <v>82.694781206970674</v>
      </c>
      <c r="F47" s="10">
        <v>197370.34648319689</v>
      </c>
      <c r="I47" s="3">
        <v>119</v>
      </c>
      <c r="J47" s="10">
        <v>2057.2251938510094</v>
      </c>
      <c r="K47" s="10">
        <v>1872.0813061681263</v>
      </c>
      <c r="L47" s="10">
        <v>185.14388768288313</v>
      </c>
      <c r="M47" s="10">
        <v>187022.98672912974</v>
      </c>
      <c r="P47" s="3">
        <v>199</v>
      </c>
      <c r="Q47" s="10">
        <v>2057.2251938510094</v>
      </c>
      <c r="R47" s="10">
        <v>1646.8139206538583</v>
      </c>
      <c r="S47" s="10">
        <v>410.4112731971511</v>
      </c>
      <c r="T47" s="10">
        <v>164270.9807921887</v>
      </c>
    </row>
    <row r="48" spans="2:20" x14ac:dyDescent="0.25">
      <c r="B48" s="3">
        <v>39</v>
      </c>
      <c r="C48" s="10">
        <v>2057.2251938510094</v>
      </c>
      <c r="D48" s="10">
        <v>1973.7034648319689</v>
      </c>
      <c r="E48" s="10">
        <v>83.521729019040549</v>
      </c>
      <c r="F48" s="10">
        <v>197286.82475417785</v>
      </c>
      <c r="I48" s="3">
        <v>120</v>
      </c>
      <c r="J48" s="10">
        <v>2057.2251938510094</v>
      </c>
      <c r="K48" s="10">
        <v>1870.2298672912973</v>
      </c>
      <c r="L48" s="10">
        <v>186.99532655971211</v>
      </c>
      <c r="M48" s="10">
        <v>186835.99140257004</v>
      </c>
      <c r="P48" s="3">
        <v>200</v>
      </c>
      <c r="Q48" s="10">
        <v>2057.2251938510094</v>
      </c>
      <c r="R48" s="10">
        <v>1642.709807921887</v>
      </c>
      <c r="S48" s="10">
        <v>414.51538592912243</v>
      </c>
      <c r="T48" s="10">
        <v>163856.46540625958</v>
      </c>
    </row>
    <row r="49" spans="2:20" x14ac:dyDescent="0.25">
      <c r="B49" s="3">
        <v>40</v>
      </c>
      <c r="C49" s="10">
        <v>2057.2251938510094</v>
      </c>
      <c r="D49" s="10">
        <v>1972.8682475417784</v>
      </c>
      <c r="E49" s="10">
        <v>84.356946309231034</v>
      </c>
      <c r="F49" s="10">
        <v>197202.46780786861</v>
      </c>
      <c r="I49" s="3">
        <v>121</v>
      </c>
      <c r="J49" s="10">
        <v>2057.2251938510094</v>
      </c>
      <c r="K49" s="10">
        <v>1868.3599140257004</v>
      </c>
      <c r="L49" s="10">
        <v>188.86527982530902</v>
      </c>
      <c r="M49" s="10">
        <v>186647.12612274472</v>
      </c>
      <c r="P49" s="3">
        <v>201</v>
      </c>
      <c r="Q49" s="10">
        <v>2057.2251938510094</v>
      </c>
      <c r="R49" s="10">
        <v>1638.5646540625958</v>
      </c>
      <c r="S49" s="10">
        <v>418.66053978841364</v>
      </c>
      <c r="T49" s="10">
        <v>163437.80486647115</v>
      </c>
    </row>
    <row r="50" spans="2:20" x14ac:dyDescent="0.25">
      <c r="B50" s="3">
        <v>41</v>
      </c>
      <c r="C50" s="10">
        <v>2057.2251938510094</v>
      </c>
      <c r="D50" s="10">
        <v>1972.0246780786858</v>
      </c>
      <c r="E50" s="10">
        <v>85.20051577232357</v>
      </c>
      <c r="F50" s="10">
        <v>197117.26729209628</v>
      </c>
      <c r="I50" s="3">
        <v>122</v>
      </c>
      <c r="J50" s="10">
        <v>2057.2251938510094</v>
      </c>
      <c r="K50" s="10">
        <v>1866.471261227447</v>
      </c>
      <c r="L50" s="10">
        <v>190.75393262356238</v>
      </c>
      <c r="M50" s="10">
        <v>186456.37219012115</v>
      </c>
      <c r="P50" s="3">
        <v>202</v>
      </c>
      <c r="Q50" s="10">
        <v>2057.2251938510094</v>
      </c>
      <c r="R50" s="10">
        <v>1634.3780486647113</v>
      </c>
      <c r="S50" s="10">
        <v>422.84714518629812</v>
      </c>
      <c r="T50" s="10">
        <v>163014.95772128485</v>
      </c>
    </row>
    <row r="51" spans="2:20" x14ac:dyDescent="0.25">
      <c r="B51" s="3">
        <v>42</v>
      </c>
      <c r="C51" s="10">
        <v>2057.2251938510094</v>
      </c>
      <c r="D51" s="10">
        <v>1971.1726729209629</v>
      </c>
      <c r="E51" s="10">
        <v>86.052520930046512</v>
      </c>
      <c r="F51" s="10">
        <v>197031.21477116624</v>
      </c>
      <c r="I51" s="3">
        <v>123</v>
      </c>
      <c r="J51" s="10">
        <v>2057.2251938510094</v>
      </c>
      <c r="K51" s="10">
        <v>1864.5637219012115</v>
      </c>
      <c r="L51" s="10">
        <v>192.66147194979794</v>
      </c>
      <c r="M51" s="10">
        <v>186263.71071817135</v>
      </c>
      <c r="P51" s="3">
        <v>203</v>
      </c>
      <c r="Q51" s="10">
        <v>2057.2251938510094</v>
      </c>
      <c r="R51" s="10">
        <v>1630.1495772128485</v>
      </c>
      <c r="S51" s="10">
        <v>427.07561663816091</v>
      </c>
      <c r="T51" s="10">
        <v>162587.88210464671</v>
      </c>
    </row>
    <row r="52" spans="2:20" x14ac:dyDescent="0.25">
      <c r="B52" s="3">
        <v>43</v>
      </c>
      <c r="C52" s="10">
        <v>2057.2251938510094</v>
      </c>
      <c r="D52" s="10">
        <v>1970.3121477116622</v>
      </c>
      <c r="E52" s="10">
        <v>86.913046139347216</v>
      </c>
      <c r="F52" s="10">
        <v>196944.30172502689</v>
      </c>
      <c r="I52" s="3">
        <v>124</v>
      </c>
      <c r="J52" s="10">
        <v>2057.2251938510094</v>
      </c>
      <c r="K52" s="10">
        <v>1862.6371071817136</v>
      </c>
      <c r="L52" s="10">
        <v>194.58808666929576</v>
      </c>
      <c r="M52" s="10">
        <v>186069.12263150205</v>
      </c>
      <c r="P52" s="3">
        <v>204</v>
      </c>
      <c r="Q52" s="10">
        <v>2057.2251938510094</v>
      </c>
      <c r="R52" s="10">
        <v>1625.878821046467</v>
      </c>
      <c r="S52" s="10">
        <v>431.3463728045424</v>
      </c>
      <c r="T52" s="10">
        <v>162156.53573184216</v>
      </c>
    </row>
    <row r="53" spans="2:20" x14ac:dyDescent="0.25">
      <c r="B53" s="3">
        <v>44</v>
      </c>
      <c r="C53" s="10">
        <v>2057.2251938510094</v>
      </c>
      <c r="D53" s="10">
        <v>1969.4430172502689</v>
      </c>
      <c r="E53" s="10">
        <v>87.782176600740513</v>
      </c>
      <c r="F53" s="10">
        <v>196856.51954842615</v>
      </c>
      <c r="I53" s="3">
        <v>125</v>
      </c>
      <c r="J53" s="10">
        <v>2057.2251938510094</v>
      </c>
      <c r="K53" s="10">
        <v>1860.6912263150205</v>
      </c>
      <c r="L53" s="10">
        <v>196.53396753598895</v>
      </c>
      <c r="M53" s="10">
        <v>185872.58866396605</v>
      </c>
      <c r="P53" s="3">
        <v>205</v>
      </c>
      <c r="Q53" s="10">
        <v>2057.2251938510094</v>
      </c>
      <c r="R53" s="10">
        <v>1621.5653573184215</v>
      </c>
      <c r="S53" s="10">
        <v>435.65983653258786</v>
      </c>
      <c r="T53" s="10">
        <v>161720.87589530958</v>
      </c>
    </row>
    <row r="54" spans="2:20" x14ac:dyDescent="0.25">
      <c r="B54" s="3">
        <v>45</v>
      </c>
      <c r="C54" s="10">
        <v>2057.2251938510094</v>
      </c>
      <c r="D54" s="10">
        <v>1968.5651954842615</v>
      </c>
      <c r="E54" s="10">
        <v>88.659998366747914</v>
      </c>
      <c r="F54" s="10">
        <v>196767.85955005939</v>
      </c>
      <c r="I54" s="3">
        <v>126</v>
      </c>
      <c r="J54" s="10">
        <v>2057.2251938510094</v>
      </c>
      <c r="K54" s="10">
        <v>1858.7258866396605</v>
      </c>
      <c r="L54" s="10">
        <v>198.49930721134888</v>
      </c>
      <c r="M54" s="10">
        <v>185674.0893567547</v>
      </c>
      <c r="P54" s="3">
        <v>206</v>
      </c>
      <c r="Q54" s="10">
        <v>2057.2251938510094</v>
      </c>
      <c r="R54" s="10">
        <v>1617.2087589530956</v>
      </c>
      <c r="S54" s="10">
        <v>440.01643489791377</v>
      </c>
      <c r="T54" s="10">
        <v>161280.85946041168</v>
      </c>
    </row>
    <row r="55" spans="2:20" x14ac:dyDescent="0.25">
      <c r="B55" s="3">
        <v>46</v>
      </c>
      <c r="C55" s="10">
        <v>2057.2251938510094</v>
      </c>
      <c r="D55" s="10">
        <v>1967.6785955005937</v>
      </c>
      <c r="E55" s="10">
        <v>89.546598350415707</v>
      </c>
      <c r="F55" s="10">
        <v>196678.31295170897</v>
      </c>
      <c r="I55" s="3">
        <v>127</v>
      </c>
      <c r="J55" s="10">
        <v>2057.2251938510094</v>
      </c>
      <c r="K55" s="10">
        <v>1856.7408935675469</v>
      </c>
      <c r="L55" s="10">
        <v>200.48430028346252</v>
      </c>
      <c r="M55" s="10">
        <v>185473.60505647125</v>
      </c>
      <c r="P55" s="3">
        <v>207</v>
      </c>
      <c r="Q55" s="10">
        <v>2057.2251938510094</v>
      </c>
      <c r="R55" s="10">
        <v>1612.8085946041167</v>
      </c>
      <c r="S55" s="10">
        <v>444.4165992468927</v>
      </c>
      <c r="T55" s="10">
        <v>160836.44286116477</v>
      </c>
    </row>
    <row r="56" spans="2:20" x14ac:dyDescent="0.25">
      <c r="B56" s="3">
        <v>47</v>
      </c>
      <c r="C56" s="10">
        <v>2057.2251938510094</v>
      </c>
      <c r="D56" s="10">
        <v>1966.7831295170897</v>
      </c>
      <c r="E56" s="10">
        <v>90.442064333919689</v>
      </c>
      <c r="F56" s="10">
        <v>196587.87088737506</v>
      </c>
      <c r="I56" s="3">
        <v>128</v>
      </c>
      <c r="J56" s="10">
        <v>2057.2251938510094</v>
      </c>
      <c r="K56" s="10">
        <v>1854.7360505647123</v>
      </c>
      <c r="L56" s="10">
        <v>202.48914328629712</v>
      </c>
      <c r="M56" s="10">
        <v>185271.11591318494</v>
      </c>
      <c r="P56" s="3">
        <v>208</v>
      </c>
      <c r="Q56" s="10">
        <v>2057.2251938510094</v>
      </c>
      <c r="R56" s="10">
        <v>1608.3644286116478</v>
      </c>
      <c r="S56" s="10">
        <v>448.86076523936163</v>
      </c>
      <c r="T56" s="10">
        <v>160387.58209592541</v>
      </c>
    </row>
    <row r="57" spans="2:20" x14ac:dyDescent="0.25">
      <c r="B57" s="3">
        <v>48</v>
      </c>
      <c r="C57" s="10">
        <v>2057.2251938510094</v>
      </c>
      <c r="D57" s="10">
        <v>1965.8787088737506</v>
      </c>
      <c r="E57" s="10">
        <v>91.346484977258797</v>
      </c>
      <c r="F57" s="10">
        <v>196496.5244023978</v>
      </c>
      <c r="I57" s="3">
        <v>129</v>
      </c>
      <c r="J57" s="10">
        <v>2057.2251938510094</v>
      </c>
      <c r="K57" s="10">
        <v>1852.7111591318492</v>
      </c>
      <c r="L57" s="10">
        <v>204.51403471916024</v>
      </c>
      <c r="M57" s="10">
        <v>185066.60187846579</v>
      </c>
      <c r="P57" s="3">
        <v>209</v>
      </c>
      <c r="Q57" s="10">
        <v>2057.2251938510094</v>
      </c>
      <c r="R57" s="10">
        <v>1603.875820959254</v>
      </c>
      <c r="S57" s="10">
        <v>453.34937289175537</v>
      </c>
      <c r="T57" s="10">
        <v>159934.23272303364</v>
      </c>
    </row>
    <row r="58" spans="2:20" x14ac:dyDescent="0.25">
      <c r="B58" s="3">
        <v>49</v>
      </c>
      <c r="C58" s="10">
        <v>2057.2251938510094</v>
      </c>
      <c r="D58" s="10">
        <v>1964.9652440239779</v>
      </c>
      <c r="E58" s="10">
        <v>92.259949827031505</v>
      </c>
      <c r="F58" s="10">
        <v>196404.26445257076</v>
      </c>
      <c r="I58" s="3">
        <v>130</v>
      </c>
      <c r="J58" s="10">
        <v>2057.2251938510094</v>
      </c>
      <c r="K58" s="10">
        <v>1850.666018784658</v>
      </c>
      <c r="L58" s="10">
        <v>206.55917506635137</v>
      </c>
      <c r="M58" s="10">
        <v>184860.04270339943</v>
      </c>
      <c r="P58" s="3">
        <v>210</v>
      </c>
      <c r="Q58" s="10">
        <v>2057.2251938510094</v>
      </c>
      <c r="R58" s="10">
        <v>1599.3423272303362</v>
      </c>
      <c r="S58" s="10">
        <v>457.88286662067321</v>
      </c>
      <c r="T58" s="10">
        <v>159476.34985641297</v>
      </c>
    </row>
    <row r="59" spans="2:20" x14ac:dyDescent="0.25">
      <c r="B59" s="3">
        <v>50</v>
      </c>
      <c r="C59" s="10">
        <v>2057.2251938510094</v>
      </c>
      <c r="D59" s="10">
        <v>1964.0426445257074</v>
      </c>
      <c r="E59" s="10">
        <v>93.182549325302034</v>
      </c>
      <c r="F59" s="10">
        <v>196311.08190324545</v>
      </c>
      <c r="I59" s="3">
        <v>131</v>
      </c>
      <c r="J59" s="10">
        <v>2057.2251938510094</v>
      </c>
      <c r="K59" s="10">
        <v>1848.6004270339943</v>
      </c>
      <c r="L59" s="10">
        <v>208.62476681701514</v>
      </c>
      <c r="M59" s="10">
        <v>184651.41793658241</v>
      </c>
      <c r="P59" s="3">
        <v>211</v>
      </c>
      <c r="Q59" s="10">
        <v>2057.2251938510094</v>
      </c>
      <c r="R59" s="10">
        <v>1594.7634985641296</v>
      </c>
      <c r="S59" s="10">
        <v>462.46169528687983</v>
      </c>
      <c r="T59" s="10">
        <v>159013.88816112609</v>
      </c>
    </row>
    <row r="60" spans="2:20" x14ac:dyDescent="0.25">
      <c r="B60" s="3">
        <v>51</v>
      </c>
      <c r="C60" s="10">
        <v>2057.2251938510094</v>
      </c>
      <c r="D60" s="10">
        <v>1963.1108190324542</v>
      </c>
      <c r="E60" s="10">
        <v>94.114374818555234</v>
      </c>
      <c r="F60" s="10">
        <v>196216.9675284269</v>
      </c>
      <c r="I60" s="3">
        <v>132</v>
      </c>
      <c r="J60" s="10">
        <v>2057.2251938510094</v>
      </c>
      <c r="K60" s="10">
        <v>1846.514179365824</v>
      </c>
      <c r="L60" s="10">
        <v>210.71101448518539</v>
      </c>
      <c r="M60" s="10">
        <v>184440.70692209722</v>
      </c>
      <c r="P60" s="3">
        <v>212</v>
      </c>
      <c r="Q60" s="10">
        <v>2057.2251938510094</v>
      </c>
      <c r="R60" s="10">
        <v>1590.138881611261</v>
      </c>
      <c r="S60" s="10">
        <v>467.08631223974839</v>
      </c>
      <c r="T60" s="10">
        <v>158546.80184888633</v>
      </c>
    </row>
    <row r="61" spans="2:20" x14ac:dyDescent="0.25">
      <c r="B61" s="3">
        <v>52</v>
      </c>
      <c r="C61" s="10">
        <v>2057.2251938510094</v>
      </c>
      <c r="D61" s="10">
        <v>1962.169675284269</v>
      </c>
      <c r="E61" s="10">
        <v>95.055518566740375</v>
      </c>
      <c r="F61" s="10">
        <v>196121.91200986016</v>
      </c>
      <c r="I61" s="3">
        <v>133</v>
      </c>
      <c r="J61" s="10">
        <v>2057.2251938510094</v>
      </c>
      <c r="K61" s="10">
        <v>1844.4070692209723</v>
      </c>
      <c r="L61" s="10">
        <v>212.81812463003712</v>
      </c>
      <c r="M61" s="10">
        <v>184227.8887974672</v>
      </c>
      <c r="P61" s="3">
        <v>213</v>
      </c>
      <c r="Q61" s="10">
        <v>2057.2251938510094</v>
      </c>
      <c r="R61" s="10">
        <v>1585.4680184888632</v>
      </c>
      <c r="S61" s="10">
        <v>471.7571753621462</v>
      </c>
      <c r="T61" s="10">
        <v>158075.04467352419</v>
      </c>
    </row>
    <row r="62" spans="2:20" x14ac:dyDescent="0.25">
      <c r="B62" s="3">
        <v>53</v>
      </c>
      <c r="C62" s="10">
        <v>2057.2251938510094</v>
      </c>
      <c r="D62" s="10">
        <v>1961.2191200986015</v>
      </c>
      <c r="E62" s="10">
        <v>96.006073752407929</v>
      </c>
      <c r="F62" s="10">
        <v>196025.90593610774</v>
      </c>
      <c r="I62" s="3">
        <v>134</v>
      </c>
      <c r="J62" s="10">
        <v>2057.2251938510094</v>
      </c>
      <c r="K62" s="10">
        <v>1842.278887974672</v>
      </c>
      <c r="L62" s="10">
        <v>214.94630587633742</v>
      </c>
      <c r="M62" s="10">
        <v>184012.94249159086</v>
      </c>
      <c r="P62" s="3">
        <v>214</v>
      </c>
      <c r="Q62" s="10">
        <v>2057.2251938510094</v>
      </c>
      <c r="R62" s="10">
        <v>1580.7504467352419</v>
      </c>
      <c r="S62" s="10">
        <v>476.47474711576751</v>
      </c>
      <c r="T62" s="10">
        <v>157598.56992640841</v>
      </c>
    </row>
    <row r="63" spans="2:20" x14ac:dyDescent="0.25">
      <c r="B63" s="3">
        <v>54</v>
      </c>
      <c r="C63" s="10">
        <v>2057.2251938510094</v>
      </c>
      <c r="D63" s="10">
        <v>1960.2590593610773</v>
      </c>
      <c r="E63" s="10">
        <v>96.966134489932074</v>
      </c>
      <c r="F63" s="10">
        <v>195928.93980161782</v>
      </c>
      <c r="I63" s="3">
        <v>135</v>
      </c>
      <c r="J63" s="10">
        <v>2057.2251938510094</v>
      </c>
      <c r="K63" s="10">
        <v>1840.1294249159084</v>
      </c>
      <c r="L63" s="10">
        <v>217.09576893510098</v>
      </c>
      <c r="M63" s="10">
        <v>183795.84672265576</v>
      </c>
      <c r="P63" s="3">
        <v>215</v>
      </c>
      <c r="Q63" s="10">
        <v>2057.2251938510094</v>
      </c>
      <c r="R63" s="10">
        <v>1575.9856992640841</v>
      </c>
      <c r="S63" s="10">
        <v>481.23949458692528</v>
      </c>
      <c r="T63" s="10">
        <v>157117.33043182149</v>
      </c>
    </row>
    <row r="64" spans="2:20" x14ac:dyDescent="0.25">
      <c r="B64" s="3">
        <v>55</v>
      </c>
      <c r="C64" s="10">
        <v>2057.2251938510094</v>
      </c>
      <c r="D64" s="10">
        <v>1959.289398016178</v>
      </c>
      <c r="E64" s="10">
        <v>97.935795834831424</v>
      </c>
      <c r="F64" s="10">
        <v>195831.00400578298</v>
      </c>
      <c r="I64" s="3">
        <v>136</v>
      </c>
      <c r="J64" s="10">
        <v>2057.2251938510094</v>
      </c>
      <c r="K64" s="10">
        <v>1837.9584672265573</v>
      </c>
      <c r="L64" s="10">
        <v>219.26672662445208</v>
      </c>
      <c r="M64" s="10">
        <v>183576.5799960313</v>
      </c>
      <c r="P64" s="3">
        <v>216</v>
      </c>
      <c r="Q64" s="10">
        <v>2057.2251938510094</v>
      </c>
      <c r="R64" s="10">
        <v>1571.1733043182148</v>
      </c>
      <c r="S64" s="10">
        <v>486.05188953279458</v>
      </c>
      <c r="T64" s="10">
        <v>156631.2785422887</v>
      </c>
    </row>
    <row r="65" spans="2:20" x14ac:dyDescent="0.25">
      <c r="B65" s="3">
        <v>56</v>
      </c>
      <c r="C65" s="10">
        <v>2057.2251938510094</v>
      </c>
      <c r="D65" s="10">
        <v>1958.3100400578296</v>
      </c>
      <c r="E65" s="10">
        <v>98.915153793179798</v>
      </c>
      <c r="F65" s="10">
        <v>195732.0888519898</v>
      </c>
      <c r="I65" s="3">
        <v>137</v>
      </c>
      <c r="J65" s="10">
        <v>2057.2251938510094</v>
      </c>
      <c r="K65" s="10">
        <v>1835.7657999603127</v>
      </c>
      <c r="L65" s="10">
        <v>221.45939389069667</v>
      </c>
      <c r="M65" s="10">
        <v>183355.12060214061</v>
      </c>
      <c r="P65" s="3">
        <v>217</v>
      </c>
      <c r="Q65" s="10">
        <v>2057.2251938510094</v>
      </c>
      <c r="R65" s="10">
        <v>1566.3127854228869</v>
      </c>
      <c r="S65" s="10">
        <v>490.91240842812249</v>
      </c>
      <c r="T65" s="10">
        <v>156140.36613386057</v>
      </c>
    </row>
    <row r="66" spans="2:20" x14ac:dyDescent="0.25">
      <c r="B66" s="3">
        <v>57</v>
      </c>
      <c r="C66" s="10">
        <v>2057.2251938510094</v>
      </c>
      <c r="D66" s="10">
        <v>1957.3208885198981</v>
      </c>
      <c r="E66" s="10">
        <v>99.904305331111345</v>
      </c>
      <c r="F66" s="10">
        <v>195632.18454665868</v>
      </c>
      <c r="I66" s="3">
        <v>138</v>
      </c>
      <c r="J66" s="10">
        <v>2057.2251938510094</v>
      </c>
      <c r="K66" s="10">
        <v>1833.551206021406</v>
      </c>
      <c r="L66" s="10">
        <v>223.67398782960345</v>
      </c>
      <c r="M66" s="10">
        <v>183131.44661431102</v>
      </c>
      <c r="P66" s="3">
        <v>218</v>
      </c>
      <c r="Q66" s="10">
        <v>2057.2251938510094</v>
      </c>
      <c r="R66" s="10">
        <v>1561.4036613386058</v>
      </c>
      <c r="S66" s="10">
        <v>495.82153251240356</v>
      </c>
      <c r="T66" s="10">
        <v>155644.54460134817</v>
      </c>
    </row>
    <row r="67" spans="2:20" x14ac:dyDescent="0.25">
      <c r="B67" s="3">
        <v>58</v>
      </c>
      <c r="C67" s="10">
        <v>2057.2251938510094</v>
      </c>
      <c r="D67" s="10">
        <v>1956.3218454665866</v>
      </c>
      <c r="E67" s="10">
        <v>100.90334838442277</v>
      </c>
      <c r="F67" s="10">
        <v>195531.28119827426</v>
      </c>
      <c r="I67" s="3">
        <v>139</v>
      </c>
      <c r="J67" s="10">
        <v>2057.2251938510094</v>
      </c>
      <c r="K67" s="10">
        <v>1831.3144661431099</v>
      </c>
      <c r="L67" s="10">
        <v>225.91072770789947</v>
      </c>
      <c r="M67" s="10">
        <v>182905.53588660312</v>
      </c>
      <c r="P67" s="3">
        <v>219</v>
      </c>
      <c r="Q67" s="10">
        <v>2057.2251938510094</v>
      </c>
      <c r="R67" s="10">
        <v>1556.4454460134818</v>
      </c>
      <c r="S67" s="10">
        <v>500.77974783752757</v>
      </c>
      <c r="T67" s="10">
        <v>155143.76485351066</v>
      </c>
    </row>
    <row r="68" spans="2:20" x14ac:dyDescent="0.25">
      <c r="B68" s="3">
        <v>59</v>
      </c>
      <c r="C68" s="10">
        <v>2057.2251938510094</v>
      </c>
      <c r="D68" s="10">
        <v>1955.3128119827425</v>
      </c>
      <c r="E68" s="10">
        <v>101.91238186826695</v>
      </c>
      <c r="F68" s="10">
        <v>195429.368816406</v>
      </c>
      <c r="I68" s="3">
        <v>140</v>
      </c>
      <c r="J68" s="10">
        <v>2057.2251938510094</v>
      </c>
      <c r="K68" s="10">
        <v>1829.0553588660312</v>
      </c>
      <c r="L68" s="10">
        <v>228.16983498497825</v>
      </c>
      <c r="M68" s="10">
        <v>182677.36605161813</v>
      </c>
      <c r="P68" s="3">
        <v>220</v>
      </c>
      <c r="Q68" s="10">
        <v>2057.2251938510094</v>
      </c>
      <c r="R68" s="10">
        <v>1551.4376485351065</v>
      </c>
      <c r="S68" s="10">
        <v>505.78754531590289</v>
      </c>
      <c r="T68" s="10">
        <v>154637.97730819476</v>
      </c>
    </row>
    <row r="69" spans="2:20" x14ac:dyDescent="0.25">
      <c r="B69" s="3">
        <v>60</v>
      </c>
      <c r="C69" s="10">
        <v>2057.2251938510094</v>
      </c>
      <c r="D69" s="10">
        <v>1954.2936881640599</v>
      </c>
      <c r="E69" s="10">
        <v>102.93150568694955</v>
      </c>
      <c r="F69" s="10">
        <v>195326.43731071905</v>
      </c>
      <c r="I69" s="3">
        <v>141</v>
      </c>
      <c r="J69" s="10">
        <v>2057.2251938510094</v>
      </c>
      <c r="K69" s="10">
        <v>1826.7736605161811</v>
      </c>
      <c r="L69" s="10">
        <v>230.45153333482835</v>
      </c>
      <c r="M69" s="10">
        <v>182446.9145182833</v>
      </c>
      <c r="P69" s="3">
        <v>221</v>
      </c>
      <c r="Q69" s="10">
        <v>2057.2251938510094</v>
      </c>
      <c r="R69" s="10">
        <v>1546.3797730819476</v>
      </c>
      <c r="S69" s="10">
        <v>510.84542076906177</v>
      </c>
      <c r="T69" s="10">
        <v>154127.1318874257</v>
      </c>
    </row>
    <row r="70" spans="2:20" x14ac:dyDescent="0.25">
      <c r="B70" s="3">
        <v>61</v>
      </c>
      <c r="C70" s="10">
        <v>2057.2251938510094</v>
      </c>
      <c r="D70" s="10">
        <v>1953.2643731071903</v>
      </c>
      <c r="E70" s="10">
        <v>103.96082074381911</v>
      </c>
      <c r="F70" s="10">
        <v>195222.47648997523</v>
      </c>
      <c r="I70" s="3">
        <v>142</v>
      </c>
      <c r="J70" s="10">
        <v>2057.2251938510094</v>
      </c>
      <c r="K70" s="10">
        <v>1824.469145182833</v>
      </c>
      <c r="L70" s="10">
        <v>232.75604866817639</v>
      </c>
      <c r="M70" s="10">
        <v>182214.15846961513</v>
      </c>
      <c r="P70" s="3">
        <v>222</v>
      </c>
      <c r="Q70" s="10">
        <v>2057.2251938510094</v>
      </c>
      <c r="R70" s="10">
        <v>1541.2713188742571</v>
      </c>
      <c r="S70" s="10">
        <v>515.95387497675233</v>
      </c>
      <c r="T70" s="10">
        <v>153611.17801244895</v>
      </c>
    </row>
    <row r="71" spans="2:20" x14ac:dyDescent="0.25">
      <c r="B71" s="3">
        <v>62</v>
      </c>
      <c r="C71" s="10">
        <v>2057.2251938510094</v>
      </c>
      <c r="D71" s="10">
        <v>1952.2247648997525</v>
      </c>
      <c r="E71" s="10">
        <v>105.00042895125694</v>
      </c>
      <c r="F71" s="10">
        <v>195117.47606102398</v>
      </c>
      <c r="I71" s="3">
        <v>143</v>
      </c>
      <c r="J71" s="10">
        <v>2057.2251938510094</v>
      </c>
      <c r="K71" s="10">
        <v>1822.1415846961511</v>
      </c>
      <c r="L71" s="10">
        <v>235.08360915485832</v>
      </c>
      <c r="M71" s="10">
        <v>181979.07486046027</v>
      </c>
      <c r="P71" s="3">
        <v>223</v>
      </c>
      <c r="Q71" s="10">
        <v>2057.2251938510094</v>
      </c>
      <c r="R71" s="10">
        <v>1536.1117801244893</v>
      </c>
      <c r="S71" s="10">
        <v>521.11341372652009</v>
      </c>
      <c r="T71" s="10">
        <v>153090.06459872241</v>
      </c>
    </row>
    <row r="72" spans="2:20" x14ac:dyDescent="0.25">
      <c r="B72" s="3">
        <v>63</v>
      </c>
      <c r="C72" s="10">
        <v>2057.2251938510094</v>
      </c>
      <c r="D72" s="10">
        <v>1951.1747606102397</v>
      </c>
      <c r="E72" s="10">
        <v>106.05043324076973</v>
      </c>
      <c r="F72" s="10">
        <v>195011.4256277832</v>
      </c>
      <c r="I72" s="3">
        <v>144</v>
      </c>
      <c r="J72" s="10">
        <v>2057.2251938510094</v>
      </c>
      <c r="K72" s="10">
        <v>1819.7907486046026</v>
      </c>
      <c r="L72" s="10">
        <v>237.43444524640677</v>
      </c>
      <c r="M72" s="10">
        <v>181741.64041521386</v>
      </c>
      <c r="P72" s="3">
        <v>224</v>
      </c>
      <c r="Q72" s="10">
        <v>2057.2251938510094</v>
      </c>
      <c r="R72" s="10">
        <v>1530.9006459872242</v>
      </c>
      <c r="S72" s="10">
        <v>526.32454786378526</v>
      </c>
      <c r="T72" s="10">
        <v>152563.74005085861</v>
      </c>
    </row>
    <row r="73" spans="2:20" x14ac:dyDescent="0.25">
      <c r="B73" s="3">
        <v>64</v>
      </c>
      <c r="C73" s="10">
        <v>2057.2251938510094</v>
      </c>
      <c r="D73" s="10">
        <v>1950.1142562778321</v>
      </c>
      <c r="E73" s="10">
        <v>107.11093757317735</v>
      </c>
      <c r="F73" s="10">
        <v>194904.31469021001</v>
      </c>
      <c r="I73" s="3">
        <v>145</v>
      </c>
      <c r="J73" s="10">
        <v>2057.2251938510094</v>
      </c>
      <c r="K73" s="10">
        <v>1817.4164041521383</v>
      </c>
      <c r="L73" s="10">
        <v>239.80878969887112</v>
      </c>
      <c r="M73" s="10">
        <v>181501.83162551498</v>
      </c>
      <c r="P73" s="3">
        <v>225</v>
      </c>
      <c r="Q73" s="10">
        <v>2057.2251938510094</v>
      </c>
      <c r="R73" s="10">
        <v>1525.6374005085861</v>
      </c>
      <c r="S73" s="10">
        <v>531.58779334242331</v>
      </c>
      <c r="T73" s="10">
        <v>152032.15225751619</v>
      </c>
    </row>
    <row r="74" spans="2:20" x14ac:dyDescent="0.25">
      <c r="B74" s="3">
        <v>65</v>
      </c>
      <c r="C74" s="10">
        <v>2057.2251938510094</v>
      </c>
      <c r="D74" s="10">
        <v>1949.0431469021003</v>
      </c>
      <c r="E74" s="10">
        <v>108.18204694890915</v>
      </c>
      <c r="F74" s="10">
        <v>194796.13264326111</v>
      </c>
      <c r="I74" s="3">
        <v>146</v>
      </c>
      <c r="J74" s="10">
        <v>2057.2251938510094</v>
      </c>
      <c r="K74" s="10">
        <v>1815.0183162551496</v>
      </c>
      <c r="L74" s="10">
        <v>242.20687759585985</v>
      </c>
      <c r="M74" s="10">
        <v>181259.62474791912</v>
      </c>
      <c r="P74" s="3">
        <v>226</v>
      </c>
      <c r="Q74" s="10">
        <v>2057.2251938510094</v>
      </c>
      <c r="R74" s="10">
        <v>1520.3215225751619</v>
      </c>
      <c r="S74" s="10">
        <v>536.9036712758475</v>
      </c>
      <c r="T74" s="10">
        <v>151495.24858624034</v>
      </c>
    </row>
    <row r="75" spans="2:20" x14ac:dyDescent="0.25">
      <c r="B75" s="3">
        <v>66</v>
      </c>
      <c r="C75" s="10">
        <v>2057.2251938510094</v>
      </c>
      <c r="D75" s="10">
        <v>1947.961326432611</v>
      </c>
      <c r="E75" s="10">
        <v>109.26386741839838</v>
      </c>
      <c r="F75" s="10">
        <v>194686.86877584271</v>
      </c>
      <c r="I75" s="3">
        <v>147</v>
      </c>
      <c r="J75" s="10">
        <v>2057.2251938510094</v>
      </c>
      <c r="K75" s="10">
        <v>1812.5962474791911</v>
      </c>
      <c r="L75" s="10">
        <v>244.6289463718183</v>
      </c>
      <c r="M75" s="10">
        <v>181014.99580154731</v>
      </c>
      <c r="P75" s="3">
        <v>227</v>
      </c>
      <c r="Q75" s="10">
        <v>2057.2251938510094</v>
      </c>
      <c r="R75" s="10">
        <v>1514.9524858624034</v>
      </c>
      <c r="S75" s="10">
        <v>542.27270798860604</v>
      </c>
      <c r="T75" s="10">
        <v>150952.97587825175</v>
      </c>
    </row>
    <row r="76" spans="2:20" x14ac:dyDescent="0.25">
      <c r="B76" s="3">
        <v>67</v>
      </c>
      <c r="C76" s="10">
        <v>2057.2251938510094</v>
      </c>
      <c r="D76" s="10">
        <v>1946.8686877584271</v>
      </c>
      <c r="E76" s="10">
        <v>110.35650609258232</v>
      </c>
      <c r="F76" s="10">
        <v>194576.51226975012</v>
      </c>
      <c r="I76" s="3">
        <v>148</v>
      </c>
      <c r="J76" s="10">
        <v>2057.2251938510094</v>
      </c>
      <c r="K76" s="10">
        <v>1810.149958015473</v>
      </c>
      <c r="L76" s="10">
        <v>247.07523583553643</v>
      </c>
      <c r="M76" s="10">
        <v>180767.92056571177</v>
      </c>
      <c r="P76" s="3">
        <v>228</v>
      </c>
      <c r="Q76" s="10">
        <v>2057.2251938510094</v>
      </c>
      <c r="R76" s="10">
        <v>1509.5297587825173</v>
      </c>
      <c r="S76" s="10">
        <v>547.69543506849209</v>
      </c>
      <c r="T76" s="10">
        <v>150405.28044318326</v>
      </c>
    </row>
    <row r="77" spans="2:20" x14ac:dyDescent="0.25">
      <c r="B77" s="3">
        <v>68</v>
      </c>
      <c r="C77" s="10">
        <v>2057.2251938510094</v>
      </c>
      <c r="D77" s="10">
        <v>1945.7651226975013</v>
      </c>
      <c r="E77" s="10">
        <v>111.46007115350812</v>
      </c>
      <c r="F77" s="10">
        <v>194465.05219859662</v>
      </c>
      <c r="I77" s="3">
        <v>149</v>
      </c>
      <c r="J77" s="10">
        <v>2057.2251938510094</v>
      </c>
      <c r="K77" s="10">
        <v>1807.6792056571176</v>
      </c>
      <c r="L77" s="10">
        <v>249.54598819389184</v>
      </c>
      <c r="M77" s="10">
        <v>180518.37457751788</v>
      </c>
      <c r="P77" s="3">
        <v>229</v>
      </c>
      <c r="Q77" s="10">
        <v>2057.2251938510094</v>
      </c>
      <c r="R77" s="10">
        <v>1504.0528044318326</v>
      </c>
      <c r="S77" s="10">
        <v>553.17238941917685</v>
      </c>
      <c r="T77" s="10">
        <v>149852.1080537641</v>
      </c>
    </row>
    <row r="78" spans="2:20" x14ac:dyDescent="0.25">
      <c r="B78" s="3">
        <v>69</v>
      </c>
      <c r="C78" s="10">
        <v>2057.2251938510094</v>
      </c>
      <c r="D78" s="10">
        <v>1944.6505219859662</v>
      </c>
      <c r="E78" s="10">
        <v>112.57467186504323</v>
      </c>
      <c r="F78" s="10">
        <v>194352.47752673159</v>
      </c>
      <c r="I78" s="3">
        <v>150</v>
      </c>
      <c r="J78" s="10">
        <v>2057.2251938510094</v>
      </c>
      <c r="K78" s="10">
        <v>1805.1837457751787</v>
      </c>
      <c r="L78" s="10">
        <v>252.04144807583066</v>
      </c>
      <c r="M78" s="10">
        <v>180266.33312944206</v>
      </c>
      <c r="P78" s="3">
        <v>230</v>
      </c>
      <c r="Q78" s="10">
        <v>2057.2251938510094</v>
      </c>
      <c r="R78" s="10">
        <v>1498.521080537641</v>
      </c>
      <c r="S78" s="10">
        <v>558.70411331336845</v>
      </c>
      <c r="T78" s="10">
        <v>149293.40394045072</v>
      </c>
    </row>
    <row r="79" spans="2:20" x14ac:dyDescent="0.25">
      <c r="B79" s="3">
        <v>70</v>
      </c>
      <c r="C79" s="10">
        <v>2057.2251938510094</v>
      </c>
      <c r="D79" s="10">
        <v>1943.5247752673158</v>
      </c>
      <c r="E79" s="10">
        <v>113.70041858369359</v>
      </c>
      <c r="F79" s="10">
        <v>194238.77710814789</v>
      </c>
      <c r="I79" s="3">
        <v>151</v>
      </c>
      <c r="J79" s="10">
        <v>2057.2251938510094</v>
      </c>
      <c r="K79" s="10">
        <v>1802.6633312944205</v>
      </c>
      <c r="L79" s="10">
        <v>254.56186255658895</v>
      </c>
      <c r="M79" s="10">
        <v>180011.77126688548</v>
      </c>
      <c r="P79" s="3">
        <v>231</v>
      </c>
      <c r="Q79" s="10">
        <v>2057.2251938510094</v>
      </c>
      <c r="R79" s="10">
        <v>1492.9340394045073</v>
      </c>
      <c r="S79" s="10">
        <v>564.29115444650211</v>
      </c>
      <c r="T79" s="10">
        <v>148729.11278600423</v>
      </c>
    </row>
    <row r="80" spans="2:20" x14ac:dyDescent="0.25">
      <c r="B80" s="3">
        <v>71</v>
      </c>
      <c r="C80" s="10">
        <v>2057.2251938510094</v>
      </c>
      <c r="D80" s="10">
        <v>1942.3877710814788</v>
      </c>
      <c r="E80" s="10">
        <v>114.83742276953058</v>
      </c>
      <c r="F80" s="10">
        <v>194123.93968537837</v>
      </c>
      <c r="I80" s="3">
        <v>152</v>
      </c>
      <c r="J80" s="10">
        <v>2057.2251938510094</v>
      </c>
      <c r="K80" s="10">
        <v>1800.1177126688547</v>
      </c>
      <c r="L80" s="10">
        <v>257.10748118215474</v>
      </c>
      <c r="M80" s="10">
        <v>179754.66378570333</v>
      </c>
      <c r="P80" s="3">
        <v>232</v>
      </c>
      <c r="Q80" s="10">
        <v>2057.2251938510094</v>
      </c>
      <c r="R80" s="10">
        <v>1487.2911278600423</v>
      </c>
      <c r="S80" s="10">
        <v>569.93406599096716</v>
      </c>
      <c r="T80" s="10">
        <v>148159.17872001327</v>
      </c>
    </row>
    <row r="81" spans="2:20" x14ac:dyDescent="0.25">
      <c r="B81" s="3">
        <v>72</v>
      </c>
      <c r="C81" s="10">
        <v>2057.2251938510094</v>
      </c>
      <c r="D81" s="10">
        <v>1941.2393968537835</v>
      </c>
      <c r="E81" s="10">
        <v>115.98579699722586</v>
      </c>
      <c r="F81" s="10">
        <v>194007.95388838113</v>
      </c>
      <c r="I81" s="3">
        <v>153</v>
      </c>
      <c r="J81" s="10">
        <v>2057.2251938510094</v>
      </c>
      <c r="K81" s="10">
        <v>1797.5466378570334</v>
      </c>
      <c r="L81" s="10">
        <v>259.67855599397603</v>
      </c>
      <c r="M81" s="10">
        <v>179494.98522970936</v>
      </c>
      <c r="P81" s="3">
        <v>233</v>
      </c>
      <c r="Q81" s="10">
        <v>2057.2251938510094</v>
      </c>
      <c r="R81" s="10">
        <v>1481.5917872001326</v>
      </c>
      <c r="S81" s="10">
        <v>575.63340665087685</v>
      </c>
      <c r="T81" s="10">
        <v>147583.54531336238</v>
      </c>
    </row>
    <row r="82" spans="2:20" x14ac:dyDescent="0.25">
      <c r="B82" s="3">
        <v>73</v>
      </c>
      <c r="C82" s="10">
        <v>2057.2251938510094</v>
      </c>
      <c r="D82" s="10">
        <v>1940.0795388838112</v>
      </c>
      <c r="E82" s="10">
        <v>117.1456549671982</v>
      </c>
      <c r="F82" s="10">
        <v>193890.80823341393</v>
      </c>
      <c r="I82" s="3">
        <v>154</v>
      </c>
      <c r="J82" s="10">
        <v>2057.2251938510094</v>
      </c>
      <c r="K82" s="10">
        <v>1794.9498522970935</v>
      </c>
      <c r="L82" s="10">
        <v>262.27534155391595</v>
      </c>
      <c r="M82" s="10">
        <v>179232.70988815546</v>
      </c>
      <c r="P82" s="3">
        <v>234</v>
      </c>
      <c r="Q82" s="10">
        <v>2057.2251938510094</v>
      </c>
      <c r="R82" s="10">
        <v>1475.8354531336238</v>
      </c>
      <c r="S82" s="10">
        <v>581.38974071738562</v>
      </c>
      <c r="T82" s="10">
        <v>147002.15557264499</v>
      </c>
    </row>
    <row r="83" spans="2:20" x14ac:dyDescent="0.25">
      <c r="B83" s="3">
        <v>74</v>
      </c>
      <c r="C83" s="10">
        <v>2057.2251938510094</v>
      </c>
      <c r="D83" s="10">
        <v>1938.9080823341392</v>
      </c>
      <c r="E83" s="10">
        <v>118.31711151687023</v>
      </c>
      <c r="F83" s="10">
        <v>193772.49112189707</v>
      </c>
      <c r="I83" s="3">
        <v>155</v>
      </c>
      <c r="J83" s="10">
        <v>2057.2251938510094</v>
      </c>
      <c r="K83" s="10">
        <v>1792.3270988815545</v>
      </c>
      <c r="L83" s="10">
        <v>264.89809496945486</v>
      </c>
      <c r="M83" s="10">
        <v>178967.811793186</v>
      </c>
      <c r="P83" s="3">
        <v>235</v>
      </c>
      <c r="Q83" s="10">
        <v>2057.2251938510094</v>
      </c>
      <c r="R83" s="10">
        <v>1470.0215557264498</v>
      </c>
      <c r="S83" s="10">
        <v>587.20363812455957</v>
      </c>
      <c r="T83" s="10">
        <v>146414.95193452042</v>
      </c>
    </row>
    <row r="84" spans="2:20" x14ac:dyDescent="0.25">
      <c r="B84" s="3">
        <v>75</v>
      </c>
      <c r="C84" s="10">
        <v>2057.2251938510094</v>
      </c>
      <c r="D84" s="10">
        <v>1937.7249112189704</v>
      </c>
      <c r="E84" s="10">
        <v>119.50028263203899</v>
      </c>
      <c r="F84" s="10">
        <v>193652.99083926502</v>
      </c>
      <c r="I84" s="3">
        <v>156</v>
      </c>
      <c r="J84" s="10">
        <v>2057.2251938510094</v>
      </c>
      <c r="K84" s="10">
        <v>1789.6781179318598</v>
      </c>
      <c r="L84" s="10">
        <v>267.54707591914962</v>
      </c>
      <c r="M84" s="10">
        <v>178700.26471726687</v>
      </c>
      <c r="P84" s="3">
        <v>236</v>
      </c>
      <c r="Q84" s="10">
        <v>2057.2251938510094</v>
      </c>
      <c r="R84" s="10">
        <v>1464.149519345204</v>
      </c>
      <c r="S84" s="10">
        <v>593.07567450580541</v>
      </c>
      <c r="T84" s="10">
        <v>145821.8762600146</v>
      </c>
    </row>
    <row r="85" spans="2:20" x14ac:dyDescent="0.25">
      <c r="B85" s="3">
        <v>76</v>
      </c>
      <c r="C85" s="10">
        <v>2057.2251938510094</v>
      </c>
      <c r="D85" s="10">
        <v>1936.5299083926502</v>
      </c>
      <c r="E85" s="10">
        <v>120.69528545835919</v>
      </c>
      <c r="F85" s="10">
        <v>193532.29555380667</v>
      </c>
      <c r="I85" s="3">
        <v>157</v>
      </c>
      <c r="J85" s="10">
        <v>2057.2251938510094</v>
      </c>
      <c r="K85" s="10">
        <v>1787.0026471726687</v>
      </c>
      <c r="L85" s="10">
        <v>270.22254667834068</v>
      </c>
      <c r="M85" s="10">
        <v>178430.04217058854</v>
      </c>
      <c r="P85" s="3">
        <v>237</v>
      </c>
      <c r="Q85" s="10">
        <v>2057.2251938510094</v>
      </c>
      <c r="R85" s="10">
        <v>1458.218762600146</v>
      </c>
      <c r="S85" s="10">
        <v>599.00643125086344</v>
      </c>
      <c r="T85" s="10">
        <v>145222.86982876374</v>
      </c>
    </row>
    <row r="86" spans="2:20" x14ac:dyDescent="0.25">
      <c r="B86" s="3">
        <v>77</v>
      </c>
      <c r="C86" s="10">
        <v>2057.2251938510094</v>
      </c>
      <c r="D86" s="10">
        <v>1935.3229555380667</v>
      </c>
      <c r="E86" s="10">
        <v>121.9022383129427</v>
      </c>
      <c r="F86" s="10">
        <v>193410.39331549374</v>
      </c>
      <c r="I86" s="3">
        <v>158</v>
      </c>
      <c r="J86" s="10">
        <v>2057.2251938510094</v>
      </c>
      <c r="K86" s="10">
        <v>1784.3004217058854</v>
      </c>
      <c r="L86" s="10">
        <v>272.92477214512405</v>
      </c>
      <c r="M86" s="10">
        <v>178157.11739844343</v>
      </c>
      <c r="P86" s="3">
        <v>238</v>
      </c>
      <c r="Q86" s="10">
        <v>2057.2251938510094</v>
      </c>
      <c r="R86" s="10">
        <v>1452.2286982876374</v>
      </c>
      <c r="S86" s="10">
        <v>604.99649556337204</v>
      </c>
      <c r="T86" s="10">
        <v>144617.87333320038</v>
      </c>
    </row>
    <row r="87" spans="2:20" x14ac:dyDescent="0.25">
      <c r="B87" s="3">
        <v>78</v>
      </c>
      <c r="C87" s="10">
        <v>2057.2251938510094</v>
      </c>
      <c r="D87" s="10">
        <v>1934.1039331549373</v>
      </c>
      <c r="E87" s="10">
        <v>123.12126069607211</v>
      </c>
      <c r="F87" s="10">
        <v>193287.27205479768</v>
      </c>
      <c r="I87" s="3">
        <v>159</v>
      </c>
      <c r="J87" s="10">
        <v>2057.2251938510094</v>
      </c>
      <c r="K87" s="10">
        <v>1781.5711739844344</v>
      </c>
      <c r="L87" s="10">
        <v>275.65401986657503</v>
      </c>
      <c r="M87" s="10">
        <v>177881.46337857685</v>
      </c>
      <c r="P87" s="3">
        <v>239</v>
      </c>
      <c r="Q87" s="10">
        <v>2057.2251938510094</v>
      </c>
      <c r="R87" s="10">
        <v>1446.1787333320037</v>
      </c>
      <c r="S87" s="10">
        <v>611.04646051900568</v>
      </c>
      <c r="T87" s="10">
        <v>144006.82687268138</v>
      </c>
    </row>
    <row r="88" spans="2:20" x14ac:dyDescent="0.25">
      <c r="B88" s="3">
        <v>79</v>
      </c>
      <c r="C88" s="10">
        <v>2057.2251938510094</v>
      </c>
      <c r="D88" s="10">
        <v>1932.8727205479765</v>
      </c>
      <c r="E88" s="10">
        <v>124.35247330303287</v>
      </c>
      <c r="F88" s="10">
        <v>193162.91958149464</v>
      </c>
      <c r="I88" s="3">
        <v>160</v>
      </c>
      <c r="J88" s="10">
        <v>2057.2251938510094</v>
      </c>
      <c r="K88" s="10">
        <v>1778.8146337857686</v>
      </c>
      <c r="L88" s="10">
        <v>278.41056006524082</v>
      </c>
      <c r="M88" s="10">
        <v>177603.05281851161</v>
      </c>
      <c r="P88" s="3">
        <v>240</v>
      </c>
      <c r="Q88" s="10">
        <v>2057.2251938510094</v>
      </c>
      <c r="R88" s="10">
        <v>1440.0682687268138</v>
      </c>
      <c r="S88" s="10">
        <v>617.1569251241956</v>
      </c>
      <c r="T88" s="10">
        <v>143389.66994755718</v>
      </c>
    </row>
    <row r="89" spans="2:20" x14ac:dyDescent="0.25">
      <c r="B89" s="3">
        <v>80</v>
      </c>
      <c r="C89" s="10">
        <v>2057.2251938510094</v>
      </c>
      <c r="D89" s="10">
        <v>1931.6291958149466</v>
      </c>
      <c r="E89" s="10">
        <v>125.59599803606284</v>
      </c>
      <c r="F89" s="10">
        <v>193037.32358345858</v>
      </c>
    </row>
  </sheetData>
  <pageMargins left="0.7" right="0.7" top="0.75" bottom="0.75" header="0.3" footer="0.3"/>
  <pageSetup scale="42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P1</vt:lpstr>
      <vt:lpstr>P2</vt:lpstr>
      <vt:lpstr>P3</vt:lpstr>
      <vt:lpstr>Sheet4</vt:lpstr>
      <vt:lpstr>Sheet5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2015-06-29T12:55:46Z</cp:lastPrinted>
  <dcterms:created xsi:type="dcterms:W3CDTF">2015-06-27T16:39:30Z</dcterms:created>
  <dcterms:modified xsi:type="dcterms:W3CDTF">2015-06-29T13:00:24Z</dcterms:modified>
</cp:coreProperties>
</file>