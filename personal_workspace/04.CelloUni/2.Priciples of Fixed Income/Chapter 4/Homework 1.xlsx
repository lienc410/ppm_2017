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 activeTab="1"/>
  </bookViews>
  <sheets>
    <sheet name="P1" sheetId="3" r:id="rId1"/>
    <sheet name="P2" sheetId="2" r:id="rId2"/>
    <sheet name="P3" sheetId="5" r:id="rId3"/>
    <sheet name="P4" sheetId="4" r:id="rId4"/>
  </sheets>
  <calcPr calcId="145621"/>
</workbook>
</file>

<file path=xl/calcChain.xml><?xml version="1.0" encoding="utf-8"?>
<calcChain xmlns="http://schemas.openxmlformats.org/spreadsheetml/2006/main">
  <c r="R43" i="5" l="1"/>
  <c r="R42" i="5"/>
  <c r="Q42" i="5"/>
  <c r="Q41" i="5"/>
  <c r="R41" i="5"/>
  <c r="P41" i="5"/>
  <c r="P40" i="5"/>
  <c r="Q40" i="5"/>
  <c r="R40" i="5"/>
  <c r="O40" i="5"/>
  <c r="O39" i="5"/>
  <c r="P39" i="5"/>
  <c r="Q39" i="5"/>
  <c r="R39" i="5"/>
  <c r="N39" i="5"/>
  <c r="N38" i="5"/>
  <c r="O38" i="5"/>
  <c r="P38" i="5"/>
  <c r="Q38" i="5"/>
  <c r="R38" i="5"/>
  <c r="M38" i="5"/>
  <c r="N37" i="5"/>
  <c r="O37" i="5"/>
  <c r="P37" i="5"/>
  <c r="Q37" i="5"/>
  <c r="R37" i="5"/>
  <c r="M37" i="5"/>
  <c r="L37" i="5"/>
  <c r="R31" i="5"/>
  <c r="Q30" i="5"/>
  <c r="R30" i="5"/>
  <c r="Q29" i="5"/>
  <c r="R29" i="5"/>
  <c r="P29" i="5"/>
  <c r="P28" i="5"/>
  <c r="Q28" i="5"/>
  <c r="R28" i="5"/>
  <c r="O28" i="5"/>
  <c r="O27" i="5"/>
  <c r="P27" i="5"/>
  <c r="Q27" i="5"/>
  <c r="R27" i="5"/>
  <c r="N27" i="5"/>
  <c r="Q26" i="5"/>
  <c r="N26" i="5"/>
  <c r="O26" i="5"/>
  <c r="P26" i="5"/>
  <c r="R26" i="5"/>
  <c r="M26" i="5"/>
  <c r="N25" i="5"/>
  <c r="O25" i="5"/>
  <c r="P25" i="5"/>
  <c r="Q25" i="5"/>
  <c r="R25" i="5"/>
  <c r="M25" i="5"/>
  <c r="L25" i="5"/>
  <c r="K29" i="3" l="1"/>
  <c r="G39" i="3" a="1"/>
  <c r="G39" i="3" s="1"/>
  <c r="L29" i="3"/>
  <c r="L30" i="3"/>
  <c r="L31" i="3"/>
  <c r="L32" i="3"/>
  <c r="L33" i="3"/>
  <c r="L34" i="3"/>
  <c r="L35" i="3"/>
  <c r="L36" i="3"/>
  <c r="L28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H34" i="3"/>
  <c r="I34" i="3"/>
  <c r="J34" i="3"/>
  <c r="K34" i="3"/>
  <c r="H35" i="3"/>
  <c r="I35" i="3"/>
  <c r="J35" i="3"/>
  <c r="K35" i="3"/>
  <c r="H36" i="3"/>
  <c r="I36" i="3"/>
  <c r="J36" i="3"/>
  <c r="K36" i="3"/>
  <c r="H29" i="3"/>
  <c r="I29" i="3"/>
  <c r="J29" i="3"/>
  <c r="K28" i="3"/>
  <c r="J28" i="3"/>
  <c r="I28" i="3"/>
  <c r="H28" i="3"/>
  <c r="J10" i="3"/>
  <c r="J9" i="3"/>
  <c r="D6" i="4"/>
  <c r="D5" i="4"/>
  <c r="D7" i="4"/>
  <c r="D4" i="4"/>
  <c r="E4" i="4"/>
  <c r="E6" i="4"/>
  <c r="D11" i="4"/>
  <c r="E5" i="4"/>
  <c r="E7" i="4"/>
  <c r="E3" i="4"/>
  <c r="G1" i="3"/>
  <c r="G2" i="3"/>
  <c r="B5" i="3"/>
  <c r="J5" i="3" s="1"/>
  <c r="F5" i="3"/>
  <c r="I5" i="3"/>
  <c r="B6" i="3"/>
  <c r="J6" i="3" s="1"/>
  <c r="F6" i="3"/>
  <c r="I6" i="3"/>
  <c r="B7" i="3"/>
  <c r="J7" i="3" s="1"/>
  <c r="F7" i="3"/>
  <c r="I7" i="3"/>
  <c r="B8" i="3"/>
  <c r="J8" i="3" s="1"/>
  <c r="F8" i="3"/>
  <c r="I8" i="3"/>
  <c r="B9" i="3"/>
  <c r="F9" i="3"/>
  <c r="I9" i="3"/>
  <c r="B10" i="3"/>
  <c r="F10" i="3"/>
  <c r="I10" i="3"/>
  <c r="F11" i="3"/>
  <c r="I11" i="3"/>
  <c r="J11" i="3"/>
  <c r="B12" i="3"/>
  <c r="J12" i="3" s="1"/>
  <c r="F12" i="3"/>
  <c r="I12" i="3"/>
  <c r="B13" i="3"/>
  <c r="J13" i="3" s="1"/>
  <c r="F13" i="3"/>
  <c r="I13" i="3"/>
  <c r="B14" i="3"/>
  <c r="F14" i="3"/>
  <c r="I14" i="3"/>
  <c r="J14" i="3"/>
  <c r="B15" i="3"/>
  <c r="J15" i="3" s="1"/>
  <c r="F15" i="3"/>
  <c r="I15" i="3"/>
  <c r="B16" i="3"/>
  <c r="J16" i="3" s="1"/>
  <c r="F16" i="3"/>
  <c r="I16" i="3"/>
  <c r="B17" i="3"/>
  <c r="J17" i="3" s="1"/>
  <c r="F17" i="3"/>
  <c r="I17" i="3"/>
  <c r="B18" i="3"/>
  <c r="J18" i="3" s="1"/>
  <c r="F18" i="3"/>
  <c r="I18" i="3"/>
  <c r="B19" i="3"/>
  <c r="F19" i="3"/>
  <c r="I19" i="3"/>
  <c r="J19" i="3"/>
  <c r="F20" i="3"/>
  <c r="I20" i="3"/>
  <c r="J20" i="3"/>
  <c r="B21" i="3"/>
  <c r="J21" i="3" s="1"/>
  <c r="F21" i="3"/>
  <c r="I21" i="3"/>
  <c r="B22" i="3"/>
  <c r="J22" i="3" s="1"/>
  <c r="F22" i="3"/>
  <c r="I22" i="3"/>
  <c r="E7" i="2"/>
  <c r="D5" i="2"/>
  <c r="E5" i="2" s="1"/>
  <c r="D4" i="2"/>
  <c r="E4" i="2" s="1"/>
  <c r="D6" i="2"/>
  <c r="E6" i="2" s="1"/>
  <c r="D7" i="2"/>
  <c r="K46" i="3" l="1"/>
  <c r="H45" i="3"/>
  <c r="J43" i="3"/>
  <c r="G42" i="3"/>
  <c r="I40" i="3"/>
  <c r="J46" i="3"/>
  <c r="G45" i="3"/>
  <c r="I43" i="3"/>
  <c r="K41" i="3"/>
  <c r="H40" i="3"/>
  <c r="I46" i="3"/>
  <c r="K44" i="3"/>
  <c r="H43" i="3"/>
  <c r="J41" i="3"/>
  <c r="G40" i="3"/>
  <c r="H46" i="3"/>
  <c r="G43" i="3"/>
  <c r="K39" i="3"/>
  <c r="G46" i="3"/>
  <c r="I47" i="3"/>
  <c r="K45" i="3"/>
  <c r="H44" i="3"/>
  <c r="J42" i="3"/>
  <c r="G41" i="3"/>
  <c r="I39" i="3"/>
  <c r="K47" i="3"/>
  <c r="J44" i="3"/>
  <c r="I41" i="3"/>
  <c r="J47" i="3"/>
  <c r="I44" i="3"/>
  <c r="K42" i="3"/>
  <c r="H41" i="3"/>
  <c r="J39" i="3"/>
  <c r="H47" i="3"/>
  <c r="J45" i="3"/>
  <c r="G44" i="3"/>
  <c r="I42" i="3"/>
  <c r="K40" i="3"/>
  <c r="H39" i="3"/>
  <c r="G47" i="3"/>
  <c r="I45" i="3"/>
  <c r="K43" i="3"/>
  <c r="H42" i="3"/>
  <c r="J40" i="3"/>
  <c r="G15" i="3"/>
  <c r="H15" i="3" s="1"/>
  <c r="G9" i="3"/>
  <c r="G19" i="3"/>
  <c r="H19" i="3" s="1"/>
  <c r="G17" i="3"/>
  <c r="H17" i="3" s="1"/>
  <c r="D10" i="4"/>
  <c r="G13" i="3"/>
  <c r="H13" i="3" s="1"/>
  <c r="G11" i="3"/>
  <c r="H11" i="3" s="1"/>
  <c r="H9" i="3"/>
  <c r="G20" i="3"/>
  <c r="H20" i="3" s="1"/>
  <c r="G18" i="3"/>
  <c r="H18" i="3" s="1"/>
  <c r="G10" i="3"/>
  <c r="H10" i="3" s="1"/>
  <c r="G14" i="3"/>
  <c r="H14" i="3" s="1"/>
  <c r="G22" i="3"/>
  <c r="H22" i="3" s="1"/>
  <c r="G6" i="3"/>
  <c r="H6" i="3" s="1"/>
  <c r="K6" i="3" s="1"/>
  <c r="G5" i="3"/>
  <c r="H5" i="3" s="1"/>
  <c r="K5" i="3" s="1"/>
  <c r="L5" i="3" s="1"/>
  <c r="M5" i="3" s="1"/>
  <c r="G16" i="3"/>
  <c r="H16" i="3" s="1"/>
  <c r="G12" i="3"/>
  <c r="H12" i="3" s="1"/>
  <c r="G8" i="3"/>
  <c r="H8" i="3" s="1"/>
  <c r="G7" i="3"/>
  <c r="H7" i="3" s="1"/>
  <c r="G21" i="3"/>
  <c r="H21" i="3" s="1"/>
  <c r="F7" i="2"/>
  <c r="D9" i="2" s="1"/>
  <c r="D9" i="4" l="1"/>
  <c r="K7" i="3"/>
  <c r="K8" i="3"/>
  <c r="L7" i="3" l="1"/>
  <c r="K9" i="3" l="1"/>
  <c r="M7" i="3"/>
  <c r="K10" i="3"/>
  <c r="L9" i="3" l="1"/>
  <c r="M9" i="3" l="1"/>
  <c r="K11" i="3"/>
  <c r="K12" i="3"/>
  <c r="L11" i="3" l="1"/>
  <c r="M11" i="3" l="1"/>
  <c r="K13" i="3"/>
  <c r="K14" i="3"/>
  <c r="L13" i="3" l="1"/>
  <c r="M13" i="3" l="1"/>
  <c r="K15" i="3"/>
  <c r="L15" i="3" s="1"/>
  <c r="K16" i="3"/>
  <c r="M15" i="3" l="1"/>
  <c r="K18" i="3"/>
  <c r="K17" i="3"/>
  <c r="L17" i="3" s="1"/>
  <c r="M17" i="3" l="1"/>
  <c r="K19" i="3"/>
  <c r="K20" i="3"/>
  <c r="L19" i="3" l="1"/>
  <c r="M19" i="3" l="1"/>
  <c r="K22" i="3"/>
  <c r="K21" i="3"/>
  <c r="L21" i="3" s="1"/>
  <c r="M21" i="3" s="1"/>
</calcChain>
</file>

<file path=xl/sharedStrings.xml><?xml version="1.0" encoding="utf-8"?>
<sst xmlns="http://schemas.openxmlformats.org/spreadsheetml/2006/main" count="47" uniqueCount="33">
  <si>
    <t>Problem 2</t>
  </si>
  <si>
    <t>Problem 1</t>
  </si>
  <si>
    <t>Spot Rate</t>
  </si>
  <si>
    <t>Maturity</t>
  </si>
  <si>
    <t>Forward Rate f(1,t)</t>
  </si>
  <si>
    <t>Cash Flow</t>
  </si>
  <si>
    <t>Price</t>
  </si>
  <si>
    <t>Return=</t>
  </si>
  <si>
    <t>Return rate should equal to the 1 year spot rate, otherwise there will be arbitrage opportunities</t>
  </si>
  <si>
    <t>Coupon</t>
  </si>
  <si>
    <t>Clean Price</t>
  </si>
  <si>
    <t>AI</t>
  </si>
  <si>
    <t>Dirty Price</t>
  </si>
  <si>
    <t>Discount Factor</t>
  </si>
  <si>
    <t>Years To Next Coupon</t>
  </si>
  <si>
    <t>x</t>
  </si>
  <si>
    <t>y</t>
  </si>
  <si>
    <t>Problem 4</t>
  </si>
  <si>
    <t>Year</t>
  </si>
  <si>
    <t>Spot</t>
  </si>
  <si>
    <t>1 year Forward</t>
  </si>
  <si>
    <t>Cumulative</t>
  </si>
  <si>
    <t>4-year cummulative value:</t>
  </si>
  <si>
    <t>3-year cummulative value:</t>
  </si>
  <si>
    <t>Implied forward rate:</t>
  </si>
  <si>
    <t>a0</t>
  </si>
  <si>
    <t>a1</t>
  </si>
  <si>
    <t>a2</t>
  </si>
  <si>
    <t>a3</t>
  </si>
  <si>
    <t>a4</t>
  </si>
  <si>
    <t>j</t>
  </si>
  <si>
    <t>i</t>
  </si>
  <si>
    <t>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</si>
</sst>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0.000"/>
    <numFmt numFmtId="166" formatCode="0.0"/>
    <numFmt numFmtId="167" formatCode="\£\ #,##0_);[Red]\(\£\ #,##0\)"/>
    <numFmt numFmtId="168" formatCode="\¥\ #,##0_);[Red]\(\¥\ #,##0\)"/>
    <numFmt numFmtId="169" formatCode="\•\ \ @"/>
    <numFmt numFmtId="170" formatCode="_(&quot;$&quot;* #,##0_);_(&quot;$&quot;* \(#,##0.0\);_(&quot;$&quot;* &quot;-&quot;??_);_(@_)"/>
    <numFmt numFmtId="171" formatCode="&quot;$&quot;#,##0.000"/>
    <numFmt numFmtId="172" formatCode="&quot;$&quot;#,##0.000000_);\(&quot;$&quot;#,##0.000000\)"/>
    <numFmt numFmtId="173" formatCode="#,##0.0_);[Red]\(&quot;$&quot;#,##0.0\)"/>
    <numFmt numFmtId="174" formatCode="0.000_)"/>
    <numFmt numFmtId="175" formatCode="\ \ _•\–\ \ \ \ @"/>
    <numFmt numFmtId="176" formatCode="0.00&quot;%&quot;"/>
    <numFmt numFmtId="177" formatCode="0&quot;%&quot;"/>
    <numFmt numFmtId="178" formatCode="mmmm\ d\,\ yyyy"/>
    <numFmt numFmtId="179" formatCode="0.0000000"/>
    <numFmt numFmtId="180" formatCode="_([$€-2]* #,##0.00_);_([$€-2]* \(#,##0.00\);_([$€-2]* &quot;-&quot;??_)"/>
    <numFmt numFmtId="181" formatCode="dd\-mmm\-yy\ hh:mm:ss"/>
    <numFmt numFmtId="182" formatCode="0.00_)"/>
    <numFmt numFmtId="183" formatCode="0.0#\%;\-0.0#\%"/>
    <numFmt numFmtId="184" formatCode="#,##0.0\ ;\(#,##0.0\)"/>
    <numFmt numFmtId="185" formatCode="#,##0\ \ \ ;\(#,##0\)\ \ 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indexed="10"/>
      <name val="Calibri"/>
      <family val="2"/>
    </font>
    <font>
      <sz val="10"/>
      <color indexed="17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7" tint="-0.24994659260841701"/>
      <name val="Calibri"/>
      <family val="2"/>
      <scheme val="minor"/>
    </font>
    <font>
      <u/>
      <sz val="10"/>
      <color indexed="12"/>
      <name val="Arial"/>
      <family val="2"/>
    </font>
    <font>
      <u/>
      <sz val="9"/>
      <color theme="10"/>
      <name val="Arial"/>
      <family val="2"/>
    </font>
    <font>
      <sz val="10"/>
      <name val="Verdana"/>
      <family val="2"/>
    </font>
    <font>
      <sz val="10"/>
      <name val="Courier"/>
      <family val="3"/>
    </font>
    <font>
      <sz val="11"/>
      <color indexed="62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7">
    <xf numFmtId="0" fontId="0" fillId="0" borderId="0"/>
    <xf numFmtId="9" fontId="1" fillId="0" borderId="0" applyFont="0" applyFill="0" applyBorder="0" applyAlignment="0" applyProtection="0"/>
    <xf numFmtId="0" fontId="4" fillId="4" borderId="0"/>
    <xf numFmtId="0" fontId="5" fillId="6" borderId="7" applyNumberFormat="0" applyBorder="0"/>
    <xf numFmtId="9" fontId="4" fillId="0" borderId="0" applyFont="0" applyFill="0" applyBorder="0" applyAlignment="0" applyProtection="0"/>
    <xf numFmtId="0" fontId="3" fillId="7" borderId="8" applyBorder="0">
      <alignment horizontal="center" wrapText="1"/>
    </xf>
    <xf numFmtId="0" fontId="4" fillId="8" borderId="5" applyBorder="0">
      <alignment horizontal="center" wrapText="1"/>
    </xf>
    <xf numFmtId="0" fontId="6" fillId="4" borderId="7" applyNumberFormat="0" applyAlignment="0"/>
    <xf numFmtId="1" fontId="7" fillId="4" borderId="9"/>
    <xf numFmtId="0" fontId="10" fillId="9" borderId="10" applyNumberFormat="0"/>
    <xf numFmtId="0" fontId="11" fillId="10" borderId="8" applyBorder="0">
      <alignment horizontal="center" wrapText="1"/>
    </xf>
    <xf numFmtId="0" fontId="11" fillId="11" borderId="8" applyBorder="0">
      <alignment horizontal="center" wrapText="1"/>
    </xf>
    <xf numFmtId="0" fontId="12" fillId="4" borderId="10" applyNumberFormat="0"/>
    <xf numFmtId="0" fontId="12" fillId="12" borderId="10" applyNumberFormat="0"/>
    <xf numFmtId="0" fontId="2" fillId="12" borderId="10" applyNumberFormat="0"/>
    <xf numFmtId="0" fontId="4" fillId="9" borderId="10" applyNumberFormat="0"/>
    <xf numFmtId="0" fontId="10" fillId="9" borderId="10" applyNumberFormat="0"/>
    <xf numFmtId="0" fontId="5" fillId="6" borderId="7" applyNumberFormat="0"/>
    <xf numFmtId="14" fontId="13" fillId="4" borderId="9" applyNumberFormat="0" applyAlignment="0"/>
    <xf numFmtId="14" fontId="13" fillId="12" borderId="9" applyNumberFormat="0" applyAlignment="0"/>
    <xf numFmtId="14" fontId="14" fillId="12" borderId="9" applyNumberFormat="0" applyAlignment="0"/>
    <xf numFmtId="0" fontId="1" fillId="0" borderId="0"/>
    <xf numFmtId="0" fontId="1" fillId="0" borderId="0"/>
    <xf numFmtId="0" fontId="1" fillId="0" borderId="0"/>
    <xf numFmtId="0" fontId="4" fillId="5" borderId="0" applyNumberFormat="0" applyFont="0" applyBorder="0" applyAlignment="0" applyProtection="0"/>
    <xf numFmtId="0" fontId="11" fillId="10" borderId="8" applyBorder="0">
      <alignment horizontal="center" wrapText="1"/>
    </xf>
    <xf numFmtId="0" fontId="4" fillId="13" borderId="8" applyBorder="0">
      <alignment horizontal="center" wrapText="1"/>
    </xf>
    <xf numFmtId="0" fontId="11" fillId="11" borderId="8" applyBorder="0">
      <alignment horizontal="center" wrapText="1"/>
    </xf>
    <xf numFmtId="0" fontId="3" fillId="7" borderId="8" applyBorder="0">
      <alignment horizontal="center" wrapText="1"/>
    </xf>
    <xf numFmtId="0" fontId="11" fillId="14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1" fontId="7" fillId="12" borderId="9"/>
    <xf numFmtId="2" fontId="15" fillId="12" borderId="9"/>
    <xf numFmtId="0" fontId="16" fillId="12" borderId="7" applyNumberFormat="0" applyAlignment="0"/>
    <xf numFmtId="165" fontId="17" fillId="12" borderId="9" applyNumberFormat="0"/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167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19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20" borderId="0" applyNumberFormat="0" applyBorder="0" applyAlignment="0" applyProtection="0"/>
    <xf numFmtId="0" fontId="19" fillId="21" borderId="0" applyNumberFormat="0" applyBorder="0" applyAlignment="0" applyProtection="0"/>
    <xf numFmtId="0" fontId="23" fillId="21" borderId="0" applyNumberFormat="0" applyBorder="0" applyAlignment="0" applyProtection="0"/>
    <xf numFmtId="0" fontId="24" fillId="22" borderId="0" applyNumberFormat="0" applyBorder="0" applyAlignment="0" applyProtection="0"/>
    <xf numFmtId="0" fontId="19" fillId="16" borderId="0" applyNumberFormat="0" applyBorder="0" applyAlignment="0" applyProtection="0"/>
    <xf numFmtId="0" fontId="23" fillId="22" borderId="0" applyNumberFormat="0" applyBorder="0" applyAlignment="0" applyProtection="0"/>
    <xf numFmtId="0" fontId="24" fillId="23" borderId="0" applyNumberFormat="0" applyBorder="0" applyAlignment="0" applyProtection="0"/>
    <xf numFmtId="0" fontId="19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4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26" borderId="0" applyNumberFormat="0" applyBorder="0" applyAlignment="0" applyProtection="0"/>
    <xf numFmtId="0" fontId="23" fillId="17" borderId="0" applyNumberFormat="0" applyBorder="0" applyAlignment="0" applyProtection="0"/>
    <xf numFmtId="0" fontId="24" fillId="27" borderId="0" applyNumberFormat="0" applyBorder="0" applyAlignment="0" applyProtection="0"/>
    <xf numFmtId="0" fontId="19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28" borderId="0" applyNumberFormat="0" applyBorder="0" applyAlignment="0" applyProtection="0"/>
    <xf numFmtId="0" fontId="19" fillId="21" borderId="0" applyNumberFormat="0" applyBorder="0" applyAlignment="0" applyProtection="0"/>
    <xf numFmtId="0" fontId="23" fillId="23" borderId="0" applyNumberFormat="0" applyBorder="0" applyAlignment="0" applyProtection="0"/>
    <xf numFmtId="0" fontId="24" fillId="29" borderId="0" applyNumberFormat="0" applyBorder="0" applyAlignment="0" applyProtection="0"/>
    <xf numFmtId="0" fontId="19" fillId="26" borderId="0" applyNumberFormat="0" applyBorder="0" applyAlignment="0" applyProtection="0"/>
    <xf numFmtId="0" fontId="23" fillId="30" borderId="0" applyNumberFormat="0" applyBorder="0" applyAlignment="0" applyProtection="0"/>
    <xf numFmtId="0" fontId="24" fillId="23" borderId="0" applyNumberFormat="0" applyBorder="0" applyAlignment="0" applyProtection="0"/>
    <xf numFmtId="0" fontId="19" fillId="27" borderId="0" applyNumberFormat="0" applyBorder="0" applyAlignment="0" applyProtection="0"/>
    <xf numFmtId="0" fontId="23" fillId="25" borderId="0" applyNumberFormat="0" applyBorder="0" applyAlignment="0" applyProtection="0"/>
    <xf numFmtId="0" fontId="24" fillId="27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4" borderId="0" applyNumberFormat="0" applyBorder="0" applyAlignment="0" applyProtection="0"/>
    <xf numFmtId="0" fontId="25" fillId="28" borderId="0" applyNumberFormat="0" applyBorder="0" applyAlignment="0" applyProtection="0"/>
    <xf numFmtId="0" fontId="26" fillId="28" borderId="0" applyNumberFormat="0" applyBorder="0" applyAlignment="0" applyProtection="0"/>
    <xf numFmtId="0" fontId="27" fillId="28" borderId="0" applyNumberFormat="0" applyBorder="0" applyAlignment="0" applyProtection="0"/>
    <xf numFmtId="0" fontId="25" fillId="21" borderId="0" applyNumberFormat="0" applyBorder="0" applyAlignment="0" applyProtection="0"/>
    <xf numFmtId="0" fontId="26" fillId="23" borderId="0" applyNumberFormat="0" applyBorder="0" applyAlignment="0" applyProtection="0"/>
    <xf numFmtId="0" fontId="27" fillId="29" borderId="0" applyNumberFormat="0" applyBorder="0" applyAlignment="0" applyProtection="0"/>
    <xf numFmtId="0" fontId="25" fillId="26" borderId="0" applyNumberFormat="0" applyBorder="0" applyAlignment="0" applyProtection="0"/>
    <xf numFmtId="0" fontId="26" fillId="35" borderId="0" applyNumberFormat="0" applyBorder="0" applyAlignment="0" applyProtection="0"/>
    <xf numFmtId="0" fontId="27" fillId="36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2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37" borderId="0" applyNumberFormat="0" applyBorder="0" applyAlignment="0" applyProtection="0"/>
    <xf numFmtId="0" fontId="25" fillId="32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1" borderId="0" applyNumberFormat="0" applyBorder="0" applyAlignment="0" applyProtection="0"/>
    <xf numFmtId="0" fontId="27" fillId="40" borderId="0" applyNumberFormat="0" applyBorder="0" applyAlignment="0" applyProtection="0"/>
    <xf numFmtId="0" fontId="25" fillId="42" borderId="0" applyNumberFormat="0" applyBorder="0" applyAlignment="0" applyProtection="0"/>
    <xf numFmtId="0" fontId="26" fillId="41" borderId="0" applyNumberFormat="0" applyBorder="0" applyAlignment="0" applyProtection="0"/>
    <xf numFmtId="0" fontId="27" fillId="42" borderId="0" applyNumberFormat="0" applyBorder="0" applyAlignment="0" applyProtection="0"/>
    <xf numFmtId="0" fontId="25" fillId="38" borderId="0" applyNumberFormat="0" applyBorder="0" applyAlignment="0" applyProtection="0"/>
    <xf numFmtId="0" fontId="26" fillId="38" borderId="0" applyNumberFormat="0" applyBorder="0" applyAlignment="0" applyProtection="0"/>
    <xf numFmtId="0" fontId="27" fillId="36" borderId="0" applyNumberFormat="0" applyBorder="0" applyAlignment="0" applyProtection="0"/>
    <xf numFmtId="0" fontId="25" fillId="32" borderId="0" applyNumberFormat="0" applyBorder="0" applyAlignment="0" applyProtection="0"/>
    <xf numFmtId="0" fontId="26" fillId="42" borderId="0" applyNumberFormat="0" applyBorder="0" applyAlignment="0" applyProtection="0"/>
    <xf numFmtId="0" fontId="27" fillId="32" borderId="0" applyNumberFormat="0" applyBorder="0" applyAlignment="0" applyProtection="0"/>
    <xf numFmtId="0" fontId="25" fillId="43" borderId="0" applyNumberFormat="0" applyBorder="0" applyAlignment="0" applyProtection="0"/>
    <xf numFmtId="0" fontId="26" fillId="43" borderId="0" applyNumberFormat="0" applyBorder="0" applyAlignment="0" applyProtection="0"/>
    <xf numFmtId="0" fontId="27" fillId="43" borderId="0" applyNumberFormat="0" applyBorder="0" applyAlignment="0" applyProtection="0"/>
    <xf numFmtId="0" fontId="21" fillId="0" borderId="0"/>
    <xf numFmtId="17" fontId="21" fillId="0" borderId="0" applyFont="0" applyFill="0" applyBorder="0" applyProtection="0">
      <alignment horizontal="left"/>
    </xf>
    <xf numFmtId="0" fontId="21" fillId="0" borderId="0" applyFont="0" applyFill="0" applyBorder="0" applyProtection="0">
      <alignment horizontal="left"/>
    </xf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30" fillId="20" borderId="0" applyNumberFormat="0" applyBorder="0" applyAlignment="0" applyProtection="0"/>
    <xf numFmtId="38" fontId="31" fillId="16" borderId="0"/>
    <xf numFmtId="0" fontId="32" fillId="0" borderId="0" applyNumberFormat="0" applyFill="0" applyBorder="0" applyAlignment="0" applyProtection="0"/>
    <xf numFmtId="0" fontId="33" fillId="44" borderId="0">
      <alignment horizontal="left"/>
    </xf>
    <xf numFmtId="2" fontId="34" fillId="15" borderId="3" applyProtection="0">
      <alignment horizontal="left"/>
      <protection locked="0"/>
    </xf>
    <xf numFmtId="0" fontId="35" fillId="0" borderId="0" applyNumberFormat="0" applyFill="0" applyBorder="0" applyAlignment="0" applyProtection="0"/>
    <xf numFmtId="0" fontId="36" fillId="0" borderId="4" applyNumberFormat="0" applyFill="0" applyAlignment="0" applyProtection="0"/>
    <xf numFmtId="0" fontId="21" fillId="45" borderId="0"/>
    <xf numFmtId="169" fontId="22" fillId="0" borderId="0" applyFont="0" applyFill="0" applyBorder="0" applyAlignment="0" applyProtection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21" fillId="0" borderId="0" applyFill="0" applyBorder="0" applyAlignment="0"/>
    <xf numFmtId="172" fontId="21" fillId="0" borderId="0" applyFill="0" applyBorder="0" applyAlignment="0"/>
    <xf numFmtId="0" fontId="21" fillId="0" borderId="0" applyFill="0" applyBorder="0" applyAlignment="0"/>
    <xf numFmtId="170" fontId="38" fillId="0" borderId="0" applyFill="0" applyBorder="0" applyAlignment="0"/>
    <xf numFmtId="0" fontId="21" fillId="0" borderId="0" applyFill="0" applyBorder="0" applyAlignment="0"/>
    <xf numFmtId="173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9" fillId="16" borderId="11" applyNumberFormat="0" applyAlignment="0" applyProtection="0"/>
    <xf numFmtId="0" fontId="40" fillId="24" borderId="11" applyNumberFormat="0" applyAlignment="0" applyProtection="0"/>
    <xf numFmtId="0" fontId="41" fillId="26" borderId="11" applyNumberFormat="0" applyAlignment="0" applyProtection="0"/>
    <xf numFmtId="0" fontId="18" fillId="2" borderId="1" applyNumberFormat="0" applyAlignment="0" applyProtection="0"/>
    <xf numFmtId="0" fontId="42" fillId="46" borderId="12" applyNumberFormat="0" applyAlignment="0" applyProtection="0"/>
    <xf numFmtId="0" fontId="43" fillId="46" borderId="12" applyNumberFormat="0" applyAlignment="0" applyProtection="0"/>
    <xf numFmtId="0" fontId="44" fillId="46" borderId="12" applyNumberFormat="0" applyAlignment="0" applyProtection="0"/>
    <xf numFmtId="0" fontId="45" fillId="0" borderId="0" applyNumberFormat="0" applyFill="0" applyBorder="0" applyAlignment="0" applyProtection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174" fontId="46" fillId="0" borderId="0"/>
    <xf numFmtId="174" fontId="47" fillId="0" borderId="0"/>
    <xf numFmtId="0" fontId="37" fillId="0" borderId="0" applyFont="0" applyFill="0" applyBorder="0" applyAlignment="0" applyProtection="0"/>
    <xf numFmtId="17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21" fillId="0" borderId="0" applyFill="0" applyBorder="0" applyAlignment="0" applyProtection="0"/>
    <xf numFmtId="0" fontId="48" fillId="0" borderId="0"/>
    <xf numFmtId="0" fontId="49" fillId="0" borderId="0" applyNumberFormat="0" applyAlignment="0">
      <alignment horizontal="left"/>
    </xf>
    <xf numFmtId="0" fontId="50" fillId="0" borderId="0">
      <alignment horizontal="center"/>
    </xf>
    <xf numFmtId="0" fontId="48" fillId="0" borderId="0"/>
    <xf numFmtId="0" fontId="37" fillId="0" borderId="0" applyFont="0" applyFill="0" applyBorder="0" applyAlignment="0" applyProtection="0"/>
    <xf numFmtId="171" fontId="21" fillId="0" borderId="0" applyFont="0" applyFill="0" applyBorder="0" applyAlignment="0" applyProtection="0"/>
    <xf numFmtId="8" fontId="51" fillId="0" borderId="13">
      <protection locked="0"/>
    </xf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5" fontId="21" fillId="0" borderId="0" applyFill="0" applyBorder="0" applyAlignment="0" applyProtection="0"/>
    <xf numFmtId="175" fontId="22" fillId="0" borderId="0" applyFont="0" applyFill="0" applyBorder="0" applyAlignment="0" applyProtection="0"/>
    <xf numFmtId="10" fontId="21" fillId="0" borderId="0" applyFont="0" applyFill="0" applyBorder="0" applyProtection="0">
      <alignment horizontal="center"/>
    </xf>
    <xf numFmtId="176" fontId="21" fillId="0" borderId="0" applyFont="0" applyFill="0" applyBorder="0" applyProtection="0"/>
    <xf numFmtId="177" fontId="21" fillId="0" borderId="0" applyFont="0" applyFill="0" applyBorder="0" applyProtection="0"/>
    <xf numFmtId="15" fontId="52" fillId="0" borderId="0" applyFont="0" applyFill="0" applyBorder="0" applyAlignment="0" applyProtection="0"/>
    <xf numFmtId="0" fontId="48" fillId="0" borderId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78" fontId="21" fillId="0" borderId="0" applyFill="0" applyBorder="0" applyAlignment="0" applyProtection="0"/>
    <xf numFmtId="15" fontId="23" fillId="16" borderId="0"/>
    <xf numFmtId="14" fontId="23" fillId="0" borderId="0" applyFill="0" applyBorder="0" applyAlignment="0"/>
    <xf numFmtId="0" fontId="50" fillId="15" borderId="0">
      <alignment horizontal="left"/>
    </xf>
    <xf numFmtId="178" fontId="21" fillId="0" borderId="0" applyFill="0" applyBorder="0" applyAlignment="0" applyProtection="0"/>
    <xf numFmtId="14" fontId="21" fillId="0" borderId="0"/>
    <xf numFmtId="0" fontId="53" fillId="28" borderId="0">
      <alignment horizontal="left"/>
    </xf>
    <xf numFmtId="0" fontId="54" fillId="0" borderId="0">
      <alignment horizontal="left"/>
    </xf>
    <xf numFmtId="38" fontId="55" fillId="0" borderId="14">
      <alignment vertical="center"/>
    </xf>
    <xf numFmtId="165" fontId="21" fillId="0" borderId="0">
      <alignment horizontal="right"/>
    </xf>
    <xf numFmtId="1" fontId="21" fillId="0" borderId="0">
      <alignment horizontal="right"/>
    </xf>
    <xf numFmtId="1" fontId="21" fillId="0" borderId="0">
      <alignment horizontal="right"/>
    </xf>
    <xf numFmtId="179" fontId="21" fillId="0" borderId="0">
      <alignment horizontal="right"/>
    </xf>
    <xf numFmtId="49" fontId="21" fillId="0" borderId="0">
      <alignment horizontal="left"/>
    </xf>
    <xf numFmtId="49" fontId="21" fillId="0" borderId="0">
      <alignment horizontal="left"/>
    </xf>
    <xf numFmtId="49" fontId="21" fillId="0" borderId="0">
      <alignment horizontal="right"/>
    </xf>
    <xf numFmtId="14" fontId="21" fillId="0" borderId="0">
      <alignment horizontal="left"/>
    </xf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56" fillId="0" borderId="0" applyNumberFormat="0" applyAlignment="0">
      <alignment horizontal="left"/>
    </xf>
    <xf numFmtId="9" fontId="57" fillId="0" borderId="15" applyNumberFormat="0" applyBorder="0" applyAlignment="0">
      <protection locked="0"/>
    </xf>
    <xf numFmtId="180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2" fontId="21" fillId="0" borderId="0" applyFill="0" applyBorder="0" applyAlignment="0" applyProtection="0"/>
    <xf numFmtId="181" fontId="21" fillId="0" borderId="0" applyFont="0" applyFill="0" applyBorder="0" applyAlignment="0" applyProtection="0"/>
    <xf numFmtId="0" fontId="23" fillId="16" borderId="0"/>
    <xf numFmtId="0" fontId="9" fillId="22" borderId="0" applyNumberFormat="0" applyBorder="0" applyAlignment="0" applyProtection="0"/>
    <xf numFmtId="0" fontId="61" fillId="25" borderId="0" applyNumberFormat="0" applyBorder="0" applyAlignment="0" applyProtection="0"/>
    <xf numFmtId="0" fontId="62" fillId="22" borderId="0" applyNumberFormat="0" applyBorder="0" applyAlignment="0" applyProtection="0"/>
    <xf numFmtId="2" fontId="63" fillId="15" borderId="3" applyProtection="0">
      <alignment horizontal="left"/>
      <protection locked="0"/>
    </xf>
    <xf numFmtId="38" fontId="45" fillId="47" borderId="0" applyNumberFormat="0" applyBorder="0" applyAlignment="0" applyProtection="0"/>
    <xf numFmtId="0" fontId="64" fillId="0" borderId="16" applyNumberFormat="0" applyAlignment="0" applyProtection="0">
      <alignment horizontal="left" vertical="center"/>
    </xf>
    <xf numFmtId="0" fontId="64" fillId="0" borderId="6">
      <alignment horizontal="left" vertical="center"/>
    </xf>
    <xf numFmtId="0" fontId="65" fillId="26" borderId="15">
      <alignment horizontal="centerContinuous"/>
    </xf>
    <xf numFmtId="0" fontId="66" fillId="0" borderId="17" applyNumberFormat="0" applyFill="0" applyAlignment="0" applyProtection="0"/>
    <xf numFmtId="0" fontId="6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19" applyNumberFormat="0" applyFill="0" applyAlignment="0" applyProtection="0"/>
    <xf numFmtId="0" fontId="71" fillId="0" borderId="20" applyNumberFormat="0" applyFill="0" applyAlignment="0" applyProtection="0"/>
    <xf numFmtId="0" fontId="72" fillId="0" borderId="21" applyNumberFormat="0" applyFill="0" applyAlignment="0" applyProtection="0"/>
    <xf numFmtId="0" fontId="5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3" fillId="0" borderId="20" applyNumberFormat="0" applyFill="0" applyAlignment="0" applyProtection="0"/>
    <xf numFmtId="0" fontId="74" fillId="0" borderId="22" applyNumberFormat="0" applyFill="0" applyAlignment="0" applyProtection="0"/>
    <xf numFmtId="0" fontId="75" fillId="0" borderId="23" applyNumberFormat="0" applyFill="0" applyAlignment="0" applyProtection="0"/>
    <xf numFmtId="0" fontId="76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16" borderId="0"/>
    <xf numFmtId="0" fontId="6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0" fontId="45" fillId="48" borderId="15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0" fontId="79" fillId="19" borderId="11" applyNumberFormat="0" applyAlignment="0" applyProtection="0"/>
    <xf numFmtId="0" fontId="79" fillId="19" borderId="11" applyNumberFormat="0" applyAlignment="0" applyProtection="0"/>
    <xf numFmtId="0" fontId="79" fillId="19" borderId="11" applyNumberFormat="0" applyAlignment="0" applyProtection="0"/>
    <xf numFmtId="0" fontId="79" fillId="19" borderId="11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21" fillId="47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3" fillId="16" borderId="0"/>
    <xf numFmtId="0" fontId="85" fillId="19" borderId="0" applyNumberFormat="0" applyBorder="0" applyAlignment="0" applyProtection="0"/>
    <xf numFmtId="0" fontId="86" fillId="23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3" fillId="16" borderId="0" applyNumberFormat="0" applyFont="0" applyFill="0" applyBorder="0" applyAlignment="0"/>
    <xf numFmtId="10" fontId="23" fillId="16" borderId="0"/>
    <xf numFmtId="182" fontId="89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2" borderId="0"/>
    <xf numFmtId="0" fontId="21" fillId="12" borderId="0"/>
    <xf numFmtId="0" fontId="21" fillId="0" borderId="0"/>
    <xf numFmtId="0" fontId="21" fillId="0" borderId="0"/>
    <xf numFmtId="0" fontId="4" fillId="4" borderId="0"/>
    <xf numFmtId="0" fontId="4" fillId="4" borderId="0"/>
    <xf numFmtId="0" fontId="4" fillId="4" borderId="0"/>
    <xf numFmtId="0" fontId="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0" fillId="21" borderId="27" applyNumberFormat="0" applyFont="0" applyAlignment="0" applyProtection="0"/>
    <xf numFmtId="0" fontId="23" fillId="21" borderId="27" applyNumberFormat="0" applyFont="0" applyAlignment="0" applyProtection="0"/>
    <xf numFmtId="0" fontId="91" fillId="0" borderId="0"/>
    <xf numFmtId="0" fontId="24" fillId="21" borderId="27" applyNumberFormat="0" applyFont="0" applyAlignment="0" applyProtection="0"/>
    <xf numFmtId="0" fontId="4" fillId="3" borderId="2" applyNumberFormat="0" applyFont="0" applyAlignment="0" applyProtection="0"/>
    <xf numFmtId="183" fontId="37" fillId="0" borderId="0">
      <alignment horizontal="center"/>
    </xf>
    <xf numFmtId="37" fontId="21" fillId="0" borderId="0"/>
    <xf numFmtId="184" fontId="4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5" fontId="92" fillId="0" borderId="0" applyNumberFormat="0" applyFill="0" applyBorder="0" applyAlignment="0" applyProtection="0"/>
    <xf numFmtId="166" fontId="37" fillId="0" borderId="0">
      <alignment horizontal="center"/>
    </xf>
    <xf numFmtId="0" fontId="92" fillId="0" borderId="28"/>
    <xf numFmtId="2" fontId="93" fillId="15" borderId="3">
      <alignment horizontal="left"/>
    </xf>
    <xf numFmtId="0" fontId="94" fillId="16" borderId="29" applyNumberFormat="0" applyAlignment="0" applyProtection="0"/>
    <xf numFmtId="0" fontId="95" fillId="24" borderId="29" applyNumberFormat="0" applyAlignment="0" applyProtection="0"/>
    <xf numFmtId="0" fontId="96" fillId="26" borderId="29" applyNumberFormat="0" applyAlignment="0" applyProtection="0"/>
    <xf numFmtId="40" fontId="23" fillId="15" borderId="0">
      <alignment horizontal="right"/>
    </xf>
    <xf numFmtId="0" fontId="97" fillId="48" borderId="0">
      <alignment horizontal="center"/>
    </xf>
    <xf numFmtId="0" fontId="43" fillId="49" borderId="3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4" fillId="0" borderId="0"/>
    <xf numFmtId="0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0" fontId="100" fillId="0" borderId="0" applyFont="0" applyFill="0" applyBorder="0" applyAlignment="0" applyProtection="0"/>
    <xf numFmtId="186" fontId="38" fillId="0" borderId="0" applyFont="0" applyFill="0" applyBorder="0" applyAlignment="0" applyProtection="0"/>
    <xf numFmtId="10" fontId="21" fillId="0" borderId="0" applyFont="0" applyFill="0" applyBorder="0" applyAlignment="0" applyProtection="0"/>
    <xf numFmtId="0" fontId="92" fillId="0" borderId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187" fontId="37" fillId="0" borderId="0">
      <alignment horizontal="center"/>
    </xf>
    <xf numFmtId="188" fontId="37" fillId="0" borderId="15">
      <alignment horizontal="center"/>
    </xf>
    <xf numFmtId="0" fontId="101" fillId="0" borderId="30" applyAlignment="0">
      <alignment horizontal="center"/>
    </xf>
    <xf numFmtId="0" fontId="102" fillId="47" borderId="0"/>
    <xf numFmtId="0" fontId="55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2" fillId="0" borderId="0">
      <alignment vertical="top"/>
    </xf>
    <xf numFmtId="189" fontId="52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23" fillId="0" borderId="3" applyNumberFormat="0" applyBorder="0" applyAlignment="0"/>
    <xf numFmtId="190" fontId="104" fillId="0" borderId="0" applyNumberFormat="0" applyFill="0" applyBorder="0" applyAlignment="0" applyProtection="0">
      <alignment horizontal="left"/>
    </xf>
    <xf numFmtId="0" fontId="53" fillId="42" borderId="0">
      <alignment horizontal="left"/>
    </xf>
    <xf numFmtId="0" fontId="105" fillId="0" borderId="32"/>
    <xf numFmtId="188" fontId="34" fillId="21" borderId="0">
      <alignment horizontal="center"/>
    </xf>
    <xf numFmtId="188" fontId="106" fillId="21" borderId="0">
      <alignment horizontal="center"/>
    </xf>
    <xf numFmtId="188" fontId="34" fillId="22" borderId="0">
      <alignment horizontal="center"/>
    </xf>
    <xf numFmtId="0" fontId="34" fillId="21" borderId="0">
      <alignment horizontal="left"/>
    </xf>
    <xf numFmtId="0" fontId="107" fillId="0" borderId="0" applyFont="0" applyFill="0" applyBorder="0" applyAlignment="0" applyProtection="0"/>
    <xf numFmtId="191" fontId="38" fillId="0" borderId="0" applyFont="0" applyFill="0" applyBorder="0" applyAlignment="0" applyProtection="0"/>
    <xf numFmtId="192" fontId="21" fillId="0" borderId="0"/>
    <xf numFmtId="0" fontId="21" fillId="0" borderId="0"/>
    <xf numFmtId="0" fontId="21" fillId="0" borderId="0">
      <alignment horizontal="left" wrapText="1"/>
    </xf>
    <xf numFmtId="0" fontId="34" fillId="21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21" fillId="15" borderId="27"/>
    <xf numFmtId="0" fontId="37" fillId="0" borderId="0">
      <alignment horizontal="center"/>
    </xf>
    <xf numFmtId="15" fontId="37" fillId="0" borderId="0">
      <alignment horizontal="center"/>
    </xf>
    <xf numFmtId="0" fontId="110" fillId="0" borderId="0">
      <alignment horizontal="center"/>
    </xf>
    <xf numFmtId="3" fontId="37" fillId="0" borderId="0">
      <alignment horizontal="center"/>
    </xf>
    <xf numFmtId="193" fontId="37" fillId="0" borderId="0">
      <alignment horizontal="center"/>
    </xf>
    <xf numFmtId="188" fontId="37" fillId="0" borderId="0">
      <alignment horizontal="center"/>
    </xf>
    <xf numFmtId="0" fontId="111" fillId="50" borderId="0"/>
    <xf numFmtId="194" fontId="37" fillId="0" borderId="0">
      <alignment horizontal="center"/>
    </xf>
    <xf numFmtId="194" fontId="37" fillId="0" borderId="33">
      <alignment horizontal="center"/>
    </xf>
    <xf numFmtId="0" fontId="37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23" fillId="16" borderId="0"/>
    <xf numFmtId="49" fontId="23" fillId="0" borderId="0" applyFill="0" applyBorder="0" applyAlignment="0"/>
    <xf numFmtId="0" fontId="37" fillId="0" borderId="0" applyFill="0" applyBorder="0" applyAlignment="0"/>
    <xf numFmtId="171" fontId="21" fillId="0" borderId="0" applyFill="0" applyBorder="0" applyAlignment="0"/>
    <xf numFmtId="0" fontId="21" fillId="0" borderId="0" applyFill="0" applyBorder="0" applyAlignment="0"/>
    <xf numFmtId="173" fontId="21" fillId="0" borderId="0" applyFill="0" applyBorder="0" applyAlignment="0"/>
    <xf numFmtId="49" fontId="21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1" fillId="16" borderId="0"/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101" fillId="0" borderId="0" applyNumberFormat="0" applyFill="0" applyBorder="0" applyAlignment="0" applyProtection="0"/>
    <xf numFmtId="0" fontId="20" fillId="0" borderId="34" applyNumberFormat="0" applyFill="0" applyAlignment="0" applyProtection="0"/>
    <xf numFmtId="0" fontId="31" fillId="0" borderId="35" applyNumberFormat="0" applyFill="0" applyAlignment="0" applyProtection="0"/>
    <xf numFmtId="0" fontId="21" fillId="0" borderId="36" applyNumberFormat="0" applyFill="0" applyAlignment="0" applyProtection="0"/>
    <xf numFmtId="0" fontId="119" fillId="0" borderId="37" applyNumberFormat="0" applyFill="0" applyAlignment="0" applyProtection="0"/>
    <xf numFmtId="0" fontId="120" fillId="16" borderId="0"/>
    <xf numFmtId="0" fontId="8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" fontId="123" fillId="12" borderId="9" applyNumberFormat="0"/>
    <xf numFmtId="0" fontId="21" fillId="0" borderId="0"/>
    <xf numFmtId="0" fontId="4" fillId="4" borderId="0"/>
    <xf numFmtId="0" fontId="4" fillId="4" borderId="0"/>
    <xf numFmtId="0" fontId="21" fillId="0" borderId="0"/>
    <xf numFmtId="0" fontId="12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3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" fillId="4" borderId="10" applyNumberFormat="0"/>
    <xf numFmtId="44" fontId="21" fillId="0" borderId="0" applyFont="0" applyFill="0" applyBorder="0" applyAlignment="0" applyProtection="0"/>
    <xf numFmtId="0" fontId="1" fillId="0" borderId="0"/>
    <xf numFmtId="0" fontId="4" fillId="3" borderId="2" applyNumberFormat="0" applyFont="0" applyAlignment="0" applyProtection="0"/>
    <xf numFmtId="0" fontId="5" fillId="6" borderId="7" applyNumberFormat="0" applyBorder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>
      <alignment vertical="top"/>
    </xf>
    <xf numFmtId="0" fontId="12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1" fillId="0" borderId="0">
      <alignment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43" fontId="21" fillId="0" borderId="0" applyFont="0" applyFill="0" applyBorder="0" applyAlignment="0" applyProtection="0"/>
    <xf numFmtId="191" fontId="38" fillId="0" borderId="0" applyFont="0" applyFill="0" applyBorder="0" applyAlignment="0" applyProtection="0"/>
    <xf numFmtId="186" fontId="38" fillId="0" borderId="0" applyFont="0" applyFill="0" applyBorder="0" applyAlignment="0" applyProtection="0"/>
    <xf numFmtId="0" fontId="79" fillId="19" borderId="11" applyNumberFormat="0" applyAlignment="0" applyProtection="0"/>
    <xf numFmtId="178" fontId="21" fillId="0" borderId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38" fillId="0" borderId="0" applyFill="0" applyBorder="0" applyAlignment="0"/>
    <xf numFmtId="0" fontId="22" fillId="0" borderId="0"/>
    <xf numFmtId="0" fontId="118" fillId="0" borderId="0" applyNumberForma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5" fontId="23" fillId="16" borderId="0"/>
    <xf numFmtId="37" fontId="80" fillId="0" borderId="0" applyNumberFormat="0" applyAlignment="0">
      <protection locked="0"/>
    </xf>
    <xf numFmtId="0" fontId="31" fillId="16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191" fontId="38" fillId="0" borderId="0" applyFont="0" applyFill="0" applyBorder="0" applyAlignment="0" applyProtection="0"/>
    <xf numFmtId="186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38" fillId="0" borderId="0" applyFill="0" applyBorder="0" applyAlignment="0"/>
    <xf numFmtId="0" fontId="22" fillId="0" borderId="0"/>
    <xf numFmtId="44" fontId="4" fillId="0" borderId="0" applyFont="0" applyFill="0" applyBorder="0" applyAlignment="0" applyProtection="0"/>
    <xf numFmtId="0" fontId="1" fillId="0" borderId="0"/>
    <xf numFmtId="0" fontId="24" fillId="18" borderId="0" applyNumberFormat="0" applyBorder="0" applyAlignment="0" applyProtection="0"/>
    <xf numFmtId="0" fontId="24" fillId="20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19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32" borderId="0" applyNumberFormat="0" applyBorder="0" applyAlignment="0" applyProtection="0"/>
    <xf numFmtId="0" fontId="27" fillId="37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36" borderId="0" applyNumberFormat="0" applyBorder="0" applyAlignment="0" applyProtection="0"/>
    <xf numFmtId="0" fontId="27" fillId="32" borderId="0" applyNumberFormat="0" applyBorder="0" applyAlignment="0" applyProtection="0"/>
    <xf numFmtId="0" fontId="27" fillId="43" borderId="0" applyNumberFormat="0" applyBorder="0" applyAlignment="0" applyProtection="0"/>
    <xf numFmtId="0" fontId="30" fillId="20" borderId="0" applyNumberFormat="0" applyBorder="0" applyAlignment="0" applyProtection="0"/>
    <xf numFmtId="0" fontId="41" fillId="26" borderId="11" applyNumberFormat="0" applyAlignment="0" applyProtection="0"/>
    <xf numFmtId="0" fontId="44" fillId="46" borderId="12" applyNumberFormat="0" applyAlignment="0" applyProtection="0"/>
    <xf numFmtId="43" fontId="24" fillId="0" borderId="0" applyFont="0" applyFill="0" applyBorder="0" applyAlignment="0" applyProtection="0"/>
    <xf numFmtId="43" fontId="127" fillId="0" borderId="0" applyFont="0" applyFill="0" applyBorder="0" applyAlignment="0" applyProtection="0"/>
    <xf numFmtId="44" fontId="127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2" fillId="22" borderId="0" applyNumberFormat="0" applyBorder="0" applyAlignment="0" applyProtection="0"/>
    <xf numFmtId="0" fontId="70" fillId="0" borderId="19" applyNumberFormat="0" applyFill="0" applyAlignment="0" applyProtection="0"/>
    <xf numFmtId="0" fontId="73" fillId="0" borderId="20" applyNumberFormat="0" applyFill="0" applyAlignment="0" applyProtection="0"/>
    <xf numFmtId="0" fontId="76" fillId="0" borderId="24" applyNumberFormat="0" applyFill="0" applyAlignment="0" applyProtection="0"/>
    <xf numFmtId="0" fontId="76" fillId="0" borderId="0" applyNumberFormat="0" applyFill="0" applyBorder="0" applyAlignment="0" applyProtection="0"/>
    <xf numFmtId="0" fontId="128" fillId="19" borderId="11" applyNumberFormat="0" applyAlignment="0" applyProtection="0"/>
    <xf numFmtId="0" fontId="84" fillId="0" borderId="26" applyNumberFormat="0" applyFill="0" applyAlignment="0" applyProtection="0"/>
    <xf numFmtId="0" fontId="87" fillId="45" borderId="0" applyNumberFormat="0" applyBorder="0" applyAlignment="0" applyProtection="0"/>
    <xf numFmtId="0" fontId="21" fillId="0" borderId="0"/>
    <xf numFmtId="0" fontId="126" fillId="0" borderId="0"/>
    <xf numFmtId="0" fontId="127" fillId="0" borderId="0"/>
    <xf numFmtId="0" fontId="24" fillId="21" borderId="27" applyNumberFormat="0" applyFont="0" applyAlignment="0" applyProtection="0"/>
    <xf numFmtId="0" fontId="96" fillId="26" borderId="29" applyNumberFormat="0" applyAlignment="0" applyProtection="0"/>
    <xf numFmtId="9" fontId="24" fillId="0" borderId="0" applyFont="0" applyFill="0" applyBorder="0" applyAlignment="0" applyProtection="0"/>
    <xf numFmtId="9" fontId="127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37" applyNumberFormat="0" applyFill="0" applyAlignment="0" applyProtection="0"/>
    <xf numFmtId="0" fontId="1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1" fillId="0" borderId="0"/>
    <xf numFmtId="0" fontId="21" fillId="0" borderId="0">
      <alignment horizontal="left" wrapText="1"/>
    </xf>
    <xf numFmtId="44" fontId="4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/>
    <xf numFmtId="165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7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/>
    <xf numFmtId="10" fontId="0" fillId="0" borderId="0" xfId="0" applyNumberFormat="1"/>
    <xf numFmtId="10" fontId="0" fillId="51" borderId="0" xfId="1" applyNumberFormat="1" applyFont="1" applyFill="1"/>
    <xf numFmtId="10" fontId="0" fillId="51" borderId="0" xfId="0" applyNumberFormat="1" applyFill="1"/>
    <xf numFmtId="9" fontId="0" fillId="0" borderId="0" xfId="0" applyNumberFormat="1"/>
    <xf numFmtId="0" fontId="0" fillId="0" borderId="0" xfId="0" applyAlignment="1">
      <alignment horizontal="right"/>
    </xf>
    <xf numFmtId="165" fontId="0" fillId="0" borderId="0" xfId="1" applyNumberFormat="1" applyFont="1"/>
  </cellXfs>
  <cellStyles count="697">
    <cellStyle name="_Bonds" xfId="42"/>
    <cellStyle name="_Bonds 2" xfId="43"/>
    <cellStyle name="_Offering" xfId="44"/>
    <cellStyle name="_Offering 2" xfId="45"/>
    <cellStyle name="£ BP" xfId="46"/>
    <cellStyle name="¥ JY" xfId="47"/>
    <cellStyle name="20% - Accent1 2" xfId="48"/>
    <cellStyle name="20% - Accent1 2 2" xfId="641"/>
    <cellStyle name="20% - Accent1 3" xfId="49"/>
    <cellStyle name="20% - Accent1 4" xfId="50"/>
    <cellStyle name="20% - Accent2 2" xfId="51"/>
    <cellStyle name="20% - Accent2 2 2" xfId="642"/>
    <cellStyle name="20% - Accent2 3" xfId="52"/>
    <cellStyle name="20% - Accent2 4" xfId="53"/>
    <cellStyle name="20% - Accent3 2" xfId="54"/>
    <cellStyle name="20% - Accent3 2 2" xfId="643"/>
    <cellStyle name="20% - Accent3 3" xfId="55"/>
    <cellStyle name="20% - Accent3 4" xfId="56"/>
    <cellStyle name="20% - Accent4 2" xfId="57"/>
    <cellStyle name="20% - Accent4 2 2" xfId="644"/>
    <cellStyle name="20% - Accent4 3" xfId="58"/>
    <cellStyle name="20% - Accent4 4" xfId="59"/>
    <cellStyle name="20% - Accent5 2" xfId="60"/>
    <cellStyle name="20% - Accent5 2 2" xfId="645"/>
    <cellStyle name="20% - Accent5 3" xfId="61"/>
    <cellStyle name="20% - Accent5 4" xfId="62"/>
    <cellStyle name="20% - Accent6 2" xfId="63"/>
    <cellStyle name="20% - Accent6 2 2" xfId="646"/>
    <cellStyle name="20% - Accent6 3" xfId="64"/>
    <cellStyle name="20% - Accent6 4" xfId="65"/>
    <cellStyle name="40% - Accent1 2" xfId="66"/>
    <cellStyle name="40% - Accent1 2 2" xfId="647"/>
    <cellStyle name="40% - Accent1 3" xfId="67"/>
    <cellStyle name="40% - Accent1 4" xfId="68"/>
    <cellStyle name="40% - Accent2 2" xfId="69"/>
    <cellStyle name="40% - Accent2 2 2" xfId="648"/>
    <cellStyle name="40% - Accent2 3" xfId="70"/>
    <cellStyle name="40% - Accent2 4" xfId="71"/>
    <cellStyle name="40% - Accent3 2" xfId="72"/>
    <cellStyle name="40% - Accent3 2 2" xfId="649"/>
    <cellStyle name="40% - Accent3 3" xfId="73"/>
    <cellStyle name="40% - Accent3 4" xfId="74"/>
    <cellStyle name="40% - Accent4 2" xfId="75"/>
    <cellStyle name="40% - Accent4 2 2" xfId="650"/>
    <cellStyle name="40% - Accent4 3" xfId="76"/>
    <cellStyle name="40% - Accent4 4" xfId="77"/>
    <cellStyle name="40% - Accent5 2" xfId="78"/>
    <cellStyle name="40% - Accent5 2 2" xfId="651"/>
    <cellStyle name="40% - Accent5 3" xfId="79"/>
    <cellStyle name="40% - Accent5 4" xfId="80"/>
    <cellStyle name="40% - Accent6 2" xfId="81"/>
    <cellStyle name="40% - Accent6 2 2" xfId="652"/>
    <cellStyle name="40% - Accent6 3" xfId="82"/>
    <cellStyle name="40% - Accent6 4" xfId="83"/>
    <cellStyle name="60% - Accent1 2" xfId="84"/>
    <cellStyle name="60% - Accent1 2 2" xfId="653"/>
    <cellStyle name="60% - Accent1 3" xfId="85"/>
    <cellStyle name="60% - Accent1 4" xfId="86"/>
    <cellStyle name="60% - Accent2 2" xfId="87"/>
    <cellStyle name="60% - Accent2 2 2" xfId="654"/>
    <cellStyle name="60% - Accent2 3" xfId="88"/>
    <cellStyle name="60% - Accent2 4" xfId="89"/>
    <cellStyle name="60% - Accent3 2" xfId="90"/>
    <cellStyle name="60% - Accent3 2 2" xfId="655"/>
    <cellStyle name="60% - Accent3 3" xfId="91"/>
    <cellStyle name="60% - Accent3 4" xfId="92"/>
    <cellStyle name="60% - Accent4 2" xfId="93"/>
    <cellStyle name="60% - Accent4 2 2" xfId="656"/>
    <cellStyle name="60% - Accent4 3" xfId="94"/>
    <cellStyle name="60% - Accent4 4" xfId="95"/>
    <cellStyle name="60% - Accent5 2" xfId="96"/>
    <cellStyle name="60% - Accent5 2 2" xfId="657"/>
    <cellStyle name="60% - Accent5 3" xfId="97"/>
    <cellStyle name="60% - Accent5 4" xfId="98"/>
    <cellStyle name="60% - Accent6 2" xfId="99"/>
    <cellStyle name="60% - Accent6 2 2" xfId="658"/>
    <cellStyle name="60% - Accent6 3" xfId="100"/>
    <cellStyle name="60% - Accent6 4" xfId="101"/>
    <cellStyle name="Accent1 2" xfId="102"/>
    <cellStyle name="Accent1 2 2" xfId="659"/>
    <cellStyle name="Accent1 3" xfId="103"/>
    <cellStyle name="Accent1 4" xfId="104"/>
    <cellStyle name="Accent2 2" xfId="105"/>
    <cellStyle name="Accent2 2 2" xfId="660"/>
    <cellStyle name="Accent2 3" xfId="106"/>
    <cellStyle name="Accent2 4" xfId="107"/>
    <cellStyle name="Accent3 2" xfId="108"/>
    <cellStyle name="Accent3 2 2" xfId="661"/>
    <cellStyle name="Accent3 3" xfId="109"/>
    <cellStyle name="Accent3 4" xfId="110"/>
    <cellStyle name="Accent4 2" xfId="111"/>
    <cellStyle name="Accent4 2 2" xfId="662"/>
    <cellStyle name="Accent4 3" xfId="112"/>
    <cellStyle name="Accent4 4" xfId="113"/>
    <cellStyle name="Accent5 2" xfId="114"/>
    <cellStyle name="Accent5 2 2" xfId="663"/>
    <cellStyle name="Accent5 3" xfId="115"/>
    <cellStyle name="Accent5 4" xfId="116"/>
    <cellStyle name="Accent6 2" xfId="117"/>
    <cellStyle name="Accent6 2 2" xfId="664"/>
    <cellStyle name="Accent6 3" xfId="118"/>
    <cellStyle name="Accent6 4" xfId="119"/>
    <cellStyle name="Auto_OpenAuto_CloseExtractD_Sheet1" xfId="120"/>
    <cellStyle name="Axis.EffectiveDate" xfId="121"/>
    <cellStyle name="Axis.Seasoning" xfId="122"/>
    <cellStyle name="Bad 2" xfId="123"/>
    <cellStyle name="Bad 2 2" xfId="665"/>
    <cellStyle name="Bad 3" xfId="124"/>
    <cellStyle name="Bad 4" xfId="125"/>
    <cellStyle name="Big Money" xfId="126"/>
    <cellStyle name="Blue" xfId="127"/>
    <cellStyle name="blue axis cells" xfId="128"/>
    <cellStyle name="blue text cells" xfId="129"/>
    <cellStyle name="Body" xfId="130"/>
    <cellStyle name="Bold/Border" xfId="131"/>
    <cellStyle name="Border" xfId="132"/>
    <cellStyle name="Bullet" xfId="133"/>
    <cellStyle name="Calc Currency (0)" xfId="134"/>
    <cellStyle name="Calc Currency (0) 2" xfId="135"/>
    <cellStyle name="Calc Currency (2)" xfId="136"/>
    <cellStyle name="Calc Currency (2) 2" xfId="137"/>
    <cellStyle name="Calc Percent (0)" xfId="138"/>
    <cellStyle name="Calc Percent (0) 2" xfId="139"/>
    <cellStyle name="Calc Percent (1)" xfId="140"/>
    <cellStyle name="Calc Percent (1) 2" xfId="141"/>
    <cellStyle name="Calc Percent (1) 3" xfId="593"/>
    <cellStyle name="Calc Percent (1) 3 2" xfId="637"/>
    <cellStyle name="Calc Percent (2)" xfId="142"/>
    <cellStyle name="Calc Percent (2) 2" xfId="143"/>
    <cellStyle name="Calc Units (0)" xfId="144"/>
    <cellStyle name="Calc Units (0) 2" xfId="145"/>
    <cellStyle name="Calc Units (1)" xfId="146"/>
    <cellStyle name="Calc Units (1) 2" xfId="147"/>
    <cellStyle name="Calc Units (2)" xfId="148"/>
    <cellStyle name="Calc Units (2) 2" xfId="149"/>
    <cellStyle name="Calculation 2" xfId="150"/>
    <cellStyle name="Calculation 2 2" xfId="666"/>
    <cellStyle name="Calculation 3" xfId="151"/>
    <cellStyle name="Calculation 4" xfId="152"/>
    <cellStyle name="Calculation 5" xfId="153"/>
    <cellStyle name="CCM Input" xfId="9"/>
    <cellStyle name="CCM Title Calculations" xfId="10"/>
    <cellStyle name="CCM Title Indicative" xfId="11"/>
    <cellStyle name="Cello Calculation" xfId="12"/>
    <cellStyle name="Cello Calculation 2" xfId="13"/>
    <cellStyle name="Cello Calculation 2 2" xfId="14"/>
    <cellStyle name="Cello Calculation 3" xfId="534"/>
    <cellStyle name="Cello Input" xfId="3"/>
    <cellStyle name="Cello Input 2" xfId="15"/>
    <cellStyle name="Cello Input 2 2" xfId="16"/>
    <cellStyle name="Cello Input 2 3" xfId="538"/>
    <cellStyle name="Cello Input 3" xfId="17"/>
    <cellStyle name="Cello Linked Cell" xfId="18"/>
    <cellStyle name="Cello Linked Cell 2" xfId="19"/>
    <cellStyle name="Cello Linked Cell 2 2" xfId="20"/>
    <cellStyle name="Check Cell 2" xfId="154"/>
    <cellStyle name="Check Cell 2 2" xfId="667"/>
    <cellStyle name="Check Cell 3" xfId="155"/>
    <cellStyle name="Check Cell 4" xfId="156"/>
    <cellStyle name="Co. Names" xfId="157"/>
    <cellStyle name="Comma  - Style1" xfId="158"/>
    <cellStyle name="Comma  - Style1 2" xfId="159"/>
    <cellStyle name="Comma  - Style2" xfId="160"/>
    <cellStyle name="Comma  - Style2 2" xfId="161"/>
    <cellStyle name="Comma  - Style3" xfId="162"/>
    <cellStyle name="Comma  - Style3 2" xfId="163"/>
    <cellStyle name="Comma  - Style4" xfId="164"/>
    <cellStyle name="Comma  - Style4 2" xfId="165"/>
    <cellStyle name="Comma  - Style5" xfId="166"/>
    <cellStyle name="Comma  - Style5 2" xfId="167"/>
    <cellStyle name="Comma  - Style6" xfId="168"/>
    <cellStyle name="Comma  - Style6 2" xfId="169"/>
    <cellStyle name="Comma  - Style7" xfId="170"/>
    <cellStyle name="Comma  - Style7 2" xfId="171"/>
    <cellStyle name="Comma  - Style8" xfId="172"/>
    <cellStyle name="Comma  - Style8 2" xfId="173"/>
    <cellStyle name="Comma [00]" xfId="174"/>
    <cellStyle name="Comma [00] 2" xfId="175"/>
    <cellStyle name="Comma 10" xfId="176"/>
    <cellStyle name="Comma 11" xfId="177"/>
    <cellStyle name="Comma 12" xfId="178"/>
    <cellStyle name="Comma 13" xfId="179"/>
    <cellStyle name="Comma 14" xfId="180"/>
    <cellStyle name="Comma 15" xfId="181"/>
    <cellStyle name="Comma 16" xfId="182"/>
    <cellStyle name="Comma 16 2" xfId="541"/>
    <cellStyle name="Comma 17" xfId="183"/>
    <cellStyle name="Comma 18" xfId="184"/>
    <cellStyle name="Comma 19" xfId="185"/>
    <cellStyle name="Comma 2" xfId="186"/>
    <cellStyle name="Comma 2 2" xfId="668"/>
    <cellStyle name="Comma 20" xfId="187"/>
    <cellStyle name="Comma 21" xfId="188"/>
    <cellStyle name="Comma 22" xfId="532"/>
    <cellStyle name="Comma 23" xfId="554"/>
    <cellStyle name="Comma 24" xfId="539"/>
    <cellStyle name="Comma 25" xfId="553"/>
    <cellStyle name="Comma 26" xfId="557"/>
    <cellStyle name="Comma 27" xfId="558"/>
    <cellStyle name="Comma 28" xfId="550"/>
    <cellStyle name="Comma 29" xfId="561"/>
    <cellStyle name="Comma 29 2" xfId="576"/>
    <cellStyle name="Comma 29 2 2" xfId="625"/>
    <cellStyle name="Comma 29 3" xfId="611"/>
    <cellStyle name="Comma 3" xfId="189"/>
    <cellStyle name="Comma 30" xfId="569"/>
    <cellStyle name="Comma 30 2" xfId="618"/>
    <cellStyle name="Comma 31" xfId="586"/>
    <cellStyle name="Comma 32" xfId="592"/>
    <cellStyle name="Comma 32 2" xfId="636"/>
    <cellStyle name="Comma 33" xfId="598"/>
    <cellStyle name="Comma 34" xfId="603"/>
    <cellStyle name="Comma 34 2" xfId="693"/>
    <cellStyle name="Comma 35" xfId="604"/>
    <cellStyle name="Comma 36" xfId="690"/>
    <cellStyle name="Comma 4" xfId="190"/>
    <cellStyle name="Comma 4 2" xfId="542"/>
    <cellStyle name="Comma 4 3" xfId="669"/>
    <cellStyle name="Comma 5" xfId="191"/>
    <cellStyle name="Comma 6" xfId="192"/>
    <cellStyle name="Comma 7" xfId="193"/>
    <cellStyle name="Comma 8" xfId="194"/>
    <cellStyle name="Comma 9" xfId="195"/>
    <cellStyle name="Comma0" xfId="196"/>
    <cellStyle name="Comma1 - Style1" xfId="197"/>
    <cellStyle name="Copied" xfId="198"/>
    <cellStyle name="CTDSwitchAnalysisHeader" xfId="199"/>
    <cellStyle name="Curren - Style2" xfId="200"/>
    <cellStyle name="Currency [00]" xfId="201"/>
    <cellStyle name="Currency [00] 2" xfId="202"/>
    <cellStyle name="Currency [2]" xfId="203"/>
    <cellStyle name="Currency 10" xfId="535"/>
    <cellStyle name="Currency 11" xfId="540"/>
    <cellStyle name="Currency 12" xfId="552"/>
    <cellStyle name="Currency 13" xfId="556"/>
    <cellStyle name="Currency 14" xfId="551"/>
    <cellStyle name="Currency 15" xfId="555"/>
    <cellStyle name="Currency 16" xfId="591"/>
    <cellStyle name="Currency 16 2" xfId="635"/>
    <cellStyle name="Currency 17" xfId="639"/>
    <cellStyle name="Currency 18" xfId="696"/>
    <cellStyle name="Currency 2" xfId="204"/>
    <cellStyle name="Currency 2 2" xfId="670"/>
    <cellStyle name="Currency 3" xfId="205"/>
    <cellStyle name="Currency 4" xfId="206"/>
    <cellStyle name="Currency 5" xfId="207"/>
    <cellStyle name="Currency 6" xfId="208"/>
    <cellStyle name="Currency 7" xfId="209"/>
    <cellStyle name="Currency 8" xfId="210"/>
    <cellStyle name="Currency 9" xfId="533"/>
    <cellStyle name="Currency0" xfId="211"/>
    <cellStyle name="Dash" xfId="212"/>
    <cellStyle name="Data.LongPercent" xfId="213"/>
    <cellStyle name="Data.NumPercent" xfId="214"/>
    <cellStyle name="Data.NumShortPercent" xfId="215"/>
    <cellStyle name="date" xfId="216"/>
    <cellStyle name="Date - Style3" xfId="217"/>
    <cellStyle name="Date 2" xfId="218"/>
    <cellStyle name="Date 3" xfId="219"/>
    <cellStyle name="Date 4" xfId="220"/>
    <cellStyle name="Date 5" xfId="221"/>
    <cellStyle name="Date 6" xfId="222"/>
    <cellStyle name="Date 7" xfId="223"/>
    <cellStyle name="Date 8" xfId="590"/>
    <cellStyle name="Date 9" xfId="599"/>
    <cellStyle name="Date Short" xfId="224"/>
    <cellStyle name="date title" xfId="225"/>
    <cellStyle name="Date_DV01" xfId="226"/>
    <cellStyle name="DateFormat" xfId="227"/>
    <cellStyle name="DBAHandle" xfId="228"/>
    <cellStyle name="DBAParameter" xfId="229"/>
    <cellStyle name="DELTA" xfId="230"/>
    <cellStyle name="DS 0" xfId="231"/>
    <cellStyle name="DS 1" xfId="232"/>
    <cellStyle name="DS 2" xfId="233"/>
    <cellStyle name="DS 3" xfId="234"/>
    <cellStyle name="DS 4" xfId="235"/>
    <cellStyle name="DS 5" xfId="236"/>
    <cellStyle name="DS 5 2" xfId="237"/>
    <cellStyle name="DS 6" xfId="238"/>
    <cellStyle name="Enter Currency (0)" xfId="239"/>
    <cellStyle name="Enter Currency (0) 2" xfId="240"/>
    <cellStyle name="Enter Currency (2)" xfId="241"/>
    <cellStyle name="Enter Currency (2) 2" xfId="242"/>
    <cellStyle name="Enter Units (0)" xfId="243"/>
    <cellStyle name="Enter Units (0) 2" xfId="244"/>
    <cellStyle name="Enter Units (1)" xfId="245"/>
    <cellStyle name="Enter Units (1) 2" xfId="246"/>
    <cellStyle name="Enter Units (2)" xfId="247"/>
    <cellStyle name="Enter Units (2) 2" xfId="248"/>
    <cellStyle name="Entered" xfId="249"/>
    <cellStyle name="Entries" xfId="250"/>
    <cellStyle name="Euro" xfId="251"/>
    <cellStyle name="Explanatory Text 2" xfId="252"/>
    <cellStyle name="Explanatory Text 2 2" xfId="671"/>
    <cellStyle name="Explanatory Text 3" xfId="253"/>
    <cellStyle name="Explanatory Text 4" xfId="254"/>
    <cellStyle name="Fixed" xfId="255"/>
    <cellStyle name="FullTime" xfId="256"/>
    <cellStyle name="General" xfId="257"/>
    <cellStyle name="Good 2" xfId="258"/>
    <cellStyle name="Good 2 2" xfId="672"/>
    <cellStyle name="Good 3" xfId="259"/>
    <cellStyle name="Good 4" xfId="260"/>
    <cellStyle name="gray text cells" xfId="261"/>
    <cellStyle name="Grey" xfId="262"/>
    <cellStyle name="Header1" xfId="263"/>
    <cellStyle name="Header2" xfId="264"/>
    <cellStyle name="Heading" xfId="265"/>
    <cellStyle name="Heading 1 2" xfId="266"/>
    <cellStyle name="Heading 1 2 2" xfId="267"/>
    <cellStyle name="Heading 1 2 3" xfId="673"/>
    <cellStyle name="Heading 1 3" xfId="268"/>
    <cellStyle name="Heading 1 4" xfId="269"/>
    <cellStyle name="Heading 1 5" xfId="270"/>
    <cellStyle name="Heading 2 2" xfId="271"/>
    <cellStyle name="Heading 2 2 2" xfId="272"/>
    <cellStyle name="Heading 2 2 3" xfId="674"/>
    <cellStyle name="Heading 2 3" xfId="273"/>
    <cellStyle name="Heading 2 4" xfId="274"/>
    <cellStyle name="Heading 2 5" xfId="275"/>
    <cellStyle name="Heading 3 2" xfId="276"/>
    <cellStyle name="Heading 3 2 2" xfId="675"/>
    <cellStyle name="Heading 3 3" xfId="277"/>
    <cellStyle name="Heading 3 4" xfId="278"/>
    <cellStyle name="Heading 4 2" xfId="279"/>
    <cellStyle name="Heading 4 2 2" xfId="676"/>
    <cellStyle name="Heading 4 3" xfId="280"/>
    <cellStyle name="Heading 4 4" xfId="281"/>
    <cellStyle name="Heading 5" xfId="282"/>
    <cellStyle name="HEADING1" xfId="283"/>
    <cellStyle name="HEADING2" xfId="284"/>
    <cellStyle name="Hyperlink 2" xfId="560"/>
    <cellStyle name="Hyperlink 3" xfId="529"/>
    <cellStyle name="Input [yellow]" xfId="285"/>
    <cellStyle name="Input 2" xfId="286"/>
    <cellStyle name="Input 2 2" xfId="677"/>
    <cellStyle name="Input 3" xfId="287"/>
    <cellStyle name="Input 4" xfId="288"/>
    <cellStyle name="Input 5" xfId="289"/>
    <cellStyle name="Input 6" xfId="290"/>
    <cellStyle name="Input 7" xfId="291"/>
    <cellStyle name="Input 8" xfId="589"/>
    <cellStyle name="Input 9" xfId="600"/>
    <cellStyle name="Item" xfId="292"/>
    <cellStyle name="Link Currency (0)" xfId="293"/>
    <cellStyle name="Link Currency (0) 2" xfId="294"/>
    <cellStyle name="Link Currency (2)" xfId="295"/>
    <cellStyle name="Link Currency (2) 2" xfId="296"/>
    <cellStyle name="Link Units (0)" xfId="297"/>
    <cellStyle name="Link Units (0) 2" xfId="298"/>
    <cellStyle name="Link Units (1)" xfId="299"/>
    <cellStyle name="Link Units (1) 2" xfId="300"/>
    <cellStyle name="Link Units (2)" xfId="301"/>
    <cellStyle name="Link Units (2) 2" xfId="302"/>
    <cellStyle name="Linked Cell 2" xfId="303"/>
    <cellStyle name="Linked Cell 2 2" xfId="678"/>
    <cellStyle name="Linked Cell 3" xfId="304"/>
    <cellStyle name="Linked Cell 4" xfId="305"/>
    <cellStyle name="Lookup" xfId="306"/>
    <cellStyle name="Milliers [0]_Basis" xfId="307"/>
    <cellStyle name="Milliers_Basis" xfId="308"/>
    <cellStyle name="Monétaire [0]_Basis" xfId="309"/>
    <cellStyle name="Monétaire_Basis" xfId="310"/>
    <cellStyle name="Money" xfId="311"/>
    <cellStyle name="Neutral 2" xfId="312"/>
    <cellStyle name="Neutral 2 2" xfId="679"/>
    <cellStyle name="Neutral 3" xfId="313"/>
    <cellStyle name="Neutral 4" xfId="314"/>
    <cellStyle name="no dec" xfId="315"/>
    <cellStyle name="NoChange" xfId="316"/>
    <cellStyle name="Non Zero" xfId="317"/>
    <cellStyle name="Normal" xfId="0" builtinId="0"/>
    <cellStyle name="Normal - Style1" xfId="318"/>
    <cellStyle name="Normal 10" xfId="319"/>
    <cellStyle name="Normal 10 2" xfId="543"/>
    <cellStyle name="Normal 11" xfId="320"/>
    <cellStyle name="Normal 11 2" xfId="544"/>
    <cellStyle name="Normal 12" xfId="321"/>
    <cellStyle name="Normal 13" xfId="322"/>
    <cellStyle name="Normal 14" xfId="323"/>
    <cellStyle name="Normal 15" xfId="324"/>
    <cellStyle name="Normal 16" xfId="325"/>
    <cellStyle name="Normal 17" xfId="326"/>
    <cellStyle name="Normal 18" xfId="327"/>
    <cellStyle name="Normal 19" xfId="328"/>
    <cellStyle name="Normal 2" xfId="2"/>
    <cellStyle name="Normal 2 2" xfId="21"/>
    <cellStyle name="Normal 2 2 2" xfId="531"/>
    <cellStyle name="Normal 2 3" xfId="329"/>
    <cellStyle name="Normal 2 3 2" xfId="567"/>
    <cellStyle name="Normal 2 3 2 2" xfId="582"/>
    <cellStyle name="Normal 2 3 2 2 2" xfId="631"/>
    <cellStyle name="Normal 2 3 2 3" xfId="617"/>
    <cellStyle name="Normal 2 3 3" xfId="575"/>
    <cellStyle name="Normal 2 3 3 2" xfId="624"/>
    <cellStyle name="Normal 2 3 4" xfId="610"/>
    <cellStyle name="Normal 2 4" xfId="536"/>
    <cellStyle name="Normal 2 4 2" xfId="565"/>
    <cellStyle name="Normal 2 4 2 2" xfId="580"/>
    <cellStyle name="Normal 2 4 2 2 2" xfId="629"/>
    <cellStyle name="Normal 2 4 2 3" xfId="615"/>
    <cellStyle name="Normal 2 4 3" xfId="573"/>
    <cellStyle name="Normal 2 4 3 2" xfId="622"/>
    <cellStyle name="Normal 2 4 4" xfId="608"/>
    <cellStyle name="Normal 2 5" xfId="563"/>
    <cellStyle name="Normal 2 5 2" xfId="578"/>
    <cellStyle name="Normal 2 5 2 2" xfId="627"/>
    <cellStyle name="Normal 2 5 3" xfId="613"/>
    <cellStyle name="Normal 2 6" xfId="571"/>
    <cellStyle name="Normal 2 6 2" xfId="620"/>
    <cellStyle name="Normal 2 7" xfId="606"/>
    <cellStyle name="Normal 2 8" xfId="680"/>
    <cellStyle name="Normal 20" xfId="330"/>
    <cellStyle name="Normal 21" xfId="331"/>
    <cellStyle name="Normal 22" xfId="332"/>
    <cellStyle name="Normal 23" xfId="333"/>
    <cellStyle name="Normal 24" xfId="334"/>
    <cellStyle name="Normal 25" xfId="335"/>
    <cellStyle name="Normal 26" xfId="336"/>
    <cellStyle name="Normal 27" xfId="337"/>
    <cellStyle name="Normal 28" xfId="338"/>
    <cellStyle name="Normal 28 2" xfId="545"/>
    <cellStyle name="Normal 29" xfId="339"/>
    <cellStyle name="Normal 3" xfId="22"/>
    <cellStyle name="Normal 3 2" xfId="681"/>
    <cellStyle name="Normal 3 3" xfId="528"/>
    <cellStyle name="Normal 30" xfId="340"/>
    <cellStyle name="Normal 31" xfId="341"/>
    <cellStyle name="Normal 32" xfId="342"/>
    <cellStyle name="Normal 33" xfId="343"/>
    <cellStyle name="Normal 34" xfId="344"/>
    <cellStyle name="Normal 35" xfId="345"/>
    <cellStyle name="Normal 36" xfId="346"/>
    <cellStyle name="Normal 37" xfId="347"/>
    <cellStyle name="Normal 38" xfId="348"/>
    <cellStyle name="Normal 38 2" xfId="566"/>
    <cellStyle name="Normal 38 2 2" xfId="581"/>
    <cellStyle name="Normal 38 2 2 2" xfId="630"/>
    <cellStyle name="Normal 38 2 3" xfId="616"/>
    <cellStyle name="Normal 38 3" xfId="574"/>
    <cellStyle name="Normal 38 3 2" xfId="623"/>
    <cellStyle name="Normal 38 4" xfId="609"/>
    <cellStyle name="Normal 39" xfId="583"/>
    <cellStyle name="Normal 4" xfId="23"/>
    <cellStyle name="Normal 4 2" xfId="546"/>
    <cellStyle name="Normal 4 3" xfId="682"/>
    <cellStyle name="Normal 4 4" xfId="530"/>
    <cellStyle name="Normal 40" xfId="584"/>
    <cellStyle name="Normal 41" xfId="585"/>
    <cellStyle name="Normal 41 2" xfId="632"/>
    <cellStyle name="Normal 42" xfId="559"/>
    <cellStyle name="Normal 42 2" xfId="568"/>
    <cellStyle name="Normal 43" xfId="594"/>
    <cellStyle name="Normal 43 2" xfId="638"/>
    <cellStyle name="Normal 44" xfId="596"/>
    <cellStyle name="Normal 45" xfId="597"/>
    <cellStyle name="Normal 46" xfId="602"/>
    <cellStyle name="Normal 46 2" xfId="692"/>
    <cellStyle name="Normal 47" xfId="640"/>
    <cellStyle name="Normal 48" xfId="694"/>
    <cellStyle name="Normal 49" xfId="526"/>
    <cellStyle name="Normal 5" xfId="349"/>
    <cellStyle name="Normal 50" xfId="527"/>
    <cellStyle name="Normal 6" xfId="350"/>
    <cellStyle name="Normal 6 2" xfId="547"/>
    <cellStyle name="Normal 7" xfId="351"/>
    <cellStyle name="Normal 7 2" xfId="548"/>
    <cellStyle name="Normal 8" xfId="352"/>
    <cellStyle name="Normal 9" xfId="353"/>
    <cellStyle name="Normal 9 2" xfId="549"/>
    <cellStyle name="Note 2" xfId="354"/>
    <cellStyle name="Note 2 2" xfId="355"/>
    <cellStyle name="Note 2 3" xfId="683"/>
    <cellStyle name="Note 3" xfId="356"/>
    <cellStyle name="Note 4" xfId="357"/>
    <cellStyle name="Note 5" xfId="358"/>
    <cellStyle name="Note 6" xfId="537"/>
    <cellStyle name="Note 7" xfId="564"/>
    <cellStyle name="Note 7 2" xfId="579"/>
    <cellStyle name="Note 7 2 2" xfId="628"/>
    <cellStyle name="Note 7 3" xfId="614"/>
    <cellStyle name="Note 8" xfId="572"/>
    <cellStyle name="Note 8 2" xfId="621"/>
    <cellStyle name="Note 9" xfId="607"/>
    <cellStyle name="NumberAsPercent" xfId="359"/>
    <cellStyle name="NumberFormat" xfId="360"/>
    <cellStyle name="Numbers" xfId="361"/>
    <cellStyle name="Numbers - Bold" xfId="362"/>
    <cellStyle name="Numbers_increm pf" xfId="363"/>
    <cellStyle name="NumberTo1DecPlace" xfId="364"/>
    <cellStyle name="OffWhite" xfId="24"/>
    <cellStyle name="Option" xfId="365"/>
    <cellStyle name="orange text cell" xfId="366"/>
    <cellStyle name="Output 2" xfId="367"/>
    <cellStyle name="Output 2 2" xfId="684"/>
    <cellStyle name="Output 3" xfId="368"/>
    <cellStyle name="Output 4" xfId="369"/>
    <cellStyle name="Output Amounts" xfId="370"/>
    <cellStyle name="Output Column Headings" xfId="371"/>
    <cellStyle name="Output Line Items" xfId="372"/>
    <cellStyle name="Output Report Heading" xfId="373"/>
    <cellStyle name="Output Report Title" xfId="374"/>
    <cellStyle name="Pageheading" xfId="375"/>
    <cellStyle name="Percent" xfId="1" builtinId="5"/>
    <cellStyle name="Percent [0]" xfId="376"/>
    <cellStyle name="Percent [0] 2" xfId="377"/>
    <cellStyle name="Percent [00]" xfId="378"/>
    <cellStyle name="Percent [00] 2" xfId="379"/>
    <cellStyle name="Percent [00] 3" xfId="588"/>
    <cellStyle name="Percent [00] 3 2" xfId="634"/>
    <cellStyle name="Percent [2]" xfId="380"/>
    <cellStyle name="Percent 2" xfId="4"/>
    <cellStyle name="Percent 2 2" xfId="577"/>
    <cellStyle name="Percent 2 2 2" xfId="626"/>
    <cellStyle name="Percent 2 3" xfId="612"/>
    <cellStyle name="Percent 2 4" xfId="685"/>
    <cellStyle name="Percent 2 5" xfId="562"/>
    <cellStyle name="Percent 3" xfId="570"/>
    <cellStyle name="Percent 3 2" xfId="619"/>
    <cellStyle name="Percent 3 3" xfId="686"/>
    <cellStyle name="Percent 4" xfId="605"/>
    <cellStyle name="Percent 5" xfId="691"/>
    <cellStyle name="Percentage" xfId="381"/>
    <cellStyle name="PrePop Currency (0)" xfId="382"/>
    <cellStyle name="PrePop Currency (0) 2" xfId="383"/>
    <cellStyle name="PrePop Currency (2)" xfId="384"/>
    <cellStyle name="PrePop Currency (2) 2" xfId="385"/>
    <cellStyle name="PrePop Units (0)" xfId="386"/>
    <cellStyle name="PrePop Units (0) 2" xfId="387"/>
    <cellStyle name="PrePop Units (1)" xfId="388"/>
    <cellStyle name="PrePop Units (1) 2" xfId="389"/>
    <cellStyle name="PrePop Units (2)" xfId="390"/>
    <cellStyle name="PrePop Units (2) 2" xfId="391"/>
    <cellStyle name="PriceTo3DecPlaces" xfId="392"/>
    <cellStyle name="PriceWithBorderAround" xfId="393"/>
    <cellStyle name="PRICING" xfId="394"/>
    <cellStyle name="Product Header" xfId="395"/>
    <cellStyle name="PSChar" xfId="396"/>
    <cellStyle name="PSHeading" xfId="397"/>
    <cellStyle name="r" xfId="398"/>
    <cellStyle name="r_pldt" xfId="399"/>
    <cellStyle name="ReportLeftHeader" xfId="400"/>
    <cellStyle name="ReportRightHeader" xfId="401"/>
    <cellStyle name="results" xfId="402"/>
    <cellStyle name="RevList" xfId="403"/>
    <cellStyle name="RVRQueryHandle" xfId="404"/>
    <cellStyle name="Section" xfId="405"/>
    <cellStyle name="SecuritiesPricingTable" xfId="406"/>
    <cellStyle name="SecuritiesPricingTableFinalData" xfId="407"/>
    <cellStyle name="SecuritiesPricingTableManualData" xfId="408"/>
    <cellStyle name="SecuritiesPricingTableText" xfId="409"/>
    <cellStyle name="Short $" xfId="410"/>
    <cellStyle name="Short $ 2" xfId="411"/>
    <cellStyle name="Short $ 3" xfId="587"/>
    <cellStyle name="Short $ 3 2" xfId="633"/>
    <cellStyle name="SIZE" xfId="412"/>
    <cellStyle name="Standard_Swaps-Bonds-Blending" xfId="413"/>
    <cellStyle name="Style 1" xfId="414"/>
    <cellStyle name="Style 1 2" xfId="695"/>
    <cellStyle name="StyleSecuritiesPricingTableInteger" xfId="415"/>
    <cellStyle name="Subheading" xfId="416"/>
    <cellStyle name="subtitle" xfId="417"/>
    <cellStyle name="Subtotal" xfId="418"/>
    <cellStyle name="Table" xfId="419"/>
    <cellStyle name="Tablebody" xfId="420"/>
    <cellStyle name="TablebodyDate" xfId="421"/>
    <cellStyle name="TablebodyHeading" xfId="422"/>
    <cellStyle name="TablebodyOutstandingAmount" xfId="423"/>
    <cellStyle name="TablebodyPercent" xfId="424"/>
    <cellStyle name="TablebodyPrice" xfId="425"/>
    <cellStyle name="TablebodyReverse" xfId="426"/>
    <cellStyle name="TablebodySpread" xfId="427"/>
    <cellStyle name="TablebodySpreadBorder" xfId="428"/>
    <cellStyle name="TablebodyText" xfId="429"/>
    <cellStyle name="Tableheading" xfId="430"/>
    <cellStyle name="Text" xfId="431"/>
    <cellStyle name="Text 2" xfId="432"/>
    <cellStyle name="Text Indent A" xfId="433"/>
    <cellStyle name="Text Indent B" xfId="434"/>
    <cellStyle name="Text Indent B 2" xfId="435"/>
    <cellStyle name="Text Indent C" xfId="436"/>
    <cellStyle name="Text Indent C 2" xfId="437"/>
    <cellStyle name="TextStyle" xfId="438"/>
    <cellStyle name="tic display" xfId="439"/>
    <cellStyle name="tic input" xfId="440"/>
    <cellStyle name="Title - Underline" xfId="441"/>
    <cellStyle name="Title 2" xfId="442"/>
    <cellStyle name="Title 2 2" xfId="687"/>
    <cellStyle name="Title 3" xfId="443"/>
    <cellStyle name="Title 4" xfId="444"/>
    <cellStyle name="Title 5" xfId="445"/>
    <cellStyle name="Title 6" xfId="446"/>
    <cellStyle name="Title 7" xfId="447"/>
    <cellStyle name="Title 8" xfId="595"/>
    <cellStyle name="Title 9" xfId="601"/>
    <cellStyle name="Title Calculations" xfId="6"/>
    <cellStyle name="Title Calculations 2" xfId="25"/>
    <cellStyle name="Title Indicative" xfId="26"/>
    <cellStyle name="Title Indicative 2" xfId="27"/>
    <cellStyle name="Title Pricing Assumptions" xfId="28"/>
    <cellStyle name="Title Pricing Assumptions 10" xfId="448"/>
    <cellStyle name="Title Pricing Assumptions 10 2" xfId="449"/>
    <cellStyle name="Title Pricing Assumptions 11" xfId="450"/>
    <cellStyle name="Title Pricing Assumptions 12" xfId="451"/>
    <cellStyle name="Title Pricing Assumptions 2" xfId="29"/>
    <cellStyle name="Title Pricing Assumptions 3" xfId="5"/>
    <cellStyle name="Title Pricing Assumptions 3 2" xfId="30"/>
    <cellStyle name="Title Pricing Assumptions 3 2 2" xfId="452"/>
    <cellStyle name="Title Pricing Assumptions 3 2 2 2" xfId="453"/>
    <cellStyle name="Title Pricing Assumptions 3 2 3" xfId="454"/>
    <cellStyle name="Title Pricing Assumptions 3 2 3 2" xfId="455"/>
    <cellStyle name="Title Pricing Assumptions 3 2 4" xfId="456"/>
    <cellStyle name="Title Pricing Assumptions 3 2 4 2" xfId="457"/>
    <cellStyle name="Title Pricing Assumptions 3 2 5" xfId="458"/>
    <cellStyle name="Title Pricing Assumptions 3 3" xfId="31"/>
    <cellStyle name="Title Pricing Assumptions 3 3 2" xfId="459"/>
    <cellStyle name="Title Pricing Assumptions 3 3 2 2" xfId="460"/>
    <cellStyle name="Title Pricing Assumptions 3 3 3" xfId="461"/>
    <cellStyle name="Title Pricing Assumptions 3 3 3 2" xfId="462"/>
    <cellStyle name="Title Pricing Assumptions 3 3 4" xfId="463"/>
    <cellStyle name="Title Pricing Assumptions 3 3 4 2" xfId="464"/>
    <cellStyle name="Title Pricing Assumptions 3 3 5" xfId="465"/>
    <cellStyle name="Title Pricing Assumptions 3 4" xfId="32"/>
    <cellStyle name="Title Pricing Assumptions 3 4 2" xfId="466"/>
    <cellStyle name="Title Pricing Assumptions 3 4 2 2" xfId="467"/>
    <cellStyle name="Title Pricing Assumptions 3 4 3" xfId="468"/>
    <cellStyle name="Title Pricing Assumptions 3 4 3 2" xfId="469"/>
    <cellStyle name="Title Pricing Assumptions 3 4 4" xfId="470"/>
    <cellStyle name="Title Pricing Assumptions 3 4 4 2" xfId="471"/>
    <cellStyle name="Title Pricing Assumptions 3 4 5" xfId="472"/>
    <cellStyle name="Title Pricing Assumptions 3 5" xfId="33"/>
    <cellStyle name="Title Pricing Assumptions 3 5 2" xfId="473"/>
    <cellStyle name="Title Pricing Assumptions 3 5 2 2" xfId="474"/>
    <cellStyle name="Title Pricing Assumptions 3 5 3" xfId="475"/>
    <cellStyle name="Title Pricing Assumptions 3 5 3 2" xfId="476"/>
    <cellStyle name="Title Pricing Assumptions 3 5 4" xfId="477"/>
    <cellStyle name="Title Pricing Assumptions 3 6" xfId="478"/>
    <cellStyle name="Title Pricing Assumptions 3 6 2" xfId="479"/>
    <cellStyle name="Title Pricing Assumptions 3 7" xfId="480"/>
    <cellStyle name="Title Pricing Assumptions 3 7 2" xfId="481"/>
    <cellStyle name="Title Pricing Assumptions 3 8" xfId="482"/>
    <cellStyle name="Title Pricing Assumptions 3 8 2" xfId="483"/>
    <cellStyle name="Title Pricing Assumptions 3 9" xfId="484"/>
    <cellStyle name="Title Pricing Assumptions 4" xfId="34"/>
    <cellStyle name="Title Pricing Assumptions 4 2" xfId="485"/>
    <cellStyle name="Title Pricing Assumptions 4 2 2" xfId="486"/>
    <cellStyle name="Title Pricing Assumptions 4 3" xfId="487"/>
    <cellStyle name="Title Pricing Assumptions 4 3 2" xfId="488"/>
    <cellStyle name="Title Pricing Assumptions 4 4" xfId="489"/>
    <cellStyle name="Title Pricing Assumptions 4 4 2" xfId="490"/>
    <cellStyle name="Title Pricing Assumptions 4 5" xfId="491"/>
    <cellStyle name="Title Pricing Assumptions 5" xfId="35"/>
    <cellStyle name="Title Pricing Assumptions 5 2" xfId="492"/>
    <cellStyle name="Title Pricing Assumptions 5 2 2" xfId="493"/>
    <cellStyle name="Title Pricing Assumptions 5 3" xfId="494"/>
    <cellStyle name="Title Pricing Assumptions 5 3 2" xfId="495"/>
    <cellStyle name="Title Pricing Assumptions 5 4" xfId="496"/>
    <cellStyle name="Title Pricing Assumptions 5 4 2" xfId="497"/>
    <cellStyle name="Title Pricing Assumptions 5 5" xfId="498"/>
    <cellStyle name="Title Pricing Assumptions 6" xfId="36"/>
    <cellStyle name="Title Pricing Assumptions 6 2" xfId="499"/>
    <cellStyle name="Title Pricing Assumptions 6 2 2" xfId="500"/>
    <cellStyle name="Title Pricing Assumptions 6 3" xfId="501"/>
    <cellStyle name="Title Pricing Assumptions 6 3 2" xfId="502"/>
    <cellStyle name="Title Pricing Assumptions 6 4" xfId="503"/>
    <cellStyle name="Title Pricing Assumptions 6 4 2" xfId="504"/>
    <cellStyle name="Title Pricing Assumptions 6 5" xfId="505"/>
    <cellStyle name="Title Pricing Assumptions 7" xfId="37"/>
    <cellStyle name="Title Pricing Assumptions 7 2" xfId="506"/>
    <cellStyle name="Title Pricing Assumptions 7 2 2" xfId="507"/>
    <cellStyle name="Title Pricing Assumptions 7 3" xfId="508"/>
    <cellStyle name="Title Pricing Assumptions 7 3 2" xfId="509"/>
    <cellStyle name="Title Pricing Assumptions 7 4" xfId="510"/>
    <cellStyle name="Title Pricing Assumptions 8" xfId="511"/>
    <cellStyle name="Title Pricing Assumptions 8 2" xfId="512"/>
    <cellStyle name="Title Pricing Assumptions 9" xfId="513"/>
    <cellStyle name="Title Pricing Assumptions 9 2" xfId="514"/>
    <cellStyle name="Titles - Other" xfId="515"/>
    <cellStyle name="Total 2" xfId="516"/>
    <cellStyle name="Total 2 2" xfId="517"/>
    <cellStyle name="Total 2 3" xfId="688"/>
    <cellStyle name="Total 3" xfId="518"/>
    <cellStyle name="Total 4" xfId="519"/>
    <cellStyle name="Warning" xfId="520"/>
    <cellStyle name="Warning Text 2" xfId="521"/>
    <cellStyle name="Warning Text 2 2" xfId="689"/>
    <cellStyle name="Warning Text 3" xfId="522"/>
    <cellStyle name="Warning Text 4" xfId="523"/>
    <cellStyle name="YB Calculations" xfId="8"/>
    <cellStyle name="YB Calculations 2" xfId="38"/>
    <cellStyle name="YB Curve" xfId="39"/>
    <cellStyle name="YB Indicative" xfId="7"/>
    <cellStyle name="YBINDIC" xfId="40"/>
    <cellStyle name="YBIOPOBE" xfId="524"/>
    <cellStyle name="YBPRICE" xfId="41"/>
    <cellStyle name="一般_原始檔案" xfId="5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L5" sqref="L5"/>
    </sheetView>
  </sheetViews>
  <sheetFormatPr defaultRowHeight="15"/>
  <cols>
    <col min="3" max="4" width="11.28515625" customWidth="1"/>
    <col min="5" max="5" width="7.5703125" customWidth="1"/>
    <col min="6" max="6" width="10.85546875" bestFit="1" customWidth="1"/>
    <col min="7" max="7" width="12" bestFit="1" customWidth="1"/>
    <col min="8" max="8" width="10.140625" bestFit="1" customWidth="1"/>
    <col min="9" max="9" width="20.5703125" bestFit="1" customWidth="1"/>
    <col min="10" max="10" width="9" bestFit="1" customWidth="1"/>
    <col min="11" max="11" width="12" bestFit="1" customWidth="1"/>
  </cols>
  <sheetData>
    <row r="1" spans="1:13">
      <c r="C1" s="3">
        <v>40954</v>
      </c>
      <c r="G1" s="1">
        <f>-D2+C1</f>
        <v>184</v>
      </c>
      <c r="K1" s="1"/>
    </row>
    <row r="2" spans="1:13" s="1" customFormat="1">
      <c r="C2" s="3">
        <v>40852</v>
      </c>
      <c r="D2" s="3">
        <v>40770</v>
      </c>
      <c r="G2">
        <f>C2-D2</f>
        <v>82</v>
      </c>
    </row>
    <row r="3" spans="1:13">
      <c r="A3" t="s">
        <v>1</v>
      </c>
      <c r="K3" s="1"/>
    </row>
    <row r="4" spans="1:13">
      <c r="A4" s="8"/>
      <c r="B4" s="8" t="s">
        <v>9</v>
      </c>
      <c r="C4" s="9" t="s">
        <v>3</v>
      </c>
      <c r="E4" s="10"/>
      <c r="F4" s="10" t="s">
        <v>10</v>
      </c>
      <c r="G4" s="8" t="s">
        <v>11</v>
      </c>
      <c r="H4" s="8" t="s">
        <v>12</v>
      </c>
      <c r="I4" s="8" t="s">
        <v>14</v>
      </c>
      <c r="J4" s="8" t="s">
        <v>15</v>
      </c>
      <c r="K4" s="8" t="s">
        <v>16</v>
      </c>
      <c r="L4" s="8" t="s">
        <v>13</v>
      </c>
      <c r="M4" s="8" t="s">
        <v>19</v>
      </c>
    </row>
    <row r="5" spans="1:13">
      <c r="B5">
        <f>6+5/8</f>
        <v>6.625</v>
      </c>
      <c r="C5" s="7">
        <v>40954</v>
      </c>
      <c r="D5">
        <v>100</v>
      </c>
      <c r="E5">
        <v>0</v>
      </c>
      <c r="F5" s="5">
        <f t="shared" ref="F5:F22" si="0">D5+E5/32</f>
        <v>100</v>
      </c>
      <c r="G5" s="4">
        <f t="shared" ref="G5:G22" si="1">$G$2/$G$1*B5/2</f>
        <v>1.4762228260869565</v>
      </c>
      <c r="H5" s="4">
        <f t="shared" ref="H5:H22" si="2">F5+G5</f>
        <v>101.47622282608695</v>
      </c>
      <c r="I5" s="5">
        <f t="shared" ref="I5:I22" si="3">(C5-$C$2)/365</f>
        <v>0.27945205479452057</v>
      </c>
      <c r="J5">
        <f t="shared" ref="J5:J22" si="4">B5/2+100</f>
        <v>103.3125</v>
      </c>
      <c r="K5" s="4">
        <f>H5</f>
        <v>101.47622282608695</v>
      </c>
      <c r="L5" s="4">
        <f>LINEST(K5:K6,J5:J6,FALSE)</f>
        <v>0.98230720951281147</v>
      </c>
      <c r="M5" s="6">
        <f>-LN(L5)/I5</f>
        <v>6.3879218640267729E-2</v>
      </c>
    </row>
    <row r="6" spans="1:13">
      <c r="B6">
        <f>9+1/8</f>
        <v>9.125</v>
      </c>
      <c r="C6" s="7">
        <v>40954</v>
      </c>
      <c r="D6">
        <v>100</v>
      </c>
      <c r="E6">
        <v>22</v>
      </c>
      <c r="F6" s="5">
        <f t="shared" si="0"/>
        <v>100.6875</v>
      </c>
      <c r="G6" s="4">
        <f t="shared" si="1"/>
        <v>2.0332880434782608</v>
      </c>
      <c r="H6" s="4">
        <f t="shared" si="2"/>
        <v>102.72078804347827</v>
      </c>
      <c r="I6" s="5">
        <f t="shared" si="3"/>
        <v>0.27945205479452057</v>
      </c>
      <c r="J6" s="1">
        <f t="shared" si="4"/>
        <v>104.5625</v>
      </c>
      <c r="K6" s="4">
        <f>H6</f>
        <v>102.72078804347827</v>
      </c>
      <c r="L6" s="4"/>
      <c r="M6" s="1"/>
    </row>
    <row r="7" spans="1:13">
      <c r="B7">
        <f>7+7/8</f>
        <v>7.875</v>
      </c>
      <c r="C7" s="7">
        <v>41136</v>
      </c>
      <c r="D7">
        <v>100</v>
      </c>
      <c r="E7">
        <v>24</v>
      </c>
      <c r="F7" s="5">
        <f t="shared" si="0"/>
        <v>100.75</v>
      </c>
      <c r="G7" s="4">
        <f t="shared" si="1"/>
        <v>1.7547554347826086</v>
      </c>
      <c r="H7" s="4">
        <f t="shared" si="2"/>
        <v>102.50475543478261</v>
      </c>
      <c r="I7" s="5">
        <f t="shared" si="3"/>
        <v>0.77808219178082194</v>
      </c>
      <c r="J7" s="1">
        <f t="shared" si="4"/>
        <v>103.9375</v>
      </c>
      <c r="K7" s="1">
        <f>H7-B7/2*L5</f>
        <v>98.636920797325914</v>
      </c>
      <c r="L7" s="4">
        <f>LINEST(K7:K8,J7:J8,FALSE)</f>
        <v>0.94901518148044639</v>
      </c>
      <c r="M7" s="6">
        <f>-LN(L7)/I7</f>
        <v>6.7255726590209272E-2</v>
      </c>
    </row>
    <row r="8" spans="1:13">
      <c r="B8">
        <f>8+1/4</f>
        <v>8.25</v>
      </c>
      <c r="C8" s="7">
        <v>41136</v>
      </c>
      <c r="D8">
        <v>101</v>
      </c>
      <c r="E8">
        <v>1</v>
      </c>
      <c r="F8" s="5">
        <f t="shared" si="0"/>
        <v>101.03125</v>
      </c>
      <c r="G8" s="4">
        <f t="shared" si="1"/>
        <v>1.8383152173913042</v>
      </c>
      <c r="H8" s="4">
        <f t="shared" si="2"/>
        <v>102.8695652173913</v>
      </c>
      <c r="I8" s="5">
        <f t="shared" si="3"/>
        <v>0.77808219178082194</v>
      </c>
      <c r="J8" s="1">
        <f t="shared" si="4"/>
        <v>104.125</v>
      </c>
      <c r="K8" s="1">
        <f>H8-B8/2*L5</f>
        <v>98.817547978150955</v>
      </c>
      <c r="L8" s="4"/>
      <c r="M8" s="1"/>
    </row>
    <row r="9" spans="1:13">
      <c r="B9">
        <f>8+1/4</f>
        <v>8.25</v>
      </c>
      <c r="C9" s="7">
        <v>41320</v>
      </c>
      <c r="D9">
        <v>101</v>
      </c>
      <c r="E9">
        <v>7</v>
      </c>
      <c r="F9" s="5">
        <f t="shared" si="0"/>
        <v>101.21875</v>
      </c>
      <c r="G9" s="4">
        <f t="shared" si="1"/>
        <v>1.8383152173913042</v>
      </c>
      <c r="H9" s="4">
        <f t="shared" si="2"/>
        <v>103.0570652173913</v>
      </c>
      <c r="I9" s="5">
        <f t="shared" si="3"/>
        <v>1.2821917808219179</v>
      </c>
      <c r="J9" s="1">
        <f t="shared" si="4"/>
        <v>104.125</v>
      </c>
      <c r="K9" s="1">
        <f>H9-B9/2*L7-B9/2*L5</f>
        <v>95.090360354544117</v>
      </c>
      <c r="L9" s="4">
        <f>LINEST(K9:K10,J9:J10,FALSE)</f>
        <v>0.91326309374478598</v>
      </c>
      <c r="M9" s="6">
        <f>-LN(L9)/I9</f>
        <v>7.0762640379957914E-2</v>
      </c>
    </row>
    <row r="10" spans="1:13">
      <c r="A10" s="1"/>
      <c r="B10" s="1">
        <f>8+3/8</f>
        <v>8.375</v>
      </c>
      <c r="C10" s="7">
        <v>41320</v>
      </c>
      <c r="D10" s="1">
        <v>101</v>
      </c>
      <c r="E10" s="1">
        <v>12</v>
      </c>
      <c r="F10" s="5">
        <f t="shared" si="0"/>
        <v>101.375</v>
      </c>
      <c r="G10" s="4">
        <f t="shared" si="1"/>
        <v>1.8661684782608694</v>
      </c>
      <c r="H10" s="4">
        <f t="shared" si="2"/>
        <v>103.24116847826087</v>
      </c>
      <c r="I10" s="5">
        <f t="shared" si="3"/>
        <v>1.2821917808219179</v>
      </c>
      <c r="J10" s="1">
        <f t="shared" si="4"/>
        <v>104.1875</v>
      </c>
      <c r="K10" s="1">
        <f>H10-B10/2*L7-B10/2*L5</f>
        <v>95.153755965976615</v>
      </c>
      <c r="L10" s="4"/>
      <c r="M10" s="1"/>
    </row>
    <row r="11" spans="1:13">
      <c r="A11" s="1"/>
      <c r="B11" s="1">
        <v>8</v>
      </c>
      <c r="C11" s="7">
        <v>41501</v>
      </c>
      <c r="D11" s="1">
        <v>100</v>
      </c>
      <c r="E11" s="1">
        <v>26</v>
      </c>
      <c r="F11" s="5">
        <f t="shared" si="0"/>
        <v>100.8125</v>
      </c>
      <c r="G11" s="4">
        <f t="shared" si="1"/>
        <v>1.7826086956521738</v>
      </c>
      <c r="H11" s="4">
        <f t="shared" si="2"/>
        <v>102.59510869565217</v>
      </c>
      <c r="I11" s="5">
        <f t="shared" si="3"/>
        <v>1.7780821917808218</v>
      </c>
      <c r="J11" s="1">
        <f t="shared" si="4"/>
        <v>104</v>
      </c>
      <c r="K11" s="1">
        <f>H11-B11/2*L9-B11/2*L7-B11/2*L5</f>
        <v>91.216766756699997</v>
      </c>
      <c r="L11" s="4">
        <f>LINEST(K11:K12,J11:J12,FALSE)</f>
        <v>0.87703738929873243</v>
      </c>
      <c r="M11" s="6">
        <f>-LN(L11)/I11</f>
        <v>7.3790545198284596E-2</v>
      </c>
    </row>
    <row r="12" spans="1:13">
      <c r="A12" s="1"/>
      <c r="B12" s="1">
        <f>8+3/4</f>
        <v>8.75</v>
      </c>
      <c r="C12" s="7">
        <v>41501</v>
      </c>
      <c r="D12" s="1">
        <v>102</v>
      </c>
      <c r="E12" s="1">
        <v>1</v>
      </c>
      <c r="F12" s="5">
        <f t="shared" si="0"/>
        <v>102.03125</v>
      </c>
      <c r="G12" s="4">
        <f t="shared" si="1"/>
        <v>1.9497282608695652</v>
      </c>
      <c r="H12" s="4">
        <f t="shared" si="2"/>
        <v>103.98097826086956</v>
      </c>
      <c r="I12" s="5">
        <f t="shared" si="3"/>
        <v>1.7780821917808218</v>
      </c>
      <c r="J12" s="1">
        <f t="shared" si="4"/>
        <v>104.375</v>
      </c>
      <c r="K12" s="1">
        <f>H12-B12/2*L9-B12/2*L7-B12/2*L5</f>
        <v>91.535916765140627</v>
      </c>
      <c r="L12" s="4"/>
      <c r="M12" s="1"/>
    </row>
    <row r="13" spans="1:13">
      <c r="A13" s="1"/>
      <c r="B13" s="1">
        <f>6+7/8</f>
        <v>6.875</v>
      </c>
      <c r="C13" s="7">
        <v>41685</v>
      </c>
      <c r="D13" s="1">
        <v>98</v>
      </c>
      <c r="E13" s="1">
        <v>5</v>
      </c>
      <c r="F13" s="5">
        <f t="shared" si="0"/>
        <v>98.15625</v>
      </c>
      <c r="G13" s="4">
        <f t="shared" si="1"/>
        <v>1.5319293478260869</v>
      </c>
      <c r="H13" s="4">
        <f t="shared" si="2"/>
        <v>99.688179347826093</v>
      </c>
      <c r="I13" s="5">
        <f t="shared" si="3"/>
        <v>2.2821917808219179</v>
      </c>
      <c r="J13" s="1">
        <f t="shared" si="4"/>
        <v>103.4375</v>
      </c>
      <c r="K13" s="1">
        <f>H13-B13/2*L11-B13/2*L9-B13/2*L7-B13/2*L5</f>
        <v>86.89510071832467</v>
      </c>
      <c r="L13" s="4">
        <f>LINEST(K13:K14,J13:J14,FALSE)</f>
        <v>0.84011677022726028</v>
      </c>
      <c r="M13" s="6">
        <f>-LN(L13)/I13</f>
        <v>7.6336435042291984E-2</v>
      </c>
    </row>
    <row r="14" spans="1:13">
      <c r="A14" s="1"/>
      <c r="B14" s="1">
        <f>8+7/8</f>
        <v>8.875</v>
      </c>
      <c r="C14" s="7">
        <v>41685</v>
      </c>
      <c r="D14" s="1">
        <v>102</v>
      </c>
      <c r="E14" s="1">
        <v>9</v>
      </c>
      <c r="F14" s="5">
        <f t="shared" si="0"/>
        <v>102.28125</v>
      </c>
      <c r="G14" s="4">
        <f t="shared" si="1"/>
        <v>1.9775815217391304</v>
      </c>
      <c r="H14" s="4">
        <f t="shared" si="2"/>
        <v>104.25883152173913</v>
      </c>
      <c r="I14" s="5">
        <f t="shared" si="3"/>
        <v>2.2821917808219179</v>
      </c>
      <c r="J14" s="1">
        <f t="shared" si="4"/>
        <v>104.4375</v>
      </c>
      <c r="K14" s="1">
        <f>H14-B14/2*L11-B14/2*L9-B14/2*L7-B14/2*L5</f>
        <v>87.744130018200934</v>
      </c>
      <c r="L14" s="4"/>
      <c r="M14" s="1"/>
    </row>
    <row r="15" spans="1:13">
      <c r="B15">
        <f>6+7/8</f>
        <v>6.875</v>
      </c>
      <c r="C15" s="7">
        <v>41866</v>
      </c>
      <c r="D15">
        <v>97</v>
      </c>
      <c r="E15">
        <v>13</v>
      </c>
      <c r="F15" s="5">
        <f t="shared" si="0"/>
        <v>97.40625</v>
      </c>
      <c r="G15" s="4">
        <f t="shared" si="1"/>
        <v>1.5319293478260869</v>
      </c>
      <c r="H15" s="4">
        <f t="shared" si="2"/>
        <v>98.938179347826093</v>
      </c>
      <c r="I15" s="5">
        <f t="shared" si="3"/>
        <v>2.7780821917808218</v>
      </c>
      <c r="J15" s="1">
        <f t="shared" si="4"/>
        <v>103.4375</v>
      </c>
      <c r="K15" s="1">
        <f>H15-B15/2*L13-B15/2*L11-B15/2*L9-B15/2*L7-B15/2*L5</f>
        <v>83.257199320668462</v>
      </c>
      <c r="L15" s="4">
        <f>LINEST(K15:K16,J15:J16,FALSE)</f>
        <v>0.80493549902892469</v>
      </c>
      <c r="M15" s="6">
        <f>-LN(L15)/I15</f>
        <v>7.8108966986537021E-2</v>
      </c>
    </row>
    <row r="16" spans="1:13">
      <c r="B16">
        <f>8+5/8</f>
        <v>8.625</v>
      </c>
      <c r="C16" s="7">
        <v>41866</v>
      </c>
      <c r="D16">
        <v>101</v>
      </c>
      <c r="E16">
        <v>23</v>
      </c>
      <c r="F16" s="5">
        <f t="shared" si="0"/>
        <v>101.71875</v>
      </c>
      <c r="G16" s="4">
        <f t="shared" si="1"/>
        <v>1.921875</v>
      </c>
      <c r="H16" s="4">
        <f t="shared" si="2"/>
        <v>103.640625</v>
      </c>
      <c r="I16" s="5">
        <f t="shared" si="3"/>
        <v>2.7780821917808218</v>
      </c>
      <c r="J16" s="1">
        <f t="shared" si="4"/>
        <v>104.3125</v>
      </c>
      <c r="K16" s="1">
        <f>H16-B16/2*L13-B16/2*L11-B16/2*L9-B16/2*L7-B16/2*L5</f>
        <v>83.96812278411133</v>
      </c>
      <c r="L16" s="4"/>
      <c r="M16" s="1"/>
    </row>
    <row r="17" spans="1:13">
      <c r="B17">
        <f>7+3/4</f>
        <v>7.75</v>
      </c>
      <c r="C17" s="7">
        <v>42050</v>
      </c>
      <c r="D17">
        <v>99</v>
      </c>
      <c r="E17">
        <v>5</v>
      </c>
      <c r="F17" s="5">
        <f t="shared" si="0"/>
        <v>99.15625</v>
      </c>
      <c r="G17" s="4">
        <f t="shared" si="1"/>
        <v>1.7269021739130435</v>
      </c>
      <c r="H17" s="4">
        <f t="shared" si="2"/>
        <v>100.88315217391305</v>
      </c>
      <c r="I17" s="5">
        <f t="shared" si="3"/>
        <v>3.2821917808219179</v>
      </c>
      <c r="J17" s="1">
        <f t="shared" si="4"/>
        <v>103.875</v>
      </c>
      <c r="K17" s="1">
        <f>H17-B17/2*L15-B17/2*L13-B17/2*L11-B17/2*L9-B17/2*L7-B17/2*L5</f>
        <v>80.087285993652813</v>
      </c>
      <c r="L17" s="4">
        <f>LINEST(K17:K18,J17:J18,FALSE)</f>
        <v>0.77103386967770748</v>
      </c>
      <c r="M17" s="6">
        <f>-LN(L17)/I17</f>
        <v>7.9222359387999194E-2</v>
      </c>
    </row>
    <row r="18" spans="1:13">
      <c r="B18">
        <f>11+1/4</f>
        <v>11.25</v>
      </c>
      <c r="C18" s="7">
        <v>42050</v>
      </c>
      <c r="D18">
        <v>109</v>
      </c>
      <c r="E18">
        <v>4</v>
      </c>
      <c r="F18" s="5">
        <f t="shared" si="0"/>
        <v>109.125</v>
      </c>
      <c r="G18" s="4">
        <f t="shared" si="1"/>
        <v>2.5067934782608696</v>
      </c>
      <c r="H18" s="4">
        <f t="shared" si="2"/>
        <v>111.63179347826087</v>
      </c>
      <c r="I18" s="5">
        <f t="shared" si="3"/>
        <v>3.2821917808219179</v>
      </c>
      <c r="J18" s="1">
        <f t="shared" si="4"/>
        <v>105.625</v>
      </c>
      <c r="K18" s="1">
        <f>H18-B18/2*L15-B18/2*L13-B18/2*L11-B18/2*L9-B18/2*L7-B18/2*L5</f>
        <v>81.444245797237954</v>
      </c>
      <c r="L18" s="4"/>
      <c r="M18" s="1"/>
    </row>
    <row r="19" spans="1:13">
      <c r="B19">
        <f>8+1/2</f>
        <v>8.5</v>
      </c>
      <c r="C19" s="7">
        <v>42231</v>
      </c>
      <c r="D19">
        <v>101</v>
      </c>
      <c r="E19">
        <v>13</v>
      </c>
      <c r="F19" s="5">
        <f t="shared" si="0"/>
        <v>101.40625</v>
      </c>
      <c r="G19" s="4">
        <f t="shared" si="1"/>
        <v>1.8940217391304346</v>
      </c>
      <c r="H19" s="4">
        <f t="shared" si="2"/>
        <v>103.30027173913044</v>
      </c>
      <c r="I19" s="5">
        <f t="shared" si="3"/>
        <v>3.7780821917808218</v>
      </c>
      <c r="J19" s="1">
        <f t="shared" si="4"/>
        <v>104.25</v>
      </c>
      <c r="K19" s="1">
        <f>H19-B19/2*L17-B19/2*L15-B19/2*L13-B19/2*L11-B19/2*L9-B19/2*L7-B19/2*L5</f>
        <v>77.215008434005085</v>
      </c>
      <c r="L19" s="4">
        <f>LINEST(K19:K20,J19:J20,FALSE)</f>
        <v>0.74069442814288733</v>
      </c>
      <c r="M19" s="6">
        <f>-LN(L19)/I19</f>
        <v>7.9449599340382995E-2</v>
      </c>
    </row>
    <row r="20" spans="1:13">
      <c r="B20">
        <v>10.5</v>
      </c>
      <c r="C20" s="7">
        <v>42231</v>
      </c>
      <c r="D20">
        <v>107</v>
      </c>
      <c r="E20">
        <v>27</v>
      </c>
      <c r="F20" s="5">
        <f t="shared" si="0"/>
        <v>107.84375</v>
      </c>
      <c r="G20" s="4">
        <f t="shared" si="1"/>
        <v>2.339673913043478</v>
      </c>
      <c r="H20" s="4">
        <f t="shared" si="2"/>
        <v>110.18342391304348</v>
      </c>
      <c r="I20" s="5">
        <f t="shared" si="3"/>
        <v>3.7780821917808218</v>
      </c>
      <c r="J20" s="1">
        <f t="shared" si="4"/>
        <v>105.25</v>
      </c>
      <c r="K20" s="1">
        <f>H20-B20/2*L17-B20/2*L15-B20/2*L13-B20/2*L11-B20/2*L9-B20/2*L7-B20/2*L5</f>
        <v>77.960451594947472</v>
      </c>
      <c r="L20" s="4"/>
      <c r="M20" s="1"/>
    </row>
    <row r="21" spans="1:13">
      <c r="A21" s="1"/>
      <c r="B21" s="1">
        <f>7+7/8</f>
        <v>7.875</v>
      </c>
      <c r="C21" s="7">
        <v>42415</v>
      </c>
      <c r="D21" s="1">
        <v>99</v>
      </c>
      <c r="E21" s="1">
        <v>13</v>
      </c>
      <c r="F21" s="5">
        <f t="shared" si="0"/>
        <v>99.40625</v>
      </c>
      <c r="G21" s="4">
        <f t="shared" si="1"/>
        <v>1.7547554347826086</v>
      </c>
      <c r="H21" s="4">
        <f t="shared" si="2"/>
        <v>101.16100543478261</v>
      </c>
      <c r="I21" s="5">
        <f t="shared" si="3"/>
        <v>4.2821917808219174</v>
      </c>
      <c r="J21" s="1">
        <f t="shared" si="4"/>
        <v>103.9375</v>
      </c>
      <c r="K21" s="1">
        <f>H21-B21/2*L19-B21/2*L17-B21/2*L15-B21/2*L13-B21/2*L11-B21/2*L9-B21/2*L7-B21/2*L5</f>
        <v>74.077291885397969</v>
      </c>
      <c r="L21" s="4">
        <f>LINEST(K21:K22,J21:J22,FALSE)</f>
        <v>0.7128110783554551</v>
      </c>
      <c r="M21" s="6">
        <f>-LN(L21)/I21</f>
        <v>7.9057379549751422E-2</v>
      </c>
    </row>
    <row r="22" spans="1:13">
      <c r="A22" s="1"/>
      <c r="B22" s="1">
        <f>8+7/8</f>
        <v>8.875</v>
      </c>
      <c r="C22" s="7">
        <v>42415</v>
      </c>
      <c r="D22" s="1">
        <v>103</v>
      </c>
      <c r="E22" s="1">
        <v>0</v>
      </c>
      <c r="F22" s="5">
        <f t="shared" si="0"/>
        <v>103</v>
      </c>
      <c r="G22" s="4">
        <f t="shared" si="1"/>
        <v>1.9775815217391304</v>
      </c>
      <c r="H22" s="4">
        <f t="shared" si="2"/>
        <v>104.97758152173913</v>
      </c>
      <c r="I22" s="5">
        <f t="shared" si="3"/>
        <v>4.2821917808219174</v>
      </c>
      <c r="J22" s="1">
        <f t="shared" si="4"/>
        <v>104.4375</v>
      </c>
      <c r="K22" s="1">
        <f>H22-B22/2*L19-B22/2*L17-B22/2*L15-B22/2*L13-B22/2*L11-B22/2*L9-B22/2*L7-B22/2*L5</f>
        <v>74.454666251797732</v>
      </c>
      <c r="L22" s="4"/>
      <c r="M22" s="1"/>
    </row>
    <row r="27" spans="1:13">
      <c r="C27" t="s">
        <v>13</v>
      </c>
      <c r="D27" t="s">
        <v>19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19</v>
      </c>
    </row>
    <row r="28" spans="1:13">
      <c r="B28" s="5">
        <v>0.27945205479452057</v>
      </c>
      <c r="C28" s="2">
        <v>0.98230720951281147</v>
      </c>
      <c r="D28" s="6">
        <v>6.3879218640267729E-2</v>
      </c>
      <c r="G28" s="2">
        <v>1</v>
      </c>
      <c r="H28" s="2">
        <f>B28</f>
        <v>0.27945205479452057</v>
      </c>
      <c r="I28" s="2">
        <f>B28^2</f>
        <v>7.8093450928879718E-2</v>
      </c>
      <c r="J28" s="2">
        <f>B28^3</f>
        <v>2.1823375328070497E-2</v>
      </c>
      <c r="K28" s="2">
        <f>B28^4</f>
        <v>6.0985870779813444E-3</v>
      </c>
      <c r="L28" s="11">
        <f>D28</f>
        <v>6.3879218640267729E-2</v>
      </c>
    </row>
    <row r="29" spans="1:13">
      <c r="B29" s="5">
        <v>0.77808219178082194</v>
      </c>
      <c r="C29" s="2">
        <v>0.94901518148044639</v>
      </c>
      <c r="D29" s="6">
        <v>6.7255726590209272E-2</v>
      </c>
      <c r="G29" s="2">
        <v>1</v>
      </c>
      <c r="H29" s="2">
        <f>B29</f>
        <v>0.77808219178082194</v>
      </c>
      <c r="I29" s="2">
        <f>B29^2</f>
        <v>0.60541189716644772</v>
      </c>
      <c r="J29" s="2">
        <f>B29^3</f>
        <v>0.47106021587745522</v>
      </c>
      <c r="K29" s="2">
        <f>B29^4</f>
        <v>0.36652356523067747</v>
      </c>
      <c r="L29" s="11">
        <f t="shared" ref="L29:L36" si="5">D29</f>
        <v>6.7255726590209272E-2</v>
      </c>
    </row>
    <row r="30" spans="1:13">
      <c r="B30" s="5">
        <v>1.2821917808219179</v>
      </c>
      <c r="C30" s="2">
        <v>0.91326309374478598</v>
      </c>
      <c r="D30" s="6">
        <v>7.0762640379957914E-2</v>
      </c>
      <c r="G30" s="2">
        <v>1</v>
      </c>
      <c r="H30" s="2">
        <f t="shared" ref="H30:H36" si="6">B30</f>
        <v>1.2821917808219179</v>
      </c>
      <c r="I30" s="2">
        <f t="shared" ref="I30:I36" si="7">B30^2</f>
        <v>1.6440157628072811</v>
      </c>
      <c r="J30" s="2">
        <f t="shared" ref="J30:J36" si="8">B30^3</f>
        <v>2.1079434986131713</v>
      </c>
      <c r="K30" s="2">
        <f t="shared" ref="K30:K36" si="9">B30^4</f>
        <v>2.7027878283588063</v>
      </c>
      <c r="L30" s="11">
        <f t="shared" si="5"/>
        <v>7.0762640379957914E-2</v>
      </c>
    </row>
    <row r="31" spans="1:13">
      <c r="B31" s="5">
        <v>1.7780821917808218</v>
      </c>
      <c r="C31" s="2">
        <v>0.87703738929873243</v>
      </c>
      <c r="D31" s="6">
        <v>7.3790545198284596E-2</v>
      </c>
      <c r="G31" s="2">
        <v>1</v>
      </c>
      <c r="H31" s="2">
        <f t="shared" si="6"/>
        <v>1.7780821917808218</v>
      </c>
      <c r="I31" s="2">
        <f t="shared" si="7"/>
        <v>3.1615762807280912</v>
      </c>
      <c r="J31" s="2">
        <f t="shared" si="8"/>
        <v>5.6215424827192635</v>
      </c>
      <c r="K31" s="2">
        <f t="shared" si="9"/>
        <v>9.9955645788624707</v>
      </c>
      <c r="L31" s="11">
        <f t="shared" si="5"/>
        <v>7.3790545198284596E-2</v>
      </c>
    </row>
    <row r="32" spans="1:13">
      <c r="B32" s="5">
        <v>2.2821917808219179</v>
      </c>
      <c r="C32" s="2">
        <v>0.84011677022726028</v>
      </c>
      <c r="D32" s="6">
        <v>7.6336435042291984E-2</v>
      </c>
      <c r="G32" s="2">
        <v>1</v>
      </c>
      <c r="H32" s="2">
        <f t="shared" si="6"/>
        <v>2.2821917808219179</v>
      </c>
      <c r="I32" s="2">
        <f t="shared" si="7"/>
        <v>5.2083993244511166</v>
      </c>
      <c r="J32" s="2">
        <f t="shared" si="8"/>
        <v>11.886566129500768</v>
      </c>
      <c r="K32" s="2">
        <f t="shared" si="9"/>
        <v>27.127423522942848</v>
      </c>
      <c r="L32" s="11">
        <f t="shared" si="5"/>
        <v>7.6336435042291984E-2</v>
      </c>
    </row>
    <row r="33" spans="2:12">
      <c r="B33" s="5">
        <v>2.7780821917808218</v>
      </c>
      <c r="C33" s="2">
        <v>0.80493549902892469</v>
      </c>
      <c r="D33" s="6">
        <v>7.8108966986537021E-2</v>
      </c>
      <c r="G33" s="2">
        <v>1</v>
      </c>
      <c r="H33" s="2">
        <f t="shared" si="6"/>
        <v>2.7780821917808218</v>
      </c>
      <c r="I33" s="2">
        <f t="shared" si="7"/>
        <v>7.7177406642897353</v>
      </c>
      <c r="J33" s="2">
        <f t="shared" si="8"/>
        <v>21.440517900246004</v>
      </c>
      <c r="K33" s="2">
        <f t="shared" si="9"/>
        <v>59.563520961231362</v>
      </c>
      <c r="L33" s="11">
        <f t="shared" si="5"/>
        <v>7.8108966986537021E-2</v>
      </c>
    </row>
    <row r="34" spans="2:12">
      <c r="B34" s="5">
        <v>3.2821917808219179</v>
      </c>
      <c r="C34" s="2">
        <v>0.77103386967770748</v>
      </c>
      <c r="D34" s="6">
        <v>7.9222359387999194E-2</v>
      </c>
      <c r="G34" s="2">
        <v>1</v>
      </c>
      <c r="H34" s="2">
        <f t="shared" si="6"/>
        <v>3.2821917808219179</v>
      </c>
      <c r="I34" s="2">
        <f t="shared" si="7"/>
        <v>10.772782886094953</v>
      </c>
      <c r="J34" s="2">
        <f t="shared" si="8"/>
        <v>35.358339445319878</v>
      </c>
      <c r="K34" s="2">
        <f t="shared" si="9"/>
        <v>116.05285111094031</v>
      </c>
      <c r="L34" s="11">
        <f t="shared" si="5"/>
        <v>7.9222359387999194E-2</v>
      </c>
    </row>
    <row r="35" spans="2:12">
      <c r="B35" s="5">
        <v>3.7780821917808218</v>
      </c>
      <c r="C35" s="2">
        <v>0.74069442814288733</v>
      </c>
      <c r="D35" s="6">
        <v>7.9449599340382995E-2</v>
      </c>
      <c r="G35" s="2">
        <v>1</v>
      </c>
      <c r="H35" s="2">
        <f t="shared" si="6"/>
        <v>3.7780821917808218</v>
      </c>
      <c r="I35" s="2">
        <f t="shared" si="7"/>
        <v>14.273905047851379</v>
      </c>
      <c r="J35" s="2">
        <f t="shared" si="8"/>
        <v>53.927986468457675</v>
      </c>
      <c r="K35" s="2">
        <f t="shared" si="9"/>
        <v>203.74436531507709</v>
      </c>
      <c r="L35" s="11">
        <f t="shared" si="5"/>
        <v>7.9449599340382995E-2</v>
      </c>
    </row>
    <row r="36" spans="2:12">
      <c r="B36" s="5">
        <v>4.2821917808219174</v>
      </c>
      <c r="C36" s="2">
        <v>0.7128110783554551</v>
      </c>
      <c r="D36" s="6">
        <v>7.9057379549751422E-2</v>
      </c>
      <c r="G36" s="2">
        <v>1</v>
      </c>
      <c r="H36" s="2">
        <f t="shared" si="6"/>
        <v>4.2821917808219174</v>
      </c>
      <c r="I36" s="2">
        <f t="shared" si="7"/>
        <v>18.337166447738785</v>
      </c>
      <c r="J36" s="2">
        <f t="shared" si="8"/>
        <v>78.523263446070459</v>
      </c>
      <c r="K36" s="2">
        <f t="shared" si="9"/>
        <v>336.25167333207702</v>
      </c>
      <c r="L36" s="11">
        <f t="shared" si="5"/>
        <v>7.9057379549751422E-2</v>
      </c>
    </row>
    <row r="38" spans="2:12">
      <c r="G38" s="1" t="s">
        <v>25</v>
      </c>
      <c r="H38" s="1" t="s">
        <v>26</v>
      </c>
      <c r="I38" s="1" t="s">
        <v>27</v>
      </c>
      <c r="J38" s="1" t="s">
        <v>28</v>
      </c>
      <c r="K38" s="1" t="s">
        <v>29</v>
      </c>
    </row>
    <row r="39" spans="2:12">
      <c r="G39">
        <f t="array" ref="G39:K47">LINEST(L28:L36,G28:K36,FALSE)</f>
        <v>5.4076534676410421E-5</v>
      </c>
      <c r="H39" s="1">
        <v>-6.3943659863079864E-4</v>
      </c>
      <c r="I39" s="1">
        <v>1.2554082061373127E-3</v>
      </c>
      <c r="J39" s="1">
        <v>6.065440552142508E-3</v>
      </c>
      <c r="K39" s="1">
        <v>6.2090425048895385E-2</v>
      </c>
    </row>
    <row r="40" spans="2:12">
      <c r="G40">
        <v>5.4076534676410421E-5</v>
      </c>
      <c r="H40">
        <v>-6.3943659863079864E-4</v>
      </c>
      <c r="I40">
        <v>1.2554082061373127E-3</v>
      </c>
      <c r="J40">
        <v>6.065440552142508E-3</v>
      </c>
      <c r="K40">
        <v>6.2090425048895385E-2</v>
      </c>
    </row>
    <row r="41" spans="2:12">
      <c r="G41">
        <v>5.4076534676410421E-5</v>
      </c>
      <c r="H41">
        <v>-6.3943659863079864E-4</v>
      </c>
      <c r="I41">
        <v>1.2554082061373127E-3</v>
      </c>
      <c r="J41">
        <v>6.065440552142508E-3</v>
      </c>
      <c r="K41">
        <v>6.2090425048895385E-2</v>
      </c>
    </row>
    <row r="42" spans="2:12">
      <c r="G42">
        <v>5.4076534676410421E-5</v>
      </c>
      <c r="H42">
        <v>-6.3943659863079864E-4</v>
      </c>
      <c r="I42">
        <v>1.2554082061373127E-3</v>
      </c>
      <c r="J42">
        <v>6.065440552142508E-3</v>
      </c>
      <c r="K42">
        <v>6.2090425048895385E-2</v>
      </c>
    </row>
    <row r="43" spans="2:12">
      <c r="G43">
        <v>5.4076534676410421E-5</v>
      </c>
      <c r="H43">
        <v>-6.3943659863079864E-4</v>
      </c>
      <c r="I43">
        <v>1.2554082061373127E-3</v>
      </c>
      <c r="J43">
        <v>6.065440552142508E-3</v>
      </c>
      <c r="K43">
        <v>6.2090425048895385E-2</v>
      </c>
    </row>
    <row r="44" spans="2:12">
      <c r="G44">
        <v>5.4076534676410421E-5</v>
      </c>
      <c r="H44">
        <v>-6.3943659863079864E-4</v>
      </c>
      <c r="I44">
        <v>1.2554082061373127E-3</v>
      </c>
      <c r="J44">
        <v>6.065440552142508E-3</v>
      </c>
      <c r="K44">
        <v>6.2090425048895385E-2</v>
      </c>
    </row>
    <row r="45" spans="2:12">
      <c r="G45">
        <v>5.4076534676410421E-5</v>
      </c>
      <c r="H45">
        <v>-6.3943659863079864E-4</v>
      </c>
      <c r="I45">
        <v>1.2554082061373127E-3</v>
      </c>
      <c r="J45">
        <v>6.065440552142508E-3</v>
      </c>
      <c r="K45">
        <v>6.2090425048895385E-2</v>
      </c>
    </row>
    <row r="46" spans="2:12">
      <c r="G46">
        <v>5.4076534676410421E-5</v>
      </c>
      <c r="H46">
        <v>-6.3943659863079864E-4</v>
      </c>
      <c r="I46">
        <v>1.2554082061373127E-3</v>
      </c>
      <c r="J46">
        <v>6.065440552142508E-3</v>
      </c>
      <c r="K46">
        <v>6.2090425048895385E-2</v>
      </c>
    </row>
    <row r="47" spans="2:12">
      <c r="G47">
        <v>5.4076534676410421E-5</v>
      </c>
      <c r="H47">
        <v>-6.3943659863079864E-4</v>
      </c>
      <c r="I47">
        <v>1.2554082061373127E-3</v>
      </c>
      <c r="J47">
        <v>6.065440552142508E-3</v>
      </c>
      <c r="K47">
        <v>6.2090425048895385E-2</v>
      </c>
    </row>
  </sheetData>
  <pageMargins left="0.7" right="0.7" top="0.75" bottom="0.75" header="0.3" footer="0.3"/>
  <pageSetup scale="64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D44" sqref="D44"/>
    </sheetView>
  </sheetViews>
  <sheetFormatPr defaultRowHeight="15"/>
  <cols>
    <col min="3" max="3" width="12.140625" customWidth="1"/>
    <col min="4" max="4" width="19.140625" customWidth="1"/>
    <col min="7" max="7" width="11" bestFit="1" customWidth="1"/>
    <col min="8" max="8" width="12.28515625" customWidth="1"/>
    <col min="9" max="9" width="14.7109375" bestFit="1" customWidth="1"/>
    <col min="11" max="11" width="9.140625" style="1"/>
  </cols>
  <sheetData>
    <row r="1" spans="1:7">
      <c r="A1" t="s">
        <v>0</v>
      </c>
    </row>
    <row r="2" spans="1:7">
      <c r="B2" s="8" t="s">
        <v>3</v>
      </c>
      <c r="C2" s="8" t="s">
        <v>2</v>
      </c>
      <c r="D2" s="8" t="s">
        <v>4</v>
      </c>
      <c r="E2" s="8" t="s">
        <v>5</v>
      </c>
      <c r="F2" s="8" t="s">
        <v>6</v>
      </c>
    </row>
    <row r="3" spans="1:7">
      <c r="B3">
        <v>1</v>
      </c>
      <c r="C3" s="6">
        <v>3.9E-2</v>
      </c>
      <c r="D3" s="6"/>
    </row>
    <row r="4" spans="1:7">
      <c r="B4">
        <v>2</v>
      </c>
      <c r="C4" s="6">
        <v>4.4999999999999998E-2</v>
      </c>
      <c r="D4" s="6">
        <f>((1+C4)^B4/(1+$C$3))^(1/(B4-1))-1</f>
        <v>5.1034648700673646E-2</v>
      </c>
      <c r="E4" s="1">
        <f>6/(1+D4)^(B4-1)</f>
        <v>5.7086605160138282</v>
      </c>
    </row>
    <row r="5" spans="1:7">
      <c r="B5">
        <v>3</v>
      </c>
      <c r="C5" s="6">
        <v>4.9000000000000002E-2</v>
      </c>
      <c r="D5" s="6">
        <f>((1+C5)^B5/(1+$C$3))^(1/(B5-1))-1</f>
        <v>5.4036034708447644E-2</v>
      </c>
      <c r="E5" s="1">
        <f>6/(1+D5)^(B5-1)</f>
        <v>5.4005791245271215</v>
      </c>
    </row>
    <row r="6" spans="1:7">
      <c r="B6">
        <v>4</v>
      </c>
      <c r="C6" s="6">
        <v>5.2499999999999998E-2</v>
      </c>
      <c r="D6" s="6">
        <f>((1+C6)^B6/(1+$C$3))^(1/(B6-1))-1</f>
        <v>5.7038867843480112E-2</v>
      </c>
      <c r="E6" s="1">
        <f>6/(1+D6)^(B6-1)</f>
        <v>5.0801715720596325</v>
      </c>
    </row>
    <row r="7" spans="1:7">
      <c r="B7">
        <v>5</v>
      </c>
      <c r="C7" s="6">
        <v>5.6000000000000001E-2</v>
      </c>
      <c r="D7" s="6">
        <f>((1+C7)^B7/(1+$C$3))^(1/(B7-1))-1</f>
        <v>6.0293284745024156E-2</v>
      </c>
      <c r="E7" s="1">
        <f>106/(1+D7)^(B7-1)</f>
        <v>83.869068948571282</v>
      </c>
      <c r="F7">
        <f>SUM(E4:E7)</f>
        <v>100.05848016117187</v>
      </c>
    </row>
    <row r="9" spans="1:7">
      <c r="C9" t="s">
        <v>7</v>
      </c>
      <c r="D9" s="6">
        <f>(F7+6)/102.077-1</f>
        <v>3.9004674521898819E-2</v>
      </c>
    </row>
    <row r="10" spans="1:7">
      <c r="C10" t="s">
        <v>8</v>
      </c>
    </row>
    <row r="14" spans="1:7">
      <c r="B14" s="8"/>
      <c r="C14" s="8"/>
      <c r="D14" s="8"/>
      <c r="E14" s="8"/>
      <c r="F14" s="8"/>
      <c r="G14" s="1"/>
    </row>
    <row r="15" spans="1:7">
      <c r="B15" s="1"/>
      <c r="C15" s="6"/>
      <c r="D15" s="6"/>
      <c r="E15" s="1"/>
      <c r="F15" s="1"/>
      <c r="G15" s="1"/>
    </row>
    <row r="16" spans="1:7">
      <c r="B16" s="1"/>
      <c r="C16" s="6"/>
      <c r="D16" s="6"/>
      <c r="E16" s="1"/>
      <c r="F16" s="1"/>
      <c r="G16" s="1"/>
    </row>
    <row r="17" spans="2:7">
      <c r="B17" s="1"/>
      <c r="C17" s="6"/>
      <c r="D17" s="6"/>
      <c r="E17" s="1"/>
      <c r="F17" s="1"/>
      <c r="G17" s="1"/>
    </row>
    <row r="18" spans="2:7">
      <c r="B18" s="1"/>
      <c r="C18" s="6"/>
      <c r="D18" s="6"/>
      <c r="E18" s="1"/>
      <c r="F18" s="1"/>
      <c r="G18" s="1"/>
    </row>
    <row r="19" spans="2:7">
      <c r="B19" s="1"/>
      <c r="C19" s="6"/>
      <c r="D19" s="6"/>
      <c r="E19" s="1"/>
      <c r="F19" s="1"/>
      <c r="G19" s="1"/>
    </row>
    <row r="20" spans="2:7">
      <c r="B20" s="1"/>
      <c r="C20" s="1"/>
      <c r="D20" s="1"/>
      <c r="E20" s="1"/>
      <c r="F20" s="1"/>
      <c r="G20" s="1"/>
    </row>
    <row r="21" spans="2:7">
      <c r="B21" s="1"/>
      <c r="C21" s="1"/>
      <c r="D21" s="6"/>
      <c r="E21" s="1"/>
      <c r="F21" s="1"/>
      <c r="G21" s="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2:R43"/>
  <sheetViews>
    <sheetView topLeftCell="A22" workbookViewId="0">
      <selection activeCell="R44" sqref="R44"/>
    </sheetView>
  </sheetViews>
  <sheetFormatPr defaultRowHeight="15"/>
  <cols>
    <col min="1" max="1" width="9.140625" style="1"/>
    <col min="4" max="8" width="9.140625" style="1"/>
  </cols>
  <sheetData>
    <row r="22" spans="1:18" s="1" customFormat="1">
      <c r="L22" s="1" t="s">
        <v>32</v>
      </c>
    </row>
    <row r="23" spans="1:18">
      <c r="C23" s="1"/>
      <c r="F23" s="1" t="s">
        <v>30</v>
      </c>
      <c r="I23" s="1"/>
      <c r="O23" t="s">
        <v>30</v>
      </c>
    </row>
    <row r="24" spans="1:18"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L24">
        <v>1</v>
      </c>
      <c r="M24">
        <v>2</v>
      </c>
      <c r="N24" s="1">
        <v>3</v>
      </c>
      <c r="O24" s="1">
        <v>4</v>
      </c>
      <c r="P24" s="1">
        <v>5</v>
      </c>
      <c r="Q24" s="1">
        <v>6</v>
      </c>
      <c r="R24" s="1">
        <v>7</v>
      </c>
    </row>
    <row r="25" spans="1:18">
      <c r="C25" s="14">
        <v>0.06</v>
      </c>
      <c r="D25" s="11">
        <v>6.4500000000000002E-2</v>
      </c>
      <c r="E25" s="11">
        <v>6.8000000000000005E-2</v>
      </c>
      <c r="F25" s="11">
        <v>7.0999999999999994E-2</v>
      </c>
      <c r="G25" s="11">
        <v>7.3599999999999999E-2</v>
      </c>
      <c r="H25" s="11">
        <v>7.5600000000000001E-2</v>
      </c>
      <c r="I25" s="11">
        <v>7.7700000000000005E-2</v>
      </c>
      <c r="K25">
        <v>0</v>
      </c>
      <c r="L25" s="6">
        <f>((1+C25)^$L$24/(1+C25)^K$25)^(1/($L$24-K$25))-1</f>
        <v>6.0000000000000053E-2</v>
      </c>
      <c r="M25" s="6">
        <f>((1+D25)^M24/(1+$C$25)^$K$25)^(1/(M24-$K$25))-1</f>
        <v>6.4500000000000002E-2</v>
      </c>
      <c r="N25" s="6">
        <f t="shared" ref="N25:R25" si="0">((1+E25)^N24/(1+$C$25)^$K$25)^(1/(N24-$K$25))-1</f>
        <v>6.800000000000006E-2</v>
      </c>
      <c r="O25" s="6">
        <f t="shared" si="0"/>
        <v>7.0999999999999952E-2</v>
      </c>
      <c r="P25" s="6">
        <f t="shared" si="0"/>
        <v>7.3599999999999888E-2</v>
      </c>
      <c r="Q25" s="6">
        <f t="shared" si="0"/>
        <v>7.5600000000000112E-2</v>
      </c>
      <c r="R25" s="6">
        <f t="shared" si="0"/>
        <v>7.7700000000000102E-2</v>
      </c>
    </row>
    <row r="26" spans="1:18">
      <c r="C26" s="11"/>
      <c r="D26" s="11"/>
      <c r="E26" s="11"/>
      <c r="F26" s="11"/>
      <c r="G26" s="11"/>
      <c r="H26" s="11"/>
      <c r="J26" s="15" t="s">
        <v>31</v>
      </c>
      <c r="K26" s="1">
        <v>1</v>
      </c>
      <c r="L26" s="6"/>
      <c r="M26" s="6">
        <f>((1+D25)^M24/(1+$C$25)^$K$26)^(1/(M24-$K$26))-1</f>
        <v>6.9019103773584778E-2</v>
      </c>
      <c r="N26" s="6">
        <f>((1+E25)^N24/(1+$C$25)^$K$26)^(1/(N24-$K$26))-1</f>
        <v>7.2022613109848477E-2</v>
      </c>
      <c r="O26" s="6">
        <f>((1+F25)^O24/(1+$C$25)^$K$26)^(1/(O24-$K$26))-1</f>
        <v>7.4691975296487856E-2</v>
      </c>
      <c r="P26" s="6">
        <f>((1+G25)^P24/(1+$C$25)^$K$26)^(1/(P24-$K$26))-1</f>
        <v>7.7027177187337648E-2</v>
      </c>
      <c r="Q26" s="6">
        <f>((1+H25)^Q24/(1+$C$25)^$K$26)^(1/(Q24-$K$26))-1</f>
        <v>7.87474427773871E-2</v>
      </c>
      <c r="R26" s="6">
        <f>((1+I25)^R24/(1+$C$25)^$K$26)^(1/(R24-$K$26))-1</f>
        <v>8.067860239842739E-2</v>
      </c>
    </row>
    <row r="27" spans="1:18">
      <c r="A27" s="15"/>
      <c r="B27" s="1"/>
      <c r="C27" s="11"/>
      <c r="D27" s="11"/>
      <c r="E27" s="11"/>
      <c r="F27" s="11"/>
      <c r="G27" s="11"/>
      <c r="H27" s="11"/>
      <c r="K27" s="1">
        <v>2</v>
      </c>
      <c r="L27" s="6"/>
      <c r="N27" s="6">
        <f>((1+E25)^N24/(1+$D$25)^$K$27)^(1/(N24-$K$27))-1</f>
        <v>7.5034561087013341E-2</v>
      </c>
      <c r="O27" s="6">
        <f>((1+F25)^O24/(1+$D$25)^$K$27)^(1/(O24-$K$27))-1</f>
        <v>7.7539689995302918E-2</v>
      </c>
      <c r="P27" s="6">
        <f>((1+G25)^P24/(1+$D$25)^$K$27)^(1/(P24-$K$27))-1</f>
        <v>7.970984372762091E-2</v>
      </c>
      <c r="Q27" s="6">
        <f>((1+H25)^Q24/(1+$D$25)^$K$27)^(1/(Q24-$K$27))-1</f>
        <v>8.1193329041452822E-2</v>
      </c>
      <c r="R27" s="6">
        <f>((1+I25)^R24/(1+$D$25)^$K$27)^(1/(R24-$K$27))-1</f>
        <v>8.3025717991742187E-2</v>
      </c>
    </row>
    <row r="28" spans="1:18">
      <c r="B28" s="1"/>
      <c r="C28" s="11"/>
      <c r="D28" s="11"/>
      <c r="E28" s="11"/>
      <c r="F28" s="11"/>
      <c r="G28" s="11"/>
      <c r="H28" s="11"/>
      <c r="K28" s="1">
        <v>3</v>
      </c>
      <c r="L28" s="6"/>
      <c r="O28" s="6">
        <f>((1+F25)^O24/(1+$E$25)^$K$28)^(1/(O24-$K$28))-1</f>
        <v>8.0050656549259358E-2</v>
      </c>
      <c r="P28" s="6">
        <f>((1+G25)^P24/(1+$E$25)^$K$28)^(1/(P24-$K$28))-1</f>
        <v>8.2055104262303891E-2</v>
      </c>
      <c r="Q28" s="6">
        <f>((1+H25)^Q24/(1+$E$25)^$K$28)^(1/(Q24-$K$28))-1</f>
        <v>8.3254082397003826E-2</v>
      </c>
      <c r="R28" s="6">
        <f>((1+I25)^R24/(1+$E$25)^$K$28)^(1/(R24-$K$28))-1</f>
        <v>8.5032771498786186E-2</v>
      </c>
    </row>
    <row r="29" spans="1:18">
      <c r="B29" s="1"/>
      <c r="C29" s="11"/>
      <c r="D29" s="11"/>
      <c r="E29" s="11"/>
      <c r="F29" s="11"/>
      <c r="G29" s="11"/>
      <c r="H29" s="11"/>
      <c r="K29" s="1">
        <v>4</v>
      </c>
      <c r="L29" s="6"/>
      <c r="P29" s="6">
        <f>((1+G25)^P24/(1+$F$25)^$K$29)^(1/(P24-$K$29))-1</f>
        <v>8.4063271995895583E-2</v>
      </c>
      <c r="Q29" s="6">
        <f>((1+H25)^Q24/(1+$F$25)^$K$29)^(1/(Q24-$K$29))-1</f>
        <v>8.4859356567028144E-2</v>
      </c>
      <c r="R29" s="6">
        <f>((1+I25)^R24/(1+$F$25)^$K$29)^(1/(R24-$K$29))-1</f>
        <v>8.6698578315545172E-2</v>
      </c>
    </row>
    <row r="30" spans="1:18">
      <c r="B30" s="1"/>
      <c r="C30" s="11"/>
      <c r="D30" s="11"/>
      <c r="E30" s="11"/>
      <c r="F30" s="11"/>
      <c r="G30" s="11"/>
      <c r="H30" s="11"/>
      <c r="K30" s="1">
        <v>5</v>
      </c>
      <c r="L30" s="6"/>
      <c r="Q30" s="6">
        <f>((1+H25)^Q24/(1+$G$25)^$K$30)^(1/(Q24-$K$30))-1</f>
        <v>8.5656025744853537E-2</v>
      </c>
      <c r="R30" s="6">
        <f>((1+I25)^R24/(1+$G$25)^$K$30)^(1/(R24-$K$30))-1</f>
        <v>8.8018632867098212E-2</v>
      </c>
    </row>
    <row r="31" spans="1:18">
      <c r="B31" s="1"/>
      <c r="C31" s="11"/>
      <c r="D31" s="11"/>
      <c r="E31" s="11"/>
      <c r="F31" s="11"/>
      <c r="G31" s="11"/>
      <c r="H31" s="11"/>
      <c r="K31" s="1">
        <v>6</v>
      </c>
      <c r="L31" s="6"/>
      <c r="R31" s="6">
        <f>((1+I25)^R24/(1+$H$25)^$K$31)^(1/(R24-$K$31))-1</f>
        <v>9.0386381500356938E-2</v>
      </c>
    </row>
    <row r="32" spans="1:18">
      <c r="K32" s="1"/>
    </row>
    <row r="35" spans="10:18">
      <c r="J35" s="1"/>
      <c r="K35" s="1" t="s">
        <v>13</v>
      </c>
      <c r="L35" s="1"/>
      <c r="M35" s="1"/>
      <c r="N35" s="1"/>
      <c r="O35" s="1" t="s">
        <v>30</v>
      </c>
      <c r="P35" s="1"/>
      <c r="Q35" s="1"/>
      <c r="R35" s="1"/>
    </row>
    <row r="36" spans="10:18">
      <c r="J36" s="1"/>
      <c r="K36" s="1"/>
      <c r="L36" s="1">
        <v>1</v>
      </c>
      <c r="M36" s="1">
        <v>2</v>
      </c>
      <c r="N36" s="1">
        <v>3</v>
      </c>
      <c r="O36" s="1">
        <v>4</v>
      </c>
      <c r="P36" s="1">
        <v>5</v>
      </c>
      <c r="Q36" s="1">
        <v>6</v>
      </c>
      <c r="R36" s="1">
        <v>7</v>
      </c>
    </row>
    <row r="37" spans="10:18">
      <c r="J37" s="1"/>
      <c r="K37" s="1">
        <v>0</v>
      </c>
      <c r="L37" s="16">
        <f>1/(1+L25)^(L36-K37)</f>
        <v>0.94339622641509424</v>
      </c>
      <c r="M37" s="16">
        <f>1/(1+M25)^(M36-$K$37)</f>
        <v>0.88248771521944935</v>
      </c>
      <c r="N37" s="16">
        <f t="shared" ref="N37:R37" si="1">1/(1+N25)^(N36-$K$37)</f>
        <v>0.82089241328867457</v>
      </c>
      <c r="O37" s="16">
        <f t="shared" si="1"/>
        <v>0.76004991831717383</v>
      </c>
      <c r="P37" s="16">
        <f t="shared" si="1"/>
        <v>0.70111213796389138</v>
      </c>
      <c r="Q37" s="16">
        <f t="shared" si="1"/>
        <v>0.64579583342971647</v>
      </c>
      <c r="R37" s="16">
        <f t="shared" si="1"/>
        <v>0.59226329710859937</v>
      </c>
    </row>
    <row r="38" spans="10:18">
      <c r="J38" s="15" t="s">
        <v>31</v>
      </c>
      <c r="K38" s="1">
        <v>1</v>
      </c>
      <c r="L38" s="6"/>
      <c r="M38" s="16">
        <f>1/(1+M26)^(M36-$K$38)</f>
        <v>0.93543697813261639</v>
      </c>
      <c r="N38" s="16">
        <f t="shared" ref="N38:R39" si="2">1/(1+N26)^(N36-$K$38)</f>
        <v>0.87014595808599526</v>
      </c>
      <c r="O38" s="16">
        <f t="shared" si="2"/>
        <v>0.80565291341620426</v>
      </c>
      <c r="P38" s="16">
        <f t="shared" si="2"/>
        <v>0.7431788662417248</v>
      </c>
      <c r="Q38" s="16">
        <f t="shared" si="2"/>
        <v>0.68454358343549959</v>
      </c>
      <c r="R38" s="16">
        <f t="shared" si="2"/>
        <v>0.6277990949351151</v>
      </c>
    </row>
    <row r="39" spans="10:18">
      <c r="J39" s="1"/>
      <c r="K39" s="1">
        <v>2</v>
      </c>
      <c r="L39" s="6"/>
      <c r="M39" s="1"/>
      <c r="N39" s="16">
        <f>1/(1+N27)^(N36-$K$39)</f>
        <v>0.93020265226529775</v>
      </c>
      <c r="O39" s="16">
        <f t="shared" ref="O39:R40" si="3">1/(1+O27)^(O36-$K$39)</f>
        <v>0.8612583554527683</v>
      </c>
      <c r="P39" s="16">
        <f t="shared" si="3"/>
        <v>0.79447240553319787</v>
      </c>
      <c r="Q39" s="16">
        <f t="shared" si="3"/>
        <v>0.73179016805817565</v>
      </c>
      <c r="R39" s="16">
        <f t="shared" si="3"/>
        <v>0.67112922581740453</v>
      </c>
    </row>
    <row r="40" spans="10:18">
      <c r="J40" s="1"/>
      <c r="K40" s="1">
        <v>3</v>
      </c>
      <c r="L40" s="6"/>
      <c r="M40" s="1"/>
      <c r="N40" s="1"/>
      <c r="O40" s="16">
        <f>1/(1+O28)^(O36-$K$40)</f>
        <v>0.92588249813668955</v>
      </c>
      <c r="P40" s="16">
        <f t="shared" ref="P40:R41" si="4">1/(1+P28)^(P36-$K$40)</f>
        <v>0.85408529377812481</v>
      </c>
      <c r="Q40" s="16">
        <f t="shared" si="4"/>
        <v>0.78669972212621297</v>
      </c>
      <c r="R40" s="16">
        <f t="shared" si="4"/>
        <v>0.72148711270928056</v>
      </c>
    </row>
    <row r="41" spans="10:18">
      <c r="J41" s="1"/>
      <c r="K41" s="1">
        <v>4</v>
      </c>
      <c r="L41" s="6"/>
      <c r="M41" s="1"/>
      <c r="N41" s="1"/>
      <c r="O41" s="1"/>
      <c r="P41" s="16">
        <f>1/(1+P29)^(P36-$K$41)</f>
        <v>0.9224553822941306</v>
      </c>
      <c r="Q41" s="16">
        <f t="shared" ref="Q41:R42" si="5">1/(1+Q29)^(Q36-$K$41)</f>
        <v>0.84967555138953588</v>
      </c>
      <c r="R41" s="16">
        <f t="shared" si="5"/>
        <v>0.77924262977348802</v>
      </c>
    </row>
    <row r="42" spans="10:18">
      <c r="J42" s="1"/>
      <c r="K42" s="1">
        <v>5</v>
      </c>
      <c r="L42" s="6"/>
      <c r="M42" s="1"/>
      <c r="N42" s="1"/>
      <c r="O42" s="1"/>
      <c r="P42" s="1"/>
      <c r="Q42" s="16">
        <f>1/(1+Q30)^(Q36-$K$42)</f>
        <v>0.92110205837425707</v>
      </c>
      <c r="R42" s="16">
        <f>1/(1+R30)^(R36-$K$42)</f>
        <v>0.84474831491093361</v>
      </c>
    </row>
    <row r="43" spans="10:18">
      <c r="J43" s="1"/>
      <c r="K43" s="1">
        <v>6</v>
      </c>
      <c r="L43" s="6"/>
      <c r="M43" s="1"/>
      <c r="N43" s="1"/>
      <c r="O43" s="1"/>
      <c r="P43" s="1"/>
      <c r="Q43" s="1"/>
      <c r="R43" s="16">
        <f>1/(1+R31)^(R36-$K$43)</f>
        <v>0.91710609832086631</v>
      </c>
    </row>
  </sheetData>
  <pageMargins left="0.7" right="0.7" top="0.75" bottom="0.75" header="0.3" footer="0.3"/>
  <pageSetup scale="55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AD14" sqref="AD14"/>
    </sheetView>
  </sheetViews>
  <sheetFormatPr defaultRowHeight="15"/>
  <cols>
    <col min="3" max="3" width="14.140625" bestFit="1" customWidth="1"/>
    <col min="4" max="4" width="11.140625" bestFit="1" customWidth="1"/>
  </cols>
  <sheetData>
    <row r="1" spans="1:6">
      <c r="A1" t="s">
        <v>17</v>
      </c>
    </row>
    <row r="2" spans="1:6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6">
      <c r="B3">
        <v>1</v>
      </c>
      <c r="C3" s="11">
        <v>7.0000000000000007E-2</v>
      </c>
      <c r="E3" s="5">
        <f>1000*(1+C3)^B3</f>
        <v>1070</v>
      </c>
    </row>
    <row r="4" spans="1:6">
      <c r="B4">
        <v>2</v>
      </c>
      <c r="C4" s="11">
        <v>7.8E-2</v>
      </c>
      <c r="D4" s="11">
        <f>(1+C4)^B4/(1+C3)^B3-1</f>
        <v>8.6059813084112147E-2</v>
      </c>
      <c r="E4" s="5">
        <f>1000*(1+C4)^B4</f>
        <v>1162.0840000000001</v>
      </c>
    </row>
    <row r="5" spans="1:6">
      <c r="B5" s="1">
        <v>3</v>
      </c>
      <c r="C5" s="11">
        <v>8.4000000000000005E-2</v>
      </c>
      <c r="D5" s="11">
        <f t="shared" ref="D5:D7" si="0">(1+C5)^B5/(1+C4)^B4-1</f>
        <v>9.6100371401723228E-2</v>
      </c>
      <c r="E5" s="5">
        <f t="shared" ref="E5:E7" si="1">1000*(1+C5)^B5</f>
        <v>1273.7607040000003</v>
      </c>
    </row>
    <row r="6" spans="1:6">
      <c r="B6" s="1">
        <v>4</v>
      </c>
      <c r="C6" s="11">
        <v>8.7999999999999995E-2</v>
      </c>
      <c r="D6" s="13">
        <f>(1+C6)^B6/(1+C5)^B5-1</f>
        <v>0.10008877894854584</v>
      </c>
      <c r="E6" s="5">
        <f>1000*(1+C6)^B6</f>
        <v>1401.2498575360005</v>
      </c>
    </row>
    <row r="7" spans="1:6">
      <c r="B7" s="1">
        <v>5</v>
      </c>
      <c r="C7" s="11">
        <v>0.09</v>
      </c>
      <c r="D7" s="11">
        <f t="shared" si="0"/>
        <v>9.803683235020122E-2</v>
      </c>
      <c r="E7" s="5">
        <f t="shared" si="1"/>
        <v>1538.6239549000004</v>
      </c>
    </row>
    <row r="9" spans="1:6">
      <c r="A9">
        <v>2</v>
      </c>
      <c r="B9" t="s">
        <v>22</v>
      </c>
      <c r="D9" s="5">
        <f>E6</f>
        <v>1401.2498575360005</v>
      </c>
    </row>
    <row r="10" spans="1:6">
      <c r="A10">
        <v>3</v>
      </c>
      <c r="B10" s="1" t="s">
        <v>23</v>
      </c>
      <c r="D10" s="5">
        <f>E5</f>
        <v>1273.7607040000003</v>
      </c>
      <c r="F10" s="11"/>
    </row>
    <row r="11" spans="1:6">
      <c r="A11">
        <v>4</v>
      </c>
      <c r="B11" t="s">
        <v>24</v>
      </c>
      <c r="D11" s="12">
        <f>(D9-D10)/D10</f>
        <v>0.1000887789485459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2015-05-19T14:09:59Z</cp:lastPrinted>
  <dcterms:created xsi:type="dcterms:W3CDTF">2015-05-14T13:41:04Z</dcterms:created>
  <dcterms:modified xsi:type="dcterms:W3CDTF">2015-05-19T19:39:46Z</dcterms:modified>
</cp:coreProperties>
</file>